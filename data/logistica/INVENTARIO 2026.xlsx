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LOGISTICA 2026\"/>
    </mc:Choice>
  </mc:AlternateContent>
  <xr:revisionPtr revIDLastSave="0" documentId="8_{5C633871-3DF3-4782-97AF-E766D2532E86}" xr6:coauthVersionLast="47" xr6:coauthVersionMax="47" xr10:uidLastSave="{00000000-0000-0000-0000-000000000000}"/>
  <bookViews>
    <workbookView xWindow="-108" yWindow="-108" windowWidth="23256" windowHeight="12456" xr2:uid="{53A41A27-5995-43F0-B92D-6A98004C22F4}"/>
  </bookViews>
  <sheets>
    <sheet name="INVENTARIO 2026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'INVENTARIO 2026'!$B$3:$AS$387</definedName>
    <definedName name="BASE_DATOS">#REF!</definedName>
    <definedName name="CAUSA">[2]DATA!$S$3:$S$14</definedName>
    <definedName name="CodProducto_Compra" localSheetId="0">[3]Calculos!$D$4</definedName>
    <definedName name="CodProducto_Compra">[4]Calculos!$D$4</definedName>
    <definedName name="CodProducto_Venta" localSheetId="0">[3]Calculos!$D$8</definedName>
    <definedName name="CodProducto_Venta">[4]Calculos!$D$8</definedName>
    <definedName name="CT">[2]DATA!$B$3:$B$45</definedName>
    <definedName name="CTECNICO">[2]DATA!$B$3:$E$45</definedName>
    <definedName name="DATOS" localSheetId="0">#REF!</definedName>
    <definedName name="DATOS">#REF!</definedName>
    <definedName name="EMPRESA">[2]DATA!$C$7:$E$43</definedName>
    <definedName name="ESTADO">[2]DATA!$Q$3:$Q$7</definedName>
    <definedName name="ESTATUS">[2]DATA!$Y$3:$Y$6</definedName>
    <definedName name="LISTPROD" localSheetId="0">'INVENTARIO 2026'!$G$4:$M$47</definedName>
    <definedName name="LISTPROD">[4]listProductos!$A$5:$K$154</definedName>
    <definedName name="LISTPRODUCTOS2" localSheetId="0">'INVENTARIO 2026'!$G:$M</definedName>
    <definedName name="LISTPRODUCTOS2">[4]listProductos!$A$4:$K$1048576</definedName>
    <definedName name="MATRIZ">#REF!</definedName>
    <definedName name="MATRIZ2">#REF!</definedName>
    <definedName name="MATRIZ3">#REF!</definedName>
    <definedName name="NOVEDAD">[2]DATA!$O$3:$O$7</definedName>
    <definedName name="ORDEN">#REF!</definedName>
    <definedName name="PorcentajeImp" localSheetId="0">[3]Inicio!#REF!</definedName>
    <definedName name="PorcentajeImp">[4]Inicio!#REF!</definedName>
    <definedName name="PRODUCTOS" localSheetId="0">'INVENTARIO 2026'!$G$3:$M$47</definedName>
    <definedName name="PRODUCTOS">[4]listProductos!$A$4:$K$145</definedName>
    <definedName name="REPUESTOS">#REF!</definedName>
    <definedName name="SISTEMAS">[2]DATA!$N$3:$N$29</definedName>
    <definedName name="SOLICITUD">[2]DATA!$U$3:$U$12</definedName>
    <definedName name="SREPUESTOS">[2]REPUESTOS!$A$1:$V$5999</definedName>
    <definedName name="TECNICO">[2]DATA!$C$7:$C$45</definedName>
    <definedName name="TRACTO">[2]DATA!$G$3:$G$517</definedName>
    <definedName name="UBIC">[2]DATA!$AA$3:$AA$12</definedName>
    <definedName name="UMEDIDA">[2]DATA!$W$3:$W$14</definedName>
    <definedName name="UNIDADES">[2]DATA!$G$3:$L$517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98" i="1" l="1"/>
  <c r="AO387" i="1"/>
  <c r="AN387" i="1"/>
  <c r="AK387" i="1"/>
  <c r="AJ387" i="1"/>
  <c r="AF387" i="1"/>
  <c r="AC387" i="1"/>
  <c r="AB387" i="1"/>
  <c r="Y387" i="1"/>
  <c r="X387" i="1"/>
  <c r="I387" i="1"/>
  <c r="AQ386" i="1"/>
  <c r="AP386" i="1"/>
  <c r="AM386" i="1"/>
  <c r="AL386" i="1"/>
  <c r="AI386" i="1"/>
  <c r="AH386" i="1"/>
  <c r="AE386" i="1"/>
  <c r="AD386" i="1"/>
  <c r="AA386" i="1"/>
  <c r="Z386" i="1"/>
  <c r="W386" i="1"/>
  <c r="V386" i="1"/>
  <c r="U386" i="1"/>
  <c r="T386" i="1"/>
  <c r="S386" i="1"/>
  <c r="R386" i="1"/>
  <c r="P386" i="1"/>
  <c r="AQ385" i="1"/>
  <c r="AP385" i="1"/>
  <c r="AM385" i="1"/>
  <c r="AL385" i="1"/>
  <c r="AI385" i="1"/>
  <c r="AH385" i="1"/>
  <c r="AE385" i="1"/>
  <c r="AD385" i="1"/>
  <c r="AA385" i="1"/>
  <c r="Z385" i="1"/>
  <c r="U385" i="1"/>
  <c r="T385" i="1"/>
  <c r="V385" i="1" s="1"/>
  <c r="W385" i="1" s="1"/>
  <c r="S385" i="1"/>
  <c r="R385" i="1"/>
  <c r="P385" i="1"/>
  <c r="AQ384" i="1"/>
  <c r="AP384" i="1"/>
  <c r="AM384" i="1"/>
  <c r="AL384" i="1"/>
  <c r="AI384" i="1"/>
  <c r="AH384" i="1"/>
  <c r="AE384" i="1"/>
  <c r="AD384" i="1"/>
  <c r="AA384" i="1"/>
  <c r="Z384" i="1"/>
  <c r="U384" i="1"/>
  <c r="T384" i="1"/>
  <c r="S384" i="1"/>
  <c r="P384" i="1"/>
  <c r="AQ383" i="1"/>
  <c r="AP383" i="1"/>
  <c r="AM383" i="1"/>
  <c r="AL383" i="1"/>
  <c r="AI383" i="1"/>
  <c r="AH383" i="1"/>
  <c r="AE383" i="1"/>
  <c r="AD383" i="1"/>
  <c r="AA383" i="1"/>
  <c r="Z383" i="1"/>
  <c r="U383" i="1"/>
  <c r="S383" i="1" s="1"/>
  <c r="T383" i="1"/>
  <c r="R383" i="1" s="1"/>
  <c r="P383" i="1"/>
  <c r="AQ382" i="1"/>
  <c r="AP382" i="1"/>
  <c r="AM382" i="1"/>
  <c r="AL382" i="1"/>
  <c r="AI382" i="1"/>
  <c r="AH382" i="1"/>
  <c r="AE382" i="1"/>
  <c r="AD382" i="1"/>
  <c r="AA382" i="1"/>
  <c r="Z382" i="1"/>
  <c r="W382" i="1"/>
  <c r="U382" i="1"/>
  <c r="T382" i="1"/>
  <c r="V382" i="1" s="1"/>
  <c r="S382" i="1"/>
  <c r="R382" i="1"/>
  <c r="P382" i="1"/>
  <c r="AQ381" i="1"/>
  <c r="AP381" i="1"/>
  <c r="AM381" i="1"/>
  <c r="AL381" i="1"/>
  <c r="AI381" i="1"/>
  <c r="AH381" i="1"/>
  <c r="AE381" i="1"/>
  <c r="AD381" i="1"/>
  <c r="AA381" i="1"/>
  <c r="Z381" i="1"/>
  <c r="U381" i="1"/>
  <c r="T381" i="1"/>
  <c r="V381" i="1" s="1"/>
  <c r="W381" i="1" s="1"/>
  <c r="S381" i="1"/>
  <c r="R381" i="1"/>
  <c r="P381" i="1"/>
  <c r="AQ380" i="1"/>
  <c r="AP380" i="1"/>
  <c r="AM380" i="1"/>
  <c r="AL380" i="1"/>
  <c r="AI380" i="1"/>
  <c r="AH380" i="1"/>
  <c r="AE380" i="1"/>
  <c r="AD380" i="1"/>
  <c r="AA380" i="1"/>
  <c r="Z380" i="1"/>
  <c r="U380" i="1"/>
  <c r="S380" i="1" s="1"/>
  <c r="T380" i="1"/>
  <c r="P380" i="1"/>
  <c r="AQ379" i="1"/>
  <c r="AP379" i="1"/>
  <c r="AM379" i="1"/>
  <c r="AL379" i="1"/>
  <c r="AI379" i="1"/>
  <c r="AH379" i="1"/>
  <c r="AE379" i="1"/>
  <c r="AD379" i="1"/>
  <c r="AA379" i="1"/>
  <c r="Z379" i="1"/>
  <c r="U379" i="1"/>
  <c r="S379" i="1" s="1"/>
  <c r="T379" i="1"/>
  <c r="R379" i="1" s="1"/>
  <c r="P379" i="1"/>
  <c r="AQ378" i="1"/>
  <c r="AP378" i="1"/>
  <c r="AM378" i="1"/>
  <c r="AL378" i="1"/>
  <c r="AI378" i="1"/>
  <c r="AH378" i="1"/>
  <c r="AE378" i="1"/>
  <c r="AD378" i="1"/>
  <c r="AA378" i="1"/>
  <c r="Z378" i="1"/>
  <c r="W378" i="1"/>
  <c r="U378" i="1"/>
  <c r="T378" i="1"/>
  <c r="V378" i="1" s="1"/>
  <c r="S378" i="1"/>
  <c r="R378" i="1"/>
  <c r="P378" i="1"/>
  <c r="AQ377" i="1"/>
  <c r="AP377" i="1"/>
  <c r="AM377" i="1"/>
  <c r="AL377" i="1"/>
  <c r="AI377" i="1"/>
  <c r="AH377" i="1"/>
  <c r="AE377" i="1"/>
  <c r="AD377" i="1"/>
  <c r="AA377" i="1"/>
  <c r="Z377" i="1"/>
  <c r="U377" i="1"/>
  <c r="T377" i="1"/>
  <c r="V377" i="1" s="1"/>
  <c r="W377" i="1" s="1"/>
  <c r="S377" i="1"/>
  <c r="R377" i="1"/>
  <c r="P377" i="1"/>
  <c r="AQ376" i="1"/>
  <c r="AP376" i="1"/>
  <c r="AM376" i="1"/>
  <c r="AL376" i="1"/>
  <c r="AI376" i="1"/>
  <c r="AH376" i="1"/>
  <c r="AE376" i="1"/>
  <c r="AD376" i="1"/>
  <c r="AA376" i="1"/>
  <c r="Z376" i="1"/>
  <c r="U376" i="1"/>
  <c r="S376" i="1" s="1"/>
  <c r="T376" i="1"/>
  <c r="P376" i="1"/>
  <c r="AQ375" i="1"/>
  <c r="AP375" i="1"/>
  <c r="AM375" i="1"/>
  <c r="AL375" i="1"/>
  <c r="AI375" i="1"/>
  <c r="AH375" i="1"/>
  <c r="AE375" i="1"/>
  <c r="AD375" i="1"/>
  <c r="AA375" i="1"/>
  <c r="Z375" i="1"/>
  <c r="U375" i="1"/>
  <c r="T375" i="1"/>
  <c r="R375" i="1"/>
  <c r="P375" i="1"/>
  <c r="AQ374" i="1"/>
  <c r="AP374" i="1"/>
  <c r="AM374" i="1"/>
  <c r="AL374" i="1"/>
  <c r="AI374" i="1"/>
  <c r="AH374" i="1"/>
  <c r="AE374" i="1"/>
  <c r="AD374" i="1"/>
  <c r="AA374" i="1"/>
  <c r="Z374" i="1"/>
  <c r="U374" i="1"/>
  <c r="T374" i="1"/>
  <c r="V374" i="1" s="1"/>
  <c r="W374" i="1" s="1"/>
  <c r="S374" i="1"/>
  <c r="R374" i="1"/>
  <c r="P374" i="1"/>
  <c r="AQ373" i="1"/>
  <c r="AP373" i="1"/>
  <c r="AM373" i="1"/>
  <c r="AL373" i="1"/>
  <c r="AI373" i="1"/>
  <c r="AH373" i="1"/>
  <c r="AE373" i="1"/>
  <c r="AD373" i="1"/>
  <c r="AA373" i="1"/>
  <c r="Z373" i="1"/>
  <c r="U373" i="1"/>
  <c r="T373" i="1"/>
  <c r="V373" i="1" s="1"/>
  <c r="W373" i="1" s="1"/>
  <c r="S373" i="1"/>
  <c r="R373" i="1"/>
  <c r="P373" i="1"/>
  <c r="AQ372" i="1"/>
  <c r="AP372" i="1"/>
  <c r="AM372" i="1"/>
  <c r="AL372" i="1"/>
  <c r="AI372" i="1"/>
  <c r="AH372" i="1"/>
  <c r="AE372" i="1"/>
  <c r="AD372" i="1"/>
  <c r="AA372" i="1"/>
  <c r="Z372" i="1"/>
  <c r="U372" i="1"/>
  <c r="T372" i="1"/>
  <c r="S372" i="1"/>
  <c r="P372" i="1"/>
  <c r="AQ371" i="1"/>
  <c r="AP371" i="1"/>
  <c r="AM371" i="1"/>
  <c r="AL371" i="1"/>
  <c r="AI371" i="1"/>
  <c r="AH371" i="1"/>
  <c r="AE371" i="1"/>
  <c r="AD371" i="1"/>
  <c r="AA371" i="1"/>
  <c r="Z371" i="1"/>
  <c r="U371" i="1"/>
  <c r="S371" i="1" s="1"/>
  <c r="T371" i="1"/>
  <c r="R371" i="1"/>
  <c r="P371" i="1"/>
  <c r="AQ370" i="1"/>
  <c r="AP370" i="1"/>
  <c r="AM370" i="1"/>
  <c r="AL370" i="1"/>
  <c r="AI370" i="1"/>
  <c r="AH370" i="1"/>
  <c r="AE370" i="1"/>
  <c r="AD370" i="1"/>
  <c r="AA370" i="1"/>
  <c r="Z370" i="1"/>
  <c r="W370" i="1"/>
  <c r="U370" i="1"/>
  <c r="T370" i="1"/>
  <c r="V370" i="1" s="1"/>
  <c r="S370" i="1"/>
  <c r="R370" i="1"/>
  <c r="P370" i="1"/>
  <c r="AQ369" i="1"/>
  <c r="AP369" i="1"/>
  <c r="AM369" i="1"/>
  <c r="AL369" i="1"/>
  <c r="AI369" i="1"/>
  <c r="AH369" i="1"/>
  <c r="AE369" i="1"/>
  <c r="AD369" i="1"/>
  <c r="AA369" i="1"/>
  <c r="Z369" i="1"/>
  <c r="U369" i="1"/>
  <c r="T369" i="1"/>
  <c r="V369" i="1" s="1"/>
  <c r="W369" i="1" s="1"/>
  <c r="S369" i="1"/>
  <c r="R369" i="1"/>
  <c r="P369" i="1"/>
  <c r="AQ368" i="1"/>
  <c r="AP368" i="1"/>
  <c r="AM368" i="1"/>
  <c r="AL368" i="1"/>
  <c r="AI368" i="1"/>
  <c r="AH368" i="1"/>
  <c r="AE368" i="1"/>
  <c r="AD368" i="1"/>
  <c r="AA368" i="1"/>
  <c r="Z368" i="1"/>
  <c r="U368" i="1"/>
  <c r="S368" i="1" s="1"/>
  <c r="T368" i="1"/>
  <c r="P368" i="1"/>
  <c r="AQ367" i="1"/>
  <c r="AP367" i="1"/>
  <c r="AM367" i="1"/>
  <c r="AL367" i="1"/>
  <c r="AI367" i="1"/>
  <c r="AH367" i="1"/>
  <c r="AE367" i="1"/>
  <c r="AD367" i="1"/>
  <c r="AA367" i="1"/>
  <c r="Z367" i="1"/>
  <c r="V367" i="1"/>
  <c r="W367" i="1" s="1"/>
  <c r="U367" i="1"/>
  <c r="S367" i="1" s="1"/>
  <c r="T367" i="1"/>
  <c r="R367" i="1"/>
  <c r="P367" i="1"/>
  <c r="AQ366" i="1"/>
  <c r="AP366" i="1"/>
  <c r="AM366" i="1"/>
  <c r="AL366" i="1"/>
  <c r="AI366" i="1"/>
  <c r="AH366" i="1"/>
  <c r="AE366" i="1"/>
  <c r="AD366" i="1"/>
  <c r="AA366" i="1"/>
  <c r="Z366" i="1"/>
  <c r="U366" i="1"/>
  <c r="T366" i="1"/>
  <c r="V366" i="1" s="1"/>
  <c r="W366" i="1" s="1"/>
  <c r="S366" i="1"/>
  <c r="R366" i="1"/>
  <c r="P366" i="1"/>
  <c r="AQ365" i="1"/>
  <c r="AP365" i="1"/>
  <c r="AM365" i="1"/>
  <c r="AL365" i="1"/>
  <c r="AI365" i="1"/>
  <c r="AH365" i="1"/>
  <c r="AE365" i="1"/>
  <c r="AD365" i="1"/>
  <c r="AA365" i="1"/>
  <c r="Z365" i="1"/>
  <c r="U365" i="1"/>
  <c r="T365" i="1"/>
  <c r="V365" i="1" s="1"/>
  <c r="W365" i="1" s="1"/>
  <c r="S365" i="1"/>
  <c r="R365" i="1"/>
  <c r="P365" i="1"/>
  <c r="AQ364" i="1"/>
  <c r="AP364" i="1"/>
  <c r="AM364" i="1"/>
  <c r="AL364" i="1"/>
  <c r="AI364" i="1"/>
  <c r="AH364" i="1"/>
  <c r="AE364" i="1"/>
  <c r="AD364" i="1"/>
  <c r="AA364" i="1"/>
  <c r="Z364" i="1"/>
  <c r="U364" i="1"/>
  <c r="T364" i="1"/>
  <c r="S364" i="1"/>
  <c r="P364" i="1"/>
  <c r="AQ363" i="1"/>
  <c r="AP363" i="1"/>
  <c r="AM363" i="1"/>
  <c r="AL363" i="1"/>
  <c r="AI363" i="1"/>
  <c r="AH363" i="1"/>
  <c r="AE363" i="1"/>
  <c r="AD363" i="1"/>
  <c r="AA363" i="1"/>
  <c r="Z363" i="1"/>
  <c r="W363" i="1"/>
  <c r="V363" i="1"/>
  <c r="U363" i="1"/>
  <c r="S363" i="1" s="1"/>
  <c r="T363" i="1"/>
  <c r="R363" i="1"/>
  <c r="P363" i="1"/>
  <c r="AQ362" i="1"/>
  <c r="AP362" i="1"/>
  <c r="AM362" i="1"/>
  <c r="AL362" i="1"/>
  <c r="AI362" i="1"/>
  <c r="AH362" i="1"/>
  <c r="AE362" i="1"/>
  <c r="AD362" i="1"/>
  <c r="AA362" i="1"/>
  <c r="Z362" i="1"/>
  <c r="W362" i="1"/>
  <c r="U362" i="1"/>
  <c r="T362" i="1"/>
  <c r="V362" i="1" s="1"/>
  <c r="S362" i="1"/>
  <c r="R362" i="1"/>
  <c r="P362" i="1"/>
  <c r="AQ361" i="1"/>
  <c r="AP361" i="1"/>
  <c r="AM361" i="1"/>
  <c r="AL361" i="1"/>
  <c r="AI361" i="1"/>
  <c r="AH361" i="1"/>
  <c r="AE361" i="1"/>
  <c r="AD361" i="1"/>
  <c r="AA361" i="1"/>
  <c r="Z361" i="1"/>
  <c r="U361" i="1"/>
  <c r="T361" i="1"/>
  <c r="V361" i="1" s="1"/>
  <c r="W361" i="1" s="1"/>
  <c r="S361" i="1"/>
  <c r="R361" i="1"/>
  <c r="P361" i="1"/>
  <c r="AQ360" i="1"/>
  <c r="AP360" i="1"/>
  <c r="AM360" i="1"/>
  <c r="AL360" i="1"/>
  <c r="AI360" i="1"/>
  <c r="AH360" i="1"/>
  <c r="AE360" i="1"/>
  <c r="AD360" i="1"/>
  <c r="AA360" i="1"/>
  <c r="Z360" i="1"/>
  <c r="U360" i="1"/>
  <c r="S360" i="1" s="1"/>
  <c r="T360" i="1"/>
  <c r="P360" i="1"/>
  <c r="AQ359" i="1"/>
  <c r="AP359" i="1"/>
  <c r="AM359" i="1"/>
  <c r="AL359" i="1"/>
  <c r="AI359" i="1"/>
  <c r="AH359" i="1"/>
  <c r="AE359" i="1"/>
  <c r="AD359" i="1"/>
  <c r="AA359" i="1"/>
  <c r="Z359" i="1"/>
  <c r="U359" i="1"/>
  <c r="T359" i="1"/>
  <c r="R359" i="1"/>
  <c r="P359" i="1"/>
  <c r="AQ358" i="1"/>
  <c r="AP358" i="1"/>
  <c r="AM358" i="1"/>
  <c r="AL358" i="1"/>
  <c r="AI358" i="1"/>
  <c r="AH358" i="1"/>
  <c r="AE358" i="1"/>
  <c r="AD358" i="1"/>
  <c r="AA358" i="1"/>
  <c r="Z358" i="1"/>
  <c r="U358" i="1"/>
  <c r="T358" i="1"/>
  <c r="V358" i="1" s="1"/>
  <c r="W358" i="1" s="1"/>
  <c r="S358" i="1"/>
  <c r="R358" i="1"/>
  <c r="P358" i="1"/>
  <c r="AQ357" i="1"/>
  <c r="AP357" i="1"/>
  <c r="AM357" i="1"/>
  <c r="AL357" i="1"/>
  <c r="AI357" i="1"/>
  <c r="AH357" i="1"/>
  <c r="AE357" i="1"/>
  <c r="AD357" i="1"/>
  <c r="AA357" i="1"/>
  <c r="Z357" i="1"/>
  <c r="U357" i="1"/>
  <c r="T357" i="1"/>
  <c r="V357" i="1" s="1"/>
  <c r="W357" i="1" s="1"/>
  <c r="S357" i="1"/>
  <c r="R357" i="1"/>
  <c r="P357" i="1"/>
  <c r="AQ356" i="1"/>
  <c r="AP356" i="1"/>
  <c r="AM356" i="1"/>
  <c r="AL356" i="1"/>
  <c r="AI356" i="1"/>
  <c r="AH356" i="1"/>
  <c r="AE356" i="1"/>
  <c r="AD356" i="1"/>
  <c r="AA356" i="1"/>
  <c r="Z356" i="1"/>
  <c r="U356" i="1"/>
  <c r="T356" i="1"/>
  <c r="S356" i="1"/>
  <c r="P356" i="1"/>
  <c r="AQ355" i="1"/>
  <c r="AP355" i="1"/>
  <c r="AM355" i="1"/>
  <c r="AL355" i="1"/>
  <c r="AI355" i="1"/>
  <c r="AH355" i="1"/>
  <c r="AE355" i="1"/>
  <c r="AD355" i="1"/>
  <c r="AA355" i="1"/>
  <c r="Z355" i="1"/>
  <c r="U355" i="1"/>
  <c r="S355" i="1" s="1"/>
  <c r="T355" i="1"/>
  <c r="R355" i="1"/>
  <c r="P355" i="1"/>
  <c r="AQ354" i="1"/>
  <c r="AP354" i="1"/>
  <c r="AM354" i="1"/>
  <c r="AL354" i="1"/>
  <c r="AI354" i="1"/>
  <c r="AH354" i="1"/>
  <c r="AE354" i="1"/>
  <c r="AD354" i="1"/>
  <c r="AA354" i="1"/>
  <c r="Z354" i="1"/>
  <c r="W354" i="1"/>
  <c r="U354" i="1"/>
  <c r="T354" i="1"/>
  <c r="V354" i="1" s="1"/>
  <c r="S354" i="1"/>
  <c r="R354" i="1"/>
  <c r="P354" i="1"/>
  <c r="AQ353" i="1"/>
  <c r="AP353" i="1"/>
  <c r="AM353" i="1"/>
  <c r="AL353" i="1"/>
  <c r="AI353" i="1"/>
  <c r="AH353" i="1"/>
  <c r="AE353" i="1"/>
  <c r="AD353" i="1"/>
  <c r="AA353" i="1"/>
  <c r="Z353" i="1"/>
  <c r="U353" i="1"/>
  <c r="T353" i="1"/>
  <c r="V353" i="1" s="1"/>
  <c r="W353" i="1" s="1"/>
  <c r="S353" i="1"/>
  <c r="R353" i="1"/>
  <c r="P353" i="1"/>
  <c r="AQ352" i="1"/>
  <c r="AP352" i="1"/>
  <c r="AM352" i="1"/>
  <c r="AL352" i="1"/>
  <c r="AI352" i="1"/>
  <c r="AH352" i="1"/>
  <c r="AE352" i="1"/>
  <c r="AD352" i="1"/>
  <c r="AA352" i="1"/>
  <c r="Z352" i="1"/>
  <c r="U352" i="1"/>
  <c r="S352" i="1" s="1"/>
  <c r="T352" i="1"/>
  <c r="P352" i="1"/>
  <c r="AQ351" i="1"/>
  <c r="AP351" i="1"/>
  <c r="AM351" i="1"/>
  <c r="AL351" i="1"/>
  <c r="AI351" i="1"/>
  <c r="AH351" i="1"/>
  <c r="AE351" i="1"/>
  <c r="AD351" i="1"/>
  <c r="AA351" i="1"/>
  <c r="Z351" i="1"/>
  <c r="V351" i="1"/>
  <c r="W351" i="1" s="1"/>
  <c r="U351" i="1"/>
  <c r="S351" i="1" s="1"/>
  <c r="T351" i="1"/>
  <c r="R351" i="1"/>
  <c r="P351" i="1"/>
  <c r="AQ350" i="1"/>
  <c r="AP350" i="1"/>
  <c r="AM350" i="1"/>
  <c r="AL350" i="1"/>
  <c r="AI350" i="1"/>
  <c r="AH350" i="1"/>
  <c r="AE350" i="1"/>
  <c r="AD350" i="1"/>
  <c r="AA350" i="1"/>
  <c r="Z350" i="1"/>
  <c r="U350" i="1"/>
  <c r="T350" i="1"/>
  <c r="V350" i="1" s="1"/>
  <c r="W350" i="1" s="1"/>
  <c r="S350" i="1"/>
  <c r="R350" i="1"/>
  <c r="P350" i="1"/>
  <c r="AQ349" i="1"/>
  <c r="AP349" i="1"/>
  <c r="AM349" i="1"/>
  <c r="AL349" i="1"/>
  <c r="AI349" i="1"/>
  <c r="AH349" i="1"/>
  <c r="AE349" i="1"/>
  <c r="AD349" i="1"/>
  <c r="AA349" i="1"/>
  <c r="Z349" i="1"/>
  <c r="U349" i="1"/>
  <c r="T349" i="1"/>
  <c r="V349" i="1" s="1"/>
  <c r="W349" i="1" s="1"/>
  <c r="S349" i="1"/>
  <c r="R349" i="1"/>
  <c r="P349" i="1"/>
  <c r="AQ348" i="1"/>
  <c r="AP348" i="1"/>
  <c r="AM348" i="1"/>
  <c r="AL348" i="1"/>
  <c r="AI348" i="1"/>
  <c r="AH348" i="1"/>
  <c r="AE348" i="1"/>
  <c r="AD348" i="1"/>
  <c r="AA348" i="1"/>
  <c r="Z348" i="1"/>
  <c r="U348" i="1"/>
  <c r="T348" i="1"/>
  <c r="S348" i="1"/>
  <c r="P348" i="1"/>
  <c r="AQ347" i="1"/>
  <c r="AP347" i="1"/>
  <c r="AM347" i="1"/>
  <c r="AL347" i="1"/>
  <c r="AI347" i="1"/>
  <c r="AH347" i="1"/>
  <c r="AE347" i="1"/>
  <c r="AD347" i="1"/>
  <c r="AA347" i="1"/>
  <c r="Z347" i="1"/>
  <c r="U347" i="1"/>
  <c r="S347" i="1" s="1"/>
  <c r="T347" i="1"/>
  <c r="R347" i="1"/>
  <c r="P347" i="1"/>
  <c r="AQ346" i="1"/>
  <c r="AP346" i="1"/>
  <c r="AM346" i="1"/>
  <c r="AL346" i="1"/>
  <c r="AI346" i="1"/>
  <c r="AH346" i="1"/>
  <c r="AE346" i="1"/>
  <c r="AD346" i="1"/>
  <c r="AA346" i="1"/>
  <c r="Z346" i="1"/>
  <c r="W346" i="1"/>
  <c r="U346" i="1"/>
  <c r="T346" i="1"/>
  <c r="V346" i="1" s="1"/>
  <c r="S346" i="1"/>
  <c r="R346" i="1"/>
  <c r="P346" i="1"/>
  <c r="AQ345" i="1"/>
  <c r="AP345" i="1"/>
  <c r="AM345" i="1"/>
  <c r="AL345" i="1"/>
  <c r="AI345" i="1"/>
  <c r="AH345" i="1"/>
  <c r="AE345" i="1"/>
  <c r="AD345" i="1"/>
  <c r="AA345" i="1"/>
  <c r="Z345" i="1"/>
  <c r="U345" i="1"/>
  <c r="T345" i="1"/>
  <c r="V345" i="1" s="1"/>
  <c r="W345" i="1" s="1"/>
  <c r="S345" i="1"/>
  <c r="R345" i="1"/>
  <c r="P345" i="1"/>
  <c r="AQ344" i="1"/>
  <c r="AP344" i="1"/>
  <c r="AM344" i="1"/>
  <c r="AL344" i="1"/>
  <c r="AI344" i="1"/>
  <c r="AH344" i="1"/>
  <c r="AE344" i="1"/>
  <c r="AD344" i="1"/>
  <c r="AA344" i="1"/>
  <c r="Z344" i="1"/>
  <c r="U344" i="1"/>
  <c r="S344" i="1" s="1"/>
  <c r="T344" i="1"/>
  <c r="P344" i="1"/>
  <c r="AQ343" i="1"/>
  <c r="AP343" i="1"/>
  <c r="AM343" i="1"/>
  <c r="AL343" i="1"/>
  <c r="AI343" i="1"/>
  <c r="AH343" i="1"/>
  <c r="AE343" i="1"/>
  <c r="AD343" i="1"/>
  <c r="AA343" i="1"/>
  <c r="Z343" i="1"/>
  <c r="U343" i="1"/>
  <c r="T343" i="1"/>
  <c r="R343" i="1"/>
  <c r="P343" i="1"/>
  <c r="AQ342" i="1"/>
  <c r="AP342" i="1"/>
  <c r="AM342" i="1"/>
  <c r="AL342" i="1"/>
  <c r="AI342" i="1"/>
  <c r="AH342" i="1"/>
  <c r="AE342" i="1"/>
  <c r="AD342" i="1"/>
  <c r="AA342" i="1"/>
  <c r="Z342" i="1"/>
  <c r="U342" i="1"/>
  <c r="T342" i="1"/>
  <c r="V342" i="1" s="1"/>
  <c r="W342" i="1" s="1"/>
  <c r="S342" i="1"/>
  <c r="R342" i="1"/>
  <c r="P342" i="1"/>
  <c r="AQ341" i="1"/>
  <c r="AP341" i="1"/>
  <c r="AM341" i="1"/>
  <c r="AL341" i="1"/>
  <c r="AI341" i="1"/>
  <c r="AH341" i="1"/>
  <c r="AE341" i="1"/>
  <c r="AD341" i="1"/>
  <c r="AA341" i="1"/>
  <c r="Z341" i="1"/>
  <c r="U341" i="1"/>
  <c r="T341" i="1"/>
  <c r="V341" i="1" s="1"/>
  <c r="W341" i="1" s="1"/>
  <c r="S341" i="1"/>
  <c r="R341" i="1"/>
  <c r="P341" i="1"/>
  <c r="AQ340" i="1"/>
  <c r="AP340" i="1"/>
  <c r="AM340" i="1"/>
  <c r="AL340" i="1"/>
  <c r="AI340" i="1"/>
  <c r="AH340" i="1"/>
  <c r="AE340" i="1"/>
  <c r="AD340" i="1"/>
  <c r="AA340" i="1"/>
  <c r="Z340" i="1"/>
  <c r="U340" i="1"/>
  <c r="T340" i="1"/>
  <c r="S340" i="1"/>
  <c r="P340" i="1"/>
  <c r="AQ339" i="1"/>
  <c r="AP339" i="1"/>
  <c r="AM339" i="1"/>
  <c r="AL339" i="1"/>
  <c r="AI339" i="1"/>
  <c r="AH339" i="1"/>
  <c r="AE339" i="1"/>
  <c r="AD339" i="1"/>
  <c r="AA339" i="1"/>
  <c r="Z339" i="1"/>
  <c r="U339" i="1"/>
  <c r="S339" i="1" s="1"/>
  <c r="T339" i="1"/>
  <c r="R339" i="1"/>
  <c r="P339" i="1"/>
  <c r="AQ338" i="1"/>
  <c r="AP338" i="1"/>
  <c r="AM338" i="1"/>
  <c r="AL338" i="1"/>
  <c r="AI338" i="1"/>
  <c r="AH338" i="1"/>
  <c r="AE338" i="1"/>
  <c r="AD338" i="1"/>
  <c r="AA338" i="1"/>
  <c r="Z338" i="1"/>
  <c r="W338" i="1"/>
  <c r="U338" i="1"/>
  <c r="T338" i="1"/>
  <c r="V338" i="1" s="1"/>
  <c r="S338" i="1"/>
  <c r="R338" i="1"/>
  <c r="P338" i="1"/>
  <c r="AQ337" i="1"/>
  <c r="AP337" i="1"/>
  <c r="AM337" i="1"/>
  <c r="AL337" i="1"/>
  <c r="AI337" i="1"/>
  <c r="AH337" i="1"/>
  <c r="AE337" i="1"/>
  <c r="AD337" i="1"/>
  <c r="AA337" i="1"/>
  <c r="Z337" i="1"/>
  <c r="U337" i="1"/>
  <c r="T337" i="1"/>
  <c r="V337" i="1" s="1"/>
  <c r="W337" i="1" s="1"/>
  <c r="S337" i="1"/>
  <c r="R337" i="1"/>
  <c r="P337" i="1"/>
  <c r="AQ336" i="1"/>
  <c r="AP336" i="1"/>
  <c r="AM336" i="1"/>
  <c r="AL336" i="1"/>
  <c r="AI336" i="1"/>
  <c r="AH336" i="1"/>
  <c r="AE336" i="1"/>
  <c r="AD336" i="1"/>
  <c r="AA336" i="1"/>
  <c r="Z336" i="1"/>
  <c r="U336" i="1"/>
  <c r="S336" i="1" s="1"/>
  <c r="T336" i="1"/>
  <c r="P336" i="1"/>
  <c r="AQ335" i="1"/>
  <c r="AP335" i="1"/>
  <c r="AM335" i="1"/>
  <c r="AL335" i="1"/>
  <c r="AI335" i="1"/>
  <c r="AH335" i="1"/>
  <c r="AE335" i="1"/>
  <c r="AD335" i="1"/>
  <c r="AA335" i="1"/>
  <c r="Z335" i="1"/>
  <c r="V335" i="1"/>
  <c r="W335" i="1" s="1"/>
  <c r="U335" i="1"/>
  <c r="S335" i="1" s="1"/>
  <c r="T335" i="1"/>
  <c r="R335" i="1"/>
  <c r="P335" i="1"/>
  <c r="AQ334" i="1"/>
  <c r="AP334" i="1"/>
  <c r="AM334" i="1"/>
  <c r="AL334" i="1"/>
  <c r="AI334" i="1"/>
  <c r="AH334" i="1"/>
  <c r="AE334" i="1"/>
  <c r="AD334" i="1"/>
  <c r="AA334" i="1"/>
  <c r="Z334" i="1"/>
  <c r="U334" i="1"/>
  <c r="T334" i="1"/>
  <c r="V334" i="1" s="1"/>
  <c r="W334" i="1" s="1"/>
  <c r="S334" i="1"/>
  <c r="R334" i="1"/>
  <c r="P334" i="1"/>
  <c r="AQ333" i="1"/>
  <c r="AP333" i="1"/>
  <c r="AM333" i="1"/>
  <c r="AL333" i="1"/>
  <c r="AI333" i="1"/>
  <c r="AH333" i="1"/>
  <c r="AE333" i="1"/>
  <c r="AD333" i="1"/>
  <c r="AA333" i="1"/>
  <c r="Z333" i="1"/>
  <c r="U333" i="1"/>
  <c r="T333" i="1"/>
  <c r="V333" i="1" s="1"/>
  <c r="W333" i="1" s="1"/>
  <c r="S333" i="1"/>
  <c r="R333" i="1"/>
  <c r="P333" i="1"/>
  <c r="AQ332" i="1"/>
  <c r="AP332" i="1"/>
  <c r="AM332" i="1"/>
  <c r="AL332" i="1"/>
  <c r="AI332" i="1"/>
  <c r="AH332" i="1"/>
  <c r="AE332" i="1"/>
  <c r="AD332" i="1"/>
  <c r="AA332" i="1"/>
  <c r="Z332" i="1"/>
  <c r="U332" i="1"/>
  <c r="T332" i="1"/>
  <c r="S332" i="1"/>
  <c r="P332" i="1"/>
  <c r="AQ331" i="1"/>
  <c r="AP331" i="1"/>
  <c r="AM331" i="1"/>
  <c r="AL331" i="1"/>
  <c r="AI331" i="1"/>
  <c r="AH331" i="1"/>
  <c r="AE331" i="1"/>
  <c r="AD331" i="1"/>
  <c r="AA331" i="1"/>
  <c r="Z331" i="1"/>
  <c r="U331" i="1"/>
  <c r="S331" i="1" s="1"/>
  <c r="T331" i="1"/>
  <c r="R331" i="1"/>
  <c r="P331" i="1"/>
  <c r="AQ330" i="1"/>
  <c r="AP330" i="1"/>
  <c r="AM330" i="1"/>
  <c r="AL330" i="1"/>
  <c r="AI330" i="1"/>
  <c r="AH330" i="1"/>
  <c r="AE330" i="1"/>
  <c r="AD330" i="1"/>
  <c r="AA330" i="1"/>
  <c r="Z330" i="1"/>
  <c r="W330" i="1"/>
  <c r="U330" i="1"/>
  <c r="T330" i="1"/>
  <c r="V330" i="1" s="1"/>
  <c r="S330" i="1"/>
  <c r="R330" i="1"/>
  <c r="P330" i="1"/>
  <c r="AQ329" i="1"/>
  <c r="AP329" i="1"/>
  <c r="AM329" i="1"/>
  <c r="AL329" i="1"/>
  <c r="AI329" i="1"/>
  <c r="AH329" i="1"/>
  <c r="AE329" i="1"/>
  <c r="AD329" i="1"/>
  <c r="AA329" i="1"/>
  <c r="Z329" i="1"/>
  <c r="U329" i="1"/>
  <c r="T329" i="1"/>
  <c r="V329" i="1" s="1"/>
  <c r="W329" i="1" s="1"/>
  <c r="S329" i="1"/>
  <c r="R329" i="1"/>
  <c r="P329" i="1"/>
  <c r="AQ328" i="1"/>
  <c r="AP328" i="1"/>
  <c r="AM328" i="1"/>
  <c r="AL328" i="1"/>
  <c r="AI328" i="1"/>
  <c r="AH328" i="1"/>
  <c r="AE328" i="1"/>
  <c r="AD328" i="1"/>
  <c r="AA328" i="1"/>
  <c r="Z328" i="1"/>
  <c r="U328" i="1"/>
  <c r="S328" i="1" s="1"/>
  <c r="T328" i="1"/>
  <c r="P328" i="1"/>
  <c r="AQ327" i="1"/>
  <c r="AP327" i="1"/>
  <c r="AM327" i="1"/>
  <c r="AL327" i="1"/>
  <c r="AI327" i="1"/>
  <c r="AH327" i="1"/>
  <c r="AE327" i="1"/>
  <c r="AD327" i="1"/>
  <c r="AA327" i="1"/>
  <c r="Z327" i="1"/>
  <c r="U327" i="1"/>
  <c r="T327" i="1"/>
  <c r="R327" i="1"/>
  <c r="P327" i="1"/>
  <c r="AQ326" i="1"/>
  <c r="AP326" i="1"/>
  <c r="AM326" i="1"/>
  <c r="AL326" i="1"/>
  <c r="AH326" i="1"/>
  <c r="AG326" i="1"/>
  <c r="U326" i="1" s="1"/>
  <c r="S326" i="1" s="1"/>
  <c r="AE326" i="1"/>
  <c r="AD326" i="1"/>
  <c r="AA326" i="1"/>
  <c r="Z326" i="1"/>
  <c r="T326" i="1"/>
  <c r="R326" i="1"/>
  <c r="P326" i="1"/>
  <c r="AQ325" i="1"/>
  <c r="AP325" i="1"/>
  <c r="AM325" i="1"/>
  <c r="AL325" i="1"/>
  <c r="AI325" i="1"/>
  <c r="AH325" i="1"/>
  <c r="AE325" i="1"/>
  <c r="AD325" i="1"/>
  <c r="AA325" i="1"/>
  <c r="Z325" i="1"/>
  <c r="U325" i="1"/>
  <c r="T325" i="1"/>
  <c r="V325" i="1" s="1"/>
  <c r="W325" i="1" s="1"/>
  <c r="S325" i="1"/>
  <c r="P325" i="1"/>
  <c r="AQ324" i="1"/>
  <c r="AP324" i="1"/>
  <c r="AM324" i="1"/>
  <c r="AL324" i="1"/>
  <c r="AI324" i="1"/>
  <c r="AH324" i="1"/>
  <c r="AE324" i="1"/>
  <c r="AD324" i="1"/>
  <c r="AA324" i="1"/>
  <c r="Z324" i="1"/>
  <c r="V324" i="1"/>
  <c r="W324" i="1" s="1"/>
  <c r="U324" i="1"/>
  <c r="S324" i="1" s="1"/>
  <c r="T324" i="1"/>
  <c r="R324" i="1" s="1"/>
  <c r="P324" i="1"/>
  <c r="AQ323" i="1"/>
  <c r="AP323" i="1"/>
  <c r="AM323" i="1"/>
  <c r="AL323" i="1"/>
  <c r="AI323" i="1"/>
  <c r="AH323" i="1"/>
  <c r="AE323" i="1"/>
  <c r="AD323" i="1"/>
  <c r="AA323" i="1"/>
  <c r="Z323" i="1"/>
  <c r="V323" i="1"/>
  <c r="W323" i="1" s="1"/>
  <c r="U323" i="1"/>
  <c r="T323" i="1"/>
  <c r="S323" i="1"/>
  <c r="R323" i="1"/>
  <c r="P323" i="1"/>
  <c r="AQ322" i="1"/>
  <c r="AP322" i="1"/>
  <c r="AM322" i="1"/>
  <c r="AL322" i="1"/>
  <c r="AI322" i="1"/>
  <c r="AH322" i="1"/>
  <c r="AE322" i="1"/>
  <c r="AD322" i="1"/>
  <c r="AA322" i="1"/>
  <c r="Z322" i="1"/>
  <c r="U322" i="1"/>
  <c r="T322" i="1"/>
  <c r="V322" i="1" s="1"/>
  <c r="W322" i="1" s="1"/>
  <c r="S322" i="1"/>
  <c r="R322" i="1"/>
  <c r="P322" i="1"/>
  <c r="AQ321" i="1"/>
  <c r="AP321" i="1"/>
  <c r="AM321" i="1"/>
  <c r="AL321" i="1"/>
  <c r="AI321" i="1"/>
  <c r="AH321" i="1"/>
  <c r="AE321" i="1"/>
  <c r="AD321" i="1"/>
  <c r="AA321" i="1"/>
  <c r="Z321" i="1"/>
  <c r="U321" i="1"/>
  <c r="T321" i="1"/>
  <c r="V321" i="1" s="1"/>
  <c r="W321" i="1" s="1"/>
  <c r="S321" i="1"/>
  <c r="P321" i="1"/>
  <c r="AQ320" i="1"/>
  <c r="AP320" i="1"/>
  <c r="AM320" i="1"/>
  <c r="AL320" i="1"/>
  <c r="AI320" i="1"/>
  <c r="AH320" i="1"/>
  <c r="AE320" i="1"/>
  <c r="AD320" i="1"/>
  <c r="AA320" i="1"/>
  <c r="Z320" i="1"/>
  <c r="U320" i="1"/>
  <c r="S320" i="1" s="1"/>
  <c r="T320" i="1"/>
  <c r="R320" i="1" s="1"/>
  <c r="P320" i="1"/>
  <c r="AQ319" i="1"/>
  <c r="AP319" i="1"/>
  <c r="AM319" i="1"/>
  <c r="AL319" i="1"/>
  <c r="AI319" i="1"/>
  <c r="AH319" i="1"/>
  <c r="AE319" i="1"/>
  <c r="AD319" i="1"/>
  <c r="AA319" i="1"/>
  <c r="Z319" i="1"/>
  <c r="W319" i="1"/>
  <c r="V319" i="1"/>
  <c r="U319" i="1"/>
  <c r="T319" i="1"/>
  <c r="S319" i="1"/>
  <c r="R319" i="1"/>
  <c r="P319" i="1"/>
  <c r="AQ318" i="1"/>
  <c r="AP318" i="1"/>
  <c r="AM318" i="1"/>
  <c r="AL318" i="1"/>
  <c r="AI318" i="1"/>
  <c r="AH318" i="1"/>
  <c r="AE318" i="1"/>
  <c r="AD318" i="1"/>
  <c r="AA318" i="1"/>
  <c r="Z318" i="1"/>
  <c r="U318" i="1"/>
  <c r="T318" i="1"/>
  <c r="V318" i="1" s="1"/>
  <c r="W318" i="1" s="1"/>
  <c r="S318" i="1"/>
  <c r="R318" i="1"/>
  <c r="P318" i="1"/>
  <c r="A318" i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I389" i="1" s="1"/>
  <c r="AQ317" i="1"/>
  <c r="AP317" i="1"/>
  <c r="AM317" i="1"/>
  <c r="AL317" i="1"/>
  <c r="AI317" i="1"/>
  <c r="AH317" i="1"/>
  <c r="AE317" i="1"/>
  <c r="AD317" i="1"/>
  <c r="AA317" i="1"/>
  <c r="Z317" i="1"/>
  <c r="U317" i="1"/>
  <c r="T317" i="1"/>
  <c r="V317" i="1" s="1"/>
  <c r="W317" i="1" s="1"/>
  <c r="S317" i="1"/>
  <c r="P317" i="1"/>
  <c r="AQ316" i="1"/>
  <c r="AP316" i="1"/>
  <c r="AM316" i="1"/>
  <c r="AL316" i="1"/>
  <c r="AI316" i="1"/>
  <c r="AH316" i="1"/>
  <c r="AE316" i="1"/>
  <c r="AD316" i="1"/>
  <c r="AA316" i="1"/>
  <c r="Z316" i="1"/>
  <c r="U316" i="1"/>
  <c r="S316" i="1" s="1"/>
  <c r="T316" i="1"/>
  <c r="R316" i="1" s="1"/>
  <c r="P316" i="1"/>
  <c r="AQ315" i="1"/>
  <c r="AP315" i="1"/>
  <c r="AM315" i="1"/>
  <c r="AL315" i="1"/>
  <c r="AI315" i="1"/>
  <c r="AH315" i="1"/>
  <c r="AE315" i="1"/>
  <c r="AD315" i="1"/>
  <c r="AA315" i="1"/>
  <c r="Z315" i="1"/>
  <c r="V315" i="1"/>
  <c r="W315" i="1" s="1"/>
  <c r="U315" i="1"/>
  <c r="T315" i="1"/>
  <c r="S315" i="1"/>
  <c r="R315" i="1"/>
  <c r="P315" i="1"/>
  <c r="AQ314" i="1"/>
  <c r="AP314" i="1"/>
  <c r="AM314" i="1"/>
  <c r="AL314" i="1"/>
  <c r="AI314" i="1"/>
  <c r="AH314" i="1"/>
  <c r="AE314" i="1"/>
  <c r="AD314" i="1"/>
  <c r="AA314" i="1"/>
  <c r="Z314" i="1"/>
  <c r="U314" i="1"/>
  <c r="T314" i="1"/>
  <c r="V314" i="1" s="1"/>
  <c r="W314" i="1" s="1"/>
  <c r="S314" i="1"/>
  <c r="R314" i="1"/>
  <c r="P314" i="1"/>
  <c r="AQ313" i="1"/>
  <c r="AP313" i="1"/>
  <c r="AM313" i="1"/>
  <c r="AL313" i="1"/>
  <c r="AI313" i="1"/>
  <c r="AH313" i="1"/>
  <c r="AE313" i="1"/>
  <c r="AD313" i="1"/>
  <c r="AA313" i="1"/>
  <c r="Z313" i="1"/>
  <c r="U313" i="1"/>
  <c r="T313" i="1"/>
  <c r="V313" i="1" s="1"/>
  <c r="W313" i="1" s="1"/>
  <c r="S313" i="1"/>
  <c r="R313" i="1"/>
  <c r="P313" i="1"/>
  <c r="AQ312" i="1"/>
  <c r="AP312" i="1"/>
  <c r="AM312" i="1"/>
  <c r="AL312" i="1"/>
  <c r="AI312" i="1"/>
  <c r="AH312" i="1"/>
  <c r="AE312" i="1"/>
  <c r="AD312" i="1"/>
  <c r="AA312" i="1"/>
  <c r="Z312" i="1"/>
  <c r="V312" i="1"/>
  <c r="W312" i="1" s="1"/>
  <c r="U312" i="1"/>
  <c r="S312" i="1" s="1"/>
  <c r="T312" i="1"/>
  <c r="R312" i="1" s="1"/>
  <c r="P312" i="1"/>
  <c r="AQ311" i="1"/>
  <c r="AP311" i="1"/>
  <c r="AM311" i="1"/>
  <c r="AL311" i="1"/>
  <c r="AI311" i="1"/>
  <c r="AH311" i="1"/>
  <c r="AE311" i="1"/>
  <c r="AD311" i="1"/>
  <c r="AA311" i="1"/>
  <c r="Z311" i="1"/>
  <c r="W311" i="1"/>
  <c r="V311" i="1"/>
  <c r="U311" i="1"/>
  <c r="T311" i="1"/>
  <c r="S311" i="1"/>
  <c r="R311" i="1"/>
  <c r="P311" i="1"/>
  <c r="AQ310" i="1"/>
  <c r="AP310" i="1"/>
  <c r="AM310" i="1"/>
  <c r="AL310" i="1"/>
  <c r="AI310" i="1"/>
  <c r="AH310" i="1"/>
  <c r="AE310" i="1"/>
  <c r="AD310" i="1"/>
  <c r="AA310" i="1"/>
  <c r="Z310" i="1"/>
  <c r="U310" i="1"/>
  <c r="T310" i="1"/>
  <c r="V310" i="1" s="1"/>
  <c r="W310" i="1" s="1"/>
  <c r="S310" i="1"/>
  <c r="R310" i="1"/>
  <c r="P310" i="1"/>
  <c r="AQ309" i="1"/>
  <c r="AP309" i="1"/>
  <c r="AM309" i="1"/>
  <c r="AL309" i="1"/>
  <c r="AI309" i="1"/>
  <c r="AH309" i="1"/>
  <c r="AE309" i="1"/>
  <c r="AD309" i="1"/>
  <c r="AA309" i="1"/>
  <c r="Z309" i="1"/>
  <c r="U309" i="1"/>
  <c r="T309" i="1"/>
  <c r="V309" i="1" s="1"/>
  <c r="W309" i="1" s="1"/>
  <c r="S309" i="1"/>
  <c r="R309" i="1"/>
  <c r="P309" i="1"/>
  <c r="AQ308" i="1"/>
  <c r="AM308" i="1"/>
  <c r="AL308" i="1"/>
  <c r="AI308" i="1"/>
  <c r="AH308" i="1"/>
  <c r="AA308" i="1"/>
  <c r="V308" i="1"/>
  <c r="W308" i="1" s="1"/>
  <c r="U308" i="1"/>
  <c r="S308" i="1" s="1"/>
  <c r="T308" i="1"/>
  <c r="R308" i="1" s="1"/>
  <c r="P308" i="1"/>
  <c r="O308" i="1"/>
  <c r="AP308" i="1" s="1"/>
  <c r="AQ307" i="1"/>
  <c r="AM307" i="1"/>
  <c r="AA307" i="1"/>
  <c r="Z307" i="1"/>
  <c r="U307" i="1"/>
  <c r="T307" i="1"/>
  <c r="V307" i="1" s="1"/>
  <c r="P307" i="1"/>
  <c r="O307" i="1"/>
  <c r="W307" i="1" s="1"/>
  <c r="AM306" i="1"/>
  <c r="AL306" i="1"/>
  <c r="AI306" i="1"/>
  <c r="AH306" i="1"/>
  <c r="AE306" i="1"/>
  <c r="AD306" i="1"/>
  <c r="U306" i="1"/>
  <c r="T306" i="1"/>
  <c r="V306" i="1" s="1"/>
  <c r="W306" i="1" s="1"/>
  <c r="S306" i="1"/>
  <c r="O306" i="1"/>
  <c r="AQ306" i="1" s="1"/>
  <c r="AQ305" i="1"/>
  <c r="AP305" i="1"/>
  <c r="AM305" i="1"/>
  <c r="AL305" i="1"/>
  <c r="AI305" i="1"/>
  <c r="AH305" i="1"/>
  <c r="AE305" i="1"/>
  <c r="AD305" i="1"/>
  <c r="AA305" i="1"/>
  <c r="Z305" i="1"/>
  <c r="U305" i="1"/>
  <c r="S305" i="1" s="1"/>
  <c r="T305" i="1"/>
  <c r="R305" i="1"/>
  <c r="P305" i="1"/>
  <c r="AQ304" i="1"/>
  <c r="AP304" i="1"/>
  <c r="AM304" i="1"/>
  <c r="AL304" i="1"/>
  <c r="AI304" i="1"/>
  <c r="AH304" i="1"/>
  <c r="AE304" i="1"/>
  <c r="AD304" i="1"/>
  <c r="AA304" i="1"/>
  <c r="Z304" i="1"/>
  <c r="W304" i="1"/>
  <c r="U304" i="1"/>
  <c r="T304" i="1"/>
  <c r="V304" i="1" s="1"/>
  <c r="S304" i="1"/>
  <c r="R304" i="1"/>
  <c r="P304" i="1"/>
  <c r="AQ303" i="1"/>
  <c r="AP303" i="1"/>
  <c r="AM303" i="1"/>
  <c r="AL303" i="1"/>
  <c r="AI303" i="1"/>
  <c r="AH303" i="1"/>
  <c r="AE303" i="1"/>
  <c r="AD303" i="1"/>
  <c r="AA303" i="1"/>
  <c r="Z303" i="1"/>
  <c r="U303" i="1"/>
  <c r="T303" i="1"/>
  <c r="V303" i="1" s="1"/>
  <c r="W303" i="1" s="1"/>
  <c r="S303" i="1"/>
  <c r="R303" i="1"/>
  <c r="P303" i="1"/>
  <c r="AQ302" i="1"/>
  <c r="AP302" i="1"/>
  <c r="AM302" i="1"/>
  <c r="AL302" i="1"/>
  <c r="AI302" i="1"/>
  <c r="AH302" i="1"/>
  <c r="AE302" i="1"/>
  <c r="AD302" i="1"/>
  <c r="AA302" i="1"/>
  <c r="Z302" i="1"/>
  <c r="U302" i="1"/>
  <c r="S302" i="1" s="1"/>
  <c r="T302" i="1"/>
  <c r="P302" i="1"/>
  <c r="AQ301" i="1"/>
  <c r="AP301" i="1"/>
  <c r="AM301" i="1"/>
  <c r="AL301" i="1"/>
  <c r="AI301" i="1"/>
  <c r="AH301" i="1"/>
  <c r="AE301" i="1"/>
  <c r="AD301" i="1"/>
  <c r="AA301" i="1"/>
  <c r="Z301" i="1"/>
  <c r="U301" i="1"/>
  <c r="T301" i="1"/>
  <c r="R301" i="1"/>
  <c r="P301" i="1"/>
  <c r="AQ300" i="1"/>
  <c r="AP300" i="1"/>
  <c r="AM300" i="1"/>
  <c r="AL300" i="1"/>
  <c r="AI300" i="1"/>
  <c r="AH300" i="1"/>
  <c r="AE300" i="1"/>
  <c r="AD300" i="1"/>
  <c r="AA300" i="1"/>
  <c r="Z300" i="1"/>
  <c r="U300" i="1"/>
  <c r="T300" i="1"/>
  <c r="V300" i="1" s="1"/>
  <c r="W300" i="1" s="1"/>
  <c r="S300" i="1"/>
  <c r="R300" i="1"/>
  <c r="P300" i="1"/>
  <c r="AQ299" i="1"/>
  <c r="AP299" i="1"/>
  <c r="AM299" i="1"/>
  <c r="AL299" i="1"/>
  <c r="AI299" i="1"/>
  <c r="AH299" i="1"/>
  <c r="AE299" i="1"/>
  <c r="AD299" i="1"/>
  <c r="AA299" i="1"/>
  <c r="Z299" i="1"/>
  <c r="U299" i="1"/>
  <c r="T299" i="1"/>
  <c r="V299" i="1" s="1"/>
  <c r="W299" i="1" s="1"/>
  <c r="S299" i="1"/>
  <c r="R299" i="1"/>
  <c r="P299" i="1"/>
  <c r="AQ298" i="1"/>
  <c r="AP298" i="1"/>
  <c r="AM298" i="1"/>
  <c r="AL298" i="1"/>
  <c r="AI298" i="1"/>
  <c r="AH298" i="1"/>
  <c r="AE298" i="1"/>
  <c r="AD298" i="1"/>
  <c r="AA298" i="1"/>
  <c r="Z298" i="1"/>
  <c r="U298" i="1"/>
  <c r="T298" i="1"/>
  <c r="S298" i="1"/>
  <c r="P298" i="1"/>
  <c r="AQ297" i="1"/>
  <c r="AP297" i="1"/>
  <c r="AM297" i="1"/>
  <c r="AL297" i="1"/>
  <c r="AI297" i="1"/>
  <c r="AH297" i="1"/>
  <c r="AE297" i="1"/>
  <c r="AD297" i="1"/>
  <c r="AA297" i="1"/>
  <c r="Z297" i="1"/>
  <c r="U297" i="1"/>
  <c r="S297" i="1" s="1"/>
  <c r="T297" i="1"/>
  <c r="R297" i="1"/>
  <c r="P297" i="1"/>
  <c r="A297" i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Q296" i="1"/>
  <c r="AP296" i="1"/>
  <c r="AM296" i="1"/>
  <c r="AL296" i="1"/>
  <c r="AI296" i="1"/>
  <c r="AH296" i="1"/>
  <c r="AE296" i="1"/>
  <c r="AD296" i="1"/>
  <c r="AA296" i="1"/>
  <c r="Z296" i="1"/>
  <c r="W296" i="1"/>
  <c r="U296" i="1"/>
  <c r="T296" i="1"/>
  <c r="R296" i="1" s="1"/>
  <c r="S296" i="1"/>
  <c r="P296" i="1"/>
  <c r="AQ295" i="1"/>
  <c r="AP295" i="1"/>
  <c r="AM295" i="1"/>
  <c r="AL295" i="1"/>
  <c r="AI295" i="1"/>
  <c r="AH295" i="1"/>
  <c r="AE295" i="1"/>
  <c r="AD295" i="1"/>
  <c r="AA295" i="1"/>
  <c r="Z295" i="1"/>
  <c r="W295" i="1"/>
  <c r="U295" i="1"/>
  <c r="S295" i="1" s="1"/>
  <c r="T295" i="1"/>
  <c r="R295" i="1"/>
  <c r="P295" i="1"/>
  <c r="AQ294" i="1"/>
  <c r="AP294" i="1"/>
  <c r="AM294" i="1"/>
  <c r="AL294" i="1"/>
  <c r="AI294" i="1"/>
  <c r="AH294" i="1"/>
  <c r="AE294" i="1"/>
  <c r="AD294" i="1"/>
  <c r="AA294" i="1"/>
  <c r="Z294" i="1"/>
  <c r="U294" i="1"/>
  <c r="T294" i="1"/>
  <c r="V294" i="1" s="1"/>
  <c r="W294" i="1" s="1"/>
  <c r="S294" i="1"/>
  <c r="R294" i="1"/>
  <c r="P294" i="1"/>
  <c r="AQ293" i="1"/>
  <c r="AP293" i="1"/>
  <c r="AM293" i="1"/>
  <c r="AL293" i="1"/>
  <c r="AI293" i="1"/>
  <c r="AH293" i="1"/>
  <c r="AE293" i="1"/>
  <c r="AD293" i="1"/>
  <c r="AA293" i="1"/>
  <c r="Z293" i="1"/>
  <c r="U293" i="1"/>
  <c r="S293" i="1" s="1"/>
  <c r="T293" i="1"/>
  <c r="P293" i="1"/>
  <c r="AQ292" i="1"/>
  <c r="AP292" i="1"/>
  <c r="AM292" i="1"/>
  <c r="AL292" i="1"/>
  <c r="AI292" i="1"/>
  <c r="AH292" i="1"/>
  <c r="AE292" i="1"/>
  <c r="AD292" i="1"/>
  <c r="AA292" i="1"/>
  <c r="Z292" i="1"/>
  <c r="V292" i="1"/>
  <c r="W292" i="1" s="1"/>
  <c r="U292" i="1"/>
  <c r="S292" i="1" s="1"/>
  <c r="T292" i="1"/>
  <c r="R292" i="1"/>
  <c r="P292" i="1"/>
  <c r="AQ291" i="1"/>
  <c r="AP291" i="1"/>
  <c r="AM291" i="1"/>
  <c r="AL291" i="1"/>
  <c r="AI291" i="1"/>
  <c r="AH291" i="1"/>
  <c r="AE291" i="1"/>
  <c r="AD291" i="1"/>
  <c r="AA291" i="1"/>
  <c r="Z291" i="1"/>
  <c r="W291" i="1"/>
  <c r="U291" i="1"/>
  <c r="S291" i="1" s="1"/>
  <c r="T291" i="1"/>
  <c r="V291" i="1" s="1"/>
  <c r="R291" i="1"/>
  <c r="P291" i="1"/>
  <c r="AQ290" i="1"/>
  <c r="AP290" i="1"/>
  <c r="AM290" i="1"/>
  <c r="AL290" i="1"/>
  <c r="AI290" i="1"/>
  <c r="AH290" i="1"/>
  <c r="AE290" i="1"/>
  <c r="AD290" i="1"/>
  <c r="AA290" i="1"/>
  <c r="Z290" i="1"/>
  <c r="U290" i="1"/>
  <c r="T290" i="1"/>
  <c r="V290" i="1" s="1"/>
  <c r="W290" i="1" s="1"/>
  <c r="S290" i="1"/>
  <c r="R290" i="1"/>
  <c r="P290" i="1"/>
  <c r="AQ289" i="1"/>
  <c r="AP289" i="1"/>
  <c r="AM289" i="1"/>
  <c r="AL289" i="1"/>
  <c r="AI289" i="1"/>
  <c r="AH289" i="1"/>
  <c r="AE289" i="1"/>
  <c r="AD289" i="1"/>
  <c r="AA289" i="1"/>
  <c r="Z289" i="1"/>
  <c r="U289" i="1"/>
  <c r="T289" i="1"/>
  <c r="S289" i="1"/>
  <c r="P289" i="1"/>
  <c r="AQ288" i="1"/>
  <c r="AP288" i="1"/>
  <c r="AM288" i="1"/>
  <c r="AL288" i="1"/>
  <c r="AI288" i="1"/>
  <c r="AH288" i="1"/>
  <c r="AE288" i="1"/>
  <c r="AD288" i="1"/>
  <c r="AA288" i="1"/>
  <c r="Z288" i="1"/>
  <c r="V288" i="1"/>
  <c r="W288" i="1" s="1"/>
  <c r="U288" i="1"/>
  <c r="S288" i="1" s="1"/>
  <c r="T288" i="1"/>
  <c r="R288" i="1"/>
  <c r="P288" i="1"/>
  <c r="AQ287" i="1"/>
  <c r="AP287" i="1"/>
  <c r="AM287" i="1"/>
  <c r="AL287" i="1"/>
  <c r="AI287" i="1"/>
  <c r="AH287" i="1"/>
  <c r="AE287" i="1"/>
  <c r="AD287" i="1"/>
  <c r="AA287" i="1"/>
  <c r="Z287" i="1"/>
  <c r="U287" i="1"/>
  <c r="S287" i="1" s="1"/>
  <c r="T287" i="1"/>
  <c r="R287" i="1" s="1"/>
  <c r="P287" i="1"/>
  <c r="AQ286" i="1"/>
  <c r="AP286" i="1"/>
  <c r="AM286" i="1"/>
  <c r="AL286" i="1"/>
  <c r="AI286" i="1"/>
  <c r="AH286" i="1"/>
  <c r="AE286" i="1"/>
  <c r="AD286" i="1"/>
  <c r="AA286" i="1"/>
  <c r="Z286" i="1"/>
  <c r="W286" i="1"/>
  <c r="U286" i="1"/>
  <c r="S286" i="1" s="1"/>
  <c r="T286" i="1"/>
  <c r="R286" i="1"/>
  <c r="P286" i="1"/>
  <c r="A286" i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Q285" i="1"/>
  <c r="AP285" i="1"/>
  <c r="AM285" i="1"/>
  <c r="AL285" i="1"/>
  <c r="AI285" i="1"/>
  <c r="AH285" i="1"/>
  <c r="AE285" i="1"/>
  <c r="AD285" i="1"/>
  <c r="AA285" i="1"/>
  <c r="Z285" i="1"/>
  <c r="U285" i="1"/>
  <c r="T285" i="1"/>
  <c r="S285" i="1"/>
  <c r="P285" i="1"/>
  <c r="AQ284" i="1"/>
  <c r="AP284" i="1"/>
  <c r="AM284" i="1"/>
  <c r="AL284" i="1"/>
  <c r="AI284" i="1"/>
  <c r="AH284" i="1"/>
  <c r="AE284" i="1"/>
  <c r="AD284" i="1"/>
  <c r="AA284" i="1"/>
  <c r="Z284" i="1"/>
  <c r="U284" i="1"/>
  <c r="S284" i="1" s="1"/>
  <c r="T284" i="1"/>
  <c r="P284" i="1"/>
  <c r="AQ283" i="1"/>
  <c r="AP283" i="1"/>
  <c r="AM283" i="1"/>
  <c r="AL283" i="1"/>
  <c r="AI283" i="1"/>
  <c r="AH283" i="1"/>
  <c r="AE283" i="1"/>
  <c r="AD283" i="1"/>
  <c r="AA283" i="1"/>
  <c r="Z283" i="1"/>
  <c r="W283" i="1"/>
  <c r="V283" i="1"/>
  <c r="U283" i="1"/>
  <c r="T283" i="1"/>
  <c r="R283" i="1" s="1"/>
  <c r="S283" i="1"/>
  <c r="P283" i="1"/>
  <c r="AQ282" i="1"/>
  <c r="AP282" i="1"/>
  <c r="AM282" i="1"/>
  <c r="AL282" i="1"/>
  <c r="AI282" i="1"/>
  <c r="AH282" i="1"/>
  <c r="AE282" i="1"/>
  <c r="AD282" i="1"/>
  <c r="AA282" i="1"/>
  <c r="Z282" i="1"/>
  <c r="U282" i="1"/>
  <c r="V282" i="1" s="1"/>
  <c r="W282" i="1" s="1"/>
  <c r="T282" i="1"/>
  <c r="R282" i="1"/>
  <c r="P282" i="1"/>
  <c r="AQ281" i="1"/>
  <c r="AP281" i="1"/>
  <c r="AM281" i="1"/>
  <c r="AL281" i="1"/>
  <c r="AI281" i="1"/>
  <c r="AH281" i="1"/>
  <c r="AE281" i="1"/>
  <c r="AD281" i="1"/>
  <c r="AA281" i="1"/>
  <c r="Z281" i="1"/>
  <c r="U281" i="1"/>
  <c r="T281" i="1"/>
  <c r="S281" i="1"/>
  <c r="R281" i="1"/>
  <c r="P281" i="1"/>
  <c r="AQ280" i="1"/>
  <c r="AP280" i="1"/>
  <c r="AM280" i="1"/>
  <c r="AL280" i="1"/>
  <c r="AI280" i="1"/>
  <c r="AH280" i="1"/>
  <c r="AE280" i="1"/>
  <c r="AD280" i="1"/>
  <c r="AA280" i="1"/>
  <c r="Z280" i="1"/>
  <c r="U280" i="1"/>
  <c r="S280" i="1" s="1"/>
  <c r="T280" i="1"/>
  <c r="P280" i="1"/>
  <c r="AQ279" i="1"/>
  <c r="AP279" i="1"/>
  <c r="AM279" i="1"/>
  <c r="AL279" i="1"/>
  <c r="AI279" i="1"/>
  <c r="AH279" i="1"/>
  <c r="AE279" i="1"/>
  <c r="AD279" i="1"/>
  <c r="AA279" i="1"/>
  <c r="Z279" i="1"/>
  <c r="W279" i="1"/>
  <c r="V279" i="1"/>
  <c r="U279" i="1"/>
  <c r="T279" i="1"/>
  <c r="R279" i="1" s="1"/>
  <c r="S279" i="1"/>
  <c r="P279" i="1"/>
  <c r="AQ278" i="1"/>
  <c r="AP278" i="1"/>
  <c r="AE278" i="1"/>
  <c r="AA278" i="1"/>
  <c r="Z278" i="1"/>
  <c r="U278" i="1"/>
  <c r="V278" i="1" s="1"/>
  <c r="W278" i="1" s="1"/>
  <c r="T278" i="1"/>
  <c r="P278" i="1"/>
  <c r="O278" i="1"/>
  <c r="AP277" i="1"/>
  <c r="AH277" i="1"/>
  <c r="U277" i="1"/>
  <c r="T277" i="1"/>
  <c r="O277" i="1"/>
  <c r="AE277" i="1" s="1"/>
  <c r="AQ276" i="1"/>
  <c r="AP276" i="1"/>
  <c r="AM276" i="1"/>
  <c r="AL276" i="1"/>
  <c r="AI276" i="1"/>
  <c r="AH276" i="1"/>
  <c r="AE276" i="1"/>
  <c r="AD276" i="1"/>
  <c r="AA276" i="1"/>
  <c r="Z276" i="1"/>
  <c r="V276" i="1"/>
  <c r="W276" i="1" s="1"/>
  <c r="U276" i="1"/>
  <c r="T276" i="1"/>
  <c r="R276" i="1" s="1"/>
  <c r="S276" i="1"/>
  <c r="P276" i="1"/>
  <c r="AQ275" i="1"/>
  <c r="AP275" i="1"/>
  <c r="AM275" i="1"/>
  <c r="AL275" i="1"/>
  <c r="AI275" i="1"/>
  <c r="AH275" i="1"/>
  <c r="AE275" i="1"/>
  <c r="AD275" i="1"/>
  <c r="AA275" i="1"/>
  <c r="Z275" i="1"/>
  <c r="U275" i="1"/>
  <c r="V275" i="1" s="1"/>
  <c r="W275" i="1" s="1"/>
  <c r="T275" i="1"/>
  <c r="S275" i="1"/>
  <c r="R275" i="1"/>
  <c r="P275" i="1"/>
  <c r="AQ274" i="1"/>
  <c r="AP274" i="1"/>
  <c r="AM274" i="1"/>
  <c r="AL274" i="1"/>
  <c r="AI274" i="1"/>
  <c r="AH274" i="1"/>
  <c r="AE274" i="1"/>
  <c r="AD274" i="1"/>
  <c r="AA274" i="1"/>
  <c r="Z274" i="1"/>
  <c r="U274" i="1"/>
  <c r="T274" i="1"/>
  <c r="S274" i="1"/>
  <c r="P274" i="1"/>
  <c r="AQ273" i="1"/>
  <c r="AP273" i="1"/>
  <c r="AM273" i="1"/>
  <c r="AL273" i="1"/>
  <c r="AI273" i="1"/>
  <c r="AH273" i="1"/>
  <c r="AE273" i="1"/>
  <c r="AD273" i="1"/>
  <c r="AA273" i="1"/>
  <c r="Z273" i="1"/>
  <c r="U273" i="1"/>
  <c r="S273" i="1" s="1"/>
  <c r="T273" i="1"/>
  <c r="R273" i="1" s="1"/>
  <c r="P273" i="1"/>
  <c r="AQ272" i="1"/>
  <c r="AP272" i="1"/>
  <c r="AM272" i="1"/>
  <c r="AL272" i="1"/>
  <c r="AI272" i="1"/>
  <c r="AH272" i="1"/>
  <c r="AE272" i="1"/>
  <c r="AD272" i="1"/>
  <c r="AA272" i="1"/>
  <c r="Z272" i="1"/>
  <c r="V272" i="1"/>
  <c r="W272" i="1" s="1"/>
  <c r="U272" i="1"/>
  <c r="T272" i="1"/>
  <c r="R272" i="1" s="1"/>
  <c r="S272" i="1"/>
  <c r="P272" i="1"/>
  <c r="AQ271" i="1"/>
  <c r="AP271" i="1"/>
  <c r="AM271" i="1"/>
  <c r="AL271" i="1"/>
  <c r="AI271" i="1"/>
  <c r="AH271" i="1"/>
  <c r="AE271" i="1"/>
  <c r="AD271" i="1"/>
  <c r="AA271" i="1"/>
  <c r="Z271" i="1"/>
  <c r="U271" i="1"/>
  <c r="V271" i="1" s="1"/>
  <c r="W271" i="1" s="1"/>
  <c r="T271" i="1"/>
  <c r="S271" i="1"/>
  <c r="R271" i="1"/>
  <c r="P271" i="1"/>
  <c r="AQ270" i="1"/>
  <c r="AP270" i="1"/>
  <c r="AM270" i="1"/>
  <c r="AL270" i="1"/>
  <c r="AI270" i="1"/>
  <c r="AH270" i="1"/>
  <c r="AE270" i="1"/>
  <c r="AD270" i="1"/>
  <c r="AA270" i="1"/>
  <c r="Z270" i="1"/>
  <c r="U270" i="1"/>
  <c r="T270" i="1"/>
  <c r="S270" i="1"/>
  <c r="P270" i="1"/>
  <c r="AQ269" i="1"/>
  <c r="AP269" i="1"/>
  <c r="AM269" i="1"/>
  <c r="AL269" i="1"/>
  <c r="AI269" i="1"/>
  <c r="AH269" i="1"/>
  <c r="AE269" i="1"/>
  <c r="AD269" i="1"/>
  <c r="AA269" i="1"/>
  <c r="Z269" i="1"/>
  <c r="V269" i="1"/>
  <c r="W269" i="1" s="1"/>
  <c r="U269" i="1"/>
  <c r="T269" i="1"/>
  <c r="R269" i="1" s="1"/>
  <c r="S269" i="1"/>
  <c r="P269" i="1"/>
  <c r="AQ268" i="1"/>
  <c r="AP268" i="1"/>
  <c r="AM268" i="1"/>
  <c r="AL268" i="1"/>
  <c r="AI268" i="1"/>
  <c r="AH268" i="1"/>
  <c r="AE268" i="1"/>
  <c r="AD268" i="1"/>
  <c r="AA268" i="1"/>
  <c r="Z268" i="1"/>
  <c r="U268" i="1"/>
  <c r="S268" i="1" s="1"/>
  <c r="T268" i="1"/>
  <c r="R268" i="1" s="1"/>
  <c r="P268" i="1"/>
  <c r="AQ267" i="1"/>
  <c r="AP267" i="1"/>
  <c r="AM267" i="1"/>
  <c r="AL267" i="1"/>
  <c r="AI267" i="1"/>
  <c r="AH267" i="1"/>
  <c r="AE267" i="1"/>
  <c r="AD267" i="1"/>
  <c r="AA267" i="1"/>
  <c r="Z267" i="1"/>
  <c r="U267" i="1"/>
  <c r="V267" i="1" s="1"/>
  <c r="W267" i="1" s="1"/>
  <c r="T267" i="1"/>
  <c r="R267" i="1"/>
  <c r="P267" i="1"/>
  <c r="AQ266" i="1"/>
  <c r="AP266" i="1"/>
  <c r="AM266" i="1"/>
  <c r="AL266" i="1"/>
  <c r="AI266" i="1"/>
  <c r="AH266" i="1"/>
  <c r="AE266" i="1"/>
  <c r="AD266" i="1"/>
  <c r="AA266" i="1"/>
  <c r="Z266" i="1"/>
  <c r="U266" i="1"/>
  <c r="S266" i="1" s="1"/>
  <c r="T266" i="1"/>
  <c r="R266" i="1"/>
  <c r="P266" i="1"/>
  <c r="AQ265" i="1"/>
  <c r="AP265" i="1"/>
  <c r="AM265" i="1"/>
  <c r="AL265" i="1"/>
  <c r="AI265" i="1"/>
  <c r="AH265" i="1"/>
  <c r="AE265" i="1"/>
  <c r="AD265" i="1"/>
  <c r="AA265" i="1"/>
  <c r="Z265" i="1"/>
  <c r="U265" i="1"/>
  <c r="T265" i="1"/>
  <c r="V265" i="1" s="1"/>
  <c r="W265" i="1" s="1"/>
  <c r="S265" i="1"/>
  <c r="R265" i="1"/>
  <c r="P265" i="1"/>
  <c r="AQ264" i="1"/>
  <c r="AP264" i="1"/>
  <c r="AM264" i="1"/>
  <c r="AL264" i="1"/>
  <c r="AI264" i="1"/>
  <c r="AH264" i="1"/>
  <c r="AE264" i="1"/>
  <c r="AD264" i="1"/>
  <c r="AA264" i="1"/>
  <c r="Z264" i="1"/>
  <c r="U264" i="1"/>
  <c r="T264" i="1"/>
  <c r="S264" i="1"/>
  <c r="P264" i="1"/>
  <c r="AQ263" i="1"/>
  <c r="AP263" i="1"/>
  <c r="AM263" i="1"/>
  <c r="AL263" i="1"/>
  <c r="AI263" i="1"/>
  <c r="AH263" i="1"/>
  <c r="AE263" i="1"/>
  <c r="AD263" i="1"/>
  <c r="AA263" i="1"/>
  <c r="Z263" i="1"/>
  <c r="U263" i="1"/>
  <c r="T263" i="1"/>
  <c r="R263" i="1"/>
  <c r="P263" i="1"/>
  <c r="AQ262" i="1"/>
  <c r="AP262" i="1"/>
  <c r="AM262" i="1"/>
  <c r="AL262" i="1"/>
  <c r="AI262" i="1"/>
  <c r="AH262" i="1"/>
  <c r="AE262" i="1"/>
  <c r="AD262" i="1"/>
  <c r="AA262" i="1"/>
  <c r="Z262" i="1"/>
  <c r="W262" i="1"/>
  <c r="U262" i="1"/>
  <c r="T262" i="1"/>
  <c r="V262" i="1" s="1"/>
  <c r="S262" i="1"/>
  <c r="P262" i="1"/>
  <c r="AQ261" i="1"/>
  <c r="AP261" i="1"/>
  <c r="AM261" i="1"/>
  <c r="AL261" i="1"/>
  <c r="AI261" i="1"/>
  <c r="AH261" i="1"/>
  <c r="AE261" i="1"/>
  <c r="AD261" i="1"/>
  <c r="AA261" i="1"/>
  <c r="Z261" i="1"/>
  <c r="U261" i="1"/>
  <c r="V261" i="1" s="1"/>
  <c r="W261" i="1" s="1"/>
  <c r="T261" i="1"/>
  <c r="R261" i="1" s="1"/>
  <c r="P261" i="1"/>
  <c r="AQ260" i="1"/>
  <c r="AP260" i="1"/>
  <c r="AM260" i="1"/>
  <c r="AL260" i="1"/>
  <c r="AI260" i="1"/>
  <c r="AH260" i="1"/>
  <c r="AE260" i="1"/>
  <c r="AD260" i="1"/>
  <c r="AA260" i="1"/>
  <c r="Z260" i="1"/>
  <c r="V260" i="1"/>
  <c r="W260" i="1" s="1"/>
  <c r="U260" i="1"/>
  <c r="S260" i="1" s="1"/>
  <c r="T260" i="1"/>
  <c r="R260" i="1" s="1"/>
  <c r="P260" i="1"/>
  <c r="AQ259" i="1"/>
  <c r="AP259" i="1"/>
  <c r="AM259" i="1"/>
  <c r="AL259" i="1"/>
  <c r="AI259" i="1"/>
  <c r="AH259" i="1"/>
  <c r="AE259" i="1"/>
  <c r="AD259" i="1"/>
  <c r="AA259" i="1"/>
  <c r="Z259" i="1"/>
  <c r="W259" i="1"/>
  <c r="V259" i="1"/>
  <c r="U259" i="1"/>
  <c r="T259" i="1"/>
  <c r="S259" i="1"/>
  <c r="R259" i="1"/>
  <c r="P259" i="1"/>
  <c r="AQ258" i="1"/>
  <c r="AP258" i="1"/>
  <c r="AM258" i="1"/>
  <c r="AL258" i="1"/>
  <c r="AI258" i="1"/>
  <c r="AH258" i="1"/>
  <c r="AE258" i="1"/>
  <c r="AD258" i="1"/>
  <c r="AA258" i="1"/>
  <c r="Z258" i="1"/>
  <c r="U258" i="1"/>
  <c r="T258" i="1"/>
  <c r="S258" i="1"/>
  <c r="R258" i="1"/>
  <c r="P258" i="1"/>
  <c r="AQ257" i="1"/>
  <c r="AP257" i="1"/>
  <c r="AM257" i="1"/>
  <c r="AL257" i="1"/>
  <c r="AI257" i="1"/>
  <c r="AH257" i="1"/>
  <c r="AE257" i="1"/>
  <c r="AD257" i="1"/>
  <c r="AA257" i="1"/>
  <c r="Z257" i="1"/>
  <c r="U257" i="1"/>
  <c r="S257" i="1" s="1"/>
  <c r="T257" i="1"/>
  <c r="V257" i="1" s="1"/>
  <c r="W257" i="1" s="1"/>
  <c r="R257" i="1"/>
  <c r="P257" i="1"/>
  <c r="AQ256" i="1"/>
  <c r="AP256" i="1"/>
  <c r="AM256" i="1"/>
  <c r="AL256" i="1"/>
  <c r="AI256" i="1"/>
  <c r="AH256" i="1"/>
  <c r="AE256" i="1"/>
  <c r="AD256" i="1"/>
  <c r="AA256" i="1"/>
  <c r="Z256" i="1"/>
  <c r="V256" i="1"/>
  <c r="W256" i="1" s="1"/>
  <c r="U256" i="1"/>
  <c r="T256" i="1"/>
  <c r="R256" i="1" s="1"/>
  <c r="S256" i="1"/>
  <c r="P256" i="1"/>
  <c r="AQ255" i="1"/>
  <c r="AP255" i="1"/>
  <c r="AM255" i="1"/>
  <c r="AL255" i="1"/>
  <c r="AI255" i="1"/>
  <c r="AH255" i="1"/>
  <c r="AE255" i="1"/>
  <c r="AD255" i="1"/>
  <c r="AA255" i="1"/>
  <c r="Z255" i="1"/>
  <c r="W255" i="1"/>
  <c r="U255" i="1"/>
  <c r="V255" i="1" s="1"/>
  <c r="T255" i="1"/>
  <c r="R255" i="1"/>
  <c r="P255" i="1"/>
  <c r="AQ254" i="1"/>
  <c r="AP254" i="1"/>
  <c r="AM254" i="1"/>
  <c r="AL254" i="1"/>
  <c r="AI254" i="1"/>
  <c r="AH254" i="1"/>
  <c r="AE254" i="1"/>
  <c r="AD254" i="1"/>
  <c r="AA254" i="1"/>
  <c r="Z254" i="1"/>
  <c r="U254" i="1"/>
  <c r="S254" i="1" s="1"/>
  <c r="T254" i="1"/>
  <c r="R254" i="1" s="1"/>
  <c r="P254" i="1"/>
  <c r="AQ253" i="1"/>
  <c r="AP253" i="1"/>
  <c r="AM253" i="1"/>
  <c r="AL253" i="1"/>
  <c r="AI253" i="1"/>
  <c r="AH253" i="1"/>
  <c r="AE253" i="1"/>
  <c r="AD253" i="1"/>
  <c r="AA253" i="1"/>
  <c r="Z253" i="1"/>
  <c r="W253" i="1"/>
  <c r="V253" i="1"/>
  <c r="U253" i="1"/>
  <c r="T253" i="1"/>
  <c r="S253" i="1"/>
  <c r="R253" i="1"/>
  <c r="P253" i="1"/>
  <c r="AQ252" i="1"/>
  <c r="AP252" i="1"/>
  <c r="AM252" i="1"/>
  <c r="AL252" i="1"/>
  <c r="AI252" i="1"/>
  <c r="AH252" i="1"/>
  <c r="AE252" i="1"/>
  <c r="AD252" i="1"/>
  <c r="AA252" i="1"/>
  <c r="Z252" i="1"/>
  <c r="U252" i="1"/>
  <c r="T252" i="1"/>
  <c r="V252" i="1" s="1"/>
  <c r="W252" i="1" s="1"/>
  <c r="S252" i="1"/>
  <c r="R252" i="1"/>
  <c r="P252" i="1"/>
  <c r="AQ251" i="1"/>
  <c r="AP251" i="1"/>
  <c r="AM251" i="1"/>
  <c r="AL251" i="1"/>
  <c r="AI251" i="1"/>
  <c r="AH251" i="1"/>
  <c r="AE251" i="1"/>
  <c r="AD251" i="1"/>
  <c r="AA251" i="1"/>
  <c r="Z251" i="1"/>
  <c r="U251" i="1"/>
  <c r="S251" i="1" s="1"/>
  <c r="T251" i="1"/>
  <c r="V251" i="1" s="1"/>
  <c r="W251" i="1" s="1"/>
  <c r="R251" i="1"/>
  <c r="P251" i="1"/>
  <c r="AQ250" i="1"/>
  <c r="AP250" i="1"/>
  <c r="AM250" i="1"/>
  <c r="AL250" i="1"/>
  <c r="AI250" i="1"/>
  <c r="AH250" i="1"/>
  <c r="AE250" i="1"/>
  <c r="AD250" i="1"/>
  <c r="AA250" i="1"/>
  <c r="Z250" i="1"/>
  <c r="U250" i="1"/>
  <c r="S250" i="1" s="1"/>
  <c r="T250" i="1"/>
  <c r="V250" i="1" s="1"/>
  <c r="W250" i="1" s="1"/>
  <c r="P250" i="1"/>
  <c r="AQ249" i="1"/>
  <c r="AP249" i="1"/>
  <c r="AM249" i="1"/>
  <c r="AL249" i="1"/>
  <c r="AI249" i="1"/>
  <c r="AH249" i="1"/>
  <c r="AE249" i="1"/>
  <c r="AD249" i="1"/>
  <c r="AA249" i="1"/>
  <c r="Z249" i="1"/>
  <c r="V249" i="1"/>
  <c r="W249" i="1" s="1"/>
  <c r="U249" i="1"/>
  <c r="S249" i="1" s="1"/>
  <c r="T249" i="1"/>
  <c r="R249" i="1"/>
  <c r="P249" i="1"/>
  <c r="A249" i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Q248" i="1"/>
  <c r="AP248" i="1"/>
  <c r="AM248" i="1"/>
  <c r="AL248" i="1"/>
  <c r="AI248" i="1"/>
  <c r="AH248" i="1"/>
  <c r="AE248" i="1"/>
  <c r="AD248" i="1"/>
  <c r="AA248" i="1"/>
  <c r="Z248" i="1"/>
  <c r="U248" i="1"/>
  <c r="T248" i="1"/>
  <c r="V248" i="1" s="1"/>
  <c r="W248" i="1" s="1"/>
  <c r="S248" i="1"/>
  <c r="R248" i="1"/>
  <c r="P248" i="1"/>
  <c r="AQ247" i="1"/>
  <c r="AP247" i="1"/>
  <c r="AM247" i="1"/>
  <c r="AL247" i="1"/>
  <c r="AI247" i="1"/>
  <c r="AH247" i="1"/>
  <c r="AE247" i="1"/>
  <c r="AD247" i="1"/>
  <c r="AA247" i="1"/>
  <c r="Z247" i="1"/>
  <c r="U247" i="1"/>
  <c r="S247" i="1" s="1"/>
  <c r="T247" i="1"/>
  <c r="R247" i="1"/>
  <c r="P247" i="1"/>
  <c r="AQ246" i="1"/>
  <c r="AP246" i="1"/>
  <c r="AM246" i="1"/>
  <c r="AL246" i="1"/>
  <c r="AI246" i="1"/>
  <c r="AH246" i="1"/>
  <c r="AE246" i="1"/>
  <c r="AD246" i="1"/>
  <c r="AA246" i="1"/>
  <c r="Z246" i="1"/>
  <c r="W246" i="1"/>
  <c r="U246" i="1"/>
  <c r="S246" i="1" s="1"/>
  <c r="T246" i="1"/>
  <c r="V246" i="1" s="1"/>
  <c r="P246" i="1"/>
  <c r="AQ245" i="1"/>
  <c r="AP245" i="1"/>
  <c r="AM245" i="1"/>
  <c r="AL245" i="1"/>
  <c r="AI245" i="1"/>
  <c r="AH245" i="1"/>
  <c r="AE245" i="1"/>
  <c r="AD245" i="1"/>
  <c r="AA245" i="1"/>
  <c r="Z245" i="1"/>
  <c r="V245" i="1"/>
  <c r="W245" i="1" s="1"/>
  <c r="U245" i="1"/>
  <c r="S245" i="1" s="1"/>
  <c r="T245" i="1"/>
  <c r="R245" i="1"/>
  <c r="P245" i="1"/>
  <c r="AQ244" i="1"/>
  <c r="AP244" i="1"/>
  <c r="AM244" i="1"/>
  <c r="AL244" i="1"/>
  <c r="AI244" i="1"/>
  <c r="AH244" i="1"/>
  <c r="AE244" i="1"/>
  <c r="AD244" i="1"/>
  <c r="AA244" i="1"/>
  <c r="Z244" i="1"/>
  <c r="U244" i="1"/>
  <c r="T244" i="1"/>
  <c r="V244" i="1" s="1"/>
  <c r="W244" i="1" s="1"/>
  <c r="S244" i="1"/>
  <c r="R244" i="1"/>
  <c r="P244" i="1"/>
  <c r="AQ243" i="1"/>
  <c r="AP243" i="1"/>
  <c r="AM243" i="1"/>
  <c r="AL243" i="1"/>
  <c r="AI243" i="1"/>
  <c r="AH243" i="1"/>
  <c r="AE243" i="1"/>
  <c r="AD243" i="1"/>
  <c r="AA243" i="1"/>
  <c r="Z243" i="1"/>
  <c r="U243" i="1"/>
  <c r="S243" i="1" s="1"/>
  <c r="T243" i="1"/>
  <c r="R243" i="1"/>
  <c r="P243" i="1"/>
  <c r="AQ242" i="1"/>
  <c r="AP242" i="1"/>
  <c r="AM242" i="1"/>
  <c r="AL242" i="1"/>
  <c r="AI242" i="1"/>
  <c r="AH242" i="1"/>
  <c r="AE242" i="1"/>
  <c r="AD242" i="1"/>
  <c r="AA242" i="1"/>
  <c r="Z242" i="1"/>
  <c r="U242" i="1"/>
  <c r="S242" i="1" s="1"/>
  <c r="T242" i="1"/>
  <c r="V242" i="1" s="1"/>
  <c r="W242" i="1" s="1"/>
  <c r="P242" i="1"/>
  <c r="AQ241" i="1"/>
  <c r="AP241" i="1"/>
  <c r="AM241" i="1"/>
  <c r="AL241" i="1"/>
  <c r="AI241" i="1"/>
  <c r="AH241" i="1"/>
  <c r="AE241" i="1"/>
  <c r="AD241" i="1"/>
  <c r="AA241" i="1"/>
  <c r="Z241" i="1"/>
  <c r="W241" i="1"/>
  <c r="U241" i="1"/>
  <c r="S241" i="1" s="1"/>
  <c r="T241" i="1"/>
  <c r="R241" i="1" s="1"/>
  <c r="P241" i="1"/>
  <c r="AQ240" i="1"/>
  <c r="AP240" i="1"/>
  <c r="AM240" i="1"/>
  <c r="AL240" i="1"/>
  <c r="AI240" i="1"/>
  <c r="AH240" i="1"/>
  <c r="AE240" i="1"/>
  <c r="AD240" i="1"/>
  <c r="AA240" i="1"/>
  <c r="Z240" i="1"/>
  <c r="W240" i="1"/>
  <c r="V240" i="1"/>
  <c r="U240" i="1"/>
  <c r="T240" i="1"/>
  <c r="S240" i="1"/>
  <c r="R240" i="1"/>
  <c r="P240" i="1"/>
  <c r="AQ239" i="1"/>
  <c r="AP239" i="1"/>
  <c r="AM239" i="1"/>
  <c r="AL239" i="1"/>
  <c r="AI239" i="1"/>
  <c r="AH239" i="1"/>
  <c r="AE239" i="1"/>
  <c r="AD239" i="1"/>
  <c r="AA239" i="1"/>
  <c r="Z239" i="1"/>
  <c r="U239" i="1"/>
  <c r="T239" i="1"/>
  <c r="S239" i="1"/>
  <c r="P239" i="1"/>
  <c r="AQ238" i="1"/>
  <c r="AP238" i="1"/>
  <c r="AM238" i="1"/>
  <c r="AL238" i="1"/>
  <c r="AI238" i="1"/>
  <c r="AH238" i="1"/>
  <c r="AE238" i="1"/>
  <c r="AD238" i="1"/>
  <c r="AA238" i="1"/>
  <c r="Z238" i="1"/>
  <c r="V238" i="1"/>
  <c r="W238" i="1" s="1"/>
  <c r="U238" i="1"/>
  <c r="T238" i="1"/>
  <c r="R238" i="1" s="1"/>
  <c r="S238" i="1"/>
  <c r="P238" i="1"/>
  <c r="AQ237" i="1"/>
  <c r="AP237" i="1"/>
  <c r="AM237" i="1"/>
  <c r="AL237" i="1"/>
  <c r="AI237" i="1"/>
  <c r="AH237" i="1"/>
  <c r="AE237" i="1"/>
  <c r="AD237" i="1"/>
  <c r="AA237" i="1"/>
  <c r="Z237" i="1"/>
  <c r="U237" i="1"/>
  <c r="S237" i="1" s="1"/>
  <c r="T237" i="1"/>
  <c r="V237" i="1" s="1"/>
  <c r="W237" i="1" s="1"/>
  <c r="P237" i="1"/>
  <c r="AQ236" i="1"/>
  <c r="AP236" i="1"/>
  <c r="AM236" i="1"/>
  <c r="AL236" i="1"/>
  <c r="AI236" i="1"/>
  <c r="AH236" i="1"/>
  <c r="AE236" i="1"/>
  <c r="AD236" i="1"/>
  <c r="AA236" i="1"/>
  <c r="Z236" i="1"/>
  <c r="W236" i="1"/>
  <c r="V236" i="1"/>
  <c r="U236" i="1"/>
  <c r="T236" i="1"/>
  <c r="S236" i="1"/>
  <c r="R236" i="1"/>
  <c r="P236" i="1"/>
  <c r="AQ235" i="1"/>
  <c r="AP235" i="1"/>
  <c r="AM235" i="1"/>
  <c r="AL235" i="1"/>
  <c r="AI235" i="1"/>
  <c r="AH235" i="1"/>
  <c r="AE235" i="1"/>
  <c r="AD235" i="1"/>
  <c r="AA235" i="1"/>
  <c r="Z235" i="1"/>
  <c r="U235" i="1"/>
  <c r="T235" i="1"/>
  <c r="S235" i="1"/>
  <c r="P235" i="1"/>
  <c r="AQ234" i="1"/>
  <c r="AP234" i="1"/>
  <c r="AM234" i="1"/>
  <c r="AL234" i="1"/>
  <c r="AI234" i="1"/>
  <c r="AH234" i="1"/>
  <c r="AE234" i="1"/>
  <c r="AD234" i="1"/>
  <c r="AA234" i="1"/>
  <c r="Z234" i="1"/>
  <c r="V234" i="1"/>
  <c r="W234" i="1" s="1"/>
  <c r="U234" i="1"/>
  <c r="T234" i="1"/>
  <c r="R234" i="1" s="1"/>
  <c r="S234" i="1"/>
  <c r="P234" i="1"/>
  <c r="Z233" i="1"/>
  <c r="U233" i="1"/>
  <c r="S233" i="1" s="1"/>
  <c r="T233" i="1"/>
  <c r="V233" i="1" s="1"/>
  <c r="W233" i="1" s="1"/>
  <c r="O233" i="1"/>
  <c r="AP233" i="1" s="1"/>
  <c r="AQ232" i="1"/>
  <c r="AP232" i="1"/>
  <c r="AM232" i="1"/>
  <c r="AL232" i="1"/>
  <c r="AI232" i="1"/>
  <c r="AH232" i="1"/>
  <c r="AE232" i="1"/>
  <c r="AD232" i="1"/>
  <c r="AA232" i="1"/>
  <c r="Z232" i="1"/>
  <c r="U232" i="1"/>
  <c r="T232" i="1"/>
  <c r="V232" i="1" s="1"/>
  <c r="W232" i="1" s="1"/>
  <c r="S232" i="1"/>
  <c r="R232" i="1"/>
  <c r="P232" i="1"/>
  <c r="AQ231" i="1"/>
  <c r="AP231" i="1"/>
  <c r="AM231" i="1"/>
  <c r="AL231" i="1"/>
  <c r="AI231" i="1"/>
  <c r="AH231" i="1"/>
  <c r="AE231" i="1"/>
  <c r="AD231" i="1"/>
  <c r="AA231" i="1"/>
  <c r="Z231" i="1"/>
  <c r="U231" i="1"/>
  <c r="S231" i="1" s="1"/>
  <c r="T231" i="1"/>
  <c r="R231" i="1"/>
  <c r="P231" i="1"/>
  <c r="AQ230" i="1"/>
  <c r="AP230" i="1"/>
  <c r="AM230" i="1"/>
  <c r="AL230" i="1"/>
  <c r="AI230" i="1"/>
  <c r="AH230" i="1"/>
  <c r="AE230" i="1"/>
  <c r="AD230" i="1"/>
  <c r="AA230" i="1"/>
  <c r="Z230" i="1"/>
  <c r="W230" i="1"/>
  <c r="U230" i="1"/>
  <c r="S230" i="1" s="1"/>
  <c r="T230" i="1"/>
  <c r="V230" i="1" s="1"/>
  <c r="P230" i="1"/>
  <c r="AQ229" i="1"/>
  <c r="AP229" i="1"/>
  <c r="AM229" i="1"/>
  <c r="AL229" i="1"/>
  <c r="AI229" i="1"/>
  <c r="AH229" i="1"/>
  <c r="AE229" i="1"/>
  <c r="AD229" i="1"/>
  <c r="AA229" i="1"/>
  <c r="Z229" i="1"/>
  <c r="V229" i="1"/>
  <c r="W229" i="1" s="1"/>
  <c r="U229" i="1"/>
  <c r="S229" i="1" s="1"/>
  <c r="T229" i="1"/>
  <c r="R229" i="1"/>
  <c r="P229" i="1"/>
  <c r="AQ228" i="1"/>
  <c r="AP228" i="1"/>
  <c r="AM228" i="1"/>
  <c r="AL228" i="1"/>
  <c r="AI228" i="1"/>
  <c r="AH228" i="1"/>
  <c r="AE228" i="1"/>
  <c r="AD228" i="1"/>
  <c r="AA228" i="1"/>
  <c r="Z228" i="1"/>
  <c r="U228" i="1"/>
  <c r="T228" i="1"/>
  <c r="V228" i="1" s="1"/>
  <c r="W228" i="1" s="1"/>
  <c r="S228" i="1"/>
  <c r="R228" i="1"/>
  <c r="P228" i="1"/>
  <c r="AQ227" i="1"/>
  <c r="AP227" i="1"/>
  <c r="AM227" i="1"/>
  <c r="AL227" i="1"/>
  <c r="AI227" i="1"/>
  <c r="AH227" i="1"/>
  <c r="AE227" i="1"/>
  <c r="AD227" i="1"/>
  <c r="AA227" i="1"/>
  <c r="Z227" i="1"/>
  <c r="U227" i="1"/>
  <c r="S227" i="1" s="1"/>
  <c r="T227" i="1"/>
  <c r="V227" i="1" s="1"/>
  <c r="W227" i="1" s="1"/>
  <c r="R227" i="1"/>
  <c r="P227" i="1"/>
  <c r="AQ226" i="1"/>
  <c r="AP226" i="1"/>
  <c r="AM226" i="1"/>
  <c r="AL226" i="1"/>
  <c r="AI226" i="1"/>
  <c r="AH226" i="1"/>
  <c r="AE226" i="1"/>
  <c r="AD226" i="1"/>
  <c r="AA226" i="1"/>
  <c r="Z226" i="1"/>
  <c r="W226" i="1"/>
  <c r="U226" i="1"/>
  <c r="S226" i="1" s="1"/>
  <c r="T226" i="1"/>
  <c r="V226" i="1" s="1"/>
  <c r="P226" i="1"/>
  <c r="AQ225" i="1"/>
  <c r="AP225" i="1"/>
  <c r="AM225" i="1"/>
  <c r="AL225" i="1"/>
  <c r="AI225" i="1"/>
  <c r="AH225" i="1"/>
  <c r="AE225" i="1"/>
  <c r="AD225" i="1"/>
  <c r="AA225" i="1"/>
  <c r="Z225" i="1"/>
  <c r="V225" i="1"/>
  <c r="W225" i="1" s="1"/>
  <c r="U225" i="1"/>
  <c r="S225" i="1" s="1"/>
  <c r="T225" i="1"/>
  <c r="R225" i="1"/>
  <c r="P225" i="1"/>
  <c r="AQ224" i="1"/>
  <c r="AP224" i="1"/>
  <c r="AM224" i="1"/>
  <c r="AL224" i="1"/>
  <c r="AI224" i="1"/>
  <c r="AH224" i="1"/>
  <c r="AE224" i="1"/>
  <c r="AD224" i="1"/>
  <c r="AA224" i="1"/>
  <c r="Z224" i="1"/>
  <c r="U224" i="1"/>
  <c r="T224" i="1"/>
  <c r="V224" i="1" s="1"/>
  <c r="W224" i="1" s="1"/>
  <c r="S224" i="1"/>
  <c r="R224" i="1"/>
  <c r="P224" i="1"/>
  <c r="AQ223" i="1"/>
  <c r="AP223" i="1"/>
  <c r="AM223" i="1"/>
  <c r="AL223" i="1"/>
  <c r="AI223" i="1"/>
  <c r="AH223" i="1"/>
  <c r="AE223" i="1"/>
  <c r="AD223" i="1"/>
  <c r="AA223" i="1"/>
  <c r="Z223" i="1"/>
  <c r="U223" i="1"/>
  <c r="S223" i="1" s="1"/>
  <c r="T223" i="1"/>
  <c r="R223" i="1"/>
  <c r="P223" i="1"/>
  <c r="AQ222" i="1"/>
  <c r="AP222" i="1"/>
  <c r="AM222" i="1"/>
  <c r="AL222" i="1"/>
  <c r="AI222" i="1"/>
  <c r="AH222" i="1"/>
  <c r="AE222" i="1"/>
  <c r="AD222" i="1"/>
  <c r="AA222" i="1"/>
  <c r="Z222" i="1"/>
  <c r="W222" i="1"/>
  <c r="U222" i="1"/>
  <c r="T222" i="1"/>
  <c r="R222" i="1" s="1"/>
  <c r="S222" i="1"/>
  <c r="P222" i="1"/>
  <c r="AQ221" i="1"/>
  <c r="AP221" i="1"/>
  <c r="AM221" i="1"/>
  <c r="AL221" i="1"/>
  <c r="AI221" i="1"/>
  <c r="AH221" i="1"/>
  <c r="AE221" i="1"/>
  <c r="AD221" i="1"/>
  <c r="AA221" i="1"/>
  <c r="Z221" i="1"/>
  <c r="U221" i="1"/>
  <c r="S221" i="1" s="1"/>
  <c r="T221" i="1"/>
  <c r="V221" i="1" s="1"/>
  <c r="W221" i="1" s="1"/>
  <c r="P221" i="1"/>
  <c r="AQ220" i="1"/>
  <c r="AP220" i="1"/>
  <c r="AM220" i="1"/>
  <c r="AL220" i="1"/>
  <c r="AI220" i="1"/>
  <c r="AH220" i="1"/>
  <c r="AE220" i="1"/>
  <c r="AD220" i="1"/>
  <c r="AA220" i="1"/>
  <c r="Z220" i="1"/>
  <c r="W220" i="1"/>
  <c r="V220" i="1"/>
  <c r="U220" i="1"/>
  <c r="T220" i="1"/>
  <c r="S220" i="1"/>
  <c r="R220" i="1"/>
  <c r="P220" i="1"/>
  <c r="AQ219" i="1"/>
  <c r="AP219" i="1"/>
  <c r="AM219" i="1"/>
  <c r="AL219" i="1"/>
  <c r="AI219" i="1"/>
  <c r="AH219" i="1"/>
  <c r="AE219" i="1"/>
  <c r="AD219" i="1"/>
  <c r="AA219" i="1"/>
  <c r="Z219" i="1"/>
  <c r="U219" i="1"/>
  <c r="T219" i="1"/>
  <c r="S219" i="1"/>
  <c r="P219" i="1"/>
  <c r="AQ218" i="1"/>
  <c r="AP218" i="1"/>
  <c r="AM218" i="1"/>
  <c r="AL218" i="1"/>
  <c r="AI218" i="1"/>
  <c r="AH218" i="1"/>
  <c r="AE218" i="1"/>
  <c r="AD218" i="1"/>
  <c r="AA218" i="1"/>
  <c r="Z218" i="1"/>
  <c r="V218" i="1"/>
  <c r="W218" i="1" s="1"/>
  <c r="U218" i="1"/>
  <c r="T218" i="1"/>
  <c r="R218" i="1" s="1"/>
  <c r="S218" i="1"/>
  <c r="P218" i="1"/>
  <c r="AQ217" i="1"/>
  <c r="AP217" i="1"/>
  <c r="AM217" i="1"/>
  <c r="AL217" i="1"/>
  <c r="AI217" i="1"/>
  <c r="AH217" i="1"/>
  <c r="AE217" i="1"/>
  <c r="AD217" i="1"/>
  <c r="AA217" i="1"/>
  <c r="Z217" i="1"/>
  <c r="U217" i="1"/>
  <c r="S217" i="1" s="1"/>
  <c r="T217" i="1"/>
  <c r="P217" i="1"/>
  <c r="AQ216" i="1"/>
  <c r="AP216" i="1"/>
  <c r="AM216" i="1"/>
  <c r="AL216" i="1"/>
  <c r="AI216" i="1"/>
  <c r="AH216" i="1"/>
  <c r="AE216" i="1"/>
  <c r="AD216" i="1"/>
  <c r="AA216" i="1"/>
  <c r="Z216" i="1"/>
  <c r="W216" i="1"/>
  <c r="V216" i="1"/>
  <c r="U216" i="1"/>
  <c r="T216" i="1"/>
  <c r="S216" i="1"/>
  <c r="R216" i="1"/>
  <c r="P216" i="1"/>
  <c r="AQ215" i="1"/>
  <c r="AH215" i="1"/>
  <c r="AA215" i="1"/>
  <c r="U215" i="1"/>
  <c r="T215" i="1"/>
  <c r="P215" i="1"/>
  <c r="O215" i="1"/>
  <c r="AE215" i="1" s="1"/>
  <c r="AQ214" i="1"/>
  <c r="AP214" i="1"/>
  <c r="AM214" i="1"/>
  <c r="AL214" i="1"/>
  <c r="AI214" i="1"/>
  <c r="AH214" i="1"/>
  <c r="AE214" i="1"/>
  <c r="AD214" i="1"/>
  <c r="AA214" i="1"/>
  <c r="Z214" i="1"/>
  <c r="U214" i="1"/>
  <c r="S214" i="1" s="1"/>
  <c r="T214" i="1"/>
  <c r="P214" i="1"/>
  <c r="AQ213" i="1"/>
  <c r="AP213" i="1"/>
  <c r="AM213" i="1"/>
  <c r="AL213" i="1"/>
  <c r="AI213" i="1"/>
  <c r="AH213" i="1"/>
  <c r="AE213" i="1"/>
  <c r="AD213" i="1"/>
  <c r="AA213" i="1"/>
  <c r="Z213" i="1"/>
  <c r="V213" i="1"/>
  <c r="W213" i="1" s="1"/>
  <c r="U213" i="1"/>
  <c r="S213" i="1" s="1"/>
  <c r="T213" i="1"/>
  <c r="R213" i="1"/>
  <c r="P213" i="1"/>
  <c r="AQ212" i="1"/>
  <c r="AP212" i="1"/>
  <c r="AM212" i="1"/>
  <c r="AL212" i="1"/>
  <c r="AI212" i="1"/>
  <c r="AH212" i="1"/>
  <c r="AE212" i="1"/>
  <c r="AD212" i="1"/>
  <c r="AA212" i="1"/>
  <c r="Z212" i="1"/>
  <c r="U212" i="1"/>
  <c r="T212" i="1"/>
  <c r="V212" i="1" s="1"/>
  <c r="W212" i="1" s="1"/>
  <c r="S212" i="1"/>
  <c r="R212" i="1"/>
  <c r="P212" i="1"/>
  <c r="AQ211" i="1"/>
  <c r="AP211" i="1"/>
  <c r="AM211" i="1"/>
  <c r="AL211" i="1"/>
  <c r="AI211" i="1"/>
  <c r="AH211" i="1"/>
  <c r="AE211" i="1"/>
  <c r="AD211" i="1"/>
  <c r="AA211" i="1"/>
  <c r="Z211" i="1"/>
  <c r="U211" i="1"/>
  <c r="S211" i="1" s="1"/>
  <c r="T211" i="1"/>
  <c r="R211" i="1"/>
  <c r="P211" i="1"/>
  <c r="AQ210" i="1"/>
  <c r="AP210" i="1"/>
  <c r="AM210" i="1"/>
  <c r="AL210" i="1"/>
  <c r="AI210" i="1"/>
  <c r="AH210" i="1"/>
  <c r="AE210" i="1"/>
  <c r="AD210" i="1"/>
  <c r="AA210" i="1"/>
  <c r="Z210" i="1"/>
  <c r="U210" i="1"/>
  <c r="S210" i="1" s="1"/>
  <c r="T210" i="1"/>
  <c r="P210" i="1"/>
  <c r="AQ209" i="1"/>
  <c r="AP209" i="1"/>
  <c r="AM209" i="1"/>
  <c r="AL209" i="1"/>
  <c r="AI209" i="1"/>
  <c r="AH209" i="1"/>
  <c r="AE209" i="1"/>
  <c r="AD209" i="1"/>
  <c r="AA209" i="1"/>
  <c r="Z209" i="1"/>
  <c r="W209" i="1"/>
  <c r="V209" i="1"/>
  <c r="U209" i="1"/>
  <c r="S209" i="1" s="1"/>
  <c r="T209" i="1"/>
  <c r="R209" i="1"/>
  <c r="P209" i="1"/>
  <c r="AQ208" i="1"/>
  <c r="AP208" i="1"/>
  <c r="AM208" i="1"/>
  <c r="AL208" i="1"/>
  <c r="AI208" i="1"/>
  <c r="AH208" i="1"/>
  <c r="AE208" i="1"/>
  <c r="AD208" i="1"/>
  <c r="AA208" i="1"/>
  <c r="Z208" i="1"/>
  <c r="W208" i="1"/>
  <c r="U208" i="1"/>
  <c r="T208" i="1"/>
  <c r="V208" i="1" s="1"/>
  <c r="S208" i="1"/>
  <c r="R208" i="1"/>
  <c r="P208" i="1"/>
  <c r="L208" i="1"/>
  <c r="AQ207" i="1"/>
  <c r="AP207" i="1"/>
  <c r="AM207" i="1"/>
  <c r="AL207" i="1"/>
  <c r="AI207" i="1"/>
  <c r="AH207" i="1"/>
  <c r="AE207" i="1"/>
  <c r="AD207" i="1"/>
  <c r="AA207" i="1"/>
  <c r="Z207" i="1"/>
  <c r="U207" i="1"/>
  <c r="V207" i="1" s="1"/>
  <c r="W207" i="1" s="1"/>
  <c r="T207" i="1"/>
  <c r="R207" i="1" s="1"/>
  <c r="P207" i="1"/>
  <c r="AQ206" i="1"/>
  <c r="AP206" i="1"/>
  <c r="AM206" i="1"/>
  <c r="AL206" i="1"/>
  <c r="AI206" i="1"/>
  <c r="AH206" i="1"/>
  <c r="AE206" i="1"/>
  <c r="AD206" i="1"/>
  <c r="AA206" i="1"/>
  <c r="Z206" i="1"/>
  <c r="V206" i="1"/>
  <c r="W206" i="1" s="1"/>
  <c r="U206" i="1"/>
  <c r="S206" i="1" s="1"/>
  <c r="T206" i="1"/>
  <c r="R206" i="1" s="1"/>
  <c r="P206" i="1"/>
  <c r="AQ205" i="1"/>
  <c r="AP205" i="1"/>
  <c r="AM205" i="1"/>
  <c r="AL205" i="1"/>
  <c r="AI205" i="1"/>
  <c r="AH205" i="1"/>
  <c r="AE205" i="1"/>
  <c r="AD205" i="1"/>
  <c r="AA205" i="1"/>
  <c r="Z205" i="1"/>
  <c r="V205" i="1"/>
  <c r="W205" i="1" s="1"/>
  <c r="U205" i="1"/>
  <c r="T205" i="1"/>
  <c r="S205" i="1"/>
  <c r="R205" i="1"/>
  <c r="P205" i="1"/>
  <c r="AQ204" i="1"/>
  <c r="AP204" i="1"/>
  <c r="AM204" i="1"/>
  <c r="AL204" i="1"/>
  <c r="AI204" i="1"/>
  <c r="AH204" i="1"/>
  <c r="AE204" i="1"/>
  <c r="AD204" i="1"/>
  <c r="AA204" i="1"/>
  <c r="Z204" i="1"/>
  <c r="U204" i="1"/>
  <c r="T204" i="1"/>
  <c r="V204" i="1" s="1"/>
  <c r="W204" i="1" s="1"/>
  <c r="S204" i="1"/>
  <c r="R204" i="1"/>
  <c r="P204" i="1"/>
  <c r="AQ203" i="1"/>
  <c r="AP203" i="1"/>
  <c r="AM203" i="1"/>
  <c r="AL203" i="1"/>
  <c r="AI203" i="1"/>
  <c r="AH203" i="1"/>
  <c r="AE203" i="1"/>
  <c r="AD203" i="1"/>
  <c r="AA203" i="1"/>
  <c r="Z203" i="1"/>
  <c r="V203" i="1"/>
  <c r="W203" i="1" s="1"/>
  <c r="U203" i="1"/>
  <c r="T203" i="1"/>
  <c r="S203" i="1"/>
  <c r="R203" i="1"/>
  <c r="P203" i="1"/>
  <c r="AQ202" i="1"/>
  <c r="AP202" i="1"/>
  <c r="AM202" i="1"/>
  <c r="AL202" i="1"/>
  <c r="AI202" i="1"/>
  <c r="AH202" i="1"/>
  <c r="AG202" i="1"/>
  <c r="AG387" i="1" s="1"/>
  <c r="AE202" i="1"/>
  <c r="AD202" i="1"/>
  <c r="AA202" i="1"/>
  <c r="Z202" i="1"/>
  <c r="U202" i="1"/>
  <c r="T202" i="1"/>
  <c r="R202" i="1"/>
  <c r="P202" i="1"/>
  <c r="AQ201" i="1"/>
  <c r="AP201" i="1"/>
  <c r="AM201" i="1"/>
  <c r="AL201" i="1"/>
  <c r="AI201" i="1"/>
  <c r="AH201" i="1"/>
  <c r="AE201" i="1"/>
  <c r="AD201" i="1"/>
  <c r="AA201" i="1"/>
  <c r="Z201" i="1"/>
  <c r="U201" i="1"/>
  <c r="T201" i="1"/>
  <c r="V201" i="1" s="1"/>
  <c r="W201" i="1" s="1"/>
  <c r="S201" i="1"/>
  <c r="R201" i="1"/>
  <c r="P201" i="1"/>
  <c r="AQ200" i="1"/>
  <c r="AP200" i="1"/>
  <c r="AM200" i="1"/>
  <c r="AL200" i="1"/>
  <c r="AI200" i="1"/>
  <c r="AH200" i="1"/>
  <c r="AE200" i="1"/>
  <c r="AD200" i="1"/>
  <c r="AA200" i="1"/>
  <c r="Z200" i="1"/>
  <c r="U200" i="1"/>
  <c r="S200" i="1" s="1"/>
  <c r="T200" i="1"/>
  <c r="R200" i="1" s="1"/>
  <c r="P200" i="1"/>
  <c r="AQ199" i="1"/>
  <c r="AP199" i="1"/>
  <c r="AM199" i="1"/>
  <c r="AL199" i="1"/>
  <c r="AI199" i="1"/>
  <c r="AH199" i="1"/>
  <c r="AE199" i="1"/>
  <c r="AD199" i="1"/>
  <c r="AA199" i="1"/>
  <c r="Z199" i="1"/>
  <c r="V199" i="1"/>
  <c r="W199" i="1" s="1"/>
  <c r="U199" i="1"/>
  <c r="S199" i="1" s="1"/>
  <c r="T199" i="1"/>
  <c r="R199" i="1" s="1"/>
  <c r="P199" i="1"/>
  <c r="AQ198" i="1"/>
  <c r="AP198" i="1"/>
  <c r="AM198" i="1"/>
  <c r="AL198" i="1"/>
  <c r="AI198" i="1"/>
  <c r="AH198" i="1"/>
  <c r="AE198" i="1"/>
  <c r="AD198" i="1"/>
  <c r="AA198" i="1"/>
  <c r="Z198" i="1"/>
  <c r="V198" i="1"/>
  <c r="W198" i="1" s="1"/>
  <c r="U198" i="1"/>
  <c r="S198" i="1" s="1"/>
  <c r="T198" i="1"/>
  <c r="R198" i="1"/>
  <c r="P198" i="1"/>
  <c r="AQ197" i="1"/>
  <c r="AP197" i="1"/>
  <c r="AM197" i="1"/>
  <c r="AL197" i="1"/>
  <c r="AI197" i="1"/>
  <c r="AH197" i="1"/>
  <c r="AE197" i="1"/>
  <c r="AD197" i="1"/>
  <c r="AA197" i="1"/>
  <c r="Z197" i="1"/>
  <c r="W197" i="1"/>
  <c r="U197" i="1"/>
  <c r="T197" i="1"/>
  <c r="V197" i="1" s="1"/>
  <c r="S197" i="1"/>
  <c r="R197" i="1"/>
  <c r="P197" i="1"/>
  <c r="AQ196" i="1"/>
  <c r="AP196" i="1"/>
  <c r="AM196" i="1"/>
  <c r="AL196" i="1"/>
  <c r="AI196" i="1"/>
  <c r="AH196" i="1"/>
  <c r="AE196" i="1"/>
  <c r="AD196" i="1"/>
  <c r="AA196" i="1"/>
  <c r="Z196" i="1"/>
  <c r="U196" i="1"/>
  <c r="S196" i="1" s="1"/>
  <c r="T196" i="1"/>
  <c r="R196" i="1" s="1"/>
  <c r="P196" i="1"/>
  <c r="AQ195" i="1"/>
  <c r="AP195" i="1"/>
  <c r="AM195" i="1"/>
  <c r="AL195" i="1"/>
  <c r="AI195" i="1"/>
  <c r="AH195" i="1"/>
  <c r="AE195" i="1"/>
  <c r="AD195" i="1"/>
  <c r="AA195" i="1"/>
  <c r="Z195" i="1"/>
  <c r="W195" i="1"/>
  <c r="V195" i="1"/>
  <c r="U195" i="1"/>
  <c r="S195" i="1" s="1"/>
  <c r="T195" i="1"/>
  <c r="R195" i="1" s="1"/>
  <c r="P195" i="1"/>
  <c r="AQ194" i="1"/>
  <c r="AP194" i="1"/>
  <c r="AM194" i="1"/>
  <c r="AL194" i="1"/>
  <c r="AI194" i="1"/>
  <c r="AH194" i="1"/>
  <c r="AE194" i="1"/>
  <c r="AD194" i="1"/>
  <c r="AA194" i="1"/>
  <c r="Z194" i="1"/>
  <c r="W194" i="1"/>
  <c r="V194" i="1"/>
  <c r="U194" i="1"/>
  <c r="S194" i="1" s="1"/>
  <c r="T194" i="1"/>
  <c r="R194" i="1"/>
  <c r="P194" i="1"/>
  <c r="AQ193" i="1"/>
  <c r="AP193" i="1"/>
  <c r="AM193" i="1"/>
  <c r="AL193" i="1"/>
  <c r="AI193" i="1"/>
  <c r="AH193" i="1"/>
  <c r="AE193" i="1"/>
  <c r="AD193" i="1"/>
  <c r="AA193" i="1"/>
  <c r="Z193" i="1"/>
  <c r="W193" i="1"/>
  <c r="U193" i="1"/>
  <c r="T193" i="1"/>
  <c r="V193" i="1" s="1"/>
  <c r="S193" i="1"/>
  <c r="R193" i="1"/>
  <c r="P193" i="1"/>
  <c r="AQ192" i="1"/>
  <c r="AP192" i="1"/>
  <c r="AM192" i="1"/>
  <c r="AL192" i="1"/>
  <c r="AI192" i="1"/>
  <c r="AH192" i="1"/>
  <c r="AE192" i="1"/>
  <c r="AD192" i="1"/>
  <c r="AA192" i="1"/>
  <c r="Z192" i="1"/>
  <c r="U192" i="1"/>
  <c r="S192" i="1" s="1"/>
  <c r="T192" i="1"/>
  <c r="R192" i="1" s="1"/>
  <c r="P192" i="1"/>
  <c r="AQ191" i="1"/>
  <c r="AP191" i="1"/>
  <c r="AM191" i="1"/>
  <c r="AL191" i="1"/>
  <c r="AI191" i="1"/>
  <c r="AH191" i="1"/>
  <c r="AE191" i="1"/>
  <c r="AD191" i="1"/>
  <c r="AA191" i="1"/>
  <c r="Z191" i="1"/>
  <c r="W191" i="1"/>
  <c r="V191" i="1"/>
  <c r="U191" i="1"/>
  <c r="S191" i="1" s="1"/>
  <c r="T191" i="1"/>
  <c r="R191" i="1" s="1"/>
  <c r="P191" i="1"/>
  <c r="AQ190" i="1"/>
  <c r="AP190" i="1"/>
  <c r="AM190" i="1"/>
  <c r="AL190" i="1"/>
  <c r="AI190" i="1"/>
  <c r="AH190" i="1"/>
  <c r="AE190" i="1"/>
  <c r="AD190" i="1"/>
  <c r="AA190" i="1"/>
  <c r="Z190" i="1"/>
  <c r="W190" i="1"/>
  <c r="V190" i="1"/>
  <c r="U190" i="1"/>
  <c r="S190" i="1" s="1"/>
  <c r="T190" i="1"/>
  <c r="R190" i="1"/>
  <c r="P190" i="1"/>
  <c r="A190" i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Q189" i="1"/>
  <c r="AP189" i="1"/>
  <c r="AM189" i="1"/>
  <c r="AL189" i="1"/>
  <c r="AI189" i="1"/>
  <c r="AH189" i="1"/>
  <c r="AE189" i="1"/>
  <c r="AD189" i="1"/>
  <c r="AA189" i="1"/>
  <c r="Z189" i="1"/>
  <c r="W189" i="1"/>
  <c r="U189" i="1"/>
  <c r="T189" i="1"/>
  <c r="V189" i="1" s="1"/>
  <c r="S189" i="1"/>
  <c r="R189" i="1"/>
  <c r="P189" i="1"/>
  <c r="AQ188" i="1"/>
  <c r="AP188" i="1"/>
  <c r="AM188" i="1"/>
  <c r="AL188" i="1"/>
  <c r="AI188" i="1"/>
  <c r="AH188" i="1"/>
  <c r="AE188" i="1"/>
  <c r="AD188" i="1"/>
  <c r="AA188" i="1"/>
  <c r="Z188" i="1"/>
  <c r="U188" i="1"/>
  <c r="S188" i="1" s="1"/>
  <c r="T188" i="1"/>
  <c r="V188" i="1" s="1"/>
  <c r="W188" i="1" s="1"/>
  <c r="P188" i="1"/>
  <c r="AQ187" i="1"/>
  <c r="AP187" i="1"/>
  <c r="AM187" i="1"/>
  <c r="AL187" i="1"/>
  <c r="AI187" i="1"/>
  <c r="AH187" i="1"/>
  <c r="AE187" i="1"/>
  <c r="AD187" i="1"/>
  <c r="AA187" i="1"/>
  <c r="Z187" i="1"/>
  <c r="U187" i="1"/>
  <c r="V187" i="1" s="1"/>
  <c r="W187" i="1" s="1"/>
  <c r="T187" i="1"/>
  <c r="R187" i="1" s="1"/>
  <c r="P187" i="1"/>
  <c r="AQ186" i="1"/>
  <c r="AP186" i="1"/>
  <c r="AM186" i="1"/>
  <c r="AL186" i="1"/>
  <c r="AI186" i="1"/>
  <c r="AH186" i="1"/>
  <c r="AE186" i="1"/>
  <c r="AD186" i="1"/>
  <c r="AA186" i="1"/>
  <c r="Z186" i="1"/>
  <c r="U186" i="1"/>
  <c r="S186" i="1" s="1"/>
  <c r="T186" i="1"/>
  <c r="R186" i="1"/>
  <c r="P186" i="1"/>
  <c r="AQ185" i="1"/>
  <c r="AP185" i="1"/>
  <c r="AM185" i="1"/>
  <c r="AL185" i="1"/>
  <c r="AI185" i="1"/>
  <c r="AH185" i="1"/>
  <c r="AE185" i="1"/>
  <c r="AD185" i="1"/>
  <c r="AA185" i="1"/>
  <c r="Z185" i="1"/>
  <c r="W185" i="1"/>
  <c r="U185" i="1"/>
  <c r="T185" i="1"/>
  <c r="V185" i="1" s="1"/>
  <c r="S185" i="1"/>
  <c r="R185" i="1"/>
  <c r="P185" i="1"/>
  <c r="AQ184" i="1"/>
  <c r="AP184" i="1"/>
  <c r="AM184" i="1"/>
  <c r="AL184" i="1"/>
  <c r="AI184" i="1"/>
  <c r="AH184" i="1"/>
  <c r="AE184" i="1"/>
  <c r="AD184" i="1"/>
  <c r="AA184" i="1"/>
  <c r="Z184" i="1"/>
  <c r="U184" i="1"/>
  <c r="S184" i="1" s="1"/>
  <c r="T184" i="1"/>
  <c r="R184" i="1" s="1"/>
  <c r="P184" i="1"/>
  <c r="AQ183" i="1"/>
  <c r="AP183" i="1"/>
  <c r="AM183" i="1"/>
  <c r="AL183" i="1"/>
  <c r="AI183" i="1"/>
  <c r="AH183" i="1"/>
  <c r="AE183" i="1"/>
  <c r="AD183" i="1"/>
  <c r="AA183" i="1"/>
  <c r="Z183" i="1"/>
  <c r="V183" i="1"/>
  <c r="W183" i="1" s="1"/>
  <c r="U183" i="1"/>
  <c r="S183" i="1" s="1"/>
  <c r="T183" i="1"/>
  <c r="R183" i="1" s="1"/>
  <c r="P183" i="1"/>
  <c r="AQ182" i="1"/>
  <c r="AP182" i="1"/>
  <c r="AM182" i="1"/>
  <c r="AL182" i="1"/>
  <c r="AI182" i="1"/>
  <c r="AH182" i="1"/>
  <c r="AE182" i="1"/>
  <c r="AD182" i="1"/>
  <c r="AA182" i="1"/>
  <c r="Z182" i="1"/>
  <c r="W182" i="1"/>
  <c r="V182" i="1"/>
  <c r="U182" i="1"/>
  <c r="T182" i="1"/>
  <c r="S182" i="1"/>
  <c r="R182" i="1"/>
  <c r="P182" i="1"/>
  <c r="AQ181" i="1"/>
  <c r="AP181" i="1"/>
  <c r="AM181" i="1"/>
  <c r="AL181" i="1"/>
  <c r="AI181" i="1"/>
  <c r="AH181" i="1"/>
  <c r="AE181" i="1"/>
  <c r="AD181" i="1"/>
  <c r="AA181" i="1"/>
  <c r="Z181" i="1"/>
  <c r="U181" i="1"/>
  <c r="T181" i="1"/>
  <c r="S181" i="1"/>
  <c r="P181" i="1"/>
  <c r="AQ180" i="1"/>
  <c r="AP180" i="1"/>
  <c r="AM180" i="1"/>
  <c r="AL180" i="1"/>
  <c r="AI180" i="1"/>
  <c r="AH180" i="1"/>
  <c r="AE180" i="1"/>
  <c r="AD180" i="1"/>
  <c r="AA180" i="1"/>
  <c r="Z180" i="1"/>
  <c r="V180" i="1"/>
  <c r="W180" i="1" s="1"/>
  <c r="U180" i="1"/>
  <c r="S180" i="1" s="1"/>
  <c r="T180" i="1"/>
  <c r="R180" i="1" s="1"/>
  <c r="P180" i="1"/>
  <c r="AQ179" i="1"/>
  <c r="AP179" i="1"/>
  <c r="AM179" i="1"/>
  <c r="AL179" i="1"/>
  <c r="AI179" i="1"/>
  <c r="AH179" i="1"/>
  <c r="AE179" i="1"/>
  <c r="AD179" i="1"/>
  <c r="AA179" i="1"/>
  <c r="Z179" i="1"/>
  <c r="U179" i="1"/>
  <c r="V179" i="1" s="1"/>
  <c r="W179" i="1" s="1"/>
  <c r="T179" i="1"/>
  <c r="R179" i="1" s="1"/>
  <c r="P179" i="1"/>
  <c r="AQ178" i="1"/>
  <c r="AP178" i="1"/>
  <c r="AM178" i="1"/>
  <c r="AL178" i="1"/>
  <c r="AI178" i="1"/>
  <c r="AH178" i="1"/>
  <c r="AE178" i="1"/>
  <c r="AD178" i="1"/>
  <c r="AA178" i="1"/>
  <c r="Z178" i="1"/>
  <c r="V178" i="1"/>
  <c r="W178" i="1" s="1"/>
  <c r="U178" i="1"/>
  <c r="S178" i="1" s="1"/>
  <c r="T178" i="1"/>
  <c r="R178" i="1"/>
  <c r="P178" i="1"/>
  <c r="AQ177" i="1"/>
  <c r="AP177" i="1"/>
  <c r="AM177" i="1"/>
  <c r="AL177" i="1"/>
  <c r="AI177" i="1"/>
  <c r="AH177" i="1"/>
  <c r="AE177" i="1"/>
  <c r="AD177" i="1"/>
  <c r="AA177" i="1"/>
  <c r="Z177" i="1"/>
  <c r="U177" i="1"/>
  <c r="S177" i="1" s="1"/>
  <c r="T177" i="1"/>
  <c r="R177" i="1" s="1"/>
  <c r="P177" i="1"/>
  <c r="AQ176" i="1"/>
  <c r="AP176" i="1"/>
  <c r="AM176" i="1"/>
  <c r="AL176" i="1"/>
  <c r="AI176" i="1"/>
  <c r="AH176" i="1"/>
  <c r="AE176" i="1"/>
  <c r="AD176" i="1"/>
  <c r="AA176" i="1"/>
  <c r="Z176" i="1"/>
  <c r="W176" i="1"/>
  <c r="V176" i="1"/>
  <c r="U176" i="1"/>
  <c r="T176" i="1"/>
  <c r="S176" i="1"/>
  <c r="R176" i="1"/>
  <c r="P176" i="1"/>
  <c r="AQ175" i="1"/>
  <c r="AP175" i="1"/>
  <c r="AM175" i="1"/>
  <c r="AL175" i="1"/>
  <c r="AI175" i="1"/>
  <c r="AH175" i="1"/>
  <c r="AE175" i="1"/>
  <c r="AD175" i="1"/>
  <c r="AA175" i="1"/>
  <c r="Z175" i="1"/>
  <c r="U175" i="1"/>
  <c r="T175" i="1"/>
  <c r="S175" i="1"/>
  <c r="P175" i="1"/>
  <c r="AQ174" i="1"/>
  <c r="AP174" i="1"/>
  <c r="AM174" i="1"/>
  <c r="AL174" i="1"/>
  <c r="AI174" i="1"/>
  <c r="AH174" i="1"/>
  <c r="AE174" i="1"/>
  <c r="AD174" i="1"/>
  <c r="AA174" i="1"/>
  <c r="Z174" i="1"/>
  <c r="U174" i="1"/>
  <c r="S174" i="1" s="1"/>
  <c r="T174" i="1"/>
  <c r="R174" i="1" s="1"/>
  <c r="P174" i="1"/>
  <c r="AQ173" i="1"/>
  <c r="AP173" i="1"/>
  <c r="AM173" i="1"/>
  <c r="AL173" i="1"/>
  <c r="AI173" i="1"/>
  <c r="AH173" i="1"/>
  <c r="AE173" i="1"/>
  <c r="AD173" i="1"/>
  <c r="AA173" i="1"/>
  <c r="Z173" i="1"/>
  <c r="W173" i="1"/>
  <c r="U173" i="1"/>
  <c r="V173" i="1" s="1"/>
  <c r="T173" i="1"/>
  <c r="R173" i="1" s="1"/>
  <c r="P173" i="1"/>
  <c r="AQ172" i="1"/>
  <c r="AP172" i="1"/>
  <c r="AM172" i="1"/>
  <c r="AL172" i="1"/>
  <c r="AI172" i="1"/>
  <c r="AH172" i="1"/>
  <c r="AE172" i="1"/>
  <c r="AD172" i="1"/>
  <c r="AA172" i="1"/>
  <c r="Z172" i="1"/>
  <c r="U172" i="1"/>
  <c r="V172" i="1" s="1"/>
  <c r="W172" i="1" s="1"/>
  <c r="T172" i="1"/>
  <c r="R172" i="1" s="1"/>
  <c r="P172" i="1"/>
  <c r="AQ171" i="1"/>
  <c r="AP171" i="1"/>
  <c r="AM171" i="1"/>
  <c r="AL171" i="1"/>
  <c r="AI171" i="1"/>
  <c r="AH171" i="1"/>
  <c r="AE171" i="1"/>
  <c r="AD171" i="1"/>
  <c r="AA171" i="1"/>
  <c r="Z171" i="1"/>
  <c r="W171" i="1"/>
  <c r="V171" i="1"/>
  <c r="U171" i="1"/>
  <c r="T171" i="1"/>
  <c r="S171" i="1"/>
  <c r="R171" i="1"/>
  <c r="P171" i="1"/>
  <c r="AQ170" i="1"/>
  <c r="AP170" i="1"/>
  <c r="AM170" i="1"/>
  <c r="AL170" i="1"/>
  <c r="AI170" i="1"/>
  <c r="AH170" i="1"/>
  <c r="AE170" i="1"/>
  <c r="AD170" i="1"/>
  <c r="AA170" i="1"/>
  <c r="Z170" i="1"/>
  <c r="U170" i="1"/>
  <c r="S170" i="1" s="1"/>
  <c r="T170" i="1"/>
  <c r="R170" i="1" s="1"/>
  <c r="P170" i="1"/>
  <c r="AQ169" i="1"/>
  <c r="AP169" i="1"/>
  <c r="AM169" i="1"/>
  <c r="AL169" i="1"/>
  <c r="AI169" i="1"/>
  <c r="AH169" i="1"/>
  <c r="AE169" i="1"/>
  <c r="AD169" i="1"/>
  <c r="AA169" i="1"/>
  <c r="Z169" i="1"/>
  <c r="W169" i="1"/>
  <c r="U169" i="1"/>
  <c r="V169" i="1" s="1"/>
  <c r="T169" i="1"/>
  <c r="R169" i="1" s="1"/>
  <c r="P169" i="1"/>
  <c r="AQ168" i="1"/>
  <c r="AP168" i="1"/>
  <c r="AM168" i="1"/>
  <c r="AL168" i="1"/>
  <c r="AI168" i="1"/>
  <c r="AH168" i="1"/>
  <c r="AE168" i="1"/>
  <c r="AD168" i="1"/>
  <c r="AA168" i="1"/>
  <c r="Z168" i="1"/>
  <c r="U168" i="1"/>
  <c r="V168" i="1" s="1"/>
  <c r="W168" i="1" s="1"/>
  <c r="T168" i="1"/>
  <c r="R168" i="1"/>
  <c r="P168" i="1"/>
  <c r="AQ167" i="1"/>
  <c r="AP167" i="1"/>
  <c r="AM167" i="1"/>
  <c r="AL167" i="1"/>
  <c r="AI167" i="1"/>
  <c r="AH167" i="1"/>
  <c r="AE167" i="1"/>
  <c r="AD167" i="1"/>
  <c r="AA167" i="1"/>
  <c r="Z167" i="1"/>
  <c r="W167" i="1"/>
  <c r="V167" i="1"/>
  <c r="U167" i="1"/>
  <c r="T167" i="1"/>
  <c r="S167" i="1"/>
  <c r="R167" i="1"/>
  <c r="P167" i="1"/>
  <c r="AQ166" i="1"/>
  <c r="AP166" i="1"/>
  <c r="AM166" i="1"/>
  <c r="AL166" i="1"/>
  <c r="AI166" i="1"/>
  <c r="AH166" i="1"/>
  <c r="AE166" i="1"/>
  <c r="AD166" i="1"/>
  <c r="AA166" i="1"/>
  <c r="Z166" i="1"/>
  <c r="W166" i="1"/>
  <c r="U166" i="1"/>
  <c r="T166" i="1"/>
  <c r="R166" i="1" s="1"/>
  <c r="S166" i="1"/>
  <c r="P166" i="1"/>
  <c r="AQ165" i="1"/>
  <c r="AP165" i="1"/>
  <c r="AM165" i="1"/>
  <c r="AL165" i="1"/>
  <c r="AI165" i="1"/>
  <c r="AH165" i="1"/>
  <c r="AE165" i="1"/>
  <c r="AD165" i="1"/>
  <c r="AA165" i="1"/>
  <c r="Z165" i="1"/>
  <c r="V165" i="1"/>
  <c r="W165" i="1" s="1"/>
  <c r="U165" i="1"/>
  <c r="S165" i="1" s="1"/>
  <c r="T165" i="1"/>
  <c r="R165" i="1" s="1"/>
  <c r="P165" i="1"/>
  <c r="AQ164" i="1"/>
  <c r="AP164" i="1"/>
  <c r="AM164" i="1"/>
  <c r="AL164" i="1"/>
  <c r="AI164" i="1"/>
  <c r="AH164" i="1"/>
  <c r="AE164" i="1"/>
  <c r="AD164" i="1"/>
  <c r="AA164" i="1"/>
  <c r="Z164" i="1"/>
  <c r="V164" i="1"/>
  <c r="W164" i="1" s="1"/>
  <c r="U164" i="1"/>
  <c r="S164" i="1" s="1"/>
  <c r="T164" i="1"/>
  <c r="R164" i="1" s="1"/>
  <c r="P164" i="1"/>
  <c r="AQ163" i="1"/>
  <c r="AP163" i="1"/>
  <c r="AM163" i="1"/>
  <c r="AL163" i="1"/>
  <c r="AI163" i="1"/>
  <c r="AH163" i="1"/>
  <c r="AE163" i="1"/>
  <c r="AD163" i="1"/>
  <c r="AA163" i="1"/>
  <c r="Z163" i="1"/>
  <c r="V163" i="1"/>
  <c r="W163" i="1" s="1"/>
  <c r="U163" i="1"/>
  <c r="S163" i="1" s="1"/>
  <c r="T163" i="1"/>
  <c r="R163" i="1"/>
  <c r="P163" i="1"/>
  <c r="AQ162" i="1"/>
  <c r="AP162" i="1"/>
  <c r="AM162" i="1"/>
  <c r="AL162" i="1"/>
  <c r="AI162" i="1"/>
  <c r="AH162" i="1"/>
  <c r="AE162" i="1"/>
  <c r="AD162" i="1"/>
  <c r="AA162" i="1"/>
  <c r="Z162" i="1"/>
  <c r="U162" i="1"/>
  <c r="T162" i="1"/>
  <c r="S162" i="1"/>
  <c r="P162" i="1"/>
  <c r="AQ161" i="1"/>
  <c r="AP161" i="1"/>
  <c r="AM161" i="1"/>
  <c r="AL161" i="1"/>
  <c r="AI161" i="1"/>
  <c r="AH161" i="1"/>
  <c r="AE161" i="1"/>
  <c r="AD161" i="1"/>
  <c r="AA161" i="1"/>
  <c r="Z161" i="1"/>
  <c r="V161" i="1"/>
  <c r="W161" i="1" s="1"/>
  <c r="U161" i="1"/>
  <c r="S161" i="1" s="1"/>
  <c r="T161" i="1"/>
  <c r="R161" i="1" s="1"/>
  <c r="P161" i="1"/>
  <c r="AQ160" i="1"/>
  <c r="AP160" i="1"/>
  <c r="AM160" i="1"/>
  <c r="AL160" i="1"/>
  <c r="AI160" i="1"/>
  <c r="AH160" i="1"/>
  <c r="AE160" i="1"/>
  <c r="AD160" i="1"/>
  <c r="AA160" i="1"/>
  <c r="Z160" i="1"/>
  <c r="V160" i="1"/>
  <c r="W160" i="1" s="1"/>
  <c r="U160" i="1"/>
  <c r="S160" i="1" s="1"/>
  <c r="T160" i="1"/>
  <c r="R160" i="1" s="1"/>
  <c r="P160" i="1"/>
  <c r="AQ159" i="1"/>
  <c r="AP159" i="1"/>
  <c r="AM159" i="1"/>
  <c r="AL159" i="1"/>
  <c r="AI159" i="1"/>
  <c r="AH159" i="1"/>
  <c r="AE159" i="1"/>
  <c r="AD159" i="1"/>
  <c r="AA159" i="1"/>
  <c r="Z159" i="1"/>
  <c r="V159" i="1"/>
  <c r="W159" i="1" s="1"/>
  <c r="U159" i="1"/>
  <c r="S159" i="1" s="1"/>
  <c r="T159" i="1"/>
  <c r="R159" i="1"/>
  <c r="P159" i="1"/>
  <c r="AQ158" i="1"/>
  <c r="AP158" i="1"/>
  <c r="AM158" i="1"/>
  <c r="AL158" i="1"/>
  <c r="AI158" i="1"/>
  <c r="AH158" i="1"/>
  <c r="AE158" i="1"/>
  <c r="AD158" i="1"/>
  <c r="AA158" i="1"/>
  <c r="Z158" i="1"/>
  <c r="U158" i="1"/>
  <c r="T158" i="1"/>
  <c r="S158" i="1"/>
  <c r="P158" i="1"/>
  <c r="AQ157" i="1"/>
  <c r="AP157" i="1"/>
  <c r="AM157" i="1"/>
  <c r="AL157" i="1"/>
  <c r="AI157" i="1"/>
  <c r="AH157" i="1"/>
  <c r="AE157" i="1"/>
  <c r="AD157" i="1"/>
  <c r="AA157" i="1"/>
  <c r="Z157" i="1"/>
  <c r="V157" i="1"/>
  <c r="W157" i="1" s="1"/>
  <c r="U157" i="1"/>
  <c r="S157" i="1" s="1"/>
  <c r="T157" i="1"/>
  <c r="R157" i="1" s="1"/>
  <c r="P157" i="1"/>
  <c r="AQ156" i="1"/>
  <c r="AP156" i="1"/>
  <c r="AM156" i="1"/>
  <c r="AL156" i="1"/>
  <c r="AI156" i="1"/>
  <c r="AH156" i="1"/>
  <c r="AE156" i="1"/>
  <c r="AD156" i="1"/>
  <c r="AA156" i="1"/>
  <c r="Z156" i="1"/>
  <c r="V156" i="1"/>
  <c r="W156" i="1" s="1"/>
  <c r="U156" i="1"/>
  <c r="S156" i="1" s="1"/>
  <c r="T156" i="1"/>
  <c r="R156" i="1" s="1"/>
  <c r="P156" i="1"/>
  <c r="A156" i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Q155" i="1"/>
  <c r="AP155" i="1"/>
  <c r="AM155" i="1"/>
  <c r="AL155" i="1"/>
  <c r="AI155" i="1"/>
  <c r="AH155" i="1"/>
  <c r="AE155" i="1"/>
  <c r="AD155" i="1"/>
  <c r="AA155" i="1"/>
  <c r="Z155" i="1"/>
  <c r="V155" i="1"/>
  <c r="W155" i="1" s="1"/>
  <c r="U155" i="1"/>
  <c r="S155" i="1" s="1"/>
  <c r="T155" i="1"/>
  <c r="R155" i="1"/>
  <c r="P155" i="1"/>
  <c r="AQ154" i="1"/>
  <c r="AP154" i="1"/>
  <c r="AM154" i="1"/>
  <c r="AL154" i="1"/>
  <c r="AI154" i="1"/>
  <c r="AH154" i="1"/>
  <c r="AE154" i="1"/>
  <c r="AD154" i="1"/>
  <c r="AA154" i="1"/>
  <c r="Z154" i="1"/>
  <c r="U154" i="1"/>
  <c r="T154" i="1"/>
  <c r="S154" i="1"/>
  <c r="P154" i="1"/>
  <c r="AQ153" i="1"/>
  <c r="AP153" i="1"/>
  <c r="AM153" i="1"/>
  <c r="AL153" i="1"/>
  <c r="AI153" i="1"/>
  <c r="AH153" i="1"/>
  <c r="AE153" i="1"/>
  <c r="AD153" i="1"/>
  <c r="AA153" i="1"/>
  <c r="Z153" i="1"/>
  <c r="V153" i="1"/>
  <c r="W153" i="1" s="1"/>
  <c r="U153" i="1"/>
  <c r="T153" i="1"/>
  <c r="R153" i="1" s="1"/>
  <c r="S153" i="1"/>
  <c r="P153" i="1"/>
  <c r="AQ152" i="1"/>
  <c r="AP152" i="1"/>
  <c r="AM152" i="1"/>
  <c r="AL152" i="1"/>
  <c r="AI152" i="1"/>
  <c r="AH152" i="1"/>
  <c r="AE152" i="1"/>
  <c r="AD152" i="1"/>
  <c r="AA152" i="1"/>
  <c r="Z152" i="1"/>
  <c r="U152" i="1"/>
  <c r="V152" i="1" s="1"/>
  <c r="W152" i="1" s="1"/>
  <c r="T152" i="1"/>
  <c r="R152" i="1" s="1"/>
  <c r="P152" i="1"/>
  <c r="A152" i="1"/>
  <c r="A153" i="1" s="1"/>
  <c r="A154" i="1" s="1"/>
  <c r="A155" i="1" s="1"/>
  <c r="AQ151" i="1"/>
  <c r="AP151" i="1"/>
  <c r="AM151" i="1"/>
  <c r="AL151" i="1"/>
  <c r="AI151" i="1"/>
  <c r="AH151" i="1"/>
  <c r="AE151" i="1"/>
  <c r="AD151" i="1"/>
  <c r="AA151" i="1"/>
  <c r="Z151" i="1"/>
  <c r="W151" i="1"/>
  <c r="V151" i="1"/>
  <c r="U151" i="1"/>
  <c r="S151" i="1" s="1"/>
  <c r="T151" i="1"/>
  <c r="R151" i="1"/>
  <c r="P151" i="1"/>
  <c r="A151" i="1"/>
  <c r="AQ150" i="1"/>
  <c r="AP150" i="1"/>
  <c r="AM150" i="1"/>
  <c r="AL150" i="1"/>
  <c r="AI150" i="1"/>
  <c r="AH150" i="1"/>
  <c r="AE150" i="1"/>
  <c r="AD150" i="1"/>
  <c r="AA150" i="1"/>
  <c r="Z150" i="1"/>
  <c r="U150" i="1"/>
  <c r="T150" i="1"/>
  <c r="S150" i="1"/>
  <c r="P150" i="1"/>
  <c r="AQ149" i="1"/>
  <c r="AP149" i="1"/>
  <c r="AM149" i="1"/>
  <c r="AL149" i="1"/>
  <c r="AI149" i="1"/>
  <c r="AH149" i="1"/>
  <c r="AE149" i="1"/>
  <c r="AD149" i="1"/>
  <c r="AA149" i="1"/>
  <c r="Z149" i="1"/>
  <c r="V149" i="1"/>
  <c r="W149" i="1" s="1"/>
  <c r="U149" i="1"/>
  <c r="T149" i="1"/>
  <c r="R149" i="1" s="1"/>
  <c r="S149" i="1"/>
  <c r="P149" i="1"/>
  <c r="AQ148" i="1"/>
  <c r="AP148" i="1"/>
  <c r="AM148" i="1"/>
  <c r="AL148" i="1"/>
  <c r="AI148" i="1"/>
  <c r="AH148" i="1"/>
  <c r="AE148" i="1"/>
  <c r="AD148" i="1"/>
  <c r="AA148" i="1"/>
  <c r="Z148" i="1"/>
  <c r="U148" i="1"/>
  <c r="V148" i="1" s="1"/>
  <c r="W148" i="1" s="1"/>
  <c r="T148" i="1"/>
  <c r="R148" i="1" s="1"/>
  <c r="P148" i="1"/>
  <c r="AQ147" i="1"/>
  <c r="AP147" i="1"/>
  <c r="AM147" i="1"/>
  <c r="AL147" i="1"/>
  <c r="AI147" i="1"/>
  <c r="AH147" i="1"/>
  <c r="AE147" i="1"/>
  <c r="AD147" i="1"/>
  <c r="AA147" i="1"/>
  <c r="Z147" i="1"/>
  <c r="W147" i="1"/>
  <c r="V147" i="1"/>
  <c r="U147" i="1"/>
  <c r="S147" i="1" s="1"/>
  <c r="T147" i="1"/>
  <c r="R147" i="1"/>
  <c r="P147" i="1"/>
  <c r="AQ146" i="1"/>
  <c r="AP146" i="1"/>
  <c r="AM146" i="1"/>
  <c r="AL146" i="1"/>
  <c r="AI146" i="1"/>
  <c r="AH146" i="1"/>
  <c r="AE146" i="1"/>
  <c r="AD146" i="1"/>
  <c r="AA146" i="1"/>
  <c r="Z146" i="1"/>
  <c r="U146" i="1"/>
  <c r="T146" i="1"/>
  <c r="S146" i="1"/>
  <c r="P146" i="1"/>
  <c r="AQ145" i="1"/>
  <c r="AP145" i="1"/>
  <c r="AM145" i="1"/>
  <c r="AL145" i="1"/>
  <c r="AI145" i="1"/>
  <c r="AH145" i="1"/>
  <c r="AE145" i="1"/>
  <c r="AD145" i="1"/>
  <c r="AA145" i="1"/>
  <c r="Z145" i="1"/>
  <c r="V145" i="1"/>
  <c r="W145" i="1" s="1"/>
  <c r="U145" i="1"/>
  <c r="T145" i="1"/>
  <c r="R145" i="1" s="1"/>
  <c r="S145" i="1"/>
  <c r="P145" i="1"/>
  <c r="AQ144" i="1"/>
  <c r="AP144" i="1"/>
  <c r="AM144" i="1"/>
  <c r="AL144" i="1"/>
  <c r="AI144" i="1"/>
  <c r="AH144" i="1"/>
  <c r="AE144" i="1"/>
  <c r="AD144" i="1"/>
  <c r="AA144" i="1"/>
  <c r="Z144" i="1"/>
  <c r="U144" i="1"/>
  <c r="V144" i="1" s="1"/>
  <c r="W144" i="1" s="1"/>
  <c r="T144" i="1"/>
  <c r="R144" i="1" s="1"/>
  <c r="P144" i="1"/>
  <c r="AQ143" i="1"/>
  <c r="AP143" i="1"/>
  <c r="AM143" i="1"/>
  <c r="AL143" i="1"/>
  <c r="AI143" i="1"/>
  <c r="AH143" i="1"/>
  <c r="AE143" i="1"/>
  <c r="AD143" i="1"/>
  <c r="AA143" i="1"/>
  <c r="Z143" i="1"/>
  <c r="W143" i="1"/>
  <c r="V143" i="1"/>
  <c r="U143" i="1"/>
  <c r="S143" i="1" s="1"/>
  <c r="T143" i="1"/>
  <c r="R143" i="1"/>
  <c r="P143" i="1"/>
  <c r="AQ142" i="1"/>
  <c r="AP142" i="1"/>
  <c r="AM142" i="1"/>
  <c r="AL142" i="1"/>
  <c r="AI142" i="1"/>
  <c r="AH142" i="1"/>
  <c r="AE142" i="1"/>
  <c r="AD142" i="1"/>
  <c r="AA142" i="1"/>
  <c r="Z142" i="1"/>
  <c r="U142" i="1"/>
  <c r="T142" i="1"/>
  <c r="S142" i="1"/>
  <c r="P142" i="1"/>
  <c r="AQ141" i="1"/>
  <c r="AP141" i="1"/>
  <c r="AM141" i="1"/>
  <c r="AL141" i="1"/>
  <c r="AI141" i="1"/>
  <c r="AH141" i="1"/>
  <c r="AE141" i="1"/>
  <c r="AD141" i="1"/>
  <c r="AA141" i="1"/>
  <c r="Z141" i="1"/>
  <c r="V141" i="1"/>
  <c r="W141" i="1" s="1"/>
  <c r="U141" i="1"/>
  <c r="T141" i="1"/>
  <c r="R141" i="1" s="1"/>
  <c r="S141" i="1"/>
  <c r="P141" i="1"/>
  <c r="AQ140" i="1"/>
  <c r="AP140" i="1"/>
  <c r="AM140" i="1"/>
  <c r="AL140" i="1"/>
  <c r="AH140" i="1"/>
  <c r="AE140" i="1"/>
  <c r="AD140" i="1"/>
  <c r="AA140" i="1"/>
  <c r="Z140" i="1"/>
  <c r="W140" i="1"/>
  <c r="U140" i="1"/>
  <c r="T140" i="1"/>
  <c r="R140" i="1" s="1"/>
  <c r="S140" i="1"/>
  <c r="P140" i="1"/>
  <c r="AQ139" i="1"/>
  <c r="AP139" i="1"/>
  <c r="AM139" i="1"/>
  <c r="AL139" i="1"/>
  <c r="AI139" i="1"/>
  <c r="AH139" i="1"/>
  <c r="AE139" i="1"/>
  <c r="AD139" i="1"/>
  <c r="AA139" i="1"/>
  <c r="Z139" i="1"/>
  <c r="U139" i="1"/>
  <c r="V139" i="1" s="1"/>
  <c r="W139" i="1" s="1"/>
  <c r="T139" i="1"/>
  <c r="R139" i="1" s="1"/>
  <c r="P139" i="1"/>
  <c r="AQ138" i="1"/>
  <c r="AP138" i="1"/>
  <c r="AM138" i="1"/>
  <c r="AL138" i="1"/>
  <c r="AI138" i="1"/>
  <c r="AH138" i="1"/>
  <c r="AE138" i="1"/>
  <c r="AD138" i="1"/>
  <c r="AA138" i="1"/>
  <c r="Z138" i="1"/>
  <c r="W138" i="1"/>
  <c r="V138" i="1"/>
  <c r="U138" i="1"/>
  <c r="S138" i="1" s="1"/>
  <c r="T138" i="1"/>
  <c r="R138" i="1"/>
  <c r="P138" i="1"/>
  <c r="AQ137" i="1"/>
  <c r="AP137" i="1"/>
  <c r="AM137" i="1"/>
  <c r="AL137" i="1"/>
  <c r="AI137" i="1"/>
  <c r="AH137" i="1"/>
  <c r="AE137" i="1"/>
  <c r="AD137" i="1"/>
  <c r="AA137" i="1"/>
  <c r="Z137" i="1"/>
  <c r="U137" i="1"/>
  <c r="T137" i="1"/>
  <c r="S137" i="1"/>
  <c r="P137" i="1"/>
  <c r="AQ136" i="1"/>
  <c r="AP136" i="1"/>
  <c r="AM136" i="1"/>
  <c r="AL136" i="1"/>
  <c r="AI136" i="1"/>
  <c r="AH136" i="1"/>
  <c r="AE136" i="1"/>
  <c r="AD136" i="1"/>
  <c r="AA136" i="1"/>
  <c r="Z136" i="1"/>
  <c r="V136" i="1"/>
  <c r="W136" i="1" s="1"/>
  <c r="U136" i="1"/>
  <c r="T136" i="1"/>
  <c r="R136" i="1" s="1"/>
  <c r="S136" i="1"/>
  <c r="P136" i="1"/>
  <c r="AQ135" i="1"/>
  <c r="AP135" i="1"/>
  <c r="AM135" i="1"/>
  <c r="AL135" i="1"/>
  <c r="AI135" i="1"/>
  <c r="AH135" i="1"/>
  <c r="AE135" i="1"/>
  <c r="AD135" i="1"/>
  <c r="AA135" i="1"/>
  <c r="Z135" i="1"/>
  <c r="V135" i="1"/>
  <c r="W135" i="1" s="1"/>
  <c r="U135" i="1"/>
  <c r="S135" i="1" s="1"/>
  <c r="T135" i="1"/>
  <c r="R135" i="1" s="1"/>
  <c r="P135" i="1"/>
  <c r="AQ134" i="1"/>
  <c r="AP134" i="1"/>
  <c r="AM134" i="1"/>
  <c r="AL134" i="1"/>
  <c r="AI134" i="1"/>
  <c r="AH134" i="1"/>
  <c r="AE134" i="1"/>
  <c r="AD134" i="1"/>
  <c r="AA134" i="1"/>
  <c r="Z134" i="1"/>
  <c r="W134" i="1"/>
  <c r="V134" i="1"/>
  <c r="U134" i="1"/>
  <c r="S134" i="1" s="1"/>
  <c r="T134" i="1"/>
  <c r="R134" i="1"/>
  <c r="P134" i="1"/>
  <c r="AQ133" i="1"/>
  <c r="AP133" i="1"/>
  <c r="AM133" i="1"/>
  <c r="AL133" i="1"/>
  <c r="AI133" i="1"/>
  <c r="AH133" i="1"/>
  <c r="AE133" i="1"/>
  <c r="AD133" i="1"/>
  <c r="AA133" i="1"/>
  <c r="Z133" i="1"/>
  <c r="U133" i="1"/>
  <c r="T133" i="1"/>
  <c r="V133" i="1" s="1"/>
  <c r="W133" i="1" s="1"/>
  <c r="S133" i="1"/>
  <c r="P133" i="1"/>
  <c r="AQ132" i="1"/>
  <c r="AP132" i="1"/>
  <c r="AM132" i="1"/>
  <c r="AL132" i="1"/>
  <c r="AI132" i="1"/>
  <c r="AH132" i="1"/>
  <c r="AE132" i="1"/>
  <c r="AD132" i="1"/>
  <c r="AA132" i="1"/>
  <c r="Z132" i="1"/>
  <c r="V132" i="1"/>
  <c r="W132" i="1" s="1"/>
  <c r="U132" i="1"/>
  <c r="T132" i="1"/>
  <c r="R132" i="1" s="1"/>
  <c r="S132" i="1"/>
  <c r="P132" i="1"/>
  <c r="AQ131" i="1"/>
  <c r="AP131" i="1"/>
  <c r="AM131" i="1"/>
  <c r="AL131" i="1"/>
  <c r="AI131" i="1"/>
  <c r="AH131" i="1"/>
  <c r="AE131" i="1"/>
  <c r="AD131" i="1"/>
  <c r="AA131" i="1"/>
  <c r="Z131" i="1"/>
  <c r="V131" i="1"/>
  <c r="W131" i="1" s="1"/>
  <c r="U131" i="1"/>
  <c r="S131" i="1" s="1"/>
  <c r="T131" i="1"/>
  <c r="R131" i="1" s="1"/>
  <c r="P131" i="1"/>
  <c r="AQ130" i="1"/>
  <c r="AP130" i="1"/>
  <c r="AM130" i="1"/>
  <c r="AL130" i="1"/>
  <c r="AI130" i="1"/>
  <c r="AH130" i="1"/>
  <c r="AE130" i="1"/>
  <c r="AD130" i="1"/>
  <c r="AA130" i="1"/>
  <c r="Z130" i="1"/>
  <c r="W130" i="1"/>
  <c r="V130" i="1"/>
  <c r="U130" i="1"/>
  <c r="S130" i="1" s="1"/>
  <c r="T130" i="1"/>
  <c r="R130" i="1"/>
  <c r="P130" i="1"/>
  <c r="AQ129" i="1"/>
  <c r="AP129" i="1"/>
  <c r="AM129" i="1"/>
  <c r="AL129" i="1"/>
  <c r="AI129" i="1"/>
  <c r="AH129" i="1"/>
  <c r="AE129" i="1"/>
  <c r="AD129" i="1"/>
  <c r="AA129" i="1"/>
  <c r="Z129" i="1"/>
  <c r="U129" i="1"/>
  <c r="T129" i="1"/>
  <c r="V129" i="1" s="1"/>
  <c r="W129" i="1" s="1"/>
  <c r="S129" i="1"/>
  <c r="P129" i="1"/>
  <c r="AQ128" i="1"/>
  <c r="AP128" i="1"/>
  <c r="AM128" i="1"/>
  <c r="AL128" i="1"/>
  <c r="AI128" i="1"/>
  <c r="AH128" i="1"/>
  <c r="AE128" i="1"/>
  <c r="AD128" i="1"/>
  <c r="AA128" i="1"/>
  <c r="Z128" i="1"/>
  <c r="U128" i="1"/>
  <c r="T128" i="1"/>
  <c r="R128" i="1" s="1"/>
  <c r="S128" i="1"/>
  <c r="P128" i="1"/>
  <c r="AQ127" i="1"/>
  <c r="AP127" i="1"/>
  <c r="AM127" i="1"/>
  <c r="AL127" i="1"/>
  <c r="AI127" i="1"/>
  <c r="AH127" i="1"/>
  <c r="AE127" i="1"/>
  <c r="AD127" i="1"/>
  <c r="AA127" i="1"/>
  <c r="Z127" i="1"/>
  <c r="V127" i="1"/>
  <c r="W127" i="1" s="1"/>
  <c r="U127" i="1"/>
  <c r="S127" i="1" s="1"/>
  <c r="T127" i="1"/>
  <c r="R127" i="1" s="1"/>
  <c r="P127" i="1"/>
  <c r="AQ126" i="1"/>
  <c r="AP126" i="1"/>
  <c r="AM126" i="1"/>
  <c r="AL126" i="1"/>
  <c r="AI126" i="1"/>
  <c r="AH126" i="1"/>
  <c r="AE126" i="1"/>
  <c r="AD126" i="1"/>
  <c r="AA126" i="1"/>
  <c r="Z126" i="1"/>
  <c r="W126" i="1"/>
  <c r="V126" i="1"/>
  <c r="U126" i="1"/>
  <c r="S126" i="1" s="1"/>
  <c r="T126" i="1"/>
  <c r="R126" i="1"/>
  <c r="P126" i="1"/>
  <c r="AQ125" i="1"/>
  <c r="AP125" i="1"/>
  <c r="AM125" i="1"/>
  <c r="AL125" i="1"/>
  <c r="AI125" i="1"/>
  <c r="AH125" i="1"/>
  <c r="AE125" i="1"/>
  <c r="AD125" i="1"/>
  <c r="AA125" i="1"/>
  <c r="Z125" i="1"/>
  <c r="U125" i="1"/>
  <c r="T125" i="1"/>
  <c r="V125" i="1" s="1"/>
  <c r="W125" i="1" s="1"/>
  <c r="S125" i="1"/>
  <c r="R125" i="1"/>
  <c r="P125" i="1"/>
  <c r="AQ124" i="1"/>
  <c r="AP124" i="1"/>
  <c r="AM124" i="1"/>
  <c r="AL124" i="1"/>
  <c r="AI124" i="1"/>
  <c r="AH124" i="1"/>
  <c r="AE124" i="1"/>
  <c r="AD124" i="1"/>
  <c r="AA124" i="1"/>
  <c r="Z124" i="1"/>
  <c r="V124" i="1"/>
  <c r="W124" i="1" s="1"/>
  <c r="U124" i="1"/>
  <c r="T124" i="1"/>
  <c r="R124" i="1" s="1"/>
  <c r="S124" i="1"/>
  <c r="P124" i="1"/>
  <c r="AQ123" i="1"/>
  <c r="AP123" i="1"/>
  <c r="AM123" i="1"/>
  <c r="AL123" i="1"/>
  <c r="AI123" i="1"/>
  <c r="AH123" i="1"/>
  <c r="AE123" i="1"/>
  <c r="AD123" i="1"/>
  <c r="AA123" i="1"/>
  <c r="Z123" i="1"/>
  <c r="V123" i="1"/>
  <c r="W123" i="1" s="1"/>
  <c r="U123" i="1"/>
  <c r="S123" i="1" s="1"/>
  <c r="T123" i="1"/>
  <c r="R123" i="1" s="1"/>
  <c r="P123" i="1"/>
  <c r="AQ122" i="1"/>
  <c r="AP122" i="1"/>
  <c r="AM122" i="1"/>
  <c r="AL122" i="1"/>
  <c r="AI122" i="1"/>
  <c r="AH122" i="1"/>
  <c r="AE122" i="1"/>
  <c r="AD122" i="1"/>
  <c r="AA122" i="1"/>
  <c r="Z122" i="1"/>
  <c r="W122" i="1"/>
  <c r="V122" i="1"/>
  <c r="U122" i="1"/>
  <c r="S122" i="1" s="1"/>
  <c r="T122" i="1"/>
  <c r="R122" i="1"/>
  <c r="P122" i="1"/>
  <c r="AQ121" i="1"/>
  <c r="AP121" i="1"/>
  <c r="AM121" i="1"/>
  <c r="AL121" i="1"/>
  <c r="AI121" i="1"/>
  <c r="AH121" i="1"/>
  <c r="AE121" i="1"/>
  <c r="AD121" i="1"/>
  <c r="AA121" i="1"/>
  <c r="Z121" i="1"/>
  <c r="U121" i="1"/>
  <c r="T121" i="1"/>
  <c r="V121" i="1" s="1"/>
  <c r="W121" i="1" s="1"/>
  <c r="S121" i="1"/>
  <c r="P121" i="1"/>
  <c r="AQ120" i="1"/>
  <c r="AP120" i="1"/>
  <c r="AM120" i="1"/>
  <c r="AL120" i="1"/>
  <c r="AI120" i="1"/>
  <c r="AH120" i="1"/>
  <c r="AE120" i="1"/>
  <c r="AD120" i="1"/>
  <c r="AA120" i="1"/>
  <c r="Z120" i="1"/>
  <c r="V120" i="1"/>
  <c r="W120" i="1" s="1"/>
  <c r="U120" i="1"/>
  <c r="T120" i="1"/>
  <c r="R120" i="1" s="1"/>
  <c r="S120" i="1"/>
  <c r="P120" i="1"/>
  <c r="AQ119" i="1"/>
  <c r="AP119" i="1"/>
  <c r="AM119" i="1"/>
  <c r="AL119" i="1"/>
  <c r="AI119" i="1"/>
  <c r="AH119" i="1"/>
  <c r="AE119" i="1"/>
  <c r="AD119" i="1"/>
  <c r="AA119" i="1"/>
  <c r="Z119" i="1"/>
  <c r="V119" i="1"/>
  <c r="W119" i="1" s="1"/>
  <c r="U119" i="1"/>
  <c r="S119" i="1" s="1"/>
  <c r="T119" i="1"/>
  <c r="R119" i="1" s="1"/>
  <c r="P119" i="1"/>
  <c r="AQ118" i="1"/>
  <c r="AP118" i="1"/>
  <c r="AM118" i="1"/>
  <c r="AL118" i="1"/>
  <c r="AI118" i="1"/>
  <c r="AH118" i="1"/>
  <c r="AE118" i="1"/>
  <c r="AD118" i="1"/>
  <c r="AA118" i="1"/>
  <c r="Z118" i="1"/>
  <c r="W118" i="1"/>
  <c r="V118" i="1"/>
  <c r="U118" i="1"/>
  <c r="S118" i="1" s="1"/>
  <c r="T118" i="1"/>
  <c r="R118" i="1"/>
  <c r="P118" i="1"/>
  <c r="AQ117" i="1"/>
  <c r="AP117" i="1"/>
  <c r="AM117" i="1"/>
  <c r="AL117" i="1"/>
  <c r="AI117" i="1"/>
  <c r="AH117" i="1"/>
  <c r="AE117" i="1"/>
  <c r="AD117" i="1"/>
  <c r="AA117" i="1"/>
  <c r="Z117" i="1"/>
  <c r="U117" i="1"/>
  <c r="T117" i="1"/>
  <c r="V117" i="1" s="1"/>
  <c r="W117" i="1" s="1"/>
  <c r="S117" i="1"/>
  <c r="P117" i="1"/>
  <c r="AQ116" i="1"/>
  <c r="AP116" i="1"/>
  <c r="AM116" i="1"/>
  <c r="AL116" i="1"/>
  <c r="AI116" i="1"/>
  <c r="AH116" i="1"/>
  <c r="AE116" i="1"/>
  <c r="AD116" i="1"/>
  <c r="AA116" i="1"/>
  <c r="Z116" i="1"/>
  <c r="V116" i="1"/>
  <c r="W116" i="1" s="1"/>
  <c r="U116" i="1"/>
  <c r="T116" i="1"/>
  <c r="R116" i="1" s="1"/>
  <c r="S116" i="1"/>
  <c r="P116" i="1"/>
  <c r="AQ115" i="1"/>
  <c r="AP115" i="1"/>
  <c r="AM115" i="1"/>
  <c r="AL115" i="1"/>
  <c r="AI115" i="1"/>
  <c r="AH115" i="1"/>
  <c r="AE115" i="1"/>
  <c r="AD115" i="1"/>
  <c r="AA115" i="1"/>
  <c r="Z115" i="1"/>
  <c r="V115" i="1"/>
  <c r="W115" i="1" s="1"/>
  <c r="U115" i="1"/>
  <c r="S115" i="1" s="1"/>
  <c r="T115" i="1"/>
  <c r="R115" i="1" s="1"/>
  <c r="P115" i="1"/>
  <c r="AQ114" i="1"/>
  <c r="AP114" i="1"/>
  <c r="AM114" i="1"/>
  <c r="AL114" i="1"/>
  <c r="AI114" i="1"/>
  <c r="AH114" i="1"/>
  <c r="AE114" i="1"/>
  <c r="AD114" i="1"/>
  <c r="AA114" i="1"/>
  <c r="Z114" i="1"/>
  <c r="W114" i="1"/>
  <c r="V114" i="1"/>
  <c r="U114" i="1"/>
  <c r="S114" i="1" s="1"/>
  <c r="T114" i="1"/>
  <c r="R114" i="1"/>
  <c r="P114" i="1"/>
  <c r="AQ113" i="1"/>
  <c r="AP113" i="1"/>
  <c r="AM113" i="1"/>
  <c r="AL113" i="1"/>
  <c r="AI113" i="1"/>
  <c r="AH113" i="1"/>
  <c r="AE113" i="1"/>
  <c r="AD113" i="1"/>
  <c r="AA113" i="1"/>
  <c r="Z113" i="1"/>
  <c r="U113" i="1"/>
  <c r="T113" i="1"/>
  <c r="V113" i="1" s="1"/>
  <c r="W113" i="1" s="1"/>
  <c r="S113" i="1"/>
  <c r="P113" i="1"/>
  <c r="AQ112" i="1"/>
  <c r="AP112" i="1"/>
  <c r="AM112" i="1"/>
  <c r="AL112" i="1"/>
  <c r="AI112" i="1"/>
  <c r="AH112" i="1"/>
  <c r="AE112" i="1"/>
  <c r="AD112" i="1"/>
  <c r="AA112" i="1"/>
  <c r="Z112" i="1"/>
  <c r="U112" i="1"/>
  <c r="T112" i="1"/>
  <c r="R112" i="1" s="1"/>
  <c r="S112" i="1"/>
  <c r="P112" i="1"/>
  <c r="AQ111" i="1"/>
  <c r="AP111" i="1"/>
  <c r="AM111" i="1"/>
  <c r="AL111" i="1"/>
  <c r="AI111" i="1"/>
  <c r="AH111" i="1"/>
  <c r="AE111" i="1"/>
  <c r="AD111" i="1"/>
  <c r="AA111" i="1"/>
  <c r="Z111" i="1"/>
  <c r="V111" i="1"/>
  <c r="W111" i="1" s="1"/>
  <c r="U111" i="1"/>
  <c r="S111" i="1" s="1"/>
  <c r="T111" i="1"/>
  <c r="R111" i="1" s="1"/>
  <c r="P111" i="1"/>
  <c r="AQ110" i="1"/>
  <c r="AP110" i="1"/>
  <c r="AM110" i="1"/>
  <c r="AL110" i="1"/>
  <c r="AI110" i="1"/>
  <c r="AH110" i="1"/>
  <c r="AE110" i="1"/>
  <c r="AD110" i="1"/>
  <c r="AA110" i="1"/>
  <c r="Z110" i="1"/>
  <c r="U110" i="1"/>
  <c r="V110" i="1" s="1"/>
  <c r="W110" i="1" s="1"/>
  <c r="T110" i="1"/>
  <c r="R110" i="1"/>
  <c r="P110" i="1"/>
  <c r="AQ109" i="1"/>
  <c r="AP109" i="1"/>
  <c r="AM109" i="1"/>
  <c r="AL109" i="1"/>
  <c r="AI109" i="1"/>
  <c r="AH109" i="1"/>
  <c r="AE109" i="1"/>
  <c r="AD109" i="1"/>
  <c r="AA109" i="1"/>
  <c r="Z109" i="1"/>
  <c r="U109" i="1"/>
  <c r="T109" i="1"/>
  <c r="V109" i="1" s="1"/>
  <c r="W109" i="1" s="1"/>
  <c r="S109" i="1"/>
  <c r="P109" i="1"/>
  <c r="AQ108" i="1"/>
  <c r="AP108" i="1"/>
  <c r="AM108" i="1"/>
  <c r="AL108" i="1"/>
  <c r="AI108" i="1"/>
  <c r="AH108" i="1"/>
  <c r="AE108" i="1"/>
  <c r="AD108" i="1"/>
  <c r="AA108" i="1"/>
  <c r="Z108" i="1"/>
  <c r="V108" i="1"/>
  <c r="W108" i="1" s="1"/>
  <c r="U108" i="1"/>
  <c r="T108" i="1"/>
  <c r="R108" i="1" s="1"/>
  <c r="S108" i="1"/>
  <c r="P108" i="1"/>
  <c r="AQ107" i="1"/>
  <c r="AP107" i="1"/>
  <c r="AM107" i="1"/>
  <c r="AL107" i="1"/>
  <c r="AI107" i="1"/>
  <c r="AH107" i="1"/>
  <c r="AE107" i="1"/>
  <c r="AD107" i="1"/>
  <c r="AA107" i="1"/>
  <c r="Z107" i="1"/>
  <c r="U107" i="1"/>
  <c r="S107" i="1" s="1"/>
  <c r="T107" i="1"/>
  <c r="R107" i="1" s="1"/>
  <c r="P107" i="1"/>
  <c r="AQ106" i="1"/>
  <c r="AP106" i="1"/>
  <c r="AM106" i="1"/>
  <c r="AL106" i="1"/>
  <c r="AI106" i="1"/>
  <c r="AH106" i="1"/>
  <c r="AE106" i="1"/>
  <c r="AD106" i="1"/>
  <c r="AA106" i="1"/>
  <c r="Z106" i="1"/>
  <c r="W106" i="1"/>
  <c r="U106" i="1"/>
  <c r="V106" i="1" s="1"/>
  <c r="T106" i="1"/>
  <c r="R106" i="1"/>
  <c r="P106" i="1"/>
  <c r="AQ105" i="1"/>
  <c r="AP105" i="1"/>
  <c r="AM105" i="1"/>
  <c r="AL105" i="1"/>
  <c r="AI105" i="1"/>
  <c r="AH105" i="1"/>
  <c r="AE105" i="1"/>
  <c r="AD105" i="1"/>
  <c r="AA105" i="1"/>
  <c r="Z105" i="1"/>
  <c r="U105" i="1"/>
  <c r="T105" i="1"/>
  <c r="V105" i="1" s="1"/>
  <c r="W105" i="1" s="1"/>
  <c r="S105" i="1"/>
  <c r="R105" i="1"/>
  <c r="P105" i="1"/>
  <c r="AQ104" i="1"/>
  <c r="AP104" i="1"/>
  <c r="AM104" i="1"/>
  <c r="AL104" i="1"/>
  <c r="AI104" i="1"/>
  <c r="AH104" i="1"/>
  <c r="AE104" i="1"/>
  <c r="AD104" i="1"/>
  <c r="AA104" i="1"/>
  <c r="Z104" i="1"/>
  <c r="V104" i="1"/>
  <c r="W104" i="1" s="1"/>
  <c r="U104" i="1"/>
  <c r="T104" i="1"/>
  <c r="R104" i="1" s="1"/>
  <c r="S104" i="1"/>
  <c r="P104" i="1"/>
  <c r="AQ103" i="1"/>
  <c r="AP103" i="1"/>
  <c r="AM103" i="1"/>
  <c r="AL103" i="1"/>
  <c r="AI103" i="1"/>
  <c r="AH103" i="1"/>
  <c r="AE103" i="1"/>
  <c r="AD103" i="1"/>
  <c r="AA103" i="1"/>
  <c r="Z103" i="1"/>
  <c r="U103" i="1"/>
  <c r="S103" i="1" s="1"/>
  <c r="T103" i="1"/>
  <c r="R103" i="1" s="1"/>
  <c r="P103" i="1"/>
  <c r="AQ102" i="1"/>
  <c r="AP102" i="1"/>
  <c r="AM102" i="1"/>
  <c r="AL102" i="1"/>
  <c r="AI102" i="1"/>
  <c r="AH102" i="1"/>
  <c r="AE102" i="1"/>
  <c r="AD102" i="1"/>
  <c r="AA102" i="1"/>
  <c r="Z102" i="1"/>
  <c r="W102" i="1"/>
  <c r="U102" i="1"/>
  <c r="V102" i="1" s="1"/>
  <c r="T102" i="1"/>
  <c r="R102" i="1"/>
  <c r="P102" i="1"/>
  <c r="AQ101" i="1"/>
  <c r="AP101" i="1"/>
  <c r="AM101" i="1"/>
  <c r="AL101" i="1"/>
  <c r="AI101" i="1"/>
  <c r="AH101" i="1"/>
  <c r="AE101" i="1"/>
  <c r="AD101" i="1"/>
  <c r="AA101" i="1"/>
  <c r="Z101" i="1"/>
  <c r="U101" i="1"/>
  <c r="T101" i="1"/>
  <c r="V101" i="1" s="1"/>
  <c r="W101" i="1" s="1"/>
  <c r="S101" i="1"/>
  <c r="R101" i="1"/>
  <c r="P101" i="1"/>
  <c r="AQ100" i="1"/>
  <c r="AP100" i="1"/>
  <c r="AM100" i="1"/>
  <c r="AL100" i="1"/>
  <c r="AI100" i="1"/>
  <c r="AH100" i="1"/>
  <c r="AE100" i="1"/>
  <c r="AD100" i="1"/>
  <c r="AA100" i="1"/>
  <c r="Z100" i="1"/>
  <c r="V100" i="1"/>
  <c r="W100" i="1" s="1"/>
  <c r="U100" i="1"/>
  <c r="T100" i="1"/>
  <c r="R100" i="1" s="1"/>
  <c r="S100" i="1"/>
  <c r="P100" i="1"/>
  <c r="AQ99" i="1"/>
  <c r="AP99" i="1"/>
  <c r="AM99" i="1"/>
  <c r="AL99" i="1"/>
  <c r="AI99" i="1"/>
  <c r="AH99" i="1"/>
  <c r="AE99" i="1"/>
  <c r="AD99" i="1"/>
  <c r="AA99" i="1"/>
  <c r="Z99" i="1"/>
  <c r="V99" i="1"/>
  <c r="W99" i="1" s="1"/>
  <c r="U99" i="1"/>
  <c r="S99" i="1" s="1"/>
  <c r="T99" i="1"/>
  <c r="R99" i="1" s="1"/>
  <c r="P99" i="1"/>
  <c r="AQ98" i="1"/>
  <c r="AP98" i="1"/>
  <c r="AM98" i="1"/>
  <c r="AL98" i="1"/>
  <c r="AI98" i="1"/>
  <c r="AH98" i="1"/>
  <c r="AE98" i="1"/>
  <c r="AD98" i="1"/>
  <c r="AA98" i="1"/>
  <c r="Z98" i="1"/>
  <c r="W98" i="1"/>
  <c r="U98" i="1"/>
  <c r="V98" i="1" s="1"/>
  <c r="T98" i="1"/>
  <c r="R98" i="1"/>
  <c r="P98" i="1"/>
  <c r="AQ97" i="1"/>
  <c r="AP97" i="1"/>
  <c r="AM97" i="1"/>
  <c r="AL97" i="1"/>
  <c r="AI97" i="1"/>
  <c r="AH97" i="1"/>
  <c r="AE97" i="1"/>
  <c r="AD97" i="1"/>
  <c r="AA97" i="1"/>
  <c r="Z97" i="1"/>
  <c r="U97" i="1"/>
  <c r="T97" i="1"/>
  <c r="V97" i="1" s="1"/>
  <c r="W97" i="1" s="1"/>
  <c r="S97" i="1"/>
  <c r="P97" i="1"/>
  <c r="AQ96" i="1"/>
  <c r="AP96" i="1"/>
  <c r="AM96" i="1"/>
  <c r="AL96" i="1"/>
  <c r="AI96" i="1"/>
  <c r="AH96" i="1"/>
  <c r="AE96" i="1"/>
  <c r="AD96" i="1"/>
  <c r="AA96" i="1"/>
  <c r="Z96" i="1"/>
  <c r="U96" i="1"/>
  <c r="T96" i="1"/>
  <c r="R96" i="1" s="1"/>
  <c r="S96" i="1"/>
  <c r="P96" i="1"/>
  <c r="AQ95" i="1"/>
  <c r="AP95" i="1"/>
  <c r="AM95" i="1"/>
  <c r="AL95" i="1"/>
  <c r="AI95" i="1"/>
  <c r="AH95" i="1"/>
  <c r="AE95" i="1"/>
  <c r="AD95" i="1"/>
  <c r="AA95" i="1"/>
  <c r="Z95" i="1"/>
  <c r="V95" i="1"/>
  <c r="W95" i="1" s="1"/>
  <c r="U95" i="1"/>
  <c r="S95" i="1" s="1"/>
  <c r="T95" i="1"/>
  <c r="R95" i="1" s="1"/>
  <c r="P95" i="1"/>
  <c r="AQ94" i="1"/>
  <c r="AP94" i="1"/>
  <c r="AM94" i="1"/>
  <c r="AL94" i="1"/>
  <c r="AI94" i="1"/>
  <c r="AH94" i="1"/>
  <c r="AE94" i="1"/>
  <c r="AD94" i="1"/>
  <c r="AA94" i="1"/>
  <c r="Z94" i="1"/>
  <c r="U94" i="1"/>
  <c r="V94" i="1" s="1"/>
  <c r="W94" i="1" s="1"/>
  <c r="T94" i="1"/>
  <c r="R94" i="1"/>
  <c r="P94" i="1"/>
  <c r="AQ93" i="1"/>
  <c r="AP93" i="1"/>
  <c r="AM93" i="1"/>
  <c r="AL93" i="1"/>
  <c r="AI93" i="1"/>
  <c r="AH93" i="1"/>
  <c r="AE93" i="1"/>
  <c r="AD93" i="1"/>
  <c r="AA93" i="1"/>
  <c r="Z93" i="1"/>
  <c r="U93" i="1"/>
  <c r="T93" i="1"/>
  <c r="V93" i="1" s="1"/>
  <c r="W93" i="1" s="1"/>
  <c r="S93" i="1"/>
  <c r="P93" i="1"/>
  <c r="AQ92" i="1"/>
  <c r="AP92" i="1"/>
  <c r="AM92" i="1"/>
  <c r="AL92" i="1"/>
  <c r="AI92" i="1"/>
  <c r="AH92" i="1"/>
  <c r="AE92" i="1"/>
  <c r="AD92" i="1"/>
  <c r="AA92" i="1"/>
  <c r="Z92" i="1"/>
  <c r="U92" i="1"/>
  <c r="S92" i="1" s="1"/>
  <c r="T92" i="1"/>
  <c r="R92" i="1" s="1"/>
  <c r="P92" i="1"/>
  <c r="AQ91" i="1"/>
  <c r="AP91" i="1"/>
  <c r="AM91" i="1"/>
  <c r="AL91" i="1"/>
  <c r="AI91" i="1"/>
  <c r="AH91" i="1"/>
  <c r="AE91" i="1"/>
  <c r="AD91" i="1"/>
  <c r="AA91" i="1"/>
  <c r="Z91" i="1"/>
  <c r="U91" i="1"/>
  <c r="S91" i="1" s="1"/>
  <c r="T91" i="1"/>
  <c r="R91" i="1" s="1"/>
  <c r="P91" i="1"/>
  <c r="AQ90" i="1"/>
  <c r="AP90" i="1"/>
  <c r="AM90" i="1"/>
  <c r="AL90" i="1"/>
  <c r="AI90" i="1"/>
  <c r="AH90" i="1"/>
  <c r="AE90" i="1"/>
  <c r="AD90" i="1"/>
  <c r="AA90" i="1"/>
  <c r="Z90" i="1"/>
  <c r="W90" i="1"/>
  <c r="U90" i="1"/>
  <c r="V90" i="1" s="1"/>
  <c r="T90" i="1"/>
  <c r="R90" i="1"/>
  <c r="P90" i="1"/>
  <c r="AQ89" i="1"/>
  <c r="AP89" i="1"/>
  <c r="AM89" i="1"/>
  <c r="AL89" i="1"/>
  <c r="AI89" i="1"/>
  <c r="AH89" i="1"/>
  <c r="AE89" i="1"/>
  <c r="AD89" i="1"/>
  <c r="AA89" i="1"/>
  <c r="Z89" i="1"/>
  <c r="U89" i="1"/>
  <c r="T89" i="1"/>
  <c r="V89" i="1" s="1"/>
  <c r="W89" i="1" s="1"/>
  <c r="S89" i="1"/>
  <c r="R89" i="1"/>
  <c r="P89" i="1"/>
  <c r="AQ88" i="1"/>
  <c r="AP88" i="1"/>
  <c r="AM88" i="1"/>
  <c r="AL88" i="1"/>
  <c r="AI88" i="1"/>
  <c r="AH88" i="1"/>
  <c r="AE88" i="1"/>
  <c r="AD88" i="1"/>
  <c r="AA88" i="1"/>
  <c r="Z88" i="1"/>
  <c r="V88" i="1"/>
  <c r="W88" i="1" s="1"/>
  <c r="U88" i="1"/>
  <c r="T88" i="1"/>
  <c r="R88" i="1" s="1"/>
  <c r="S88" i="1"/>
  <c r="P88" i="1"/>
  <c r="AQ87" i="1"/>
  <c r="AP87" i="1"/>
  <c r="AM87" i="1"/>
  <c r="AL87" i="1"/>
  <c r="AI87" i="1"/>
  <c r="AH87" i="1"/>
  <c r="AE87" i="1"/>
  <c r="AD87" i="1"/>
  <c r="AA87" i="1"/>
  <c r="Z87" i="1"/>
  <c r="W87" i="1"/>
  <c r="V87" i="1"/>
  <c r="U87" i="1"/>
  <c r="S87" i="1" s="1"/>
  <c r="T87" i="1"/>
  <c r="R87" i="1" s="1"/>
  <c r="P87" i="1"/>
  <c r="AQ86" i="1"/>
  <c r="AP86" i="1"/>
  <c r="AM86" i="1"/>
  <c r="AL86" i="1"/>
  <c r="AI86" i="1"/>
  <c r="AH86" i="1"/>
  <c r="AE86" i="1"/>
  <c r="AD86" i="1"/>
  <c r="AA86" i="1"/>
  <c r="Z86" i="1"/>
  <c r="W86" i="1"/>
  <c r="U86" i="1"/>
  <c r="V86" i="1" s="1"/>
  <c r="T86" i="1"/>
  <c r="R86" i="1"/>
  <c r="P86" i="1"/>
  <c r="AQ85" i="1"/>
  <c r="AP85" i="1"/>
  <c r="AM85" i="1"/>
  <c r="AL85" i="1"/>
  <c r="AI85" i="1"/>
  <c r="AH85" i="1"/>
  <c r="AE85" i="1"/>
  <c r="AD85" i="1"/>
  <c r="AA85" i="1"/>
  <c r="Z85" i="1"/>
  <c r="W85" i="1"/>
  <c r="U85" i="1"/>
  <c r="T85" i="1"/>
  <c r="V85" i="1" s="1"/>
  <c r="S85" i="1"/>
  <c r="R85" i="1"/>
  <c r="P85" i="1"/>
  <c r="AQ84" i="1"/>
  <c r="AP84" i="1"/>
  <c r="AM84" i="1"/>
  <c r="AL84" i="1"/>
  <c r="AI84" i="1"/>
  <c r="AH84" i="1"/>
  <c r="AE84" i="1"/>
  <c r="AD84" i="1"/>
  <c r="AA84" i="1"/>
  <c r="Z84" i="1"/>
  <c r="V84" i="1"/>
  <c r="W84" i="1" s="1"/>
  <c r="U84" i="1"/>
  <c r="T84" i="1"/>
  <c r="S84" i="1"/>
  <c r="R84" i="1"/>
  <c r="P84" i="1"/>
  <c r="AQ83" i="1"/>
  <c r="AP83" i="1"/>
  <c r="AM83" i="1"/>
  <c r="AL83" i="1"/>
  <c r="AI83" i="1"/>
  <c r="AH83" i="1"/>
  <c r="AE83" i="1"/>
  <c r="AD83" i="1"/>
  <c r="AA83" i="1"/>
  <c r="Z83" i="1"/>
  <c r="U83" i="1"/>
  <c r="T83" i="1"/>
  <c r="R83" i="1" s="1"/>
  <c r="S83" i="1"/>
  <c r="P83" i="1"/>
  <c r="AQ82" i="1"/>
  <c r="AP82" i="1"/>
  <c r="AM82" i="1"/>
  <c r="AL82" i="1"/>
  <c r="AI82" i="1"/>
  <c r="AH82" i="1"/>
  <c r="AE82" i="1"/>
  <c r="AD82" i="1"/>
  <c r="AA82" i="1"/>
  <c r="Z82" i="1"/>
  <c r="U82" i="1"/>
  <c r="S82" i="1" s="1"/>
  <c r="T82" i="1"/>
  <c r="R82" i="1"/>
  <c r="P82" i="1"/>
  <c r="AQ81" i="1"/>
  <c r="AP81" i="1"/>
  <c r="AM81" i="1"/>
  <c r="AL81" i="1"/>
  <c r="AI81" i="1"/>
  <c r="AH81" i="1"/>
  <c r="AE81" i="1"/>
  <c r="AD81" i="1"/>
  <c r="AA81" i="1"/>
  <c r="Z81" i="1"/>
  <c r="U81" i="1"/>
  <c r="S81" i="1" s="1"/>
  <c r="T81" i="1"/>
  <c r="V81" i="1" s="1"/>
  <c r="W81" i="1" s="1"/>
  <c r="P81" i="1"/>
  <c r="AQ80" i="1"/>
  <c r="AP80" i="1"/>
  <c r="AM80" i="1"/>
  <c r="AL80" i="1"/>
  <c r="AI80" i="1"/>
  <c r="AH80" i="1"/>
  <c r="AE80" i="1"/>
  <c r="AD80" i="1"/>
  <c r="AA80" i="1"/>
  <c r="Z80" i="1"/>
  <c r="W80" i="1"/>
  <c r="V80" i="1"/>
  <c r="U80" i="1"/>
  <c r="S80" i="1" s="1"/>
  <c r="T80" i="1"/>
  <c r="R80" i="1"/>
  <c r="P80" i="1"/>
  <c r="AQ79" i="1"/>
  <c r="AP79" i="1"/>
  <c r="AM79" i="1"/>
  <c r="AL79" i="1"/>
  <c r="AI79" i="1"/>
  <c r="AH79" i="1"/>
  <c r="AE79" i="1"/>
  <c r="AD79" i="1"/>
  <c r="AA79" i="1"/>
  <c r="Z79" i="1"/>
  <c r="U79" i="1"/>
  <c r="T79" i="1"/>
  <c r="R79" i="1" s="1"/>
  <c r="S79" i="1"/>
  <c r="P79" i="1"/>
  <c r="AQ78" i="1"/>
  <c r="AP78" i="1"/>
  <c r="AM78" i="1"/>
  <c r="AL78" i="1"/>
  <c r="AI78" i="1"/>
  <c r="AH78" i="1"/>
  <c r="AE78" i="1"/>
  <c r="AD78" i="1"/>
  <c r="AA78" i="1"/>
  <c r="Z78" i="1"/>
  <c r="U78" i="1"/>
  <c r="S78" i="1" s="1"/>
  <c r="T78" i="1"/>
  <c r="R78" i="1"/>
  <c r="P78" i="1"/>
  <c r="AQ77" i="1"/>
  <c r="AP77" i="1"/>
  <c r="AM77" i="1"/>
  <c r="AL77" i="1"/>
  <c r="AI77" i="1"/>
  <c r="AH77" i="1"/>
  <c r="AE77" i="1"/>
  <c r="AD77" i="1"/>
  <c r="AA77" i="1"/>
  <c r="Z77" i="1"/>
  <c r="U77" i="1"/>
  <c r="S77" i="1" s="1"/>
  <c r="T77" i="1"/>
  <c r="V77" i="1" s="1"/>
  <c r="W77" i="1" s="1"/>
  <c r="P77" i="1"/>
  <c r="AQ76" i="1"/>
  <c r="AP76" i="1"/>
  <c r="AM76" i="1"/>
  <c r="AL76" i="1"/>
  <c r="AI76" i="1"/>
  <c r="AH76" i="1"/>
  <c r="AE76" i="1"/>
  <c r="AD76" i="1"/>
  <c r="AA76" i="1"/>
  <c r="Z76" i="1"/>
  <c r="W76" i="1"/>
  <c r="V76" i="1"/>
  <c r="U76" i="1"/>
  <c r="S76" i="1" s="1"/>
  <c r="T76" i="1"/>
  <c r="R76" i="1"/>
  <c r="P76" i="1"/>
  <c r="AQ75" i="1"/>
  <c r="AP75" i="1"/>
  <c r="AM75" i="1"/>
  <c r="AL75" i="1"/>
  <c r="AI75" i="1"/>
  <c r="AH75" i="1"/>
  <c r="AE75" i="1"/>
  <c r="AD75" i="1"/>
  <c r="AA75" i="1"/>
  <c r="Z75" i="1"/>
  <c r="U75" i="1"/>
  <c r="T75" i="1"/>
  <c r="R75" i="1" s="1"/>
  <c r="S75" i="1"/>
  <c r="P75" i="1"/>
  <c r="AQ74" i="1"/>
  <c r="AP74" i="1"/>
  <c r="AM74" i="1"/>
  <c r="AL74" i="1"/>
  <c r="AI74" i="1"/>
  <c r="AH74" i="1"/>
  <c r="AE74" i="1"/>
  <c r="AD74" i="1"/>
  <c r="AA74" i="1"/>
  <c r="Z74" i="1"/>
  <c r="U74" i="1"/>
  <c r="S74" i="1" s="1"/>
  <c r="T74" i="1"/>
  <c r="R74" i="1"/>
  <c r="P74" i="1"/>
  <c r="AQ73" i="1"/>
  <c r="AP73" i="1"/>
  <c r="AM73" i="1"/>
  <c r="AL73" i="1"/>
  <c r="AI73" i="1"/>
  <c r="AH73" i="1"/>
  <c r="AE73" i="1"/>
  <c r="AD73" i="1"/>
  <c r="AA73" i="1"/>
  <c r="Z73" i="1"/>
  <c r="U73" i="1"/>
  <c r="S73" i="1" s="1"/>
  <c r="T73" i="1"/>
  <c r="V73" i="1" s="1"/>
  <c r="W73" i="1" s="1"/>
  <c r="P73" i="1"/>
  <c r="AQ72" i="1"/>
  <c r="AP72" i="1"/>
  <c r="AM72" i="1"/>
  <c r="AL72" i="1"/>
  <c r="AI72" i="1"/>
  <c r="AH72" i="1"/>
  <c r="AE72" i="1"/>
  <c r="AD72" i="1"/>
  <c r="AA72" i="1"/>
  <c r="Z72" i="1"/>
  <c r="W72" i="1"/>
  <c r="V72" i="1"/>
  <c r="U72" i="1"/>
  <c r="S72" i="1" s="1"/>
  <c r="T72" i="1"/>
  <c r="R72" i="1"/>
  <c r="P72" i="1"/>
  <c r="AQ71" i="1"/>
  <c r="AP71" i="1"/>
  <c r="AM71" i="1"/>
  <c r="AL71" i="1"/>
  <c r="AI71" i="1"/>
  <c r="AH71" i="1"/>
  <c r="AE71" i="1"/>
  <c r="AD71" i="1"/>
  <c r="AA71" i="1"/>
  <c r="Z71" i="1"/>
  <c r="U71" i="1"/>
  <c r="T71" i="1"/>
  <c r="R71" i="1" s="1"/>
  <c r="S71" i="1"/>
  <c r="P71" i="1"/>
  <c r="AQ70" i="1"/>
  <c r="AP70" i="1"/>
  <c r="AM70" i="1"/>
  <c r="AL70" i="1"/>
  <c r="AI70" i="1"/>
  <c r="AH70" i="1"/>
  <c r="AE70" i="1"/>
  <c r="AD70" i="1"/>
  <c r="AA70" i="1"/>
  <c r="Z70" i="1"/>
  <c r="U70" i="1"/>
  <c r="S70" i="1" s="1"/>
  <c r="T70" i="1"/>
  <c r="R70" i="1"/>
  <c r="P70" i="1"/>
  <c r="AQ69" i="1"/>
  <c r="AP69" i="1"/>
  <c r="AM69" i="1"/>
  <c r="AL69" i="1"/>
  <c r="AI69" i="1"/>
  <c r="AH69" i="1"/>
  <c r="AE69" i="1"/>
  <c r="AD69" i="1"/>
  <c r="AA69" i="1"/>
  <c r="Z69" i="1"/>
  <c r="U69" i="1"/>
  <c r="S69" i="1" s="1"/>
  <c r="T69" i="1"/>
  <c r="V69" i="1" s="1"/>
  <c r="W69" i="1" s="1"/>
  <c r="P69" i="1"/>
  <c r="AQ68" i="1"/>
  <c r="AP68" i="1"/>
  <c r="AM68" i="1"/>
  <c r="AL68" i="1"/>
  <c r="AI68" i="1"/>
  <c r="AH68" i="1"/>
  <c r="AE68" i="1"/>
  <c r="AD68" i="1"/>
  <c r="AA68" i="1"/>
  <c r="Z68" i="1"/>
  <c r="W68" i="1"/>
  <c r="V68" i="1"/>
  <c r="U68" i="1"/>
  <c r="S68" i="1" s="1"/>
  <c r="T68" i="1"/>
  <c r="R68" i="1"/>
  <c r="P68" i="1"/>
  <c r="AQ67" i="1"/>
  <c r="AP67" i="1"/>
  <c r="AM67" i="1"/>
  <c r="AL67" i="1"/>
  <c r="AI67" i="1"/>
  <c r="AH67" i="1"/>
  <c r="AE67" i="1"/>
  <c r="AD67" i="1"/>
  <c r="AA67" i="1"/>
  <c r="Z67" i="1"/>
  <c r="U67" i="1"/>
  <c r="T67" i="1"/>
  <c r="R67" i="1" s="1"/>
  <c r="S67" i="1"/>
  <c r="P67" i="1"/>
  <c r="AQ66" i="1"/>
  <c r="AP66" i="1"/>
  <c r="AM66" i="1"/>
  <c r="AL66" i="1"/>
  <c r="AI66" i="1"/>
  <c r="AH66" i="1"/>
  <c r="AE66" i="1"/>
  <c r="AD66" i="1"/>
  <c r="AA66" i="1"/>
  <c r="Z66" i="1"/>
  <c r="U66" i="1"/>
  <c r="S66" i="1" s="1"/>
  <c r="T66" i="1"/>
  <c r="R66" i="1"/>
  <c r="P66" i="1"/>
  <c r="AQ65" i="1"/>
  <c r="AP65" i="1"/>
  <c r="AM65" i="1"/>
  <c r="AL65" i="1"/>
  <c r="AI65" i="1"/>
  <c r="AH65" i="1"/>
  <c r="AE65" i="1"/>
  <c r="AD65" i="1"/>
  <c r="AA65" i="1"/>
  <c r="Z65" i="1"/>
  <c r="U65" i="1"/>
  <c r="S65" i="1" s="1"/>
  <c r="T65" i="1"/>
  <c r="V65" i="1" s="1"/>
  <c r="W65" i="1" s="1"/>
  <c r="P65" i="1"/>
  <c r="AQ64" i="1"/>
  <c r="AP64" i="1"/>
  <c r="AM64" i="1"/>
  <c r="AL64" i="1"/>
  <c r="AI64" i="1"/>
  <c r="AH64" i="1"/>
  <c r="AE64" i="1"/>
  <c r="AD64" i="1"/>
  <c r="AA64" i="1"/>
  <c r="Z64" i="1"/>
  <c r="W64" i="1"/>
  <c r="V64" i="1"/>
  <c r="U64" i="1"/>
  <c r="S64" i="1" s="1"/>
  <c r="T64" i="1"/>
  <c r="R64" i="1"/>
  <c r="P64" i="1"/>
  <c r="AQ63" i="1"/>
  <c r="AP63" i="1"/>
  <c r="AM63" i="1"/>
  <c r="AL63" i="1"/>
  <c r="AI63" i="1"/>
  <c r="AH63" i="1"/>
  <c r="AE63" i="1"/>
  <c r="AD63" i="1"/>
  <c r="AA63" i="1"/>
  <c r="Z63" i="1"/>
  <c r="U63" i="1"/>
  <c r="T63" i="1"/>
  <c r="R63" i="1" s="1"/>
  <c r="S63" i="1"/>
  <c r="P63" i="1"/>
  <c r="AQ62" i="1"/>
  <c r="AP62" i="1"/>
  <c r="AM62" i="1"/>
  <c r="AL62" i="1"/>
  <c r="AI62" i="1"/>
  <c r="AH62" i="1"/>
  <c r="AE62" i="1"/>
  <c r="AD62" i="1"/>
  <c r="AA62" i="1"/>
  <c r="Z62" i="1"/>
  <c r="U62" i="1"/>
  <c r="S62" i="1" s="1"/>
  <c r="T62" i="1"/>
  <c r="R62" i="1"/>
  <c r="P62" i="1"/>
  <c r="AQ61" i="1"/>
  <c r="AP61" i="1"/>
  <c r="AM61" i="1"/>
  <c r="AL61" i="1"/>
  <c r="AI61" i="1"/>
  <c r="AH61" i="1"/>
  <c r="AE61" i="1"/>
  <c r="AD61" i="1"/>
  <c r="AA61" i="1"/>
  <c r="Z61" i="1"/>
  <c r="U61" i="1"/>
  <c r="S61" i="1" s="1"/>
  <c r="T61" i="1"/>
  <c r="V61" i="1" s="1"/>
  <c r="W61" i="1" s="1"/>
  <c r="P61" i="1"/>
  <c r="AQ60" i="1"/>
  <c r="AP60" i="1"/>
  <c r="AM60" i="1"/>
  <c r="AL60" i="1"/>
  <c r="AI60" i="1"/>
  <c r="AH60" i="1"/>
  <c r="AE60" i="1"/>
  <c r="AD60" i="1"/>
  <c r="AA60" i="1"/>
  <c r="Z60" i="1"/>
  <c r="W60" i="1"/>
  <c r="V60" i="1"/>
  <c r="U60" i="1"/>
  <c r="S60" i="1" s="1"/>
  <c r="T60" i="1"/>
  <c r="R60" i="1"/>
  <c r="P60" i="1"/>
  <c r="AQ59" i="1"/>
  <c r="AP59" i="1"/>
  <c r="AM59" i="1"/>
  <c r="AL59" i="1"/>
  <c r="AI59" i="1"/>
  <c r="AH59" i="1"/>
  <c r="AE59" i="1"/>
  <c r="AD59" i="1"/>
  <c r="AA59" i="1"/>
  <c r="Z59" i="1"/>
  <c r="U59" i="1"/>
  <c r="T59" i="1"/>
  <c r="R59" i="1" s="1"/>
  <c r="S59" i="1"/>
  <c r="P59" i="1"/>
  <c r="AQ58" i="1"/>
  <c r="AP58" i="1"/>
  <c r="AM58" i="1"/>
  <c r="AL58" i="1"/>
  <c r="AI58" i="1"/>
  <c r="AH58" i="1"/>
  <c r="AE58" i="1"/>
  <c r="AD58" i="1"/>
  <c r="AA58" i="1"/>
  <c r="Z58" i="1"/>
  <c r="U58" i="1"/>
  <c r="S58" i="1" s="1"/>
  <c r="T58" i="1"/>
  <c r="R58" i="1"/>
  <c r="P58" i="1"/>
  <c r="AQ57" i="1"/>
  <c r="AP57" i="1"/>
  <c r="AM57" i="1"/>
  <c r="AL57" i="1"/>
  <c r="AI57" i="1"/>
  <c r="AH57" i="1"/>
  <c r="AE57" i="1"/>
  <c r="AD57" i="1"/>
  <c r="AA57" i="1"/>
  <c r="Z57" i="1"/>
  <c r="U57" i="1"/>
  <c r="S57" i="1" s="1"/>
  <c r="T57" i="1"/>
  <c r="V57" i="1" s="1"/>
  <c r="W57" i="1" s="1"/>
  <c r="P57" i="1"/>
  <c r="AQ56" i="1"/>
  <c r="AP56" i="1"/>
  <c r="AM56" i="1"/>
  <c r="AL56" i="1"/>
  <c r="AI56" i="1"/>
  <c r="AH56" i="1"/>
  <c r="AE56" i="1"/>
  <c r="AD56" i="1"/>
  <c r="AA56" i="1"/>
  <c r="Z56" i="1"/>
  <c r="W56" i="1"/>
  <c r="V56" i="1"/>
  <c r="U56" i="1"/>
  <c r="S56" i="1" s="1"/>
  <c r="T56" i="1"/>
  <c r="R56" i="1"/>
  <c r="P56" i="1"/>
  <c r="AQ55" i="1"/>
  <c r="AP55" i="1"/>
  <c r="AM55" i="1"/>
  <c r="AL55" i="1"/>
  <c r="AI55" i="1"/>
  <c r="AH55" i="1"/>
  <c r="AE55" i="1"/>
  <c r="AD55" i="1"/>
  <c r="AA55" i="1"/>
  <c r="Z55" i="1"/>
  <c r="U55" i="1"/>
  <c r="T55" i="1"/>
  <c r="R55" i="1" s="1"/>
  <c r="S55" i="1"/>
  <c r="P55" i="1"/>
  <c r="AQ54" i="1"/>
  <c r="AP54" i="1"/>
  <c r="AM54" i="1"/>
  <c r="AL54" i="1"/>
  <c r="AI54" i="1"/>
  <c r="AH54" i="1"/>
  <c r="AE54" i="1"/>
  <c r="AD54" i="1"/>
  <c r="AA54" i="1"/>
  <c r="Z54" i="1"/>
  <c r="U54" i="1"/>
  <c r="S54" i="1" s="1"/>
  <c r="T54" i="1"/>
  <c r="R54" i="1"/>
  <c r="P54" i="1"/>
  <c r="AQ53" i="1"/>
  <c r="AP53" i="1"/>
  <c r="AM53" i="1"/>
  <c r="AL53" i="1"/>
  <c r="AI53" i="1"/>
  <c r="AH53" i="1"/>
  <c r="AE53" i="1"/>
  <c r="AD53" i="1"/>
  <c r="AA53" i="1"/>
  <c r="Z53" i="1"/>
  <c r="U53" i="1"/>
  <c r="S53" i="1" s="1"/>
  <c r="T53" i="1"/>
  <c r="V53" i="1" s="1"/>
  <c r="W53" i="1" s="1"/>
  <c r="P53" i="1"/>
  <c r="AQ52" i="1"/>
  <c r="AP52" i="1"/>
  <c r="AM52" i="1"/>
  <c r="AL52" i="1"/>
  <c r="AI52" i="1"/>
  <c r="AH52" i="1"/>
  <c r="AE52" i="1"/>
  <c r="AD52" i="1"/>
  <c r="AA52" i="1"/>
  <c r="Z52" i="1"/>
  <c r="W52" i="1"/>
  <c r="V52" i="1"/>
  <c r="U52" i="1"/>
  <c r="S52" i="1" s="1"/>
  <c r="T52" i="1"/>
  <c r="R52" i="1"/>
  <c r="P52" i="1"/>
  <c r="AQ51" i="1"/>
  <c r="AP51" i="1"/>
  <c r="AM51" i="1"/>
  <c r="AL51" i="1"/>
  <c r="AI51" i="1"/>
  <c r="AH51" i="1"/>
  <c r="AE51" i="1"/>
  <c r="AD51" i="1"/>
  <c r="AA51" i="1"/>
  <c r="Z51" i="1"/>
  <c r="U51" i="1"/>
  <c r="T51" i="1"/>
  <c r="R51" i="1" s="1"/>
  <c r="S51" i="1"/>
  <c r="P51" i="1"/>
  <c r="AQ50" i="1"/>
  <c r="AP50" i="1"/>
  <c r="AM50" i="1"/>
  <c r="AL50" i="1"/>
  <c r="AI50" i="1"/>
  <c r="AH50" i="1"/>
  <c r="AE50" i="1"/>
  <c r="AD50" i="1"/>
  <c r="AA50" i="1"/>
  <c r="Z50" i="1"/>
  <c r="U50" i="1"/>
  <c r="S50" i="1" s="1"/>
  <c r="T50" i="1"/>
  <c r="R50" i="1"/>
  <c r="P50" i="1"/>
  <c r="AQ49" i="1"/>
  <c r="AP49" i="1"/>
  <c r="AM49" i="1"/>
  <c r="AL49" i="1"/>
  <c r="AI49" i="1"/>
  <c r="AH49" i="1"/>
  <c r="AE49" i="1"/>
  <c r="AD49" i="1"/>
  <c r="AA49" i="1"/>
  <c r="Z49" i="1"/>
  <c r="U49" i="1"/>
  <c r="S49" i="1" s="1"/>
  <c r="T49" i="1"/>
  <c r="V49" i="1" s="1"/>
  <c r="W49" i="1" s="1"/>
  <c r="P49" i="1"/>
  <c r="AQ48" i="1"/>
  <c r="AP48" i="1"/>
  <c r="AM48" i="1"/>
  <c r="AL48" i="1"/>
  <c r="AI48" i="1"/>
  <c r="AH48" i="1"/>
  <c r="AE48" i="1"/>
  <c r="AD48" i="1"/>
  <c r="AA48" i="1"/>
  <c r="Z48" i="1"/>
  <c r="W48" i="1"/>
  <c r="V48" i="1"/>
  <c r="U48" i="1"/>
  <c r="S48" i="1" s="1"/>
  <c r="T48" i="1"/>
  <c r="R48" i="1"/>
  <c r="P48" i="1"/>
  <c r="AQ47" i="1"/>
  <c r="AP47" i="1"/>
  <c r="AM47" i="1"/>
  <c r="AL47" i="1"/>
  <c r="AI47" i="1"/>
  <c r="AH47" i="1"/>
  <c r="AE47" i="1"/>
  <c r="AD47" i="1"/>
  <c r="AA47" i="1"/>
  <c r="Z47" i="1"/>
  <c r="U47" i="1"/>
  <c r="T47" i="1"/>
  <c r="R47" i="1" s="1"/>
  <c r="S47" i="1"/>
  <c r="P47" i="1"/>
  <c r="AQ46" i="1"/>
  <c r="AP46" i="1"/>
  <c r="AM46" i="1"/>
  <c r="AL46" i="1"/>
  <c r="AI46" i="1"/>
  <c r="AH46" i="1"/>
  <c r="AE46" i="1"/>
  <c r="AD46" i="1"/>
  <c r="AA46" i="1"/>
  <c r="Z46" i="1"/>
  <c r="U46" i="1"/>
  <c r="S46" i="1" s="1"/>
  <c r="T46" i="1"/>
  <c r="R46" i="1"/>
  <c r="P46" i="1"/>
  <c r="AQ45" i="1"/>
  <c r="AP45" i="1"/>
  <c r="AM45" i="1"/>
  <c r="AL45" i="1"/>
  <c r="AI45" i="1"/>
  <c r="AH45" i="1"/>
  <c r="AE45" i="1"/>
  <c r="AD45" i="1"/>
  <c r="AA45" i="1"/>
  <c r="Z45" i="1"/>
  <c r="U45" i="1"/>
  <c r="S45" i="1" s="1"/>
  <c r="T45" i="1"/>
  <c r="V45" i="1" s="1"/>
  <c r="W45" i="1" s="1"/>
  <c r="P45" i="1"/>
  <c r="AQ44" i="1"/>
  <c r="AP44" i="1"/>
  <c r="AM44" i="1"/>
  <c r="AL44" i="1"/>
  <c r="AI44" i="1"/>
  <c r="AH44" i="1"/>
  <c r="AE44" i="1"/>
  <c r="AD44" i="1"/>
  <c r="AA44" i="1"/>
  <c r="Z44" i="1"/>
  <c r="W44" i="1"/>
  <c r="V44" i="1"/>
  <c r="U44" i="1"/>
  <c r="S44" i="1" s="1"/>
  <c r="T44" i="1"/>
  <c r="R44" i="1"/>
  <c r="P44" i="1"/>
  <c r="AQ43" i="1"/>
  <c r="AP43" i="1"/>
  <c r="AM43" i="1"/>
  <c r="AL43" i="1"/>
  <c r="AI43" i="1"/>
  <c r="AH43" i="1"/>
  <c r="AE43" i="1"/>
  <c r="AD43" i="1"/>
  <c r="AA43" i="1"/>
  <c r="Z43" i="1"/>
  <c r="U43" i="1"/>
  <c r="T43" i="1"/>
  <c r="R43" i="1" s="1"/>
  <c r="S43" i="1"/>
  <c r="P43" i="1"/>
  <c r="AQ42" i="1"/>
  <c r="AP42" i="1"/>
  <c r="AM42" i="1"/>
  <c r="AL42" i="1"/>
  <c r="AI42" i="1"/>
  <c r="AH42" i="1"/>
  <c r="AE42" i="1"/>
  <c r="AD42" i="1"/>
  <c r="AA42" i="1"/>
  <c r="Z42" i="1"/>
  <c r="U42" i="1"/>
  <c r="S42" i="1" s="1"/>
  <c r="T42" i="1"/>
  <c r="R42" i="1"/>
  <c r="P42" i="1"/>
  <c r="AQ41" i="1"/>
  <c r="AP41" i="1"/>
  <c r="AM41" i="1"/>
  <c r="AL41" i="1"/>
  <c r="AI41" i="1"/>
  <c r="AH41" i="1"/>
  <c r="AE41" i="1"/>
  <c r="AD41" i="1"/>
  <c r="AA41" i="1"/>
  <c r="Z41" i="1"/>
  <c r="U41" i="1"/>
  <c r="S41" i="1" s="1"/>
  <c r="T41" i="1"/>
  <c r="V41" i="1" s="1"/>
  <c r="W41" i="1" s="1"/>
  <c r="P41" i="1"/>
  <c r="AQ40" i="1"/>
  <c r="AP40" i="1"/>
  <c r="AM40" i="1"/>
  <c r="AL40" i="1"/>
  <c r="AI40" i="1"/>
  <c r="AH40" i="1"/>
  <c r="AE40" i="1"/>
  <c r="AD40" i="1"/>
  <c r="AA40" i="1"/>
  <c r="Z40" i="1"/>
  <c r="W40" i="1"/>
  <c r="V40" i="1"/>
  <c r="U40" i="1"/>
  <c r="S40" i="1" s="1"/>
  <c r="T40" i="1"/>
  <c r="R40" i="1"/>
  <c r="P40" i="1"/>
  <c r="AQ39" i="1"/>
  <c r="AP39" i="1"/>
  <c r="AM39" i="1"/>
  <c r="AL39" i="1"/>
  <c r="AI39" i="1"/>
  <c r="AH39" i="1"/>
  <c r="AE39" i="1"/>
  <c r="AD39" i="1"/>
  <c r="AA39" i="1"/>
  <c r="Z39" i="1"/>
  <c r="U39" i="1"/>
  <c r="T39" i="1"/>
  <c r="R39" i="1" s="1"/>
  <c r="S39" i="1"/>
  <c r="P39" i="1"/>
  <c r="AQ38" i="1"/>
  <c r="AP38" i="1"/>
  <c r="AM38" i="1"/>
  <c r="AL38" i="1"/>
  <c r="AI38" i="1"/>
  <c r="AH38" i="1"/>
  <c r="AE38" i="1"/>
  <c r="AD38" i="1"/>
  <c r="AA38" i="1"/>
  <c r="Z38" i="1"/>
  <c r="U38" i="1"/>
  <c r="S38" i="1" s="1"/>
  <c r="T38" i="1"/>
  <c r="R38" i="1"/>
  <c r="P38" i="1"/>
  <c r="AQ37" i="1"/>
  <c r="AP37" i="1"/>
  <c r="AM37" i="1"/>
  <c r="AL37" i="1"/>
  <c r="AI37" i="1"/>
  <c r="AH37" i="1"/>
  <c r="AE37" i="1"/>
  <c r="AD37" i="1"/>
  <c r="AA37" i="1"/>
  <c r="Z37" i="1"/>
  <c r="U37" i="1"/>
  <c r="S37" i="1" s="1"/>
  <c r="T37" i="1"/>
  <c r="V37" i="1" s="1"/>
  <c r="W37" i="1" s="1"/>
  <c r="P37" i="1"/>
  <c r="AQ36" i="1"/>
  <c r="AP36" i="1"/>
  <c r="AM36" i="1"/>
  <c r="AL36" i="1"/>
  <c r="AI36" i="1"/>
  <c r="AH36" i="1"/>
  <c r="AE36" i="1"/>
  <c r="AD36" i="1"/>
  <c r="AA36" i="1"/>
  <c r="Z36" i="1"/>
  <c r="W36" i="1"/>
  <c r="V36" i="1"/>
  <c r="U36" i="1"/>
  <c r="S36" i="1" s="1"/>
  <c r="T36" i="1"/>
  <c r="R36" i="1"/>
  <c r="P36" i="1"/>
  <c r="AQ35" i="1"/>
  <c r="AP35" i="1"/>
  <c r="AM35" i="1"/>
  <c r="AL35" i="1"/>
  <c r="AI35" i="1"/>
  <c r="AH35" i="1"/>
  <c r="AE35" i="1"/>
  <c r="AD35" i="1"/>
  <c r="AA35" i="1"/>
  <c r="Z35" i="1"/>
  <c r="U35" i="1"/>
  <c r="T35" i="1"/>
  <c r="R35" i="1" s="1"/>
  <c r="S35" i="1"/>
  <c r="P35" i="1"/>
  <c r="AQ34" i="1"/>
  <c r="AM34" i="1"/>
  <c r="AL34" i="1"/>
  <c r="AI34" i="1"/>
  <c r="AH34" i="1"/>
  <c r="AE34" i="1"/>
  <c r="AD34" i="1"/>
  <c r="AA34" i="1"/>
  <c r="U34" i="1"/>
  <c r="S34" i="1" s="1"/>
  <c r="T34" i="1"/>
  <c r="R34" i="1"/>
  <c r="P34" i="1"/>
  <c r="O34" i="1"/>
  <c r="AP34" i="1" s="1"/>
  <c r="AQ33" i="1"/>
  <c r="AP33" i="1"/>
  <c r="AM33" i="1"/>
  <c r="AL33" i="1"/>
  <c r="AI33" i="1"/>
  <c r="AH33" i="1"/>
  <c r="AE33" i="1"/>
  <c r="AD33" i="1"/>
  <c r="AA33" i="1"/>
  <c r="Z33" i="1"/>
  <c r="V33" i="1"/>
  <c r="W33" i="1" s="1"/>
  <c r="U33" i="1"/>
  <c r="S33" i="1" s="1"/>
  <c r="T33" i="1"/>
  <c r="R33" i="1" s="1"/>
  <c r="P33" i="1"/>
  <c r="AQ32" i="1"/>
  <c r="AP32" i="1"/>
  <c r="AM32" i="1"/>
  <c r="AL32" i="1"/>
  <c r="AI32" i="1"/>
  <c r="AH32" i="1"/>
  <c r="AE32" i="1"/>
  <c r="AD32" i="1"/>
  <c r="AA32" i="1"/>
  <c r="Z32" i="1"/>
  <c r="W32" i="1"/>
  <c r="V32" i="1"/>
  <c r="U32" i="1"/>
  <c r="T32" i="1"/>
  <c r="S32" i="1"/>
  <c r="R32" i="1"/>
  <c r="P32" i="1"/>
  <c r="AQ31" i="1"/>
  <c r="AP31" i="1"/>
  <c r="AM31" i="1"/>
  <c r="AL31" i="1"/>
  <c r="AI31" i="1"/>
  <c r="AH31" i="1"/>
  <c r="AE31" i="1"/>
  <c r="AD31" i="1"/>
  <c r="AA31" i="1"/>
  <c r="Z31" i="1"/>
  <c r="U31" i="1"/>
  <c r="S31" i="1" s="1"/>
  <c r="T31" i="1"/>
  <c r="R31" i="1" s="1"/>
  <c r="P31" i="1"/>
  <c r="AQ30" i="1"/>
  <c r="AP30" i="1"/>
  <c r="AM30" i="1"/>
  <c r="AL30" i="1"/>
  <c r="AI30" i="1"/>
  <c r="AH30" i="1"/>
  <c r="AE30" i="1"/>
  <c r="AD30" i="1"/>
  <c r="AA30" i="1"/>
  <c r="Z30" i="1"/>
  <c r="V30" i="1"/>
  <c r="W30" i="1" s="1"/>
  <c r="U30" i="1"/>
  <c r="T30" i="1"/>
  <c r="R30" i="1" s="1"/>
  <c r="S30" i="1"/>
  <c r="P30" i="1"/>
  <c r="AQ29" i="1"/>
  <c r="AP29" i="1"/>
  <c r="AM29" i="1"/>
  <c r="AL29" i="1"/>
  <c r="AI29" i="1"/>
  <c r="AH29" i="1"/>
  <c r="AE29" i="1"/>
  <c r="AD29" i="1"/>
  <c r="AA29" i="1"/>
  <c r="Z29" i="1"/>
  <c r="V29" i="1"/>
  <c r="W29" i="1" s="1"/>
  <c r="U29" i="1"/>
  <c r="S29" i="1" s="1"/>
  <c r="T29" i="1"/>
  <c r="R29" i="1" s="1"/>
  <c r="P29" i="1"/>
  <c r="AQ28" i="1"/>
  <c r="AP28" i="1"/>
  <c r="AM28" i="1"/>
  <c r="AL28" i="1"/>
  <c r="AI28" i="1"/>
  <c r="AH28" i="1"/>
  <c r="AE28" i="1"/>
  <c r="AD28" i="1"/>
  <c r="AA28" i="1"/>
  <c r="Z28" i="1"/>
  <c r="W28" i="1"/>
  <c r="U28" i="1"/>
  <c r="S28" i="1" s="1"/>
  <c r="T28" i="1"/>
  <c r="R28" i="1"/>
  <c r="P28" i="1"/>
  <c r="AQ27" i="1"/>
  <c r="AP27" i="1"/>
  <c r="AM27" i="1"/>
  <c r="AL27" i="1"/>
  <c r="AI27" i="1"/>
  <c r="AH27" i="1"/>
  <c r="AE27" i="1"/>
  <c r="AD27" i="1"/>
  <c r="AA27" i="1"/>
  <c r="Z27" i="1"/>
  <c r="U27" i="1"/>
  <c r="T27" i="1"/>
  <c r="R27" i="1" s="1"/>
  <c r="S27" i="1"/>
  <c r="P27" i="1"/>
  <c r="AQ26" i="1"/>
  <c r="AP26" i="1"/>
  <c r="AM26" i="1"/>
  <c r="AL26" i="1"/>
  <c r="AI26" i="1"/>
  <c r="AH26" i="1"/>
  <c r="AE26" i="1"/>
  <c r="AD26" i="1"/>
  <c r="AA26" i="1"/>
  <c r="Z26" i="1"/>
  <c r="U26" i="1"/>
  <c r="S26" i="1" s="1"/>
  <c r="T26" i="1"/>
  <c r="R26" i="1"/>
  <c r="P26" i="1"/>
  <c r="AQ25" i="1"/>
  <c r="AP25" i="1"/>
  <c r="AM25" i="1"/>
  <c r="AL25" i="1"/>
  <c r="AI25" i="1"/>
  <c r="AH25" i="1"/>
  <c r="AE25" i="1"/>
  <c r="AD25" i="1"/>
  <c r="AA25" i="1"/>
  <c r="Z25" i="1"/>
  <c r="U25" i="1"/>
  <c r="S25" i="1" s="1"/>
  <c r="T25" i="1"/>
  <c r="V25" i="1" s="1"/>
  <c r="W25" i="1" s="1"/>
  <c r="P25" i="1"/>
  <c r="AQ24" i="1"/>
  <c r="AP24" i="1"/>
  <c r="AM24" i="1"/>
  <c r="AL24" i="1"/>
  <c r="AI24" i="1"/>
  <c r="AH24" i="1"/>
  <c r="AE24" i="1"/>
  <c r="AD24" i="1"/>
  <c r="AA24" i="1"/>
  <c r="Z24" i="1"/>
  <c r="V24" i="1"/>
  <c r="W24" i="1" s="1"/>
  <c r="U24" i="1"/>
  <c r="S24" i="1" s="1"/>
  <c r="T24" i="1"/>
  <c r="R24" i="1" s="1"/>
  <c r="P24" i="1"/>
  <c r="AQ23" i="1"/>
  <c r="AP23" i="1"/>
  <c r="AM23" i="1"/>
  <c r="AL23" i="1"/>
  <c r="AI23" i="1"/>
  <c r="AH23" i="1"/>
  <c r="AE23" i="1"/>
  <c r="AD23" i="1"/>
  <c r="AA23" i="1"/>
  <c r="Z23" i="1"/>
  <c r="W23" i="1"/>
  <c r="V23" i="1"/>
  <c r="U23" i="1"/>
  <c r="T23" i="1"/>
  <c r="S23" i="1"/>
  <c r="R23" i="1"/>
  <c r="P23" i="1"/>
  <c r="AQ22" i="1"/>
  <c r="AP22" i="1"/>
  <c r="AM22" i="1"/>
  <c r="AL22" i="1"/>
  <c r="AI22" i="1"/>
  <c r="AH22" i="1"/>
  <c r="AE22" i="1"/>
  <c r="AD22" i="1"/>
  <c r="AA22" i="1"/>
  <c r="Z22" i="1"/>
  <c r="U22" i="1"/>
  <c r="S22" i="1" s="1"/>
  <c r="T22" i="1"/>
  <c r="R22" i="1" s="1"/>
  <c r="P22" i="1"/>
  <c r="AQ21" i="1"/>
  <c r="AP21" i="1"/>
  <c r="AM21" i="1"/>
  <c r="AL21" i="1"/>
  <c r="AI21" i="1"/>
  <c r="AH21" i="1"/>
  <c r="AE21" i="1"/>
  <c r="AD21" i="1"/>
  <c r="AA21" i="1"/>
  <c r="Z21" i="1"/>
  <c r="V21" i="1"/>
  <c r="W21" i="1" s="1"/>
  <c r="U21" i="1"/>
  <c r="T21" i="1"/>
  <c r="R21" i="1" s="1"/>
  <c r="S21" i="1"/>
  <c r="P21" i="1"/>
  <c r="AQ20" i="1"/>
  <c r="AP20" i="1"/>
  <c r="AM20" i="1"/>
  <c r="AL20" i="1"/>
  <c r="AI20" i="1"/>
  <c r="AH20" i="1"/>
  <c r="AE20" i="1"/>
  <c r="AD20" i="1"/>
  <c r="AA20" i="1"/>
  <c r="Z20" i="1"/>
  <c r="V20" i="1"/>
  <c r="W20" i="1" s="1"/>
  <c r="U20" i="1"/>
  <c r="T20" i="1"/>
  <c r="P20" i="1"/>
  <c r="AQ19" i="1"/>
  <c r="AP19" i="1"/>
  <c r="AM19" i="1"/>
  <c r="AL19" i="1"/>
  <c r="AI19" i="1"/>
  <c r="AH19" i="1"/>
  <c r="AE19" i="1"/>
  <c r="AD19" i="1"/>
  <c r="AA19" i="1"/>
  <c r="Z19" i="1"/>
  <c r="V19" i="1"/>
  <c r="W19" i="1" s="1"/>
  <c r="U19" i="1"/>
  <c r="S19" i="1" s="1"/>
  <c r="T19" i="1"/>
  <c r="R19" i="1" s="1"/>
  <c r="P19" i="1"/>
  <c r="AQ18" i="1"/>
  <c r="AP18" i="1"/>
  <c r="AM18" i="1"/>
  <c r="AL18" i="1"/>
  <c r="AI18" i="1"/>
  <c r="AH18" i="1"/>
  <c r="AE18" i="1"/>
  <c r="AD18" i="1"/>
  <c r="AA18" i="1"/>
  <c r="Z18" i="1"/>
  <c r="W18" i="1"/>
  <c r="V18" i="1"/>
  <c r="U18" i="1"/>
  <c r="T18" i="1"/>
  <c r="S18" i="1"/>
  <c r="R18" i="1"/>
  <c r="P18" i="1"/>
  <c r="AQ17" i="1"/>
  <c r="AP17" i="1"/>
  <c r="AM17" i="1"/>
  <c r="AL17" i="1"/>
  <c r="AI17" i="1"/>
  <c r="AH17" i="1"/>
  <c r="AE17" i="1"/>
  <c r="AD17" i="1"/>
  <c r="AA17" i="1"/>
  <c r="Z17" i="1"/>
  <c r="U17" i="1"/>
  <c r="S17" i="1" s="1"/>
  <c r="T17" i="1"/>
  <c r="R17" i="1" s="1"/>
  <c r="P17" i="1"/>
  <c r="AQ16" i="1"/>
  <c r="AP16" i="1"/>
  <c r="AM16" i="1"/>
  <c r="AL16" i="1"/>
  <c r="AI16" i="1"/>
  <c r="AH16" i="1"/>
  <c r="AE16" i="1"/>
  <c r="AD16" i="1"/>
  <c r="AA16" i="1"/>
  <c r="Z16" i="1"/>
  <c r="V16" i="1"/>
  <c r="W16" i="1" s="1"/>
  <c r="U16" i="1"/>
  <c r="T16" i="1"/>
  <c r="R16" i="1" s="1"/>
  <c r="S16" i="1"/>
  <c r="P16" i="1"/>
  <c r="AQ15" i="1"/>
  <c r="AP15" i="1"/>
  <c r="AM15" i="1"/>
  <c r="AL15" i="1"/>
  <c r="AI15" i="1"/>
  <c r="AH15" i="1"/>
  <c r="AE15" i="1"/>
  <c r="AD15" i="1"/>
  <c r="AA15" i="1"/>
  <c r="Z15" i="1"/>
  <c r="V15" i="1"/>
  <c r="W15" i="1" s="1"/>
  <c r="U15" i="1"/>
  <c r="S15" i="1" s="1"/>
  <c r="T15" i="1"/>
  <c r="R15" i="1" s="1"/>
  <c r="P15" i="1"/>
  <c r="AQ14" i="1"/>
  <c r="AP14" i="1"/>
  <c r="AM14" i="1"/>
  <c r="AL14" i="1"/>
  <c r="AI14" i="1"/>
  <c r="AH14" i="1"/>
  <c r="AE14" i="1"/>
  <c r="AD14" i="1"/>
  <c r="AA14" i="1"/>
  <c r="Z14" i="1"/>
  <c r="U14" i="1"/>
  <c r="T14" i="1"/>
  <c r="V14" i="1" s="1"/>
  <c r="W14" i="1" s="1"/>
  <c r="S14" i="1"/>
  <c r="R14" i="1"/>
  <c r="P14" i="1"/>
  <c r="AQ13" i="1"/>
  <c r="AP13" i="1"/>
  <c r="AM13" i="1"/>
  <c r="AL13" i="1"/>
  <c r="AI13" i="1"/>
  <c r="AH13" i="1"/>
  <c r="AE13" i="1"/>
  <c r="AD13" i="1"/>
  <c r="AA13" i="1"/>
  <c r="Z13" i="1"/>
  <c r="U13" i="1"/>
  <c r="S13" i="1" s="1"/>
  <c r="T13" i="1"/>
  <c r="R13" i="1" s="1"/>
  <c r="P13" i="1"/>
  <c r="AQ12" i="1"/>
  <c r="AP12" i="1"/>
  <c r="AM12" i="1"/>
  <c r="AL12" i="1"/>
  <c r="AI12" i="1"/>
  <c r="AH12" i="1"/>
  <c r="AE12" i="1"/>
  <c r="AD12" i="1"/>
  <c r="AA12" i="1"/>
  <c r="Z12" i="1"/>
  <c r="V12" i="1"/>
  <c r="W12" i="1" s="1"/>
  <c r="U12" i="1"/>
  <c r="T12" i="1"/>
  <c r="R12" i="1" s="1"/>
  <c r="S12" i="1"/>
  <c r="P12" i="1"/>
  <c r="AQ11" i="1"/>
  <c r="AP11" i="1"/>
  <c r="AM11" i="1"/>
  <c r="AL11" i="1"/>
  <c r="AI11" i="1"/>
  <c r="AH11" i="1"/>
  <c r="AE11" i="1"/>
  <c r="AD11" i="1"/>
  <c r="AA11" i="1"/>
  <c r="Z11" i="1"/>
  <c r="V11" i="1"/>
  <c r="W11" i="1" s="1"/>
  <c r="U11" i="1"/>
  <c r="S11" i="1" s="1"/>
  <c r="T11" i="1"/>
  <c r="R11" i="1"/>
  <c r="P11" i="1"/>
  <c r="AQ10" i="1"/>
  <c r="AP10" i="1"/>
  <c r="AM10" i="1"/>
  <c r="AL10" i="1"/>
  <c r="AI10" i="1"/>
  <c r="AH10" i="1"/>
  <c r="AE10" i="1"/>
  <c r="AD10" i="1"/>
  <c r="AA10" i="1"/>
  <c r="Z10" i="1"/>
  <c r="U10" i="1"/>
  <c r="T10" i="1"/>
  <c r="V10" i="1" s="1"/>
  <c r="W10" i="1" s="1"/>
  <c r="S10" i="1"/>
  <c r="R10" i="1"/>
  <c r="P10" i="1"/>
  <c r="AQ9" i="1"/>
  <c r="AP9" i="1"/>
  <c r="AM9" i="1"/>
  <c r="AL9" i="1"/>
  <c r="AI9" i="1"/>
  <c r="AH9" i="1"/>
  <c r="AE9" i="1"/>
  <c r="AD9" i="1"/>
  <c r="AA9" i="1"/>
  <c r="Z9" i="1"/>
  <c r="U9" i="1"/>
  <c r="S9" i="1" s="1"/>
  <c r="T9" i="1"/>
  <c r="R9" i="1" s="1"/>
  <c r="P9" i="1"/>
  <c r="AQ8" i="1"/>
  <c r="AP8" i="1"/>
  <c r="AM8" i="1"/>
  <c r="AL8" i="1"/>
  <c r="AI8" i="1"/>
  <c r="AH8" i="1"/>
  <c r="AE8" i="1"/>
  <c r="AD8" i="1"/>
  <c r="AA8" i="1"/>
  <c r="Z8" i="1"/>
  <c r="V8" i="1"/>
  <c r="W8" i="1" s="1"/>
  <c r="U8" i="1"/>
  <c r="T8" i="1"/>
  <c r="R8" i="1" s="1"/>
  <c r="S8" i="1"/>
  <c r="P8" i="1"/>
  <c r="AQ7" i="1"/>
  <c r="AP7" i="1"/>
  <c r="AM7" i="1"/>
  <c r="AL7" i="1"/>
  <c r="AI7" i="1"/>
  <c r="AH7" i="1"/>
  <c r="AE7" i="1"/>
  <c r="AD7" i="1"/>
  <c r="AA7" i="1"/>
  <c r="Z7" i="1"/>
  <c r="V7" i="1"/>
  <c r="W7" i="1" s="1"/>
  <c r="U7" i="1"/>
  <c r="S7" i="1" s="1"/>
  <c r="T7" i="1"/>
  <c r="R7" i="1"/>
  <c r="P7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Q6" i="1"/>
  <c r="AP6" i="1"/>
  <c r="AM6" i="1"/>
  <c r="AL6" i="1"/>
  <c r="AI6" i="1"/>
  <c r="AH6" i="1"/>
  <c r="AE6" i="1"/>
  <c r="AD6" i="1"/>
  <c r="AA6" i="1"/>
  <c r="Z6" i="1"/>
  <c r="U6" i="1"/>
  <c r="T6" i="1"/>
  <c r="V6" i="1" s="1"/>
  <c r="W6" i="1" s="1"/>
  <c r="S6" i="1"/>
  <c r="R6" i="1"/>
  <c r="P6" i="1"/>
  <c r="A6" i="1"/>
  <c r="AQ5" i="1"/>
  <c r="AP5" i="1"/>
  <c r="AM5" i="1"/>
  <c r="AL5" i="1"/>
  <c r="AI5" i="1"/>
  <c r="AH5" i="1"/>
  <c r="AE5" i="1"/>
  <c r="AD5" i="1"/>
  <c r="AA5" i="1"/>
  <c r="Z5" i="1"/>
  <c r="W5" i="1"/>
  <c r="U5" i="1"/>
  <c r="T5" i="1"/>
  <c r="R5" i="1" s="1"/>
  <c r="S5" i="1"/>
  <c r="P5" i="1"/>
  <c r="A5" i="1"/>
  <c r="AQ4" i="1"/>
  <c r="AP4" i="1"/>
  <c r="AM4" i="1"/>
  <c r="AL4" i="1"/>
  <c r="AI4" i="1"/>
  <c r="AH4" i="1"/>
  <c r="AE4" i="1"/>
  <c r="AD4" i="1"/>
  <c r="AA4" i="1"/>
  <c r="Z4" i="1"/>
  <c r="U4" i="1"/>
  <c r="V4" i="1" s="1"/>
  <c r="T4" i="1"/>
  <c r="R4" i="1"/>
  <c r="P4" i="1"/>
  <c r="W4" i="1" l="1"/>
  <c r="V26" i="1"/>
  <c r="W26" i="1" s="1"/>
  <c r="V34" i="1"/>
  <c r="W34" i="1" s="1"/>
  <c r="V38" i="1"/>
  <c r="W38" i="1" s="1"/>
  <c r="V42" i="1"/>
  <c r="W42" i="1" s="1"/>
  <c r="V46" i="1"/>
  <c r="W46" i="1" s="1"/>
  <c r="V50" i="1"/>
  <c r="W50" i="1" s="1"/>
  <c r="V54" i="1"/>
  <c r="W54" i="1" s="1"/>
  <c r="V58" i="1"/>
  <c r="W58" i="1" s="1"/>
  <c r="V62" i="1"/>
  <c r="W62" i="1" s="1"/>
  <c r="V66" i="1"/>
  <c r="W66" i="1" s="1"/>
  <c r="V70" i="1"/>
  <c r="W70" i="1" s="1"/>
  <c r="V74" i="1"/>
  <c r="W74" i="1" s="1"/>
  <c r="V78" i="1"/>
  <c r="W78" i="1" s="1"/>
  <c r="V82" i="1"/>
  <c r="W82" i="1" s="1"/>
  <c r="V9" i="1"/>
  <c r="W9" i="1" s="1"/>
  <c r="V13" i="1"/>
  <c r="W13" i="1" s="1"/>
  <c r="V17" i="1"/>
  <c r="W17" i="1" s="1"/>
  <c r="V22" i="1"/>
  <c r="W22" i="1" s="1"/>
  <c r="V31" i="1"/>
  <c r="W31" i="1" s="1"/>
  <c r="V91" i="1"/>
  <c r="W91" i="1" s="1"/>
  <c r="V92" i="1"/>
  <c r="W92" i="1" s="1"/>
  <c r="V103" i="1"/>
  <c r="W103" i="1" s="1"/>
  <c r="R109" i="1"/>
  <c r="V112" i="1"/>
  <c r="W112" i="1" s="1"/>
  <c r="R121" i="1"/>
  <c r="V128" i="1"/>
  <c r="W128" i="1" s="1"/>
  <c r="R150" i="1"/>
  <c r="V150" i="1"/>
  <c r="W150" i="1" s="1"/>
  <c r="R162" i="1"/>
  <c r="V162" i="1"/>
  <c r="W162" i="1" s="1"/>
  <c r="V27" i="1"/>
  <c r="W27" i="1" s="1"/>
  <c r="Z34" i="1"/>
  <c r="Z387" i="1" s="1"/>
  <c r="V35" i="1"/>
  <c r="W35" i="1" s="1"/>
  <c r="R37" i="1"/>
  <c r="V39" i="1"/>
  <c r="W39" i="1" s="1"/>
  <c r="R41" i="1"/>
  <c r="V43" i="1"/>
  <c r="W43" i="1" s="1"/>
  <c r="R45" i="1"/>
  <c r="V47" i="1"/>
  <c r="W47" i="1" s="1"/>
  <c r="R49" i="1"/>
  <c r="V51" i="1"/>
  <c r="W51" i="1" s="1"/>
  <c r="R53" i="1"/>
  <c r="V55" i="1"/>
  <c r="W55" i="1" s="1"/>
  <c r="R57" i="1"/>
  <c r="V59" i="1"/>
  <c r="W59" i="1" s="1"/>
  <c r="R61" i="1"/>
  <c r="V63" i="1"/>
  <c r="W63" i="1" s="1"/>
  <c r="R65" i="1"/>
  <c r="V67" i="1"/>
  <c r="W67" i="1" s="1"/>
  <c r="R69" i="1"/>
  <c r="V71" i="1"/>
  <c r="W71" i="1" s="1"/>
  <c r="R73" i="1"/>
  <c r="V75" i="1"/>
  <c r="W75" i="1" s="1"/>
  <c r="R77" i="1"/>
  <c r="V79" i="1"/>
  <c r="W79" i="1" s="1"/>
  <c r="R81" i="1"/>
  <c r="R387" i="1" s="1"/>
  <c r="V83" i="1"/>
  <c r="W83" i="1" s="1"/>
  <c r="R97" i="1"/>
  <c r="R137" i="1"/>
  <c r="V137" i="1"/>
  <c r="W137" i="1" s="1"/>
  <c r="U389" i="1"/>
  <c r="U390" i="1" s="1"/>
  <c r="U387" i="1"/>
  <c r="AA387" i="1"/>
  <c r="R117" i="1"/>
  <c r="R133" i="1"/>
  <c r="R142" i="1"/>
  <c r="V142" i="1"/>
  <c r="W142" i="1" s="1"/>
  <c r="R158" i="1"/>
  <c r="V158" i="1"/>
  <c r="W158" i="1" s="1"/>
  <c r="S202" i="1"/>
  <c r="V202" i="1"/>
  <c r="W202" i="1" s="1"/>
  <c r="S4" i="1"/>
  <c r="R93" i="1"/>
  <c r="R113" i="1"/>
  <c r="R129" i="1"/>
  <c r="R154" i="1"/>
  <c r="V154" i="1"/>
  <c r="W154" i="1" s="1"/>
  <c r="R175" i="1"/>
  <c r="V175" i="1"/>
  <c r="W175" i="1" s="1"/>
  <c r="V181" i="1"/>
  <c r="W181" i="1" s="1"/>
  <c r="R181" i="1"/>
  <c r="AI387" i="1"/>
  <c r="V270" i="1"/>
  <c r="W270" i="1" s="1"/>
  <c r="R270" i="1"/>
  <c r="T389" i="1"/>
  <c r="T390" i="1" s="1"/>
  <c r="T387" i="1"/>
  <c r="V96" i="1"/>
  <c r="W96" i="1" s="1"/>
  <c r="V107" i="1"/>
  <c r="W107" i="1" s="1"/>
  <c r="R146" i="1"/>
  <c r="V146" i="1"/>
  <c r="W146" i="1" s="1"/>
  <c r="S86" i="1"/>
  <c r="S90" i="1"/>
  <c r="S94" i="1"/>
  <c r="S98" i="1"/>
  <c r="S102" i="1"/>
  <c r="S106" i="1"/>
  <c r="S110" i="1"/>
  <c r="V170" i="1"/>
  <c r="W170" i="1" s="1"/>
  <c r="V174" i="1"/>
  <c r="W174" i="1" s="1"/>
  <c r="R264" i="1"/>
  <c r="V264" i="1"/>
  <c r="W264" i="1" s="1"/>
  <c r="V274" i="1"/>
  <c r="W274" i="1" s="1"/>
  <c r="R274" i="1"/>
  <c r="S375" i="1"/>
  <c r="V375" i="1"/>
  <c r="W375" i="1" s="1"/>
  <c r="S168" i="1"/>
  <c r="S172" i="1"/>
  <c r="S187" i="1"/>
  <c r="R188" i="1"/>
  <c r="S207" i="1"/>
  <c r="V211" i="1"/>
  <c r="W211" i="1" s="1"/>
  <c r="R219" i="1"/>
  <c r="V219" i="1"/>
  <c r="W219" i="1" s="1"/>
  <c r="V231" i="1"/>
  <c r="W231" i="1" s="1"/>
  <c r="R280" i="1"/>
  <c r="V280" i="1"/>
  <c r="W280" i="1" s="1"/>
  <c r="V285" i="1"/>
  <c r="W285" i="1" s="1"/>
  <c r="R285" i="1"/>
  <c r="S343" i="1"/>
  <c r="V343" i="1"/>
  <c r="W343" i="1" s="1"/>
  <c r="S139" i="1"/>
  <c r="S144" i="1"/>
  <c r="S148" i="1"/>
  <c r="S152" i="1"/>
  <c r="V177" i="1"/>
  <c r="W177" i="1" s="1"/>
  <c r="V184" i="1"/>
  <c r="W184" i="1" s="1"/>
  <c r="V210" i="1"/>
  <c r="W210" i="1" s="1"/>
  <c r="R210" i="1"/>
  <c r="R235" i="1"/>
  <c r="V235" i="1"/>
  <c r="W235" i="1" s="1"/>
  <c r="V243" i="1"/>
  <c r="W243" i="1" s="1"/>
  <c r="S169" i="1"/>
  <c r="S173" i="1"/>
  <c r="S179" i="1"/>
  <c r="S263" i="1"/>
  <c r="V263" i="1"/>
  <c r="W263" i="1" s="1"/>
  <c r="R277" i="1"/>
  <c r="V277" i="1"/>
  <c r="W277" i="1" s="1"/>
  <c r="R284" i="1"/>
  <c r="V284" i="1"/>
  <c r="W284" i="1" s="1"/>
  <c r="V186" i="1"/>
  <c r="W186" i="1" s="1"/>
  <c r="V192" i="1"/>
  <c r="W192" i="1" s="1"/>
  <c r="R215" i="1"/>
  <c r="V215" i="1"/>
  <c r="W215" i="1" s="1"/>
  <c r="V217" i="1"/>
  <c r="W217" i="1" s="1"/>
  <c r="AM233" i="1"/>
  <c r="AL233" i="1"/>
  <c r="AI233" i="1"/>
  <c r="AH233" i="1"/>
  <c r="AH387" i="1" s="1"/>
  <c r="AE233" i="1"/>
  <c r="AD233" i="1"/>
  <c r="AQ233" i="1"/>
  <c r="AQ387" i="1" s="1"/>
  <c r="AA233" i="1"/>
  <c r="P233" i="1"/>
  <c r="P387" i="1" s="1"/>
  <c r="V247" i="1"/>
  <c r="W247" i="1" s="1"/>
  <c r="S301" i="1"/>
  <c r="V301" i="1"/>
  <c r="W301" i="1" s="1"/>
  <c r="S359" i="1"/>
  <c r="V359" i="1"/>
  <c r="W359" i="1" s="1"/>
  <c r="V196" i="1"/>
  <c r="W196" i="1" s="1"/>
  <c r="V214" i="1"/>
  <c r="W214" i="1" s="1"/>
  <c r="R214" i="1"/>
  <c r="V223" i="1"/>
  <c r="W223" i="1" s="1"/>
  <c r="V200" i="1"/>
  <c r="W200" i="1" s="1"/>
  <c r="R239" i="1"/>
  <c r="V239" i="1"/>
  <c r="W239" i="1" s="1"/>
  <c r="S327" i="1"/>
  <c r="V327" i="1"/>
  <c r="W327" i="1" s="1"/>
  <c r="AI215" i="1"/>
  <c r="V258" i="1"/>
  <c r="W258" i="1" s="1"/>
  <c r="V273" i="1"/>
  <c r="W273" i="1" s="1"/>
  <c r="AH278" i="1"/>
  <c r="AM278" i="1"/>
  <c r="AL278" i="1"/>
  <c r="AD278" i="1"/>
  <c r="V281" i="1"/>
  <c r="W281" i="1" s="1"/>
  <c r="S282" i="1"/>
  <c r="V298" i="1"/>
  <c r="W298" i="1" s="1"/>
  <c r="R298" i="1"/>
  <c r="R325" i="1"/>
  <c r="V340" i="1"/>
  <c r="W340" i="1" s="1"/>
  <c r="R340" i="1"/>
  <c r="V356" i="1"/>
  <c r="W356" i="1" s="1"/>
  <c r="R356" i="1"/>
  <c r="V372" i="1"/>
  <c r="W372" i="1" s="1"/>
  <c r="R372" i="1"/>
  <c r="V384" i="1"/>
  <c r="W384" i="1" s="1"/>
  <c r="R384" i="1"/>
  <c r="AL215" i="1"/>
  <c r="AL387" i="1" s="1"/>
  <c r="R217" i="1"/>
  <c r="R221" i="1"/>
  <c r="R233" i="1"/>
  <c r="R237" i="1"/>
  <c r="R321" i="1"/>
  <c r="V326" i="1"/>
  <c r="W326" i="1" s="1"/>
  <c r="AM215" i="1"/>
  <c r="AM387" i="1" s="1"/>
  <c r="R226" i="1"/>
  <c r="R230" i="1"/>
  <c r="R242" i="1"/>
  <c r="R246" i="1"/>
  <c r="R250" i="1"/>
  <c r="S261" i="1"/>
  <c r="V266" i="1"/>
  <c r="W266" i="1" s="1"/>
  <c r="S267" i="1"/>
  <c r="Z277" i="1"/>
  <c r="R278" i="1"/>
  <c r="AI278" i="1"/>
  <c r="V293" i="1"/>
  <c r="W293" i="1" s="1"/>
  <c r="R293" i="1"/>
  <c r="V297" i="1"/>
  <c r="W297" i="1" s="1"/>
  <c r="R317" i="1"/>
  <c r="V336" i="1"/>
  <c r="W336" i="1" s="1"/>
  <c r="R336" i="1"/>
  <c r="V339" i="1"/>
  <c r="W339" i="1" s="1"/>
  <c r="V352" i="1"/>
  <c r="W352" i="1" s="1"/>
  <c r="R352" i="1"/>
  <c r="V355" i="1"/>
  <c r="W355" i="1" s="1"/>
  <c r="V368" i="1"/>
  <c r="W368" i="1" s="1"/>
  <c r="R368" i="1"/>
  <c r="V371" i="1"/>
  <c r="W371" i="1" s="1"/>
  <c r="V383" i="1"/>
  <c r="W383" i="1" s="1"/>
  <c r="Z215" i="1"/>
  <c r="AP215" i="1"/>
  <c r="AP387" i="1" s="1"/>
  <c r="V254" i="1"/>
  <c r="W254" i="1" s="1"/>
  <c r="S255" i="1"/>
  <c r="R262" i="1"/>
  <c r="S278" i="1"/>
  <c r="R306" i="1"/>
  <c r="V380" i="1"/>
  <c r="W380" i="1" s="1"/>
  <c r="R380" i="1"/>
  <c r="V332" i="1"/>
  <c r="W332" i="1" s="1"/>
  <c r="R332" i="1"/>
  <c r="V348" i="1"/>
  <c r="W348" i="1" s="1"/>
  <c r="R348" i="1"/>
  <c r="V364" i="1"/>
  <c r="W364" i="1" s="1"/>
  <c r="R364" i="1"/>
  <c r="AD215" i="1"/>
  <c r="AD387" i="1" s="1"/>
  <c r="AM277" i="1"/>
  <c r="AD277" i="1"/>
  <c r="AQ277" i="1"/>
  <c r="AA277" i="1"/>
  <c r="P277" i="1"/>
  <c r="AI277" i="1"/>
  <c r="V289" i="1"/>
  <c r="W289" i="1" s="1"/>
  <c r="R289" i="1"/>
  <c r="V320" i="1"/>
  <c r="W320" i="1" s="1"/>
  <c r="V379" i="1"/>
  <c r="W379" i="1" s="1"/>
  <c r="S215" i="1"/>
  <c r="V268" i="1"/>
  <c r="W268" i="1" s="1"/>
  <c r="S277" i="1"/>
  <c r="AL277" i="1"/>
  <c r="V302" i="1"/>
  <c r="W302" i="1" s="1"/>
  <c r="R302" i="1"/>
  <c r="V305" i="1"/>
  <c r="W305" i="1" s="1"/>
  <c r="AH307" i="1"/>
  <c r="AE307" i="1"/>
  <c r="S307" i="1"/>
  <c r="AD307" i="1"/>
  <c r="R307" i="1"/>
  <c r="AL307" i="1"/>
  <c r="AI307" i="1"/>
  <c r="AP307" i="1"/>
  <c r="V316" i="1"/>
  <c r="W316" i="1" s="1"/>
  <c r="V328" i="1"/>
  <c r="W328" i="1" s="1"/>
  <c r="R328" i="1"/>
  <c r="V331" i="1"/>
  <c r="W331" i="1" s="1"/>
  <c r="V344" i="1"/>
  <c r="W344" i="1" s="1"/>
  <c r="R344" i="1"/>
  <c r="V347" i="1"/>
  <c r="W347" i="1" s="1"/>
  <c r="V360" i="1"/>
  <c r="W360" i="1" s="1"/>
  <c r="R360" i="1"/>
  <c r="V376" i="1"/>
  <c r="W376" i="1" s="1"/>
  <c r="R376" i="1"/>
  <c r="Z306" i="1"/>
  <c r="AP306" i="1"/>
  <c r="AD308" i="1"/>
  <c r="AI326" i="1"/>
  <c r="V287" i="1"/>
  <c r="W287" i="1" s="1"/>
  <c r="P306" i="1"/>
  <c r="AA306" i="1"/>
  <c r="AE308" i="1"/>
  <c r="AE387" i="1" s="1"/>
  <c r="Z308" i="1"/>
  <c r="S387" i="1" l="1"/>
  <c r="W387" i="1"/>
  <c r="V387" i="1"/>
  <c r="V38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Fernando Vera Canales</author>
  </authors>
  <commentList>
    <comment ref="H141" authorId="0" shapeId="0" xr:uid="{559EE2BA-CF64-4AD1-9007-22DBE74408BE}">
      <text>
        <r>
          <rPr>
            <b/>
            <sz val="9"/>
            <color indexed="81"/>
            <rFont val="Tahoma"/>
            <family val="2"/>
          </rPr>
          <t>Juan Fernando Vera Canales:</t>
        </r>
        <r>
          <rPr>
            <sz val="9"/>
            <color indexed="81"/>
            <rFont val="Tahoma"/>
            <family val="2"/>
          </rPr>
          <t xml:space="preserve">
UNO INCOMPLETO
</t>
        </r>
      </text>
    </comment>
  </commentList>
</comments>
</file>

<file path=xl/sharedStrings.xml><?xml version="1.0" encoding="utf-8"?>
<sst xmlns="http://schemas.openxmlformats.org/spreadsheetml/2006/main" count="1754" uniqueCount="647">
  <si>
    <t>N°</t>
  </si>
  <si>
    <t>FECHA 1</t>
  </si>
  <si>
    <t>AÑO</t>
  </si>
  <si>
    <t>#</t>
  </si>
  <si>
    <t>FECHA 2</t>
  </si>
  <si>
    <t>CODIGO</t>
  </si>
  <si>
    <t>DESCRIPCIÓN</t>
  </si>
  <si>
    <t>STOCK INICIAL</t>
  </si>
  <si>
    <t>MARCA</t>
  </si>
  <si>
    <t>MODELO</t>
  </si>
  <si>
    <t>CILINDRO</t>
  </si>
  <si>
    <t>UBICACIÓN</t>
  </si>
  <si>
    <t>CAJA</t>
  </si>
  <si>
    <t>PC UNT</t>
  </si>
  <si>
    <t>TOTAL SIN IGV</t>
  </si>
  <si>
    <t>OBSERVACIONES</t>
  </si>
  <si>
    <t>MONTO MENSUAL</t>
  </si>
  <si>
    <t>MOVIMIENTO MENSUAL</t>
  </si>
  <si>
    <t>STOCK FINAL</t>
  </si>
  <si>
    <t>TOTAL</t>
  </si>
  <si>
    <t>NOVIEMBRE</t>
  </si>
  <si>
    <t>SEMANA 1 Qty</t>
  </si>
  <si>
    <t>SEMANA 1 Val</t>
  </si>
  <si>
    <t>SEMANA 2 Qty</t>
  </si>
  <si>
    <t>SEMANA 2 Val</t>
  </si>
  <si>
    <t>SEMANA 3 Qty</t>
  </si>
  <si>
    <t>SEMANA 3 Val</t>
  </si>
  <si>
    <t>SEMANA 4 Qty</t>
  </si>
  <si>
    <t>SEMANA 4 Val</t>
  </si>
  <si>
    <t>SEMANA 5 Qty</t>
  </si>
  <si>
    <t>SEMANA 5 Val</t>
  </si>
  <si>
    <t>ENTRADA</t>
  </si>
  <si>
    <t>SALIDA</t>
  </si>
  <si>
    <t>EM1600</t>
  </si>
  <si>
    <t>PLATE</t>
  </si>
  <si>
    <t>B6</t>
  </si>
  <si>
    <t>CAJA 3</t>
  </si>
  <si>
    <t>BUSCAR FECHA</t>
  </si>
  <si>
    <t>TY8879</t>
  </si>
  <si>
    <t>TAPON</t>
  </si>
  <si>
    <t>KOM</t>
  </si>
  <si>
    <t>CAJA 2</t>
  </si>
  <si>
    <t>8X4043</t>
  </si>
  <si>
    <t>SPACER</t>
  </si>
  <si>
    <t>A6</t>
  </si>
  <si>
    <t>58B-50-00080</t>
  </si>
  <si>
    <t>SEAGER</t>
  </si>
  <si>
    <t>B5</t>
  </si>
  <si>
    <t>ORING</t>
  </si>
  <si>
    <t>CAJA 1</t>
  </si>
  <si>
    <t>KIT</t>
  </si>
  <si>
    <t>B2</t>
  </si>
  <si>
    <t>102-2204</t>
  </si>
  <si>
    <t>TUBERIA</t>
  </si>
  <si>
    <t>CAT</t>
  </si>
  <si>
    <t>C7</t>
  </si>
  <si>
    <t>468-7897</t>
  </si>
  <si>
    <t>SENSOR</t>
  </si>
  <si>
    <t>152-3750</t>
  </si>
  <si>
    <t>BEARING</t>
  </si>
  <si>
    <t>LIBRE</t>
  </si>
  <si>
    <t>SUELO</t>
  </si>
  <si>
    <t>420-5756</t>
  </si>
  <si>
    <t>CILINDRO DE VOTEO 994K</t>
  </si>
  <si>
    <t>ALTERNATIVO</t>
  </si>
  <si>
    <t>HD1500</t>
  </si>
  <si>
    <t>ROLUTAS HD1500 SUSPENSION POSTERIOR</t>
  </si>
  <si>
    <t>195-71-51254</t>
  </si>
  <si>
    <t>BUSHING</t>
  </si>
  <si>
    <t>B1</t>
  </si>
  <si>
    <t>8C-5142</t>
  </si>
  <si>
    <t>SEAL</t>
  </si>
  <si>
    <t>A2</t>
  </si>
  <si>
    <t>7J0204</t>
  </si>
  <si>
    <t>SEAL ORING</t>
  </si>
  <si>
    <t>58F/FS/AK020</t>
  </si>
  <si>
    <t>KIT DE  SELLOS SUSPENSION DELANTERA 930</t>
  </si>
  <si>
    <t>B7</t>
  </si>
  <si>
    <t>58F/SC/AK020</t>
  </si>
  <si>
    <t xml:space="preserve">KIT DE SELLOS </t>
  </si>
  <si>
    <t>SEAL SOURCE</t>
  </si>
  <si>
    <t>BUCKET</t>
  </si>
  <si>
    <t>LIMPIADORES DE VOLTEO DE BUCKET PC1250</t>
  </si>
  <si>
    <t>A5</t>
  </si>
  <si>
    <t>320-2510: SELLO ANULAR</t>
  </si>
  <si>
    <t>A3</t>
  </si>
  <si>
    <t>2 SEAL SOURCE Y CAT</t>
  </si>
  <si>
    <t xml:space="preserve"> 2159864</t>
  </si>
  <si>
    <t xml:space="preserve">PART STICK 390 </t>
  </si>
  <si>
    <t>04071-00190</t>
  </si>
  <si>
    <t>SNAP RING</t>
  </si>
  <si>
    <t>KOMATSU</t>
  </si>
  <si>
    <t>-</t>
  </si>
  <si>
    <t xml:space="preserve">KOMATSU ORIGINAL </t>
  </si>
  <si>
    <t>07179-14160</t>
  </si>
  <si>
    <t>ANILLO KOMATSU</t>
  </si>
  <si>
    <t>SNAP</t>
  </si>
  <si>
    <t>PC 2000</t>
  </si>
  <si>
    <t xml:space="preserve">REPUESTO KOMATSU </t>
  </si>
  <si>
    <t>|</t>
  </si>
  <si>
    <t>148-2592</t>
  </si>
  <si>
    <t>TAPON ORIGINAL</t>
  </si>
  <si>
    <t>A4</t>
  </si>
  <si>
    <t>3G-8191</t>
  </si>
  <si>
    <t>ARANDELA</t>
  </si>
  <si>
    <t>9S8007</t>
  </si>
  <si>
    <t>PLUG</t>
  </si>
  <si>
    <t>1020786</t>
  </si>
  <si>
    <t>SEGURO DE ROD BUSHING STICK 390</t>
  </si>
  <si>
    <t>1038364</t>
  </si>
  <si>
    <t>RING</t>
  </si>
  <si>
    <t>1052653</t>
  </si>
  <si>
    <t>GUIA</t>
  </si>
  <si>
    <t>A1</t>
  </si>
  <si>
    <t>CAJA BLANCA</t>
  </si>
  <si>
    <t>58F/RS/AK031</t>
  </si>
  <si>
    <t>KIT DE SELLOS</t>
  </si>
  <si>
    <t>58F/HC/AK020</t>
  </si>
  <si>
    <t>KIT DE SELLOS SUSPENDION POSTERIOR 930</t>
  </si>
  <si>
    <t>XA4155</t>
  </si>
  <si>
    <t>BLADDER GL 16</t>
  </si>
  <si>
    <t>PARKER</t>
  </si>
  <si>
    <t>A7</t>
  </si>
  <si>
    <t>KOM-EH7190</t>
  </si>
  <si>
    <t>ORIGN</t>
  </si>
  <si>
    <t>KOM-EH7192</t>
  </si>
  <si>
    <t>KOM-EH7194</t>
  </si>
  <si>
    <t>KOM-EH7195</t>
  </si>
  <si>
    <t>KOM-EH7196</t>
  </si>
  <si>
    <t>199-1481</t>
  </si>
  <si>
    <t>RING BACKUP</t>
  </si>
  <si>
    <t>106-1017</t>
  </si>
  <si>
    <t>1101748C1</t>
  </si>
  <si>
    <t>SELLO</t>
  </si>
  <si>
    <t>111-5699</t>
  </si>
  <si>
    <t>111-5699: ESPACIADOR</t>
  </si>
  <si>
    <t>111-5700</t>
  </si>
  <si>
    <t>111-5700: ESPACIADOR</t>
  </si>
  <si>
    <t>111-9110</t>
  </si>
  <si>
    <t>111-9110: PROTECTOR L:2.87",Anc:1",Alt:1.13"</t>
  </si>
  <si>
    <t>116-3513</t>
  </si>
  <si>
    <t>TUERCA</t>
  </si>
  <si>
    <t>SEAL SOURCE CAT</t>
  </si>
  <si>
    <t>C2</t>
  </si>
  <si>
    <t>1163519</t>
  </si>
  <si>
    <t>PARTE DEL KIT STICK 390</t>
  </si>
  <si>
    <t>118-8586</t>
  </si>
  <si>
    <t>118-8586: SELLO ANULAR</t>
  </si>
  <si>
    <t>123-7276</t>
  </si>
  <si>
    <t>123-7276: SELLO Alt:0.21",Anch:0.14",D int:36.14"</t>
  </si>
  <si>
    <t>1503013480</t>
  </si>
  <si>
    <t>150-3409</t>
  </si>
  <si>
    <t>150-3411</t>
  </si>
  <si>
    <t>1503413</t>
  </si>
  <si>
    <t>150-3422</t>
  </si>
  <si>
    <t>150-3422: SELLO</t>
  </si>
  <si>
    <t>153-9921</t>
  </si>
  <si>
    <t>153-9921: CASQUILLO</t>
  </si>
  <si>
    <t>157-7244</t>
  </si>
  <si>
    <t>157-7244: ANILLO DE RESPALDO Alt: 0.16", D int: 10.18", Anch: 0.08"</t>
  </si>
  <si>
    <t>166-1494</t>
  </si>
  <si>
    <t>Sello de pasador  D eje: 80 mm</t>
  </si>
  <si>
    <t>192-1435</t>
  </si>
  <si>
    <t>PISTON SEAL</t>
  </si>
  <si>
    <t>166-1498</t>
  </si>
  <si>
    <t>166-1498: SELLO: PASADOR (DE LABIO)</t>
  </si>
  <si>
    <t>167-2212</t>
  </si>
  <si>
    <t>167-2212: SELLO DE AMORTIGUADORD var: 3.54", D mues: 0.25", Anch mues: 4.16"</t>
  </si>
  <si>
    <t>167-2222 / 346-9381</t>
  </si>
  <si>
    <t>167-2325</t>
  </si>
  <si>
    <t>SELLO EN U PARA VARILLAS D ext:4.14",D int:3.54", Anch:0.14"</t>
  </si>
  <si>
    <t>168-2271</t>
  </si>
  <si>
    <t>168-2271: ANILLO DE RESPALDO</t>
  </si>
  <si>
    <t>169-4812</t>
  </si>
  <si>
    <t>169-4812: SELLO Dint: 0.301", Dext: 0.603"</t>
  </si>
  <si>
    <t>175-30-24242</t>
  </si>
  <si>
    <t>1850230</t>
  </si>
  <si>
    <t>2j3961</t>
  </si>
  <si>
    <t>8J1689</t>
  </si>
  <si>
    <t>8T8737</t>
  </si>
  <si>
    <t>BACK UP</t>
  </si>
  <si>
    <t>SELLO ANULAR</t>
  </si>
  <si>
    <t>188-2199</t>
  </si>
  <si>
    <t>SELLO EN U</t>
  </si>
  <si>
    <t>195-71-52360</t>
  </si>
  <si>
    <t>195-71-52360 T- ANILLO</t>
  </si>
  <si>
    <t xml:space="preserve">KOM </t>
  </si>
  <si>
    <t>198-5529</t>
  </si>
  <si>
    <t>198-5529: COJINETE DE MANGUITO (BUJE)</t>
  </si>
  <si>
    <t>C4</t>
  </si>
  <si>
    <t>1991477</t>
  </si>
  <si>
    <t>GUA</t>
  </si>
  <si>
    <t>1J-2192</t>
  </si>
  <si>
    <t>1J-2192: COJINETE DE MANGUITO (BUJE) COLOR NEGRO</t>
  </si>
  <si>
    <t>D11T</t>
  </si>
  <si>
    <t>CILINDRO DE LEVANTE DE BULLDOZER</t>
  </si>
  <si>
    <t>C6</t>
  </si>
  <si>
    <t>1J-6472</t>
  </si>
  <si>
    <t>SEGURO</t>
  </si>
  <si>
    <t>1U3174</t>
  </si>
  <si>
    <t>7k9212</t>
  </si>
  <si>
    <t>LIMPIADOR</t>
  </si>
  <si>
    <t>1V-8242</t>
  </si>
  <si>
    <t>BUJE</t>
  </si>
  <si>
    <t>222-5765</t>
  </si>
  <si>
    <t>223-5519</t>
  </si>
  <si>
    <t>223-5519: SELLO ANULAR</t>
  </si>
  <si>
    <t>225-3286 / 311-9318</t>
  </si>
  <si>
    <t>225-3286: SELLO LIMPIADOR A PRESIÓN</t>
  </si>
  <si>
    <t>226-0351</t>
  </si>
  <si>
    <t>226-0351: SELLO</t>
  </si>
  <si>
    <t>226-0352</t>
  </si>
  <si>
    <t>226-0352: SELLO   D int:9.68", Anch: 0.19", Alt: 0.37"</t>
  </si>
  <si>
    <t>228-4931</t>
  </si>
  <si>
    <t>228-4931: DISCO (D ext: 0.495", L:0.885")</t>
  </si>
  <si>
    <t>229-5538</t>
  </si>
  <si>
    <t>229-5538: KIT: SELLO DE CILINDRO HIDRÁULICO</t>
  </si>
  <si>
    <t>B3</t>
  </si>
  <si>
    <t>229-5549</t>
  </si>
  <si>
    <t>229-5549: KIT: SELLO DE CILINDRO HIDRÁULICO</t>
  </si>
  <si>
    <t>229-9443</t>
  </si>
  <si>
    <t>229-9443: ANILLO</t>
  </si>
  <si>
    <t>2330621</t>
  </si>
  <si>
    <t>LIMPIADORES</t>
  </si>
  <si>
    <t>233-2613</t>
  </si>
  <si>
    <t>ROAD BUSHING</t>
  </si>
  <si>
    <t>2341948</t>
  </si>
  <si>
    <t>1985529</t>
  </si>
  <si>
    <t>PUERTA</t>
  </si>
  <si>
    <t>254688R1</t>
  </si>
  <si>
    <t>282-9598</t>
  </si>
  <si>
    <t>282-9598: LIMPIADOR DE SELLO (D ext: 4.35", Anch:0.55", D int: 3.49")</t>
  </si>
  <si>
    <t>2H-3932</t>
  </si>
  <si>
    <t>1672339</t>
  </si>
  <si>
    <t>312-4260</t>
  </si>
  <si>
    <t>SELLOS</t>
  </si>
  <si>
    <t>TL3995</t>
  </si>
  <si>
    <t>ORING PEQUEÑO</t>
  </si>
  <si>
    <t>3162516</t>
  </si>
  <si>
    <t>192-1425</t>
  </si>
  <si>
    <t>3189225</t>
  </si>
  <si>
    <t>3206169</t>
  </si>
  <si>
    <t>3246439</t>
  </si>
  <si>
    <t>332-2569</t>
  </si>
  <si>
    <t>3338673</t>
  </si>
  <si>
    <t>BACKUP RING</t>
  </si>
  <si>
    <t xml:space="preserve">3144125 </t>
  </si>
  <si>
    <t>340-2376</t>
  </si>
  <si>
    <t>1 ORIGINAL</t>
  </si>
  <si>
    <t>346-2108</t>
  </si>
  <si>
    <t>3465193</t>
  </si>
  <si>
    <t>BUFFER</t>
  </si>
  <si>
    <t>3465199 / 167-2471</t>
  </si>
  <si>
    <t>WIPER</t>
  </si>
  <si>
    <t>3465201</t>
  </si>
  <si>
    <t>RTUB</t>
  </si>
  <si>
    <t>346-9381</t>
  </si>
  <si>
    <t>3575257</t>
  </si>
  <si>
    <t>COVER</t>
  </si>
  <si>
    <t>382-8046</t>
  </si>
  <si>
    <t>382-8046: PLACA, YM</t>
  </si>
  <si>
    <t>ALTERNATIVO / PRECIO CAT</t>
  </si>
  <si>
    <t>3D-2824</t>
  </si>
  <si>
    <t>3D-2824: SELLO ANULAR STOR (STRAIGHT THREAD O-RING, SELLO ANULAR DE ROSCA RECTA, SAE 1-1/16-12)</t>
  </si>
  <si>
    <t>3J-6484</t>
  </si>
  <si>
    <t>C5</t>
  </si>
  <si>
    <t>3K-0360</t>
  </si>
  <si>
    <t>3K-0360: SELLO ANULAR STOR (STRAIGHT THREAD O-RING, SELLO ANULAR DE ROSCA RECTA, SAE 3/4-16)</t>
  </si>
  <si>
    <t>DIRECTION</t>
  </si>
  <si>
    <t>3K-8692</t>
  </si>
  <si>
    <t>420-1508</t>
  </si>
  <si>
    <t>420-1508: SELLO: PASADOR</t>
  </si>
  <si>
    <t>425-7486</t>
  </si>
  <si>
    <t>425-7486: SELLO DE CABEZAL ( D int:11.579", D ext:12", Anch:0.425")</t>
  </si>
  <si>
    <t>4 CAT</t>
  </si>
  <si>
    <t>797F</t>
  </si>
  <si>
    <t>CILINDRO DE LEVANTE DE TOLVA</t>
  </si>
  <si>
    <t>437-2053</t>
  </si>
  <si>
    <t>437-2053: CABEZAL DEL SELLO (D int: 14.36", Anch:0.27", Alt: 0.19")</t>
  </si>
  <si>
    <t>4402667</t>
  </si>
  <si>
    <t>VALVULAS</t>
  </si>
  <si>
    <t>495-8212</t>
  </si>
  <si>
    <t>495-8212: CONJUNTO DE SELLO (Anch:0.379",D ranura:5.142", D perf:5.905")</t>
  </si>
  <si>
    <t>CAJA1</t>
  </si>
  <si>
    <t>PASADOR</t>
  </si>
  <si>
    <t>421-6441</t>
  </si>
  <si>
    <t>4D-5642</t>
  </si>
  <si>
    <t>RUEDA CAT 793</t>
  </si>
  <si>
    <t>4I-1520</t>
  </si>
  <si>
    <t>4I-1520: COJINETE DE MANGUITO (BUJE)</t>
  </si>
  <si>
    <t xml:space="preserve">CAT </t>
  </si>
  <si>
    <t>4T8588</t>
  </si>
  <si>
    <t>4Z-6423</t>
  </si>
  <si>
    <t>PISTON</t>
  </si>
  <si>
    <t>504-7638</t>
  </si>
  <si>
    <t>504-7638: COJINETE: MANGUITO</t>
  </si>
  <si>
    <t>506-2321</t>
  </si>
  <si>
    <t>506-2322</t>
  </si>
  <si>
    <t>506-2324</t>
  </si>
  <si>
    <t>9J-6549</t>
  </si>
  <si>
    <t>COJINETE</t>
  </si>
  <si>
    <t>517-5957</t>
  </si>
  <si>
    <t>518-5136 y 333-8750</t>
  </si>
  <si>
    <t>KIT DE SELLO</t>
  </si>
  <si>
    <t>EJ7887</t>
  </si>
  <si>
    <t>VALVULA</t>
  </si>
  <si>
    <t>5273430</t>
  </si>
  <si>
    <t>PROTECTOR</t>
  </si>
  <si>
    <t>558-3784</t>
  </si>
  <si>
    <t>558-3784: GUIDE-ROD 20</t>
  </si>
  <si>
    <t>562-22-32290</t>
  </si>
  <si>
    <t>PIN</t>
  </si>
  <si>
    <t>2A06</t>
  </si>
  <si>
    <t>573-0339</t>
  </si>
  <si>
    <t>573-0339: GUIDE-PISTON</t>
  </si>
  <si>
    <t>581-50-11280</t>
  </si>
  <si>
    <t>ROD BUSHING</t>
  </si>
  <si>
    <t>585-5120</t>
  </si>
  <si>
    <t>585-5120: SEAL-BUFFER</t>
  </si>
  <si>
    <t>585-5121</t>
  </si>
  <si>
    <t>585-5121: GUIDE-ROD 23</t>
  </si>
  <si>
    <t>58B/SC/AK030</t>
  </si>
  <si>
    <t>kit DIRECCIÓN 980</t>
  </si>
  <si>
    <t>KOM SEAL SOURCE</t>
  </si>
  <si>
    <t>5L-4756</t>
  </si>
  <si>
    <t>5L-4756: ANILLO DE RESORTE INTERNO</t>
  </si>
  <si>
    <t>5P-2236</t>
  </si>
  <si>
    <t>5P-2236: SELLO</t>
  </si>
  <si>
    <t>626-4512</t>
  </si>
  <si>
    <t>116-3516</t>
  </si>
  <si>
    <t>3S3074</t>
  </si>
  <si>
    <t>625-3323</t>
  </si>
  <si>
    <t>5108794</t>
  </si>
  <si>
    <t>626-8987</t>
  </si>
  <si>
    <t>BUCKET 340</t>
  </si>
  <si>
    <t>6E-0781</t>
  </si>
  <si>
    <t>6E-0781: COJINETE DE MANGUITO (BUJE)</t>
  </si>
  <si>
    <t>GE-35ES2RS</t>
  </si>
  <si>
    <t>ROTULA</t>
  </si>
  <si>
    <t>6V-3480</t>
  </si>
  <si>
    <t>6V-3480: NIPLE DE DESCONEXIÓN RÁPIDA</t>
  </si>
  <si>
    <t>6V-3482</t>
  </si>
  <si>
    <t>6V-3482: CONJUNTO DE TAPA</t>
  </si>
  <si>
    <t>6V-6707</t>
  </si>
  <si>
    <t>6V-6707: SELLO</t>
  </si>
  <si>
    <t>707/99/77620</t>
  </si>
  <si>
    <t>707/99/67640</t>
  </si>
  <si>
    <t>707/99/84200</t>
  </si>
  <si>
    <t>B4</t>
  </si>
  <si>
    <t>707-36-16580</t>
  </si>
  <si>
    <t>707-75-20040</t>
  </si>
  <si>
    <t>707-37-11080</t>
  </si>
  <si>
    <t>7J-2087</t>
  </si>
  <si>
    <t>7J-2087: ANILLO</t>
  </si>
  <si>
    <t>CAT.ALTERNATIVO</t>
  </si>
  <si>
    <t>7J-8956</t>
  </si>
  <si>
    <t>7J-8956: SELLO</t>
  </si>
  <si>
    <t>7K9211</t>
  </si>
  <si>
    <t>3J9449</t>
  </si>
  <si>
    <t>3J7354</t>
  </si>
  <si>
    <t>9S8002</t>
  </si>
  <si>
    <t>BOCINA</t>
  </si>
  <si>
    <t>7J9250</t>
  </si>
  <si>
    <t>7K9202</t>
  </si>
  <si>
    <t>7K-9203</t>
  </si>
  <si>
    <t>7K-9203: SELLO DE PASADOR</t>
  </si>
  <si>
    <t>DIRECCION</t>
  </si>
  <si>
    <t>7K9204</t>
  </si>
  <si>
    <t>7K-9205</t>
  </si>
  <si>
    <t>7K-9205: SELLO</t>
  </si>
  <si>
    <t>7K-9209</t>
  </si>
  <si>
    <t>7K-9209: SELLO</t>
  </si>
  <si>
    <t>7x4786</t>
  </si>
  <si>
    <t>SELLO TIPO LABIO</t>
  </si>
  <si>
    <t>cat</t>
  </si>
  <si>
    <t>7X-4756</t>
  </si>
  <si>
    <t>7X-4756: SELLO DE CABEZAL</t>
  </si>
  <si>
    <t>7Y4622</t>
  </si>
  <si>
    <t>7Y-4941</t>
  </si>
  <si>
    <t>7Y-4941: ANILLO</t>
  </si>
  <si>
    <t>8C-9161</t>
  </si>
  <si>
    <t>8C-9161: ANILLO RING-WEAR / ANILLO DE DESGASTE</t>
  </si>
  <si>
    <t>8C4874</t>
  </si>
  <si>
    <t>8C9182 / 192-1425</t>
  </si>
  <si>
    <t>Alternativo Dañado</t>
  </si>
  <si>
    <t>8J-8905</t>
  </si>
  <si>
    <t>8J-8905: ANILLO DE RESORTE INTERNO</t>
  </si>
  <si>
    <t>8M4228</t>
  </si>
  <si>
    <t>8T-1714</t>
  </si>
  <si>
    <t>8T-1714: ANILLO</t>
  </si>
  <si>
    <t>8T-1794</t>
  </si>
  <si>
    <t>8T-6744</t>
  </si>
  <si>
    <t>8T-6744: ANILLO DE DESGASTE DE CULATA CAT</t>
  </si>
  <si>
    <t>8T-8375</t>
  </si>
  <si>
    <t>sello</t>
  </si>
  <si>
    <t>8T8376</t>
  </si>
  <si>
    <t>8T-8390</t>
  </si>
  <si>
    <t>8T-8390: ANILLO</t>
  </si>
  <si>
    <t>9J-7100</t>
  </si>
  <si>
    <t>9J-7100: COJINETE DE MANGUITO (BUJE)</t>
  </si>
  <si>
    <t>9J-1175</t>
  </si>
  <si>
    <t>9T-8676</t>
  </si>
  <si>
    <t>9T-8676: COJINETE DE MANGUITO (BUJE)</t>
  </si>
  <si>
    <t>GP-LIFT</t>
  </si>
  <si>
    <t>SIEGER 2 ORIGENALES Y 8 ALTERNAT</t>
  </si>
  <si>
    <t>VN9350</t>
  </si>
  <si>
    <t>9X-7370</t>
  </si>
  <si>
    <t>SELLO: LIMPIA PARABRISAS</t>
  </si>
  <si>
    <t>1D4609</t>
  </si>
  <si>
    <t>PERNO</t>
  </si>
  <si>
    <t>C1</t>
  </si>
  <si>
    <t>9X-7700</t>
  </si>
  <si>
    <t>DAÑADOS</t>
  </si>
  <si>
    <t>CB2A33HL</t>
  </si>
  <si>
    <t>GE40-HO-2RS</t>
  </si>
  <si>
    <t>RETEN</t>
  </si>
  <si>
    <t>WA0443</t>
  </si>
  <si>
    <t>H2981</t>
  </si>
  <si>
    <t>BILLAS NP H 2981</t>
  </si>
  <si>
    <t>H8524</t>
  </si>
  <si>
    <t>TORNILLOS</t>
  </si>
  <si>
    <t>PB8239</t>
  </si>
  <si>
    <t>PC0585</t>
  </si>
  <si>
    <t>RK1887</t>
  </si>
  <si>
    <t>SBB242RS</t>
  </si>
  <si>
    <t>Bearing</t>
  </si>
  <si>
    <t>58E/SC/AK011</t>
  </si>
  <si>
    <t>SBB322RS O 6V5002</t>
  </si>
  <si>
    <t>RÓTULA Dext 3.19" y Cavidad 2"</t>
  </si>
  <si>
    <t>IKO</t>
  </si>
  <si>
    <t>4527462</t>
  </si>
  <si>
    <t>SV5921</t>
  </si>
  <si>
    <t>3124245 / 421-4025</t>
  </si>
  <si>
    <t>VM0313</t>
  </si>
  <si>
    <t>TAPONES</t>
  </si>
  <si>
    <t>VN9351</t>
  </si>
  <si>
    <t>WA5658</t>
  </si>
  <si>
    <t>WA5658 T- ADAPTADOR</t>
  </si>
  <si>
    <t>SELL</t>
  </si>
  <si>
    <t>9J-0520</t>
  </si>
  <si>
    <t>3G-3470</t>
  </si>
  <si>
    <t>5P-2322</t>
  </si>
  <si>
    <t>311-9318</t>
  </si>
  <si>
    <t>166-1496</t>
  </si>
  <si>
    <t>4J-4955</t>
  </si>
  <si>
    <t>WA1443</t>
  </si>
  <si>
    <t>707/75/10512</t>
  </si>
  <si>
    <t>6E0804</t>
  </si>
  <si>
    <t>4T2578</t>
  </si>
  <si>
    <t>346-9383</t>
  </si>
  <si>
    <t>2A1538</t>
  </si>
  <si>
    <t>8T3330</t>
  </si>
  <si>
    <t>8T3331</t>
  </si>
  <si>
    <t>9D7987</t>
  </si>
  <si>
    <t>TZ8637</t>
  </si>
  <si>
    <t>TZ9093</t>
  </si>
  <si>
    <t>8T0785</t>
  </si>
  <si>
    <t>PB9417</t>
  </si>
  <si>
    <t>PB8937</t>
  </si>
  <si>
    <t>04260/01270</t>
  </si>
  <si>
    <t>STEEL BALL</t>
  </si>
  <si>
    <t>5P8248</t>
  </si>
  <si>
    <t>504-7633</t>
  </si>
  <si>
    <t>1243520</t>
  </si>
  <si>
    <t>2802243</t>
  </si>
  <si>
    <t>707-52-91761</t>
  </si>
  <si>
    <t>BUSHING 200*205*80</t>
  </si>
  <si>
    <t>C3</t>
  </si>
  <si>
    <t>125*120*50</t>
  </si>
  <si>
    <t>40*45*25</t>
  </si>
  <si>
    <t>80*75*30</t>
  </si>
  <si>
    <t>105*100*30</t>
  </si>
  <si>
    <t>80*85*30</t>
  </si>
  <si>
    <t>115*110*45</t>
  </si>
  <si>
    <t>145*140*50</t>
  </si>
  <si>
    <t>145*140*60</t>
  </si>
  <si>
    <t>150*155*60</t>
  </si>
  <si>
    <t>290*285*85</t>
  </si>
  <si>
    <t>285*280*85</t>
  </si>
  <si>
    <t>707-99-67430</t>
  </si>
  <si>
    <t>KIT DE BLADE LIFT DE BULLDOZER D475</t>
  </si>
  <si>
    <t>9X1386</t>
  </si>
  <si>
    <t>SLEEVE ST</t>
  </si>
  <si>
    <t>2120907</t>
  </si>
  <si>
    <t>1022244</t>
  </si>
  <si>
    <t>GROMMET</t>
  </si>
  <si>
    <t>1028804</t>
  </si>
  <si>
    <t>RECPTACLE</t>
  </si>
  <si>
    <t>3E3377</t>
  </si>
  <si>
    <t>WEDGE</t>
  </si>
  <si>
    <t>276-1816</t>
  </si>
  <si>
    <t>GUARD</t>
  </si>
  <si>
    <t>2341949</t>
  </si>
  <si>
    <t>5J5731</t>
  </si>
  <si>
    <t>1924309</t>
  </si>
  <si>
    <t>1237266</t>
  </si>
  <si>
    <t>5J7878</t>
  </si>
  <si>
    <t>NUT</t>
  </si>
  <si>
    <t>1857688</t>
  </si>
  <si>
    <t>3232476</t>
  </si>
  <si>
    <t>2456835</t>
  </si>
  <si>
    <t>1U2182</t>
  </si>
  <si>
    <t>01011-62710</t>
  </si>
  <si>
    <t>113-5950</t>
  </si>
  <si>
    <t>7J-1309</t>
  </si>
  <si>
    <t>3J-6899</t>
  </si>
  <si>
    <t>289-2948</t>
  </si>
  <si>
    <t>8J-4351</t>
  </si>
  <si>
    <t>2R-1236</t>
  </si>
  <si>
    <t>SEAGERS</t>
  </si>
  <si>
    <t>593-6443</t>
  </si>
  <si>
    <t>Flange Receptacle</t>
  </si>
  <si>
    <t>175-7898</t>
  </si>
  <si>
    <t>PC0824</t>
  </si>
  <si>
    <t>PC0903</t>
  </si>
  <si>
    <t>GUIA PISTON</t>
  </si>
  <si>
    <t>PC0902</t>
  </si>
  <si>
    <t>GUIA TAPA</t>
  </si>
  <si>
    <t>9X-4597</t>
  </si>
  <si>
    <t>LIMMPIADOR</t>
  </si>
  <si>
    <t>5J-1446</t>
  </si>
  <si>
    <t>2525105</t>
  </si>
  <si>
    <t>4251297</t>
  </si>
  <si>
    <t>2339205</t>
  </si>
  <si>
    <t>2460649</t>
  </si>
  <si>
    <t>8T-9044</t>
  </si>
  <si>
    <t>PB0027</t>
  </si>
  <si>
    <t>7J-3297</t>
  </si>
  <si>
    <t>1722997</t>
  </si>
  <si>
    <t>PC-1686</t>
  </si>
  <si>
    <t>ROTULAS</t>
  </si>
  <si>
    <t>581-50-11180</t>
  </si>
  <si>
    <t>562-50-32270</t>
  </si>
  <si>
    <t>192-0943</t>
  </si>
  <si>
    <t>343-7794</t>
  </si>
  <si>
    <t>7J-9694</t>
  </si>
  <si>
    <t>3367346</t>
  </si>
  <si>
    <t>4779286</t>
  </si>
  <si>
    <t>58F/FS/AK021</t>
  </si>
  <si>
    <t>PC2587</t>
  </si>
  <si>
    <t>GUIAS</t>
  </si>
  <si>
    <t>PC2588</t>
  </si>
  <si>
    <t>470-0207</t>
  </si>
  <si>
    <t>DOWEL</t>
  </si>
  <si>
    <t>WA1589</t>
  </si>
  <si>
    <t>PERNOS</t>
  </si>
  <si>
    <t xml:space="preserve">C1 </t>
  </si>
  <si>
    <t xml:space="preserve">CAJA 1 </t>
  </si>
  <si>
    <t>VC2629</t>
  </si>
  <si>
    <t>PC1427</t>
  </si>
  <si>
    <t>WA4780</t>
  </si>
  <si>
    <t>0S0130</t>
  </si>
  <si>
    <t>2618001</t>
  </si>
  <si>
    <t>58B-32-00060</t>
  </si>
  <si>
    <t>LAINA</t>
  </si>
  <si>
    <t>58B-32-00050</t>
  </si>
  <si>
    <t>2295507</t>
  </si>
  <si>
    <t>4388593</t>
  </si>
  <si>
    <t>EK2731</t>
  </si>
  <si>
    <t>SHANE</t>
  </si>
  <si>
    <t>KT0101061865</t>
  </si>
  <si>
    <t>6E-1109</t>
  </si>
  <si>
    <t>PISTON A</t>
  </si>
  <si>
    <t>VN9353</t>
  </si>
  <si>
    <t>707-44-16910</t>
  </si>
  <si>
    <t xml:space="preserve">PISTON RING </t>
  </si>
  <si>
    <t>PB2194</t>
  </si>
  <si>
    <t>04071-00135</t>
  </si>
  <si>
    <t>9R-0162</t>
  </si>
  <si>
    <t>570-1984</t>
  </si>
  <si>
    <t>RING WEAR</t>
  </si>
  <si>
    <t>4K-0684</t>
  </si>
  <si>
    <t>3R-2300</t>
  </si>
  <si>
    <t>707-88-33070</t>
  </si>
  <si>
    <t>TAPA</t>
  </si>
  <si>
    <t>21T-72-15870</t>
  </si>
  <si>
    <t>SEAL RING</t>
  </si>
  <si>
    <t>21T-72-15860</t>
  </si>
  <si>
    <t>WA0961</t>
  </si>
  <si>
    <t>CAP SCREW</t>
  </si>
  <si>
    <t>TY-1503</t>
  </si>
  <si>
    <t>BRONZE BUSHING</t>
  </si>
  <si>
    <t>EK-7088</t>
  </si>
  <si>
    <t>BUMPER RING</t>
  </si>
  <si>
    <t>VM0314</t>
  </si>
  <si>
    <t>423-70-11160</t>
  </si>
  <si>
    <t>NIPLE</t>
  </si>
  <si>
    <t>707-75-11512</t>
  </si>
  <si>
    <t>ANILLO</t>
  </si>
  <si>
    <t>158-2336</t>
  </si>
  <si>
    <t>7X0492</t>
  </si>
  <si>
    <t>CODO</t>
  </si>
  <si>
    <t>9D-6591</t>
  </si>
  <si>
    <t>295-9888</t>
  </si>
  <si>
    <t>62305 2RS</t>
  </si>
  <si>
    <t>RODAMIENTO</t>
  </si>
  <si>
    <t>GE 80 ES 2RS</t>
  </si>
  <si>
    <t>GE 100 DO 2RS</t>
  </si>
  <si>
    <t>GE 110 ES 2 RS</t>
  </si>
  <si>
    <t>1J-8569</t>
  </si>
  <si>
    <t>INSERT</t>
  </si>
  <si>
    <t>SBB 40 2RS</t>
  </si>
  <si>
    <t>55501317</t>
  </si>
  <si>
    <t>29118295</t>
  </si>
  <si>
    <t>20698482</t>
  </si>
  <si>
    <t>95501308</t>
  </si>
  <si>
    <t>455-4975</t>
  </si>
  <si>
    <t>PB-8864</t>
  </si>
  <si>
    <t>RESORTE</t>
  </si>
  <si>
    <t>01010-61865</t>
  </si>
  <si>
    <t>WA0879</t>
  </si>
  <si>
    <t>8T-0283</t>
  </si>
  <si>
    <t>8T -0667</t>
  </si>
  <si>
    <t>5M-0544</t>
  </si>
  <si>
    <t>01643-21845</t>
  </si>
  <si>
    <t>VE5169</t>
  </si>
  <si>
    <t>6V-8237</t>
  </si>
  <si>
    <t>WA5659</t>
  </si>
  <si>
    <t>3S-1349</t>
  </si>
  <si>
    <t>9X-8399</t>
  </si>
  <si>
    <t>3B-4512</t>
  </si>
  <si>
    <t>01643-32780</t>
  </si>
  <si>
    <t>60499373</t>
  </si>
  <si>
    <t>707-76-10130</t>
  </si>
  <si>
    <t>B80-9LQ15</t>
  </si>
  <si>
    <t>8X-0743</t>
  </si>
  <si>
    <t>COJINETE FABRICADO</t>
  </si>
  <si>
    <t>SBB96-2RS</t>
  </si>
  <si>
    <t>188-8697</t>
  </si>
  <si>
    <t>5D-6328</t>
  </si>
  <si>
    <t>DISCO</t>
  </si>
  <si>
    <t>ED3755</t>
  </si>
  <si>
    <t>SHIM</t>
  </si>
  <si>
    <t>WA0456</t>
  </si>
  <si>
    <t>PB8931</t>
  </si>
  <si>
    <t>421-4026</t>
  </si>
  <si>
    <t>SEAL U CUP</t>
  </si>
  <si>
    <t>VD5076</t>
  </si>
  <si>
    <t>GASKET</t>
  </si>
  <si>
    <t>566-50-11350</t>
  </si>
  <si>
    <t>PACKING</t>
  </si>
  <si>
    <t>1946737</t>
  </si>
  <si>
    <t>ITEMS</t>
  </si>
  <si>
    <t>ITEMS VACIOS</t>
  </si>
  <si>
    <t xml:space="preserve"> N</t>
  </si>
  <si>
    <t>TOTAL DE ITEMS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</si>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</sst>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yy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Segoe UI"/>
      <family val="2"/>
    </font>
    <font>
      <b/>
      <sz val="16"/>
      <name val="Segoe UI"/>
      <family val="2"/>
    </font>
    <font>
      <sz val="11"/>
      <color theme="1"/>
      <name val="Segoe UI"/>
      <family val="2"/>
    </font>
    <font>
      <sz val="11"/>
      <color rgb="FFFF0000"/>
      <name val="Segoe UI"/>
      <family val="2"/>
    </font>
    <font>
      <sz val="11"/>
      <name val="Segoe UI"/>
      <family val="2"/>
    </font>
    <font>
      <sz val="12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2" borderId="3" xfId="1" applyNumberFormat="1" applyFont="1" applyFill="1" applyBorder="1" applyAlignment="1">
      <alignment horizontal="center" vertical="center"/>
    </xf>
    <xf numFmtId="4" fontId="2" fillId="2" borderId="4" xfId="1" applyNumberFormat="1" applyFont="1" applyFill="1" applyBorder="1" applyAlignment="1">
      <alignment horizontal="center" vertical="center"/>
    </xf>
    <xf numFmtId="4" fontId="2" fillId="2" borderId="0" xfId="1" applyNumberFormat="1" applyFont="1" applyFill="1" applyBorder="1" applyAlignment="1">
      <alignment horizontal="center" vertical="center"/>
    </xf>
    <xf numFmtId="0" fontId="2" fillId="2" borderId="4" xfId="1" applyNumberFormat="1" applyFont="1" applyFill="1" applyBorder="1" applyAlignment="1">
      <alignment horizontal="center" vertical="center"/>
    </xf>
    <xf numFmtId="0" fontId="2" fillId="2" borderId="0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 wrapText="1"/>
    </xf>
    <xf numFmtId="0" fontId="2" fillId="2" borderId="5" xfId="1" applyNumberFormat="1" applyFont="1" applyFill="1" applyBorder="1" applyAlignment="1">
      <alignment horizontal="center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2" borderId="7" xfId="1" applyNumberFormat="1" applyFont="1" applyFill="1" applyBorder="1" applyAlignment="1">
      <alignment horizontal="center" vertical="center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2" fillId="2" borderId="3" xfId="0" applyFont="1" applyFill="1" applyBorder="1" applyAlignment="1">
      <alignment horizontal="center" vertical="center"/>
    </xf>
    <xf numFmtId="0" fontId="2" fillId="2" borderId="3" xfId="1" applyNumberFormat="1" applyFont="1" applyFill="1" applyBorder="1" applyAlignment="1">
      <alignment horizontal="center" vertical="center" wrapText="1"/>
    </xf>
    <xf numFmtId="4" fontId="2" fillId="2" borderId="5" xfId="1" applyNumberFormat="1" applyFont="1" applyFill="1" applyBorder="1" applyAlignment="1">
      <alignment horizontal="center" vertical="center"/>
    </xf>
    <xf numFmtId="4" fontId="2" fillId="2" borderId="6" xfId="1" applyNumberFormat="1" applyFont="1" applyFill="1" applyBorder="1" applyAlignment="1">
      <alignment horizontal="center" vertical="center"/>
    </xf>
    <xf numFmtId="0" fontId="2" fillId="2" borderId="8" xfId="1" applyNumberFormat="1" applyFont="1" applyFill="1" applyBorder="1" applyAlignment="1">
      <alignment horizontal="center" vertical="center"/>
    </xf>
    <xf numFmtId="0" fontId="2" fillId="2" borderId="9" xfId="1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0" xfId="1" applyNumberFormat="1" applyFont="1" applyFill="1" applyBorder="1" applyAlignment="1">
      <alignment horizontal="center" vertical="center" wrapText="1"/>
    </xf>
    <xf numFmtId="0" fontId="2" fillId="2" borderId="10" xfId="1" applyNumberFormat="1" applyFont="1" applyFill="1" applyBorder="1" applyAlignment="1">
      <alignment horizontal="center" vertical="center"/>
    </xf>
    <xf numFmtId="4" fontId="2" fillId="2" borderId="5" xfId="1" applyNumberFormat="1" applyFont="1" applyFill="1" applyBorder="1" applyAlignment="1">
      <alignment horizontal="center" vertical="center"/>
    </xf>
    <xf numFmtId="0" fontId="2" fillId="2" borderId="5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 applyProtection="1">
      <alignment horizontal="left"/>
      <protection locked="0"/>
    </xf>
    <xf numFmtId="14" fontId="4" fillId="3" borderId="1" xfId="0" applyNumberFormat="1" applyFont="1" applyFill="1" applyBorder="1" applyProtection="1">
      <protection locked="0"/>
    </xf>
    <xf numFmtId="165" fontId="4" fillId="3" borderId="9" xfId="0" applyNumberFormat="1" applyFont="1" applyFill="1" applyBorder="1" applyProtection="1">
      <protection locked="0"/>
    </xf>
    <xf numFmtId="0" fontId="4" fillId="3" borderId="9" xfId="0" applyFont="1" applyFill="1" applyBorder="1" applyProtection="1">
      <protection locked="0"/>
    </xf>
    <xf numFmtId="0" fontId="4" fillId="4" borderId="9" xfId="0" applyFont="1" applyFill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0" fillId="3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0" borderId="8" xfId="0" applyFont="1" applyBorder="1" applyProtection="1">
      <protection locked="0"/>
    </xf>
    <xf numFmtId="4" fontId="4" fillId="0" borderId="8" xfId="0" applyNumberFormat="1" applyFont="1" applyBorder="1" applyAlignment="1" applyProtection="1">
      <alignment horizontal="center"/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3" fillId="5" borderId="1" xfId="0" applyFont="1" applyFill="1" applyBorder="1" applyAlignment="1" applyProtection="1">
      <alignment horizontal="center"/>
      <protection locked="0"/>
    </xf>
    <xf numFmtId="14" fontId="4" fillId="3" borderId="9" xfId="0" applyNumberFormat="1" applyFont="1" applyFill="1" applyBorder="1" applyProtection="1">
      <protection locked="0"/>
    </xf>
    <xf numFmtId="0" fontId="4" fillId="3" borderId="9" xfId="0" applyFont="1" applyFill="1" applyBorder="1" applyAlignment="1" applyProtection="1">
      <alignment horizontal="center"/>
      <protection locked="0"/>
    </xf>
    <xf numFmtId="4" fontId="4" fillId="3" borderId="1" xfId="0" applyNumberFormat="1" applyFont="1" applyFill="1" applyBorder="1" applyAlignment="1" applyProtection="1">
      <alignment horizontal="center"/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49" fontId="4" fillId="3" borderId="9" xfId="0" applyNumberFormat="1" applyFont="1" applyFill="1" applyBorder="1" applyAlignment="1" applyProtection="1">
      <alignment horizontal="center"/>
      <protection locked="0"/>
    </xf>
    <xf numFmtId="0" fontId="4" fillId="4" borderId="1" xfId="0" applyFont="1" applyFill="1" applyBorder="1" applyAlignment="1" applyProtection="1">
      <alignment horizontal="center"/>
      <protection locked="0"/>
    </xf>
    <xf numFmtId="49" fontId="4" fillId="4" borderId="9" xfId="0" applyNumberFormat="1" applyFont="1" applyFill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1" fontId="4" fillId="4" borderId="9" xfId="0" applyNumberFormat="1" applyFont="1" applyFill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4" fillId="0" borderId="9" xfId="0" applyFont="1" applyBorder="1" applyAlignment="1" applyProtection="1">
      <alignment horizontal="center"/>
      <protection locked="0"/>
    </xf>
    <xf numFmtId="1" fontId="4" fillId="4" borderId="9" xfId="0" applyNumberFormat="1" applyFont="1" applyFill="1" applyBorder="1" applyAlignment="1" applyProtection="1">
      <alignment horizontal="center"/>
      <protection locked="0"/>
    </xf>
    <xf numFmtId="0" fontId="6" fillId="3" borderId="9" xfId="0" applyFont="1" applyFill="1" applyBorder="1" applyAlignment="1" applyProtection="1">
      <alignment horizontal="center"/>
      <protection locked="0"/>
    </xf>
    <xf numFmtId="0" fontId="4" fillId="0" borderId="1" xfId="0" applyFont="1" applyBorder="1" applyAlignment="1">
      <alignment horizontal="center"/>
    </xf>
    <xf numFmtId="11" fontId="4" fillId="3" borderId="9" xfId="0" applyNumberFormat="1" applyFont="1" applyFill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4" fillId="3" borderId="1" xfId="0" applyFont="1" applyFill="1" applyBorder="1" applyProtection="1">
      <protection locked="0"/>
    </xf>
    <xf numFmtId="49" fontId="0" fillId="0" borderId="8" xfId="0" applyNumberFormat="1" applyBorder="1" applyAlignment="1">
      <alignment horizontal="center"/>
    </xf>
    <xf numFmtId="16" fontId="4" fillId="3" borderId="1" xfId="0" applyNumberFormat="1" applyFont="1" applyFill="1" applyBorder="1" applyProtection="1">
      <protection locked="0"/>
    </xf>
    <xf numFmtId="16" fontId="4" fillId="3" borderId="9" xfId="0" applyNumberFormat="1" applyFont="1" applyFill="1" applyBorder="1" applyProtection="1">
      <protection locked="0"/>
    </xf>
    <xf numFmtId="49" fontId="0" fillId="0" borderId="1" xfId="0" applyNumberFormat="1" applyBorder="1" applyAlignment="1">
      <alignment horizontal="center"/>
    </xf>
    <xf numFmtId="16" fontId="3" fillId="0" borderId="1" xfId="0" applyNumberFormat="1" applyFont="1" applyBorder="1" applyAlignment="1" applyProtection="1">
      <alignment horizontal="center"/>
      <protection locked="0"/>
    </xf>
    <xf numFmtId="49" fontId="4" fillId="3" borderId="1" xfId="0" applyNumberFormat="1" applyFont="1" applyFill="1" applyBorder="1" applyAlignment="1" applyProtection="1">
      <alignment horizontal="center"/>
      <protection locked="0"/>
    </xf>
    <xf numFmtId="11" fontId="4" fillId="0" borderId="1" xfId="0" applyNumberFormat="1" applyFont="1" applyBorder="1" applyAlignment="1" applyProtection="1">
      <alignment horizontal="center" vertical="center"/>
      <protection locked="0"/>
    </xf>
    <xf numFmtId="49" fontId="4" fillId="4" borderId="1" xfId="0" applyNumberFormat="1" applyFont="1" applyFill="1" applyBorder="1" applyAlignment="1" applyProtection="1">
      <alignment horizontal="center"/>
      <protection locked="0"/>
    </xf>
    <xf numFmtId="0" fontId="0" fillId="3" borderId="9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right"/>
      <protection locked="0"/>
    </xf>
    <xf numFmtId="14" fontId="4" fillId="3" borderId="9" xfId="0" applyNumberFormat="1" applyFont="1" applyFill="1" applyBorder="1" applyAlignment="1" applyProtection="1">
      <alignment horizontal="right"/>
      <protection locked="0"/>
    </xf>
    <xf numFmtId="0" fontId="7" fillId="0" borderId="0" xfId="0" applyFont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4" fontId="4" fillId="0" borderId="11" xfId="0" applyNumberFormat="1" applyFont="1" applyBorder="1" applyAlignment="1" applyProtection="1">
      <alignment horizontal="center"/>
      <protection locked="0"/>
    </xf>
    <xf numFmtId="4" fontId="4" fillId="0" borderId="12" xfId="0" applyNumberFormat="1" applyFont="1" applyBorder="1" applyAlignment="1" applyProtection="1">
      <alignment horizontal="center"/>
      <protection locked="0"/>
    </xf>
    <xf numFmtId="4" fontId="4" fillId="0" borderId="13" xfId="0" applyNumberFormat="1" applyFont="1" applyBorder="1" applyAlignment="1" applyProtection="1">
      <alignment horizontal="center"/>
      <protection locked="0"/>
    </xf>
    <xf numFmtId="0" fontId="4" fillId="0" borderId="12" xfId="0" applyFont="1" applyBorder="1" applyAlignment="1" applyProtection="1">
      <alignment horizontal="center"/>
      <protection locked="0"/>
    </xf>
    <xf numFmtId="0" fontId="4" fillId="0" borderId="13" xfId="0" applyFont="1" applyBorder="1" applyAlignment="1" applyProtection="1">
      <alignment horizontal="center"/>
      <protection locked="0"/>
    </xf>
    <xf numFmtId="4" fontId="4" fillId="0" borderId="0" xfId="0" applyNumberFormat="1" applyFont="1" applyAlignment="1" applyProtection="1">
      <alignment horizontal="center"/>
      <protection locked="0"/>
    </xf>
  </cellXfs>
  <cellStyles count="2">
    <cellStyle name="Moneda 2" xfId="1" xr:uid="{71DFE5F7-32C1-478C-9B15-FBF837EFBDAB}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4473eeb96e9df56/Documentos/REPUESTOS%20LOG&#205;STICA%202026.xlsx" TargetMode="External"/><Relationship Id="rId1" Type="http://schemas.openxmlformats.org/officeDocument/2006/relationships/externalLinkPath" Target="https://d.docs.live.net/94473eeb96e9df56/Documentos/REPUESTOS%20LOG&#205;STICA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PERACIONES/Desktop/HPK/13.%20PRODUCCION/Users/OPERACIONES/Desktop/6.%20TPE/SEGUIMIENTO/1.%20Controles%20Diarios/1.1%20Control%20Diario%20de%20Ordenes%20de%20Trabajo%202016.xlsm%201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c376ed3595d3679/CONTROL%20INVENTARIO%20HPK%2022(Recuperado%20autom&#225;ticamente)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FO%20JUAN\ALMACEN\CONTROL%20INVENTARIO%20-%20NOV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UESTOS"/>
      <sheetName val="CONTROL"/>
      <sheetName val="INVENTARIO 2025"/>
      <sheetName val="KIT's STOCK"/>
      <sheetName val="SUSP. 980"/>
      <sheetName val="FRENO 24M"/>
      <sheetName val="BARRAS ACEROS"/>
      <sheetName val="FACTURACION"/>
      <sheetName val="Facturas"/>
      <sheetName val="Guia"/>
      <sheetName val="Hoja1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"/>
      <sheetName val="BD OT"/>
      <sheetName val="Hoja2"/>
      <sheetName val="ORDENES ABIERTAS"/>
      <sheetName val="INDICADOR"/>
      <sheetName val="HISTORICO"/>
      <sheetName val="REPUESTOS"/>
      <sheetName val="CORREO"/>
      <sheetName val="REP. PENDIENTE"/>
      <sheetName val="ORDENES PENDIENTES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ITEM</v>
          </cell>
          <cell r="B1" t="str">
            <v>FECHA</v>
          </cell>
          <cell r="C1" t="str">
            <v>MES</v>
          </cell>
          <cell r="D1" t="str">
            <v>AÑO</v>
          </cell>
          <cell r="E1" t="str">
            <v>OT</v>
          </cell>
          <cell r="F1" t="str">
            <v>TRACTO</v>
          </cell>
          <cell r="G1" t="str">
            <v>CISTERNA</v>
          </cell>
          <cell r="H1" t="str">
            <v>OPERACIÓN</v>
          </cell>
          <cell r="I1" t="str">
            <v>KM</v>
          </cell>
          <cell r="J1" t="str">
            <v>TIPO SOLICITUD</v>
          </cell>
          <cell r="K1" t="str">
            <v>REQUERIMIENTO</v>
          </cell>
          <cell r="L1" t="str">
            <v>CANTIDAD</v>
          </cell>
          <cell r="M1" t="str">
            <v>UNIDAD</v>
          </cell>
          <cell r="N1" t="str">
            <v>UBICACIÓN REPUESTO</v>
          </cell>
          <cell r="O1" t="str">
            <v>DIAS RETRASO</v>
          </cell>
          <cell r="P1" t="str">
            <v>SOLICITANTE</v>
          </cell>
          <cell r="Q1" t="str">
            <v>AUTORIZA</v>
          </cell>
          <cell r="R1" t="str">
            <v>REAL. REQ.</v>
          </cell>
          <cell r="S1" t="str">
            <v>STATUS</v>
          </cell>
          <cell r="T1" t="str">
            <v>FECHA ENTREGA</v>
          </cell>
          <cell r="U1" t="str">
            <v>SOLICITANTE</v>
          </cell>
          <cell r="V1" t="str">
            <v>AUTORIZA</v>
          </cell>
        </row>
        <row r="2">
          <cell r="A2">
            <v>2831</v>
          </cell>
          <cell r="B2">
            <v>42353</v>
          </cell>
          <cell r="C2" t="str">
            <v>DICIEMBRE</v>
          </cell>
          <cell r="D2" t="str">
            <v>2015</v>
          </cell>
          <cell r="E2">
            <v>576</v>
          </cell>
          <cell r="F2" t="str">
            <v>ABQ-704</v>
          </cell>
          <cell r="G2" t="str">
            <v>TBB-995</v>
          </cell>
          <cell r="H2" t="str">
            <v>LAS BAMBAS</v>
          </cell>
          <cell r="I2">
            <v>111397</v>
          </cell>
          <cell r="J2" t="str">
            <v>REPUESTO</v>
          </cell>
          <cell r="K2" t="str">
            <v>TORNAMESA</v>
          </cell>
          <cell r="L2">
            <v>1</v>
          </cell>
          <cell r="M2" t="str">
            <v>UNID.</v>
          </cell>
          <cell r="N2" t="str">
            <v>TRACTO</v>
          </cell>
          <cell r="O2">
            <v>437</v>
          </cell>
          <cell r="P2" t="str">
            <v>J7</v>
          </cell>
          <cell r="Q2" t="str">
            <v>J7</v>
          </cell>
          <cell r="R2" t="str">
            <v>J6</v>
          </cell>
          <cell r="S2" t="str">
            <v>PENDIENTE</v>
          </cell>
          <cell r="T2">
            <v>0</v>
          </cell>
          <cell r="U2" t="str">
            <v>DONAYRE INGA PEDRO</v>
          </cell>
          <cell r="V2" t="str">
            <v>DONAYRE INGA PEDRO</v>
          </cell>
        </row>
        <row r="3">
          <cell r="A3">
            <v>2832</v>
          </cell>
          <cell r="B3">
            <v>42353</v>
          </cell>
          <cell r="C3" t="str">
            <v>DICIEMBRE</v>
          </cell>
          <cell r="D3" t="str">
            <v>2015</v>
          </cell>
          <cell r="E3">
            <v>599</v>
          </cell>
          <cell r="F3" t="str">
            <v>ABQ-705</v>
          </cell>
          <cell r="G3" t="str">
            <v>D0Z-996</v>
          </cell>
          <cell r="H3" t="str">
            <v>LAS BAMBAS</v>
          </cell>
          <cell r="I3">
            <v>110827</v>
          </cell>
          <cell r="J3" t="str">
            <v>REPUESTO</v>
          </cell>
          <cell r="K3" t="str">
            <v>TORNAMESA</v>
          </cell>
          <cell r="L3">
            <v>1</v>
          </cell>
          <cell r="M3" t="str">
            <v>UNID.</v>
          </cell>
          <cell r="N3" t="str">
            <v>TRACTO</v>
          </cell>
          <cell r="O3">
            <v>437</v>
          </cell>
          <cell r="P3" t="str">
            <v>J7</v>
          </cell>
          <cell r="Q3" t="str">
            <v>J7</v>
          </cell>
          <cell r="R3" t="str">
            <v>J6</v>
          </cell>
          <cell r="S3" t="str">
            <v>PENDIENTE</v>
          </cell>
          <cell r="T3">
            <v>0</v>
          </cell>
          <cell r="U3" t="str">
            <v>DONAYRE INGA PEDRO</v>
          </cell>
          <cell r="V3" t="str">
            <v>DONAYRE INGA PEDRO</v>
          </cell>
        </row>
        <row r="4">
          <cell r="A4">
            <v>2833</v>
          </cell>
          <cell r="B4">
            <v>42353</v>
          </cell>
          <cell r="C4" t="str">
            <v>DICIEMBRE</v>
          </cell>
          <cell r="D4" t="str">
            <v>2015</v>
          </cell>
          <cell r="E4">
            <v>563</v>
          </cell>
          <cell r="F4" t="str">
            <v>ABQ-780</v>
          </cell>
          <cell r="G4" t="str">
            <v>C9S-990</v>
          </cell>
          <cell r="H4" t="str">
            <v>LAS BAMBAS</v>
          </cell>
          <cell r="I4">
            <v>116656</v>
          </cell>
          <cell r="J4" t="str">
            <v>REPUESTO</v>
          </cell>
          <cell r="K4" t="str">
            <v>TORNAMESA</v>
          </cell>
          <cell r="L4">
            <v>1</v>
          </cell>
          <cell r="M4" t="str">
            <v>UNID.</v>
          </cell>
          <cell r="N4" t="str">
            <v>TRACTO</v>
          </cell>
          <cell r="O4">
            <v>437</v>
          </cell>
          <cell r="P4" t="str">
            <v>J7</v>
          </cell>
          <cell r="Q4" t="str">
            <v>J7</v>
          </cell>
          <cell r="R4" t="str">
            <v>J6</v>
          </cell>
          <cell r="S4" t="str">
            <v>PENDIENTE</v>
          </cell>
          <cell r="T4">
            <v>0</v>
          </cell>
          <cell r="U4" t="str">
            <v>DONAYRE INGA PEDRO</v>
          </cell>
          <cell r="V4" t="str">
            <v>DONAYRE INGA PEDRO</v>
          </cell>
        </row>
        <row r="5">
          <cell r="A5">
            <v>2834</v>
          </cell>
          <cell r="B5">
            <v>42353</v>
          </cell>
          <cell r="C5" t="str">
            <v>DICIEMBRE</v>
          </cell>
          <cell r="D5" t="str">
            <v>2015</v>
          </cell>
          <cell r="E5">
            <v>523</v>
          </cell>
          <cell r="F5" t="str">
            <v>ABR-741</v>
          </cell>
          <cell r="G5" t="str">
            <v>T3N-974</v>
          </cell>
          <cell r="H5" t="str">
            <v>LAS BAMBAS</v>
          </cell>
          <cell r="I5">
            <v>108547</v>
          </cell>
          <cell r="J5" t="str">
            <v>REPUESTO</v>
          </cell>
          <cell r="K5" t="str">
            <v>TORNAMESA</v>
          </cell>
          <cell r="L5">
            <v>1</v>
          </cell>
          <cell r="M5" t="str">
            <v>UNID.</v>
          </cell>
          <cell r="N5" t="str">
            <v>TRACTO</v>
          </cell>
          <cell r="O5">
            <v>437</v>
          </cell>
          <cell r="P5" t="str">
            <v>J7</v>
          </cell>
          <cell r="Q5" t="str">
            <v>J7</v>
          </cell>
          <cell r="R5" t="str">
            <v>J6</v>
          </cell>
          <cell r="S5" t="str">
            <v>PENDIENTE</v>
          </cell>
          <cell r="T5">
            <v>0</v>
          </cell>
          <cell r="U5" t="str">
            <v>DONAYRE INGA PEDRO</v>
          </cell>
          <cell r="V5" t="str">
            <v>DONAYRE INGA PEDRO</v>
          </cell>
        </row>
        <row r="6">
          <cell r="A6">
            <v>2835</v>
          </cell>
          <cell r="B6">
            <v>42353</v>
          </cell>
          <cell r="C6" t="str">
            <v>DICIEMBRE</v>
          </cell>
          <cell r="D6" t="str">
            <v>2015</v>
          </cell>
          <cell r="E6">
            <v>524</v>
          </cell>
          <cell r="F6" t="str">
            <v>ABR-759</v>
          </cell>
          <cell r="G6" t="str">
            <v>D0Z-995</v>
          </cell>
          <cell r="H6" t="str">
            <v>LAS BAMBAS</v>
          </cell>
          <cell r="I6">
            <v>111741</v>
          </cell>
          <cell r="J6" t="str">
            <v>REPUESTO</v>
          </cell>
          <cell r="K6" t="str">
            <v>TORNAMESA</v>
          </cell>
          <cell r="L6">
            <v>1</v>
          </cell>
          <cell r="M6" t="str">
            <v>UNID.</v>
          </cell>
          <cell r="N6" t="str">
            <v>TRACTO</v>
          </cell>
          <cell r="O6">
            <v>437</v>
          </cell>
          <cell r="P6" t="str">
            <v>J7</v>
          </cell>
          <cell r="Q6" t="str">
            <v>J7</v>
          </cell>
          <cell r="R6" t="str">
            <v>J6</v>
          </cell>
          <cell r="S6" t="str">
            <v>PENDIENTE</v>
          </cell>
          <cell r="T6">
            <v>0</v>
          </cell>
          <cell r="U6" t="str">
            <v>DONAYRE INGA PEDRO</v>
          </cell>
          <cell r="V6" t="str">
            <v>DONAYRE INGA PEDRO</v>
          </cell>
        </row>
        <row r="7">
          <cell r="A7">
            <v>2836</v>
          </cell>
          <cell r="B7">
            <v>42353</v>
          </cell>
          <cell r="C7" t="str">
            <v>DICIEMBRE</v>
          </cell>
          <cell r="D7" t="str">
            <v>2015</v>
          </cell>
          <cell r="E7">
            <v>525</v>
          </cell>
          <cell r="F7" t="str">
            <v>ABR-796</v>
          </cell>
          <cell r="G7" t="str">
            <v>C9S-994</v>
          </cell>
          <cell r="H7" t="str">
            <v>LAS BAMBAS</v>
          </cell>
          <cell r="I7">
            <v>111093</v>
          </cell>
          <cell r="J7" t="str">
            <v>REPUESTO</v>
          </cell>
          <cell r="K7" t="str">
            <v>TORNAMESA</v>
          </cell>
          <cell r="L7">
            <v>1</v>
          </cell>
          <cell r="M7" t="str">
            <v>UNID.</v>
          </cell>
          <cell r="N7" t="str">
            <v>TRACTO</v>
          </cell>
          <cell r="O7">
            <v>437</v>
          </cell>
          <cell r="P7" t="str">
            <v>J7</v>
          </cell>
          <cell r="Q7" t="str">
            <v>J7</v>
          </cell>
          <cell r="R7" t="str">
            <v>J6</v>
          </cell>
          <cell r="S7" t="str">
            <v>PENDIENTE</v>
          </cell>
          <cell r="T7">
            <v>0</v>
          </cell>
          <cell r="U7" t="str">
            <v>DONAYRE INGA PEDRO</v>
          </cell>
          <cell r="V7" t="str">
            <v>DONAYRE INGA PEDRO</v>
          </cell>
        </row>
        <row r="8">
          <cell r="A8">
            <v>2847</v>
          </cell>
          <cell r="B8">
            <v>42353</v>
          </cell>
          <cell r="C8" t="str">
            <v>DICIEMBRE</v>
          </cell>
          <cell r="D8" t="str">
            <v>2015</v>
          </cell>
          <cell r="E8">
            <v>530</v>
          </cell>
          <cell r="F8" t="str">
            <v>C5R-892</v>
          </cell>
          <cell r="G8" t="str">
            <v>A0T-983</v>
          </cell>
          <cell r="H8" t="str">
            <v>LAS BAMBAS</v>
          </cell>
          <cell r="I8">
            <v>226743</v>
          </cell>
          <cell r="J8" t="str">
            <v>REPUESTO</v>
          </cell>
          <cell r="K8" t="str">
            <v>TORNAMESA</v>
          </cell>
          <cell r="L8">
            <v>1</v>
          </cell>
          <cell r="M8" t="str">
            <v>UNID.</v>
          </cell>
          <cell r="N8" t="str">
            <v>TRACTO</v>
          </cell>
          <cell r="O8">
            <v>437</v>
          </cell>
          <cell r="P8" t="str">
            <v>J7</v>
          </cell>
          <cell r="Q8" t="str">
            <v>J7</v>
          </cell>
          <cell r="R8" t="str">
            <v>J6</v>
          </cell>
          <cell r="S8" t="str">
            <v>PENDIENTE</v>
          </cell>
          <cell r="T8">
            <v>0</v>
          </cell>
          <cell r="U8" t="str">
            <v>DONAYRE INGA PEDRO</v>
          </cell>
          <cell r="V8" t="str">
            <v>DONAYRE INGA PEDRO</v>
          </cell>
        </row>
        <row r="9">
          <cell r="A9">
            <v>2837</v>
          </cell>
          <cell r="B9">
            <v>42353</v>
          </cell>
          <cell r="C9" t="str">
            <v>DICIEMBRE</v>
          </cell>
          <cell r="D9" t="str">
            <v>2015</v>
          </cell>
          <cell r="E9">
            <v>552</v>
          </cell>
          <cell r="F9" t="str">
            <v>C5R-895</v>
          </cell>
          <cell r="G9" t="str">
            <v>TBL-976</v>
          </cell>
          <cell r="H9" t="str">
            <v>LAS BAMBAS</v>
          </cell>
          <cell r="I9">
            <v>170197</v>
          </cell>
          <cell r="J9" t="str">
            <v>REPUESTO</v>
          </cell>
          <cell r="K9" t="str">
            <v>TORNAMESA</v>
          </cell>
          <cell r="L9">
            <v>1</v>
          </cell>
          <cell r="M9" t="str">
            <v>UNID.</v>
          </cell>
          <cell r="N9" t="str">
            <v>TRACTO</v>
          </cell>
          <cell r="O9">
            <v>437</v>
          </cell>
          <cell r="P9" t="str">
            <v>J7</v>
          </cell>
          <cell r="Q9" t="str">
            <v>J7</v>
          </cell>
          <cell r="R9" t="str">
            <v>J6</v>
          </cell>
          <cell r="S9" t="str">
            <v>PENDIENTE</v>
          </cell>
          <cell r="T9">
            <v>0</v>
          </cell>
          <cell r="U9" t="str">
            <v>DONAYRE INGA PEDRO</v>
          </cell>
          <cell r="V9" t="str">
            <v>DONAYRE INGA PEDRO</v>
          </cell>
        </row>
        <row r="10">
          <cell r="A10">
            <v>2825</v>
          </cell>
          <cell r="B10">
            <v>42353</v>
          </cell>
          <cell r="C10" t="str">
            <v>DICIEMBRE</v>
          </cell>
          <cell r="D10" t="str">
            <v>2015</v>
          </cell>
          <cell r="E10">
            <v>585</v>
          </cell>
          <cell r="F10" t="str">
            <v>C5R-896</v>
          </cell>
          <cell r="G10" t="str">
            <v>A0U-977</v>
          </cell>
          <cell r="H10" t="str">
            <v>LAS BAMBAS</v>
          </cell>
          <cell r="I10">
            <v>212663</v>
          </cell>
          <cell r="J10" t="str">
            <v>REPUESTO</v>
          </cell>
          <cell r="K10" t="str">
            <v>CINTA AISLANTE NEGRA</v>
          </cell>
          <cell r="L10">
            <v>1</v>
          </cell>
          <cell r="M10" t="str">
            <v>UNID.</v>
          </cell>
          <cell r="N10" t="str">
            <v>TRACTO</v>
          </cell>
          <cell r="O10">
            <v>437</v>
          </cell>
          <cell r="P10" t="str">
            <v>E3</v>
          </cell>
          <cell r="Q10" t="str">
            <v>J1</v>
          </cell>
          <cell r="R10" t="str">
            <v>J5</v>
          </cell>
          <cell r="S10" t="str">
            <v>ENTREGADO</v>
          </cell>
          <cell r="T10">
            <v>0</v>
          </cell>
          <cell r="U10" t="str">
            <v>CONDORI CHURATA ALEX</v>
          </cell>
          <cell r="V10" t="str">
            <v>FLOREZ CONDORI  JOSE WILLIANS</v>
          </cell>
        </row>
        <row r="11">
          <cell r="A11">
            <v>2826</v>
          </cell>
          <cell r="B11">
            <v>42353</v>
          </cell>
          <cell r="C11" t="str">
            <v>DICIEMBRE</v>
          </cell>
          <cell r="D11" t="str">
            <v>2015</v>
          </cell>
          <cell r="E11">
            <v>585</v>
          </cell>
          <cell r="F11" t="str">
            <v>C5R-896</v>
          </cell>
          <cell r="G11" t="str">
            <v>A0U-977</v>
          </cell>
          <cell r="H11" t="str">
            <v>LAS BAMBAS</v>
          </cell>
          <cell r="I11">
            <v>212663</v>
          </cell>
          <cell r="J11" t="str">
            <v>REPUESTO</v>
          </cell>
          <cell r="K11" t="str">
            <v>FARO RECTANGULAR LATERAL</v>
          </cell>
          <cell r="L11">
            <v>1</v>
          </cell>
          <cell r="M11" t="str">
            <v>UNID.</v>
          </cell>
          <cell r="N11" t="str">
            <v>TRACTO</v>
          </cell>
          <cell r="O11">
            <v>437</v>
          </cell>
          <cell r="P11" t="str">
            <v>E3</v>
          </cell>
          <cell r="Q11" t="str">
            <v>J1</v>
          </cell>
          <cell r="R11" t="str">
            <v>J5</v>
          </cell>
          <cell r="S11" t="str">
            <v>ENTREGADO</v>
          </cell>
          <cell r="T11">
            <v>0</v>
          </cell>
          <cell r="U11" t="str">
            <v>CONDORI CHURATA ALEX</v>
          </cell>
          <cell r="V11" t="str">
            <v>FLOREZ CONDORI  JOSE WILLIANS</v>
          </cell>
        </row>
        <row r="12">
          <cell r="A12">
            <v>2827</v>
          </cell>
          <cell r="B12">
            <v>42353</v>
          </cell>
          <cell r="C12" t="str">
            <v>DICIEMBRE</v>
          </cell>
          <cell r="D12" t="str">
            <v>2015</v>
          </cell>
          <cell r="E12">
            <v>585</v>
          </cell>
          <cell r="F12" t="str">
            <v>C5R-896</v>
          </cell>
          <cell r="G12" t="str">
            <v>A0U-977</v>
          </cell>
          <cell r="H12" t="str">
            <v>LAS BAMBAS</v>
          </cell>
          <cell r="I12">
            <v>212663</v>
          </cell>
          <cell r="J12" t="str">
            <v>REPUESTO</v>
          </cell>
          <cell r="K12" t="str">
            <v xml:space="preserve">SOCKET DE FOCO LAGRIMON </v>
          </cell>
          <cell r="L12">
            <v>2</v>
          </cell>
          <cell r="M12" t="str">
            <v>UNID.</v>
          </cell>
          <cell r="N12" t="str">
            <v>TRACTO</v>
          </cell>
          <cell r="O12">
            <v>437</v>
          </cell>
          <cell r="P12" t="str">
            <v>E1</v>
          </cell>
          <cell r="Q12" t="str">
            <v>J1</v>
          </cell>
          <cell r="R12" t="str">
            <v>J5</v>
          </cell>
          <cell r="S12" t="str">
            <v>ENTREGADO</v>
          </cell>
          <cell r="T12">
            <v>0</v>
          </cell>
          <cell r="U12" t="str">
            <v>PALOMINO CARDENAS JUAN CARLOS</v>
          </cell>
          <cell r="V12" t="str">
            <v>FLOREZ CONDORI  JOSE WILLIANS</v>
          </cell>
        </row>
        <row r="13">
          <cell r="A13">
            <v>2838</v>
          </cell>
          <cell r="B13">
            <v>42353</v>
          </cell>
          <cell r="C13" t="str">
            <v>DICIEMBRE</v>
          </cell>
          <cell r="D13" t="str">
            <v>2015</v>
          </cell>
          <cell r="E13">
            <v>486</v>
          </cell>
          <cell r="F13" t="str">
            <v>C9M-902</v>
          </cell>
          <cell r="G13" t="str">
            <v>B8L-970</v>
          </cell>
          <cell r="H13" t="str">
            <v>LAS BAMBAS</v>
          </cell>
          <cell r="I13">
            <v>209833</v>
          </cell>
          <cell r="J13" t="str">
            <v>REPUESTO</v>
          </cell>
          <cell r="K13" t="str">
            <v>TORNAMESA</v>
          </cell>
          <cell r="L13">
            <v>1</v>
          </cell>
          <cell r="M13" t="str">
            <v>UNID.</v>
          </cell>
          <cell r="N13" t="str">
            <v>TRACTO</v>
          </cell>
          <cell r="O13">
            <v>437</v>
          </cell>
          <cell r="P13" t="str">
            <v>J7</v>
          </cell>
          <cell r="Q13" t="str">
            <v>J7</v>
          </cell>
          <cell r="R13" t="str">
            <v>J6</v>
          </cell>
          <cell r="S13" t="str">
            <v>PENDIENTE</v>
          </cell>
          <cell r="T13">
            <v>0</v>
          </cell>
          <cell r="U13" t="str">
            <v>DONAYRE INGA PEDRO</v>
          </cell>
          <cell r="V13" t="str">
            <v>DONAYRE INGA PEDRO</v>
          </cell>
        </row>
        <row r="14">
          <cell r="A14">
            <v>2843</v>
          </cell>
          <cell r="B14">
            <v>42353</v>
          </cell>
          <cell r="C14" t="str">
            <v>DICIEMBRE</v>
          </cell>
          <cell r="D14" t="str">
            <v>2015</v>
          </cell>
          <cell r="E14">
            <v>598</v>
          </cell>
          <cell r="F14" t="str">
            <v>D3N-721</v>
          </cell>
          <cell r="G14" t="str">
            <v>C4S-979</v>
          </cell>
          <cell r="H14" t="str">
            <v>LAS BAMBAS</v>
          </cell>
          <cell r="I14">
            <v>136863</v>
          </cell>
          <cell r="J14" t="str">
            <v>REPUESTO</v>
          </cell>
          <cell r="K14" t="str">
            <v>TORNAMESA</v>
          </cell>
          <cell r="L14">
            <v>1</v>
          </cell>
          <cell r="M14" t="str">
            <v>UNID.</v>
          </cell>
          <cell r="N14" t="str">
            <v>TRACTO</v>
          </cell>
          <cell r="O14">
            <v>437</v>
          </cell>
          <cell r="P14" t="str">
            <v>J7</v>
          </cell>
          <cell r="Q14" t="str">
            <v>J7</v>
          </cell>
          <cell r="R14" t="str">
            <v>J6</v>
          </cell>
          <cell r="S14" t="str">
            <v>PENDIENTE</v>
          </cell>
          <cell r="T14">
            <v>0</v>
          </cell>
          <cell r="U14" t="str">
            <v>DONAYRE INGA PEDRO</v>
          </cell>
          <cell r="V14" t="str">
            <v>DONAYRE INGA PEDRO</v>
          </cell>
        </row>
        <row r="15">
          <cell r="A15">
            <v>2839</v>
          </cell>
          <cell r="B15">
            <v>42353</v>
          </cell>
          <cell r="C15" t="str">
            <v>DICIEMBRE</v>
          </cell>
          <cell r="D15" t="str">
            <v>2015</v>
          </cell>
          <cell r="E15">
            <v>588</v>
          </cell>
          <cell r="F15" t="str">
            <v>D3O-742</v>
          </cell>
          <cell r="G15" t="str">
            <v>B8L-971</v>
          </cell>
          <cell r="H15" t="str">
            <v>LAS BAMBAS</v>
          </cell>
          <cell r="I15">
            <v>186790</v>
          </cell>
          <cell r="J15" t="str">
            <v>REPUESTO</v>
          </cell>
          <cell r="K15" t="str">
            <v>TORNAMESA</v>
          </cell>
          <cell r="L15">
            <v>1</v>
          </cell>
          <cell r="M15" t="str">
            <v>UNID.</v>
          </cell>
          <cell r="N15" t="str">
            <v>TRACTO</v>
          </cell>
          <cell r="O15">
            <v>437</v>
          </cell>
          <cell r="P15" t="str">
            <v>J7</v>
          </cell>
          <cell r="Q15" t="str">
            <v>J7</v>
          </cell>
          <cell r="R15" t="str">
            <v>J6</v>
          </cell>
          <cell r="S15" t="str">
            <v>PENDIENTE</v>
          </cell>
          <cell r="T15">
            <v>0</v>
          </cell>
          <cell r="U15" t="str">
            <v>DONAYRE INGA PEDRO</v>
          </cell>
          <cell r="V15" t="str">
            <v>DONAYRE INGA PEDRO</v>
          </cell>
        </row>
        <row r="16">
          <cell r="A16">
            <v>2844</v>
          </cell>
          <cell r="B16">
            <v>42353</v>
          </cell>
          <cell r="C16" t="str">
            <v>DICIEMBRE</v>
          </cell>
          <cell r="D16" t="str">
            <v>2015</v>
          </cell>
          <cell r="E16">
            <v>544</v>
          </cell>
          <cell r="F16" t="str">
            <v>D3P-743</v>
          </cell>
          <cell r="G16" t="str">
            <v>B8L-972</v>
          </cell>
          <cell r="H16" t="str">
            <v>LAS BAMBAS</v>
          </cell>
          <cell r="I16">
            <v>183105</v>
          </cell>
          <cell r="J16" t="str">
            <v>REPUESTO</v>
          </cell>
          <cell r="K16" t="str">
            <v>TORNAMESA</v>
          </cell>
          <cell r="L16">
            <v>1</v>
          </cell>
          <cell r="M16" t="str">
            <v>UNID.</v>
          </cell>
          <cell r="N16" t="str">
            <v>TRACTO</v>
          </cell>
          <cell r="O16">
            <v>437</v>
          </cell>
          <cell r="P16" t="str">
            <v>J7</v>
          </cell>
          <cell r="Q16" t="str">
            <v>J7</v>
          </cell>
          <cell r="R16" t="str">
            <v>J6</v>
          </cell>
          <cell r="S16" t="str">
            <v>PENDIENTE</v>
          </cell>
          <cell r="T16">
            <v>0</v>
          </cell>
          <cell r="U16" t="str">
            <v>DONAYRE INGA PEDRO</v>
          </cell>
          <cell r="V16" t="str">
            <v>DONAYRE INGA PEDRO</v>
          </cell>
        </row>
        <row r="17">
          <cell r="A17">
            <v>2840</v>
          </cell>
          <cell r="B17">
            <v>42353</v>
          </cell>
          <cell r="C17" t="str">
            <v>DICIEMBRE</v>
          </cell>
          <cell r="D17" t="str">
            <v>2015</v>
          </cell>
          <cell r="E17">
            <v>529</v>
          </cell>
          <cell r="F17" t="str">
            <v>D3P-746</v>
          </cell>
          <cell r="G17" t="str">
            <v>C0T-974</v>
          </cell>
          <cell r="H17" t="str">
            <v>LAS BAMBAS</v>
          </cell>
          <cell r="I17">
            <v>130316</v>
          </cell>
          <cell r="J17" t="str">
            <v>REPUESTO</v>
          </cell>
          <cell r="K17" t="str">
            <v>TORNAMESA</v>
          </cell>
          <cell r="L17">
            <v>1</v>
          </cell>
          <cell r="M17" t="str">
            <v>UNID.</v>
          </cell>
          <cell r="N17" t="str">
            <v>TRACTO</v>
          </cell>
          <cell r="O17">
            <v>437</v>
          </cell>
          <cell r="P17" t="str">
            <v>J7</v>
          </cell>
          <cell r="Q17" t="str">
            <v>J7</v>
          </cell>
          <cell r="R17" t="str">
            <v>J6</v>
          </cell>
          <cell r="S17" t="str">
            <v>PENDIENTE</v>
          </cell>
          <cell r="T17">
            <v>0</v>
          </cell>
          <cell r="U17" t="str">
            <v>DONAYRE INGA PEDRO</v>
          </cell>
          <cell r="V17" t="str">
            <v>DONAYRE INGA PEDRO</v>
          </cell>
        </row>
        <row r="18">
          <cell r="A18">
            <v>2841</v>
          </cell>
          <cell r="B18">
            <v>42353</v>
          </cell>
          <cell r="C18" t="str">
            <v>DICIEMBRE</v>
          </cell>
          <cell r="D18" t="str">
            <v>2015</v>
          </cell>
          <cell r="E18">
            <v>558</v>
          </cell>
          <cell r="F18" t="str">
            <v>D3P-747</v>
          </cell>
          <cell r="G18" t="str">
            <v>A0T-985</v>
          </cell>
          <cell r="H18" t="str">
            <v>LAS BAMBAS</v>
          </cell>
          <cell r="I18">
            <v>185155</v>
          </cell>
          <cell r="J18" t="str">
            <v>REPUESTO</v>
          </cell>
          <cell r="K18" t="str">
            <v>TORNAMESA</v>
          </cell>
          <cell r="L18">
            <v>1</v>
          </cell>
          <cell r="M18" t="str">
            <v>UNID.</v>
          </cell>
          <cell r="N18" t="str">
            <v>TRACTO</v>
          </cell>
          <cell r="O18">
            <v>437</v>
          </cell>
          <cell r="P18" t="str">
            <v>J7</v>
          </cell>
          <cell r="Q18" t="str">
            <v>J7</v>
          </cell>
          <cell r="R18" t="str">
            <v>J6</v>
          </cell>
          <cell r="S18" t="str">
            <v>PENDIENTE</v>
          </cell>
          <cell r="T18">
            <v>0</v>
          </cell>
          <cell r="U18" t="str">
            <v>DONAYRE INGA PEDRO</v>
          </cell>
          <cell r="V18" t="str">
            <v>DONAYRE INGA PEDRO</v>
          </cell>
        </row>
        <row r="19">
          <cell r="A19">
            <v>2829</v>
          </cell>
          <cell r="B19">
            <v>42353</v>
          </cell>
          <cell r="C19" t="str">
            <v>DICIEMBRE</v>
          </cell>
          <cell r="D19" t="str">
            <v>2015</v>
          </cell>
          <cell r="E19">
            <v>202</v>
          </cell>
          <cell r="F19" t="str">
            <v>D3P-752</v>
          </cell>
          <cell r="G19" t="str">
            <v>C5Y-985</v>
          </cell>
          <cell r="H19" t="str">
            <v>LAS BAMBAS</v>
          </cell>
          <cell r="I19">
            <v>150504</v>
          </cell>
          <cell r="J19" t="str">
            <v>REPUESTO</v>
          </cell>
          <cell r="K19" t="str">
            <v>TORNAMESA</v>
          </cell>
          <cell r="L19">
            <v>1</v>
          </cell>
          <cell r="M19" t="str">
            <v>UNID.</v>
          </cell>
          <cell r="N19" t="str">
            <v>TRACTO</v>
          </cell>
          <cell r="O19">
            <v>437</v>
          </cell>
          <cell r="P19" t="str">
            <v>J7</v>
          </cell>
          <cell r="Q19" t="str">
            <v>J7</v>
          </cell>
          <cell r="R19" t="str">
            <v>J6</v>
          </cell>
          <cell r="S19" t="str">
            <v>PENDIENTE</v>
          </cell>
          <cell r="T19">
            <v>0</v>
          </cell>
          <cell r="U19" t="str">
            <v>DONAYRE INGA PEDRO</v>
          </cell>
          <cell r="V19" t="str">
            <v>DONAYRE INGA PEDRO</v>
          </cell>
        </row>
        <row r="20">
          <cell r="A20">
            <v>2842</v>
          </cell>
          <cell r="B20">
            <v>42353</v>
          </cell>
          <cell r="C20" t="str">
            <v>DICIEMBRE</v>
          </cell>
          <cell r="D20" t="str">
            <v>2015</v>
          </cell>
          <cell r="E20">
            <v>583</v>
          </cell>
          <cell r="F20" t="str">
            <v>D3P-754</v>
          </cell>
          <cell r="G20" t="str">
            <v>C0V-971</v>
          </cell>
          <cell r="H20" t="str">
            <v>LAS BAMBAS</v>
          </cell>
          <cell r="I20">
            <v>163803</v>
          </cell>
          <cell r="J20" t="str">
            <v>REPUESTO</v>
          </cell>
          <cell r="K20" t="str">
            <v>TORNAMESA</v>
          </cell>
          <cell r="L20">
            <v>1</v>
          </cell>
          <cell r="M20" t="str">
            <v>UNID.</v>
          </cell>
          <cell r="N20" t="str">
            <v>TRACTO</v>
          </cell>
          <cell r="O20">
            <v>437</v>
          </cell>
          <cell r="P20" t="str">
            <v>J7</v>
          </cell>
          <cell r="Q20" t="str">
            <v>J7</v>
          </cell>
          <cell r="R20" t="str">
            <v>J6</v>
          </cell>
          <cell r="S20" t="str">
            <v>PENDIENTE</v>
          </cell>
          <cell r="T20">
            <v>0</v>
          </cell>
          <cell r="U20" t="str">
            <v>DONAYRE INGA PEDRO</v>
          </cell>
          <cell r="V20" t="str">
            <v>DONAYRE INGA PEDRO</v>
          </cell>
        </row>
        <row r="21">
          <cell r="A21">
            <v>2830</v>
          </cell>
          <cell r="B21">
            <v>42353</v>
          </cell>
          <cell r="C21" t="str">
            <v>DICIEMBRE</v>
          </cell>
          <cell r="D21" t="str">
            <v>2015</v>
          </cell>
          <cell r="E21">
            <v>586</v>
          </cell>
          <cell r="F21" t="str">
            <v>D3S-725</v>
          </cell>
          <cell r="G21" t="str">
            <v>TBL-977</v>
          </cell>
          <cell r="H21" t="str">
            <v>LAS BAMBAS</v>
          </cell>
          <cell r="I21">
            <v>148939</v>
          </cell>
          <cell r="J21" t="str">
            <v>REPUESTO</v>
          </cell>
          <cell r="K21" t="str">
            <v>TORNAMESA</v>
          </cell>
          <cell r="L21">
            <v>1</v>
          </cell>
          <cell r="M21" t="str">
            <v>UNID.</v>
          </cell>
          <cell r="N21" t="str">
            <v>TRACTO</v>
          </cell>
          <cell r="O21">
            <v>437</v>
          </cell>
          <cell r="P21" t="str">
            <v>J7</v>
          </cell>
          <cell r="Q21" t="str">
            <v>J7</v>
          </cell>
          <cell r="R21" t="str">
            <v>J6</v>
          </cell>
          <cell r="S21" t="str">
            <v>PENDIENTE</v>
          </cell>
          <cell r="T21">
            <v>0</v>
          </cell>
          <cell r="U21" t="str">
            <v>DONAYRE INGA PEDRO</v>
          </cell>
          <cell r="V21" t="str">
            <v>DONAYRE INGA PEDRO</v>
          </cell>
        </row>
        <row r="22">
          <cell r="A22">
            <v>2848</v>
          </cell>
          <cell r="B22">
            <v>42353</v>
          </cell>
          <cell r="C22" t="str">
            <v>DICIEMBRE</v>
          </cell>
          <cell r="D22" t="str">
            <v>2015</v>
          </cell>
          <cell r="E22">
            <v>200</v>
          </cell>
          <cell r="F22" t="str">
            <v>TALLER</v>
          </cell>
          <cell r="G22" t="str">
            <v>TALLER</v>
          </cell>
          <cell r="H22" t="str">
            <v>TALLER</v>
          </cell>
          <cell r="I22" t="str">
            <v>TALLER</v>
          </cell>
          <cell r="J22" t="str">
            <v>REPUESTO</v>
          </cell>
          <cell r="K22" t="str">
            <v>TORNAMESA</v>
          </cell>
          <cell r="L22">
            <v>3</v>
          </cell>
          <cell r="M22" t="str">
            <v>UNID.</v>
          </cell>
          <cell r="N22" t="str">
            <v>TRACTO</v>
          </cell>
          <cell r="O22">
            <v>437</v>
          </cell>
          <cell r="P22" t="str">
            <v>J7</v>
          </cell>
          <cell r="Q22" t="str">
            <v>J7</v>
          </cell>
          <cell r="R22" t="str">
            <v>J6</v>
          </cell>
          <cell r="S22" t="str">
            <v>PENDIENTE</v>
          </cell>
          <cell r="T22">
            <v>0</v>
          </cell>
          <cell r="U22" t="str">
            <v>DONAYRE INGA PEDRO</v>
          </cell>
          <cell r="V22" t="str">
            <v>DONAYRE INGA PEDRO</v>
          </cell>
        </row>
        <row r="23">
          <cell r="A23">
            <v>2845</v>
          </cell>
          <cell r="B23">
            <v>42353</v>
          </cell>
          <cell r="C23" t="str">
            <v>DICIEMBRE</v>
          </cell>
          <cell r="D23" t="str">
            <v>2015</v>
          </cell>
          <cell r="E23">
            <v>600</v>
          </cell>
          <cell r="F23" t="str">
            <v>X2W-761</v>
          </cell>
          <cell r="G23" t="str">
            <v>C5V-996</v>
          </cell>
          <cell r="H23" t="str">
            <v>LAS BAMBAS</v>
          </cell>
          <cell r="I23">
            <v>144997</v>
          </cell>
          <cell r="J23" t="str">
            <v>REPUESTO</v>
          </cell>
          <cell r="K23" t="str">
            <v>TORNAMESA</v>
          </cell>
          <cell r="L23">
            <v>1</v>
          </cell>
          <cell r="M23" t="str">
            <v>UNID.</v>
          </cell>
          <cell r="N23" t="str">
            <v>TRACTO</v>
          </cell>
          <cell r="O23">
            <v>437</v>
          </cell>
          <cell r="P23" t="str">
            <v>J7</v>
          </cell>
          <cell r="Q23" t="str">
            <v>J7</v>
          </cell>
          <cell r="R23" t="str">
            <v>J6</v>
          </cell>
          <cell r="S23" t="str">
            <v>PENDIENTE</v>
          </cell>
          <cell r="T23">
            <v>0</v>
          </cell>
          <cell r="U23" t="str">
            <v>DONAYRE INGA PEDRO</v>
          </cell>
          <cell r="V23" t="str">
            <v>DONAYRE INGA PEDRO</v>
          </cell>
        </row>
        <row r="24">
          <cell r="A24">
            <v>2846</v>
          </cell>
          <cell r="B24">
            <v>42353</v>
          </cell>
          <cell r="C24" t="str">
            <v>DICIEMBRE</v>
          </cell>
          <cell r="D24" t="str">
            <v>2015</v>
          </cell>
          <cell r="E24">
            <v>569</v>
          </cell>
          <cell r="F24" t="str">
            <v>X2W-763</v>
          </cell>
          <cell r="G24" t="str">
            <v>C5V-997</v>
          </cell>
          <cell r="H24" t="str">
            <v>LAS BAMBAS</v>
          </cell>
          <cell r="I24">
            <v>156389</v>
          </cell>
          <cell r="J24" t="str">
            <v>REPUESTO</v>
          </cell>
          <cell r="K24" t="str">
            <v>TORNAMESA</v>
          </cell>
          <cell r="L24">
            <v>1</v>
          </cell>
          <cell r="M24" t="str">
            <v>UNID.</v>
          </cell>
          <cell r="N24" t="str">
            <v>TRACTO</v>
          </cell>
          <cell r="O24">
            <v>437</v>
          </cell>
          <cell r="P24" t="str">
            <v>J7</v>
          </cell>
          <cell r="Q24" t="str">
            <v>J7</v>
          </cell>
          <cell r="R24" t="str">
            <v>J6</v>
          </cell>
          <cell r="S24" t="str">
            <v>PENDIENTE</v>
          </cell>
          <cell r="T24">
            <v>0</v>
          </cell>
          <cell r="U24" t="str">
            <v>DONAYRE INGA PEDRO</v>
          </cell>
          <cell r="V24" t="str">
            <v>DONAYRE INGA PEDRO</v>
          </cell>
        </row>
        <row r="25">
          <cell r="A25">
            <v>1</v>
          </cell>
          <cell r="B25">
            <v>42655</v>
          </cell>
          <cell r="C25" t="str">
            <v>OCTUBRE</v>
          </cell>
          <cell r="D25" t="str">
            <v>2016</v>
          </cell>
          <cell r="E25" t="str">
            <v>S/O</v>
          </cell>
          <cell r="F25" t="str">
            <v>D3O-745</v>
          </cell>
          <cell r="G25" t="str">
            <v>F3L-979</v>
          </cell>
          <cell r="H25" t="str">
            <v>LAS BAMBAS</v>
          </cell>
          <cell r="I25">
            <v>150062</v>
          </cell>
          <cell r="J25" t="str">
            <v>REPUESTO</v>
          </cell>
          <cell r="K25" t="str">
            <v>CIRCULINA</v>
          </cell>
          <cell r="L25">
            <v>1</v>
          </cell>
          <cell r="M25" t="str">
            <v>UNID.</v>
          </cell>
          <cell r="N25">
            <v>0</v>
          </cell>
          <cell r="O25">
            <v>135</v>
          </cell>
          <cell r="P25" t="str">
            <v>J2</v>
          </cell>
          <cell r="Q25" t="str">
            <v>J2</v>
          </cell>
          <cell r="R25" t="str">
            <v>J6</v>
          </cell>
          <cell r="S25" t="str">
            <v>PENDIENTE</v>
          </cell>
          <cell r="T25">
            <v>0</v>
          </cell>
          <cell r="U25" t="str">
            <v>CORIHUAMAN SURCO  ERICK ROBERT</v>
          </cell>
          <cell r="V25" t="str">
            <v>CORIHUAMAN SURCO  ERICK ROBERT</v>
          </cell>
        </row>
        <row r="26">
          <cell r="A26">
            <v>2</v>
          </cell>
          <cell r="B26">
            <v>42656</v>
          </cell>
          <cell r="C26" t="str">
            <v>OCTUBRE</v>
          </cell>
          <cell r="D26" t="str">
            <v>2016</v>
          </cell>
          <cell r="E26" t="str">
            <v>S/O</v>
          </cell>
          <cell r="F26" t="str">
            <v>TALLER</v>
          </cell>
          <cell r="G26" t="str">
            <v>TALLER</v>
          </cell>
          <cell r="H26" t="str">
            <v>TALLER</v>
          </cell>
          <cell r="I26">
            <v>0</v>
          </cell>
          <cell r="J26" t="str">
            <v>IMPLEMENTACION</v>
          </cell>
          <cell r="K26" t="str">
            <v>PORTA EXTINTORES DE PLASTICO</v>
          </cell>
          <cell r="L26">
            <v>10</v>
          </cell>
          <cell r="M26" t="str">
            <v>UNID.</v>
          </cell>
          <cell r="N26">
            <v>0</v>
          </cell>
          <cell r="O26">
            <v>134</v>
          </cell>
          <cell r="P26" t="str">
            <v>J2</v>
          </cell>
          <cell r="Q26" t="str">
            <v>J2</v>
          </cell>
          <cell r="R26" t="str">
            <v>J6</v>
          </cell>
          <cell r="S26" t="str">
            <v>PENDIENTE</v>
          </cell>
          <cell r="T26">
            <v>0</v>
          </cell>
          <cell r="U26" t="str">
            <v>CORIHUAMAN SURCO  ERICK ROBERT</v>
          </cell>
          <cell r="V26" t="str">
            <v>CORIHUAMAN SURCO  ERICK ROBERT</v>
          </cell>
        </row>
        <row r="27">
          <cell r="A27">
            <v>3</v>
          </cell>
          <cell r="B27">
            <v>42656</v>
          </cell>
          <cell r="C27" t="str">
            <v>OCTUBRE</v>
          </cell>
          <cell r="D27" t="str">
            <v>2016</v>
          </cell>
          <cell r="E27" t="str">
            <v>S/O</v>
          </cell>
          <cell r="F27" t="str">
            <v>TALLER</v>
          </cell>
          <cell r="G27" t="str">
            <v>TALLER</v>
          </cell>
          <cell r="H27" t="str">
            <v>TALLER</v>
          </cell>
          <cell r="I27">
            <v>0</v>
          </cell>
          <cell r="J27" t="str">
            <v>IMPLEMENTACION</v>
          </cell>
          <cell r="K27" t="str">
            <v>EXTINTORES UL 13.6</v>
          </cell>
          <cell r="L27">
            <v>10</v>
          </cell>
          <cell r="M27" t="str">
            <v>UNID.</v>
          </cell>
          <cell r="N27">
            <v>0</v>
          </cell>
          <cell r="O27">
            <v>134</v>
          </cell>
          <cell r="P27" t="str">
            <v>J2</v>
          </cell>
          <cell r="Q27" t="str">
            <v>J2</v>
          </cell>
          <cell r="R27" t="str">
            <v>J6</v>
          </cell>
          <cell r="S27" t="str">
            <v>ENTREGADO</v>
          </cell>
          <cell r="T27">
            <v>0</v>
          </cell>
          <cell r="U27" t="str">
            <v>CORIHUAMAN SURCO  ERICK ROBERT</v>
          </cell>
          <cell r="V27" t="str">
            <v>CORIHUAMAN SURCO  ERICK ROBERT</v>
          </cell>
        </row>
        <row r="28">
          <cell r="A28">
            <v>4</v>
          </cell>
          <cell r="B28">
            <v>42656</v>
          </cell>
          <cell r="C28" t="str">
            <v>OCTUBRE</v>
          </cell>
          <cell r="D28" t="str">
            <v>2016</v>
          </cell>
          <cell r="E28" t="str">
            <v>S/O</v>
          </cell>
          <cell r="F28" t="str">
            <v>TALLER</v>
          </cell>
          <cell r="G28" t="str">
            <v>TALLER</v>
          </cell>
          <cell r="H28" t="str">
            <v>TALLER</v>
          </cell>
          <cell r="I28">
            <v>0</v>
          </cell>
          <cell r="J28" t="str">
            <v>HERRAMIENTAS</v>
          </cell>
          <cell r="K28" t="str">
            <v>ESPANSOR HIDRAULICO DE 10 TONELADAS</v>
          </cell>
          <cell r="L28">
            <v>1</v>
          </cell>
          <cell r="M28" t="str">
            <v>UNID.</v>
          </cell>
          <cell r="N28">
            <v>0</v>
          </cell>
          <cell r="O28">
            <v>134</v>
          </cell>
          <cell r="P28" t="str">
            <v>J1</v>
          </cell>
          <cell r="Q28" t="str">
            <v>J1</v>
          </cell>
          <cell r="R28" t="str">
            <v>J6</v>
          </cell>
          <cell r="S28" t="str">
            <v>PENDIENTE</v>
          </cell>
          <cell r="T28">
            <v>0</v>
          </cell>
          <cell r="U28" t="str">
            <v>FLOREZ CONDORI  JOSE WILLIANS</v>
          </cell>
          <cell r="V28" t="str">
            <v>FLOREZ CONDORI  JOSE WILLIANS</v>
          </cell>
        </row>
        <row r="29">
          <cell r="A29">
            <v>5</v>
          </cell>
          <cell r="B29">
            <v>42656</v>
          </cell>
          <cell r="C29" t="str">
            <v>OCTUBRE</v>
          </cell>
          <cell r="D29" t="str">
            <v>2016</v>
          </cell>
          <cell r="E29" t="str">
            <v>S/O</v>
          </cell>
          <cell r="F29" t="str">
            <v>TALLER</v>
          </cell>
          <cell r="G29" t="str">
            <v>TALLER</v>
          </cell>
          <cell r="H29" t="str">
            <v>TALLER</v>
          </cell>
          <cell r="I29">
            <v>0</v>
          </cell>
          <cell r="J29" t="str">
            <v>HERRAMIENTAS</v>
          </cell>
          <cell r="K29" t="str">
            <v>PISTOLA NEUMATICA CON ENCASTRE 3/4 "</v>
          </cell>
          <cell r="L29">
            <v>1</v>
          </cell>
          <cell r="M29" t="str">
            <v>UNID.</v>
          </cell>
          <cell r="N29">
            <v>0</v>
          </cell>
          <cell r="O29">
            <v>134</v>
          </cell>
          <cell r="P29" t="str">
            <v>J1</v>
          </cell>
          <cell r="Q29" t="str">
            <v>J1</v>
          </cell>
          <cell r="R29" t="str">
            <v>J6</v>
          </cell>
          <cell r="S29" t="str">
            <v>ENTREGADO</v>
          </cell>
          <cell r="T29">
            <v>0</v>
          </cell>
          <cell r="U29" t="str">
            <v>FLOREZ CONDORI  JOSE WILLIANS</v>
          </cell>
          <cell r="V29" t="str">
            <v>FLOREZ CONDORI  JOSE WILLIANS</v>
          </cell>
        </row>
        <row r="30">
          <cell r="A30">
            <v>10</v>
          </cell>
          <cell r="B30">
            <v>42657</v>
          </cell>
          <cell r="C30" t="str">
            <v>OCTUBRE</v>
          </cell>
          <cell r="D30" t="str">
            <v>2016</v>
          </cell>
          <cell r="E30" t="str">
            <v>S/O</v>
          </cell>
          <cell r="F30" t="str">
            <v>AEG-922</v>
          </cell>
          <cell r="G30" t="str">
            <v>CAMIONETA</v>
          </cell>
          <cell r="H30" t="str">
            <v>LAS BAMBAS</v>
          </cell>
          <cell r="I30">
            <v>80040</v>
          </cell>
          <cell r="J30" t="str">
            <v>IMPLEMENTACION</v>
          </cell>
          <cell r="K30" t="str">
            <v>PERTIGA DE 12 PIES</v>
          </cell>
          <cell r="L30">
            <v>1</v>
          </cell>
          <cell r="M30" t="str">
            <v>UNID.</v>
          </cell>
          <cell r="N30">
            <v>0</v>
          </cell>
          <cell r="O30">
            <v>133</v>
          </cell>
          <cell r="P30" t="str">
            <v>E2</v>
          </cell>
          <cell r="Q30" t="str">
            <v>J2</v>
          </cell>
          <cell r="R30" t="str">
            <v>J6</v>
          </cell>
          <cell r="S30" t="str">
            <v>PENDIENTE</v>
          </cell>
          <cell r="T30">
            <v>0</v>
          </cell>
          <cell r="U30" t="str">
            <v>YUCA BELLIDO BORIS YERSY</v>
          </cell>
          <cell r="V30" t="str">
            <v>CORIHUAMAN SURCO  ERICK ROBERT</v>
          </cell>
        </row>
        <row r="31">
          <cell r="A31">
            <v>6</v>
          </cell>
          <cell r="B31">
            <v>42657</v>
          </cell>
          <cell r="C31" t="str">
            <v>OCTUBRE</v>
          </cell>
          <cell r="D31" t="str">
            <v>2016</v>
          </cell>
          <cell r="E31" t="str">
            <v>S/O</v>
          </cell>
          <cell r="F31" t="str">
            <v>TALLER</v>
          </cell>
          <cell r="G31" t="str">
            <v>TALLER</v>
          </cell>
          <cell r="H31" t="str">
            <v>TALLER</v>
          </cell>
          <cell r="I31">
            <v>0</v>
          </cell>
          <cell r="J31" t="str">
            <v>UNIFORMES</v>
          </cell>
          <cell r="K31" t="str">
            <v>OVEROLES DE TRABAJO TALLA L</v>
          </cell>
          <cell r="L31">
            <v>7</v>
          </cell>
          <cell r="M31" t="str">
            <v>UNID.</v>
          </cell>
          <cell r="N31">
            <v>0</v>
          </cell>
          <cell r="O31">
            <v>133</v>
          </cell>
          <cell r="P31" t="str">
            <v>J1</v>
          </cell>
          <cell r="Q31" t="str">
            <v>J1</v>
          </cell>
          <cell r="R31" t="str">
            <v>J6</v>
          </cell>
          <cell r="S31" t="str">
            <v>PENDIENTE</v>
          </cell>
          <cell r="T31">
            <v>0</v>
          </cell>
          <cell r="U31" t="str">
            <v>FLOREZ CONDORI  JOSE WILLIANS</v>
          </cell>
          <cell r="V31" t="str">
            <v>FLOREZ CONDORI  JOSE WILLIANS</v>
          </cell>
        </row>
        <row r="32">
          <cell r="A32">
            <v>7</v>
          </cell>
          <cell r="B32">
            <v>42657</v>
          </cell>
          <cell r="C32" t="str">
            <v>OCTUBRE</v>
          </cell>
          <cell r="D32" t="str">
            <v>2016</v>
          </cell>
          <cell r="E32" t="str">
            <v>S/O</v>
          </cell>
          <cell r="F32" t="str">
            <v>TALLER</v>
          </cell>
          <cell r="G32" t="str">
            <v>TALLER</v>
          </cell>
          <cell r="H32" t="str">
            <v>TALLER</v>
          </cell>
          <cell r="I32">
            <v>0</v>
          </cell>
          <cell r="J32" t="str">
            <v>UNIFORMES</v>
          </cell>
          <cell r="K32" t="str">
            <v>OVEROLES DE TRABAJO TALLA S</v>
          </cell>
          <cell r="L32">
            <v>1</v>
          </cell>
          <cell r="M32" t="str">
            <v>UNID.</v>
          </cell>
          <cell r="N32">
            <v>0</v>
          </cell>
          <cell r="O32">
            <v>133</v>
          </cell>
          <cell r="P32" t="str">
            <v>J1</v>
          </cell>
          <cell r="Q32" t="str">
            <v>J1</v>
          </cell>
          <cell r="R32" t="str">
            <v>J6</v>
          </cell>
          <cell r="S32" t="str">
            <v>PENDIENTE</v>
          </cell>
          <cell r="T32">
            <v>0</v>
          </cell>
          <cell r="U32" t="str">
            <v>FLOREZ CONDORI  JOSE WILLIANS</v>
          </cell>
          <cell r="V32" t="str">
            <v>FLOREZ CONDORI  JOSE WILLIANS</v>
          </cell>
        </row>
        <row r="33">
          <cell r="A33">
            <v>8</v>
          </cell>
          <cell r="B33">
            <v>42657</v>
          </cell>
          <cell r="C33" t="str">
            <v>OCTUBRE</v>
          </cell>
          <cell r="D33" t="str">
            <v>2016</v>
          </cell>
          <cell r="E33" t="str">
            <v>S/O</v>
          </cell>
          <cell r="F33" t="str">
            <v>TALLER</v>
          </cell>
          <cell r="G33" t="str">
            <v>TALLER</v>
          </cell>
          <cell r="H33" t="str">
            <v>TALLER</v>
          </cell>
          <cell r="I33">
            <v>0</v>
          </cell>
          <cell r="J33" t="str">
            <v>UNIFORMES</v>
          </cell>
          <cell r="K33" t="str">
            <v>OVEROLES DE TRABAJO TALLA M</v>
          </cell>
          <cell r="L33">
            <v>4</v>
          </cell>
          <cell r="M33" t="str">
            <v>UNID.</v>
          </cell>
          <cell r="N33">
            <v>0</v>
          </cell>
          <cell r="O33">
            <v>133</v>
          </cell>
          <cell r="P33" t="str">
            <v>J1</v>
          </cell>
          <cell r="Q33" t="str">
            <v>J1</v>
          </cell>
          <cell r="R33" t="str">
            <v>J6</v>
          </cell>
          <cell r="S33" t="str">
            <v>PENDIENTE</v>
          </cell>
          <cell r="T33">
            <v>0</v>
          </cell>
          <cell r="U33" t="str">
            <v>FLOREZ CONDORI  JOSE WILLIANS</v>
          </cell>
          <cell r="V33" t="str">
            <v>FLOREZ CONDORI  JOSE WILLIANS</v>
          </cell>
        </row>
        <row r="34">
          <cell r="A34">
            <v>9</v>
          </cell>
          <cell r="B34">
            <v>42657</v>
          </cell>
          <cell r="C34" t="str">
            <v>OCTUBRE</v>
          </cell>
          <cell r="D34" t="str">
            <v>2016</v>
          </cell>
          <cell r="E34" t="str">
            <v>S/O</v>
          </cell>
          <cell r="F34" t="str">
            <v>TALLER</v>
          </cell>
          <cell r="G34" t="str">
            <v>TALLER</v>
          </cell>
          <cell r="H34" t="str">
            <v>TALLER</v>
          </cell>
          <cell r="I34">
            <v>0</v>
          </cell>
          <cell r="J34" t="str">
            <v>UNIFORMES</v>
          </cell>
          <cell r="K34" t="str">
            <v>OVEROLES DE TRABAJO TALLA XXL</v>
          </cell>
          <cell r="L34">
            <v>2</v>
          </cell>
          <cell r="M34" t="str">
            <v>UNID.</v>
          </cell>
          <cell r="N34">
            <v>0</v>
          </cell>
          <cell r="O34">
            <v>133</v>
          </cell>
          <cell r="P34" t="str">
            <v>J1</v>
          </cell>
          <cell r="Q34" t="str">
            <v>J1</v>
          </cell>
          <cell r="R34" t="str">
            <v>J6</v>
          </cell>
          <cell r="S34" t="str">
            <v>PENDIENTE</v>
          </cell>
          <cell r="T34">
            <v>0</v>
          </cell>
          <cell r="U34" t="str">
            <v>FLOREZ CONDORI  JOSE WILLIANS</v>
          </cell>
          <cell r="V34" t="str">
            <v>FLOREZ CONDORI  JOSE WILLIANS</v>
          </cell>
        </row>
        <row r="35">
          <cell r="A35">
            <v>11</v>
          </cell>
          <cell r="B35">
            <v>42657</v>
          </cell>
          <cell r="C35" t="str">
            <v>OCTUBRE</v>
          </cell>
          <cell r="D35" t="str">
            <v>2016</v>
          </cell>
          <cell r="E35" t="str">
            <v>S/O</v>
          </cell>
          <cell r="F35" t="str">
            <v>TALLER</v>
          </cell>
          <cell r="G35" t="str">
            <v>TALLER</v>
          </cell>
          <cell r="H35" t="str">
            <v>TALLER</v>
          </cell>
          <cell r="I35">
            <v>0</v>
          </cell>
          <cell r="J35" t="str">
            <v>INSUMO TALLER</v>
          </cell>
          <cell r="K35" t="str">
            <v>MARCADOR INDUSTRIAL MARCA WUR</v>
          </cell>
          <cell r="L35">
            <v>10</v>
          </cell>
          <cell r="M35" t="str">
            <v>UNID.</v>
          </cell>
          <cell r="N35">
            <v>0</v>
          </cell>
          <cell r="O35">
            <v>23</v>
          </cell>
          <cell r="P35" t="str">
            <v>J3</v>
          </cell>
          <cell r="Q35" t="str">
            <v>J3</v>
          </cell>
          <cell r="R35" t="str">
            <v>J6</v>
          </cell>
          <cell r="S35" t="str">
            <v>ENTREGADO</v>
          </cell>
          <cell r="T35">
            <v>42680</v>
          </cell>
          <cell r="U35" t="str">
            <v>CHURA PIZARRO ALBERTO</v>
          </cell>
          <cell r="V35" t="str">
            <v>CHURA PIZARRO ALBERTO</v>
          </cell>
        </row>
        <row r="36">
          <cell r="A36">
            <v>13</v>
          </cell>
          <cell r="B36">
            <v>42660</v>
          </cell>
          <cell r="C36" t="str">
            <v>OCTUBRE</v>
          </cell>
          <cell r="D36" t="str">
            <v>2016</v>
          </cell>
          <cell r="E36" t="str">
            <v>S/O</v>
          </cell>
          <cell r="F36" t="str">
            <v>AKX-731</v>
          </cell>
          <cell r="G36" t="str">
            <v>TCD-980</v>
          </cell>
          <cell r="H36" t="str">
            <v>LAS BAMBAS</v>
          </cell>
          <cell r="I36">
            <v>27241</v>
          </cell>
          <cell r="J36" t="str">
            <v>REPUESTO</v>
          </cell>
          <cell r="K36" t="str">
            <v>TAPA DE BOCAMAZA</v>
          </cell>
          <cell r="L36">
            <v>5</v>
          </cell>
          <cell r="M36" t="str">
            <v>UNID.</v>
          </cell>
          <cell r="N36">
            <v>0</v>
          </cell>
          <cell r="O36">
            <v>130</v>
          </cell>
          <cell r="P36" t="str">
            <v>M8</v>
          </cell>
          <cell r="Q36" t="str">
            <v>J2</v>
          </cell>
          <cell r="R36" t="str">
            <v>J6</v>
          </cell>
          <cell r="S36" t="str">
            <v>PENDIENTE</v>
          </cell>
          <cell r="T36">
            <v>0</v>
          </cell>
          <cell r="U36" t="str">
            <v>VARILLAS GAGO  OSCAR ALBERTO</v>
          </cell>
          <cell r="V36" t="str">
            <v>CORIHUAMAN SURCO  ERICK ROBERT</v>
          </cell>
        </row>
        <row r="37">
          <cell r="A37">
            <v>14</v>
          </cell>
          <cell r="B37">
            <v>42660</v>
          </cell>
          <cell r="C37" t="str">
            <v>OCTUBRE</v>
          </cell>
          <cell r="D37" t="str">
            <v>2016</v>
          </cell>
          <cell r="E37" t="str">
            <v>S/O</v>
          </cell>
          <cell r="F37" t="str">
            <v>AKX-731</v>
          </cell>
          <cell r="G37" t="str">
            <v>TCD-980</v>
          </cell>
          <cell r="H37" t="str">
            <v>LAS BAMBAS</v>
          </cell>
          <cell r="I37">
            <v>27241</v>
          </cell>
          <cell r="J37" t="str">
            <v>REPUESTO</v>
          </cell>
          <cell r="K37" t="str">
            <v>JUEGOS DE RODAJES COMPLETOS</v>
          </cell>
          <cell r="L37">
            <v>5</v>
          </cell>
          <cell r="M37" t="str">
            <v>UNID.</v>
          </cell>
          <cell r="N37">
            <v>0</v>
          </cell>
          <cell r="O37">
            <v>130</v>
          </cell>
          <cell r="P37" t="str">
            <v>M8</v>
          </cell>
          <cell r="Q37" t="str">
            <v>J2</v>
          </cell>
          <cell r="R37" t="str">
            <v>J6</v>
          </cell>
          <cell r="S37" t="str">
            <v>PENDIENTE</v>
          </cell>
          <cell r="T37">
            <v>0</v>
          </cell>
          <cell r="U37" t="str">
            <v>VARILLAS GAGO  OSCAR ALBERTO</v>
          </cell>
          <cell r="V37" t="str">
            <v>CORIHUAMAN SURCO  ERICK ROBERT</v>
          </cell>
        </row>
        <row r="38">
          <cell r="A38">
            <v>12</v>
          </cell>
          <cell r="B38">
            <v>42660</v>
          </cell>
          <cell r="C38" t="str">
            <v>OCTUBRE</v>
          </cell>
          <cell r="D38" t="str">
            <v>2016</v>
          </cell>
          <cell r="E38" t="str">
            <v>S/O</v>
          </cell>
          <cell r="F38" t="str">
            <v>TALLER</v>
          </cell>
          <cell r="G38" t="str">
            <v>TALLER</v>
          </cell>
          <cell r="H38" t="str">
            <v>TALLER</v>
          </cell>
          <cell r="I38">
            <v>0</v>
          </cell>
          <cell r="J38" t="str">
            <v>REPUESTO</v>
          </cell>
          <cell r="K38" t="str">
            <v>PERNOS COCHE 3/8 X 10" (PARA SEGURAR BATERIAS)</v>
          </cell>
          <cell r="L38">
            <v>60</v>
          </cell>
          <cell r="M38" t="str">
            <v>UNID.</v>
          </cell>
          <cell r="N38">
            <v>0</v>
          </cell>
          <cell r="O38">
            <v>130</v>
          </cell>
          <cell r="P38" t="str">
            <v>E1</v>
          </cell>
          <cell r="Q38" t="str">
            <v>J2</v>
          </cell>
          <cell r="R38" t="str">
            <v>J6</v>
          </cell>
          <cell r="S38" t="str">
            <v>PENDIENTE</v>
          </cell>
          <cell r="T38">
            <v>0</v>
          </cell>
          <cell r="U38" t="str">
            <v>PALOMINO CARDENAS JUAN CARLOS</v>
          </cell>
          <cell r="V38" t="str">
            <v>CORIHUAMAN SURCO  ERICK ROBERT</v>
          </cell>
        </row>
        <row r="39">
          <cell r="A39">
            <v>15</v>
          </cell>
          <cell r="B39">
            <v>42663</v>
          </cell>
          <cell r="C39" t="str">
            <v>OCTUBRE</v>
          </cell>
          <cell r="D39" t="str">
            <v>2016</v>
          </cell>
          <cell r="E39" t="str">
            <v>S/O</v>
          </cell>
          <cell r="F39" t="str">
            <v>TALLER</v>
          </cell>
          <cell r="G39" t="str">
            <v>TALLER</v>
          </cell>
          <cell r="H39" t="str">
            <v>TALLER</v>
          </cell>
          <cell r="I39">
            <v>0</v>
          </cell>
          <cell r="J39" t="str">
            <v>HERRAMIENTAS</v>
          </cell>
          <cell r="K39" t="str">
            <v>DADO TUBULAR NRO. 38 DE ENCASTRE DE 3/4</v>
          </cell>
          <cell r="L39">
            <v>1</v>
          </cell>
          <cell r="M39" t="str">
            <v>UNID.</v>
          </cell>
          <cell r="N39">
            <v>0</v>
          </cell>
          <cell r="O39">
            <v>127</v>
          </cell>
          <cell r="P39" t="str">
            <v>M8</v>
          </cell>
          <cell r="Q39" t="str">
            <v>J1</v>
          </cell>
          <cell r="R39" t="str">
            <v>J6</v>
          </cell>
          <cell r="S39" t="str">
            <v>PENDIENTE</v>
          </cell>
          <cell r="T39">
            <v>0</v>
          </cell>
          <cell r="U39" t="str">
            <v>VARILLAS GAGO  OSCAR ALBERTO</v>
          </cell>
          <cell r="V39" t="str">
            <v>FLOREZ CONDORI  JOSE WILLIANS</v>
          </cell>
        </row>
        <row r="40">
          <cell r="A40">
            <v>17</v>
          </cell>
          <cell r="B40">
            <v>42668</v>
          </cell>
          <cell r="C40" t="str">
            <v>OCTUBRE</v>
          </cell>
          <cell r="D40" t="str">
            <v>2016</v>
          </cell>
          <cell r="E40" t="str">
            <v>S/O</v>
          </cell>
          <cell r="F40" t="str">
            <v>D3P-744</v>
          </cell>
          <cell r="G40" t="str">
            <v>A0F-996</v>
          </cell>
          <cell r="H40" t="str">
            <v>LAS BAMBAS</v>
          </cell>
          <cell r="I40">
            <v>150468</v>
          </cell>
          <cell r="J40" t="str">
            <v>REPUESTO</v>
          </cell>
          <cell r="K40" t="str">
            <v>PIN DE 1 " X 8"</v>
          </cell>
          <cell r="L40">
            <v>1</v>
          </cell>
          <cell r="M40" t="str">
            <v>UNID.</v>
          </cell>
          <cell r="N40">
            <v>0</v>
          </cell>
          <cell r="O40">
            <v>122</v>
          </cell>
          <cell r="P40" t="str">
            <v>S2</v>
          </cell>
          <cell r="Q40" t="str">
            <v>J2</v>
          </cell>
          <cell r="R40" t="str">
            <v>J6</v>
          </cell>
          <cell r="S40" t="str">
            <v>ENTREGADO</v>
          </cell>
          <cell r="T40">
            <v>0</v>
          </cell>
          <cell r="U40" t="str">
            <v>PALOMINO ESTRADA  MICHEL</v>
          </cell>
          <cell r="V40" t="str">
            <v>CORIHUAMAN SURCO  ERICK ROBERT</v>
          </cell>
        </row>
        <row r="41">
          <cell r="A41">
            <v>18</v>
          </cell>
          <cell r="B41">
            <v>42668</v>
          </cell>
          <cell r="C41" t="str">
            <v>OCTUBRE</v>
          </cell>
          <cell r="D41" t="str">
            <v>2016</v>
          </cell>
          <cell r="E41" t="str">
            <v>S/O</v>
          </cell>
          <cell r="F41" t="str">
            <v>TALLER</v>
          </cell>
          <cell r="G41" t="str">
            <v>TALLER</v>
          </cell>
          <cell r="H41" t="str">
            <v>TALLER</v>
          </cell>
          <cell r="I41">
            <v>0</v>
          </cell>
          <cell r="J41" t="str">
            <v>HERRAMIENTAS</v>
          </cell>
          <cell r="K41" t="str">
            <v>JUEGO DE HEXAGONALES EN PULGADAS</v>
          </cell>
          <cell r="L41">
            <v>1</v>
          </cell>
          <cell r="M41" t="str">
            <v>JUEGO</v>
          </cell>
          <cell r="N41">
            <v>0</v>
          </cell>
          <cell r="O41">
            <v>122</v>
          </cell>
          <cell r="P41" t="str">
            <v>M4</v>
          </cell>
          <cell r="Q41" t="str">
            <v>J2</v>
          </cell>
          <cell r="R41" t="str">
            <v>J6</v>
          </cell>
          <cell r="S41" t="str">
            <v>ENTREGADO</v>
          </cell>
          <cell r="T41">
            <v>0</v>
          </cell>
          <cell r="U41" t="str">
            <v>JULLIRI APAZA UBALDO</v>
          </cell>
          <cell r="V41" t="str">
            <v>CORIHUAMAN SURCO  ERICK ROBERT</v>
          </cell>
        </row>
        <row r="42">
          <cell r="A42">
            <v>19</v>
          </cell>
          <cell r="B42">
            <v>42668</v>
          </cell>
          <cell r="C42" t="str">
            <v>OCTUBRE</v>
          </cell>
          <cell r="D42" t="str">
            <v>2016</v>
          </cell>
          <cell r="E42" t="str">
            <v>S/O</v>
          </cell>
          <cell r="F42" t="str">
            <v>TALLER</v>
          </cell>
          <cell r="G42" t="str">
            <v>TALLER</v>
          </cell>
          <cell r="H42" t="str">
            <v>TALLER</v>
          </cell>
          <cell r="I42">
            <v>0</v>
          </cell>
          <cell r="J42" t="str">
            <v>INSUMO TALLER</v>
          </cell>
          <cell r="K42" t="str">
            <v>PAQUETES DE TIZA BLANCA (PARA MARCAR LLANTAS)</v>
          </cell>
          <cell r="L42">
            <v>1</v>
          </cell>
          <cell r="M42" t="str">
            <v>UNID.</v>
          </cell>
          <cell r="N42">
            <v>0</v>
          </cell>
          <cell r="O42">
            <v>122</v>
          </cell>
          <cell r="P42" t="str">
            <v>J3</v>
          </cell>
          <cell r="Q42" t="str">
            <v>J2</v>
          </cell>
          <cell r="R42" t="str">
            <v>J6</v>
          </cell>
          <cell r="S42" t="str">
            <v>ENTREGADO</v>
          </cell>
          <cell r="T42">
            <v>0</v>
          </cell>
          <cell r="U42" t="str">
            <v>CHURA PIZARRO ALBERTO</v>
          </cell>
          <cell r="V42" t="str">
            <v>CORIHUAMAN SURCO  ERICK ROBERT</v>
          </cell>
        </row>
        <row r="43">
          <cell r="A43">
            <v>16</v>
          </cell>
          <cell r="B43">
            <v>42668</v>
          </cell>
          <cell r="C43" t="str">
            <v>OCTUBRE</v>
          </cell>
          <cell r="D43" t="str">
            <v>2016</v>
          </cell>
          <cell r="E43" t="str">
            <v>S/O</v>
          </cell>
          <cell r="F43" t="str">
            <v>TALLER</v>
          </cell>
          <cell r="G43" t="str">
            <v>TALLER</v>
          </cell>
          <cell r="H43" t="str">
            <v>TALLER</v>
          </cell>
          <cell r="I43">
            <v>0</v>
          </cell>
          <cell r="J43" t="str">
            <v>INSUMO TALLER</v>
          </cell>
          <cell r="K43" t="str">
            <v>BOTELLA DE OXIGENO DE 10 M3</v>
          </cell>
          <cell r="L43">
            <v>2</v>
          </cell>
          <cell r="M43" t="str">
            <v>M3</v>
          </cell>
          <cell r="N43">
            <v>0</v>
          </cell>
          <cell r="O43">
            <v>12</v>
          </cell>
          <cell r="P43" t="str">
            <v>S1</v>
          </cell>
          <cell r="Q43" t="str">
            <v>J2</v>
          </cell>
          <cell r="R43" t="str">
            <v>J6</v>
          </cell>
          <cell r="S43" t="str">
            <v>ENTREGADO</v>
          </cell>
          <cell r="T43">
            <v>42680</v>
          </cell>
          <cell r="U43" t="str">
            <v>BAYONA CRUZ CRISTIAN ARMANDO</v>
          </cell>
          <cell r="V43" t="str">
            <v>CORIHUAMAN SURCO  ERICK ROBERT</v>
          </cell>
        </row>
        <row r="44">
          <cell r="A44">
            <v>22</v>
          </cell>
          <cell r="B44">
            <v>42669</v>
          </cell>
          <cell r="C44" t="str">
            <v>OCTUBRE</v>
          </cell>
          <cell r="D44" t="str">
            <v>2016</v>
          </cell>
          <cell r="E44" t="str">
            <v>S/O</v>
          </cell>
          <cell r="F44" t="str">
            <v>D3P-743</v>
          </cell>
          <cell r="G44" t="str">
            <v>B8L-972</v>
          </cell>
          <cell r="H44" t="str">
            <v>LAS BAMBAS</v>
          </cell>
          <cell r="I44">
            <v>145145</v>
          </cell>
          <cell r="J44" t="str">
            <v>REPUESTO</v>
          </cell>
          <cell r="K44" t="str">
            <v>TANQUE DE EXPANSION</v>
          </cell>
          <cell r="L44">
            <v>1</v>
          </cell>
          <cell r="M44" t="str">
            <v>UNID.</v>
          </cell>
          <cell r="N44">
            <v>0</v>
          </cell>
          <cell r="O44">
            <v>11</v>
          </cell>
          <cell r="P44" t="str">
            <v>J2</v>
          </cell>
          <cell r="Q44" t="str">
            <v>J2</v>
          </cell>
          <cell r="R44" t="str">
            <v>J6</v>
          </cell>
          <cell r="S44" t="str">
            <v>ENTREGADO</v>
          </cell>
          <cell r="T44">
            <v>42680</v>
          </cell>
          <cell r="U44" t="str">
            <v>CORIHUAMAN SURCO  ERICK ROBERT</v>
          </cell>
          <cell r="V44" t="str">
            <v>CORIHUAMAN SURCO  ERICK ROBERT</v>
          </cell>
        </row>
        <row r="45">
          <cell r="A45">
            <v>21</v>
          </cell>
          <cell r="B45">
            <v>42669</v>
          </cell>
          <cell r="C45" t="str">
            <v>OCTUBRE</v>
          </cell>
          <cell r="D45" t="str">
            <v>2016</v>
          </cell>
          <cell r="E45" t="str">
            <v>S/O</v>
          </cell>
          <cell r="F45" t="str">
            <v>D3P-746</v>
          </cell>
          <cell r="G45" t="str">
            <v>C0T-974</v>
          </cell>
          <cell r="H45" t="str">
            <v>LAS BAMBAS</v>
          </cell>
          <cell r="I45">
            <v>128937</v>
          </cell>
          <cell r="J45" t="str">
            <v>REPUESTO</v>
          </cell>
          <cell r="K45" t="str">
            <v>SOMBRERITOS 5/16 X 1 X 1</v>
          </cell>
          <cell r="L45">
            <v>8</v>
          </cell>
          <cell r="M45" t="str">
            <v>UNID.</v>
          </cell>
          <cell r="N45">
            <v>0</v>
          </cell>
          <cell r="O45">
            <v>121</v>
          </cell>
          <cell r="P45" t="str">
            <v>S2</v>
          </cell>
          <cell r="Q45" t="str">
            <v>J2</v>
          </cell>
          <cell r="R45" t="str">
            <v>J6</v>
          </cell>
          <cell r="S45" t="str">
            <v>ENTREGADO</v>
          </cell>
          <cell r="T45">
            <v>0</v>
          </cell>
          <cell r="U45" t="str">
            <v>PALOMINO ESTRADA  MICHEL</v>
          </cell>
          <cell r="V45" t="str">
            <v>CORIHUAMAN SURCO  ERICK ROBERT</v>
          </cell>
        </row>
        <row r="46">
          <cell r="A46">
            <v>20</v>
          </cell>
          <cell r="B46">
            <v>42669</v>
          </cell>
          <cell r="C46" t="str">
            <v>OCTUBRE</v>
          </cell>
          <cell r="D46" t="str">
            <v>2016</v>
          </cell>
          <cell r="E46" t="str">
            <v>S/O</v>
          </cell>
          <cell r="F46" t="str">
            <v>D3P-746</v>
          </cell>
          <cell r="G46" t="str">
            <v>C0T-974</v>
          </cell>
          <cell r="H46" t="str">
            <v>LAS BAMBAS</v>
          </cell>
          <cell r="I46">
            <v>128937</v>
          </cell>
          <cell r="J46" t="str">
            <v>REPUESTO</v>
          </cell>
          <cell r="K46" t="str">
            <v>SOMBRERITOS 5/16 X 1/2 X 1</v>
          </cell>
          <cell r="L46">
            <v>6</v>
          </cell>
          <cell r="M46" t="str">
            <v>UNID.</v>
          </cell>
          <cell r="N46">
            <v>0</v>
          </cell>
          <cell r="O46">
            <v>121</v>
          </cell>
          <cell r="P46" t="str">
            <v>S2</v>
          </cell>
          <cell r="Q46" t="str">
            <v>J2</v>
          </cell>
          <cell r="R46" t="str">
            <v>J6</v>
          </cell>
          <cell r="S46" t="str">
            <v>ENTREGADO</v>
          </cell>
          <cell r="T46">
            <v>0</v>
          </cell>
          <cell r="U46" t="str">
            <v>PALOMINO ESTRADA  MICHEL</v>
          </cell>
          <cell r="V46" t="str">
            <v>CORIHUAMAN SURCO  ERICK ROBERT</v>
          </cell>
        </row>
        <row r="47">
          <cell r="A47">
            <v>25</v>
          </cell>
          <cell r="B47">
            <v>42670</v>
          </cell>
          <cell r="C47" t="str">
            <v>OCTUBRE</v>
          </cell>
          <cell r="D47" t="str">
            <v>2016</v>
          </cell>
          <cell r="E47" t="str">
            <v>S/O</v>
          </cell>
          <cell r="F47" t="str">
            <v>ABP-729</v>
          </cell>
          <cell r="G47" t="str">
            <v>D8K-985</v>
          </cell>
          <cell r="H47" t="str">
            <v>LAS BAMBAS</v>
          </cell>
          <cell r="I47">
            <v>103433</v>
          </cell>
          <cell r="J47" t="str">
            <v>SERVICIO</v>
          </cell>
          <cell r="K47" t="str">
            <v>SERVICIO DE REPARACION DE TAPABARRO DELANTERO IZQUIERDO Y DERECHO</v>
          </cell>
          <cell r="L47">
            <v>1</v>
          </cell>
          <cell r="M47" t="str">
            <v>UNID.</v>
          </cell>
          <cell r="N47">
            <v>0</v>
          </cell>
          <cell r="O47">
            <v>10</v>
          </cell>
          <cell r="P47" t="str">
            <v>J2</v>
          </cell>
          <cell r="Q47" t="str">
            <v>J2</v>
          </cell>
          <cell r="R47" t="str">
            <v>J6</v>
          </cell>
          <cell r="S47" t="str">
            <v>ENTREGADO</v>
          </cell>
          <cell r="T47">
            <v>42680</v>
          </cell>
          <cell r="U47" t="str">
            <v>CORIHUAMAN SURCO  ERICK ROBERT</v>
          </cell>
          <cell r="V47" t="str">
            <v>CORIHUAMAN SURCO  ERICK ROBERT</v>
          </cell>
        </row>
        <row r="48">
          <cell r="A48">
            <v>24</v>
          </cell>
          <cell r="B48">
            <v>42670</v>
          </cell>
          <cell r="C48" t="str">
            <v>OCTUBRE</v>
          </cell>
          <cell r="D48" t="str">
            <v>2016</v>
          </cell>
          <cell r="E48" t="str">
            <v>S/O</v>
          </cell>
          <cell r="F48" t="str">
            <v>ABP-783</v>
          </cell>
          <cell r="G48" t="str">
            <v>C9S-988</v>
          </cell>
          <cell r="H48" t="str">
            <v>LAS BAMBAS</v>
          </cell>
          <cell r="I48">
            <v>118899</v>
          </cell>
          <cell r="J48" t="str">
            <v>SERVICIO</v>
          </cell>
          <cell r="K48" t="str">
            <v>SERVICIO DE REPARACION DE FARO DELANTERO</v>
          </cell>
          <cell r="L48">
            <v>1</v>
          </cell>
          <cell r="M48" t="str">
            <v>UNID.</v>
          </cell>
          <cell r="N48">
            <v>0</v>
          </cell>
          <cell r="O48">
            <v>10</v>
          </cell>
          <cell r="P48" t="str">
            <v>J2</v>
          </cell>
          <cell r="Q48" t="str">
            <v>J2</v>
          </cell>
          <cell r="R48" t="str">
            <v>J6</v>
          </cell>
          <cell r="S48" t="str">
            <v>ENTREGADO</v>
          </cell>
          <cell r="T48">
            <v>42680</v>
          </cell>
          <cell r="U48" t="str">
            <v>CORIHUAMAN SURCO  ERICK ROBERT</v>
          </cell>
          <cell r="V48" t="str">
            <v>CORIHUAMAN SURCO  ERICK ROBERT</v>
          </cell>
        </row>
        <row r="49">
          <cell r="A49">
            <v>23</v>
          </cell>
          <cell r="B49">
            <v>42670</v>
          </cell>
          <cell r="C49" t="str">
            <v>OCTUBRE</v>
          </cell>
          <cell r="D49" t="str">
            <v>2016</v>
          </cell>
          <cell r="E49" t="str">
            <v>S/O</v>
          </cell>
          <cell r="F49" t="str">
            <v>ABQ-780</v>
          </cell>
          <cell r="G49" t="str">
            <v>C9S-990</v>
          </cell>
          <cell r="H49" t="str">
            <v>LAS BAMBAS</v>
          </cell>
          <cell r="I49">
            <v>109959</v>
          </cell>
          <cell r="J49" t="str">
            <v>SERVICIO</v>
          </cell>
          <cell r="K49" t="str">
            <v>SERVICIO DE REPARACION DE FARO DELANTERO</v>
          </cell>
          <cell r="L49">
            <v>1</v>
          </cell>
          <cell r="M49" t="str">
            <v>UNID.</v>
          </cell>
          <cell r="N49">
            <v>0</v>
          </cell>
          <cell r="O49">
            <v>10</v>
          </cell>
          <cell r="P49" t="str">
            <v>J2</v>
          </cell>
          <cell r="Q49" t="str">
            <v>J2</v>
          </cell>
          <cell r="R49" t="str">
            <v>J6</v>
          </cell>
          <cell r="S49" t="str">
            <v>ENTREGADO</v>
          </cell>
          <cell r="T49">
            <v>42680</v>
          </cell>
          <cell r="U49" t="str">
            <v>CORIHUAMAN SURCO  ERICK ROBERT</v>
          </cell>
          <cell r="V49" t="str">
            <v>CORIHUAMAN SURCO  ERICK ROBERT</v>
          </cell>
        </row>
        <row r="50">
          <cell r="A50">
            <v>26</v>
          </cell>
          <cell r="B50">
            <v>42670</v>
          </cell>
          <cell r="C50" t="str">
            <v>OCTUBRE</v>
          </cell>
          <cell r="D50" t="str">
            <v>2016</v>
          </cell>
          <cell r="E50" t="str">
            <v>S/O</v>
          </cell>
          <cell r="F50" t="str">
            <v>B2M-948</v>
          </cell>
          <cell r="G50" t="str">
            <v>CAMION</v>
          </cell>
          <cell r="H50" t="str">
            <v>TAMBOMAYO</v>
          </cell>
          <cell r="I50">
            <v>112391</v>
          </cell>
          <cell r="J50" t="str">
            <v>REPUESTO</v>
          </cell>
          <cell r="K50" t="str">
            <v>TUERCA SE SEGURO (SEGÚN MUESTRA)</v>
          </cell>
          <cell r="L50">
            <v>1</v>
          </cell>
          <cell r="M50" t="str">
            <v>UNID.</v>
          </cell>
          <cell r="N50">
            <v>0</v>
          </cell>
          <cell r="O50">
            <v>10</v>
          </cell>
          <cell r="P50" t="str">
            <v>M5</v>
          </cell>
          <cell r="Q50" t="str">
            <v>J2</v>
          </cell>
          <cell r="R50" t="str">
            <v>J6</v>
          </cell>
          <cell r="S50" t="str">
            <v>ENTREGADO</v>
          </cell>
          <cell r="T50">
            <v>42680</v>
          </cell>
          <cell r="U50" t="str">
            <v>LOPEZ RUIZ WILBERTO</v>
          </cell>
          <cell r="V50" t="str">
            <v>CORIHUAMAN SURCO  ERICK ROBERT</v>
          </cell>
        </row>
        <row r="51">
          <cell r="A51">
            <v>27</v>
          </cell>
          <cell r="B51">
            <v>42671</v>
          </cell>
          <cell r="C51" t="str">
            <v>OCTUBRE</v>
          </cell>
          <cell r="D51" t="str">
            <v>2016</v>
          </cell>
          <cell r="E51" t="str">
            <v>S/O</v>
          </cell>
          <cell r="F51" t="str">
            <v>TALLER</v>
          </cell>
          <cell r="G51" t="str">
            <v>TALLER</v>
          </cell>
          <cell r="H51" t="str">
            <v>TALLER</v>
          </cell>
          <cell r="I51">
            <v>0</v>
          </cell>
          <cell r="J51" t="str">
            <v>HERRAMIENTAS</v>
          </cell>
          <cell r="K51" t="str">
            <v>COMBO DE 6 LIBRAS</v>
          </cell>
          <cell r="L51">
            <v>2</v>
          </cell>
          <cell r="M51" t="str">
            <v>UNID.</v>
          </cell>
          <cell r="N51">
            <v>0</v>
          </cell>
          <cell r="O51">
            <v>9</v>
          </cell>
          <cell r="P51" t="str">
            <v>J2</v>
          </cell>
          <cell r="Q51" t="str">
            <v>J2</v>
          </cell>
          <cell r="R51" t="str">
            <v>J6</v>
          </cell>
          <cell r="S51" t="str">
            <v>ENTREGADO</v>
          </cell>
          <cell r="T51">
            <v>42680</v>
          </cell>
          <cell r="U51" t="str">
            <v>CORIHUAMAN SURCO  ERICK ROBERT</v>
          </cell>
          <cell r="V51" t="str">
            <v>CORIHUAMAN SURCO  ERICK ROBERT</v>
          </cell>
        </row>
        <row r="52">
          <cell r="A52">
            <v>28</v>
          </cell>
          <cell r="B52">
            <v>42671</v>
          </cell>
          <cell r="C52" t="str">
            <v>OCTUBRE</v>
          </cell>
          <cell r="D52" t="str">
            <v>2016</v>
          </cell>
          <cell r="E52" t="str">
            <v>S/O</v>
          </cell>
          <cell r="F52" t="str">
            <v>TALLER</v>
          </cell>
          <cell r="G52" t="str">
            <v>TALLER</v>
          </cell>
          <cell r="H52" t="str">
            <v>TALLER</v>
          </cell>
          <cell r="I52">
            <v>0</v>
          </cell>
          <cell r="J52" t="str">
            <v>HERRAMIENTAS</v>
          </cell>
          <cell r="K52" t="str">
            <v>COMBO DE 15 LIBRAS</v>
          </cell>
          <cell r="L52">
            <v>2</v>
          </cell>
          <cell r="M52" t="str">
            <v>UNID.</v>
          </cell>
          <cell r="N52">
            <v>0</v>
          </cell>
          <cell r="O52">
            <v>9</v>
          </cell>
          <cell r="P52" t="str">
            <v>J2</v>
          </cell>
          <cell r="Q52" t="str">
            <v>J2</v>
          </cell>
          <cell r="R52" t="str">
            <v>J6</v>
          </cell>
          <cell r="S52" t="str">
            <v>ENTREGADO</v>
          </cell>
          <cell r="T52">
            <v>42680</v>
          </cell>
          <cell r="U52" t="str">
            <v>CORIHUAMAN SURCO  ERICK ROBERT</v>
          </cell>
          <cell r="V52" t="str">
            <v>CORIHUAMAN SURCO  ERICK ROBERT</v>
          </cell>
        </row>
        <row r="53">
          <cell r="A53">
            <v>29</v>
          </cell>
          <cell r="B53">
            <v>42671</v>
          </cell>
          <cell r="C53" t="str">
            <v>OCTUBRE</v>
          </cell>
          <cell r="D53" t="str">
            <v>2016</v>
          </cell>
          <cell r="E53" t="str">
            <v>S/O</v>
          </cell>
          <cell r="F53" t="str">
            <v>TALLER</v>
          </cell>
          <cell r="G53" t="str">
            <v>TALLER</v>
          </cell>
          <cell r="H53" t="str">
            <v>TALLER</v>
          </cell>
          <cell r="I53">
            <v>0</v>
          </cell>
          <cell r="J53" t="str">
            <v>HERRAMIENTAS</v>
          </cell>
          <cell r="K53" t="str">
            <v>COMBO DE 12 LIBRAS</v>
          </cell>
          <cell r="L53">
            <v>1</v>
          </cell>
          <cell r="M53" t="str">
            <v>UNID.</v>
          </cell>
          <cell r="N53">
            <v>0</v>
          </cell>
          <cell r="O53">
            <v>9</v>
          </cell>
          <cell r="P53" t="str">
            <v>J2</v>
          </cell>
          <cell r="Q53" t="str">
            <v>J2</v>
          </cell>
          <cell r="R53" t="str">
            <v>J6</v>
          </cell>
          <cell r="S53" t="str">
            <v>ENTREGADO</v>
          </cell>
          <cell r="T53">
            <v>42680</v>
          </cell>
          <cell r="U53" t="str">
            <v>CORIHUAMAN SURCO  ERICK ROBERT</v>
          </cell>
          <cell r="V53" t="str">
            <v>CORIHUAMAN SURCO  ERICK ROBERT</v>
          </cell>
        </row>
        <row r="54">
          <cell r="A54">
            <v>32</v>
          </cell>
          <cell r="B54">
            <v>42672</v>
          </cell>
          <cell r="C54" t="str">
            <v>OCTUBRE</v>
          </cell>
          <cell r="D54" t="str">
            <v>2016</v>
          </cell>
          <cell r="E54" t="str">
            <v>S/O</v>
          </cell>
          <cell r="F54" t="str">
            <v>C9M-902</v>
          </cell>
          <cell r="G54" t="str">
            <v>B8L-970</v>
          </cell>
          <cell r="H54" t="str">
            <v>LAS BAMBAS</v>
          </cell>
          <cell r="I54">
            <v>203210</v>
          </cell>
          <cell r="J54" t="str">
            <v>REPUESTO</v>
          </cell>
          <cell r="K54" t="str">
            <v>ELECTRO VALVULA DE VENTILADOR</v>
          </cell>
          <cell r="L54">
            <v>1</v>
          </cell>
          <cell r="M54" t="str">
            <v>UNID.</v>
          </cell>
          <cell r="N54">
            <v>0</v>
          </cell>
          <cell r="O54">
            <v>8</v>
          </cell>
          <cell r="P54" t="str">
            <v>M3</v>
          </cell>
          <cell r="Q54" t="str">
            <v>J1</v>
          </cell>
          <cell r="R54" t="str">
            <v>J6</v>
          </cell>
          <cell r="S54" t="str">
            <v>ENTREGADO</v>
          </cell>
          <cell r="T54">
            <v>42680</v>
          </cell>
          <cell r="U54" t="str">
            <v>GARCIA PASQUEL  JOSE LUIS</v>
          </cell>
          <cell r="V54" t="str">
            <v>FLOREZ CONDORI  JOSE WILLIANS</v>
          </cell>
        </row>
        <row r="55">
          <cell r="A55">
            <v>33</v>
          </cell>
          <cell r="B55">
            <v>42672</v>
          </cell>
          <cell r="C55" t="str">
            <v>OCTUBRE</v>
          </cell>
          <cell r="D55" t="str">
            <v>2016</v>
          </cell>
          <cell r="E55" t="str">
            <v>S/O</v>
          </cell>
          <cell r="F55" t="str">
            <v>C9M-902</v>
          </cell>
          <cell r="G55" t="str">
            <v>B8L-970</v>
          </cell>
          <cell r="H55" t="str">
            <v>LAS BAMBAS</v>
          </cell>
          <cell r="I55">
            <v>203210</v>
          </cell>
          <cell r="J55" t="str">
            <v>REPUESTO</v>
          </cell>
          <cell r="K55" t="str">
            <v>MANGUERA CODO RADIADOR</v>
          </cell>
          <cell r="L55">
            <v>1</v>
          </cell>
          <cell r="M55" t="str">
            <v>UNID.</v>
          </cell>
          <cell r="N55">
            <v>0</v>
          </cell>
          <cell r="O55">
            <v>8</v>
          </cell>
          <cell r="P55" t="str">
            <v>M3</v>
          </cell>
          <cell r="Q55" t="str">
            <v>J1</v>
          </cell>
          <cell r="R55" t="str">
            <v>J6</v>
          </cell>
          <cell r="S55" t="str">
            <v>ENTREGADO</v>
          </cell>
          <cell r="T55">
            <v>42680</v>
          </cell>
          <cell r="U55" t="str">
            <v>GARCIA PASQUEL  JOSE LUIS</v>
          </cell>
          <cell r="V55" t="str">
            <v>FLOREZ CONDORI  JOSE WILLIANS</v>
          </cell>
        </row>
        <row r="56">
          <cell r="A56">
            <v>30</v>
          </cell>
          <cell r="B56">
            <v>42672</v>
          </cell>
          <cell r="C56" t="str">
            <v>OCTUBRE</v>
          </cell>
          <cell r="D56" t="str">
            <v>2016</v>
          </cell>
          <cell r="E56" t="str">
            <v>S/O</v>
          </cell>
          <cell r="F56" t="str">
            <v>D3P-746</v>
          </cell>
          <cell r="G56" t="str">
            <v>C0T-974</v>
          </cell>
          <cell r="H56" t="str">
            <v>LAS BAMBAS</v>
          </cell>
          <cell r="I56">
            <v>0</v>
          </cell>
          <cell r="J56" t="str">
            <v>HERRAMIENTAS</v>
          </cell>
          <cell r="K56" t="str">
            <v>TUBO PARA PERNO DE MULTIPLE DE ESCAPE</v>
          </cell>
          <cell r="L56">
            <v>1</v>
          </cell>
          <cell r="M56" t="str">
            <v>UNID.</v>
          </cell>
          <cell r="N56">
            <v>0</v>
          </cell>
          <cell r="O56">
            <v>118</v>
          </cell>
          <cell r="P56" t="str">
            <v>M7</v>
          </cell>
          <cell r="Q56" t="str">
            <v>J1</v>
          </cell>
          <cell r="R56" t="str">
            <v>J6</v>
          </cell>
          <cell r="S56" t="str">
            <v>PENDIENTE</v>
          </cell>
          <cell r="T56">
            <v>0</v>
          </cell>
          <cell r="U56" t="str">
            <v>ROBLES ROJAS  JOSE MIGUEL</v>
          </cell>
          <cell r="V56" t="str">
            <v>FLOREZ CONDORI  JOSE WILLIANS</v>
          </cell>
        </row>
        <row r="57">
          <cell r="A57">
            <v>31</v>
          </cell>
          <cell r="B57">
            <v>42672</v>
          </cell>
          <cell r="C57" t="str">
            <v>OCTUBRE</v>
          </cell>
          <cell r="D57" t="str">
            <v>2016</v>
          </cell>
          <cell r="E57" t="str">
            <v>S/O</v>
          </cell>
          <cell r="F57" t="str">
            <v>D6G-806</v>
          </cell>
          <cell r="G57" t="str">
            <v>B8K-998</v>
          </cell>
          <cell r="H57" t="str">
            <v>LAS BAMBAS</v>
          </cell>
          <cell r="I57">
            <v>0</v>
          </cell>
          <cell r="J57" t="str">
            <v>SERVICIO</v>
          </cell>
          <cell r="K57" t="str">
            <v>SERVICIO DE ENFIBRADO DE GUARDAFANGO NEGRO, LADO IZQUIERDO</v>
          </cell>
          <cell r="L57">
            <v>1</v>
          </cell>
          <cell r="M57" t="str">
            <v>UNID.</v>
          </cell>
          <cell r="N57">
            <v>0</v>
          </cell>
          <cell r="O57">
            <v>8</v>
          </cell>
          <cell r="P57">
            <v>0</v>
          </cell>
          <cell r="Q57" t="str">
            <v>J1</v>
          </cell>
          <cell r="R57" t="str">
            <v>J6</v>
          </cell>
          <cell r="S57" t="str">
            <v>ENTREGADO</v>
          </cell>
          <cell r="T57">
            <v>42680</v>
          </cell>
          <cell r="U57" t="str">
            <v/>
          </cell>
          <cell r="V57" t="str">
            <v>FLOREZ CONDORI  JOSE WILLIANS</v>
          </cell>
        </row>
        <row r="58">
          <cell r="A58">
            <v>40</v>
          </cell>
          <cell r="B58">
            <v>42673</v>
          </cell>
          <cell r="C58" t="str">
            <v>OCTUBRE</v>
          </cell>
          <cell r="D58" t="str">
            <v>2016</v>
          </cell>
          <cell r="E58" t="str">
            <v>S/O</v>
          </cell>
          <cell r="F58" t="str">
            <v>B2M-948</v>
          </cell>
          <cell r="G58" t="str">
            <v>CAMION</v>
          </cell>
          <cell r="H58" t="str">
            <v>TAMBOMAYO</v>
          </cell>
          <cell r="I58">
            <v>0</v>
          </cell>
          <cell r="J58" t="str">
            <v>REPUESTO</v>
          </cell>
          <cell r="K58" t="str">
            <v>MANGUERA DE 1/2</v>
          </cell>
          <cell r="L58">
            <v>6</v>
          </cell>
          <cell r="M58" t="str">
            <v>UNID.</v>
          </cell>
          <cell r="N58">
            <v>0</v>
          </cell>
          <cell r="O58">
            <v>7</v>
          </cell>
          <cell r="P58" t="str">
            <v>M5</v>
          </cell>
          <cell r="Q58" t="str">
            <v>J1</v>
          </cell>
          <cell r="R58" t="str">
            <v>J6</v>
          </cell>
          <cell r="S58" t="str">
            <v>ENTREGADO</v>
          </cell>
          <cell r="T58">
            <v>42680</v>
          </cell>
          <cell r="U58" t="str">
            <v>LOPEZ RUIZ WILBERTO</v>
          </cell>
          <cell r="V58" t="str">
            <v>FLOREZ CONDORI  JOSE WILLIANS</v>
          </cell>
        </row>
        <row r="59">
          <cell r="A59">
            <v>41</v>
          </cell>
          <cell r="B59">
            <v>42673</v>
          </cell>
          <cell r="C59" t="str">
            <v>OCTUBRE</v>
          </cell>
          <cell r="D59" t="str">
            <v>2016</v>
          </cell>
          <cell r="E59" t="str">
            <v>S/O</v>
          </cell>
          <cell r="F59" t="str">
            <v>B2M-948</v>
          </cell>
          <cell r="G59" t="str">
            <v>CAMION</v>
          </cell>
          <cell r="H59" t="str">
            <v>TAMBOMAYO</v>
          </cell>
          <cell r="I59">
            <v>0</v>
          </cell>
          <cell r="J59" t="str">
            <v>REPUESTO</v>
          </cell>
          <cell r="K59" t="str">
            <v>UNIONES CON TUERCA CONOS Y GUIAS</v>
          </cell>
          <cell r="L59">
            <v>4</v>
          </cell>
          <cell r="M59" t="str">
            <v>UNID.</v>
          </cell>
          <cell r="N59">
            <v>0</v>
          </cell>
          <cell r="O59">
            <v>7</v>
          </cell>
          <cell r="P59" t="str">
            <v>M5</v>
          </cell>
          <cell r="Q59" t="str">
            <v>J1</v>
          </cell>
          <cell r="R59" t="str">
            <v>J6</v>
          </cell>
          <cell r="S59" t="str">
            <v>ENTREGADO</v>
          </cell>
          <cell r="T59">
            <v>42680</v>
          </cell>
          <cell r="U59" t="str">
            <v>LOPEZ RUIZ WILBERTO</v>
          </cell>
          <cell r="V59" t="str">
            <v>FLOREZ CONDORI  JOSE WILLIANS</v>
          </cell>
        </row>
        <row r="60">
          <cell r="A60">
            <v>42</v>
          </cell>
          <cell r="B60">
            <v>42673</v>
          </cell>
          <cell r="C60" t="str">
            <v>OCTUBRE</v>
          </cell>
          <cell r="D60" t="str">
            <v>2016</v>
          </cell>
          <cell r="E60" t="str">
            <v>S/O</v>
          </cell>
          <cell r="F60" t="str">
            <v>B2M-948</v>
          </cell>
          <cell r="G60" t="str">
            <v>CAMION</v>
          </cell>
          <cell r="H60" t="str">
            <v>TAMBOMAYO</v>
          </cell>
          <cell r="I60">
            <v>0</v>
          </cell>
          <cell r="J60" t="str">
            <v>REPUESTO</v>
          </cell>
          <cell r="K60" t="str">
            <v>PONCHOS DE BARRA DE DIRECCION</v>
          </cell>
          <cell r="L60">
            <v>2</v>
          </cell>
          <cell r="M60" t="str">
            <v>UNID.</v>
          </cell>
          <cell r="N60">
            <v>0</v>
          </cell>
          <cell r="O60">
            <v>117</v>
          </cell>
          <cell r="P60" t="str">
            <v>M5</v>
          </cell>
          <cell r="Q60" t="str">
            <v>J1</v>
          </cell>
          <cell r="R60" t="str">
            <v>J6</v>
          </cell>
          <cell r="S60" t="str">
            <v>ENTREGADO</v>
          </cell>
          <cell r="T60">
            <v>0</v>
          </cell>
          <cell r="U60" t="str">
            <v>LOPEZ RUIZ WILBERTO</v>
          </cell>
          <cell r="V60" t="str">
            <v>FLOREZ CONDORI  JOSE WILLIANS</v>
          </cell>
        </row>
        <row r="61">
          <cell r="A61">
            <v>34</v>
          </cell>
          <cell r="B61">
            <v>42673</v>
          </cell>
          <cell r="C61" t="str">
            <v>OCTUBRE</v>
          </cell>
          <cell r="D61" t="str">
            <v>2016</v>
          </cell>
          <cell r="E61" t="str">
            <v>S/O</v>
          </cell>
          <cell r="F61" t="str">
            <v>C5R-899</v>
          </cell>
          <cell r="G61" t="str">
            <v>A0U-978</v>
          </cell>
          <cell r="H61" t="str">
            <v>LAS BAMBAS</v>
          </cell>
          <cell r="I61">
            <v>246072</v>
          </cell>
          <cell r="J61" t="str">
            <v>REPUESTO</v>
          </cell>
          <cell r="K61" t="str">
            <v>FAJA ALTERNADOR</v>
          </cell>
          <cell r="L61">
            <v>1</v>
          </cell>
          <cell r="M61" t="str">
            <v>UNID.</v>
          </cell>
          <cell r="N61">
            <v>0</v>
          </cell>
          <cell r="O61">
            <v>7</v>
          </cell>
          <cell r="P61" t="str">
            <v>M5</v>
          </cell>
          <cell r="Q61" t="str">
            <v>J1</v>
          </cell>
          <cell r="R61" t="str">
            <v>J6</v>
          </cell>
          <cell r="S61" t="str">
            <v>ENTREGADO</v>
          </cell>
          <cell r="T61">
            <v>42680</v>
          </cell>
          <cell r="U61" t="str">
            <v>LOPEZ RUIZ WILBERTO</v>
          </cell>
          <cell r="V61" t="str">
            <v>FLOREZ CONDORI  JOSE WILLIANS</v>
          </cell>
        </row>
        <row r="62">
          <cell r="A62">
            <v>39</v>
          </cell>
          <cell r="B62">
            <v>42673</v>
          </cell>
          <cell r="C62" t="str">
            <v>OCTUBRE</v>
          </cell>
          <cell r="D62" t="str">
            <v>2016</v>
          </cell>
          <cell r="E62" t="str">
            <v>S/O</v>
          </cell>
          <cell r="F62" t="str">
            <v>C6X-739</v>
          </cell>
          <cell r="G62" t="str">
            <v>TCS-988</v>
          </cell>
          <cell r="H62" t="str">
            <v>LAS BAMBAS CONC.</v>
          </cell>
          <cell r="I62">
            <v>222108</v>
          </cell>
          <cell r="J62" t="str">
            <v>REPUESTO</v>
          </cell>
          <cell r="K62" t="str">
            <v>VALVULA DE APERTURA Y CIERRE DE TOLVA</v>
          </cell>
          <cell r="L62">
            <v>1</v>
          </cell>
          <cell r="M62" t="str">
            <v>UNID.</v>
          </cell>
          <cell r="N62">
            <v>0</v>
          </cell>
          <cell r="O62">
            <v>7</v>
          </cell>
          <cell r="P62" t="str">
            <v>M2</v>
          </cell>
          <cell r="Q62" t="str">
            <v>J1</v>
          </cell>
          <cell r="R62" t="str">
            <v>J6</v>
          </cell>
          <cell r="S62" t="str">
            <v>ENTREGADO</v>
          </cell>
          <cell r="T62">
            <v>42680</v>
          </cell>
          <cell r="U62" t="str">
            <v>CHUMPITAZ GAGO JULIO ENRIQUE</v>
          </cell>
          <cell r="V62" t="str">
            <v>FLOREZ CONDORI  JOSE WILLIANS</v>
          </cell>
        </row>
        <row r="63">
          <cell r="A63">
            <v>37</v>
          </cell>
          <cell r="B63">
            <v>42673</v>
          </cell>
          <cell r="C63" t="str">
            <v>OCTUBRE</v>
          </cell>
          <cell r="D63" t="str">
            <v>2016</v>
          </cell>
          <cell r="E63" t="str">
            <v>S/O</v>
          </cell>
          <cell r="F63" t="str">
            <v>D3R-791</v>
          </cell>
          <cell r="G63" t="str">
            <v>B1M-993</v>
          </cell>
          <cell r="H63" t="str">
            <v>LAS BAMBAS</v>
          </cell>
          <cell r="I63">
            <v>134255</v>
          </cell>
          <cell r="J63" t="str">
            <v>REPUESTO</v>
          </cell>
          <cell r="K63" t="str">
            <v>VALVULA DE PEDAL DE FRENO</v>
          </cell>
          <cell r="L63">
            <v>1</v>
          </cell>
          <cell r="M63" t="str">
            <v>UNID.</v>
          </cell>
          <cell r="N63">
            <v>0</v>
          </cell>
          <cell r="O63">
            <v>7</v>
          </cell>
          <cell r="P63" t="str">
            <v>M2</v>
          </cell>
          <cell r="Q63" t="str">
            <v>J1</v>
          </cell>
          <cell r="R63" t="str">
            <v>J6</v>
          </cell>
          <cell r="S63" t="str">
            <v>ENTREGADO</v>
          </cell>
          <cell r="T63">
            <v>42680</v>
          </cell>
          <cell r="U63" t="str">
            <v>CHUMPITAZ GAGO JULIO ENRIQUE</v>
          </cell>
          <cell r="V63" t="str">
            <v>FLOREZ CONDORI  JOSE WILLIANS</v>
          </cell>
        </row>
        <row r="64">
          <cell r="A64">
            <v>36</v>
          </cell>
          <cell r="B64">
            <v>42673</v>
          </cell>
          <cell r="C64" t="str">
            <v>OCTUBRE</v>
          </cell>
          <cell r="D64" t="str">
            <v>2016</v>
          </cell>
          <cell r="E64" t="str">
            <v>S/O</v>
          </cell>
          <cell r="F64" t="str">
            <v>D3S-767</v>
          </cell>
          <cell r="G64" t="str">
            <v>B8L-973</v>
          </cell>
          <cell r="H64" t="str">
            <v>LAS BAMBAS</v>
          </cell>
          <cell r="I64">
            <v>180263</v>
          </cell>
          <cell r="J64" t="str">
            <v>REPUESTO</v>
          </cell>
          <cell r="K64" t="str">
            <v>MAXIBRAKE TRACTO</v>
          </cell>
          <cell r="L64">
            <v>1</v>
          </cell>
          <cell r="M64" t="str">
            <v>UNID.</v>
          </cell>
          <cell r="N64">
            <v>0</v>
          </cell>
          <cell r="O64">
            <v>7</v>
          </cell>
          <cell r="P64" t="str">
            <v>M8</v>
          </cell>
          <cell r="Q64" t="str">
            <v>J1</v>
          </cell>
          <cell r="R64" t="str">
            <v>J6</v>
          </cell>
          <cell r="S64" t="str">
            <v>ENTREGADO</v>
          </cell>
          <cell r="T64">
            <v>42680</v>
          </cell>
          <cell r="U64" t="str">
            <v>VARILLAS GAGO  OSCAR ALBERTO</v>
          </cell>
          <cell r="V64" t="str">
            <v>FLOREZ CONDORI  JOSE WILLIANS</v>
          </cell>
        </row>
        <row r="65">
          <cell r="A65">
            <v>35</v>
          </cell>
          <cell r="B65">
            <v>42673</v>
          </cell>
          <cell r="C65" t="str">
            <v>OCTUBRE</v>
          </cell>
          <cell r="D65" t="str">
            <v>2016</v>
          </cell>
          <cell r="E65" t="str">
            <v>S/O</v>
          </cell>
          <cell r="F65" t="str">
            <v>D3S-767</v>
          </cell>
          <cell r="G65" t="str">
            <v>B8L-973</v>
          </cell>
          <cell r="H65" t="str">
            <v>LAS BAMBAS</v>
          </cell>
          <cell r="I65">
            <v>180263</v>
          </cell>
          <cell r="J65" t="str">
            <v>REPUESTO</v>
          </cell>
          <cell r="K65" t="str">
            <v>TANQUE  DE EXPANSION DE REFRIGERANTE</v>
          </cell>
          <cell r="L65">
            <v>1</v>
          </cell>
          <cell r="M65" t="str">
            <v>UNID.</v>
          </cell>
          <cell r="N65">
            <v>0</v>
          </cell>
          <cell r="O65">
            <v>7</v>
          </cell>
          <cell r="P65" t="str">
            <v>M8</v>
          </cell>
          <cell r="Q65" t="str">
            <v>J1</v>
          </cell>
          <cell r="R65" t="str">
            <v>J6</v>
          </cell>
          <cell r="S65" t="str">
            <v>ENTREGADO</v>
          </cell>
          <cell r="T65">
            <v>42680</v>
          </cell>
          <cell r="U65" t="str">
            <v>VARILLAS GAGO  OSCAR ALBERTO</v>
          </cell>
          <cell r="V65" t="str">
            <v>FLOREZ CONDORI  JOSE WILLIANS</v>
          </cell>
        </row>
        <row r="66">
          <cell r="A66">
            <v>38</v>
          </cell>
          <cell r="B66">
            <v>42673</v>
          </cell>
          <cell r="C66" t="str">
            <v>OCTUBRE</v>
          </cell>
          <cell r="D66" t="str">
            <v>2016</v>
          </cell>
          <cell r="E66" t="str">
            <v>S/O</v>
          </cell>
          <cell r="F66" t="str">
            <v>D6F-898</v>
          </cell>
          <cell r="G66" t="str">
            <v>T4L-996</v>
          </cell>
          <cell r="H66" t="str">
            <v>LAS BAMBAS</v>
          </cell>
          <cell r="I66">
            <v>160058</v>
          </cell>
          <cell r="J66" t="str">
            <v>REPUESTO</v>
          </cell>
          <cell r="K66" t="str">
            <v xml:space="preserve">FARO DELANTERO IZQUIERDO COMPLETO </v>
          </cell>
          <cell r="L66">
            <v>1</v>
          </cell>
          <cell r="M66" t="str">
            <v>UNID.</v>
          </cell>
          <cell r="N66">
            <v>0</v>
          </cell>
          <cell r="O66">
            <v>117</v>
          </cell>
          <cell r="P66" t="str">
            <v>E1</v>
          </cell>
          <cell r="Q66" t="str">
            <v>J1</v>
          </cell>
          <cell r="R66" t="str">
            <v>J6</v>
          </cell>
          <cell r="S66" t="str">
            <v>PENDIENTE</v>
          </cell>
          <cell r="T66">
            <v>0</v>
          </cell>
          <cell r="U66" t="str">
            <v>PALOMINO CARDENAS JUAN CARLOS</v>
          </cell>
          <cell r="V66" t="str">
            <v>FLOREZ CONDORI  JOSE WILLIANS</v>
          </cell>
        </row>
        <row r="67">
          <cell r="A67">
            <v>45</v>
          </cell>
          <cell r="B67">
            <v>42674</v>
          </cell>
          <cell r="C67" t="str">
            <v>OCTUBRE</v>
          </cell>
          <cell r="D67" t="str">
            <v>2016</v>
          </cell>
          <cell r="E67" t="str">
            <v>S/O</v>
          </cell>
          <cell r="F67" t="str">
            <v>A9H-889</v>
          </cell>
          <cell r="G67" t="str">
            <v>CAMION</v>
          </cell>
          <cell r="H67" t="str">
            <v>TAMBOMAYO</v>
          </cell>
          <cell r="I67">
            <v>117744</v>
          </cell>
          <cell r="J67" t="str">
            <v>REPUESTO</v>
          </cell>
          <cell r="K67" t="str">
            <v>FAROS NEBLINEROS (MEDIANOS PARA HINO)</v>
          </cell>
          <cell r="L67">
            <v>2</v>
          </cell>
          <cell r="M67" t="str">
            <v>UNID.</v>
          </cell>
          <cell r="N67">
            <v>0</v>
          </cell>
          <cell r="O67">
            <v>116</v>
          </cell>
          <cell r="P67" t="str">
            <v>E1</v>
          </cell>
          <cell r="Q67" t="str">
            <v>J2</v>
          </cell>
          <cell r="R67" t="str">
            <v>J6</v>
          </cell>
          <cell r="S67" t="str">
            <v>PENDIENTE</v>
          </cell>
          <cell r="T67">
            <v>0</v>
          </cell>
          <cell r="U67" t="str">
            <v>PALOMINO CARDENAS JUAN CARLOS</v>
          </cell>
          <cell r="V67" t="str">
            <v>CORIHUAMAN SURCO  ERICK ROBERT</v>
          </cell>
        </row>
        <row r="68">
          <cell r="A68">
            <v>58</v>
          </cell>
          <cell r="B68">
            <v>42674</v>
          </cell>
          <cell r="C68" t="str">
            <v>OCTUBRE</v>
          </cell>
          <cell r="D68" t="str">
            <v>2016</v>
          </cell>
          <cell r="E68" t="str">
            <v>S/O</v>
          </cell>
          <cell r="F68" t="str">
            <v>AKW-860</v>
          </cell>
          <cell r="G68" t="str">
            <v>F5Z-991</v>
          </cell>
          <cell r="H68" t="str">
            <v>LAS BAMBAS</v>
          </cell>
          <cell r="I68">
            <v>0</v>
          </cell>
          <cell r="J68" t="str">
            <v>SERVICIO</v>
          </cell>
          <cell r="K68" t="str">
            <v>SERVICIO DE CORTE Y DOBLEZ</v>
          </cell>
          <cell r="L68">
            <v>1</v>
          </cell>
          <cell r="M68" t="str">
            <v>UNID.</v>
          </cell>
          <cell r="N68">
            <v>0</v>
          </cell>
          <cell r="O68">
            <v>116</v>
          </cell>
          <cell r="P68" t="str">
            <v>S1</v>
          </cell>
          <cell r="Q68" t="str">
            <v>J2</v>
          </cell>
          <cell r="R68" t="str">
            <v>J6</v>
          </cell>
          <cell r="S68" t="str">
            <v>PENDIENTE</v>
          </cell>
          <cell r="T68">
            <v>0</v>
          </cell>
          <cell r="U68" t="str">
            <v>BAYONA CRUZ CRISTIAN ARMANDO</v>
          </cell>
          <cell r="V68" t="str">
            <v>CORIHUAMAN SURCO  ERICK ROBERT</v>
          </cell>
        </row>
        <row r="69">
          <cell r="A69">
            <v>57</v>
          </cell>
          <cell r="B69">
            <v>42674</v>
          </cell>
          <cell r="C69" t="str">
            <v>OCTUBRE</v>
          </cell>
          <cell r="D69" t="str">
            <v>2016</v>
          </cell>
          <cell r="E69" t="str">
            <v>S/O</v>
          </cell>
          <cell r="F69" t="str">
            <v>AKW-860</v>
          </cell>
          <cell r="G69" t="str">
            <v>F5Z-991</v>
          </cell>
          <cell r="H69" t="str">
            <v>LAS BAMBAS</v>
          </cell>
          <cell r="I69">
            <v>0</v>
          </cell>
          <cell r="J69" t="str">
            <v>REPUESTO</v>
          </cell>
          <cell r="K69" t="str">
            <v>PLANCHA 1/2" X 1.2 X 1.2</v>
          </cell>
          <cell r="L69">
            <v>1</v>
          </cell>
          <cell r="M69" t="str">
            <v>UNID.</v>
          </cell>
          <cell r="N69">
            <v>0</v>
          </cell>
          <cell r="O69">
            <v>6</v>
          </cell>
          <cell r="P69" t="str">
            <v>S1</v>
          </cell>
          <cell r="Q69" t="str">
            <v>J2</v>
          </cell>
          <cell r="R69" t="str">
            <v>J6</v>
          </cell>
          <cell r="S69" t="str">
            <v>ENTREGADO</v>
          </cell>
          <cell r="T69">
            <v>42680</v>
          </cell>
          <cell r="U69" t="str">
            <v>BAYONA CRUZ CRISTIAN ARMANDO</v>
          </cell>
          <cell r="V69" t="str">
            <v>CORIHUAMAN SURCO  ERICK ROBERT</v>
          </cell>
        </row>
        <row r="70">
          <cell r="A70">
            <v>49</v>
          </cell>
          <cell r="B70">
            <v>42674</v>
          </cell>
          <cell r="C70" t="str">
            <v>OCTUBRE</v>
          </cell>
          <cell r="D70" t="str">
            <v>2016</v>
          </cell>
          <cell r="E70" t="str">
            <v>S/O</v>
          </cell>
          <cell r="F70" t="str">
            <v>AKW-860</v>
          </cell>
          <cell r="G70" t="str">
            <v>F5Z-991</v>
          </cell>
          <cell r="H70" t="str">
            <v>LAS BAMBAS</v>
          </cell>
          <cell r="I70">
            <v>32501</v>
          </cell>
          <cell r="J70" t="str">
            <v>REPUESTO</v>
          </cell>
          <cell r="K70" t="str">
            <v>TAPA DE DEPOSITO DE HIDROLINA (TANQUE DE METAL)</v>
          </cell>
          <cell r="L70">
            <v>1</v>
          </cell>
          <cell r="M70" t="str">
            <v>UNID.</v>
          </cell>
          <cell r="N70">
            <v>0</v>
          </cell>
          <cell r="O70">
            <v>14</v>
          </cell>
          <cell r="P70" t="str">
            <v>M8</v>
          </cell>
          <cell r="Q70" t="str">
            <v>J2</v>
          </cell>
          <cell r="R70" t="str">
            <v>J6</v>
          </cell>
          <cell r="S70" t="str">
            <v>ENTREGADO</v>
          </cell>
          <cell r="T70">
            <v>42688</v>
          </cell>
          <cell r="U70" t="str">
            <v>VARILLAS GAGO  OSCAR ALBERTO</v>
          </cell>
          <cell r="V70" t="str">
            <v>CORIHUAMAN SURCO  ERICK ROBERT</v>
          </cell>
        </row>
        <row r="71">
          <cell r="A71">
            <v>56</v>
          </cell>
          <cell r="B71">
            <v>42674</v>
          </cell>
          <cell r="C71" t="str">
            <v>OCTUBRE</v>
          </cell>
          <cell r="D71" t="str">
            <v>2016</v>
          </cell>
          <cell r="E71" t="str">
            <v>S/O</v>
          </cell>
          <cell r="F71" t="str">
            <v>AKX-805</v>
          </cell>
          <cell r="G71" t="str">
            <v>F5Z-985</v>
          </cell>
          <cell r="H71" t="str">
            <v>LAS BAMBAS</v>
          </cell>
          <cell r="I71">
            <v>0</v>
          </cell>
          <cell r="J71" t="str">
            <v>SERVICIO</v>
          </cell>
          <cell r="K71" t="str">
            <v>SERVICIO DE CORTE Y DOBLEZ</v>
          </cell>
          <cell r="L71">
            <v>1</v>
          </cell>
          <cell r="M71" t="str">
            <v>UNID.</v>
          </cell>
          <cell r="N71">
            <v>0</v>
          </cell>
          <cell r="O71">
            <v>116</v>
          </cell>
          <cell r="P71" t="str">
            <v>S1</v>
          </cell>
          <cell r="Q71" t="str">
            <v>J2</v>
          </cell>
          <cell r="R71" t="str">
            <v>J6</v>
          </cell>
          <cell r="S71" t="str">
            <v>PENDIENTE</v>
          </cell>
          <cell r="T71">
            <v>0</v>
          </cell>
          <cell r="U71" t="str">
            <v>BAYONA CRUZ CRISTIAN ARMANDO</v>
          </cell>
          <cell r="V71" t="str">
            <v>CORIHUAMAN SURCO  ERICK ROBERT</v>
          </cell>
        </row>
        <row r="72">
          <cell r="A72">
            <v>55</v>
          </cell>
          <cell r="B72">
            <v>42674</v>
          </cell>
          <cell r="C72" t="str">
            <v>OCTUBRE</v>
          </cell>
          <cell r="D72" t="str">
            <v>2016</v>
          </cell>
          <cell r="E72" t="str">
            <v>S/O</v>
          </cell>
          <cell r="F72" t="str">
            <v>AKX-805</v>
          </cell>
          <cell r="G72" t="str">
            <v>F5Z-985</v>
          </cell>
          <cell r="H72" t="str">
            <v>LAS BAMBAS</v>
          </cell>
          <cell r="I72">
            <v>0</v>
          </cell>
          <cell r="J72" t="str">
            <v>REPUESTO</v>
          </cell>
          <cell r="K72" t="str">
            <v>PLANCHA 1/2" X 1.2 X 1.2</v>
          </cell>
          <cell r="L72">
            <v>1</v>
          </cell>
          <cell r="M72" t="str">
            <v>UNID.</v>
          </cell>
          <cell r="N72">
            <v>0</v>
          </cell>
          <cell r="O72">
            <v>6</v>
          </cell>
          <cell r="P72" t="str">
            <v>S1</v>
          </cell>
          <cell r="Q72" t="str">
            <v>J2</v>
          </cell>
          <cell r="R72" t="str">
            <v>J6</v>
          </cell>
          <cell r="S72" t="str">
            <v>ENTREGADO</v>
          </cell>
          <cell r="T72">
            <v>42680</v>
          </cell>
          <cell r="U72" t="str">
            <v>BAYONA CRUZ CRISTIAN ARMANDO</v>
          </cell>
          <cell r="V72" t="str">
            <v>CORIHUAMAN SURCO  ERICK ROBERT</v>
          </cell>
        </row>
        <row r="73">
          <cell r="A73">
            <v>53</v>
          </cell>
          <cell r="B73">
            <v>42674</v>
          </cell>
          <cell r="C73" t="str">
            <v>OCTUBRE</v>
          </cell>
          <cell r="D73" t="str">
            <v>2016</v>
          </cell>
          <cell r="E73" t="str">
            <v>S/O</v>
          </cell>
          <cell r="F73" t="str">
            <v>B2L-889</v>
          </cell>
          <cell r="G73" t="str">
            <v>CAMION</v>
          </cell>
          <cell r="H73" t="str">
            <v>TAMBOMAYO</v>
          </cell>
          <cell r="I73">
            <v>0</v>
          </cell>
          <cell r="J73" t="str">
            <v>REPUESTO</v>
          </cell>
          <cell r="K73" t="str">
            <v>EMPAQUE DE TAPA MANHOLE (PEQUEÑO)</v>
          </cell>
          <cell r="L73">
            <v>2</v>
          </cell>
          <cell r="M73" t="str">
            <v>UNID.</v>
          </cell>
          <cell r="N73">
            <v>0</v>
          </cell>
          <cell r="O73">
            <v>6</v>
          </cell>
          <cell r="P73" t="str">
            <v>M3</v>
          </cell>
          <cell r="Q73" t="str">
            <v>J2</v>
          </cell>
          <cell r="R73" t="str">
            <v>J6</v>
          </cell>
          <cell r="S73" t="str">
            <v>ENTREGADO</v>
          </cell>
          <cell r="T73">
            <v>42680</v>
          </cell>
          <cell r="U73" t="str">
            <v>GARCIA PASQUEL  JOSE LUIS</v>
          </cell>
          <cell r="V73" t="str">
            <v>CORIHUAMAN SURCO  ERICK ROBERT</v>
          </cell>
        </row>
        <row r="74">
          <cell r="A74">
            <v>54</v>
          </cell>
          <cell r="B74">
            <v>42674</v>
          </cell>
          <cell r="C74" t="str">
            <v>OCTUBRE</v>
          </cell>
          <cell r="D74" t="str">
            <v>2016</v>
          </cell>
          <cell r="E74" t="str">
            <v>S/O</v>
          </cell>
          <cell r="F74" t="str">
            <v>B2L-889</v>
          </cell>
          <cell r="G74" t="str">
            <v>CAMION</v>
          </cell>
          <cell r="H74" t="str">
            <v>TAMBOMAYO</v>
          </cell>
          <cell r="I74">
            <v>0</v>
          </cell>
          <cell r="J74" t="str">
            <v>REPUESTO</v>
          </cell>
          <cell r="K74" t="str">
            <v>JUEGO DE PLUMILLAS DE 26" PARA HINO (LIMPIAPARABRISA)</v>
          </cell>
          <cell r="L74">
            <v>1</v>
          </cell>
          <cell r="M74" t="str">
            <v>JUEGO</v>
          </cell>
          <cell r="N74">
            <v>0</v>
          </cell>
          <cell r="O74">
            <v>17</v>
          </cell>
          <cell r="P74" t="str">
            <v>M7</v>
          </cell>
          <cell r="Q74" t="str">
            <v>J2</v>
          </cell>
          <cell r="R74" t="str">
            <v>J6</v>
          </cell>
          <cell r="S74" t="str">
            <v>ENTREGADO</v>
          </cell>
          <cell r="T74">
            <v>42691</v>
          </cell>
          <cell r="U74" t="str">
            <v>ROBLES ROJAS  JOSE MIGUEL</v>
          </cell>
          <cell r="V74" t="str">
            <v>CORIHUAMAN SURCO  ERICK ROBERT</v>
          </cell>
        </row>
        <row r="75">
          <cell r="A75">
            <v>52</v>
          </cell>
          <cell r="B75">
            <v>42674</v>
          </cell>
          <cell r="C75" t="str">
            <v>OCTUBRE</v>
          </cell>
          <cell r="D75" t="str">
            <v>2016</v>
          </cell>
          <cell r="E75" t="str">
            <v>S/O</v>
          </cell>
          <cell r="F75" t="str">
            <v>B2L-889</v>
          </cell>
          <cell r="G75" t="str">
            <v>CAMION</v>
          </cell>
          <cell r="H75" t="str">
            <v>TAMBOMAYO</v>
          </cell>
          <cell r="I75">
            <v>0</v>
          </cell>
          <cell r="J75" t="str">
            <v>REPUESTO</v>
          </cell>
          <cell r="K75" t="str">
            <v>EMPAQUE DE TAPA MANHOLE (GRANDE)</v>
          </cell>
          <cell r="L75">
            <v>2</v>
          </cell>
          <cell r="M75" t="str">
            <v>UNID.</v>
          </cell>
          <cell r="N75">
            <v>0</v>
          </cell>
          <cell r="O75">
            <v>6</v>
          </cell>
          <cell r="P75" t="str">
            <v>M3</v>
          </cell>
          <cell r="Q75" t="str">
            <v>J2</v>
          </cell>
          <cell r="R75" t="str">
            <v>J6</v>
          </cell>
          <cell r="S75" t="str">
            <v>ENTREGADO</v>
          </cell>
          <cell r="T75">
            <v>42680</v>
          </cell>
          <cell r="U75" t="str">
            <v>GARCIA PASQUEL  JOSE LUIS</v>
          </cell>
          <cell r="V75" t="str">
            <v>CORIHUAMAN SURCO  ERICK ROBERT</v>
          </cell>
        </row>
        <row r="76">
          <cell r="A76">
            <v>61</v>
          </cell>
          <cell r="B76">
            <v>42674</v>
          </cell>
          <cell r="C76" t="str">
            <v>OCTUBRE</v>
          </cell>
          <cell r="D76" t="str">
            <v>2016</v>
          </cell>
          <cell r="E76" t="str">
            <v>S/O</v>
          </cell>
          <cell r="F76" t="str">
            <v>B2M-948</v>
          </cell>
          <cell r="G76" t="str">
            <v>CAMION</v>
          </cell>
          <cell r="H76" t="str">
            <v>TAMBOMAYO</v>
          </cell>
          <cell r="I76">
            <v>0</v>
          </cell>
          <cell r="J76" t="str">
            <v>REPUESTO</v>
          </cell>
          <cell r="K76" t="str">
            <v>BORNE DE BATERIA NEGATIVO</v>
          </cell>
          <cell r="L76">
            <v>1</v>
          </cell>
          <cell r="M76" t="str">
            <v>UNID.</v>
          </cell>
          <cell r="N76">
            <v>0</v>
          </cell>
          <cell r="O76">
            <v>116</v>
          </cell>
          <cell r="P76" t="str">
            <v>E1</v>
          </cell>
          <cell r="Q76" t="str">
            <v>J2</v>
          </cell>
          <cell r="R76" t="str">
            <v>J6</v>
          </cell>
          <cell r="S76" t="str">
            <v>PENDIENTE</v>
          </cell>
          <cell r="T76">
            <v>0</v>
          </cell>
          <cell r="U76" t="str">
            <v>PALOMINO CARDENAS JUAN CARLOS</v>
          </cell>
          <cell r="V76" t="str">
            <v>CORIHUAMAN SURCO  ERICK ROBERT</v>
          </cell>
        </row>
        <row r="77">
          <cell r="A77">
            <v>60</v>
          </cell>
          <cell r="B77">
            <v>42674</v>
          </cell>
          <cell r="C77" t="str">
            <v>OCTUBRE</v>
          </cell>
          <cell r="D77" t="str">
            <v>2016</v>
          </cell>
          <cell r="E77" t="str">
            <v>S/O</v>
          </cell>
          <cell r="F77" t="str">
            <v>B2M-948</v>
          </cell>
          <cell r="G77" t="str">
            <v>CAMION</v>
          </cell>
          <cell r="H77" t="str">
            <v>TAMBOMAYO</v>
          </cell>
          <cell r="I77">
            <v>0</v>
          </cell>
          <cell r="J77" t="str">
            <v>REPUESTO</v>
          </cell>
          <cell r="K77" t="str">
            <v>BORNE DE BATERIA POSITIVO</v>
          </cell>
          <cell r="L77">
            <v>1</v>
          </cell>
          <cell r="M77" t="str">
            <v>UNID.</v>
          </cell>
          <cell r="N77">
            <v>0</v>
          </cell>
          <cell r="O77">
            <v>116</v>
          </cell>
          <cell r="P77" t="str">
            <v>E1</v>
          </cell>
          <cell r="Q77" t="str">
            <v>J2</v>
          </cell>
          <cell r="R77" t="str">
            <v>J6</v>
          </cell>
          <cell r="S77" t="str">
            <v>PENDIENTE</v>
          </cell>
          <cell r="T77">
            <v>0</v>
          </cell>
          <cell r="U77" t="str">
            <v>PALOMINO CARDENAS JUAN CARLOS</v>
          </cell>
          <cell r="V77" t="str">
            <v>CORIHUAMAN SURCO  ERICK ROBERT</v>
          </cell>
        </row>
        <row r="78">
          <cell r="A78">
            <v>47</v>
          </cell>
          <cell r="B78">
            <v>42674</v>
          </cell>
          <cell r="C78" t="str">
            <v>OCTUBRE</v>
          </cell>
          <cell r="D78" t="str">
            <v>2016</v>
          </cell>
          <cell r="E78" t="str">
            <v>S/O</v>
          </cell>
          <cell r="F78" t="str">
            <v>C5R-895</v>
          </cell>
          <cell r="G78" t="str">
            <v>TBL-976</v>
          </cell>
          <cell r="H78" t="str">
            <v>LAS BAMBAS</v>
          </cell>
          <cell r="I78">
            <v>0</v>
          </cell>
          <cell r="J78" t="str">
            <v>REPUESTO</v>
          </cell>
          <cell r="K78" t="str">
            <v>VALVULA DE PASO DE COMBUSTIBLE LADO DERECHO</v>
          </cell>
          <cell r="L78">
            <v>1</v>
          </cell>
          <cell r="M78" t="str">
            <v>UNID.</v>
          </cell>
          <cell r="N78">
            <v>0</v>
          </cell>
          <cell r="O78">
            <v>4</v>
          </cell>
          <cell r="P78" t="str">
            <v>M4</v>
          </cell>
          <cell r="Q78" t="str">
            <v>J1</v>
          </cell>
          <cell r="R78" t="str">
            <v>J6</v>
          </cell>
          <cell r="S78" t="str">
            <v>ENTREGADO</v>
          </cell>
          <cell r="T78">
            <v>42678</v>
          </cell>
          <cell r="U78" t="str">
            <v>JULLIRI APAZA UBALDO</v>
          </cell>
          <cell r="V78" t="str">
            <v>FLOREZ CONDORI  JOSE WILLIANS</v>
          </cell>
        </row>
        <row r="79">
          <cell r="A79">
            <v>48</v>
          </cell>
          <cell r="B79">
            <v>42674</v>
          </cell>
          <cell r="C79" t="str">
            <v>OCTUBRE</v>
          </cell>
          <cell r="D79" t="str">
            <v>2016</v>
          </cell>
          <cell r="E79" t="str">
            <v>S/O</v>
          </cell>
          <cell r="F79" t="str">
            <v>C5R-895</v>
          </cell>
          <cell r="G79" t="str">
            <v>TBL-976</v>
          </cell>
          <cell r="H79" t="str">
            <v>LAS BAMBAS</v>
          </cell>
          <cell r="I79">
            <v>0</v>
          </cell>
          <cell r="J79" t="str">
            <v>REPUESTO</v>
          </cell>
          <cell r="K79" t="str">
            <v>EMPAQUE DE TAPA DE BALANCIN (MOTOR DETROIT)</v>
          </cell>
          <cell r="L79">
            <v>1</v>
          </cell>
          <cell r="M79" t="str">
            <v>UNID.</v>
          </cell>
          <cell r="N79">
            <v>0</v>
          </cell>
          <cell r="O79">
            <v>6</v>
          </cell>
          <cell r="P79" t="str">
            <v>M4</v>
          </cell>
          <cell r="Q79" t="str">
            <v>J2</v>
          </cell>
          <cell r="R79" t="str">
            <v>J6</v>
          </cell>
          <cell r="S79" t="str">
            <v>ENTREGADO</v>
          </cell>
          <cell r="T79">
            <v>42680</v>
          </cell>
          <cell r="U79" t="str">
            <v>JULLIRI APAZA UBALDO</v>
          </cell>
          <cell r="V79" t="str">
            <v>CORIHUAMAN SURCO  ERICK ROBERT</v>
          </cell>
        </row>
        <row r="80">
          <cell r="A80">
            <v>46</v>
          </cell>
          <cell r="B80">
            <v>42674</v>
          </cell>
          <cell r="C80" t="str">
            <v>OCTUBRE</v>
          </cell>
          <cell r="D80" t="str">
            <v>2016</v>
          </cell>
          <cell r="E80" t="str">
            <v>S/O</v>
          </cell>
          <cell r="F80" t="str">
            <v>C5R-895</v>
          </cell>
          <cell r="G80" t="str">
            <v>TBL-976</v>
          </cell>
          <cell r="H80" t="str">
            <v>LAS BAMBAS</v>
          </cell>
          <cell r="I80">
            <v>0</v>
          </cell>
          <cell r="J80" t="str">
            <v>REPUESTO</v>
          </cell>
          <cell r="K80" t="str">
            <v>VALVULA DE PASO DE COMBUSTIBLE LADO IZQUIERDO</v>
          </cell>
          <cell r="L80">
            <v>1</v>
          </cell>
          <cell r="M80" t="str">
            <v>UNID.</v>
          </cell>
          <cell r="N80">
            <v>0</v>
          </cell>
          <cell r="O80">
            <v>4</v>
          </cell>
          <cell r="P80" t="str">
            <v>M4</v>
          </cell>
          <cell r="Q80" t="str">
            <v>J1</v>
          </cell>
          <cell r="R80" t="str">
            <v>J6</v>
          </cell>
          <cell r="S80" t="str">
            <v>ENTREGADO</v>
          </cell>
          <cell r="T80">
            <v>42678</v>
          </cell>
          <cell r="U80" t="str">
            <v>JULLIRI APAZA UBALDO</v>
          </cell>
          <cell r="V80" t="str">
            <v>FLOREZ CONDORI  JOSE WILLIANS</v>
          </cell>
        </row>
        <row r="81">
          <cell r="A81">
            <v>51</v>
          </cell>
          <cell r="B81">
            <v>42674</v>
          </cell>
          <cell r="C81" t="str">
            <v>OCTUBRE</v>
          </cell>
          <cell r="D81" t="str">
            <v>2016</v>
          </cell>
          <cell r="E81" t="str">
            <v>S/O</v>
          </cell>
          <cell r="F81" t="str">
            <v>D3S-725</v>
          </cell>
          <cell r="G81" t="str">
            <v>TBL-977</v>
          </cell>
          <cell r="H81" t="str">
            <v>LAS BAMBAS</v>
          </cell>
          <cell r="I81">
            <v>142211</v>
          </cell>
          <cell r="J81" t="str">
            <v>REPUESTO</v>
          </cell>
          <cell r="K81" t="str">
            <v>MANIJA DE PUERTA LADO IZQUIERDO</v>
          </cell>
          <cell r="L81">
            <v>1</v>
          </cell>
          <cell r="M81" t="str">
            <v>UNID.</v>
          </cell>
          <cell r="N81">
            <v>0</v>
          </cell>
          <cell r="O81">
            <v>116</v>
          </cell>
          <cell r="P81" t="str">
            <v>M2</v>
          </cell>
          <cell r="Q81" t="str">
            <v>J1</v>
          </cell>
          <cell r="R81" t="str">
            <v>J6</v>
          </cell>
          <cell r="S81" t="str">
            <v>PENDIENTE</v>
          </cell>
          <cell r="T81">
            <v>0</v>
          </cell>
          <cell r="U81" t="str">
            <v>CHUMPITAZ GAGO JULIO ENRIQUE</v>
          </cell>
          <cell r="V81" t="str">
            <v>FLOREZ CONDORI  JOSE WILLIANS</v>
          </cell>
        </row>
        <row r="82">
          <cell r="A82">
            <v>50</v>
          </cell>
          <cell r="B82">
            <v>42674</v>
          </cell>
          <cell r="C82" t="str">
            <v>OCTUBRE</v>
          </cell>
          <cell r="D82" t="str">
            <v>2016</v>
          </cell>
          <cell r="E82" t="str">
            <v>S/O</v>
          </cell>
          <cell r="F82" t="str">
            <v>D3S-725</v>
          </cell>
          <cell r="G82" t="str">
            <v>TBL-977</v>
          </cell>
          <cell r="H82" t="str">
            <v>LAS BAMBAS</v>
          </cell>
          <cell r="I82">
            <v>142211</v>
          </cell>
          <cell r="J82" t="str">
            <v>REPUESTO</v>
          </cell>
          <cell r="K82" t="str">
            <v>MANGUERA DE AGUA 3/8 X 1 METRO</v>
          </cell>
          <cell r="L82">
            <v>1</v>
          </cell>
          <cell r="M82" t="str">
            <v>UNID.</v>
          </cell>
          <cell r="N82">
            <v>0</v>
          </cell>
          <cell r="O82">
            <v>116</v>
          </cell>
          <cell r="P82" t="str">
            <v>M4</v>
          </cell>
          <cell r="Q82" t="str">
            <v>J2</v>
          </cell>
          <cell r="R82" t="str">
            <v>J6</v>
          </cell>
          <cell r="S82" t="str">
            <v>PENDIENTE</v>
          </cell>
          <cell r="T82">
            <v>0</v>
          </cell>
          <cell r="U82" t="str">
            <v>JULLIRI APAZA UBALDO</v>
          </cell>
          <cell r="V82" t="str">
            <v>CORIHUAMAN SURCO  ERICK ROBERT</v>
          </cell>
        </row>
        <row r="83">
          <cell r="A83">
            <v>43</v>
          </cell>
          <cell r="B83">
            <v>42674</v>
          </cell>
          <cell r="C83" t="str">
            <v>OCTUBRE</v>
          </cell>
          <cell r="D83" t="str">
            <v>2016</v>
          </cell>
          <cell r="E83" t="str">
            <v>S/O</v>
          </cell>
          <cell r="F83" t="str">
            <v>D3S-764</v>
          </cell>
          <cell r="G83" t="str">
            <v>TBL-998</v>
          </cell>
          <cell r="H83" t="str">
            <v>LAS BAMBAS</v>
          </cell>
          <cell r="I83">
            <v>0</v>
          </cell>
          <cell r="J83" t="str">
            <v>REPUESTO</v>
          </cell>
          <cell r="K83" t="str">
            <v>VALVULA RELE DE FRENO</v>
          </cell>
          <cell r="L83">
            <v>1</v>
          </cell>
          <cell r="M83" t="str">
            <v>UNID.</v>
          </cell>
          <cell r="N83">
            <v>0</v>
          </cell>
          <cell r="O83">
            <v>116</v>
          </cell>
          <cell r="P83" t="str">
            <v>M8</v>
          </cell>
          <cell r="Q83" t="str">
            <v>J1</v>
          </cell>
          <cell r="R83" t="str">
            <v>J6</v>
          </cell>
          <cell r="S83" t="str">
            <v>PENDIENTE</v>
          </cell>
          <cell r="T83">
            <v>0</v>
          </cell>
          <cell r="U83" t="str">
            <v>VARILLAS GAGO  OSCAR ALBERTO</v>
          </cell>
          <cell r="V83" t="str">
            <v>FLOREZ CONDORI  JOSE WILLIANS</v>
          </cell>
        </row>
        <row r="84">
          <cell r="A84">
            <v>62</v>
          </cell>
          <cell r="B84">
            <v>42674</v>
          </cell>
          <cell r="C84" t="str">
            <v>OCTUBRE</v>
          </cell>
          <cell r="D84" t="str">
            <v>2016</v>
          </cell>
          <cell r="E84" t="str">
            <v>S/O</v>
          </cell>
          <cell r="F84" t="str">
            <v>D3S-767</v>
          </cell>
          <cell r="G84" t="str">
            <v>B8L-973</v>
          </cell>
          <cell r="H84" t="str">
            <v>LAS BAMBAS</v>
          </cell>
          <cell r="I84">
            <v>180263</v>
          </cell>
          <cell r="J84" t="str">
            <v>SERVICIO</v>
          </cell>
          <cell r="K84" t="str">
            <v>REMACHADO DE FAJAS DE TRACCION</v>
          </cell>
          <cell r="L84">
            <v>1</v>
          </cell>
          <cell r="M84" t="str">
            <v>UNID.</v>
          </cell>
          <cell r="N84">
            <v>0</v>
          </cell>
          <cell r="O84">
            <v>6</v>
          </cell>
          <cell r="P84" t="str">
            <v>M8</v>
          </cell>
          <cell r="Q84" t="str">
            <v>J2</v>
          </cell>
          <cell r="R84" t="str">
            <v>J6</v>
          </cell>
          <cell r="S84" t="str">
            <v>ENTREGADO</v>
          </cell>
          <cell r="T84">
            <v>42680</v>
          </cell>
          <cell r="U84" t="str">
            <v>VARILLAS GAGO  OSCAR ALBERTO</v>
          </cell>
          <cell r="V84" t="str">
            <v>CORIHUAMAN SURCO  ERICK ROBERT</v>
          </cell>
        </row>
        <row r="85">
          <cell r="A85">
            <v>59</v>
          </cell>
          <cell r="B85">
            <v>42674</v>
          </cell>
          <cell r="C85" t="str">
            <v>OCTUBRE</v>
          </cell>
          <cell r="D85" t="str">
            <v>2016</v>
          </cell>
          <cell r="E85" t="str">
            <v>S/O</v>
          </cell>
          <cell r="F85" t="str">
            <v>D3S-767</v>
          </cell>
          <cell r="G85" t="str">
            <v>B8L-973</v>
          </cell>
          <cell r="H85" t="str">
            <v>LAS BAMBAS</v>
          </cell>
          <cell r="I85">
            <v>180263</v>
          </cell>
          <cell r="J85" t="str">
            <v>REPUESTO</v>
          </cell>
          <cell r="K85" t="str">
            <v>RETEN DE RUEDA DE TRACCION</v>
          </cell>
          <cell r="L85">
            <v>1</v>
          </cell>
          <cell r="M85" t="str">
            <v>UNID.</v>
          </cell>
          <cell r="N85">
            <v>0</v>
          </cell>
          <cell r="O85">
            <v>6</v>
          </cell>
          <cell r="P85" t="str">
            <v>M8</v>
          </cell>
          <cell r="Q85" t="str">
            <v>J2</v>
          </cell>
          <cell r="R85" t="str">
            <v>J6</v>
          </cell>
          <cell r="S85" t="str">
            <v>ENTREGADO</v>
          </cell>
          <cell r="T85">
            <v>42680</v>
          </cell>
          <cell r="U85" t="str">
            <v>VARILLAS GAGO  OSCAR ALBERTO</v>
          </cell>
          <cell r="V85" t="str">
            <v>CORIHUAMAN SURCO  ERICK ROBERT</v>
          </cell>
        </row>
        <row r="86">
          <cell r="A86">
            <v>44</v>
          </cell>
          <cell r="B86">
            <v>42674</v>
          </cell>
          <cell r="C86" t="str">
            <v>OCTUBRE</v>
          </cell>
          <cell r="D86" t="str">
            <v>2016</v>
          </cell>
          <cell r="E86" t="str">
            <v>S/O</v>
          </cell>
          <cell r="F86" t="str">
            <v>TALLER</v>
          </cell>
          <cell r="G86" t="str">
            <v>TALLER</v>
          </cell>
          <cell r="H86" t="str">
            <v>TALLER</v>
          </cell>
          <cell r="I86">
            <v>0</v>
          </cell>
          <cell r="J86" t="str">
            <v>REPUESTO</v>
          </cell>
          <cell r="K86" t="str">
            <v>BOMBA DE DESPACHO PARA ACEITE DE TRANSMISION</v>
          </cell>
          <cell r="L86">
            <v>1</v>
          </cell>
          <cell r="M86" t="str">
            <v>UNID.</v>
          </cell>
          <cell r="N86">
            <v>0</v>
          </cell>
          <cell r="O86">
            <v>6</v>
          </cell>
          <cell r="P86" t="str">
            <v>M6</v>
          </cell>
          <cell r="Q86" t="str">
            <v>J1</v>
          </cell>
          <cell r="R86" t="str">
            <v>J6</v>
          </cell>
          <cell r="S86" t="str">
            <v>ENTREGADO</v>
          </cell>
          <cell r="T86">
            <v>42680</v>
          </cell>
          <cell r="U86" t="str">
            <v>PARI VENTURA  EDSON ORLANDO</v>
          </cell>
          <cell r="V86" t="str">
            <v>FLOREZ CONDORI  JOSE WILLIANS</v>
          </cell>
        </row>
        <row r="87">
          <cell r="A87">
            <v>82</v>
          </cell>
          <cell r="B87">
            <v>42676</v>
          </cell>
          <cell r="C87" t="str">
            <v>NOVIEMBRE</v>
          </cell>
          <cell r="D87" t="str">
            <v>2016</v>
          </cell>
          <cell r="E87" t="str">
            <v>S/O</v>
          </cell>
          <cell r="F87" t="str">
            <v>ABR-798</v>
          </cell>
          <cell r="G87" t="str">
            <v>TBM-980</v>
          </cell>
          <cell r="H87" t="str">
            <v>LAS BAMBAS</v>
          </cell>
          <cell r="I87">
            <v>0</v>
          </cell>
          <cell r="J87" t="str">
            <v>REPUESTO</v>
          </cell>
          <cell r="K87" t="str">
            <v>VALVULA DE ALIVIO PARA TAPA MANHOLE</v>
          </cell>
          <cell r="L87">
            <v>1</v>
          </cell>
          <cell r="M87" t="str">
            <v>UNID.</v>
          </cell>
          <cell r="N87">
            <v>0</v>
          </cell>
          <cell r="O87">
            <v>1</v>
          </cell>
          <cell r="P87" t="str">
            <v>M8</v>
          </cell>
          <cell r="Q87" t="str">
            <v>J2</v>
          </cell>
          <cell r="R87" t="str">
            <v>J6</v>
          </cell>
          <cell r="S87" t="str">
            <v>ENTREGADO</v>
          </cell>
          <cell r="T87">
            <v>42677</v>
          </cell>
          <cell r="U87" t="str">
            <v>VARILLAS GAGO  OSCAR ALBERTO</v>
          </cell>
          <cell r="V87" t="str">
            <v>CORIHUAMAN SURCO  ERICK ROBERT</v>
          </cell>
        </row>
        <row r="88">
          <cell r="A88">
            <v>63</v>
          </cell>
          <cell r="B88">
            <v>42676</v>
          </cell>
          <cell r="C88" t="str">
            <v>NOVIEMBRE</v>
          </cell>
          <cell r="D88" t="str">
            <v>2016</v>
          </cell>
          <cell r="E88" t="str">
            <v>S/O</v>
          </cell>
          <cell r="F88" t="str">
            <v>AEJ-949</v>
          </cell>
          <cell r="G88" t="str">
            <v>CAMIONETA</v>
          </cell>
          <cell r="H88" t="str">
            <v>LAS BAMBAS</v>
          </cell>
          <cell r="I88">
            <v>0</v>
          </cell>
          <cell r="J88" t="str">
            <v>REPUESTO</v>
          </cell>
          <cell r="K88" t="str">
            <v>GUARDAPOLVO</v>
          </cell>
          <cell r="L88">
            <v>1</v>
          </cell>
          <cell r="M88" t="str">
            <v>UNID.</v>
          </cell>
          <cell r="N88">
            <v>0</v>
          </cell>
          <cell r="O88">
            <v>1</v>
          </cell>
          <cell r="P88" t="str">
            <v>M6</v>
          </cell>
          <cell r="Q88" t="str">
            <v>J2</v>
          </cell>
          <cell r="R88" t="str">
            <v>J6</v>
          </cell>
          <cell r="S88" t="str">
            <v>ENTREGADO</v>
          </cell>
          <cell r="T88">
            <v>42677</v>
          </cell>
          <cell r="U88" t="str">
            <v>PARI VENTURA  EDSON ORLANDO</v>
          </cell>
          <cell r="V88" t="str">
            <v>CORIHUAMAN SURCO  ERICK ROBERT</v>
          </cell>
        </row>
        <row r="89">
          <cell r="A89">
            <v>77</v>
          </cell>
          <cell r="B89">
            <v>42676</v>
          </cell>
          <cell r="C89" t="str">
            <v>NOVIEMBRE</v>
          </cell>
          <cell r="D89" t="str">
            <v>2016</v>
          </cell>
          <cell r="E89" t="str">
            <v>S/O</v>
          </cell>
          <cell r="F89" t="str">
            <v>C9N-807</v>
          </cell>
          <cell r="G89" t="str">
            <v>B4O-994</v>
          </cell>
          <cell r="H89" t="str">
            <v>LAS BAMBAS</v>
          </cell>
          <cell r="I89">
            <v>0</v>
          </cell>
          <cell r="J89" t="str">
            <v>REPUESTO</v>
          </cell>
          <cell r="K89" t="str">
            <v>BASE DE FILTRO DE VALVULA CON CEBADOR</v>
          </cell>
          <cell r="L89">
            <v>1</v>
          </cell>
          <cell r="M89" t="str">
            <v>UNID.</v>
          </cell>
          <cell r="N89">
            <v>0</v>
          </cell>
          <cell r="O89">
            <v>114</v>
          </cell>
          <cell r="P89" t="str">
            <v>M5</v>
          </cell>
          <cell r="Q89" t="str">
            <v>J2</v>
          </cell>
          <cell r="R89" t="str">
            <v>J6</v>
          </cell>
          <cell r="S89" t="str">
            <v>ENTREGADO</v>
          </cell>
          <cell r="T89">
            <v>0</v>
          </cell>
          <cell r="U89" t="str">
            <v>LOPEZ RUIZ WILBERTO</v>
          </cell>
          <cell r="V89" t="str">
            <v>CORIHUAMAN SURCO  ERICK ROBERT</v>
          </cell>
        </row>
        <row r="90">
          <cell r="A90">
            <v>75</v>
          </cell>
          <cell r="B90">
            <v>42676</v>
          </cell>
          <cell r="C90" t="str">
            <v>NOVIEMBRE</v>
          </cell>
          <cell r="D90" t="str">
            <v>2016</v>
          </cell>
          <cell r="E90" t="str">
            <v>S/O</v>
          </cell>
          <cell r="F90" t="str">
            <v>C9N-807</v>
          </cell>
          <cell r="G90" t="str">
            <v>B4O-994</v>
          </cell>
          <cell r="H90" t="str">
            <v>LAS BAMBAS</v>
          </cell>
          <cell r="I90">
            <v>0</v>
          </cell>
          <cell r="J90" t="str">
            <v>REPUESTO</v>
          </cell>
          <cell r="K90" t="str">
            <v>SOPORTES DE MOTOR (DELANTERO)</v>
          </cell>
          <cell r="L90">
            <v>2</v>
          </cell>
          <cell r="M90" t="str">
            <v>UNID.</v>
          </cell>
          <cell r="N90">
            <v>0</v>
          </cell>
          <cell r="O90">
            <v>1</v>
          </cell>
          <cell r="P90" t="str">
            <v>M5</v>
          </cell>
          <cell r="Q90" t="str">
            <v>J2</v>
          </cell>
          <cell r="R90" t="str">
            <v>J6</v>
          </cell>
          <cell r="S90" t="str">
            <v>ENTREGADO</v>
          </cell>
          <cell r="T90">
            <v>42677</v>
          </cell>
          <cell r="U90" t="str">
            <v>LOPEZ RUIZ WILBERTO</v>
          </cell>
          <cell r="V90" t="str">
            <v>CORIHUAMAN SURCO  ERICK ROBERT</v>
          </cell>
        </row>
        <row r="91">
          <cell r="A91">
            <v>66</v>
          </cell>
          <cell r="B91">
            <v>42676</v>
          </cell>
          <cell r="C91" t="str">
            <v>NOVIEMBRE</v>
          </cell>
          <cell r="D91" t="str">
            <v>2016</v>
          </cell>
          <cell r="E91" t="str">
            <v>S/O</v>
          </cell>
          <cell r="F91" t="str">
            <v>C9N-807</v>
          </cell>
          <cell r="G91" t="str">
            <v>B4O-994</v>
          </cell>
          <cell r="H91" t="str">
            <v>LAS BAMBAS</v>
          </cell>
          <cell r="I91">
            <v>0</v>
          </cell>
          <cell r="J91" t="str">
            <v>REPUESTO</v>
          </cell>
          <cell r="K91" t="str">
            <v>DIAFRAGMA DE 30</v>
          </cell>
          <cell r="L91">
            <v>2</v>
          </cell>
          <cell r="M91" t="str">
            <v>UNID.</v>
          </cell>
          <cell r="N91">
            <v>0</v>
          </cell>
          <cell r="O91">
            <v>114</v>
          </cell>
          <cell r="P91" t="str">
            <v>M8</v>
          </cell>
          <cell r="Q91" t="str">
            <v>J2</v>
          </cell>
          <cell r="R91" t="str">
            <v>J6</v>
          </cell>
          <cell r="S91" t="str">
            <v>ENTREGADO</v>
          </cell>
          <cell r="T91">
            <v>0</v>
          </cell>
          <cell r="U91" t="str">
            <v>VARILLAS GAGO  OSCAR ALBERTO</v>
          </cell>
          <cell r="V91" t="str">
            <v>CORIHUAMAN SURCO  ERICK ROBERT</v>
          </cell>
        </row>
        <row r="92">
          <cell r="A92">
            <v>67</v>
          </cell>
          <cell r="B92">
            <v>42676</v>
          </cell>
          <cell r="C92" t="str">
            <v>NOVIEMBRE</v>
          </cell>
          <cell r="D92" t="str">
            <v>2016</v>
          </cell>
          <cell r="E92" t="str">
            <v>S/O</v>
          </cell>
          <cell r="F92" t="str">
            <v>C9N-807</v>
          </cell>
          <cell r="G92" t="str">
            <v>B4O-994</v>
          </cell>
          <cell r="H92" t="str">
            <v>LAS BAMBAS</v>
          </cell>
          <cell r="I92">
            <v>0</v>
          </cell>
          <cell r="J92" t="str">
            <v>SERVICIO</v>
          </cell>
          <cell r="K92" t="str">
            <v>SERVICIO DE REPARACION DE RADIADOR (RECLAMO)</v>
          </cell>
          <cell r="L92">
            <v>1</v>
          </cell>
          <cell r="M92" t="str">
            <v>UNID.</v>
          </cell>
          <cell r="N92">
            <v>0</v>
          </cell>
          <cell r="O92">
            <v>1</v>
          </cell>
          <cell r="P92" t="str">
            <v>M8</v>
          </cell>
          <cell r="Q92" t="str">
            <v>J2</v>
          </cell>
          <cell r="R92" t="str">
            <v>J6</v>
          </cell>
          <cell r="S92" t="str">
            <v>ENTREGADO</v>
          </cell>
          <cell r="T92">
            <v>42677</v>
          </cell>
          <cell r="U92" t="str">
            <v>VARILLAS GAGO  OSCAR ALBERTO</v>
          </cell>
          <cell r="V92" t="str">
            <v>CORIHUAMAN SURCO  ERICK ROBERT</v>
          </cell>
        </row>
        <row r="93">
          <cell r="A93">
            <v>78</v>
          </cell>
          <cell r="B93">
            <v>42676</v>
          </cell>
          <cell r="C93" t="str">
            <v>NOVIEMBRE</v>
          </cell>
          <cell r="D93" t="str">
            <v>2016</v>
          </cell>
          <cell r="E93" t="str">
            <v>S/O</v>
          </cell>
          <cell r="F93" t="str">
            <v>C9N-807</v>
          </cell>
          <cell r="G93" t="str">
            <v>B4O-994</v>
          </cell>
          <cell r="H93" t="str">
            <v>LAS BAMBAS</v>
          </cell>
          <cell r="I93">
            <v>0</v>
          </cell>
          <cell r="J93" t="str">
            <v>REPUESTO</v>
          </cell>
          <cell r="K93" t="str">
            <v>SOPORTES DE CABINA</v>
          </cell>
          <cell r="L93">
            <v>2</v>
          </cell>
          <cell r="M93" t="str">
            <v>UNID.</v>
          </cell>
          <cell r="N93">
            <v>0</v>
          </cell>
          <cell r="O93">
            <v>1</v>
          </cell>
          <cell r="P93" t="str">
            <v>M5</v>
          </cell>
          <cell r="Q93" t="str">
            <v>J2</v>
          </cell>
          <cell r="R93" t="str">
            <v>J6</v>
          </cell>
          <cell r="S93" t="str">
            <v>ENTREGADO</v>
          </cell>
          <cell r="T93">
            <v>42677</v>
          </cell>
          <cell r="U93" t="str">
            <v>LOPEZ RUIZ WILBERTO</v>
          </cell>
          <cell r="V93" t="str">
            <v>CORIHUAMAN SURCO  ERICK ROBERT</v>
          </cell>
        </row>
        <row r="94">
          <cell r="A94">
            <v>76</v>
          </cell>
          <cell r="B94">
            <v>42676</v>
          </cell>
          <cell r="C94" t="str">
            <v>NOVIEMBRE</v>
          </cell>
          <cell r="D94" t="str">
            <v>2016</v>
          </cell>
          <cell r="E94" t="str">
            <v>S/O</v>
          </cell>
          <cell r="F94" t="str">
            <v>C9N-807</v>
          </cell>
          <cell r="G94" t="str">
            <v>B4O-994</v>
          </cell>
          <cell r="H94" t="str">
            <v>LAS BAMBAS</v>
          </cell>
          <cell r="I94">
            <v>0</v>
          </cell>
          <cell r="J94" t="str">
            <v>REPUESTO</v>
          </cell>
          <cell r="K94" t="str">
            <v>CRUZETA DE CARDAN (PARA CAJA)</v>
          </cell>
          <cell r="L94">
            <v>1</v>
          </cell>
          <cell r="M94" t="str">
            <v>UNID.</v>
          </cell>
          <cell r="N94">
            <v>0</v>
          </cell>
          <cell r="O94">
            <v>7</v>
          </cell>
          <cell r="P94" t="str">
            <v>M5</v>
          </cell>
          <cell r="Q94" t="str">
            <v>J2</v>
          </cell>
          <cell r="R94" t="str">
            <v>J6</v>
          </cell>
          <cell r="S94" t="str">
            <v>ENTREGADO</v>
          </cell>
          <cell r="T94">
            <v>42683</v>
          </cell>
          <cell r="U94" t="str">
            <v>LOPEZ RUIZ WILBERTO</v>
          </cell>
          <cell r="V94" t="str">
            <v>CORIHUAMAN SURCO  ERICK ROBERT</v>
          </cell>
        </row>
        <row r="95">
          <cell r="A95">
            <v>68</v>
          </cell>
          <cell r="B95">
            <v>42676</v>
          </cell>
          <cell r="C95" t="str">
            <v>NOVIEMBRE</v>
          </cell>
          <cell r="D95" t="str">
            <v>2016</v>
          </cell>
          <cell r="E95" t="str">
            <v>S/O</v>
          </cell>
          <cell r="F95" t="str">
            <v>D3P-746</v>
          </cell>
          <cell r="G95" t="str">
            <v>C0T-974</v>
          </cell>
          <cell r="H95" t="str">
            <v>LAS BAMBAS</v>
          </cell>
          <cell r="I95">
            <v>0</v>
          </cell>
          <cell r="J95" t="str">
            <v>SERVICIO</v>
          </cell>
          <cell r="K95" t="str">
            <v>SERVICIO DE REPARACION DE TURBO</v>
          </cell>
          <cell r="L95">
            <v>1</v>
          </cell>
          <cell r="M95" t="str">
            <v>UNID.</v>
          </cell>
          <cell r="N95">
            <v>0</v>
          </cell>
          <cell r="O95">
            <v>114</v>
          </cell>
          <cell r="P95" t="str">
            <v>M5</v>
          </cell>
          <cell r="Q95" t="str">
            <v>J2</v>
          </cell>
          <cell r="R95" t="str">
            <v>J6</v>
          </cell>
          <cell r="S95" t="str">
            <v>ENTREGADO</v>
          </cell>
          <cell r="T95">
            <v>0</v>
          </cell>
          <cell r="U95" t="str">
            <v>LOPEZ RUIZ WILBERTO</v>
          </cell>
          <cell r="V95" t="str">
            <v>CORIHUAMAN SURCO  ERICK ROBERT</v>
          </cell>
        </row>
        <row r="96">
          <cell r="A96">
            <v>69</v>
          </cell>
          <cell r="B96">
            <v>42676</v>
          </cell>
          <cell r="C96" t="str">
            <v>NOVIEMBRE</v>
          </cell>
          <cell r="D96" t="str">
            <v>2016</v>
          </cell>
          <cell r="E96" t="str">
            <v>S/O</v>
          </cell>
          <cell r="F96" t="str">
            <v>D3S-767</v>
          </cell>
          <cell r="G96" t="str">
            <v>B8L-973</v>
          </cell>
          <cell r="H96" t="str">
            <v>LAS BAMBAS</v>
          </cell>
          <cell r="I96">
            <v>0</v>
          </cell>
          <cell r="J96" t="str">
            <v>REPUESTO</v>
          </cell>
          <cell r="K96" t="str">
            <v>RETEN DE RUEDA DE TRACCION</v>
          </cell>
          <cell r="L96">
            <v>1</v>
          </cell>
          <cell r="M96" t="str">
            <v>UNID.</v>
          </cell>
          <cell r="N96">
            <v>0</v>
          </cell>
          <cell r="O96">
            <v>114</v>
          </cell>
          <cell r="P96" t="str">
            <v>M8</v>
          </cell>
          <cell r="Q96" t="str">
            <v>J2</v>
          </cell>
          <cell r="R96" t="str">
            <v>J6</v>
          </cell>
          <cell r="S96" t="str">
            <v>ENTREGADO</v>
          </cell>
          <cell r="T96">
            <v>0</v>
          </cell>
          <cell r="U96" t="str">
            <v>VARILLAS GAGO  OSCAR ALBERTO</v>
          </cell>
          <cell r="V96" t="str">
            <v>CORIHUAMAN SURCO  ERICK ROBERT</v>
          </cell>
        </row>
        <row r="97">
          <cell r="A97">
            <v>70</v>
          </cell>
          <cell r="B97">
            <v>42676</v>
          </cell>
          <cell r="C97" t="str">
            <v>NOVIEMBRE</v>
          </cell>
          <cell r="D97" t="str">
            <v>2016</v>
          </cell>
          <cell r="E97" t="str">
            <v>S/O</v>
          </cell>
          <cell r="F97" t="str">
            <v>D3S-767</v>
          </cell>
          <cell r="G97" t="str">
            <v>B8L-973</v>
          </cell>
          <cell r="H97" t="str">
            <v>LAS BAMBAS</v>
          </cell>
          <cell r="I97">
            <v>0</v>
          </cell>
          <cell r="J97" t="str">
            <v>REPUESTO</v>
          </cell>
          <cell r="K97" t="str">
            <v>BOCINA DE BUJE DE MUELLE DE TRACCION</v>
          </cell>
          <cell r="L97">
            <v>1</v>
          </cell>
          <cell r="M97" t="str">
            <v>UNID.</v>
          </cell>
          <cell r="N97">
            <v>0</v>
          </cell>
          <cell r="O97">
            <v>1</v>
          </cell>
          <cell r="P97" t="str">
            <v>M8</v>
          </cell>
          <cell r="Q97" t="str">
            <v>J2</v>
          </cell>
          <cell r="R97" t="str">
            <v>J6</v>
          </cell>
          <cell r="S97" t="str">
            <v>ENTREGADO</v>
          </cell>
          <cell r="T97">
            <v>42677</v>
          </cell>
          <cell r="U97" t="str">
            <v>VARILLAS GAGO  OSCAR ALBERTO</v>
          </cell>
          <cell r="V97" t="str">
            <v>CORIHUAMAN SURCO  ERICK ROBERT</v>
          </cell>
        </row>
        <row r="98">
          <cell r="A98">
            <v>73</v>
          </cell>
          <cell r="B98">
            <v>42676</v>
          </cell>
          <cell r="C98" t="str">
            <v>NOVIEMBRE</v>
          </cell>
          <cell r="D98" t="str">
            <v>2016</v>
          </cell>
          <cell r="E98" t="str">
            <v>S/O</v>
          </cell>
          <cell r="F98" t="str">
            <v>D6F-907</v>
          </cell>
          <cell r="G98" t="str">
            <v>T2Y-979</v>
          </cell>
          <cell r="H98" t="str">
            <v>LAS BAMBAS</v>
          </cell>
          <cell r="I98">
            <v>0</v>
          </cell>
          <cell r="J98" t="str">
            <v>REPUESTO</v>
          </cell>
          <cell r="K98" t="str">
            <v>EMPAQUE CUADRADO DE TURBO</v>
          </cell>
          <cell r="L98">
            <v>1</v>
          </cell>
          <cell r="M98" t="str">
            <v>UNID.</v>
          </cell>
          <cell r="N98">
            <v>0</v>
          </cell>
          <cell r="O98">
            <v>1</v>
          </cell>
          <cell r="P98" t="str">
            <v>M5</v>
          </cell>
          <cell r="Q98" t="str">
            <v>J2</v>
          </cell>
          <cell r="R98" t="str">
            <v>J6</v>
          </cell>
          <cell r="S98" t="str">
            <v>ENTREGADO</v>
          </cell>
          <cell r="T98">
            <v>42677</v>
          </cell>
          <cell r="U98" t="str">
            <v>LOPEZ RUIZ WILBERTO</v>
          </cell>
          <cell r="V98" t="str">
            <v>CORIHUAMAN SURCO  ERICK ROBERT</v>
          </cell>
        </row>
        <row r="99">
          <cell r="A99">
            <v>71</v>
          </cell>
          <cell r="B99">
            <v>42676</v>
          </cell>
          <cell r="C99" t="str">
            <v>NOVIEMBRE</v>
          </cell>
          <cell r="D99" t="str">
            <v>2016</v>
          </cell>
          <cell r="E99" t="str">
            <v>S/O</v>
          </cell>
          <cell r="F99" t="str">
            <v>D6F-907</v>
          </cell>
          <cell r="G99" t="str">
            <v>T2Y-979</v>
          </cell>
          <cell r="H99" t="str">
            <v>LAS BAMBAS</v>
          </cell>
          <cell r="I99">
            <v>0</v>
          </cell>
          <cell r="J99" t="str">
            <v>REPUESTO</v>
          </cell>
          <cell r="K99" t="str">
            <v>ESCAPE EN V</v>
          </cell>
          <cell r="L99">
            <v>1</v>
          </cell>
          <cell r="M99" t="str">
            <v>UNID.</v>
          </cell>
          <cell r="N99">
            <v>0</v>
          </cell>
          <cell r="O99">
            <v>114</v>
          </cell>
          <cell r="P99" t="str">
            <v>M5</v>
          </cell>
          <cell r="Q99" t="str">
            <v>J2</v>
          </cell>
          <cell r="R99" t="str">
            <v>J6</v>
          </cell>
          <cell r="S99" t="str">
            <v>ENTREGADO</v>
          </cell>
          <cell r="T99">
            <v>0</v>
          </cell>
          <cell r="U99" t="str">
            <v>LOPEZ RUIZ WILBERTO</v>
          </cell>
          <cell r="V99" t="str">
            <v>CORIHUAMAN SURCO  ERICK ROBERT</v>
          </cell>
        </row>
        <row r="100">
          <cell r="A100">
            <v>72</v>
          </cell>
          <cell r="B100">
            <v>42676</v>
          </cell>
          <cell r="C100" t="str">
            <v>NOVIEMBRE</v>
          </cell>
          <cell r="D100" t="str">
            <v>2016</v>
          </cell>
          <cell r="E100" t="str">
            <v>S/O</v>
          </cell>
          <cell r="F100" t="str">
            <v>D6F-907</v>
          </cell>
          <cell r="G100" t="str">
            <v>T2Y-979</v>
          </cell>
          <cell r="H100" t="str">
            <v>LAS BAMBAS</v>
          </cell>
          <cell r="I100">
            <v>0</v>
          </cell>
          <cell r="J100" t="str">
            <v>REPUESTO</v>
          </cell>
          <cell r="K100" t="str">
            <v>JUEGO DE EMPAQUES DE ESCAPE</v>
          </cell>
          <cell r="L100">
            <v>1</v>
          </cell>
          <cell r="M100" t="str">
            <v>UNID.</v>
          </cell>
          <cell r="N100">
            <v>0</v>
          </cell>
          <cell r="O100">
            <v>1</v>
          </cell>
          <cell r="P100" t="str">
            <v>M5</v>
          </cell>
          <cell r="Q100" t="str">
            <v>J2</v>
          </cell>
          <cell r="R100" t="str">
            <v>J6</v>
          </cell>
          <cell r="S100" t="str">
            <v>ENTREGADO</v>
          </cell>
          <cell r="T100">
            <v>42677</v>
          </cell>
          <cell r="U100" t="str">
            <v>LOPEZ RUIZ WILBERTO</v>
          </cell>
          <cell r="V100" t="str">
            <v>CORIHUAMAN SURCO  ERICK ROBERT</v>
          </cell>
        </row>
        <row r="101">
          <cell r="A101">
            <v>74</v>
          </cell>
          <cell r="B101">
            <v>42676</v>
          </cell>
          <cell r="C101" t="str">
            <v>NOVIEMBRE</v>
          </cell>
          <cell r="D101" t="str">
            <v>2016</v>
          </cell>
          <cell r="E101" t="str">
            <v>S/O</v>
          </cell>
          <cell r="F101" t="str">
            <v>D6F-907</v>
          </cell>
          <cell r="G101" t="str">
            <v>T2Y-979</v>
          </cell>
          <cell r="H101" t="str">
            <v>LAS BAMBAS</v>
          </cell>
          <cell r="I101">
            <v>0</v>
          </cell>
          <cell r="J101" t="str">
            <v>REPUESTO</v>
          </cell>
          <cell r="K101" t="str">
            <v>EMPAQUE DE ASBESTO DE TURBO</v>
          </cell>
          <cell r="L101">
            <v>1</v>
          </cell>
          <cell r="M101" t="str">
            <v>UNID.</v>
          </cell>
          <cell r="N101">
            <v>0</v>
          </cell>
          <cell r="O101">
            <v>1</v>
          </cell>
          <cell r="P101" t="str">
            <v>M5</v>
          </cell>
          <cell r="Q101" t="str">
            <v>J2</v>
          </cell>
          <cell r="R101" t="str">
            <v>J6</v>
          </cell>
          <cell r="S101" t="str">
            <v>ENTREGADO</v>
          </cell>
          <cell r="T101">
            <v>42677</v>
          </cell>
          <cell r="U101" t="str">
            <v>LOPEZ RUIZ WILBERTO</v>
          </cell>
          <cell r="V101" t="str">
            <v>CORIHUAMAN SURCO  ERICK ROBERT</v>
          </cell>
        </row>
        <row r="102">
          <cell r="A102">
            <v>64</v>
          </cell>
          <cell r="B102">
            <v>42676</v>
          </cell>
          <cell r="C102" t="str">
            <v>NOVIEMBRE</v>
          </cell>
          <cell r="D102" t="str">
            <v>2016</v>
          </cell>
          <cell r="E102" t="str">
            <v>S/O</v>
          </cell>
          <cell r="F102" t="str">
            <v>TALLER</v>
          </cell>
          <cell r="G102" t="str">
            <v>TALLER</v>
          </cell>
          <cell r="H102" t="str">
            <v>TALLER</v>
          </cell>
          <cell r="I102">
            <v>0</v>
          </cell>
          <cell r="J102" t="str">
            <v>IMPLEMENTACION</v>
          </cell>
          <cell r="K102" t="str">
            <v>PLANCHA 1/4 X 4 X 8 METAL</v>
          </cell>
          <cell r="L102">
            <v>1</v>
          </cell>
          <cell r="M102" t="str">
            <v>UNID.</v>
          </cell>
          <cell r="N102">
            <v>0</v>
          </cell>
          <cell r="O102">
            <v>114</v>
          </cell>
          <cell r="P102" t="str">
            <v>S2</v>
          </cell>
          <cell r="Q102" t="str">
            <v>J2</v>
          </cell>
          <cell r="R102" t="str">
            <v>J6</v>
          </cell>
          <cell r="S102" t="str">
            <v>ENTREGADO</v>
          </cell>
          <cell r="T102">
            <v>0</v>
          </cell>
          <cell r="U102" t="str">
            <v>PALOMINO ESTRADA  MICHEL</v>
          </cell>
          <cell r="V102" t="str">
            <v>CORIHUAMAN SURCO  ERICK ROBERT</v>
          </cell>
        </row>
        <row r="103">
          <cell r="A103">
            <v>65</v>
          </cell>
          <cell r="B103">
            <v>42676</v>
          </cell>
          <cell r="C103" t="str">
            <v>NOVIEMBRE</v>
          </cell>
          <cell r="D103" t="str">
            <v>2016</v>
          </cell>
          <cell r="E103" t="str">
            <v>S/O</v>
          </cell>
          <cell r="F103" t="str">
            <v>TALLER</v>
          </cell>
          <cell r="G103" t="str">
            <v>TALLER</v>
          </cell>
          <cell r="H103" t="str">
            <v>TALLER</v>
          </cell>
          <cell r="I103">
            <v>0</v>
          </cell>
          <cell r="J103" t="str">
            <v>HERRAMIENTAS</v>
          </cell>
          <cell r="K103" t="str">
            <v>TORNILLO DE BANCO</v>
          </cell>
          <cell r="L103">
            <v>1</v>
          </cell>
          <cell r="M103" t="str">
            <v>UNID.</v>
          </cell>
          <cell r="N103">
            <v>0</v>
          </cell>
          <cell r="O103">
            <v>114</v>
          </cell>
          <cell r="P103" t="str">
            <v>S2</v>
          </cell>
          <cell r="Q103" t="str">
            <v>J2</v>
          </cell>
          <cell r="R103" t="str">
            <v>J6</v>
          </cell>
          <cell r="S103" t="str">
            <v>ENTREGADO</v>
          </cell>
          <cell r="T103">
            <v>0</v>
          </cell>
          <cell r="U103" t="str">
            <v>PALOMINO ESTRADA  MICHEL</v>
          </cell>
          <cell r="V103" t="str">
            <v>CORIHUAMAN SURCO  ERICK ROBERT</v>
          </cell>
        </row>
        <row r="104">
          <cell r="A104">
            <v>80</v>
          </cell>
          <cell r="B104">
            <v>42676</v>
          </cell>
          <cell r="C104" t="str">
            <v>NOVIEMBRE</v>
          </cell>
          <cell r="D104" t="str">
            <v>2016</v>
          </cell>
          <cell r="E104" t="str">
            <v>S/O</v>
          </cell>
          <cell r="F104" t="str">
            <v>X2W-765</v>
          </cell>
          <cell r="G104" t="str">
            <v>C5V-993</v>
          </cell>
          <cell r="H104" t="str">
            <v>LAS BAMBAS</v>
          </cell>
          <cell r="I104">
            <v>0</v>
          </cell>
          <cell r="J104" t="str">
            <v>REPUESTO</v>
          </cell>
          <cell r="K104" t="str">
            <v>TUERCA ALTA DE 14 X 4 (DE ABRAZADERA)</v>
          </cell>
          <cell r="L104">
            <v>4</v>
          </cell>
          <cell r="M104" t="str">
            <v>UNID.</v>
          </cell>
          <cell r="N104">
            <v>0</v>
          </cell>
          <cell r="O104">
            <v>114</v>
          </cell>
          <cell r="P104" t="str">
            <v>S1</v>
          </cell>
          <cell r="Q104" t="str">
            <v>J1</v>
          </cell>
          <cell r="R104" t="str">
            <v>J6</v>
          </cell>
          <cell r="S104" t="str">
            <v>ENTREGADO</v>
          </cell>
          <cell r="T104">
            <v>0</v>
          </cell>
          <cell r="U104" t="str">
            <v>BAYONA CRUZ CRISTIAN ARMANDO</v>
          </cell>
          <cell r="V104" t="str">
            <v>FLOREZ CONDORI  JOSE WILLIANS</v>
          </cell>
        </row>
        <row r="105">
          <cell r="A105">
            <v>79</v>
          </cell>
          <cell r="B105">
            <v>42676</v>
          </cell>
          <cell r="C105" t="str">
            <v>NOVIEMBRE</v>
          </cell>
          <cell r="D105" t="str">
            <v>2016</v>
          </cell>
          <cell r="E105" t="str">
            <v>S/O</v>
          </cell>
          <cell r="F105" t="str">
            <v>X2W-765</v>
          </cell>
          <cell r="G105" t="str">
            <v>C5V-993</v>
          </cell>
          <cell r="H105" t="str">
            <v>LAS BAMBAS</v>
          </cell>
          <cell r="I105">
            <v>0</v>
          </cell>
          <cell r="J105" t="str">
            <v>REPUESTO</v>
          </cell>
          <cell r="K105" t="str">
            <v>ABRAZADERAS PARA MUELLE 14 X 4 (TUERCA ALTA)</v>
          </cell>
          <cell r="L105">
            <v>2</v>
          </cell>
          <cell r="M105" t="str">
            <v>UNID.</v>
          </cell>
          <cell r="N105">
            <v>0</v>
          </cell>
          <cell r="O105">
            <v>1</v>
          </cell>
          <cell r="P105" t="str">
            <v>S1</v>
          </cell>
          <cell r="Q105" t="str">
            <v>J1</v>
          </cell>
          <cell r="R105" t="str">
            <v>J6</v>
          </cell>
          <cell r="S105" t="str">
            <v>ENTREGADO</v>
          </cell>
          <cell r="T105">
            <v>42677</v>
          </cell>
          <cell r="U105" t="str">
            <v>BAYONA CRUZ CRISTIAN ARMANDO</v>
          </cell>
          <cell r="V105" t="str">
            <v>FLOREZ CONDORI  JOSE WILLIANS</v>
          </cell>
        </row>
        <row r="106">
          <cell r="A106">
            <v>81</v>
          </cell>
          <cell r="B106">
            <v>42676</v>
          </cell>
          <cell r="C106" t="str">
            <v>NOVIEMBRE</v>
          </cell>
          <cell r="D106" t="str">
            <v>2016</v>
          </cell>
          <cell r="E106" t="str">
            <v>S/O</v>
          </cell>
          <cell r="F106" t="str">
            <v>X2W-765</v>
          </cell>
          <cell r="G106" t="str">
            <v>C5V-993</v>
          </cell>
          <cell r="H106" t="str">
            <v>LAS BAMBAS</v>
          </cell>
          <cell r="I106">
            <v>0</v>
          </cell>
          <cell r="J106" t="str">
            <v>INSUMO TALLER</v>
          </cell>
          <cell r="K106" t="str">
            <v>DISCO DE CORTE DE 7 DE 1/16</v>
          </cell>
          <cell r="L106">
            <v>4</v>
          </cell>
          <cell r="M106" t="str">
            <v>UNID.</v>
          </cell>
          <cell r="N106">
            <v>0</v>
          </cell>
          <cell r="O106">
            <v>1</v>
          </cell>
          <cell r="P106" t="str">
            <v>S1</v>
          </cell>
          <cell r="Q106" t="str">
            <v>J1</v>
          </cell>
          <cell r="R106" t="str">
            <v>J6</v>
          </cell>
          <cell r="S106" t="str">
            <v>ENTREGADO</v>
          </cell>
          <cell r="T106">
            <v>42677</v>
          </cell>
          <cell r="U106" t="str">
            <v>BAYONA CRUZ CRISTIAN ARMANDO</v>
          </cell>
          <cell r="V106" t="str">
            <v>FLOREZ CONDORI  JOSE WILLIANS</v>
          </cell>
        </row>
        <row r="107">
          <cell r="A107">
            <v>83</v>
          </cell>
          <cell r="B107">
            <v>42677</v>
          </cell>
          <cell r="C107" t="str">
            <v>NOVIEMBRE</v>
          </cell>
          <cell r="D107" t="str">
            <v>2016</v>
          </cell>
          <cell r="E107">
            <v>215</v>
          </cell>
          <cell r="F107" t="str">
            <v>ABR-727</v>
          </cell>
          <cell r="G107" t="str">
            <v>C9S-989</v>
          </cell>
          <cell r="H107" t="str">
            <v>LAS BAMBAS</v>
          </cell>
          <cell r="I107">
            <v>96053</v>
          </cell>
          <cell r="J107" t="str">
            <v>REPUESTO</v>
          </cell>
          <cell r="K107" t="str">
            <v>SOCKET PARA FOCO LAGRIMON</v>
          </cell>
          <cell r="L107">
            <v>2</v>
          </cell>
          <cell r="M107" t="str">
            <v>UNID.</v>
          </cell>
          <cell r="N107" t="str">
            <v>TRACTO</v>
          </cell>
          <cell r="O107">
            <v>0</v>
          </cell>
          <cell r="P107" t="str">
            <v>E1</v>
          </cell>
          <cell r="Q107" t="str">
            <v>J2</v>
          </cell>
          <cell r="R107" t="str">
            <v>J6</v>
          </cell>
          <cell r="S107" t="str">
            <v>ENTREGADO</v>
          </cell>
          <cell r="T107">
            <v>42677</v>
          </cell>
          <cell r="U107" t="str">
            <v>PALOMINO CARDENAS JUAN CARLOS</v>
          </cell>
          <cell r="V107" t="str">
            <v>CORIHUAMAN SURCO  ERICK ROBERT</v>
          </cell>
        </row>
        <row r="108">
          <cell r="A108">
            <v>84</v>
          </cell>
          <cell r="B108">
            <v>42677</v>
          </cell>
          <cell r="C108" t="str">
            <v>NOVIEMBRE</v>
          </cell>
          <cell r="D108" t="str">
            <v>2016</v>
          </cell>
          <cell r="E108">
            <v>215</v>
          </cell>
          <cell r="F108" t="str">
            <v>ABR-727</v>
          </cell>
          <cell r="G108" t="str">
            <v>C9S-989</v>
          </cell>
          <cell r="H108" t="str">
            <v>LAS BAMBAS</v>
          </cell>
          <cell r="I108">
            <v>96053</v>
          </cell>
          <cell r="J108" t="str">
            <v>REPUESTO</v>
          </cell>
          <cell r="K108" t="str">
            <v>FOCO DE DOBLE CONTACTO 12 V</v>
          </cell>
          <cell r="L108">
            <v>2</v>
          </cell>
          <cell r="M108" t="str">
            <v>UNID.</v>
          </cell>
          <cell r="N108" t="str">
            <v>TRACTO</v>
          </cell>
          <cell r="O108">
            <v>0</v>
          </cell>
          <cell r="P108" t="str">
            <v>E1</v>
          </cell>
          <cell r="Q108" t="str">
            <v>J2</v>
          </cell>
          <cell r="R108" t="str">
            <v>J6</v>
          </cell>
          <cell r="S108" t="str">
            <v>ENTREGADO</v>
          </cell>
          <cell r="T108">
            <v>42677</v>
          </cell>
          <cell r="U108" t="str">
            <v>PALOMINO CARDENAS JUAN CARLOS</v>
          </cell>
          <cell r="V108" t="str">
            <v>CORIHUAMAN SURCO  ERICK ROBERT</v>
          </cell>
        </row>
        <row r="109">
          <cell r="A109">
            <v>86</v>
          </cell>
          <cell r="B109">
            <v>42677</v>
          </cell>
          <cell r="C109" t="str">
            <v>NOVIEMBRE</v>
          </cell>
          <cell r="D109" t="str">
            <v>2016</v>
          </cell>
          <cell r="E109">
            <v>215</v>
          </cell>
          <cell r="F109" t="str">
            <v>ABR-727</v>
          </cell>
          <cell r="G109" t="str">
            <v>C9S-989</v>
          </cell>
          <cell r="H109" t="str">
            <v>LAS BAMBAS</v>
          </cell>
          <cell r="I109">
            <v>96053</v>
          </cell>
          <cell r="J109" t="str">
            <v>REPUESTO</v>
          </cell>
          <cell r="K109" t="str">
            <v>FUSIBLE DE 20 A.</v>
          </cell>
          <cell r="L109">
            <v>1</v>
          </cell>
          <cell r="M109" t="str">
            <v>UNID.</v>
          </cell>
          <cell r="N109" t="str">
            <v>TRACTO</v>
          </cell>
          <cell r="O109">
            <v>113</v>
          </cell>
          <cell r="P109" t="str">
            <v>E1</v>
          </cell>
          <cell r="Q109" t="str">
            <v>J2</v>
          </cell>
          <cell r="R109" t="str">
            <v>J6</v>
          </cell>
          <cell r="S109" t="str">
            <v>ENTREGADO</v>
          </cell>
          <cell r="T109">
            <v>0</v>
          </cell>
          <cell r="U109" t="str">
            <v>PALOMINO CARDENAS JUAN CARLOS</v>
          </cell>
          <cell r="V109" t="str">
            <v>CORIHUAMAN SURCO  ERICK ROBERT</v>
          </cell>
        </row>
        <row r="110">
          <cell r="A110">
            <v>87</v>
          </cell>
          <cell r="B110">
            <v>42677</v>
          </cell>
          <cell r="C110" t="str">
            <v>NOVIEMBRE</v>
          </cell>
          <cell r="D110" t="str">
            <v>2016</v>
          </cell>
          <cell r="E110">
            <v>215</v>
          </cell>
          <cell r="F110" t="str">
            <v>ABR-727</v>
          </cell>
          <cell r="G110" t="str">
            <v>C9S-989</v>
          </cell>
          <cell r="H110" t="str">
            <v>LAS BAMBAS</v>
          </cell>
          <cell r="I110">
            <v>96053</v>
          </cell>
          <cell r="J110" t="str">
            <v>REPUESTO</v>
          </cell>
          <cell r="K110" t="str">
            <v>PALANCA DE FAROS DELANTEROS</v>
          </cell>
          <cell r="L110">
            <v>1</v>
          </cell>
          <cell r="M110" t="str">
            <v>UNID.</v>
          </cell>
          <cell r="N110" t="str">
            <v>TRACTO</v>
          </cell>
          <cell r="O110">
            <v>113</v>
          </cell>
          <cell r="P110" t="str">
            <v>E1</v>
          </cell>
          <cell r="Q110" t="str">
            <v>J2</v>
          </cell>
          <cell r="R110" t="str">
            <v>J6</v>
          </cell>
          <cell r="S110" t="str">
            <v>ENTREGADO</v>
          </cell>
          <cell r="T110">
            <v>0</v>
          </cell>
          <cell r="U110" t="str">
            <v>PALOMINO CARDENAS JUAN CARLOS</v>
          </cell>
          <cell r="V110" t="str">
            <v>CORIHUAMAN SURCO  ERICK ROBERT</v>
          </cell>
        </row>
        <row r="111">
          <cell r="A111">
            <v>96</v>
          </cell>
          <cell r="B111">
            <v>42677</v>
          </cell>
          <cell r="C111" t="str">
            <v>NOVIEMBRE</v>
          </cell>
          <cell r="D111" t="str">
            <v>2016</v>
          </cell>
          <cell r="E111">
            <v>222</v>
          </cell>
          <cell r="F111" t="str">
            <v>C5R-892</v>
          </cell>
          <cell r="G111" t="str">
            <v>A0T-983</v>
          </cell>
          <cell r="H111" t="str">
            <v>LAS BAMBAS</v>
          </cell>
          <cell r="I111">
            <v>222979</v>
          </cell>
          <cell r="J111" t="str">
            <v>SERVICIO</v>
          </cell>
          <cell r="K111" t="str">
            <v>SERVICIO DE MANTENIMIENTO DE RADIADOR</v>
          </cell>
          <cell r="L111">
            <v>1</v>
          </cell>
          <cell r="M111" t="str">
            <v>UNID.</v>
          </cell>
          <cell r="N111" t="str">
            <v>TRACTO</v>
          </cell>
          <cell r="O111">
            <v>113</v>
          </cell>
          <cell r="P111" t="str">
            <v>M2</v>
          </cell>
          <cell r="Q111" t="str">
            <v>J1</v>
          </cell>
          <cell r="R111" t="str">
            <v>J6</v>
          </cell>
          <cell r="S111" t="str">
            <v>ENTREGADO</v>
          </cell>
          <cell r="T111">
            <v>0</v>
          </cell>
          <cell r="U111" t="str">
            <v>CHUMPITAZ GAGO JULIO ENRIQUE</v>
          </cell>
          <cell r="V111" t="str">
            <v>FLOREZ CONDORI  JOSE WILLIANS</v>
          </cell>
        </row>
        <row r="112">
          <cell r="A112">
            <v>94</v>
          </cell>
          <cell r="B112">
            <v>42677</v>
          </cell>
          <cell r="C112" t="str">
            <v>NOVIEMBRE</v>
          </cell>
          <cell r="D112" t="str">
            <v>2016</v>
          </cell>
          <cell r="E112">
            <v>220</v>
          </cell>
          <cell r="F112" t="str">
            <v>C5R-895</v>
          </cell>
          <cell r="G112" t="str">
            <v>TBL-976</v>
          </cell>
          <cell r="H112" t="str">
            <v>LAS BAMBAS</v>
          </cell>
          <cell r="I112">
            <v>163864</v>
          </cell>
          <cell r="J112" t="str">
            <v>REPUESTO</v>
          </cell>
          <cell r="K112" t="str">
            <v>RELAY PRINCIPAL DE ELEVADOR DE LUNAS DE VENTANA</v>
          </cell>
          <cell r="L112">
            <v>1</v>
          </cell>
          <cell r="M112" t="str">
            <v>UNID.</v>
          </cell>
          <cell r="N112" t="str">
            <v>TRACTO</v>
          </cell>
          <cell r="O112">
            <v>113</v>
          </cell>
          <cell r="P112" t="str">
            <v>E1</v>
          </cell>
          <cell r="Q112" t="str">
            <v>J2</v>
          </cell>
          <cell r="R112" t="str">
            <v>J6</v>
          </cell>
          <cell r="S112" t="str">
            <v>ENTREGADO</v>
          </cell>
          <cell r="T112">
            <v>0</v>
          </cell>
          <cell r="U112" t="str">
            <v>PALOMINO CARDENAS JUAN CARLOS</v>
          </cell>
          <cell r="V112" t="str">
            <v>CORIHUAMAN SURCO  ERICK ROBERT</v>
          </cell>
        </row>
        <row r="113">
          <cell r="A113">
            <v>88</v>
          </cell>
          <cell r="B113">
            <v>42677</v>
          </cell>
          <cell r="C113" t="str">
            <v>NOVIEMBRE</v>
          </cell>
          <cell r="D113" t="str">
            <v>2016</v>
          </cell>
          <cell r="E113">
            <v>217</v>
          </cell>
          <cell r="F113" t="str">
            <v>C5R-896</v>
          </cell>
          <cell r="G113" t="str">
            <v>A0U-977</v>
          </cell>
          <cell r="H113" t="str">
            <v>LAS BAMBAS</v>
          </cell>
          <cell r="I113">
            <v>0</v>
          </cell>
          <cell r="J113" t="str">
            <v>REPUESTO</v>
          </cell>
          <cell r="K113" t="str">
            <v>MANGUERAS ESPIRAL DE TRACTO A CISTERNA (ROJO, AZUL)</v>
          </cell>
          <cell r="L113">
            <v>2</v>
          </cell>
          <cell r="M113" t="str">
            <v>UNID.</v>
          </cell>
          <cell r="N113" t="str">
            <v>TRACTO</v>
          </cell>
          <cell r="O113">
            <v>0</v>
          </cell>
          <cell r="P113" t="str">
            <v>M3</v>
          </cell>
          <cell r="Q113" t="str">
            <v>J2</v>
          </cell>
          <cell r="R113" t="str">
            <v>J6</v>
          </cell>
          <cell r="S113" t="str">
            <v>ENTREGADO</v>
          </cell>
          <cell r="T113">
            <v>42677</v>
          </cell>
          <cell r="U113" t="str">
            <v>GARCIA PASQUEL  JOSE LUIS</v>
          </cell>
          <cell r="V113" t="str">
            <v>CORIHUAMAN SURCO  ERICK ROBERT</v>
          </cell>
        </row>
        <row r="114">
          <cell r="A114">
            <v>92</v>
          </cell>
          <cell r="B114">
            <v>42677</v>
          </cell>
          <cell r="C114" t="str">
            <v>NOVIEMBRE</v>
          </cell>
          <cell r="D114" t="str">
            <v>2016</v>
          </cell>
          <cell r="E114">
            <v>217</v>
          </cell>
          <cell r="F114" t="str">
            <v>C5R-896</v>
          </cell>
          <cell r="G114" t="str">
            <v>A0U-977</v>
          </cell>
          <cell r="H114" t="str">
            <v>LAS BAMBAS</v>
          </cell>
          <cell r="I114">
            <v>0</v>
          </cell>
          <cell r="J114" t="str">
            <v>REPUESTO</v>
          </cell>
          <cell r="K114" t="str">
            <v>TUBO FLEXIBLE DE 5" X 60 CM.</v>
          </cell>
          <cell r="L114">
            <v>1</v>
          </cell>
          <cell r="M114" t="str">
            <v>UNID.</v>
          </cell>
          <cell r="N114" t="str">
            <v>TRACTO</v>
          </cell>
          <cell r="O114">
            <v>113</v>
          </cell>
          <cell r="P114" t="str">
            <v>M8</v>
          </cell>
          <cell r="Q114" t="str">
            <v>J2</v>
          </cell>
          <cell r="R114" t="str">
            <v>J6</v>
          </cell>
          <cell r="S114" t="str">
            <v>ENTREGADO</v>
          </cell>
          <cell r="T114">
            <v>0</v>
          </cell>
          <cell r="U114" t="str">
            <v>VARILLAS GAGO  OSCAR ALBERTO</v>
          </cell>
          <cell r="V114" t="str">
            <v>CORIHUAMAN SURCO  ERICK ROBERT</v>
          </cell>
        </row>
        <row r="115">
          <cell r="A115">
            <v>93</v>
          </cell>
          <cell r="B115">
            <v>42677</v>
          </cell>
          <cell r="C115" t="str">
            <v>NOVIEMBRE</v>
          </cell>
          <cell r="D115" t="str">
            <v>2016</v>
          </cell>
          <cell r="E115">
            <v>217</v>
          </cell>
          <cell r="F115" t="str">
            <v>C5R-896</v>
          </cell>
          <cell r="G115" t="str">
            <v>A0U-977</v>
          </cell>
          <cell r="H115" t="str">
            <v>LAS BAMBAS</v>
          </cell>
          <cell r="I115">
            <v>0</v>
          </cell>
          <cell r="J115" t="str">
            <v>REPUESTO</v>
          </cell>
          <cell r="K115" t="str">
            <v>ABRAZADERA DE 5"X3" PARA TUBO FLEXIBLE</v>
          </cell>
          <cell r="L115">
            <v>2</v>
          </cell>
          <cell r="M115" t="str">
            <v>UNID.</v>
          </cell>
          <cell r="N115" t="str">
            <v>TRACTO</v>
          </cell>
          <cell r="O115">
            <v>113</v>
          </cell>
          <cell r="P115" t="str">
            <v>M8</v>
          </cell>
          <cell r="Q115" t="str">
            <v>J2</v>
          </cell>
          <cell r="R115" t="str">
            <v>J6</v>
          </cell>
          <cell r="S115" t="str">
            <v>ENTREGADO</v>
          </cell>
          <cell r="T115">
            <v>0</v>
          </cell>
          <cell r="U115" t="str">
            <v>VARILLAS GAGO  OSCAR ALBERTO</v>
          </cell>
          <cell r="V115" t="str">
            <v>CORIHUAMAN SURCO  ERICK ROBERT</v>
          </cell>
        </row>
        <row r="116">
          <cell r="A116">
            <v>97</v>
          </cell>
          <cell r="B116">
            <v>42677</v>
          </cell>
          <cell r="C116" t="str">
            <v>NOVIEMBRE</v>
          </cell>
          <cell r="D116" t="str">
            <v>2016</v>
          </cell>
          <cell r="E116">
            <v>208</v>
          </cell>
          <cell r="F116" t="str">
            <v>C9N-807</v>
          </cell>
          <cell r="G116" t="str">
            <v>B4O-994</v>
          </cell>
          <cell r="H116" t="str">
            <v>LAS BAMBAS</v>
          </cell>
          <cell r="I116">
            <v>206278</v>
          </cell>
          <cell r="J116" t="str">
            <v>SERVICIO</v>
          </cell>
          <cell r="K116" t="str">
            <v>SERVICIO DE TAPIZADO DE ASIENTO</v>
          </cell>
          <cell r="L116">
            <v>1</v>
          </cell>
          <cell r="M116" t="str">
            <v>UNID.</v>
          </cell>
          <cell r="N116" t="str">
            <v>TRACTO</v>
          </cell>
          <cell r="O116">
            <v>113</v>
          </cell>
          <cell r="P116" t="str">
            <v>M5</v>
          </cell>
          <cell r="Q116" t="str">
            <v>J2</v>
          </cell>
          <cell r="R116" t="str">
            <v>J6</v>
          </cell>
          <cell r="S116" t="str">
            <v>ENTREGADO</v>
          </cell>
          <cell r="T116">
            <v>0</v>
          </cell>
          <cell r="U116" t="str">
            <v>LOPEZ RUIZ WILBERTO</v>
          </cell>
          <cell r="V116" t="str">
            <v>CORIHUAMAN SURCO  ERICK ROBERT</v>
          </cell>
        </row>
        <row r="117">
          <cell r="A117">
            <v>95</v>
          </cell>
          <cell r="B117">
            <v>42677</v>
          </cell>
          <cell r="C117" t="str">
            <v>NOVIEMBRE</v>
          </cell>
          <cell r="D117" t="str">
            <v>2016</v>
          </cell>
          <cell r="E117">
            <v>221</v>
          </cell>
          <cell r="F117" t="str">
            <v>D7V-714</v>
          </cell>
          <cell r="G117" t="str">
            <v>F7M-971</v>
          </cell>
          <cell r="H117" t="str">
            <v>LAS BAMBAS</v>
          </cell>
          <cell r="I117">
            <v>43870</v>
          </cell>
          <cell r="J117" t="str">
            <v>REPUESTO</v>
          </cell>
          <cell r="K117" t="str">
            <v>PERNO CABEZA HEXAGONAL 3/8" X 3"</v>
          </cell>
          <cell r="L117">
            <v>3</v>
          </cell>
          <cell r="M117" t="str">
            <v>UNID.</v>
          </cell>
          <cell r="N117" t="str">
            <v>TRACTO</v>
          </cell>
          <cell r="O117">
            <v>113</v>
          </cell>
          <cell r="P117" t="str">
            <v>M3</v>
          </cell>
          <cell r="Q117" t="str">
            <v>J1</v>
          </cell>
          <cell r="R117" t="str">
            <v>J6</v>
          </cell>
          <cell r="S117" t="str">
            <v>ENTREGADO</v>
          </cell>
          <cell r="T117">
            <v>0</v>
          </cell>
          <cell r="U117" t="str">
            <v>GARCIA PASQUEL  JOSE LUIS</v>
          </cell>
          <cell r="V117" t="str">
            <v>FLOREZ CONDORI  JOSE WILLIANS</v>
          </cell>
        </row>
        <row r="118">
          <cell r="A118">
            <v>89</v>
          </cell>
          <cell r="B118">
            <v>42677</v>
          </cell>
          <cell r="C118" t="str">
            <v>NOVIEMBRE</v>
          </cell>
          <cell r="D118" t="str">
            <v>2016</v>
          </cell>
          <cell r="E118">
            <v>200</v>
          </cell>
          <cell r="F118" t="str">
            <v>TALLER</v>
          </cell>
          <cell r="G118" t="str">
            <v>TALLER</v>
          </cell>
          <cell r="H118" t="str">
            <v>TALLER</v>
          </cell>
          <cell r="I118" t="str">
            <v>TALLER</v>
          </cell>
          <cell r="J118" t="str">
            <v>IMPLEMENTACION</v>
          </cell>
          <cell r="K118" t="str">
            <v>FORMATOS AUTOCOPIATIVOS DE REPORTE DE FALLAS (ORIGINAL + 1 COPIA)</v>
          </cell>
          <cell r="L118">
            <v>2</v>
          </cell>
          <cell r="M118" t="str">
            <v>MILLAR</v>
          </cell>
          <cell r="N118" t="str">
            <v>TALLER</v>
          </cell>
          <cell r="O118">
            <v>113</v>
          </cell>
          <cell r="P118" t="str">
            <v>J1</v>
          </cell>
          <cell r="Q118" t="str">
            <v>J1</v>
          </cell>
          <cell r="R118" t="str">
            <v>J6</v>
          </cell>
          <cell r="S118" t="str">
            <v>ENTREGADO</v>
          </cell>
          <cell r="T118">
            <v>0</v>
          </cell>
          <cell r="U118" t="str">
            <v>FLOREZ CONDORI  JOSE WILLIANS</v>
          </cell>
          <cell r="V118" t="str">
            <v>FLOREZ CONDORI  JOSE WILLIANS</v>
          </cell>
        </row>
        <row r="119">
          <cell r="A119">
            <v>85</v>
          </cell>
          <cell r="B119">
            <v>42677</v>
          </cell>
          <cell r="C119" t="str">
            <v>NOVIEMBRE</v>
          </cell>
          <cell r="D119" t="str">
            <v>2016</v>
          </cell>
          <cell r="E119">
            <v>218</v>
          </cell>
          <cell r="F119" t="str">
            <v>X2W-760</v>
          </cell>
          <cell r="G119" t="str">
            <v>C5V-992</v>
          </cell>
          <cell r="H119" t="str">
            <v>LAS BAMBAS</v>
          </cell>
          <cell r="I119">
            <v>145480</v>
          </cell>
          <cell r="J119" t="str">
            <v>REPUESTO</v>
          </cell>
          <cell r="K119" t="str">
            <v>GANCHO DE CAPOT LADO DERECHO</v>
          </cell>
          <cell r="L119">
            <v>1</v>
          </cell>
          <cell r="M119" t="str">
            <v>UNID.</v>
          </cell>
          <cell r="N119" t="str">
            <v>TRACTO</v>
          </cell>
          <cell r="O119">
            <v>113</v>
          </cell>
          <cell r="P119" t="str">
            <v>M5</v>
          </cell>
          <cell r="Q119" t="str">
            <v>J1</v>
          </cell>
          <cell r="R119" t="str">
            <v>J6</v>
          </cell>
          <cell r="S119" t="str">
            <v>ENTREGADO</v>
          </cell>
          <cell r="T119">
            <v>0</v>
          </cell>
          <cell r="U119" t="str">
            <v>LOPEZ RUIZ WILBERTO</v>
          </cell>
          <cell r="V119" t="str">
            <v>FLOREZ CONDORI  JOSE WILLIANS</v>
          </cell>
        </row>
        <row r="120">
          <cell r="A120">
            <v>90</v>
          </cell>
          <cell r="B120">
            <v>42677</v>
          </cell>
          <cell r="C120" t="str">
            <v>NOVIEMBRE</v>
          </cell>
          <cell r="D120" t="str">
            <v>2016</v>
          </cell>
          <cell r="E120">
            <v>218</v>
          </cell>
          <cell r="F120" t="str">
            <v>X2W-760</v>
          </cell>
          <cell r="G120" t="str">
            <v>C5V-992</v>
          </cell>
          <cell r="H120" t="str">
            <v>LAS BAMBAS</v>
          </cell>
          <cell r="I120">
            <v>145480</v>
          </cell>
          <cell r="J120" t="str">
            <v>REPUESTO</v>
          </cell>
          <cell r="K120" t="str">
            <v xml:space="preserve">MANGUERA DE ENFRIADOR DE ACEITE DE CAJA </v>
          </cell>
          <cell r="L120">
            <v>1</v>
          </cell>
          <cell r="M120" t="str">
            <v>UNID.</v>
          </cell>
          <cell r="N120" t="str">
            <v>TRACTO</v>
          </cell>
          <cell r="O120">
            <v>0</v>
          </cell>
          <cell r="P120" t="str">
            <v>M5</v>
          </cell>
          <cell r="Q120" t="str">
            <v>J2</v>
          </cell>
          <cell r="R120" t="str">
            <v>J6</v>
          </cell>
          <cell r="S120" t="str">
            <v>ENTREGADO</v>
          </cell>
          <cell r="T120">
            <v>42677</v>
          </cell>
          <cell r="U120" t="str">
            <v>LOPEZ RUIZ WILBERTO</v>
          </cell>
          <cell r="V120" t="str">
            <v>CORIHUAMAN SURCO  ERICK ROBERT</v>
          </cell>
        </row>
        <row r="121">
          <cell r="A121">
            <v>91</v>
          </cell>
          <cell r="B121">
            <v>42677</v>
          </cell>
          <cell r="C121" t="str">
            <v>NOVIEMBRE</v>
          </cell>
          <cell r="D121" t="str">
            <v>2016</v>
          </cell>
          <cell r="E121">
            <v>218</v>
          </cell>
          <cell r="F121" t="str">
            <v>X2W-760</v>
          </cell>
          <cell r="G121" t="str">
            <v>C5V-992</v>
          </cell>
          <cell r="H121" t="str">
            <v>LAS BAMBAS</v>
          </cell>
          <cell r="I121">
            <v>145480</v>
          </cell>
          <cell r="J121" t="str">
            <v>REPUESTO</v>
          </cell>
          <cell r="K121" t="str">
            <v>VALVULA DE LIBERACION NEUMATICA BENDIX  SEGÚN MUESTRA</v>
          </cell>
          <cell r="L121">
            <v>1</v>
          </cell>
          <cell r="M121" t="str">
            <v>UNID.</v>
          </cell>
          <cell r="N121" t="str">
            <v>TRACTO</v>
          </cell>
          <cell r="O121">
            <v>113</v>
          </cell>
          <cell r="P121" t="str">
            <v>M5</v>
          </cell>
          <cell r="Q121" t="str">
            <v>J2</v>
          </cell>
          <cell r="R121" t="str">
            <v>J6</v>
          </cell>
          <cell r="S121" t="str">
            <v>ENTREGADO</v>
          </cell>
          <cell r="T121">
            <v>0</v>
          </cell>
          <cell r="U121" t="str">
            <v>LOPEZ RUIZ WILBERTO</v>
          </cell>
          <cell r="V121" t="str">
            <v>CORIHUAMAN SURCO  ERICK ROBERT</v>
          </cell>
        </row>
        <row r="122">
          <cell r="A122">
            <v>120</v>
          </cell>
          <cell r="B122">
            <v>42678</v>
          </cell>
          <cell r="C122" t="str">
            <v>NOVIEMBRE</v>
          </cell>
          <cell r="D122" t="str">
            <v>2016</v>
          </cell>
          <cell r="E122">
            <v>225</v>
          </cell>
          <cell r="F122" t="str">
            <v>ABP-729</v>
          </cell>
          <cell r="G122" t="str">
            <v>D8K-985</v>
          </cell>
          <cell r="H122" t="str">
            <v>LAS BAMBAS</v>
          </cell>
          <cell r="I122">
            <v>104807</v>
          </cell>
          <cell r="J122" t="str">
            <v>REPUESTO</v>
          </cell>
          <cell r="K122" t="str">
            <v>ZAPATAS  Y REMACHESCHES</v>
          </cell>
          <cell r="L122">
            <v>2</v>
          </cell>
          <cell r="M122" t="str">
            <v>JUEGO</v>
          </cell>
          <cell r="N122" t="str">
            <v>TRACTO</v>
          </cell>
          <cell r="O122">
            <v>0</v>
          </cell>
          <cell r="P122" t="str">
            <v>M6</v>
          </cell>
          <cell r="Q122" t="str">
            <v>J2</v>
          </cell>
          <cell r="R122" t="str">
            <v>J6</v>
          </cell>
          <cell r="S122" t="str">
            <v>ENTREGADO</v>
          </cell>
          <cell r="T122">
            <v>42678</v>
          </cell>
          <cell r="U122" t="str">
            <v>PARI VENTURA  EDSON ORLANDO</v>
          </cell>
          <cell r="V122" t="str">
            <v>CORIHUAMAN SURCO  ERICK ROBERT</v>
          </cell>
        </row>
        <row r="123">
          <cell r="A123">
            <v>121</v>
          </cell>
          <cell r="B123">
            <v>42678</v>
          </cell>
          <cell r="C123" t="str">
            <v>NOVIEMBRE</v>
          </cell>
          <cell r="D123" t="str">
            <v>2016</v>
          </cell>
          <cell r="E123">
            <v>225</v>
          </cell>
          <cell r="F123" t="str">
            <v>ABP-729</v>
          </cell>
          <cell r="G123" t="str">
            <v>D8K-985</v>
          </cell>
          <cell r="H123" t="str">
            <v>LAS BAMBAS</v>
          </cell>
          <cell r="I123">
            <v>104807</v>
          </cell>
          <cell r="J123" t="str">
            <v>REPUESTO</v>
          </cell>
          <cell r="K123" t="str">
            <v>FILTRO DE AIRE PRIMARIO</v>
          </cell>
          <cell r="L123">
            <v>1</v>
          </cell>
          <cell r="M123" t="str">
            <v>UNID.</v>
          </cell>
          <cell r="N123" t="str">
            <v>TRACTO</v>
          </cell>
          <cell r="O123">
            <v>0</v>
          </cell>
          <cell r="P123" t="str">
            <v>M6</v>
          </cell>
          <cell r="Q123" t="str">
            <v>J2</v>
          </cell>
          <cell r="R123" t="str">
            <v>J6</v>
          </cell>
          <cell r="S123" t="str">
            <v>ENTREGADO</v>
          </cell>
          <cell r="T123">
            <v>42678</v>
          </cell>
          <cell r="U123" t="str">
            <v>PARI VENTURA  EDSON ORLANDO</v>
          </cell>
          <cell r="V123" t="str">
            <v>CORIHUAMAN SURCO  ERICK ROBERT</v>
          </cell>
        </row>
        <row r="124">
          <cell r="A124">
            <v>122</v>
          </cell>
          <cell r="B124">
            <v>42678</v>
          </cell>
          <cell r="C124" t="str">
            <v>NOVIEMBRE</v>
          </cell>
          <cell r="D124" t="str">
            <v>2016</v>
          </cell>
          <cell r="E124">
            <v>225</v>
          </cell>
          <cell r="F124" t="str">
            <v>ABP-729</v>
          </cell>
          <cell r="G124" t="str">
            <v>D8K-985</v>
          </cell>
          <cell r="H124" t="str">
            <v>LAS BAMBAS</v>
          </cell>
          <cell r="I124">
            <v>104807</v>
          </cell>
          <cell r="J124" t="str">
            <v>REPUESTO</v>
          </cell>
          <cell r="K124" t="str">
            <v>ACCESORIO DE REPARACION DE VALAVULA PULPO</v>
          </cell>
          <cell r="L124">
            <v>1</v>
          </cell>
          <cell r="M124" t="str">
            <v>JUEGO</v>
          </cell>
          <cell r="N124" t="str">
            <v>CISTERNA</v>
          </cell>
          <cell r="O124">
            <v>0</v>
          </cell>
          <cell r="P124" t="str">
            <v>M6</v>
          </cell>
          <cell r="Q124" t="str">
            <v>J2</v>
          </cell>
          <cell r="R124" t="str">
            <v>J6</v>
          </cell>
          <cell r="S124" t="str">
            <v>ENTREGADO</v>
          </cell>
          <cell r="T124">
            <v>42678</v>
          </cell>
          <cell r="U124" t="str">
            <v>PARI VENTURA  EDSON ORLANDO</v>
          </cell>
          <cell r="V124" t="str">
            <v>CORIHUAMAN SURCO  ERICK ROBERT</v>
          </cell>
        </row>
        <row r="125">
          <cell r="A125">
            <v>123</v>
          </cell>
          <cell r="B125">
            <v>42678</v>
          </cell>
          <cell r="C125" t="str">
            <v>NOVIEMBRE</v>
          </cell>
          <cell r="D125" t="str">
            <v>2016</v>
          </cell>
          <cell r="E125">
            <v>225</v>
          </cell>
          <cell r="F125" t="str">
            <v>ABP-729</v>
          </cell>
          <cell r="G125" t="str">
            <v>D8K-985</v>
          </cell>
          <cell r="H125" t="str">
            <v>LAS BAMBAS</v>
          </cell>
          <cell r="I125">
            <v>104807</v>
          </cell>
          <cell r="J125" t="str">
            <v>REPUESTO</v>
          </cell>
          <cell r="K125" t="str">
            <v>TEFLON</v>
          </cell>
          <cell r="L125">
            <v>1</v>
          </cell>
          <cell r="M125" t="str">
            <v>UNID.</v>
          </cell>
          <cell r="N125" t="str">
            <v>CISTERNA</v>
          </cell>
          <cell r="O125">
            <v>0</v>
          </cell>
          <cell r="P125" t="str">
            <v>M6</v>
          </cell>
          <cell r="Q125" t="str">
            <v>J2</v>
          </cell>
          <cell r="R125" t="str">
            <v>J6</v>
          </cell>
          <cell r="S125" t="str">
            <v>ENTREGADO</v>
          </cell>
          <cell r="T125">
            <v>42678</v>
          </cell>
          <cell r="U125" t="str">
            <v>PARI VENTURA  EDSON ORLANDO</v>
          </cell>
          <cell r="V125" t="str">
            <v>CORIHUAMAN SURCO  ERICK ROBERT</v>
          </cell>
        </row>
        <row r="126">
          <cell r="A126">
            <v>124</v>
          </cell>
          <cell r="B126">
            <v>42678</v>
          </cell>
          <cell r="C126" t="str">
            <v>NOVIEMBRE</v>
          </cell>
          <cell r="D126" t="str">
            <v>2016</v>
          </cell>
          <cell r="E126">
            <v>225</v>
          </cell>
          <cell r="F126" t="str">
            <v>ABP-729</v>
          </cell>
          <cell r="G126" t="str">
            <v>D8K-985</v>
          </cell>
          <cell r="H126" t="str">
            <v>LAS BAMBAS</v>
          </cell>
          <cell r="I126">
            <v>104807</v>
          </cell>
          <cell r="J126" t="str">
            <v>REPUESTO</v>
          </cell>
          <cell r="K126" t="str">
            <v>RESORTES GRANDES PARA ZAPATA</v>
          </cell>
          <cell r="L126">
            <v>4</v>
          </cell>
          <cell r="M126" t="str">
            <v>UNID.</v>
          </cell>
          <cell r="N126" t="str">
            <v>CISTERNA</v>
          </cell>
          <cell r="O126">
            <v>0</v>
          </cell>
          <cell r="P126" t="str">
            <v>M6</v>
          </cell>
          <cell r="Q126" t="str">
            <v>J2</v>
          </cell>
          <cell r="R126" t="str">
            <v>J6</v>
          </cell>
          <cell r="S126" t="str">
            <v>ENTREGADO</v>
          </cell>
          <cell r="T126">
            <v>42678</v>
          </cell>
          <cell r="U126" t="str">
            <v>PARI VENTURA  EDSON ORLANDO</v>
          </cell>
          <cell r="V126" t="str">
            <v>CORIHUAMAN SURCO  ERICK ROBERT</v>
          </cell>
        </row>
        <row r="127">
          <cell r="A127">
            <v>125</v>
          </cell>
          <cell r="B127">
            <v>42678</v>
          </cell>
          <cell r="C127" t="str">
            <v>NOVIEMBRE</v>
          </cell>
          <cell r="D127" t="str">
            <v>2016</v>
          </cell>
          <cell r="E127">
            <v>225</v>
          </cell>
          <cell r="F127" t="str">
            <v>ABP-729</v>
          </cell>
          <cell r="G127" t="str">
            <v>D8K-985</v>
          </cell>
          <cell r="H127" t="str">
            <v>LAS BAMBAS</v>
          </cell>
          <cell r="I127">
            <v>104807</v>
          </cell>
          <cell r="J127" t="str">
            <v>REPUESTO</v>
          </cell>
          <cell r="K127" t="str">
            <v>RESORTES PEQUEÑOS PARA ZAPATAS</v>
          </cell>
          <cell r="L127">
            <v>8</v>
          </cell>
          <cell r="M127" t="str">
            <v>UNID.</v>
          </cell>
          <cell r="N127" t="str">
            <v>CISTERNA</v>
          </cell>
          <cell r="O127">
            <v>0</v>
          </cell>
          <cell r="P127" t="str">
            <v>M6</v>
          </cell>
          <cell r="Q127" t="str">
            <v>J2</v>
          </cell>
          <cell r="R127" t="str">
            <v>J6</v>
          </cell>
          <cell r="S127" t="str">
            <v>ENTREGADO</v>
          </cell>
          <cell r="T127">
            <v>42678</v>
          </cell>
          <cell r="U127" t="str">
            <v>PARI VENTURA  EDSON ORLANDO</v>
          </cell>
          <cell r="V127" t="str">
            <v>CORIHUAMAN SURCO  ERICK ROBERT</v>
          </cell>
        </row>
        <row r="128">
          <cell r="A128">
            <v>105</v>
          </cell>
          <cell r="B128">
            <v>42678</v>
          </cell>
          <cell r="C128" t="str">
            <v>NOVIEMBRE</v>
          </cell>
          <cell r="D128" t="str">
            <v>2016</v>
          </cell>
          <cell r="E128">
            <v>203</v>
          </cell>
          <cell r="F128" t="str">
            <v>ABQ-703</v>
          </cell>
          <cell r="G128" t="str">
            <v>D0Z-994</v>
          </cell>
          <cell r="H128" t="str">
            <v>LAS BAMBAS</v>
          </cell>
          <cell r="I128">
            <v>95835</v>
          </cell>
          <cell r="J128" t="str">
            <v>REPUESTO</v>
          </cell>
          <cell r="K128" t="str">
            <v>RETENES DE RUEDA DE CARRETA</v>
          </cell>
          <cell r="L128">
            <v>2</v>
          </cell>
          <cell r="M128" t="str">
            <v>UNID.</v>
          </cell>
          <cell r="N128" t="str">
            <v>TRACTO</v>
          </cell>
          <cell r="O128">
            <v>0</v>
          </cell>
          <cell r="P128" t="str">
            <v>M8</v>
          </cell>
          <cell r="Q128" t="str">
            <v>J2</v>
          </cell>
          <cell r="R128" t="str">
            <v>J6</v>
          </cell>
          <cell r="S128" t="str">
            <v>ENTREGADO</v>
          </cell>
          <cell r="T128">
            <v>42678</v>
          </cell>
          <cell r="U128" t="str">
            <v>VARILLAS GAGO  OSCAR ALBERTO</v>
          </cell>
          <cell r="V128" t="str">
            <v>CORIHUAMAN SURCO  ERICK ROBERT</v>
          </cell>
        </row>
        <row r="129">
          <cell r="A129">
            <v>106</v>
          </cell>
          <cell r="B129">
            <v>42678</v>
          </cell>
          <cell r="C129" t="str">
            <v>NOVIEMBRE</v>
          </cell>
          <cell r="D129" t="str">
            <v>2016</v>
          </cell>
          <cell r="E129">
            <v>203</v>
          </cell>
          <cell r="F129" t="str">
            <v>ABQ-703</v>
          </cell>
          <cell r="G129" t="str">
            <v>D0Z-994</v>
          </cell>
          <cell r="H129" t="str">
            <v>LAS BAMBAS</v>
          </cell>
          <cell r="I129">
            <v>95835</v>
          </cell>
          <cell r="J129" t="str">
            <v>REPUESTO</v>
          </cell>
          <cell r="K129" t="str">
            <v>SEGUROS EXTERIORES (SEGÚN MUESTRA)</v>
          </cell>
          <cell r="L129">
            <v>2</v>
          </cell>
          <cell r="M129" t="str">
            <v>UNID.</v>
          </cell>
          <cell r="N129" t="str">
            <v>TRACTO</v>
          </cell>
          <cell r="O129">
            <v>0</v>
          </cell>
          <cell r="P129" t="str">
            <v>M8</v>
          </cell>
          <cell r="Q129" t="str">
            <v>J2</v>
          </cell>
          <cell r="R129" t="str">
            <v>J6</v>
          </cell>
          <cell r="S129" t="str">
            <v>ENTREGADO</v>
          </cell>
          <cell r="T129">
            <v>42678</v>
          </cell>
          <cell r="U129" t="str">
            <v>VARILLAS GAGO  OSCAR ALBERTO</v>
          </cell>
          <cell r="V129" t="str">
            <v>CORIHUAMAN SURCO  ERICK ROBERT</v>
          </cell>
        </row>
        <row r="130">
          <cell r="A130">
            <v>107</v>
          </cell>
          <cell r="B130">
            <v>42678</v>
          </cell>
          <cell r="C130" t="str">
            <v>NOVIEMBRE</v>
          </cell>
          <cell r="D130" t="str">
            <v>2016</v>
          </cell>
          <cell r="E130">
            <v>203</v>
          </cell>
          <cell r="F130" t="str">
            <v>ABQ-703</v>
          </cell>
          <cell r="G130" t="str">
            <v>D0Z-994</v>
          </cell>
          <cell r="H130" t="str">
            <v>LAS BAMBAS</v>
          </cell>
          <cell r="I130">
            <v>95835</v>
          </cell>
          <cell r="J130" t="str">
            <v>REPUESTO</v>
          </cell>
          <cell r="K130" t="str">
            <v>LAINAS (SEGÚN MUESTRA)</v>
          </cell>
          <cell r="L130">
            <v>2</v>
          </cell>
          <cell r="M130" t="str">
            <v>UNID.</v>
          </cell>
          <cell r="N130" t="str">
            <v>TRACTO</v>
          </cell>
          <cell r="O130">
            <v>0</v>
          </cell>
          <cell r="P130" t="str">
            <v>M8</v>
          </cell>
          <cell r="Q130" t="str">
            <v>J2</v>
          </cell>
          <cell r="R130" t="str">
            <v>J6</v>
          </cell>
          <cell r="S130" t="str">
            <v>ENTREGADO</v>
          </cell>
          <cell r="T130">
            <v>42678</v>
          </cell>
          <cell r="U130" t="str">
            <v>VARILLAS GAGO  OSCAR ALBERTO</v>
          </cell>
          <cell r="V130" t="str">
            <v>CORIHUAMAN SURCO  ERICK ROBERT</v>
          </cell>
        </row>
        <row r="131">
          <cell r="A131">
            <v>108</v>
          </cell>
          <cell r="B131">
            <v>42678</v>
          </cell>
          <cell r="C131" t="str">
            <v>NOVIEMBRE</v>
          </cell>
          <cell r="D131" t="str">
            <v>2016</v>
          </cell>
          <cell r="E131">
            <v>203</v>
          </cell>
          <cell r="F131" t="str">
            <v>ABQ-703</v>
          </cell>
          <cell r="G131" t="str">
            <v>D0Z-994</v>
          </cell>
          <cell r="H131" t="str">
            <v>LAS BAMBAS</v>
          </cell>
          <cell r="I131">
            <v>95835</v>
          </cell>
          <cell r="J131" t="str">
            <v>REPUESTO</v>
          </cell>
          <cell r="K131" t="str">
            <v>RESORTES GRANDES PARA ZAPATA</v>
          </cell>
          <cell r="L131">
            <v>2</v>
          </cell>
          <cell r="M131" t="str">
            <v>UNID.</v>
          </cell>
          <cell r="N131" t="str">
            <v>TRACTO</v>
          </cell>
          <cell r="O131">
            <v>0</v>
          </cell>
          <cell r="P131" t="str">
            <v>M8</v>
          </cell>
          <cell r="Q131" t="str">
            <v>J2</v>
          </cell>
          <cell r="R131" t="str">
            <v>J6</v>
          </cell>
          <cell r="S131" t="str">
            <v>ENTREGADO</v>
          </cell>
          <cell r="T131">
            <v>42678</v>
          </cell>
          <cell r="U131" t="str">
            <v>VARILLAS GAGO  OSCAR ALBERTO</v>
          </cell>
          <cell r="V131" t="str">
            <v>CORIHUAMAN SURCO  ERICK ROBERT</v>
          </cell>
        </row>
        <row r="132">
          <cell r="A132">
            <v>109</v>
          </cell>
          <cell r="B132">
            <v>42678</v>
          </cell>
          <cell r="C132" t="str">
            <v>NOVIEMBRE</v>
          </cell>
          <cell r="D132" t="str">
            <v>2016</v>
          </cell>
          <cell r="E132">
            <v>203</v>
          </cell>
          <cell r="F132" t="str">
            <v>ABQ-703</v>
          </cell>
          <cell r="G132" t="str">
            <v>D0Z-994</v>
          </cell>
          <cell r="H132" t="str">
            <v>LAS BAMBAS</v>
          </cell>
          <cell r="I132">
            <v>95835</v>
          </cell>
          <cell r="J132" t="str">
            <v>REPUESTO</v>
          </cell>
          <cell r="K132" t="str">
            <v>SERVICIO DE CAMBIO DE FORRO DE 1/2 JUEGO DE ZAPATAS</v>
          </cell>
          <cell r="L132">
            <v>1</v>
          </cell>
          <cell r="M132" t="str">
            <v>UNID.</v>
          </cell>
          <cell r="N132" t="str">
            <v>TRACTO</v>
          </cell>
          <cell r="O132">
            <v>0</v>
          </cell>
          <cell r="P132" t="str">
            <v>M8</v>
          </cell>
          <cell r="Q132" t="str">
            <v>J2</v>
          </cell>
          <cell r="R132" t="str">
            <v>J6</v>
          </cell>
          <cell r="S132" t="str">
            <v>ENTREGADO</v>
          </cell>
          <cell r="T132">
            <v>42678</v>
          </cell>
          <cell r="U132" t="str">
            <v>VARILLAS GAGO  OSCAR ALBERTO</v>
          </cell>
          <cell r="V132" t="str">
            <v>CORIHUAMAN SURCO  ERICK ROBERT</v>
          </cell>
        </row>
        <row r="133">
          <cell r="A133">
            <v>131</v>
          </cell>
          <cell r="B133">
            <v>42678</v>
          </cell>
          <cell r="C133" t="str">
            <v>NOVIEMBRE</v>
          </cell>
          <cell r="D133" t="str">
            <v>2016</v>
          </cell>
          <cell r="E133">
            <v>203</v>
          </cell>
          <cell r="F133" t="str">
            <v>ABQ-703</v>
          </cell>
          <cell r="G133" t="str">
            <v>D0Z-994</v>
          </cell>
          <cell r="H133" t="str">
            <v>LAS BAMBAS</v>
          </cell>
          <cell r="I133">
            <v>95835</v>
          </cell>
          <cell r="J133" t="str">
            <v>SERVICIO</v>
          </cell>
          <cell r="K133" t="str">
            <v>SERVICIO DE PINTRURA PARA REPARACION DE SOLDADURA DE TANQUE CISTERNA</v>
          </cell>
          <cell r="L133">
            <v>1</v>
          </cell>
          <cell r="M133" t="str">
            <v>UNID.</v>
          </cell>
          <cell r="N133" t="str">
            <v>CISTERNA</v>
          </cell>
          <cell r="O133">
            <v>1</v>
          </cell>
          <cell r="P133" t="str">
            <v>M8</v>
          </cell>
          <cell r="Q133" t="str">
            <v>J2</v>
          </cell>
          <cell r="R133" t="str">
            <v>J6</v>
          </cell>
          <cell r="S133" t="str">
            <v>ENTREGADO</v>
          </cell>
          <cell r="T133">
            <v>42679</v>
          </cell>
          <cell r="U133" t="str">
            <v>VARILLAS GAGO  OSCAR ALBERTO</v>
          </cell>
          <cell r="V133" t="str">
            <v>CORIHUAMAN SURCO  ERICK ROBERT</v>
          </cell>
        </row>
        <row r="134">
          <cell r="A134">
            <v>132</v>
          </cell>
          <cell r="B134">
            <v>42678</v>
          </cell>
          <cell r="C134" t="str">
            <v>NOVIEMBRE</v>
          </cell>
          <cell r="D134" t="str">
            <v>2016</v>
          </cell>
          <cell r="E134">
            <v>228</v>
          </cell>
          <cell r="F134" t="str">
            <v>ABQ-705</v>
          </cell>
          <cell r="G134" t="str">
            <v>D0Z-996</v>
          </cell>
          <cell r="H134" t="str">
            <v>LAS BAMBAS</v>
          </cell>
          <cell r="I134">
            <v>104175</v>
          </cell>
          <cell r="J134" t="str">
            <v>REPUESTO</v>
          </cell>
          <cell r="K134" t="str">
            <v>UNION COMPLETA DE 1/4</v>
          </cell>
          <cell r="L134">
            <v>1</v>
          </cell>
          <cell r="M134" t="str">
            <v>UNID.</v>
          </cell>
          <cell r="N134" t="str">
            <v>TRACTO</v>
          </cell>
          <cell r="O134">
            <v>0</v>
          </cell>
          <cell r="P134" t="str">
            <v>M2</v>
          </cell>
          <cell r="Q134" t="str">
            <v>J2</v>
          </cell>
          <cell r="R134" t="str">
            <v>J6</v>
          </cell>
          <cell r="S134" t="str">
            <v>ENTREGADO</v>
          </cell>
          <cell r="T134">
            <v>42678</v>
          </cell>
          <cell r="U134" t="str">
            <v>CHUMPITAZ GAGO JULIO ENRIQUE</v>
          </cell>
          <cell r="V134" t="str">
            <v>CORIHUAMAN SURCO  ERICK ROBERT</v>
          </cell>
        </row>
        <row r="135">
          <cell r="A135">
            <v>133</v>
          </cell>
          <cell r="B135">
            <v>42678</v>
          </cell>
          <cell r="C135" t="str">
            <v>NOVIEMBRE</v>
          </cell>
          <cell r="D135" t="str">
            <v>2016</v>
          </cell>
          <cell r="E135">
            <v>228</v>
          </cell>
          <cell r="F135" t="str">
            <v>ABQ-705</v>
          </cell>
          <cell r="G135" t="str">
            <v>D0Z-996</v>
          </cell>
          <cell r="H135" t="str">
            <v>LAS BAMBAS</v>
          </cell>
          <cell r="I135">
            <v>104175</v>
          </cell>
          <cell r="J135" t="str">
            <v>REPUESTO</v>
          </cell>
          <cell r="K135" t="str">
            <v xml:space="preserve">PERNO DE 6/16 X 1" COMPLETO CON TUERCA </v>
          </cell>
          <cell r="L135">
            <v>1</v>
          </cell>
          <cell r="M135" t="str">
            <v>UNID.</v>
          </cell>
          <cell r="N135" t="str">
            <v>TRACTO</v>
          </cell>
          <cell r="O135">
            <v>0</v>
          </cell>
          <cell r="P135" t="str">
            <v>M2</v>
          </cell>
          <cell r="Q135" t="str">
            <v>J2</v>
          </cell>
          <cell r="R135" t="str">
            <v>J6</v>
          </cell>
          <cell r="S135" t="str">
            <v>ENTREGADO</v>
          </cell>
          <cell r="T135">
            <v>42678</v>
          </cell>
          <cell r="U135" t="str">
            <v>CHUMPITAZ GAGO JULIO ENRIQUE</v>
          </cell>
          <cell r="V135" t="str">
            <v>CORIHUAMAN SURCO  ERICK ROBERT</v>
          </cell>
        </row>
        <row r="136">
          <cell r="A136">
            <v>134</v>
          </cell>
          <cell r="B136">
            <v>42678</v>
          </cell>
          <cell r="C136" t="str">
            <v>NOVIEMBRE</v>
          </cell>
          <cell r="D136" t="str">
            <v>2016</v>
          </cell>
          <cell r="E136">
            <v>228</v>
          </cell>
          <cell r="F136" t="str">
            <v>ABQ-705</v>
          </cell>
          <cell r="G136" t="str">
            <v>D0Z-996</v>
          </cell>
          <cell r="H136" t="str">
            <v>LAS BAMBAS</v>
          </cell>
          <cell r="I136">
            <v>104175</v>
          </cell>
          <cell r="J136" t="str">
            <v>REPUESTO</v>
          </cell>
          <cell r="K136" t="str">
            <v>ARANDELAS PLANAS</v>
          </cell>
          <cell r="L136">
            <v>2</v>
          </cell>
          <cell r="M136" t="str">
            <v>UNID.</v>
          </cell>
          <cell r="N136" t="str">
            <v>TRACTO</v>
          </cell>
          <cell r="O136">
            <v>0</v>
          </cell>
          <cell r="P136" t="str">
            <v>M2</v>
          </cell>
          <cell r="Q136" t="str">
            <v>J2</v>
          </cell>
          <cell r="R136" t="str">
            <v>J6</v>
          </cell>
          <cell r="S136" t="str">
            <v>ENTREGADO</v>
          </cell>
          <cell r="T136">
            <v>42678</v>
          </cell>
          <cell r="U136" t="str">
            <v>CHUMPITAZ GAGO JULIO ENRIQUE</v>
          </cell>
          <cell r="V136" t="str">
            <v>CORIHUAMAN SURCO  ERICK ROBERT</v>
          </cell>
        </row>
        <row r="137">
          <cell r="A137">
            <v>135</v>
          </cell>
          <cell r="B137">
            <v>42678</v>
          </cell>
          <cell r="C137" t="str">
            <v>NOVIEMBRE</v>
          </cell>
          <cell r="D137" t="str">
            <v>2016</v>
          </cell>
          <cell r="E137">
            <v>228</v>
          </cell>
          <cell r="F137" t="str">
            <v>ABQ-705</v>
          </cell>
          <cell r="G137" t="str">
            <v>D0Z-996</v>
          </cell>
          <cell r="H137" t="str">
            <v>LAS BAMBAS</v>
          </cell>
          <cell r="I137">
            <v>104175</v>
          </cell>
          <cell r="J137" t="str">
            <v>REPUESTO</v>
          </cell>
          <cell r="K137" t="str">
            <v>ARANDELAS DE PRESION</v>
          </cell>
          <cell r="L137">
            <v>1</v>
          </cell>
          <cell r="M137" t="str">
            <v>UNID.</v>
          </cell>
          <cell r="N137" t="str">
            <v>TRACTO</v>
          </cell>
          <cell r="O137">
            <v>0</v>
          </cell>
          <cell r="P137" t="str">
            <v>M2</v>
          </cell>
          <cell r="Q137" t="str">
            <v>J2</v>
          </cell>
          <cell r="R137" t="str">
            <v>J6</v>
          </cell>
          <cell r="S137" t="str">
            <v>ENTREGADO</v>
          </cell>
          <cell r="T137">
            <v>42678</v>
          </cell>
          <cell r="U137" t="str">
            <v>CHUMPITAZ GAGO JULIO ENRIQUE</v>
          </cell>
          <cell r="V137" t="str">
            <v>CORIHUAMAN SURCO  ERICK ROBERT</v>
          </cell>
        </row>
        <row r="138">
          <cell r="A138">
            <v>116</v>
          </cell>
          <cell r="B138">
            <v>42678</v>
          </cell>
          <cell r="C138" t="str">
            <v>NOVIEMBRE</v>
          </cell>
          <cell r="D138" t="str">
            <v>2016</v>
          </cell>
          <cell r="E138">
            <v>216</v>
          </cell>
          <cell r="F138" t="str">
            <v>ABQ-780</v>
          </cell>
          <cell r="G138" t="str">
            <v>C9S-990</v>
          </cell>
          <cell r="H138" t="str">
            <v>LAS BAMBAS</v>
          </cell>
          <cell r="I138">
            <v>111326</v>
          </cell>
          <cell r="J138" t="str">
            <v>REPUESTO</v>
          </cell>
          <cell r="K138" t="str">
            <v>RETEN DE CIGÜEÑAL POSTERIOR</v>
          </cell>
          <cell r="L138">
            <v>1</v>
          </cell>
          <cell r="M138" t="str">
            <v>UNID.</v>
          </cell>
          <cell r="N138" t="str">
            <v>TRACTO</v>
          </cell>
          <cell r="O138">
            <v>0</v>
          </cell>
          <cell r="P138" t="str">
            <v>M1</v>
          </cell>
          <cell r="Q138" t="str">
            <v>J2</v>
          </cell>
          <cell r="R138" t="str">
            <v>J6</v>
          </cell>
          <cell r="S138" t="str">
            <v>ENTREGADO</v>
          </cell>
          <cell r="T138">
            <v>42678</v>
          </cell>
          <cell r="U138" t="str">
            <v>CABEZAS SANCHEZ JEAN JHONATAN</v>
          </cell>
          <cell r="V138" t="str">
            <v>CORIHUAMAN SURCO  ERICK ROBERT</v>
          </cell>
        </row>
        <row r="139">
          <cell r="A139">
            <v>117</v>
          </cell>
          <cell r="B139">
            <v>42678</v>
          </cell>
          <cell r="C139" t="str">
            <v>NOVIEMBRE</v>
          </cell>
          <cell r="D139" t="str">
            <v>2016</v>
          </cell>
          <cell r="E139">
            <v>216</v>
          </cell>
          <cell r="F139" t="str">
            <v>ABQ-780</v>
          </cell>
          <cell r="G139" t="str">
            <v>C9S-990</v>
          </cell>
          <cell r="H139" t="str">
            <v>LAS BAMBAS</v>
          </cell>
          <cell r="I139">
            <v>111326</v>
          </cell>
          <cell r="J139" t="str">
            <v>REPUESTO</v>
          </cell>
          <cell r="K139" t="str">
            <v>EMPAQUETADURA DE CARTER</v>
          </cell>
          <cell r="L139">
            <v>1</v>
          </cell>
          <cell r="M139" t="str">
            <v>UNID.</v>
          </cell>
          <cell r="N139" t="str">
            <v>TRACTO</v>
          </cell>
          <cell r="O139">
            <v>0</v>
          </cell>
          <cell r="P139" t="str">
            <v>M1</v>
          </cell>
          <cell r="Q139" t="str">
            <v>J2</v>
          </cell>
          <cell r="R139" t="str">
            <v>J6</v>
          </cell>
          <cell r="S139" t="str">
            <v>ENTREGADO</v>
          </cell>
          <cell r="T139">
            <v>42678</v>
          </cell>
          <cell r="U139" t="str">
            <v>CABEZAS SANCHEZ JEAN JHONATAN</v>
          </cell>
          <cell r="V139" t="str">
            <v>CORIHUAMAN SURCO  ERICK ROBERT</v>
          </cell>
        </row>
        <row r="140">
          <cell r="A140">
            <v>114</v>
          </cell>
          <cell r="B140">
            <v>42678</v>
          </cell>
          <cell r="C140" t="str">
            <v>NOVIEMBRE</v>
          </cell>
          <cell r="D140" t="str">
            <v>2016</v>
          </cell>
          <cell r="E140">
            <v>227</v>
          </cell>
          <cell r="F140" t="str">
            <v>AKW-731</v>
          </cell>
          <cell r="G140" t="str">
            <v>TCR-989</v>
          </cell>
          <cell r="H140" t="str">
            <v>LAS BAMBAS CONC.</v>
          </cell>
          <cell r="I140">
            <v>16623.400000000001</v>
          </cell>
          <cell r="J140" t="str">
            <v>REPUESTO</v>
          </cell>
          <cell r="K140" t="str">
            <v>MANGUERA HIDRAULICA 3.4M x1"  R-2 / 2390 PSI CON ACOPLES HEMBRA NPT</v>
          </cell>
          <cell r="L140">
            <v>1</v>
          </cell>
          <cell r="M140" t="str">
            <v>UNID.</v>
          </cell>
          <cell r="N140" t="str">
            <v>TRACTO</v>
          </cell>
          <cell r="O140">
            <v>112</v>
          </cell>
          <cell r="P140" t="str">
            <v>M3</v>
          </cell>
          <cell r="Q140" t="str">
            <v>J2</v>
          </cell>
          <cell r="R140" t="str">
            <v>J6</v>
          </cell>
          <cell r="S140" t="str">
            <v>ENTREGADO</v>
          </cell>
          <cell r="T140">
            <v>0</v>
          </cell>
          <cell r="U140" t="str">
            <v>GARCIA PASQUEL  JOSE LUIS</v>
          </cell>
          <cell r="V140" t="str">
            <v>CORIHUAMAN SURCO  ERICK ROBERT</v>
          </cell>
        </row>
        <row r="141">
          <cell r="A141">
            <v>111</v>
          </cell>
          <cell r="B141">
            <v>42678</v>
          </cell>
          <cell r="C141" t="str">
            <v>NOVIEMBRE</v>
          </cell>
          <cell r="D141" t="str">
            <v>2016</v>
          </cell>
          <cell r="E141">
            <v>222</v>
          </cell>
          <cell r="F141" t="str">
            <v>C5R-892</v>
          </cell>
          <cell r="G141" t="str">
            <v>A0T-983</v>
          </cell>
          <cell r="H141" t="str">
            <v>LAS BAMBAS</v>
          </cell>
          <cell r="I141">
            <v>222979</v>
          </cell>
          <cell r="J141" t="str">
            <v>REPUESTO</v>
          </cell>
          <cell r="K141" t="str">
            <v>CONECTORES ELECTRICOS</v>
          </cell>
          <cell r="L141">
            <v>3</v>
          </cell>
          <cell r="M141" t="str">
            <v>UNID.</v>
          </cell>
          <cell r="N141" t="str">
            <v>TRACTO</v>
          </cell>
          <cell r="O141">
            <v>0</v>
          </cell>
          <cell r="P141" t="str">
            <v>E2</v>
          </cell>
          <cell r="Q141" t="str">
            <v>J1</v>
          </cell>
          <cell r="R141" t="str">
            <v>J6</v>
          </cell>
          <cell r="S141" t="str">
            <v>ENTREGADO</v>
          </cell>
          <cell r="T141">
            <v>42678</v>
          </cell>
          <cell r="U141" t="str">
            <v>YUCA BELLIDO BORIS YERSY</v>
          </cell>
          <cell r="V141" t="str">
            <v>FLOREZ CONDORI  JOSE WILLIANS</v>
          </cell>
        </row>
        <row r="142">
          <cell r="A142">
            <v>112</v>
          </cell>
          <cell r="B142">
            <v>42678</v>
          </cell>
          <cell r="C142" t="str">
            <v>NOVIEMBRE</v>
          </cell>
          <cell r="D142" t="str">
            <v>2016</v>
          </cell>
          <cell r="E142">
            <v>222</v>
          </cell>
          <cell r="F142" t="str">
            <v>C5R-892</v>
          </cell>
          <cell r="G142" t="str">
            <v>A0T-983</v>
          </cell>
          <cell r="H142" t="str">
            <v>LAS BAMBAS</v>
          </cell>
          <cell r="I142">
            <v>222979</v>
          </cell>
          <cell r="J142" t="str">
            <v>REPUESTO</v>
          </cell>
          <cell r="K142" t="str">
            <v>LUZ DE PLACA LED</v>
          </cell>
          <cell r="L142">
            <v>1</v>
          </cell>
          <cell r="M142" t="str">
            <v>UNID.</v>
          </cell>
          <cell r="N142" t="str">
            <v>TRACTO</v>
          </cell>
          <cell r="O142">
            <v>0</v>
          </cell>
          <cell r="P142" t="str">
            <v>E2</v>
          </cell>
          <cell r="Q142" t="str">
            <v>J1</v>
          </cell>
          <cell r="R142" t="str">
            <v>J6</v>
          </cell>
          <cell r="S142" t="str">
            <v>ENTREGADO</v>
          </cell>
          <cell r="T142">
            <v>42678</v>
          </cell>
          <cell r="U142" t="str">
            <v>YUCA BELLIDO BORIS YERSY</v>
          </cell>
          <cell r="V142" t="str">
            <v>FLOREZ CONDORI  JOSE WILLIANS</v>
          </cell>
        </row>
        <row r="143">
          <cell r="A143">
            <v>113</v>
          </cell>
          <cell r="B143">
            <v>42678</v>
          </cell>
          <cell r="C143" t="str">
            <v>NOVIEMBRE</v>
          </cell>
          <cell r="D143" t="str">
            <v>2016</v>
          </cell>
          <cell r="E143">
            <v>222</v>
          </cell>
          <cell r="F143" t="str">
            <v>C5R-892</v>
          </cell>
          <cell r="G143" t="str">
            <v>A0T-983</v>
          </cell>
          <cell r="H143" t="str">
            <v>LAS BAMBAS</v>
          </cell>
          <cell r="I143">
            <v>222979</v>
          </cell>
          <cell r="J143" t="str">
            <v>REPUESTO</v>
          </cell>
          <cell r="K143" t="str">
            <v>FOCOS LAGRIMONES AMBAR</v>
          </cell>
          <cell r="L143">
            <v>1</v>
          </cell>
          <cell r="M143" t="str">
            <v>UNID.</v>
          </cell>
          <cell r="N143" t="str">
            <v>TRACTO</v>
          </cell>
          <cell r="O143">
            <v>0</v>
          </cell>
          <cell r="P143" t="str">
            <v>E2</v>
          </cell>
          <cell r="Q143" t="str">
            <v>J1</v>
          </cell>
          <cell r="R143" t="str">
            <v>J6</v>
          </cell>
          <cell r="S143" t="str">
            <v>ENTREGADO</v>
          </cell>
          <cell r="T143">
            <v>42678</v>
          </cell>
          <cell r="U143" t="str">
            <v>YUCA BELLIDO BORIS YERSY</v>
          </cell>
          <cell r="V143" t="str">
            <v>FLOREZ CONDORI  JOSE WILLIANS</v>
          </cell>
        </row>
        <row r="144">
          <cell r="A144">
            <v>141</v>
          </cell>
          <cell r="B144">
            <v>42678</v>
          </cell>
          <cell r="C144" t="str">
            <v>NOVIEMBRE</v>
          </cell>
          <cell r="D144" t="str">
            <v>2016</v>
          </cell>
          <cell r="E144">
            <v>208</v>
          </cell>
          <cell r="F144" t="str">
            <v>C9N-807</v>
          </cell>
          <cell r="G144" t="str">
            <v>B4O-994</v>
          </cell>
          <cell r="H144" t="str">
            <v>LAS BAMBAS</v>
          </cell>
          <cell r="I144">
            <v>206278</v>
          </cell>
          <cell r="J144" t="str">
            <v>REPUESTO</v>
          </cell>
          <cell r="K144" t="str">
            <v>FOCO DE DOBLE CONTACTO DE 12 V</v>
          </cell>
          <cell r="L144">
            <v>1</v>
          </cell>
          <cell r="M144" t="str">
            <v>UNID.</v>
          </cell>
          <cell r="N144" t="str">
            <v>TRACTO</v>
          </cell>
          <cell r="O144">
            <v>0</v>
          </cell>
          <cell r="P144" t="str">
            <v>E2</v>
          </cell>
          <cell r="Q144" t="str">
            <v>J2</v>
          </cell>
          <cell r="R144" t="str">
            <v>J6</v>
          </cell>
          <cell r="S144" t="str">
            <v>ENTREGADO</v>
          </cell>
          <cell r="T144">
            <v>42678</v>
          </cell>
          <cell r="U144" t="str">
            <v>YUCA BELLIDO BORIS YERSY</v>
          </cell>
          <cell r="V144" t="str">
            <v>CORIHUAMAN SURCO  ERICK ROBERT</v>
          </cell>
        </row>
        <row r="145">
          <cell r="A145">
            <v>142</v>
          </cell>
          <cell r="B145">
            <v>42678</v>
          </cell>
          <cell r="C145" t="str">
            <v>NOVIEMBRE</v>
          </cell>
          <cell r="D145" t="str">
            <v>2016</v>
          </cell>
          <cell r="E145">
            <v>208</v>
          </cell>
          <cell r="F145" t="str">
            <v>C9N-807</v>
          </cell>
          <cell r="G145" t="str">
            <v>B4O-994</v>
          </cell>
          <cell r="H145" t="str">
            <v>LAS BAMBAS</v>
          </cell>
          <cell r="I145">
            <v>206278</v>
          </cell>
          <cell r="J145" t="str">
            <v>REPUESTO</v>
          </cell>
          <cell r="K145" t="str">
            <v>MINIFUSIBLES DE 10 AMP.</v>
          </cell>
          <cell r="L145">
            <v>2</v>
          </cell>
          <cell r="M145" t="str">
            <v>UNID.</v>
          </cell>
          <cell r="N145" t="str">
            <v>TRACTO</v>
          </cell>
          <cell r="O145">
            <v>0</v>
          </cell>
          <cell r="P145" t="str">
            <v>E2</v>
          </cell>
          <cell r="Q145" t="str">
            <v>J2</v>
          </cell>
          <cell r="R145" t="str">
            <v>J6</v>
          </cell>
          <cell r="S145" t="str">
            <v>ENTREGADO</v>
          </cell>
          <cell r="T145">
            <v>42678</v>
          </cell>
          <cell r="U145" t="str">
            <v>YUCA BELLIDO BORIS YERSY</v>
          </cell>
          <cell r="V145" t="str">
            <v>CORIHUAMAN SURCO  ERICK ROBERT</v>
          </cell>
        </row>
        <row r="146">
          <cell r="A146">
            <v>143</v>
          </cell>
          <cell r="B146">
            <v>42678</v>
          </cell>
          <cell r="C146" t="str">
            <v>NOVIEMBRE</v>
          </cell>
          <cell r="D146" t="str">
            <v>2016</v>
          </cell>
          <cell r="E146">
            <v>208</v>
          </cell>
          <cell r="F146" t="str">
            <v>C9N-807</v>
          </cell>
          <cell r="G146" t="str">
            <v>B4O-994</v>
          </cell>
          <cell r="H146" t="str">
            <v>LAS BAMBAS</v>
          </cell>
          <cell r="I146">
            <v>206278</v>
          </cell>
          <cell r="J146" t="str">
            <v>MATERIALES</v>
          </cell>
          <cell r="K146" t="str">
            <v>CINTA AISLANTE NEGRO</v>
          </cell>
          <cell r="L146">
            <v>1</v>
          </cell>
          <cell r="M146" t="str">
            <v>UNID.</v>
          </cell>
          <cell r="N146" t="str">
            <v>TRACTO</v>
          </cell>
          <cell r="O146">
            <v>0</v>
          </cell>
          <cell r="P146" t="str">
            <v>E2</v>
          </cell>
          <cell r="Q146" t="str">
            <v>J2</v>
          </cell>
          <cell r="R146" t="str">
            <v>J6</v>
          </cell>
          <cell r="S146" t="str">
            <v>ENTREGADO</v>
          </cell>
          <cell r="T146">
            <v>42678</v>
          </cell>
          <cell r="U146" t="str">
            <v>YUCA BELLIDO BORIS YERSY</v>
          </cell>
          <cell r="V146" t="str">
            <v>CORIHUAMAN SURCO  ERICK ROBERT</v>
          </cell>
        </row>
        <row r="147">
          <cell r="A147">
            <v>144</v>
          </cell>
          <cell r="B147">
            <v>42678</v>
          </cell>
          <cell r="C147" t="str">
            <v>NOVIEMBRE</v>
          </cell>
          <cell r="D147" t="str">
            <v>2016</v>
          </cell>
          <cell r="E147">
            <v>208</v>
          </cell>
          <cell r="F147" t="str">
            <v>C9N-807</v>
          </cell>
          <cell r="G147" t="str">
            <v>B4O-994</v>
          </cell>
          <cell r="H147" t="str">
            <v>LAS BAMBAS</v>
          </cell>
          <cell r="I147">
            <v>206278</v>
          </cell>
          <cell r="J147" t="str">
            <v>REPUESTO</v>
          </cell>
          <cell r="K147" t="str">
            <v>TUBO CORRUGADO</v>
          </cell>
          <cell r="L147">
            <v>2</v>
          </cell>
          <cell r="M147" t="str">
            <v>M</v>
          </cell>
          <cell r="N147" t="str">
            <v>CISTERNA</v>
          </cell>
          <cell r="O147">
            <v>0</v>
          </cell>
          <cell r="P147" t="str">
            <v>E2</v>
          </cell>
          <cell r="Q147" t="str">
            <v>J2</v>
          </cell>
          <cell r="R147" t="str">
            <v>J6</v>
          </cell>
          <cell r="S147" t="str">
            <v>ENTREGADO</v>
          </cell>
          <cell r="T147">
            <v>42678</v>
          </cell>
          <cell r="U147" t="str">
            <v>YUCA BELLIDO BORIS YERSY</v>
          </cell>
          <cell r="V147" t="str">
            <v>CORIHUAMAN SURCO  ERICK ROBERT</v>
          </cell>
        </row>
        <row r="148">
          <cell r="A148">
            <v>145</v>
          </cell>
          <cell r="B148">
            <v>42678</v>
          </cell>
          <cell r="C148" t="str">
            <v>NOVIEMBRE</v>
          </cell>
          <cell r="D148" t="str">
            <v>2016</v>
          </cell>
          <cell r="E148">
            <v>208</v>
          </cell>
          <cell r="F148" t="str">
            <v>C9N-807</v>
          </cell>
          <cell r="G148" t="str">
            <v>B4O-994</v>
          </cell>
          <cell r="H148" t="str">
            <v>LAS BAMBAS</v>
          </cell>
          <cell r="I148">
            <v>206278</v>
          </cell>
          <cell r="J148" t="str">
            <v>MATERIALES</v>
          </cell>
          <cell r="K148" t="str">
            <v>PRESINTO</v>
          </cell>
          <cell r="L148">
            <v>10</v>
          </cell>
          <cell r="M148" t="str">
            <v>UNID.</v>
          </cell>
          <cell r="N148" t="str">
            <v>CISTERNA</v>
          </cell>
          <cell r="O148">
            <v>0</v>
          </cell>
          <cell r="P148" t="str">
            <v>E2</v>
          </cell>
          <cell r="Q148" t="str">
            <v>J2</v>
          </cell>
          <cell r="R148" t="str">
            <v>J6</v>
          </cell>
          <cell r="S148" t="str">
            <v>ENTREGADO</v>
          </cell>
          <cell r="T148">
            <v>42678</v>
          </cell>
          <cell r="U148" t="str">
            <v>YUCA BELLIDO BORIS YERSY</v>
          </cell>
          <cell r="V148" t="str">
            <v>CORIHUAMAN SURCO  ERICK ROBERT</v>
          </cell>
        </row>
        <row r="149">
          <cell r="A149">
            <v>128</v>
          </cell>
          <cell r="B149">
            <v>42678</v>
          </cell>
          <cell r="C149" t="str">
            <v>NOVIEMBRE</v>
          </cell>
          <cell r="D149" t="str">
            <v>2016</v>
          </cell>
          <cell r="E149">
            <v>212</v>
          </cell>
          <cell r="F149" t="str">
            <v>D3S-767</v>
          </cell>
          <cell r="G149" t="str">
            <v>B8L-973</v>
          </cell>
          <cell r="H149" t="str">
            <v>LAS BAMBAS</v>
          </cell>
          <cell r="I149">
            <v>180263</v>
          </cell>
          <cell r="J149" t="str">
            <v>REPUESTO</v>
          </cell>
          <cell r="K149" t="str">
            <v>ZAPATAS DE TRACCION</v>
          </cell>
          <cell r="L149">
            <v>2</v>
          </cell>
          <cell r="M149" t="str">
            <v>JUEGO</v>
          </cell>
          <cell r="N149" t="str">
            <v>TRACTO</v>
          </cell>
          <cell r="O149">
            <v>0</v>
          </cell>
          <cell r="P149" t="str">
            <v>M5</v>
          </cell>
          <cell r="Q149" t="str">
            <v>J2</v>
          </cell>
          <cell r="R149" t="str">
            <v>J6</v>
          </cell>
          <cell r="S149" t="str">
            <v>ENTREGADO</v>
          </cell>
          <cell r="T149">
            <v>42678</v>
          </cell>
          <cell r="U149" t="str">
            <v>LOPEZ RUIZ WILBERTO</v>
          </cell>
          <cell r="V149" t="str">
            <v>CORIHUAMAN SURCO  ERICK ROBERT</v>
          </cell>
        </row>
        <row r="150">
          <cell r="A150">
            <v>129</v>
          </cell>
          <cell r="B150">
            <v>42678</v>
          </cell>
          <cell r="C150" t="str">
            <v>NOVIEMBRE</v>
          </cell>
          <cell r="D150" t="str">
            <v>2016</v>
          </cell>
          <cell r="E150">
            <v>212</v>
          </cell>
          <cell r="F150" t="str">
            <v>D3S-767</v>
          </cell>
          <cell r="G150" t="str">
            <v>B8L-973</v>
          </cell>
          <cell r="H150" t="str">
            <v>LAS BAMBAS</v>
          </cell>
          <cell r="I150">
            <v>180263</v>
          </cell>
          <cell r="J150" t="str">
            <v>REPUESTO</v>
          </cell>
          <cell r="K150" t="str">
            <v>RESORTES GRANDES PARA ZAPATA</v>
          </cell>
          <cell r="L150">
            <v>4</v>
          </cell>
          <cell r="M150" t="str">
            <v>UNID.</v>
          </cell>
          <cell r="N150" t="str">
            <v>TRACTO</v>
          </cell>
          <cell r="O150">
            <v>0</v>
          </cell>
          <cell r="P150" t="str">
            <v>M5</v>
          </cell>
          <cell r="Q150" t="str">
            <v>J2</v>
          </cell>
          <cell r="R150" t="str">
            <v>J6</v>
          </cell>
          <cell r="S150" t="str">
            <v>ENTREGADO</v>
          </cell>
          <cell r="T150">
            <v>42678</v>
          </cell>
          <cell r="U150" t="str">
            <v>LOPEZ RUIZ WILBERTO</v>
          </cell>
          <cell r="V150" t="str">
            <v>CORIHUAMAN SURCO  ERICK ROBERT</v>
          </cell>
        </row>
        <row r="151">
          <cell r="A151">
            <v>130</v>
          </cell>
          <cell r="B151">
            <v>42678</v>
          </cell>
          <cell r="C151" t="str">
            <v>NOVIEMBRE</v>
          </cell>
          <cell r="D151" t="str">
            <v>2016</v>
          </cell>
          <cell r="E151">
            <v>212</v>
          </cell>
          <cell r="F151" t="str">
            <v>D3S-767</v>
          </cell>
          <cell r="G151" t="str">
            <v>B8L-973</v>
          </cell>
          <cell r="H151" t="str">
            <v>LAS BAMBAS</v>
          </cell>
          <cell r="I151">
            <v>180263</v>
          </cell>
          <cell r="J151" t="str">
            <v>REPUESTO</v>
          </cell>
          <cell r="K151" t="str">
            <v>RESORTES PEQUEÑOS PARA ZAPATAS</v>
          </cell>
          <cell r="L151">
            <v>4</v>
          </cell>
          <cell r="M151" t="str">
            <v>UNID.</v>
          </cell>
          <cell r="N151" t="str">
            <v>TRACTO</v>
          </cell>
          <cell r="O151">
            <v>0</v>
          </cell>
          <cell r="P151" t="str">
            <v>M5</v>
          </cell>
          <cell r="Q151" t="str">
            <v>J2</v>
          </cell>
          <cell r="R151" t="str">
            <v>J6</v>
          </cell>
          <cell r="S151" t="str">
            <v>ENTREGADO</v>
          </cell>
          <cell r="T151">
            <v>42678</v>
          </cell>
          <cell r="U151" t="str">
            <v>LOPEZ RUIZ WILBERTO</v>
          </cell>
          <cell r="V151" t="str">
            <v>CORIHUAMAN SURCO  ERICK ROBERT</v>
          </cell>
        </row>
        <row r="152">
          <cell r="A152">
            <v>98</v>
          </cell>
          <cell r="B152">
            <v>42678</v>
          </cell>
          <cell r="C152" t="str">
            <v>NOVIEMBRE</v>
          </cell>
          <cell r="D152" t="str">
            <v>2016</v>
          </cell>
          <cell r="E152">
            <v>224</v>
          </cell>
          <cell r="F152" t="str">
            <v>D6F-903</v>
          </cell>
          <cell r="G152" t="str">
            <v>B8K-997</v>
          </cell>
          <cell r="H152" t="str">
            <v>LAS BAMBAS</v>
          </cell>
          <cell r="I152">
            <v>213678</v>
          </cell>
          <cell r="J152" t="str">
            <v>REPUESTO</v>
          </cell>
          <cell r="K152" t="str">
            <v>SOPORTE DE CABINA</v>
          </cell>
          <cell r="L152">
            <v>2</v>
          </cell>
          <cell r="M152" t="str">
            <v>UNID.</v>
          </cell>
          <cell r="N152" t="str">
            <v>TRACTO</v>
          </cell>
          <cell r="O152">
            <v>0</v>
          </cell>
          <cell r="P152" t="str">
            <v>M8</v>
          </cell>
          <cell r="Q152" t="str">
            <v>J2</v>
          </cell>
          <cell r="R152" t="str">
            <v>J6</v>
          </cell>
          <cell r="S152" t="str">
            <v>ENTREGADO</v>
          </cell>
          <cell r="T152">
            <v>42678</v>
          </cell>
          <cell r="U152" t="str">
            <v>VARILLAS GAGO  OSCAR ALBERTO</v>
          </cell>
          <cell r="V152" t="str">
            <v>CORIHUAMAN SURCO  ERICK ROBERT</v>
          </cell>
        </row>
        <row r="153">
          <cell r="A153">
            <v>99</v>
          </cell>
          <cell r="B153">
            <v>42678</v>
          </cell>
          <cell r="C153" t="str">
            <v>NOVIEMBRE</v>
          </cell>
          <cell r="D153" t="str">
            <v>2016</v>
          </cell>
          <cell r="E153">
            <v>224</v>
          </cell>
          <cell r="F153" t="str">
            <v>D6F-903</v>
          </cell>
          <cell r="G153" t="str">
            <v>B8K-997</v>
          </cell>
          <cell r="H153" t="str">
            <v>LAS BAMBAS</v>
          </cell>
          <cell r="I153">
            <v>213678</v>
          </cell>
          <cell r="J153" t="str">
            <v>REPUESTO</v>
          </cell>
          <cell r="K153" t="str">
            <v>SOPORTE DE MOTOR SUPERIOR</v>
          </cell>
          <cell r="L153">
            <v>1</v>
          </cell>
          <cell r="M153" t="str">
            <v>UNID.</v>
          </cell>
          <cell r="N153" t="str">
            <v>TRACTO</v>
          </cell>
          <cell r="O153">
            <v>0</v>
          </cell>
          <cell r="P153" t="str">
            <v>M8</v>
          </cell>
          <cell r="Q153" t="str">
            <v>J2</v>
          </cell>
          <cell r="R153" t="str">
            <v>J6</v>
          </cell>
          <cell r="S153" t="str">
            <v>ENTREGADO</v>
          </cell>
          <cell r="T153">
            <v>42678</v>
          </cell>
          <cell r="U153" t="str">
            <v>VARILLAS GAGO  OSCAR ALBERTO</v>
          </cell>
          <cell r="V153" t="str">
            <v>CORIHUAMAN SURCO  ERICK ROBERT</v>
          </cell>
        </row>
        <row r="154">
          <cell r="A154">
            <v>100</v>
          </cell>
          <cell r="B154">
            <v>42678</v>
          </cell>
          <cell r="C154" t="str">
            <v>NOVIEMBRE</v>
          </cell>
          <cell r="D154" t="str">
            <v>2016</v>
          </cell>
          <cell r="E154">
            <v>224</v>
          </cell>
          <cell r="F154" t="str">
            <v>D6F-903</v>
          </cell>
          <cell r="G154" t="str">
            <v>B8K-997</v>
          </cell>
          <cell r="H154" t="str">
            <v>LAS BAMBAS</v>
          </cell>
          <cell r="I154">
            <v>213678</v>
          </cell>
          <cell r="J154" t="str">
            <v>REPUESTO</v>
          </cell>
          <cell r="K154" t="str">
            <v>SOPORTE DE MOTOR INFERIOR</v>
          </cell>
          <cell r="L154">
            <v>1</v>
          </cell>
          <cell r="M154" t="str">
            <v>UNID.</v>
          </cell>
          <cell r="N154" t="str">
            <v>TRACTO</v>
          </cell>
          <cell r="O154">
            <v>0</v>
          </cell>
          <cell r="P154" t="str">
            <v>M8</v>
          </cell>
          <cell r="Q154" t="str">
            <v>J2</v>
          </cell>
          <cell r="R154" t="str">
            <v>J6</v>
          </cell>
          <cell r="S154" t="str">
            <v>ENTREGADO</v>
          </cell>
          <cell r="T154">
            <v>42678</v>
          </cell>
          <cell r="U154" t="str">
            <v>VARILLAS GAGO  OSCAR ALBERTO</v>
          </cell>
          <cell r="V154" t="str">
            <v>CORIHUAMAN SURCO  ERICK ROBERT</v>
          </cell>
        </row>
        <row r="155">
          <cell r="A155">
            <v>101</v>
          </cell>
          <cell r="B155">
            <v>42678</v>
          </cell>
          <cell r="C155" t="str">
            <v>NOVIEMBRE</v>
          </cell>
          <cell r="D155" t="str">
            <v>2016</v>
          </cell>
          <cell r="E155">
            <v>224</v>
          </cell>
          <cell r="F155" t="str">
            <v>D6F-903</v>
          </cell>
          <cell r="G155" t="str">
            <v>B8K-997</v>
          </cell>
          <cell r="H155" t="str">
            <v>LAS BAMBAS</v>
          </cell>
          <cell r="I155">
            <v>213678</v>
          </cell>
          <cell r="J155" t="str">
            <v>REPUESTO</v>
          </cell>
          <cell r="K155" t="str">
            <v>JUEGO DE LLAVE DE CORTE DE COMBUSTIBLE (LH Y RH)</v>
          </cell>
          <cell r="L155">
            <v>2</v>
          </cell>
          <cell r="M155" t="str">
            <v>JUEGO</v>
          </cell>
          <cell r="N155" t="str">
            <v>TRACTO</v>
          </cell>
          <cell r="O155">
            <v>112</v>
          </cell>
          <cell r="P155" t="str">
            <v>M8</v>
          </cell>
          <cell r="Q155" t="str">
            <v>J2</v>
          </cell>
          <cell r="R155" t="str">
            <v>J6</v>
          </cell>
          <cell r="S155" t="str">
            <v>ENTREGADO</v>
          </cell>
          <cell r="T155">
            <v>0</v>
          </cell>
          <cell r="U155" t="str">
            <v>VARILLAS GAGO  OSCAR ALBERTO</v>
          </cell>
          <cell r="V155" t="str">
            <v>CORIHUAMAN SURCO  ERICK ROBERT</v>
          </cell>
        </row>
        <row r="156">
          <cell r="A156">
            <v>102</v>
          </cell>
          <cell r="B156">
            <v>42678</v>
          </cell>
          <cell r="C156" t="str">
            <v>NOVIEMBRE</v>
          </cell>
          <cell r="D156" t="str">
            <v>2016</v>
          </cell>
          <cell r="E156">
            <v>224</v>
          </cell>
          <cell r="F156" t="str">
            <v>D6F-903</v>
          </cell>
          <cell r="G156" t="str">
            <v>B8K-997</v>
          </cell>
          <cell r="H156" t="str">
            <v>LAS BAMBAS</v>
          </cell>
          <cell r="I156">
            <v>213678</v>
          </cell>
          <cell r="J156" t="str">
            <v>REPUESTO</v>
          </cell>
          <cell r="K156" t="str">
            <v>RETENEDOR DE PUERTA</v>
          </cell>
          <cell r="L156">
            <v>1</v>
          </cell>
          <cell r="M156" t="str">
            <v>UNID.</v>
          </cell>
          <cell r="N156" t="str">
            <v>TRACTO</v>
          </cell>
          <cell r="O156">
            <v>0</v>
          </cell>
          <cell r="P156" t="str">
            <v>M8</v>
          </cell>
          <cell r="Q156" t="str">
            <v>J2</v>
          </cell>
          <cell r="R156" t="str">
            <v>J6</v>
          </cell>
          <cell r="S156" t="str">
            <v>ENTREGADO</v>
          </cell>
          <cell r="T156">
            <v>42678</v>
          </cell>
          <cell r="U156" t="str">
            <v>VARILLAS GAGO  OSCAR ALBERTO</v>
          </cell>
          <cell r="V156" t="str">
            <v>CORIHUAMAN SURCO  ERICK ROBERT</v>
          </cell>
        </row>
        <row r="157">
          <cell r="A157">
            <v>103</v>
          </cell>
          <cell r="B157">
            <v>42678</v>
          </cell>
          <cell r="C157" t="str">
            <v>NOVIEMBRE</v>
          </cell>
          <cell r="D157" t="str">
            <v>2016</v>
          </cell>
          <cell r="E157">
            <v>224</v>
          </cell>
          <cell r="F157" t="str">
            <v>D6F-903</v>
          </cell>
          <cell r="G157" t="str">
            <v>B8K-997</v>
          </cell>
          <cell r="H157" t="str">
            <v>LAS BAMBAS</v>
          </cell>
          <cell r="I157">
            <v>213678</v>
          </cell>
          <cell r="J157" t="str">
            <v>REPUESTO</v>
          </cell>
          <cell r="K157" t="str">
            <v>CERROJO DE PUERTA RH</v>
          </cell>
          <cell r="L157">
            <v>1</v>
          </cell>
          <cell r="M157" t="str">
            <v>UNID.</v>
          </cell>
          <cell r="N157" t="str">
            <v>TRACTO</v>
          </cell>
          <cell r="O157">
            <v>0</v>
          </cell>
          <cell r="P157" t="str">
            <v>M8</v>
          </cell>
          <cell r="Q157" t="str">
            <v>J2</v>
          </cell>
          <cell r="R157" t="str">
            <v>J6</v>
          </cell>
          <cell r="S157" t="str">
            <v>ENTREGADO</v>
          </cell>
          <cell r="T157">
            <v>42678</v>
          </cell>
          <cell r="U157" t="str">
            <v>VARILLAS GAGO  OSCAR ALBERTO</v>
          </cell>
          <cell r="V157" t="str">
            <v>CORIHUAMAN SURCO  ERICK ROBERT</v>
          </cell>
        </row>
        <row r="158">
          <cell r="A158">
            <v>104</v>
          </cell>
          <cell r="B158">
            <v>42678</v>
          </cell>
          <cell r="C158" t="str">
            <v>NOVIEMBRE</v>
          </cell>
          <cell r="D158" t="str">
            <v>2016</v>
          </cell>
          <cell r="E158">
            <v>224</v>
          </cell>
          <cell r="F158" t="str">
            <v>D6F-903</v>
          </cell>
          <cell r="G158" t="str">
            <v>B8K-997</v>
          </cell>
          <cell r="H158" t="str">
            <v>LAS BAMBAS</v>
          </cell>
          <cell r="I158">
            <v>213678</v>
          </cell>
          <cell r="J158" t="str">
            <v>REPUESTO</v>
          </cell>
          <cell r="K158" t="str">
            <v>TAPA  DE DEPOSITO LIMPIA PARABRISA</v>
          </cell>
          <cell r="L158">
            <v>1</v>
          </cell>
          <cell r="M158" t="str">
            <v>UNID.</v>
          </cell>
          <cell r="N158" t="str">
            <v>TRACTO</v>
          </cell>
          <cell r="O158">
            <v>0</v>
          </cell>
          <cell r="P158" t="str">
            <v>M8</v>
          </cell>
          <cell r="Q158" t="str">
            <v>J2</v>
          </cell>
          <cell r="R158" t="str">
            <v>J6</v>
          </cell>
          <cell r="S158" t="str">
            <v>ENTREGADO</v>
          </cell>
          <cell r="T158">
            <v>42678</v>
          </cell>
          <cell r="U158" t="str">
            <v>VARILLAS GAGO  OSCAR ALBERTO</v>
          </cell>
          <cell r="V158" t="str">
            <v>CORIHUAMAN SURCO  ERICK ROBERT</v>
          </cell>
        </row>
        <row r="159">
          <cell r="A159">
            <v>126</v>
          </cell>
          <cell r="B159">
            <v>42678</v>
          </cell>
          <cell r="C159" t="str">
            <v>NOVIEMBRE</v>
          </cell>
          <cell r="D159" t="str">
            <v>2016</v>
          </cell>
          <cell r="E159">
            <v>224</v>
          </cell>
          <cell r="F159" t="str">
            <v>D6F-903</v>
          </cell>
          <cell r="G159" t="str">
            <v>B8K-997</v>
          </cell>
          <cell r="H159" t="str">
            <v>LAS BAMBAS</v>
          </cell>
          <cell r="I159">
            <v>213678</v>
          </cell>
          <cell r="J159" t="str">
            <v>REPUESTO</v>
          </cell>
          <cell r="K159" t="str">
            <v>FILTRO DE COMBUSTIBLE</v>
          </cell>
          <cell r="L159">
            <v>1</v>
          </cell>
          <cell r="M159" t="str">
            <v>UNID.</v>
          </cell>
          <cell r="N159" t="str">
            <v>TRACTO</v>
          </cell>
          <cell r="O159">
            <v>0</v>
          </cell>
          <cell r="P159" t="str">
            <v>M8</v>
          </cell>
          <cell r="Q159" t="str">
            <v>J2</v>
          </cell>
          <cell r="R159" t="str">
            <v>J6</v>
          </cell>
          <cell r="S159" t="str">
            <v>ENTREGADO</v>
          </cell>
          <cell r="T159">
            <v>42678</v>
          </cell>
          <cell r="U159" t="str">
            <v>VARILLAS GAGO  OSCAR ALBERTO</v>
          </cell>
          <cell r="V159" t="str">
            <v>CORIHUAMAN SURCO  ERICK ROBERT</v>
          </cell>
        </row>
        <row r="160">
          <cell r="A160">
            <v>127</v>
          </cell>
          <cell r="B160">
            <v>42678</v>
          </cell>
          <cell r="C160" t="str">
            <v>NOVIEMBRE</v>
          </cell>
          <cell r="D160" t="str">
            <v>2016</v>
          </cell>
          <cell r="E160">
            <v>224</v>
          </cell>
          <cell r="F160" t="str">
            <v>D6F-903</v>
          </cell>
          <cell r="G160" t="str">
            <v>B8K-997</v>
          </cell>
          <cell r="H160" t="str">
            <v>LAS BAMBAS</v>
          </cell>
          <cell r="I160">
            <v>213678</v>
          </cell>
          <cell r="J160" t="str">
            <v>REPUESTO</v>
          </cell>
          <cell r="K160" t="str">
            <v>FILTRO SEPARADOR DE AGUA CON VALVULA</v>
          </cell>
          <cell r="L160">
            <v>1</v>
          </cell>
          <cell r="M160" t="str">
            <v>UNID.</v>
          </cell>
          <cell r="N160" t="str">
            <v>TRACTO</v>
          </cell>
          <cell r="O160">
            <v>0</v>
          </cell>
          <cell r="P160" t="str">
            <v>M8</v>
          </cell>
          <cell r="Q160" t="str">
            <v>J2</v>
          </cell>
          <cell r="R160" t="str">
            <v>J6</v>
          </cell>
          <cell r="S160" t="str">
            <v>ENTREGADO</v>
          </cell>
          <cell r="T160">
            <v>42678</v>
          </cell>
          <cell r="U160" t="str">
            <v>VARILLAS GAGO  OSCAR ALBERTO</v>
          </cell>
          <cell r="V160" t="str">
            <v>CORIHUAMAN SURCO  ERICK ROBERT</v>
          </cell>
        </row>
        <row r="161">
          <cell r="A161">
            <v>138</v>
          </cell>
          <cell r="B161">
            <v>42678</v>
          </cell>
          <cell r="C161" t="str">
            <v>NOVIEMBRE</v>
          </cell>
          <cell r="D161" t="str">
            <v>2016</v>
          </cell>
          <cell r="E161">
            <v>230</v>
          </cell>
          <cell r="F161" t="str">
            <v>D6G-805</v>
          </cell>
          <cell r="G161" t="str">
            <v>T4Z-996</v>
          </cell>
          <cell r="H161" t="str">
            <v>LAS BAMBAS</v>
          </cell>
          <cell r="I161">
            <v>218905</v>
          </cell>
          <cell r="J161" t="str">
            <v>REPUESTO</v>
          </cell>
          <cell r="K161" t="str">
            <v>FOCO 9006</v>
          </cell>
          <cell r="L161">
            <v>1</v>
          </cell>
          <cell r="M161" t="str">
            <v>UNID.</v>
          </cell>
          <cell r="N161" t="str">
            <v>TRACTO</v>
          </cell>
          <cell r="O161">
            <v>0</v>
          </cell>
          <cell r="P161" t="str">
            <v>E1</v>
          </cell>
          <cell r="Q161" t="str">
            <v>J1</v>
          </cell>
          <cell r="R161" t="str">
            <v>J6</v>
          </cell>
          <cell r="S161" t="str">
            <v>ENTREGADO</v>
          </cell>
          <cell r="T161">
            <v>42678</v>
          </cell>
          <cell r="U161" t="str">
            <v>PALOMINO CARDENAS JUAN CARLOS</v>
          </cell>
          <cell r="V161" t="str">
            <v>FLOREZ CONDORI  JOSE WILLIANS</v>
          </cell>
        </row>
        <row r="162">
          <cell r="A162">
            <v>110</v>
          </cell>
          <cell r="B162">
            <v>42678</v>
          </cell>
          <cell r="C162" t="str">
            <v>NOVIEMBRE</v>
          </cell>
          <cell r="D162" t="str">
            <v>2016</v>
          </cell>
          <cell r="E162">
            <v>200</v>
          </cell>
          <cell r="F162" t="str">
            <v>TALLER</v>
          </cell>
          <cell r="G162" t="str">
            <v>TALLER</v>
          </cell>
          <cell r="H162" t="str">
            <v>TALLER</v>
          </cell>
          <cell r="I162" t="str">
            <v>TALLER</v>
          </cell>
          <cell r="J162" t="str">
            <v>REPUESTO</v>
          </cell>
          <cell r="K162" t="str">
            <v>TOMACORRIENTE</v>
          </cell>
          <cell r="L162">
            <v>1</v>
          </cell>
          <cell r="M162" t="str">
            <v>UNID.</v>
          </cell>
          <cell r="N162" t="str">
            <v>TRACTO</v>
          </cell>
          <cell r="O162">
            <v>112</v>
          </cell>
          <cell r="P162" t="str">
            <v>E1</v>
          </cell>
          <cell r="Q162" t="str">
            <v>J2</v>
          </cell>
          <cell r="R162" t="str">
            <v>J6</v>
          </cell>
          <cell r="S162" t="str">
            <v>ENTREGADO</v>
          </cell>
          <cell r="T162">
            <v>0</v>
          </cell>
          <cell r="U162" t="str">
            <v>PALOMINO CARDENAS JUAN CARLOS</v>
          </cell>
          <cell r="V162" t="str">
            <v>CORIHUAMAN SURCO  ERICK ROBERT</v>
          </cell>
        </row>
        <row r="163">
          <cell r="A163">
            <v>115</v>
          </cell>
          <cell r="B163">
            <v>42678</v>
          </cell>
          <cell r="C163" t="str">
            <v>NOVIEMBRE</v>
          </cell>
          <cell r="D163" t="str">
            <v>2016</v>
          </cell>
          <cell r="E163">
            <v>205</v>
          </cell>
          <cell r="F163" t="str">
            <v>X2W-765</v>
          </cell>
          <cell r="G163" t="str">
            <v>C5V-993</v>
          </cell>
          <cell r="H163" t="str">
            <v>LAS BAMBAS</v>
          </cell>
          <cell r="I163">
            <v>154850</v>
          </cell>
          <cell r="J163" t="str">
            <v>REPUESTO</v>
          </cell>
          <cell r="K163" t="str">
            <v>SERVICIO DE PINTURA DE TAPABARROS</v>
          </cell>
          <cell r="L163">
            <v>1</v>
          </cell>
          <cell r="M163" t="str">
            <v>UNID.</v>
          </cell>
          <cell r="N163" t="str">
            <v>CISTERNA</v>
          </cell>
          <cell r="O163">
            <v>112</v>
          </cell>
          <cell r="P163" t="str">
            <v>S1</v>
          </cell>
          <cell r="Q163" t="str">
            <v>J2</v>
          </cell>
          <cell r="R163" t="str">
            <v>J6</v>
          </cell>
          <cell r="S163" t="str">
            <v>ENTREGADO</v>
          </cell>
          <cell r="T163">
            <v>0</v>
          </cell>
          <cell r="U163" t="str">
            <v>BAYONA CRUZ CRISTIAN ARMANDO</v>
          </cell>
          <cell r="V163" t="str">
            <v>CORIHUAMAN SURCO  ERICK ROBERT</v>
          </cell>
        </row>
        <row r="164">
          <cell r="A164">
            <v>118</v>
          </cell>
          <cell r="B164">
            <v>42678</v>
          </cell>
          <cell r="C164" t="str">
            <v>NOVIEMBRE</v>
          </cell>
          <cell r="D164" t="str">
            <v>2016</v>
          </cell>
          <cell r="E164">
            <v>205</v>
          </cell>
          <cell r="F164" t="str">
            <v>X2W-765</v>
          </cell>
          <cell r="G164" t="str">
            <v>C5V-993</v>
          </cell>
          <cell r="H164" t="str">
            <v>LAS BAMBAS</v>
          </cell>
          <cell r="I164">
            <v>154850</v>
          </cell>
          <cell r="J164" t="str">
            <v>MATERIALES</v>
          </cell>
          <cell r="K164" t="str">
            <v>CELLOCORD 1/8</v>
          </cell>
          <cell r="L164">
            <v>1</v>
          </cell>
          <cell r="M164" t="str">
            <v>KG.</v>
          </cell>
          <cell r="N164" t="str">
            <v>CISTERNA</v>
          </cell>
          <cell r="O164">
            <v>0</v>
          </cell>
          <cell r="P164" t="str">
            <v>S1</v>
          </cell>
          <cell r="Q164" t="str">
            <v>J2</v>
          </cell>
          <cell r="R164" t="str">
            <v>J6</v>
          </cell>
          <cell r="S164" t="str">
            <v>ENTREGADO</v>
          </cell>
          <cell r="T164">
            <v>42678</v>
          </cell>
          <cell r="U164" t="str">
            <v>BAYONA CRUZ CRISTIAN ARMANDO</v>
          </cell>
          <cell r="V164" t="str">
            <v>CORIHUAMAN SURCO  ERICK ROBERT</v>
          </cell>
        </row>
        <row r="165">
          <cell r="A165">
            <v>119</v>
          </cell>
          <cell r="B165">
            <v>42678</v>
          </cell>
          <cell r="C165" t="str">
            <v>NOVIEMBRE</v>
          </cell>
          <cell r="D165" t="str">
            <v>2016</v>
          </cell>
          <cell r="E165">
            <v>205</v>
          </cell>
          <cell r="F165" t="str">
            <v>X2W-765</v>
          </cell>
          <cell r="G165" t="str">
            <v>C5V-993</v>
          </cell>
          <cell r="H165" t="str">
            <v>LAS BAMBAS</v>
          </cell>
          <cell r="I165">
            <v>154850</v>
          </cell>
          <cell r="J165" t="str">
            <v>MATERIALES</v>
          </cell>
          <cell r="K165" t="str">
            <v>CINTA AISLANTE NEGRO</v>
          </cell>
          <cell r="L165">
            <v>1</v>
          </cell>
          <cell r="M165" t="str">
            <v>UNID.</v>
          </cell>
          <cell r="N165" t="str">
            <v>CISTERNA</v>
          </cell>
          <cell r="O165">
            <v>0</v>
          </cell>
          <cell r="P165" t="str">
            <v>S1</v>
          </cell>
          <cell r="Q165" t="str">
            <v>J2</v>
          </cell>
          <cell r="R165" t="str">
            <v>J6</v>
          </cell>
          <cell r="S165" t="str">
            <v>ENTREGADO</v>
          </cell>
          <cell r="T165">
            <v>42678</v>
          </cell>
          <cell r="U165" t="str">
            <v>BAYONA CRUZ CRISTIAN ARMANDO</v>
          </cell>
          <cell r="V165" t="str">
            <v>CORIHUAMAN SURCO  ERICK ROBERT</v>
          </cell>
        </row>
        <row r="166">
          <cell r="A166">
            <v>136</v>
          </cell>
          <cell r="B166">
            <v>42678</v>
          </cell>
          <cell r="C166" t="str">
            <v>NOVIEMBRE</v>
          </cell>
          <cell r="D166" t="str">
            <v>2016</v>
          </cell>
          <cell r="E166">
            <v>205</v>
          </cell>
          <cell r="F166" t="str">
            <v>X2W-765</v>
          </cell>
          <cell r="G166" t="str">
            <v>C5V-993</v>
          </cell>
          <cell r="H166" t="str">
            <v>LAS BAMBAS</v>
          </cell>
          <cell r="I166">
            <v>154850</v>
          </cell>
          <cell r="J166" t="str">
            <v>MATERIALES</v>
          </cell>
          <cell r="K166" t="str">
            <v>SUPERCITO 5/32</v>
          </cell>
          <cell r="L166">
            <v>0.5</v>
          </cell>
          <cell r="M166" t="str">
            <v>KG.</v>
          </cell>
          <cell r="N166" t="str">
            <v>CISTERNA</v>
          </cell>
          <cell r="O166">
            <v>0</v>
          </cell>
          <cell r="P166" t="str">
            <v>S1</v>
          </cell>
          <cell r="Q166" t="str">
            <v>J1</v>
          </cell>
          <cell r="R166" t="str">
            <v>J6</v>
          </cell>
          <cell r="S166" t="str">
            <v>ENTREGADO</v>
          </cell>
          <cell r="T166">
            <v>42678</v>
          </cell>
          <cell r="U166" t="str">
            <v>BAYONA CRUZ CRISTIAN ARMANDO</v>
          </cell>
          <cell r="V166" t="str">
            <v>FLOREZ CONDORI  JOSE WILLIANS</v>
          </cell>
        </row>
        <row r="167">
          <cell r="A167">
            <v>137</v>
          </cell>
          <cell r="B167">
            <v>42678</v>
          </cell>
          <cell r="C167" t="str">
            <v>NOVIEMBRE</v>
          </cell>
          <cell r="D167" t="str">
            <v>2016</v>
          </cell>
          <cell r="E167">
            <v>205</v>
          </cell>
          <cell r="F167" t="str">
            <v>X2W-765</v>
          </cell>
          <cell r="G167" t="str">
            <v>C5V-993</v>
          </cell>
          <cell r="H167" t="str">
            <v>LAS BAMBAS</v>
          </cell>
          <cell r="I167">
            <v>154850</v>
          </cell>
          <cell r="J167" t="str">
            <v>MATERIALES</v>
          </cell>
          <cell r="K167" t="str">
            <v>CELLOCORD 5/32</v>
          </cell>
          <cell r="L167">
            <v>1</v>
          </cell>
          <cell r="M167" t="str">
            <v>KG.</v>
          </cell>
          <cell r="N167" t="str">
            <v>CISTERNA</v>
          </cell>
          <cell r="O167">
            <v>0</v>
          </cell>
          <cell r="P167" t="str">
            <v>S1</v>
          </cell>
          <cell r="Q167" t="str">
            <v>J1</v>
          </cell>
          <cell r="R167" t="str">
            <v>J6</v>
          </cell>
          <cell r="S167" t="str">
            <v>ENTREGADO</v>
          </cell>
          <cell r="T167">
            <v>42678</v>
          </cell>
          <cell r="U167" t="str">
            <v>BAYONA CRUZ CRISTIAN ARMANDO</v>
          </cell>
          <cell r="V167" t="str">
            <v>FLOREZ CONDORI  JOSE WILLIANS</v>
          </cell>
        </row>
        <row r="168">
          <cell r="A168">
            <v>139</v>
          </cell>
          <cell r="B168">
            <v>42678</v>
          </cell>
          <cell r="C168" t="str">
            <v>NOVIEMBRE</v>
          </cell>
          <cell r="D168" t="str">
            <v>2016</v>
          </cell>
          <cell r="E168">
            <v>205</v>
          </cell>
          <cell r="F168" t="str">
            <v>X2W-765</v>
          </cell>
          <cell r="G168" t="str">
            <v>C5V-993</v>
          </cell>
          <cell r="H168" t="str">
            <v>LAS BAMBAS</v>
          </cell>
          <cell r="I168">
            <v>154850</v>
          </cell>
          <cell r="J168" t="str">
            <v>REPUESTO</v>
          </cell>
          <cell r="K168" t="str">
            <v>PERNOS 9/16 X 6 COMPETO CON TUERCA DE SEGURO</v>
          </cell>
          <cell r="L168">
            <v>2</v>
          </cell>
          <cell r="M168" t="str">
            <v>UNID.</v>
          </cell>
          <cell r="N168" t="str">
            <v>CISTERNA</v>
          </cell>
          <cell r="O168">
            <v>0</v>
          </cell>
          <cell r="P168" t="str">
            <v>S1</v>
          </cell>
          <cell r="Q168" t="str">
            <v>J1</v>
          </cell>
          <cell r="R168" t="str">
            <v>J6</v>
          </cell>
          <cell r="S168" t="str">
            <v>ENTREGADO</v>
          </cell>
          <cell r="T168">
            <v>42678</v>
          </cell>
          <cell r="U168" t="str">
            <v>BAYONA CRUZ CRISTIAN ARMANDO</v>
          </cell>
          <cell r="V168" t="str">
            <v>FLOREZ CONDORI  JOSE WILLIANS</v>
          </cell>
        </row>
        <row r="169">
          <cell r="A169">
            <v>140</v>
          </cell>
          <cell r="B169">
            <v>42678</v>
          </cell>
          <cell r="C169" t="str">
            <v>NOVIEMBRE</v>
          </cell>
          <cell r="D169" t="str">
            <v>2016</v>
          </cell>
          <cell r="E169">
            <v>205</v>
          </cell>
          <cell r="F169" t="str">
            <v>X2W-765</v>
          </cell>
          <cell r="G169" t="str">
            <v>C5V-993</v>
          </cell>
          <cell r="H169" t="str">
            <v>LAS BAMBAS</v>
          </cell>
          <cell r="I169">
            <v>154850</v>
          </cell>
          <cell r="J169" t="str">
            <v>REPUESTO</v>
          </cell>
          <cell r="K169" t="str">
            <v>VOLANDA PLANA DE 9/16</v>
          </cell>
          <cell r="L169">
            <v>4</v>
          </cell>
          <cell r="M169" t="str">
            <v>UNID.</v>
          </cell>
          <cell r="N169" t="str">
            <v>CISTERNA</v>
          </cell>
          <cell r="O169">
            <v>0</v>
          </cell>
          <cell r="P169" t="str">
            <v>S1</v>
          </cell>
          <cell r="Q169" t="str">
            <v>J1</v>
          </cell>
          <cell r="R169" t="str">
            <v>J6</v>
          </cell>
          <cell r="S169" t="str">
            <v>ENTREGADO</v>
          </cell>
          <cell r="T169">
            <v>42678</v>
          </cell>
          <cell r="U169" t="str">
            <v>BAYONA CRUZ CRISTIAN ARMANDO</v>
          </cell>
          <cell r="V169" t="str">
            <v>FLOREZ CONDORI  JOSE WILLIANS</v>
          </cell>
        </row>
        <row r="170">
          <cell r="A170">
            <v>161</v>
          </cell>
          <cell r="B170">
            <v>42679</v>
          </cell>
          <cell r="C170" t="str">
            <v>NOVIEMBRE</v>
          </cell>
          <cell r="D170" t="str">
            <v>2016</v>
          </cell>
          <cell r="E170">
            <v>225</v>
          </cell>
          <cell r="F170" t="str">
            <v>ABP-729</v>
          </cell>
          <cell r="G170" t="str">
            <v>D8K-985</v>
          </cell>
          <cell r="H170" t="str">
            <v>LAS BAMBAS</v>
          </cell>
          <cell r="I170">
            <v>104807</v>
          </cell>
          <cell r="J170" t="str">
            <v>REPUESTO</v>
          </cell>
          <cell r="K170" t="str">
            <v>RELAY DE CARGA DE BATERIAS</v>
          </cell>
          <cell r="L170">
            <v>1</v>
          </cell>
          <cell r="M170" t="str">
            <v>UNID.</v>
          </cell>
          <cell r="N170" t="str">
            <v>TRACTO</v>
          </cell>
          <cell r="O170">
            <v>0</v>
          </cell>
          <cell r="P170" t="str">
            <v>E1</v>
          </cell>
          <cell r="Q170" t="str">
            <v>J2</v>
          </cell>
          <cell r="R170" t="str">
            <v>J2</v>
          </cell>
          <cell r="S170" t="str">
            <v>ENTREGADO</v>
          </cell>
          <cell r="T170">
            <v>42679</v>
          </cell>
          <cell r="U170" t="str">
            <v>PALOMINO CARDENAS JUAN CARLOS</v>
          </cell>
          <cell r="V170" t="str">
            <v>CORIHUAMAN SURCO  ERICK ROBERT</v>
          </cell>
        </row>
        <row r="171">
          <cell r="A171">
            <v>162</v>
          </cell>
          <cell r="B171">
            <v>42679</v>
          </cell>
          <cell r="C171" t="str">
            <v>NOVIEMBRE</v>
          </cell>
          <cell r="D171" t="str">
            <v>2016</v>
          </cell>
          <cell r="E171">
            <v>225</v>
          </cell>
          <cell r="F171" t="str">
            <v>ABP-729</v>
          </cell>
          <cell r="G171" t="str">
            <v>D8K-985</v>
          </cell>
          <cell r="H171" t="str">
            <v>LAS BAMBAS</v>
          </cell>
          <cell r="I171">
            <v>104807</v>
          </cell>
          <cell r="J171" t="str">
            <v>REPUESTO</v>
          </cell>
          <cell r="K171" t="str">
            <v>PORTA DIODOS SEGÚN MUESTRA</v>
          </cell>
          <cell r="L171">
            <v>1</v>
          </cell>
          <cell r="M171" t="str">
            <v>UNID.</v>
          </cell>
          <cell r="N171" t="str">
            <v>TRACTO</v>
          </cell>
          <cell r="O171">
            <v>0</v>
          </cell>
          <cell r="P171" t="str">
            <v>E1</v>
          </cell>
          <cell r="Q171" t="str">
            <v>J2</v>
          </cell>
          <cell r="R171" t="str">
            <v>J2</v>
          </cell>
          <cell r="S171" t="str">
            <v>ENTREGADO</v>
          </cell>
          <cell r="T171">
            <v>42679</v>
          </cell>
          <cell r="U171" t="str">
            <v>PALOMINO CARDENAS JUAN CARLOS</v>
          </cell>
          <cell r="V171" t="str">
            <v>CORIHUAMAN SURCO  ERICK ROBERT</v>
          </cell>
        </row>
        <row r="172">
          <cell r="A172">
            <v>186</v>
          </cell>
          <cell r="B172">
            <v>42679</v>
          </cell>
          <cell r="C172" t="str">
            <v>NOVIEMBRE</v>
          </cell>
          <cell r="D172" t="str">
            <v>2016</v>
          </cell>
          <cell r="E172">
            <v>225</v>
          </cell>
          <cell r="F172" t="str">
            <v>ABP-729</v>
          </cell>
          <cell r="G172" t="str">
            <v>D8K-985</v>
          </cell>
          <cell r="H172" t="str">
            <v>LAS BAMBAS</v>
          </cell>
          <cell r="I172">
            <v>104807</v>
          </cell>
          <cell r="J172" t="str">
            <v>INSUMO TALLER</v>
          </cell>
          <cell r="K172" t="str">
            <v>REMACHES PARA FAJAS</v>
          </cell>
          <cell r="L172">
            <v>300</v>
          </cell>
          <cell r="M172" t="str">
            <v>UNID.</v>
          </cell>
          <cell r="N172" t="str">
            <v>TRACTO</v>
          </cell>
          <cell r="O172">
            <v>0</v>
          </cell>
          <cell r="P172" t="str">
            <v>M2</v>
          </cell>
          <cell r="Q172" t="str">
            <v>J2</v>
          </cell>
          <cell r="R172" t="str">
            <v>J2</v>
          </cell>
          <cell r="S172" t="str">
            <v>ENTREGADO</v>
          </cell>
          <cell r="T172">
            <v>42679</v>
          </cell>
          <cell r="U172" t="str">
            <v>CHUMPITAZ GAGO JULIO ENRIQUE</v>
          </cell>
          <cell r="V172" t="str">
            <v>CORIHUAMAN SURCO  ERICK ROBERT</v>
          </cell>
        </row>
        <row r="173">
          <cell r="A173">
            <v>187</v>
          </cell>
          <cell r="B173">
            <v>42679</v>
          </cell>
          <cell r="C173" t="str">
            <v>NOVIEMBRE</v>
          </cell>
          <cell r="D173" t="str">
            <v>2016</v>
          </cell>
          <cell r="E173">
            <v>225</v>
          </cell>
          <cell r="F173" t="str">
            <v>ABP-729</v>
          </cell>
          <cell r="G173" t="str">
            <v>D8K-985</v>
          </cell>
          <cell r="H173" t="str">
            <v>LAS BAMBAS</v>
          </cell>
          <cell r="I173">
            <v>104807</v>
          </cell>
          <cell r="J173" t="str">
            <v>INSUMO TALLER</v>
          </cell>
          <cell r="K173" t="str">
            <v>FAJAS DE FRENO</v>
          </cell>
          <cell r="L173">
            <v>2</v>
          </cell>
          <cell r="M173" t="str">
            <v>JUEGO</v>
          </cell>
          <cell r="N173" t="str">
            <v>CISTERNA</v>
          </cell>
          <cell r="O173">
            <v>0</v>
          </cell>
          <cell r="P173" t="str">
            <v>M2</v>
          </cell>
          <cell r="Q173" t="str">
            <v>J2</v>
          </cell>
          <cell r="R173" t="str">
            <v>J2</v>
          </cell>
          <cell r="S173" t="str">
            <v>ENTREGADO</v>
          </cell>
          <cell r="T173">
            <v>42679</v>
          </cell>
          <cell r="U173" t="str">
            <v>CHUMPITAZ GAGO JULIO ENRIQUE</v>
          </cell>
          <cell r="V173" t="str">
            <v>CORIHUAMAN SURCO  ERICK ROBERT</v>
          </cell>
        </row>
        <row r="174">
          <cell r="A174">
            <v>163</v>
          </cell>
          <cell r="B174">
            <v>42679</v>
          </cell>
          <cell r="C174" t="str">
            <v>NOVIEMBRE</v>
          </cell>
          <cell r="D174" t="str">
            <v>2016</v>
          </cell>
          <cell r="E174">
            <v>203</v>
          </cell>
          <cell r="F174" t="str">
            <v>ABQ-703</v>
          </cell>
          <cell r="G174" t="str">
            <v>D0Z-994</v>
          </cell>
          <cell r="H174" t="str">
            <v>LAS BAMBAS</v>
          </cell>
          <cell r="I174">
            <v>95835</v>
          </cell>
          <cell r="J174" t="str">
            <v>REPUESTO</v>
          </cell>
          <cell r="K174" t="str">
            <v>NIPLE DE BRONCE DE 3/8" x 3/8"  DE 90° COMPLETO CON CONO Y GUIA Y TUERCA</v>
          </cell>
          <cell r="L174">
            <v>1</v>
          </cell>
          <cell r="M174" t="str">
            <v>UNID.</v>
          </cell>
          <cell r="N174" t="str">
            <v>CISTERNA</v>
          </cell>
          <cell r="O174">
            <v>0</v>
          </cell>
          <cell r="P174" t="str">
            <v>M8</v>
          </cell>
          <cell r="Q174" t="str">
            <v>J2</v>
          </cell>
          <cell r="R174" t="str">
            <v>J2</v>
          </cell>
          <cell r="S174" t="str">
            <v>ENTREGADO</v>
          </cell>
          <cell r="T174">
            <v>42679</v>
          </cell>
          <cell r="U174" t="str">
            <v>VARILLAS GAGO  OSCAR ALBERTO</v>
          </cell>
          <cell r="V174" t="str">
            <v>CORIHUAMAN SURCO  ERICK ROBERT</v>
          </cell>
        </row>
        <row r="175">
          <cell r="A175">
            <v>147</v>
          </cell>
          <cell r="B175">
            <v>42679</v>
          </cell>
          <cell r="C175" t="str">
            <v>NOVIEMBRE</v>
          </cell>
          <cell r="D175" t="str">
            <v>2016</v>
          </cell>
          <cell r="E175">
            <v>216</v>
          </cell>
          <cell r="F175" t="str">
            <v>ABQ-780</v>
          </cell>
          <cell r="G175" t="str">
            <v>C9S-990</v>
          </cell>
          <cell r="H175" t="str">
            <v>LAS BAMBAS</v>
          </cell>
          <cell r="I175">
            <v>111326</v>
          </cell>
          <cell r="J175" t="str">
            <v>REPUESTO</v>
          </cell>
          <cell r="K175" t="str">
            <v>SOPORTE DE MOTOR POSTERIOR L Y R</v>
          </cell>
          <cell r="L175">
            <v>2</v>
          </cell>
          <cell r="M175" t="str">
            <v>UNID.</v>
          </cell>
          <cell r="N175" t="str">
            <v>TRACTO</v>
          </cell>
          <cell r="O175">
            <v>0</v>
          </cell>
          <cell r="P175" t="str">
            <v>M1</v>
          </cell>
          <cell r="Q175" t="str">
            <v>J2</v>
          </cell>
          <cell r="R175" t="str">
            <v>J2</v>
          </cell>
          <cell r="S175" t="str">
            <v>ENTREGADO</v>
          </cell>
          <cell r="T175">
            <v>42679</v>
          </cell>
          <cell r="U175" t="str">
            <v>CABEZAS SANCHEZ JEAN JHONATAN</v>
          </cell>
          <cell r="V175" t="str">
            <v>CORIHUAMAN SURCO  ERICK ROBERT</v>
          </cell>
        </row>
        <row r="176">
          <cell r="A176">
            <v>189</v>
          </cell>
          <cell r="B176">
            <v>42679</v>
          </cell>
          <cell r="C176" t="str">
            <v>NOVIEMBRE</v>
          </cell>
          <cell r="D176" t="str">
            <v>2016</v>
          </cell>
          <cell r="E176">
            <v>216</v>
          </cell>
          <cell r="F176" t="str">
            <v>ABQ-780</v>
          </cell>
          <cell r="G176" t="str">
            <v>C9S-990</v>
          </cell>
          <cell r="H176" t="str">
            <v>LAS BAMBAS</v>
          </cell>
          <cell r="I176">
            <v>111326</v>
          </cell>
          <cell r="J176" t="str">
            <v>REPUESTO</v>
          </cell>
          <cell r="K176" t="str">
            <v>KIT COMPLETO DE EMBRIAGUE</v>
          </cell>
          <cell r="L176">
            <v>1</v>
          </cell>
          <cell r="M176" t="str">
            <v>UNID.</v>
          </cell>
          <cell r="N176" t="str">
            <v>TRACTO</v>
          </cell>
          <cell r="O176">
            <v>0</v>
          </cell>
          <cell r="P176" t="str">
            <v>M1</v>
          </cell>
          <cell r="Q176" t="str">
            <v>J2</v>
          </cell>
          <cell r="R176" t="str">
            <v>J2</v>
          </cell>
          <cell r="S176" t="str">
            <v>ENTREGADO</v>
          </cell>
          <cell r="T176">
            <v>42679</v>
          </cell>
          <cell r="U176" t="str">
            <v>CABEZAS SANCHEZ JEAN JHONATAN</v>
          </cell>
          <cell r="V176" t="str">
            <v>CORIHUAMAN SURCO  ERICK ROBERT</v>
          </cell>
        </row>
        <row r="177">
          <cell r="A177">
            <v>169</v>
          </cell>
          <cell r="B177">
            <v>42679</v>
          </cell>
          <cell r="C177" t="str">
            <v>NOVIEMBRE</v>
          </cell>
          <cell r="D177" t="str">
            <v>2016</v>
          </cell>
          <cell r="E177">
            <v>229</v>
          </cell>
          <cell r="F177" t="str">
            <v>AEH-801</v>
          </cell>
          <cell r="G177" t="str">
            <v>CAMIONETA</v>
          </cell>
          <cell r="H177" t="str">
            <v>LAS BAMBAS</v>
          </cell>
          <cell r="I177">
            <v>83936</v>
          </cell>
          <cell r="J177" t="str">
            <v>REPUESTO</v>
          </cell>
          <cell r="K177" t="str">
            <v>CRUZETA  DE CARDAN DE TRACCION</v>
          </cell>
          <cell r="L177">
            <v>2</v>
          </cell>
          <cell r="M177" t="str">
            <v>UNID.</v>
          </cell>
          <cell r="N177" t="str">
            <v>CAMIONETA</v>
          </cell>
          <cell r="O177">
            <v>0</v>
          </cell>
          <cell r="P177" t="str">
            <v>M6</v>
          </cell>
          <cell r="Q177" t="str">
            <v>J2</v>
          </cell>
          <cell r="R177" t="str">
            <v>J2</v>
          </cell>
          <cell r="S177" t="str">
            <v>ENTREGADO</v>
          </cell>
          <cell r="T177">
            <v>42679</v>
          </cell>
          <cell r="U177" t="str">
            <v>PARI VENTURA  EDSON ORLANDO</v>
          </cell>
          <cell r="V177" t="str">
            <v>CORIHUAMAN SURCO  ERICK ROBERT</v>
          </cell>
        </row>
        <row r="178">
          <cell r="A178">
            <v>153</v>
          </cell>
          <cell r="B178">
            <v>42679</v>
          </cell>
          <cell r="C178" t="str">
            <v>NOVIEMBRE</v>
          </cell>
          <cell r="D178" t="str">
            <v>2016</v>
          </cell>
          <cell r="E178">
            <v>209</v>
          </cell>
          <cell r="F178" t="str">
            <v>AKX-805</v>
          </cell>
          <cell r="G178" t="str">
            <v>F5Z-985</v>
          </cell>
          <cell r="H178" t="str">
            <v>LAS BAMBAS</v>
          </cell>
          <cell r="I178">
            <v>31856</v>
          </cell>
          <cell r="J178" t="str">
            <v>REPUESTO</v>
          </cell>
          <cell r="K178" t="str">
            <v>SOLDADURA CHANFERCORD</v>
          </cell>
          <cell r="L178">
            <v>1.5</v>
          </cell>
          <cell r="M178" t="str">
            <v>KG.</v>
          </cell>
          <cell r="N178" t="str">
            <v>CISTERNA</v>
          </cell>
          <cell r="O178">
            <v>0</v>
          </cell>
          <cell r="P178" t="str">
            <v>S1</v>
          </cell>
          <cell r="Q178" t="str">
            <v>J2</v>
          </cell>
          <cell r="R178" t="str">
            <v>J2</v>
          </cell>
          <cell r="S178" t="str">
            <v>ENTREGADO</v>
          </cell>
          <cell r="T178">
            <v>42679</v>
          </cell>
          <cell r="U178" t="str">
            <v>BAYONA CRUZ CRISTIAN ARMANDO</v>
          </cell>
          <cell r="V178" t="str">
            <v>CORIHUAMAN SURCO  ERICK ROBERT</v>
          </cell>
        </row>
        <row r="179">
          <cell r="A179">
            <v>154</v>
          </cell>
          <cell r="B179">
            <v>42679</v>
          </cell>
          <cell r="C179" t="str">
            <v>NOVIEMBRE</v>
          </cell>
          <cell r="D179" t="str">
            <v>2016</v>
          </cell>
          <cell r="E179">
            <v>209</v>
          </cell>
          <cell r="F179" t="str">
            <v>AKX-805</v>
          </cell>
          <cell r="G179" t="str">
            <v>F5Z-985</v>
          </cell>
          <cell r="H179" t="str">
            <v>LAS BAMBAS</v>
          </cell>
          <cell r="I179">
            <v>31856</v>
          </cell>
          <cell r="J179" t="str">
            <v>REPUESTO</v>
          </cell>
          <cell r="K179" t="str">
            <v>DISCO DE CORTE DE 7 DE 1/16</v>
          </cell>
          <cell r="L179">
            <v>1</v>
          </cell>
          <cell r="M179" t="str">
            <v>UNID.</v>
          </cell>
          <cell r="N179" t="str">
            <v>CISTERNA</v>
          </cell>
          <cell r="O179">
            <v>0</v>
          </cell>
          <cell r="P179" t="str">
            <v>S1</v>
          </cell>
          <cell r="Q179" t="str">
            <v>J2</v>
          </cell>
          <cell r="R179" t="str">
            <v>J2</v>
          </cell>
          <cell r="S179" t="str">
            <v>ENTREGADO</v>
          </cell>
          <cell r="T179">
            <v>42679</v>
          </cell>
          <cell r="U179" t="str">
            <v>BAYONA CRUZ CRISTIAN ARMANDO</v>
          </cell>
          <cell r="V179" t="str">
            <v>CORIHUAMAN SURCO  ERICK ROBERT</v>
          </cell>
        </row>
        <row r="180">
          <cell r="A180">
            <v>155</v>
          </cell>
          <cell r="B180">
            <v>42679</v>
          </cell>
          <cell r="C180" t="str">
            <v>NOVIEMBRE</v>
          </cell>
          <cell r="D180" t="str">
            <v>2016</v>
          </cell>
          <cell r="E180">
            <v>209</v>
          </cell>
          <cell r="F180" t="str">
            <v>AKX-805</v>
          </cell>
          <cell r="G180" t="str">
            <v>F5Z-985</v>
          </cell>
          <cell r="H180" t="str">
            <v>LAS BAMBAS</v>
          </cell>
          <cell r="I180">
            <v>31856</v>
          </cell>
          <cell r="J180" t="str">
            <v>REPUESTO</v>
          </cell>
          <cell r="K180" t="str">
            <v>DISCO DE DESBASTE 4"</v>
          </cell>
          <cell r="L180">
            <v>1</v>
          </cell>
          <cell r="M180" t="str">
            <v>UNID.</v>
          </cell>
          <cell r="N180" t="str">
            <v>CISTERNA</v>
          </cell>
          <cell r="O180">
            <v>0</v>
          </cell>
          <cell r="P180" t="str">
            <v>S1</v>
          </cell>
          <cell r="Q180" t="str">
            <v>J2</v>
          </cell>
          <cell r="R180" t="str">
            <v>J2</v>
          </cell>
          <cell r="S180" t="str">
            <v>ENTREGADO</v>
          </cell>
          <cell r="T180">
            <v>42679</v>
          </cell>
          <cell r="U180" t="str">
            <v>BAYONA CRUZ CRISTIAN ARMANDO</v>
          </cell>
          <cell r="V180" t="str">
            <v>CORIHUAMAN SURCO  ERICK ROBERT</v>
          </cell>
        </row>
        <row r="181">
          <cell r="A181">
            <v>156</v>
          </cell>
          <cell r="B181">
            <v>42679</v>
          </cell>
          <cell r="C181" t="str">
            <v>NOVIEMBRE</v>
          </cell>
          <cell r="D181" t="str">
            <v>2016</v>
          </cell>
          <cell r="E181">
            <v>209</v>
          </cell>
          <cell r="F181" t="str">
            <v>AKX-805</v>
          </cell>
          <cell r="G181" t="str">
            <v>F5Z-985</v>
          </cell>
          <cell r="H181" t="str">
            <v>LAS BAMBAS</v>
          </cell>
          <cell r="I181">
            <v>31856</v>
          </cell>
          <cell r="J181" t="str">
            <v>REPUESTO</v>
          </cell>
          <cell r="K181" t="str">
            <v>DISCO DE DESBASTE 7"</v>
          </cell>
          <cell r="L181">
            <v>1</v>
          </cell>
          <cell r="M181" t="str">
            <v>UNID.</v>
          </cell>
          <cell r="N181" t="str">
            <v>CISTERNA</v>
          </cell>
          <cell r="O181">
            <v>0</v>
          </cell>
          <cell r="P181" t="str">
            <v>S1</v>
          </cell>
          <cell r="Q181" t="str">
            <v>J2</v>
          </cell>
          <cell r="R181" t="str">
            <v>J2</v>
          </cell>
          <cell r="S181" t="str">
            <v>ENTREGADO</v>
          </cell>
          <cell r="T181">
            <v>42679</v>
          </cell>
          <cell r="U181" t="str">
            <v>BAYONA CRUZ CRISTIAN ARMANDO</v>
          </cell>
          <cell r="V181" t="str">
            <v>CORIHUAMAN SURCO  ERICK ROBERT</v>
          </cell>
        </row>
        <row r="182">
          <cell r="A182">
            <v>179</v>
          </cell>
          <cell r="B182">
            <v>42679</v>
          </cell>
          <cell r="C182" t="str">
            <v>NOVIEMBRE</v>
          </cell>
          <cell r="D182" t="str">
            <v>2016</v>
          </cell>
          <cell r="E182">
            <v>209</v>
          </cell>
          <cell r="F182" t="str">
            <v>AKX-805</v>
          </cell>
          <cell r="G182" t="str">
            <v>F5Z-985</v>
          </cell>
          <cell r="H182" t="str">
            <v>LAS BAMBAS</v>
          </cell>
          <cell r="I182">
            <v>31856</v>
          </cell>
          <cell r="J182" t="str">
            <v>INSUMO TALLER</v>
          </cell>
          <cell r="K182" t="str">
            <v>DISCO DE CORTE DE 7"</v>
          </cell>
          <cell r="L182">
            <v>1</v>
          </cell>
          <cell r="M182" t="str">
            <v>UNID.</v>
          </cell>
          <cell r="N182" t="str">
            <v>CISTERNA</v>
          </cell>
          <cell r="O182">
            <v>0</v>
          </cell>
          <cell r="P182" t="str">
            <v>S1</v>
          </cell>
          <cell r="Q182" t="str">
            <v>J2</v>
          </cell>
          <cell r="R182" t="str">
            <v>J2</v>
          </cell>
          <cell r="S182" t="str">
            <v>ENTREGADO</v>
          </cell>
          <cell r="T182">
            <v>42679</v>
          </cell>
          <cell r="U182" t="str">
            <v>BAYONA CRUZ CRISTIAN ARMANDO</v>
          </cell>
          <cell r="V182" t="str">
            <v>CORIHUAMAN SURCO  ERICK ROBERT</v>
          </cell>
        </row>
        <row r="183">
          <cell r="A183">
            <v>180</v>
          </cell>
          <cell r="B183">
            <v>42679</v>
          </cell>
          <cell r="C183" t="str">
            <v>NOVIEMBRE</v>
          </cell>
          <cell r="D183" t="str">
            <v>2016</v>
          </cell>
          <cell r="E183">
            <v>209</v>
          </cell>
          <cell r="F183" t="str">
            <v>AKX-805</v>
          </cell>
          <cell r="G183" t="str">
            <v>F5Z-985</v>
          </cell>
          <cell r="H183" t="str">
            <v>LAS BAMBAS</v>
          </cell>
          <cell r="I183">
            <v>31856</v>
          </cell>
          <cell r="J183" t="str">
            <v>INSUMO TALLER</v>
          </cell>
          <cell r="K183" t="str">
            <v>SELLOCOR DE 1/8</v>
          </cell>
          <cell r="L183">
            <v>1</v>
          </cell>
          <cell r="M183" t="str">
            <v>KG.</v>
          </cell>
          <cell r="N183" t="str">
            <v>CISTERNA</v>
          </cell>
          <cell r="O183">
            <v>0</v>
          </cell>
          <cell r="P183" t="str">
            <v>S1</v>
          </cell>
          <cell r="Q183" t="str">
            <v>J2</v>
          </cell>
          <cell r="R183" t="str">
            <v>J2</v>
          </cell>
          <cell r="S183" t="str">
            <v>ENTREGADO</v>
          </cell>
          <cell r="T183">
            <v>42679</v>
          </cell>
          <cell r="U183" t="str">
            <v>BAYONA CRUZ CRISTIAN ARMANDO</v>
          </cell>
          <cell r="V183" t="str">
            <v>CORIHUAMAN SURCO  ERICK ROBERT</v>
          </cell>
        </row>
        <row r="184">
          <cell r="A184">
            <v>192</v>
          </cell>
          <cell r="B184">
            <v>42679</v>
          </cell>
          <cell r="C184" t="str">
            <v>NOVIEMBRE</v>
          </cell>
          <cell r="D184" t="str">
            <v>2016</v>
          </cell>
          <cell r="E184">
            <v>240</v>
          </cell>
          <cell r="F184" t="str">
            <v>B2M-948</v>
          </cell>
          <cell r="G184" t="str">
            <v>CAMION</v>
          </cell>
          <cell r="H184" t="str">
            <v>TAMBOMAYO</v>
          </cell>
          <cell r="I184">
            <v>111543</v>
          </cell>
          <cell r="J184" t="str">
            <v>REPUESTO</v>
          </cell>
          <cell r="K184" t="str">
            <v>CABLE DE EMBRIAGUE</v>
          </cell>
          <cell r="L184">
            <v>1</v>
          </cell>
          <cell r="M184" t="str">
            <v>UNID.</v>
          </cell>
          <cell r="N184" t="str">
            <v>CAMION</v>
          </cell>
          <cell r="O184">
            <v>111</v>
          </cell>
          <cell r="P184" t="str">
            <v>M5</v>
          </cell>
          <cell r="Q184" t="str">
            <v>J2</v>
          </cell>
          <cell r="R184" t="str">
            <v>J2</v>
          </cell>
          <cell r="S184" t="str">
            <v>ENTREGADO</v>
          </cell>
          <cell r="T184">
            <v>0</v>
          </cell>
          <cell r="U184" t="str">
            <v>LOPEZ RUIZ WILBERTO</v>
          </cell>
          <cell r="V184" t="str">
            <v>CORIHUAMAN SURCO  ERICK ROBERT</v>
          </cell>
        </row>
        <row r="185">
          <cell r="A185">
            <v>193</v>
          </cell>
          <cell r="B185">
            <v>42679</v>
          </cell>
          <cell r="C185" t="str">
            <v>NOVIEMBRE</v>
          </cell>
          <cell r="D185" t="str">
            <v>2016</v>
          </cell>
          <cell r="E185">
            <v>240</v>
          </cell>
          <cell r="F185" t="str">
            <v>B2M-948</v>
          </cell>
          <cell r="G185" t="str">
            <v>CAMION</v>
          </cell>
          <cell r="H185" t="str">
            <v>TAMBOMAYO</v>
          </cell>
          <cell r="I185">
            <v>111543</v>
          </cell>
          <cell r="J185" t="str">
            <v>REPUESTO</v>
          </cell>
          <cell r="K185" t="str">
            <v>GUARDA POLVOS DE BARRA DE DIRECCION</v>
          </cell>
          <cell r="L185">
            <v>1</v>
          </cell>
          <cell r="M185" t="str">
            <v>UNID.</v>
          </cell>
          <cell r="N185" t="str">
            <v>CAMION</v>
          </cell>
          <cell r="O185">
            <v>111</v>
          </cell>
          <cell r="P185" t="str">
            <v>M5</v>
          </cell>
          <cell r="Q185" t="str">
            <v>J2</v>
          </cell>
          <cell r="R185" t="str">
            <v>J2</v>
          </cell>
          <cell r="S185" t="str">
            <v>ENTREGADO</v>
          </cell>
          <cell r="T185">
            <v>0</v>
          </cell>
          <cell r="U185" t="str">
            <v>LOPEZ RUIZ WILBERTO</v>
          </cell>
          <cell r="V185" t="str">
            <v>CORIHUAMAN SURCO  ERICK ROBERT</v>
          </cell>
        </row>
        <row r="186">
          <cell r="A186">
            <v>194</v>
          </cell>
          <cell r="B186">
            <v>42679</v>
          </cell>
          <cell r="C186" t="str">
            <v>NOVIEMBRE</v>
          </cell>
          <cell r="D186" t="str">
            <v>2016</v>
          </cell>
          <cell r="E186">
            <v>240</v>
          </cell>
          <cell r="F186" t="str">
            <v>B2M-948</v>
          </cell>
          <cell r="G186" t="str">
            <v>CAMION</v>
          </cell>
          <cell r="H186" t="str">
            <v>TAMBOMAYO</v>
          </cell>
          <cell r="I186">
            <v>111543</v>
          </cell>
          <cell r="J186" t="str">
            <v>SERVICIO</v>
          </cell>
          <cell r="K186" t="str">
            <v>REPARACION DE MASCA Y PARACHOQUE</v>
          </cell>
          <cell r="L186">
            <v>1</v>
          </cell>
          <cell r="M186" t="str">
            <v>UNID.</v>
          </cell>
          <cell r="N186" t="str">
            <v>CAMION</v>
          </cell>
          <cell r="O186">
            <v>111</v>
          </cell>
          <cell r="P186" t="str">
            <v>M5</v>
          </cell>
          <cell r="Q186" t="str">
            <v>J2</v>
          </cell>
          <cell r="R186" t="str">
            <v>J2</v>
          </cell>
          <cell r="S186" t="str">
            <v>ENTREGADO</v>
          </cell>
          <cell r="T186">
            <v>0</v>
          </cell>
          <cell r="U186" t="str">
            <v>LOPEZ RUIZ WILBERTO</v>
          </cell>
          <cell r="V186" t="str">
            <v>CORIHUAMAN SURCO  ERICK ROBERT</v>
          </cell>
        </row>
        <row r="187">
          <cell r="A187">
            <v>164</v>
          </cell>
          <cell r="B187">
            <v>42679</v>
          </cell>
          <cell r="C187" t="str">
            <v>NOVIEMBRE</v>
          </cell>
          <cell r="D187" t="str">
            <v>2016</v>
          </cell>
          <cell r="E187">
            <v>222</v>
          </cell>
          <cell r="F187" t="str">
            <v>C5R-892</v>
          </cell>
          <cell r="G187" t="str">
            <v>A0T-983</v>
          </cell>
          <cell r="H187" t="str">
            <v>LAS BAMBAS</v>
          </cell>
          <cell r="I187">
            <v>222979</v>
          </cell>
          <cell r="J187" t="str">
            <v>REPUESTO</v>
          </cell>
          <cell r="K187" t="str">
            <v>ANTICONGELANTE</v>
          </cell>
          <cell r="L187">
            <v>2</v>
          </cell>
          <cell r="M187" t="str">
            <v>GLNS.</v>
          </cell>
          <cell r="N187" t="str">
            <v>TRACTO</v>
          </cell>
          <cell r="O187">
            <v>0</v>
          </cell>
          <cell r="P187" t="str">
            <v>M2</v>
          </cell>
          <cell r="Q187" t="str">
            <v>J2</v>
          </cell>
          <cell r="R187" t="str">
            <v>J2</v>
          </cell>
          <cell r="S187" t="str">
            <v>ENTREGADO</v>
          </cell>
          <cell r="T187">
            <v>42679</v>
          </cell>
          <cell r="U187" t="str">
            <v>CHUMPITAZ GAGO JULIO ENRIQUE</v>
          </cell>
          <cell r="V187" t="str">
            <v>CORIHUAMAN SURCO  ERICK ROBERT</v>
          </cell>
        </row>
        <row r="188">
          <cell r="A188">
            <v>167</v>
          </cell>
          <cell r="B188">
            <v>42679</v>
          </cell>
          <cell r="C188" t="str">
            <v>NOVIEMBRE</v>
          </cell>
          <cell r="D188" t="str">
            <v>2016</v>
          </cell>
          <cell r="E188">
            <v>208</v>
          </cell>
          <cell r="F188" t="str">
            <v>C9N-807</v>
          </cell>
          <cell r="G188" t="str">
            <v>B4O-994</v>
          </cell>
          <cell r="H188" t="str">
            <v>LAS BAMBAS</v>
          </cell>
          <cell r="I188">
            <v>206278</v>
          </cell>
          <cell r="J188" t="str">
            <v>REPUESTO</v>
          </cell>
          <cell r="K188" t="str">
            <v xml:space="preserve">PERNO PARA TAPA MANHOLE </v>
          </cell>
          <cell r="L188">
            <v>1</v>
          </cell>
          <cell r="M188" t="str">
            <v>UNID.</v>
          </cell>
          <cell r="N188" t="str">
            <v>CISTERNA</v>
          </cell>
          <cell r="O188">
            <v>0</v>
          </cell>
          <cell r="P188" t="str">
            <v>J2</v>
          </cell>
          <cell r="Q188" t="str">
            <v>J2</v>
          </cell>
          <cell r="R188" t="str">
            <v>J4</v>
          </cell>
          <cell r="S188" t="str">
            <v>ENTREGADO</v>
          </cell>
          <cell r="T188">
            <v>42679</v>
          </cell>
          <cell r="U188" t="str">
            <v>CORIHUAMAN SURCO  ERICK ROBERT</v>
          </cell>
          <cell r="V188" t="str">
            <v>CORIHUAMAN SURCO  ERICK ROBERT</v>
          </cell>
        </row>
        <row r="189">
          <cell r="A189">
            <v>168</v>
          </cell>
          <cell r="B189">
            <v>42679</v>
          </cell>
          <cell r="C189" t="str">
            <v>NOVIEMBRE</v>
          </cell>
          <cell r="D189" t="str">
            <v>2016</v>
          </cell>
          <cell r="E189">
            <v>208</v>
          </cell>
          <cell r="F189" t="str">
            <v>C9N-807</v>
          </cell>
          <cell r="G189" t="str">
            <v>B4O-994</v>
          </cell>
          <cell r="H189" t="str">
            <v>LAS BAMBAS</v>
          </cell>
          <cell r="I189">
            <v>206278</v>
          </cell>
          <cell r="J189" t="str">
            <v>REPUESTO</v>
          </cell>
          <cell r="K189" t="str">
            <v>DOBLE TUERCA MANHOLE</v>
          </cell>
          <cell r="L189">
            <v>2</v>
          </cell>
          <cell r="M189" t="str">
            <v>UNID.</v>
          </cell>
          <cell r="N189" t="str">
            <v>CISTERNA</v>
          </cell>
          <cell r="O189">
            <v>0</v>
          </cell>
          <cell r="P189" t="str">
            <v>J2</v>
          </cell>
          <cell r="Q189" t="str">
            <v>J2</v>
          </cell>
          <cell r="R189" t="str">
            <v>J4</v>
          </cell>
          <cell r="S189" t="str">
            <v>ENTREGADO</v>
          </cell>
          <cell r="T189">
            <v>42679</v>
          </cell>
          <cell r="U189" t="str">
            <v>CORIHUAMAN SURCO  ERICK ROBERT</v>
          </cell>
          <cell r="V189" t="str">
            <v>CORIHUAMAN SURCO  ERICK ROBERT</v>
          </cell>
        </row>
        <row r="190">
          <cell r="A190">
            <v>146</v>
          </cell>
          <cell r="B190">
            <v>42679</v>
          </cell>
          <cell r="C190" t="str">
            <v>NOVIEMBRE</v>
          </cell>
          <cell r="D190" t="str">
            <v>2016</v>
          </cell>
          <cell r="E190">
            <v>232</v>
          </cell>
          <cell r="F190" t="str">
            <v>D3O-742</v>
          </cell>
          <cell r="G190" t="str">
            <v>B8L-971</v>
          </cell>
          <cell r="H190" t="str">
            <v>LAS BAMBAS</v>
          </cell>
          <cell r="I190">
            <v>181480</v>
          </cell>
          <cell r="J190" t="str">
            <v>REPUESTO</v>
          </cell>
          <cell r="K190" t="str">
            <v>PRESINTOS</v>
          </cell>
          <cell r="L190">
            <v>20</v>
          </cell>
          <cell r="M190" t="str">
            <v>UNID.</v>
          </cell>
          <cell r="N190" t="str">
            <v>CISTERNA</v>
          </cell>
          <cell r="O190">
            <v>0</v>
          </cell>
          <cell r="P190" t="str">
            <v>E2</v>
          </cell>
          <cell r="Q190" t="str">
            <v>J2</v>
          </cell>
          <cell r="R190" t="str">
            <v>J2</v>
          </cell>
          <cell r="S190" t="str">
            <v>ENTREGADO</v>
          </cell>
          <cell r="T190">
            <v>42679</v>
          </cell>
          <cell r="U190" t="str">
            <v>YUCA BELLIDO BORIS YERSY</v>
          </cell>
          <cell r="V190" t="str">
            <v>CORIHUAMAN SURCO  ERICK ROBERT</v>
          </cell>
        </row>
        <row r="191">
          <cell r="A191">
            <v>152</v>
          </cell>
          <cell r="B191">
            <v>42679</v>
          </cell>
          <cell r="C191" t="str">
            <v>NOVIEMBRE</v>
          </cell>
          <cell r="D191" t="str">
            <v>2016</v>
          </cell>
          <cell r="E191">
            <v>232</v>
          </cell>
          <cell r="F191" t="str">
            <v>D3O-742</v>
          </cell>
          <cell r="G191" t="str">
            <v>B8L-971</v>
          </cell>
          <cell r="H191" t="str">
            <v>LAS BAMBAS</v>
          </cell>
          <cell r="I191">
            <v>181480</v>
          </cell>
          <cell r="J191" t="str">
            <v>REPUESTO</v>
          </cell>
          <cell r="K191" t="str">
            <v>MATACHISPAS DE 5"</v>
          </cell>
          <cell r="L191">
            <v>1</v>
          </cell>
          <cell r="M191" t="str">
            <v>UNID.</v>
          </cell>
          <cell r="N191" t="str">
            <v>CISTERNA</v>
          </cell>
          <cell r="O191">
            <v>0</v>
          </cell>
          <cell r="P191" t="str">
            <v>M3</v>
          </cell>
          <cell r="Q191" t="str">
            <v>J2</v>
          </cell>
          <cell r="R191" t="str">
            <v>J2</v>
          </cell>
          <cell r="S191" t="str">
            <v>ENTREGADO</v>
          </cell>
          <cell r="T191">
            <v>42679</v>
          </cell>
          <cell r="U191" t="str">
            <v>GARCIA PASQUEL  JOSE LUIS</v>
          </cell>
          <cell r="V191" t="str">
            <v>CORIHUAMAN SURCO  ERICK ROBERT</v>
          </cell>
        </row>
        <row r="192">
          <cell r="A192">
            <v>175</v>
          </cell>
          <cell r="B192">
            <v>42679</v>
          </cell>
          <cell r="C192" t="str">
            <v>NOVIEMBRE</v>
          </cell>
          <cell r="D192" t="str">
            <v>2016</v>
          </cell>
          <cell r="E192">
            <v>234</v>
          </cell>
          <cell r="F192" t="str">
            <v>D3O-745</v>
          </cell>
          <cell r="G192" t="str">
            <v>F3L-979</v>
          </cell>
          <cell r="H192" t="str">
            <v>LAS BAMBAS</v>
          </cell>
          <cell r="I192">
            <v>154039</v>
          </cell>
          <cell r="J192" t="str">
            <v>REPUESTO</v>
          </cell>
          <cell r="K192" t="str">
            <v xml:space="preserve">FOCO 9006 </v>
          </cell>
          <cell r="L192">
            <v>1</v>
          </cell>
          <cell r="M192" t="str">
            <v>UNID.</v>
          </cell>
          <cell r="N192" t="str">
            <v>TRACTO</v>
          </cell>
          <cell r="O192">
            <v>0</v>
          </cell>
          <cell r="P192" t="str">
            <v>E2</v>
          </cell>
          <cell r="Q192" t="str">
            <v>J2</v>
          </cell>
          <cell r="R192" t="str">
            <v>J4</v>
          </cell>
          <cell r="S192" t="str">
            <v>ENTREGADO</v>
          </cell>
          <cell r="T192">
            <v>42679</v>
          </cell>
          <cell r="U192" t="str">
            <v>YUCA BELLIDO BORIS YERSY</v>
          </cell>
          <cell r="V192" t="str">
            <v>CORIHUAMAN SURCO  ERICK ROBERT</v>
          </cell>
        </row>
        <row r="193">
          <cell r="A193">
            <v>176</v>
          </cell>
          <cell r="B193">
            <v>42679</v>
          </cell>
          <cell r="C193" t="str">
            <v>NOVIEMBRE</v>
          </cell>
          <cell r="D193" t="str">
            <v>2016</v>
          </cell>
          <cell r="E193">
            <v>234</v>
          </cell>
          <cell r="F193" t="str">
            <v>D3O-745</v>
          </cell>
          <cell r="G193" t="str">
            <v>F3L-979</v>
          </cell>
          <cell r="H193" t="str">
            <v>LAS BAMBAS</v>
          </cell>
          <cell r="I193">
            <v>154039</v>
          </cell>
          <cell r="J193" t="str">
            <v>REPUESTO</v>
          </cell>
          <cell r="K193" t="str">
            <v xml:space="preserve">SOCKET TOWN </v>
          </cell>
          <cell r="L193">
            <v>1</v>
          </cell>
          <cell r="M193" t="str">
            <v>UNID.</v>
          </cell>
          <cell r="N193" t="str">
            <v>TRACTO</v>
          </cell>
          <cell r="O193">
            <v>0</v>
          </cell>
          <cell r="P193" t="str">
            <v>E2</v>
          </cell>
          <cell r="Q193" t="str">
            <v>J2</v>
          </cell>
          <cell r="R193" t="str">
            <v>J4</v>
          </cell>
          <cell r="S193" t="str">
            <v>ENTREGADO</v>
          </cell>
          <cell r="T193">
            <v>42679</v>
          </cell>
          <cell r="U193" t="str">
            <v>YUCA BELLIDO BORIS YERSY</v>
          </cell>
          <cell r="V193" t="str">
            <v>CORIHUAMAN SURCO  ERICK ROBERT</v>
          </cell>
        </row>
        <row r="194">
          <cell r="A194">
            <v>185</v>
          </cell>
          <cell r="B194">
            <v>42679</v>
          </cell>
          <cell r="C194" t="str">
            <v>NOVIEMBRE</v>
          </cell>
          <cell r="D194" t="str">
            <v>2016</v>
          </cell>
          <cell r="E194">
            <v>234</v>
          </cell>
          <cell r="F194" t="str">
            <v>D3O-745</v>
          </cell>
          <cell r="G194" t="str">
            <v>F3L-979</v>
          </cell>
          <cell r="H194" t="str">
            <v>LAS BAMBAS</v>
          </cell>
          <cell r="I194">
            <v>154039</v>
          </cell>
          <cell r="J194" t="str">
            <v>SERVICIO</v>
          </cell>
          <cell r="K194" t="str">
            <v>SERVICIO DE PRESADO DE BARRAS DE DIRECCION</v>
          </cell>
          <cell r="L194">
            <v>2</v>
          </cell>
          <cell r="M194" t="str">
            <v>UNID.</v>
          </cell>
          <cell r="N194" t="str">
            <v>TRACTO</v>
          </cell>
          <cell r="O194">
            <v>0</v>
          </cell>
          <cell r="P194" t="str">
            <v>M3</v>
          </cell>
          <cell r="Q194" t="str">
            <v>J2</v>
          </cell>
          <cell r="R194" t="str">
            <v>J2</v>
          </cell>
          <cell r="S194" t="str">
            <v>ENTREGADO</v>
          </cell>
          <cell r="T194">
            <v>42679</v>
          </cell>
          <cell r="U194" t="str">
            <v>GARCIA PASQUEL  JOSE LUIS</v>
          </cell>
          <cell r="V194" t="str">
            <v>CORIHUAMAN SURCO  ERICK ROBERT</v>
          </cell>
        </row>
        <row r="195">
          <cell r="A195">
            <v>181</v>
          </cell>
          <cell r="B195">
            <v>42679</v>
          </cell>
          <cell r="C195" t="str">
            <v>NOVIEMBRE</v>
          </cell>
          <cell r="D195" t="str">
            <v>2016</v>
          </cell>
          <cell r="E195">
            <v>206</v>
          </cell>
          <cell r="F195" t="str">
            <v>D3P-744</v>
          </cell>
          <cell r="G195" t="str">
            <v>A0F-996</v>
          </cell>
          <cell r="H195" t="str">
            <v>LAS BAMBAS</v>
          </cell>
          <cell r="I195">
            <v>150468</v>
          </cell>
          <cell r="J195" t="str">
            <v>REPUESTO</v>
          </cell>
          <cell r="K195" t="str">
            <v>BOCINAS DE VALANCIN</v>
          </cell>
          <cell r="L195">
            <v>2</v>
          </cell>
          <cell r="M195" t="str">
            <v>JUEGO</v>
          </cell>
          <cell r="N195" t="str">
            <v>CISTERNA</v>
          </cell>
          <cell r="O195">
            <v>0</v>
          </cell>
          <cell r="P195" t="str">
            <v>S2</v>
          </cell>
          <cell r="Q195" t="str">
            <v>J2</v>
          </cell>
          <cell r="R195" t="str">
            <v>J2</v>
          </cell>
          <cell r="S195" t="str">
            <v>ENTREGADO</v>
          </cell>
          <cell r="T195">
            <v>42679</v>
          </cell>
          <cell r="U195" t="str">
            <v>PALOMINO ESTRADA  MICHEL</v>
          </cell>
          <cell r="V195" t="str">
            <v>CORIHUAMAN SURCO  ERICK ROBERT</v>
          </cell>
        </row>
        <row r="196">
          <cell r="A196">
            <v>182</v>
          </cell>
          <cell r="B196">
            <v>42679</v>
          </cell>
          <cell r="C196" t="str">
            <v>NOVIEMBRE</v>
          </cell>
          <cell r="D196" t="str">
            <v>2016</v>
          </cell>
          <cell r="E196">
            <v>206</v>
          </cell>
          <cell r="F196" t="str">
            <v>D3P-744</v>
          </cell>
          <cell r="G196" t="str">
            <v>A0F-996</v>
          </cell>
          <cell r="H196" t="str">
            <v>LAS BAMBAS</v>
          </cell>
          <cell r="I196">
            <v>150468</v>
          </cell>
          <cell r="J196" t="str">
            <v>INSUMO TALLER</v>
          </cell>
          <cell r="K196" t="str">
            <v>SUPER SITO  5/32</v>
          </cell>
          <cell r="L196">
            <v>5</v>
          </cell>
          <cell r="M196" t="str">
            <v>KG.</v>
          </cell>
          <cell r="N196" t="str">
            <v>CISTERNA</v>
          </cell>
          <cell r="O196">
            <v>0</v>
          </cell>
          <cell r="P196" t="str">
            <v>S2</v>
          </cell>
          <cell r="Q196" t="str">
            <v>J2</v>
          </cell>
          <cell r="R196" t="str">
            <v>J2</v>
          </cell>
          <cell r="S196" t="str">
            <v>ENTREGADO</v>
          </cell>
          <cell r="T196">
            <v>42679</v>
          </cell>
          <cell r="U196" t="str">
            <v>PALOMINO ESTRADA  MICHEL</v>
          </cell>
          <cell r="V196" t="str">
            <v>CORIHUAMAN SURCO  ERICK ROBERT</v>
          </cell>
        </row>
        <row r="197">
          <cell r="A197">
            <v>183</v>
          </cell>
          <cell r="B197">
            <v>42679</v>
          </cell>
          <cell r="C197" t="str">
            <v>NOVIEMBRE</v>
          </cell>
          <cell r="D197" t="str">
            <v>2016</v>
          </cell>
          <cell r="E197">
            <v>206</v>
          </cell>
          <cell r="F197" t="str">
            <v>D3P-744</v>
          </cell>
          <cell r="G197" t="str">
            <v>A0F-996</v>
          </cell>
          <cell r="H197" t="str">
            <v>LAS BAMBAS</v>
          </cell>
          <cell r="I197">
            <v>150468</v>
          </cell>
          <cell r="J197" t="str">
            <v>INSUMO TALLER</v>
          </cell>
          <cell r="K197" t="str">
            <v>SUPER SITO  1/8</v>
          </cell>
          <cell r="L197">
            <v>5</v>
          </cell>
          <cell r="M197" t="str">
            <v>KG.</v>
          </cell>
          <cell r="N197" t="str">
            <v>CISTERNA</v>
          </cell>
          <cell r="O197">
            <v>0</v>
          </cell>
          <cell r="P197" t="str">
            <v>S2</v>
          </cell>
          <cell r="Q197" t="str">
            <v>J2</v>
          </cell>
          <cell r="R197" t="str">
            <v>J2</v>
          </cell>
          <cell r="S197" t="str">
            <v>ENTREGADO</v>
          </cell>
          <cell r="T197">
            <v>42679</v>
          </cell>
          <cell r="U197" t="str">
            <v>PALOMINO ESTRADA  MICHEL</v>
          </cell>
          <cell r="V197" t="str">
            <v>CORIHUAMAN SURCO  ERICK ROBERT</v>
          </cell>
        </row>
        <row r="198">
          <cell r="A198">
            <v>190</v>
          </cell>
          <cell r="B198">
            <v>42679</v>
          </cell>
          <cell r="C198" t="str">
            <v>NOVIEMBRE</v>
          </cell>
          <cell r="D198" t="str">
            <v>2016</v>
          </cell>
          <cell r="E198">
            <v>206</v>
          </cell>
          <cell r="F198" t="str">
            <v>D3P-744</v>
          </cell>
          <cell r="G198" t="str">
            <v>A0F-996</v>
          </cell>
          <cell r="H198" t="str">
            <v>LAS BAMBAS</v>
          </cell>
          <cell r="I198">
            <v>150468</v>
          </cell>
          <cell r="J198" t="str">
            <v>INSUMO TALLER</v>
          </cell>
          <cell r="K198" t="str">
            <v xml:space="preserve">CHANFER </v>
          </cell>
          <cell r="L198">
            <v>8</v>
          </cell>
          <cell r="M198" t="str">
            <v>UNID.</v>
          </cell>
          <cell r="N198" t="str">
            <v>TALLER</v>
          </cell>
          <cell r="O198">
            <v>0</v>
          </cell>
          <cell r="P198" t="str">
            <v>S2</v>
          </cell>
          <cell r="Q198" t="str">
            <v>J2</v>
          </cell>
          <cell r="R198" t="str">
            <v>J2</v>
          </cell>
          <cell r="S198" t="str">
            <v>ENTREGADO</v>
          </cell>
          <cell r="T198">
            <v>42679</v>
          </cell>
          <cell r="U198" t="str">
            <v>PALOMINO ESTRADA  MICHEL</v>
          </cell>
          <cell r="V198" t="str">
            <v>CORIHUAMAN SURCO  ERICK ROBERT</v>
          </cell>
        </row>
        <row r="199">
          <cell r="A199">
            <v>150</v>
          </cell>
          <cell r="B199">
            <v>42679</v>
          </cell>
          <cell r="C199" t="str">
            <v>NOVIEMBRE</v>
          </cell>
          <cell r="D199" t="str">
            <v>2016</v>
          </cell>
          <cell r="E199">
            <v>212</v>
          </cell>
          <cell r="F199" t="str">
            <v>D3S-767</v>
          </cell>
          <cell r="G199" t="str">
            <v>B8L-973</v>
          </cell>
          <cell r="H199" t="str">
            <v>LAS BAMBAS</v>
          </cell>
          <cell r="I199">
            <v>180263</v>
          </cell>
          <cell r="J199" t="str">
            <v>REPUESTO</v>
          </cell>
          <cell r="K199" t="str">
            <v>FARO LATRERAL RECTANGULAR AMBAR</v>
          </cell>
          <cell r="L199">
            <v>1</v>
          </cell>
          <cell r="M199" t="str">
            <v>UNID.</v>
          </cell>
          <cell r="N199" t="str">
            <v>CISTERNA</v>
          </cell>
          <cell r="O199">
            <v>0</v>
          </cell>
          <cell r="P199" t="str">
            <v>E2</v>
          </cell>
          <cell r="Q199" t="str">
            <v>J2</v>
          </cell>
          <cell r="R199" t="str">
            <v>J2</v>
          </cell>
          <cell r="S199" t="str">
            <v>ENTREGADO</v>
          </cell>
          <cell r="T199">
            <v>42679</v>
          </cell>
          <cell r="U199" t="str">
            <v>YUCA BELLIDO BORIS YERSY</v>
          </cell>
          <cell r="V199" t="str">
            <v>CORIHUAMAN SURCO  ERICK ROBERT</v>
          </cell>
        </row>
        <row r="200">
          <cell r="A200">
            <v>151</v>
          </cell>
          <cell r="B200">
            <v>42679</v>
          </cell>
          <cell r="C200" t="str">
            <v>NOVIEMBRE</v>
          </cell>
          <cell r="D200" t="str">
            <v>2016</v>
          </cell>
          <cell r="E200">
            <v>233</v>
          </cell>
          <cell r="F200" t="str">
            <v>D4T-927</v>
          </cell>
          <cell r="G200" t="str">
            <v>B4Q-976</v>
          </cell>
          <cell r="H200" t="str">
            <v>LAS BAMBAS</v>
          </cell>
          <cell r="I200">
            <v>185392</v>
          </cell>
          <cell r="J200" t="str">
            <v>REPUESTO</v>
          </cell>
          <cell r="K200" t="str">
            <v>PERNO CENTRO DE 1/2 X 6"</v>
          </cell>
          <cell r="L200">
            <v>1</v>
          </cell>
          <cell r="M200" t="str">
            <v>UNID.</v>
          </cell>
          <cell r="N200" t="str">
            <v>CISTERNA</v>
          </cell>
          <cell r="O200">
            <v>0</v>
          </cell>
          <cell r="P200" t="str">
            <v>S2</v>
          </cell>
          <cell r="Q200" t="str">
            <v>J2</v>
          </cell>
          <cell r="R200" t="str">
            <v>J2</v>
          </cell>
          <cell r="S200" t="str">
            <v>ENTREGADO</v>
          </cell>
          <cell r="T200">
            <v>42679</v>
          </cell>
          <cell r="U200" t="str">
            <v>PALOMINO ESTRADA  MICHEL</v>
          </cell>
          <cell r="V200" t="str">
            <v>CORIHUAMAN SURCO  ERICK ROBERT</v>
          </cell>
        </row>
        <row r="201">
          <cell r="A201">
            <v>166</v>
          </cell>
          <cell r="B201">
            <v>42679</v>
          </cell>
          <cell r="C201" t="str">
            <v>NOVIEMBRE</v>
          </cell>
          <cell r="D201" t="str">
            <v>2016</v>
          </cell>
          <cell r="E201">
            <v>233</v>
          </cell>
          <cell r="F201" t="str">
            <v>D4T-927</v>
          </cell>
          <cell r="G201" t="str">
            <v>B4Q-976</v>
          </cell>
          <cell r="H201" t="str">
            <v>LAS BAMBAS</v>
          </cell>
          <cell r="I201">
            <v>185392</v>
          </cell>
          <cell r="J201" t="str">
            <v>REPUESTO</v>
          </cell>
          <cell r="K201" t="str">
            <v>PERNO 5/8 X 6" CON TUERCA SEGURO</v>
          </cell>
          <cell r="L201">
            <v>1</v>
          </cell>
          <cell r="M201" t="str">
            <v>UNID.</v>
          </cell>
          <cell r="N201" t="str">
            <v>CISTERNA</v>
          </cell>
          <cell r="O201">
            <v>0</v>
          </cell>
          <cell r="P201" t="str">
            <v>S2</v>
          </cell>
          <cell r="Q201" t="str">
            <v>J2</v>
          </cell>
          <cell r="R201" t="str">
            <v>J4</v>
          </cell>
          <cell r="S201" t="str">
            <v>ENTREGADO</v>
          </cell>
          <cell r="T201">
            <v>42679</v>
          </cell>
          <cell r="U201" t="str">
            <v>PALOMINO ESTRADA  MICHEL</v>
          </cell>
          <cell r="V201" t="str">
            <v>CORIHUAMAN SURCO  ERICK ROBERT</v>
          </cell>
        </row>
        <row r="202">
          <cell r="A202">
            <v>148</v>
          </cell>
          <cell r="B202">
            <v>42679</v>
          </cell>
          <cell r="C202" t="str">
            <v>NOVIEMBRE</v>
          </cell>
          <cell r="D202" t="str">
            <v>2016</v>
          </cell>
          <cell r="E202">
            <v>237</v>
          </cell>
          <cell r="F202" t="str">
            <v>D6G-806</v>
          </cell>
          <cell r="G202" t="str">
            <v>B8K-998</v>
          </cell>
          <cell r="H202" t="str">
            <v>LAS BAMBAS</v>
          </cell>
          <cell r="I202">
            <v>214141</v>
          </cell>
          <cell r="J202" t="str">
            <v>REPUESTO</v>
          </cell>
          <cell r="K202" t="str">
            <v>JUEGO DE LLAVE DE CORTE DE COMBUSTIBLE (LH Y RH)</v>
          </cell>
          <cell r="L202">
            <v>2</v>
          </cell>
          <cell r="M202" t="str">
            <v>JUEGO</v>
          </cell>
          <cell r="N202" t="str">
            <v>TRACTO</v>
          </cell>
          <cell r="O202">
            <v>0</v>
          </cell>
          <cell r="P202" t="str">
            <v>M8</v>
          </cell>
          <cell r="Q202" t="str">
            <v>J2</v>
          </cell>
          <cell r="R202" t="str">
            <v>J2</v>
          </cell>
          <cell r="S202" t="str">
            <v>ENTREGADO</v>
          </cell>
          <cell r="T202">
            <v>42679</v>
          </cell>
          <cell r="U202" t="str">
            <v>VARILLAS GAGO  OSCAR ALBERTO</v>
          </cell>
          <cell r="V202" t="str">
            <v>CORIHUAMAN SURCO  ERICK ROBERT</v>
          </cell>
        </row>
        <row r="203">
          <cell r="A203">
            <v>149</v>
          </cell>
          <cell r="B203">
            <v>42679</v>
          </cell>
          <cell r="C203" t="str">
            <v>NOVIEMBRE</v>
          </cell>
          <cell r="D203" t="str">
            <v>2016</v>
          </cell>
          <cell r="E203">
            <v>237</v>
          </cell>
          <cell r="F203" t="str">
            <v>D6G-806</v>
          </cell>
          <cell r="G203" t="str">
            <v>B8K-998</v>
          </cell>
          <cell r="H203" t="str">
            <v>LAS BAMBAS</v>
          </cell>
          <cell r="I203">
            <v>214141</v>
          </cell>
          <cell r="J203" t="str">
            <v>REPUESTO</v>
          </cell>
          <cell r="K203" t="str">
            <v>SOPORTE DE CABINA</v>
          </cell>
          <cell r="L203">
            <v>1</v>
          </cell>
          <cell r="M203" t="str">
            <v>UNID.</v>
          </cell>
          <cell r="N203" t="str">
            <v>TRACTO</v>
          </cell>
          <cell r="O203">
            <v>0</v>
          </cell>
          <cell r="P203" t="str">
            <v>M8</v>
          </cell>
          <cell r="Q203" t="str">
            <v>J2</v>
          </cell>
          <cell r="R203" t="str">
            <v>J2</v>
          </cell>
          <cell r="S203" t="str">
            <v>ENTREGADO</v>
          </cell>
          <cell r="T203">
            <v>42679</v>
          </cell>
          <cell r="U203" t="str">
            <v>VARILLAS GAGO  OSCAR ALBERTO</v>
          </cell>
          <cell r="V203" t="str">
            <v>CORIHUAMAN SURCO  ERICK ROBERT</v>
          </cell>
        </row>
        <row r="204">
          <cell r="A204">
            <v>171</v>
          </cell>
          <cell r="B204">
            <v>42679</v>
          </cell>
          <cell r="C204" t="str">
            <v>NOVIEMBRE</v>
          </cell>
          <cell r="D204" t="str">
            <v>2016</v>
          </cell>
          <cell r="E204">
            <v>237</v>
          </cell>
          <cell r="F204" t="str">
            <v>D6G-806</v>
          </cell>
          <cell r="G204" t="str">
            <v>B8K-998</v>
          </cell>
          <cell r="H204" t="str">
            <v>LAS BAMBAS</v>
          </cell>
          <cell r="I204">
            <v>214141</v>
          </cell>
          <cell r="J204" t="str">
            <v>REPUESTO</v>
          </cell>
          <cell r="K204" t="str">
            <v>CONDUCTOR DE FOCO LAGRIMON</v>
          </cell>
          <cell r="L204">
            <v>1</v>
          </cell>
          <cell r="M204" t="str">
            <v>UNID.</v>
          </cell>
          <cell r="N204" t="str">
            <v>TRACTO</v>
          </cell>
          <cell r="O204">
            <v>0</v>
          </cell>
          <cell r="P204" t="str">
            <v>E1</v>
          </cell>
          <cell r="Q204" t="str">
            <v>J2</v>
          </cell>
          <cell r="R204" t="str">
            <v>J4</v>
          </cell>
          <cell r="S204" t="str">
            <v>ENTREGADO</v>
          </cell>
          <cell r="T204">
            <v>42679</v>
          </cell>
          <cell r="U204" t="str">
            <v>PALOMINO CARDENAS JUAN CARLOS</v>
          </cell>
          <cell r="V204" t="str">
            <v>CORIHUAMAN SURCO  ERICK ROBERT</v>
          </cell>
        </row>
        <row r="205">
          <cell r="A205">
            <v>177</v>
          </cell>
          <cell r="B205">
            <v>42679</v>
          </cell>
          <cell r="C205" t="str">
            <v>NOVIEMBRE</v>
          </cell>
          <cell r="D205" t="str">
            <v>2016</v>
          </cell>
          <cell r="E205">
            <v>237</v>
          </cell>
          <cell r="F205" t="str">
            <v>D6G-806</v>
          </cell>
          <cell r="G205" t="str">
            <v>B8K-998</v>
          </cell>
          <cell r="H205" t="str">
            <v>LAS BAMBAS</v>
          </cell>
          <cell r="I205">
            <v>214141</v>
          </cell>
          <cell r="J205" t="str">
            <v>REPUESTO</v>
          </cell>
          <cell r="K205" t="str">
            <v xml:space="preserve">PERNO DE 9/16 X 6 </v>
          </cell>
          <cell r="L205">
            <v>1</v>
          </cell>
          <cell r="M205" t="str">
            <v>UNID.</v>
          </cell>
          <cell r="N205" t="str">
            <v>CISTERNA</v>
          </cell>
          <cell r="O205">
            <v>0</v>
          </cell>
          <cell r="P205" t="str">
            <v>M8</v>
          </cell>
          <cell r="Q205" t="str">
            <v>J2</v>
          </cell>
          <cell r="R205" t="str">
            <v>J2</v>
          </cell>
          <cell r="S205" t="str">
            <v>ENTREGADO</v>
          </cell>
          <cell r="T205">
            <v>42679</v>
          </cell>
          <cell r="U205" t="str">
            <v>VARILLAS GAGO  OSCAR ALBERTO</v>
          </cell>
          <cell r="V205" t="str">
            <v>CORIHUAMAN SURCO  ERICK ROBERT</v>
          </cell>
        </row>
        <row r="206">
          <cell r="A206">
            <v>178</v>
          </cell>
          <cell r="B206">
            <v>42679</v>
          </cell>
          <cell r="C206" t="str">
            <v>NOVIEMBRE</v>
          </cell>
          <cell r="D206" t="str">
            <v>2016</v>
          </cell>
          <cell r="E206">
            <v>237</v>
          </cell>
          <cell r="F206" t="str">
            <v>D6G-806</v>
          </cell>
          <cell r="G206" t="str">
            <v>B8K-998</v>
          </cell>
          <cell r="H206" t="str">
            <v>LAS BAMBAS</v>
          </cell>
          <cell r="I206">
            <v>214141</v>
          </cell>
          <cell r="J206" t="str">
            <v>REPUESTO</v>
          </cell>
          <cell r="K206" t="str">
            <v>TUERCA SEGURO 9/16</v>
          </cell>
          <cell r="L206">
            <v>1</v>
          </cell>
          <cell r="M206" t="str">
            <v>UNID.</v>
          </cell>
          <cell r="N206" t="str">
            <v>CISTERNA</v>
          </cell>
          <cell r="O206">
            <v>0</v>
          </cell>
          <cell r="P206" t="str">
            <v>M8</v>
          </cell>
          <cell r="Q206" t="str">
            <v>J2</v>
          </cell>
          <cell r="R206" t="str">
            <v>J2</v>
          </cell>
          <cell r="S206" t="str">
            <v>ENTREGADO</v>
          </cell>
          <cell r="T206">
            <v>42679</v>
          </cell>
          <cell r="U206" t="str">
            <v>VARILLAS GAGO  OSCAR ALBERTO</v>
          </cell>
          <cell r="V206" t="str">
            <v>CORIHUAMAN SURCO  ERICK ROBERT</v>
          </cell>
        </row>
        <row r="207">
          <cell r="A207">
            <v>184</v>
          </cell>
          <cell r="B207">
            <v>42679</v>
          </cell>
          <cell r="C207" t="str">
            <v>NOVIEMBRE</v>
          </cell>
          <cell r="D207" t="str">
            <v>2016</v>
          </cell>
          <cell r="E207">
            <v>237</v>
          </cell>
          <cell r="F207" t="str">
            <v>D6G-806</v>
          </cell>
          <cell r="G207" t="str">
            <v>B8K-998</v>
          </cell>
          <cell r="H207" t="str">
            <v>LAS BAMBAS</v>
          </cell>
          <cell r="I207">
            <v>214141</v>
          </cell>
          <cell r="J207" t="str">
            <v>INSUMO TALLER</v>
          </cell>
          <cell r="K207" t="str">
            <v>VOLANDAS  1/2</v>
          </cell>
          <cell r="L207">
            <v>2</v>
          </cell>
          <cell r="M207" t="str">
            <v>UNID.</v>
          </cell>
          <cell r="N207" t="str">
            <v>TRACTO</v>
          </cell>
          <cell r="O207">
            <v>0</v>
          </cell>
          <cell r="P207" t="str">
            <v>E1</v>
          </cell>
          <cell r="Q207" t="str">
            <v>J2</v>
          </cell>
          <cell r="R207" t="str">
            <v>J2</v>
          </cell>
          <cell r="S207" t="str">
            <v>ENTREGADO</v>
          </cell>
          <cell r="T207">
            <v>42679</v>
          </cell>
          <cell r="U207" t="str">
            <v>PALOMINO CARDENAS JUAN CARLOS</v>
          </cell>
          <cell r="V207" t="str">
            <v>CORIHUAMAN SURCO  ERICK ROBERT</v>
          </cell>
        </row>
        <row r="208">
          <cell r="A208">
            <v>191</v>
          </cell>
          <cell r="B208">
            <v>42679</v>
          </cell>
          <cell r="C208" t="str">
            <v>NOVIEMBRE</v>
          </cell>
          <cell r="D208" t="str">
            <v>2016</v>
          </cell>
          <cell r="E208">
            <v>237</v>
          </cell>
          <cell r="F208" t="str">
            <v>D6G-806</v>
          </cell>
          <cell r="G208" t="str">
            <v>B8K-998</v>
          </cell>
          <cell r="H208" t="str">
            <v>LAS BAMBAS</v>
          </cell>
          <cell r="I208">
            <v>214141</v>
          </cell>
          <cell r="J208" t="str">
            <v>REPUESTO</v>
          </cell>
          <cell r="K208" t="str">
            <v>MOTOR DE TANQUE LIMPIA PARABRISAS</v>
          </cell>
          <cell r="L208">
            <v>1</v>
          </cell>
          <cell r="M208" t="str">
            <v>UNID.</v>
          </cell>
          <cell r="N208" t="str">
            <v>TRACTO</v>
          </cell>
          <cell r="O208">
            <v>0</v>
          </cell>
          <cell r="P208" t="str">
            <v>M8</v>
          </cell>
          <cell r="Q208" t="str">
            <v>J2</v>
          </cell>
          <cell r="R208" t="str">
            <v>J2</v>
          </cell>
          <cell r="S208" t="str">
            <v>ENTREGADO</v>
          </cell>
          <cell r="T208">
            <v>42679</v>
          </cell>
          <cell r="U208" t="str">
            <v>VARILLAS GAGO  OSCAR ALBERTO</v>
          </cell>
          <cell r="V208" t="str">
            <v>CORIHUAMAN SURCO  ERICK ROBERT</v>
          </cell>
        </row>
        <row r="209">
          <cell r="A209">
            <v>160</v>
          </cell>
          <cell r="B209">
            <v>42679</v>
          </cell>
          <cell r="C209" t="str">
            <v>NOVIEMBRE</v>
          </cell>
          <cell r="D209" t="str">
            <v>2016</v>
          </cell>
          <cell r="E209">
            <v>200</v>
          </cell>
          <cell r="F209" t="str">
            <v>TALLER</v>
          </cell>
          <cell r="G209" t="str">
            <v>TALLER</v>
          </cell>
          <cell r="H209" t="str">
            <v>TALLER</v>
          </cell>
          <cell r="I209" t="str">
            <v>TALLER</v>
          </cell>
          <cell r="J209" t="str">
            <v>INSUMO TALLER</v>
          </cell>
          <cell r="K209" t="str">
            <v>DETERGENTE</v>
          </cell>
          <cell r="L209">
            <v>0.1</v>
          </cell>
          <cell r="M209" t="str">
            <v>KG.</v>
          </cell>
          <cell r="N209" t="str">
            <v>TALLER</v>
          </cell>
          <cell r="O209">
            <v>0</v>
          </cell>
          <cell r="P209" t="str">
            <v>M4</v>
          </cell>
          <cell r="Q209" t="str">
            <v>J2</v>
          </cell>
          <cell r="R209" t="str">
            <v>J2</v>
          </cell>
          <cell r="S209" t="str">
            <v>ENTREGADO</v>
          </cell>
          <cell r="T209">
            <v>42679</v>
          </cell>
          <cell r="U209" t="str">
            <v>JULLIRI APAZA UBALDO</v>
          </cell>
          <cell r="V209" t="str">
            <v>CORIHUAMAN SURCO  ERICK ROBERT</v>
          </cell>
        </row>
        <row r="210">
          <cell r="A210">
            <v>188</v>
          </cell>
          <cell r="B210">
            <v>42679</v>
          </cell>
          <cell r="C210" t="str">
            <v>NOVIEMBRE</v>
          </cell>
          <cell r="D210" t="str">
            <v>2016</v>
          </cell>
          <cell r="E210">
            <v>200</v>
          </cell>
          <cell r="F210" t="str">
            <v>TALLER</v>
          </cell>
          <cell r="G210" t="str">
            <v>TALLER</v>
          </cell>
          <cell r="H210" t="str">
            <v>TALLER</v>
          </cell>
          <cell r="I210" t="str">
            <v>TALLER</v>
          </cell>
          <cell r="J210" t="str">
            <v>INSUMO TALLER</v>
          </cell>
          <cell r="K210" t="str">
            <v>REPUESTO PARA CHISPERO</v>
          </cell>
          <cell r="L210">
            <v>1</v>
          </cell>
          <cell r="M210" t="str">
            <v>UNID.</v>
          </cell>
          <cell r="N210" t="str">
            <v>TALLER</v>
          </cell>
          <cell r="O210">
            <v>0</v>
          </cell>
          <cell r="P210" t="str">
            <v>S1</v>
          </cell>
          <cell r="Q210" t="str">
            <v>J2</v>
          </cell>
          <cell r="R210" t="str">
            <v>J4</v>
          </cell>
          <cell r="S210" t="str">
            <v>ENTREGADO</v>
          </cell>
          <cell r="T210">
            <v>42679</v>
          </cell>
          <cell r="U210" t="str">
            <v>BAYONA CRUZ CRISTIAN ARMANDO</v>
          </cell>
          <cell r="V210" t="str">
            <v>CORIHUAMAN SURCO  ERICK ROBERT</v>
          </cell>
        </row>
        <row r="211">
          <cell r="A211">
            <v>157</v>
          </cell>
          <cell r="B211">
            <v>42679</v>
          </cell>
          <cell r="C211" t="str">
            <v>NOVIEMBRE</v>
          </cell>
          <cell r="D211" t="str">
            <v>2016</v>
          </cell>
          <cell r="E211">
            <v>205</v>
          </cell>
          <cell r="F211" t="str">
            <v>X2W-765</v>
          </cell>
          <cell r="G211" t="str">
            <v>C5V-993</v>
          </cell>
          <cell r="H211" t="str">
            <v>LAS BAMBAS</v>
          </cell>
          <cell r="I211">
            <v>154850</v>
          </cell>
          <cell r="J211" t="str">
            <v>REPUESTO</v>
          </cell>
          <cell r="K211" t="str">
            <v>HOJA DE MUELLE MADRE 3- 1/2"ANCHO  x 1/2 ESPESOR</v>
          </cell>
          <cell r="L211">
            <v>4</v>
          </cell>
          <cell r="M211" t="str">
            <v>UNID.</v>
          </cell>
          <cell r="N211" t="str">
            <v>CISTERNA</v>
          </cell>
          <cell r="O211">
            <v>0</v>
          </cell>
          <cell r="P211" t="str">
            <v>S1</v>
          </cell>
          <cell r="Q211" t="str">
            <v>J2</v>
          </cell>
          <cell r="R211" t="str">
            <v>J2</v>
          </cell>
          <cell r="S211" t="str">
            <v>ENTREGADO</v>
          </cell>
          <cell r="T211">
            <v>42679</v>
          </cell>
          <cell r="U211" t="str">
            <v>BAYONA CRUZ CRISTIAN ARMANDO</v>
          </cell>
          <cell r="V211" t="str">
            <v>CORIHUAMAN SURCO  ERICK ROBERT</v>
          </cell>
        </row>
        <row r="212">
          <cell r="A212">
            <v>158</v>
          </cell>
          <cell r="B212">
            <v>42679</v>
          </cell>
          <cell r="C212" t="str">
            <v>NOVIEMBRE</v>
          </cell>
          <cell r="D212" t="str">
            <v>2016</v>
          </cell>
          <cell r="E212">
            <v>205</v>
          </cell>
          <cell r="F212" t="str">
            <v>X2W-765</v>
          </cell>
          <cell r="G212" t="str">
            <v>C5V-993</v>
          </cell>
          <cell r="H212" t="str">
            <v>LAS BAMBAS</v>
          </cell>
          <cell r="I212">
            <v>154850</v>
          </cell>
          <cell r="J212" t="str">
            <v>REPUESTO</v>
          </cell>
          <cell r="K212" t="str">
            <v>PERNO CENTRO DE 9/16" x 6"</v>
          </cell>
          <cell r="L212">
            <v>5</v>
          </cell>
          <cell r="M212" t="str">
            <v>UNID.</v>
          </cell>
          <cell r="N212" t="str">
            <v>CISTERNA</v>
          </cell>
          <cell r="O212">
            <v>0</v>
          </cell>
          <cell r="P212" t="str">
            <v>S1</v>
          </cell>
          <cell r="Q212" t="str">
            <v>J2</v>
          </cell>
          <cell r="R212" t="str">
            <v>J2</v>
          </cell>
          <cell r="S212" t="str">
            <v>ENTREGADO</v>
          </cell>
          <cell r="T212">
            <v>42679</v>
          </cell>
          <cell r="U212" t="str">
            <v>BAYONA CRUZ CRISTIAN ARMANDO</v>
          </cell>
          <cell r="V212" t="str">
            <v>CORIHUAMAN SURCO  ERICK ROBERT</v>
          </cell>
        </row>
        <row r="213">
          <cell r="A213">
            <v>170</v>
          </cell>
          <cell r="B213">
            <v>42679</v>
          </cell>
          <cell r="C213" t="str">
            <v>NOVIEMBRE</v>
          </cell>
          <cell r="D213" t="str">
            <v>2016</v>
          </cell>
          <cell r="E213">
            <v>239</v>
          </cell>
          <cell r="F213" t="str">
            <v>X2W-788</v>
          </cell>
          <cell r="G213" t="str">
            <v>C5V-994</v>
          </cell>
          <cell r="H213" t="str">
            <v>LAS BAMBAS</v>
          </cell>
          <cell r="I213">
            <v>137310</v>
          </cell>
          <cell r="J213" t="str">
            <v>REPUESTO</v>
          </cell>
          <cell r="K213" t="str">
            <v>PARCHE RAC 12</v>
          </cell>
          <cell r="L213">
            <v>1</v>
          </cell>
          <cell r="M213" t="str">
            <v>UNID.</v>
          </cell>
          <cell r="N213" t="str">
            <v>CISTERNA</v>
          </cell>
          <cell r="O213">
            <v>0</v>
          </cell>
          <cell r="P213" t="str">
            <v>N1</v>
          </cell>
          <cell r="Q213" t="str">
            <v>J2</v>
          </cell>
          <cell r="R213" t="str">
            <v>J4</v>
          </cell>
          <cell r="S213" t="str">
            <v>ENTREGADO</v>
          </cell>
          <cell r="T213">
            <v>42679</v>
          </cell>
          <cell r="U213" t="str">
            <v>AGUILAR CCANTUTA WILLY</v>
          </cell>
          <cell r="V213" t="str">
            <v>CORIHUAMAN SURCO  ERICK ROBERT</v>
          </cell>
        </row>
        <row r="214">
          <cell r="A214">
            <v>159</v>
          </cell>
          <cell r="B214">
            <v>42679</v>
          </cell>
          <cell r="C214" t="str">
            <v>NOVIEMBRE</v>
          </cell>
          <cell r="D214" t="str">
            <v>2016</v>
          </cell>
          <cell r="E214">
            <v>238</v>
          </cell>
          <cell r="F214" t="str">
            <v>X2W-791</v>
          </cell>
          <cell r="G214" t="str">
            <v>C5V-989</v>
          </cell>
          <cell r="H214" t="str">
            <v>LAS BAMBAS</v>
          </cell>
          <cell r="I214">
            <v>143291</v>
          </cell>
          <cell r="J214" t="str">
            <v>REPUESTO</v>
          </cell>
          <cell r="K214" t="str">
            <v>FILTRO  DE COMBUSTIBLE PRIMARIO TIPO CARTUCHO</v>
          </cell>
          <cell r="L214">
            <v>1</v>
          </cell>
          <cell r="M214" t="str">
            <v>UNID.</v>
          </cell>
          <cell r="N214" t="str">
            <v>TRACTO</v>
          </cell>
          <cell r="O214">
            <v>0</v>
          </cell>
          <cell r="P214" t="str">
            <v>M4</v>
          </cell>
          <cell r="Q214" t="str">
            <v>J2</v>
          </cell>
          <cell r="R214" t="str">
            <v>J2</v>
          </cell>
          <cell r="S214" t="str">
            <v>ENTREGADO</v>
          </cell>
          <cell r="T214">
            <v>42679</v>
          </cell>
          <cell r="U214" t="str">
            <v>JULLIRI APAZA UBALDO</v>
          </cell>
          <cell r="V214" t="str">
            <v>CORIHUAMAN SURCO  ERICK ROBERT</v>
          </cell>
        </row>
        <row r="215">
          <cell r="A215">
            <v>165</v>
          </cell>
          <cell r="B215">
            <v>42679</v>
          </cell>
          <cell r="C215" t="str">
            <v>NOVIEMBRE</v>
          </cell>
          <cell r="D215" t="str">
            <v>2016</v>
          </cell>
          <cell r="E215">
            <v>238</v>
          </cell>
          <cell r="F215" t="str">
            <v>X2W-791</v>
          </cell>
          <cell r="G215" t="str">
            <v>C5V-989</v>
          </cell>
          <cell r="H215" t="str">
            <v>LAS BAMBAS</v>
          </cell>
          <cell r="I215">
            <v>143291</v>
          </cell>
          <cell r="J215" t="str">
            <v>REPUESTO</v>
          </cell>
          <cell r="K215" t="str">
            <v>PARCHE RAC 10</v>
          </cell>
          <cell r="L215">
            <v>1</v>
          </cell>
          <cell r="M215" t="str">
            <v>UNID.</v>
          </cell>
          <cell r="N215" t="str">
            <v>TRACTO</v>
          </cell>
          <cell r="O215">
            <v>0</v>
          </cell>
          <cell r="P215" t="str">
            <v>N2</v>
          </cell>
          <cell r="Q215" t="str">
            <v>J2</v>
          </cell>
          <cell r="R215" t="str">
            <v>J4</v>
          </cell>
          <cell r="S215" t="str">
            <v>ENTREGADO</v>
          </cell>
          <cell r="T215">
            <v>42679</v>
          </cell>
          <cell r="U215" t="str">
            <v>MAMANI LARICO  EDUARDO ALVARO</v>
          </cell>
          <cell r="V215" t="str">
            <v>CORIHUAMAN SURCO  ERICK ROBERT</v>
          </cell>
        </row>
        <row r="216">
          <cell r="A216">
            <v>172</v>
          </cell>
          <cell r="B216">
            <v>42679</v>
          </cell>
          <cell r="C216" t="str">
            <v>NOVIEMBRE</v>
          </cell>
          <cell r="D216" t="str">
            <v>2016</v>
          </cell>
          <cell r="E216">
            <v>238</v>
          </cell>
          <cell r="F216" t="str">
            <v>X2W-791</v>
          </cell>
          <cell r="G216" t="str">
            <v>C5V-989</v>
          </cell>
          <cell r="H216" t="str">
            <v>LAS BAMBAS</v>
          </cell>
          <cell r="I216">
            <v>143291</v>
          </cell>
          <cell r="J216" t="str">
            <v>REPUESTO</v>
          </cell>
          <cell r="K216" t="str">
            <v>CONO Y GUIA, TUERCA 3/8 "</v>
          </cell>
          <cell r="L216">
            <v>2</v>
          </cell>
          <cell r="M216" t="str">
            <v>UNID.</v>
          </cell>
          <cell r="N216" t="str">
            <v>CISTERNA</v>
          </cell>
          <cell r="O216">
            <v>0</v>
          </cell>
          <cell r="P216" t="str">
            <v>M4</v>
          </cell>
          <cell r="Q216" t="str">
            <v>J2</v>
          </cell>
          <cell r="R216" t="str">
            <v>J4</v>
          </cell>
          <cell r="S216" t="str">
            <v>ENTREGADO</v>
          </cell>
          <cell r="T216">
            <v>42679</v>
          </cell>
          <cell r="U216" t="str">
            <v>JULLIRI APAZA UBALDO</v>
          </cell>
          <cell r="V216" t="str">
            <v>CORIHUAMAN SURCO  ERICK ROBERT</v>
          </cell>
        </row>
        <row r="217">
          <cell r="A217">
            <v>173</v>
          </cell>
          <cell r="B217">
            <v>42679</v>
          </cell>
          <cell r="C217" t="str">
            <v>NOVIEMBRE</v>
          </cell>
          <cell r="D217" t="str">
            <v>2016</v>
          </cell>
          <cell r="E217">
            <v>238</v>
          </cell>
          <cell r="F217" t="str">
            <v>X2W-791</v>
          </cell>
          <cell r="G217" t="str">
            <v>C5V-989</v>
          </cell>
          <cell r="H217" t="str">
            <v>LAS BAMBAS</v>
          </cell>
          <cell r="I217">
            <v>143291</v>
          </cell>
          <cell r="J217" t="str">
            <v>REPUESTO</v>
          </cell>
          <cell r="K217" t="str">
            <v xml:space="preserve">PRESCINTOS </v>
          </cell>
          <cell r="L217">
            <v>6</v>
          </cell>
          <cell r="M217" t="str">
            <v>UNID.</v>
          </cell>
          <cell r="N217" t="str">
            <v>CISTERNA</v>
          </cell>
          <cell r="O217">
            <v>0</v>
          </cell>
          <cell r="P217" t="str">
            <v>M4</v>
          </cell>
          <cell r="Q217" t="str">
            <v>J2</v>
          </cell>
          <cell r="R217" t="str">
            <v>J4</v>
          </cell>
          <cell r="S217" t="str">
            <v>ENTREGADO</v>
          </cell>
          <cell r="T217">
            <v>42679</v>
          </cell>
          <cell r="U217" t="str">
            <v>JULLIRI APAZA UBALDO</v>
          </cell>
          <cell r="V217" t="str">
            <v>CORIHUAMAN SURCO  ERICK ROBERT</v>
          </cell>
        </row>
        <row r="218">
          <cell r="A218">
            <v>174</v>
          </cell>
          <cell r="B218">
            <v>42679</v>
          </cell>
          <cell r="C218" t="str">
            <v>NOVIEMBRE</v>
          </cell>
          <cell r="D218" t="str">
            <v>2016</v>
          </cell>
          <cell r="E218">
            <v>238</v>
          </cell>
          <cell r="F218" t="str">
            <v>X2W-791</v>
          </cell>
          <cell r="G218" t="str">
            <v>C5V-989</v>
          </cell>
          <cell r="H218" t="str">
            <v>LAS BAMBAS</v>
          </cell>
          <cell r="I218">
            <v>143291</v>
          </cell>
          <cell r="J218" t="str">
            <v>REPUESTO</v>
          </cell>
          <cell r="K218" t="str">
            <v>PARCHE RAC 14</v>
          </cell>
          <cell r="L218">
            <v>1</v>
          </cell>
          <cell r="M218" t="str">
            <v>UNID.</v>
          </cell>
          <cell r="N218" t="str">
            <v>CISTERNA</v>
          </cell>
          <cell r="O218">
            <v>0</v>
          </cell>
          <cell r="P218" t="str">
            <v>N2</v>
          </cell>
          <cell r="Q218" t="str">
            <v>J2</v>
          </cell>
          <cell r="R218" t="str">
            <v>J4</v>
          </cell>
          <cell r="S218" t="str">
            <v>ENTREGADO</v>
          </cell>
          <cell r="T218">
            <v>42679</v>
          </cell>
          <cell r="U218" t="str">
            <v>MAMANI LARICO  EDUARDO ALVARO</v>
          </cell>
          <cell r="V218" t="str">
            <v>CORIHUAMAN SURCO  ERICK ROBERT</v>
          </cell>
        </row>
        <row r="219">
          <cell r="A219">
            <v>195</v>
          </cell>
          <cell r="B219">
            <v>42680</v>
          </cell>
          <cell r="C219" t="str">
            <v>NOVIEMBRE</v>
          </cell>
          <cell r="D219" t="str">
            <v>2016</v>
          </cell>
          <cell r="E219">
            <v>203</v>
          </cell>
          <cell r="F219" t="str">
            <v>ABQ-703</v>
          </cell>
          <cell r="G219" t="str">
            <v>D0Z-994</v>
          </cell>
          <cell r="H219" t="str">
            <v>LAS BAMBAS</v>
          </cell>
          <cell r="I219">
            <v>95835</v>
          </cell>
          <cell r="J219" t="str">
            <v>INSUMO TALLER</v>
          </cell>
          <cell r="K219" t="str">
            <v>FAJAS DE FRENO CON REMACHES</v>
          </cell>
          <cell r="L219">
            <v>4</v>
          </cell>
          <cell r="M219" t="str">
            <v>UNID.</v>
          </cell>
          <cell r="N219" t="str">
            <v>CISTERNA</v>
          </cell>
          <cell r="O219">
            <v>0</v>
          </cell>
          <cell r="P219" t="str">
            <v>M2</v>
          </cell>
          <cell r="Q219" t="str">
            <v>J1</v>
          </cell>
          <cell r="R219" t="str">
            <v>J1</v>
          </cell>
          <cell r="S219" t="str">
            <v>ENTREGADO</v>
          </cell>
          <cell r="T219">
            <v>42680</v>
          </cell>
          <cell r="U219" t="str">
            <v>CHUMPITAZ GAGO JULIO ENRIQUE</v>
          </cell>
          <cell r="V219" t="str">
            <v>FLOREZ CONDORI  JOSE WILLIANS</v>
          </cell>
        </row>
        <row r="220">
          <cell r="A220">
            <v>201</v>
          </cell>
          <cell r="B220">
            <v>42680</v>
          </cell>
          <cell r="C220" t="str">
            <v>NOVIEMBRE</v>
          </cell>
          <cell r="D220" t="str">
            <v>2016</v>
          </cell>
          <cell r="E220">
            <v>203</v>
          </cell>
          <cell r="F220" t="str">
            <v>ABQ-703</v>
          </cell>
          <cell r="G220" t="str">
            <v>D0Z-994</v>
          </cell>
          <cell r="H220" t="str">
            <v>LAS BAMBAS</v>
          </cell>
          <cell r="I220">
            <v>95835</v>
          </cell>
          <cell r="J220" t="str">
            <v>REPUESTO</v>
          </cell>
          <cell r="K220" t="str">
            <v>PERNO DE MANHOLE 3/8" x 6" CON DOBLE TUERCA</v>
          </cell>
          <cell r="L220">
            <v>1</v>
          </cell>
          <cell r="M220" t="str">
            <v>UNID.</v>
          </cell>
          <cell r="N220" t="str">
            <v>CISTERNA</v>
          </cell>
          <cell r="O220">
            <v>0</v>
          </cell>
          <cell r="P220" t="str">
            <v>S2</v>
          </cell>
          <cell r="Q220" t="str">
            <v>J1</v>
          </cell>
          <cell r="R220" t="str">
            <v>J1</v>
          </cell>
          <cell r="S220" t="str">
            <v>ENTREGADO</v>
          </cell>
          <cell r="T220">
            <v>42680</v>
          </cell>
          <cell r="U220" t="str">
            <v>PALOMINO ESTRADA  MICHEL</v>
          </cell>
          <cell r="V220" t="str">
            <v>FLOREZ CONDORI  JOSE WILLIANS</v>
          </cell>
        </row>
        <row r="221">
          <cell r="A221">
            <v>208</v>
          </cell>
          <cell r="B221">
            <v>42680</v>
          </cell>
          <cell r="C221" t="str">
            <v>NOVIEMBRE</v>
          </cell>
          <cell r="D221" t="str">
            <v>2016</v>
          </cell>
          <cell r="E221">
            <v>241</v>
          </cell>
          <cell r="F221" t="str">
            <v>ABQ-704</v>
          </cell>
          <cell r="G221" t="str">
            <v>TBB-995</v>
          </cell>
          <cell r="H221" t="str">
            <v>LAS BAMBAS</v>
          </cell>
          <cell r="I221">
            <v>106373</v>
          </cell>
          <cell r="J221" t="str">
            <v>REPUESTO</v>
          </cell>
          <cell r="K221" t="str">
            <v>UNIONES DE BRONDE DE 1/4 COMPLETO (CONOS, GUIAS, TUERCAS)</v>
          </cell>
          <cell r="L221">
            <v>2</v>
          </cell>
          <cell r="M221" t="str">
            <v>UNID.</v>
          </cell>
          <cell r="N221" t="str">
            <v>CISTERNA</v>
          </cell>
          <cell r="O221">
            <v>0</v>
          </cell>
          <cell r="P221" t="str">
            <v>M8</v>
          </cell>
          <cell r="Q221" t="str">
            <v>J1</v>
          </cell>
          <cell r="R221" t="str">
            <v>J1</v>
          </cell>
          <cell r="S221" t="str">
            <v>ENTREGADO</v>
          </cell>
          <cell r="T221">
            <v>42680</v>
          </cell>
          <cell r="U221" t="str">
            <v>VARILLAS GAGO  OSCAR ALBERTO</v>
          </cell>
          <cell r="V221" t="str">
            <v>FLOREZ CONDORI  JOSE WILLIANS</v>
          </cell>
        </row>
        <row r="222">
          <cell r="A222">
            <v>210</v>
          </cell>
          <cell r="B222">
            <v>42680</v>
          </cell>
          <cell r="C222" t="str">
            <v>NOVIEMBRE</v>
          </cell>
          <cell r="D222" t="str">
            <v>2016</v>
          </cell>
          <cell r="E222">
            <v>241</v>
          </cell>
          <cell r="F222" t="str">
            <v>ABQ-704</v>
          </cell>
          <cell r="G222" t="str">
            <v>TBB-995</v>
          </cell>
          <cell r="H222" t="str">
            <v>LAS BAMBAS</v>
          </cell>
          <cell r="I222">
            <v>106373</v>
          </cell>
          <cell r="J222" t="str">
            <v>REPUESTO</v>
          </cell>
          <cell r="K222" t="str">
            <v>FARO LED LATERAL RECTANGULAR AMBAR</v>
          </cell>
          <cell r="L222">
            <v>1</v>
          </cell>
          <cell r="M222" t="str">
            <v>UNID.</v>
          </cell>
          <cell r="N222" t="str">
            <v>CISTERNA</v>
          </cell>
          <cell r="O222">
            <v>0</v>
          </cell>
          <cell r="P222" t="str">
            <v>E1</v>
          </cell>
          <cell r="Q222" t="str">
            <v>J1</v>
          </cell>
          <cell r="R222" t="str">
            <v>J1</v>
          </cell>
          <cell r="S222" t="str">
            <v>ENTREGADO</v>
          </cell>
          <cell r="T222">
            <v>42680</v>
          </cell>
          <cell r="U222" t="str">
            <v>PALOMINO CARDENAS JUAN CARLOS</v>
          </cell>
          <cell r="V222" t="str">
            <v>FLOREZ CONDORI  JOSE WILLIANS</v>
          </cell>
        </row>
        <row r="223">
          <cell r="A223">
            <v>209</v>
          </cell>
          <cell r="B223">
            <v>42680</v>
          </cell>
          <cell r="C223" t="str">
            <v>NOVIEMBRE</v>
          </cell>
          <cell r="D223" t="str">
            <v>2016</v>
          </cell>
          <cell r="E223">
            <v>242</v>
          </cell>
          <cell r="F223" t="str">
            <v>ABQ-705</v>
          </cell>
          <cell r="G223" t="str">
            <v>D0Z-996</v>
          </cell>
          <cell r="H223" t="str">
            <v>LAS BAMBAS</v>
          </cell>
          <cell r="I223">
            <v>104175</v>
          </cell>
          <cell r="J223" t="str">
            <v>REPUESTO</v>
          </cell>
          <cell r="K223" t="str">
            <v>BATERIAS DE 12 V</v>
          </cell>
          <cell r="L223">
            <v>4</v>
          </cell>
          <cell r="M223" t="str">
            <v>UNID.</v>
          </cell>
          <cell r="N223" t="str">
            <v>TRACTO</v>
          </cell>
          <cell r="O223">
            <v>1</v>
          </cell>
          <cell r="P223" t="str">
            <v>E1</v>
          </cell>
          <cell r="Q223" t="str">
            <v>J1</v>
          </cell>
          <cell r="R223" t="str">
            <v>J1</v>
          </cell>
          <cell r="S223" t="str">
            <v>ENTREGADO</v>
          </cell>
          <cell r="T223">
            <v>42681</v>
          </cell>
          <cell r="U223" t="str">
            <v>PALOMINO CARDENAS JUAN CARLOS</v>
          </cell>
          <cell r="V223" t="str">
            <v>FLOREZ CONDORI  JOSE WILLIANS</v>
          </cell>
        </row>
        <row r="224">
          <cell r="A224">
            <v>202</v>
          </cell>
          <cell r="B224">
            <v>42680</v>
          </cell>
          <cell r="C224" t="str">
            <v>NOVIEMBRE</v>
          </cell>
          <cell r="D224" t="str">
            <v>2016</v>
          </cell>
          <cell r="E224">
            <v>216</v>
          </cell>
          <cell r="F224" t="str">
            <v>ABQ-780</v>
          </cell>
          <cell r="G224" t="str">
            <v>C9S-990</v>
          </cell>
          <cell r="H224" t="str">
            <v>LAS BAMBAS</v>
          </cell>
          <cell r="I224">
            <v>111326</v>
          </cell>
          <cell r="J224" t="str">
            <v>REPUESTO</v>
          </cell>
          <cell r="K224" t="str">
            <v>SOPORTE DE CABINA</v>
          </cell>
          <cell r="L224">
            <v>1</v>
          </cell>
          <cell r="M224" t="str">
            <v>UNID.</v>
          </cell>
          <cell r="N224" t="str">
            <v>TRACTO</v>
          </cell>
          <cell r="O224">
            <v>0</v>
          </cell>
          <cell r="P224" t="str">
            <v>M3</v>
          </cell>
          <cell r="Q224" t="str">
            <v>J1</v>
          </cell>
          <cell r="R224" t="str">
            <v>J1</v>
          </cell>
          <cell r="S224" t="str">
            <v>ENTREGADO</v>
          </cell>
          <cell r="T224">
            <v>42680</v>
          </cell>
          <cell r="U224" t="str">
            <v>GARCIA PASQUEL  JOSE LUIS</v>
          </cell>
          <cell r="V224" t="str">
            <v>FLOREZ CONDORI  JOSE WILLIANS</v>
          </cell>
        </row>
        <row r="225">
          <cell r="A225">
            <v>203</v>
          </cell>
          <cell r="B225">
            <v>42680</v>
          </cell>
          <cell r="C225" t="str">
            <v>NOVIEMBRE</v>
          </cell>
          <cell r="D225" t="str">
            <v>2016</v>
          </cell>
          <cell r="E225">
            <v>216</v>
          </cell>
          <cell r="F225" t="str">
            <v>ABQ-780</v>
          </cell>
          <cell r="G225" t="str">
            <v>C9S-990</v>
          </cell>
          <cell r="H225" t="str">
            <v>LAS BAMBAS</v>
          </cell>
          <cell r="I225">
            <v>111326</v>
          </cell>
          <cell r="J225" t="str">
            <v>OTROS</v>
          </cell>
          <cell r="K225" t="str">
            <v xml:space="preserve">AEROSOL BLANCO </v>
          </cell>
          <cell r="L225">
            <v>1</v>
          </cell>
          <cell r="M225" t="str">
            <v>UNID.</v>
          </cell>
          <cell r="N225" t="str">
            <v>TRACTO</v>
          </cell>
          <cell r="O225">
            <v>0</v>
          </cell>
          <cell r="P225" t="str">
            <v>N2</v>
          </cell>
          <cell r="Q225" t="str">
            <v>J1</v>
          </cell>
          <cell r="R225" t="str">
            <v>J1</v>
          </cell>
          <cell r="S225" t="str">
            <v>ENTREGADO</v>
          </cell>
          <cell r="T225">
            <v>42680</v>
          </cell>
          <cell r="U225" t="str">
            <v>MAMANI LARICO  EDUARDO ALVARO</v>
          </cell>
          <cell r="V225" t="str">
            <v>FLOREZ CONDORI  JOSE WILLIANS</v>
          </cell>
        </row>
        <row r="226">
          <cell r="A226">
            <v>206</v>
          </cell>
          <cell r="B226">
            <v>42680</v>
          </cell>
          <cell r="C226" t="str">
            <v>NOVIEMBRE</v>
          </cell>
          <cell r="D226" t="str">
            <v>2016</v>
          </cell>
          <cell r="E226">
            <v>216</v>
          </cell>
          <cell r="F226" t="str">
            <v>ABQ-780</v>
          </cell>
          <cell r="G226" t="str">
            <v>C9S-990</v>
          </cell>
          <cell r="H226" t="str">
            <v>LAS BAMBAS</v>
          </cell>
          <cell r="I226">
            <v>111326</v>
          </cell>
          <cell r="J226" t="str">
            <v>REPUESTO</v>
          </cell>
          <cell r="K226" t="str">
            <v>FOCO 896</v>
          </cell>
          <cell r="L226">
            <v>1</v>
          </cell>
          <cell r="M226" t="str">
            <v>UNID.</v>
          </cell>
          <cell r="N226" t="str">
            <v>TRACTO</v>
          </cell>
          <cell r="O226">
            <v>0</v>
          </cell>
          <cell r="P226" t="str">
            <v>E1</v>
          </cell>
          <cell r="Q226" t="str">
            <v>J1</v>
          </cell>
          <cell r="R226" t="str">
            <v>J1</v>
          </cell>
          <cell r="S226" t="str">
            <v>ENTREGADO</v>
          </cell>
          <cell r="T226">
            <v>42680</v>
          </cell>
          <cell r="U226" t="str">
            <v>PALOMINO CARDENAS JUAN CARLOS</v>
          </cell>
          <cell r="V226" t="str">
            <v>FLOREZ CONDORI  JOSE WILLIANS</v>
          </cell>
        </row>
        <row r="227">
          <cell r="A227">
            <v>204</v>
          </cell>
          <cell r="B227">
            <v>42680</v>
          </cell>
          <cell r="C227" t="str">
            <v>NOVIEMBRE</v>
          </cell>
          <cell r="D227" t="str">
            <v>2016</v>
          </cell>
          <cell r="E227">
            <v>215</v>
          </cell>
          <cell r="F227" t="str">
            <v>ABR-727</v>
          </cell>
          <cell r="G227" t="str">
            <v>C9S-989</v>
          </cell>
          <cell r="H227" t="str">
            <v>LAS BAMBAS</v>
          </cell>
          <cell r="I227">
            <v>96053</v>
          </cell>
          <cell r="J227" t="str">
            <v>REPUESTO</v>
          </cell>
          <cell r="K227" t="str">
            <v>ACEITE MOTOR 15W-40</v>
          </cell>
          <cell r="L227">
            <v>2</v>
          </cell>
          <cell r="M227" t="str">
            <v>GLNS.</v>
          </cell>
          <cell r="N227" t="str">
            <v>TRACTO</v>
          </cell>
          <cell r="O227">
            <v>0</v>
          </cell>
          <cell r="P227" t="str">
            <v>M1</v>
          </cell>
          <cell r="Q227" t="str">
            <v>J1</v>
          </cell>
          <cell r="R227" t="str">
            <v>J1</v>
          </cell>
          <cell r="S227" t="str">
            <v>ENTREGADO</v>
          </cell>
          <cell r="T227">
            <v>42680</v>
          </cell>
          <cell r="U227" t="str">
            <v>CABEZAS SANCHEZ JEAN JHONATAN</v>
          </cell>
          <cell r="V227" t="str">
            <v>FLOREZ CONDORI  JOSE WILLIANS</v>
          </cell>
        </row>
        <row r="228">
          <cell r="A228">
            <v>205</v>
          </cell>
          <cell r="B228">
            <v>42680</v>
          </cell>
          <cell r="C228" t="str">
            <v>NOVIEMBRE</v>
          </cell>
          <cell r="D228" t="str">
            <v>2016</v>
          </cell>
          <cell r="E228">
            <v>209</v>
          </cell>
          <cell r="F228" t="str">
            <v>AKX-805</v>
          </cell>
          <cell r="G228" t="str">
            <v>F5Z-985</v>
          </cell>
          <cell r="H228" t="str">
            <v>LAS BAMBAS</v>
          </cell>
          <cell r="I228">
            <v>31856</v>
          </cell>
          <cell r="J228" t="str">
            <v>INSUMO TALLER</v>
          </cell>
          <cell r="K228" t="str">
            <v>DISCO DESBASTE 7"</v>
          </cell>
          <cell r="L228">
            <v>1</v>
          </cell>
          <cell r="M228" t="str">
            <v>UNID.</v>
          </cell>
          <cell r="N228" t="str">
            <v>TRACTO</v>
          </cell>
          <cell r="O228">
            <v>0</v>
          </cell>
          <cell r="P228" t="str">
            <v>S1</v>
          </cell>
          <cell r="Q228" t="str">
            <v>J1</v>
          </cell>
          <cell r="R228" t="str">
            <v>J1</v>
          </cell>
          <cell r="S228" t="str">
            <v>ENTREGADO</v>
          </cell>
          <cell r="T228">
            <v>42680</v>
          </cell>
          <cell r="U228" t="str">
            <v>BAYONA CRUZ CRISTIAN ARMANDO</v>
          </cell>
          <cell r="V228" t="str">
            <v>FLOREZ CONDORI  JOSE WILLIANS</v>
          </cell>
        </row>
        <row r="229">
          <cell r="A229">
            <v>215</v>
          </cell>
          <cell r="B229">
            <v>42680</v>
          </cell>
          <cell r="C229" t="str">
            <v>NOVIEMBRE</v>
          </cell>
          <cell r="D229" t="str">
            <v>2016</v>
          </cell>
          <cell r="E229">
            <v>243</v>
          </cell>
          <cell r="F229" t="str">
            <v>C9N-807</v>
          </cell>
          <cell r="G229" t="str">
            <v>B4O-994</v>
          </cell>
          <cell r="H229" t="str">
            <v>LAS BAMBAS</v>
          </cell>
          <cell r="I229">
            <v>206578</v>
          </cell>
          <cell r="J229" t="str">
            <v>REPUESTO</v>
          </cell>
          <cell r="K229" t="str">
            <v>GANCHO DE CAPOT LADO IZQUIERDO</v>
          </cell>
          <cell r="L229">
            <v>1</v>
          </cell>
          <cell r="M229" t="str">
            <v>UNID.</v>
          </cell>
          <cell r="N229" t="str">
            <v>TRACTO</v>
          </cell>
          <cell r="O229">
            <v>1</v>
          </cell>
          <cell r="P229" t="str">
            <v>M1</v>
          </cell>
          <cell r="Q229" t="str">
            <v>J1</v>
          </cell>
          <cell r="R229" t="str">
            <v>J1</v>
          </cell>
          <cell r="S229" t="str">
            <v>ENTREGADO</v>
          </cell>
          <cell r="T229">
            <v>42681</v>
          </cell>
          <cell r="U229" t="str">
            <v>CABEZAS SANCHEZ JEAN JHONATAN</v>
          </cell>
          <cell r="V229" t="str">
            <v>FLOREZ CONDORI  JOSE WILLIANS</v>
          </cell>
        </row>
        <row r="230">
          <cell r="A230">
            <v>214</v>
          </cell>
          <cell r="B230">
            <v>42680</v>
          </cell>
          <cell r="C230" t="str">
            <v>NOVIEMBRE</v>
          </cell>
          <cell r="D230" t="str">
            <v>2016</v>
          </cell>
          <cell r="E230">
            <v>204</v>
          </cell>
          <cell r="F230" t="str">
            <v>C9P-948</v>
          </cell>
          <cell r="G230" t="str">
            <v>B4O-995</v>
          </cell>
          <cell r="H230" t="str">
            <v>LAS BAMBAS</v>
          </cell>
          <cell r="I230">
            <v>156586</v>
          </cell>
          <cell r="J230" t="str">
            <v>REPUESTO</v>
          </cell>
          <cell r="K230" t="str">
            <v>VALVULA RELE DE FRENO DE CARRETA</v>
          </cell>
          <cell r="L230">
            <v>1</v>
          </cell>
          <cell r="M230" t="str">
            <v>UNID.</v>
          </cell>
          <cell r="N230" t="str">
            <v>CISTERNA</v>
          </cell>
          <cell r="O230">
            <v>0</v>
          </cell>
          <cell r="P230" t="str">
            <v>M2</v>
          </cell>
          <cell r="Q230" t="str">
            <v>J1</v>
          </cell>
          <cell r="R230" t="str">
            <v>J1</v>
          </cell>
          <cell r="S230" t="str">
            <v>ENTREGADO</v>
          </cell>
          <cell r="T230">
            <v>42680</v>
          </cell>
          <cell r="U230" t="str">
            <v>CHUMPITAZ GAGO JULIO ENRIQUE</v>
          </cell>
          <cell r="V230" t="str">
            <v>FLOREZ CONDORI  JOSE WILLIANS</v>
          </cell>
        </row>
        <row r="231">
          <cell r="A231">
            <v>196</v>
          </cell>
          <cell r="B231">
            <v>42680</v>
          </cell>
          <cell r="C231" t="str">
            <v>NOVIEMBRE</v>
          </cell>
          <cell r="D231" t="str">
            <v>2016</v>
          </cell>
          <cell r="E231">
            <v>234</v>
          </cell>
          <cell r="F231" t="str">
            <v>D3O-745</v>
          </cell>
          <cell r="G231" t="str">
            <v>F3L-979</v>
          </cell>
          <cell r="H231" t="str">
            <v>LAS BAMBAS</v>
          </cell>
          <cell r="I231">
            <v>154039</v>
          </cell>
          <cell r="J231" t="str">
            <v>REPUESTO</v>
          </cell>
          <cell r="K231" t="str">
            <v>SOPORTE DE CABINA</v>
          </cell>
          <cell r="L231">
            <v>1</v>
          </cell>
          <cell r="M231" t="str">
            <v>UNID.</v>
          </cell>
          <cell r="N231" t="str">
            <v>TRACTO</v>
          </cell>
          <cell r="O231">
            <v>0</v>
          </cell>
          <cell r="P231" t="str">
            <v>M3</v>
          </cell>
          <cell r="Q231" t="str">
            <v>J1</v>
          </cell>
          <cell r="R231" t="str">
            <v>J1</v>
          </cell>
          <cell r="S231" t="str">
            <v>ENTREGADO</v>
          </cell>
          <cell r="T231">
            <v>42680</v>
          </cell>
          <cell r="U231" t="str">
            <v>GARCIA PASQUEL  JOSE LUIS</v>
          </cell>
          <cell r="V231" t="str">
            <v>FLOREZ CONDORI  JOSE WILLIANS</v>
          </cell>
        </row>
        <row r="232">
          <cell r="A232">
            <v>218</v>
          </cell>
          <cell r="B232">
            <v>42680</v>
          </cell>
          <cell r="C232" t="str">
            <v>NOVIEMBRE</v>
          </cell>
          <cell r="D232" t="str">
            <v>2016</v>
          </cell>
          <cell r="E232">
            <v>234</v>
          </cell>
          <cell r="F232" t="str">
            <v>D3O-745</v>
          </cell>
          <cell r="G232" t="str">
            <v>F3L-979</v>
          </cell>
          <cell r="H232" t="str">
            <v>LAS BAMBAS</v>
          </cell>
          <cell r="I232">
            <v>154039</v>
          </cell>
          <cell r="J232" t="str">
            <v>REPUESTO</v>
          </cell>
          <cell r="K232" t="str">
            <v>ABRAZADERA DE 1 1/2 PARA MANGUERA DE AGUA RETORNO</v>
          </cell>
          <cell r="L232">
            <v>1</v>
          </cell>
          <cell r="M232" t="str">
            <v>UNID.</v>
          </cell>
          <cell r="N232" t="str">
            <v>TRACTO</v>
          </cell>
          <cell r="O232">
            <v>110</v>
          </cell>
          <cell r="P232" t="str">
            <v>M3</v>
          </cell>
          <cell r="Q232" t="str">
            <v>J1</v>
          </cell>
          <cell r="R232" t="str">
            <v>J1</v>
          </cell>
          <cell r="S232" t="str">
            <v>ENTREGADO</v>
          </cell>
          <cell r="T232">
            <v>0</v>
          </cell>
          <cell r="U232" t="str">
            <v>GARCIA PASQUEL  JOSE LUIS</v>
          </cell>
          <cell r="V232" t="str">
            <v>FLOREZ CONDORI  JOSE WILLIANS</v>
          </cell>
        </row>
        <row r="233">
          <cell r="A233">
            <v>198</v>
          </cell>
          <cell r="B233">
            <v>42680</v>
          </cell>
          <cell r="C233" t="str">
            <v>NOVIEMBRE</v>
          </cell>
          <cell r="D233" t="str">
            <v>2016</v>
          </cell>
          <cell r="E233">
            <v>206</v>
          </cell>
          <cell r="F233" t="str">
            <v>D3P-744</v>
          </cell>
          <cell r="G233" t="str">
            <v>A0F-996</v>
          </cell>
          <cell r="H233" t="str">
            <v>LAS BAMBAS</v>
          </cell>
          <cell r="I233">
            <v>150468</v>
          </cell>
          <cell r="J233" t="str">
            <v>REPUESTO</v>
          </cell>
          <cell r="K233" t="str">
            <v>PERNO 5/8 X 6" CON TUERCA SEGURO</v>
          </cell>
          <cell r="L233">
            <v>8</v>
          </cell>
          <cell r="M233" t="str">
            <v>UNID.</v>
          </cell>
          <cell r="N233" t="str">
            <v>CISTERNA</v>
          </cell>
          <cell r="O233">
            <v>0</v>
          </cell>
          <cell r="P233" t="str">
            <v>S2</v>
          </cell>
          <cell r="Q233" t="str">
            <v>J1</v>
          </cell>
          <cell r="R233" t="str">
            <v>J1</v>
          </cell>
          <cell r="S233" t="str">
            <v>ENTREGADO</v>
          </cell>
          <cell r="T233">
            <v>42680</v>
          </cell>
          <cell r="U233" t="str">
            <v>PALOMINO ESTRADA  MICHEL</v>
          </cell>
          <cell r="V233" t="str">
            <v>FLOREZ CONDORI  JOSE WILLIANS</v>
          </cell>
        </row>
        <row r="234">
          <cell r="A234">
            <v>199</v>
          </cell>
          <cell r="B234">
            <v>42680</v>
          </cell>
          <cell r="C234" t="str">
            <v>NOVIEMBRE</v>
          </cell>
          <cell r="D234" t="str">
            <v>2016</v>
          </cell>
          <cell r="E234">
            <v>206</v>
          </cell>
          <cell r="F234" t="str">
            <v>D3P-744</v>
          </cell>
          <cell r="G234" t="str">
            <v>A0F-996</v>
          </cell>
          <cell r="H234" t="str">
            <v>LAS BAMBAS</v>
          </cell>
          <cell r="I234">
            <v>150468</v>
          </cell>
          <cell r="J234" t="str">
            <v>REPUESTO</v>
          </cell>
          <cell r="K234" t="str">
            <v>PERNO 1" X 7" CON TUERCA SEGURO</v>
          </cell>
          <cell r="L234">
            <v>1</v>
          </cell>
          <cell r="M234" t="str">
            <v>UNID.</v>
          </cell>
          <cell r="N234" t="str">
            <v>CISTERNA</v>
          </cell>
          <cell r="O234">
            <v>0</v>
          </cell>
          <cell r="P234" t="str">
            <v>S2</v>
          </cell>
          <cell r="Q234" t="str">
            <v>J1</v>
          </cell>
          <cell r="R234" t="str">
            <v>J1</v>
          </cell>
          <cell r="S234" t="str">
            <v>ENTREGADO</v>
          </cell>
          <cell r="T234">
            <v>42680</v>
          </cell>
          <cell r="U234" t="str">
            <v>PALOMINO ESTRADA  MICHEL</v>
          </cell>
          <cell r="V234" t="str">
            <v>FLOREZ CONDORI  JOSE WILLIANS</v>
          </cell>
        </row>
        <row r="235">
          <cell r="A235">
            <v>207</v>
          </cell>
          <cell r="B235">
            <v>42680</v>
          </cell>
          <cell r="C235" t="str">
            <v>NOVIEMBRE</v>
          </cell>
          <cell r="D235" t="str">
            <v>2016</v>
          </cell>
          <cell r="E235">
            <v>206</v>
          </cell>
          <cell r="F235" t="str">
            <v>D3P-744</v>
          </cell>
          <cell r="G235" t="str">
            <v>A0F-996</v>
          </cell>
          <cell r="H235" t="str">
            <v>LAS BAMBAS</v>
          </cell>
          <cell r="I235">
            <v>150468</v>
          </cell>
          <cell r="J235" t="str">
            <v>REPUESTO</v>
          </cell>
          <cell r="K235" t="str">
            <v>UNION EN T DE 3/8</v>
          </cell>
          <cell r="L235">
            <v>1</v>
          </cell>
          <cell r="M235" t="str">
            <v>UNID.</v>
          </cell>
          <cell r="N235" t="str">
            <v>CISTERNA</v>
          </cell>
          <cell r="O235">
            <v>0</v>
          </cell>
          <cell r="P235" t="str">
            <v>M3</v>
          </cell>
          <cell r="Q235" t="str">
            <v>J1</v>
          </cell>
          <cell r="R235" t="str">
            <v>J1</v>
          </cell>
          <cell r="S235" t="str">
            <v>ENTREGADO</v>
          </cell>
          <cell r="T235">
            <v>42680</v>
          </cell>
          <cell r="U235" t="str">
            <v>GARCIA PASQUEL  JOSE LUIS</v>
          </cell>
          <cell r="V235" t="str">
            <v>FLOREZ CONDORI  JOSE WILLIANS</v>
          </cell>
        </row>
        <row r="236">
          <cell r="A236">
            <v>216</v>
          </cell>
          <cell r="B236">
            <v>42680</v>
          </cell>
          <cell r="C236" t="str">
            <v>NOVIEMBRE</v>
          </cell>
          <cell r="D236" t="str">
            <v>2016</v>
          </cell>
          <cell r="E236">
            <v>206</v>
          </cell>
          <cell r="F236" t="str">
            <v>D3P-744</v>
          </cell>
          <cell r="G236" t="str">
            <v>A0F-996</v>
          </cell>
          <cell r="H236" t="str">
            <v>LAS BAMBAS</v>
          </cell>
          <cell r="I236">
            <v>150468</v>
          </cell>
          <cell r="J236" t="str">
            <v>REPUESTO</v>
          </cell>
          <cell r="K236" t="str">
            <v>PERNO 1/4X1" CON TUERCA SEGURO</v>
          </cell>
          <cell r="L236">
            <v>4</v>
          </cell>
          <cell r="M236" t="str">
            <v>UNID.</v>
          </cell>
          <cell r="N236" t="str">
            <v>TRACTO</v>
          </cell>
          <cell r="O236">
            <v>0</v>
          </cell>
          <cell r="P236" t="str">
            <v>M1</v>
          </cell>
          <cell r="Q236" t="str">
            <v>J1</v>
          </cell>
          <cell r="R236" t="str">
            <v>J1</v>
          </cell>
          <cell r="S236" t="str">
            <v>ENTREGADO</v>
          </cell>
          <cell r="T236">
            <v>42680</v>
          </cell>
          <cell r="U236" t="str">
            <v>CABEZAS SANCHEZ JEAN JHONATAN</v>
          </cell>
          <cell r="V236" t="str">
            <v>FLOREZ CONDORI  JOSE WILLIANS</v>
          </cell>
        </row>
        <row r="237">
          <cell r="A237">
            <v>197</v>
          </cell>
          <cell r="B237">
            <v>42680</v>
          </cell>
          <cell r="C237" t="str">
            <v>NOVIEMBRE</v>
          </cell>
          <cell r="D237" t="str">
            <v>2016</v>
          </cell>
          <cell r="E237">
            <v>237</v>
          </cell>
          <cell r="F237" t="str">
            <v>D6G-806</v>
          </cell>
          <cell r="G237" t="str">
            <v>B8K-998</v>
          </cell>
          <cell r="H237" t="str">
            <v>LAS BAMBAS</v>
          </cell>
          <cell r="I237">
            <v>214141</v>
          </cell>
          <cell r="J237" t="str">
            <v>REPUESTO</v>
          </cell>
          <cell r="K237" t="str">
            <v>AGUA LIMPIAPARABRIZAS</v>
          </cell>
          <cell r="L237">
            <v>1</v>
          </cell>
          <cell r="M237" t="str">
            <v>GLNS.</v>
          </cell>
          <cell r="N237" t="str">
            <v>TRACTO</v>
          </cell>
          <cell r="O237">
            <v>0</v>
          </cell>
          <cell r="P237" t="str">
            <v>E1</v>
          </cell>
          <cell r="Q237" t="str">
            <v>J1</v>
          </cell>
          <cell r="R237" t="str">
            <v>J1</v>
          </cell>
          <cell r="S237" t="str">
            <v>ENTREGADO</v>
          </cell>
          <cell r="T237">
            <v>42680</v>
          </cell>
          <cell r="U237" t="str">
            <v>PALOMINO CARDENAS JUAN CARLOS</v>
          </cell>
          <cell r="V237" t="str">
            <v>FLOREZ CONDORI  JOSE WILLIANS</v>
          </cell>
        </row>
        <row r="238">
          <cell r="A238">
            <v>217</v>
          </cell>
          <cell r="B238">
            <v>42680</v>
          </cell>
          <cell r="C238" t="str">
            <v>NOVIEMBRE</v>
          </cell>
          <cell r="D238" t="str">
            <v>2016</v>
          </cell>
          <cell r="E238">
            <v>237</v>
          </cell>
          <cell r="F238" t="str">
            <v>D6G-806</v>
          </cell>
          <cell r="G238" t="str">
            <v>B8K-998</v>
          </cell>
          <cell r="H238" t="str">
            <v>LAS BAMBAS</v>
          </cell>
          <cell r="I238">
            <v>214141</v>
          </cell>
          <cell r="J238" t="str">
            <v>REPUESTO</v>
          </cell>
          <cell r="K238" t="str">
            <v>CABLE ELECTRICO AUTOMOTRIZ 7 PINES (TRACTO - CARRETA)</v>
          </cell>
          <cell r="L238">
            <v>1</v>
          </cell>
          <cell r="M238" t="str">
            <v>UNID.</v>
          </cell>
          <cell r="N238" t="str">
            <v>TRACTO</v>
          </cell>
          <cell r="O238">
            <v>1</v>
          </cell>
          <cell r="P238" t="str">
            <v>E1</v>
          </cell>
          <cell r="Q238" t="str">
            <v>J1</v>
          </cell>
          <cell r="R238" t="str">
            <v>J1</v>
          </cell>
          <cell r="S238" t="str">
            <v>ENTREGADO</v>
          </cell>
          <cell r="T238">
            <v>42681</v>
          </cell>
          <cell r="U238" t="str">
            <v>PALOMINO CARDENAS JUAN CARLOS</v>
          </cell>
          <cell r="V238" t="str">
            <v>FLOREZ CONDORI  JOSE WILLIANS</v>
          </cell>
        </row>
        <row r="239">
          <cell r="A239">
            <v>200</v>
          </cell>
          <cell r="B239">
            <v>42680</v>
          </cell>
          <cell r="C239" t="str">
            <v>NOVIEMBRE</v>
          </cell>
          <cell r="D239" t="str">
            <v>2016</v>
          </cell>
          <cell r="E239">
            <v>200</v>
          </cell>
          <cell r="F239" t="str">
            <v>TALLER</v>
          </cell>
          <cell r="G239" t="str">
            <v>TALLER</v>
          </cell>
          <cell r="H239" t="str">
            <v>TALLER</v>
          </cell>
          <cell r="I239" t="str">
            <v>TALLER</v>
          </cell>
          <cell r="J239" t="str">
            <v>INSUMO TALLER</v>
          </cell>
          <cell r="K239" t="str">
            <v>TIZA DE CALDERO</v>
          </cell>
          <cell r="L239">
            <v>1</v>
          </cell>
          <cell r="M239" t="str">
            <v>UNID.</v>
          </cell>
          <cell r="N239" t="str">
            <v>TALLER</v>
          </cell>
          <cell r="O239">
            <v>0</v>
          </cell>
          <cell r="P239" t="str">
            <v>S1</v>
          </cell>
          <cell r="Q239" t="str">
            <v>J1</v>
          </cell>
          <cell r="R239" t="str">
            <v>J1</v>
          </cell>
          <cell r="S239" t="str">
            <v>ENTREGADO</v>
          </cell>
          <cell r="T239">
            <v>42680</v>
          </cell>
          <cell r="U239" t="str">
            <v>BAYONA CRUZ CRISTIAN ARMANDO</v>
          </cell>
          <cell r="V239" t="str">
            <v>FLOREZ CONDORI  JOSE WILLIANS</v>
          </cell>
        </row>
        <row r="240">
          <cell r="A240">
            <v>211</v>
          </cell>
          <cell r="B240">
            <v>42680</v>
          </cell>
          <cell r="C240" t="str">
            <v>NOVIEMBRE</v>
          </cell>
          <cell r="D240" t="str">
            <v>2016</v>
          </cell>
          <cell r="E240">
            <v>205</v>
          </cell>
          <cell r="F240" t="str">
            <v>X2W-765</v>
          </cell>
          <cell r="G240" t="str">
            <v>C5V-993</v>
          </cell>
          <cell r="H240" t="str">
            <v>LAS BAMBAS</v>
          </cell>
          <cell r="I240">
            <v>154850</v>
          </cell>
          <cell r="J240" t="str">
            <v>REPUESTO</v>
          </cell>
          <cell r="K240" t="str">
            <v>FARO LED LATERAL OVALADOS AMBAR</v>
          </cell>
          <cell r="L240">
            <v>6</v>
          </cell>
          <cell r="M240" t="str">
            <v>UNID.</v>
          </cell>
          <cell r="N240" t="str">
            <v>CISTERNA</v>
          </cell>
          <cell r="O240">
            <v>0</v>
          </cell>
          <cell r="P240" t="str">
            <v>E1</v>
          </cell>
          <cell r="Q240" t="str">
            <v>J1</v>
          </cell>
          <cell r="R240" t="str">
            <v>J1</v>
          </cell>
          <cell r="S240" t="str">
            <v>ENTREGADO</v>
          </cell>
          <cell r="T240">
            <v>42680</v>
          </cell>
          <cell r="U240" t="str">
            <v>PALOMINO CARDENAS JUAN CARLOS</v>
          </cell>
          <cell r="V240" t="str">
            <v>FLOREZ CONDORI  JOSE WILLIANS</v>
          </cell>
        </row>
        <row r="241">
          <cell r="A241">
            <v>212</v>
          </cell>
          <cell r="B241">
            <v>42680</v>
          </cell>
          <cell r="C241" t="str">
            <v>NOVIEMBRE</v>
          </cell>
          <cell r="D241" t="str">
            <v>2016</v>
          </cell>
          <cell r="E241">
            <v>205</v>
          </cell>
          <cell r="F241" t="str">
            <v>X2W-765</v>
          </cell>
          <cell r="G241" t="str">
            <v>C5V-993</v>
          </cell>
          <cell r="H241" t="str">
            <v>LAS BAMBAS</v>
          </cell>
          <cell r="I241">
            <v>154850</v>
          </cell>
          <cell r="J241" t="str">
            <v>REPUESTO</v>
          </cell>
          <cell r="K241" t="str">
            <v>MANGUERA CORRUGADO 1/4</v>
          </cell>
          <cell r="L241">
            <v>12</v>
          </cell>
          <cell r="M241" t="str">
            <v>M</v>
          </cell>
          <cell r="N241" t="str">
            <v>CISTERNA</v>
          </cell>
          <cell r="O241">
            <v>0</v>
          </cell>
          <cell r="P241" t="str">
            <v>E1</v>
          </cell>
          <cell r="Q241" t="str">
            <v>J1</v>
          </cell>
          <cell r="R241" t="str">
            <v>J1</v>
          </cell>
          <cell r="S241" t="str">
            <v>ENTREGADO</v>
          </cell>
          <cell r="T241">
            <v>42680</v>
          </cell>
          <cell r="U241" t="str">
            <v>PALOMINO CARDENAS JUAN CARLOS</v>
          </cell>
          <cell r="V241" t="str">
            <v>FLOREZ CONDORI  JOSE WILLIANS</v>
          </cell>
        </row>
        <row r="242">
          <cell r="A242">
            <v>213</v>
          </cell>
          <cell r="B242">
            <v>42680</v>
          </cell>
          <cell r="C242" t="str">
            <v>NOVIEMBRE</v>
          </cell>
          <cell r="D242" t="str">
            <v>2016</v>
          </cell>
          <cell r="E242">
            <v>205</v>
          </cell>
          <cell r="F242" t="str">
            <v>X2W-765</v>
          </cell>
          <cell r="G242" t="str">
            <v>C5V-993</v>
          </cell>
          <cell r="H242" t="str">
            <v>LAS BAMBAS</v>
          </cell>
          <cell r="I242">
            <v>154850</v>
          </cell>
          <cell r="J242" t="str">
            <v>REPUESTO</v>
          </cell>
          <cell r="K242" t="str">
            <v>CABLE Nro. 14</v>
          </cell>
          <cell r="L242">
            <v>12</v>
          </cell>
          <cell r="M242" t="str">
            <v>M</v>
          </cell>
          <cell r="N242" t="str">
            <v>CISTERNA</v>
          </cell>
          <cell r="O242">
            <v>0</v>
          </cell>
          <cell r="P242" t="str">
            <v>E1</v>
          </cell>
          <cell r="Q242" t="str">
            <v>J1</v>
          </cell>
          <cell r="R242" t="str">
            <v>J1</v>
          </cell>
          <cell r="S242" t="str">
            <v>ENTREGADO</v>
          </cell>
          <cell r="T242">
            <v>42680</v>
          </cell>
          <cell r="U242" t="str">
            <v>PALOMINO CARDENAS JUAN CARLOS</v>
          </cell>
          <cell r="V242" t="str">
            <v>FLOREZ CONDORI  JOSE WILLIANS</v>
          </cell>
        </row>
        <row r="243">
          <cell r="A243">
            <v>235</v>
          </cell>
          <cell r="B243">
            <v>42681</v>
          </cell>
          <cell r="C243" t="str">
            <v>NOVIEMBRE</v>
          </cell>
          <cell r="D243" t="str">
            <v>2016</v>
          </cell>
          <cell r="E243">
            <v>245</v>
          </cell>
          <cell r="F243" t="str">
            <v>A5O-859</v>
          </cell>
          <cell r="G243" t="str">
            <v>B6Y-971</v>
          </cell>
          <cell r="H243" t="str">
            <v>LAS BAMBAS</v>
          </cell>
          <cell r="I243">
            <v>114089</v>
          </cell>
          <cell r="J243" t="str">
            <v>REPUESTO</v>
          </cell>
          <cell r="K243" t="str">
            <v>FOCO LAGRIMON AMBAR 12 V</v>
          </cell>
          <cell r="L243">
            <v>1</v>
          </cell>
          <cell r="M243" t="str">
            <v>UNID.</v>
          </cell>
          <cell r="N243" t="str">
            <v>TRACTO</v>
          </cell>
          <cell r="O243">
            <v>0</v>
          </cell>
          <cell r="P243" t="str">
            <v>E2</v>
          </cell>
          <cell r="Q243" t="str">
            <v>J2</v>
          </cell>
          <cell r="R243" t="str">
            <v>J6</v>
          </cell>
          <cell r="S243" t="str">
            <v>ENTREGADO</v>
          </cell>
          <cell r="T243">
            <v>42681</v>
          </cell>
          <cell r="U243" t="str">
            <v>YUCA BELLIDO BORIS YERSY</v>
          </cell>
          <cell r="V243" t="str">
            <v>CORIHUAMAN SURCO  ERICK ROBERT</v>
          </cell>
        </row>
        <row r="244">
          <cell r="A244">
            <v>236</v>
          </cell>
          <cell r="B244">
            <v>42681</v>
          </cell>
          <cell r="C244" t="str">
            <v>NOVIEMBRE</v>
          </cell>
          <cell r="D244" t="str">
            <v>2016</v>
          </cell>
          <cell r="E244">
            <v>245</v>
          </cell>
          <cell r="F244" t="str">
            <v>A5O-859</v>
          </cell>
          <cell r="G244" t="str">
            <v>B6Y-971</v>
          </cell>
          <cell r="H244" t="str">
            <v>LAS BAMBAS</v>
          </cell>
          <cell r="I244">
            <v>114089</v>
          </cell>
          <cell r="J244" t="str">
            <v>REPUESTO</v>
          </cell>
          <cell r="K244" t="str">
            <v>FOCO DE DOBLE CONTACTO 12 V</v>
          </cell>
          <cell r="L244">
            <v>1</v>
          </cell>
          <cell r="M244" t="str">
            <v>UNID.</v>
          </cell>
          <cell r="N244" t="str">
            <v>TRACTO</v>
          </cell>
          <cell r="O244">
            <v>0</v>
          </cell>
          <cell r="P244" t="str">
            <v>E2</v>
          </cell>
          <cell r="Q244" t="str">
            <v>J2</v>
          </cell>
          <cell r="R244" t="str">
            <v>J6</v>
          </cell>
          <cell r="S244" t="str">
            <v>ENTREGADO</v>
          </cell>
          <cell r="T244">
            <v>42681</v>
          </cell>
          <cell r="U244" t="str">
            <v>YUCA BELLIDO BORIS YERSY</v>
          </cell>
          <cell r="V244" t="str">
            <v>CORIHUAMAN SURCO  ERICK ROBERT</v>
          </cell>
        </row>
        <row r="245">
          <cell r="A245">
            <v>240</v>
          </cell>
          <cell r="B245">
            <v>42681</v>
          </cell>
          <cell r="C245" t="str">
            <v>NOVIEMBRE</v>
          </cell>
          <cell r="D245" t="str">
            <v>2016</v>
          </cell>
          <cell r="E245">
            <v>245</v>
          </cell>
          <cell r="F245" t="str">
            <v>A5O-859</v>
          </cell>
          <cell r="G245" t="str">
            <v>B6Y-971</v>
          </cell>
          <cell r="H245" t="str">
            <v>LAS BAMBAS</v>
          </cell>
          <cell r="I245">
            <v>114089</v>
          </cell>
          <cell r="J245" t="str">
            <v>REPUESTO</v>
          </cell>
          <cell r="K245" t="str">
            <v>FAJA DE ALTERNADOR</v>
          </cell>
          <cell r="L245">
            <v>1</v>
          </cell>
          <cell r="M245" t="str">
            <v>UNID.</v>
          </cell>
          <cell r="N245" t="str">
            <v>TRACTO</v>
          </cell>
          <cell r="O245">
            <v>109</v>
          </cell>
          <cell r="P245" t="str">
            <v>M3</v>
          </cell>
          <cell r="Q245" t="str">
            <v>J2</v>
          </cell>
          <cell r="R245" t="str">
            <v>J6</v>
          </cell>
          <cell r="S245" t="str">
            <v>ENTREGADO</v>
          </cell>
          <cell r="T245">
            <v>0</v>
          </cell>
          <cell r="U245" t="str">
            <v>GARCIA PASQUEL  JOSE LUIS</v>
          </cell>
          <cell r="V245" t="str">
            <v>CORIHUAMAN SURCO  ERICK ROBERT</v>
          </cell>
        </row>
        <row r="246">
          <cell r="A246">
            <v>255</v>
          </cell>
          <cell r="B246">
            <v>42681</v>
          </cell>
          <cell r="C246" t="str">
            <v>NOVIEMBRE</v>
          </cell>
          <cell r="D246" t="str">
            <v>2016</v>
          </cell>
          <cell r="E246">
            <v>245</v>
          </cell>
          <cell r="F246" t="str">
            <v>A5O-859</v>
          </cell>
          <cell r="G246" t="str">
            <v>B6Y-971</v>
          </cell>
          <cell r="H246" t="str">
            <v>LAS BAMBAS</v>
          </cell>
          <cell r="I246">
            <v>114089</v>
          </cell>
          <cell r="J246" t="str">
            <v>SERVICIO</v>
          </cell>
          <cell r="K246" t="str">
            <v>SOLDADODE TANQUE DE SERVICIO</v>
          </cell>
          <cell r="L246">
            <v>1</v>
          </cell>
          <cell r="M246" t="str">
            <v>UNID.</v>
          </cell>
          <cell r="N246" t="str">
            <v>CISTERNA</v>
          </cell>
          <cell r="O246">
            <v>1</v>
          </cell>
          <cell r="P246" t="str">
            <v>M3</v>
          </cell>
          <cell r="Q246" t="str">
            <v>J2</v>
          </cell>
          <cell r="R246" t="str">
            <v>J6</v>
          </cell>
          <cell r="S246" t="str">
            <v>ENTREGADO</v>
          </cell>
          <cell r="T246">
            <v>42682</v>
          </cell>
          <cell r="U246" t="str">
            <v>GARCIA PASQUEL  JOSE LUIS</v>
          </cell>
          <cell r="V246" t="str">
            <v>CORIHUAMAN SURCO  ERICK ROBERT</v>
          </cell>
        </row>
        <row r="247">
          <cell r="A247">
            <v>256</v>
          </cell>
          <cell r="B247">
            <v>42681</v>
          </cell>
          <cell r="C247" t="str">
            <v>NOVIEMBRE</v>
          </cell>
          <cell r="D247" t="str">
            <v>2016</v>
          </cell>
          <cell r="E247">
            <v>245</v>
          </cell>
          <cell r="F247" t="str">
            <v>A5O-859</v>
          </cell>
          <cell r="G247" t="str">
            <v>B6Y-971</v>
          </cell>
          <cell r="H247" t="str">
            <v>LAS BAMBAS</v>
          </cell>
          <cell r="I247">
            <v>114089</v>
          </cell>
          <cell r="J247" t="str">
            <v>SERVICIO</v>
          </cell>
          <cell r="K247" t="str">
            <v>SOLDADO DE VARILLA</v>
          </cell>
          <cell r="L247">
            <v>1</v>
          </cell>
          <cell r="M247" t="str">
            <v>UNID.</v>
          </cell>
          <cell r="N247" t="str">
            <v>CISTERNA</v>
          </cell>
          <cell r="O247">
            <v>1</v>
          </cell>
          <cell r="P247" t="str">
            <v>M3</v>
          </cell>
          <cell r="Q247" t="str">
            <v>J2</v>
          </cell>
          <cell r="R247" t="str">
            <v>J6</v>
          </cell>
          <cell r="S247" t="str">
            <v>ENTREGADO</v>
          </cell>
          <cell r="T247">
            <v>42682</v>
          </cell>
          <cell r="U247" t="str">
            <v>GARCIA PASQUEL  JOSE LUIS</v>
          </cell>
          <cell r="V247" t="str">
            <v>CORIHUAMAN SURCO  ERICK ROBERT</v>
          </cell>
        </row>
        <row r="248">
          <cell r="A248">
            <v>275</v>
          </cell>
          <cell r="B248">
            <v>42681</v>
          </cell>
          <cell r="C248" t="str">
            <v>NOVIEMBRE</v>
          </cell>
          <cell r="D248" t="str">
            <v>2016</v>
          </cell>
          <cell r="E248">
            <v>245</v>
          </cell>
          <cell r="F248" t="str">
            <v>A5O-859</v>
          </cell>
          <cell r="G248" t="str">
            <v>B6Y-971</v>
          </cell>
          <cell r="H248" t="str">
            <v>LAS BAMBAS</v>
          </cell>
          <cell r="I248">
            <v>114089</v>
          </cell>
          <cell r="J248" t="str">
            <v>REPUESTO</v>
          </cell>
          <cell r="K248" t="str">
            <v>VALVULA DE NIVELACION DE BOLSA DE CABINA</v>
          </cell>
          <cell r="L248">
            <v>1</v>
          </cell>
          <cell r="M248" t="str">
            <v>UNID.</v>
          </cell>
          <cell r="N248" t="str">
            <v>TRACTO</v>
          </cell>
          <cell r="O248">
            <v>0</v>
          </cell>
          <cell r="P248" t="str">
            <v>M3</v>
          </cell>
          <cell r="Q248" t="str">
            <v>J2</v>
          </cell>
          <cell r="R248" t="str">
            <v>J6</v>
          </cell>
          <cell r="S248" t="str">
            <v>ENTREGADO</v>
          </cell>
          <cell r="T248">
            <v>42681</v>
          </cell>
          <cell r="U248" t="str">
            <v>GARCIA PASQUEL  JOSE LUIS</v>
          </cell>
          <cell r="V248" t="str">
            <v>CORIHUAMAN SURCO  ERICK ROBERT</v>
          </cell>
        </row>
        <row r="249">
          <cell r="A249">
            <v>276</v>
          </cell>
          <cell r="B249">
            <v>42681</v>
          </cell>
          <cell r="C249" t="str">
            <v>NOVIEMBRE</v>
          </cell>
          <cell r="D249" t="str">
            <v>2016</v>
          </cell>
          <cell r="E249">
            <v>245</v>
          </cell>
          <cell r="F249" t="str">
            <v>A5O-859</v>
          </cell>
          <cell r="G249" t="str">
            <v>B6Y-971</v>
          </cell>
          <cell r="H249" t="str">
            <v>LAS BAMBAS</v>
          </cell>
          <cell r="I249">
            <v>114089</v>
          </cell>
          <cell r="J249" t="str">
            <v>REPUESTO</v>
          </cell>
          <cell r="K249" t="str">
            <v>UNIONES 1/4</v>
          </cell>
          <cell r="L249">
            <v>2</v>
          </cell>
          <cell r="M249" t="str">
            <v>UNID.</v>
          </cell>
          <cell r="N249" t="str">
            <v>TRACTO</v>
          </cell>
          <cell r="O249">
            <v>0</v>
          </cell>
          <cell r="P249" t="str">
            <v>M3</v>
          </cell>
          <cell r="Q249" t="str">
            <v>J2</v>
          </cell>
          <cell r="R249" t="str">
            <v>J6</v>
          </cell>
          <cell r="S249" t="str">
            <v>ENTREGADO</v>
          </cell>
          <cell r="T249">
            <v>42681</v>
          </cell>
          <cell r="U249" t="str">
            <v>GARCIA PASQUEL  JOSE LUIS</v>
          </cell>
          <cell r="V249" t="str">
            <v>CORIHUAMAN SURCO  ERICK ROBERT</v>
          </cell>
        </row>
        <row r="250">
          <cell r="A250">
            <v>277</v>
          </cell>
          <cell r="B250">
            <v>42681</v>
          </cell>
          <cell r="C250" t="str">
            <v>NOVIEMBRE</v>
          </cell>
          <cell r="D250" t="str">
            <v>2016</v>
          </cell>
          <cell r="E250">
            <v>245</v>
          </cell>
          <cell r="F250" t="str">
            <v>A5O-859</v>
          </cell>
          <cell r="G250" t="str">
            <v>B6Y-971</v>
          </cell>
          <cell r="H250" t="str">
            <v>LAS BAMBAS</v>
          </cell>
          <cell r="I250">
            <v>114089</v>
          </cell>
          <cell r="J250" t="str">
            <v>REPUESTO</v>
          </cell>
          <cell r="K250" t="str">
            <v>MANGUERA DE AIRE 1/4</v>
          </cell>
          <cell r="L250">
            <v>0.3</v>
          </cell>
          <cell r="M250" t="str">
            <v>M</v>
          </cell>
          <cell r="N250" t="str">
            <v>TRACTO</v>
          </cell>
          <cell r="O250">
            <v>0</v>
          </cell>
          <cell r="P250" t="str">
            <v>M3</v>
          </cell>
          <cell r="Q250" t="str">
            <v>J2</v>
          </cell>
          <cell r="R250" t="str">
            <v>J6</v>
          </cell>
          <cell r="S250" t="str">
            <v>ENTREGADO</v>
          </cell>
          <cell r="T250">
            <v>42681</v>
          </cell>
          <cell r="U250" t="str">
            <v>GARCIA PASQUEL  JOSE LUIS</v>
          </cell>
          <cell r="V250" t="str">
            <v>CORIHUAMAN SURCO  ERICK ROBERT</v>
          </cell>
        </row>
        <row r="251">
          <cell r="A251">
            <v>287</v>
          </cell>
          <cell r="B251">
            <v>42681</v>
          </cell>
          <cell r="C251" t="str">
            <v>NOVIEMBRE</v>
          </cell>
          <cell r="D251" t="str">
            <v>2016</v>
          </cell>
          <cell r="E251">
            <v>245</v>
          </cell>
          <cell r="F251" t="str">
            <v>A5O-859</v>
          </cell>
          <cell r="G251" t="str">
            <v>B6Y-971</v>
          </cell>
          <cell r="H251" t="str">
            <v>LAS BAMBAS</v>
          </cell>
          <cell r="I251">
            <v>114089</v>
          </cell>
          <cell r="J251" t="str">
            <v>REPUESTO</v>
          </cell>
          <cell r="K251" t="str">
            <v>TAPABARRO DE PLASTICO</v>
          </cell>
          <cell r="L251">
            <v>1</v>
          </cell>
          <cell r="M251" t="str">
            <v>UNID.</v>
          </cell>
          <cell r="N251" t="str">
            <v>CISTERNA</v>
          </cell>
          <cell r="O251">
            <v>0</v>
          </cell>
          <cell r="P251" t="str">
            <v>M2</v>
          </cell>
          <cell r="Q251" t="str">
            <v>J2</v>
          </cell>
          <cell r="R251" t="str">
            <v>J6</v>
          </cell>
          <cell r="S251" t="str">
            <v>ENTREGADO</v>
          </cell>
          <cell r="T251">
            <v>42681</v>
          </cell>
          <cell r="U251" t="str">
            <v>CHUMPITAZ GAGO JULIO ENRIQUE</v>
          </cell>
          <cell r="V251" t="str">
            <v>CORIHUAMAN SURCO  ERICK ROBERT</v>
          </cell>
        </row>
        <row r="252">
          <cell r="A252">
            <v>288</v>
          </cell>
          <cell r="B252">
            <v>42681</v>
          </cell>
          <cell r="C252" t="str">
            <v>NOVIEMBRE</v>
          </cell>
          <cell r="D252" t="str">
            <v>2016</v>
          </cell>
          <cell r="E252">
            <v>245</v>
          </cell>
          <cell r="F252" t="str">
            <v>A5O-859</v>
          </cell>
          <cell r="G252" t="str">
            <v>B6Y-971</v>
          </cell>
          <cell r="H252" t="str">
            <v>LAS BAMBAS</v>
          </cell>
          <cell r="I252">
            <v>114089</v>
          </cell>
          <cell r="J252" t="str">
            <v>REPUESTO</v>
          </cell>
          <cell r="K252" t="str">
            <v>CONO DE 1/4</v>
          </cell>
          <cell r="L252">
            <v>1</v>
          </cell>
          <cell r="M252" t="str">
            <v>UNID.</v>
          </cell>
          <cell r="N252" t="str">
            <v>TRACTO</v>
          </cell>
          <cell r="O252">
            <v>0</v>
          </cell>
          <cell r="P252" t="str">
            <v>M3</v>
          </cell>
          <cell r="Q252" t="str">
            <v>J2</v>
          </cell>
          <cell r="R252" t="str">
            <v>J6</v>
          </cell>
          <cell r="S252" t="str">
            <v>ENTREGADO</v>
          </cell>
          <cell r="T252">
            <v>42681</v>
          </cell>
          <cell r="U252" t="str">
            <v>GARCIA PASQUEL  JOSE LUIS</v>
          </cell>
          <cell r="V252" t="str">
            <v>CORIHUAMAN SURCO  ERICK ROBERT</v>
          </cell>
        </row>
        <row r="253">
          <cell r="A253">
            <v>261</v>
          </cell>
          <cell r="B253">
            <v>42681</v>
          </cell>
          <cell r="C253" t="str">
            <v>NOVIEMBRE</v>
          </cell>
          <cell r="D253" t="str">
            <v>2016</v>
          </cell>
          <cell r="E253">
            <v>249</v>
          </cell>
          <cell r="F253" t="str">
            <v>A9H-889</v>
          </cell>
          <cell r="G253" t="str">
            <v>CAMION</v>
          </cell>
          <cell r="H253" t="str">
            <v>TAMBOMAYO</v>
          </cell>
          <cell r="I253">
            <v>120312</v>
          </cell>
          <cell r="J253" t="str">
            <v>REPUESTO</v>
          </cell>
          <cell r="K253" t="str">
            <v>PLUMILLAS DE LIMPIA PARABRISA</v>
          </cell>
          <cell r="L253">
            <v>2</v>
          </cell>
          <cell r="M253" t="str">
            <v>UNID.</v>
          </cell>
          <cell r="N253" t="str">
            <v>TRACTO</v>
          </cell>
          <cell r="O253">
            <v>0</v>
          </cell>
          <cell r="P253" t="str">
            <v>M4</v>
          </cell>
          <cell r="Q253" t="str">
            <v>J2</v>
          </cell>
          <cell r="R253" t="str">
            <v>J6</v>
          </cell>
          <cell r="S253" t="str">
            <v>ENTREGADO</v>
          </cell>
          <cell r="T253">
            <v>42681</v>
          </cell>
          <cell r="U253" t="str">
            <v>JULLIRI APAZA UBALDO</v>
          </cell>
          <cell r="V253" t="str">
            <v>CORIHUAMAN SURCO  ERICK ROBERT</v>
          </cell>
        </row>
        <row r="254">
          <cell r="A254">
            <v>262</v>
          </cell>
          <cell r="B254">
            <v>42681</v>
          </cell>
          <cell r="C254" t="str">
            <v>NOVIEMBRE</v>
          </cell>
          <cell r="D254" t="str">
            <v>2016</v>
          </cell>
          <cell r="E254">
            <v>249</v>
          </cell>
          <cell r="F254" t="str">
            <v>A9H-889</v>
          </cell>
          <cell r="G254" t="str">
            <v>CAMION</v>
          </cell>
          <cell r="H254" t="str">
            <v>TAMBOMAYO</v>
          </cell>
          <cell r="I254">
            <v>120312</v>
          </cell>
          <cell r="J254" t="str">
            <v>REPUESTO</v>
          </cell>
          <cell r="K254" t="str">
            <v>ACEITE MOTOR 15W-40</v>
          </cell>
          <cell r="L254">
            <v>1.25</v>
          </cell>
          <cell r="M254" t="str">
            <v>GLNS.</v>
          </cell>
          <cell r="N254" t="str">
            <v>TRACTO</v>
          </cell>
          <cell r="O254">
            <v>0</v>
          </cell>
          <cell r="P254" t="str">
            <v>M4</v>
          </cell>
          <cell r="Q254" t="str">
            <v>J2</v>
          </cell>
          <cell r="R254" t="str">
            <v>J6</v>
          </cell>
          <cell r="S254" t="str">
            <v>ENTREGADO</v>
          </cell>
          <cell r="T254">
            <v>42681</v>
          </cell>
          <cell r="U254" t="str">
            <v>JULLIRI APAZA UBALDO</v>
          </cell>
          <cell r="V254" t="str">
            <v>CORIHUAMAN SURCO  ERICK ROBERT</v>
          </cell>
        </row>
        <row r="255">
          <cell r="A255">
            <v>263</v>
          </cell>
          <cell r="B255">
            <v>42681</v>
          </cell>
          <cell r="C255" t="str">
            <v>NOVIEMBRE</v>
          </cell>
          <cell r="D255" t="str">
            <v>2016</v>
          </cell>
          <cell r="E255">
            <v>249</v>
          </cell>
          <cell r="F255" t="str">
            <v>A9H-889</v>
          </cell>
          <cell r="G255" t="str">
            <v>CAMION</v>
          </cell>
          <cell r="H255" t="str">
            <v>TAMBOMAYO</v>
          </cell>
          <cell r="I255">
            <v>120312</v>
          </cell>
          <cell r="J255" t="str">
            <v>REPUESTO</v>
          </cell>
          <cell r="K255" t="str">
            <v>REFRIGERANTE</v>
          </cell>
          <cell r="L255">
            <v>1</v>
          </cell>
          <cell r="M255" t="str">
            <v>GLNS.</v>
          </cell>
          <cell r="N255" t="str">
            <v>TRACTO</v>
          </cell>
          <cell r="O255">
            <v>0</v>
          </cell>
          <cell r="P255" t="str">
            <v>M4</v>
          </cell>
          <cell r="Q255" t="str">
            <v>J2</v>
          </cell>
          <cell r="R255" t="str">
            <v>J6</v>
          </cell>
          <cell r="S255" t="str">
            <v>ENTREGADO</v>
          </cell>
          <cell r="T255">
            <v>42681</v>
          </cell>
          <cell r="U255" t="str">
            <v>JULLIRI APAZA UBALDO</v>
          </cell>
          <cell r="V255" t="str">
            <v>CORIHUAMAN SURCO  ERICK ROBERT</v>
          </cell>
        </row>
        <row r="256">
          <cell r="A256">
            <v>273</v>
          </cell>
          <cell r="B256">
            <v>42681</v>
          </cell>
          <cell r="C256" t="str">
            <v>NOVIEMBRE</v>
          </cell>
          <cell r="D256" t="str">
            <v>2016</v>
          </cell>
          <cell r="E256">
            <v>249</v>
          </cell>
          <cell r="F256" t="str">
            <v>A9H-889</v>
          </cell>
          <cell r="G256" t="str">
            <v>CAMION</v>
          </cell>
          <cell r="H256" t="str">
            <v>TAMBOMAYO</v>
          </cell>
          <cell r="I256">
            <v>120312</v>
          </cell>
          <cell r="J256" t="str">
            <v>INSUMO TALLER</v>
          </cell>
          <cell r="K256" t="str">
            <v>PARCHE RACK 10</v>
          </cell>
          <cell r="L256">
            <v>1</v>
          </cell>
          <cell r="M256" t="str">
            <v>UNID.</v>
          </cell>
          <cell r="N256" t="str">
            <v>TRACTO</v>
          </cell>
          <cell r="O256">
            <v>0</v>
          </cell>
          <cell r="P256" t="str">
            <v>N1</v>
          </cell>
          <cell r="Q256" t="str">
            <v>J2</v>
          </cell>
          <cell r="R256" t="str">
            <v>J6</v>
          </cell>
          <cell r="S256" t="str">
            <v>ENTREGADO</v>
          </cell>
          <cell r="T256">
            <v>42681</v>
          </cell>
          <cell r="U256" t="str">
            <v>AGUILAR CCANTUTA WILLY</v>
          </cell>
          <cell r="V256" t="str">
            <v>CORIHUAMAN SURCO  ERICK ROBERT</v>
          </cell>
        </row>
        <row r="257">
          <cell r="A257">
            <v>274</v>
          </cell>
          <cell r="B257">
            <v>42681</v>
          </cell>
          <cell r="C257" t="str">
            <v>NOVIEMBRE</v>
          </cell>
          <cell r="D257" t="str">
            <v>2016</v>
          </cell>
          <cell r="E257">
            <v>249</v>
          </cell>
          <cell r="F257" t="str">
            <v>A9H-889</v>
          </cell>
          <cell r="G257" t="str">
            <v>CAMION</v>
          </cell>
          <cell r="H257" t="str">
            <v>TAMBOMAYO</v>
          </cell>
          <cell r="I257">
            <v>120312</v>
          </cell>
          <cell r="J257" t="str">
            <v>INSUMO TALLER</v>
          </cell>
          <cell r="K257" t="str">
            <v>PARCHE RACK 12</v>
          </cell>
          <cell r="L257">
            <v>1</v>
          </cell>
          <cell r="M257" t="str">
            <v>UNID.</v>
          </cell>
          <cell r="N257" t="str">
            <v>TRACTO</v>
          </cell>
          <cell r="O257">
            <v>0</v>
          </cell>
          <cell r="P257" t="str">
            <v>N1</v>
          </cell>
          <cell r="Q257" t="str">
            <v>J2</v>
          </cell>
          <cell r="R257" t="str">
            <v>J6</v>
          </cell>
          <cell r="S257" t="str">
            <v>ENTREGADO</v>
          </cell>
          <cell r="T257">
            <v>42681</v>
          </cell>
          <cell r="U257" t="str">
            <v>AGUILAR CCANTUTA WILLY</v>
          </cell>
          <cell r="V257" t="str">
            <v>CORIHUAMAN SURCO  ERICK ROBERT</v>
          </cell>
        </row>
        <row r="258">
          <cell r="A258">
            <v>232</v>
          </cell>
          <cell r="B258">
            <v>42681</v>
          </cell>
          <cell r="C258" t="str">
            <v>NOVIEMBRE</v>
          </cell>
          <cell r="D258" t="str">
            <v>2016</v>
          </cell>
          <cell r="E258">
            <v>246</v>
          </cell>
          <cell r="F258" t="str">
            <v>ABR-759</v>
          </cell>
          <cell r="G258" t="str">
            <v>D0Z-995</v>
          </cell>
          <cell r="H258" t="str">
            <v>LAS BAMBAS</v>
          </cell>
          <cell r="I258">
            <v>106428</v>
          </cell>
          <cell r="J258" t="str">
            <v>REPUESTO</v>
          </cell>
          <cell r="K258" t="str">
            <v>BISAGRAS 3/8 X 4</v>
          </cell>
          <cell r="L258">
            <v>2</v>
          </cell>
          <cell r="M258" t="str">
            <v>UNID.</v>
          </cell>
          <cell r="N258" t="str">
            <v>CISTERNA</v>
          </cell>
          <cell r="O258">
            <v>1</v>
          </cell>
          <cell r="P258" t="str">
            <v>S1</v>
          </cell>
          <cell r="Q258" t="str">
            <v>J2</v>
          </cell>
          <cell r="R258" t="str">
            <v>J6</v>
          </cell>
          <cell r="S258" t="str">
            <v>ENTREGADO</v>
          </cell>
          <cell r="T258">
            <v>42682</v>
          </cell>
          <cell r="U258" t="str">
            <v>BAYONA CRUZ CRISTIAN ARMANDO</v>
          </cell>
          <cell r="V258" t="str">
            <v>CORIHUAMAN SURCO  ERICK ROBERT</v>
          </cell>
        </row>
        <row r="259">
          <cell r="A259">
            <v>233</v>
          </cell>
          <cell r="B259">
            <v>42681</v>
          </cell>
          <cell r="C259" t="str">
            <v>NOVIEMBRE</v>
          </cell>
          <cell r="D259" t="str">
            <v>2016</v>
          </cell>
          <cell r="E259">
            <v>246</v>
          </cell>
          <cell r="F259" t="str">
            <v>ABR-759</v>
          </cell>
          <cell r="G259" t="str">
            <v>D0Z-995</v>
          </cell>
          <cell r="H259" t="str">
            <v>LAS BAMBAS</v>
          </cell>
          <cell r="I259">
            <v>106428</v>
          </cell>
          <cell r="J259" t="str">
            <v>REPUESTO</v>
          </cell>
          <cell r="K259" t="str">
            <v>CELLOCORD 1/8</v>
          </cell>
          <cell r="L259">
            <v>1</v>
          </cell>
          <cell r="M259" t="str">
            <v>KG.</v>
          </cell>
          <cell r="N259" t="str">
            <v>CISTERNA</v>
          </cell>
          <cell r="O259">
            <v>0</v>
          </cell>
          <cell r="P259" t="str">
            <v>S1</v>
          </cell>
          <cell r="Q259" t="str">
            <v>J2</v>
          </cell>
          <cell r="R259" t="str">
            <v>J6</v>
          </cell>
          <cell r="S259" t="str">
            <v>ENTREGADO</v>
          </cell>
          <cell r="T259">
            <v>42681</v>
          </cell>
          <cell r="U259" t="str">
            <v>BAYONA CRUZ CRISTIAN ARMANDO</v>
          </cell>
          <cell r="V259" t="str">
            <v>CORIHUAMAN SURCO  ERICK ROBERT</v>
          </cell>
        </row>
        <row r="260">
          <cell r="A260">
            <v>234</v>
          </cell>
          <cell r="B260">
            <v>42681</v>
          </cell>
          <cell r="C260" t="str">
            <v>NOVIEMBRE</v>
          </cell>
          <cell r="D260" t="str">
            <v>2016</v>
          </cell>
          <cell r="E260">
            <v>246</v>
          </cell>
          <cell r="F260" t="str">
            <v>ABR-759</v>
          </cell>
          <cell r="G260" t="str">
            <v>D0Z-995</v>
          </cell>
          <cell r="H260" t="str">
            <v>LAS BAMBAS</v>
          </cell>
          <cell r="I260">
            <v>106428</v>
          </cell>
          <cell r="J260" t="str">
            <v>REPUESTO</v>
          </cell>
          <cell r="K260" t="str">
            <v>TUERCAS 9/16</v>
          </cell>
          <cell r="L260">
            <v>2</v>
          </cell>
          <cell r="M260" t="str">
            <v>UNID.</v>
          </cell>
          <cell r="N260" t="str">
            <v>CISTERNA</v>
          </cell>
          <cell r="O260">
            <v>0</v>
          </cell>
          <cell r="P260" t="str">
            <v>S1</v>
          </cell>
          <cell r="Q260" t="str">
            <v>J2</v>
          </cell>
          <cell r="R260" t="str">
            <v>J6</v>
          </cell>
          <cell r="S260" t="str">
            <v>ENTREGADO</v>
          </cell>
          <cell r="T260">
            <v>42681</v>
          </cell>
          <cell r="U260" t="str">
            <v>BAYONA CRUZ CRISTIAN ARMANDO</v>
          </cell>
          <cell r="V260" t="str">
            <v>CORIHUAMAN SURCO  ERICK ROBERT</v>
          </cell>
        </row>
        <row r="261">
          <cell r="A261">
            <v>238</v>
          </cell>
          <cell r="B261">
            <v>42681</v>
          </cell>
          <cell r="C261" t="str">
            <v>NOVIEMBRE</v>
          </cell>
          <cell r="D261" t="str">
            <v>2016</v>
          </cell>
          <cell r="E261">
            <v>246</v>
          </cell>
          <cell r="F261" t="str">
            <v>ABR-759</v>
          </cell>
          <cell r="G261" t="str">
            <v>D0Z-995</v>
          </cell>
          <cell r="H261" t="str">
            <v>LAS BAMBAS</v>
          </cell>
          <cell r="I261">
            <v>106428</v>
          </cell>
          <cell r="J261" t="str">
            <v>UNIFORMES</v>
          </cell>
          <cell r="K261" t="str">
            <v>TAIVEX</v>
          </cell>
          <cell r="L261">
            <v>2</v>
          </cell>
          <cell r="M261" t="str">
            <v>UNID.</v>
          </cell>
          <cell r="N261" t="str">
            <v>TALLER</v>
          </cell>
          <cell r="O261">
            <v>0</v>
          </cell>
          <cell r="P261" t="str">
            <v>N1</v>
          </cell>
          <cell r="Q261" t="str">
            <v>J3</v>
          </cell>
          <cell r="R261" t="str">
            <v>J6</v>
          </cell>
          <cell r="S261" t="str">
            <v>ENTREGADO</v>
          </cell>
          <cell r="T261">
            <v>42681</v>
          </cell>
          <cell r="U261" t="str">
            <v>AGUILAR CCANTUTA WILLY</v>
          </cell>
          <cell r="V261" t="str">
            <v>CHURA PIZARRO ALBERTO</v>
          </cell>
        </row>
        <row r="262">
          <cell r="A262">
            <v>246</v>
          </cell>
          <cell r="B262">
            <v>42681</v>
          </cell>
          <cell r="C262" t="str">
            <v>NOVIEMBRE</v>
          </cell>
          <cell r="D262" t="str">
            <v>2016</v>
          </cell>
          <cell r="E262">
            <v>246</v>
          </cell>
          <cell r="F262" t="str">
            <v>ABR-759</v>
          </cell>
          <cell r="G262" t="str">
            <v>D0Z-995</v>
          </cell>
          <cell r="H262" t="str">
            <v>LAS BAMBAS</v>
          </cell>
          <cell r="I262">
            <v>106428</v>
          </cell>
          <cell r="J262" t="str">
            <v>INSUMO TALLER</v>
          </cell>
          <cell r="K262" t="str">
            <v>SPRAY COLOR VERDE</v>
          </cell>
          <cell r="L262">
            <v>1</v>
          </cell>
          <cell r="M262" t="str">
            <v>UNID.</v>
          </cell>
          <cell r="N262" t="str">
            <v>CISTERNA</v>
          </cell>
          <cell r="O262">
            <v>0</v>
          </cell>
          <cell r="P262" t="str">
            <v>S1</v>
          </cell>
          <cell r="Q262" t="str">
            <v>J2</v>
          </cell>
          <cell r="R262" t="str">
            <v>J6</v>
          </cell>
          <cell r="S262" t="str">
            <v>ENTREGADO</v>
          </cell>
          <cell r="T262">
            <v>42681</v>
          </cell>
          <cell r="U262" t="str">
            <v>BAYONA CRUZ CRISTIAN ARMANDO</v>
          </cell>
          <cell r="V262" t="str">
            <v>CORIHUAMAN SURCO  ERICK ROBERT</v>
          </cell>
        </row>
        <row r="263">
          <cell r="A263">
            <v>249</v>
          </cell>
          <cell r="B263">
            <v>42681</v>
          </cell>
          <cell r="C263" t="str">
            <v>NOVIEMBRE</v>
          </cell>
          <cell r="D263" t="str">
            <v>2016</v>
          </cell>
          <cell r="E263">
            <v>246</v>
          </cell>
          <cell r="F263" t="str">
            <v>ABR-759</v>
          </cell>
          <cell r="G263" t="str">
            <v>D0Z-995</v>
          </cell>
          <cell r="H263" t="str">
            <v>LAS BAMBAS</v>
          </cell>
          <cell r="I263">
            <v>106428</v>
          </cell>
          <cell r="J263" t="str">
            <v>REPUESTO</v>
          </cell>
          <cell r="K263" t="str">
            <v>PITONES RECTOS</v>
          </cell>
          <cell r="L263">
            <v>2</v>
          </cell>
          <cell r="M263" t="str">
            <v>UNID.</v>
          </cell>
          <cell r="N263" t="str">
            <v>CISTERNA</v>
          </cell>
          <cell r="O263">
            <v>0</v>
          </cell>
          <cell r="P263" t="str">
            <v>N1</v>
          </cell>
          <cell r="Q263" t="str">
            <v>J1</v>
          </cell>
          <cell r="R263" t="str">
            <v>J6</v>
          </cell>
          <cell r="S263" t="str">
            <v>ENTREGADO</v>
          </cell>
          <cell r="T263">
            <v>42681</v>
          </cell>
          <cell r="U263" t="str">
            <v>AGUILAR CCANTUTA WILLY</v>
          </cell>
          <cell r="V263" t="str">
            <v>FLOREZ CONDORI  JOSE WILLIANS</v>
          </cell>
        </row>
        <row r="264">
          <cell r="A264">
            <v>250</v>
          </cell>
          <cell r="B264">
            <v>42681</v>
          </cell>
          <cell r="C264" t="str">
            <v>NOVIEMBRE</v>
          </cell>
          <cell r="D264" t="str">
            <v>2016</v>
          </cell>
          <cell r="E264">
            <v>246</v>
          </cell>
          <cell r="F264" t="str">
            <v>ABR-759</v>
          </cell>
          <cell r="G264" t="str">
            <v>D0Z-995</v>
          </cell>
          <cell r="H264" t="str">
            <v>LAS BAMBAS</v>
          </cell>
          <cell r="I264">
            <v>106428</v>
          </cell>
          <cell r="J264" t="str">
            <v>REPUESTO</v>
          </cell>
          <cell r="K264" t="str">
            <v>PARCHE RACK 12</v>
          </cell>
          <cell r="L264">
            <v>1</v>
          </cell>
          <cell r="M264" t="str">
            <v>UNID.</v>
          </cell>
          <cell r="N264" t="str">
            <v>CISTERNA</v>
          </cell>
          <cell r="O264">
            <v>0</v>
          </cell>
          <cell r="P264" t="str">
            <v>N1</v>
          </cell>
          <cell r="Q264" t="str">
            <v>J1</v>
          </cell>
          <cell r="R264" t="str">
            <v>J6</v>
          </cell>
          <cell r="S264" t="str">
            <v>ENTREGADO</v>
          </cell>
          <cell r="T264">
            <v>42681</v>
          </cell>
          <cell r="U264" t="str">
            <v>AGUILAR CCANTUTA WILLY</v>
          </cell>
          <cell r="V264" t="str">
            <v>FLOREZ CONDORI  JOSE WILLIANS</v>
          </cell>
        </row>
        <row r="265">
          <cell r="A265">
            <v>251</v>
          </cell>
          <cell r="B265">
            <v>42681</v>
          </cell>
          <cell r="C265" t="str">
            <v>NOVIEMBRE</v>
          </cell>
          <cell r="D265" t="str">
            <v>2016</v>
          </cell>
          <cell r="E265">
            <v>246</v>
          </cell>
          <cell r="F265" t="str">
            <v>ABR-759</v>
          </cell>
          <cell r="G265" t="str">
            <v>D0Z-995</v>
          </cell>
          <cell r="H265" t="str">
            <v>LAS BAMBAS</v>
          </cell>
          <cell r="I265">
            <v>106428</v>
          </cell>
          <cell r="J265" t="str">
            <v>REPUESTO</v>
          </cell>
          <cell r="K265" t="str">
            <v>PITONES CURVOS</v>
          </cell>
          <cell r="L265">
            <v>2</v>
          </cell>
          <cell r="M265" t="str">
            <v>UNID.</v>
          </cell>
          <cell r="N265" t="str">
            <v>CISTERNA</v>
          </cell>
          <cell r="O265">
            <v>1</v>
          </cell>
          <cell r="P265" t="str">
            <v>N1</v>
          </cell>
          <cell r="Q265" t="str">
            <v>J3</v>
          </cell>
          <cell r="R265" t="str">
            <v>J6</v>
          </cell>
          <cell r="S265" t="str">
            <v>ENTREGADO</v>
          </cell>
          <cell r="T265">
            <v>42682</v>
          </cell>
          <cell r="U265" t="str">
            <v>AGUILAR CCANTUTA WILLY</v>
          </cell>
          <cell r="V265" t="str">
            <v>CHURA PIZARRO ALBERTO</v>
          </cell>
        </row>
        <row r="266">
          <cell r="A266">
            <v>268</v>
          </cell>
          <cell r="B266">
            <v>42681</v>
          </cell>
          <cell r="C266" t="str">
            <v>NOVIEMBRE</v>
          </cell>
          <cell r="D266" t="str">
            <v>2016</v>
          </cell>
          <cell r="E266">
            <v>246</v>
          </cell>
          <cell r="F266" t="str">
            <v>ABR-759</v>
          </cell>
          <cell r="G266" t="str">
            <v>D0Z-995</v>
          </cell>
          <cell r="H266" t="str">
            <v>LAS BAMBAS</v>
          </cell>
          <cell r="I266">
            <v>106428</v>
          </cell>
          <cell r="J266" t="str">
            <v>REPUESTO</v>
          </cell>
          <cell r="K266" t="str">
            <v>CABLE Nro. 14</v>
          </cell>
          <cell r="L266">
            <v>5</v>
          </cell>
          <cell r="M266" t="str">
            <v>M</v>
          </cell>
          <cell r="N266" t="str">
            <v>TRACTO</v>
          </cell>
          <cell r="O266">
            <v>0</v>
          </cell>
          <cell r="P266" t="str">
            <v>E2</v>
          </cell>
          <cell r="Q266" t="str">
            <v>J2</v>
          </cell>
          <cell r="R266" t="str">
            <v>J6</v>
          </cell>
          <cell r="S266" t="str">
            <v>ENTREGADO</v>
          </cell>
          <cell r="T266">
            <v>42681</v>
          </cell>
          <cell r="U266" t="str">
            <v>YUCA BELLIDO BORIS YERSY</v>
          </cell>
          <cell r="V266" t="str">
            <v>CORIHUAMAN SURCO  ERICK ROBERT</v>
          </cell>
        </row>
        <row r="267">
          <cell r="A267">
            <v>237</v>
          </cell>
          <cell r="B267">
            <v>42681</v>
          </cell>
          <cell r="C267" t="str">
            <v>NOVIEMBRE</v>
          </cell>
          <cell r="D267" t="str">
            <v>2016</v>
          </cell>
          <cell r="E267">
            <v>246</v>
          </cell>
          <cell r="F267" t="str">
            <v>ABR-759</v>
          </cell>
          <cell r="G267" t="str">
            <v>D0Z-995</v>
          </cell>
          <cell r="H267" t="str">
            <v>LAS BAMBAS</v>
          </cell>
          <cell r="I267">
            <v>106428</v>
          </cell>
          <cell r="J267" t="str">
            <v>REPUESTO</v>
          </cell>
          <cell r="K267" t="str">
            <v>LLANTAS IDY DE TRACCION</v>
          </cell>
          <cell r="L267">
            <v>4</v>
          </cell>
          <cell r="M267" t="str">
            <v>UNID.</v>
          </cell>
          <cell r="N267" t="str">
            <v>TRACTO</v>
          </cell>
          <cell r="O267">
            <v>0</v>
          </cell>
          <cell r="P267" t="str">
            <v>N1</v>
          </cell>
          <cell r="Q267" t="str">
            <v>J3</v>
          </cell>
          <cell r="R267" t="str">
            <v>J6</v>
          </cell>
          <cell r="S267" t="str">
            <v>ENTREGADO</v>
          </cell>
          <cell r="T267">
            <v>42681</v>
          </cell>
          <cell r="U267" t="str">
            <v>AGUILAR CCANTUTA WILLY</v>
          </cell>
          <cell r="V267" t="str">
            <v>CHURA PIZARRO ALBERTO</v>
          </cell>
        </row>
        <row r="268">
          <cell r="A268">
            <v>242</v>
          </cell>
          <cell r="B268">
            <v>42681</v>
          </cell>
          <cell r="C268" t="str">
            <v>NOVIEMBRE</v>
          </cell>
          <cell r="D268" t="str">
            <v>2016</v>
          </cell>
          <cell r="E268">
            <v>247</v>
          </cell>
          <cell r="F268" t="str">
            <v>ABR-796</v>
          </cell>
          <cell r="G268" t="str">
            <v>C9S-994</v>
          </cell>
          <cell r="H268" t="str">
            <v>LAS BAMBAS</v>
          </cell>
          <cell r="I268">
            <v>105792</v>
          </cell>
          <cell r="J268" t="str">
            <v>REPUESTO</v>
          </cell>
          <cell r="K268" t="str">
            <v>MATACHISPA</v>
          </cell>
          <cell r="L268">
            <v>1</v>
          </cell>
          <cell r="M268" t="str">
            <v>UNID.</v>
          </cell>
          <cell r="N268" t="str">
            <v>TRACTO</v>
          </cell>
          <cell r="O268">
            <v>1</v>
          </cell>
          <cell r="P268" t="str">
            <v>M1</v>
          </cell>
          <cell r="Q268" t="str">
            <v>J2</v>
          </cell>
          <cell r="R268" t="str">
            <v>J6</v>
          </cell>
          <cell r="S268" t="str">
            <v>ENTREGADO</v>
          </cell>
          <cell r="T268">
            <v>42682</v>
          </cell>
          <cell r="U268" t="str">
            <v>CABEZAS SANCHEZ JEAN JHONATAN</v>
          </cell>
          <cell r="V268" t="str">
            <v>CORIHUAMAN SURCO  ERICK ROBERT</v>
          </cell>
        </row>
        <row r="269">
          <cell r="A269">
            <v>241</v>
          </cell>
          <cell r="B269">
            <v>42681</v>
          </cell>
          <cell r="C269" t="str">
            <v>NOVIEMBRE</v>
          </cell>
          <cell r="D269" t="str">
            <v>2016</v>
          </cell>
          <cell r="E269">
            <v>250</v>
          </cell>
          <cell r="F269" t="str">
            <v>AKX-767</v>
          </cell>
          <cell r="G269" t="str">
            <v>TCR-993</v>
          </cell>
          <cell r="H269" t="str">
            <v>LAS BAMBAS CONC.</v>
          </cell>
          <cell r="I269">
            <v>1549.2</v>
          </cell>
          <cell r="J269" t="str">
            <v>MATERIALES</v>
          </cell>
          <cell r="K269" t="str">
            <v>VARILLA DE SOLDADURA INOX</v>
          </cell>
          <cell r="L269">
            <v>1</v>
          </cell>
          <cell r="M269" t="str">
            <v>UNID.</v>
          </cell>
          <cell r="N269" t="str">
            <v>TRACTO</v>
          </cell>
          <cell r="O269">
            <v>0</v>
          </cell>
          <cell r="P269" t="str">
            <v>M1</v>
          </cell>
          <cell r="Q269" t="str">
            <v>J2</v>
          </cell>
          <cell r="R269" t="str">
            <v>J6</v>
          </cell>
          <cell r="S269" t="str">
            <v>ENTREGADO</v>
          </cell>
          <cell r="T269">
            <v>42681</v>
          </cell>
          <cell r="U269" t="str">
            <v>CABEZAS SANCHEZ JEAN JHONATAN</v>
          </cell>
          <cell r="V269" t="str">
            <v>CORIHUAMAN SURCO  ERICK ROBERT</v>
          </cell>
        </row>
        <row r="270">
          <cell r="A270">
            <v>269</v>
          </cell>
          <cell r="B270">
            <v>42681</v>
          </cell>
          <cell r="C270" t="str">
            <v>NOVIEMBRE</v>
          </cell>
          <cell r="D270" t="str">
            <v>2016</v>
          </cell>
          <cell r="E270">
            <v>209</v>
          </cell>
          <cell r="F270" t="str">
            <v>AKX-805</v>
          </cell>
          <cell r="G270" t="str">
            <v>F5Z-985</v>
          </cell>
          <cell r="H270" t="str">
            <v>LAS BAMBAS</v>
          </cell>
          <cell r="I270">
            <v>31856</v>
          </cell>
          <cell r="J270" t="str">
            <v>INSUMO TALLER</v>
          </cell>
          <cell r="K270" t="str">
            <v>CELLOCORD 1/8</v>
          </cell>
          <cell r="L270">
            <v>1</v>
          </cell>
          <cell r="M270" t="str">
            <v>KG.</v>
          </cell>
          <cell r="N270" t="str">
            <v>CISTERNA</v>
          </cell>
          <cell r="O270">
            <v>0</v>
          </cell>
          <cell r="P270" t="str">
            <v>S1</v>
          </cell>
          <cell r="Q270" t="str">
            <v>J2</v>
          </cell>
          <cell r="R270" t="str">
            <v>J6</v>
          </cell>
          <cell r="S270" t="str">
            <v>ENTREGADO</v>
          </cell>
          <cell r="T270">
            <v>42681</v>
          </cell>
          <cell r="U270" t="str">
            <v>BAYONA CRUZ CRISTIAN ARMANDO</v>
          </cell>
          <cell r="V270" t="str">
            <v>CORIHUAMAN SURCO  ERICK ROBERT</v>
          </cell>
        </row>
        <row r="271">
          <cell r="A271">
            <v>270</v>
          </cell>
          <cell r="B271">
            <v>42681</v>
          </cell>
          <cell r="C271" t="str">
            <v>NOVIEMBRE</v>
          </cell>
          <cell r="D271" t="str">
            <v>2016</v>
          </cell>
          <cell r="E271">
            <v>209</v>
          </cell>
          <cell r="F271" t="str">
            <v>AKX-805</v>
          </cell>
          <cell r="G271" t="str">
            <v>F5Z-985</v>
          </cell>
          <cell r="H271" t="str">
            <v>LAS BAMBAS</v>
          </cell>
          <cell r="I271">
            <v>31856</v>
          </cell>
          <cell r="J271" t="str">
            <v>INSUMO TALLER</v>
          </cell>
          <cell r="K271" t="str">
            <v>SUPERCITO 5/32</v>
          </cell>
          <cell r="L271">
            <v>2</v>
          </cell>
          <cell r="M271" t="str">
            <v>KG.</v>
          </cell>
          <cell r="N271" t="str">
            <v>CISTERNA</v>
          </cell>
          <cell r="O271">
            <v>0</v>
          </cell>
          <cell r="P271" t="str">
            <v>S1</v>
          </cell>
          <cell r="Q271" t="str">
            <v>J2</v>
          </cell>
          <cell r="R271" t="str">
            <v>J6</v>
          </cell>
          <cell r="S271" t="str">
            <v>ENTREGADO</v>
          </cell>
          <cell r="T271">
            <v>42681</v>
          </cell>
          <cell r="U271" t="str">
            <v>BAYONA CRUZ CRISTIAN ARMANDO</v>
          </cell>
          <cell r="V271" t="str">
            <v>CORIHUAMAN SURCO  ERICK ROBERT</v>
          </cell>
        </row>
        <row r="272">
          <cell r="A272">
            <v>239</v>
          </cell>
          <cell r="B272">
            <v>42681</v>
          </cell>
          <cell r="C272" t="str">
            <v>NOVIEMBRE</v>
          </cell>
          <cell r="D272" t="str">
            <v>2016</v>
          </cell>
          <cell r="E272">
            <v>244</v>
          </cell>
          <cell r="F272" t="str">
            <v>C6X-739</v>
          </cell>
          <cell r="G272" t="str">
            <v>TCS-988</v>
          </cell>
          <cell r="H272" t="str">
            <v>LAS BAMBAS CONC.</v>
          </cell>
          <cell r="I272">
            <v>223438</v>
          </cell>
          <cell r="J272" t="str">
            <v>MATERIALES</v>
          </cell>
          <cell r="K272" t="str">
            <v>VARILLA DE SOLDADURA INOX</v>
          </cell>
          <cell r="L272">
            <v>1</v>
          </cell>
          <cell r="M272" t="str">
            <v>UNID.</v>
          </cell>
          <cell r="N272" t="str">
            <v>TRACTO</v>
          </cell>
          <cell r="O272">
            <v>0</v>
          </cell>
          <cell r="P272" t="str">
            <v>M2</v>
          </cell>
          <cell r="Q272" t="str">
            <v>J2</v>
          </cell>
          <cell r="R272" t="str">
            <v>J6</v>
          </cell>
          <cell r="S272" t="str">
            <v>ENTREGADO</v>
          </cell>
          <cell r="T272">
            <v>42681</v>
          </cell>
          <cell r="U272" t="str">
            <v>CHUMPITAZ GAGO JULIO ENRIQUE</v>
          </cell>
          <cell r="V272" t="str">
            <v>CORIHUAMAN SURCO  ERICK ROBERT</v>
          </cell>
        </row>
        <row r="273">
          <cell r="A273">
            <v>247</v>
          </cell>
          <cell r="B273">
            <v>42681</v>
          </cell>
          <cell r="C273" t="str">
            <v>NOVIEMBRE</v>
          </cell>
          <cell r="D273" t="str">
            <v>2016</v>
          </cell>
          <cell r="E273">
            <v>244</v>
          </cell>
          <cell r="F273" t="str">
            <v>C6X-739</v>
          </cell>
          <cell r="G273" t="str">
            <v>TCS-988</v>
          </cell>
          <cell r="H273" t="str">
            <v>LAS BAMBAS CONC.</v>
          </cell>
          <cell r="I273">
            <v>223438</v>
          </cell>
          <cell r="J273" t="str">
            <v>REPUESTO</v>
          </cell>
          <cell r="K273" t="str">
            <v>DISCO DE TORNAMESA</v>
          </cell>
          <cell r="L273">
            <v>1</v>
          </cell>
          <cell r="M273" t="str">
            <v>UNID.</v>
          </cell>
          <cell r="N273" t="str">
            <v>TRACTO</v>
          </cell>
          <cell r="O273">
            <v>0</v>
          </cell>
          <cell r="P273" t="str">
            <v>M2</v>
          </cell>
          <cell r="Q273" t="str">
            <v>J2</v>
          </cell>
          <cell r="R273" t="str">
            <v>J6</v>
          </cell>
          <cell r="S273" t="str">
            <v>ENTREGADO</v>
          </cell>
          <cell r="T273">
            <v>42681</v>
          </cell>
          <cell r="U273" t="str">
            <v>CHUMPITAZ GAGO JULIO ENRIQUE</v>
          </cell>
          <cell r="V273" t="str">
            <v>CORIHUAMAN SURCO  ERICK ROBERT</v>
          </cell>
        </row>
        <row r="274">
          <cell r="A274">
            <v>248</v>
          </cell>
          <cell r="B274">
            <v>42681</v>
          </cell>
          <cell r="C274" t="str">
            <v>NOVIEMBRE</v>
          </cell>
          <cell r="D274" t="str">
            <v>2016</v>
          </cell>
          <cell r="E274">
            <v>244</v>
          </cell>
          <cell r="F274" t="str">
            <v>C6X-739</v>
          </cell>
          <cell r="G274" t="str">
            <v>TCS-988</v>
          </cell>
          <cell r="H274" t="str">
            <v>LAS BAMBAS CONC.</v>
          </cell>
          <cell r="I274">
            <v>223438</v>
          </cell>
          <cell r="J274" t="str">
            <v>REPUESTO</v>
          </cell>
          <cell r="K274" t="str">
            <v>SEGURO DE DISCO DE TORNAMESA</v>
          </cell>
          <cell r="L274">
            <v>1</v>
          </cell>
          <cell r="M274" t="str">
            <v>UNID.</v>
          </cell>
          <cell r="N274" t="str">
            <v>TRACTO</v>
          </cell>
          <cell r="O274">
            <v>0</v>
          </cell>
          <cell r="P274" t="str">
            <v>M2</v>
          </cell>
          <cell r="Q274" t="str">
            <v>J2</v>
          </cell>
          <cell r="R274" t="str">
            <v>J6</v>
          </cell>
          <cell r="S274" t="str">
            <v>ENTREGADO</v>
          </cell>
          <cell r="T274">
            <v>42681</v>
          </cell>
          <cell r="U274" t="str">
            <v>CHUMPITAZ GAGO JULIO ENRIQUE</v>
          </cell>
          <cell r="V274" t="str">
            <v>CORIHUAMAN SURCO  ERICK ROBERT</v>
          </cell>
        </row>
        <row r="275">
          <cell r="A275">
            <v>271</v>
          </cell>
          <cell r="B275">
            <v>42681</v>
          </cell>
          <cell r="C275" t="str">
            <v>NOVIEMBRE</v>
          </cell>
          <cell r="D275" t="str">
            <v>2016</v>
          </cell>
          <cell r="E275">
            <v>234</v>
          </cell>
          <cell r="F275" t="str">
            <v>D3O-745</v>
          </cell>
          <cell r="G275" t="str">
            <v>F3L-979</v>
          </cell>
          <cell r="H275" t="str">
            <v>LAS BAMBAS</v>
          </cell>
          <cell r="I275">
            <v>154039</v>
          </cell>
          <cell r="J275" t="str">
            <v>REPUESTO</v>
          </cell>
          <cell r="K275" t="str">
            <v>REFRIGERANTE</v>
          </cell>
          <cell r="L275">
            <v>0.5</v>
          </cell>
          <cell r="M275" t="str">
            <v>GLNS.</v>
          </cell>
          <cell r="N275" t="str">
            <v>TRACTO</v>
          </cell>
          <cell r="O275">
            <v>0</v>
          </cell>
          <cell r="P275" t="str">
            <v>M3</v>
          </cell>
          <cell r="Q275" t="str">
            <v>J2</v>
          </cell>
          <cell r="R275" t="str">
            <v>J6</v>
          </cell>
          <cell r="S275" t="str">
            <v>ENTREGADO</v>
          </cell>
          <cell r="T275">
            <v>42681</v>
          </cell>
          <cell r="U275" t="str">
            <v>GARCIA PASQUEL  JOSE LUIS</v>
          </cell>
          <cell r="V275" t="str">
            <v>CORIHUAMAN SURCO  ERICK ROBERT</v>
          </cell>
        </row>
        <row r="276">
          <cell r="A276">
            <v>272</v>
          </cell>
          <cell r="B276">
            <v>42681</v>
          </cell>
          <cell r="C276" t="str">
            <v>NOVIEMBRE</v>
          </cell>
          <cell r="D276" t="str">
            <v>2016</v>
          </cell>
          <cell r="E276">
            <v>234</v>
          </cell>
          <cell r="F276" t="str">
            <v>D3O-745</v>
          </cell>
          <cell r="G276" t="str">
            <v>F3L-979</v>
          </cell>
          <cell r="H276" t="str">
            <v>LAS BAMBAS</v>
          </cell>
          <cell r="I276">
            <v>154039</v>
          </cell>
          <cell r="J276" t="str">
            <v>REPUESTO</v>
          </cell>
          <cell r="K276" t="str">
            <v>ABRAZADERA</v>
          </cell>
          <cell r="L276">
            <v>1</v>
          </cell>
          <cell r="M276" t="str">
            <v>UNID.</v>
          </cell>
          <cell r="N276" t="str">
            <v>TRACTO</v>
          </cell>
          <cell r="O276">
            <v>0</v>
          </cell>
          <cell r="P276" t="str">
            <v>M3</v>
          </cell>
          <cell r="Q276" t="str">
            <v>J2</v>
          </cell>
          <cell r="R276" t="str">
            <v>J6</v>
          </cell>
          <cell r="S276" t="str">
            <v>ENTREGADO</v>
          </cell>
          <cell r="T276">
            <v>42681</v>
          </cell>
          <cell r="U276" t="str">
            <v>GARCIA PASQUEL  JOSE LUIS</v>
          </cell>
          <cell r="V276" t="str">
            <v>CORIHUAMAN SURCO  ERICK ROBERT</v>
          </cell>
        </row>
        <row r="277">
          <cell r="A277">
            <v>282</v>
          </cell>
          <cell r="B277">
            <v>42681</v>
          </cell>
          <cell r="C277" t="str">
            <v>NOVIEMBRE</v>
          </cell>
          <cell r="D277" t="str">
            <v>2016</v>
          </cell>
          <cell r="E277">
            <v>207</v>
          </cell>
          <cell r="F277" t="str">
            <v>D3P-746</v>
          </cell>
          <cell r="G277" t="str">
            <v>C0T-974</v>
          </cell>
          <cell r="H277" t="str">
            <v>LAS BAMBAS</v>
          </cell>
          <cell r="I277">
            <v>128937</v>
          </cell>
          <cell r="J277" t="str">
            <v>REPUESTO</v>
          </cell>
          <cell r="K277" t="str">
            <v>TURBO COMPRESOR (REPARADO)</v>
          </cell>
          <cell r="L277">
            <v>1</v>
          </cell>
          <cell r="M277" t="str">
            <v>UNID.</v>
          </cell>
          <cell r="N277" t="str">
            <v>TRACTO</v>
          </cell>
          <cell r="O277">
            <v>0</v>
          </cell>
          <cell r="P277" t="str">
            <v>M8</v>
          </cell>
          <cell r="Q277" t="str">
            <v>J2</v>
          </cell>
          <cell r="R277" t="str">
            <v>J6</v>
          </cell>
          <cell r="S277" t="str">
            <v>ENTREGADO</v>
          </cell>
          <cell r="T277">
            <v>42681</v>
          </cell>
          <cell r="U277" t="str">
            <v>VARILLAS GAGO  OSCAR ALBERTO</v>
          </cell>
          <cell r="V277" t="str">
            <v>CORIHUAMAN SURCO  ERICK ROBERT</v>
          </cell>
        </row>
        <row r="278">
          <cell r="A278">
            <v>283</v>
          </cell>
          <cell r="B278">
            <v>42681</v>
          </cell>
          <cell r="C278" t="str">
            <v>NOVIEMBRE</v>
          </cell>
          <cell r="D278" t="str">
            <v>2016</v>
          </cell>
          <cell r="E278">
            <v>207</v>
          </cell>
          <cell r="F278" t="str">
            <v>D3P-746</v>
          </cell>
          <cell r="G278" t="str">
            <v>C0T-974</v>
          </cell>
          <cell r="H278" t="str">
            <v>LAS BAMBAS</v>
          </cell>
          <cell r="I278">
            <v>128937</v>
          </cell>
          <cell r="J278" t="str">
            <v>REPUESTO</v>
          </cell>
          <cell r="K278" t="str">
            <v>ESPARRAGOS M 10 X 35 MM</v>
          </cell>
          <cell r="L278">
            <v>2</v>
          </cell>
          <cell r="M278" t="str">
            <v>UNID.</v>
          </cell>
          <cell r="N278" t="str">
            <v>TRACTO</v>
          </cell>
          <cell r="O278">
            <v>0</v>
          </cell>
          <cell r="P278" t="str">
            <v>M8</v>
          </cell>
          <cell r="Q278" t="str">
            <v>J2</v>
          </cell>
          <cell r="R278" t="str">
            <v>J6</v>
          </cell>
          <cell r="S278" t="str">
            <v>ENTREGADO</v>
          </cell>
          <cell r="T278">
            <v>42681</v>
          </cell>
          <cell r="U278" t="str">
            <v>VARILLAS GAGO  OSCAR ALBERTO</v>
          </cell>
          <cell r="V278" t="str">
            <v>CORIHUAMAN SURCO  ERICK ROBERT</v>
          </cell>
        </row>
        <row r="279">
          <cell r="A279">
            <v>284</v>
          </cell>
          <cell r="B279">
            <v>42681</v>
          </cell>
          <cell r="C279" t="str">
            <v>NOVIEMBRE</v>
          </cell>
          <cell r="D279" t="str">
            <v>2016</v>
          </cell>
          <cell r="E279">
            <v>207</v>
          </cell>
          <cell r="F279" t="str">
            <v>D3P-746</v>
          </cell>
          <cell r="G279" t="str">
            <v>C0T-974</v>
          </cell>
          <cell r="H279" t="str">
            <v>LAS BAMBAS</v>
          </cell>
          <cell r="I279">
            <v>128937</v>
          </cell>
          <cell r="J279" t="str">
            <v>REPUESTO</v>
          </cell>
          <cell r="K279" t="str">
            <v>TUERCAS M 10</v>
          </cell>
          <cell r="L279">
            <v>4</v>
          </cell>
          <cell r="M279" t="str">
            <v>UNID.</v>
          </cell>
          <cell r="N279" t="str">
            <v>TRACTO</v>
          </cell>
          <cell r="O279">
            <v>0</v>
          </cell>
          <cell r="P279" t="str">
            <v>M8</v>
          </cell>
          <cell r="Q279" t="str">
            <v>J2</v>
          </cell>
          <cell r="R279" t="str">
            <v>J6</v>
          </cell>
          <cell r="S279" t="str">
            <v>ENTREGADO</v>
          </cell>
          <cell r="T279">
            <v>42681</v>
          </cell>
          <cell r="U279" t="str">
            <v>VARILLAS GAGO  OSCAR ALBERTO</v>
          </cell>
          <cell r="V279" t="str">
            <v>CORIHUAMAN SURCO  ERICK ROBERT</v>
          </cell>
        </row>
        <row r="280">
          <cell r="A280">
            <v>285</v>
          </cell>
          <cell r="B280">
            <v>42681</v>
          </cell>
          <cell r="C280" t="str">
            <v>NOVIEMBRE</v>
          </cell>
          <cell r="D280" t="str">
            <v>2016</v>
          </cell>
          <cell r="E280">
            <v>207</v>
          </cell>
          <cell r="F280" t="str">
            <v>D3P-746</v>
          </cell>
          <cell r="G280" t="str">
            <v>C0T-974</v>
          </cell>
          <cell r="H280" t="str">
            <v>LAS BAMBAS</v>
          </cell>
          <cell r="I280">
            <v>128937</v>
          </cell>
          <cell r="J280" t="str">
            <v>INSUMO TALLER</v>
          </cell>
          <cell r="K280" t="str">
            <v>SILICONA GRIS</v>
          </cell>
          <cell r="L280">
            <v>1</v>
          </cell>
          <cell r="M280" t="str">
            <v>UNID.</v>
          </cell>
          <cell r="N280" t="str">
            <v>TRACTO</v>
          </cell>
          <cell r="O280">
            <v>0</v>
          </cell>
          <cell r="P280" t="str">
            <v>M8</v>
          </cell>
          <cell r="Q280" t="str">
            <v>J2</v>
          </cell>
          <cell r="R280" t="str">
            <v>J6</v>
          </cell>
          <cell r="S280" t="str">
            <v>ENTREGADO</v>
          </cell>
          <cell r="T280">
            <v>42681</v>
          </cell>
          <cell r="U280" t="str">
            <v>VARILLAS GAGO  OSCAR ALBERTO</v>
          </cell>
          <cell r="V280" t="str">
            <v>CORIHUAMAN SURCO  ERICK ROBERT</v>
          </cell>
        </row>
        <row r="281">
          <cell r="A281">
            <v>286</v>
          </cell>
          <cell r="B281">
            <v>42681</v>
          </cell>
          <cell r="C281" t="str">
            <v>NOVIEMBRE</v>
          </cell>
          <cell r="D281" t="str">
            <v>2016</v>
          </cell>
          <cell r="E281">
            <v>207</v>
          </cell>
          <cell r="F281" t="str">
            <v>D3P-746</v>
          </cell>
          <cell r="G281" t="str">
            <v>C0T-974</v>
          </cell>
          <cell r="H281" t="str">
            <v>LAS BAMBAS</v>
          </cell>
          <cell r="I281">
            <v>128937</v>
          </cell>
          <cell r="J281" t="str">
            <v>INSUMO TALLER</v>
          </cell>
          <cell r="K281" t="str">
            <v>CINTA TEFLON</v>
          </cell>
          <cell r="L281">
            <v>1</v>
          </cell>
          <cell r="M281" t="str">
            <v>UNID.</v>
          </cell>
          <cell r="N281" t="str">
            <v>TRACTO</v>
          </cell>
          <cell r="O281">
            <v>0</v>
          </cell>
          <cell r="P281" t="str">
            <v>M8</v>
          </cell>
          <cell r="Q281" t="str">
            <v>J2</v>
          </cell>
          <cell r="R281" t="str">
            <v>J6</v>
          </cell>
          <cell r="S281" t="str">
            <v>ENTREGADO</v>
          </cell>
          <cell r="T281">
            <v>42681</v>
          </cell>
          <cell r="U281" t="str">
            <v>VARILLAS GAGO  OSCAR ALBERTO</v>
          </cell>
          <cell r="V281" t="str">
            <v>CORIHUAMAN SURCO  ERICK ROBERT</v>
          </cell>
        </row>
        <row r="282">
          <cell r="A282">
            <v>259</v>
          </cell>
          <cell r="B282">
            <v>42681</v>
          </cell>
          <cell r="C282" t="str">
            <v>NOVIEMBRE</v>
          </cell>
          <cell r="D282" t="str">
            <v>2016</v>
          </cell>
          <cell r="E282">
            <v>252</v>
          </cell>
          <cell r="F282" t="str">
            <v>D3Q-741</v>
          </cell>
          <cell r="G282" t="str">
            <v>D2E-976</v>
          </cell>
          <cell r="H282" t="str">
            <v>LAS BAMBAS</v>
          </cell>
          <cell r="I282">
            <v>160035</v>
          </cell>
          <cell r="J282" t="str">
            <v>REPUESTO</v>
          </cell>
          <cell r="K282" t="str">
            <v>LIQUIDO LIMPIA PARABRISA</v>
          </cell>
          <cell r="L282">
            <v>1</v>
          </cell>
          <cell r="M282" t="str">
            <v>GLNS.</v>
          </cell>
          <cell r="N282" t="str">
            <v>TRACTO</v>
          </cell>
          <cell r="O282">
            <v>0</v>
          </cell>
          <cell r="P282" t="str">
            <v>M6</v>
          </cell>
          <cell r="Q282" t="str">
            <v>J2</v>
          </cell>
          <cell r="R282" t="str">
            <v>J6</v>
          </cell>
          <cell r="S282" t="str">
            <v>ENTREGADO</v>
          </cell>
          <cell r="T282">
            <v>42681</v>
          </cell>
          <cell r="U282" t="str">
            <v>PARI VENTURA  EDSON ORLANDO</v>
          </cell>
          <cell r="V282" t="str">
            <v>CORIHUAMAN SURCO  ERICK ROBERT</v>
          </cell>
        </row>
        <row r="283">
          <cell r="A283">
            <v>245</v>
          </cell>
          <cell r="B283">
            <v>42681</v>
          </cell>
          <cell r="C283" t="str">
            <v>NOVIEMBRE</v>
          </cell>
          <cell r="D283" t="str">
            <v>2016</v>
          </cell>
          <cell r="E283">
            <v>248</v>
          </cell>
          <cell r="F283" t="str">
            <v>D3S-764</v>
          </cell>
          <cell r="G283" t="str">
            <v>TBL-998</v>
          </cell>
          <cell r="H283" t="str">
            <v>LAS BAMBAS</v>
          </cell>
          <cell r="I283">
            <v>121490</v>
          </cell>
          <cell r="J283" t="str">
            <v>REPUESTO</v>
          </cell>
          <cell r="K283" t="str">
            <v>RELAY</v>
          </cell>
          <cell r="L283">
            <v>1</v>
          </cell>
          <cell r="M283" t="str">
            <v>UNID.</v>
          </cell>
          <cell r="N283" t="str">
            <v>TRACTO</v>
          </cell>
          <cell r="O283">
            <v>0</v>
          </cell>
          <cell r="P283" t="str">
            <v>E2</v>
          </cell>
          <cell r="Q283" t="str">
            <v>J2</v>
          </cell>
          <cell r="R283" t="str">
            <v>J6</v>
          </cell>
          <cell r="S283" t="str">
            <v>ENTREGADO</v>
          </cell>
          <cell r="T283">
            <v>42681</v>
          </cell>
          <cell r="U283" t="str">
            <v>YUCA BELLIDO BORIS YERSY</v>
          </cell>
          <cell r="V283" t="str">
            <v>CORIHUAMAN SURCO  ERICK ROBERT</v>
          </cell>
        </row>
        <row r="284">
          <cell r="A284">
            <v>252</v>
          </cell>
          <cell r="B284">
            <v>42681</v>
          </cell>
          <cell r="C284" t="str">
            <v>NOVIEMBRE</v>
          </cell>
          <cell r="D284" t="str">
            <v>2016</v>
          </cell>
          <cell r="E284">
            <v>248</v>
          </cell>
          <cell r="F284" t="str">
            <v>D3S-764</v>
          </cell>
          <cell r="G284" t="str">
            <v>TBL-998</v>
          </cell>
          <cell r="H284" t="str">
            <v>LAS BAMBAS</v>
          </cell>
          <cell r="I284">
            <v>121490</v>
          </cell>
          <cell r="J284" t="str">
            <v>REPUESTO</v>
          </cell>
          <cell r="K284" t="str">
            <v>PERNO 5/16 X 1</v>
          </cell>
          <cell r="L284">
            <v>1</v>
          </cell>
          <cell r="M284" t="str">
            <v>UNID.</v>
          </cell>
          <cell r="N284" t="str">
            <v>TRACTO</v>
          </cell>
          <cell r="O284">
            <v>0</v>
          </cell>
          <cell r="P284" t="str">
            <v>M1</v>
          </cell>
          <cell r="Q284" t="str">
            <v>J2</v>
          </cell>
          <cell r="R284" t="str">
            <v>J6</v>
          </cell>
          <cell r="S284" t="str">
            <v>ENTREGADO</v>
          </cell>
          <cell r="T284">
            <v>42681</v>
          </cell>
          <cell r="U284" t="str">
            <v>CABEZAS SANCHEZ JEAN JHONATAN</v>
          </cell>
          <cell r="V284" t="str">
            <v>CORIHUAMAN SURCO  ERICK ROBERT</v>
          </cell>
        </row>
        <row r="285">
          <cell r="A285">
            <v>253</v>
          </cell>
          <cell r="B285">
            <v>42681</v>
          </cell>
          <cell r="C285" t="str">
            <v>NOVIEMBRE</v>
          </cell>
          <cell r="D285" t="str">
            <v>2016</v>
          </cell>
          <cell r="E285">
            <v>248</v>
          </cell>
          <cell r="F285" t="str">
            <v>D3S-764</v>
          </cell>
          <cell r="G285" t="str">
            <v>TBL-998</v>
          </cell>
          <cell r="H285" t="str">
            <v>LAS BAMBAS</v>
          </cell>
          <cell r="I285">
            <v>121490</v>
          </cell>
          <cell r="J285" t="str">
            <v>REPUESTO</v>
          </cell>
          <cell r="K285" t="str">
            <v>VOLANDA PRESION 5/16</v>
          </cell>
          <cell r="L285">
            <v>1</v>
          </cell>
          <cell r="M285" t="str">
            <v>UNID.</v>
          </cell>
          <cell r="N285" t="str">
            <v>TRACTO</v>
          </cell>
          <cell r="O285">
            <v>109</v>
          </cell>
          <cell r="P285" t="str">
            <v>M1</v>
          </cell>
          <cell r="Q285" t="str">
            <v>J2</v>
          </cell>
          <cell r="R285" t="str">
            <v>J6</v>
          </cell>
          <cell r="S285" t="str">
            <v>ENTREGADO</v>
          </cell>
          <cell r="T285">
            <v>0</v>
          </cell>
          <cell r="U285" t="str">
            <v>CABEZAS SANCHEZ JEAN JHONATAN</v>
          </cell>
          <cell r="V285" t="str">
            <v>CORIHUAMAN SURCO  ERICK ROBERT</v>
          </cell>
        </row>
        <row r="286">
          <cell r="A286">
            <v>254</v>
          </cell>
          <cell r="B286">
            <v>42681</v>
          </cell>
          <cell r="C286" t="str">
            <v>NOVIEMBRE</v>
          </cell>
          <cell r="D286" t="str">
            <v>2016</v>
          </cell>
          <cell r="E286">
            <v>248</v>
          </cell>
          <cell r="F286" t="str">
            <v>D3S-764</v>
          </cell>
          <cell r="G286" t="str">
            <v>TBL-998</v>
          </cell>
          <cell r="H286" t="str">
            <v>LAS BAMBAS</v>
          </cell>
          <cell r="I286">
            <v>121490</v>
          </cell>
          <cell r="J286" t="str">
            <v>REPUESTO</v>
          </cell>
          <cell r="K286" t="str">
            <v>VOLANDA 5/16</v>
          </cell>
          <cell r="L286">
            <v>1</v>
          </cell>
          <cell r="M286" t="str">
            <v>UNID.</v>
          </cell>
          <cell r="N286" t="str">
            <v>TRACTO</v>
          </cell>
          <cell r="O286">
            <v>109</v>
          </cell>
          <cell r="P286" t="str">
            <v>M1</v>
          </cell>
          <cell r="Q286" t="str">
            <v>J2</v>
          </cell>
          <cell r="R286" t="str">
            <v>J6</v>
          </cell>
          <cell r="S286" t="str">
            <v>ENTREGADO</v>
          </cell>
          <cell r="T286">
            <v>0</v>
          </cell>
          <cell r="U286" t="str">
            <v>CABEZAS SANCHEZ JEAN JHONATAN</v>
          </cell>
          <cell r="V286" t="str">
            <v>CORIHUAMAN SURCO  ERICK ROBERT</v>
          </cell>
        </row>
        <row r="287">
          <cell r="A287">
            <v>257</v>
          </cell>
          <cell r="B287">
            <v>42681</v>
          </cell>
          <cell r="C287" t="str">
            <v>NOVIEMBRE</v>
          </cell>
          <cell r="D287" t="str">
            <v>2016</v>
          </cell>
          <cell r="E287">
            <v>213</v>
          </cell>
          <cell r="F287" t="str">
            <v>D4X-872</v>
          </cell>
          <cell r="G287" t="str">
            <v>B4P-976</v>
          </cell>
          <cell r="H287" t="str">
            <v>LAS BAMBAS</v>
          </cell>
          <cell r="I287">
            <v>180560</v>
          </cell>
          <cell r="J287" t="str">
            <v>INSUMO TALLER</v>
          </cell>
          <cell r="K287" t="str">
            <v>CELLOCORD 1/8</v>
          </cell>
          <cell r="L287">
            <v>0.5</v>
          </cell>
          <cell r="M287" t="str">
            <v>KG.</v>
          </cell>
          <cell r="N287" t="str">
            <v>CISTERNA</v>
          </cell>
          <cell r="O287">
            <v>0</v>
          </cell>
          <cell r="P287" t="str">
            <v>S1</v>
          </cell>
          <cell r="Q287" t="str">
            <v>J2</v>
          </cell>
          <cell r="R287" t="str">
            <v>J6</v>
          </cell>
          <cell r="S287" t="str">
            <v>ENTREGADO</v>
          </cell>
          <cell r="T287">
            <v>42681</v>
          </cell>
          <cell r="U287" t="str">
            <v>BAYONA CRUZ CRISTIAN ARMANDO</v>
          </cell>
          <cell r="V287" t="str">
            <v>CORIHUAMAN SURCO  ERICK ROBERT</v>
          </cell>
        </row>
        <row r="288">
          <cell r="A288">
            <v>258</v>
          </cell>
          <cell r="B288">
            <v>42681</v>
          </cell>
          <cell r="C288" t="str">
            <v>NOVIEMBRE</v>
          </cell>
          <cell r="D288" t="str">
            <v>2016</v>
          </cell>
          <cell r="E288">
            <v>213</v>
          </cell>
          <cell r="F288" t="str">
            <v>D4X-872</v>
          </cell>
          <cell r="G288" t="str">
            <v>B4P-976</v>
          </cell>
          <cell r="H288" t="str">
            <v>LAS BAMBAS</v>
          </cell>
          <cell r="I288">
            <v>180560</v>
          </cell>
          <cell r="J288" t="str">
            <v>INSUMO TALLER</v>
          </cell>
          <cell r="K288" t="str">
            <v>SPRAY COLOR BLANCO</v>
          </cell>
          <cell r="L288">
            <v>1</v>
          </cell>
          <cell r="M288" t="str">
            <v>UNID.</v>
          </cell>
          <cell r="N288" t="str">
            <v>CISTERNA</v>
          </cell>
          <cell r="O288">
            <v>0</v>
          </cell>
          <cell r="P288" t="str">
            <v>S1</v>
          </cell>
          <cell r="Q288" t="str">
            <v>J2</v>
          </cell>
          <cell r="R288" t="str">
            <v>J6</v>
          </cell>
          <cell r="S288" t="str">
            <v>ENTREGADO</v>
          </cell>
          <cell r="T288">
            <v>42681</v>
          </cell>
          <cell r="U288" t="str">
            <v>BAYONA CRUZ CRISTIAN ARMANDO</v>
          </cell>
          <cell r="V288" t="str">
            <v>CORIHUAMAN SURCO  ERICK ROBERT</v>
          </cell>
        </row>
        <row r="289">
          <cell r="A289">
            <v>260</v>
          </cell>
          <cell r="B289">
            <v>42681</v>
          </cell>
          <cell r="C289" t="str">
            <v>NOVIEMBRE</v>
          </cell>
          <cell r="D289" t="str">
            <v>2016</v>
          </cell>
          <cell r="E289">
            <v>213</v>
          </cell>
          <cell r="F289" t="str">
            <v>D4X-872</v>
          </cell>
          <cell r="G289" t="str">
            <v>B4P-976</v>
          </cell>
          <cell r="H289" t="str">
            <v>LAS BAMBAS</v>
          </cell>
          <cell r="I289">
            <v>180560</v>
          </cell>
          <cell r="J289" t="str">
            <v>REPUESTO</v>
          </cell>
          <cell r="K289" t="str">
            <v>STICKER "VALVULA DE DESCARGA"</v>
          </cell>
          <cell r="L289">
            <v>1</v>
          </cell>
          <cell r="M289" t="str">
            <v>UNID.</v>
          </cell>
          <cell r="N289" t="str">
            <v>CISTERNA</v>
          </cell>
          <cell r="O289">
            <v>0</v>
          </cell>
          <cell r="P289" t="str">
            <v>S1</v>
          </cell>
          <cell r="Q289" t="str">
            <v>J2</v>
          </cell>
          <cell r="R289" t="str">
            <v>J6</v>
          </cell>
          <cell r="S289" t="str">
            <v>ENTREGADO</v>
          </cell>
          <cell r="T289">
            <v>42681</v>
          </cell>
          <cell r="U289" t="str">
            <v>BAYONA CRUZ CRISTIAN ARMANDO</v>
          </cell>
          <cell r="V289" t="str">
            <v>CORIHUAMAN SURCO  ERICK ROBERT</v>
          </cell>
        </row>
        <row r="290">
          <cell r="A290">
            <v>243</v>
          </cell>
          <cell r="B290">
            <v>42681</v>
          </cell>
          <cell r="C290" t="str">
            <v>NOVIEMBRE</v>
          </cell>
          <cell r="D290" t="str">
            <v>2016</v>
          </cell>
          <cell r="E290">
            <v>200</v>
          </cell>
          <cell r="F290" t="str">
            <v>TALLER</v>
          </cell>
          <cell r="G290" t="str">
            <v>TALLER</v>
          </cell>
          <cell r="H290" t="str">
            <v>TALLER</v>
          </cell>
          <cell r="I290" t="str">
            <v>TALLER</v>
          </cell>
          <cell r="J290" t="str">
            <v>UNIFORMES</v>
          </cell>
          <cell r="K290" t="str">
            <v>TAIVEX "M"</v>
          </cell>
          <cell r="L290">
            <v>1</v>
          </cell>
          <cell r="M290" t="str">
            <v>UNID.</v>
          </cell>
          <cell r="N290" t="str">
            <v>TALLER</v>
          </cell>
          <cell r="O290">
            <v>0</v>
          </cell>
          <cell r="P290" t="str">
            <v>E1</v>
          </cell>
          <cell r="Q290" t="str">
            <v>J2</v>
          </cell>
          <cell r="R290" t="str">
            <v>J6</v>
          </cell>
          <cell r="S290" t="str">
            <v>ENTREGADO</v>
          </cell>
          <cell r="T290">
            <v>42681</v>
          </cell>
          <cell r="U290" t="str">
            <v>PALOMINO CARDENAS JUAN CARLOS</v>
          </cell>
          <cell r="V290" t="str">
            <v>CORIHUAMAN SURCO  ERICK ROBERT</v>
          </cell>
        </row>
        <row r="291">
          <cell r="A291">
            <v>244</v>
          </cell>
          <cell r="B291">
            <v>42681</v>
          </cell>
          <cell r="C291" t="str">
            <v>NOVIEMBRE</v>
          </cell>
          <cell r="D291" t="str">
            <v>2016</v>
          </cell>
          <cell r="E291">
            <v>200</v>
          </cell>
          <cell r="F291" t="str">
            <v>TALLER</v>
          </cell>
          <cell r="G291" t="str">
            <v>TALLER</v>
          </cell>
          <cell r="H291" t="str">
            <v>TALLER</v>
          </cell>
          <cell r="I291" t="str">
            <v>TALLER</v>
          </cell>
          <cell r="J291" t="str">
            <v>INSUMO TALLER</v>
          </cell>
          <cell r="K291" t="str">
            <v>TRAPOS</v>
          </cell>
          <cell r="L291">
            <v>10</v>
          </cell>
          <cell r="M291" t="str">
            <v>UNID.</v>
          </cell>
          <cell r="N291" t="str">
            <v>TALLER</v>
          </cell>
          <cell r="O291">
            <v>0</v>
          </cell>
          <cell r="P291" t="str">
            <v>J6</v>
          </cell>
          <cell r="Q291" t="str">
            <v>J2</v>
          </cell>
          <cell r="R291" t="str">
            <v>J6</v>
          </cell>
          <cell r="S291" t="str">
            <v>ENTREGADO</v>
          </cell>
          <cell r="T291">
            <v>42681</v>
          </cell>
          <cell r="U291" t="str">
            <v>VILLANUEVA BEJAR  YHORDAN MICHEL</v>
          </cell>
          <cell r="V291" t="str">
            <v>CORIHUAMAN SURCO  ERICK ROBERT</v>
          </cell>
        </row>
        <row r="292">
          <cell r="A292">
            <v>278</v>
          </cell>
          <cell r="B292">
            <v>42681</v>
          </cell>
          <cell r="C292" t="str">
            <v>NOVIEMBRE</v>
          </cell>
          <cell r="D292" t="str">
            <v>2016</v>
          </cell>
          <cell r="E292">
            <v>200</v>
          </cell>
          <cell r="F292" t="str">
            <v>TALLER</v>
          </cell>
          <cell r="G292" t="str">
            <v>TALLER</v>
          </cell>
          <cell r="H292" t="str">
            <v>TALLER</v>
          </cell>
          <cell r="I292" t="str">
            <v>TALLER</v>
          </cell>
          <cell r="J292" t="str">
            <v>INSUMO TALLER</v>
          </cell>
          <cell r="K292" t="str">
            <v>CLAVOS DE CEMENTO 1/2</v>
          </cell>
          <cell r="L292">
            <v>16</v>
          </cell>
          <cell r="M292" t="str">
            <v>UNID.</v>
          </cell>
          <cell r="N292" t="str">
            <v>TALLER</v>
          </cell>
          <cell r="O292">
            <v>0</v>
          </cell>
          <cell r="P292" t="str">
            <v>J1</v>
          </cell>
          <cell r="Q292" t="str">
            <v>J2</v>
          </cell>
          <cell r="R292" t="str">
            <v>J6</v>
          </cell>
          <cell r="S292" t="str">
            <v>ENTREGADO</v>
          </cell>
          <cell r="T292">
            <v>42681</v>
          </cell>
          <cell r="U292" t="str">
            <v>FLOREZ CONDORI  JOSE WILLIANS</v>
          </cell>
          <cell r="V292" t="str">
            <v>CORIHUAMAN SURCO  ERICK ROBERT</v>
          </cell>
        </row>
        <row r="293">
          <cell r="A293">
            <v>264</v>
          </cell>
          <cell r="B293">
            <v>42681</v>
          </cell>
          <cell r="C293" t="str">
            <v>NOVIEMBRE</v>
          </cell>
          <cell r="D293" t="str">
            <v>2016</v>
          </cell>
          <cell r="E293">
            <v>205</v>
          </cell>
          <cell r="F293" t="str">
            <v>X2W-765</v>
          </cell>
          <cell r="G293" t="str">
            <v>C5V-993</v>
          </cell>
          <cell r="H293" t="str">
            <v>LAS BAMBAS</v>
          </cell>
          <cell r="I293">
            <v>154850</v>
          </cell>
          <cell r="J293" t="str">
            <v>REPUESTO</v>
          </cell>
          <cell r="K293" t="str">
            <v>VOLANDA 1/2</v>
          </cell>
          <cell r="L293">
            <v>2</v>
          </cell>
          <cell r="M293" t="str">
            <v>UNID.</v>
          </cell>
          <cell r="N293" t="str">
            <v>TRACTO</v>
          </cell>
          <cell r="O293">
            <v>0</v>
          </cell>
          <cell r="P293" t="str">
            <v>E1</v>
          </cell>
          <cell r="Q293" t="str">
            <v>J1</v>
          </cell>
          <cell r="R293" t="str">
            <v>J6</v>
          </cell>
          <cell r="S293" t="str">
            <v>ENTREGADO</v>
          </cell>
          <cell r="T293">
            <v>42681</v>
          </cell>
          <cell r="U293" t="str">
            <v>PALOMINO CARDENAS JUAN CARLOS</v>
          </cell>
          <cell r="V293" t="str">
            <v>FLOREZ CONDORI  JOSE WILLIANS</v>
          </cell>
        </row>
        <row r="294">
          <cell r="A294">
            <v>265</v>
          </cell>
          <cell r="B294">
            <v>42681</v>
          </cell>
          <cell r="C294" t="str">
            <v>NOVIEMBRE</v>
          </cell>
          <cell r="D294" t="str">
            <v>2016</v>
          </cell>
          <cell r="E294">
            <v>205</v>
          </cell>
          <cell r="F294" t="str">
            <v>X2W-765</v>
          </cell>
          <cell r="G294" t="str">
            <v>C5V-993</v>
          </cell>
          <cell r="H294" t="str">
            <v>LAS BAMBAS</v>
          </cell>
          <cell r="I294">
            <v>154850</v>
          </cell>
          <cell r="J294" t="str">
            <v>REPUESTO</v>
          </cell>
          <cell r="K294" t="str">
            <v>VOLANDA 1/4</v>
          </cell>
          <cell r="L294">
            <v>2</v>
          </cell>
          <cell r="M294" t="str">
            <v>UNID.</v>
          </cell>
          <cell r="N294" t="str">
            <v>TRACTO</v>
          </cell>
          <cell r="O294">
            <v>0</v>
          </cell>
          <cell r="P294" t="str">
            <v>E1</v>
          </cell>
          <cell r="Q294" t="str">
            <v>J1</v>
          </cell>
          <cell r="R294" t="str">
            <v>J6</v>
          </cell>
          <cell r="S294" t="str">
            <v>ENTREGADO</v>
          </cell>
          <cell r="T294">
            <v>42681</v>
          </cell>
          <cell r="U294" t="str">
            <v>PALOMINO CARDENAS JUAN CARLOS</v>
          </cell>
          <cell r="V294" t="str">
            <v>FLOREZ CONDORI  JOSE WILLIANS</v>
          </cell>
        </row>
        <row r="295">
          <cell r="A295">
            <v>266</v>
          </cell>
          <cell r="B295">
            <v>42681</v>
          </cell>
          <cell r="C295" t="str">
            <v>NOVIEMBRE</v>
          </cell>
          <cell r="D295" t="str">
            <v>2016</v>
          </cell>
          <cell r="E295">
            <v>205</v>
          </cell>
          <cell r="F295" t="str">
            <v>X2W-765</v>
          </cell>
          <cell r="G295" t="str">
            <v>C5V-993</v>
          </cell>
          <cell r="H295" t="str">
            <v>LAS BAMBAS</v>
          </cell>
          <cell r="I295">
            <v>154850</v>
          </cell>
          <cell r="J295" t="str">
            <v>REPUESTO</v>
          </cell>
          <cell r="K295" t="str">
            <v>FOCO 9006</v>
          </cell>
          <cell r="L295">
            <v>1</v>
          </cell>
          <cell r="M295" t="str">
            <v>UNID.</v>
          </cell>
          <cell r="N295" t="str">
            <v>TRACTO</v>
          </cell>
          <cell r="O295">
            <v>0</v>
          </cell>
          <cell r="P295" t="str">
            <v>E1</v>
          </cell>
          <cell r="Q295" t="str">
            <v>J1</v>
          </cell>
          <cell r="R295" t="str">
            <v>J6</v>
          </cell>
          <cell r="S295" t="str">
            <v>ENTREGADO</v>
          </cell>
          <cell r="T295">
            <v>42681</v>
          </cell>
          <cell r="U295" t="str">
            <v>PALOMINO CARDENAS JUAN CARLOS</v>
          </cell>
          <cell r="V295" t="str">
            <v>FLOREZ CONDORI  JOSE WILLIANS</v>
          </cell>
        </row>
        <row r="296">
          <cell r="A296">
            <v>267</v>
          </cell>
          <cell r="B296">
            <v>42681</v>
          </cell>
          <cell r="C296" t="str">
            <v>NOVIEMBRE</v>
          </cell>
          <cell r="D296" t="str">
            <v>2016</v>
          </cell>
          <cell r="E296">
            <v>205</v>
          </cell>
          <cell r="F296" t="str">
            <v>X2W-765</v>
          </cell>
          <cell r="G296" t="str">
            <v>C5V-993</v>
          </cell>
          <cell r="H296" t="str">
            <v>LAS BAMBAS</v>
          </cell>
          <cell r="I296">
            <v>154850</v>
          </cell>
          <cell r="J296" t="str">
            <v>REPUESTO</v>
          </cell>
          <cell r="K296" t="str">
            <v>FOCO 9005</v>
          </cell>
          <cell r="L296">
            <v>1</v>
          </cell>
          <cell r="M296" t="str">
            <v>UNID.</v>
          </cell>
          <cell r="N296" t="str">
            <v>TRACTO</v>
          </cell>
          <cell r="O296">
            <v>0</v>
          </cell>
          <cell r="P296" t="str">
            <v>E1</v>
          </cell>
          <cell r="Q296" t="str">
            <v>J1</v>
          </cell>
          <cell r="R296" t="str">
            <v>J6</v>
          </cell>
          <cell r="S296" t="str">
            <v>ENTREGADO</v>
          </cell>
          <cell r="T296">
            <v>42681</v>
          </cell>
          <cell r="U296" t="str">
            <v>PALOMINO CARDENAS JUAN CARLOS</v>
          </cell>
          <cell r="V296" t="str">
            <v>FLOREZ CONDORI  JOSE WILLIANS</v>
          </cell>
        </row>
        <row r="297">
          <cell r="A297">
            <v>280</v>
          </cell>
          <cell r="B297">
            <v>42681</v>
          </cell>
          <cell r="C297" t="str">
            <v>NOVIEMBRE</v>
          </cell>
          <cell r="D297" t="str">
            <v>2016</v>
          </cell>
          <cell r="E297">
            <v>205</v>
          </cell>
          <cell r="F297" t="str">
            <v>X2W-765</v>
          </cell>
          <cell r="G297" t="str">
            <v>C5V-993</v>
          </cell>
          <cell r="H297" t="str">
            <v>LAS BAMBAS</v>
          </cell>
          <cell r="I297">
            <v>154850</v>
          </cell>
          <cell r="J297" t="str">
            <v>REPUESTO</v>
          </cell>
          <cell r="K297" t="str">
            <v>CABLE NRO. 02</v>
          </cell>
          <cell r="L297">
            <v>1</v>
          </cell>
          <cell r="M297" t="str">
            <v>M</v>
          </cell>
          <cell r="N297" t="str">
            <v>TRACTO</v>
          </cell>
          <cell r="O297">
            <v>109</v>
          </cell>
          <cell r="P297" t="str">
            <v>E1</v>
          </cell>
          <cell r="Q297" t="str">
            <v>J2</v>
          </cell>
          <cell r="R297" t="str">
            <v>J6</v>
          </cell>
          <cell r="S297" t="str">
            <v>ENTREGADO</v>
          </cell>
          <cell r="T297">
            <v>0</v>
          </cell>
          <cell r="U297" t="str">
            <v>PALOMINO CARDENAS JUAN CARLOS</v>
          </cell>
          <cell r="V297" t="str">
            <v>CORIHUAMAN SURCO  ERICK ROBERT</v>
          </cell>
        </row>
        <row r="298">
          <cell r="A298">
            <v>281</v>
          </cell>
          <cell r="B298">
            <v>42681</v>
          </cell>
          <cell r="C298" t="str">
            <v>NOVIEMBRE</v>
          </cell>
          <cell r="D298" t="str">
            <v>2016</v>
          </cell>
          <cell r="E298">
            <v>205</v>
          </cell>
          <cell r="F298" t="str">
            <v>X2W-765</v>
          </cell>
          <cell r="G298" t="str">
            <v>C5V-993</v>
          </cell>
          <cell r="H298" t="str">
            <v>LAS BAMBAS</v>
          </cell>
          <cell r="I298">
            <v>154850</v>
          </cell>
          <cell r="J298" t="str">
            <v>REPUESTO</v>
          </cell>
          <cell r="K298" t="str">
            <v>TAERMINALES 3/8 PARA CABLE DE BATERIA</v>
          </cell>
          <cell r="L298">
            <v>4</v>
          </cell>
          <cell r="M298" t="str">
            <v>UNID.</v>
          </cell>
          <cell r="N298" t="str">
            <v>TRACTO</v>
          </cell>
          <cell r="O298">
            <v>0</v>
          </cell>
          <cell r="P298" t="str">
            <v>E1</v>
          </cell>
          <cell r="Q298" t="str">
            <v>J2</v>
          </cell>
          <cell r="R298" t="str">
            <v>J6</v>
          </cell>
          <cell r="S298" t="str">
            <v>ENTREGADO</v>
          </cell>
          <cell r="T298">
            <v>42681</v>
          </cell>
          <cell r="U298" t="str">
            <v>PALOMINO CARDENAS JUAN CARLOS</v>
          </cell>
          <cell r="V298" t="str">
            <v>CORIHUAMAN SURCO  ERICK ROBERT</v>
          </cell>
        </row>
        <row r="299">
          <cell r="A299">
            <v>219</v>
          </cell>
          <cell r="B299">
            <v>42681</v>
          </cell>
          <cell r="C299" t="str">
            <v>NOVIEMBRE</v>
          </cell>
          <cell r="D299" t="str">
            <v>2016</v>
          </cell>
          <cell r="E299">
            <v>239</v>
          </cell>
          <cell r="F299" t="str">
            <v>X2W-788</v>
          </cell>
          <cell r="G299" t="str">
            <v>C5V-994</v>
          </cell>
          <cell r="H299" t="str">
            <v>LAS BAMBAS</v>
          </cell>
          <cell r="I299">
            <v>137310</v>
          </cell>
          <cell r="J299" t="str">
            <v>REPUESTO</v>
          </cell>
          <cell r="K299" t="str">
            <v>TAPABARROS</v>
          </cell>
          <cell r="L299">
            <v>3</v>
          </cell>
          <cell r="M299" t="str">
            <v>UNID.</v>
          </cell>
          <cell r="N299" t="str">
            <v>CISTERNA</v>
          </cell>
          <cell r="O299">
            <v>1</v>
          </cell>
          <cell r="P299" t="str">
            <v>M8</v>
          </cell>
          <cell r="Q299" t="str">
            <v>J2</v>
          </cell>
          <cell r="R299" t="str">
            <v>J6</v>
          </cell>
          <cell r="S299" t="str">
            <v>ENTREGADO</v>
          </cell>
          <cell r="T299">
            <v>42682</v>
          </cell>
          <cell r="U299" t="str">
            <v>VARILLAS GAGO  OSCAR ALBERTO</v>
          </cell>
          <cell r="V299" t="str">
            <v>CORIHUAMAN SURCO  ERICK ROBERT</v>
          </cell>
        </row>
        <row r="300">
          <cell r="A300">
            <v>220</v>
          </cell>
          <cell r="B300">
            <v>42681</v>
          </cell>
          <cell r="C300" t="str">
            <v>NOVIEMBRE</v>
          </cell>
          <cell r="D300" t="str">
            <v>2016</v>
          </cell>
          <cell r="E300">
            <v>239</v>
          </cell>
          <cell r="F300" t="str">
            <v>X2W-788</v>
          </cell>
          <cell r="G300" t="str">
            <v>C5V-994</v>
          </cell>
          <cell r="H300" t="str">
            <v>LAS BAMBAS</v>
          </cell>
          <cell r="I300">
            <v>137310</v>
          </cell>
          <cell r="J300" t="str">
            <v>REPUESTO</v>
          </cell>
          <cell r="K300" t="str">
            <v>ABRAZADERAS DE MUELLE 7/8 X 3 1/2 X 15"</v>
          </cell>
          <cell r="L300">
            <v>4</v>
          </cell>
          <cell r="M300" t="str">
            <v>UNID.</v>
          </cell>
          <cell r="N300" t="str">
            <v>CISTERNA</v>
          </cell>
          <cell r="O300">
            <v>1</v>
          </cell>
          <cell r="P300" t="str">
            <v>M8</v>
          </cell>
          <cell r="Q300" t="str">
            <v>J2</v>
          </cell>
          <cell r="R300" t="str">
            <v>J6</v>
          </cell>
          <cell r="S300" t="str">
            <v>ENTREGADO</v>
          </cell>
          <cell r="T300">
            <v>42682</v>
          </cell>
          <cell r="U300" t="str">
            <v>VARILLAS GAGO  OSCAR ALBERTO</v>
          </cell>
          <cell r="V300" t="str">
            <v>CORIHUAMAN SURCO  ERICK ROBERT</v>
          </cell>
        </row>
        <row r="301">
          <cell r="A301">
            <v>221</v>
          </cell>
          <cell r="B301">
            <v>42681</v>
          </cell>
          <cell r="C301" t="str">
            <v>NOVIEMBRE</v>
          </cell>
          <cell r="D301" t="str">
            <v>2016</v>
          </cell>
          <cell r="E301">
            <v>239</v>
          </cell>
          <cell r="F301" t="str">
            <v>X2W-788</v>
          </cell>
          <cell r="G301" t="str">
            <v>C5V-994</v>
          </cell>
          <cell r="H301" t="str">
            <v>LAS BAMBAS</v>
          </cell>
          <cell r="I301">
            <v>137310</v>
          </cell>
          <cell r="J301" t="str">
            <v>REPUESTO</v>
          </cell>
          <cell r="K301" t="str">
            <v>PERNOS CENTRALES 1/2 X 6 MAS TUERCA</v>
          </cell>
          <cell r="L301">
            <v>2</v>
          </cell>
          <cell r="M301" t="str">
            <v>UNID.</v>
          </cell>
          <cell r="N301" t="str">
            <v>CISTERNA</v>
          </cell>
          <cell r="O301">
            <v>0</v>
          </cell>
          <cell r="P301" t="str">
            <v>M8</v>
          </cell>
          <cell r="Q301" t="str">
            <v>J2</v>
          </cell>
          <cell r="R301" t="str">
            <v>J6</v>
          </cell>
          <cell r="S301" t="str">
            <v>ENTREGADO</v>
          </cell>
          <cell r="T301">
            <v>42681</v>
          </cell>
          <cell r="U301" t="str">
            <v>VARILLAS GAGO  OSCAR ALBERTO</v>
          </cell>
          <cell r="V301" t="str">
            <v>CORIHUAMAN SURCO  ERICK ROBERT</v>
          </cell>
        </row>
        <row r="302">
          <cell r="A302">
            <v>222</v>
          </cell>
          <cell r="B302">
            <v>42681</v>
          </cell>
          <cell r="C302" t="str">
            <v>NOVIEMBRE</v>
          </cell>
          <cell r="D302" t="str">
            <v>2016</v>
          </cell>
          <cell r="E302">
            <v>239</v>
          </cell>
          <cell r="F302" t="str">
            <v>X2W-788</v>
          </cell>
          <cell r="G302" t="str">
            <v>C5V-994</v>
          </cell>
          <cell r="H302" t="str">
            <v>LAS BAMBAS</v>
          </cell>
          <cell r="I302">
            <v>137310</v>
          </cell>
          <cell r="J302" t="str">
            <v>REPUESTO</v>
          </cell>
          <cell r="K302" t="str">
            <v>TUERCA ALTA 7/8</v>
          </cell>
          <cell r="L302">
            <v>8</v>
          </cell>
          <cell r="M302" t="str">
            <v>UNID.</v>
          </cell>
          <cell r="N302" t="str">
            <v>CISTERNA</v>
          </cell>
          <cell r="O302">
            <v>109</v>
          </cell>
          <cell r="P302" t="str">
            <v>M8</v>
          </cell>
          <cell r="Q302" t="str">
            <v>J2</v>
          </cell>
          <cell r="R302" t="str">
            <v>J6</v>
          </cell>
          <cell r="S302" t="str">
            <v>ENTREGADO</v>
          </cell>
          <cell r="T302">
            <v>0</v>
          </cell>
          <cell r="U302" t="str">
            <v>VARILLAS GAGO  OSCAR ALBERTO</v>
          </cell>
          <cell r="V302" t="str">
            <v>CORIHUAMAN SURCO  ERICK ROBERT</v>
          </cell>
        </row>
        <row r="303">
          <cell r="A303">
            <v>223</v>
          </cell>
          <cell r="B303">
            <v>42681</v>
          </cell>
          <cell r="C303" t="str">
            <v>NOVIEMBRE</v>
          </cell>
          <cell r="D303" t="str">
            <v>2016</v>
          </cell>
          <cell r="E303">
            <v>239</v>
          </cell>
          <cell r="F303" t="str">
            <v>X2W-788</v>
          </cell>
          <cell r="G303" t="str">
            <v>C5V-994</v>
          </cell>
          <cell r="H303" t="str">
            <v>LAS BAMBAS</v>
          </cell>
          <cell r="I303">
            <v>137310</v>
          </cell>
          <cell r="J303" t="str">
            <v>REPUESTO</v>
          </cell>
          <cell r="K303" t="str">
            <v>SOPORTE DE CABINA</v>
          </cell>
          <cell r="L303">
            <v>2</v>
          </cell>
          <cell r="M303" t="str">
            <v>UNID.</v>
          </cell>
          <cell r="N303" t="str">
            <v>TRACTO</v>
          </cell>
          <cell r="O303">
            <v>1</v>
          </cell>
          <cell r="P303" t="str">
            <v>M8</v>
          </cell>
          <cell r="Q303" t="str">
            <v>J2</v>
          </cell>
          <cell r="R303" t="str">
            <v>J6</v>
          </cell>
          <cell r="S303" t="str">
            <v>ENTREGADO</v>
          </cell>
          <cell r="T303">
            <v>42682</v>
          </cell>
          <cell r="U303" t="str">
            <v>VARILLAS GAGO  OSCAR ALBERTO</v>
          </cell>
          <cell r="V303" t="str">
            <v>CORIHUAMAN SURCO  ERICK ROBERT</v>
          </cell>
        </row>
        <row r="304">
          <cell r="A304">
            <v>224</v>
          </cell>
          <cell r="B304">
            <v>42681</v>
          </cell>
          <cell r="C304" t="str">
            <v>NOVIEMBRE</v>
          </cell>
          <cell r="D304" t="str">
            <v>2016</v>
          </cell>
          <cell r="E304">
            <v>239</v>
          </cell>
          <cell r="F304" t="str">
            <v>X2W-788</v>
          </cell>
          <cell r="G304" t="str">
            <v>C5V-994</v>
          </cell>
          <cell r="H304" t="str">
            <v>LAS BAMBAS</v>
          </cell>
          <cell r="I304">
            <v>137310</v>
          </cell>
          <cell r="J304" t="str">
            <v>REPUESTO</v>
          </cell>
          <cell r="K304" t="str">
            <v>VALVULA INTERLOCK</v>
          </cell>
          <cell r="L304">
            <v>1</v>
          </cell>
          <cell r="M304" t="str">
            <v>UNID.</v>
          </cell>
          <cell r="N304" t="str">
            <v>CISTERNA</v>
          </cell>
          <cell r="O304">
            <v>1</v>
          </cell>
          <cell r="P304" t="str">
            <v>M8</v>
          </cell>
          <cell r="Q304" t="str">
            <v>J2</v>
          </cell>
          <cell r="R304" t="str">
            <v>J6</v>
          </cell>
          <cell r="S304" t="str">
            <v>ENTREGADO</v>
          </cell>
          <cell r="T304">
            <v>42682</v>
          </cell>
          <cell r="U304" t="str">
            <v>VARILLAS GAGO  OSCAR ALBERTO</v>
          </cell>
          <cell r="V304" t="str">
            <v>CORIHUAMAN SURCO  ERICK ROBERT</v>
          </cell>
        </row>
        <row r="305">
          <cell r="A305">
            <v>225</v>
          </cell>
          <cell r="B305">
            <v>42681</v>
          </cell>
          <cell r="C305" t="str">
            <v>NOVIEMBRE</v>
          </cell>
          <cell r="D305" t="str">
            <v>2016</v>
          </cell>
          <cell r="E305">
            <v>239</v>
          </cell>
          <cell r="F305" t="str">
            <v>X2W-788</v>
          </cell>
          <cell r="G305" t="str">
            <v>C5V-994</v>
          </cell>
          <cell r="H305" t="str">
            <v>LAS BAMBAS</v>
          </cell>
          <cell r="I305">
            <v>137310</v>
          </cell>
          <cell r="J305" t="str">
            <v>REPUESTO</v>
          </cell>
          <cell r="K305" t="str">
            <v>PERNOS 5/8 X 6 MAS TUERCA DE SEGURO</v>
          </cell>
          <cell r="L305">
            <v>4</v>
          </cell>
          <cell r="M305" t="str">
            <v>UNID.</v>
          </cell>
          <cell r="N305" t="str">
            <v>CISTERNA</v>
          </cell>
          <cell r="O305">
            <v>0</v>
          </cell>
          <cell r="P305" t="str">
            <v>M8</v>
          </cell>
          <cell r="Q305" t="str">
            <v>J2</v>
          </cell>
          <cell r="R305" t="str">
            <v>J6</v>
          </cell>
          <cell r="S305" t="str">
            <v>ENTREGADO</v>
          </cell>
          <cell r="T305">
            <v>42681</v>
          </cell>
          <cell r="U305" t="str">
            <v>VARILLAS GAGO  OSCAR ALBERTO</v>
          </cell>
          <cell r="V305" t="str">
            <v>CORIHUAMAN SURCO  ERICK ROBERT</v>
          </cell>
        </row>
        <row r="306">
          <cell r="A306">
            <v>226</v>
          </cell>
          <cell r="B306">
            <v>42681</v>
          </cell>
          <cell r="C306" t="str">
            <v>NOVIEMBRE</v>
          </cell>
          <cell r="D306" t="str">
            <v>2016</v>
          </cell>
          <cell r="E306">
            <v>239</v>
          </cell>
          <cell r="F306" t="str">
            <v>X2W-788</v>
          </cell>
          <cell r="G306" t="str">
            <v>C5V-994</v>
          </cell>
          <cell r="H306" t="str">
            <v>LAS BAMBAS</v>
          </cell>
          <cell r="I306">
            <v>137310</v>
          </cell>
          <cell r="J306" t="str">
            <v>REPUESTO</v>
          </cell>
          <cell r="K306" t="str">
            <v>REFRIGERANTE</v>
          </cell>
          <cell r="L306">
            <v>1</v>
          </cell>
          <cell r="M306" t="str">
            <v>GLNS.</v>
          </cell>
          <cell r="N306" t="str">
            <v>TRACTO</v>
          </cell>
          <cell r="O306">
            <v>0</v>
          </cell>
          <cell r="P306" t="str">
            <v>M8</v>
          </cell>
          <cell r="Q306" t="str">
            <v>J2</v>
          </cell>
          <cell r="R306" t="str">
            <v>J6</v>
          </cell>
          <cell r="S306" t="str">
            <v>ENTREGADO</v>
          </cell>
          <cell r="T306">
            <v>42681</v>
          </cell>
          <cell r="U306" t="str">
            <v>VARILLAS GAGO  OSCAR ALBERTO</v>
          </cell>
          <cell r="V306" t="str">
            <v>CORIHUAMAN SURCO  ERICK ROBERT</v>
          </cell>
        </row>
        <row r="307">
          <cell r="A307">
            <v>227</v>
          </cell>
          <cell r="B307">
            <v>42681</v>
          </cell>
          <cell r="C307" t="str">
            <v>NOVIEMBRE</v>
          </cell>
          <cell r="D307" t="str">
            <v>2016</v>
          </cell>
          <cell r="E307">
            <v>239</v>
          </cell>
          <cell r="F307" t="str">
            <v>X2W-788</v>
          </cell>
          <cell r="G307" t="str">
            <v>C5V-994</v>
          </cell>
          <cell r="H307" t="str">
            <v>LAS BAMBAS</v>
          </cell>
          <cell r="I307">
            <v>137310</v>
          </cell>
          <cell r="J307" t="str">
            <v>REPUESTO</v>
          </cell>
          <cell r="K307" t="str">
            <v>LIQUIDO LIMPIA PARABRISA</v>
          </cell>
          <cell r="L307">
            <v>1</v>
          </cell>
          <cell r="M307" t="str">
            <v>GLNS.</v>
          </cell>
          <cell r="N307" t="str">
            <v>TRACTO</v>
          </cell>
          <cell r="O307">
            <v>0</v>
          </cell>
          <cell r="P307" t="str">
            <v>M8</v>
          </cell>
          <cell r="Q307" t="str">
            <v>J2</v>
          </cell>
          <cell r="R307" t="str">
            <v>J6</v>
          </cell>
          <cell r="S307" t="str">
            <v>ENTREGADO</v>
          </cell>
          <cell r="T307">
            <v>42681</v>
          </cell>
          <cell r="U307" t="str">
            <v>VARILLAS GAGO  OSCAR ALBERTO</v>
          </cell>
          <cell r="V307" t="str">
            <v>CORIHUAMAN SURCO  ERICK ROBERT</v>
          </cell>
        </row>
        <row r="308">
          <cell r="A308">
            <v>228</v>
          </cell>
          <cell r="B308">
            <v>42681</v>
          </cell>
          <cell r="C308" t="str">
            <v>NOVIEMBRE</v>
          </cell>
          <cell r="D308" t="str">
            <v>2016</v>
          </cell>
          <cell r="E308">
            <v>239</v>
          </cell>
          <cell r="F308" t="str">
            <v>X2W-788</v>
          </cell>
          <cell r="G308" t="str">
            <v>C5V-994</v>
          </cell>
          <cell r="H308" t="str">
            <v>LAS BAMBAS</v>
          </cell>
          <cell r="I308">
            <v>137310</v>
          </cell>
          <cell r="J308" t="str">
            <v>REPUESTO</v>
          </cell>
          <cell r="K308" t="str">
            <v>HOJA DE MUELLE 1/2 X 3 1/2 X 9 1/2</v>
          </cell>
          <cell r="L308">
            <v>2</v>
          </cell>
          <cell r="M308" t="str">
            <v>UNID.</v>
          </cell>
          <cell r="N308" t="str">
            <v>CISTERNA</v>
          </cell>
          <cell r="O308">
            <v>1</v>
          </cell>
          <cell r="P308" t="str">
            <v>M8</v>
          </cell>
          <cell r="Q308" t="str">
            <v>J2</v>
          </cell>
          <cell r="R308" t="str">
            <v>J6</v>
          </cell>
          <cell r="S308" t="str">
            <v>ENTREGADO</v>
          </cell>
          <cell r="T308">
            <v>42682</v>
          </cell>
          <cell r="U308" t="str">
            <v>VARILLAS GAGO  OSCAR ALBERTO</v>
          </cell>
          <cell r="V308" t="str">
            <v>CORIHUAMAN SURCO  ERICK ROBERT</v>
          </cell>
        </row>
        <row r="309">
          <cell r="A309">
            <v>229</v>
          </cell>
          <cell r="B309">
            <v>42681</v>
          </cell>
          <cell r="C309" t="str">
            <v>NOVIEMBRE</v>
          </cell>
          <cell r="D309" t="str">
            <v>2016</v>
          </cell>
          <cell r="E309">
            <v>239</v>
          </cell>
          <cell r="F309" t="str">
            <v>X2W-788</v>
          </cell>
          <cell r="G309" t="str">
            <v>C5V-994</v>
          </cell>
          <cell r="H309" t="str">
            <v>LAS BAMBAS</v>
          </cell>
          <cell r="I309">
            <v>137310</v>
          </cell>
          <cell r="J309" t="str">
            <v>REPUESTO</v>
          </cell>
          <cell r="K309" t="str">
            <v>HOJA DE MUELLE 1/2 X 3 1/2 X 13</v>
          </cell>
          <cell r="L309">
            <v>2</v>
          </cell>
          <cell r="M309" t="str">
            <v>UNID.</v>
          </cell>
          <cell r="N309" t="str">
            <v>CISTERNA</v>
          </cell>
          <cell r="O309">
            <v>1</v>
          </cell>
          <cell r="P309" t="str">
            <v>M8</v>
          </cell>
          <cell r="Q309" t="str">
            <v>J2</v>
          </cell>
          <cell r="R309" t="str">
            <v>J6</v>
          </cell>
          <cell r="S309" t="str">
            <v>ENTREGADO</v>
          </cell>
          <cell r="T309">
            <v>42682</v>
          </cell>
          <cell r="U309" t="str">
            <v>VARILLAS GAGO  OSCAR ALBERTO</v>
          </cell>
          <cell r="V309" t="str">
            <v>CORIHUAMAN SURCO  ERICK ROBERT</v>
          </cell>
        </row>
        <row r="310">
          <cell r="A310">
            <v>230</v>
          </cell>
          <cell r="B310">
            <v>42681</v>
          </cell>
          <cell r="C310" t="str">
            <v>NOVIEMBRE</v>
          </cell>
          <cell r="D310" t="str">
            <v>2016</v>
          </cell>
          <cell r="E310">
            <v>239</v>
          </cell>
          <cell r="F310" t="str">
            <v>X2W-788</v>
          </cell>
          <cell r="G310" t="str">
            <v>C5V-994</v>
          </cell>
          <cell r="H310" t="str">
            <v>LAS BAMBAS</v>
          </cell>
          <cell r="I310">
            <v>137310</v>
          </cell>
          <cell r="J310" t="str">
            <v>REPUESTO</v>
          </cell>
          <cell r="K310" t="str">
            <v>HOJA DE MUELLE 1/2 X 3 1/2 X 16</v>
          </cell>
          <cell r="L310">
            <v>2</v>
          </cell>
          <cell r="M310" t="str">
            <v>UNID.</v>
          </cell>
          <cell r="N310" t="str">
            <v>CISTERNA</v>
          </cell>
          <cell r="O310">
            <v>1</v>
          </cell>
          <cell r="P310" t="str">
            <v>M8</v>
          </cell>
          <cell r="Q310" t="str">
            <v>J2</v>
          </cell>
          <cell r="R310" t="str">
            <v>J6</v>
          </cell>
          <cell r="S310" t="str">
            <v>ENTREGADO</v>
          </cell>
          <cell r="T310">
            <v>42682</v>
          </cell>
          <cell r="U310" t="str">
            <v>VARILLAS GAGO  OSCAR ALBERTO</v>
          </cell>
          <cell r="V310" t="str">
            <v>CORIHUAMAN SURCO  ERICK ROBERT</v>
          </cell>
        </row>
        <row r="311">
          <cell r="A311">
            <v>231</v>
          </cell>
          <cell r="B311">
            <v>42681</v>
          </cell>
          <cell r="C311" t="str">
            <v>NOVIEMBRE</v>
          </cell>
          <cell r="D311" t="str">
            <v>2016</v>
          </cell>
          <cell r="E311">
            <v>239</v>
          </cell>
          <cell r="F311" t="str">
            <v>X2W-788</v>
          </cell>
          <cell r="G311" t="str">
            <v>C5V-994</v>
          </cell>
          <cell r="H311" t="str">
            <v>LAS BAMBAS</v>
          </cell>
          <cell r="I311">
            <v>137310</v>
          </cell>
          <cell r="J311" t="str">
            <v>REPUESTO</v>
          </cell>
          <cell r="K311" t="str">
            <v>HOJA DE MUELLE 1/2 X 3 1/2 X 19 1/2</v>
          </cell>
          <cell r="L311">
            <v>2</v>
          </cell>
          <cell r="M311" t="str">
            <v>UNID.</v>
          </cell>
          <cell r="N311" t="str">
            <v>CISTERNA</v>
          </cell>
          <cell r="O311">
            <v>1</v>
          </cell>
          <cell r="P311" t="str">
            <v>M8</v>
          </cell>
          <cell r="Q311" t="str">
            <v>J2</v>
          </cell>
          <cell r="R311" t="str">
            <v>J6</v>
          </cell>
          <cell r="S311" t="str">
            <v>ENTREGADO</v>
          </cell>
          <cell r="T311">
            <v>42682</v>
          </cell>
          <cell r="U311" t="str">
            <v>VARILLAS GAGO  OSCAR ALBERTO</v>
          </cell>
          <cell r="V311" t="str">
            <v>CORIHUAMAN SURCO  ERICK ROBERT</v>
          </cell>
        </row>
        <row r="312">
          <cell r="A312">
            <v>279</v>
          </cell>
          <cell r="B312">
            <v>42681</v>
          </cell>
          <cell r="C312" t="str">
            <v>NOVIEMBRE</v>
          </cell>
          <cell r="D312" t="str">
            <v>2016</v>
          </cell>
          <cell r="E312">
            <v>239</v>
          </cell>
          <cell r="F312" t="str">
            <v>X2W-788</v>
          </cell>
          <cell r="G312" t="str">
            <v>C5V-994</v>
          </cell>
          <cell r="H312" t="str">
            <v>LAS BAMBAS</v>
          </cell>
          <cell r="I312">
            <v>137310</v>
          </cell>
          <cell r="J312" t="str">
            <v>REPUESTO</v>
          </cell>
          <cell r="K312" t="str">
            <v>ACEITE DE MOTOR 15W40</v>
          </cell>
          <cell r="L312">
            <v>1.5</v>
          </cell>
          <cell r="M312" t="str">
            <v>GLNS.</v>
          </cell>
          <cell r="N312" t="str">
            <v>TRACTO</v>
          </cell>
          <cell r="O312">
            <v>0</v>
          </cell>
          <cell r="P312" t="str">
            <v>M8</v>
          </cell>
          <cell r="Q312" t="str">
            <v>J2</v>
          </cell>
          <cell r="R312" t="str">
            <v>J6</v>
          </cell>
          <cell r="S312" t="str">
            <v>ENTREGADO</v>
          </cell>
          <cell r="T312">
            <v>42681</v>
          </cell>
          <cell r="U312" t="str">
            <v>VARILLAS GAGO  OSCAR ALBERTO</v>
          </cell>
          <cell r="V312" t="str">
            <v>CORIHUAMAN SURCO  ERICK ROBERT</v>
          </cell>
        </row>
        <row r="313">
          <cell r="A313">
            <v>355</v>
          </cell>
          <cell r="B313">
            <v>42682</v>
          </cell>
          <cell r="C313" t="str">
            <v>NOVIEMBRE</v>
          </cell>
          <cell r="D313" t="str">
            <v>2016</v>
          </cell>
          <cell r="E313">
            <v>245</v>
          </cell>
          <cell r="F313" t="str">
            <v>A5O-859</v>
          </cell>
          <cell r="G313" t="str">
            <v>B6Y-971</v>
          </cell>
          <cell r="H313" t="str">
            <v>LAS BAMBAS</v>
          </cell>
          <cell r="I313">
            <v>114089</v>
          </cell>
          <cell r="J313" t="str">
            <v>REPUESTO</v>
          </cell>
          <cell r="K313" t="str">
            <v>PERNOS DE 5/16 X 1</v>
          </cell>
          <cell r="L313">
            <v>3</v>
          </cell>
          <cell r="M313" t="str">
            <v>UNID.</v>
          </cell>
          <cell r="N313" t="str">
            <v>TRACTO</v>
          </cell>
          <cell r="O313">
            <v>0</v>
          </cell>
          <cell r="P313" t="str">
            <v>M3</v>
          </cell>
          <cell r="Q313" t="str">
            <v>J1</v>
          </cell>
          <cell r="R313" t="str">
            <v>J5</v>
          </cell>
          <cell r="S313" t="str">
            <v>ENTREGADO</v>
          </cell>
          <cell r="T313">
            <v>42682</v>
          </cell>
          <cell r="U313" t="str">
            <v>GARCIA PASQUEL  JOSE LUIS</v>
          </cell>
          <cell r="V313" t="str">
            <v>FLOREZ CONDORI  JOSE WILLIANS</v>
          </cell>
        </row>
        <row r="314">
          <cell r="A314">
            <v>356</v>
          </cell>
          <cell r="B314">
            <v>42682</v>
          </cell>
          <cell r="C314" t="str">
            <v>NOVIEMBRE</v>
          </cell>
          <cell r="D314" t="str">
            <v>2016</v>
          </cell>
          <cell r="E314">
            <v>245</v>
          </cell>
          <cell r="F314" t="str">
            <v>A5O-859</v>
          </cell>
          <cell r="G314" t="str">
            <v>B6Y-971</v>
          </cell>
          <cell r="H314" t="str">
            <v>LAS BAMBAS</v>
          </cell>
          <cell r="I314">
            <v>114089</v>
          </cell>
          <cell r="J314" t="str">
            <v>REPUESTO</v>
          </cell>
          <cell r="K314" t="str">
            <v>VOLANDAS PLANAS</v>
          </cell>
          <cell r="L314">
            <v>8</v>
          </cell>
          <cell r="M314" t="str">
            <v>UNID.</v>
          </cell>
          <cell r="N314" t="str">
            <v>TRACTO</v>
          </cell>
          <cell r="O314">
            <v>0</v>
          </cell>
          <cell r="P314" t="str">
            <v>M3</v>
          </cell>
          <cell r="Q314" t="str">
            <v>J1</v>
          </cell>
          <cell r="R314" t="str">
            <v>J5</v>
          </cell>
          <cell r="S314" t="str">
            <v>ENTREGADO</v>
          </cell>
          <cell r="T314">
            <v>42682</v>
          </cell>
          <cell r="U314" t="str">
            <v>GARCIA PASQUEL  JOSE LUIS</v>
          </cell>
          <cell r="V314" t="str">
            <v>FLOREZ CONDORI  JOSE WILLIANS</v>
          </cell>
        </row>
        <row r="315">
          <cell r="A315">
            <v>357</v>
          </cell>
          <cell r="B315">
            <v>42682</v>
          </cell>
          <cell r="C315" t="str">
            <v>NOVIEMBRE</v>
          </cell>
          <cell r="D315" t="str">
            <v>2016</v>
          </cell>
          <cell r="E315">
            <v>245</v>
          </cell>
          <cell r="F315" t="str">
            <v>A5O-859</v>
          </cell>
          <cell r="G315" t="str">
            <v>B6Y-971</v>
          </cell>
          <cell r="H315" t="str">
            <v>LAS BAMBAS</v>
          </cell>
          <cell r="I315">
            <v>114089</v>
          </cell>
          <cell r="J315" t="str">
            <v>REPUESTO</v>
          </cell>
          <cell r="K315" t="str">
            <v>TUERCA SEGURO 5/16</v>
          </cell>
          <cell r="L315">
            <v>3</v>
          </cell>
          <cell r="M315" t="str">
            <v>UNID.</v>
          </cell>
          <cell r="N315" t="str">
            <v>TRACTO</v>
          </cell>
          <cell r="O315">
            <v>0</v>
          </cell>
          <cell r="P315" t="str">
            <v>M3</v>
          </cell>
          <cell r="Q315" t="str">
            <v>J1</v>
          </cell>
          <cell r="R315" t="str">
            <v>J5</v>
          </cell>
          <cell r="S315" t="str">
            <v>ENTREGADO</v>
          </cell>
          <cell r="T315">
            <v>42682</v>
          </cell>
          <cell r="U315" t="str">
            <v>GARCIA PASQUEL  JOSE LUIS</v>
          </cell>
          <cell r="V315" t="str">
            <v>FLOREZ CONDORI  JOSE WILLIANS</v>
          </cell>
        </row>
        <row r="316">
          <cell r="A316">
            <v>358</v>
          </cell>
          <cell r="B316">
            <v>42682</v>
          </cell>
          <cell r="C316" t="str">
            <v>NOVIEMBRE</v>
          </cell>
          <cell r="D316" t="str">
            <v>2016</v>
          </cell>
          <cell r="E316">
            <v>245</v>
          </cell>
          <cell r="F316" t="str">
            <v>A5O-859</v>
          </cell>
          <cell r="G316" t="str">
            <v>B6Y-971</v>
          </cell>
          <cell r="H316" t="str">
            <v>LAS BAMBAS</v>
          </cell>
          <cell r="I316">
            <v>114089</v>
          </cell>
          <cell r="J316" t="str">
            <v>REPUESTO</v>
          </cell>
          <cell r="K316" t="str">
            <v>LIQUIDO REFRIGERANTE</v>
          </cell>
          <cell r="L316">
            <v>1</v>
          </cell>
          <cell r="M316" t="str">
            <v>UNID.</v>
          </cell>
          <cell r="N316" t="str">
            <v>TRACTO</v>
          </cell>
          <cell r="O316">
            <v>0</v>
          </cell>
          <cell r="P316" t="str">
            <v>M3</v>
          </cell>
          <cell r="Q316" t="str">
            <v>J1</v>
          </cell>
          <cell r="R316" t="str">
            <v>J5</v>
          </cell>
          <cell r="S316" t="str">
            <v>ENTREGADO</v>
          </cell>
          <cell r="T316">
            <v>42682</v>
          </cell>
          <cell r="U316" t="str">
            <v>GARCIA PASQUEL  JOSE LUIS</v>
          </cell>
          <cell r="V316" t="str">
            <v>FLOREZ CONDORI  JOSE WILLIANS</v>
          </cell>
        </row>
        <row r="317">
          <cell r="A317">
            <v>359</v>
          </cell>
          <cell r="B317">
            <v>42682</v>
          </cell>
          <cell r="C317" t="str">
            <v>NOVIEMBRE</v>
          </cell>
          <cell r="D317" t="str">
            <v>2016</v>
          </cell>
          <cell r="E317">
            <v>245</v>
          </cell>
          <cell r="F317" t="str">
            <v>A5O-859</v>
          </cell>
          <cell r="G317" t="str">
            <v>B6Y-971</v>
          </cell>
          <cell r="H317" t="str">
            <v>LAS BAMBAS</v>
          </cell>
          <cell r="I317">
            <v>114089</v>
          </cell>
          <cell r="J317" t="str">
            <v>REPUESTO</v>
          </cell>
          <cell r="K317" t="str">
            <v>PERNO 5/16 X 1</v>
          </cell>
          <cell r="L317">
            <v>1</v>
          </cell>
          <cell r="M317" t="str">
            <v>UNID.</v>
          </cell>
          <cell r="N317" t="str">
            <v>TRACTO</v>
          </cell>
          <cell r="O317">
            <v>0</v>
          </cell>
          <cell r="P317" t="str">
            <v>M3</v>
          </cell>
          <cell r="Q317" t="str">
            <v>J1</v>
          </cell>
          <cell r="R317" t="str">
            <v>J5</v>
          </cell>
          <cell r="S317" t="str">
            <v>ENTREGADO</v>
          </cell>
          <cell r="T317">
            <v>42682</v>
          </cell>
          <cell r="U317" t="str">
            <v>GARCIA PASQUEL  JOSE LUIS</v>
          </cell>
          <cell r="V317" t="str">
            <v>FLOREZ CONDORI  JOSE WILLIANS</v>
          </cell>
        </row>
        <row r="318">
          <cell r="A318">
            <v>360</v>
          </cell>
          <cell r="B318">
            <v>42682</v>
          </cell>
          <cell r="C318" t="str">
            <v>NOVIEMBRE</v>
          </cell>
          <cell r="D318" t="str">
            <v>2016</v>
          </cell>
          <cell r="E318">
            <v>245</v>
          </cell>
          <cell r="F318" t="str">
            <v>A5O-859</v>
          </cell>
          <cell r="G318" t="str">
            <v>B6Y-971</v>
          </cell>
          <cell r="H318" t="str">
            <v>LAS BAMBAS</v>
          </cell>
          <cell r="I318">
            <v>114089</v>
          </cell>
          <cell r="J318" t="str">
            <v>REPUESTO</v>
          </cell>
          <cell r="K318" t="str">
            <v>TUERCA SEGURO 5/16</v>
          </cell>
          <cell r="L318">
            <v>1</v>
          </cell>
          <cell r="M318" t="str">
            <v>UNID.</v>
          </cell>
          <cell r="N318" t="str">
            <v>TRACTO</v>
          </cell>
          <cell r="O318">
            <v>0</v>
          </cell>
          <cell r="P318" t="str">
            <v>M3</v>
          </cell>
          <cell r="Q318" t="str">
            <v>J1</v>
          </cell>
          <cell r="R318" t="str">
            <v>J5</v>
          </cell>
          <cell r="S318" t="str">
            <v>ENTREGADO</v>
          </cell>
          <cell r="T318">
            <v>42682</v>
          </cell>
          <cell r="U318" t="str">
            <v>GARCIA PASQUEL  JOSE LUIS</v>
          </cell>
          <cell r="V318" t="str">
            <v>FLOREZ CONDORI  JOSE WILLIANS</v>
          </cell>
        </row>
        <row r="319">
          <cell r="A319">
            <v>315</v>
          </cell>
          <cell r="B319">
            <v>42682</v>
          </cell>
          <cell r="C319" t="str">
            <v>NOVIEMBRE</v>
          </cell>
          <cell r="D319" t="str">
            <v>2016</v>
          </cell>
          <cell r="E319">
            <v>262</v>
          </cell>
          <cell r="F319" t="str">
            <v>AAM-837</v>
          </cell>
          <cell r="G319" t="str">
            <v>CAMIONETA</v>
          </cell>
          <cell r="H319" t="str">
            <v>LAS BAMBAS</v>
          </cell>
          <cell r="I319">
            <v>109806</v>
          </cell>
          <cell r="J319" t="str">
            <v>REPUESTO</v>
          </cell>
          <cell r="K319" t="str">
            <v>LLANTAS DE CAMIONETA</v>
          </cell>
          <cell r="L319">
            <v>4</v>
          </cell>
          <cell r="M319" t="str">
            <v>UNID.</v>
          </cell>
          <cell r="N319" t="str">
            <v>TRACTO</v>
          </cell>
          <cell r="O319">
            <v>0</v>
          </cell>
          <cell r="P319" t="str">
            <v>N1</v>
          </cell>
          <cell r="Q319" t="str">
            <v>J3</v>
          </cell>
          <cell r="R319" t="str">
            <v>J6</v>
          </cell>
          <cell r="S319" t="str">
            <v>ENTREGADO</v>
          </cell>
          <cell r="T319">
            <v>42682</v>
          </cell>
          <cell r="U319" t="str">
            <v>AGUILAR CCANTUTA WILLY</v>
          </cell>
          <cell r="V319" t="str">
            <v>CHURA PIZARRO ALBERTO</v>
          </cell>
        </row>
        <row r="320">
          <cell r="A320">
            <v>335</v>
          </cell>
          <cell r="B320">
            <v>42682</v>
          </cell>
          <cell r="C320" t="str">
            <v>NOVIEMBRE</v>
          </cell>
          <cell r="D320" t="str">
            <v>2016</v>
          </cell>
          <cell r="E320">
            <v>262</v>
          </cell>
          <cell r="F320" t="str">
            <v>AAM-837</v>
          </cell>
          <cell r="G320" t="str">
            <v>CAMIONETA</v>
          </cell>
          <cell r="H320" t="str">
            <v>LAS BAMBAS</v>
          </cell>
          <cell r="I320">
            <v>109806</v>
          </cell>
          <cell r="J320" t="str">
            <v>REPUESTO</v>
          </cell>
          <cell r="K320" t="str">
            <v>TERMINALES HEMBRA</v>
          </cell>
          <cell r="L320">
            <v>5</v>
          </cell>
          <cell r="M320" t="str">
            <v>UNID.</v>
          </cell>
          <cell r="N320" t="str">
            <v>TRACTO</v>
          </cell>
          <cell r="O320">
            <v>0</v>
          </cell>
          <cell r="P320" t="str">
            <v>E2</v>
          </cell>
          <cell r="Q320" t="str">
            <v>J2</v>
          </cell>
          <cell r="R320" t="str">
            <v>J6</v>
          </cell>
          <cell r="S320" t="str">
            <v>ENTREGADO</v>
          </cell>
          <cell r="T320">
            <v>42682</v>
          </cell>
          <cell r="U320" t="str">
            <v>YUCA BELLIDO BORIS YERSY</v>
          </cell>
          <cell r="V320" t="str">
            <v>CORIHUAMAN SURCO  ERICK ROBERT</v>
          </cell>
        </row>
        <row r="321">
          <cell r="A321">
            <v>336</v>
          </cell>
          <cell r="B321">
            <v>42682</v>
          </cell>
          <cell r="C321" t="str">
            <v>NOVIEMBRE</v>
          </cell>
          <cell r="D321" t="str">
            <v>2016</v>
          </cell>
          <cell r="E321">
            <v>262</v>
          </cell>
          <cell r="F321" t="str">
            <v>AAM-837</v>
          </cell>
          <cell r="G321" t="str">
            <v>CAMIONETA</v>
          </cell>
          <cell r="H321" t="str">
            <v>LAS BAMBAS</v>
          </cell>
          <cell r="I321">
            <v>109806</v>
          </cell>
          <cell r="J321" t="str">
            <v>REPUESTO</v>
          </cell>
          <cell r="K321" t="str">
            <v>FUSIBLES DE 20 AMP</v>
          </cell>
          <cell r="L321">
            <v>4</v>
          </cell>
          <cell r="M321" t="str">
            <v>UNID.</v>
          </cell>
          <cell r="N321" t="str">
            <v>TRACTO</v>
          </cell>
          <cell r="O321">
            <v>0</v>
          </cell>
          <cell r="P321" t="str">
            <v>E2</v>
          </cell>
          <cell r="Q321" t="str">
            <v>J2</v>
          </cell>
          <cell r="R321" t="str">
            <v>J6</v>
          </cell>
          <cell r="S321" t="str">
            <v>ENTREGADO</v>
          </cell>
          <cell r="T321">
            <v>42682</v>
          </cell>
          <cell r="U321" t="str">
            <v>YUCA BELLIDO BORIS YERSY</v>
          </cell>
          <cell r="V321" t="str">
            <v>CORIHUAMAN SURCO  ERICK ROBERT</v>
          </cell>
        </row>
        <row r="322">
          <cell r="A322">
            <v>337</v>
          </cell>
          <cell r="B322">
            <v>42682</v>
          </cell>
          <cell r="C322" t="str">
            <v>NOVIEMBRE</v>
          </cell>
          <cell r="D322" t="str">
            <v>2016</v>
          </cell>
          <cell r="E322">
            <v>262</v>
          </cell>
          <cell r="F322" t="str">
            <v>AAM-837</v>
          </cell>
          <cell r="G322" t="str">
            <v>CAMIONETA</v>
          </cell>
          <cell r="H322" t="str">
            <v>LAS BAMBAS</v>
          </cell>
          <cell r="I322">
            <v>109806</v>
          </cell>
          <cell r="J322" t="str">
            <v>REPUESTO</v>
          </cell>
          <cell r="K322" t="str">
            <v>FOCO MEDIANO DE CONTACTO 12 V</v>
          </cell>
          <cell r="L322">
            <v>1</v>
          </cell>
          <cell r="M322" t="str">
            <v>UNID.</v>
          </cell>
          <cell r="N322" t="str">
            <v>TRACTO</v>
          </cell>
          <cell r="O322">
            <v>0</v>
          </cell>
          <cell r="P322" t="str">
            <v>E2</v>
          </cell>
          <cell r="Q322" t="str">
            <v>J2</v>
          </cell>
          <cell r="R322" t="str">
            <v>J6</v>
          </cell>
          <cell r="S322" t="str">
            <v>ENTREGADO</v>
          </cell>
          <cell r="T322">
            <v>42682</v>
          </cell>
          <cell r="U322" t="str">
            <v>YUCA BELLIDO BORIS YERSY</v>
          </cell>
          <cell r="V322" t="str">
            <v>CORIHUAMAN SURCO  ERICK ROBERT</v>
          </cell>
        </row>
        <row r="323">
          <cell r="A323">
            <v>417</v>
          </cell>
          <cell r="B323">
            <v>42682</v>
          </cell>
          <cell r="C323" t="str">
            <v>NOVIEMBRE</v>
          </cell>
          <cell r="D323" t="str">
            <v>2016</v>
          </cell>
          <cell r="E323">
            <v>255</v>
          </cell>
          <cell r="F323" t="str">
            <v>AAN-801</v>
          </cell>
          <cell r="G323" t="str">
            <v>CAMIONETA</v>
          </cell>
          <cell r="H323" t="str">
            <v>LAS BAMBAS</v>
          </cell>
          <cell r="I323">
            <v>107633</v>
          </cell>
          <cell r="J323" t="str">
            <v>REPUESTO</v>
          </cell>
          <cell r="K323" t="str">
            <v>MINIFUSIBLES DE 10 AMP.</v>
          </cell>
          <cell r="L323">
            <v>3</v>
          </cell>
          <cell r="M323" t="str">
            <v>UNID.</v>
          </cell>
          <cell r="N323" t="str">
            <v>CAMIONETA</v>
          </cell>
          <cell r="O323">
            <v>0</v>
          </cell>
          <cell r="P323" t="str">
            <v>E2</v>
          </cell>
          <cell r="Q323" t="str">
            <v>J2</v>
          </cell>
          <cell r="R323" t="str">
            <v>J6</v>
          </cell>
          <cell r="S323" t="str">
            <v>ENTREGADO</v>
          </cell>
          <cell r="T323">
            <v>42682</v>
          </cell>
          <cell r="U323" t="str">
            <v>YUCA BELLIDO BORIS YERSY</v>
          </cell>
          <cell r="V323" t="str">
            <v>CORIHUAMAN SURCO  ERICK ROBERT</v>
          </cell>
        </row>
        <row r="324">
          <cell r="A324">
            <v>424</v>
          </cell>
          <cell r="B324">
            <v>42682</v>
          </cell>
          <cell r="C324" t="str">
            <v>NOVIEMBRE</v>
          </cell>
          <cell r="D324" t="str">
            <v>2016</v>
          </cell>
          <cell r="E324">
            <v>255</v>
          </cell>
          <cell r="F324" t="str">
            <v>AAN-801</v>
          </cell>
          <cell r="G324" t="str">
            <v>CAMIONETA</v>
          </cell>
          <cell r="H324" t="str">
            <v>LAS BAMBAS</v>
          </cell>
          <cell r="I324">
            <v>107633</v>
          </cell>
          <cell r="J324" t="str">
            <v>REPUESTO</v>
          </cell>
          <cell r="K324" t="str">
            <v>ACEITE DE MOTOR 15W40</v>
          </cell>
          <cell r="L324">
            <v>2</v>
          </cell>
          <cell r="M324" t="str">
            <v>GLNS.</v>
          </cell>
          <cell r="N324" t="str">
            <v>CAMIONETA</v>
          </cell>
          <cell r="O324">
            <v>0</v>
          </cell>
          <cell r="P324" t="str">
            <v>J1</v>
          </cell>
          <cell r="Q324" t="str">
            <v>J1</v>
          </cell>
          <cell r="R324" t="str">
            <v>J1</v>
          </cell>
          <cell r="S324" t="str">
            <v>ENTREGADO</v>
          </cell>
          <cell r="T324">
            <v>42682</v>
          </cell>
          <cell r="U324" t="str">
            <v>FLOREZ CONDORI  JOSE WILLIANS</v>
          </cell>
          <cell r="V324" t="str">
            <v>FLOREZ CONDORI  JOSE WILLIANS</v>
          </cell>
        </row>
        <row r="325">
          <cell r="A325">
            <v>425</v>
          </cell>
          <cell r="B325">
            <v>42682</v>
          </cell>
          <cell r="C325" t="str">
            <v>NOVIEMBRE</v>
          </cell>
          <cell r="D325" t="str">
            <v>2016</v>
          </cell>
          <cell r="E325">
            <v>255</v>
          </cell>
          <cell r="F325" t="str">
            <v>AAN-801</v>
          </cell>
          <cell r="G325" t="str">
            <v>CAMIONETA</v>
          </cell>
          <cell r="H325" t="str">
            <v>LAS BAMBAS</v>
          </cell>
          <cell r="I325">
            <v>107633</v>
          </cell>
          <cell r="J325" t="str">
            <v>REPUESTO</v>
          </cell>
          <cell r="K325" t="str">
            <v>FILTRO DE COMBUSTIBLE</v>
          </cell>
          <cell r="L325">
            <v>1</v>
          </cell>
          <cell r="M325" t="str">
            <v>UNID.</v>
          </cell>
          <cell r="N325" t="str">
            <v>CAMIONETA</v>
          </cell>
          <cell r="O325">
            <v>0</v>
          </cell>
          <cell r="P325" t="str">
            <v>J1</v>
          </cell>
          <cell r="Q325" t="str">
            <v>J1</v>
          </cell>
          <cell r="R325" t="str">
            <v>J1</v>
          </cell>
          <cell r="S325" t="str">
            <v>ENTREGADO</v>
          </cell>
          <cell r="T325">
            <v>42682</v>
          </cell>
          <cell r="U325" t="str">
            <v>FLOREZ CONDORI  JOSE WILLIANS</v>
          </cell>
          <cell r="V325" t="str">
            <v>FLOREZ CONDORI  JOSE WILLIANS</v>
          </cell>
        </row>
        <row r="326">
          <cell r="A326">
            <v>426</v>
          </cell>
          <cell r="B326">
            <v>42682</v>
          </cell>
          <cell r="C326" t="str">
            <v>NOVIEMBRE</v>
          </cell>
          <cell r="D326" t="str">
            <v>2016</v>
          </cell>
          <cell r="E326">
            <v>255</v>
          </cell>
          <cell r="F326" t="str">
            <v>AAN-801</v>
          </cell>
          <cell r="G326" t="str">
            <v>CAMIONETA</v>
          </cell>
          <cell r="H326" t="str">
            <v>LAS BAMBAS</v>
          </cell>
          <cell r="I326">
            <v>107633</v>
          </cell>
          <cell r="J326" t="str">
            <v>REPUESTO</v>
          </cell>
          <cell r="K326" t="str">
            <v>FILTRO DE AIRE</v>
          </cell>
          <cell r="L326">
            <v>1</v>
          </cell>
          <cell r="M326" t="str">
            <v>UNID.</v>
          </cell>
          <cell r="N326" t="str">
            <v>CAMIONETA</v>
          </cell>
          <cell r="O326">
            <v>0</v>
          </cell>
          <cell r="P326" t="str">
            <v>J1</v>
          </cell>
          <cell r="Q326" t="str">
            <v>J1</v>
          </cell>
          <cell r="R326" t="str">
            <v>J1</v>
          </cell>
          <cell r="S326" t="str">
            <v>ENTREGADO</v>
          </cell>
          <cell r="T326">
            <v>42682</v>
          </cell>
          <cell r="U326" t="str">
            <v>FLOREZ CONDORI  JOSE WILLIANS</v>
          </cell>
          <cell r="V326" t="str">
            <v>FLOREZ CONDORI  JOSE WILLIANS</v>
          </cell>
        </row>
        <row r="327">
          <cell r="A327">
            <v>427</v>
          </cell>
          <cell r="B327">
            <v>42682</v>
          </cell>
          <cell r="C327" t="str">
            <v>NOVIEMBRE</v>
          </cell>
          <cell r="D327" t="str">
            <v>2016</v>
          </cell>
          <cell r="E327">
            <v>255</v>
          </cell>
          <cell r="F327" t="str">
            <v>AAN-801</v>
          </cell>
          <cell r="G327" t="str">
            <v>CAMIONETA</v>
          </cell>
          <cell r="H327" t="str">
            <v>LAS BAMBAS</v>
          </cell>
          <cell r="I327">
            <v>107633</v>
          </cell>
          <cell r="J327" t="str">
            <v>REPUESTO</v>
          </cell>
          <cell r="K327" t="str">
            <v>FILTRO DE ACEITE</v>
          </cell>
          <cell r="L327">
            <v>1</v>
          </cell>
          <cell r="M327" t="str">
            <v>UNID.</v>
          </cell>
          <cell r="N327" t="str">
            <v>CAMIONETA</v>
          </cell>
          <cell r="O327">
            <v>0</v>
          </cell>
          <cell r="P327" t="str">
            <v>J1</v>
          </cell>
          <cell r="Q327" t="str">
            <v>J1</v>
          </cell>
          <cell r="R327" t="str">
            <v>J1</v>
          </cell>
          <cell r="S327" t="str">
            <v>ENTREGADO</v>
          </cell>
          <cell r="T327">
            <v>42682</v>
          </cell>
          <cell r="U327" t="str">
            <v>FLOREZ CONDORI  JOSE WILLIANS</v>
          </cell>
          <cell r="V327" t="str">
            <v>FLOREZ CONDORI  JOSE WILLIANS</v>
          </cell>
        </row>
        <row r="328">
          <cell r="A328">
            <v>432</v>
          </cell>
          <cell r="B328">
            <v>42682</v>
          </cell>
          <cell r="C328" t="str">
            <v>NOVIEMBRE</v>
          </cell>
          <cell r="D328" t="str">
            <v>2016</v>
          </cell>
          <cell r="E328">
            <v>269</v>
          </cell>
          <cell r="F328" t="str">
            <v>ABP-729</v>
          </cell>
          <cell r="G328" t="str">
            <v>D8K-985</v>
          </cell>
          <cell r="H328" t="str">
            <v>LAS BAMBAS</v>
          </cell>
          <cell r="I328">
            <v>105070</v>
          </cell>
          <cell r="J328" t="str">
            <v>REPUESTO</v>
          </cell>
          <cell r="K328" t="str">
            <v>RESORTES GRANDES PARA ZAPATA</v>
          </cell>
          <cell r="L328">
            <v>2</v>
          </cell>
          <cell r="M328" t="str">
            <v>UNID.</v>
          </cell>
          <cell r="N328" t="str">
            <v>CISTERNA</v>
          </cell>
          <cell r="O328">
            <v>0</v>
          </cell>
          <cell r="P328" t="str">
            <v>M3</v>
          </cell>
          <cell r="Q328" t="str">
            <v>J2</v>
          </cell>
          <cell r="R328" t="str">
            <v>J6</v>
          </cell>
          <cell r="S328" t="str">
            <v>ENTREGADO</v>
          </cell>
          <cell r="T328">
            <v>42682</v>
          </cell>
          <cell r="U328" t="str">
            <v>GARCIA PASQUEL  JOSE LUIS</v>
          </cell>
          <cell r="V328" t="str">
            <v>CORIHUAMAN SURCO  ERICK ROBERT</v>
          </cell>
        </row>
        <row r="329">
          <cell r="A329">
            <v>433</v>
          </cell>
          <cell r="B329">
            <v>42682</v>
          </cell>
          <cell r="C329" t="str">
            <v>NOVIEMBRE</v>
          </cell>
          <cell r="D329" t="str">
            <v>2016</v>
          </cell>
          <cell r="E329">
            <v>269</v>
          </cell>
          <cell r="F329" t="str">
            <v>ABP-729</v>
          </cell>
          <cell r="G329" t="str">
            <v>D8K-985</v>
          </cell>
          <cell r="H329" t="str">
            <v>LAS BAMBAS</v>
          </cell>
          <cell r="I329">
            <v>105070</v>
          </cell>
          <cell r="J329" t="str">
            <v>REPUESTO</v>
          </cell>
          <cell r="K329" t="str">
            <v>RESORTES CHICOS PARA ZAPATA</v>
          </cell>
          <cell r="L329">
            <v>4</v>
          </cell>
          <cell r="M329" t="str">
            <v>UNID.</v>
          </cell>
          <cell r="N329" t="str">
            <v>CISTERNA</v>
          </cell>
          <cell r="O329">
            <v>0</v>
          </cell>
          <cell r="P329" t="str">
            <v>M3</v>
          </cell>
          <cell r="Q329" t="str">
            <v>J2</v>
          </cell>
          <cell r="R329" t="str">
            <v>J6</v>
          </cell>
          <cell r="S329" t="str">
            <v>ENTREGADO</v>
          </cell>
          <cell r="T329">
            <v>42682</v>
          </cell>
          <cell r="U329" t="str">
            <v>GARCIA PASQUEL  JOSE LUIS</v>
          </cell>
          <cell r="V329" t="str">
            <v>CORIHUAMAN SURCO  ERICK ROBERT</v>
          </cell>
        </row>
        <row r="330">
          <cell r="A330">
            <v>376</v>
          </cell>
          <cell r="B330">
            <v>42682</v>
          </cell>
          <cell r="C330" t="str">
            <v>NOVIEMBRE</v>
          </cell>
          <cell r="D330" t="str">
            <v>2016</v>
          </cell>
          <cell r="E330">
            <v>265</v>
          </cell>
          <cell r="F330" t="str">
            <v>ABP-783</v>
          </cell>
          <cell r="G330" t="str">
            <v>C9S-988</v>
          </cell>
          <cell r="H330" t="str">
            <v>LAS BAMBAS</v>
          </cell>
          <cell r="I330">
            <v>121589.2</v>
          </cell>
          <cell r="J330" t="str">
            <v>REPUESTO</v>
          </cell>
          <cell r="K330" t="str">
            <v>FOCOS LAGRIMONES AMBAR</v>
          </cell>
          <cell r="L330">
            <v>3</v>
          </cell>
          <cell r="M330" t="str">
            <v>UNID.</v>
          </cell>
          <cell r="N330" t="str">
            <v>TRACTO</v>
          </cell>
          <cell r="O330">
            <v>0</v>
          </cell>
          <cell r="P330" t="str">
            <v>E2</v>
          </cell>
          <cell r="Q330" t="str">
            <v>J2</v>
          </cell>
          <cell r="R330" t="str">
            <v>J6</v>
          </cell>
          <cell r="S330" t="str">
            <v>ENTREGADO</v>
          </cell>
          <cell r="T330">
            <v>42682</v>
          </cell>
          <cell r="U330" t="str">
            <v>YUCA BELLIDO BORIS YERSY</v>
          </cell>
          <cell r="V330" t="str">
            <v>CORIHUAMAN SURCO  ERICK ROBERT</v>
          </cell>
        </row>
        <row r="331">
          <cell r="A331">
            <v>377</v>
          </cell>
          <cell r="B331">
            <v>42682</v>
          </cell>
          <cell r="C331" t="str">
            <v>NOVIEMBRE</v>
          </cell>
          <cell r="D331" t="str">
            <v>2016</v>
          </cell>
          <cell r="E331">
            <v>265</v>
          </cell>
          <cell r="F331" t="str">
            <v>ABP-783</v>
          </cell>
          <cell r="G331" t="str">
            <v>C9S-988</v>
          </cell>
          <cell r="H331" t="str">
            <v>LAS BAMBAS</v>
          </cell>
          <cell r="I331">
            <v>121589.2</v>
          </cell>
          <cell r="J331" t="str">
            <v>REPUESTO</v>
          </cell>
          <cell r="K331" t="str">
            <v xml:space="preserve">SOCKET TOWN </v>
          </cell>
          <cell r="L331">
            <v>1</v>
          </cell>
          <cell r="M331" t="str">
            <v>UNID.</v>
          </cell>
          <cell r="N331" t="str">
            <v>TRACTO</v>
          </cell>
          <cell r="O331">
            <v>0</v>
          </cell>
          <cell r="P331" t="str">
            <v>E2</v>
          </cell>
          <cell r="Q331" t="str">
            <v>J2</v>
          </cell>
          <cell r="R331" t="str">
            <v>J6</v>
          </cell>
          <cell r="S331" t="str">
            <v>ENTREGADO</v>
          </cell>
          <cell r="T331">
            <v>42682</v>
          </cell>
          <cell r="U331" t="str">
            <v>YUCA BELLIDO BORIS YERSY</v>
          </cell>
          <cell r="V331" t="str">
            <v>CORIHUAMAN SURCO  ERICK ROBERT</v>
          </cell>
        </row>
        <row r="332">
          <cell r="A332">
            <v>404</v>
          </cell>
          <cell r="B332">
            <v>42682</v>
          </cell>
          <cell r="C332" t="str">
            <v>NOVIEMBRE</v>
          </cell>
          <cell r="D332" t="str">
            <v>2016</v>
          </cell>
          <cell r="E332">
            <v>265</v>
          </cell>
          <cell r="F332" t="str">
            <v>ABP-783</v>
          </cell>
          <cell r="G332" t="str">
            <v>C9S-988</v>
          </cell>
          <cell r="H332" t="str">
            <v>LAS BAMBAS</v>
          </cell>
          <cell r="I332">
            <v>121589.2</v>
          </cell>
          <cell r="J332" t="str">
            <v>REPUESTO</v>
          </cell>
          <cell r="K332" t="str">
            <v>FAJAS</v>
          </cell>
          <cell r="L332">
            <v>1</v>
          </cell>
          <cell r="M332" t="str">
            <v>JUEGO</v>
          </cell>
          <cell r="N332" t="str">
            <v>CISTERNA</v>
          </cell>
          <cell r="O332">
            <v>0</v>
          </cell>
          <cell r="P332" t="str">
            <v>M3</v>
          </cell>
          <cell r="Q332" t="str">
            <v>J1</v>
          </cell>
          <cell r="R332" t="str">
            <v>J6</v>
          </cell>
          <cell r="S332" t="str">
            <v>ENTREGADO</v>
          </cell>
          <cell r="T332">
            <v>42682</v>
          </cell>
          <cell r="U332" t="str">
            <v>GARCIA PASQUEL  JOSE LUIS</v>
          </cell>
          <cell r="V332" t="str">
            <v>FLOREZ CONDORI  JOSE WILLIANS</v>
          </cell>
        </row>
        <row r="333">
          <cell r="A333">
            <v>405</v>
          </cell>
          <cell r="B333">
            <v>42682</v>
          </cell>
          <cell r="C333" t="str">
            <v>NOVIEMBRE</v>
          </cell>
          <cell r="D333" t="str">
            <v>2016</v>
          </cell>
          <cell r="E333">
            <v>265</v>
          </cell>
          <cell r="F333" t="str">
            <v>ABP-783</v>
          </cell>
          <cell r="G333" t="str">
            <v>C9S-988</v>
          </cell>
          <cell r="H333" t="str">
            <v>LAS BAMBAS</v>
          </cell>
          <cell r="I333">
            <v>121589.2</v>
          </cell>
          <cell r="J333" t="str">
            <v>REPUESTO</v>
          </cell>
          <cell r="K333" t="str">
            <v>REMACHES DE FAJAS</v>
          </cell>
          <cell r="L333">
            <v>200</v>
          </cell>
          <cell r="M333" t="str">
            <v>UNID.</v>
          </cell>
          <cell r="N333" t="str">
            <v>CISTERNA</v>
          </cell>
          <cell r="O333">
            <v>0</v>
          </cell>
          <cell r="P333" t="str">
            <v>M3</v>
          </cell>
          <cell r="Q333" t="str">
            <v>J1</v>
          </cell>
          <cell r="R333" t="str">
            <v>J6</v>
          </cell>
          <cell r="S333" t="str">
            <v>ENTREGADO</v>
          </cell>
          <cell r="T333">
            <v>42682</v>
          </cell>
          <cell r="U333" t="str">
            <v>GARCIA PASQUEL  JOSE LUIS</v>
          </cell>
          <cell r="V333" t="str">
            <v>FLOREZ CONDORI  JOSE WILLIANS</v>
          </cell>
        </row>
        <row r="334">
          <cell r="A334">
            <v>398</v>
          </cell>
          <cell r="B334">
            <v>42682</v>
          </cell>
          <cell r="C334" t="str">
            <v>NOVIEMBRE</v>
          </cell>
          <cell r="D334" t="str">
            <v>2016</v>
          </cell>
          <cell r="E334">
            <v>242</v>
          </cell>
          <cell r="F334" t="str">
            <v>ABQ-705</v>
          </cell>
          <cell r="G334" t="str">
            <v>D0Z-996</v>
          </cell>
          <cell r="H334" t="str">
            <v>LAS BAMBAS</v>
          </cell>
          <cell r="I334">
            <v>104175</v>
          </cell>
          <cell r="J334" t="str">
            <v>REPUESTO</v>
          </cell>
          <cell r="K334" t="str">
            <v>FAROS NEBLINEROS</v>
          </cell>
          <cell r="L334">
            <v>2</v>
          </cell>
          <cell r="M334" t="str">
            <v>UNID.</v>
          </cell>
          <cell r="N334" t="str">
            <v>TRACTO</v>
          </cell>
          <cell r="O334">
            <v>0</v>
          </cell>
          <cell r="P334" t="str">
            <v>E1</v>
          </cell>
          <cell r="Q334" t="str">
            <v>J2</v>
          </cell>
          <cell r="R334" t="str">
            <v>J6</v>
          </cell>
          <cell r="S334" t="str">
            <v>ENTREGADO</v>
          </cell>
          <cell r="T334">
            <v>42682</v>
          </cell>
          <cell r="U334" t="str">
            <v>PALOMINO CARDENAS JUAN CARLOS</v>
          </cell>
          <cell r="V334" t="str">
            <v>CORIHUAMAN SURCO  ERICK ROBERT</v>
          </cell>
        </row>
        <row r="335">
          <cell r="A335">
            <v>305</v>
          </cell>
          <cell r="B335">
            <v>42682</v>
          </cell>
          <cell r="C335" t="str">
            <v>NOVIEMBRE</v>
          </cell>
          <cell r="D335" t="str">
            <v>2016</v>
          </cell>
          <cell r="E335">
            <v>263</v>
          </cell>
          <cell r="F335" t="str">
            <v>ABR-741</v>
          </cell>
          <cell r="G335" t="str">
            <v>T3N-974</v>
          </cell>
          <cell r="H335" t="str">
            <v>LAS BAMBAS</v>
          </cell>
          <cell r="I335">
            <v>103273</v>
          </cell>
          <cell r="J335" t="str">
            <v>REPUESTO</v>
          </cell>
          <cell r="K335" t="str">
            <v>TAPAS METALICAS</v>
          </cell>
          <cell r="L335">
            <v>4</v>
          </cell>
          <cell r="M335" t="str">
            <v>UNID.</v>
          </cell>
          <cell r="N335" t="str">
            <v>TRACTO</v>
          </cell>
          <cell r="O335">
            <v>0</v>
          </cell>
          <cell r="P335" t="str">
            <v>N1</v>
          </cell>
          <cell r="Q335" t="str">
            <v>J3</v>
          </cell>
          <cell r="R335" t="str">
            <v>J3</v>
          </cell>
          <cell r="S335" t="str">
            <v>ENTREGADO</v>
          </cell>
          <cell r="T335">
            <v>42682</v>
          </cell>
          <cell r="U335" t="str">
            <v>AGUILAR CCANTUTA WILLY</v>
          </cell>
          <cell r="V335" t="str">
            <v>CHURA PIZARRO ALBERTO</v>
          </cell>
        </row>
        <row r="336">
          <cell r="A336">
            <v>306</v>
          </cell>
          <cell r="B336">
            <v>42682</v>
          </cell>
          <cell r="C336" t="str">
            <v>NOVIEMBRE</v>
          </cell>
          <cell r="D336" t="str">
            <v>2016</v>
          </cell>
          <cell r="E336">
            <v>263</v>
          </cell>
          <cell r="F336" t="str">
            <v>ABR-741</v>
          </cell>
          <cell r="G336" t="str">
            <v>T3N-974</v>
          </cell>
          <cell r="H336" t="str">
            <v>LAS BAMBAS</v>
          </cell>
          <cell r="I336">
            <v>103273</v>
          </cell>
          <cell r="J336" t="str">
            <v>REPUESTO</v>
          </cell>
          <cell r="K336" t="str">
            <v>AGUJAS DE PITON</v>
          </cell>
          <cell r="L336">
            <v>4</v>
          </cell>
          <cell r="M336" t="str">
            <v>UNID.</v>
          </cell>
          <cell r="N336" t="str">
            <v>TRACTO</v>
          </cell>
          <cell r="O336">
            <v>0</v>
          </cell>
          <cell r="P336" t="str">
            <v>N1</v>
          </cell>
          <cell r="Q336" t="str">
            <v>J3</v>
          </cell>
          <cell r="R336" t="str">
            <v>J3</v>
          </cell>
          <cell r="S336" t="str">
            <v>ENTREGADO</v>
          </cell>
          <cell r="T336">
            <v>42682</v>
          </cell>
          <cell r="U336" t="str">
            <v>AGUILAR CCANTUTA WILLY</v>
          </cell>
          <cell r="V336" t="str">
            <v>CHURA PIZARRO ALBERTO</v>
          </cell>
        </row>
        <row r="337">
          <cell r="A337">
            <v>307</v>
          </cell>
          <cell r="B337">
            <v>42682</v>
          </cell>
          <cell r="C337" t="str">
            <v>NOVIEMBRE</v>
          </cell>
          <cell r="D337" t="str">
            <v>2016</v>
          </cell>
          <cell r="E337">
            <v>263</v>
          </cell>
          <cell r="F337" t="str">
            <v>ABR-741</v>
          </cell>
          <cell r="G337" t="str">
            <v>T3N-974</v>
          </cell>
          <cell r="H337" t="str">
            <v>LAS BAMBAS</v>
          </cell>
          <cell r="I337">
            <v>103273</v>
          </cell>
          <cell r="J337" t="str">
            <v>REPUESTO</v>
          </cell>
          <cell r="K337" t="str">
            <v>PITONES RECTOS</v>
          </cell>
          <cell r="L337">
            <v>4</v>
          </cell>
          <cell r="M337" t="str">
            <v>UNID.</v>
          </cell>
          <cell r="N337" t="str">
            <v>TRACTO</v>
          </cell>
          <cell r="O337">
            <v>0</v>
          </cell>
          <cell r="P337" t="str">
            <v>N1</v>
          </cell>
          <cell r="Q337" t="str">
            <v>J3</v>
          </cell>
          <cell r="R337" t="str">
            <v>J3</v>
          </cell>
          <cell r="S337" t="str">
            <v>ENTREGADO</v>
          </cell>
          <cell r="T337">
            <v>42682</v>
          </cell>
          <cell r="U337" t="str">
            <v>AGUILAR CCANTUTA WILLY</v>
          </cell>
          <cell r="V337" t="str">
            <v>CHURA PIZARRO ALBERTO</v>
          </cell>
        </row>
        <row r="338">
          <cell r="A338">
            <v>312</v>
          </cell>
          <cell r="B338">
            <v>42682</v>
          </cell>
          <cell r="C338" t="str">
            <v>NOVIEMBRE</v>
          </cell>
          <cell r="D338" t="str">
            <v>2016</v>
          </cell>
          <cell r="E338">
            <v>263</v>
          </cell>
          <cell r="F338" t="str">
            <v>ABR-741</v>
          </cell>
          <cell r="G338" t="str">
            <v>T3N-974</v>
          </cell>
          <cell r="H338" t="str">
            <v>LAS BAMBAS</v>
          </cell>
          <cell r="I338">
            <v>103273</v>
          </cell>
          <cell r="J338" t="str">
            <v>REPUESTO</v>
          </cell>
          <cell r="K338" t="str">
            <v>AGUJAS DE PITON</v>
          </cell>
          <cell r="L338">
            <v>8</v>
          </cell>
          <cell r="M338" t="str">
            <v>UNID.</v>
          </cell>
          <cell r="N338" t="str">
            <v>CISTERNA</v>
          </cell>
          <cell r="O338">
            <v>0</v>
          </cell>
          <cell r="P338" t="str">
            <v>N2</v>
          </cell>
          <cell r="Q338" t="str">
            <v>J3</v>
          </cell>
          <cell r="R338" t="str">
            <v>J6</v>
          </cell>
          <cell r="S338" t="str">
            <v>ENTREGADO</v>
          </cell>
          <cell r="T338">
            <v>42682</v>
          </cell>
          <cell r="U338" t="str">
            <v>MAMANI LARICO  EDUARDO ALVARO</v>
          </cell>
          <cell r="V338" t="str">
            <v>CHURA PIZARRO ALBERTO</v>
          </cell>
        </row>
        <row r="339">
          <cell r="A339">
            <v>313</v>
          </cell>
          <cell r="B339">
            <v>42682</v>
          </cell>
          <cell r="C339" t="str">
            <v>NOVIEMBRE</v>
          </cell>
          <cell r="D339" t="str">
            <v>2016</v>
          </cell>
          <cell r="E339">
            <v>263</v>
          </cell>
          <cell r="F339" t="str">
            <v>ABR-741</v>
          </cell>
          <cell r="G339" t="str">
            <v>T3N-974</v>
          </cell>
          <cell r="H339" t="str">
            <v>LAS BAMBAS</v>
          </cell>
          <cell r="I339">
            <v>103273</v>
          </cell>
          <cell r="J339" t="str">
            <v>REPUESTO</v>
          </cell>
          <cell r="K339" t="str">
            <v>TAPAS METALICAS</v>
          </cell>
          <cell r="L339">
            <v>8</v>
          </cell>
          <cell r="M339" t="str">
            <v>UNID.</v>
          </cell>
          <cell r="N339" t="str">
            <v>CISTERNA</v>
          </cell>
          <cell r="O339">
            <v>0</v>
          </cell>
          <cell r="P339" t="str">
            <v>N2</v>
          </cell>
          <cell r="Q339" t="str">
            <v>J3</v>
          </cell>
          <cell r="R339" t="str">
            <v>J6</v>
          </cell>
          <cell r="S339" t="str">
            <v>ENTREGADO</v>
          </cell>
          <cell r="T339">
            <v>42682</v>
          </cell>
          <cell r="U339" t="str">
            <v>MAMANI LARICO  EDUARDO ALVARO</v>
          </cell>
          <cell r="V339" t="str">
            <v>CHURA PIZARRO ALBERTO</v>
          </cell>
        </row>
        <row r="340">
          <cell r="A340">
            <v>314</v>
          </cell>
          <cell r="B340">
            <v>42682</v>
          </cell>
          <cell r="C340" t="str">
            <v>NOVIEMBRE</v>
          </cell>
          <cell r="D340" t="str">
            <v>2016</v>
          </cell>
          <cell r="E340">
            <v>263</v>
          </cell>
          <cell r="F340" t="str">
            <v>ABR-741</v>
          </cell>
          <cell r="G340" t="str">
            <v>T3N-974</v>
          </cell>
          <cell r="H340" t="str">
            <v>LAS BAMBAS</v>
          </cell>
          <cell r="I340">
            <v>103273</v>
          </cell>
          <cell r="J340" t="str">
            <v>REPUESTO</v>
          </cell>
          <cell r="K340" t="str">
            <v>PITONES RECTOS</v>
          </cell>
          <cell r="L340">
            <v>8</v>
          </cell>
          <cell r="M340" t="str">
            <v>UNID.</v>
          </cell>
          <cell r="N340" t="str">
            <v>CISTERNA</v>
          </cell>
          <cell r="O340">
            <v>0</v>
          </cell>
          <cell r="P340" t="str">
            <v>N2</v>
          </cell>
          <cell r="Q340" t="str">
            <v>J3</v>
          </cell>
          <cell r="R340" t="str">
            <v>J6</v>
          </cell>
          <cell r="S340" t="str">
            <v>ENTREGADO</v>
          </cell>
          <cell r="T340">
            <v>42682</v>
          </cell>
          <cell r="U340" t="str">
            <v>MAMANI LARICO  EDUARDO ALVARO</v>
          </cell>
          <cell r="V340" t="str">
            <v>CHURA PIZARRO ALBERTO</v>
          </cell>
        </row>
        <row r="341">
          <cell r="A341">
            <v>343</v>
          </cell>
          <cell r="B341">
            <v>42682</v>
          </cell>
          <cell r="C341" t="str">
            <v>NOVIEMBRE</v>
          </cell>
          <cell r="D341" t="str">
            <v>2016</v>
          </cell>
          <cell r="E341">
            <v>263</v>
          </cell>
          <cell r="F341" t="str">
            <v>ABR-741</v>
          </cell>
          <cell r="G341" t="str">
            <v>T3N-974</v>
          </cell>
          <cell r="H341" t="str">
            <v>LAS BAMBAS</v>
          </cell>
          <cell r="I341">
            <v>103273</v>
          </cell>
          <cell r="J341" t="str">
            <v>REPUESTO</v>
          </cell>
          <cell r="K341" t="str">
            <v>FAROS NEBLINEROS</v>
          </cell>
          <cell r="L341">
            <v>2</v>
          </cell>
          <cell r="M341" t="str">
            <v>UNID.</v>
          </cell>
          <cell r="N341" t="str">
            <v>TRACTO</v>
          </cell>
          <cell r="O341">
            <v>0</v>
          </cell>
          <cell r="P341" t="str">
            <v>E1</v>
          </cell>
          <cell r="Q341" t="str">
            <v>J1</v>
          </cell>
          <cell r="R341" t="str">
            <v>J5</v>
          </cell>
          <cell r="S341" t="str">
            <v>ENTREGADO</v>
          </cell>
          <cell r="T341">
            <v>42682</v>
          </cell>
          <cell r="U341" t="str">
            <v>PALOMINO CARDENAS JUAN CARLOS</v>
          </cell>
          <cell r="V341" t="str">
            <v>FLOREZ CONDORI  JOSE WILLIANS</v>
          </cell>
        </row>
        <row r="342">
          <cell r="A342">
            <v>344</v>
          </cell>
          <cell r="B342">
            <v>42682</v>
          </cell>
          <cell r="C342" t="str">
            <v>NOVIEMBRE</v>
          </cell>
          <cell r="D342" t="str">
            <v>2016</v>
          </cell>
          <cell r="E342">
            <v>263</v>
          </cell>
          <cell r="F342" t="str">
            <v>ABR-741</v>
          </cell>
          <cell r="G342" t="str">
            <v>T3N-974</v>
          </cell>
          <cell r="H342" t="str">
            <v>LAS BAMBAS</v>
          </cell>
          <cell r="I342">
            <v>103273</v>
          </cell>
          <cell r="J342" t="str">
            <v>REPUESTO</v>
          </cell>
          <cell r="K342" t="str">
            <v>PERNOS 5/16 X 1 1/2</v>
          </cell>
          <cell r="L342">
            <v>2</v>
          </cell>
          <cell r="M342" t="str">
            <v>UNID.</v>
          </cell>
          <cell r="N342" t="str">
            <v>TRACTO</v>
          </cell>
          <cell r="O342">
            <v>0</v>
          </cell>
          <cell r="P342" t="str">
            <v>E1</v>
          </cell>
          <cell r="Q342" t="str">
            <v>J1</v>
          </cell>
          <cell r="R342" t="str">
            <v>J5</v>
          </cell>
          <cell r="S342" t="str">
            <v>ENTREGADO</v>
          </cell>
          <cell r="T342">
            <v>42682</v>
          </cell>
          <cell r="U342" t="str">
            <v>PALOMINO CARDENAS JUAN CARLOS</v>
          </cell>
          <cell r="V342" t="str">
            <v>FLOREZ CONDORI  JOSE WILLIANS</v>
          </cell>
        </row>
        <row r="343">
          <cell r="A343">
            <v>345</v>
          </cell>
          <cell r="B343">
            <v>42682</v>
          </cell>
          <cell r="C343" t="str">
            <v>NOVIEMBRE</v>
          </cell>
          <cell r="D343" t="str">
            <v>2016</v>
          </cell>
          <cell r="E343">
            <v>263</v>
          </cell>
          <cell r="F343" t="str">
            <v>ABR-741</v>
          </cell>
          <cell r="G343" t="str">
            <v>T3N-974</v>
          </cell>
          <cell r="H343" t="str">
            <v>LAS BAMBAS</v>
          </cell>
          <cell r="I343">
            <v>103273</v>
          </cell>
          <cell r="J343" t="str">
            <v>REPUESTO</v>
          </cell>
          <cell r="K343" t="str">
            <v>VOLANDAS 5/16</v>
          </cell>
          <cell r="L343">
            <v>8</v>
          </cell>
          <cell r="M343" t="str">
            <v>UNID.</v>
          </cell>
          <cell r="N343" t="str">
            <v>TRACTO</v>
          </cell>
          <cell r="O343">
            <v>0</v>
          </cell>
          <cell r="P343" t="str">
            <v>E1</v>
          </cell>
          <cell r="Q343" t="str">
            <v>J1</v>
          </cell>
          <cell r="R343" t="str">
            <v>J5</v>
          </cell>
          <cell r="S343" t="str">
            <v>ENTREGADO</v>
          </cell>
          <cell r="T343">
            <v>42682</v>
          </cell>
          <cell r="U343" t="str">
            <v>PALOMINO CARDENAS JUAN CARLOS</v>
          </cell>
          <cell r="V343" t="str">
            <v>FLOREZ CONDORI  JOSE WILLIANS</v>
          </cell>
        </row>
        <row r="344">
          <cell r="A344">
            <v>346</v>
          </cell>
          <cell r="B344">
            <v>42682</v>
          </cell>
          <cell r="C344" t="str">
            <v>NOVIEMBRE</v>
          </cell>
          <cell r="D344" t="str">
            <v>2016</v>
          </cell>
          <cell r="E344">
            <v>263</v>
          </cell>
          <cell r="F344" t="str">
            <v>ABR-741</v>
          </cell>
          <cell r="G344" t="str">
            <v>T3N-974</v>
          </cell>
          <cell r="H344" t="str">
            <v>LAS BAMBAS</v>
          </cell>
          <cell r="I344">
            <v>103273</v>
          </cell>
          <cell r="J344" t="str">
            <v>REPUESTO</v>
          </cell>
          <cell r="K344" t="str">
            <v>TUERCA SEGURO 5/16</v>
          </cell>
          <cell r="L344">
            <v>2</v>
          </cell>
          <cell r="M344" t="str">
            <v>UNID.</v>
          </cell>
          <cell r="N344" t="str">
            <v>TRACTO</v>
          </cell>
          <cell r="O344">
            <v>0</v>
          </cell>
          <cell r="P344" t="str">
            <v>E1</v>
          </cell>
          <cell r="Q344" t="str">
            <v>J1</v>
          </cell>
          <cell r="R344" t="str">
            <v>J5</v>
          </cell>
          <cell r="S344" t="str">
            <v>ENTREGADO</v>
          </cell>
          <cell r="T344">
            <v>42682</v>
          </cell>
          <cell r="U344" t="str">
            <v>PALOMINO CARDENAS JUAN CARLOS</v>
          </cell>
          <cell r="V344" t="str">
            <v>FLOREZ CONDORI  JOSE WILLIANS</v>
          </cell>
        </row>
        <row r="345">
          <cell r="A345">
            <v>347</v>
          </cell>
          <cell r="B345">
            <v>42682</v>
          </cell>
          <cell r="C345" t="str">
            <v>NOVIEMBRE</v>
          </cell>
          <cell r="D345" t="str">
            <v>2016</v>
          </cell>
          <cell r="E345">
            <v>263</v>
          </cell>
          <cell r="F345" t="str">
            <v>ABR-741</v>
          </cell>
          <cell r="G345" t="str">
            <v>T3N-974</v>
          </cell>
          <cell r="H345" t="str">
            <v>LAS BAMBAS</v>
          </cell>
          <cell r="I345">
            <v>103273</v>
          </cell>
          <cell r="J345" t="str">
            <v>REPUESTO</v>
          </cell>
          <cell r="K345" t="str">
            <v>CABLE NRO. 14</v>
          </cell>
          <cell r="L345">
            <v>14</v>
          </cell>
          <cell r="M345" t="str">
            <v>UNID.</v>
          </cell>
          <cell r="N345" t="str">
            <v>TRACTO</v>
          </cell>
          <cell r="O345">
            <v>0</v>
          </cell>
          <cell r="P345" t="str">
            <v>E1</v>
          </cell>
          <cell r="Q345" t="str">
            <v>J1</v>
          </cell>
          <cell r="R345" t="str">
            <v>J5</v>
          </cell>
          <cell r="S345" t="str">
            <v>ENTREGADO</v>
          </cell>
          <cell r="T345">
            <v>42682</v>
          </cell>
          <cell r="U345" t="str">
            <v>PALOMINO CARDENAS JUAN CARLOS</v>
          </cell>
          <cell r="V345" t="str">
            <v>FLOREZ CONDORI  JOSE WILLIANS</v>
          </cell>
        </row>
        <row r="346">
          <cell r="A346">
            <v>348</v>
          </cell>
          <cell r="B346">
            <v>42682</v>
          </cell>
          <cell r="C346" t="str">
            <v>NOVIEMBRE</v>
          </cell>
          <cell r="D346" t="str">
            <v>2016</v>
          </cell>
          <cell r="E346">
            <v>263</v>
          </cell>
          <cell r="F346" t="str">
            <v>ABR-741</v>
          </cell>
          <cell r="G346" t="str">
            <v>T3N-974</v>
          </cell>
          <cell r="H346" t="str">
            <v>LAS BAMBAS</v>
          </cell>
          <cell r="I346">
            <v>103273</v>
          </cell>
          <cell r="J346" t="str">
            <v>REPUESTO</v>
          </cell>
          <cell r="K346" t="str">
            <v>TUBO CORRUGADO 1/4</v>
          </cell>
          <cell r="L346">
            <v>5</v>
          </cell>
          <cell r="M346" t="str">
            <v>UNID.</v>
          </cell>
          <cell r="N346" t="str">
            <v>TRACTO</v>
          </cell>
          <cell r="O346">
            <v>0</v>
          </cell>
          <cell r="P346" t="str">
            <v>E1</v>
          </cell>
          <cell r="Q346" t="str">
            <v>J1</v>
          </cell>
          <cell r="R346" t="str">
            <v>J5</v>
          </cell>
          <cell r="S346" t="str">
            <v>ENTREGADO</v>
          </cell>
          <cell r="T346">
            <v>42682</v>
          </cell>
          <cell r="U346" t="str">
            <v>PALOMINO CARDENAS JUAN CARLOS</v>
          </cell>
          <cell r="V346" t="str">
            <v>FLOREZ CONDORI  JOSE WILLIANS</v>
          </cell>
        </row>
        <row r="347">
          <cell r="A347">
            <v>349</v>
          </cell>
          <cell r="B347">
            <v>42682</v>
          </cell>
          <cell r="C347" t="str">
            <v>NOVIEMBRE</v>
          </cell>
          <cell r="D347" t="str">
            <v>2016</v>
          </cell>
          <cell r="E347">
            <v>263</v>
          </cell>
          <cell r="F347" t="str">
            <v>ABR-741</v>
          </cell>
          <cell r="G347" t="str">
            <v>T3N-974</v>
          </cell>
          <cell r="H347" t="str">
            <v>LAS BAMBAS</v>
          </cell>
          <cell r="I347">
            <v>103273</v>
          </cell>
          <cell r="J347" t="str">
            <v>REPUESTO</v>
          </cell>
          <cell r="K347" t="str">
            <v>RELAY 12 V</v>
          </cell>
          <cell r="L347">
            <v>1</v>
          </cell>
          <cell r="M347" t="str">
            <v>UNID.</v>
          </cell>
          <cell r="N347" t="str">
            <v>TRACTO</v>
          </cell>
          <cell r="O347">
            <v>0</v>
          </cell>
          <cell r="P347" t="str">
            <v>E1</v>
          </cell>
          <cell r="Q347" t="str">
            <v>J1</v>
          </cell>
          <cell r="R347" t="str">
            <v>J5</v>
          </cell>
          <cell r="S347" t="str">
            <v>ENTREGADO</v>
          </cell>
          <cell r="T347">
            <v>42682</v>
          </cell>
          <cell r="U347" t="str">
            <v>PALOMINO CARDENAS JUAN CARLOS</v>
          </cell>
          <cell r="V347" t="str">
            <v>FLOREZ CONDORI  JOSE WILLIANS</v>
          </cell>
        </row>
        <row r="348">
          <cell r="A348">
            <v>350</v>
          </cell>
          <cell r="B348">
            <v>42682</v>
          </cell>
          <cell r="C348" t="str">
            <v>NOVIEMBRE</v>
          </cell>
          <cell r="D348" t="str">
            <v>2016</v>
          </cell>
          <cell r="E348">
            <v>263</v>
          </cell>
          <cell r="F348" t="str">
            <v>ABR-741</v>
          </cell>
          <cell r="G348" t="str">
            <v>T3N-974</v>
          </cell>
          <cell r="H348" t="str">
            <v>LAS BAMBAS</v>
          </cell>
          <cell r="I348">
            <v>103273</v>
          </cell>
          <cell r="J348" t="str">
            <v>REPUESTO</v>
          </cell>
          <cell r="K348" t="str">
            <v>PORTA RELAY</v>
          </cell>
          <cell r="L348">
            <v>1</v>
          </cell>
          <cell r="M348" t="str">
            <v>UNID.</v>
          </cell>
          <cell r="N348" t="str">
            <v>TRACTO</v>
          </cell>
          <cell r="O348">
            <v>0</v>
          </cell>
          <cell r="P348" t="str">
            <v>E1</v>
          </cell>
          <cell r="Q348" t="str">
            <v>J1</v>
          </cell>
          <cell r="R348" t="str">
            <v>J5</v>
          </cell>
          <cell r="S348" t="str">
            <v>ENTREGADO</v>
          </cell>
          <cell r="T348">
            <v>42682</v>
          </cell>
          <cell r="U348" t="str">
            <v>PALOMINO CARDENAS JUAN CARLOS</v>
          </cell>
          <cell r="V348" t="str">
            <v>FLOREZ CONDORI  JOSE WILLIANS</v>
          </cell>
        </row>
        <row r="349">
          <cell r="A349">
            <v>351</v>
          </cell>
          <cell r="B349">
            <v>42682</v>
          </cell>
          <cell r="C349" t="str">
            <v>NOVIEMBRE</v>
          </cell>
          <cell r="D349" t="str">
            <v>2016</v>
          </cell>
          <cell r="E349">
            <v>263</v>
          </cell>
          <cell r="F349" t="str">
            <v>ABR-741</v>
          </cell>
          <cell r="G349" t="str">
            <v>T3N-974</v>
          </cell>
          <cell r="H349" t="str">
            <v>LAS BAMBAS</v>
          </cell>
          <cell r="I349">
            <v>103273</v>
          </cell>
          <cell r="J349" t="str">
            <v>REPUESTO</v>
          </cell>
          <cell r="K349" t="str">
            <v>PORTA FUSIBLE</v>
          </cell>
          <cell r="L349">
            <v>1</v>
          </cell>
          <cell r="M349" t="str">
            <v>UNID.</v>
          </cell>
          <cell r="N349" t="str">
            <v>TRACTO</v>
          </cell>
          <cell r="O349">
            <v>0</v>
          </cell>
          <cell r="P349" t="str">
            <v>E1</v>
          </cell>
          <cell r="Q349" t="str">
            <v>J1</v>
          </cell>
          <cell r="R349" t="str">
            <v>J5</v>
          </cell>
          <cell r="S349" t="str">
            <v>ENTREGADO</v>
          </cell>
          <cell r="T349">
            <v>42682</v>
          </cell>
          <cell r="U349" t="str">
            <v>PALOMINO CARDENAS JUAN CARLOS</v>
          </cell>
          <cell r="V349" t="str">
            <v>FLOREZ CONDORI  JOSE WILLIANS</v>
          </cell>
        </row>
        <row r="350">
          <cell r="A350">
            <v>352</v>
          </cell>
          <cell r="B350">
            <v>42682</v>
          </cell>
          <cell r="C350" t="str">
            <v>NOVIEMBRE</v>
          </cell>
          <cell r="D350" t="str">
            <v>2016</v>
          </cell>
          <cell r="E350">
            <v>263</v>
          </cell>
          <cell r="F350" t="str">
            <v>ABR-741</v>
          </cell>
          <cell r="G350" t="str">
            <v>T3N-974</v>
          </cell>
          <cell r="H350" t="str">
            <v>LAS BAMBAS</v>
          </cell>
          <cell r="I350">
            <v>103273</v>
          </cell>
          <cell r="J350" t="str">
            <v>REPUESTO</v>
          </cell>
          <cell r="K350" t="str">
            <v>FUSIBLE 20 AMP</v>
          </cell>
          <cell r="L350">
            <v>1</v>
          </cell>
          <cell r="M350" t="str">
            <v>UNID.</v>
          </cell>
          <cell r="N350" t="str">
            <v>TRACTO</v>
          </cell>
          <cell r="O350">
            <v>0</v>
          </cell>
          <cell r="P350" t="str">
            <v>E1</v>
          </cell>
          <cell r="Q350" t="str">
            <v>J1</v>
          </cell>
          <cell r="R350" t="str">
            <v>J5</v>
          </cell>
          <cell r="S350" t="str">
            <v>ENTREGADO</v>
          </cell>
          <cell r="T350">
            <v>42682</v>
          </cell>
          <cell r="U350" t="str">
            <v>PALOMINO CARDENAS JUAN CARLOS</v>
          </cell>
          <cell r="V350" t="str">
            <v>FLOREZ CONDORI  JOSE WILLIANS</v>
          </cell>
        </row>
        <row r="351">
          <cell r="A351">
            <v>369</v>
          </cell>
          <cell r="B351">
            <v>42682</v>
          </cell>
          <cell r="C351" t="str">
            <v>NOVIEMBRE</v>
          </cell>
          <cell r="D351" t="str">
            <v>2016</v>
          </cell>
          <cell r="E351">
            <v>263</v>
          </cell>
          <cell r="F351" t="str">
            <v>ABR-741</v>
          </cell>
          <cell r="G351" t="str">
            <v>T3N-974</v>
          </cell>
          <cell r="H351" t="str">
            <v>LAS BAMBAS</v>
          </cell>
          <cell r="I351">
            <v>103273</v>
          </cell>
          <cell r="J351" t="str">
            <v>REPUESTO</v>
          </cell>
          <cell r="K351" t="str">
            <v>PERNOS 3/8 X 2 1/2</v>
          </cell>
          <cell r="L351">
            <v>2</v>
          </cell>
          <cell r="M351" t="str">
            <v>UNID.</v>
          </cell>
          <cell r="N351" t="str">
            <v>TRACTO</v>
          </cell>
          <cell r="O351">
            <v>108</v>
          </cell>
          <cell r="P351" t="str">
            <v>M8</v>
          </cell>
          <cell r="Q351" t="str">
            <v>J1</v>
          </cell>
          <cell r="R351" t="str">
            <v>J5</v>
          </cell>
          <cell r="S351" t="str">
            <v>ENTREGADO</v>
          </cell>
          <cell r="T351">
            <v>0</v>
          </cell>
          <cell r="U351" t="str">
            <v>VARILLAS GAGO  OSCAR ALBERTO</v>
          </cell>
          <cell r="V351" t="str">
            <v>FLOREZ CONDORI  JOSE WILLIANS</v>
          </cell>
        </row>
        <row r="352">
          <cell r="A352">
            <v>379</v>
          </cell>
          <cell r="B352">
            <v>42682</v>
          </cell>
          <cell r="C352" t="str">
            <v>NOVIEMBRE</v>
          </cell>
          <cell r="D352" t="str">
            <v>2016</v>
          </cell>
          <cell r="E352">
            <v>263</v>
          </cell>
          <cell r="F352" t="str">
            <v>ABR-741</v>
          </cell>
          <cell r="G352" t="str">
            <v>T3N-974</v>
          </cell>
          <cell r="H352" t="str">
            <v>LAS BAMBAS</v>
          </cell>
          <cell r="I352">
            <v>103273</v>
          </cell>
          <cell r="J352" t="str">
            <v>REPUESTO</v>
          </cell>
          <cell r="K352" t="str">
            <v>FOCO LAGRIMON</v>
          </cell>
          <cell r="L352">
            <v>1</v>
          </cell>
          <cell r="M352" t="str">
            <v>UNID.</v>
          </cell>
          <cell r="N352" t="str">
            <v>TRACTO</v>
          </cell>
          <cell r="O352">
            <v>0</v>
          </cell>
          <cell r="P352" t="str">
            <v>E1</v>
          </cell>
          <cell r="Q352" t="str">
            <v>J1</v>
          </cell>
          <cell r="R352" t="str">
            <v>J6</v>
          </cell>
          <cell r="S352" t="str">
            <v>ENTREGADO</v>
          </cell>
          <cell r="T352">
            <v>42682</v>
          </cell>
          <cell r="U352" t="str">
            <v>PALOMINO CARDENAS JUAN CARLOS</v>
          </cell>
          <cell r="V352" t="str">
            <v>FLOREZ CONDORI  JOSE WILLIANS</v>
          </cell>
        </row>
        <row r="353">
          <cell r="A353">
            <v>304</v>
          </cell>
          <cell r="B353">
            <v>42682</v>
          </cell>
          <cell r="C353" t="str">
            <v>NOVIEMBRE</v>
          </cell>
          <cell r="D353" t="str">
            <v>2016</v>
          </cell>
          <cell r="E353">
            <v>263</v>
          </cell>
          <cell r="F353" t="str">
            <v>ABR-741</v>
          </cell>
          <cell r="G353" t="str">
            <v>T3N-974</v>
          </cell>
          <cell r="H353" t="str">
            <v>LAS BAMBAS</v>
          </cell>
          <cell r="I353">
            <v>103273</v>
          </cell>
          <cell r="J353" t="str">
            <v>REPUESTO</v>
          </cell>
          <cell r="K353" t="str">
            <v>LLANTAS REENCAUCHADAS IDY</v>
          </cell>
          <cell r="L353">
            <v>4</v>
          </cell>
          <cell r="M353" t="str">
            <v>UNID.</v>
          </cell>
          <cell r="N353" t="str">
            <v>TRACTO</v>
          </cell>
          <cell r="O353">
            <v>0</v>
          </cell>
          <cell r="P353" t="str">
            <v>N1</v>
          </cell>
          <cell r="Q353" t="str">
            <v>J3</v>
          </cell>
          <cell r="R353" t="str">
            <v>J3</v>
          </cell>
          <cell r="S353" t="str">
            <v>ENTREGADO</v>
          </cell>
          <cell r="T353">
            <v>42682</v>
          </cell>
          <cell r="U353" t="str">
            <v>AGUILAR CCANTUTA WILLY</v>
          </cell>
          <cell r="V353" t="str">
            <v>CHURA PIZARRO ALBERTO</v>
          </cell>
        </row>
        <row r="354">
          <cell r="A354">
            <v>311</v>
          </cell>
          <cell r="B354">
            <v>42682</v>
          </cell>
          <cell r="C354" t="str">
            <v>NOVIEMBRE</v>
          </cell>
          <cell r="D354" t="str">
            <v>2016</v>
          </cell>
          <cell r="E354">
            <v>263</v>
          </cell>
          <cell r="F354" t="str">
            <v>ABR-741</v>
          </cell>
          <cell r="G354" t="str">
            <v>T3N-974</v>
          </cell>
          <cell r="H354" t="str">
            <v>LAS BAMBAS</v>
          </cell>
          <cell r="I354">
            <v>103273</v>
          </cell>
          <cell r="J354" t="str">
            <v>REPUESTO</v>
          </cell>
          <cell r="K354" t="str">
            <v>LLANTAS REENCAUCHADAS IZB</v>
          </cell>
          <cell r="L354">
            <v>8</v>
          </cell>
          <cell r="M354" t="str">
            <v>UNID.</v>
          </cell>
          <cell r="N354" t="str">
            <v>CISTERNA</v>
          </cell>
          <cell r="O354">
            <v>0</v>
          </cell>
          <cell r="P354" t="str">
            <v>N2</v>
          </cell>
          <cell r="Q354" t="str">
            <v>J3</v>
          </cell>
          <cell r="R354" t="str">
            <v>J6</v>
          </cell>
          <cell r="S354" t="str">
            <v>ENTREGADO</v>
          </cell>
          <cell r="T354">
            <v>42682</v>
          </cell>
          <cell r="U354" t="str">
            <v>MAMANI LARICO  EDUARDO ALVARO</v>
          </cell>
          <cell r="V354" t="str">
            <v>CHURA PIZARRO ALBERTO</v>
          </cell>
        </row>
        <row r="355">
          <cell r="A355">
            <v>413</v>
          </cell>
          <cell r="B355">
            <v>42682</v>
          </cell>
          <cell r="C355" t="str">
            <v>NOVIEMBRE</v>
          </cell>
          <cell r="D355" t="str">
            <v>2016</v>
          </cell>
          <cell r="E355">
            <v>246</v>
          </cell>
          <cell r="F355" t="str">
            <v>ABR-759</v>
          </cell>
          <cell r="G355" t="str">
            <v>D0Z-995</v>
          </cell>
          <cell r="H355" t="str">
            <v>LAS BAMBAS</v>
          </cell>
          <cell r="I355">
            <v>106428</v>
          </cell>
          <cell r="J355" t="str">
            <v>REPUESTO</v>
          </cell>
          <cell r="K355" t="str">
            <v>RELAY</v>
          </cell>
          <cell r="L355">
            <v>1</v>
          </cell>
          <cell r="M355" t="str">
            <v>UNID.</v>
          </cell>
          <cell r="N355" t="str">
            <v>TRACTO</v>
          </cell>
          <cell r="O355">
            <v>0</v>
          </cell>
          <cell r="P355" t="str">
            <v>E2</v>
          </cell>
          <cell r="Q355" t="str">
            <v>J1</v>
          </cell>
          <cell r="R355" t="str">
            <v>J6</v>
          </cell>
          <cell r="S355" t="str">
            <v>ENTREGADO</v>
          </cell>
          <cell r="T355">
            <v>42682</v>
          </cell>
          <cell r="U355" t="str">
            <v>YUCA BELLIDO BORIS YERSY</v>
          </cell>
          <cell r="V355" t="str">
            <v>FLOREZ CONDORI  JOSE WILLIANS</v>
          </cell>
        </row>
        <row r="356">
          <cell r="A356">
            <v>435</v>
          </cell>
          <cell r="B356">
            <v>42682</v>
          </cell>
          <cell r="C356" t="str">
            <v>NOVIEMBRE</v>
          </cell>
          <cell r="D356" t="str">
            <v>2016</v>
          </cell>
          <cell r="E356">
            <v>264</v>
          </cell>
          <cell r="F356" t="str">
            <v>AEJ-949</v>
          </cell>
          <cell r="G356" t="str">
            <v>CAMIONETA</v>
          </cell>
          <cell r="H356" t="str">
            <v>LAS BAMBAS</v>
          </cell>
          <cell r="I356">
            <v>85037</v>
          </cell>
          <cell r="J356" t="str">
            <v>REPUESTO</v>
          </cell>
          <cell r="K356" t="str">
            <v>CORREA DE ALTERNADOR PARA MOTOR 1KD HILUX TOYOTA</v>
          </cell>
          <cell r="L356">
            <v>1</v>
          </cell>
          <cell r="M356" t="str">
            <v>UNID.</v>
          </cell>
          <cell r="N356" t="str">
            <v>CAMIONETA</v>
          </cell>
          <cell r="O356">
            <v>0</v>
          </cell>
          <cell r="P356" t="str">
            <v>M6</v>
          </cell>
          <cell r="Q356" t="str">
            <v>J1</v>
          </cell>
          <cell r="R356" t="str">
            <v>J1</v>
          </cell>
          <cell r="S356" t="str">
            <v>ENTREGADO</v>
          </cell>
          <cell r="T356">
            <v>42682</v>
          </cell>
          <cell r="U356" t="str">
            <v>PARI VENTURA  EDSON ORLANDO</v>
          </cell>
          <cell r="V356" t="str">
            <v>FLOREZ CONDORI  JOSE WILLIANS</v>
          </cell>
        </row>
        <row r="357">
          <cell r="A357">
            <v>299</v>
          </cell>
          <cell r="B357">
            <v>42682</v>
          </cell>
          <cell r="C357" t="str">
            <v>NOVIEMBRE</v>
          </cell>
          <cell r="D357" t="str">
            <v>2016</v>
          </cell>
          <cell r="E357">
            <v>257</v>
          </cell>
          <cell r="F357" t="str">
            <v>AKW-894</v>
          </cell>
          <cell r="G357" t="str">
            <v>TBN-978</v>
          </cell>
          <cell r="H357" t="str">
            <v>LAS BAMBAS</v>
          </cell>
          <cell r="I357">
            <v>35246</v>
          </cell>
          <cell r="J357" t="str">
            <v>REPUESTO</v>
          </cell>
          <cell r="K357" t="str">
            <v>FILTRO DE AIRE</v>
          </cell>
          <cell r="L357">
            <v>1</v>
          </cell>
          <cell r="M357" t="str">
            <v>UNID.</v>
          </cell>
          <cell r="N357" t="str">
            <v>TRACTO</v>
          </cell>
          <cell r="O357">
            <v>0</v>
          </cell>
          <cell r="P357" t="str">
            <v>M2</v>
          </cell>
          <cell r="Q357" t="str">
            <v>J1</v>
          </cell>
          <cell r="R357" t="str">
            <v>J6</v>
          </cell>
          <cell r="S357" t="str">
            <v>ENTREGADO</v>
          </cell>
          <cell r="T357">
            <v>42682</v>
          </cell>
          <cell r="U357" t="str">
            <v>CHUMPITAZ GAGO JULIO ENRIQUE</v>
          </cell>
          <cell r="V357" t="str">
            <v>FLOREZ CONDORI  JOSE WILLIANS</v>
          </cell>
        </row>
        <row r="358">
          <cell r="A358">
            <v>302</v>
          </cell>
          <cell r="B358">
            <v>42682</v>
          </cell>
          <cell r="C358" t="str">
            <v>NOVIEMBRE</v>
          </cell>
          <cell r="D358" t="str">
            <v>2016</v>
          </cell>
          <cell r="E358">
            <v>209</v>
          </cell>
          <cell r="F358" t="str">
            <v>AKX-805</v>
          </cell>
          <cell r="G358" t="str">
            <v>F5Z-985</v>
          </cell>
          <cell r="H358" t="str">
            <v>LAS BAMBAS</v>
          </cell>
          <cell r="I358">
            <v>31856</v>
          </cell>
          <cell r="J358" t="str">
            <v>INSUMO TALLER</v>
          </cell>
          <cell r="K358" t="str">
            <v>SUPERCITO 5/32</v>
          </cell>
          <cell r="L358">
            <v>1.5</v>
          </cell>
          <cell r="M358" t="str">
            <v>KG.</v>
          </cell>
          <cell r="N358" t="str">
            <v>CISTERNA</v>
          </cell>
          <cell r="O358">
            <v>0</v>
          </cell>
          <cell r="P358" t="str">
            <v>S1</v>
          </cell>
          <cell r="Q358" t="str">
            <v>J1</v>
          </cell>
          <cell r="R358" t="str">
            <v>J6</v>
          </cell>
          <cell r="S358" t="str">
            <v>ENTREGADO</v>
          </cell>
          <cell r="T358">
            <v>42682</v>
          </cell>
          <cell r="U358" t="str">
            <v>BAYONA CRUZ CRISTIAN ARMANDO</v>
          </cell>
          <cell r="V358" t="str">
            <v>FLOREZ CONDORI  JOSE WILLIANS</v>
          </cell>
        </row>
        <row r="359">
          <cell r="A359">
            <v>303</v>
          </cell>
          <cell r="B359">
            <v>42682</v>
          </cell>
          <cell r="C359" t="str">
            <v>NOVIEMBRE</v>
          </cell>
          <cell r="D359" t="str">
            <v>2016</v>
          </cell>
          <cell r="E359">
            <v>209</v>
          </cell>
          <cell r="F359" t="str">
            <v>AKX-805</v>
          </cell>
          <cell r="G359" t="str">
            <v>F5Z-985</v>
          </cell>
          <cell r="H359" t="str">
            <v>LAS BAMBAS</v>
          </cell>
          <cell r="I359">
            <v>31856</v>
          </cell>
          <cell r="J359" t="str">
            <v>INSUMO TALLER</v>
          </cell>
          <cell r="K359" t="str">
            <v>CELLOCORD 5/32</v>
          </cell>
          <cell r="L359">
            <v>1</v>
          </cell>
          <cell r="M359" t="str">
            <v>KG.</v>
          </cell>
          <cell r="N359" t="str">
            <v>CISTERNA</v>
          </cell>
          <cell r="O359">
            <v>0</v>
          </cell>
          <cell r="P359" t="str">
            <v>S1</v>
          </cell>
          <cell r="Q359" t="str">
            <v>J1</v>
          </cell>
          <cell r="R359" t="str">
            <v>J6</v>
          </cell>
          <cell r="S359" t="str">
            <v>ENTREGADO</v>
          </cell>
          <cell r="T359">
            <v>42682</v>
          </cell>
          <cell r="U359" t="str">
            <v>BAYONA CRUZ CRISTIAN ARMANDO</v>
          </cell>
          <cell r="V359" t="str">
            <v>FLOREZ CONDORI  JOSE WILLIANS</v>
          </cell>
        </row>
        <row r="360">
          <cell r="A360">
            <v>380</v>
          </cell>
          <cell r="B360">
            <v>42682</v>
          </cell>
          <cell r="C360" t="str">
            <v>NOVIEMBRE</v>
          </cell>
          <cell r="D360" t="str">
            <v>2016</v>
          </cell>
          <cell r="E360">
            <v>209</v>
          </cell>
          <cell r="F360" t="str">
            <v>AKX-805</v>
          </cell>
          <cell r="G360" t="str">
            <v>F5Z-985</v>
          </cell>
          <cell r="H360" t="str">
            <v>LAS BAMBAS</v>
          </cell>
          <cell r="I360">
            <v>31856</v>
          </cell>
          <cell r="J360" t="str">
            <v>INSUMO TALLER</v>
          </cell>
          <cell r="K360" t="str">
            <v>SUPERCITO 1/8</v>
          </cell>
          <cell r="L360">
            <v>5</v>
          </cell>
          <cell r="M360" t="str">
            <v>KG.</v>
          </cell>
          <cell r="N360" t="str">
            <v>CISTERNA</v>
          </cell>
          <cell r="O360">
            <v>0</v>
          </cell>
          <cell r="P360" t="str">
            <v>S1</v>
          </cell>
          <cell r="Q360" t="str">
            <v>J1</v>
          </cell>
          <cell r="R360" t="str">
            <v>J6</v>
          </cell>
          <cell r="S360" t="str">
            <v>ENTREGADO</v>
          </cell>
          <cell r="T360">
            <v>42682</v>
          </cell>
          <cell r="U360" t="str">
            <v>BAYONA CRUZ CRISTIAN ARMANDO</v>
          </cell>
          <cell r="V360" t="str">
            <v>FLOREZ CONDORI  JOSE WILLIANS</v>
          </cell>
        </row>
        <row r="361">
          <cell r="A361">
            <v>381</v>
          </cell>
          <cell r="B361">
            <v>42682</v>
          </cell>
          <cell r="C361" t="str">
            <v>NOVIEMBRE</v>
          </cell>
          <cell r="D361" t="str">
            <v>2016</v>
          </cell>
          <cell r="E361">
            <v>209</v>
          </cell>
          <cell r="F361" t="str">
            <v>AKX-805</v>
          </cell>
          <cell r="G361" t="str">
            <v>F5Z-985</v>
          </cell>
          <cell r="H361" t="str">
            <v>LAS BAMBAS</v>
          </cell>
          <cell r="I361">
            <v>31856</v>
          </cell>
          <cell r="J361" t="str">
            <v>INSUMO TALLER</v>
          </cell>
          <cell r="K361" t="str">
            <v>CELLOCORD 5/32</v>
          </cell>
          <cell r="L361">
            <v>1</v>
          </cell>
          <cell r="M361" t="str">
            <v>KG.</v>
          </cell>
          <cell r="N361" t="str">
            <v>CISTERNA</v>
          </cell>
          <cell r="O361">
            <v>0</v>
          </cell>
          <cell r="P361" t="str">
            <v>S1</v>
          </cell>
          <cell r="Q361" t="str">
            <v>J1</v>
          </cell>
          <cell r="R361" t="str">
            <v>J6</v>
          </cell>
          <cell r="S361" t="str">
            <v>ENTREGADO</v>
          </cell>
          <cell r="T361">
            <v>42682</v>
          </cell>
          <cell r="U361" t="str">
            <v>BAYONA CRUZ CRISTIAN ARMANDO</v>
          </cell>
          <cell r="V361" t="str">
            <v>FLOREZ CONDORI  JOSE WILLIANS</v>
          </cell>
        </row>
        <row r="362">
          <cell r="A362">
            <v>382</v>
          </cell>
          <cell r="B362">
            <v>42682</v>
          </cell>
          <cell r="C362" t="str">
            <v>NOVIEMBRE</v>
          </cell>
          <cell r="D362" t="str">
            <v>2016</v>
          </cell>
          <cell r="E362">
            <v>209</v>
          </cell>
          <cell r="F362" t="str">
            <v>AKX-805</v>
          </cell>
          <cell r="G362" t="str">
            <v>F5Z-985</v>
          </cell>
          <cell r="H362" t="str">
            <v>LAS BAMBAS</v>
          </cell>
          <cell r="I362">
            <v>31856</v>
          </cell>
          <cell r="J362" t="str">
            <v>INSUMO TALLER</v>
          </cell>
          <cell r="K362" t="str">
            <v>VARILLAS DE CITOFONTE 1/8</v>
          </cell>
          <cell r="L362">
            <v>3</v>
          </cell>
          <cell r="M362" t="str">
            <v>UNID.</v>
          </cell>
          <cell r="N362" t="str">
            <v>CISTERNA</v>
          </cell>
          <cell r="O362">
            <v>0</v>
          </cell>
          <cell r="P362" t="str">
            <v>S1</v>
          </cell>
          <cell r="Q362" t="str">
            <v>J1</v>
          </cell>
          <cell r="R362" t="str">
            <v>J6</v>
          </cell>
          <cell r="S362" t="str">
            <v>ENTREGADO</v>
          </cell>
          <cell r="T362">
            <v>42682</v>
          </cell>
          <cell r="U362" t="str">
            <v>BAYONA CRUZ CRISTIAN ARMANDO</v>
          </cell>
          <cell r="V362" t="str">
            <v>FLOREZ CONDORI  JOSE WILLIANS</v>
          </cell>
        </row>
        <row r="363">
          <cell r="A363">
            <v>383</v>
          </cell>
          <cell r="B363">
            <v>42682</v>
          </cell>
          <cell r="C363" t="str">
            <v>NOVIEMBRE</v>
          </cell>
          <cell r="D363" t="str">
            <v>2016</v>
          </cell>
          <cell r="E363">
            <v>209</v>
          </cell>
          <cell r="F363" t="str">
            <v>AKX-805</v>
          </cell>
          <cell r="G363" t="str">
            <v>F5Z-985</v>
          </cell>
          <cell r="H363" t="str">
            <v>LAS BAMBAS</v>
          </cell>
          <cell r="I363">
            <v>31856</v>
          </cell>
          <cell r="J363" t="str">
            <v>INSUMO TALLER</v>
          </cell>
          <cell r="K363" t="str">
            <v>CINTA AISLANTE NEGRO</v>
          </cell>
          <cell r="L363">
            <v>1</v>
          </cell>
          <cell r="M363" t="str">
            <v>UNID.</v>
          </cell>
          <cell r="N363" t="str">
            <v>CISTERNA</v>
          </cell>
          <cell r="O363">
            <v>0</v>
          </cell>
          <cell r="P363" t="str">
            <v>S1</v>
          </cell>
          <cell r="Q363" t="str">
            <v>J1</v>
          </cell>
          <cell r="R363" t="str">
            <v>J6</v>
          </cell>
          <cell r="S363" t="str">
            <v>ENTREGADO</v>
          </cell>
          <cell r="T363">
            <v>42682</v>
          </cell>
          <cell r="U363" t="str">
            <v>BAYONA CRUZ CRISTIAN ARMANDO</v>
          </cell>
          <cell r="V363" t="str">
            <v>FLOREZ CONDORI  JOSE WILLIANS</v>
          </cell>
        </row>
        <row r="364">
          <cell r="A364">
            <v>387</v>
          </cell>
          <cell r="B364">
            <v>42682</v>
          </cell>
          <cell r="C364" t="str">
            <v>NOVIEMBRE</v>
          </cell>
          <cell r="D364" t="str">
            <v>2016</v>
          </cell>
          <cell r="E364">
            <v>266</v>
          </cell>
          <cell r="F364" t="str">
            <v>B2L-889</v>
          </cell>
          <cell r="G364" t="str">
            <v>CAMION</v>
          </cell>
          <cell r="H364" t="str">
            <v>TAMBOMAYO</v>
          </cell>
          <cell r="I364">
            <v>0</v>
          </cell>
          <cell r="J364" t="str">
            <v>REPUESTO</v>
          </cell>
          <cell r="K364" t="str">
            <v>JEBES GRANDES DE LA TAPA MANHOLE</v>
          </cell>
          <cell r="L364">
            <v>2</v>
          </cell>
          <cell r="M364" t="str">
            <v>UNID.</v>
          </cell>
          <cell r="N364" t="str">
            <v>CAMION</v>
          </cell>
          <cell r="O364">
            <v>0</v>
          </cell>
          <cell r="P364" t="str">
            <v>M3</v>
          </cell>
          <cell r="Q364" t="str">
            <v>J1</v>
          </cell>
          <cell r="R364" t="str">
            <v>J6</v>
          </cell>
          <cell r="S364" t="str">
            <v>ENTREGADO</v>
          </cell>
          <cell r="T364">
            <v>42682</v>
          </cell>
          <cell r="U364" t="str">
            <v>GARCIA PASQUEL  JOSE LUIS</v>
          </cell>
          <cell r="V364" t="str">
            <v>FLOREZ CONDORI  JOSE WILLIANS</v>
          </cell>
        </row>
        <row r="365">
          <cell r="A365">
            <v>388</v>
          </cell>
          <cell r="B365">
            <v>42682</v>
          </cell>
          <cell r="C365" t="str">
            <v>NOVIEMBRE</v>
          </cell>
          <cell r="D365" t="str">
            <v>2016</v>
          </cell>
          <cell r="E365">
            <v>266</v>
          </cell>
          <cell r="F365" t="str">
            <v>B2L-889</v>
          </cell>
          <cell r="G365" t="str">
            <v>CAMION</v>
          </cell>
          <cell r="H365" t="str">
            <v>TAMBOMAYO</v>
          </cell>
          <cell r="I365">
            <v>0</v>
          </cell>
          <cell r="J365" t="str">
            <v>REPUESTO</v>
          </cell>
          <cell r="K365" t="str">
            <v>ALARMA DE RETROCESO</v>
          </cell>
          <cell r="L365">
            <v>1</v>
          </cell>
          <cell r="M365" t="str">
            <v>UNID.</v>
          </cell>
          <cell r="N365" t="str">
            <v>CAMION</v>
          </cell>
          <cell r="O365">
            <v>0</v>
          </cell>
          <cell r="P365" t="str">
            <v>E2</v>
          </cell>
          <cell r="Q365" t="str">
            <v>J1</v>
          </cell>
          <cell r="R365" t="str">
            <v>J6</v>
          </cell>
          <cell r="S365" t="str">
            <v>ENTREGADO</v>
          </cell>
          <cell r="T365">
            <v>42682</v>
          </cell>
          <cell r="U365" t="str">
            <v>YUCA BELLIDO BORIS YERSY</v>
          </cell>
          <cell r="V365" t="str">
            <v>FLOREZ CONDORI  JOSE WILLIANS</v>
          </cell>
        </row>
        <row r="366">
          <cell r="A366">
            <v>389</v>
          </cell>
          <cell r="B366">
            <v>42682</v>
          </cell>
          <cell r="C366" t="str">
            <v>NOVIEMBRE</v>
          </cell>
          <cell r="D366" t="str">
            <v>2016</v>
          </cell>
          <cell r="E366">
            <v>266</v>
          </cell>
          <cell r="F366" t="str">
            <v>B2L-889</v>
          </cell>
          <cell r="G366" t="str">
            <v>CAMION</v>
          </cell>
          <cell r="H366" t="str">
            <v>TAMBOMAYO</v>
          </cell>
          <cell r="I366">
            <v>0</v>
          </cell>
          <cell r="J366" t="str">
            <v>REPUESTO</v>
          </cell>
          <cell r="K366" t="str">
            <v>PERNO 1/4 X 1</v>
          </cell>
          <cell r="L366">
            <v>1</v>
          </cell>
          <cell r="M366" t="str">
            <v>UNID.</v>
          </cell>
          <cell r="N366" t="str">
            <v>CAMION</v>
          </cell>
          <cell r="O366">
            <v>0</v>
          </cell>
          <cell r="P366" t="str">
            <v>E2</v>
          </cell>
          <cell r="Q366" t="str">
            <v>J1</v>
          </cell>
          <cell r="R366" t="str">
            <v>J6</v>
          </cell>
          <cell r="S366" t="str">
            <v>ENTREGADO</v>
          </cell>
          <cell r="T366">
            <v>42682</v>
          </cell>
          <cell r="U366" t="str">
            <v>YUCA BELLIDO BORIS YERSY</v>
          </cell>
          <cell r="V366" t="str">
            <v>FLOREZ CONDORI  JOSE WILLIANS</v>
          </cell>
        </row>
        <row r="367">
          <cell r="A367">
            <v>390</v>
          </cell>
          <cell r="B367">
            <v>42682</v>
          </cell>
          <cell r="C367" t="str">
            <v>NOVIEMBRE</v>
          </cell>
          <cell r="D367" t="str">
            <v>2016</v>
          </cell>
          <cell r="E367">
            <v>266</v>
          </cell>
          <cell r="F367" t="str">
            <v>B2L-889</v>
          </cell>
          <cell r="G367" t="str">
            <v>CAMION</v>
          </cell>
          <cell r="H367" t="str">
            <v>TAMBOMAYO</v>
          </cell>
          <cell r="I367">
            <v>0</v>
          </cell>
          <cell r="J367" t="str">
            <v>REPUESTO</v>
          </cell>
          <cell r="K367" t="str">
            <v>VOLANDA 1/4</v>
          </cell>
          <cell r="L367">
            <v>1</v>
          </cell>
          <cell r="M367" t="str">
            <v>UNID.</v>
          </cell>
          <cell r="N367" t="str">
            <v>CAMION</v>
          </cell>
          <cell r="O367">
            <v>0</v>
          </cell>
          <cell r="P367" t="str">
            <v>E2</v>
          </cell>
          <cell r="Q367" t="str">
            <v>J1</v>
          </cell>
          <cell r="R367" t="str">
            <v>J6</v>
          </cell>
          <cell r="S367" t="str">
            <v>ENTREGADO</v>
          </cell>
          <cell r="T367">
            <v>42682</v>
          </cell>
          <cell r="U367" t="str">
            <v>YUCA BELLIDO BORIS YERSY</v>
          </cell>
          <cell r="V367" t="str">
            <v>FLOREZ CONDORI  JOSE WILLIANS</v>
          </cell>
        </row>
        <row r="368">
          <cell r="A368">
            <v>391</v>
          </cell>
          <cell r="B368">
            <v>42682</v>
          </cell>
          <cell r="C368" t="str">
            <v>NOVIEMBRE</v>
          </cell>
          <cell r="D368" t="str">
            <v>2016</v>
          </cell>
          <cell r="E368">
            <v>266</v>
          </cell>
          <cell r="F368" t="str">
            <v>B2L-889</v>
          </cell>
          <cell r="G368" t="str">
            <v>CAMION</v>
          </cell>
          <cell r="H368" t="str">
            <v>TAMBOMAYO</v>
          </cell>
          <cell r="I368">
            <v>0</v>
          </cell>
          <cell r="J368" t="str">
            <v>REPUESTO</v>
          </cell>
          <cell r="K368" t="str">
            <v>TUERCA 1/4</v>
          </cell>
          <cell r="L368">
            <v>1</v>
          </cell>
          <cell r="M368" t="str">
            <v>UNID.</v>
          </cell>
          <cell r="N368" t="str">
            <v>CAMION</v>
          </cell>
          <cell r="O368">
            <v>0</v>
          </cell>
          <cell r="P368" t="str">
            <v>E2</v>
          </cell>
          <cell r="Q368" t="str">
            <v>J1</v>
          </cell>
          <cell r="R368" t="str">
            <v>J6</v>
          </cell>
          <cell r="S368" t="str">
            <v>ENTREGADO</v>
          </cell>
          <cell r="T368">
            <v>42682</v>
          </cell>
          <cell r="U368" t="str">
            <v>YUCA BELLIDO BORIS YERSY</v>
          </cell>
          <cell r="V368" t="str">
            <v>FLOREZ CONDORI  JOSE WILLIANS</v>
          </cell>
        </row>
        <row r="369">
          <cell r="A369">
            <v>399</v>
          </cell>
          <cell r="B369">
            <v>42682</v>
          </cell>
          <cell r="C369" t="str">
            <v>NOVIEMBRE</v>
          </cell>
          <cell r="D369" t="str">
            <v>2016</v>
          </cell>
          <cell r="E369">
            <v>266</v>
          </cell>
          <cell r="F369" t="str">
            <v>B2L-889</v>
          </cell>
          <cell r="G369" t="str">
            <v>CAMION</v>
          </cell>
          <cell r="H369" t="str">
            <v>TAMBOMAYO</v>
          </cell>
          <cell r="I369">
            <v>0</v>
          </cell>
          <cell r="J369" t="str">
            <v>REPUESTO</v>
          </cell>
          <cell r="K369" t="str">
            <v>TAERMINALES OJO 3/16</v>
          </cell>
          <cell r="L369">
            <v>2</v>
          </cell>
          <cell r="M369" t="str">
            <v>UNID.</v>
          </cell>
          <cell r="N369" t="str">
            <v>TRACTO</v>
          </cell>
          <cell r="O369">
            <v>0</v>
          </cell>
          <cell r="P369" t="str">
            <v>E2</v>
          </cell>
          <cell r="Q369" t="str">
            <v>J2</v>
          </cell>
          <cell r="R369" t="str">
            <v>J6</v>
          </cell>
          <cell r="S369" t="str">
            <v>ENTREGADO</v>
          </cell>
          <cell r="T369">
            <v>42682</v>
          </cell>
          <cell r="U369" t="str">
            <v>YUCA BELLIDO BORIS YERSY</v>
          </cell>
          <cell r="V369" t="str">
            <v>CORIHUAMAN SURCO  ERICK ROBERT</v>
          </cell>
        </row>
        <row r="370">
          <cell r="A370">
            <v>400</v>
          </cell>
          <cell r="B370">
            <v>42682</v>
          </cell>
          <cell r="C370" t="str">
            <v>NOVIEMBRE</v>
          </cell>
          <cell r="D370" t="str">
            <v>2016</v>
          </cell>
          <cell r="E370">
            <v>266</v>
          </cell>
          <cell r="F370" t="str">
            <v>B2L-889</v>
          </cell>
          <cell r="G370" t="str">
            <v>CAMION</v>
          </cell>
          <cell r="H370" t="str">
            <v>TAMBOMAYO</v>
          </cell>
          <cell r="I370">
            <v>0</v>
          </cell>
          <cell r="J370" t="str">
            <v>REPUESTO</v>
          </cell>
          <cell r="K370" t="str">
            <v>FUSIBLES</v>
          </cell>
          <cell r="L370">
            <v>2</v>
          </cell>
          <cell r="M370" t="str">
            <v>UNID.</v>
          </cell>
          <cell r="N370" t="str">
            <v>TRACTO</v>
          </cell>
          <cell r="O370">
            <v>0</v>
          </cell>
          <cell r="P370" t="str">
            <v>E2</v>
          </cell>
          <cell r="Q370" t="str">
            <v>J1</v>
          </cell>
          <cell r="R370" t="str">
            <v>J6</v>
          </cell>
          <cell r="S370" t="str">
            <v>ENTREGADO</v>
          </cell>
          <cell r="T370">
            <v>42682</v>
          </cell>
          <cell r="U370" t="str">
            <v>YUCA BELLIDO BORIS YERSY</v>
          </cell>
          <cell r="V370" t="str">
            <v>FLOREZ CONDORI  JOSE WILLIANS</v>
          </cell>
        </row>
        <row r="371">
          <cell r="A371">
            <v>300</v>
          </cell>
          <cell r="B371">
            <v>42682</v>
          </cell>
          <cell r="C371" t="str">
            <v>NOVIEMBRE</v>
          </cell>
          <cell r="D371" t="str">
            <v>2016</v>
          </cell>
          <cell r="E371">
            <v>261</v>
          </cell>
          <cell r="F371" t="str">
            <v>C5R-895</v>
          </cell>
          <cell r="G371" t="str">
            <v>TBL-976</v>
          </cell>
          <cell r="H371" t="str">
            <v>LAS BAMBAS</v>
          </cell>
          <cell r="I371">
            <v>164921</v>
          </cell>
          <cell r="J371" t="str">
            <v>REPUESTO</v>
          </cell>
          <cell r="K371" t="str">
            <v>TECLA ELEVA LUNAS LADO IZQUIERDO</v>
          </cell>
          <cell r="L371">
            <v>1</v>
          </cell>
          <cell r="M371" t="str">
            <v>UNID.</v>
          </cell>
          <cell r="N371" t="str">
            <v>TRACTO</v>
          </cell>
          <cell r="O371">
            <v>0</v>
          </cell>
          <cell r="P371" t="str">
            <v>E1</v>
          </cell>
          <cell r="Q371" t="str">
            <v>J2</v>
          </cell>
          <cell r="R371" t="str">
            <v>J6</v>
          </cell>
          <cell r="S371" t="str">
            <v>ENTREGADO</v>
          </cell>
          <cell r="T371">
            <v>42682</v>
          </cell>
          <cell r="U371" t="str">
            <v>PALOMINO CARDENAS JUAN CARLOS</v>
          </cell>
          <cell r="V371" t="str">
            <v>CORIHUAMAN SURCO  ERICK ROBERT</v>
          </cell>
        </row>
        <row r="372">
          <cell r="A372">
            <v>301</v>
          </cell>
          <cell r="B372">
            <v>42682</v>
          </cell>
          <cell r="C372" t="str">
            <v>NOVIEMBRE</v>
          </cell>
          <cell r="D372" t="str">
            <v>2016</v>
          </cell>
          <cell r="E372">
            <v>261</v>
          </cell>
          <cell r="F372" t="str">
            <v>C5R-895</v>
          </cell>
          <cell r="G372" t="str">
            <v>TBL-976</v>
          </cell>
          <cell r="H372" t="str">
            <v>LAS BAMBAS</v>
          </cell>
          <cell r="I372">
            <v>164921</v>
          </cell>
          <cell r="J372" t="str">
            <v>REPUESTO</v>
          </cell>
          <cell r="K372" t="str">
            <v>TECLA ELEVA LUNAS LADO DERECHO</v>
          </cell>
          <cell r="L372">
            <v>1</v>
          </cell>
          <cell r="M372" t="str">
            <v>UNID.</v>
          </cell>
          <cell r="N372" t="str">
            <v>TRACTO</v>
          </cell>
          <cell r="O372">
            <v>0</v>
          </cell>
          <cell r="P372" t="str">
            <v>E1</v>
          </cell>
          <cell r="Q372" t="str">
            <v>J2</v>
          </cell>
          <cell r="R372" t="str">
            <v>J6</v>
          </cell>
          <cell r="S372" t="str">
            <v>ENTREGADO</v>
          </cell>
          <cell r="T372">
            <v>42682</v>
          </cell>
          <cell r="U372" t="str">
            <v>PALOMINO CARDENAS JUAN CARLOS</v>
          </cell>
          <cell r="V372" t="str">
            <v>CORIHUAMAN SURCO  ERICK ROBERT</v>
          </cell>
        </row>
        <row r="373">
          <cell r="A373">
            <v>308</v>
          </cell>
          <cell r="B373">
            <v>42682</v>
          </cell>
          <cell r="C373" t="str">
            <v>NOVIEMBRE</v>
          </cell>
          <cell r="D373" t="str">
            <v>2016</v>
          </cell>
          <cell r="E373">
            <v>261</v>
          </cell>
          <cell r="F373" t="str">
            <v>C5R-895</v>
          </cell>
          <cell r="G373" t="str">
            <v>TBL-976</v>
          </cell>
          <cell r="H373" t="str">
            <v>LAS BAMBAS</v>
          </cell>
          <cell r="I373">
            <v>164921</v>
          </cell>
          <cell r="J373" t="str">
            <v>REPUESTO</v>
          </cell>
          <cell r="K373" t="str">
            <v>PALANCA DE LUCES DELANTERAS</v>
          </cell>
          <cell r="L373">
            <v>1</v>
          </cell>
          <cell r="M373" t="str">
            <v>UNID.</v>
          </cell>
          <cell r="N373" t="str">
            <v>TRACTO</v>
          </cell>
          <cell r="O373">
            <v>0</v>
          </cell>
          <cell r="P373" t="str">
            <v>E1</v>
          </cell>
          <cell r="Q373" t="str">
            <v>J1</v>
          </cell>
          <cell r="R373" t="str">
            <v>J6</v>
          </cell>
          <cell r="S373" t="str">
            <v>ENTREGADO</v>
          </cell>
          <cell r="T373">
            <v>42682</v>
          </cell>
          <cell r="U373" t="str">
            <v>PALOMINO CARDENAS JUAN CARLOS</v>
          </cell>
          <cell r="V373" t="str">
            <v>FLOREZ CONDORI  JOSE WILLIANS</v>
          </cell>
        </row>
        <row r="374">
          <cell r="A374">
            <v>309</v>
          </cell>
          <cell r="B374">
            <v>42682</v>
          </cell>
          <cell r="C374" t="str">
            <v>NOVIEMBRE</v>
          </cell>
          <cell r="D374" t="str">
            <v>2016</v>
          </cell>
          <cell r="E374">
            <v>261</v>
          </cell>
          <cell r="F374" t="str">
            <v>C5R-895</v>
          </cell>
          <cell r="G374" t="str">
            <v>TBL-976</v>
          </cell>
          <cell r="H374" t="str">
            <v>LAS BAMBAS</v>
          </cell>
          <cell r="I374">
            <v>164921</v>
          </cell>
          <cell r="J374" t="str">
            <v>REPUESTO</v>
          </cell>
          <cell r="K374" t="str">
            <v>SENSOR DE RETROCESO</v>
          </cell>
          <cell r="L374">
            <v>1</v>
          </cell>
          <cell r="M374" t="str">
            <v>UNID.</v>
          </cell>
          <cell r="N374" t="str">
            <v>TRACTO</v>
          </cell>
          <cell r="O374">
            <v>0</v>
          </cell>
          <cell r="P374" t="str">
            <v>E1</v>
          </cell>
          <cell r="Q374" t="str">
            <v>J1</v>
          </cell>
          <cell r="R374" t="str">
            <v>J6</v>
          </cell>
          <cell r="S374" t="str">
            <v>ENTREGADO</v>
          </cell>
          <cell r="T374">
            <v>42682</v>
          </cell>
          <cell r="U374" t="str">
            <v>PALOMINO CARDENAS JUAN CARLOS</v>
          </cell>
          <cell r="V374" t="str">
            <v>FLOREZ CONDORI  JOSE WILLIANS</v>
          </cell>
        </row>
        <row r="375">
          <cell r="A375">
            <v>310</v>
          </cell>
          <cell r="B375">
            <v>42682</v>
          </cell>
          <cell r="C375" t="str">
            <v>NOVIEMBRE</v>
          </cell>
          <cell r="D375" t="str">
            <v>2016</v>
          </cell>
          <cell r="E375">
            <v>261</v>
          </cell>
          <cell r="F375" t="str">
            <v>C5R-895</v>
          </cell>
          <cell r="G375" t="str">
            <v>TBL-976</v>
          </cell>
          <cell r="H375" t="str">
            <v>LAS BAMBAS</v>
          </cell>
          <cell r="I375">
            <v>164921</v>
          </cell>
          <cell r="J375" t="str">
            <v>REPUESTO</v>
          </cell>
          <cell r="K375" t="str">
            <v>FOCOS DOBLE CONTACTO 12 v</v>
          </cell>
          <cell r="L375">
            <v>2</v>
          </cell>
          <cell r="M375" t="str">
            <v>UNID.</v>
          </cell>
          <cell r="N375" t="str">
            <v>TRACTO</v>
          </cell>
          <cell r="O375">
            <v>0</v>
          </cell>
          <cell r="P375" t="str">
            <v>E1</v>
          </cell>
          <cell r="Q375" t="str">
            <v>J1</v>
          </cell>
          <cell r="R375" t="str">
            <v>J6</v>
          </cell>
          <cell r="S375" t="str">
            <v>ENTREGADO</v>
          </cell>
          <cell r="T375">
            <v>42682</v>
          </cell>
          <cell r="U375" t="str">
            <v>PALOMINO CARDENAS JUAN CARLOS</v>
          </cell>
          <cell r="V375" t="str">
            <v>FLOREZ CONDORI  JOSE WILLIANS</v>
          </cell>
        </row>
        <row r="376">
          <cell r="A376">
            <v>324</v>
          </cell>
          <cell r="B376">
            <v>42682</v>
          </cell>
          <cell r="C376" t="str">
            <v>NOVIEMBRE</v>
          </cell>
          <cell r="D376" t="str">
            <v>2016</v>
          </cell>
          <cell r="E376">
            <v>261</v>
          </cell>
          <cell r="F376" t="str">
            <v>C5R-895</v>
          </cell>
          <cell r="G376" t="str">
            <v>TBL-976</v>
          </cell>
          <cell r="H376" t="str">
            <v>LAS BAMBAS</v>
          </cell>
          <cell r="I376">
            <v>164921</v>
          </cell>
          <cell r="J376" t="str">
            <v>REPUESTO</v>
          </cell>
          <cell r="K376" t="str">
            <v>PERNO 5/16 X 1</v>
          </cell>
          <cell r="L376">
            <v>2</v>
          </cell>
          <cell r="M376" t="str">
            <v>UNID.</v>
          </cell>
          <cell r="N376" t="str">
            <v>CISTERNA</v>
          </cell>
          <cell r="O376">
            <v>0</v>
          </cell>
          <cell r="P376" t="str">
            <v>M2</v>
          </cell>
          <cell r="Q376" t="str">
            <v>J2</v>
          </cell>
          <cell r="R376" t="str">
            <v>J6</v>
          </cell>
          <cell r="S376" t="str">
            <v>ENTREGADO</v>
          </cell>
          <cell r="T376">
            <v>42682</v>
          </cell>
          <cell r="U376" t="str">
            <v>CHUMPITAZ GAGO JULIO ENRIQUE</v>
          </cell>
          <cell r="V376" t="str">
            <v>CORIHUAMAN SURCO  ERICK ROBERT</v>
          </cell>
        </row>
        <row r="377">
          <cell r="A377">
            <v>325</v>
          </cell>
          <cell r="B377">
            <v>42682</v>
          </cell>
          <cell r="C377" t="str">
            <v>NOVIEMBRE</v>
          </cell>
          <cell r="D377" t="str">
            <v>2016</v>
          </cell>
          <cell r="E377">
            <v>261</v>
          </cell>
          <cell r="F377" t="str">
            <v>C5R-895</v>
          </cell>
          <cell r="G377" t="str">
            <v>TBL-976</v>
          </cell>
          <cell r="H377" t="str">
            <v>LAS BAMBAS</v>
          </cell>
          <cell r="I377">
            <v>164921</v>
          </cell>
          <cell r="J377" t="str">
            <v>REPUESTO</v>
          </cell>
          <cell r="K377" t="str">
            <v>VOLANDA PLANA 5/16</v>
          </cell>
          <cell r="L377">
            <v>4</v>
          </cell>
          <cell r="M377" t="str">
            <v>UNID.</v>
          </cell>
          <cell r="N377" t="str">
            <v>CISTERNA</v>
          </cell>
          <cell r="O377">
            <v>0</v>
          </cell>
          <cell r="P377" t="str">
            <v>M2</v>
          </cell>
          <cell r="Q377" t="str">
            <v>J2</v>
          </cell>
          <cell r="R377" t="str">
            <v>J6</v>
          </cell>
          <cell r="S377" t="str">
            <v>ENTREGADO</v>
          </cell>
          <cell r="T377">
            <v>42682</v>
          </cell>
          <cell r="U377" t="str">
            <v>CHUMPITAZ GAGO JULIO ENRIQUE</v>
          </cell>
          <cell r="V377" t="str">
            <v>CORIHUAMAN SURCO  ERICK ROBERT</v>
          </cell>
        </row>
        <row r="378">
          <cell r="A378">
            <v>326</v>
          </cell>
          <cell r="B378">
            <v>42682</v>
          </cell>
          <cell r="C378" t="str">
            <v>NOVIEMBRE</v>
          </cell>
          <cell r="D378" t="str">
            <v>2016</v>
          </cell>
          <cell r="E378">
            <v>261</v>
          </cell>
          <cell r="F378" t="str">
            <v>C5R-895</v>
          </cell>
          <cell r="G378" t="str">
            <v>TBL-976</v>
          </cell>
          <cell r="H378" t="str">
            <v>LAS BAMBAS</v>
          </cell>
          <cell r="I378">
            <v>164921</v>
          </cell>
          <cell r="J378" t="str">
            <v>REPUESTO</v>
          </cell>
          <cell r="K378" t="str">
            <v>VOLANDA DE PRESION 5/16</v>
          </cell>
          <cell r="L378">
            <v>4</v>
          </cell>
          <cell r="M378" t="str">
            <v>UNID.</v>
          </cell>
          <cell r="N378" t="str">
            <v>CISTERNA</v>
          </cell>
          <cell r="O378">
            <v>0</v>
          </cell>
          <cell r="P378" t="str">
            <v>M2</v>
          </cell>
          <cell r="Q378" t="str">
            <v>J2</v>
          </cell>
          <cell r="R378" t="str">
            <v>J6</v>
          </cell>
          <cell r="S378" t="str">
            <v>ENTREGADO</v>
          </cell>
          <cell r="T378">
            <v>42682</v>
          </cell>
          <cell r="U378" t="str">
            <v>CHUMPITAZ GAGO JULIO ENRIQUE</v>
          </cell>
          <cell r="V378" t="str">
            <v>CORIHUAMAN SURCO  ERICK ROBERT</v>
          </cell>
        </row>
        <row r="379">
          <cell r="A379">
            <v>327</v>
          </cell>
          <cell r="B379">
            <v>42682</v>
          </cell>
          <cell r="C379" t="str">
            <v>NOVIEMBRE</v>
          </cell>
          <cell r="D379" t="str">
            <v>2016</v>
          </cell>
          <cell r="E379">
            <v>261</v>
          </cell>
          <cell r="F379" t="str">
            <v>C5R-895</v>
          </cell>
          <cell r="G379" t="str">
            <v>TBL-976</v>
          </cell>
          <cell r="H379" t="str">
            <v>LAS BAMBAS</v>
          </cell>
          <cell r="I379">
            <v>164921</v>
          </cell>
          <cell r="J379" t="str">
            <v>REPUESTO</v>
          </cell>
          <cell r="K379" t="str">
            <v>TUERCA  5/16</v>
          </cell>
          <cell r="L379">
            <v>2</v>
          </cell>
          <cell r="M379" t="str">
            <v>UNID.</v>
          </cell>
          <cell r="N379" t="str">
            <v>CISTERNA</v>
          </cell>
          <cell r="O379">
            <v>0</v>
          </cell>
          <cell r="P379" t="str">
            <v>M2</v>
          </cell>
          <cell r="Q379" t="str">
            <v>J2</v>
          </cell>
          <cell r="R379" t="str">
            <v>J6</v>
          </cell>
          <cell r="S379" t="str">
            <v>ENTREGADO</v>
          </cell>
          <cell r="T379">
            <v>42682</v>
          </cell>
          <cell r="U379" t="str">
            <v>CHUMPITAZ GAGO JULIO ENRIQUE</v>
          </cell>
          <cell r="V379" t="str">
            <v>CORIHUAMAN SURCO  ERICK ROBERT</v>
          </cell>
        </row>
        <row r="380">
          <cell r="A380">
            <v>328</v>
          </cell>
          <cell r="B380">
            <v>42682</v>
          </cell>
          <cell r="C380" t="str">
            <v>NOVIEMBRE</v>
          </cell>
          <cell r="D380" t="str">
            <v>2016</v>
          </cell>
          <cell r="E380">
            <v>261</v>
          </cell>
          <cell r="F380" t="str">
            <v>C5R-895</v>
          </cell>
          <cell r="G380" t="str">
            <v>TBL-976</v>
          </cell>
          <cell r="H380" t="str">
            <v>LAS BAMBAS</v>
          </cell>
          <cell r="I380">
            <v>164921</v>
          </cell>
          <cell r="J380" t="str">
            <v>REPUESTO</v>
          </cell>
          <cell r="K380" t="str">
            <v>PERNO 1/4 X 1</v>
          </cell>
          <cell r="L380">
            <v>1</v>
          </cell>
          <cell r="M380" t="str">
            <v>UNID.</v>
          </cell>
          <cell r="N380" t="str">
            <v>CISTERNA</v>
          </cell>
          <cell r="O380">
            <v>0</v>
          </cell>
          <cell r="P380" t="str">
            <v>M2</v>
          </cell>
          <cell r="Q380" t="str">
            <v>J2</v>
          </cell>
          <cell r="R380" t="str">
            <v>J6</v>
          </cell>
          <cell r="S380" t="str">
            <v>ENTREGADO</v>
          </cell>
          <cell r="T380">
            <v>42682</v>
          </cell>
          <cell r="U380" t="str">
            <v>CHUMPITAZ GAGO JULIO ENRIQUE</v>
          </cell>
          <cell r="V380" t="str">
            <v>CORIHUAMAN SURCO  ERICK ROBERT</v>
          </cell>
        </row>
        <row r="381">
          <cell r="A381">
            <v>329</v>
          </cell>
          <cell r="B381">
            <v>42682</v>
          </cell>
          <cell r="C381" t="str">
            <v>NOVIEMBRE</v>
          </cell>
          <cell r="D381" t="str">
            <v>2016</v>
          </cell>
          <cell r="E381">
            <v>261</v>
          </cell>
          <cell r="F381" t="str">
            <v>C5R-895</v>
          </cell>
          <cell r="G381" t="str">
            <v>TBL-976</v>
          </cell>
          <cell r="H381" t="str">
            <v>LAS BAMBAS</v>
          </cell>
          <cell r="I381">
            <v>164921</v>
          </cell>
          <cell r="J381" t="str">
            <v>REPUESTO</v>
          </cell>
          <cell r="K381" t="str">
            <v>VOLANDA DE PRESION 1/4</v>
          </cell>
          <cell r="L381">
            <v>2</v>
          </cell>
          <cell r="M381" t="str">
            <v>UNID.</v>
          </cell>
          <cell r="N381" t="str">
            <v>CISTERNA</v>
          </cell>
          <cell r="O381">
            <v>0</v>
          </cell>
          <cell r="P381" t="str">
            <v>M2</v>
          </cell>
          <cell r="Q381" t="str">
            <v>J2</v>
          </cell>
          <cell r="R381" t="str">
            <v>J6</v>
          </cell>
          <cell r="S381" t="str">
            <v>ENTREGADO</v>
          </cell>
          <cell r="T381">
            <v>42682</v>
          </cell>
          <cell r="U381" t="str">
            <v>CHUMPITAZ GAGO JULIO ENRIQUE</v>
          </cell>
          <cell r="V381" t="str">
            <v>CORIHUAMAN SURCO  ERICK ROBERT</v>
          </cell>
        </row>
        <row r="382">
          <cell r="A382">
            <v>330</v>
          </cell>
          <cell r="B382">
            <v>42682</v>
          </cell>
          <cell r="C382" t="str">
            <v>NOVIEMBRE</v>
          </cell>
          <cell r="D382" t="str">
            <v>2016</v>
          </cell>
          <cell r="E382">
            <v>261</v>
          </cell>
          <cell r="F382" t="str">
            <v>C5R-895</v>
          </cell>
          <cell r="G382" t="str">
            <v>TBL-976</v>
          </cell>
          <cell r="H382" t="str">
            <v>LAS BAMBAS</v>
          </cell>
          <cell r="I382">
            <v>164921</v>
          </cell>
          <cell r="J382" t="str">
            <v>REPUESTO</v>
          </cell>
          <cell r="K382" t="str">
            <v>TUERCA 1/4</v>
          </cell>
          <cell r="L382">
            <v>1</v>
          </cell>
          <cell r="M382" t="str">
            <v>UNID.</v>
          </cell>
          <cell r="N382" t="str">
            <v>CISTERNA</v>
          </cell>
          <cell r="O382">
            <v>0</v>
          </cell>
          <cell r="P382" t="str">
            <v>M2</v>
          </cell>
          <cell r="Q382" t="str">
            <v>J2</v>
          </cell>
          <cell r="R382" t="str">
            <v>J6</v>
          </cell>
          <cell r="S382" t="str">
            <v>ENTREGADO</v>
          </cell>
          <cell r="T382">
            <v>42682</v>
          </cell>
          <cell r="U382" t="str">
            <v>CHUMPITAZ GAGO JULIO ENRIQUE</v>
          </cell>
          <cell r="V382" t="str">
            <v>CORIHUAMAN SURCO  ERICK ROBERT</v>
          </cell>
        </row>
        <row r="383">
          <cell r="A383">
            <v>331</v>
          </cell>
          <cell r="B383">
            <v>42682</v>
          </cell>
          <cell r="C383" t="str">
            <v>NOVIEMBRE</v>
          </cell>
          <cell r="D383" t="str">
            <v>2016</v>
          </cell>
          <cell r="E383">
            <v>261</v>
          </cell>
          <cell r="F383" t="str">
            <v>C5R-895</v>
          </cell>
          <cell r="G383" t="str">
            <v>TBL-976</v>
          </cell>
          <cell r="H383" t="str">
            <v>LAS BAMBAS</v>
          </cell>
          <cell r="I383">
            <v>164921</v>
          </cell>
          <cell r="J383" t="str">
            <v>REPUESTO</v>
          </cell>
          <cell r="K383" t="str">
            <v>BRAZO DE SOPORTE DE GUARDAFANGO FALDON LH</v>
          </cell>
          <cell r="L383">
            <v>1</v>
          </cell>
          <cell r="M383" t="str">
            <v>UNID.</v>
          </cell>
          <cell r="N383" t="str">
            <v>CISTERNA</v>
          </cell>
          <cell r="O383">
            <v>1</v>
          </cell>
          <cell r="P383" t="str">
            <v>M2</v>
          </cell>
          <cell r="Q383" t="str">
            <v>J2</v>
          </cell>
          <cell r="R383" t="str">
            <v>J6</v>
          </cell>
          <cell r="S383" t="str">
            <v>ENTREGADO</v>
          </cell>
          <cell r="T383">
            <v>42683</v>
          </cell>
          <cell r="U383" t="str">
            <v>CHUMPITAZ GAGO JULIO ENRIQUE</v>
          </cell>
          <cell r="V383" t="str">
            <v>CORIHUAMAN SURCO  ERICK ROBERT</v>
          </cell>
        </row>
        <row r="384">
          <cell r="A384">
            <v>365</v>
          </cell>
          <cell r="B384">
            <v>42682</v>
          </cell>
          <cell r="C384" t="str">
            <v>NOVIEMBRE</v>
          </cell>
          <cell r="D384" t="str">
            <v>2016</v>
          </cell>
          <cell r="E384">
            <v>261</v>
          </cell>
          <cell r="F384" t="str">
            <v>C5R-895</v>
          </cell>
          <cell r="G384" t="str">
            <v>TBL-976</v>
          </cell>
          <cell r="H384" t="str">
            <v>LAS BAMBAS</v>
          </cell>
          <cell r="I384">
            <v>164921</v>
          </cell>
          <cell r="J384" t="str">
            <v>REPUESTO</v>
          </cell>
          <cell r="K384" t="str">
            <v>PERNO 1/4 X 1</v>
          </cell>
          <cell r="L384">
            <v>2</v>
          </cell>
          <cell r="M384" t="str">
            <v>UNID.</v>
          </cell>
          <cell r="N384" t="str">
            <v>CISTERNA</v>
          </cell>
          <cell r="O384">
            <v>0</v>
          </cell>
          <cell r="P384" t="str">
            <v>M2</v>
          </cell>
          <cell r="Q384" t="str">
            <v>J1</v>
          </cell>
          <cell r="R384" t="str">
            <v>J6</v>
          </cell>
          <cell r="S384" t="str">
            <v>ENTREGADO</v>
          </cell>
          <cell r="T384">
            <v>42682</v>
          </cell>
          <cell r="U384" t="str">
            <v>CHUMPITAZ GAGO JULIO ENRIQUE</v>
          </cell>
          <cell r="V384" t="str">
            <v>FLOREZ CONDORI  JOSE WILLIANS</v>
          </cell>
        </row>
        <row r="385">
          <cell r="A385">
            <v>366</v>
          </cell>
          <cell r="B385">
            <v>42682</v>
          </cell>
          <cell r="C385" t="str">
            <v>NOVIEMBRE</v>
          </cell>
          <cell r="D385" t="str">
            <v>2016</v>
          </cell>
          <cell r="E385">
            <v>261</v>
          </cell>
          <cell r="F385" t="str">
            <v>C5R-895</v>
          </cell>
          <cell r="G385" t="str">
            <v>TBL-976</v>
          </cell>
          <cell r="H385" t="str">
            <v>LAS BAMBAS</v>
          </cell>
          <cell r="I385">
            <v>164921</v>
          </cell>
          <cell r="J385" t="str">
            <v>REPUESTO</v>
          </cell>
          <cell r="K385" t="str">
            <v>TUERCA SEGURO 1/4</v>
          </cell>
          <cell r="L385">
            <v>2</v>
          </cell>
          <cell r="M385" t="str">
            <v>UNID.</v>
          </cell>
          <cell r="N385" t="str">
            <v>CISTERNA</v>
          </cell>
          <cell r="O385">
            <v>0</v>
          </cell>
          <cell r="P385" t="str">
            <v>M2</v>
          </cell>
          <cell r="Q385" t="str">
            <v>J1</v>
          </cell>
          <cell r="R385" t="str">
            <v>J6</v>
          </cell>
          <cell r="S385" t="str">
            <v>ENTREGADO</v>
          </cell>
          <cell r="T385">
            <v>42682</v>
          </cell>
          <cell r="U385" t="str">
            <v>CHUMPITAZ GAGO JULIO ENRIQUE</v>
          </cell>
          <cell r="V385" t="str">
            <v>FLOREZ CONDORI  JOSE WILLIANS</v>
          </cell>
        </row>
        <row r="386">
          <cell r="A386">
            <v>367</v>
          </cell>
          <cell r="B386">
            <v>42682</v>
          </cell>
          <cell r="C386" t="str">
            <v>NOVIEMBRE</v>
          </cell>
          <cell r="D386" t="str">
            <v>2016</v>
          </cell>
          <cell r="E386">
            <v>261</v>
          </cell>
          <cell r="F386" t="str">
            <v>C5R-895</v>
          </cell>
          <cell r="G386" t="str">
            <v>TBL-976</v>
          </cell>
          <cell r="H386" t="str">
            <v>LAS BAMBAS</v>
          </cell>
          <cell r="I386">
            <v>164921</v>
          </cell>
          <cell r="J386" t="str">
            <v>REPUESTO</v>
          </cell>
          <cell r="K386" t="str">
            <v>VOLANDA PRESION 1/4</v>
          </cell>
          <cell r="L386">
            <v>4</v>
          </cell>
          <cell r="M386" t="str">
            <v>UNID.</v>
          </cell>
          <cell r="N386" t="str">
            <v>CISTERNA</v>
          </cell>
          <cell r="O386">
            <v>0</v>
          </cell>
          <cell r="P386" t="str">
            <v>M2</v>
          </cell>
          <cell r="Q386" t="str">
            <v>J1</v>
          </cell>
          <cell r="R386" t="str">
            <v>J6</v>
          </cell>
          <cell r="S386" t="str">
            <v>ENTREGADO</v>
          </cell>
          <cell r="T386">
            <v>42682</v>
          </cell>
          <cell r="U386" t="str">
            <v>CHUMPITAZ GAGO JULIO ENRIQUE</v>
          </cell>
          <cell r="V386" t="str">
            <v>FLOREZ CONDORI  JOSE WILLIANS</v>
          </cell>
        </row>
        <row r="387">
          <cell r="A387">
            <v>368</v>
          </cell>
          <cell r="B387">
            <v>42682</v>
          </cell>
          <cell r="C387" t="str">
            <v>NOVIEMBRE</v>
          </cell>
          <cell r="D387" t="str">
            <v>2016</v>
          </cell>
          <cell r="E387">
            <v>261</v>
          </cell>
          <cell r="F387" t="str">
            <v>C5R-895</v>
          </cell>
          <cell r="G387" t="str">
            <v>TBL-976</v>
          </cell>
          <cell r="H387" t="str">
            <v>LAS BAMBAS</v>
          </cell>
          <cell r="I387">
            <v>164921</v>
          </cell>
          <cell r="J387" t="str">
            <v>REPUESTO</v>
          </cell>
          <cell r="K387" t="str">
            <v>VOLANDA PLANA 1/4</v>
          </cell>
          <cell r="L387">
            <v>4</v>
          </cell>
          <cell r="M387" t="str">
            <v>UNID.</v>
          </cell>
          <cell r="N387" t="str">
            <v>CISTERNA</v>
          </cell>
          <cell r="O387">
            <v>0</v>
          </cell>
          <cell r="P387" t="str">
            <v>M2</v>
          </cell>
          <cell r="Q387" t="str">
            <v>J1</v>
          </cell>
          <cell r="R387" t="str">
            <v>J6</v>
          </cell>
          <cell r="S387" t="str">
            <v>ENTREGADO</v>
          </cell>
          <cell r="T387">
            <v>42682</v>
          </cell>
          <cell r="U387" t="str">
            <v>CHUMPITAZ GAGO JULIO ENRIQUE</v>
          </cell>
          <cell r="V387" t="str">
            <v>FLOREZ CONDORI  JOSE WILLIANS</v>
          </cell>
        </row>
        <row r="388">
          <cell r="A388">
            <v>407</v>
          </cell>
          <cell r="B388">
            <v>42682</v>
          </cell>
          <cell r="C388" t="str">
            <v>NOVIEMBRE</v>
          </cell>
          <cell r="D388" t="str">
            <v>2016</v>
          </cell>
          <cell r="E388">
            <v>270</v>
          </cell>
          <cell r="F388" t="str">
            <v>D3O-745</v>
          </cell>
          <cell r="G388" t="str">
            <v>F3L-979</v>
          </cell>
          <cell r="H388" t="str">
            <v>LAS BAMBAS</v>
          </cell>
          <cell r="I388">
            <v>154305</v>
          </cell>
          <cell r="J388" t="str">
            <v>REPUESTO</v>
          </cell>
          <cell r="K388" t="str">
            <v>CABLE NRO. 14</v>
          </cell>
          <cell r="L388">
            <v>3</v>
          </cell>
          <cell r="M388" t="str">
            <v>M</v>
          </cell>
          <cell r="N388" t="str">
            <v>TRACTO</v>
          </cell>
          <cell r="O388">
            <v>0</v>
          </cell>
          <cell r="P388" t="str">
            <v>E2</v>
          </cell>
          <cell r="Q388" t="str">
            <v>J2</v>
          </cell>
          <cell r="R388" t="str">
            <v>J6</v>
          </cell>
          <cell r="S388" t="str">
            <v>ENTREGADO</v>
          </cell>
          <cell r="T388">
            <v>42682</v>
          </cell>
          <cell r="U388" t="str">
            <v>YUCA BELLIDO BORIS YERSY</v>
          </cell>
          <cell r="V388" t="str">
            <v>CORIHUAMAN SURCO  ERICK ROBERT</v>
          </cell>
        </row>
        <row r="389">
          <cell r="A389">
            <v>293</v>
          </cell>
          <cell r="B389">
            <v>42682</v>
          </cell>
          <cell r="C389" t="str">
            <v>NOVIEMBRE</v>
          </cell>
          <cell r="D389" t="str">
            <v>2016</v>
          </cell>
          <cell r="E389">
            <v>260</v>
          </cell>
          <cell r="F389" t="str">
            <v>D3P-743</v>
          </cell>
          <cell r="G389" t="str">
            <v>B8L-972</v>
          </cell>
          <cell r="H389" t="str">
            <v>LAS BAMBAS</v>
          </cell>
          <cell r="I389">
            <v>177834</v>
          </cell>
          <cell r="J389" t="str">
            <v>REPUESTO</v>
          </cell>
          <cell r="K389" t="str">
            <v>FOCOS NEBLINEROS 896</v>
          </cell>
          <cell r="L389">
            <v>2</v>
          </cell>
          <cell r="M389" t="str">
            <v>UNID.</v>
          </cell>
          <cell r="N389" t="str">
            <v>TRACTO</v>
          </cell>
          <cell r="O389">
            <v>0</v>
          </cell>
          <cell r="P389" t="str">
            <v>E2</v>
          </cell>
          <cell r="Q389" t="str">
            <v>J1</v>
          </cell>
          <cell r="R389" t="str">
            <v>J6</v>
          </cell>
          <cell r="S389" t="str">
            <v>ENTREGADO</v>
          </cell>
          <cell r="T389">
            <v>42682</v>
          </cell>
          <cell r="U389" t="str">
            <v>YUCA BELLIDO BORIS YERSY</v>
          </cell>
          <cell r="V389" t="str">
            <v>FLOREZ CONDORI  JOSE WILLIANS</v>
          </cell>
        </row>
        <row r="390">
          <cell r="A390">
            <v>294</v>
          </cell>
          <cell r="B390">
            <v>42682</v>
          </cell>
          <cell r="C390" t="str">
            <v>NOVIEMBRE</v>
          </cell>
          <cell r="D390" t="str">
            <v>2016</v>
          </cell>
          <cell r="E390">
            <v>260</v>
          </cell>
          <cell r="F390" t="str">
            <v>D3P-743</v>
          </cell>
          <cell r="G390" t="str">
            <v>B8L-972</v>
          </cell>
          <cell r="H390" t="str">
            <v>LAS BAMBAS</v>
          </cell>
          <cell r="I390">
            <v>177834</v>
          </cell>
          <cell r="J390" t="str">
            <v>REPUESTO</v>
          </cell>
          <cell r="K390" t="str">
            <v>CINTA NEGRA</v>
          </cell>
          <cell r="L390">
            <v>1</v>
          </cell>
          <cell r="M390" t="str">
            <v>UNID.</v>
          </cell>
          <cell r="N390" t="str">
            <v>TRACTO</v>
          </cell>
          <cell r="O390">
            <v>0</v>
          </cell>
          <cell r="P390" t="str">
            <v>E2</v>
          </cell>
          <cell r="Q390" t="str">
            <v>J1</v>
          </cell>
          <cell r="R390" t="str">
            <v>J6</v>
          </cell>
          <cell r="S390" t="str">
            <v>ENTREGADO</v>
          </cell>
          <cell r="T390">
            <v>42682</v>
          </cell>
          <cell r="U390" t="str">
            <v>YUCA BELLIDO BORIS YERSY</v>
          </cell>
          <cell r="V390" t="str">
            <v>FLOREZ CONDORI  JOSE WILLIANS</v>
          </cell>
        </row>
        <row r="391">
          <cell r="A391">
            <v>295</v>
          </cell>
          <cell r="B391">
            <v>42682</v>
          </cell>
          <cell r="C391" t="str">
            <v>NOVIEMBRE</v>
          </cell>
          <cell r="D391" t="str">
            <v>2016</v>
          </cell>
          <cell r="E391">
            <v>260</v>
          </cell>
          <cell r="F391" t="str">
            <v>D3P-743</v>
          </cell>
          <cell r="G391" t="str">
            <v>B8L-972</v>
          </cell>
          <cell r="H391" t="str">
            <v>LAS BAMBAS</v>
          </cell>
          <cell r="I391">
            <v>177834</v>
          </cell>
          <cell r="J391" t="str">
            <v>REPUESTO</v>
          </cell>
          <cell r="K391" t="str">
            <v>PERNOS 5/8 X 6</v>
          </cell>
          <cell r="L391">
            <v>2</v>
          </cell>
          <cell r="M391" t="str">
            <v>UNID.</v>
          </cell>
          <cell r="N391" t="str">
            <v>TRACTO</v>
          </cell>
          <cell r="O391">
            <v>0</v>
          </cell>
          <cell r="P391" t="str">
            <v>M8</v>
          </cell>
          <cell r="Q391" t="str">
            <v>J1</v>
          </cell>
          <cell r="R391" t="str">
            <v>J5</v>
          </cell>
          <cell r="S391" t="str">
            <v>ENTREGADO</v>
          </cell>
          <cell r="T391">
            <v>42682</v>
          </cell>
          <cell r="U391" t="str">
            <v>VARILLAS GAGO  OSCAR ALBERTO</v>
          </cell>
          <cell r="V391" t="str">
            <v>FLOREZ CONDORI  JOSE WILLIANS</v>
          </cell>
        </row>
        <row r="392">
          <cell r="A392">
            <v>296</v>
          </cell>
          <cell r="B392">
            <v>42682</v>
          </cell>
          <cell r="C392" t="str">
            <v>NOVIEMBRE</v>
          </cell>
          <cell r="D392" t="str">
            <v>2016</v>
          </cell>
          <cell r="E392">
            <v>260</v>
          </cell>
          <cell r="F392" t="str">
            <v>D3P-743</v>
          </cell>
          <cell r="G392" t="str">
            <v>B8L-972</v>
          </cell>
          <cell r="H392" t="str">
            <v>LAS BAMBAS</v>
          </cell>
          <cell r="I392">
            <v>177834</v>
          </cell>
          <cell r="J392" t="str">
            <v>REPUESTO</v>
          </cell>
          <cell r="K392" t="str">
            <v>TUERCAS 5/8</v>
          </cell>
          <cell r="L392">
            <v>2</v>
          </cell>
          <cell r="M392" t="str">
            <v>UNID.</v>
          </cell>
          <cell r="N392" t="str">
            <v>TRACTO</v>
          </cell>
          <cell r="O392">
            <v>0</v>
          </cell>
          <cell r="P392" t="str">
            <v>M8</v>
          </cell>
          <cell r="Q392" t="str">
            <v>J1</v>
          </cell>
          <cell r="R392" t="str">
            <v>J5</v>
          </cell>
          <cell r="S392" t="str">
            <v>ENTREGADO</v>
          </cell>
          <cell r="T392">
            <v>42682</v>
          </cell>
          <cell r="U392" t="str">
            <v>VARILLAS GAGO  OSCAR ALBERTO</v>
          </cell>
          <cell r="V392" t="str">
            <v>FLOREZ CONDORI  JOSE WILLIANS</v>
          </cell>
        </row>
        <row r="393">
          <cell r="A393">
            <v>297</v>
          </cell>
          <cell r="B393">
            <v>42682</v>
          </cell>
          <cell r="C393" t="str">
            <v>NOVIEMBRE</v>
          </cell>
          <cell r="D393" t="str">
            <v>2016</v>
          </cell>
          <cell r="E393">
            <v>260</v>
          </cell>
          <cell r="F393" t="str">
            <v>D3P-743</v>
          </cell>
          <cell r="G393" t="str">
            <v>B8L-972</v>
          </cell>
          <cell r="H393" t="str">
            <v>LAS BAMBAS</v>
          </cell>
          <cell r="I393">
            <v>177834</v>
          </cell>
          <cell r="J393" t="str">
            <v>REPUESTO</v>
          </cell>
          <cell r="K393" t="str">
            <v>REFRIGERANTE</v>
          </cell>
          <cell r="L393">
            <v>0.5</v>
          </cell>
          <cell r="M393" t="str">
            <v>GLNS.</v>
          </cell>
          <cell r="N393" t="str">
            <v>TRACTO</v>
          </cell>
          <cell r="O393">
            <v>0</v>
          </cell>
          <cell r="P393" t="str">
            <v>M8</v>
          </cell>
          <cell r="Q393" t="str">
            <v>J1</v>
          </cell>
          <cell r="R393" t="str">
            <v>J5</v>
          </cell>
          <cell r="S393" t="str">
            <v>ENTREGADO</v>
          </cell>
          <cell r="T393">
            <v>42682</v>
          </cell>
          <cell r="U393" t="str">
            <v>VARILLAS GAGO  OSCAR ALBERTO</v>
          </cell>
          <cell r="V393" t="str">
            <v>FLOREZ CONDORI  JOSE WILLIANS</v>
          </cell>
        </row>
        <row r="394">
          <cell r="A394">
            <v>298</v>
          </cell>
          <cell r="B394">
            <v>42682</v>
          </cell>
          <cell r="C394" t="str">
            <v>NOVIEMBRE</v>
          </cell>
          <cell r="D394" t="str">
            <v>2016</v>
          </cell>
          <cell r="E394">
            <v>260</v>
          </cell>
          <cell r="F394" t="str">
            <v>D3P-743</v>
          </cell>
          <cell r="G394" t="str">
            <v>B8L-972</v>
          </cell>
          <cell r="H394" t="str">
            <v>LAS BAMBAS</v>
          </cell>
          <cell r="I394">
            <v>177834</v>
          </cell>
          <cell r="J394" t="str">
            <v>REPUESTO</v>
          </cell>
          <cell r="K394" t="str">
            <v>PERNOS 5/16</v>
          </cell>
          <cell r="L394">
            <v>1</v>
          </cell>
          <cell r="M394" t="str">
            <v>UNID.</v>
          </cell>
          <cell r="N394" t="str">
            <v>TRACTO</v>
          </cell>
          <cell r="O394">
            <v>0</v>
          </cell>
          <cell r="P394" t="str">
            <v>M8</v>
          </cell>
          <cell r="Q394" t="str">
            <v>J1</v>
          </cell>
          <cell r="R394" t="str">
            <v>J5</v>
          </cell>
          <cell r="S394" t="str">
            <v>ENTREGADO</v>
          </cell>
          <cell r="T394">
            <v>42682</v>
          </cell>
          <cell r="U394" t="str">
            <v>VARILLAS GAGO  OSCAR ALBERTO</v>
          </cell>
          <cell r="V394" t="str">
            <v>FLOREZ CONDORI  JOSE WILLIANS</v>
          </cell>
        </row>
        <row r="395">
          <cell r="A395">
            <v>332</v>
          </cell>
          <cell r="B395">
            <v>42682</v>
          </cell>
          <cell r="C395" t="str">
            <v>NOVIEMBRE</v>
          </cell>
          <cell r="D395" t="str">
            <v>2016</v>
          </cell>
          <cell r="E395">
            <v>260</v>
          </cell>
          <cell r="F395" t="str">
            <v>D3P-743</v>
          </cell>
          <cell r="G395" t="str">
            <v>B8L-972</v>
          </cell>
          <cell r="H395" t="str">
            <v>LAS BAMBAS</v>
          </cell>
          <cell r="I395">
            <v>177834</v>
          </cell>
          <cell r="J395" t="str">
            <v>REPUESTO</v>
          </cell>
          <cell r="K395" t="str">
            <v>SOPORTE DE CABINA</v>
          </cell>
          <cell r="L395">
            <v>2</v>
          </cell>
          <cell r="M395" t="str">
            <v>UNID.</v>
          </cell>
          <cell r="N395" t="str">
            <v>TRACTO</v>
          </cell>
          <cell r="O395">
            <v>0</v>
          </cell>
          <cell r="P395" t="str">
            <v>M8</v>
          </cell>
          <cell r="Q395" t="str">
            <v>J2</v>
          </cell>
          <cell r="R395" t="str">
            <v>J6</v>
          </cell>
          <cell r="S395" t="str">
            <v>ENTREGADO</v>
          </cell>
          <cell r="T395">
            <v>42682</v>
          </cell>
          <cell r="U395" t="str">
            <v>VARILLAS GAGO  OSCAR ALBERTO</v>
          </cell>
          <cell r="V395" t="str">
            <v>CORIHUAMAN SURCO  ERICK ROBERT</v>
          </cell>
        </row>
        <row r="396">
          <cell r="A396">
            <v>333</v>
          </cell>
          <cell r="B396">
            <v>42682</v>
          </cell>
          <cell r="C396" t="str">
            <v>NOVIEMBRE</v>
          </cell>
          <cell r="D396" t="str">
            <v>2016</v>
          </cell>
          <cell r="E396">
            <v>260</v>
          </cell>
          <cell r="F396" t="str">
            <v>D3P-743</v>
          </cell>
          <cell r="G396" t="str">
            <v>B8L-972</v>
          </cell>
          <cell r="H396" t="str">
            <v>LAS BAMBAS</v>
          </cell>
          <cell r="I396">
            <v>177834</v>
          </cell>
          <cell r="J396" t="str">
            <v>INSUMO TALLER</v>
          </cell>
          <cell r="K396" t="str">
            <v>AFLOJATODO</v>
          </cell>
          <cell r="L396">
            <v>1</v>
          </cell>
          <cell r="M396" t="str">
            <v>UNID.</v>
          </cell>
          <cell r="N396" t="str">
            <v>TRACTO</v>
          </cell>
          <cell r="O396">
            <v>0</v>
          </cell>
          <cell r="P396" t="str">
            <v>M8</v>
          </cell>
          <cell r="Q396" t="str">
            <v>J2</v>
          </cell>
          <cell r="R396" t="str">
            <v>J6</v>
          </cell>
          <cell r="S396" t="str">
            <v>ENTREGADO</v>
          </cell>
          <cell r="T396">
            <v>42682</v>
          </cell>
          <cell r="U396" t="str">
            <v>VARILLAS GAGO  OSCAR ALBERTO</v>
          </cell>
          <cell r="V396" t="str">
            <v>CORIHUAMAN SURCO  ERICK ROBERT</v>
          </cell>
        </row>
        <row r="397">
          <cell r="A397">
            <v>334</v>
          </cell>
          <cell r="B397">
            <v>42682</v>
          </cell>
          <cell r="C397" t="str">
            <v>NOVIEMBRE</v>
          </cell>
          <cell r="D397" t="str">
            <v>2016</v>
          </cell>
          <cell r="E397">
            <v>260</v>
          </cell>
          <cell r="F397" t="str">
            <v>D3P-743</v>
          </cell>
          <cell r="G397" t="str">
            <v>B8L-972</v>
          </cell>
          <cell r="H397" t="str">
            <v>LAS BAMBAS</v>
          </cell>
          <cell r="I397">
            <v>177834</v>
          </cell>
          <cell r="J397" t="str">
            <v>SERVICIO</v>
          </cell>
          <cell r="K397" t="str">
            <v>ENFIBRADO DE GUARDAFANGO</v>
          </cell>
          <cell r="L397">
            <v>1</v>
          </cell>
          <cell r="M397" t="str">
            <v>UNID.</v>
          </cell>
          <cell r="N397" t="str">
            <v>TRACTO</v>
          </cell>
          <cell r="O397">
            <v>0</v>
          </cell>
          <cell r="P397" t="str">
            <v>M8</v>
          </cell>
          <cell r="Q397" t="str">
            <v>J2</v>
          </cell>
          <cell r="R397" t="str">
            <v>J6</v>
          </cell>
          <cell r="S397" t="str">
            <v>ENTREGADO</v>
          </cell>
          <cell r="T397">
            <v>42682</v>
          </cell>
          <cell r="U397" t="str">
            <v>VARILLAS GAGO  OSCAR ALBERTO</v>
          </cell>
          <cell r="V397" t="str">
            <v>CORIHUAMAN SURCO  ERICK ROBERT</v>
          </cell>
        </row>
        <row r="398">
          <cell r="A398">
            <v>370</v>
          </cell>
          <cell r="B398">
            <v>42682</v>
          </cell>
          <cell r="C398" t="str">
            <v>NOVIEMBRE</v>
          </cell>
          <cell r="D398" t="str">
            <v>2016</v>
          </cell>
          <cell r="E398">
            <v>260</v>
          </cell>
          <cell r="F398" t="str">
            <v>D3P-743</v>
          </cell>
          <cell r="G398" t="str">
            <v>B8L-972</v>
          </cell>
          <cell r="H398" t="str">
            <v>LAS BAMBAS</v>
          </cell>
          <cell r="I398">
            <v>177834</v>
          </cell>
          <cell r="J398" t="str">
            <v>REPUESTO</v>
          </cell>
          <cell r="K398" t="str">
            <v>PERNO 1/4 X 1</v>
          </cell>
          <cell r="L398">
            <v>2</v>
          </cell>
          <cell r="M398" t="str">
            <v>UNID.</v>
          </cell>
          <cell r="N398" t="str">
            <v>CISTERNA</v>
          </cell>
          <cell r="O398">
            <v>0</v>
          </cell>
          <cell r="P398" t="str">
            <v>M2</v>
          </cell>
          <cell r="Q398" t="str">
            <v>J1</v>
          </cell>
          <cell r="R398" t="str">
            <v>J5</v>
          </cell>
          <cell r="S398" t="str">
            <v>ENTREGADO</v>
          </cell>
          <cell r="T398">
            <v>42682</v>
          </cell>
          <cell r="U398" t="str">
            <v>CHUMPITAZ GAGO JULIO ENRIQUE</v>
          </cell>
          <cell r="V398" t="str">
            <v>FLOREZ CONDORI  JOSE WILLIANS</v>
          </cell>
        </row>
        <row r="399">
          <cell r="A399">
            <v>371</v>
          </cell>
          <cell r="B399">
            <v>42682</v>
          </cell>
          <cell r="C399" t="str">
            <v>NOVIEMBRE</v>
          </cell>
          <cell r="D399" t="str">
            <v>2016</v>
          </cell>
          <cell r="E399">
            <v>260</v>
          </cell>
          <cell r="F399" t="str">
            <v>D3P-743</v>
          </cell>
          <cell r="G399" t="str">
            <v>B8L-972</v>
          </cell>
          <cell r="H399" t="str">
            <v>LAS BAMBAS</v>
          </cell>
          <cell r="I399">
            <v>177834</v>
          </cell>
          <cell r="J399" t="str">
            <v>REPUESTO</v>
          </cell>
          <cell r="K399" t="str">
            <v>VOLANDA PLANA 1/4</v>
          </cell>
          <cell r="L399">
            <v>4</v>
          </cell>
          <cell r="M399" t="str">
            <v>UNID.</v>
          </cell>
          <cell r="N399" t="str">
            <v>CISTERNA</v>
          </cell>
          <cell r="O399">
            <v>0</v>
          </cell>
          <cell r="P399" t="str">
            <v>M2</v>
          </cell>
          <cell r="Q399" t="str">
            <v>J1</v>
          </cell>
          <cell r="R399" t="str">
            <v>J5</v>
          </cell>
          <cell r="S399" t="str">
            <v>ENTREGADO</v>
          </cell>
          <cell r="T399">
            <v>42682</v>
          </cell>
          <cell r="U399" t="str">
            <v>CHUMPITAZ GAGO JULIO ENRIQUE</v>
          </cell>
          <cell r="V399" t="str">
            <v>FLOREZ CONDORI  JOSE WILLIANS</v>
          </cell>
        </row>
        <row r="400">
          <cell r="A400">
            <v>372</v>
          </cell>
          <cell r="B400">
            <v>42682</v>
          </cell>
          <cell r="C400" t="str">
            <v>NOVIEMBRE</v>
          </cell>
          <cell r="D400" t="str">
            <v>2016</v>
          </cell>
          <cell r="E400">
            <v>260</v>
          </cell>
          <cell r="F400" t="str">
            <v>D3P-743</v>
          </cell>
          <cell r="G400" t="str">
            <v>B8L-972</v>
          </cell>
          <cell r="H400" t="str">
            <v>LAS BAMBAS</v>
          </cell>
          <cell r="I400">
            <v>177834</v>
          </cell>
          <cell r="J400" t="str">
            <v>REPUESTO</v>
          </cell>
          <cell r="K400" t="str">
            <v>VOLANDA PRESION 1/4</v>
          </cell>
          <cell r="L400">
            <v>4</v>
          </cell>
          <cell r="M400" t="str">
            <v>UNID.</v>
          </cell>
          <cell r="N400" t="str">
            <v>CISTERNA</v>
          </cell>
          <cell r="O400">
            <v>0</v>
          </cell>
          <cell r="P400" t="str">
            <v>M2</v>
          </cell>
          <cell r="Q400" t="str">
            <v>J1</v>
          </cell>
          <cell r="R400" t="str">
            <v>J5</v>
          </cell>
          <cell r="S400" t="str">
            <v>ENTREGADO</v>
          </cell>
          <cell r="T400">
            <v>42682</v>
          </cell>
          <cell r="U400" t="str">
            <v>CHUMPITAZ GAGO JULIO ENRIQUE</v>
          </cell>
          <cell r="V400" t="str">
            <v>FLOREZ CONDORI  JOSE WILLIANS</v>
          </cell>
        </row>
        <row r="401">
          <cell r="A401">
            <v>373</v>
          </cell>
          <cell r="B401">
            <v>42682</v>
          </cell>
          <cell r="C401" t="str">
            <v>NOVIEMBRE</v>
          </cell>
          <cell r="D401" t="str">
            <v>2016</v>
          </cell>
          <cell r="E401">
            <v>260</v>
          </cell>
          <cell r="F401" t="str">
            <v>D3P-743</v>
          </cell>
          <cell r="G401" t="str">
            <v>B8L-972</v>
          </cell>
          <cell r="H401" t="str">
            <v>LAS BAMBAS</v>
          </cell>
          <cell r="I401">
            <v>177834</v>
          </cell>
          <cell r="J401" t="str">
            <v>REPUESTO</v>
          </cell>
          <cell r="K401" t="str">
            <v>TUERCA SEGURO 1/4</v>
          </cell>
          <cell r="L401">
            <v>2</v>
          </cell>
          <cell r="M401" t="str">
            <v>UNID.</v>
          </cell>
          <cell r="N401" t="str">
            <v>CISTERNA</v>
          </cell>
          <cell r="O401">
            <v>0</v>
          </cell>
          <cell r="P401" t="str">
            <v>M2</v>
          </cell>
          <cell r="Q401" t="str">
            <v>J1</v>
          </cell>
          <cell r="R401" t="str">
            <v>J5</v>
          </cell>
          <cell r="S401" t="str">
            <v>ENTREGADO</v>
          </cell>
          <cell r="T401">
            <v>42682</v>
          </cell>
          <cell r="U401" t="str">
            <v>CHUMPITAZ GAGO JULIO ENRIQUE</v>
          </cell>
          <cell r="V401" t="str">
            <v>FLOREZ CONDORI  JOSE WILLIANS</v>
          </cell>
        </row>
        <row r="402">
          <cell r="A402">
            <v>384</v>
          </cell>
          <cell r="B402">
            <v>42682</v>
          </cell>
          <cell r="C402" t="str">
            <v>NOVIEMBRE</v>
          </cell>
          <cell r="D402" t="str">
            <v>2016</v>
          </cell>
          <cell r="E402">
            <v>260</v>
          </cell>
          <cell r="F402" t="str">
            <v>D3P-743</v>
          </cell>
          <cell r="G402" t="str">
            <v>B8L-972</v>
          </cell>
          <cell r="H402" t="str">
            <v>LAS BAMBAS</v>
          </cell>
          <cell r="I402">
            <v>177834</v>
          </cell>
          <cell r="J402" t="str">
            <v>REPUESTO</v>
          </cell>
          <cell r="K402" t="str">
            <v>PERNO 1/4 X 1</v>
          </cell>
          <cell r="L402">
            <v>1</v>
          </cell>
          <cell r="M402" t="str">
            <v>UNID.</v>
          </cell>
          <cell r="N402" t="str">
            <v>TRACTO</v>
          </cell>
          <cell r="O402">
            <v>0</v>
          </cell>
          <cell r="P402" t="str">
            <v>M2</v>
          </cell>
          <cell r="Q402" t="str">
            <v>J1</v>
          </cell>
          <cell r="R402" t="str">
            <v>J6</v>
          </cell>
          <cell r="S402" t="str">
            <v>ENTREGADO</v>
          </cell>
          <cell r="T402">
            <v>42682</v>
          </cell>
          <cell r="U402" t="str">
            <v>CHUMPITAZ GAGO JULIO ENRIQUE</v>
          </cell>
          <cell r="V402" t="str">
            <v>FLOREZ CONDORI  JOSE WILLIANS</v>
          </cell>
        </row>
        <row r="403">
          <cell r="A403">
            <v>385</v>
          </cell>
          <cell r="B403">
            <v>42682</v>
          </cell>
          <cell r="C403" t="str">
            <v>NOVIEMBRE</v>
          </cell>
          <cell r="D403" t="str">
            <v>2016</v>
          </cell>
          <cell r="E403">
            <v>260</v>
          </cell>
          <cell r="F403" t="str">
            <v>D3P-743</v>
          </cell>
          <cell r="G403" t="str">
            <v>B8L-972</v>
          </cell>
          <cell r="H403" t="str">
            <v>LAS BAMBAS</v>
          </cell>
          <cell r="I403">
            <v>177834</v>
          </cell>
          <cell r="J403" t="str">
            <v>REPUESTO</v>
          </cell>
          <cell r="K403" t="str">
            <v>TUERCA 1/4</v>
          </cell>
          <cell r="L403">
            <v>1</v>
          </cell>
          <cell r="M403" t="str">
            <v>UNID.</v>
          </cell>
          <cell r="N403" t="str">
            <v>TRACTO</v>
          </cell>
          <cell r="O403">
            <v>0</v>
          </cell>
          <cell r="P403" t="str">
            <v>M2</v>
          </cell>
          <cell r="Q403" t="str">
            <v>J1</v>
          </cell>
          <cell r="R403" t="str">
            <v>J6</v>
          </cell>
          <cell r="S403" t="str">
            <v>ENTREGADO</v>
          </cell>
          <cell r="T403">
            <v>42682</v>
          </cell>
          <cell r="U403" t="str">
            <v>CHUMPITAZ GAGO JULIO ENRIQUE</v>
          </cell>
          <cell r="V403" t="str">
            <v>FLOREZ CONDORI  JOSE WILLIANS</v>
          </cell>
        </row>
        <row r="404">
          <cell r="A404">
            <v>386</v>
          </cell>
          <cell r="B404">
            <v>42682</v>
          </cell>
          <cell r="C404" t="str">
            <v>NOVIEMBRE</v>
          </cell>
          <cell r="D404" t="str">
            <v>2016</v>
          </cell>
          <cell r="E404">
            <v>260</v>
          </cell>
          <cell r="F404" t="str">
            <v>D3P-743</v>
          </cell>
          <cell r="G404" t="str">
            <v>B8L-972</v>
          </cell>
          <cell r="H404" t="str">
            <v>LAS BAMBAS</v>
          </cell>
          <cell r="I404">
            <v>177834</v>
          </cell>
          <cell r="J404" t="str">
            <v>REPUESTO</v>
          </cell>
          <cell r="K404" t="str">
            <v>VOLANDA 1/4</v>
          </cell>
          <cell r="L404">
            <v>2</v>
          </cell>
          <cell r="M404" t="str">
            <v>UNID.</v>
          </cell>
          <cell r="N404" t="str">
            <v>TRACTO</v>
          </cell>
          <cell r="O404">
            <v>0</v>
          </cell>
          <cell r="P404" t="str">
            <v>M2</v>
          </cell>
          <cell r="Q404" t="str">
            <v>J1</v>
          </cell>
          <cell r="R404" t="str">
            <v>J6</v>
          </cell>
          <cell r="S404" t="str">
            <v>ENTREGADO</v>
          </cell>
          <cell r="T404">
            <v>42682</v>
          </cell>
          <cell r="U404" t="str">
            <v>CHUMPITAZ GAGO JULIO ENRIQUE</v>
          </cell>
          <cell r="V404" t="str">
            <v>FLOREZ CONDORI  JOSE WILLIANS</v>
          </cell>
        </row>
        <row r="405">
          <cell r="A405">
            <v>361</v>
          </cell>
          <cell r="B405">
            <v>42682</v>
          </cell>
          <cell r="C405" t="str">
            <v>NOVIEMBRE</v>
          </cell>
          <cell r="D405" t="str">
            <v>2016</v>
          </cell>
          <cell r="E405">
            <v>226</v>
          </cell>
          <cell r="F405" t="str">
            <v>D3P-754</v>
          </cell>
          <cell r="G405" t="str">
            <v>C0V-971</v>
          </cell>
          <cell r="H405" t="str">
            <v>LAS BAMBAS</v>
          </cell>
          <cell r="I405">
            <v>159560</v>
          </cell>
          <cell r="J405" t="str">
            <v>REPUESTO</v>
          </cell>
          <cell r="K405" t="str">
            <v>VOLANDAS PLANAS 1/2</v>
          </cell>
          <cell r="L405">
            <v>3</v>
          </cell>
          <cell r="M405" t="str">
            <v>UNID.</v>
          </cell>
          <cell r="N405" t="str">
            <v>TRACTO</v>
          </cell>
          <cell r="O405">
            <v>0</v>
          </cell>
          <cell r="P405" t="str">
            <v>M1</v>
          </cell>
          <cell r="Q405" t="str">
            <v>J1</v>
          </cell>
          <cell r="R405" t="str">
            <v>J5</v>
          </cell>
          <cell r="S405" t="str">
            <v>ENTREGADO</v>
          </cell>
          <cell r="T405">
            <v>42682</v>
          </cell>
          <cell r="U405" t="str">
            <v>CABEZAS SANCHEZ JEAN JHONATAN</v>
          </cell>
          <cell r="V405" t="str">
            <v>FLOREZ CONDORI  JOSE WILLIANS</v>
          </cell>
        </row>
        <row r="406">
          <cell r="A406">
            <v>374</v>
          </cell>
          <cell r="B406">
            <v>42682</v>
          </cell>
          <cell r="C406" t="str">
            <v>NOVIEMBRE</v>
          </cell>
          <cell r="D406" t="str">
            <v>2016</v>
          </cell>
          <cell r="E406">
            <v>226</v>
          </cell>
          <cell r="F406" t="str">
            <v>D3P-754</v>
          </cell>
          <cell r="G406" t="str">
            <v>C0V-971</v>
          </cell>
          <cell r="H406" t="str">
            <v>LAS BAMBAS</v>
          </cell>
          <cell r="I406">
            <v>159560</v>
          </cell>
          <cell r="J406" t="str">
            <v>REPUESTO</v>
          </cell>
          <cell r="K406" t="str">
            <v>FILTRO DE PETROLEO</v>
          </cell>
          <cell r="L406">
            <v>1</v>
          </cell>
          <cell r="M406" t="str">
            <v>UNID.</v>
          </cell>
          <cell r="N406" t="str">
            <v>TRACTO</v>
          </cell>
          <cell r="O406">
            <v>0</v>
          </cell>
          <cell r="P406" t="str">
            <v>M1</v>
          </cell>
          <cell r="Q406" t="str">
            <v>J2</v>
          </cell>
          <cell r="R406" t="str">
            <v>J5</v>
          </cell>
          <cell r="S406" t="str">
            <v>ENTREGADO</v>
          </cell>
          <cell r="T406">
            <v>42682</v>
          </cell>
          <cell r="U406" t="str">
            <v>CABEZAS SANCHEZ JEAN JHONATAN</v>
          </cell>
          <cell r="V406" t="str">
            <v>CORIHUAMAN SURCO  ERICK ROBERT</v>
          </cell>
        </row>
        <row r="407">
          <cell r="A407">
            <v>375</v>
          </cell>
          <cell r="B407">
            <v>42682</v>
          </cell>
          <cell r="C407" t="str">
            <v>NOVIEMBRE</v>
          </cell>
          <cell r="D407" t="str">
            <v>2016</v>
          </cell>
          <cell r="E407">
            <v>226</v>
          </cell>
          <cell r="F407" t="str">
            <v>D3P-754</v>
          </cell>
          <cell r="G407" t="str">
            <v>C0V-971</v>
          </cell>
          <cell r="H407" t="str">
            <v>LAS BAMBAS</v>
          </cell>
          <cell r="I407">
            <v>159560</v>
          </cell>
          <cell r="J407" t="str">
            <v>REPUESTO</v>
          </cell>
          <cell r="K407" t="str">
            <v>FILTRO DE PETROLEO PAPEL</v>
          </cell>
          <cell r="L407">
            <v>1</v>
          </cell>
          <cell r="M407" t="str">
            <v>UNID.</v>
          </cell>
          <cell r="N407" t="str">
            <v>TRACTO</v>
          </cell>
          <cell r="O407">
            <v>0</v>
          </cell>
          <cell r="P407" t="str">
            <v>M1</v>
          </cell>
          <cell r="Q407" t="str">
            <v>J2</v>
          </cell>
          <cell r="R407" t="str">
            <v>J5</v>
          </cell>
          <cell r="S407" t="str">
            <v>ENTREGADO</v>
          </cell>
          <cell r="T407">
            <v>42682</v>
          </cell>
          <cell r="U407" t="str">
            <v>CABEZAS SANCHEZ JEAN JHONATAN</v>
          </cell>
          <cell r="V407" t="str">
            <v>CORIHUAMAN SURCO  ERICK ROBERT</v>
          </cell>
        </row>
        <row r="408">
          <cell r="A408">
            <v>378</v>
          </cell>
          <cell r="B408">
            <v>42682</v>
          </cell>
          <cell r="C408" t="str">
            <v>NOVIEMBRE</v>
          </cell>
          <cell r="D408" t="str">
            <v>2016</v>
          </cell>
          <cell r="E408">
            <v>226</v>
          </cell>
          <cell r="F408" t="str">
            <v>D3P-754</v>
          </cell>
          <cell r="G408" t="str">
            <v>C0V-971</v>
          </cell>
          <cell r="H408" t="str">
            <v>LAS BAMBAS</v>
          </cell>
          <cell r="I408">
            <v>159560</v>
          </cell>
          <cell r="J408" t="str">
            <v>INSUMO TALLER</v>
          </cell>
          <cell r="K408" t="str">
            <v>PETROLEO</v>
          </cell>
          <cell r="L408">
            <v>1</v>
          </cell>
          <cell r="M408" t="str">
            <v>GLNS.</v>
          </cell>
          <cell r="N408" t="str">
            <v>TRACTO</v>
          </cell>
          <cell r="O408">
            <v>0</v>
          </cell>
          <cell r="P408" t="str">
            <v>M1</v>
          </cell>
          <cell r="Q408" t="str">
            <v>J2</v>
          </cell>
          <cell r="R408" t="str">
            <v>J6</v>
          </cell>
          <cell r="S408" t="str">
            <v>ENTREGADO</v>
          </cell>
          <cell r="T408">
            <v>42682</v>
          </cell>
          <cell r="U408" t="str">
            <v>CABEZAS SANCHEZ JEAN JHONATAN</v>
          </cell>
          <cell r="V408" t="str">
            <v>CORIHUAMAN SURCO  ERICK ROBERT</v>
          </cell>
        </row>
        <row r="409">
          <cell r="A409">
            <v>414</v>
          </cell>
          <cell r="B409">
            <v>42682</v>
          </cell>
          <cell r="C409" t="str">
            <v>NOVIEMBRE</v>
          </cell>
          <cell r="D409" t="str">
            <v>2016</v>
          </cell>
          <cell r="E409">
            <v>271</v>
          </cell>
          <cell r="F409" t="str">
            <v>D3S-764</v>
          </cell>
          <cell r="G409" t="str">
            <v>TBL-998</v>
          </cell>
          <cell r="H409" t="str">
            <v>LAS BAMBAS</v>
          </cell>
          <cell r="I409">
            <v>0</v>
          </cell>
          <cell r="J409" t="str">
            <v>REPUESTO</v>
          </cell>
          <cell r="K409" t="str">
            <v>PARCHE RACK 14</v>
          </cell>
          <cell r="L409">
            <v>1</v>
          </cell>
          <cell r="M409" t="str">
            <v>UNID.</v>
          </cell>
          <cell r="N409" t="str">
            <v>TRACTO</v>
          </cell>
          <cell r="O409">
            <v>0</v>
          </cell>
          <cell r="P409" t="str">
            <v>N1</v>
          </cell>
          <cell r="Q409" t="str">
            <v>J3</v>
          </cell>
          <cell r="R409" t="str">
            <v>J6</v>
          </cell>
          <cell r="S409" t="str">
            <v>ENTREGADO</v>
          </cell>
          <cell r="T409">
            <v>42682</v>
          </cell>
          <cell r="U409" t="str">
            <v>AGUILAR CCANTUTA WILLY</v>
          </cell>
          <cell r="V409" t="str">
            <v>CHURA PIZARRO ALBERTO</v>
          </cell>
        </row>
        <row r="410">
          <cell r="A410">
            <v>415</v>
          </cell>
          <cell r="B410">
            <v>42682</v>
          </cell>
          <cell r="C410" t="str">
            <v>NOVIEMBRE</v>
          </cell>
          <cell r="D410" t="str">
            <v>2016</v>
          </cell>
          <cell r="E410">
            <v>271</v>
          </cell>
          <cell r="F410" t="str">
            <v>D3S-764</v>
          </cell>
          <cell r="G410" t="str">
            <v>TBL-998</v>
          </cell>
          <cell r="H410" t="str">
            <v>LAS BAMBAS</v>
          </cell>
          <cell r="I410">
            <v>0</v>
          </cell>
          <cell r="J410" t="str">
            <v>REPUESTO</v>
          </cell>
          <cell r="K410" t="str">
            <v>PARCHE RACK 12</v>
          </cell>
          <cell r="L410">
            <v>1</v>
          </cell>
          <cell r="M410" t="str">
            <v>UNID.</v>
          </cell>
          <cell r="N410" t="str">
            <v>TRACTO</v>
          </cell>
          <cell r="O410">
            <v>0</v>
          </cell>
          <cell r="P410" t="str">
            <v>N1</v>
          </cell>
          <cell r="Q410" t="str">
            <v>J3</v>
          </cell>
          <cell r="R410" t="str">
            <v>J6</v>
          </cell>
          <cell r="S410" t="str">
            <v>ENTREGADO</v>
          </cell>
          <cell r="T410">
            <v>42682</v>
          </cell>
          <cell r="U410" t="str">
            <v>AGUILAR CCANTUTA WILLY</v>
          </cell>
          <cell r="V410" t="str">
            <v>CHURA PIZARRO ALBERTO</v>
          </cell>
        </row>
        <row r="411">
          <cell r="A411">
            <v>416</v>
          </cell>
          <cell r="B411">
            <v>42682</v>
          </cell>
          <cell r="C411" t="str">
            <v>NOVIEMBRE</v>
          </cell>
          <cell r="D411" t="str">
            <v>2016</v>
          </cell>
          <cell r="E411">
            <v>271</v>
          </cell>
          <cell r="F411" t="str">
            <v>D3S-764</v>
          </cell>
          <cell r="G411" t="str">
            <v>TBL-998</v>
          </cell>
          <cell r="H411" t="str">
            <v>LAS BAMBAS</v>
          </cell>
          <cell r="I411">
            <v>0</v>
          </cell>
          <cell r="J411" t="str">
            <v>REPUESTO</v>
          </cell>
          <cell r="K411" t="str">
            <v>AGUJAS DE PITON</v>
          </cell>
          <cell r="L411">
            <v>2</v>
          </cell>
          <cell r="M411" t="str">
            <v>UNID.</v>
          </cell>
          <cell r="N411" t="str">
            <v>TRACTO</v>
          </cell>
          <cell r="O411">
            <v>0</v>
          </cell>
          <cell r="P411" t="str">
            <v>N1</v>
          </cell>
          <cell r="Q411" t="str">
            <v>J3</v>
          </cell>
          <cell r="R411" t="str">
            <v>J6</v>
          </cell>
          <cell r="S411" t="str">
            <v>ENTREGADO</v>
          </cell>
          <cell r="T411">
            <v>42682</v>
          </cell>
          <cell r="U411" t="str">
            <v>AGUILAR CCANTUTA WILLY</v>
          </cell>
          <cell r="V411" t="str">
            <v>CHURA PIZARRO ALBERTO</v>
          </cell>
        </row>
        <row r="412">
          <cell r="A412">
            <v>428</v>
          </cell>
          <cell r="B412">
            <v>42682</v>
          </cell>
          <cell r="C412" t="str">
            <v>NOVIEMBRE</v>
          </cell>
          <cell r="D412" t="str">
            <v>2016</v>
          </cell>
          <cell r="E412">
            <v>271</v>
          </cell>
          <cell r="F412" t="str">
            <v>D3S-764</v>
          </cell>
          <cell r="G412" t="str">
            <v>TBL-998</v>
          </cell>
          <cell r="H412" t="str">
            <v>LAS BAMBAS</v>
          </cell>
          <cell r="I412">
            <v>0</v>
          </cell>
          <cell r="J412" t="str">
            <v>REPUESTO</v>
          </cell>
          <cell r="K412" t="str">
            <v>MOTOR ELEVALUNA LADO DERECHO</v>
          </cell>
          <cell r="L412">
            <v>1</v>
          </cell>
          <cell r="M412" t="str">
            <v>UNID.</v>
          </cell>
          <cell r="N412" t="str">
            <v>TRACTO</v>
          </cell>
          <cell r="O412">
            <v>1</v>
          </cell>
          <cell r="P412" t="str">
            <v>E1</v>
          </cell>
          <cell r="Q412" t="str">
            <v>J1</v>
          </cell>
          <cell r="R412" t="str">
            <v>J6</v>
          </cell>
          <cell r="S412" t="str">
            <v>ENTREGADO</v>
          </cell>
          <cell r="T412">
            <v>42683</v>
          </cell>
          <cell r="U412" t="str">
            <v>PALOMINO CARDENAS JUAN CARLOS</v>
          </cell>
          <cell r="V412" t="str">
            <v>FLOREZ CONDORI  JOSE WILLIANS</v>
          </cell>
        </row>
        <row r="413">
          <cell r="A413">
            <v>429</v>
          </cell>
          <cell r="B413">
            <v>42682</v>
          </cell>
          <cell r="C413" t="str">
            <v>NOVIEMBRE</v>
          </cell>
          <cell r="D413" t="str">
            <v>2016</v>
          </cell>
          <cell r="E413">
            <v>271</v>
          </cell>
          <cell r="F413" t="str">
            <v>D3S-764</v>
          </cell>
          <cell r="G413" t="str">
            <v>TBL-998</v>
          </cell>
          <cell r="H413" t="str">
            <v>LAS BAMBAS</v>
          </cell>
          <cell r="I413">
            <v>0</v>
          </cell>
          <cell r="J413" t="str">
            <v>REPUESTO</v>
          </cell>
          <cell r="K413" t="str">
            <v>TECLA ELEVA LUNA LADO DERECHO</v>
          </cell>
          <cell r="L413">
            <v>1</v>
          </cell>
          <cell r="M413" t="str">
            <v>UNID.</v>
          </cell>
          <cell r="N413" t="str">
            <v>TRACTO</v>
          </cell>
          <cell r="O413">
            <v>1</v>
          </cell>
          <cell r="P413" t="str">
            <v>E1</v>
          </cell>
          <cell r="Q413" t="str">
            <v>J1</v>
          </cell>
          <cell r="R413" t="str">
            <v>J6</v>
          </cell>
          <cell r="S413" t="str">
            <v>ENTREGADO</v>
          </cell>
          <cell r="T413">
            <v>42683</v>
          </cell>
          <cell r="U413" t="str">
            <v>PALOMINO CARDENAS JUAN CARLOS</v>
          </cell>
          <cell r="V413" t="str">
            <v>FLOREZ CONDORI  JOSE WILLIANS</v>
          </cell>
        </row>
        <row r="414">
          <cell r="A414">
            <v>430</v>
          </cell>
          <cell r="B414">
            <v>42682</v>
          </cell>
          <cell r="C414" t="str">
            <v>NOVIEMBRE</v>
          </cell>
          <cell r="D414" t="str">
            <v>2016</v>
          </cell>
          <cell r="E414">
            <v>271</v>
          </cell>
          <cell r="F414" t="str">
            <v>D3S-764</v>
          </cell>
          <cell r="G414" t="str">
            <v>TBL-998</v>
          </cell>
          <cell r="H414" t="str">
            <v>LAS BAMBAS</v>
          </cell>
          <cell r="I414">
            <v>0</v>
          </cell>
          <cell r="J414" t="str">
            <v>REPUESTO</v>
          </cell>
          <cell r="K414" t="str">
            <v>TECLA ELEVA LUNA LADO IZQUIERDO</v>
          </cell>
          <cell r="L414">
            <v>1</v>
          </cell>
          <cell r="M414" t="str">
            <v>UNID.</v>
          </cell>
          <cell r="N414" t="str">
            <v>TRACTO</v>
          </cell>
          <cell r="O414">
            <v>0</v>
          </cell>
          <cell r="P414" t="str">
            <v>E1</v>
          </cell>
          <cell r="Q414" t="str">
            <v>J1</v>
          </cell>
          <cell r="R414" t="str">
            <v>J6</v>
          </cell>
          <cell r="S414" t="str">
            <v>ENTREGADO</v>
          </cell>
          <cell r="T414">
            <v>42682</v>
          </cell>
          <cell r="U414" t="str">
            <v>PALOMINO CARDENAS JUAN CARLOS</v>
          </cell>
          <cell r="V414" t="str">
            <v>FLOREZ CONDORI  JOSE WILLIANS</v>
          </cell>
        </row>
        <row r="415">
          <cell r="A415">
            <v>392</v>
          </cell>
          <cell r="B415">
            <v>42682</v>
          </cell>
          <cell r="C415" t="str">
            <v>NOVIEMBRE</v>
          </cell>
          <cell r="D415" t="str">
            <v>2016</v>
          </cell>
          <cell r="E415">
            <v>213</v>
          </cell>
          <cell r="F415" t="str">
            <v>D4X-872</v>
          </cell>
          <cell r="G415" t="str">
            <v>B4P-976</v>
          </cell>
          <cell r="H415" t="str">
            <v>LAS BAMBAS</v>
          </cell>
          <cell r="I415">
            <v>180560</v>
          </cell>
          <cell r="J415" t="str">
            <v>INSUMO TALLER</v>
          </cell>
          <cell r="K415" t="str">
            <v>PARCHE RACK 10</v>
          </cell>
          <cell r="L415">
            <v>1</v>
          </cell>
          <cell r="M415" t="str">
            <v>UNID.</v>
          </cell>
          <cell r="N415" t="str">
            <v>CISTERNA</v>
          </cell>
          <cell r="O415">
            <v>0</v>
          </cell>
          <cell r="P415" t="str">
            <v>N1</v>
          </cell>
          <cell r="Q415" t="str">
            <v>J2</v>
          </cell>
          <cell r="R415" t="str">
            <v>J6</v>
          </cell>
          <cell r="S415" t="str">
            <v>ENTREGADO</v>
          </cell>
          <cell r="T415">
            <v>42682</v>
          </cell>
          <cell r="U415" t="str">
            <v>AGUILAR CCANTUTA WILLY</v>
          </cell>
          <cell r="V415" t="str">
            <v>CORIHUAMAN SURCO  ERICK ROBERT</v>
          </cell>
        </row>
        <row r="416">
          <cell r="A416">
            <v>340</v>
          </cell>
          <cell r="B416">
            <v>42682</v>
          </cell>
          <cell r="C416" t="str">
            <v>NOVIEMBRE</v>
          </cell>
          <cell r="D416" t="str">
            <v>2016</v>
          </cell>
          <cell r="E416">
            <v>258</v>
          </cell>
          <cell r="F416" t="str">
            <v>D6F-907</v>
          </cell>
          <cell r="G416" t="str">
            <v>T2Y-979</v>
          </cell>
          <cell r="H416" t="str">
            <v>LAS BAMBAS</v>
          </cell>
          <cell r="I416">
            <v>195511</v>
          </cell>
          <cell r="J416" t="str">
            <v>REPUESTO</v>
          </cell>
          <cell r="K416" t="str">
            <v>FOCOS TIPO BALA 12 V</v>
          </cell>
          <cell r="L416">
            <v>2</v>
          </cell>
          <cell r="M416" t="str">
            <v>UNID.</v>
          </cell>
          <cell r="N416" t="str">
            <v>TRACTO</v>
          </cell>
          <cell r="O416">
            <v>0</v>
          </cell>
          <cell r="P416" t="str">
            <v>E2</v>
          </cell>
          <cell r="Q416" t="str">
            <v>J1</v>
          </cell>
          <cell r="R416" t="str">
            <v>J5</v>
          </cell>
          <cell r="S416" t="str">
            <v>ENTREGADO</v>
          </cell>
          <cell r="T416">
            <v>42682</v>
          </cell>
          <cell r="U416" t="str">
            <v>YUCA BELLIDO BORIS YERSY</v>
          </cell>
          <cell r="V416" t="str">
            <v>FLOREZ CONDORI  JOSE WILLIANS</v>
          </cell>
        </row>
        <row r="417">
          <cell r="A417">
            <v>341</v>
          </cell>
          <cell r="B417">
            <v>42682</v>
          </cell>
          <cell r="C417" t="str">
            <v>NOVIEMBRE</v>
          </cell>
          <cell r="D417" t="str">
            <v>2016</v>
          </cell>
          <cell r="E417">
            <v>258</v>
          </cell>
          <cell r="F417" t="str">
            <v>D6F-907</v>
          </cell>
          <cell r="G417" t="str">
            <v>T2Y-979</v>
          </cell>
          <cell r="H417" t="str">
            <v>LAS BAMBAS</v>
          </cell>
          <cell r="I417">
            <v>195511</v>
          </cell>
          <cell r="J417" t="str">
            <v>REPUESTO</v>
          </cell>
          <cell r="K417" t="str">
            <v>FOCOS LAGRIMON AMBAR 12 V</v>
          </cell>
          <cell r="L417">
            <v>1</v>
          </cell>
          <cell r="M417" t="str">
            <v>UNID.</v>
          </cell>
          <cell r="N417" t="str">
            <v>TRACTO</v>
          </cell>
          <cell r="O417">
            <v>0</v>
          </cell>
          <cell r="P417" t="str">
            <v>E2</v>
          </cell>
          <cell r="Q417" t="str">
            <v>J1</v>
          </cell>
          <cell r="R417" t="str">
            <v>J5</v>
          </cell>
          <cell r="S417" t="str">
            <v>ENTREGADO</v>
          </cell>
          <cell r="T417">
            <v>42682</v>
          </cell>
          <cell r="U417" t="str">
            <v>YUCA BELLIDO BORIS YERSY</v>
          </cell>
          <cell r="V417" t="str">
            <v>FLOREZ CONDORI  JOSE WILLIANS</v>
          </cell>
        </row>
        <row r="418">
          <cell r="A418">
            <v>342</v>
          </cell>
          <cell r="B418">
            <v>42682</v>
          </cell>
          <cell r="C418" t="str">
            <v>NOVIEMBRE</v>
          </cell>
          <cell r="D418" t="str">
            <v>2016</v>
          </cell>
          <cell r="E418">
            <v>258</v>
          </cell>
          <cell r="F418" t="str">
            <v>D6F-907</v>
          </cell>
          <cell r="G418" t="str">
            <v>T2Y-979</v>
          </cell>
          <cell r="H418" t="str">
            <v>LAS BAMBAS</v>
          </cell>
          <cell r="I418">
            <v>195511</v>
          </cell>
          <cell r="J418" t="str">
            <v>REPUESTO</v>
          </cell>
          <cell r="K418" t="str">
            <v>PRECINTOS</v>
          </cell>
          <cell r="L418">
            <v>10</v>
          </cell>
          <cell r="M418" t="str">
            <v>UNID.</v>
          </cell>
          <cell r="N418" t="str">
            <v>TRACTO</v>
          </cell>
          <cell r="O418">
            <v>0</v>
          </cell>
          <cell r="P418" t="str">
            <v>E2</v>
          </cell>
          <cell r="Q418" t="str">
            <v>J1</v>
          </cell>
          <cell r="R418" t="str">
            <v>J5</v>
          </cell>
          <cell r="S418" t="str">
            <v>ENTREGADO</v>
          </cell>
          <cell r="T418">
            <v>42682</v>
          </cell>
          <cell r="U418" t="str">
            <v>YUCA BELLIDO BORIS YERSY</v>
          </cell>
          <cell r="V418" t="str">
            <v>FLOREZ CONDORI  JOSE WILLIANS</v>
          </cell>
        </row>
        <row r="419">
          <cell r="A419">
            <v>393</v>
          </cell>
          <cell r="B419">
            <v>42682</v>
          </cell>
          <cell r="C419" t="str">
            <v>NOVIEMBRE</v>
          </cell>
          <cell r="D419" t="str">
            <v>2016</v>
          </cell>
          <cell r="E419">
            <v>258</v>
          </cell>
          <cell r="F419" t="str">
            <v>D6F-907</v>
          </cell>
          <cell r="G419" t="str">
            <v>T2Y-979</v>
          </cell>
          <cell r="H419" t="str">
            <v>LAS BAMBAS</v>
          </cell>
          <cell r="I419">
            <v>195511</v>
          </cell>
          <cell r="J419" t="str">
            <v>REPUESTO</v>
          </cell>
          <cell r="K419" t="str">
            <v>RETEN DE BOCAMAZA COLOR NEGRO</v>
          </cell>
          <cell r="L419">
            <v>1</v>
          </cell>
          <cell r="M419" t="str">
            <v>UNID.</v>
          </cell>
          <cell r="N419" t="str">
            <v>CISTERNA</v>
          </cell>
          <cell r="O419">
            <v>0</v>
          </cell>
          <cell r="P419" t="str">
            <v>M6</v>
          </cell>
          <cell r="Q419" t="str">
            <v>J1</v>
          </cell>
          <cell r="R419" t="str">
            <v>J6</v>
          </cell>
          <cell r="S419" t="str">
            <v>ENTREGADO</v>
          </cell>
          <cell r="T419">
            <v>42682</v>
          </cell>
          <cell r="U419" t="str">
            <v>PARI VENTURA  EDSON ORLANDO</v>
          </cell>
          <cell r="V419" t="str">
            <v>FLOREZ CONDORI  JOSE WILLIANS</v>
          </cell>
        </row>
        <row r="420">
          <cell r="A420">
            <v>394</v>
          </cell>
          <cell r="B420">
            <v>42682</v>
          </cell>
          <cell r="C420" t="str">
            <v>NOVIEMBRE</v>
          </cell>
          <cell r="D420" t="str">
            <v>2016</v>
          </cell>
          <cell r="E420">
            <v>258</v>
          </cell>
          <cell r="F420" t="str">
            <v>D6F-907</v>
          </cell>
          <cell r="G420" t="str">
            <v>T2Y-979</v>
          </cell>
          <cell r="H420" t="str">
            <v>LAS BAMBAS</v>
          </cell>
          <cell r="I420">
            <v>195511</v>
          </cell>
          <cell r="J420" t="str">
            <v>REPUESTO</v>
          </cell>
          <cell r="K420" t="str">
            <v>ZAPATAS</v>
          </cell>
          <cell r="L420">
            <v>1</v>
          </cell>
          <cell r="M420" t="str">
            <v>JUEGO</v>
          </cell>
          <cell r="N420" t="str">
            <v>CISTERNA</v>
          </cell>
          <cell r="O420">
            <v>0</v>
          </cell>
          <cell r="P420" t="str">
            <v>M6</v>
          </cell>
          <cell r="Q420" t="str">
            <v>J1</v>
          </cell>
          <cell r="R420" t="str">
            <v>J6</v>
          </cell>
          <cell r="S420" t="str">
            <v>ENTREGADO</v>
          </cell>
          <cell r="T420">
            <v>42682</v>
          </cell>
          <cell r="U420" t="str">
            <v>PARI VENTURA  EDSON ORLANDO</v>
          </cell>
          <cell r="V420" t="str">
            <v>FLOREZ CONDORI  JOSE WILLIANS</v>
          </cell>
        </row>
        <row r="421">
          <cell r="A421">
            <v>395</v>
          </cell>
          <cell r="B421">
            <v>42682</v>
          </cell>
          <cell r="C421" t="str">
            <v>NOVIEMBRE</v>
          </cell>
          <cell r="D421" t="str">
            <v>2016</v>
          </cell>
          <cell r="E421">
            <v>258</v>
          </cell>
          <cell r="F421" t="str">
            <v>D6F-907</v>
          </cell>
          <cell r="G421" t="str">
            <v>T2Y-979</v>
          </cell>
          <cell r="H421" t="str">
            <v>LAS BAMBAS</v>
          </cell>
          <cell r="I421">
            <v>195511</v>
          </cell>
          <cell r="J421" t="str">
            <v>REPUESTO</v>
          </cell>
          <cell r="K421" t="str">
            <v>RESORTES PEQUEÑOS PARA ZAPATAS</v>
          </cell>
          <cell r="L421">
            <v>4</v>
          </cell>
          <cell r="M421" t="str">
            <v>UNID.</v>
          </cell>
          <cell r="N421" t="str">
            <v>CISTERNA</v>
          </cell>
          <cell r="O421">
            <v>0</v>
          </cell>
          <cell r="P421" t="str">
            <v>M6</v>
          </cell>
          <cell r="Q421" t="str">
            <v>J1</v>
          </cell>
          <cell r="R421" t="str">
            <v>J6</v>
          </cell>
          <cell r="S421" t="str">
            <v>ENTREGADO</v>
          </cell>
          <cell r="T421">
            <v>42682</v>
          </cell>
          <cell r="U421" t="str">
            <v>PARI VENTURA  EDSON ORLANDO</v>
          </cell>
          <cell r="V421" t="str">
            <v>FLOREZ CONDORI  JOSE WILLIANS</v>
          </cell>
        </row>
        <row r="422">
          <cell r="A422">
            <v>396</v>
          </cell>
          <cell r="B422">
            <v>42682</v>
          </cell>
          <cell r="C422" t="str">
            <v>NOVIEMBRE</v>
          </cell>
          <cell r="D422" t="str">
            <v>2016</v>
          </cell>
          <cell r="E422">
            <v>258</v>
          </cell>
          <cell r="F422" t="str">
            <v>D6F-907</v>
          </cell>
          <cell r="G422" t="str">
            <v>T2Y-979</v>
          </cell>
          <cell r="H422" t="str">
            <v>LAS BAMBAS</v>
          </cell>
          <cell r="I422">
            <v>195511</v>
          </cell>
          <cell r="J422" t="str">
            <v>REPUESTO</v>
          </cell>
          <cell r="K422" t="str">
            <v>RESORTES GRANDES PARA ZAPATA</v>
          </cell>
          <cell r="L422">
            <v>2</v>
          </cell>
          <cell r="M422" t="str">
            <v>UNID.</v>
          </cell>
          <cell r="N422" t="str">
            <v>CISTERNA</v>
          </cell>
          <cell r="O422">
            <v>0</v>
          </cell>
          <cell r="P422" t="str">
            <v>M6</v>
          </cell>
          <cell r="Q422" t="str">
            <v>J1</v>
          </cell>
          <cell r="R422" t="str">
            <v>J6</v>
          </cell>
          <cell r="S422" t="str">
            <v>ENTREGADO</v>
          </cell>
          <cell r="T422">
            <v>42682</v>
          </cell>
          <cell r="U422" t="str">
            <v>PARI VENTURA  EDSON ORLANDO</v>
          </cell>
          <cell r="V422" t="str">
            <v>FLOREZ CONDORI  JOSE WILLIANS</v>
          </cell>
        </row>
        <row r="423">
          <cell r="A423">
            <v>397</v>
          </cell>
          <cell r="B423">
            <v>42682</v>
          </cell>
          <cell r="C423" t="str">
            <v>NOVIEMBRE</v>
          </cell>
          <cell r="D423" t="str">
            <v>2016</v>
          </cell>
          <cell r="E423">
            <v>258</v>
          </cell>
          <cell r="F423" t="str">
            <v>D6F-907</v>
          </cell>
          <cell r="G423" t="str">
            <v>T2Y-979</v>
          </cell>
          <cell r="H423" t="str">
            <v>LAS BAMBAS</v>
          </cell>
          <cell r="I423">
            <v>195511</v>
          </cell>
          <cell r="J423" t="str">
            <v>REPUESTO</v>
          </cell>
          <cell r="K423" t="str">
            <v>BOCINA DE MUELLE</v>
          </cell>
          <cell r="L423">
            <v>1</v>
          </cell>
          <cell r="M423" t="str">
            <v>UNID.</v>
          </cell>
          <cell r="N423" t="str">
            <v>CISTERNA</v>
          </cell>
          <cell r="O423">
            <v>0</v>
          </cell>
          <cell r="P423" t="str">
            <v>M6</v>
          </cell>
          <cell r="Q423" t="str">
            <v>J1</v>
          </cell>
          <cell r="R423" t="str">
            <v>J6</v>
          </cell>
          <cell r="S423" t="str">
            <v>ENTREGADO</v>
          </cell>
          <cell r="T423">
            <v>42682</v>
          </cell>
          <cell r="U423" t="str">
            <v>PARI VENTURA  EDSON ORLANDO</v>
          </cell>
          <cell r="V423" t="str">
            <v>FLOREZ CONDORI  JOSE WILLIANS</v>
          </cell>
        </row>
        <row r="424">
          <cell r="A424">
            <v>422</v>
          </cell>
          <cell r="B424">
            <v>42682</v>
          </cell>
          <cell r="C424" t="str">
            <v>NOVIEMBRE</v>
          </cell>
          <cell r="D424" t="str">
            <v>2016</v>
          </cell>
          <cell r="E424">
            <v>268</v>
          </cell>
          <cell r="F424" t="str">
            <v>D6G-806</v>
          </cell>
          <cell r="G424" t="str">
            <v>B8K-998</v>
          </cell>
          <cell r="H424" t="str">
            <v>LAS BAMBAS</v>
          </cell>
          <cell r="I424">
            <v>214427</v>
          </cell>
          <cell r="J424" t="str">
            <v>REPUESTO</v>
          </cell>
          <cell r="K424" t="str">
            <v>MASCHIBREAK</v>
          </cell>
          <cell r="L424">
            <v>1</v>
          </cell>
          <cell r="M424" t="str">
            <v>UNID.</v>
          </cell>
          <cell r="N424" t="str">
            <v>TRACTO</v>
          </cell>
          <cell r="O424">
            <v>0</v>
          </cell>
          <cell r="P424" t="str">
            <v>M2</v>
          </cell>
          <cell r="Q424" t="str">
            <v>J2</v>
          </cell>
          <cell r="R424" t="str">
            <v>J6</v>
          </cell>
          <cell r="S424" t="str">
            <v>ENTREGADO</v>
          </cell>
          <cell r="T424">
            <v>42682</v>
          </cell>
          <cell r="U424" t="str">
            <v>CHUMPITAZ GAGO JULIO ENRIQUE</v>
          </cell>
          <cell r="V424" t="str">
            <v>CORIHUAMAN SURCO  ERICK ROBERT</v>
          </cell>
        </row>
        <row r="425">
          <cell r="A425">
            <v>423</v>
          </cell>
          <cell r="B425">
            <v>42682</v>
          </cell>
          <cell r="C425" t="str">
            <v>NOVIEMBRE</v>
          </cell>
          <cell r="D425" t="str">
            <v>2016</v>
          </cell>
          <cell r="E425">
            <v>268</v>
          </cell>
          <cell r="F425" t="str">
            <v>D6G-806</v>
          </cell>
          <cell r="G425" t="str">
            <v>B8K-998</v>
          </cell>
          <cell r="H425" t="str">
            <v>LAS BAMBAS</v>
          </cell>
          <cell r="I425">
            <v>214427</v>
          </cell>
          <cell r="J425" t="str">
            <v>REPUESTO</v>
          </cell>
          <cell r="K425" t="str">
            <v>MINIFUSIBLES DE 20 AMP.</v>
          </cell>
          <cell r="L425">
            <v>4</v>
          </cell>
          <cell r="M425" t="str">
            <v>UNID.</v>
          </cell>
          <cell r="N425" t="str">
            <v>TRACTO</v>
          </cell>
          <cell r="O425">
            <v>0</v>
          </cell>
          <cell r="P425" t="str">
            <v>E1</v>
          </cell>
          <cell r="Q425" t="str">
            <v>J1</v>
          </cell>
          <cell r="R425" t="str">
            <v>J6</v>
          </cell>
          <cell r="S425" t="str">
            <v>ENTREGADO</v>
          </cell>
          <cell r="T425">
            <v>42682</v>
          </cell>
          <cell r="U425" t="str">
            <v>PALOMINO CARDENAS JUAN CARLOS</v>
          </cell>
          <cell r="V425" t="str">
            <v>FLOREZ CONDORI  JOSE WILLIANS</v>
          </cell>
        </row>
        <row r="426">
          <cell r="A426">
            <v>401</v>
          </cell>
          <cell r="B426">
            <v>42682</v>
          </cell>
          <cell r="C426" t="str">
            <v>NOVIEMBRE</v>
          </cell>
          <cell r="D426" t="str">
            <v>2016</v>
          </cell>
          <cell r="E426">
            <v>268</v>
          </cell>
          <cell r="F426" t="str">
            <v>D6G-806</v>
          </cell>
          <cell r="G426" t="str">
            <v>B8K-998</v>
          </cell>
          <cell r="H426" t="str">
            <v>LAS BAMBAS</v>
          </cell>
          <cell r="I426">
            <v>214427</v>
          </cell>
          <cell r="J426" t="str">
            <v>REPUESTO</v>
          </cell>
          <cell r="K426" t="str">
            <v>LLANTAS REENCAUCHADAS IZY</v>
          </cell>
          <cell r="L426">
            <v>4</v>
          </cell>
          <cell r="M426" t="str">
            <v>UNID.</v>
          </cell>
          <cell r="N426" t="str">
            <v>CISTERNA</v>
          </cell>
          <cell r="O426">
            <v>0</v>
          </cell>
          <cell r="P426" t="str">
            <v>N2</v>
          </cell>
          <cell r="Q426" t="str">
            <v>J3</v>
          </cell>
          <cell r="R426" t="str">
            <v>J6</v>
          </cell>
          <cell r="S426" t="str">
            <v>ENTREGADO</v>
          </cell>
          <cell r="T426">
            <v>42682</v>
          </cell>
          <cell r="U426" t="str">
            <v>MAMANI LARICO  EDUARDO ALVARO</v>
          </cell>
          <cell r="V426" t="str">
            <v>CHURA PIZARRO ALBERTO</v>
          </cell>
        </row>
        <row r="427">
          <cell r="A427">
            <v>290</v>
          </cell>
          <cell r="B427">
            <v>42682</v>
          </cell>
          <cell r="C427" t="str">
            <v>NOVIEMBRE</v>
          </cell>
          <cell r="D427" t="str">
            <v>2016</v>
          </cell>
          <cell r="E427">
            <v>200</v>
          </cell>
          <cell r="F427" t="str">
            <v>TALLER</v>
          </cell>
          <cell r="G427" t="str">
            <v>TALLER</v>
          </cell>
          <cell r="H427" t="str">
            <v>TALLER</v>
          </cell>
          <cell r="I427" t="str">
            <v>TALLER</v>
          </cell>
          <cell r="J427" t="str">
            <v>INSUMO TALLER</v>
          </cell>
          <cell r="K427" t="str">
            <v>SPRAY COLOR BLANCO</v>
          </cell>
          <cell r="L427">
            <v>1</v>
          </cell>
          <cell r="M427" t="str">
            <v>UNID.</v>
          </cell>
          <cell r="N427" t="str">
            <v>TALLER</v>
          </cell>
          <cell r="O427">
            <v>0</v>
          </cell>
          <cell r="P427" t="str">
            <v>N2</v>
          </cell>
          <cell r="Q427" t="str">
            <v>J1</v>
          </cell>
          <cell r="R427" t="str">
            <v>J6</v>
          </cell>
          <cell r="S427" t="str">
            <v>ENTREGADO</v>
          </cell>
          <cell r="T427">
            <v>42682</v>
          </cell>
          <cell r="U427" t="str">
            <v>MAMANI LARICO  EDUARDO ALVARO</v>
          </cell>
          <cell r="V427" t="str">
            <v>FLOREZ CONDORI  JOSE WILLIANS</v>
          </cell>
        </row>
        <row r="428">
          <cell r="A428">
            <v>291</v>
          </cell>
          <cell r="B428">
            <v>42682</v>
          </cell>
          <cell r="C428" t="str">
            <v>NOVIEMBRE</v>
          </cell>
          <cell r="D428" t="str">
            <v>2016</v>
          </cell>
          <cell r="E428">
            <v>200</v>
          </cell>
          <cell r="F428" t="str">
            <v>TALLER</v>
          </cell>
          <cell r="G428" t="str">
            <v>TALLER</v>
          </cell>
          <cell r="H428" t="str">
            <v>TALLER</v>
          </cell>
          <cell r="I428" t="str">
            <v>TALLER</v>
          </cell>
          <cell r="J428" t="str">
            <v>INSUMO TALLER</v>
          </cell>
          <cell r="K428" t="str">
            <v>SPRAY COLOR ALUMINIO</v>
          </cell>
          <cell r="L428">
            <v>1</v>
          </cell>
          <cell r="M428" t="str">
            <v>UNID.</v>
          </cell>
          <cell r="N428" t="str">
            <v>TALLER</v>
          </cell>
          <cell r="O428">
            <v>0</v>
          </cell>
          <cell r="P428" t="str">
            <v>N2</v>
          </cell>
          <cell r="Q428" t="str">
            <v>J1</v>
          </cell>
          <cell r="R428" t="str">
            <v>J6</v>
          </cell>
          <cell r="S428" t="str">
            <v>ENTREGADO</v>
          </cell>
          <cell r="T428">
            <v>42682</v>
          </cell>
          <cell r="U428" t="str">
            <v>MAMANI LARICO  EDUARDO ALVARO</v>
          </cell>
          <cell r="V428" t="str">
            <v>FLOREZ CONDORI  JOSE WILLIANS</v>
          </cell>
        </row>
        <row r="429">
          <cell r="A429">
            <v>292</v>
          </cell>
          <cell r="B429">
            <v>42682</v>
          </cell>
          <cell r="C429" t="str">
            <v>NOVIEMBRE</v>
          </cell>
          <cell r="D429" t="str">
            <v>2016</v>
          </cell>
          <cell r="E429">
            <v>200</v>
          </cell>
          <cell r="F429" t="str">
            <v>TALLER</v>
          </cell>
          <cell r="G429" t="str">
            <v>TALLER</v>
          </cell>
          <cell r="H429" t="str">
            <v>TALLER</v>
          </cell>
          <cell r="I429" t="str">
            <v>TALLER</v>
          </cell>
          <cell r="J429" t="str">
            <v>INSUMO TALLER</v>
          </cell>
          <cell r="K429" t="str">
            <v>MARCADOR INDUSTRIAL</v>
          </cell>
          <cell r="L429">
            <v>1</v>
          </cell>
          <cell r="M429" t="str">
            <v>UNID.</v>
          </cell>
          <cell r="N429" t="str">
            <v>TALLER</v>
          </cell>
          <cell r="O429">
            <v>0</v>
          </cell>
          <cell r="P429" t="str">
            <v>N2</v>
          </cell>
          <cell r="Q429" t="str">
            <v>J1</v>
          </cell>
          <cell r="R429" t="str">
            <v>J6</v>
          </cell>
          <cell r="S429" t="str">
            <v>ENTREGADO</v>
          </cell>
          <cell r="T429">
            <v>42682</v>
          </cell>
          <cell r="U429" t="str">
            <v>MAMANI LARICO  EDUARDO ALVARO</v>
          </cell>
          <cell r="V429" t="str">
            <v>FLOREZ CONDORI  JOSE WILLIANS</v>
          </cell>
        </row>
        <row r="430">
          <cell r="A430">
            <v>353</v>
          </cell>
          <cell r="B430">
            <v>42682</v>
          </cell>
          <cell r="C430" t="str">
            <v>NOVIEMBRE</v>
          </cell>
          <cell r="D430" t="str">
            <v>2016</v>
          </cell>
          <cell r="E430">
            <v>200</v>
          </cell>
          <cell r="F430" t="str">
            <v>TALLER</v>
          </cell>
          <cell r="G430" t="str">
            <v>TALLER</v>
          </cell>
          <cell r="H430" t="str">
            <v>TALLER</v>
          </cell>
          <cell r="I430" t="str">
            <v>TALLER</v>
          </cell>
          <cell r="J430" t="str">
            <v>INSUMO TALLER</v>
          </cell>
          <cell r="K430" t="str">
            <v>PRECINTOS 200 X 3.6</v>
          </cell>
          <cell r="L430">
            <v>40</v>
          </cell>
          <cell r="M430" t="str">
            <v>UNID.</v>
          </cell>
          <cell r="N430" t="str">
            <v>TALLER</v>
          </cell>
          <cell r="O430">
            <v>0</v>
          </cell>
          <cell r="P430" t="str">
            <v>J5</v>
          </cell>
          <cell r="Q430" t="str">
            <v>J1</v>
          </cell>
          <cell r="R430" t="str">
            <v>J5</v>
          </cell>
          <cell r="S430" t="str">
            <v>ENTREGADO</v>
          </cell>
          <cell r="T430">
            <v>42682</v>
          </cell>
          <cell r="U430" t="str">
            <v>CONZA HUALLA NOELIA</v>
          </cell>
          <cell r="V430" t="str">
            <v>FLOREZ CONDORI  JOSE WILLIANS</v>
          </cell>
        </row>
        <row r="431">
          <cell r="A431">
            <v>354</v>
          </cell>
          <cell r="B431">
            <v>42682</v>
          </cell>
          <cell r="C431" t="str">
            <v>NOVIEMBRE</v>
          </cell>
          <cell r="D431" t="str">
            <v>2016</v>
          </cell>
          <cell r="E431">
            <v>200</v>
          </cell>
          <cell r="F431" t="str">
            <v>TALLER</v>
          </cell>
          <cell r="G431" t="str">
            <v>TALLER</v>
          </cell>
          <cell r="H431" t="str">
            <v>TALLER</v>
          </cell>
          <cell r="I431" t="str">
            <v>TALLER</v>
          </cell>
          <cell r="J431" t="str">
            <v>INSUMO TALLER</v>
          </cell>
          <cell r="K431" t="str">
            <v>PRECINTOS 300</v>
          </cell>
          <cell r="L431">
            <v>20</v>
          </cell>
          <cell r="M431" t="str">
            <v>UNID.</v>
          </cell>
          <cell r="N431" t="str">
            <v>TALLER</v>
          </cell>
          <cell r="O431">
            <v>0</v>
          </cell>
          <cell r="P431" t="str">
            <v>J5</v>
          </cell>
          <cell r="Q431" t="str">
            <v>J1</v>
          </cell>
          <cell r="R431" t="str">
            <v>J5</v>
          </cell>
          <cell r="S431" t="str">
            <v>ENTREGADO</v>
          </cell>
          <cell r="T431">
            <v>42682</v>
          </cell>
          <cell r="U431" t="str">
            <v>CONZA HUALLA NOELIA</v>
          </cell>
          <cell r="V431" t="str">
            <v>FLOREZ CONDORI  JOSE WILLIANS</v>
          </cell>
        </row>
        <row r="432">
          <cell r="A432">
            <v>362</v>
          </cell>
          <cell r="B432">
            <v>42682</v>
          </cell>
          <cell r="C432" t="str">
            <v>NOVIEMBRE</v>
          </cell>
          <cell r="D432" t="str">
            <v>2016</v>
          </cell>
          <cell r="E432">
            <v>200</v>
          </cell>
          <cell r="F432" t="str">
            <v>TALLER</v>
          </cell>
          <cell r="G432" t="str">
            <v>TALLER</v>
          </cell>
          <cell r="H432" t="str">
            <v>TALLER</v>
          </cell>
          <cell r="I432" t="str">
            <v>TALLER</v>
          </cell>
          <cell r="J432" t="str">
            <v>INSUMO TALLER</v>
          </cell>
          <cell r="K432" t="str">
            <v>AFLOJATODO</v>
          </cell>
          <cell r="L432">
            <v>1</v>
          </cell>
          <cell r="M432" t="str">
            <v>UNID.</v>
          </cell>
          <cell r="N432" t="str">
            <v>TALLER</v>
          </cell>
          <cell r="O432">
            <v>0</v>
          </cell>
          <cell r="P432" t="str">
            <v>J5</v>
          </cell>
          <cell r="Q432" t="str">
            <v>J1</v>
          </cell>
          <cell r="R432" t="str">
            <v>J5</v>
          </cell>
          <cell r="S432" t="str">
            <v>ENTREGADO</v>
          </cell>
          <cell r="T432">
            <v>42682</v>
          </cell>
          <cell r="U432" t="str">
            <v>CONZA HUALLA NOELIA</v>
          </cell>
          <cell r="V432" t="str">
            <v>FLOREZ CONDORI  JOSE WILLIANS</v>
          </cell>
        </row>
        <row r="433">
          <cell r="A433">
            <v>363</v>
          </cell>
          <cell r="B433">
            <v>42682</v>
          </cell>
          <cell r="C433" t="str">
            <v>NOVIEMBRE</v>
          </cell>
          <cell r="D433" t="str">
            <v>2016</v>
          </cell>
          <cell r="E433">
            <v>200</v>
          </cell>
          <cell r="F433" t="str">
            <v>TALLER</v>
          </cell>
          <cell r="G433" t="str">
            <v>TALLER</v>
          </cell>
          <cell r="H433" t="str">
            <v>TALLER</v>
          </cell>
          <cell r="I433" t="str">
            <v>TALLER</v>
          </cell>
          <cell r="J433" t="str">
            <v>INSUMO TALLER</v>
          </cell>
          <cell r="K433" t="str">
            <v>LUNA OSCURA NRO. 12</v>
          </cell>
          <cell r="L433">
            <v>1</v>
          </cell>
          <cell r="M433" t="str">
            <v>UNID.</v>
          </cell>
          <cell r="N433" t="str">
            <v>TALLER</v>
          </cell>
          <cell r="O433">
            <v>0</v>
          </cell>
          <cell r="P433" t="str">
            <v>J5</v>
          </cell>
          <cell r="Q433" t="str">
            <v>J1</v>
          </cell>
          <cell r="R433" t="str">
            <v>J5</v>
          </cell>
          <cell r="S433" t="str">
            <v>ENTREGADO</v>
          </cell>
          <cell r="T433">
            <v>42682</v>
          </cell>
          <cell r="U433" t="str">
            <v>CONZA HUALLA NOELIA</v>
          </cell>
          <cell r="V433" t="str">
            <v>FLOREZ CONDORI  JOSE WILLIANS</v>
          </cell>
        </row>
        <row r="434">
          <cell r="A434">
            <v>364</v>
          </cell>
          <cell r="B434">
            <v>42682</v>
          </cell>
          <cell r="C434" t="str">
            <v>NOVIEMBRE</v>
          </cell>
          <cell r="D434" t="str">
            <v>2016</v>
          </cell>
          <cell r="E434">
            <v>200</v>
          </cell>
          <cell r="F434" t="str">
            <v>TALLER</v>
          </cell>
          <cell r="G434" t="str">
            <v>TALLER</v>
          </cell>
          <cell r="H434" t="str">
            <v>TALLER</v>
          </cell>
          <cell r="I434" t="str">
            <v>TALLER</v>
          </cell>
          <cell r="J434" t="str">
            <v>INSUMO TALLER</v>
          </cell>
          <cell r="K434" t="str">
            <v>LUNA TRANSPARENTE</v>
          </cell>
          <cell r="L434">
            <v>2</v>
          </cell>
          <cell r="M434" t="str">
            <v>UNID.</v>
          </cell>
          <cell r="N434" t="str">
            <v>TALLER</v>
          </cell>
          <cell r="O434">
            <v>0</v>
          </cell>
          <cell r="P434" t="str">
            <v>J5</v>
          </cell>
          <cell r="Q434" t="str">
            <v>J1</v>
          </cell>
          <cell r="R434" t="str">
            <v>J5</v>
          </cell>
          <cell r="S434" t="str">
            <v>ENTREGADO</v>
          </cell>
          <cell r="T434">
            <v>42682</v>
          </cell>
          <cell r="U434" t="str">
            <v>CONZA HUALLA NOELIA</v>
          </cell>
          <cell r="V434" t="str">
            <v>FLOREZ CONDORI  JOSE WILLIANS</v>
          </cell>
        </row>
        <row r="435">
          <cell r="A435">
            <v>409</v>
          </cell>
          <cell r="B435">
            <v>42682</v>
          </cell>
          <cell r="C435" t="str">
            <v>NOVIEMBRE</v>
          </cell>
          <cell r="D435" t="str">
            <v>2016</v>
          </cell>
          <cell r="E435">
            <v>200</v>
          </cell>
          <cell r="F435" t="str">
            <v>TALLER</v>
          </cell>
          <cell r="G435" t="str">
            <v>TALLER</v>
          </cell>
          <cell r="H435" t="str">
            <v>TALLER</v>
          </cell>
          <cell r="I435" t="str">
            <v>TALLER</v>
          </cell>
          <cell r="J435" t="str">
            <v>REPUESTO</v>
          </cell>
          <cell r="K435" t="str">
            <v>SPRAY COLOR NEGRO</v>
          </cell>
          <cell r="L435">
            <v>1</v>
          </cell>
          <cell r="M435" t="str">
            <v>UNID.</v>
          </cell>
          <cell r="N435" t="str">
            <v>CISTERNA</v>
          </cell>
          <cell r="O435">
            <v>0</v>
          </cell>
          <cell r="P435" t="str">
            <v>S1</v>
          </cell>
          <cell r="Q435" t="str">
            <v>J2</v>
          </cell>
          <cell r="R435" t="str">
            <v>J6</v>
          </cell>
          <cell r="S435" t="str">
            <v>ENTREGADO</v>
          </cell>
          <cell r="T435">
            <v>42682</v>
          </cell>
          <cell r="U435" t="str">
            <v>BAYONA CRUZ CRISTIAN ARMANDO</v>
          </cell>
          <cell r="V435" t="str">
            <v>CORIHUAMAN SURCO  ERICK ROBERT</v>
          </cell>
        </row>
        <row r="436">
          <cell r="A436">
            <v>431</v>
          </cell>
          <cell r="B436">
            <v>42682</v>
          </cell>
          <cell r="C436" t="str">
            <v>NOVIEMBRE</v>
          </cell>
          <cell r="D436" t="str">
            <v>2016</v>
          </cell>
          <cell r="E436">
            <v>200</v>
          </cell>
          <cell r="F436" t="str">
            <v>TALLER</v>
          </cell>
          <cell r="G436" t="str">
            <v>TALLER</v>
          </cell>
          <cell r="H436" t="str">
            <v>TALLER</v>
          </cell>
          <cell r="I436" t="str">
            <v>TALLER</v>
          </cell>
          <cell r="J436" t="str">
            <v>INSUMO TALLER</v>
          </cell>
          <cell r="K436" t="str">
            <v>LUNA OSCURA NRO. 11</v>
          </cell>
          <cell r="L436">
            <v>1</v>
          </cell>
          <cell r="M436" t="str">
            <v>UNID.</v>
          </cell>
          <cell r="N436" t="str">
            <v>TALLER</v>
          </cell>
          <cell r="O436">
            <v>0</v>
          </cell>
          <cell r="P436" t="str">
            <v>S1</v>
          </cell>
          <cell r="Q436" t="str">
            <v>J1</v>
          </cell>
          <cell r="R436" t="str">
            <v>J6</v>
          </cell>
          <cell r="S436" t="str">
            <v>ENTREGADO</v>
          </cell>
          <cell r="T436">
            <v>42682</v>
          </cell>
          <cell r="U436" t="str">
            <v>BAYONA CRUZ CRISTIAN ARMANDO</v>
          </cell>
          <cell r="V436" t="str">
            <v>FLOREZ CONDORI  JOSE WILLIANS</v>
          </cell>
        </row>
        <row r="437">
          <cell r="A437">
            <v>289</v>
          </cell>
          <cell r="B437">
            <v>42682</v>
          </cell>
          <cell r="C437" t="str">
            <v>NOVIEMBRE</v>
          </cell>
          <cell r="D437" t="str">
            <v>2016</v>
          </cell>
          <cell r="E437">
            <v>200</v>
          </cell>
          <cell r="F437" t="str">
            <v>TALLER</v>
          </cell>
          <cell r="G437" t="str">
            <v>TALLER</v>
          </cell>
          <cell r="H437" t="str">
            <v>TALLER</v>
          </cell>
          <cell r="I437" t="str">
            <v>TALLER</v>
          </cell>
          <cell r="J437" t="str">
            <v>INSUMO TALLER</v>
          </cell>
          <cell r="K437" t="str">
            <v>GRASA PARA DESMONTAJE DE LLANTAS</v>
          </cell>
          <cell r="L437">
            <v>11.5</v>
          </cell>
          <cell r="M437" t="str">
            <v>KG.</v>
          </cell>
          <cell r="N437" t="str">
            <v>TALLER</v>
          </cell>
          <cell r="O437">
            <v>0</v>
          </cell>
          <cell r="P437" t="str">
            <v>N2</v>
          </cell>
          <cell r="Q437" t="str">
            <v>J1</v>
          </cell>
          <cell r="R437" t="str">
            <v>J6</v>
          </cell>
          <cell r="S437" t="str">
            <v>ENTREGADO</v>
          </cell>
          <cell r="T437">
            <v>42682</v>
          </cell>
          <cell r="U437" t="str">
            <v>MAMANI LARICO  EDUARDO ALVARO</v>
          </cell>
          <cell r="V437" t="str">
            <v>FLOREZ CONDORI  JOSE WILLIANS</v>
          </cell>
        </row>
        <row r="438">
          <cell r="A438">
            <v>316</v>
          </cell>
          <cell r="B438">
            <v>42682</v>
          </cell>
          <cell r="C438" t="str">
            <v>NOVIEMBRE</v>
          </cell>
          <cell r="D438" t="str">
            <v>2016</v>
          </cell>
          <cell r="E438">
            <v>254</v>
          </cell>
          <cell r="F438" t="str">
            <v>X2W-762</v>
          </cell>
          <cell r="G438" t="str">
            <v>C5V-998</v>
          </cell>
          <cell r="H438" t="str">
            <v>LAS BAMBAS</v>
          </cell>
          <cell r="I438">
            <v>122505</v>
          </cell>
          <cell r="J438" t="str">
            <v>REPUESTO</v>
          </cell>
          <cell r="K438" t="str">
            <v>TAPABARRO PLASTICO</v>
          </cell>
          <cell r="L438">
            <v>2</v>
          </cell>
          <cell r="M438" t="str">
            <v>UNID.</v>
          </cell>
          <cell r="N438" t="str">
            <v>CISTERNA</v>
          </cell>
          <cell r="O438">
            <v>0</v>
          </cell>
          <cell r="P438" t="str">
            <v>M4</v>
          </cell>
          <cell r="Q438" t="str">
            <v>J1</v>
          </cell>
          <cell r="R438" t="str">
            <v>J6</v>
          </cell>
          <cell r="S438" t="str">
            <v>ENTREGADO</v>
          </cell>
          <cell r="T438">
            <v>42682</v>
          </cell>
          <cell r="U438" t="str">
            <v>JULLIRI APAZA UBALDO</v>
          </cell>
          <cell r="V438" t="str">
            <v>FLOREZ CONDORI  JOSE WILLIANS</v>
          </cell>
        </row>
        <row r="439">
          <cell r="A439">
            <v>317</v>
          </cell>
          <cell r="B439">
            <v>42682</v>
          </cell>
          <cell r="C439" t="str">
            <v>NOVIEMBRE</v>
          </cell>
          <cell r="D439" t="str">
            <v>2016</v>
          </cell>
          <cell r="E439">
            <v>254</v>
          </cell>
          <cell r="F439" t="str">
            <v>X2W-762</v>
          </cell>
          <cell r="G439" t="str">
            <v>C5V-998</v>
          </cell>
          <cell r="H439" t="str">
            <v>LAS BAMBAS</v>
          </cell>
          <cell r="I439">
            <v>122505</v>
          </cell>
          <cell r="J439" t="str">
            <v>REPUESTO</v>
          </cell>
          <cell r="K439" t="str">
            <v>PERNO CENTRO 1/2 X 6</v>
          </cell>
          <cell r="L439">
            <v>1</v>
          </cell>
          <cell r="M439" t="str">
            <v>UNID.</v>
          </cell>
          <cell r="N439" t="str">
            <v>CISTERNA</v>
          </cell>
          <cell r="O439">
            <v>0</v>
          </cell>
          <cell r="P439" t="str">
            <v>M4</v>
          </cell>
          <cell r="Q439" t="str">
            <v>J1</v>
          </cell>
          <cell r="R439" t="str">
            <v>J6</v>
          </cell>
          <cell r="S439" t="str">
            <v>ENTREGADO</v>
          </cell>
          <cell r="T439">
            <v>42682</v>
          </cell>
          <cell r="U439" t="str">
            <v>JULLIRI APAZA UBALDO</v>
          </cell>
          <cell r="V439" t="str">
            <v>FLOREZ CONDORI  JOSE WILLIANS</v>
          </cell>
        </row>
        <row r="440">
          <cell r="A440">
            <v>318</v>
          </cell>
          <cell r="B440">
            <v>42682</v>
          </cell>
          <cell r="C440" t="str">
            <v>NOVIEMBRE</v>
          </cell>
          <cell r="D440" t="str">
            <v>2016</v>
          </cell>
          <cell r="E440">
            <v>254</v>
          </cell>
          <cell r="F440" t="str">
            <v>X2W-762</v>
          </cell>
          <cell r="G440" t="str">
            <v>C5V-998</v>
          </cell>
          <cell r="H440" t="str">
            <v>LAS BAMBAS</v>
          </cell>
          <cell r="I440">
            <v>122505</v>
          </cell>
          <cell r="J440" t="str">
            <v>REPUESTO</v>
          </cell>
          <cell r="K440" t="str">
            <v>TUERCA ALTA 1/2</v>
          </cell>
          <cell r="L440">
            <v>1</v>
          </cell>
          <cell r="M440" t="str">
            <v>UNID.</v>
          </cell>
          <cell r="N440" t="str">
            <v>CISTERNA</v>
          </cell>
          <cell r="O440">
            <v>0</v>
          </cell>
          <cell r="P440" t="str">
            <v>M4</v>
          </cell>
          <cell r="Q440" t="str">
            <v>J1</v>
          </cell>
          <cell r="R440" t="str">
            <v>J6</v>
          </cell>
          <cell r="S440" t="str">
            <v>ENTREGADO</v>
          </cell>
          <cell r="T440">
            <v>42682</v>
          </cell>
          <cell r="U440" t="str">
            <v>JULLIRI APAZA UBALDO</v>
          </cell>
          <cell r="V440" t="str">
            <v>FLOREZ CONDORI  JOSE WILLIANS</v>
          </cell>
        </row>
        <row r="441">
          <cell r="A441">
            <v>319</v>
          </cell>
          <cell r="B441">
            <v>42682</v>
          </cell>
          <cell r="C441" t="str">
            <v>NOVIEMBRE</v>
          </cell>
          <cell r="D441" t="str">
            <v>2016</v>
          </cell>
          <cell r="E441">
            <v>254</v>
          </cell>
          <cell r="F441" t="str">
            <v>X2W-762</v>
          </cell>
          <cell r="G441" t="str">
            <v>C5V-998</v>
          </cell>
          <cell r="H441" t="str">
            <v>LAS BAMBAS</v>
          </cell>
          <cell r="I441">
            <v>122505</v>
          </cell>
          <cell r="J441" t="str">
            <v>REPUESTO</v>
          </cell>
          <cell r="K441" t="str">
            <v>HOJA DE MUELLE 3 1/2 X 18 X 1 1/2</v>
          </cell>
          <cell r="L441">
            <v>1</v>
          </cell>
          <cell r="M441" t="str">
            <v>UNID.</v>
          </cell>
          <cell r="N441" t="str">
            <v>CISTERNA</v>
          </cell>
          <cell r="O441">
            <v>0</v>
          </cell>
          <cell r="P441" t="str">
            <v>M4</v>
          </cell>
          <cell r="Q441" t="str">
            <v>J1</v>
          </cell>
          <cell r="R441" t="str">
            <v>J6</v>
          </cell>
          <cell r="S441" t="str">
            <v>ENTREGADO</v>
          </cell>
          <cell r="T441">
            <v>42682</v>
          </cell>
          <cell r="U441" t="str">
            <v>JULLIRI APAZA UBALDO</v>
          </cell>
          <cell r="V441" t="str">
            <v>FLOREZ CONDORI  JOSE WILLIANS</v>
          </cell>
        </row>
        <row r="442">
          <cell r="A442">
            <v>320</v>
          </cell>
          <cell r="B442">
            <v>42682</v>
          </cell>
          <cell r="C442" t="str">
            <v>NOVIEMBRE</v>
          </cell>
          <cell r="D442" t="str">
            <v>2016</v>
          </cell>
          <cell r="E442">
            <v>254</v>
          </cell>
          <cell r="F442" t="str">
            <v>X2W-762</v>
          </cell>
          <cell r="G442" t="str">
            <v>C5V-998</v>
          </cell>
          <cell r="H442" t="str">
            <v>LAS BAMBAS</v>
          </cell>
          <cell r="I442">
            <v>122505</v>
          </cell>
          <cell r="J442" t="str">
            <v>REPUESTO</v>
          </cell>
          <cell r="K442" t="str">
            <v>PERNO 5/8 X 6"</v>
          </cell>
          <cell r="L442">
            <v>2</v>
          </cell>
          <cell r="M442" t="str">
            <v>UNID.</v>
          </cell>
          <cell r="N442" t="str">
            <v>CISTERNA</v>
          </cell>
          <cell r="O442">
            <v>0</v>
          </cell>
          <cell r="P442" t="str">
            <v>M4</v>
          </cell>
          <cell r="Q442" t="str">
            <v>J1</v>
          </cell>
          <cell r="R442" t="str">
            <v>J6</v>
          </cell>
          <cell r="S442" t="str">
            <v>ENTREGADO</v>
          </cell>
          <cell r="T442">
            <v>42682</v>
          </cell>
          <cell r="U442" t="str">
            <v>JULLIRI APAZA UBALDO</v>
          </cell>
          <cell r="V442" t="str">
            <v>FLOREZ CONDORI  JOSE WILLIANS</v>
          </cell>
        </row>
        <row r="443">
          <cell r="A443">
            <v>321</v>
          </cell>
          <cell r="B443">
            <v>42682</v>
          </cell>
          <cell r="C443" t="str">
            <v>NOVIEMBRE</v>
          </cell>
          <cell r="D443" t="str">
            <v>2016</v>
          </cell>
          <cell r="E443">
            <v>254</v>
          </cell>
          <cell r="F443" t="str">
            <v>X2W-762</v>
          </cell>
          <cell r="G443" t="str">
            <v>C5V-998</v>
          </cell>
          <cell r="H443" t="str">
            <v>LAS BAMBAS</v>
          </cell>
          <cell r="I443">
            <v>122505</v>
          </cell>
          <cell r="J443" t="str">
            <v>REPUESTO</v>
          </cell>
          <cell r="K443" t="str">
            <v>VOLANDA PLANA 5/8</v>
          </cell>
          <cell r="L443">
            <v>4</v>
          </cell>
          <cell r="M443" t="str">
            <v>UNID.</v>
          </cell>
          <cell r="N443" t="str">
            <v>CISTERNA</v>
          </cell>
          <cell r="O443">
            <v>0</v>
          </cell>
          <cell r="P443" t="str">
            <v>M4</v>
          </cell>
          <cell r="Q443" t="str">
            <v>J1</v>
          </cell>
          <cell r="R443" t="str">
            <v>J6</v>
          </cell>
          <cell r="S443" t="str">
            <v>ENTREGADO</v>
          </cell>
          <cell r="T443">
            <v>42682</v>
          </cell>
          <cell r="U443" t="str">
            <v>JULLIRI APAZA UBALDO</v>
          </cell>
          <cell r="V443" t="str">
            <v>FLOREZ CONDORI  JOSE WILLIANS</v>
          </cell>
        </row>
        <row r="444">
          <cell r="A444">
            <v>322</v>
          </cell>
          <cell r="B444">
            <v>42682</v>
          </cell>
          <cell r="C444" t="str">
            <v>NOVIEMBRE</v>
          </cell>
          <cell r="D444" t="str">
            <v>2016</v>
          </cell>
          <cell r="E444">
            <v>254</v>
          </cell>
          <cell r="F444" t="str">
            <v>X2W-762</v>
          </cell>
          <cell r="G444" t="str">
            <v>C5V-998</v>
          </cell>
          <cell r="H444" t="str">
            <v>LAS BAMBAS</v>
          </cell>
          <cell r="I444">
            <v>122505</v>
          </cell>
          <cell r="J444" t="str">
            <v>REPUESTO</v>
          </cell>
          <cell r="K444" t="str">
            <v>TUERCA DE SEGURO 5/8</v>
          </cell>
          <cell r="L444">
            <v>2</v>
          </cell>
          <cell r="M444" t="str">
            <v>UNID.</v>
          </cell>
          <cell r="N444" t="str">
            <v>CISTERNA</v>
          </cell>
          <cell r="O444">
            <v>0</v>
          </cell>
          <cell r="P444" t="str">
            <v>M4</v>
          </cell>
          <cell r="Q444" t="str">
            <v>J1</v>
          </cell>
          <cell r="R444" t="str">
            <v>J6</v>
          </cell>
          <cell r="S444" t="str">
            <v>ENTREGADO</v>
          </cell>
          <cell r="T444">
            <v>42682</v>
          </cell>
          <cell r="U444" t="str">
            <v>JULLIRI APAZA UBALDO</v>
          </cell>
          <cell r="V444" t="str">
            <v>FLOREZ CONDORI  JOSE WILLIANS</v>
          </cell>
        </row>
        <row r="445">
          <cell r="A445">
            <v>323</v>
          </cell>
          <cell r="B445">
            <v>42682</v>
          </cell>
          <cell r="C445" t="str">
            <v>NOVIEMBRE</v>
          </cell>
          <cell r="D445" t="str">
            <v>2016</v>
          </cell>
          <cell r="E445">
            <v>254</v>
          </cell>
          <cell r="F445" t="str">
            <v>X2W-762</v>
          </cell>
          <cell r="G445" t="str">
            <v>C5V-998</v>
          </cell>
          <cell r="H445" t="str">
            <v>LAS BAMBAS</v>
          </cell>
          <cell r="I445">
            <v>122505</v>
          </cell>
          <cell r="J445" t="str">
            <v>REPUESTO</v>
          </cell>
          <cell r="K445" t="str">
            <v>AFLOJA TODO</v>
          </cell>
          <cell r="L445">
            <v>1</v>
          </cell>
          <cell r="M445" t="str">
            <v>UNID.</v>
          </cell>
          <cell r="N445" t="str">
            <v>CISTERNA</v>
          </cell>
          <cell r="O445">
            <v>0</v>
          </cell>
          <cell r="P445" t="str">
            <v>M4</v>
          </cell>
          <cell r="Q445" t="str">
            <v>J1</v>
          </cell>
          <cell r="R445" t="str">
            <v>J6</v>
          </cell>
          <cell r="S445" t="str">
            <v>ENTREGADO</v>
          </cell>
          <cell r="T445">
            <v>42682</v>
          </cell>
          <cell r="U445" t="str">
            <v>JULLIRI APAZA UBALDO</v>
          </cell>
          <cell r="V445" t="str">
            <v>FLOREZ CONDORI  JOSE WILLIANS</v>
          </cell>
        </row>
        <row r="446">
          <cell r="A446">
            <v>338</v>
          </cell>
          <cell r="B446">
            <v>42682</v>
          </cell>
          <cell r="C446" t="str">
            <v>NOVIEMBRE</v>
          </cell>
          <cell r="D446" t="str">
            <v>2016</v>
          </cell>
          <cell r="E446">
            <v>254</v>
          </cell>
          <cell r="F446" t="str">
            <v>X2W-762</v>
          </cell>
          <cell r="G446" t="str">
            <v>C5V-998</v>
          </cell>
          <cell r="H446" t="str">
            <v>LAS BAMBAS</v>
          </cell>
          <cell r="I446">
            <v>122505</v>
          </cell>
          <cell r="J446" t="str">
            <v>REPUESTO</v>
          </cell>
          <cell r="K446" t="str">
            <v>PERNO CENTRO 9/16 X 6</v>
          </cell>
          <cell r="L446">
            <v>1</v>
          </cell>
          <cell r="M446" t="str">
            <v>UNID.</v>
          </cell>
          <cell r="N446" t="str">
            <v>TRACTO</v>
          </cell>
          <cell r="O446">
            <v>0</v>
          </cell>
          <cell r="P446" t="str">
            <v>M4</v>
          </cell>
          <cell r="Q446" t="str">
            <v>J1</v>
          </cell>
          <cell r="R446" t="str">
            <v>J6</v>
          </cell>
          <cell r="S446" t="str">
            <v>ENTREGADO</v>
          </cell>
          <cell r="T446">
            <v>42682</v>
          </cell>
          <cell r="U446" t="str">
            <v>JULLIRI APAZA UBALDO</v>
          </cell>
          <cell r="V446" t="str">
            <v>FLOREZ CONDORI  JOSE WILLIANS</v>
          </cell>
        </row>
        <row r="447">
          <cell r="A447">
            <v>339</v>
          </cell>
          <cell r="B447">
            <v>42682</v>
          </cell>
          <cell r="C447" t="str">
            <v>NOVIEMBRE</v>
          </cell>
          <cell r="D447" t="str">
            <v>2016</v>
          </cell>
          <cell r="E447">
            <v>254</v>
          </cell>
          <cell r="F447" t="str">
            <v>X2W-762</v>
          </cell>
          <cell r="G447" t="str">
            <v>C5V-998</v>
          </cell>
          <cell r="H447" t="str">
            <v>LAS BAMBAS</v>
          </cell>
          <cell r="I447">
            <v>122505</v>
          </cell>
          <cell r="J447" t="str">
            <v>REPUESTO</v>
          </cell>
          <cell r="K447" t="str">
            <v>TUERCA ALTA 9/16</v>
          </cell>
          <cell r="L447">
            <v>1</v>
          </cell>
          <cell r="M447" t="str">
            <v>UNID.</v>
          </cell>
          <cell r="N447" t="str">
            <v>TRACTO</v>
          </cell>
          <cell r="O447">
            <v>0</v>
          </cell>
          <cell r="P447" t="str">
            <v>M4</v>
          </cell>
          <cell r="Q447" t="str">
            <v>J1</v>
          </cell>
          <cell r="R447" t="str">
            <v>J6</v>
          </cell>
          <cell r="S447" t="str">
            <v>ENTREGADO</v>
          </cell>
          <cell r="T447">
            <v>42682</v>
          </cell>
          <cell r="U447" t="str">
            <v>JULLIRI APAZA UBALDO</v>
          </cell>
          <cell r="V447" t="str">
            <v>FLOREZ CONDORI  JOSE WILLIANS</v>
          </cell>
        </row>
        <row r="448">
          <cell r="A448">
            <v>402</v>
          </cell>
          <cell r="B448">
            <v>42682</v>
          </cell>
          <cell r="C448" t="str">
            <v>NOVIEMBRE</v>
          </cell>
          <cell r="D448" t="str">
            <v>2016</v>
          </cell>
          <cell r="E448">
            <v>254</v>
          </cell>
          <cell r="F448" t="str">
            <v>X2W-762</v>
          </cell>
          <cell r="G448" t="str">
            <v>C5V-998</v>
          </cell>
          <cell r="H448" t="str">
            <v>LAS BAMBAS</v>
          </cell>
          <cell r="I448">
            <v>122505</v>
          </cell>
          <cell r="J448" t="str">
            <v>REPUESTO</v>
          </cell>
          <cell r="K448" t="str">
            <v>TAPABARRO DE PLASTICO</v>
          </cell>
          <cell r="L448">
            <v>1</v>
          </cell>
          <cell r="M448" t="str">
            <v>UNID.</v>
          </cell>
          <cell r="N448" t="str">
            <v>CISTERNA</v>
          </cell>
          <cell r="O448">
            <v>108</v>
          </cell>
          <cell r="P448" t="str">
            <v>M4</v>
          </cell>
          <cell r="Q448" t="str">
            <v>J2</v>
          </cell>
          <cell r="R448" t="str">
            <v>J6</v>
          </cell>
          <cell r="S448" t="str">
            <v>ENTREGADO</v>
          </cell>
          <cell r="T448">
            <v>0</v>
          </cell>
          <cell r="U448" t="str">
            <v>JULLIRI APAZA UBALDO</v>
          </cell>
          <cell r="V448" t="str">
            <v>CORIHUAMAN SURCO  ERICK ROBERT</v>
          </cell>
        </row>
        <row r="449">
          <cell r="A449">
            <v>406</v>
          </cell>
          <cell r="B449">
            <v>42682</v>
          </cell>
          <cell r="C449" t="str">
            <v>NOVIEMBRE</v>
          </cell>
          <cell r="D449" t="str">
            <v>2016</v>
          </cell>
          <cell r="E449">
            <v>267</v>
          </cell>
          <cell r="F449" t="str">
            <v>X2W-763</v>
          </cell>
          <cell r="G449" t="str">
            <v>C5V-997</v>
          </cell>
          <cell r="H449" t="str">
            <v>LAS BAMBAS</v>
          </cell>
          <cell r="I449">
            <v>152573</v>
          </cell>
          <cell r="J449" t="str">
            <v>REPUESTO</v>
          </cell>
          <cell r="K449" t="str">
            <v>TAPABARRO</v>
          </cell>
          <cell r="L449">
            <v>1</v>
          </cell>
          <cell r="M449" t="str">
            <v>UNID.</v>
          </cell>
          <cell r="N449" t="str">
            <v>CISTERNA</v>
          </cell>
          <cell r="O449">
            <v>108</v>
          </cell>
          <cell r="P449" t="str">
            <v>M1</v>
          </cell>
          <cell r="Q449" t="str">
            <v>J1</v>
          </cell>
          <cell r="R449" t="str">
            <v>J6</v>
          </cell>
          <cell r="S449" t="str">
            <v>ENTREGADO</v>
          </cell>
          <cell r="T449">
            <v>0</v>
          </cell>
          <cell r="U449" t="str">
            <v>CABEZAS SANCHEZ JEAN JHONATAN</v>
          </cell>
          <cell r="V449" t="str">
            <v>FLOREZ CONDORI  JOSE WILLIANS</v>
          </cell>
        </row>
        <row r="450">
          <cell r="A450">
            <v>408</v>
          </cell>
          <cell r="B450">
            <v>42682</v>
          </cell>
          <cell r="C450" t="str">
            <v>NOVIEMBRE</v>
          </cell>
          <cell r="D450" t="str">
            <v>2016</v>
          </cell>
          <cell r="E450">
            <v>267</v>
          </cell>
          <cell r="F450" t="str">
            <v>X2W-763</v>
          </cell>
          <cell r="G450" t="str">
            <v>C5V-997</v>
          </cell>
          <cell r="H450" t="str">
            <v>LAS BAMBAS</v>
          </cell>
          <cell r="I450">
            <v>152573</v>
          </cell>
          <cell r="J450" t="str">
            <v>REPUESTO</v>
          </cell>
          <cell r="K450" t="str">
            <v>SENSOR OPTIMO DE 5 CABLES</v>
          </cell>
          <cell r="L450">
            <v>1</v>
          </cell>
          <cell r="M450" t="str">
            <v>UNID.</v>
          </cell>
          <cell r="N450" t="str">
            <v>CISTERNA</v>
          </cell>
          <cell r="O450">
            <v>0</v>
          </cell>
          <cell r="P450" t="str">
            <v>E1</v>
          </cell>
          <cell r="Q450" t="str">
            <v>J2</v>
          </cell>
          <cell r="R450" t="str">
            <v>J6</v>
          </cell>
          <cell r="S450" t="str">
            <v>ENTREGADO</v>
          </cell>
          <cell r="T450">
            <v>42682</v>
          </cell>
          <cell r="U450" t="str">
            <v>PALOMINO CARDENAS JUAN CARLOS</v>
          </cell>
          <cell r="V450" t="str">
            <v>CORIHUAMAN SURCO  ERICK ROBERT</v>
          </cell>
        </row>
        <row r="451">
          <cell r="A451">
            <v>410</v>
          </cell>
          <cell r="B451">
            <v>42682</v>
          </cell>
          <cell r="C451" t="str">
            <v>NOVIEMBRE</v>
          </cell>
          <cell r="D451" t="str">
            <v>2016</v>
          </cell>
          <cell r="E451">
            <v>267</v>
          </cell>
          <cell r="F451" t="str">
            <v>X2W-763</v>
          </cell>
          <cell r="G451" t="str">
            <v>C5V-997</v>
          </cell>
          <cell r="H451" t="str">
            <v>LAS BAMBAS</v>
          </cell>
          <cell r="I451">
            <v>152573</v>
          </cell>
          <cell r="J451" t="str">
            <v>REPUESTO</v>
          </cell>
          <cell r="K451" t="str">
            <v>PERNO 1 X 7</v>
          </cell>
          <cell r="L451">
            <v>1</v>
          </cell>
          <cell r="M451" t="str">
            <v>UNID.</v>
          </cell>
          <cell r="N451" t="str">
            <v>CISTERNA</v>
          </cell>
          <cell r="O451">
            <v>0</v>
          </cell>
          <cell r="P451" t="str">
            <v>M2</v>
          </cell>
          <cell r="Q451" t="str">
            <v>J2</v>
          </cell>
          <cell r="R451" t="str">
            <v>J6</v>
          </cell>
          <cell r="S451" t="str">
            <v>ENTREGADO</v>
          </cell>
          <cell r="T451">
            <v>42682</v>
          </cell>
          <cell r="U451" t="str">
            <v>CHUMPITAZ GAGO JULIO ENRIQUE</v>
          </cell>
          <cell r="V451" t="str">
            <v>CORIHUAMAN SURCO  ERICK ROBERT</v>
          </cell>
        </row>
        <row r="452">
          <cell r="A452">
            <v>411</v>
          </cell>
          <cell r="B452">
            <v>42682</v>
          </cell>
          <cell r="C452" t="str">
            <v>NOVIEMBRE</v>
          </cell>
          <cell r="D452" t="str">
            <v>2016</v>
          </cell>
          <cell r="E452">
            <v>267</v>
          </cell>
          <cell r="F452" t="str">
            <v>X2W-763</v>
          </cell>
          <cell r="G452" t="str">
            <v>C5V-997</v>
          </cell>
          <cell r="H452" t="str">
            <v>LAS BAMBAS</v>
          </cell>
          <cell r="I452">
            <v>152573</v>
          </cell>
          <cell r="J452" t="str">
            <v>REPUESTO</v>
          </cell>
          <cell r="K452" t="str">
            <v>TUERCA SEGURO 1</v>
          </cell>
          <cell r="L452">
            <v>1</v>
          </cell>
          <cell r="M452" t="str">
            <v>UNID.</v>
          </cell>
          <cell r="N452" t="str">
            <v>CISTERNA</v>
          </cell>
          <cell r="O452">
            <v>0</v>
          </cell>
          <cell r="P452" t="str">
            <v>M2</v>
          </cell>
          <cell r="Q452" t="str">
            <v>J2</v>
          </cell>
          <cell r="R452" t="str">
            <v>J6</v>
          </cell>
          <cell r="S452" t="str">
            <v>ENTREGADO</v>
          </cell>
          <cell r="T452">
            <v>42682</v>
          </cell>
          <cell r="U452" t="str">
            <v>CHUMPITAZ GAGO JULIO ENRIQUE</v>
          </cell>
          <cell r="V452" t="str">
            <v>CORIHUAMAN SURCO  ERICK ROBERT</v>
          </cell>
        </row>
        <row r="453">
          <cell r="A453">
            <v>412</v>
          </cell>
          <cell r="B453">
            <v>42682</v>
          </cell>
          <cell r="C453" t="str">
            <v>NOVIEMBRE</v>
          </cell>
          <cell r="D453" t="str">
            <v>2016</v>
          </cell>
          <cell r="E453">
            <v>267</v>
          </cell>
          <cell r="F453" t="str">
            <v>X2W-763</v>
          </cell>
          <cell r="G453" t="str">
            <v>C5V-997</v>
          </cell>
          <cell r="H453" t="str">
            <v>LAS BAMBAS</v>
          </cell>
          <cell r="I453">
            <v>152573</v>
          </cell>
          <cell r="J453" t="str">
            <v>REPUESTO</v>
          </cell>
          <cell r="K453" t="str">
            <v>VOLANDA PLANA 1</v>
          </cell>
          <cell r="L453">
            <v>2</v>
          </cell>
          <cell r="M453" t="str">
            <v>UNID.</v>
          </cell>
          <cell r="N453" t="str">
            <v>CISTERNA</v>
          </cell>
          <cell r="O453">
            <v>0</v>
          </cell>
          <cell r="P453" t="str">
            <v>M2</v>
          </cell>
          <cell r="Q453" t="str">
            <v>J2</v>
          </cell>
          <cell r="R453" t="str">
            <v>J6</v>
          </cell>
          <cell r="S453" t="str">
            <v>ENTREGADO</v>
          </cell>
          <cell r="T453">
            <v>42682</v>
          </cell>
          <cell r="U453" t="str">
            <v>CHUMPITAZ GAGO JULIO ENRIQUE</v>
          </cell>
          <cell r="V453" t="str">
            <v>CORIHUAMAN SURCO  ERICK ROBERT</v>
          </cell>
        </row>
        <row r="454">
          <cell r="A454">
            <v>418</v>
          </cell>
          <cell r="B454">
            <v>42682</v>
          </cell>
          <cell r="C454" t="str">
            <v>NOVIEMBRE</v>
          </cell>
          <cell r="D454" t="str">
            <v>2016</v>
          </cell>
          <cell r="E454">
            <v>267</v>
          </cell>
          <cell r="F454" t="str">
            <v>X2W-763</v>
          </cell>
          <cell r="G454" t="str">
            <v>C5V-997</v>
          </cell>
          <cell r="H454" t="str">
            <v>LAS BAMBAS</v>
          </cell>
          <cell r="I454">
            <v>152573</v>
          </cell>
          <cell r="J454" t="str">
            <v>REPUESTO</v>
          </cell>
          <cell r="K454" t="str">
            <v>EMPAQUE DE TAPA MANHOLE GRANDE</v>
          </cell>
          <cell r="L454">
            <v>1</v>
          </cell>
          <cell r="M454" t="str">
            <v>UNID.</v>
          </cell>
          <cell r="N454" t="str">
            <v>CISTERNA</v>
          </cell>
          <cell r="O454">
            <v>0</v>
          </cell>
          <cell r="P454" t="str">
            <v>M4</v>
          </cell>
          <cell r="Q454" t="str">
            <v>J2</v>
          </cell>
          <cell r="R454" t="str">
            <v>J6</v>
          </cell>
          <cell r="S454" t="str">
            <v>ENTREGADO</v>
          </cell>
          <cell r="T454">
            <v>42682</v>
          </cell>
          <cell r="U454" t="str">
            <v>JULLIRI APAZA UBALDO</v>
          </cell>
          <cell r="V454" t="str">
            <v>CORIHUAMAN SURCO  ERICK ROBERT</v>
          </cell>
        </row>
        <row r="455">
          <cell r="A455">
            <v>419</v>
          </cell>
          <cell r="B455">
            <v>42682</v>
          </cell>
          <cell r="C455" t="str">
            <v>NOVIEMBRE</v>
          </cell>
          <cell r="D455" t="str">
            <v>2016</v>
          </cell>
          <cell r="E455">
            <v>267</v>
          </cell>
          <cell r="F455" t="str">
            <v>X2W-763</v>
          </cell>
          <cell r="G455" t="str">
            <v>C5V-997</v>
          </cell>
          <cell r="H455" t="str">
            <v>LAS BAMBAS</v>
          </cell>
          <cell r="I455">
            <v>152573</v>
          </cell>
          <cell r="J455" t="str">
            <v>REPUESTO</v>
          </cell>
          <cell r="K455" t="str">
            <v>EMPAQUE DE TAPA MANHOLE PEQUEÑO</v>
          </cell>
          <cell r="L455">
            <v>1</v>
          </cell>
          <cell r="M455" t="str">
            <v>UNID.</v>
          </cell>
          <cell r="N455" t="str">
            <v>CISTERNA</v>
          </cell>
          <cell r="O455">
            <v>0</v>
          </cell>
          <cell r="P455" t="str">
            <v>M4</v>
          </cell>
          <cell r="Q455" t="str">
            <v>J2</v>
          </cell>
          <cell r="R455" t="str">
            <v>J6</v>
          </cell>
          <cell r="S455" t="str">
            <v>ENTREGADO</v>
          </cell>
          <cell r="T455">
            <v>42682</v>
          </cell>
          <cell r="U455" t="str">
            <v>JULLIRI APAZA UBALDO</v>
          </cell>
          <cell r="V455" t="str">
            <v>CORIHUAMAN SURCO  ERICK ROBERT</v>
          </cell>
        </row>
        <row r="456">
          <cell r="A456">
            <v>420</v>
          </cell>
          <cell r="B456">
            <v>42682</v>
          </cell>
          <cell r="C456" t="str">
            <v>NOVIEMBRE</v>
          </cell>
          <cell r="D456" t="str">
            <v>2016</v>
          </cell>
          <cell r="E456">
            <v>267</v>
          </cell>
          <cell r="F456" t="str">
            <v>X2W-763</v>
          </cell>
          <cell r="G456" t="str">
            <v>C5V-997</v>
          </cell>
          <cell r="H456" t="str">
            <v>LAS BAMBAS</v>
          </cell>
          <cell r="I456">
            <v>152573</v>
          </cell>
          <cell r="J456" t="str">
            <v>REPUESTO</v>
          </cell>
          <cell r="K456" t="str">
            <v>PERNO 3/8 X 6</v>
          </cell>
          <cell r="L456">
            <v>1</v>
          </cell>
          <cell r="M456" t="str">
            <v>UNID.</v>
          </cell>
          <cell r="N456" t="str">
            <v>CISTERNA</v>
          </cell>
          <cell r="O456">
            <v>0</v>
          </cell>
          <cell r="P456" t="str">
            <v>M4</v>
          </cell>
          <cell r="Q456" t="str">
            <v>J2</v>
          </cell>
          <cell r="R456" t="str">
            <v>J6</v>
          </cell>
          <cell r="S456" t="str">
            <v>ENTREGADO</v>
          </cell>
          <cell r="T456">
            <v>42682</v>
          </cell>
          <cell r="U456" t="str">
            <v>JULLIRI APAZA UBALDO</v>
          </cell>
          <cell r="V456" t="str">
            <v>CORIHUAMAN SURCO  ERICK ROBERT</v>
          </cell>
        </row>
        <row r="457">
          <cell r="A457">
            <v>421</v>
          </cell>
          <cell r="B457">
            <v>42682</v>
          </cell>
          <cell r="C457" t="str">
            <v>NOVIEMBRE</v>
          </cell>
          <cell r="D457" t="str">
            <v>2016</v>
          </cell>
          <cell r="E457">
            <v>267</v>
          </cell>
          <cell r="F457" t="str">
            <v>X2W-763</v>
          </cell>
          <cell r="G457" t="str">
            <v>C5V-997</v>
          </cell>
          <cell r="H457" t="str">
            <v>LAS BAMBAS</v>
          </cell>
          <cell r="I457">
            <v>152573</v>
          </cell>
          <cell r="J457" t="str">
            <v>REPUESTO</v>
          </cell>
          <cell r="K457" t="str">
            <v>TUERCA 3/8</v>
          </cell>
          <cell r="L457">
            <v>2</v>
          </cell>
          <cell r="M457" t="str">
            <v>UNID.</v>
          </cell>
          <cell r="N457" t="str">
            <v>CISTERNA</v>
          </cell>
          <cell r="O457">
            <v>0</v>
          </cell>
          <cell r="P457" t="str">
            <v>M4</v>
          </cell>
          <cell r="Q457" t="str">
            <v>J2</v>
          </cell>
          <cell r="R457" t="str">
            <v>J6</v>
          </cell>
          <cell r="S457" t="str">
            <v>ENTREGADO</v>
          </cell>
          <cell r="T457">
            <v>42682</v>
          </cell>
          <cell r="U457" t="str">
            <v>JULLIRI APAZA UBALDO</v>
          </cell>
          <cell r="V457" t="str">
            <v>CORIHUAMAN SURCO  ERICK ROBERT</v>
          </cell>
        </row>
        <row r="458">
          <cell r="A458">
            <v>403</v>
          </cell>
          <cell r="B458">
            <v>42682</v>
          </cell>
          <cell r="C458" t="str">
            <v>NOVIEMBRE</v>
          </cell>
          <cell r="D458" t="str">
            <v>2016</v>
          </cell>
          <cell r="E458">
            <v>239</v>
          </cell>
          <cell r="F458" t="str">
            <v>X2W-788</v>
          </cell>
          <cell r="G458" t="str">
            <v>C5V-994</v>
          </cell>
          <cell r="H458" t="str">
            <v>LAS BAMBAS</v>
          </cell>
          <cell r="I458">
            <v>137310</v>
          </cell>
          <cell r="J458" t="str">
            <v>REPUESTO</v>
          </cell>
          <cell r="K458" t="str">
            <v>BATERIAS DE 12 V</v>
          </cell>
          <cell r="L458">
            <v>3</v>
          </cell>
          <cell r="M458" t="str">
            <v>UNID.</v>
          </cell>
          <cell r="N458" t="str">
            <v>TRACTO</v>
          </cell>
          <cell r="O458">
            <v>0</v>
          </cell>
          <cell r="P458" t="str">
            <v>E1</v>
          </cell>
          <cell r="Q458" t="str">
            <v>J1</v>
          </cell>
          <cell r="R458" t="str">
            <v>J6</v>
          </cell>
          <cell r="S458" t="str">
            <v>ENTREGADO</v>
          </cell>
          <cell r="T458">
            <v>42682</v>
          </cell>
          <cell r="U458" t="str">
            <v>PALOMINO CARDENAS JUAN CARLOS</v>
          </cell>
          <cell r="V458" t="str">
            <v>FLOREZ CONDORI  JOSE WILLIANS</v>
          </cell>
        </row>
        <row r="459">
          <cell r="A459">
            <v>434</v>
          </cell>
          <cell r="B459">
            <v>42682</v>
          </cell>
          <cell r="C459" t="str">
            <v>NOVIEMBRE</v>
          </cell>
          <cell r="D459" t="str">
            <v>2016</v>
          </cell>
          <cell r="E459">
            <v>239</v>
          </cell>
          <cell r="F459" t="str">
            <v>X2W-788</v>
          </cell>
          <cell r="G459" t="str">
            <v>C5V-994</v>
          </cell>
          <cell r="H459" t="str">
            <v>LAS BAMBAS</v>
          </cell>
          <cell r="I459">
            <v>137310</v>
          </cell>
          <cell r="J459" t="str">
            <v>REPUESTO</v>
          </cell>
          <cell r="K459" t="str">
            <v>MASCARA DE TABLERO</v>
          </cell>
          <cell r="L459">
            <v>1</v>
          </cell>
          <cell r="M459" t="str">
            <v>UNID.</v>
          </cell>
          <cell r="N459" t="str">
            <v>TRACTO</v>
          </cell>
          <cell r="O459">
            <v>1</v>
          </cell>
          <cell r="P459" t="str">
            <v>E1</v>
          </cell>
          <cell r="Q459" t="str">
            <v>J1</v>
          </cell>
          <cell r="R459" t="str">
            <v>J1</v>
          </cell>
          <cell r="S459" t="str">
            <v>ENTREGADO</v>
          </cell>
          <cell r="T459">
            <v>42683</v>
          </cell>
          <cell r="U459" t="str">
            <v>PALOMINO CARDENAS JUAN CARLOS</v>
          </cell>
          <cell r="V459" t="str">
            <v>FLOREZ CONDORI  JOSE WILLIANS</v>
          </cell>
        </row>
        <row r="460">
          <cell r="A460">
            <v>453</v>
          </cell>
          <cell r="B460">
            <v>42683</v>
          </cell>
          <cell r="C460" t="str">
            <v>NOVIEMBRE</v>
          </cell>
          <cell r="D460" t="str">
            <v>2016</v>
          </cell>
          <cell r="E460">
            <v>255</v>
          </cell>
          <cell r="F460" t="str">
            <v>AAN-801</v>
          </cell>
          <cell r="G460" t="str">
            <v>CAMIONETA</v>
          </cell>
          <cell r="H460" t="str">
            <v>LAS BAMBAS</v>
          </cell>
          <cell r="I460">
            <v>107633</v>
          </cell>
          <cell r="J460" t="str">
            <v>REPUESTO</v>
          </cell>
          <cell r="K460" t="str">
            <v>TAPA DE PERTIGA</v>
          </cell>
          <cell r="L460">
            <v>1</v>
          </cell>
          <cell r="M460" t="str">
            <v>UNID.</v>
          </cell>
          <cell r="N460" t="str">
            <v>TRACTO</v>
          </cell>
          <cell r="O460">
            <v>0</v>
          </cell>
          <cell r="P460" t="str">
            <v>E2</v>
          </cell>
          <cell r="Q460" t="str">
            <v>J2</v>
          </cell>
          <cell r="R460" t="str">
            <v>J6</v>
          </cell>
          <cell r="S460" t="str">
            <v>ENTREGADO</v>
          </cell>
          <cell r="T460">
            <v>42683</v>
          </cell>
          <cell r="U460" t="str">
            <v>YUCA BELLIDO BORIS YERSY</v>
          </cell>
          <cell r="V460" t="str">
            <v>CORIHUAMAN SURCO  ERICK ROBERT</v>
          </cell>
        </row>
        <row r="461">
          <cell r="A461">
            <v>479</v>
          </cell>
          <cell r="B461">
            <v>42683</v>
          </cell>
          <cell r="C461" t="str">
            <v>NOVIEMBRE</v>
          </cell>
          <cell r="D461" t="str">
            <v>2016</v>
          </cell>
          <cell r="E461">
            <v>265</v>
          </cell>
          <cell r="F461" t="str">
            <v>ABP-783</v>
          </cell>
          <cell r="G461" t="str">
            <v>C9S-988</v>
          </cell>
          <cell r="H461" t="str">
            <v>LAS BAMBAS</v>
          </cell>
          <cell r="I461">
            <v>121589.2</v>
          </cell>
          <cell r="J461" t="str">
            <v>REPUESTO</v>
          </cell>
          <cell r="K461" t="str">
            <v xml:space="preserve">LLANTAS REENCAUCHADAS </v>
          </cell>
          <cell r="L461">
            <v>4</v>
          </cell>
          <cell r="M461" t="str">
            <v>UNID.</v>
          </cell>
          <cell r="N461" t="str">
            <v>CISTERNA</v>
          </cell>
          <cell r="O461">
            <v>0</v>
          </cell>
          <cell r="P461" t="str">
            <v>N1</v>
          </cell>
          <cell r="Q461" t="str">
            <v>J6</v>
          </cell>
          <cell r="R461" t="str">
            <v>J6</v>
          </cell>
          <cell r="S461" t="str">
            <v>ENTREGADO</v>
          </cell>
          <cell r="T461">
            <v>42683</v>
          </cell>
          <cell r="U461" t="str">
            <v>AGUILAR CCANTUTA WILLY</v>
          </cell>
          <cell r="V461" t="str">
            <v>VILLANUEVA BEJAR  YHORDAN MICHEL</v>
          </cell>
        </row>
        <row r="462">
          <cell r="A462">
            <v>442</v>
          </cell>
          <cell r="B462">
            <v>42683</v>
          </cell>
          <cell r="C462" t="str">
            <v>NOVIEMBRE</v>
          </cell>
          <cell r="D462" t="str">
            <v>2016</v>
          </cell>
          <cell r="E462">
            <v>265</v>
          </cell>
          <cell r="F462" t="str">
            <v>ABP-783</v>
          </cell>
          <cell r="G462" t="str">
            <v>C9S-988</v>
          </cell>
          <cell r="H462" t="str">
            <v>LAS BAMBAS</v>
          </cell>
          <cell r="I462">
            <v>121589.2</v>
          </cell>
          <cell r="J462" t="str">
            <v>REPUESTO</v>
          </cell>
          <cell r="K462" t="str">
            <v>FAJAS</v>
          </cell>
          <cell r="L462">
            <v>1</v>
          </cell>
          <cell r="M462" t="str">
            <v>JUEGO</v>
          </cell>
          <cell r="N462" t="str">
            <v>CISTERNA</v>
          </cell>
          <cell r="O462">
            <v>0</v>
          </cell>
          <cell r="P462" t="str">
            <v>M3</v>
          </cell>
          <cell r="Q462" t="str">
            <v>J1</v>
          </cell>
          <cell r="R462" t="str">
            <v>J6</v>
          </cell>
          <cell r="S462" t="str">
            <v>ENTREGADO</v>
          </cell>
          <cell r="T462">
            <v>42683</v>
          </cell>
          <cell r="U462" t="str">
            <v>GARCIA PASQUEL  JOSE LUIS</v>
          </cell>
          <cell r="V462" t="str">
            <v>FLOREZ CONDORI  JOSE WILLIANS</v>
          </cell>
        </row>
        <row r="463">
          <cell r="A463">
            <v>443</v>
          </cell>
          <cell r="B463">
            <v>42683</v>
          </cell>
          <cell r="C463" t="str">
            <v>NOVIEMBRE</v>
          </cell>
          <cell r="D463" t="str">
            <v>2016</v>
          </cell>
          <cell r="E463">
            <v>265</v>
          </cell>
          <cell r="F463" t="str">
            <v>ABP-783</v>
          </cell>
          <cell r="G463" t="str">
            <v>C9S-988</v>
          </cell>
          <cell r="H463" t="str">
            <v>LAS BAMBAS</v>
          </cell>
          <cell r="I463">
            <v>121589.2</v>
          </cell>
          <cell r="J463" t="str">
            <v>REPUESTO</v>
          </cell>
          <cell r="K463" t="str">
            <v>REMACHES</v>
          </cell>
          <cell r="L463">
            <v>120</v>
          </cell>
          <cell r="M463" t="str">
            <v>UNID.</v>
          </cell>
          <cell r="N463" t="str">
            <v>CISTERNA</v>
          </cell>
          <cell r="O463">
            <v>0</v>
          </cell>
          <cell r="P463" t="str">
            <v>M3</v>
          </cell>
          <cell r="Q463" t="str">
            <v>J1</v>
          </cell>
          <cell r="R463" t="str">
            <v>J6</v>
          </cell>
          <cell r="S463" t="str">
            <v>ENTREGADO</v>
          </cell>
          <cell r="T463">
            <v>42683</v>
          </cell>
          <cell r="U463" t="str">
            <v>GARCIA PASQUEL  JOSE LUIS</v>
          </cell>
          <cell r="V463" t="str">
            <v>FLOREZ CONDORI  JOSE WILLIANS</v>
          </cell>
        </row>
        <row r="464">
          <cell r="A464">
            <v>444</v>
          </cell>
          <cell r="B464">
            <v>42683</v>
          </cell>
          <cell r="C464" t="str">
            <v>NOVIEMBRE</v>
          </cell>
          <cell r="D464" t="str">
            <v>2016</v>
          </cell>
          <cell r="E464">
            <v>265</v>
          </cell>
          <cell r="F464" t="str">
            <v>ABP-783</v>
          </cell>
          <cell r="G464" t="str">
            <v>C9S-988</v>
          </cell>
          <cell r="H464" t="str">
            <v>LAS BAMBAS</v>
          </cell>
          <cell r="I464">
            <v>121589.2</v>
          </cell>
          <cell r="J464" t="str">
            <v>REPUESTO</v>
          </cell>
          <cell r="K464" t="str">
            <v>RESORTES GRANDES PARA ZAPATA</v>
          </cell>
          <cell r="L464">
            <v>2</v>
          </cell>
          <cell r="M464" t="str">
            <v>UNID.</v>
          </cell>
          <cell r="N464" t="str">
            <v>CISTERNA</v>
          </cell>
          <cell r="O464">
            <v>0</v>
          </cell>
          <cell r="P464" t="str">
            <v>M3</v>
          </cell>
          <cell r="Q464" t="str">
            <v>J1</v>
          </cell>
          <cell r="R464" t="str">
            <v>J6</v>
          </cell>
          <cell r="S464" t="str">
            <v>ENTREGADO</v>
          </cell>
          <cell r="T464">
            <v>42683</v>
          </cell>
          <cell r="U464" t="str">
            <v>GARCIA PASQUEL  JOSE LUIS</v>
          </cell>
          <cell r="V464" t="str">
            <v>FLOREZ CONDORI  JOSE WILLIANS</v>
          </cell>
        </row>
        <row r="465">
          <cell r="A465">
            <v>445</v>
          </cell>
          <cell r="B465">
            <v>42683</v>
          </cell>
          <cell r="C465" t="str">
            <v>NOVIEMBRE</v>
          </cell>
          <cell r="D465" t="str">
            <v>2016</v>
          </cell>
          <cell r="E465">
            <v>265</v>
          </cell>
          <cell r="F465" t="str">
            <v>ABP-783</v>
          </cell>
          <cell r="G465" t="str">
            <v>C9S-988</v>
          </cell>
          <cell r="H465" t="str">
            <v>LAS BAMBAS</v>
          </cell>
          <cell r="I465">
            <v>121589.2</v>
          </cell>
          <cell r="J465" t="str">
            <v>REPUESTO</v>
          </cell>
          <cell r="K465" t="str">
            <v>RESORTES CHICOS PARA ZAPATA</v>
          </cell>
          <cell r="L465">
            <v>4</v>
          </cell>
          <cell r="M465" t="str">
            <v>UNID.</v>
          </cell>
          <cell r="N465" t="str">
            <v>CISTERNA</v>
          </cell>
          <cell r="O465">
            <v>0</v>
          </cell>
          <cell r="P465" t="str">
            <v>M3</v>
          </cell>
          <cell r="Q465" t="str">
            <v>J1</v>
          </cell>
          <cell r="R465" t="str">
            <v>J6</v>
          </cell>
          <cell r="S465" t="str">
            <v>ENTREGADO</v>
          </cell>
          <cell r="T465">
            <v>42683</v>
          </cell>
          <cell r="U465" t="str">
            <v>GARCIA PASQUEL  JOSE LUIS</v>
          </cell>
          <cell r="V465" t="str">
            <v>FLOREZ CONDORI  JOSE WILLIANS</v>
          </cell>
        </row>
        <row r="466">
          <cell r="A466">
            <v>480</v>
          </cell>
          <cell r="B466">
            <v>42683</v>
          </cell>
          <cell r="C466" t="str">
            <v>NOVIEMBRE</v>
          </cell>
          <cell r="D466" t="str">
            <v>2016</v>
          </cell>
          <cell r="E466">
            <v>265</v>
          </cell>
          <cell r="F466" t="str">
            <v>ABP-783</v>
          </cell>
          <cell r="G466" t="str">
            <v>C9S-988</v>
          </cell>
          <cell r="H466" t="str">
            <v>LAS BAMBAS</v>
          </cell>
          <cell r="I466">
            <v>121589.2</v>
          </cell>
          <cell r="J466" t="str">
            <v>REPUESTO</v>
          </cell>
          <cell r="K466" t="str">
            <v>PITONES RECTOS</v>
          </cell>
          <cell r="L466">
            <v>4</v>
          </cell>
          <cell r="M466" t="str">
            <v>UNID.</v>
          </cell>
          <cell r="N466" t="str">
            <v>CISTERNA</v>
          </cell>
          <cell r="O466">
            <v>0</v>
          </cell>
          <cell r="P466" t="str">
            <v>N1</v>
          </cell>
          <cell r="Q466" t="str">
            <v>J6</v>
          </cell>
          <cell r="R466" t="str">
            <v>J6</v>
          </cell>
          <cell r="S466" t="str">
            <v>ENTREGADO</v>
          </cell>
          <cell r="T466">
            <v>42683</v>
          </cell>
          <cell r="U466" t="str">
            <v>AGUILAR CCANTUTA WILLY</v>
          </cell>
          <cell r="V466" t="str">
            <v>VILLANUEVA BEJAR  YHORDAN MICHEL</v>
          </cell>
        </row>
        <row r="467">
          <cell r="A467">
            <v>501</v>
          </cell>
          <cell r="B467">
            <v>42683</v>
          </cell>
          <cell r="C467" t="str">
            <v>NOVIEMBRE</v>
          </cell>
          <cell r="D467" t="str">
            <v>2016</v>
          </cell>
          <cell r="E467">
            <v>293</v>
          </cell>
          <cell r="F467" t="str">
            <v>ABQ-703</v>
          </cell>
          <cell r="G467" t="str">
            <v>D0Z-994</v>
          </cell>
          <cell r="H467" t="str">
            <v>LAS BAMBAS</v>
          </cell>
          <cell r="I467">
            <v>96207</v>
          </cell>
          <cell r="J467" t="str">
            <v>REPUESTO</v>
          </cell>
          <cell r="K467" t="str">
            <v>ABRAZADERAS DE UELLE 7/8 X 5 X 14 "</v>
          </cell>
          <cell r="L467">
            <v>1</v>
          </cell>
          <cell r="M467" t="str">
            <v>UNID.</v>
          </cell>
          <cell r="N467" t="str">
            <v>TRACTO</v>
          </cell>
          <cell r="O467">
            <v>0</v>
          </cell>
          <cell r="P467" t="str">
            <v>M8</v>
          </cell>
          <cell r="Q467" t="str">
            <v>J2</v>
          </cell>
          <cell r="R467" t="str">
            <v>J2</v>
          </cell>
          <cell r="S467" t="str">
            <v>ENTREGADO</v>
          </cell>
          <cell r="T467">
            <v>42683</v>
          </cell>
          <cell r="U467" t="str">
            <v>VARILLAS GAGO  OSCAR ALBERTO</v>
          </cell>
          <cell r="V467" t="str">
            <v>CORIHUAMAN SURCO  ERICK ROBERT</v>
          </cell>
        </row>
        <row r="468">
          <cell r="A468">
            <v>502</v>
          </cell>
          <cell r="B468">
            <v>42683</v>
          </cell>
          <cell r="C468" t="str">
            <v>NOVIEMBRE</v>
          </cell>
          <cell r="D468" t="str">
            <v>2016</v>
          </cell>
          <cell r="E468">
            <v>293</v>
          </cell>
          <cell r="F468" t="str">
            <v>ABQ-703</v>
          </cell>
          <cell r="G468" t="str">
            <v>D0Z-994</v>
          </cell>
          <cell r="H468" t="str">
            <v>LAS BAMBAS</v>
          </cell>
          <cell r="I468">
            <v>96207</v>
          </cell>
          <cell r="J468" t="str">
            <v>REPUESTO</v>
          </cell>
          <cell r="K468" t="str">
            <v>TUERCAS ALTAS 7/8</v>
          </cell>
          <cell r="L468">
            <v>2</v>
          </cell>
          <cell r="M468" t="str">
            <v>UNID.</v>
          </cell>
          <cell r="N468" t="str">
            <v>TRACTO</v>
          </cell>
          <cell r="O468">
            <v>0</v>
          </cell>
          <cell r="P468" t="str">
            <v>M8</v>
          </cell>
          <cell r="Q468" t="str">
            <v>J2</v>
          </cell>
          <cell r="R468" t="str">
            <v>J2</v>
          </cell>
          <cell r="S468" t="str">
            <v>ENTREGADO</v>
          </cell>
          <cell r="T468">
            <v>42683</v>
          </cell>
          <cell r="U468" t="str">
            <v>VARILLAS GAGO  OSCAR ALBERTO</v>
          </cell>
          <cell r="V468" t="str">
            <v>CORIHUAMAN SURCO  ERICK ROBERT</v>
          </cell>
        </row>
        <row r="469">
          <cell r="A469">
            <v>477</v>
          </cell>
          <cell r="B469">
            <v>42683</v>
          </cell>
          <cell r="C469" t="str">
            <v>NOVIEMBRE</v>
          </cell>
          <cell r="D469" t="str">
            <v>2016</v>
          </cell>
          <cell r="E469">
            <v>246</v>
          </cell>
          <cell r="F469" t="str">
            <v>ABR-759</v>
          </cell>
          <cell r="G469" t="str">
            <v>D0Z-995</v>
          </cell>
          <cell r="H469" t="str">
            <v>LAS BAMBAS</v>
          </cell>
          <cell r="I469">
            <v>106428</v>
          </cell>
          <cell r="J469" t="str">
            <v>REPUESTO</v>
          </cell>
          <cell r="K469" t="str">
            <v xml:space="preserve">KIT DE REPARACION DE SECADOR DE </v>
          </cell>
          <cell r="L469">
            <v>1</v>
          </cell>
          <cell r="M469" t="str">
            <v>UNID.</v>
          </cell>
          <cell r="N469" t="str">
            <v>TRACTO</v>
          </cell>
          <cell r="O469">
            <v>0</v>
          </cell>
          <cell r="P469" t="str">
            <v>M8</v>
          </cell>
          <cell r="Q469" t="str">
            <v>J1</v>
          </cell>
          <cell r="R469" t="str">
            <v>J1</v>
          </cell>
          <cell r="S469" t="str">
            <v>ENTREGADO</v>
          </cell>
          <cell r="T469">
            <v>42683</v>
          </cell>
          <cell r="U469" t="str">
            <v>VARILLAS GAGO  OSCAR ALBERTO</v>
          </cell>
          <cell r="V469" t="str">
            <v>FLOREZ CONDORI  JOSE WILLIANS</v>
          </cell>
        </row>
        <row r="470">
          <cell r="A470">
            <v>478</v>
          </cell>
          <cell r="B470">
            <v>42683</v>
          </cell>
          <cell r="C470" t="str">
            <v>NOVIEMBRE</v>
          </cell>
          <cell r="D470" t="str">
            <v>2016</v>
          </cell>
          <cell r="E470">
            <v>246</v>
          </cell>
          <cell r="F470" t="str">
            <v>ABR-759</v>
          </cell>
          <cell r="G470" t="str">
            <v>D0Z-995</v>
          </cell>
          <cell r="H470" t="str">
            <v>LAS BAMBAS</v>
          </cell>
          <cell r="I470">
            <v>106428</v>
          </cell>
          <cell r="J470" t="str">
            <v>REPUESTO</v>
          </cell>
          <cell r="K470" t="str">
            <v>FILTRO DE SECADOR DE AIRE</v>
          </cell>
          <cell r="L470">
            <v>1</v>
          </cell>
          <cell r="M470" t="str">
            <v>UNID.</v>
          </cell>
          <cell r="N470" t="str">
            <v>TRACTO</v>
          </cell>
          <cell r="O470">
            <v>0</v>
          </cell>
          <cell r="P470" t="str">
            <v>M8</v>
          </cell>
          <cell r="Q470" t="str">
            <v>J1</v>
          </cell>
          <cell r="R470" t="str">
            <v>J1</v>
          </cell>
          <cell r="S470" t="str">
            <v>ENTREGADO</v>
          </cell>
          <cell r="T470">
            <v>42683</v>
          </cell>
          <cell r="U470" t="str">
            <v>VARILLAS GAGO  OSCAR ALBERTO</v>
          </cell>
          <cell r="V470" t="str">
            <v>FLOREZ CONDORI  JOSE WILLIANS</v>
          </cell>
        </row>
        <row r="471">
          <cell r="A471">
            <v>483</v>
          </cell>
          <cell r="B471">
            <v>42683</v>
          </cell>
          <cell r="C471" t="str">
            <v>NOVIEMBRE</v>
          </cell>
          <cell r="D471" t="str">
            <v>2016</v>
          </cell>
          <cell r="E471">
            <v>246</v>
          </cell>
          <cell r="F471" t="str">
            <v>ABR-759</v>
          </cell>
          <cell r="G471" t="str">
            <v>D0Z-995</v>
          </cell>
          <cell r="H471" t="str">
            <v>LAS BAMBAS</v>
          </cell>
          <cell r="I471">
            <v>106428</v>
          </cell>
          <cell r="J471" t="str">
            <v>REPUESTO</v>
          </cell>
          <cell r="K471" t="str">
            <v>SECADOR DE AIRE COMPLETO</v>
          </cell>
          <cell r="L471">
            <v>1</v>
          </cell>
          <cell r="M471" t="str">
            <v>UNID.</v>
          </cell>
          <cell r="N471" t="str">
            <v>TRACTO</v>
          </cell>
          <cell r="O471">
            <v>107</v>
          </cell>
          <cell r="P471" t="str">
            <v>M8</v>
          </cell>
          <cell r="Q471" t="str">
            <v>J1</v>
          </cell>
          <cell r="R471" t="str">
            <v>J6</v>
          </cell>
          <cell r="S471" t="str">
            <v>ENTREGADO</v>
          </cell>
          <cell r="T471">
            <v>0</v>
          </cell>
          <cell r="U471" t="str">
            <v>VARILLAS GAGO  OSCAR ALBERTO</v>
          </cell>
          <cell r="V471" t="str">
            <v>FLOREZ CONDORI  JOSE WILLIANS</v>
          </cell>
        </row>
        <row r="472">
          <cell r="A472">
            <v>496</v>
          </cell>
          <cell r="B472">
            <v>42683</v>
          </cell>
          <cell r="C472" t="str">
            <v>NOVIEMBRE</v>
          </cell>
          <cell r="D472" t="str">
            <v>2016</v>
          </cell>
          <cell r="E472">
            <v>289</v>
          </cell>
          <cell r="F472" t="str">
            <v>ABR-798</v>
          </cell>
          <cell r="G472" t="str">
            <v>TBM-980</v>
          </cell>
          <cell r="H472" t="str">
            <v>LAS BAMBAS</v>
          </cell>
          <cell r="I472">
            <v>120426</v>
          </cell>
          <cell r="J472" t="str">
            <v>REPUESTO</v>
          </cell>
          <cell r="K472" t="str">
            <v>FOCO DE DOBLE CONTACTO</v>
          </cell>
          <cell r="L472">
            <v>1</v>
          </cell>
          <cell r="M472" t="str">
            <v>UNID.</v>
          </cell>
          <cell r="N472" t="str">
            <v>TRACTO</v>
          </cell>
          <cell r="O472">
            <v>0</v>
          </cell>
          <cell r="P472" t="str">
            <v>E1</v>
          </cell>
          <cell r="Q472" t="str">
            <v>J1</v>
          </cell>
          <cell r="R472" t="str">
            <v>J1</v>
          </cell>
          <cell r="S472" t="str">
            <v>ENTREGADO</v>
          </cell>
          <cell r="T472">
            <v>42683</v>
          </cell>
          <cell r="U472" t="str">
            <v>PALOMINO CARDENAS JUAN CARLOS</v>
          </cell>
          <cell r="V472" t="str">
            <v>FLOREZ CONDORI  JOSE WILLIANS</v>
          </cell>
        </row>
        <row r="473">
          <cell r="A473">
            <v>497</v>
          </cell>
          <cell r="B473">
            <v>42683</v>
          </cell>
          <cell r="C473" t="str">
            <v>NOVIEMBRE</v>
          </cell>
          <cell r="D473" t="str">
            <v>2016</v>
          </cell>
          <cell r="E473">
            <v>289</v>
          </cell>
          <cell r="F473" t="str">
            <v>ABR-798</v>
          </cell>
          <cell r="G473" t="str">
            <v>TBM-980</v>
          </cell>
          <cell r="H473" t="str">
            <v>LAS BAMBAS</v>
          </cell>
          <cell r="I473">
            <v>120426</v>
          </cell>
          <cell r="J473" t="str">
            <v>REPUESTO</v>
          </cell>
          <cell r="K473" t="str">
            <v>SOCKET DE DOBLE CONTACTO</v>
          </cell>
          <cell r="L473">
            <v>1</v>
          </cell>
          <cell r="M473" t="str">
            <v>UNID.</v>
          </cell>
          <cell r="N473" t="str">
            <v>TRACTO</v>
          </cell>
          <cell r="O473">
            <v>0</v>
          </cell>
          <cell r="P473" t="str">
            <v>E1</v>
          </cell>
          <cell r="Q473" t="str">
            <v>J1</v>
          </cell>
          <cell r="R473" t="str">
            <v>J1</v>
          </cell>
          <cell r="S473" t="str">
            <v>ENTREGADO</v>
          </cell>
          <cell r="T473">
            <v>42683</v>
          </cell>
          <cell r="U473" t="str">
            <v>PALOMINO CARDENAS JUAN CARLOS</v>
          </cell>
          <cell r="V473" t="str">
            <v>FLOREZ CONDORI  JOSE WILLIANS</v>
          </cell>
        </row>
        <row r="474">
          <cell r="A474">
            <v>489</v>
          </cell>
          <cell r="B474">
            <v>42683</v>
          </cell>
          <cell r="C474" t="str">
            <v>NOVIEMBRE</v>
          </cell>
          <cell r="D474" t="str">
            <v>2016</v>
          </cell>
          <cell r="E474">
            <v>294</v>
          </cell>
          <cell r="F474" t="str">
            <v>AHX-713</v>
          </cell>
          <cell r="G474" t="str">
            <v>D9S-976</v>
          </cell>
          <cell r="H474" t="str">
            <v>LAS BAMBAS</v>
          </cell>
          <cell r="I474">
            <v>59611</v>
          </cell>
          <cell r="J474" t="str">
            <v>REPUESTO</v>
          </cell>
          <cell r="K474" t="str">
            <v>REFRIGERANTE</v>
          </cell>
          <cell r="L474">
            <v>1</v>
          </cell>
          <cell r="M474" t="str">
            <v>GLNS.</v>
          </cell>
          <cell r="N474" t="str">
            <v>TRACTO</v>
          </cell>
          <cell r="O474">
            <v>0</v>
          </cell>
          <cell r="P474" t="str">
            <v>M3</v>
          </cell>
          <cell r="Q474" t="str">
            <v>J1</v>
          </cell>
          <cell r="R474" t="str">
            <v>J6</v>
          </cell>
          <cell r="S474" t="str">
            <v>ENTREGADO</v>
          </cell>
          <cell r="T474">
            <v>42683</v>
          </cell>
          <cell r="U474" t="str">
            <v>GARCIA PASQUEL  JOSE LUIS</v>
          </cell>
          <cell r="V474" t="str">
            <v>FLOREZ CONDORI  JOSE WILLIANS</v>
          </cell>
        </row>
        <row r="475">
          <cell r="A475">
            <v>465</v>
          </cell>
          <cell r="B475">
            <v>42683</v>
          </cell>
          <cell r="C475" t="str">
            <v>NOVIEMBRE</v>
          </cell>
          <cell r="D475" t="str">
            <v>2016</v>
          </cell>
          <cell r="E475">
            <v>280</v>
          </cell>
          <cell r="F475" t="str">
            <v>AKW-731</v>
          </cell>
          <cell r="G475" t="str">
            <v>TCR-989</v>
          </cell>
          <cell r="H475" t="str">
            <v>LAS BAMBAS CONC.</v>
          </cell>
          <cell r="I475">
            <v>17954</v>
          </cell>
          <cell r="J475" t="str">
            <v>REPUESTO</v>
          </cell>
          <cell r="K475" t="str">
            <v>RELAY</v>
          </cell>
          <cell r="L475">
            <v>1</v>
          </cell>
          <cell r="M475" t="str">
            <v>UNID.</v>
          </cell>
          <cell r="N475" t="str">
            <v>TRACTO</v>
          </cell>
          <cell r="O475">
            <v>0</v>
          </cell>
          <cell r="P475" t="str">
            <v>E1</v>
          </cell>
          <cell r="Q475" t="str">
            <v>J2</v>
          </cell>
          <cell r="R475" t="str">
            <v>J6</v>
          </cell>
          <cell r="S475" t="str">
            <v>ENTREGADO</v>
          </cell>
          <cell r="T475">
            <v>42683</v>
          </cell>
          <cell r="U475" t="str">
            <v>PALOMINO CARDENAS JUAN CARLOS</v>
          </cell>
          <cell r="V475" t="str">
            <v>CORIHUAMAN SURCO  ERICK ROBERT</v>
          </cell>
        </row>
        <row r="476">
          <cell r="A476">
            <v>493</v>
          </cell>
          <cell r="B476">
            <v>42683</v>
          </cell>
          <cell r="C476" t="str">
            <v>NOVIEMBRE</v>
          </cell>
          <cell r="D476" t="str">
            <v>2016</v>
          </cell>
          <cell r="E476">
            <v>286</v>
          </cell>
          <cell r="F476" t="str">
            <v>AKW-894</v>
          </cell>
          <cell r="G476" t="str">
            <v>TBN-978</v>
          </cell>
          <cell r="H476" t="str">
            <v>LAS BAMBAS</v>
          </cell>
          <cell r="I476">
            <v>0</v>
          </cell>
          <cell r="J476" t="str">
            <v>REPUESTO</v>
          </cell>
          <cell r="K476" t="str">
            <v xml:space="preserve">ACCESORIOS DE VALVULA RELAY </v>
          </cell>
          <cell r="L476">
            <v>1</v>
          </cell>
          <cell r="M476" t="str">
            <v>JUEGO</v>
          </cell>
          <cell r="N476" t="str">
            <v>CISTERNA</v>
          </cell>
          <cell r="O476">
            <v>0</v>
          </cell>
          <cell r="P476" t="str">
            <v>M2</v>
          </cell>
          <cell r="Q476" t="str">
            <v>J2</v>
          </cell>
          <cell r="R476" t="str">
            <v>J2</v>
          </cell>
          <cell r="S476" t="str">
            <v>ENTREGADO</v>
          </cell>
          <cell r="T476">
            <v>42683</v>
          </cell>
          <cell r="U476" t="str">
            <v>CHUMPITAZ GAGO JULIO ENRIQUE</v>
          </cell>
          <cell r="V476" t="str">
            <v>CORIHUAMAN SURCO  ERICK ROBERT</v>
          </cell>
        </row>
        <row r="477">
          <cell r="A477">
            <v>500</v>
          </cell>
          <cell r="B477">
            <v>42683</v>
          </cell>
          <cell r="C477" t="str">
            <v>NOVIEMBRE</v>
          </cell>
          <cell r="D477" t="str">
            <v>2016</v>
          </cell>
          <cell r="E477">
            <v>286</v>
          </cell>
          <cell r="F477" t="str">
            <v>AKW-894</v>
          </cell>
          <cell r="G477" t="str">
            <v>TBN-978</v>
          </cell>
          <cell r="H477" t="str">
            <v>LAS BAMBAS</v>
          </cell>
          <cell r="I477">
            <v>0</v>
          </cell>
          <cell r="J477" t="str">
            <v>REPUESTO</v>
          </cell>
          <cell r="K477" t="str">
            <v>PRECINTOS 300</v>
          </cell>
          <cell r="L477">
            <v>4</v>
          </cell>
          <cell r="M477" t="str">
            <v>UNID.</v>
          </cell>
          <cell r="N477" t="str">
            <v>TRACTO</v>
          </cell>
          <cell r="O477">
            <v>0</v>
          </cell>
          <cell r="P477" t="str">
            <v>M2</v>
          </cell>
          <cell r="Q477" t="str">
            <v>J1</v>
          </cell>
          <cell r="R477" t="str">
            <v>J1</v>
          </cell>
          <cell r="S477" t="str">
            <v>ENTREGADO</v>
          </cell>
          <cell r="T477">
            <v>42683</v>
          </cell>
          <cell r="U477" t="str">
            <v>CHUMPITAZ GAGO JULIO ENRIQUE</v>
          </cell>
          <cell r="V477" t="str">
            <v>FLOREZ CONDORI  JOSE WILLIANS</v>
          </cell>
        </row>
        <row r="478">
          <cell r="A478">
            <v>446</v>
          </cell>
          <cell r="B478">
            <v>42683</v>
          </cell>
          <cell r="C478" t="str">
            <v>NOVIEMBRE</v>
          </cell>
          <cell r="D478" t="str">
            <v>2016</v>
          </cell>
          <cell r="E478">
            <v>277</v>
          </cell>
          <cell r="F478" t="str">
            <v>C5R-899</v>
          </cell>
          <cell r="G478" t="str">
            <v>A0U-978</v>
          </cell>
          <cell r="H478" t="str">
            <v>LAS BAMBAS</v>
          </cell>
          <cell r="I478">
            <v>247557</v>
          </cell>
          <cell r="J478" t="str">
            <v>REPUESTO</v>
          </cell>
          <cell r="K478" t="str">
            <v>FOCO DOBLE CONTACTO 12 V</v>
          </cell>
          <cell r="L478">
            <v>1</v>
          </cell>
          <cell r="M478" t="str">
            <v>UNID.</v>
          </cell>
          <cell r="N478" t="str">
            <v>TRACTO</v>
          </cell>
          <cell r="O478">
            <v>0</v>
          </cell>
          <cell r="P478" t="str">
            <v>E2</v>
          </cell>
          <cell r="Q478" t="str">
            <v>J2</v>
          </cell>
          <cell r="R478" t="str">
            <v>J6</v>
          </cell>
          <cell r="S478" t="str">
            <v>ENTREGADO</v>
          </cell>
          <cell r="T478">
            <v>42683</v>
          </cell>
          <cell r="U478" t="str">
            <v>YUCA BELLIDO BORIS YERSY</v>
          </cell>
          <cell r="V478" t="str">
            <v>CORIHUAMAN SURCO  ERICK ROBERT</v>
          </cell>
        </row>
        <row r="479">
          <cell r="A479">
            <v>457</v>
          </cell>
          <cell r="B479">
            <v>42683</v>
          </cell>
          <cell r="C479" t="str">
            <v>NOVIEMBRE</v>
          </cell>
          <cell r="D479" t="str">
            <v>2016</v>
          </cell>
          <cell r="E479">
            <v>277</v>
          </cell>
          <cell r="F479" t="str">
            <v>C5R-899</v>
          </cell>
          <cell r="G479" t="str">
            <v>A0U-978</v>
          </cell>
          <cell r="H479" t="str">
            <v>LAS BAMBAS</v>
          </cell>
          <cell r="I479">
            <v>247557</v>
          </cell>
          <cell r="J479" t="str">
            <v>REPUESTO</v>
          </cell>
          <cell r="K479" t="str">
            <v>MANGUERA DE AGUA 2 1/2 X 6 "</v>
          </cell>
          <cell r="L479">
            <v>1</v>
          </cell>
          <cell r="M479" t="str">
            <v>UNID.</v>
          </cell>
          <cell r="N479" t="str">
            <v>TRACTO</v>
          </cell>
          <cell r="O479">
            <v>0</v>
          </cell>
          <cell r="P479" t="str">
            <v>M2</v>
          </cell>
          <cell r="Q479" t="str">
            <v>J1</v>
          </cell>
          <cell r="R479" t="str">
            <v>J6</v>
          </cell>
          <cell r="S479" t="str">
            <v>ENTREGADO</v>
          </cell>
          <cell r="T479">
            <v>42683</v>
          </cell>
          <cell r="U479" t="str">
            <v>CHUMPITAZ GAGO JULIO ENRIQUE</v>
          </cell>
          <cell r="V479" t="str">
            <v>FLOREZ CONDORI  JOSE WILLIANS</v>
          </cell>
        </row>
        <row r="480">
          <cell r="A480">
            <v>458</v>
          </cell>
          <cell r="B480">
            <v>42683</v>
          </cell>
          <cell r="C480" t="str">
            <v>NOVIEMBRE</v>
          </cell>
          <cell r="D480" t="str">
            <v>2016</v>
          </cell>
          <cell r="E480">
            <v>277</v>
          </cell>
          <cell r="F480" t="str">
            <v>C5R-899</v>
          </cell>
          <cell r="G480" t="str">
            <v>A0U-978</v>
          </cell>
          <cell r="H480" t="str">
            <v>LAS BAMBAS</v>
          </cell>
          <cell r="I480">
            <v>247557</v>
          </cell>
          <cell r="J480" t="str">
            <v>REPUESTO</v>
          </cell>
          <cell r="K480" t="str">
            <v>AGUA PARA RADIADOR</v>
          </cell>
          <cell r="L480">
            <v>10</v>
          </cell>
          <cell r="M480" t="str">
            <v>GLNS.</v>
          </cell>
          <cell r="N480" t="str">
            <v>TRACTO</v>
          </cell>
          <cell r="O480">
            <v>0</v>
          </cell>
          <cell r="P480" t="str">
            <v>M2</v>
          </cell>
          <cell r="Q480" t="str">
            <v>J1</v>
          </cell>
          <cell r="R480" t="str">
            <v>J6</v>
          </cell>
          <cell r="S480" t="str">
            <v>ENTREGADO</v>
          </cell>
          <cell r="T480">
            <v>42683</v>
          </cell>
          <cell r="U480" t="str">
            <v>CHUMPITAZ GAGO JULIO ENRIQUE</v>
          </cell>
          <cell r="V480" t="str">
            <v>FLOREZ CONDORI  JOSE WILLIANS</v>
          </cell>
        </row>
        <row r="481">
          <cell r="A481">
            <v>466</v>
          </cell>
          <cell r="B481">
            <v>42683</v>
          </cell>
          <cell r="C481" t="str">
            <v>NOVIEMBRE</v>
          </cell>
          <cell r="D481" t="str">
            <v>2016</v>
          </cell>
          <cell r="E481">
            <v>277</v>
          </cell>
          <cell r="F481" t="str">
            <v>C5R-899</v>
          </cell>
          <cell r="G481" t="str">
            <v>A0U-978</v>
          </cell>
          <cell r="H481" t="str">
            <v>LAS BAMBAS</v>
          </cell>
          <cell r="I481">
            <v>247557</v>
          </cell>
          <cell r="J481" t="str">
            <v>REPUESTO</v>
          </cell>
          <cell r="K481" t="str">
            <v>PERNO 5/16 X 3/4</v>
          </cell>
          <cell r="L481">
            <v>1</v>
          </cell>
          <cell r="M481" t="str">
            <v>UNID.</v>
          </cell>
          <cell r="N481" t="str">
            <v>TRACTO</v>
          </cell>
          <cell r="O481">
            <v>0</v>
          </cell>
          <cell r="P481" t="str">
            <v>S1</v>
          </cell>
          <cell r="Q481" t="str">
            <v>J1</v>
          </cell>
          <cell r="R481" t="str">
            <v>J6</v>
          </cell>
          <cell r="S481" t="str">
            <v>ENTREGADO</v>
          </cell>
          <cell r="T481">
            <v>42683</v>
          </cell>
          <cell r="U481" t="str">
            <v>BAYONA CRUZ CRISTIAN ARMANDO</v>
          </cell>
          <cell r="V481" t="str">
            <v>FLOREZ CONDORI  JOSE WILLIANS</v>
          </cell>
        </row>
        <row r="482">
          <cell r="A482">
            <v>467</v>
          </cell>
          <cell r="B482">
            <v>42683</v>
          </cell>
          <cell r="C482" t="str">
            <v>NOVIEMBRE</v>
          </cell>
          <cell r="D482" t="str">
            <v>2016</v>
          </cell>
          <cell r="E482">
            <v>277</v>
          </cell>
          <cell r="F482" t="str">
            <v>C5R-899</v>
          </cell>
          <cell r="G482" t="str">
            <v>A0U-978</v>
          </cell>
          <cell r="H482" t="str">
            <v>LAS BAMBAS</v>
          </cell>
          <cell r="I482">
            <v>247557</v>
          </cell>
          <cell r="J482" t="str">
            <v>REPUESTO</v>
          </cell>
          <cell r="K482" t="str">
            <v>TUERCA 5/16</v>
          </cell>
          <cell r="L482">
            <v>1</v>
          </cell>
          <cell r="M482" t="str">
            <v>UNID.</v>
          </cell>
          <cell r="N482" t="str">
            <v>TRACTO</v>
          </cell>
          <cell r="O482">
            <v>0</v>
          </cell>
          <cell r="P482" t="str">
            <v>S1</v>
          </cell>
          <cell r="Q482" t="str">
            <v>J1</v>
          </cell>
          <cell r="R482" t="str">
            <v>J6</v>
          </cell>
          <cell r="S482" t="str">
            <v>ENTREGADO</v>
          </cell>
          <cell r="T482">
            <v>42683</v>
          </cell>
          <cell r="U482" t="str">
            <v>BAYONA CRUZ CRISTIAN ARMANDO</v>
          </cell>
          <cell r="V482" t="str">
            <v>FLOREZ CONDORI  JOSE WILLIANS</v>
          </cell>
        </row>
        <row r="483">
          <cell r="A483">
            <v>481</v>
          </cell>
          <cell r="B483">
            <v>42683</v>
          </cell>
          <cell r="C483" t="str">
            <v>NOVIEMBRE</v>
          </cell>
          <cell r="D483" t="str">
            <v>2016</v>
          </cell>
          <cell r="E483">
            <v>277</v>
          </cell>
          <cell r="F483" t="str">
            <v>C5R-899</v>
          </cell>
          <cell r="G483" t="str">
            <v>A0U-978</v>
          </cell>
          <cell r="H483" t="str">
            <v>LAS BAMBAS</v>
          </cell>
          <cell r="I483">
            <v>247557</v>
          </cell>
          <cell r="J483" t="str">
            <v>REPUESTO</v>
          </cell>
          <cell r="K483" t="str">
            <v>TAPA RECUPERADORA DE VAPORES</v>
          </cell>
          <cell r="L483">
            <v>1</v>
          </cell>
          <cell r="M483" t="str">
            <v>UNID.</v>
          </cell>
          <cell r="N483" t="str">
            <v>CISTERNA</v>
          </cell>
          <cell r="O483">
            <v>0</v>
          </cell>
          <cell r="P483" t="str">
            <v>J1</v>
          </cell>
          <cell r="Q483" t="str">
            <v>J1</v>
          </cell>
          <cell r="R483" t="str">
            <v>J1</v>
          </cell>
          <cell r="S483" t="str">
            <v>ENTREGADO</v>
          </cell>
          <cell r="T483">
            <v>42683</v>
          </cell>
          <cell r="U483" t="str">
            <v>FLOREZ CONDORI  JOSE WILLIANS</v>
          </cell>
          <cell r="V483" t="str">
            <v>FLOREZ CONDORI  JOSE WILLIANS</v>
          </cell>
        </row>
        <row r="484">
          <cell r="A484">
            <v>488</v>
          </cell>
          <cell r="B484">
            <v>42683</v>
          </cell>
          <cell r="C484" t="str">
            <v>NOVIEMBRE</v>
          </cell>
          <cell r="D484" t="str">
            <v>2016</v>
          </cell>
          <cell r="E484">
            <v>243</v>
          </cell>
          <cell r="F484" t="str">
            <v>C9N-807</v>
          </cell>
          <cell r="G484" t="str">
            <v>B4O-994</v>
          </cell>
          <cell r="H484" t="str">
            <v>LAS BAMBAS</v>
          </cell>
          <cell r="I484">
            <v>206578</v>
          </cell>
          <cell r="J484" t="str">
            <v>REPUESTO</v>
          </cell>
          <cell r="K484" t="str">
            <v>ASIENTO TAPIZADO</v>
          </cell>
          <cell r="L484">
            <v>1</v>
          </cell>
          <cell r="M484" t="str">
            <v>UNID.</v>
          </cell>
          <cell r="N484" t="str">
            <v>TRACTO</v>
          </cell>
          <cell r="O484">
            <v>0</v>
          </cell>
          <cell r="P484" t="str">
            <v>J6</v>
          </cell>
          <cell r="Q484" t="str">
            <v>J1</v>
          </cell>
          <cell r="R484" t="str">
            <v>J6</v>
          </cell>
          <cell r="S484" t="str">
            <v>ENTREGADO</v>
          </cell>
          <cell r="T484">
            <v>42683</v>
          </cell>
          <cell r="U484" t="str">
            <v>VILLANUEVA BEJAR  YHORDAN MICHEL</v>
          </cell>
          <cell r="V484" t="str">
            <v>FLOREZ CONDORI  JOSE WILLIANS</v>
          </cell>
        </row>
        <row r="485">
          <cell r="A485">
            <v>490</v>
          </cell>
          <cell r="B485">
            <v>42683</v>
          </cell>
          <cell r="C485" t="str">
            <v>NOVIEMBRE</v>
          </cell>
          <cell r="D485" t="str">
            <v>2016</v>
          </cell>
          <cell r="E485">
            <v>207</v>
          </cell>
          <cell r="F485" t="str">
            <v>D3P-746</v>
          </cell>
          <cell r="G485" t="str">
            <v>C0T-974</v>
          </cell>
          <cell r="H485" t="str">
            <v>LAS BAMBAS</v>
          </cell>
          <cell r="I485">
            <v>128937</v>
          </cell>
          <cell r="J485" t="str">
            <v>REPUESTO</v>
          </cell>
          <cell r="K485" t="str">
            <v>PITONES RECTOS</v>
          </cell>
          <cell r="L485">
            <v>8</v>
          </cell>
          <cell r="M485" t="str">
            <v>UNID.</v>
          </cell>
          <cell r="N485" t="str">
            <v>TRACTO</v>
          </cell>
          <cell r="O485">
            <v>0</v>
          </cell>
          <cell r="P485" t="str">
            <v>N1</v>
          </cell>
          <cell r="Q485" t="str">
            <v>J3</v>
          </cell>
          <cell r="R485" t="str">
            <v>J6</v>
          </cell>
          <cell r="S485" t="str">
            <v>ENTREGADO</v>
          </cell>
          <cell r="T485">
            <v>42683</v>
          </cell>
          <cell r="U485" t="str">
            <v>AGUILAR CCANTUTA WILLY</v>
          </cell>
          <cell r="V485" t="str">
            <v>CHURA PIZARRO ALBERTO</v>
          </cell>
        </row>
        <row r="486">
          <cell r="A486">
            <v>487</v>
          </cell>
          <cell r="B486">
            <v>42683</v>
          </cell>
          <cell r="C486" t="str">
            <v>NOVIEMBRE</v>
          </cell>
          <cell r="D486" t="str">
            <v>2016</v>
          </cell>
          <cell r="E486">
            <v>207</v>
          </cell>
          <cell r="F486" t="str">
            <v>D3P-746</v>
          </cell>
          <cell r="G486" t="str">
            <v>C0T-974</v>
          </cell>
          <cell r="H486" t="str">
            <v>LAS BAMBAS</v>
          </cell>
          <cell r="I486">
            <v>128937</v>
          </cell>
          <cell r="J486" t="str">
            <v>REPUESTO</v>
          </cell>
          <cell r="K486" t="str">
            <v>LLANTAS REENCAUCHADAS IDY</v>
          </cell>
          <cell r="L486">
            <v>8</v>
          </cell>
          <cell r="M486" t="str">
            <v>UNID.</v>
          </cell>
          <cell r="N486" t="str">
            <v>TRACTO</v>
          </cell>
          <cell r="O486">
            <v>0</v>
          </cell>
          <cell r="P486" t="str">
            <v>J3</v>
          </cell>
          <cell r="Q486" t="str">
            <v>J3</v>
          </cell>
          <cell r="R486" t="str">
            <v>J6</v>
          </cell>
          <cell r="S486" t="str">
            <v>ENTREGADO</v>
          </cell>
          <cell r="T486">
            <v>42683</v>
          </cell>
          <cell r="U486" t="str">
            <v>CHURA PIZARRO ALBERTO</v>
          </cell>
          <cell r="V486" t="str">
            <v>CHURA PIZARRO ALBERTO</v>
          </cell>
        </row>
        <row r="487">
          <cell r="A487">
            <v>439</v>
          </cell>
          <cell r="B487">
            <v>42683</v>
          </cell>
          <cell r="C487" t="str">
            <v>NOVIEMBRE</v>
          </cell>
          <cell r="D487" t="str">
            <v>2016</v>
          </cell>
          <cell r="E487">
            <v>276</v>
          </cell>
          <cell r="F487" t="str">
            <v>D3P-747</v>
          </cell>
          <cell r="G487" t="str">
            <v>A0T-985</v>
          </cell>
          <cell r="H487" t="str">
            <v>LAS BAMBAS</v>
          </cell>
          <cell r="I487">
            <v>179935</v>
          </cell>
          <cell r="J487" t="str">
            <v>REPUESTO</v>
          </cell>
          <cell r="K487" t="str">
            <v>AGUA REFRIGERANTE</v>
          </cell>
          <cell r="L487">
            <v>1</v>
          </cell>
          <cell r="M487" t="str">
            <v>GLNS.</v>
          </cell>
          <cell r="N487" t="str">
            <v>TRACTO</v>
          </cell>
          <cell r="O487">
            <v>0</v>
          </cell>
          <cell r="P487" t="str">
            <v>M2</v>
          </cell>
          <cell r="Q487" t="str">
            <v>J2</v>
          </cell>
          <cell r="R487" t="str">
            <v>J6</v>
          </cell>
          <cell r="S487" t="str">
            <v>ENTREGADO</v>
          </cell>
          <cell r="T487">
            <v>42683</v>
          </cell>
          <cell r="U487" t="str">
            <v>CHUMPITAZ GAGO JULIO ENRIQUE</v>
          </cell>
          <cell r="V487" t="str">
            <v>CORIHUAMAN SURCO  ERICK ROBERT</v>
          </cell>
        </row>
        <row r="488">
          <cell r="A488">
            <v>440</v>
          </cell>
          <cell r="B488">
            <v>42683</v>
          </cell>
          <cell r="C488" t="str">
            <v>NOVIEMBRE</v>
          </cell>
          <cell r="D488" t="str">
            <v>2016</v>
          </cell>
          <cell r="E488">
            <v>276</v>
          </cell>
          <cell r="F488" t="str">
            <v>D3P-747</v>
          </cell>
          <cell r="G488" t="str">
            <v>A0T-985</v>
          </cell>
          <cell r="H488" t="str">
            <v>LAS BAMBAS</v>
          </cell>
          <cell r="I488">
            <v>179935</v>
          </cell>
          <cell r="J488" t="str">
            <v>REPUESTO</v>
          </cell>
          <cell r="K488" t="str">
            <v>LIMPIA PARABRISA</v>
          </cell>
          <cell r="L488">
            <v>1</v>
          </cell>
          <cell r="M488" t="str">
            <v>GLNS.</v>
          </cell>
          <cell r="N488" t="str">
            <v>TRACTO</v>
          </cell>
          <cell r="O488">
            <v>0</v>
          </cell>
          <cell r="P488" t="str">
            <v>M2</v>
          </cell>
          <cell r="Q488" t="str">
            <v>J2</v>
          </cell>
          <cell r="R488" t="str">
            <v>J6</v>
          </cell>
          <cell r="S488" t="str">
            <v>ENTREGADO</v>
          </cell>
          <cell r="T488">
            <v>42683</v>
          </cell>
          <cell r="U488" t="str">
            <v>CHUMPITAZ GAGO JULIO ENRIQUE</v>
          </cell>
          <cell r="V488" t="str">
            <v>CORIHUAMAN SURCO  ERICK ROBERT</v>
          </cell>
        </row>
        <row r="489">
          <cell r="A489">
            <v>454</v>
          </cell>
          <cell r="B489">
            <v>42683</v>
          </cell>
          <cell r="C489" t="str">
            <v>NOVIEMBRE</v>
          </cell>
          <cell r="D489" t="str">
            <v>2016</v>
          </cell>
          <cell r="E489">
            <v>276</v>
          </cell>
          <cell r="F489" t="str">
            <v>D3P-747</v>
          </cell>
          <cell r="G489" t="str">
            <v>A0T-985</v>
          </cell>
          <cell r="H489" t="str">
            <v>LAS BAMBAS</v>
          </cell>
          <cell r="I489">
            <v>179935</v>
          </cell>
          <cell r="J489" t="str">
            <v>REPUESTO</v>
          </cell>
          <cell r="K489" t="str">
            <v>AMORTIGUADORES DELANTEROS</v>
          </cell>
          <cell r="L489">
            <v>2</v>
          </cell>
          <cell r="M489" t="str">
            <v>UNID.</v>
          </cell>
          <cell r="N489" t="str">
            <v>TRACTO</v>
          </cell>
          <cell r="O489">
            <v>107</v>
          </cell>
          <cell r="P489" t="str">
            <v>J6</v>
          </cell>
          <cell r="Q489" t="str">
            <v>J2</v>
          </cell>
          <cell r="R489" t="str">
            <v>J6</v>
          </cell>
          <cell r="S489" t="str">
            <v>ENTREGADO</v>
          </cell>
          <cell r="T489">
            <v>0</v>
          </cell>
          <cell r="U489" t="str">
            <v>VILLANUEVA BEJAR  YHORDAN MICHEL</v>
          </cell>
          <cell r="V489" t="str">
            <v>CORIHUAMAN SURCO  ERICK ROBERT</v>
          </cell>
        </row>
        <row r="490">
          <cell r="A490">
            <v>494</v>
          </cell>
          <cell r="B490">
            <v>42683</v>
          </cell>
          <cell r="C490" t="str">
            <v>NOVIEMBRE</v>
          </cell>
          <cell r="D490" t="str">
            <v>2016</v>
          </cell>
          <cell r="E490">
            <v>287</v>
          </cell>
          <cell r="F490" t="str">
            <v>D3Q-741</v>
          </cell>
          <cell r="G490" t="str">
            <v>D2E-976</v>
          </cell>
          <cell r="H490" t="str">
            <v>LAS BAMBAS</v>
          </cell>
          <cell r="I490">
            <v>180312</v>
          </cell>
          <cell r="J490" t="str">
            <v>REPUESTO</v>
          </cell>
          <cell r="K490" t="str">
            <v>FOCO NEBLINERO</v>
          </cell>
          <cell r="L490">
            <v>1</v>
          </cell>
          <cell r="M490" t="str">
            <v>UNID.</v>
          </cell>
          <cell r="N490" t="str">
            <v>TRACTO</v>
          </cell>
          <cell r="O490">
            <v>0</v>
          </cell>
          <cell r="P490" t="str">
            <v>E2</v>
          </cell>
          <cell r="Q490" t="str">
            <v>J1</v>
          </cell>
          <cell r="R490" t="str">
            <v>J1</v>
          </cell>
          <cell r="S490" t="str">
            <v>ENTREGADO</v>
          </cell>
          <cell r="T490">
            <v>42683</v>
          </cell>
          <cell r="U490" t="str">
            <v>YUCA BELLIDO BORIS YERSY</v>
          </cell>
          <cell r="V490" t="str">
            <v>FLOREZ CONDORI  JOSE WILLIANS</v>
          </cell>
        </row>
        <row r="491">
          <cell r="A491">
            <v>447</v>
          </cell>
          <cell r="B491">
            <v>42683</v>
          </cell>
          <cell r="C491" t="str">
            <v>NOVIEMBRE</v>
          </cell>
          <cell r="D491" t="str">
            <v>2016</v>
          </cell>
          <cell r="E491">
            <v>273</v>
          </cell>
          <cell r="F491" t="str">
            <v>D3R-742</v>
          </cell>
          <cell r="G491" t="str">
            <v>D2E-975</v>
          </cell>
          <cell r="H491" t="str">
            <v>LAS BAMBAS</v>
          </cell>
          <cell r="I491">
            <v>148920</v>
          </cell>
          <cell r="J491" t="str">
            <v>REPUESTO</v>
          </cell>
          <cell r="K491" t="str">
            <v>FILTRO DE COMBUSTIBLE</v>
          </cell>
          <cell r="L491">
            <v>1</v>
          </cell>
          <cell r="M491" t="str">
            <v>UNID.</v>
          </cell>
          <cell r="N491" t="str">
            <v>TRACTO</v>
          </cell>
          <cell r="O491">
            <v>0</v>
          </cell>
          <cell r="P491" t="str">
            <v>M8</v>
          </cell>
          <cell r="Q491" t="str">
            <v>J2</v>
          </cell>
          <cell r="R491" t="str">
            <v>J6</v>
          </cell>
          <cell r="S491" t="str">
            <v>ENTREGADO</v>
          </cell>
          <cell r="T491">
            <v>42683</v>
          </cell>
          <cell r="U491" t="str">
            <v>VARILLAS GAGO  OSCAR ALBERTO</v>
          </cell>
          <cell r="V491" t="str">
            <v>CORIHUAMAN SURCO  ERICK ROBERT</v>
          </cell>
        </row>
        <row r="492">
          <cell r="A492">
            <v>448</v>
          </cell>
          <cell r="B492">
            <v>42683</v>
          </cell>
          <cell r="C492" t="str">
            <v>NOVIEMBRE</v>
          </cell>
          <cell r="D492" t="str">
            <v>2016</v>
          </cell>
          <cell r="E492">
            <v>273</v>
          </cell>
          <cell r="F492" t="str">
            <v>D3R-742</v>
          </cell>
          <cell r="G492" t="str">
            <v>D2E-975</v>
          </cell>
          <cell r="H492" t="str">
            <v>LAS BAMBAS</v>
          </cell>
          <cell r="I492">
            <v>148920</v>
          </cell>
          <cell r="J492" t="str">
            <v>REPUESTO</v>
          </cell>
          <cell r="K492" t="str">
            <v>FILTRO SEPARADOR DE AGUA FELPO</v>
          </cell>
          <cell r="L492">
            <v>1</v>
          </cell>
          <cell r="M492" t="str">
            <v>UNID.</v>
          </cell>
          <cell r="N492" t="str">
            <v>TRACTO</v>
          </cell>
          <cell r="O492">
            <v>0</v>
          </cell>
          <cell r="P492" t="str">
            <v>M8</v>
          </cell>
          <cell r="Q492" t="str">
            <v>J2</v>
          </cell>
          <cell r="R492" t="str">
            <v>J6</v>
          </cell>
          <cell r="S492" t="str">
            <v>ENTREGADO</v>
          </cell>
          <cell r="T492">
            <v>42683</v>
          </cell>
          <cell r="U492" t="str">
            <v>VARILLAS GAGO  OSCAR ALBERTO</v>
          </cell>
          <cell r="V492" t="str">
            <v>CORIHUAMAN SURCO  ERICK ROBERT</v>
          </cell>
        </row>
        <row r="493">
          <cell r="A493">
            <v>449</v>
          </cell>
          <cell r="B493">
            <v>42683</v>
          </cell>
          <cell r="C493" t="str">
            <v>NOVIEMBRE</v>
          </cell>
          <cell r="D493" t="str">
            <v>2016</v>
          </cell>
          <cell r="E493">
            <v>273</v>
          </cell>
          <cell r="F493" t="str">
            <v>D3R-742</v>
          </cell>
          <cell r="G493" t="str">
            <v>D2E-975</v>
          </cell>
          <cell r="H493" t="str">
            <v>LAS BAMBAS</v>
          </cell>
          <cell r="I493">
            <v>148920</v>
          </cell>
          <cell r="J493" t="str">
            <v>REPUESTO</v>
          </cell>
          <cell r="K493" t="str">
            <v>PERNO 3/8 X 4</v>
          </cell>
          <cell r="L493">
            <v>1</v>
          </cell>
          <cell r="M493" t="str">
            <v>UNID.</v>
          </cell>
          <cell r="N493" t="str">
            <v>TRACTO</v>
          </cell>
          <cell r="O493">
            <v>0</v>
          </cell>
          <cell r="P493" t="str">
            <v>M8</v>
          </cell>
          <cell r="Q493" t="str">
            <v>J2</v>
          </cell>
          <cell r="R493" t="str">
            <v>J6</v>
          </cell>
          <cell r="S493" t="str">
            <v>ENTREGADO</v>
          </cell>
          <cell r="T493">
            <v>42683</v>
          </cell>
          <cell r="U493" t="str">
            <v>VARILLAS GAGO  OSCAR ALBERTO</v>
          </cell>
          <cell r="V493" t="str">
            <v>CORIHUAMAN SURCO  ERICK ROBERT</v>
          </cell>
        </row>
        <row r="494">
          <cell r="A494">
            <v>450</v>
          </cell>
          <cell r="B494">
            <v>42683</v>
          </cell>
          <cell r="C494" t="str">
            <v>NOVIEMBRE</v>
          </cell>
          <cell r="D494" t="str">
            <v>2016</v>
          </cell>
          <cell r="E494">
            <v>273</v>
          </cell>
          <cell r="F494" t="str">
            <v>D3R-742</v>
          </cell>
          <cell r="G494" t="str">
            <v>D2E-975</v>
          </cell>
          <cell r="H494" t="str">
            <v>LAS BAMBAS</v>
          </cell>
          <cell r="I494">
            <v>148920</v>
          </cell>
          <cell r="J494" t="str">
            <v>REPUESTO</v>
          </cell>
          <cell r="K494" t="str">
            <v>TUERCA 3/8</v>
          </cell>
          <cell r="L494">
            <v>1</v>
          </cell>
          <cell r="M494" t="str">
            <v>UNID.</v>
          </cell>
          <cell r="N494" t="str">
            <v>TRACTO</v>
          </cell>
          <cell r="O494">
            <v>0</v>
          </cell>
          <cell r="P494" t="str">
            <v>M8</v>
          </cell>
          <cell r="Q494" t="str">
            <v>J2</v>
          </cell>
          <cell r="R494" t="str">
            <v>J6</v>
          </cell>
          <cell r="S494" t="str">
            <v>ENTREGADO</v>
          </cell>
          <cell r="T494">
            <v>42683</v>
          </cell>
          <cell r="U494" t="str">
            <v>VARILLAS GAGO  OSCAR ALBERTO</v>
          </cell>
          <cell r="V494" t="str">
            <v>CORIHUAMAN SURCO  ERICK ROBERT</v>
          </cell>
        </row>
        <row r="495">
          <cell r="A495">
            <v>472</v>
          </cell>
          <cell r="B495">
            <v>42683</v>
          </cell>
          <cell r="C495" t="str">
            <v>NOVIEMBRE</v>
          </cell>
          <cell r="D495" t="str">
            <v>2016</v>
          </cell>
          <cell r="E495">
            <v>273</v>
          </cell>
          <cell r="F495" t="str">
            <v>D3R-742</v>
          </cell>
          <cell r="G495" t="str">
            <v>D2E-975</v>
          </cell>
          <cell r="H495" t="str">
            <v>LAS BAMBAS</v>
          </cell>
          <cell r="I495">
            <v>148920</v>
          </cell>
          <cell r="J495" t="str">
            <v>REPUESTO</v>
          </cell>
          <cell r="K495" t="str">
            <v>RETENEDOR DE PUERTA</v>
          </cell>
          <cell r="L495">
            <v>2</v>
          </cell>
          <cell r="M495" t="str">
            <v>UNID.</v>
          </cell>
          <cell r="N495" t="str">
            <v>TRACTO</v>
          </cell>
          <cell r="O495">
            <v>1</v>
          </cell>
          <cell r="P495" t="str">
            <v>M8</v>
          </cell>
          <cell r="Q495" t="str">
            <v>J2</v>
          </cell>
          <cell r="R495" t="str">
            <v>J6</v>
          </cell>
          <cell r="S495" t="str">
            <v>ENTREGADO</v>
          </cell>
          <cell r="T495">
            <v>42684</v>
          </cell>
          <cell r="U495" t="str">
            <v>VARILLAS GAGO  OSCAR ALBERTO</v>
          </cell>
          <cell r="V495" t="str">
            <v>CORIHUAMAN SURCO  ERICK ROBERT</v>
          </cell>
        </row>
        <row r="496">
          <cell r="A496">
            <v>469</v>
          </cell>
          <cell r="B496">
            <v>42683</v>
          </cell>
          <cell r="C496" t="str">
            <v>NOVIEMBRE</v>
          </cell>
          <cell r="D496" t="str">
            <v>2016</v>
          </cell>
          <cell r="E496">
            <v>274</v>
          </cell>
          <cell r="F496" t="str">
            <v>D3S-725</v>
          </cell>
          <cell r="G496" t="str">
            <v>TBL-977</v>
          </cell>
          <cell r="H496" t="str">
            <v>LAS BAMBAS</v>
          </cell>
          <cell r="I496">
            <v>144660</v>
          </cell>
          <cell r="J496" t="str">
            <v>REPUESTO</v>
          </cell>
          <cell r="K496" t="str">
            <v>LLANTAS REENCAUCHADAS</v>
          </cell>
          <cell r="L496">
            <v>4</v>
          </cell>
          <cell r="M496" t="str">
            <v>UNID.</v>
          </cell>
          <cell r="N496" t="str">
            <v>TRACTO</v>
          </cell>
          <cell r="O496">
            <v>0</v>
          </cell>
          <cell r="P496" t="str">
            <v>N1</v>
          </cell>
          <cell r="Q496" t="str">
            <v>J3</v>
          </cell>
          <cell r="R496" t="str">
            <v>J6</v>
          </cell>
          <cell r="S496" t="str">
            <v>ENTREGADO</v>
          </cell>
          <cell r="T496">
            <v>42683</v>
          </cell>
          <cell r="U496" t="str">
            <v>AGUILAR CCANTUTA WILLY</v>
          </cell>
          <cell r="V496" t="str">
            <v>CHURA PIZARRO ALBERTO</v>
          </cell>
        </row>
        <row r="497">
          <cell r="A497">
            <v>451</v>
          </cell>
          <cell r="B497">
            <v>42683</v>
          </cell>
          <cell r="C497" t="str">
            <v>NOVIEMBRE</v>
          </cell>
          <cell r="D497" t="str">
            <v>2016</v>
          </cell>
          <cell r="E497">
            <v>271</v>
          </cell>
          <cell r="F497" t="str">
            <v>D3S-764</v>
          </cell>
          <cell r="G497" t="str">
            <v>TBL-998</v>
          </cell>
          <cell r="H497" t="str">
            <v>LAS BAMBAS</v>
          </cell>
          <cell r="I497">
            <v>0</v>
          </cell>
          <cell r="J497" t="str">
            <v>REPUESTO</v>
          </cell>
          <cell r="K497" t="str">
            <v>PARCHE RACK 10</v>
          </cell>
          <cell r="L497">
            <v>2</v>
          </cell>
          <cell r="M497" t="str">
            <v>UNID.</v>
          </cell>
          <cell r="N497" t="str">
            <v>TRACTO</v>
          </cell>
          <cell r="O497">
            <v>0</v>
          </cell>
          <cell r="P497" t="str">
            <v>N1</v>
          </cell>
          <cell r="Q497" t="str">
            <v>J2</v>
          </cell>
          <cell r="R497" t="str">
            <v>J6</v>
          </cell>
          <cell r="S497" t="str">
            <v>ENTREGADO</v>
          </cell>
          <cell r="T497">
            <v>42683</v>
          </cell>
          <cell r="U497" t="str">
            <v>AGUILAR CCANTUTA WILLY</v>
          </cell>
          <cell r="V497" t="str">
            <v>CORIHUAMAN SURCO  ERICK ROBERT</v>
          </cell>
        </row>
        <row r="498">
          <cell r="A498">
            <v>452</v>
          </cell>
          <cell r="B498">
            <v>42683</v>
          </cell>
          <cell r="C498" t="str">
            <v>NOVIEMBRE</v>
          </cell>
          <cell r="D498" t="str">
            <v>2016</v>
          </cell>
          <cell r="E498">
            <v>271</v>
          </cell>
          <cell r="F498" t="str">
            <v>D3S-764</v>
          </cell>
          <cell r="G498" t="str">
            <v>TBL-998</v>
          </cell>
          <cell r="H498" t="str">
            <v>LAS BAMBAS</v>
          </cell>
          <cell r="I498">
            <v>0</v>
          </cell>
          <cell r="J498" t="str">
            <v>REPUESTO</v>
          </cell>
          <cell r="K498" t="str">
            <v>AGUJAS DE PITON</v>
          </cell>
          <cell r="L498">
            <v>2</v>
          </cell>
          <cell r="M498" t="str">
            <v>UNID.</v>
          </cell>
          <cell r="N498" t="str">
            <v>TRACTO</v>
          </cell>
          <cell r="O498">
            <v>0</v>
          </cell>
          <cell r="P498" t="str">
            <v>N1</v>
          </cell>
          <cell r="Q498" t="str">
            <v>J2</v>
          </cell>
          <cell r="R498" t="str">
            <v>J6</v>
          </cell>
          <cell r="S498" t="str">
            <v>ENTREGADO</v>
          </cell>
          <cell r="T498">
            <v>42683</v>
          </cell>
          <cell r="U498" t="str">
            <v>AGUILAR CCANTUTA WILLY</v>
          </cell>
          <cell r="V498" t="str">
            <v>CORIHUAMAN SURCO  ERICK ROBERT</v>
          </cell>
        </row>
        <row r="499">
          <cell r="A499">
            <v>485</v>
          </cell>
          <cell r="B499">
            <v>42683</v>
          </cell>
          <cell r="C499" t="str">
            <v>NOVIEMBRE</v>
          </cell>
          <cell r="D499" t="str">
            <v>2016</v>
          </cell>
          <cell r="E499">
            <v>258</v>
          </cell>
          <cell r="F499" t="str">
            <v>D6F-907</v>
          </cell>
          <cell r="G499" t="str">
            <v>T2Y-979</v>
          </cell>
          <cell r="H499" t="str">
            <v>LAS BAMBAS</v>
          </cell>
          <cell r="I499">
            <v>195511</v>
          </cell>
          <cell r="J499" t="str">
            <v>REPUESTO</v>
          </cell>
          <cell r="K499" t="str">
            <v>BUJE DE MUELLE DE TRACCION</v>
          </cell>
          <cell r="L499">
            <v>1</v>
          </cell>
          <cell r="M499" t="str">
            <v>UNID.</v>
          </cell>
          <cell r="N499" t="str">
            <v>TRACTO</v>
          </cell>
          <cell r="O499">
            <v>0</v>
          </cell>
          <cell r="P499" t="str">
            <v>M6</v>
          </cell>
          <cell r="Q499" t="str">
            <v>J2</v>
          </cell>
          <cell r="R499" t="str">
            <v>J2</v>
          </cell>
          <cell r="S499" t="str">
            <v>ENTREGADO</v>
          </cell>
          <cell r="T499">
            <v>42683</v>
          </cell>
          <cell r="U499" t="str">
            <v>PARI VENTURA  EDSON ORLANDO</v>
          </cell>
          <cell r="V499" t="str">
            <v>CORIHUAMAN SURCO  ERICK ROBERT</v>
          </cell>
        </row>
        <row r="500">
          <cell r="A500">
            <v>495</v>
          </cell>
          <cell r="B500">
            <v>42683</v>
          </cell>
          <cell r="C500" t="str">
            <v>NOVIEMBRE</v>
          </cell>
          <cell r="D500" t="str">
            <v>2016</v>
          </cell>
          <cell r="E500">
            <v>258</v>
          </cell>
          <cell r="F500" t="str">
            <v>D6F-907</v>
          </cell>
          <cell r="G500" t="str">
            <v>T2Y-979</v>
          </cell>
          <cell r="H500" t="str">
            <v>LAS BAMBAS</v>
          </cell>
          <cell r="I500">
            <v>195511</v>
          </cell>
          <cell r="J500" t="str">
            <v>REPUESTO</v>
          </cell>
          <cell r="K500" t="str">
            <v>ACEITE DE MOTOR 15W40</v>
          </cell>
          <cell r="L500">
            <v>0.125</v>
          </cell>
          <cell r="M500" t="str">
            <v>GLNS.</v>
          </cell>
          <cell r="N500" t="str">
            <v>TRACTO</v>
          </cell>
          <cell r="O500">
            <v>0</v>
          </cell>
          <cell r="P500" t="str">
            <v>M6</v>
          </cell>
          <cell r="Q500" t="str">
            <v>J1</v>
          </cell>
          <cell r="R500" t="str">
            <v>J1</v>
          </cell>
          <cell r="S500" t="str">
            <v>ENTREGADO</v>
          </cell>
          <cell r="T500">
            <v>42683</v>
          </cell>
          <cell r="U500" t="str">
            <v>PARI VENTURA  EDSON ORLANDO</v>
          </cell>
          <cell r="V500" t="str">
            <v>FLOREZ CONDORI  JOSE WILLIANS</v>
          </cell>
        </row>
        <row r="501">
          <cell r="A501">
            <v>437</v>
          </cell>
          <cell r="B501">
            <v>42683</v>
          </cell>
          <cell r="C501" t="str">
            <v>NOVIEMBRE</v>
          </cell>
          <cell r="D501" t="str">
            <v>2016</v>
          </cell>
          <cell r="E501">
            <v>272</v>
          </cell>
          <cell r="F501" t="str">
            <v>D7N-755</v>
          </cell>
          <cell r="G501" t="str">
            <v>F7L-983</v>
          </cell>
          <cell r="H501" t="str">
            <v>LAS BAMBAS</v>
          </cell>
          <cell r="I501">
            <v>44678</v>
          </cell>
          <cell r="J501" t="str">
            <v>REPUESTO</v>
          </cell>
          <cell r="K501" t="str">
            <v>FOCO H7</v>
          </cell>
          <cell r="L501">
            <v>1</v>
          </cell>
          <cell r="M501" t="str">
            <v>UNID.</v>
          </cell>
          <cell r="N501" t="str">
            <v>TRACTO</v>
          </cell>
          <cell r="O501">
            <v>0</v>
          </cell>
          <cell r="P501" t="str">
            <v>E1</v>
          </cell>
          <cell r="Q501" t="str">
            <v>J2</v>
          </cell>
          <cell r="R501" t="str">
            <v>J6</v>
          </cell>
          <cell r="S501" t="str">
            <v>ENTREGADO</v>
          </cell>
          <cell r="T501">
            <v>42683</v>
          </cell>
          <cell r="U501" t="str">
            <v>PALOMINO CARDENAS JUAN CARLOS</v>
          </cell>
          <cell r="V501" t="str">
            <v>CORIHUAMAN SURCO  ERICK ROBERT</v>
          </cell>
        </row>
        <row r="502">
          <cell r="A502">
            <v>491</v>
          </cell>
          <cell r="B502">
            <v>42683</v>
          </cell>
          <cell r="C502" t="str">
            <v>NOVIEMBRE</v>
          </cell>
          <cell r="D502" t="str">
            <v>2016</v>
          </cell>
          <cell r="E502">
            <v>279</v>
          </cell>
          <cell r="F502" t="str">
            <v>D7V-714</v>
          </cell>
          <cell r="G502" t="str">
            <v>F7M-971</v>
          </cell>
          <cell r="H502" t="str">
            <v>LAS BAMBAS</v>
          </cell>
          <cell r="I502">
            <v>44336</v>
          </cell>
          <cell r="J502" t="str">
            <v>REPUESTO</v>
          </cell>
          <cell r="K502" t="str">
            <v>PERNOS 5/8 X 6</v>
          </cell>
          <cell r="L502">
            <v>6</v>
          </cell>
          <cell r="M502" t="str">
            <v>UNID.</v>
          </cell>
          <cell r="N502" t="str">
            <v>CISTERNA</v>
          </cell>
          <cell r="O502">
            <v>0</v>
          </cell>
          <cell r="P502" t="str">
            <v>M1</v>
          </cell>
          <cell r="Q502" t="str">
            <v>J2</v>
          </cell>
          <cell r="R502" t="str">
            <v>J2</v>
          </cell>
          <cell r="S502" t="str">
            <v>ENTREGADO</v>
          </cell>
          <cell r="T502">
            <v>42683</v>
          </cell>
          <cell r="U502" t="str">
            <v>CABEZAS SANCHEZ JEAN JHONATAN</v>
          </cell>
          <cell r="V502" t="str">
            <v>CORIHUAMAN SURCO  ERICK ROBERT</v>
          </cell>
        </row>
        <row r="503">
          <cell r="A503">
            <v>492</v>
          </cell>
          <cell r="B503">
            <v>42683</v>
          </cell>
          <cell r="C503" t="str">
            <v>NOVIEMBRE</v>
          </cell>
          <cell r="D503" t="str">
            <v>2016</v>
          </cell>
          <cell r="E503">
            <v>279</v>
          </cell>
          <cell r="F503" t="str">
            <v>D7V-714</v>
          </cell>
          <cell r="G503" t="str">
            <v>F7M-971</v>
          </cell>
          <cell r="H503" t="str">
            <v>LAS BAMBAS</v>
          </cell>
          <cell r="I503">
            <v>44336</v>
          </cell>
          <cell r="J503" t="str">
            <v>REPUESTO</v>
          </cell>
          <cell r="K503" t="str">
            <v>TUERCA DE SEGURO 5/8</v>
          </cell>
          <cell r="L503">
            <v>6</v>
          </cell>
          <cell r="M503" t="str">
            <v>UNID.</v>
          </cell>
          <cell r="N503" t="str">
            <v>CISTERNA</v>
          </cell>
          <cell r="O503">
            <v>0</v>
          </cell>
          <cell r="P503" t="str">
            <v>M1</v>
          </cell>
          <cell r="Q503" t="str">
            <v>J2</v>
          </cell>
          <cell r="R503" t="str">
            <v>J2</v>
          </cell>
          <cell r="S503" t="str">
            <v>ENTREGADO</v>
          </cell>
          <cell r="T503">
            <v>42683</v>
          </cell>
          <cell r="U503" t="str">
            <v>CABEZAS SANCHEZ JEAN JHONATAN</v>
          </cell>
          <cell r="V503" t="str">
            <v>CORIHUAMAN SURCO  ERICK ROBERT</v>
          </cell>
        </row>
        <row r="504">
          <cell r="A504">
            <v>438</v>
          </cell>
          <cell r="B504">
            <v>42683</v>
          </cell>
          <cell r="C504" t="str">
            <v>NOVIEMBRE</v>
          </cell>
          <cell r="D504" t="str">
            <v>2016</v>
          </cell>
          <cell r="E504">
            <v>200</v>
          </cell>
          <cell r="F504" t="str">
            <v>TALLER</v>
          </cell>
          <cell r="G504" t="str">
            <v>TALLER</v>
          </cell>
          <cell r="H504" t="str">
            <v>TALLER</v>
          </cell>
          <cell r="I504" t="str">
            <v>TALLER</v>
          </cell>
          <cell r="J504" t="str">
            <v>INSUMO TALLER</v>
          </cell>
          <cell r="K504" t="str">
            <v>TRAPOS SUELTOS</v>
          </cell>
          <cell r="L504">
            <v>10</v>
          </cell>
          <cell r="M504" t="str">
            <v>UNID.</v>
          </cell>
          <cell r="N504" t="str">
            <v>TALLER</v>
          </cell>
          <cell r="O504">
            <v>0</v>
          </cell>
          <cell r="P504" t="str">
            <v>J6</v>
          </cell>
          <cell r="Q504" t="str">
            <v>J2</v>
          </cell>
          <cell r="R504" t="str">
            <v>J6</v>
          </cell>
          <cell r="S504" t="str">
            <v>ENTREGADO</v>
          </cell>
          <cell r="T504">
            <v>42683</v>
          </cell>
          <cell r="U504" t="str">
            <v>VILLANUEVA BEJAR  YHORDAN MICHEL</v>
          </cell>
          <cell r="V504" t="str">
            <v>CORIHUAMAN SURCO  ERICK ROBERT</v>
          </cell>
        </row>
        <row r="505">
          <cell r="A505">
            <v>441</v>
          </cell>
          <cell r="B505">
            <v>42683</v>
          </cell>
          <cell r="C505" t="str">
            <v>NOVIEMBRE</v>
          </cell>
          <cell r="D505" t="str">
            <v>2016</v>
          </cell>
          <cell r="E505">
            <v>200</v>
          </cell>
          <cell r="F505" t="str">
            <v>TALLER</v>
          </cell>
          <cell r="G505" t="str">
            <v>TALLER</v>
          </cell>
          <cell r="H505" t="str">
            <v>TALLER</v>
          </cell>
          <cell r="I505" t="str">
            <v>TALLER</v>
          </cell>
          <cell r="J505" t="str">
            <v>REPUESTO</v>
          </cell>
          <cell r="K505" t="str">
            <v>TRIZ</v>
          </cell>
          <cell r="L505">
            <v>1</v>
          </cell>
          <cell r="M505" t="str">
            <v>UNID.</v>
          </cell>
          <cell r="N505" t="str">
            <v>TALLER</v>
          </cell>
          <cell r="O505">
            <v>0</v>
          </cell>
          <cell r="P505" t="str">
            <v>E2</v>
          </cell>
          <cell r="Q505" t="str">
            <v>J2</v>
          </cell>
          <cell r="R505" t="str">
            <v>J6</v>
          </cell>
          <cell r="S505" t="str">
            <v>ENTREGADO</v>
          </cell>
          <cell r="T505">
            <v>42683</v>
          </cell>
          <cell r="U505" t="str">
            <v>YUCA BELLIDO BORIS YERSY</v>
          </cell>
          <cell r="V505" t="str">
            <v>CORIHUAMAN SURCO  ERICK ROBERT</v>
          </cell>
        </row>
        <row r="506">
          <cell r="A506">
            <v>470</v>
          </cell>
          <cell r="B506">
            <v>42683</v>
          </cell>
          <cell r="C506" t="str">
            <v>NOVIEMBRE</v>
          </cell>
          <cell r="D506" t="str">
            <v>2016</v>
          </cell>
          <cell r="E506">
            <v>200</v>
          </cell>
          <cell r="F506" t="str">
            <v>TALLER</v>
          </cell>
          <cell r="G506" t="str">
            <v>TALLER</v>
          </cell>
          <cell r="H506" t="str">
            <v>TALLER</v>
          </cell>
          <cell r="I506" t="str">
            <v>TALLER</v>
          </cell>
          <cell r="J506" t="str">
            <v>REPUESTO</v>
          </cell>
          <cell r="K506" t="str">
            <v>SPRAY COLOR BLANCO</v>
          </cell>
          <cell r="L506">
            <v>1</v>
          </cell>
          <cell r="M506" t="str">
            <v>UNID.</v>
          </cell>
          <cell r="N506" t="str">
            <v>TALLER</v>
          </cell>
          <cell r="O506">
            <v>0</v>
          </cell>
          <cell r="P506" t="str">
            <v>J3</v>
          </cell>
          <cell r="Q506" t="str">
            <v>J3</v>
          </cell>
          <cell r="R506" t="str">
            <v>J6</v>
          </cell>
          <cell r="S506" t="str">
            <v>ENTREGADO</v>
          </cell>
          <cell r="T506">
            <v>42683</v>
          </cell>
          <cell r="U506" t="str">
            <v>CHURA PIZARRO ALBERTO</v>
          </cell>
          <cell r="V506" t="str">
            <v>CHURA PIZARRO ALBERTO</v>
          </cell>
        </row>
        <row r="507">
          <cell r="A507">
            <v>471</v>
          </cell>
          <cell r="B507">
            <v>42683</v>
          </cell>
          <cell r="C507" t="str">
            <v>NOVIEMBRE</v>
          </cell>
          <cell r="D507" t="str">
            <v>2016</v>
          </cell>
          <cell r="E507">
            <v>200</v>
          </cell>
          <cell r="F507" t="str">
            <v>TALLER</v>
          </cell>
          <cell r="G507" t="str">
            <v>TALLER</v>
          </cell>
          <cell r="H507" t="str">
            <v>TALLER</v>
          </cell>
          <cell r="I507" t="str">
            <v>TALLER</v>
          </cell>
          <cell r="J507" t="str">
            <v>REPUESTO</v>
          </cell>
          <cell r="K507" t="str">
            <v>SPRAY COLOR ALUMINIO</v>
          </cell>
          <cell r="L507">
            <v>1</v>
          </cell>
          <cell r="M507" t="str">
            <v>UNID.</v>
          </cell>
          <cell r="N507" t="str">
            <v>TALLER</v>
          </cell>
          <cell r="O507">
            <v>0</v>
          </cell>
          <cell r="P507" t="str">
            <v>J3</v>
          </cell>
          <cell r="Q507" t="str">
            <v>J3</v>
          </cell>
          <cell r="R507" t="str">
            <v>J6</v>
          </cell>
          <cell r="S507" t="str">
            <v>ENTREGADO</v>
          </cell>
          <cell r="T507">
            <v>42683</v>
          </cell>
          <cell r="U507" t="str">
            <v>CHURA PIZARRO ALBERTO</v>
          </cell>
          <cell r="V507" t="str">
            <v>CHURA PIZARRO ALBERTO</v>
          </cell>
        </row>
        <row r="508">
          <cell r="A508">
            <v>482</v>
          </cell>
          <cell r="B508">
            <v>42683</v>
          </cell>
          <cell r="C508" t="str">
            <v>NOVIEMBRE</v>
          </cell>
          <cell r="D508" t="str">
            <v>2016</v>
          </cell>
          <cell r="E508">
            <v>200</v>
          </cell>
          <cell r="F508" t="str">
            <v>TALLER</v>
          </cell>
          <cell r="G508" t="str">
            <v>TALLER</v>
          </cell>
          <cell r="H508" t="str">
            <v>TALLER</v>
          </cell>
          <cell r="I508" t="str">
            <v>TALLER</v>
          </cell>
          <cell r="J508" t="str">
            <v>HERRAMIENTAS</v>
          </cell>
          <cell r="K508" t="str">
            <v>TALADRO PEQUEÑO REPARADO</v>
          </cell>
          <cell r="L508">
            <v>1</v>
          </cell>
          <cell r="M508" t="str">
            <v>UNID.</v>
          </cell>
          <cell r="N508" t="str">
            <v>TALLER</v>
          </cell>
          <cell r="O508">
            <v>0</v>
          </cell>
          <cell r="P508" t="str">
            <v>J1</v>
          </cell>
          <cell r="Q508" t="str">
            <v>J1</v>
          </cell>
          <cell r="R508" t="str">
            <v>J1</v>
          </cell>
          <cell r="S508" t="str">
            <v>ENTREGADO</v>
          </cell>
          <cell r="T508">
            <v>42683</v>
          </cell>
          <cell r="U508" t="str">
            <v>FLOREZ CONDORI  JOSE WILLIANS</v>
          </cell>
          <cell r="V508" t="str">
            <v>FLOREZ CONDORI  JOSE WILLIANS</v>
          </cell>
        </row>
        <row r="509">
          <cell r="A509">
            <v>459</v>
          </cell>
          <cell r="B509">
            <v>42683</v>
          </cell>
          <cell r="C509" t="str">
            <v>NOVIEMBRE</v>
          </cell>
          <cell r="D509" t="str">
            <v>2016</v>
          </cell>
          <cell r="E509">
            <v>278</v>
          </cell>
          <cell r="F509" t="str">
            <v>X2W-759</v>
          </cell>
          <cell r="G509" t="str">
            <v>C5V-999</v>
          </cell>
          <cell r="H509" t="str">
            <v>LAS BAMBAS</v>
          </cell>
          <cell r="I509">
            <v>150726</v>
          </cell>
          <cell r="J509" t="str">
            <v>REPUESTO</v>
          </cell>
          <cell r="K509" t="str">
            <v>REFRIGERANTE</v>
          </cell>
          <cell r="L509">
            <v>1</v>
          </cell>
          <cell r="M509" t="str">
            <v>GLNS.</v>
          </cell>
          <cell r="N509" t="str">
            <v>TRACTO</v>
          </cell>
          <cell r="O509">
            <v>0</v>
          </cell>
          <cell r="P509" t="str">
            <v>M3</v>
          </cell>
          <cell r="Q509" t="str">
            <v>J1</v>
          </cell>
          <cell r="R509" t="str">
            <v>J6</v>
          </cell>
          <cell r="S509" t="str">
            <v>ENTREGADO</v>
          </cell>
          <cell r="T509">
            <v>42683</v>
          </cell>
          <cell r="U509" t="str">
            <v>GARCIA PASQUEL  JOSE LUIS</v>
          </cell>
          <cell r="V509" t="str">
            <v>FLOREZ CONDORI  JOSE WILLIANS</v>
          </cell>
        </row>
        <row r="510">
          <cell r="A510">
            <v>462</v>
          </cell>
          <cell r="B510">
            <v>42683</v>
          </cell>
          <cell r="C510" t="str">
            <v>NOVIEMBRE</v>
          </cell>
          <cell r="D510" t="str">
            <v>2016</v>
          </cell>
          <cell r="E510">
            <v>278</v>
          </cell>
          <cell r="F510" t="str">
            <v>X2W-759</v>
          </cell>
          <cell r="G510" t="str">
            <v>C5V-999</v>
          </cell>
          <cell r="H510" t="str">
            <v>LAS BAMBAS</v>
          </cell>
          <cell r="I510">
            <v>150726</v>
          </cell>
          <cell r="J510" t="str">
            <v>REPUESTO</v>
          </cell>
          <cell r="K510" t="str">
            <v>PERNO 3/8 X 1 1/2</v>
          </cell>
          <cell r="L510">
            <v>2</v>
          </cell>
          <cell r="M510" t="str">
            <v>UNID.</v>
          </cell>
          <cell r="N510" t="str">
            <v>CISTERNA</v>
          </cell>
          <cell r="O510">
            <v>0</v>
          </cell>
          <cell r="P510" t="str">
            <v>S1</v>
          </cell>
          <cell r="Q510" t="str">
            <v>J2</v>
          </cell>
          <cell r="R510" t="str">
            <v>J6</v>
          </cell>
          <cell r="S510" t="str">
            <v>ENTREGADO</v>
          </cell>
          <cell r="T510">
            <v>42683</v>
          </cell>
          <cell r="U510" t="str">
            <v>BAYONA CRUZ CRISTIAN ARMANDO</v>
          </cell>
          <cell r="V510" t="str">
            <v>CORIHUAMAN SURCO  ERICK ROBERT</v>
          </cell>
        </row>
        <row r="511">
          <cell r="A511">
            <v>463</v>
          </cell>
          <cell r="B511">
            <v>42683</v>
          </cell>
          <cell r="C511" t="str">
            <v>NOVIEMBRE</v>
          </cell>
          <cell r="D511" t="str">
            <v>2016</v>
          </cell>
          <cell r="E511">
            <v>278</v>
          </cell>
          <cell r="F511" t="str">
            <v>X2W-759</v>
          </cell>
          <cell r="G511" t="str">
            <v>C5V-999</v>
          </cell>
          <cell r="H511" t="str">
            <v>LAS BAMBAS</v>
          </cell>
          <cell r="I511">
            <v>150726</v>
          </cell>
          <cell r="J511" t="str">
            <v>REPUESTO</v>
          </cell>
          <cell r="K511" t="str">
            <v>ARANDELA PLANA 3/8</v>
          </cell>
          <cell r="L511">
            <v>4</v>
          </cell>
          <cell r="M511" t="str">
            <v>UNID.</v>
          </cell>
          <cell r="N511" t="str">
            <v>CISTERNA</v>
          </cell>
          <cell r="O511">
            <v>0</v>
          </cell>
          <cell r="P511" t="str">
            <v>S1</v>
          </cell>
          <cell r="Q511" t="str">
            <v>J2</v>
          </cell>
          <cell r="R511" t="str">
            <v>J6</v>
          </cell>
          <cell r="S511" t="str">
            <v>ENTREGADO</v>
          </cell>
          <cell r="T511">
            <v>42683</v>
          </cell>
          <cell r="U511" t="str">
            <v>BAYONA CRUZ CRISTIAN ARMANDO</v>
          </cell>
          <cell r="V511" t="str">
            <v>CORIHUAMAN SURCO  ERICK ROBERT</v>
          </cell>
        </row>
        <row r="512">
          <cell r="A512">
            <v>464</v>
          </cell>
          <cell r="B512">
            <v>42683</v>
          </cell>
          <cell r="C512" t="str">
            <v>NOVIEMBRE</v>
          </cell>
          <cell r="D512" t="str">
            <v>2016</v>
          </cell>
          <cell r="E512">
            <v>278</v>
          </cell>
          <cell r="F512" t="str">
            <v>X2W-759</v>
          </cell>
          <cell r="G512" t="str">
            <v>C5V-999</v>
          </cell>
          <cell r="H512" t="str">
            <v>LAS BAMBAS</v>
          </cell>
          <cell r="I512">
            <v>150726</v>
          </cell>
          <cell r="J512" t="str">
            <v>REPUESTO</v>
          </cell>
          <cell r="K512" t="str">
            <v>TUERCA 3/8</v>
          </cell>
          <cell r="L512">
            <v>2</v>
          </cell>
          <cell r="M512" t="str">
            <v>UNID.</v>
          </cell>
          <cell r="N512" t="str">
            <v>CISTERNA</v>
          </cell>
          <cell r="O512">
            <v>0</v>
          </cell>
          <cell r="P512" t="str">
            <v>S1</v>
          </cell>
          <cell r="Q512" t="str">
            <v>J2</v>
          </cell>
          <cell r="R512" t="str">
            <v>J6</v>
          </cell>
          <cell r="S512" t="str">
            <v>ENTREGADO</v>
          </cell>
          <cell r="T512">
            <v>42683</v>
          </cell>
          <cell r="U512" t="str">
            <v>BAYONA CRUZ CRISTIAN ARMANDO</v>
          </cell>
          <cell r="V512" t="str">
            <v>CORIHUAMAN SURCO  ERICK ROBERT</v>
          </cell>
        </row>
        <row r="513">
          <cell r="A513">
            <v>468</v>
          </cell>
          <cell r="B513">
            <v>42683</v>
          </cell>
          <cell r="C513" t="str">
            <v>NOVIEMBRE</v>
          </cell>
          <cell r="D513" t="str">
            <v>2016</v>
          </cell>
          <cell r="E513">
            <v>278</v>
          </cell>
          <cell r="F513" t="str">
            <v>X2W-759</v>
          </cell>
          <cell r="G513" t="str">
            <v>C5V-999</v>
          </cell>
          <cell r="H513" t="str">
            <v>LAS BAMBAS</v>
          </cell>
          <cell r="I513">
            <v>150726</v>
          </cell>
          <cell r="J513" t="str">
            <v>REPUESTO</v>
          </cell>
          <cell r="K513" t="str">
            <v>ACEITE DE MOTOR 15W40</v>
          </cell>
          <cell r="L513">
            <v>0.75</v>
          </cell>
          <cell r="M513" t="str">
            <v>GLNS.</v>
          </cell>
          <cell r="N513" t="str">
            <v>TRACTO</v>
          </cell>
          <cell r="O513">
            <v>0</v>
          </cell>
          <cell r="P513" t="str">
            <v>M3</v>
          </cell>
          <cell r="Q513" t="str">
            <v>J1</v>
          </cell>
          <cell r="R513" t="str">
            <v>J6</v>
          </cell>
          <cell r="S513" t="str">
            <v>ENTREGADO</v>
          </cell>
          <cell r="T513">
            <v>42683</v>
          </cell>
          <cell r="U513" t="str">
            <v>GARCIA PASQUEL  JOSE LUIS</v>
          </cell>
          <cell r="V513" t="str">
            <v>FLOREZ CONDORI  JOSE WILLIANS</v>
          </cell>
        </row>
        <row r="514">
          <cell r="A514">
            <v>484</v>
          </cell>
          <cell r="B514">
            <v>42683</v>
          </cell>
          <cell r="C514" t="str">
            <v>NOVIEMBRE</v>
          </cell>
          <cell r="D514" t="str">
            <v>2016</v>
          </cell>
          <cell r="E514">
            <v>283</v>
          </cell>
          <cell r="F514" t="str">
            <v>X2W-760</v>
          </cell>
          <cell r="G514" t="str">
            <v>C5V-992</v>
          </cell>
          <cell r="H514" t="str">
            <v>LAS BAMBAS</v>
          </cell>
          <cell r="I514">
            <v>146750</v>
          </cell>
          <cell r="J514" t="str">
            <v>SERVICIO</v>
          </cell>
          <cell r="K514" t="str">
            <v>SERVICIO DE LIMPIEZA DE TANQUES DE SERVICIO</v>
          </cell>
          <cell r="L514">
            <v>2</v>
          </cell>
          <cell r="M514" t="str">
            <v>UNID.</v>
          </cell>
          <cell r="N514" t="str">
            <v>TRACTO</v>
          </cell>
          <cell r="O514">
            <v>0</v>
          </cell>
          <cell r="P514" t="str">
            <v>M8</v>
          </cell>
          <cell r="Q514" t="str">
            <v>J2</v>
          </cell>
          <cell r="R514" t="str">
            <v>J2</v>
          </cell>
          <cell r="S514" t="str">
            <v>ENTREGADO</v>
          </cell>
          <cell r="T514">
            <v>42683</v>
          </cell>
          <cell r="U514" t="str">
            <v>VARILLAS GAGO  OSCAR ALBERTO</v>
          </cell>
          <cell r="V514" t="str">
            <v>CORIHUAMAN SURCO  ERICK ROBERT</v>
          </cell>
        </row>
        <row r="515">
          <cell r="A515">
            <v>498</v>
          </cell>
          <cell r="B515">
            <v>42683</v>
          </cell>
          <cell r="C515" t="str">
            <v>NOVIEMBRE</v>
          </cell>
          <cell r="D515" t="str">
            <v>2016</v>
          </cell>
          <cell r="E515">
            <v>283</v>
          </cell>
          <cell r="F515" t="str">
            <v>X2W-760</v>
          </cell>
          <cell r="G515" t="str">
            <v>C5V-992</v>
          </cell>
          <cell r="H515" t="str">
            <v>LAS BAMBAS</v>
          </cell>
          <cell r="I515">
            <v>146750</v>
          </cell>
          <cell r="J515" t="str">
            <v>SERVICIO</v>
          </cell>
          <cell r="K515" t="str">
            <v>SERVICIO DE LAVADO DE TANQUE (ES EL TANQUE DE COMBUSTIBLE DE SERVICIO)</v>
          </cell>
          <cell r="L515">
            <v>1</v>
          </cell>
          <cell r="M515" t="str">
            <v>UNID.</v>
          </cell>
          <cell r="N515" t="str">
            <v>TRACTO</v>
          </cell>
          <cell r="O515">
            <v>107</v>
          </cell>
          <cell r="P515" t="str">
            <v>M8</v>
          </cell>
          <cell r="Q515" t="str">
            <v>J2</v>
          </cell>
          <cell r="R515" t="str">
            <v>J2</v>
          </cell>
          <cell r="S515" t="str">
            <v>ENTREGADO</v>
          </cell>
          <cell r="T515">
            <v>0</v>
          </cell>
          <cell r="U515" t="str">
            <v>VARILLAS GAGO  OSCAR ALBERTO</v>
          </cell>
          <cell r="V515" t="str">
            <v>CORIHUAMAN SURCO  ERICK ROBERT</v>
          </cell>
        </row>
        <row r="516">
          <cell r="A516">
            <v>499</v>
          </cell>
          <cell r="B516">
            <v>42683</v>
          </cell>
          <cell r="C516" t="str">
            <v>NOVIEMBRE</v>
          </cell>
          <cell r="D516" t="str">
            <v>2016</v>
          </cell>
          <cell r="E516">
            <v>283</v>
          </cell>
          <cell r="F516" t="str">
            <v>X2W-760</v>
          </cell>
          <cell r="G516" t="str">
            <v>C5V-992</v>
          </cell>
          <cell r="H516" t="str">
            <v>LAS BAMBAS</v>
          </cell>
          <cell r="I516">
            <v>146750</v>
          </cell>
          <cell r="J516" t="str">
            <v>INSUMO TALLER</v>
          </cell>
          <cell r="K516" t="str">
            <v>SUPERCITO 5/32</v>
          </cell>
          <cell r="L516">
            <v>0.5</v>
          </cell>
          <cell r="M516" t="str">
            <v>KG.</v>
          </cell>
          <cell r="N516" t="str">
            <v>CISTERNA</v>
          </cell>
          <cell r="O516">
            <v>0</v>
          </cell>
          <cell r="P516" t="str">
            <v>S1</v>
          </cell>
          <cell r="Q516" t="str">
            <v>J1</v>
          </cell>
          <cell r="R516" t="str">
            <v>J1</v>
          </cell>
          <cell r="S516" t="str">
            <v>ENTREGADO</v>
          </cell>
          <cell r="T516">
            <v>42683</v>
          </cell>
          <cell r="U516" t="str">
            <v>BAYONA CRUZ CRISTIAN ARMANDO</v>
          </cell>
          <cell r="V516" t="str">
            <v>FLOREZ CONDORI  JOSE WILLIANS</v>
          </cell>
        </row>
        <row r="517">
          <cell r="A517">
            <v>436</v>
          </cell>
          <cell r="B517">
            <v>42683</v>
          </cell>
          <cell r="C517" t="str">
            <v>NOVIEMBRE</v>
          </cell>
          <cell r="D517" t="str">
            <v>2016</v>
          </cell>
          <cell r="E517">
            <v>275</v>
          </cell>
          <cell r="F517" t="str">
            <v>X2W-761</v>
          </cell>
          <cell r="G517" t="str">
            <v>C5V-996</v>
          </cell>
          <cell r="H517" t="str">
            <v>LAS BAMBAS</v>
          </cell>
          <cell r="I517">
            <v>139660</v>
          </cell>
          <cell r="J517" t="str">
            <v>REPUESTO</v>
          </cell>
          <cell r="K517" t="str">
            <v>VARILLAS DE SOLDADURA DE ALUMINIO</v>
          </cell>
          <cell r="L517">
            <v>7</v>
          </cell>
          <cell r="M517" t="str">
            <v>UNID.</v>
          </cell>
          <cell r="N517" t="str">
            <v>CISTERNA</v>
          </cell>
          <cell r="O517">
            <v>0</v>
          </cell>
          <cell r="P517" t="str">
            <v>S1</v>
          </cell>
          <cell r="Q517" t="str">
            <v>J2</v>
          </cell>
          <cell r="R517" t="str">
            <v>J6</v>
          </cell>
          <cell r="S517" t="str">
            <v>ENTREGADO</v>
          </cell>
          <cell r="T517">
            <v>42683</v>
          </cell>
          <cell r="U517" t="str">
            <v>BAYONA CRUZ CRISTIAN ARMANDO</v>
          </cell>
          <cell r="V517" t="str">
            <v>CORIHUAMAN SURCO  ERICK ROBERT</v>
          </cell>
        </row>
        <row r="518">
          <cell r="A518">
            <v>474</v>
          </cell>
          <cell r="B518">
            <v>42683</v>
          </cell>
          <cell r="C518" t="str">
            <v>NOVIEMBRE</v>
          </cell>
          <cell r="D518" t="str">
            <v>2016</v>
          </cell>
          <cell r="E518">
            <v>275</v>
          </cell>
          <cell r="F518" t="str">
            <v>X2W-761</v>
          </cell>
          <cell r="G518" t="str">
            <v>C5V-996</v>
          </cell>
          <cell r="H518" t="str">
            <v>LAS BAMBAS</v>
          </cell>
          <cell r="I518">
            <v>139660</v>
          </cell>
          <cell r="J518" t="str">
            <v>REPUESTO</v>
          </cell>
          <cell r="K518" t="str">
            <v>AGUA LIMPIAPARABRIZAS</v>
          </cell>
          <cell r="L518">
            <v>1</v>
          </cell>
          <cell r="M518" t="str">
            <v>GLNS.</v>
          </cell>
          <cell r="N518" t="str">
            <v>TRACTO</v>
          </cell>
          <cell r="O518">
            <v>0</v>
          </cell>
          <cell r="P518" t="str">
            <v>M2</v>
          </cell>
          <cell r="Q518" t="str">
            <v>J1</v>
          </cell>
          <cell r="R518" t="str">
            <v>J1</v>
          </cell>
          <cell r="S518" t="str">
            <v>ENTREGADO</v>
          </cell>
          <cell r="T518">
            <v>42683</v>
          </cell>
          <cell r="U518" t="str">
            <v>CHUMPITAZ GAGO JULIO ENRIQUE</v>
          </cell>
          <cell r="V518" t="str">
            <v>FLOREZ CONDORI  JOSE WILLIANS</v>
          </cell>
        </row>
        <row r="519">
          <cell r="A519">
            <v>475</v>
          </cell>
          <cell r="B519">
            <v>42683</v>
          </cell>
          <cell r="C519" t="str">
            <v>NOVIEMBRE</v>
          </cell>
          <cell r="D519" t="str">
            <v>2016</v>
          </cell>
          <cell r="E519">
            <v>275</v>
          </cell>
          <cell r="F519" t="str">
            <v>X2W-761</v>
          </cell>
          <cell r="G519" t="str">
            <v>C5V-996</v>
          </cell>
          <cell r="H519" t="str">
            <v>LAS BAMBAS</v>
          </cell>
          <cell r="I519">
            <v>139660</v>
          </cell>
          <cell r="J519" t="str">
            <v>REPUESTO</v>
          </cell>
          <cell r="K519" t="str">
            <v>FOCO LAGRIMON 12 V</v>
          </cell>
          <cell r="L519">
            <v>1</v>
          </cell>
          <cell r="M519" t="str">
            <v>UNID.</v>
          </cell>
          <cell r="N519" t="str">
            <v>TRACTO</v>
          </cell>
          <cell r="O519">
            <v>0</v>
          </cell>
          <cell r="P519" t="str">
            <v>M2</v>
          </cell>
          <cell r="Q519" t="str">
            <v>J1</v>
          </cell>
          <cell r="R519" t="str">
            <v>J1</v>
          </cell>
          <cell r="S519" t="str">
            <v>ENTREGADO</v>
          </cell>
          <cell r="T519">
            <v>42683</v>
          </cell>
          <cell r="U519" t="str">
            <v>CHUMPITAZ GAGO JULIO ENRIQUE</v>
          </cell>
          <cell r="V519" t="str">
            <v>FLOREZ CONDORI  JOSE WILLIANS</v>
          </cell>
        </row>
        <row r="520">
          <cell r="A520">
            <v>476</v>
          </cell>
          <cell r="B520">
            <v>42683</v>
          </cell>
          <cell r="C520" t="str">
            <v>NOVIEMBRE</v>
          </cell>
          <cell r="D520" t="str">
            <v>2016</v>
          </cell>
          <cell r="E520">
            <v>275</v>
          </cell>
          <cell r="F520" t="str">
            <v>X2W-761</v>
          </cell>
          <cell r="G520" t="str">
            <v>C5V-996</v>
          </cell>
          <cell r="H520" t="str">
            <v>LAS BAMBAS</v>
          </cell>
          <cell r="I520">
            <v>139660</v>
          </cell>
          <cell r="J520" t="str">
            <v>REPUESTO</v>
          </cell>
          <cell r="K520" t="str">
            <v>SILICONA GRIS</v>
          </cell>
          <cell r="L520">
            <v>1</v>
          </cell>
          <cell r="M520" t="str">
            <v>UNID.</v>
          </cell>
          <cell r="N520" t="str">
            <v>TRACTO</v>
          </cell>
          <cell r="O520">
            <v>0</v>
          </cell>
          <cell r="P520" t="str">
            <v>M2</v>
          </cell>
          <cell r="Q520" t="str">
            <v>J1</v>
          </cell>
          <cell r="R520" t="str">
            <v>J1</v>
          </cell>
          <cell r="S520" t="str">
            <v>ENTREGADO</v>
          </cell>
          <cell r="T520">
            <v>42683</v>
          </cell>
          <cell r="U520" t="str">
            <v>CHUMPITAZ GAGO JULIO ENRIQUE</v>
          </cell>
          <cell r="V520" t="str">
            <v>FLOREZ CONDORI  JOSE WILLIANS</v>
          </cell>
        </row>
        <row r="521">
          <cell r="A521">
            <v>460</v>
          </cell>
          <cell r="B521">
            <v>42683</v>
          </cell>
          <cell r="C521" t="str">
            <v>NOVIEMBRE</v>
          </cell>
          <cell r="D521" t="str">
            <v>2016</v>
          </cell>
          <cell r="E521">
            <v>239</v>
          </cell>
          <cell r="F521" t="str">
            <v>X2W-788</v>
          </cell>
          <cell r="G521" t="str">
            <v>C5V-994</v>
          </cell>
          <cell r="H521" t="str">
            <v>LAS BAMBAS</v>
          </cell>
          <cell r="I521">
            <v>137310</v>
          </cell>
          <cell r="J521" t="str">
            <v>INSUMO TALLER</v>
          </cell>
          <cell r="K521" t="str">
            <v>CELLOCORD 5/32</v>
          </cell>
          <cell r="L521">
            <v>0.5</v>
          </cell>
          <cell r="M521" t="str">
            <v>KG.</v>
          </cell>
          <cell r="N521" t="str">
            <v>CISTERNA</v>
          </cell>
          <cell r="O521">
            <v>0</v>
          </cell>
          <cell r="P521" t="str">
            <v>S1</v>
          </cell>
          <cell r="Q521" t="str">
            <v>J2</v>
          </cell>
          <cell r="R521" t="str">
            <v>J6</v>
          </cell>
          <cell r="S521" t="str">
            <v>ENTREGADO</v>
          </cell>
          <cell r="T521">
            <v>42683</v>
          </cell>
          <cell r="U521" t="str">
            <v>BAYONA CRUZ CRISTIAN ARMANDO</v>
          </cell>
          <cell r="V521" t="str">
            <v>CORIHUAMAN SURCO  ERICK ROBERT</v>
          </cell>
        </row>
        <row r="522">
          <cell r="A522">
            <v>461</v>
          </cell>
          <cell r="B522">
            <v>42683</v>
          </cell>
          <cell r="C522" t="str">
            <v>NOVIEMBRE</v>
          </cell>
          <cell r="D522" t="str">
            <v>2016</v>
          </cell>
          <cell r="E522">
            <v>239</v>
          </cell>
          <cell r="F522" t="str">
            <v>X2W-788</v>
          </cell>
          <cell r="G522" t="str">
            <v>C5V-994</v>
          </cell>
          <cell r="H522" t="str">
            <v>LAS BAMBAS</v>
          </cell>
          <cell r="I522">
            <v>137310</v>
          </cell>
          <cell r="J522" t="str">
            <v>INSUMO TALLER</v>
          </cell>
          <cell r="K522" t="str">
            <v>SPRAY COLOR BLANCO</v>
          </cell>
          <cell r="L522">
            <v>1</v>
          </cell>
          <cell r="M522" t="str">
            <v>UNID.</v>
          </cell>
          <cell r="N522" t="str">
            <v>CISTERNA</v>
          </cell>
          <cell r="O522">
            <v>0</v>
          </cell>
          <cell r="P522" t="str">
            <v>S1</v>
          </cell>
          <cell r="Q522" t="str">
            <v>J2</v>
          </cell>
          <cell r="R522" t="str">
            <v>J6</v>
          </cell>
          <cell r="S522" t="str">
            <v>ENTREGADO</v>
          </cell>
          <cell r="T522">
            <v>42683</v>
          </cell>
          <cell r="U522" t="str">
            <v>BAYONA CRUZ CRISTIAN ARMANDO</v>
          </cell>
          <cell r="V522" t="str">
            <v>CORIHUAMAN SURCO  ERICK ROBERT</v>
          </cell>
        </row>
        <row r="523">
          <cell r="A523">
            <v>473</v>
          </cell>
          <cell r="B523">
            <v>42683</v>
          </cell>
          <cell r="C523" t="str">
            <v>NOVIEMBRE</v>
          </cell>
          <cell r="D523" t="str">
            <v>2016</v>
          </cell>
          <cell r="E523">
            <v>239</v>
          </cell>
          <cell r="F523" t="str">
            <v>X2W-788</v>
          </cell>
          <cell r="G523" t="str">
            <v>C5V-994</v>
          </cell>
          <cell r="H523" t="str">
            <v>LAS BAMBAS</v>
          </cell>
          <cell r="I523">
            <v>137310</v>
          </cell>
          <cell r="J523" t="str">
            <v>REPUESTO</v>
          </cell>
          <cell r="K523" t="str">
            <v>SOLDADURA SUPERCITO 1/8</v>
          </cell>
          <cell r="L523">
            <v>1</v>
          </cell>
          <cell r="M523" t="str">
            <v>KG.</v>
          </cell>
          <cell r="N523" t="str">
            <v>CISTERNA</v>
          </cell>
          <cell r="O523">
            <v>0</v>
          </cell>
          <cell r="P523" t="str">
            <v>M8</v>
          </cell>
          <cell r="Q523" t="str">
            <v>J2</v>
          </cell>
          <cell r="R523" t="str">
            <v>J6</v>
          </cell>
          <cell r="S523" t="str">
            <v>ENTREGADO</v>
          </cell>
          <cell r="T523">
            <v>42683</v>
          </cell>
          <cell r="U523" t="str">
            <v>VARILLAS GAGO  OSCAR ALBERTO</v>
          </cell>
          <cell r="V523" t="str">
            <v>CORIHUAMAN SURCO  ERICK ROBERT</v>
          </cell>
        </row>
        <row r="524">
          <cell r="A524">
            <v>486</v>
          </cell>
          <cell r="B524">
            <v>42683</v>
          </cell>
          <cell r="C524" t="str">
            <v>NOVIEMBRE</v>
          </cell>
          <cell r="D524" t="str">
            <v>2016</v>
          </cell>
          <cell r="E524">
            <v>239</v>
          </cell>
          <cell r="F524" t="str">
            <v>X2W-788</v>
          </cell>
          <cell r="G524" t="str">
            <v>C5V-994</v>
          </cell>
          <cell r="H524" t="str">
            <v>LAS BAMBAS</v>
          </cell>
          <cell r="I524">
            <v>137310</v>
          </cell>
          <cell r="J524" t="str">
            <v>REPUESTO</v>
          </cell>
          <cell r="K524" t="str">
            <v>CALA VERA DE TABLERO</v>
          </cell>
          <cell r="L524">
            <v>1</v>
          </cell>
          <cell r="M524" t="str">
            <v>UNID.</v>
          </cell>
          <cell r="N524" t="str">
            <v>TRACTO</v>
          </cell>
          <cell r="O524">
            <v>0</v>
          </cell>
          <cell r="P524" t="str">
            <v>E1</v>
          </cell>
          <cell r="Q524" t="str">
            <v>J2</v>
          </cell>
          <cell r="R524" t="str">
            <v>J2</v>
          </cell>
          <cell r="S524" t="str">
            <v>ENTREGADO</v>
          </cell>
          <cell r="T524">
            <v>42683</v>
          </cell>
          <cell r="U524" t="str">
            <v>PALOMINO CARDENAS JUAN CARLOS</v>
          </cell>
          <cell r="V524" t="str">
            <v>CORIHUAMAN SURCO  ERICK ROBERT</v>
          </cell>
        </row>
        <row r="525">
          <cell r="A525">
            <v>455</v>
          </cell>
          <cell r="B525">
            <v>42683</v>
          </cell>
          <cell r="C525" t="str">
            <v>NOVIEMBRE</v>
          </cell>
          <cell r="D525" t="str">
            <v>2016</v>
          </cell>
          <cell r="E525">
            <v>238</v>
          </cell>
          <cell r="F525" t="str">
            <v>X2W-791</v>
          </cell>
          <cell r="G525" t="str">
            <v>C5V-989</v>
          </cell>
          <cell r="H525" t="str">
            <v>LAS BAMBAS</v>
          </cell>
          <cell r="I525">
            <v>143291</v>
          </cell>
          <cell r="J525" t="str">
            <v>REPUESTO</v>
          </cell>
          <cell r="K525" t="str">
            <v>MANGUERA 3 1/2 X 20 CM</v>
          </cell>
          <cell r="L525">
            <v>1</v>
          </cell>
          <cell r="M525" t="str">
            <v>UNID.</v>
          </cell>
          <cell r="N525" t="str">
            <v>TRACTO</v>
          </cell>
          <cell r="O525">
            <v>0</v>
          </cell>
          <cell r="P525" t="str">
            <v>M4</v>
          </cell>
          <cell r="Q525" t="str">
            <v>J2</v>
          </cell>
          <cell r="R525" t="str">
            <v>J6</v>
          </cell>
          <cell r="S525" t="str">
            <v>ENTREGADO</v>
          </cell>
          <cell r="T525">
            <v>42683</v>
          </cell>
          <cell r="U525" t="str">
            <v>JULLIRI APAZA UBALDO</v>
          </cell>
          <cell r="V525" t="str">
            <v>CORIHUAMAN SURCO  ERICK ROBERT</v>
          </cell>
        </row>
        <row r="526">
          <cell r="A526">
            <v>456</v>
          </cell>
          <cell r="B526">
            <v>42683</v>
          </cell>
          <cell r="C526" t="str">
            <v>NOVIEMBRE</v>
          </cell>
          <cell r="D526" t="str">
            <v>2016</v>
          </cell>
          <cell r="E526">
            <v>238</v>
          </cell>
          <cell r="F526" t="str">
            <v>X2W-791</v>
          </cell>
          <cell r="G526" t="str">
            <v>C5V-989</v>
          </cell>
          <cell r="H526" t="str">
            <v>LAS BAMBAS</v>
          </cell>
          <cell r="I526">
            <v>143291</v>
          </cell>
          <cell r="J526" t="str">
            <v>REPUESTO</v>
          </cell>
          <cell r="K526" t="str">
            <v>ABRAZADERAS DE  3 1/2 PARA MANGUERA</v>
          </cell>
          <cell r="L526">
            <v>2</v>
          </cell>
          <cell r="M526" t="str">
            <v>UNID.</v>
          </cell>
          <cell r="N526" t="str">
            <v>TRACTO</v>
          </cell>
          <cell r="O526">
            <v>0</v>
          </cell>
          <cell r="P526" t="str">
            <v>M4</v>
          </cell>
          <cell r="Q526" t="str">
            <v>J2</v>
          </cell>
          <cell r="R526" t="str">
            <v>J6</v>
          </cell>
          <cell r="S526" t="str">
            <v>ENTREGADO</v>
          </cell>
          <cell r="T526">
            <v>42683</v>
          </cell>
          <cell r="U526" t="str">
            <v>JULLIRI APAZA UBALDO</v>
          </cell>
          <cell r="V526" t="str">
            <v>CORIHUAMAN SURCO  ERICK ROBERT</v>
          </cell>
        </row>
        <row r="527">
          <cell r="A527">
            <v>543</v>
          </cell>
          <cell r="B527">
            <v>42684</v>
          </cell>
          <cell r="C527" t="str">
            <v>NOVIEMBRE</v>
          </cell>
          <cell r="D527" t="str">
            <v>2016</v>
          </cell>
          <cell r="E527">
            <v>265</v>
          </cell>
          <cell r="F527" t="str">
            <v>ABP-783</v>
          </cell>
          <cell r="G527" t="str">
            <v>C9S-988</v>
          </cell>
          <cell r="H527" t="str">
            <v>LAS BAMBAS</v>
          </cell>
          <cell r="I527">
            <v>121589.2</v>
          </cell>
          <cell r="J527" t="str">
            <v>REPUESTO</v>
          </cell>
          <cell r="K527" t="str">
            <v>ACCESORIOS DE PULPO</v>
          </cell>
          <cell r="L527">
            <v>1</v>
          </cell>
          <cell r="M527" t="str">
            <v>JUEGO</v>
          </cell>
          <cell r="N527" t="str">
            <v>CISTERNA</v>
          </cell>
          <cell r="O527">
            <v>0</v>
          </cell>
          <cell r="P527" t="str">
            <v>M3</v>
          </cell>
          <cell r="Q527" t="str">
            <v>J1</v>
          </cell>
          <cell r="R527" t="str">
            <v>J6</v>
          </cell>
          <cell r="S527" t="str">
            <v>ENTREGADO</v>
          </cell>
          <cell r="T527">
            <v>42684</v>
          </cell>
          <cell r="U527" t="str">
            <v>GARCIA PASQUEL  JOSE LUIS</v>
          </cell>
          <cell r="V527" t="str">
            <v>FLOREZ CONDORI  JOSE WILLIANS</v>
          </cell>
        </row>
        <row r="528">
          <cell r="A528">
            <v>549</v>
          </cell>
          <cell r="B528">
            <v>42684</v>
          </cell>
          <cell r="C528" t="str">
            <v>NOVIEMBRE</v>
          </cell>
          <cell r="D528" t="str">
            <v>2016</v>
          </cell>
          <cell r="E528">
            <v>265</v>
          </cell>
          <cell r="F528" t="str">
            <v>ABP-783</v>
          </cell>
          <cell r="G528" t="str">
            <v>C9S-988</v>
          </cell>
          <cell r="H528" t="str">
            <v>LAS BAMBAS</v>
          </cell>
          <cell r="I528">
            <v>121589.2</v>
          </cell>
          <cell r="J528" t="str">
            <v>REPUESTO</v>
          </cell>
          <cell r="K528" t="str">
            <v>CARTUCHO DE PULPO NUEVO</v>
          </cell>
          <cell r="L528">
            <v>1</v>
          </cell>
          <cell r="M528" t="str">
            <v>UNID.</v>
          </cell>
          <cell r="N528" t="str">
            <v>CISTERNA</v>
          </cell>
          <cell r="O528">
            <v>106</v>
          </cell>
          <cell r="P528" t="str">
            <v>M3</v>
          </cell>
          <cell r="Q528" t="str">
            <v>J1</v>
          </cell>
          <cell r="R528" t="str">
            <v>J6</v>
          </cell>
          <cell r="S528" t="str">
            <v>ENTREGADO</v>
          </cell>
          <cell r="T528">
            <v>0</v>
          </cell>
          <cell r="U528" t="str">
            <v>GARCIA PASQUEL  JOSE LUIS</v>
          </cell>
          <cell r="V528" t="str">
            <v>FLOREZ CONDORI  JOSE WILLIANS</v>
          </cell>
        </row>
        <row r="529">
          <cell r="A529">
            <v>590</v>
          </cell>
          <cell r="B529">
            <v>42684</v>
          </cell>
          <cell r="C529" t="str">
            <v>NOVIEMBRE</v>
          </cell>
          <cell r="D529" t="str">
            <v>2016</v>
          </cell>
          <cell r="E529">
            <v>265</v>
          </cell>
          <cell r="F529" t="str">
            <v>ABP-783</v>
          </cell>
          <cell r="G529" t="str">
            <v>C9S-988</v>
          </cell>
          <cell r="H529" t="str">
            <v>LAS BAMBAS</v>
          </cell>
          <cell r="I529">
            <v>121589.2</v>
          </cell>
          <cell r="J529" t="str">
            <v>SERVICIO</v>
          </cell>
          <cell r="K529" t="str">
            <v>RESORTES PARA RACHE DE FRENO</v>
          </cell>
          <cell r="L529">
            <v>6</v>
          </cell>
          <cell r="M529" t="str">
            <v>UNID.</v>
          </cell>
          <cell r="N529" t="str">
            <v>CISTERNA</v>
          </cell>
          <cell r="O529">
            <v>106</v>
          </cell>
          <cell r="P529" t="str">
            <v>M3</v>
          </cell>
          <cell r="Q529" t="str">
            <v>J1</v>
          </cell>
          <cell r="R529" t="str">
            <v>J6</v>
          </cell>
          <cell r="S529" t="str">
            <v>ENTREGADO</v>
          </cell>
          <cell r="T529">
            <v>0</v>
          </cell>
          <cell r="U529" t="str">
            <v>GARCIA PASQUEL  JOSE LUIS</v>
          </cell>
          <cell r="V529" t="str">
            <v>FLOREZ CONDORI  JOSE WILLIANS</v>
          </cell>
        </row>
        <row r="530">
          <cell r="A530">
            <v>589</v>
          </cell>
          <cell r="B530">
            <v>42684</v>
          </cell>
          <cell r="C530" t="str">
            <v>NOVIEMBRE</v>
          </cell>
          <cell r="D530" t="str">
            <v>2016</v>
          </cell>
          <cell r="E530">
            <v>291</v>
          </cell>
          <cell r="F530" t="str">
            <v>ABR-727</v>
          </cell>
          <cell r="G530" t="str">
            <v>C9S-989</v>
          </cell>
          <cell r="H530" t="str">
            <v>LAS BAMBAS</v>
          </cell>
          <cell r="I530">
            <v>97375</v>
          </cell>
          <cell r="J530" t="str">
            <v>REPUESTO</v>
          </cell>
          <cell r="K530" t="str">
            <v>KING PIN</v>
          </cell>
          <cell r="L530">
            <v>1</v>
          </cell>
          <cell r="M530" t="str">
            <v>UNID.</v>
          </cell>
          <cell r="N530" t="str">
            <v>CISTERNA</v>
          </cell>
          <cell r="O530">
            <v>0</v>
          </cell>
          <cell r="P530" t="str">
            <v>S1</v>
          </cell>
          <cell r="Q530" t="str">
            <v>J1</v>
          </cell>
          <cell r="R530" t="str">
            <v>J6</v>
          </cell>
          <cell r="S530" t="str">
            <v>ENTREGADO</v>
          </cell>
          <cell r="T530">
            <v>42684</v>
          </cell>
          <cell r="U530" t="str">
            <v>BAYONA CRUZ CRISTIAN ARMANDO</v>
          </cell>
          <cell r="V530" t="str">
            <v>FLOREZ CONDORI  JOSE WILLIANS</v>
          </cell>
        </row>
        <row r="531">
          <cell r="A531">
            <v>512</v>
          </cell>
          <cell r="B531">
            <v>42684</v>
          </cell>
          <cell r="C531" t="str">
            <v>NOVIEMBRE</v>
          </cell>
          <cell r="D531" t="str">
            <v>2016</v>
          </cell>
          <cell r="E531">
            <v>289</v>
          </cell>
          <cell r="F531" t="str">
            <v>ABR-798</v>
          </cell>
          <cell r="G531" t="str">
            <v>TBM-980</v>
          </cell>
          <cell r="H531" t="str">
            <v>LAS BAMBAS</v>
          </cell>
          <cell r="I531">
            <v>120426</v>
          </cell>
          <cell r="J531" t="str">
            <v>REPUESTO</v>
          </cell>
          <cell r="K531" t="str">
            <v>RETENEDORES DE PUERTA</v>
          </cell>
          <cell r="L531">
            <v>2</v>
          </cell>
          <cell r="M531" t="str">
            <v>UNID.</v>
          </cell>
          <cell r="N531" t="str">
            <v>TRACTO</v>
          </cell>
          <cell r="O531">
            <v>0</v>
          </cell>
          <cell r="P531" t="str">
            <v>M2</v>
          </cell>
          <cell r="Q531" t="str">
            <v>J1</v>
          </cell>
          <cell r="R531" t="str">
            <v>J6</v>
          </cell>
          <cell r="S531" t="str">
            <v>ENTREGADO</v>
          </cell>
          <cell r="T531">
            <v>42684</v>
          </cell>
          <cell r="U531" t="str">
            <v>CHUMPITAZ GAGO JULIO ENRIQUE</v>
          </cell>
          <cell r="V531" t="str">
            <v>FLOREZ CONDORI  JOSE WILLIANS</v>
          </cell>
        </row>
        <row r="532">
          <cell r="A532">
            <v>540</v>
          </cell>
          <cell r="B532">
            <v>42684</v>
          </cell>
          <cell r="C532" t="str">
            <v>NOVIEMBRE</v>
          </cell>
          <cell r="D532" t="str">
            <v>2016</v>
          </cell>
          <cell r="E532">
            <v>284</v>
          </cell>
          <cell r="F532" t="str">
            <v>ABR-798</v>
          </cell>
          <cell r="G532" t="str">
            <v>TBM-980</v>
          </cell>
          <cell r="H532" t="str">
            <v>LAS BAMBAS</v>
          </cell>
          <cell r="I532">
            <v>120426.8</v>
          </cell>
          <cell r="J532" t="str">
            <v>REPUESTO</v>
          </cell>
          <cell r="K532" t="str">
            <v>PERNO 5/16 X 1</v>
          </cell>
          <cell r="L532">
            <v>4</v>
          </cell>
          <cell r="M532" t="str">
            <v>UNID.</v>
          </cell>
          <cell r="N532" t="str">
            <v>TRACTO</v>
          </cell>
          <cell r="O532">
            <v>0</v>
          </cell>
          <cell r="P532" t="str">
            <v>M2</v>
          </cell>
          <cell r="Q532" t="str">
            <v>J2</v>
          </cell>
          <cell r="R532" t="str">
            <v>J6</v>
          </cell>
          <cell r="S532" t="str">
            <v>ENTREGADO</v>
          </cell>
          <cell r="T532">
            <v>42684</v>
          </cell>
          <cell r="U532" t="str">
            <v>CHUMPITAZ GAGO JULIO ENRIQUE</v>
          </cell>
          <cell r="V532" t="str">
            <v>CORIHUAMAN SURCO  ERICK ROBERT</v>
          </cell>
        </row>
        <row r="533">
          <cell r="A533">
            <v>541</v>
          </cell>
          <cell r="B533">
            <v>42684</v>
          </cell>
          <cell r="C533" t="str">
            <v>NOVIEMBRE</v>
          </cell>
          <cell r="D533" t="str">
            <v>2016</v>
          </cell>
          <cell r="E533">
            <v>284</v>
          </cell>
          <cell r="F533" t="str">
            <v>ABR-798</v>
          </cell>
          <cell r="G533" t="str">
            <v>TBM-980</v>
          </cell>
          <cell r="H533" t="str">
            <v>LAS BAMBAS</v>
          </cell>
          <cell r="I533">
            <v>120426.8</v>
          </cell>
          <cell r="J533" t="str">
            <v>REPUESTO</v>
          </cell>
          <cell r="K533" t="str">
            <v>VOLANDA PLANA 5/16</v>
          </cell>
          <cell r="L533">
            <v>8</v>
          </cell>
          <cell r="M533" t="str">
            <v>UNID.</v>
          </cell>
          <cell r="N533" t="str">
            <v>TRACTO</v>
          </cell>
          <cell r="O533">
            <v>0</v>
          </cell>
          <cell r="P533" t="str">
            <v>M2</v>
          </cell>
          <cell r="Q533" t="str">
            <v>J2</v>
          </cell>
          <cell r="R533" t="str">
            <v>J6</v>
          </cell>
          <cell r="S533" t="str">
            <v>ENTREGADO</v>
          </cell>
          <cell r="T533">
            <v>42684</v>
          </cell>
          <cell r="U533" t="str">
            <v>CHUMPITAZ GAGO JULIO ENRIQUE</v>
          </cell>
          <cell r="V533" t="str">
            <v>CORIHUAMAN SURCO  ERICK ROBERT</v>
          </cell>
        </row>
        <row r="534">
          <cell r="A534">
            <v>542</v>
          </cell>
          <cell r="B534">
            <v>42684</v>
          </cell>
          <cell r="C534" t="str">
            <v>NOVIEMBRE</v>
          </cell>
          <cell r="D534" t="str">
            <v>2016</v>
          </cell>
          <cell r="E534">
            <v>284</v>
          </cell>
          <cell r="F534" t="str">
            <v>ABR-798</v>
          </cell>
          <cell r="G534" t="str">
            <v>TBM-980</v>
          </cell>
          <cell r="H534" t="str">
            <v>LAS BAMBAS</v>
          </cell>
          <cell r="I534">
            <v>120426.8</v>
          </cell>
          <cell r="J534" t="str">
            <v>REPUESTO</v>
          </cell>
          <cell r="K534" t="str">
            <v>TUERCA SEGURO 5/16</v>
          </cell>
          <cell r="L534">
            <v>4</v>
          </cell>
          <cell r="M534" t="str">
            <v>UNID.</v>
          </cell>
          <cell r="N534" t="str">
            <v>TRACTO</v>
          </cell>
          <cell r="O534">
            <v>0</v>
          </cell>
          <cell r="P534" t="str">
            <v>M2</v>
          </cell>
          <cell r="Q534" t="str">
            <v>J2</v>
          </cell>
          <cell r="R534" t="str">
            <v>J6</v>
          </cell>
          <cell r="S534" t="str">
            <v>ENTREGADO</v>
          </cell>
          <cell r="T534">
            <v>42684</v>
          </cell>
          <cell r="U534" t="str">
            <v>CHUMPITAZ GAGO JULIO ENRIQUE</v>
          </cell>
          <cell r="V534" t="str">
            <v>CORIHUAMAN SURCO  ERICK ROBERT</v>
          </cell>
        </row>
        <row r="535">
          <cell r="A535">
            <v>588</v>
          </cell>
          <cell r="B535">
            <v>42684</v>
          </cell>
          <cell r="C535" t="str">
            <v>NOVIEMBRE</v>
          </cell>
          <cell r="D535" t="str">
            <v>2016</v>
          </cell>
          <cell r="E535">
            <v>284</v>
          </cell>
          <cell r="F535" t="str">
            <v>ABR-798</v>
          </cell>
          <cell r="G535" t="str">
            <v>TBM-980</v>
          </cell>
          <cell r="H535" t="str">
            <v>LAS BAMBAS</v>
          </cell>
          <cell r="I535">
            <v>120426.8</v>
          </cell>
          <cell r="J535" t="str">
            <v>SERVICIO</v>
          </cell>
          <cell r="K535" t="str">
            <v>SERVICIO DE REPARACION DE 2 ALERONES</v>
          </cell>
          <cell r="L535">
            <v>1</v>
          </cell>
          <cell r="M535" t="str">
            <v>UNID.</v>
          </cell>
          <cell r="N535" t="str">
            <v>TRACTO</v>
          </cell>
          <cell r="O535">
            <v>106</v>
          </cell>
          <cell r="P535" t="str">
            <v>J1</v>
          </cell>
          <cell r="Q535" t="str">
            <v>J1</v>
          </cell>
          <cell r="R535" t="str">
            <v>J6</v>
          </cell>
          <cell r="S535" t="str">
            <v>ENTREGADO</v>
          </cell>
          <cell r="T535">
            <v>0</v>
          </cell>
          <cell r="U535" t="str">
            <v>FLOREZ CONDORI  JOSE WILLIANS</v>
          </cell>
          <cell r="V535" t="str">
            <v>FLOREZ CONDORI  JOSE WILLIANS</v>
          </cell>
        </row>
        <row r="536">
          <cell r="A536">
            <v>513</v>
          </cell>
          <cell r="B536">
            <v>42684</v>
          </cell>
          <cell r="C536" t="str">
            <v>NOVIEMBRE</v>
          </cell>
          <cell r="D536" t="str">
            <v>2016</v>
          </cell>
          <cell r="E536">
            <v>229</v>
          </cell>
          <cell r="F536" t="str">
            <v>AEH-801</v>
          </cell>
          <cell r="G536" t="str">
            <v>CAMIONETA</v>
          </cell>
          <cell r="H536" t="str">
            <v>LAS BAMBAS</v>
          </cell>
          <cell r="I536">
            <v>83936</v>
          </cell>
          <cell r="J536" t="str">
            <v>REPUESTO</v>
          </cell>
          <cell r="K536" t="str">
            <v>CRUZETA DE EJE DE CARDAN</v>
          </cell>
          <cell r="L536">
            <v>2</v>
          </cell>
          <cell r="M536" t="str">
            <v>UNID.</v>
          </cell>
          <cell r="N536" t="str">
            <v>CAMIONETA</v>
          </cell>
          <cell r="O536">
            <v>106</v>
          </cell>
          <cell r="P536" t="str">
            <v>M3</v>
          </cell>
          <cell r="Q536" t="str">
            <v>J1</v>
          </cell>
          <cell r="R536" t="str">
            <v>J6</v>
          </cell>
          <cell r="S536" t="str">
            <v>ENTREGADO</v>
          </cell>
          <cell r="T536">
            <v>0</v>
          </cell>
          <cell r="U536" t="str">
            <v>GARCIA PASQUEL  JOSE LUIS</v>
          </cell>
          <cell r="V536" t="str">
            <v>FLOREZ CONDORI  JOSE WILLIANS</v>
          </cell>
        </row>
        <row r="537">
          <cell r="A537">
            <v>531</v>
          </cell>
          <cell r="B537">
            <v>42684</v>
          </cell>
          <cell r="C537" t="str">
            <v>NOVIEMBRE</v>
          </cell>
          <cell r="D537" t="str">
            <v>2016</v>
          </cell>
          <cell r="E537">
            <v>229</v>
          </cell>
          <cell r="F537" t="str">
            <v>AEH-801</v>
          </cell>
          <cell r="G537" t="str">
            <v>CAMIONETA</v>
          </cell>
          <cell r="H537" t="str">
            <v>LAS BAMBAS</v>
          </cell>
          <cell r="I537">
            <v>83936</v>
          </cell>
          <cell r="J537" t="str">
            <v>REPUESTO</v>
          </cell>
          <cell r="K537" t="str">
            <v>FAROS NEBLINEROS 12 V</v>
          </cell>
          <cell r="L537">
            <v>2</v>
          </cell>
          <cell r="M537" t="str">
            <v>UNID.</v>
          </cell>
          <cell r="N537" t="str">
            <v>TRACTO</v>
          </cell>
          <cell r="O537">
            <v>106</v>
          </cell>
          <cell r="P537" t="str">
            <v>E1</v>
          </cell>
          <cell r="Q537" t="str">
            <v>J2</v>
          </cell>
          <cell r="R537" t="str">
            <v>J6</v>
          </cell>
          <cell r="S537" t="str">
            <v>ENTREGADO</v>
          </cell>
          <cell r="T537">
            <v>0</v>
          </cell>
          <cell r="U537" t="str">
            <v>PALOMINO CARDENAS JUAN CARLOS</v>
          </cell>
          <cell r="V537" t="str">
            <v>CORIHUAMAN SURCO  ERICK ROBERT</v>
          </cell>
        </row>
        <row r="538">
          <cell r="A538">
            <v>530</v>
          </cell>
          <cell r="B538">
            <v>42684</v>
          </cell>
          <cell r="C538" t="str">
            <v>NOVIEMBRE</v>
          </cell>
          <cell r="D538" t="str">
            <v>2016</v>
          </cell>
          <cell r="E538">
            <v>264</v>
          </cell>
          <cell r="F538" t="str">
            <v>AEJ-949</v>
          </cell>
          <cell r="G538" t="str">
            <v>CAMIONETA</v>
          </cell>
          <cell r="H538" t="str">
            <v>LAS BAMBAS</v>
          </cell>
          <cell r="I538">
            <v>85037</v>
          </cell>
          <cell r="J538" t="str">
            <v>REPUESTO</v>
          </cell>
          <cell r="K538" t="str">
            <v>FAROS NEBLINEROS 12 V</v>
          </cell>
          <cell r="L538">
            <v>2</v>
          </cell>
          <cell r="M538" t="str">
            <v>UNID.</v>
          </cell>
          <cell r="N538" t="str">
            <v>TRACTO</v>
          </cell>
          <cell r="O538">
            <v>106</v>
          </cell>
          <cell r="P538" t="str">
            <v>E1</v>
          </cell>
          <cell r="Q538" t="str">
            <v>J2</v>
          </cell>
          <cell r="R538" t="str">
            <v>J6</v>
          </cell>
          <cell r="S538" t="str">
            <v>ENTREGADO</v>
          </cell>
          <cell r="T538">
            <v>0</v>
          </cell>
          <cell r="U538" t="str">
            <v>PALOMINO CARDENAS JUAN CARLOS</v>
          </cell>
          <cell r="V538" t="str">
            <v>CORIHUAMAN SURCO  ERICK ROBERT</v>
          </cell>
        </row>
        <row r="539">
          <cell r="A539">
            <v>526</v>
          </cell>
          <cell r="B539">
            <v>42684</v>
          </cell>
          <cell r="C539" t="str">
            <v>NOVIEMBRE</v>
          </cell>
          <cell r="D539" t="str">
            <v>2016</v>
          </cell>
          <cell r="E539">
            <v>294</v>
          </cell>
          <cell r="F539" t="str">
            <v>AHX-713</v>
          </cell>
          <cell r="G539" t="str">
            <v>D9S-976</v>
          </cell>
          <cell r="H539" t="str">
            <v>LAS BAMBAS</v>
          </cell>
          <cell r="I539">
            <v>59611</v>
          </cell>
          <cell r="J539" t="str">
            <v>REPUESTO</v>
          </cell>
          <cell r="K539" t="str">
            <v>FAJAS</v>
          </cell>
          <cell r="L539">
            <v>2</v>
          </cell>
          <cell r="M539" t="str">
            <v>UNID.</v>
          </cell>
          <cell r="N539" t="str">
            <v>TRACTO</v>
          </cell>
          <cell r="O539">
            <v>106</v>
          </cell>
          <cell r="P539" t="str">
            <v>M3</v>
          </cell>
          <cell r="Q539" t="str">
            <v>J1</v>
          </cell>
          <cell r="R539" t="str">
            <v>J6</v>
          </cell>
          <cell r="S539" t="str">
            <v>ENTREGADO</v>
          </cell>
          <cell r="T539">
            <v>0</v>
          </cell>
          <cell r="U539" t="str">
            <v>GARCIA PASQUEL  JOSE LUIS</v>
          </cell>
          <cell r="V539" t="str">
            <v>FLOREZ CONDORI  JOSE WILLIANS</v>
          </cell>
        </row>
        <row r="540">
          <cell r="A540">
            <v>527</v>
          </cell>
          <cell r="B540">
            <v>42684</v>
          </cell>
          <cell r="C540" t="str">
            <v>NOVIEMBRE</v>
          </cell>
          <cell r="D540" t="str">
            <v>2016</v>
          </cell>
          <cell r="E540">
            <v>294</v>
          </cell>
          <cell r="F540" t="str">
            <v>AHX-713</v>
          </cell>
          <cell r="G540" t="str">
            <v>D9S-976</v>
          </cell>
          <cell r="H540" t="str">
            <v>LAS BAMBAS</v>
          </cell>
          <cell r="I540">
            <v>59611</v>
          </cell>
          <cell r="J540" t="str">
            <v>REPUESTO</v>
          </cell>
          <cell r="K540" t="str">
            <v>RODILLOS</v>
          </cell>
          <cell r="L540">
            <v>2</v>
          </cell>
          <cell r="M540" t="str">
            <v>UNID.</v>
          </cell>
          <cell r="N540" t="str">
            <v>TRACTO</v>
          </cell>
          <cell r="O540">
            <v>106</v>
          </cell>
          <cell r="P540" t="str">
            <v>M3</v>
          </cell>
          <cell r="Q540" t="str">
            <v>J1</v>
          </cell>
          <cell r="R540" t="str">
            <v>J6</v>
          </cell>
          <cell r="S540" t="str">
            <v>ENTREGADO</v>
          </cell>
          <cell r="T540">
            <v>0</v>
          </cell>
          <cell r="U540" t="str">
            <v>GARCIA PASQUEL  JOSE LUIS</v>
          </cell>
          <cell r="V540" t="str">
            <v>FLOREZ CONDORI  JOSE WILLIANS</v>
          </cell>
        </row>
        <row r="541">
          <cell r="A541">
            <v>573</v>
          </cell>
          <cell r="B541">
            <v>42684</v>
          </cell>
          <cell r="C541" t="str">
            <v>NOVIEMBRE</v>
          </cell>
          <cell r="D541" t="str">
            <v>2016</v>
          </cell>
          <cell r="E541">
            <v>294</v>
          </cell>
          <cell r="F541" t="str">
            <v>AHX-713</v>
          </cell>
          <cell r="G541" t="str">
            <v>D9S-976</v>
          </cell>
          <cell r="H541" t="str">
            <v>LAS BAMBAS</v>
          </cell>
          <cell r="I541">
            <v>59611</v>
          </cell>
          <cell r="J541" t="str">
            <v>REPUESTO</v>
          </cell>
          <cell r="K541" t="str">
            <v>ARO MODELO AMERICANO</v>
          </cell>
          <cell r="L541">
            <v>1</v>
          </cell>
          <cell r="M541" t="str">
            <v>UNID.</v>
          </cell>
          <cell r="N541" t="str">
            <v>TRACTO</v>
          </cell>
          <cell r="O541">
            <v>0</v>
          </cell>
          <cell r="P541" t="str">
            <v>N1</v>
          </cell>
          <cell r="Q541" t="str">
            <v>J3</v>
          </cell>
          <cell r="R541" t="str">
            <v>J6</v>
          </cell>
          <cell r="S541" t="str">
            <v>ENTREGADO</v>
          </cell>
          <cell r="T541">
            <v>42684</v>
          </cell>
          <cell r="U541" t="str">
            <v>AGUILAR CCANTUTA WILLY</v>
          </cell>
          <cell r="V541" t="str">
            <v>CHURA PIZARRO ALBERTO</v>
          </cell>
        </row>
        <row r="542">
          <cell r="A542">
            <v>572</v>
          </cell>
          <cell r="B542">
            <v>42684</v>
          </cell>
          <cell r="C542" t="str">
            <v>NOVIEMBRE</v>
          </cell>
          <cell r="D542" t="str">
            <v>2016</v>
          </cell>
          <cell r="E542">
            <v>294</v>
          </cell>
          <cell r="F542" t="str">
            <v>AHX-713</v>
          </cell>
          <cell r="G542" t="str">
            <v>D9S-976</v>
          </cell>
          <cell r="H542" t="str">
            <v>LAS BAMBAS</v>
          </cell>
          <cell r="I542">
            <v>59611</v>
          </cell>
          <cell r="J542" t="str">
            <v>REPUESTO</v>
          </cell>
          <cell r="K542" t="str">
            <v>LLANTAS REENCAUCHADAS</v>
          </cell>
          <cell r="L542">
            <v>4</v>
          </cell>
          <cell r="M542" t="str">
            <v>UNID.</v>
          </cell>
          <cell r="N542" t="str">
            <v>TRACTO</v>
          </cell>
          <cell r="O542">
            <v>0</v>
          </cell>
          <cell r="P542" t="str">
            <v>N1</v>
          </cell>
          <cell r="Q542" t="str">
            <v>J3</v>
          </cell>
          <cell r="R542" t="str">
            <v>J6</v>
          </cell>
          <cell r="S542" t="str">
            <v>ENTREGADO</v>
          </cell>
          <cell r="T542">
            <v>42684</v>
          </cell>
          <cell r="U542" t="str">
            <v>AGUILAR CCANTUTA WILLY</v>
          </cell>
          <cell r="V542" t="str">
            <v>CHURA PIZARRO ALBERTO</v>
          </cell>
        </row>
        <row r="543">
          <cell r="A543">
            <v>517</v>
          </cell>
          <cell r="B543">
            <v>42684</v>
          </cell>
          <cell r="C543" t="str">
            <v>NOVIEMBRE</v>
          </cell>
          <cell r="D543" t="str">
            <v>2016</v>
          </cell>
          <cell r="E543">
            <v>209</v>
          </cell>
          <cell r="F543" t="str">
            <v>AKX-805</v>
          </cell>
          <cell r="G543" t="str">
            <v>F5Z-985</v>
          </cell>
          <cell r="H543" t="str">
            <v>LAS BAMBAS</v>
          </cell>
          <cell r="I543">
            <v>31856</v>
          </cell>
          <cell r="J543" t="str">
            <v>REPUESTO</v>
          </cell>
          <cell r="K543" t="str">
            <v>MANGUERA SIMFLEX DE 3/8</v>
          </cell>
          <cell r="L543">
            <v>10</v>
          </cell>
          <cell r="M543" t="str">
            <v>M</v>
          </cell>
          <cell r="N543" t="str">
            <v>CISTERNA</v>
          </cell>
          <cell r="O543">
            <v>0</v>
          </cell>
          <cell r="P543" t="str">
            <v>M4</v>
          </cell>
          <cell r="Q543" t="str">
            <v>J1</v>
          </cell>
          <cell r="R543" t="str">
            <v>J6</v>
          </cell>
          <cell r="S543" t="str">
            <v>ENTREGADO</v>
          </cell>
          <cell r="T543">
            <v>42684</v>
          </cell>
          <cell r="U543" t="str">
            <v>JULLIRI APAZA UBALDO</v>
          </cell>
          <cell r="V543" t="str">
            <v>FLOREZ CONDORI  JOSE WILLIANS</v>
          </cell>
        </row>
        <row r="544">
          <cell r="A544">
            <v>518</v>
          </cell>
          <cell r="B544">
            <v>42684</v>
          </cell>
          <cell r="C544" t="str">
            <v>NOVIEMBRE</v>
          </cell>
          <cell r="D544" t="str">
            <v>2016</v>
          </cell>
          <cell r="E544">
            <v>209</v>
          </cell>
          <cell r="F544" t="str">
            <v>AKX-805</v>
          </cell>
          <cell r="G544" t="str">
            <v>F5Z-985</v>
          </cell>
          <cell r="H544" t="str">
            <v>LAS BAMBAS</v>
          </cell>
          <cell r="I544">
            <v>31856</v>
          </cell>
          <cell r="J544" t="str">
            <v>REPUESTO</v>
          </cell>
          <cell r="K544" t="str">
            <v>TUERCA 3/8</v>
          </cell>
          <cell r="L544">
            <v>10</v>
          </cell>
          <cell r="M544" t="str">
            <v>UNID.</v>
          </cell>
          <cell r="N544" t="str">
            <v>CISTERNA</v>
          </cell>
          <cell r="O544">
            <v>0</v>
          </cell>
          <cell r="P544" t="str">
            <v>M4</v>
          </cell>
          <cell r="Q544" t="str">
            <v>J1</v>
          </cell>
          <cell r="R544" t="str">
            <v>J6</v>
          </cell>
          <cell r="S544" t="str">
            <v>ENTREGADO</v>
          </cell>
          <cell r="T544">
            <v>42684</v>
          </cell>
          <cell r="U544" t="str">
            <v>JULLIRI APAZA UBALDO</v>
          </cell>
          <cell r="V544" t="str">
            <v>FLOREZ CONDORI  JOSE WILLIANS</v>
          </cell>
        </row>
        <row r="545">
          <cell r="A545">
            <v>519</v>
          </cell>
          <cell r="B545">
            <v>42684</v>
          </cell>
          <cell r="C545" t="str">
            <v>NOVIEMBRE</v>
          </cell>
          <cell r="D545" t="str">
            <v>2016</v>
          </cell>
          <cell r="E545">
            <v>209</v>
          </cell>
          <cell r="F545" t="str">
            <v>AKX-805</v>
          </cell>
          <cell r="G545" t="str">
            <v>F5Z-985</v>
          </cell>
          <cell r="H545" t="str">
            <v>LAS BAMBAS</v>
          </cell>
          <cell r="I545">
            <v>31856</v>
          </cell>
          <cell r="J545" t="str">
            <v>REPUESTO</v>
          </cell>
          <cell r="K545" t="str">
            <v>CONO 3/8</v>
          </cell>
          <cell r="L545">
            <v>10</v>
          </cell>
          <cell r="M545" t="str">
            <v>UNID.</v>
          </cell>
          <cell r="N545" t="str">
            <v>CISTERNA</v>
          </cell>
          <cell r="O545">
            <v>0</v>
          </cell>
          <cell r="P545" t="str">
            <v>M4</v>
          </cell>
          <cell r="Q545" t="str">
            <v>J1</v>
          </cell>
          <cell r="R545" t="str">
            <v>J6</v>
          </cell>
          <cell r="S545" t="str">
            <v>ENTREGADO</v>
          </cell>
          <cell r="T545">
            <v>42684</v>
          </cell>
          <cell r="U545" t="str">
            <v>JULLIRI APAZA UBALDO</v>
          </cell>
          <cell r="V545" t="str">
            <v>FLOREZ CONDORI  JOSE WILLIANS</v>
          </cell>
        </row>
        <row r="546">
          <cell r="A546">
            <v>520</v>
          </cell>
          <cell r="B546">
            <v>42684</v>
          </cell>
          <cell r="C546" t="str">
            <v>NOVIEMBRE</v>
          </cell>
          <cell r="D546" t="str">
            <v>2016</v>
          </cell>
          <cell r="E546">
            <v>209</v>
          </cell>
          <cell r="F546" t="str">
            <v>AKX-805</v>
          </cell>
          <cell r="G546" t="str">
            <v>F5Z-985</v>
          </cell>
          <cell r="H546" t="str">
            <v>LAS BAMBAS</v>
          </cell>
          <cell r="I546">
            <v>31856</v>
          </cell>
          <cell r="J546" t="str">
            <v>REPUESTO</v>
          </cell>
          <cell r="K546" t="str">
            <v>GUIA 3/8</v>
          </cell>
          <cell r="L546">
            <v>10</v>
          </cell>
          <cell r="M546" t="str">
            <v>UNID.</v>
          </cell>
          <cell r="N546" t="str">
            <v>CISTERNA</v>
          </cell>
          <cell r="O546">
            <v>0</v>
          </cell>
          <cell r="P546" t="str">
            <v>M4</v>
          </cell>
          <cell r="Q546" t="str">
            <v>J1</v>
          </cell>
          <cell r="R546" t="str">
            <v>J6</v>
          </cell>
          <cell r="S546" t="str">
            <v>ENTREGADO</v>
          </cell>
          <cell r="T546">
            <v>42684</v>
          </cell>
          <cell r="U546" t="str">
            <v>JULLIRI APAZA UBALDO</v>
          </cell>
          <cell r="V546" t="str">
            <v>FLOREZ CONDORI  JOSE WILLIANS</v>
          </cell>
        </row>
        <row r="547">
          <cell r="A547">
            <v>521</v>
          </cell>
          <cell r="B547">
            <v>42684</v>
          </cell>
          <cell r="C547" t="str">
            <v>NOVIEMBRE</v>
          </cell>
          <cell r="D547" t="str">
            <v>2016</v>
          </cell>
          <cell r="E547">
            <v>209</v>
          </cell>
          <cell r="F547" t="str">
            <v>AKX-805</v>
          </cell>
          <cell r="G547" t="str">
            <v>F5Z-985</v>
          </cell>
          <cell r="H547" t="str">
            <v>LAS BAMBAS</v>
          </cell>
          <cell r="I547">
            <v>31856</v>
          </cell>
          <cell r="J547" t="str">
            <v>REPUESTO</v>
          </cell>
          <cell r="K547" t="str">
            <v>UNION DE 3/8 COMPLETO</v>
          </cell>
          <cell r="L547">
            <v>5</v>
          </cell>
          <cell r="M547" t="str">
            <v>UNID.</v>
          </cell>
          <cell r="N547" t="str">
            <v>CISTERNA</v>
          </cell>
          <cell r="O547">
            <v>0</v>
          </cell>
          <cell r="P547" t="str">
            <v>M4</v>
          </cell>
          <cell r="Q547" t="str">
            <v>J1</v>
          </cell>
          <cell r="R547" t="str">
            <v>J6</v>
          </cell>
          <cell r="S547" t="str">
            <v>ENTREGADO</v>
          </cell>
          <cell r="T547">
            <v>42684</v>
          </cell>
          <cell r="U547" t="str">
            <v>JULLIRI APAZA UBALDO</v>
          </cell>
          <cell r="V547" t="str">
            <v>FLOREZ CONDORI  JOSE WILLIANS</v>
          </cell>
        </row>
        <row r="548">
          <cell r="A548">
            <v>522</v>
          </cell>
          <cell r="B548">
            <v>42684</v>
          </cell>
          <cell r="C548" t="str">
            <v>NOVIEMBRE</v>
          </cell>
          <cell r="D548" t="str">
            <v>2016</v>
          </cell>
          <cell r="E548">
            <v>209</v>
          </cell>
          <cell r="F548" t="str">
            <v>AKX-805</v>
          </cell>
          <cell r="G548" t="str">
            <v>F5Z-985</v>
          </cell>
          <cell r="H548" t="str">
            <v>LAS BAMBAS</v>
          </cell>
          <cell r="I548">
            <v>31856</v>
          </cell>
          <cell r="J548" t="str">
            <v>UNIFORMES</v>
          </cell>
          <cell r="K548" t="str">
            <v>TEFLON</v>
          </cell>
          <cell r="L548">
            <v>1</v>
          </cell>
          <cell r="M548" t="str">
            <v>UNID.</v>
          </cell>
          <cell r="N548" t="str">
            <v>CISTERNA</v>
          </cell>
          <cell r="O548">
            <v>0</v>
          </cell>
          <cell r="P548" t="str">
            <v>M4</v>
          </cell>
          <cell r="Q548" t="str">
            <v>J1</v>
          </cell>
          <cell r="R548" t="str">
            <v>J6</v>
          </cell>
          <cell r="S548" t="str">
            <v>ENTREGADO</v>
          </cell>
          <cell r="T548">
            <v>42684</v>
          </cell>
          <cell r="U548" t="str">
            <v>JULLIRI APAZA UBALDO</v>
          </cell>
          <cell r="V548" t="str">
            <v>FLOREZ CONDORI  JOSE WILLIANS</v>
          </cell>
        </row>
        <row r="549">
          <cell r="A549">
            <v>523</v>
          </cell>
          <cell r="B549">
            <v>42684</v>
          </cell>
          <cell r="C549" t="str">
            <v>NOVIEMBRE</v>
          </cell>
          <cell r="D549" t="str">
            <v>2016</v>
          </cell>
          <cell r="E549">
            <v>209</v>
          </cell>
          <cell r="F549" t="str">
            <v>AKX-805</v>
          </cell>
          <cell r="G549" t="str">
            <v>F5Z-985</v>
          </cell>
          <cell r="H549" t="str">
            <v>LAS BAMBAS</v>
          </cell>
          <cell r="I549">
            <v>31856</v>
          </cell>
          <cell r="J549" t="str">
            <v>INSUMO TALLER</v>
          </cell>
          <cell r="K549" t="str">
            <v>MANGUERA CORRUGADA 3/8</v>
          </cell>
          <cell r="L549">
            <v>10</v>
          </cell>
          <cell r="M549" t="str">
            <v>M</v>
          </cell>
          <cell r="N549" t="str">
            <v>CISTERNA</v>
          </cell>
          <cell r="O549">
            <v>1</v>
          </cell>
          <cell r="P549" t="str">
            <v>M4</v>
          </cell>
          <cell r="Q549" t="str">
            <v>J1</v>
          </cell>
          <cell r="R549" t="str">
            <v>J6</v>
          </cell>
          <cell r="S549" t="str">
            <v>ENTREGADO</v>
          </cell>
          <cell r="T549">
            <v>42685</v>
          </cell>
          <cell r="U549" t="str">
            <v>JULLIRI APAZA UBALDO</v>
          </cell>
          <cell r="V549" t="str">
            <v>FLOREZ CONDORI  JOSE WILLIANS</v>
          </cell>
        </row>
        <row r="550">
          <cell r="A550">
            <v>528</v>
          </cell>
          <cell r="B550">
            <v>42684</v>
          </cell>
          <cell r="C550" t="str">
            <v>NOVIEMBRE</v>
          </cell>
          <cell r="D550" t="str">
            <v>2016</v>
          </cell>
          <cell r="E550">
            <v>209</v>
          </cell>
          <cell r="F550" t="str">
            <v>AKX-805</v>
          </cell>
          <cell r="G550" t="str">
            <v>F5Z-985</v>
          </cell>
          <cell r="H550" t="str">
            <v>LAS BAMBAS</v>
          </cell>
          <cell r="I550">
            <v>31856</v>
          </cell>
          <cell r="J550" t="str">
            <v>REPUESTO</v>
          </cell>
          <cell r="K550" t="str">
            <v>TUERCA 1/2</v>
          </cell>
          <cell r="L550">
            <v>1</v>
          </cell>
          <cell r="M550" t="str">
            <v>UNID.</v>
          </cell>
          <cell r="N550" t="str">
            <v>TRACTO</v>
          </cell>
          <cell r="O550">
            <v>0</v>
          </cell>
          <cell r="P550" t="str">
            <v>S1</v>
          </cell>
          <cell r="Q550" t="str">
            <v>J2</v>
          </cell>
          <cell r="R550" t="str">
            <v>J6</v>
          </cell>
          <cell r="S550" t="str">
            <v>ENTREGADO</v>
          </cell>
          <cell r="T550">
            <v>42684</v>
          </cell>
          <cell r="U550" t="str">
            <v>BAYONA CRUZ CRISTIAN ARMANDO</v>
          </cell>
          <cell r="V550" t="str">
            <v>CORIHUAMAN SURCO  ERICK ROBERT</v>
          </cell>
        </row>
        <row r="551">
          <cell r="A551">
            <v>529</v>
          </cell>
          <cell r="B551">
            <v>42684</v>
          </cell>
          <cell r="C551" t="str">
            <v>NOVIEMBRE</v>
          </cell>
          <cell r="D551" t="str">
            <v>2016</v>
          </cell>
          <cell r="E551">
            <v>209</v>
          </cell>
          <cell r="F551" t="str">
            <v>AKX-805</v>
          </cell>
          <cell r="G551" t="str">
            <v>F5Z-985</v>
          </cell>
          <cell r="H551" t="str">
            <v>LAS BAMBAS</v>
          </cell>
          <cell r="I551">
            <v>31856</v>
          </cell>
          <cell r="J551" t="str">
            <v>REPUESTO</v>
          </cell>
          <cell r="K551" t="str">
            <v>ARANDELA PLANA 1/2</v>
          </cell>
          <cell r="L551">
            <v>1</v>
          </cell>
          <cell r="M551" t="str">
            <v>UNID.</v>
          </cell>
          <cell r="N551" t="str">
            <v>TRACTO</v>
          </cell>
          <cell r="O551">
            <v>0</v>
          </cell>
          <cell r="P551" t="str">
            <v>S1</v>
          </cell>
          <cell r="Q551" t="str">
            <v>J2</v>
          </cell>
          <cell r="R551" t="str">
            <v>J6</v>
          </cell>
          <cell r="S551" t="str">
            <v>ENTREGADO</v>
          </cell>
          <cell r="T551">
            <v>42684</v>
          </cell>
          <cell r="U551" t="str">
            <v>BAYONA CRUZ CRISTIAN ARMANDO</v>
          </cell>
          <cell r="V551" t="str">
            <v>CORIHUAMAN SURCO  ERICK ROBERT</v>
          </cell>
        </row>
        <row r="552">
          <cell r="A552">
            <v>544</v>
          </cell>
          <cell r="B552">
            <v>42684</v>
          </cell>
          <cell r="C552" t="str">
            <v>NOVIEMBRE</v>
          </cell>
          <cell r="D552" t="str">
            <v>2016</v>
          </cell>
          <cell r="E552">
            <v>209</v>
          </cell>
          <cell r="F552" t="str">
            <v>AKX-805</v>
          </cell>
          <cell r="G552" t="str">
            <v>F5Z-985</v>
          </cell>
          <cell r="H552" t="str">
            <v>LAS BAMBAS</v>
          </cell>
          <cell r="I552">
            <v>31856</v>
          </cell>
          <cell r="J552" t="str">
            <v>REPUESTO</v>
          </cell>
          <cell r="K552" t="str">
            <v>PERNOS 5/16 X 1 1/2</v>
          </cell>
          <cell r="L552">
            <v>4</v>
          </cell>
          <cell r="M552" t="str">
            <v>UNID.</v>
          </cell>
          <cell r="N552" t="str">
            <v>CISTERNA</v>
          </cell>
          <cell r="O552">
            <v>0</v>
          </cell>
          <cell r="P552" t="str">
            <v>M4</v>
          </cell>
          <cell r="Q552" t="str">
            <v>J2</v>
          </cell>
          <cell r="R552" t="str">
            <v>J6</v>
          </cell>
          <cell r="S552" t="str">
            <v>ENTREGADO</v>
          </cell>
          <cell r="T552">
            <v>42684</v>
          </cell>
          <cell r="U552" t="str">
            <v>JULLIRI APAZA UBALDO</v>
          </cell>
          <cell r="V552" t="str">
            <v>CORIHUAMAN SURCO  ERICK ROBERT</v>
          </cell>
        </row>
        <row r="553">
          <cell r="A553">
            <v>545</v>
          </cell>
          <cell r="B553">
            <v>42684</v>
          </cell>
          <cell r="C553" t="str">
            <v>NOVIEMBRE</v>
          </cell>
          <cell r="D553" t="str">
            <v>2016</v>
          </cell>
          <cell r="E553">
            <v>209</v>
          </cell>
          <cell r="F553" t="str">
            <v>AKX-805</v>
          </cell>
          <cell r="G553" t="str">
            <v>F5Z-985</v>
          </cell>
          <cell r="H553" t="str">
            <v>LAS BAMBAS</v>
          </cell>
          <cell r="I553">
            <v>31856</v>
          </cell>
          <cell r="J553" t="str">
            <v>REPUESTO</v>
          </cell>
          <cell r="K553" t="str">
            <v>ARANDELAS PLANAS 5/16</v>
          </cell>
          <cell r="L553">
            <v>8</v>
          </cell>
          <cell r="M553" t="str">
            <v>UNID.</v>
          </cell>
          <cell r="N553" t="str">
            <v>CISTERNA</v>
          </cell>
          <cell r="O553">
            <v>0</v>
          </cell>
          <cell r="P553" t="str">
            <v>M4</v>
          </cell>
          <cell r="Q553" t="str">
            <v>J2</v>
          </cell>
          <cell r="R553" t="str">
            <v>J6</v>
          </cell>
          <cell r="S553" t="str">
            <v>ENTREGADO</v>
          </cell>
          <cell r="T553">
            <v>42684</v>
          </cell>
          <cell r="U553" t="str">
            <v>JULLIRI APAZA UBALDO</v>
          </cell>
          <cell r="V553" t="str">
            <v>CORIHUAMAN SURCO  ERICK ROBERT</v>
          </cell>
        </row>
        <row r="554">
          <cell r="A554">
            <v>546</v>
          </cell>
          <cell r="B554">
            <v>42684</v>
          </cell>
          <cell r="C554" t="str">
            <v>NOVIEMBRE</v>
          </cell>
          <cell r="D554" t="str">
            <v>2016</v>
          </cell>
          <cell r="E554">
            <v>209</v>
          </cell>
          <cell r="F554" t="str">
            <v>AKX-805</v>
          </cell>
          <cell r="G554" t="str">
            <v>F5Z-985</v>
          </cell>
          <cell r="H554" t="str">
            <v>LAS BAMBAS</v>
          </cell>
          <cell r="I554">
            <v>31856</v>
          </cell>
          <cell r="J554" t="str">
            <v>REPUESTO</v>
          </cell>
          <cell r="K554" t="str">
            <v>TUERCA SE SEGURO 5/16</v>
          </cell>
          <cell r="L554">
            <v>4</v>
          </cell>
          <cell r="M554" t="str">
            <v>UNID.</v>
          </cell>
          <cell r="N554" t="str">
            <v>CISTERNA</v>
          </cell>
          <cell r="O554">
            <v>0</v>
          </cell>
          <cell r="P554" t="str">
            <v>M4</v>
          </cell>
          <cell r="Q554" t="str">
            <v>J2</v>
          </cell>
          <cell r="R554" t="str">
            <v>J6</v>
          </cell>
          <cell r="S554" t="str">
            <v>ENTREGADO</v>
          </cell>
          <cell r="T554">
            <v>42684</v>
          </cell>
          <cell r="U554" t="str">
            <v>JULLIRI APAZA UBALDO</v>
          </cell>
          <cell r="V554" t="str">
            <v>CORIHUAMAN SURCO  ERICK ROBERT</v>
          </cell>
        </row>
        <row r="555">
          <cell r="A555">
            <v>555</v>
          </cell>
          <cell r="B555">
            <v>42684</v>
          </cell>
          <cell r="C555" t="str">
            <v>NOVIEMBRE</v>
          </cell>
          <cell r="D555" t="str">
            <v>2016</v>
          </cell>
          <cell r="E555">
            <v>209</v>
          </cell>
          <cell r="F555" t="str">
            <v>AKX-805</v>
          </cell>
          <cell r="G555" t="str">
            <v>F5Z-985</v>
          </cell>
          <cell r="H555" t="str">
            <v>LAS BAMBAS</v>
          </cell>
          <cell r="I555">
            <v>31856</v>
          </cell>
          <cell r="J555" t="str">
            <v>REPUESTO</v>
          </cell>
          <cell r="K555" t="str">
            <v>CABLE NRO. 14</v>
          </cell>
          <cell r="L555">
            <v>3</v>
          </cell>
          <cell r="M555" t="str">
            <v>M</v>
          </cell>
          <cell r="N555" t="str">
            <v>CISTERNA</v>
          </cell>
          <cell r="O555">
            <v>0</v>
          </cell>
          <cell r="P555" t="str">
            <v>E2</v>
          </cell>
          <cell r="Q555" t="str">
            <v>J2</v>
          </cell>
          <cell r="R555" t="str">
            <v>J6</v>
          </cell>
          <cell r="S555" t="str">
            <v>ENTREGADO</v>
          </cell>
          <cell r="T555">
            <v>42684</v>
          </cell>
          <cell r="U555" t="str">
            <v>YUCA BELLIDO BORIS YERSY</v>
          </cell>
          <cell r="V555" t="str">
            <v>CORIHUAMAN SURCO  ERICK ROBERT</v>
          </cell>
        </row>
        <row r="556">
          <cell r="A556">
            <v>556</v>
          </cell>
          <cell r="B556">
            <v>42684</v>
          </cell>
          <cell r="C556" t="str">
            <v>NOVIEMBRE</v>
          </cell>
          <cell r="D556" t="str">
            <v>2016</v>
          </cell>
          <cell r="E556">
            <v>209</v>
          </cell>
          <cell r="F556" t="str">
            <v>AKX-805</v>
          </cell>
          <cell r="G556" t="str">
            <v>F5Z-985</v>
          </cell>
          <cell r="H556" t="str">
            <v>LAS BAMBAS</v>
          </cell>
          <cell r="I556">
            <v>31856</v>
          </cell>
          <cell r="J556" t="str">
            <v>REPUESTO</v>
          </cell>
          <cell r="K556" t="str">
            <v>TUBO CORRUGADO 1/4</v>
          </cell>
          <cell r="L556">
            <v>2</v>
          </cell>
          <cell r="M556" t="str">
            <v>M</v>
          </cell>
          <cell r="N556" t="str">
            <v>CISTERNA</v>
          </cell>
          <cell r="O556">
            <v>0</v>
          </cell>
          <cell r="P556" t="str">
            <v>E2</v>
          </cell>
          <cell r="Q556" t="str">
            <v>J2</v>
          </cell>
          <cell r="R556" t="str">
            <v>J6</v>
          </cell>
          <cell r="S556" t="str">
            <v>ENTREGADO</v>
          </cell>
          <cell r="T556">
            <v>42684</v>
          </cell>
          <cell r="U556" t="str">
            <v>YUCA BELLIDO BORIS YERSY</v>
          </cell>
          <cell r="V556" t="str">
            <v>CORIHUAMAN SURCO  ERICK ROBERT</v>
          </cell>
        </row>
        <row r="557">
          <cell r="A557">
            <v>557</v>
          </cell>
          <cell r="B557">
            <v>42684</v>
          </cell>
          <cell r="C557" t="str">
            <v>NOVIEMBRE</v>
          </cell>
          <cell r="D557" t="str">
            <v>2016</v>
          </cell>
          <cell r="E557">
            <v>209</v>
          </cell>
          <cell r="F557" t="str">
            <v>AKX-805</v>
          </cell>
          <cell r="G557" t="str">
            <v>F5Z-985</v>
          </cell>
          <cell r="H557" t="str">
            <v>LAS BAMBAS</v>
          </cell>
          <cell r="I557">
            <v>31856</v>
          </cell>
          <cell r="J557" t="str">
            <v>REPUESTO</v>
          </cell>
          <cell r="K557" t="str">
            <v>MANGUERA DE AIRE 1/4</v>
          </cell>
          <cell r="L557">
            <v>2</v>
          </cell>
          <cell r="M557" t="str">
            <v>M</v>
          </cell>
          <cell r="N557" t="str">
            <v>CISTERNA</v>
          </cell>
          <cell r="O557">
            <v>0</v>
          </cell>
          <cell r="P557" t="str">
            <v>S1</v>
          </cell>
          <cell r="Q557" t="str">
            <v>J1</v>
          </cell>
          <cell r="R557" t="str">
            <v>J6</v>
          </cell>
          <cell r="S557" t="str">
            <v>ENTREGADO</v>
          </cell>
          <cell r="T557">
            <v>42684</v>
          </cell>
          <cell r="U557" t="str">
            <v>BAYONA CRUZ CRISTIAN ARMANDO</v>
          </cell>
          <cell r="V557" t="str">
            <v>FLOREZ CONDORI  JOSE WILLIANS</v>
          </cell>
        </row>
        <row r="558">
          <cell r="A558">
            <v>558</v>
          </cell>
          <cell r="B558">
            <v>42684</v>
          </cell>
          <cell r="C558" t="str">
            <v>NOVIEMBRE</v>
          </cell>
          <cell r="D558" t="str">
            <v>2016</v>
          </cell>
          <cell r="E558">
            <v>209</v>
          </cell>
          <cell r="F558" t="str">
            <v>AKX-805</v>
          </cell>
          <cell r="G558" t="str">
            <v>F5Z-985</v>
          </cell>
          <cell r="H558" t="str">
            <v>LAS BAMBAS</v>
          </cell>
          <cell r="I558">
            <v>31856</v>
          </cell>
          <cell r="J558" t="str">
            <v>REPUESTO</v>
          </cell>
          <cell r="K558" t="str">
            <v>UNIONES 1/4 COMPLETAS</v>
          </cell>
          <cell r="L558">
            <v>2</v>
          </cell>
          <cell r="M558" t="str">
            <v>UNID.</v>
          </cell>
          <cell r="N558" t="str">
            <v>CISTERNA</v>
          </cell>
          <cell r="O558">
            <v>0</v>
          </cell>
          <cell r="P558" t="str">
            <v>S1</v>
          </cell>
          <cell r="Q558" t="str">
            <v>J1</v>
          </cell>
          <cell r="R558" t="str">
            <v>J6</v>
          </cell>
          <cell r="S558" t="str">
            <v>ENTREGADO</v>
          </cell>
          <cell r="T558">
            <v>42684</v>
          </cell>
          <cell r="U558" t="str">
            <v>BAYONA CRUZ CRISTIAN ARMANDO</v>
          </cell>
          <cell r="V558" t="str">
            <v>FLOREZ CONDORI  JOSE WILLIANS</v>
          </cell>
        </row>
        <row r="559">
          <cell r="A559">
            <v>559</v>
          </cell>
          <cell r="B559">
            <v>42684</v>
          </cell>
          <cell r="C559" t="str">
            <v>NOVIEMBRE</v>
          </cell>
          <cell r="D559" t="str">
            <v>2016</v>
          </cell>
          <cell r="E559">
            <v>209</v>
          </cell>
          <cell r="F559" t="str">
            <v>AKX-805</v>
          </cell>
          <cell r="G559" t="str">
            <v>F5Z-985</v>
          </cell>
          <cell r="H559" t="str">
            <v>LAS BAMBAS</v>
          </cell>
          <cell r="I559">
            <v>31856</v>
          </cell>
          <cell r="J559" t="str">
            <v>REPUESTO</v>
          </cell>
          <cell r="K559" t="str">
            <v>CINTILLOS</v>
          </cell>
          <cell r="L559">
            <v>5</v>
          </cell>
          <cell r="M559" t="str">
            <v>UNID.</v>
          </cell>
          <cell r="N559" t="str">
            <v>CISTERNA</v>
          </cell>
          <cell r="O559">
            <v>0</v>
          </cell>
          <cell r="P559" t="str">
            <v>S1</v>
          </cell>
          <cell r="Q559" t="str">
            <v>J1</v>
          </cell>
          <cell r="R559" t="str">
            <v>J6</v>
          </cell>
          <cell r="S559" t="str">
            <v>ENTREGADO</v>
          </cell>
          <cell r="T559">
            <v>42684</v>
          </cell>
          <cell r="U559" t="str">
            <v>BAYONA CRUZ CRISTIAN ARMANDO</v>
          </cell>
          <cell r="V559" t="str">
            <v>FLOREZ CONDORI  JOSE WILLIANS</v>
          </cell>
        </row>
        <row r="560">
          <cell r="A560">
            <v>565</v>
          </cell>
          <cell r="B560">
            <v>42684</v>
          </cell>
          <cell r="C560" t="str">
            <v>NOVIEMBRE</v>
          </cell>
          <cell r="D560" t="str">
            <v>2016</v>
          </cell>
          <cell r="E560">
            <v>209</v>
          </cell>
          <cell r="F560" t="str">
            <v>AKX-805</v>
          </cell>
          <cell r="G560" t="str">
            <v>F5Z-985</v>
          </cell>
          <cell r="H560" t="str">
            <v>LAS BAMBAS</v>
          </cell>
          <cell r="I560">
            <v>31856</v>
          </cell>
          <cell r="J560" t="str">
            <v>REPUESTO</v>
          </cell>
          <cell r="K560" t="str">
            <v>CONEXIONES CODO NPT A 1/4 DE MANGUERA</v>
          </cell>
          <cell r="L560">
            <v>2</v>
          </cell>
          <cell r="M560" t="str">
            <v>UNID.</v>
          </cell>
          <cell r="N560" t="str">
            <v>TRACTO</v>
          </cell>
          <cell r="O560">
            <v>0</v>
          </cell>
          <cell r="P560" t="str">
            <v>E2</v>
          </cell>
          <cell r="Q560" t="str">
            <v>J2</v>
          </cell>
          <cell r="R560" t="str">
            <v>J6</v>
          </cell>
          <cell r="S560" t="str">
            <v>ENTREGADO</v>
          </cell>
          <cell r="T560">
            <v>42684</v>
          </cell>
          <cell r="U560" t="str">
            <v>YUCA BELLIDO BORIS YERSY</v>
          </cell>
          <cell r="V560" t="str">
            <v>CORIHUAMAN SURCO  ERICK ROBERT</v>
          </cell>
        </row>
        <row r="561">
          <cell r="A561">
            <v>566</v>
          </cell>
          <cell r="B561">
            <v>42684</v>
          </cell>
          <cell r="C561" t="str">
            <v>NOVIEMBRE</v>
          </cell>
          <cell r="D561" t="str">
            <v>2016</v>
          </cell>
          <cell r="E561">
            <v>209</v>
          </cell>
          <cell r="F561" t="str">
            <v>AKX-805</v>
          </cell>
          <cell r="G561" t="str">
            <v>F5Z-985</v>
          </cell>
          <cell r="H561" t="str">
            <v>LAS BAMBAS</v>
          </cell>
          <cell r="I561">
            <v>31856</v>
          </cell>
          <cell r="J561" t="str">
            <v>REPUESTO</v>
          </cell>
          <cell r="K561" t="str">
            <v>CONO GUIA</v>
          </cell>
          <cell r="L561">
            <v>2</v>
          </cell>
          <cell r="M561" t="str">
            <v>UNID.</v>
          </cell>
          <cell r="N561" t="str">
            <v>TRACTO</v>
          </cell>
          <cell r="O561">
            <v>0</v>
          </cell>
          <cell r="P561" t="str">
            <v>S1</v>
          </cell>
          <cell r="Q561" t="str">
            <v>J2</v>
          </cell>
          <cell r="R561" t="str">
            <v>J6</v>
          </cell>
          <cell r="S561" t="str">
            <v>ENTREGADO</v>
          </cell>
          <cell r="T561">
            <v>42684</v>
          </cell>
          <cell r="U561" t="str">
            <v>BAYONA CRUZ CRISTIAN ARMANDO</v>
          </cell>
          <cell r="V561" t="str">
            <v>CORIHUAMAN SURCO  ERICK ROBERT</v>
          </cell>
        </row>
        <row r="562">
          <cell r="A562">
            <v>568</v>
          </cell>
          <cell r="B562">
            <v>42684</v>
          </cell>
          <cell r="C562" t="str">
            <v>NOVIEMBRE</v>
          </cell>
          <cell r="D562" t="str">
            <v>2016</v>
          </cell>
          <cell r="E562">
            <v>209</v>
          </cell>
          <cell r="F562" t="str">
            <v>AKX-805</v>
          </cell>
          <cell r="G562" t="str">
            <v>F5Z-985</v>
          </cell>
          <cell r="H562" t="str">
            <v>LAS BAMBAS</v>
          </cell>
          <cell r="I562">
            <v>31856</v>
          </cell>
          <cell r="J562" t="str">
            <v>REPUESTO</v>
          </cell>
          <cell r="K562" t="str">
            <v>UNION 1/4 NPT ROSCA INTERIOR</v>
          </cell>
          <cell r="L562">
            <v>1</v>
          </cell>
          <cell r="M562" t="str">
            <v>UNID.</v>
          </cell>
          <cell r="N562" t="str">
            <v>CISTERNA</v>
          </cell>
          <cell r="O562">
            <v>106</v>
          </cell>
          <cell r="P562" t="str">
            <v>S1</v>
          </cell>
          <cell r="Q562" t="str">
            <v>J1</v>
          </cell>
          <cell r="R562" t="str">
            <v>J6</v>
          </cell>
          <cell r="S562" t="str">
            <v>ENTREGADO</v>
          </cell>
          <cell r="T562">
            <v>0</v>
          </cell>
          <cell r="U562" t="str">
            <v>BAYONA CRUZ CRISTIAN ARMANDO</v>
          </cell>
          <cell r="V562" t="str">
            <v>FLOREZ CONDORI  JOSE WILLIANS</v>
          </cell>
        </row>
        <row r="563">
          <cell r="A563">
            <v>569</v>
          </cell>
          <cell r="B563">
            <v>42684</v>
          </cell>
          <cell r="C563" t="str">
            <v>NOVIEMBRE</v>
          </cell>
          <cell r="D563" t="str">
            <v>2016</v>
          </cell>
          <cell r="E563">
            <v>209</v>
          </cell>
          <cell r="F563" t="str">
            <v>AKX-805</v>
          </cell>
          <cell r="G563" t="str">
            <v>F5Z-985</v>
          </cell>
          <cell r="H563" t="str">
            <v>LAS BAMBAS</v>
          </cell>
          <cell r="I563">
            <v>31856</v>
          </cell>
          <cell r="J563" t="str">
            <v>REPUESTO</v>
          </cell>
          <cell r="K563" t="str">
            <v>PERNOS 3/8 X 4</v>
          </cell>
          <cell r="L563">
            <v>2</v>
          </cell>
          <cell r="M563" t="str">
            <v>UNID.</v>
          </cell>
          <cell r="N563" t="str">
            <v>CISTERNA</v>
          </cell>
          <cell r="O563">
            <v>0</v>
          </cell>
          <cell r="P563" t="str">
            <v>S1</v>
          </cell>
          <cell r="Q563" t="str">
            <v>J1</v>
          </cell>
          <cell r="R563" t="str">
            <v>J6</v>
          </cell>
          <cell r="S563" t="str">
            <v>ENTREGADO</v>
          </cell>
          <cell r="T563">
            <v>42684</v>
          </cell>
          <cell r="U563" t="str">
            <v>BAYONA CRUZ CRISTIAN ARMANDO</v>
          </cell>
          <cell r="V563" t="str">
            <v>FLOREZ CONDORI  JOSE WILLIANS</v>
          </cell>
        </row>
        <row r="564">
          <cell r="A564">
            <v>570</v>
          </cell>
          <cell r="B564">
            <v>42684</v>
          </cell>
          <cell r="C564" t="str">
            <v>NOVIEMBRE</v>
          </cell>
          <cell r="D564" t="str">
            <v>2016</v>
          </cell>
          <cell r="E564">
            <v>209</v>
          </cell>
          <cell r="F564" t="str">
            <v>AKX-805</v>
          </cell>
          <cell r="G564" t="str">
            <v>F5Z-985</v>
          </cell>
          <cell r="H564" t="str">
            <v>LAS BAMBAS</v>
          </cell>
          <cell r="I564">
            <v>31856</v>
          </cell>
          <cell r="J564" t="str">
            <v>REPUESTO</v>
          </cell>
          <cell r="K564" t="str">
            <v>VOLANDA PLANA 3/8</v>
          </cell>
          <cell r="L564">
            <v>4</v>
          </cell>
          <cell r="M564" t="str">
            <v>UNID.</v>
          </cell>
          <cell r="N564" t="str">
            <v>CISTERNA</v>
          </cell>
          <cell r="O564">
            <v>0</v>
          </cell>
          <cell r="P564" t="str">
            <v>S1</v>
          </cell>
          <cell r="Q564" t="str">
            <v>J1</v>
          </cell>
          <cell r="R564" t="str">
            <v>J6</v>
          </cell>
          <cell r="S564" t="str">
            <v>ENTREGADO</v>
          </cell>
          <cell r="T564">
            <v>42684</v>
          </cell>
          <cell r="U564" t="str">
            <v>BAYONA CRUZ CRISTIAN ARMANDO</v>
          </cell>
          <cell r="V564" t="str">
            <v>FLOREZ CONDORI  JOSE WILLIANS</v>
          </cell>
        </row>
        <row r="565">
          <cell r="A565">
            <v>571</v>
          </cell>
          <cell r="B565">
            <v>42684</v>
          </cell>
          <cell r="C565" t="str">
            <v>NOVIEMBRE</v>
          </cell>
          <cell r="D565" t="str">
            <v>2016</v>
          </cell>
          <cell r="E565">
            <v>209</v>
          </cell>
          <cell r="F565" t="str">
            <v>AKX-805</v>
          </cell>
          <cell r="G565" t="str">
            <v>F5Z-985</v>
          </cell>
          <cell r="H565" t="str">
            <v>LAS BAMBAS</v>
          </cell>
          <cell r="I565">
            <v>31856</v>
          </cell>
          <cell r="J565" t="str">
            <v>REPUESTO</v>
          </cell>
          <cell r="K565" t="str">
            <v>TUERCA SEGURO 3/8</v>
          </cell>
          <cell r="L565">
            <v>2</v>
          </cell>
          <cell r="M565" t="str">
            <v>UNID.</v>
          </cell>
          <cell r="N565" t="str">
            <v>CISTERNA</v>
          </cell>
          <cell r="O565">
            <v>0</v>
          </cell>
          <cell r="P565" t="str">
            <v>S1</v>
          </cell>
          <cell r="Q565" t="str">
            <v>J1</v>
          </cell>
          <cell r="R565" t="str">
            <v>J6</v>
          </cell>
          <cell r="S565" t="str">
            <v>ENTREGADO</v>
          </cell>
          <cell r="T565">
            <v>42684</v>
          </cell>
          <cell r="U565" t="str">
            <v>BAYONA CRUZ CRISTIAN ARMANDO</v>
          </cell>
          <cell r="V565" t="str">
            <v>FLOREZ CONDORI  JOSE WILLIANS</v>
          </cell>
        </row>
        <row r="566">
          <cell r="A566">
            <v>534</v>
          </cell>
          <cell r="B566">
            <v>42684</v>
          </cell>
          <cell r="C566" t="str">
            <v>NOVIEMBRE</v>
          </cell>
          <cell r="D566" t="str">
            <v>2016</v>
          </cell>
          <cell r="E566">
            <v>290</v>
          </cell>
          <cell r="F566" t="str">
            <v>C5R-896</v>
          </cell>
          <cell r="G566" t="str">
            <v>A0U-977</v>
          </cell>
          <cell r="H566" t="str">
            <v>LAS BAMBAS</v>
          </cell>
          <cell r="I566">
            <v>209508</v>
          </cell>
          <cell r="J566" t="str">
            <v>REPUESTO</v>
          </cell>
          <cell r="K566" t="str">
            <v>CRUZETA DE CARDAN BEBE</v>
          </cell>
          <cell r="L566">
            <v>1</v>
          </cell>
          <cell r="M566" t="str">
            <v>UNID.</v>
          </cell>
          <cell r="N566" t="str">
            <v>TRACTO</v>
          </cell>
          <cell r="O566">
            <v>0</v>
          </cell>
          <cell r="P566" t="str">
            <v>M1</v>
          </cell>
          <cell r="Q566" t="str">
            <v>J2</v>
          </cell>
          <cell r="R566" t="str">
            <v>J6</v>
          </cell>
          <cell r="S566" t="str">
            <v>ENTREGADO</v>
          </cell>
          <cell r="T566">
            <v>42684</v>
          </cell>
          <cell r="U566" t="str">
            <v>CABEZAS SANCHEZ JEAN JHONATAN</v>
          </cell>
          <cell r="V566" t="str">
            <v>CORIHUAMAN SURCO  ERICK ROBERT</v>
          </cell>
        </row>
        <row r="567">
          <cell r="A567">
            <v>537</v>
          </cell>
          <cell r="B567">
            <v>42684</v>
          </cell>
          <cell r="C567" t="str">
            <v>NOVIEMBRE</v>
          </cell>
          <cell r="D567" t="str">
            <v>2016</v>
          </cell>
          <cell r="E567">
            <v>290</v>
          </cell>
          <cell r="F567" t="str">
            <v>C5R-896</v>
          </cell>
          <cell r="G567" t="str">
            <v>A0U-977</v>
          </cell>
          <cell r="H567" t="str">
            <v>LAS BAMBAS</v>
          </cell>
          <cell r="I567">
            <v>209508</v>
          </cell>
          <cell r="J567" t="str">
            <v>REPUESTO</v>
          </cell>
          <cell r="K567" t="str">
            <v>FOCOS LAGRIMONES AMBAR DE 12 V</v>
          </cell>
          <cell r="L567">
            <v>2</v>
          </cell>
          <cell r="M567" t="str">
            <v>UNID.</v>
          </cell>
          <cell r="N567" t="str">
            <v>TRACTO</v>
          </cell>
          <cell r="O567">
            <v>0</v>
          </cell>
          <cell r="P567" t="str">
            <v>E2</v>
          </cell>
          <cell r="Q567" t="str">
            <v>J1</v>
          </cell>
          <cell r="R567" t="str">
            <v>J6</v>
          </cell>
          <cell r="S567" t="str">
            <v>ENTREGADO</v>
          </cell>
          <cell r="T567">
            <v>42684</v>
          </cell>
          <cell r="U567" t="str">
            <v>YUCA BELLIDO BORIS YERSY</v>
          </cell>
          <cell r="V567" t="str">
            <v>FLOREZ CONDORI  JOSE WILLIANS</v>
          </cell>
        </row>
        <row r="568">
          <cell r="A568">
            <v>562</v>
          </cell>
          <cell r="B568">
            <v>42684</v>
          </cell>
          <cell r="C568" t="str">
            <v>NOVIEMBRE</v>
          </cell>
          <cell r="D568" t="str">
            <v>2016</v>
          </cell>
          <cell r="E568">
            <v>290</v>
          </cell>
          <cell r="F568" t="str">
            <v>C5R-896</v>
          </cell>
          <cell r="G568" t="str">
            <v>A0U-977</v>
          </cell>
          <cell r="H568" t="str">
            <v>LAS BAMBAS</v>
          </cell>
          <cell r="I568">
            <v>209508</v>
          </cell>
          <cell r="J568" t="str">
            <v>REPUESTO</v>
          </cell>
          <cell r="K568" t="str">
            <v>MATACHISPA</v>
          </cell>
          <cell r="L568">
            <v>1</v>
          </cell>
          <cell r="M568" t="str">
            <v>UNID.</v>
          </cell>
          <cell r="N568" t="str">
            <v>TRACTO</v>
          </cell>
          <cell r="O568">
            <v>0</v>
          </cell>
          <cell r="P568" t="str">
            <v>M1</v>
          </cell>
          <cell r="Q568" t="str">
            <v>J2</v>
          </cell>
          <cell r="R568" t="str">
            <v>J6</v>
          </cell>
          <cell r="S568" t="str">
            <v>ENTREGADO</v>
          </cell>
          <cell r="T568">
            <v>42684</v>
          </cell>
          <cell r="U568" t="str">
            <v>CABEZAS SANCHEZ JEAN JHONATAN</v>
          </cell>
          <cell r="V568" t="str">
            <v>CORIHUAMAN SURCO  ERICK ROBERT</v>
          </cell>
        </row>
        <row r="569">
          <cell r="A569">
            <v>503</v>
          </cell>
          <cell r="B569">
            <v>42684</v>
          </cell>
          <cell r="C569" t="str">
            <v>NOVIEMBRE</v>
          </cell>
          <cell r="D569" t="str">
            <v>2016</v>
          </cell>
          <cell r="E569">
            <v>288</v>
          </cell>
          <cell r="F569" t="str">
            <v>D3P-743</v>
          </cell>
          <cell r="G569" t="str">
            <v>B8L-972</v>
          </cell>
          <cell r="H569" t="str">
            <v>LAS BAMBAS</v>
          </cell>
          <cell r="I569">
            <v>178180</v>
          </cell>
          <cell r="J569" t="str">
            <v>REPUESTO</v>
          </cell>
          <cell r="K569" t="str">
            <v>FOCO 9006</v>
          </cell>
          <cell r="L569">
            <v>1</v>
          </cell>
          <cell r="M569" t="str">
            <v>UNID.</v>
          </cell>
          <cell r="N569" t="str">
            <v>TRACTO</v>
          </cell>
          <cell r="O569">
            <v>0</v>
          </cell>
          <cell r="P569" t="str">
            <v>E2</v>
          </cell>
          <cell r="Q569" t="str">
            <v>J1</v>
          </cell>
          <cell r="R569" t="str">
            <v>J6</v>
          </cell>
          <cell r="S569" t="str">
            <v>ENTREGADO</v>
          </cell>
          <cell r="T569">
            <v>42684</v>
          </cell>
          <cell r="U569" t="str">
            <v>YUCA BELLIDO BORIS YERSY</v>
          </cell>
          <cell r="V569" t="str">
            <v>FLOREZ CONDORI  JOSE WILLIANS</v>
          </cell>
        </row>
        <row r="570">
          <cell r="A570">
            <v>510</v>
          </cell>
          <cell r="B570">
            <v>42684</v>
          </cell>
          <cell r="C570" t="str">
            <v>NOVIEMBRE</v>
          </cell>
          <cell r="D570" t="str">
            <v>2016</v>
          </cell>
          <cell r="E570">
            <v>288</v>
          </cell>
          <cell r="F570" t="str">
            <v>D3P-743</v>
          </cell>
          <cell r="G570" t="str">
            <v>B8L-972</v>
          </cell>
          <cell r="H570" t="str">
            <v>LAS BAMBAS</v>
          </cell>
          <cell r="I570">
            <v>178180</v>
          </cell>
          <cell r="J570" t="str">
            <v>REPUESTO</v>
          </cell>
          <cell r="K570" t="str">
            <v>MASCARA DE TABLERO</v>
          </cell>
          <cell r="L570">
            <v>1</v>
          </cell>
          <cell r="M570" t="str">
            <v>UNID.</v>
          </cell>
          <cell r="N570" t="str">
            <v>TRACTO</v>
          </cell>
          <cell r="O570">
            <v>0</v>
          </cell>
          <cell r="P570" t="str">
            <v>E1</v>
          </cell>
          <cell r="Q570" t="str">
            <v>J1</v>
          </cell>
          <cell r="R570" t="str">
            <v>J6</v>
          </cell>
          <cell r="S570" t="str">
            <v>ENTREGADO</v>
          </cell>
          <cell r="T570">
            <v>42684</v>
          </cell>
          <cell r="U570" t="str">
            <v>PALOMINO CARDENAS JUAN CARLOS</v>
          </cell>
          <cell r="V570" t="str">
            <v>FLOREZ CONDORI  JOSE WILLIANS</v>
          </cell>
        </row>
        <row r="571">
          <cell r="A571">
            <v>511</v>
          </cell>
          <cell r="B571">
            <v>42684</v>
          </cell>
          <cell r="C571" t="str">
            <v>NOVIEMBRE</v>
          </cell>
          <cell r="D571" t="str">
            <v>2016</v>
          </cell>
          <cell r="E571">
            <v>288</v>
          </cell>
          <cell r="F571" t="str">
            <v>D3P-743</v>
          </cell>
          <cell r="G571" t="str">
            <v>B8L-972</v>
          </cell>
          <cell r="H571" t="str">
            <v>LAS BAMBAS</v>
          </cell>
          <cell r="I571">
            <v>178180</v>
          </cell>
          <cell r="J571" t="str">
            <v>REPUESTO</v>
          </cell>
          <cell r="K571" t="str">
            <v>TECLA DE LUCES PRINCIPALES</v>
          </cell>
          <cell r="L571">
            <v>1</v>
          </cell>
          <cell r="M571" t="str">
            <v>UNID.</v>
          </cell>
          <cell r="N571" t="str">
            <v>TRACTO</v>
          </cell>
          <cell r="O571">
            <v>0</v>
          </cell>
          <cell r="P571" t="str">
            <v>E1</v>
          </cell>
          <cell r="Q571" t="str">
            <v>J1</v>
          </cell>
          <cell r="R571" t="str">
            <v>J6</v>
          </cell>
          <cell r="S571" t="str">
            <v>ENTREGADO</v>
          </cell>
          <cell r="T571">
            <v>42684</v>
          </cell>
          <cell r="U571" t="str">
            <v>PALOMINO CARDENAS JUAN CARLOS</v>
          </cell>
          <cell r="V571" t="str">
            <v>FLOREZ CONDORI  JOSE WILLIANS</v>
          </cell>
        </row>
        <row r="572">
          <cell r="A572">
            <v>514</v>
          </cell>
          <cell r="B572">
            <v>42684</v>
          </cell>
          <cell r="C572" t="str">
            <v>NOVIEMBRE</v>
          </cell>
          <cell r="D572" t="str">
            <v>2016</v>
          </cell>
          <cell r="E572">
            <v>260</v>
          </cell>
          <cell r="F572" t="str">
            <v>D3P-743</v>
          </cell>
          <cell r="G572" t="str">
            <v>B8L-972</v>
          </cell>
          <cell r="H572" t="str">
            <v>LAS BAMBAS</v>
          </cell>
          <cell r="I572">
            <v>177834</v>
          </cell>
          <cell r="J572" t="str">
            <v>REPUESTO</v>
          </cell>
          <cell r="K572" t="str">
            <v>PARCHE RACK 14</v>
          </cell>
          <cell r="L572">
            <v>1</v>
          </cell>
          <cell r="M572" t="str">
            <v>UNID.</v>
          </cell>
          <cell r="N572" t="str">
            <v>TRACTO</v>
          </cell>
          <cell r="O572">
            <v>0</v>
          </cell>
          <cell r="P572" t="str">
            <v>N1</v>
          </cell>
          <cell r="Q572" t="str">
            <v>J3</v>
          </cell>
          <cell r="R572" t="str">
            <v>J6</v>
          </cell>
          <cell r="S572" t="str">
            <v>ENTREGADO</v>
          </cell>
          <cell r="T572">
            <v>42684</v>
          </cell>
          <cell r="U572" t="str">
            <v>AGUILAR CCANTUTA WILLY</v>
          </cell>
          <cell r="V572" t="str">
            <v>CHURA PIZARRO ALBERTO</v>
          </cell>
        </row>
        <row r="573">
          <cell r="A573">
            <v>505</v>
          </cell>
          <cell r="B573">
            <v>42684</v>
          </cell>
          <cell r="C573" t="str">
            <v>NOVIEMBRE</v>
          </cell>
          <cell r="D573" t="str">
            <v>2016</v>
          </cell>
          <cell r="E573">
            <v>260</v>
          </cell>
          <cell r="F573" t="str">
            <v>D3P-743</v>
          </cell>
          <cell r="G573" t="str">
            <v>B8L-972</v>
          </cell>
          <cell r="H573" t="str">
            <v>LAS BAMBAS</v>
          </cell>
          <cell r="I573">
            <v>177834</v>
          </cell>
          <cell r="J573" t="str">
            <v>REPUESTO</v>
          </cell>
          <cell r="K573" t="str">
            <v>LLANTAS REENCAUCHADAS</v>
          </cell>
          <cell r="L573">
            <v>1</v>
          </cell>
          <cell r="M573" t="str">
            <v>UNID.</v>
          </cell>
          <cell r="N573" t="str">
            <v>TRACTO</v>
          </cell>
          <cell r="O573">
            <v>0</v>
          </cell>
          <cell r="P573" t="str">
            <v>N1</v>
          </cell>
          <cell r="Q573" t="str">
            <v>J3</v>
          </cell>
          <cell r="R573" t="str">
            <v>J6</v>
          </cell>
          <cell r="S573" t="str">
            <v>ENTREGADO</v>
          </cell>
          <cell r="T573">
            <v>42684</v>
          </cell>
          <cell r="U573" t="str">
            <v>AGUILAR CCANTUTA WILLY</v>
          </cell>
          <cell r="V573" t="str">
            <v>CHURA PIZARRO ALBERTO</v>
          </cell>
        </row>
        <row r="574">
          <cell r="A574">
            <v>579</v>
          </cell>
          <cell r="B574">
            <v>42684</v>
          </cell>
          <cell r="C574" t="str">
            <v>NOVIEMBRE</v>
          </cell>
          <cell r="D574" t="str">
            <v>2016</v>
          </cell>
          <cell r="E574">
            <v>276</v>
          </cell>
          <cell r="F574" t="str">
            <v>D3P-747</v>
          </cell>
          <cell r="G574" t="str">
            <v>A0T-985</v>
          </cell>
          <cell r="H574" t="str">
            <v>LAS BAMBAS</v>
          </cell>
          <cell r="I574">
            <v>179935</v>
          </cell>
          <cell r="J574" t="str">
            <v>SERVICIO</v>
          </cell>
          <cell r="K574" t="str">
            <v>SERVICIO DE REPARACION DE UN PETETE</v>
          </cell>
          <cell r="L574">
            <v>1</v>
          </cell>
          <cell r="M574" t="str">
            <v>UNID.</v>
          </cell>
          <cell r="N574" t="str">
            <v>TRACTO</v>
          </cell>
          <cell r="O574">
            <v>106</v>
          </cell>
          <cell r="P574" t="str">
            <v>E1</v>
          </cell>
          <cell r="Q574" t="str">
            <v>J2</v>
          </cell>
          <cell r="R574" t="str">
            <v>J6</v>
          </cell>
          <cell r="S574" t="str">
            <v>ENTREGADO</v>
          </cell>
          <cell r="T574">
            <v>0</v>
          </cell>
          <cell r="U574" t="str">
            <v>PALOMINO CARDENAS JUAN CARLOS</v>
          </cell>
          <cell r="V574" t="str">
            <v>CORIHUAMAN SURCO  ERICK ROBERT</v>
          </cell>
        </row>
        <row r="575">
          <cell r="A575">
            <v>587</v>
          </cell>
          <cell r="B575">
            <v>42684</v>
          </cell>
          <cell r="C575" t="str">
            <v>NOVIEMBRE</v>
          </cell>
          <cell r="D575" t="str">
            <v>2016</v>
          </cell>
          <cell r="E575">
            <v>297</v>
          </cell>
          <cell r="F575" t="str">
            <v>D3P-747</v>
          </cell>
          <cell r="G575" t="str">
            <v>A0T-985</v>
          </cell>
          <cell r="H575" t="str">
            <v>LAS BAMBAS</v>
          </cell>
          <cell r="I575">
            <v>179946.6</v>
          </cell>
          <cell r="J575" t="str">
            <v>REPUESTO</v>
          </cell>
          <cell r="K575" t="str">
            <v>PARCHE RACK 10</v>
          </cell>
          <cell r="L575">
            <v>2</v>
          </cell>
          <cell r="M575" t="str">
            <v>UNID.</v>
          </cell>
          <cell r="N575" t="str">
            <v>TRACTO</v>
          </cell>
          <cell r="O575">
            <v>0</v>
          </cell>
          <cell r="P575" t="str">
            <v>N1</v>
          </cell>
          <cell r="Q575" t="str">
            <v>J3</v>
          </cell>
          <cell r="R575" t="str">
            <v>J6</v>
          </cell>
          <cell r="S575" t="str">
            <v>ENTREGADO</v>
          </cell>
          <cell r="T575">
            <v>42684</v>
          </cell>
          <cell r="U575" t="str">
            <v>AGUILAR CCANTUTA WILLY</v>
          </cell>
          <cell r="V575" t="str">
            <v>CHURA PIZARRO ALBERTO</v>
          </cell>
        </row>
        <row r="576">
          <cell r="A576">
            <v>580</v>
          </cell>
          <cell r="B576">
            <v>42684</v>
          </cell>
          <cell r="C576" t="str">
            <v>NOVIEMBRE</v>
          </cell>
          <cell r="D576" t="str">
            <v>2016</v>
          </cell>
          <cell r="E576">
            <v>213</v>
          </cell>
          <cell r="F576" t="str">
            <v>D4X-872</v>
          </cell>
          <cell r="G576" t="str">
            <v>B4P-976</v>
          </cell>
          <cell r="H576" t="str">
            <v>LAS BAMBAS</v>
          </cell>
          <cell r="I576">
            <v>180560</v>
          </cell>
          <cell r="J576" t="str">
            <v>INSUMO TALLER</v>
          </cell>
          <cell r="K576" t="str">
            <v>PEGAMENTO DE EPOXICO (PARA METAL)</v>
          </cell>
          <cell r="L576">
            <v>1</v>
          </cell>
          <cell r="M576" t="str">
            <v>UNID.</v>
          </cell>
          <cell r="N576" t="str">
            <v>CISTERNA</v>
          </cell>
          <cell r="O576">
            <v>106</v>
          </cell>
          <cell r="P576" t="str">
            <v>S1</v>
          </cell>
          <cell r="Q576" t="str">
            <v>J1</v>
          </cell>
          <cell r="R576" t="str">
            <v>J6</v>
          </cell>
          <cell r="S576" t="str">
            <v>ENTREGADO</v>
          </cell>
          <cell r="T576">
            <v>0</v>
          </cell>
          <cell r="U576" t="str">
            <v>BAYONA CRUZ CRISTIAN ARMANDO</v>
          </cell>
          <cell r="V576" t="str">
            <v>FLOREZ CONDORI  JOSE WILLIANS</v>
          </cell>
        </row>
        <row r="577">
          <cell r="A577">
            <v>582</v>
          </cell>
          <cell r="B577">
            <v>42684</v>
          </cell>
          <cell r="C577" t="str">
            <v>NOVIEMBRE</v>
          </cell>
          <cell r="D577" t="str">
            <v>2016</v>
          </cell>
          <cell r="E577">
            <v>296</v>
          </cell>
          <cell r="F577" t="str">
            <v>D4X-872</v>
          </cell>
          <cell r="G577" t="str">
            <v>B4P-976</v>
          </cell>
          <cell r="H577" t="str">
            <v>LAS BAMBAS</v>
          </cell>
          <cell r="I577">
            <v>180842</v>
          </cell>
          <cell r="J577" t="str">
            <v>REPUESTO</v>
          </cell>
          <cell r="K577" t="str">
            <v>KIT DE SECADOR DE AIRE</v>
          </cell>
          <cell r="L577">
            <v>1</v>
          </cell>
          <cell r="M577" t="str">
            <v>UNID.</v>
          </cell>
          <cell r="N577" t="str">
            <v>TRACTO</v>
          </cell>
          <cell r="O577">
            <v>0</v>
          </cell>
          <cell r="P577" t="str">
            <v>M8</v>
          </cell>
          <cell r="Q577" t="str">
            <v>J1</v>
          </cell>
          <cell r="R577" t="str">
            <v>J6</v>
          </cell>
          <cell r="S577" t="str">
            <v>ENTREGADO</v>
          </cell>
          <cell r="T577">
            <v>42684</v>
          </cell>
          <cell r="U577" t="str">
            <v>VARILLAS GAGO  OSCAR ALBERTO</v>
          </cell>
          <cell r="V577" t="str">
            <v>FLOREZ CONDORI  JOSE WILLIANS</v>
          </cell>
        </row>
        <row r="578">
          <cell r="A578">
            <v>583</v>
          </cell>
          <cell r="B578">
            <v>42684</v>
          </cell>
          <cell r="C578" t="str">
            <v>NOVIEMBRE</v>
          </cell>
          <cell r="D578" t="str">
            <v>2016</v>
          </cell>
          <cell r="E578">
            <v>296</v>
          </cell>
          <cell r="F578" t="str">
            <v>D4X-872</v>
          </cell>
          <cell r="G578" t="str">
            <v>B4P-976</v>
          </cell>
          <cell r="H578" t="str">
            <v>LAS BAMBAS</v>
          </cell>
          <cell r="I578">
            <v>180842</v>
          </cell>
          <cell r="J578" t="str">
            <v>REPUESTO</v>
          </cell>
          <cell r="K578" t="str">
            <v>FILTRO SECADOR DE AIRE</v>
          </cell>
          <cell r="L578">
            <v>1</v>
          </cell>
          <cell r="M578" t="str">
            <v>UNID.</v>
          </cell>
          <cell r="N578" t="str">
            <v>TRACTO</v>
          </cell>
          <cell r="O578">
            <v>0</v>
          </cell>
          <cell r="P578" t="str">
            <v>M8</v>
          </cell>
          <cell r="Q578" t="str">
            <v>J1</v>
          </cell>
          <cell r="R578" t="str">
            <v>J6</v>
          </cell>
          <cell r="S578" t="str">
            <v>ENTREGADO</v>
          </cell>
          <cell r="T578">
            <v>42684</v>
          </cell>
          <cell r="U578" t="str">
            <v>VARILLAS GAGO  OSCAR ALBERTO</v>
          </cell>
          <cell r="V578" t="str">
            <v>FLOREZ CONDORI  JOSE WILLIANS</v>
          </cell>
        </row>
        <row r="579">
          <cell r="A579">
            <v>533</v>
          </cell>
          <cell r="B579">
            <v>42684</v>
          </cell>
          <cell r="C579" t="str">
            <v>NOVIEMBRE</v>
          </cell>
          <cell r="D579" t="str">
            <v>2016</v>
          </cell>
          <cell r="E579">
            <v>258</v>
          </cell>
          <cell r="F579" t="str">
            <v>D6F-907</v>
          </cell>
          <cell r="G579" t="str">
            <v>T2Y-979</v>
          </cell>
          <cell r="H579" t="str">
            <v>LAS BAMBAS</v>
          </cell>
          <cell r="I579">
            <v>195511</v>
          </cell>
          <cell r="J579" t="str">
            <v>REPUESTO</v>
          </cell>
          <cell r="K579" t="str">
            <v>FAROS NEBLINEROS 12 V</v>
          </cell>
          <cell r="L579">
            <v>2</v>
          </cell>
          <cell r="M579" t="str">
            <v>UNID.</v>
          </cell>
          <cell r="N579" t="str">
            <v>TRACTO</v>
          </cell>
          <cell r="O579">
            <v>0</v>
          </cell>
          <cell r="P579" t="str">
            <v>E1</v>
          </cell>
          <cell r="Q579" t="str">
            <v>J2</v>
          </cell>
          <cell r="R579" t="str">
            <v>J6</v>
          </cell>
          <cell r="S579" t="str">
            <v>ENTREGADO</v>
          </cell>
          <cell r="T579">
            <v>42684</v>
          </cell>
          <cell r="U579" t="str">
            <v>PALOMINO CARDENAS JUAN CARLOS</v>
          </cell>
          <cell r="V579" t="str">
            <v>CORIHUAMAN SURCO  ERICK ROBERT</v>
          </cell>
        </row>
        <row r="580">
          <cell r="A580">
            <v>538</v>
          </cell>
          <cell r="B580">
            <v>42684</v>
          </cell>
          <cell r="C580" t="str">
            <v>NOVIEMBRE</v>
          </cell>
          <cell r="D580" t="str">
            <v>2016</v>
          </cell>
          <cell r="E580">
            <v>258</v>
          </cell>
          <cell r="F580" t="str">
            <v>D6F-907</v>
          </cell>
          <cell r="G580" t="str">
            <v>T2Y-979</v>
          </cell>
          <cell r="H580" t="str">
            <v>LAS BAMBAS</v>
          </cell>
          <cell r="I580">
            <v>195511</v>
          </cell>
          <cell r="J580" t="str">
            <v>REPUESTO</v>
          </cell>
          <cell r="K580" t="str">
            <v>SOCKET</v>
          </cell>
          <cell r="L580">
            <v>1</v>
          </cell>
          <cell r="M580" t="str">
            <v>UNID.</v>
          </cell>
          <cell r="N580" t="str">
            <v>TRACTO</v>
          </cell>
          <cell r="O580">
            <v>0</v>
          </cell>
          <cell r="P580" t="str">
            <v>E2</v>
          </cell>
          <cell r="Q580" t="str">
            <v>J1</v>
          </cell>
          <cell r="R580" t="str">
            <v>J6</v>
          </cell>
          <cell r="S580" t="str">
            <v>ENTREGADO</v>
          </cell>
          <cell r="T580">
            <v>42684</v>
          </cell>
          <cell r="U580" t="str">
            <v>YUCA BELLIDO BORIS YERSY</v>
          </cell>
          <cell r="V580" t="str">
            <v>FLOREZ CONDORI  JOSE WILLIANS</v>
          </cell>
        </row>
        <row r="581">
          <cell r="A581">
            <v>539</v>
          </cell>
          <cell r="B581">
            <v>42684</v>
          </cell>
          <cell r="C581" t="str">
            <v>NOVIEMBRE</v>
          </cell>
          <cell r="D581" t="str">
            <v>2016</v>
          </cell>
          <cell r="E581">
            <v>258</v>
          </cell>
          <cell r="F581" t="str">
            <v>D6F-907</v>
          </cell>
          <cell r="G581" t="str">
            <v>T2Y-979</v>
          </cell>
          <cell r="H581" t="str">
            <v>LAS BAMBAS</v>
          </cell>
          <cell r="I581">
            <v>195511</v>
          </cell>
          <cell r="J581" t="str">
            <v>REPUESTO</v>
          </cell>
          <cell r="K581" t="str">
            <v>FOCO DE DOBLE CONTACTO DE 12 V</v>
          </cell>
          <cell r="L581">
            <v>1</v>
          </cell>
          <cell r="M581" t="str">
            <v>UNID.</v>
          </cell>
          <cell r="N581" t="str">
            <v>TRACTO</v>
          </cell>
          <cell r="O581">
            <v>0</v>
          </cell>
          <cell r="P581" t="str">
            <v>E2</v>
          </cell>
          <cell r="Q581" t="str">
            <v>J1</v>
          </cell>
          <cell r="R581" t="str">
            <v>J6</v>
          </cell>
          <cell r="S581" t="str">
            <v>ENTREGADO</v>
          </cell>
          <cell r="T581">
            <v>42684</v>
          </cell>
          <cell r="U581" t="str">
            <v>YUCA BELLIDO BORIS YERSY</v>
          </cell>
          <cell r="V581" t="str">
            <v>FLOREZ CONDORI  JOSE WILLIANS</v>
          </cell>
        </row>
        <row r="582">
          <cell r="A582">
            <v>553</v>
          </cell>
          <cell r="B582">
            <v>42684</v>
          </cell>
          <cell r="C582" t="str">
            <v>NOVIEMBRE</v>
          </cell>
          <cell r="D582" t="str">
            <v>2016</v>
          </cell>
          <cell r="E582">
            <v>258</v>
          </cell>
          <cell r="F582" t="str">
            <v>D6F-907</v>
          </cell>
          <cell r="G582" t="str">
            <v>T2Y-979</v>
          </cell>
          <cell r="H582" t="str">
            <v>LAS BAMBAS</v>
          </cell>
          <cell r="I582">
            <v>195511</v>
          </cell>
          <cell r="J582" t="str">
            <v>REPUESTO</v>
          </cell>
          <cell r="K582" t="str">
            <v>REMACHES</v>
          </cell>
          <cell r="L582">
            <v>280</v>
          </cell>
          <cell r="M582" t="str">
            <v>UNID.</v>
          </cell>
          <cell r="N582" t="str">
            <v>TRACTO</v>
          </cell>
          <cell r="O582">
            <v>0</v>
          </cell>
          <cell r="P582" t="str">
            <v>M2</v>
          </cell>
          <cell r="Q582" t="str">
            <v>J2</v>
          </cell>
          <cell r="R582" t="str">
            <v>J6</v>
          </cell>
          <cell r="S582" t="str">
            <v>ENTREGADO</v>
          </cell>
          <cell r="T582">
            <v>42684</v>
          </cell>
          <cell r="U582" t="str">
            <v>CHUMPITAZ GAGO JULIO ENRIQUE</v>
          </cell>
          <cell r="V582" t="str">
            <v>CORIHUAMAN SURCO  ERICK ROBERT</v>
          </cell>
        </row>
        <row r="583">
          <cell r="A583">
            <v>554</v>
          </cell>
          <cell r="B583">
            <v>42684</v>
          </cell>
          <cell r="C583" t="str">
            <v>NOVIEMBRE</v>
          </cell>
          <cell r="D583" t="str">
            <v>2016</v>
          </cell>
          <cell r="E583">
            <v>258</v>
          </cell>
          <cell r="F583" t="str">
            <v>D6F-907</v>
          </cell>
          <cell r="G583" t="str">
            <v>T2Y-979</v>
          </cell>
          <cell r="H583" t="str">
            <v>LAS BAMBAS</v>
          </cell>
          <cell r="I583">
            <v>195511</v>
          </cell>
          <cell r="J583" t="str">
            <v>SERVICIO</v>
          </cell>
          <cell r="K583" t="str">
            <v>SERVICIO DE EMBOCINADO DE BUJE DE MUELLE</v>
          </cell>
          <cell r="L583">
            <v>1</v>
          </cell>
          <cell r="M583" t="str">
            <v>UNID.</v>
          </cell>
          <cell r="N583" t="str">
            <v>TRACTO</v>
          </cell>
          <cell r="O583">
            <v>0</v>
          </cell>
          <cell r="P583" t="str">
            <v>M2</v>
          </cell>
          <cell r="Q583" t="str">
            <v>J2</v>
          </cell>
          <cell r="R583" t="str">
            <v>J6</v>
          </cell>
          <cell r="S583" t="str">
            <v>ENTREGADO</v>
          </cell>
          <cell r="T583">
            <v>42684</v>
          </cell>
          <cell r="U583" t="str">
            <v>CHUMPITAZ GAGO JULIO ENRIQUE</v>
          </cell>
          <cell r="V583" t="str">
            <v>CORIHUAMAN SURCO  ERICK ROBERT</v>
          </cell>
        </row>
        <row r="584">
          <cell r="A584">
            <v>578</v>
          </cell>
          <cell r="B584">
            <v>42684</v>
          </cell>
          <cell r="C584" t="str">
            <v>NOVIEMBRE</v>
          </cell>
          <cell r="D584" t="str">
            <v>2016</v>
          </cell>
          <cell r="E584">
            <v>258</v>
          </cell>
          <cell r="F584" t="str">
            <v>D6F-907</v>
          </cell>
          <cell r="G584" t="str">
            <v>T2Y-979</v>
          </cell>
          <cell r="H584" t="str">
            <v>LAS BAMBAS</v>
          </cell>
          <cell r="I584">
            <v>195511</v>
          </cell>
          <cell r="J584" t="str">
            <v>REPUESTO</v>
          </cell>
          <cell r="K584" t="str">
            <v>ARANDELA 3/4</v>
          </cell>
          <cell r="L584">
            <v>2</v>
          </cell>
          <cell r="M584" t="str">
            <v>UNID.</v>
          </cell>
          <cell r="N584" t="str">
            <v>TRACTO</v>
          </cell>
          <cell r="O584">
            <v>0</v>
          </cell>
          <cell r="P584" t="str">
            <v>M1</v>
          </cell>
          <cell r="Q584" t="str">
            <v>J2</v>
          </cell>
          <cell r="R584" t="str">
            <v>J6</v>
          </cell>
          <cell r="S584" t="str">
            <v>ENTREGADO</v>
          </cell>
          <cell r="T584">
            <v>42684</v>
          </cell>
          <cell r="U584" t="str">
            <v>CABEZAS SANCHEZ JEAN JHONATAN</v>
          </cell>
          <cell r="V584" t="str">
            <v>CORIHUAMAN SURCO  ERICK ROBERT</v>
          </cell>
        </row>
        <row r="585">
          <cell r="A585">
            <v>586</v>
          </cell>
          <cell r="B585">
            <v>42684</v>
          </cell>
          <cell r="C585" t="str">
            <v>NOVIEMBRE</v>
          </cell>
          <cell r="D585" t="str">
            <v>2016</v>
          </cell>
          <cell r="E585">
            <v>230</v>
          </cell>
          <cell r="F585" t="str">
            <v>D6G-805</v>
          </cell>
          <cell r="G585" t="str">
            <v>T4Z-996</v>
          </cell>
          <cell r="H585" t="str">
            <v>LAS BAMBAS</v>
          </cell>
          <cell r="I585">
            <v>218905</v>
          </cell>
          <cell r="J585" t="str">
            <v>REPUESTO</v>
          </cell>
          <cell r="K585" t="str">
            <v>FAJAS 45 15</v>
          </cell>
          <cell r="L585">
            <v>4</v>
          </cell>
          <cell r="M585" t="str">
            <v>UNID.</v>
          </cell>
          <cell r="N585" t="str">
            <v>CISTERNA</v>
          </cell>
          <cell r="O585">
            <v>106</v>
          </cell>
          <cell r="P585" t="str">
            <v>J2</v>
          </cell>
          <cell r="Q585" t="str">
            <v>J2</v>
          </cell>
          <cell r="R585" t="str">
            <v>J6</v>
          </cell>
          <cell r="S585" t="str">
            <v>ENTREGADO</v>
          </cell>
          <cell r="T585">
            <v>0</v>
          </cell>
          <cell r="U585" t="str">
            <v>CORIHUAMAN SURCO  ERICK ROBERT</v>
          </cell>
          <cell r="V585" t="str">
            <v>CORIHUAMAN SURCO  ERICK ROBERT</v>
          </cell>
        </row>
        <row r="586">
          <cell r="A586">
            <v>506</v>
          </cell>
          <cell r="B586">
            <v>42684</v>
          </cell>
          <cell r="C586" t="str">
            <v>NOVIEMBRE</v>
          </cell>
          <cell r="D586" t="str">
            <v>2016</v>
          </cell>
          <cell r="E586">
            <v>221</v>
          </cell>
          <cell r="F586" t="str">
            <v>D7V-714</v>
          </cell>
          <cell r="G586" t="str">
            <v>F7M-971</v>
          </cell>
          <cell r="H586" t="str">
            <v>LAS BAMBAS</v>
          </cell>
          <cell r="I586">
            <v>43870</v>
          </cell>
          <cell r="J586" t="str">
            <v>REPUESTO</v>
          </cell>
          <cell r="K586" t="str">
            <v>BOCINA PARA TEMPLADORES</v>
          </cell>
          <cell r="L586">
            <v>4</v>
          </cell>
          <cell r="M586" t="str">
            <v>UNID.</v>
          </cell>
          <cell r="N586" t="str">
            <v>CISTERNA</v>
          </cell>
          <cell r="O586">
            <v>106</v>
          </cell>
          <cell r="P586" t="str">
            <v>S1</v>
          </cell>
          <cell r="Q586" t="str">
            <v>J1</v>
          </cell>
          <cell r="R586" t="str">
            <v>J6</v>
          </cell>
          <cell r="S586" t="str">
            <v>ENTREGADO</v>
          </cell>
          <cell r="T586">
            <v>0</v>
          </cell>
          <cell r="U586" t="str">
            <v>BAYONA CRUZ CRISTIAN ARMANDO</v>
          </cell>
          <cell r="V586" t="str">
            <v>FLOREZ CONDORI  JOSE WILLIANS</v>
          </cell>
        </row>
        <row r="587">
          <cell r="A587">
            <v>507</v>
          </cell>
          <cell r="B587">
            <v>42684</v>
          </cell>
          <cell r="C587" t="str">
            <v>NOVIEMBRE</v>
          </cell>
          <cell r="D587" t="str">
            <v>2016</v>
          </cell>
          <cell r="E587">
            <v>221</v>
          </cell>
          <cell r="F587" t="str">
            <v>D7V-714</v>
          </cell>
          <cell r="G587" t="str">
            <v>F7M-971</v>
          </cell>
          <cell r="H587" t="str">
            <v>LAS BAMBAS</v>
          </cell>
          <cell r="I587">
            <v>43870</v>
          </cell>
          <cell r="J587" t="str">
            <v>REPUESTO</v>
          </cell>
          <cell r="K587" t="str">
            <v>SUPERCITO 5/32</v>
          </cell>
          <cell r="L587">
            <v>0.5</v>
          </cell>
          <cell r="M587" t="str">
            <v>KG.</v>
          </cell>
          <cell r="N587" t="str">
            <v>CISTERNA</v>
          </cell>
          <cell r="O587">
            <v>0</v>
          </cell>
          <cell r="P587" t="str">
            <v>S1</v>
          </cell>
          <cell r="Q587" t="str">
            <v>J1</v>
          </cell>
          <cell r="R587" t="str">
            <v>J6</v>
          </cell>
          <cell r="S587" t="str">
            <v>ENTREGADO</v>
          </cell>
          <cell r="T587">
            <v>42684</v>
          </cell>
          <cell r="U587" t="str">
            <v>BAYONA CRUZ CRISTIAN ARMANDO</v>
          </cell>
          <cell r="V587" t="str">
            <v>FLOREZ CONDORI  JOSE WILLIANS</v>
          </cell>
        </row>
        <row r="588">
          <cell r="A588">
            <v>508</v>
          </cell>
          <cell r="B588">
            <v>42684</v>
          </cell>
          <cell r="C588" t="str">
            <v>NOVIEMBRE</v>
          </cell>
          <cell r="D588" t="str">
            <v>2016</v>
          </cell>
          <cell r="E588">
            <v>221</v>
          </cell>
          <cell r="F588" t="str">
            <v>D7V-714</v>
          </cell>
          <cell r="G588" t="str">
            <v>F7M-971</v>
          </cell>
          <cell r="H588" t="str">
            <v>LAS BAMBAS</v>
          </cell>
          <cell r="I588">
            <v>43870</v>
          </cell>
          <cell r="J588" t="str">
            <v>REPUESTO</v>
          </cell>
          <cell r="K588" t="str">
            <v>CELLOCORD 5/32</v>
          </cell>
          <cell r="L588">
            <v>0.5</v>
          </cell>
          <cell r="M588" t="str">
            <v>KG.</v>
          </cell>
          <cell r="N588" t="str">
            <v>CISTERNA</v>
          </cell>
          <cell r="O588">
            <v>0</v>
          </cell>
          <cell r="P588" t="str">
            <v>S1</v>
          </cell>
          <cell r="Q588" t="str">
            <v>J1</v>
          </cell>
          <cell r="R588" t="str">
            <v>J6</v>
          </cell>
          <cell r="S588" t="str">
            <v>ENTREGADO</v>
          </cell>
          <cell r="T588">
            <v>42684</v>
          </cell>
          <cell r="U588" t="str">
            <v>BAYONA CRUZ CRISTIAN ARMANDO</v>
          </cell>
          <cell r="V588" t="str">
            <v>FLOREZ CONDORI  JOSE WILLIANS</v>
          </cell>
        </row>
        <row r="589">
          <cell r="A589">
            <v>509</v>
          </cell>
          <cell r="B589">
            <v>42684</v>
          </cell>
          <cell r="C589" t="str">
            <v>NOVIEMBRE</v>
          </cell>
          <cell r="D589" t="str">
            <v>2016</v>
          </cell>
          <cell r="E589">
            <v>221</v>
          </cell>
          <cell r="F589" t="str">
            <v>D7V-714</v>
          </cell>
          <cell r="G589" t="str">
            <v>F7M-971</v>
          </cell>
          <cell r="H589" t="str">
            <v>LAS BAMBAS</v>
          </cell>
          <cell r="I589">
            <v>43870</v>
          </cell>
          <cell r="J589" t="str">
            <v>REPUESTO</v>
          </cell>
          <cell r="K589" t="str">
            <v>TUBO NEGRO DE CEDULA 80 PARA TEMPLADORES</v>
          </cell>
          <cell r="L589">
            <v>1</v>
          </cell>
          <cell r="M589" t="str">
            <v>UNID.</v>
          </cell>
          <cell r="N589" t="str">
            <v>CISTERNA</v>
          </cell>
          <cell r="O589">
            <v>106</v>
          </cell>
          <cell r="P589" t="str">
            <v>S1</v>
          </cell>
          <cell r="Q589" t="str">
            <v>J1</v>
          </cell>
          <cell r="R589" t="str">
            <v>J6</v>
          </cell>
          <cell r="S589" t="str">
            <v>ENTREGADO</v>
          </cell>
          <cell r="T589">
            <v>0</v>
          </cell>
          <cell r="U589" t="str">
            <v>BAYONA CRUZ CRISTIAN ARMANDO</v>
          </cell>
          <cell r="V589" t="str">
            <v>FLOREZ CONDORI  JOSE WILLIANS</v>
          </cell>
        </row>
        <row r="590">
          <cell r="A590">
            <v>535</v>
          </cell>
          <cell r="B590">
            <v>42684</v>
          </cell>
          <cell r="C590" t="str">
            <v>NOVIEMBRE</v>
          </cell>
          <cell r="D590" t="str">
            <v>2016</v>
          </cell>
          <cell r="E590">
            <v>279</v>
          </cell>
          <cell r="F590" t="str">
            <v>D7V-714</v>
          </cell>
          <cell r="G590" t="str">
            <v>F7M-971</v>
          </cell>
          <cell r="H590" t="str">
            <v>LAS BAMBAS</v>
          </cell>
          <cell r="I590">
            <v>44336</v>
          </cell>
          <cell r="J590" t="str">
            <v>REPUESTO</v>
          </cell>
          <cell r="K590" t="str">
            <v>FILTRO DE AIRE PRIMARIO</v>
          </cell>
          <cell r="L590">
            <v>1</v>
          </cell>
          <cell r="M590" t="str">
            <v>UNID.</v>
          </cell>
          <cell r="N590" t="str">
            <v>TRACTO</v>
          </cell>
          <cell r="O590">
            <v>0</v>
          </cell>
          <cell r="P590" t="str">
            <v>M8</v>
          </cell>
          <cell r="Q590" t="str">
            <v>J1</v>
          </cell>
          <cell r="R590" t="str">
            <v>J6</v>
          </cell>
          <cell r="S590" t="str">
            <v>ENTREGADO</v>
          </cell>
          <cell r="T590">
            <v>42684</v>
          </cell>
          <cell r="U590" t="str">
            <v>VARILLAS GAGO  OSCAR ALBERTO</v>
          </cell>
          <cell r="V590" t="str">
            <v>FLOREZ CONDORI  JOSE WILLIANS</v>
          </cell>
        </row>
        <row r="591">
          <cell r="A591">
            <v>536</v>
          </cell>
          <cell r="B591">
            <v>42684</v>
          </cell>
          <cell r="C591" t="str">
            <v>NOVIEMBRE</v>
          </cell>
          <cell r="D591" t="str">
            <v>2016</v>
          </cell>
          <cell r="E591">
            <v>279</v>
          </cell>
          <cell r="F591" t="str">
            <v>D7V-714</v>
          </cell>
          <cell r="G591" t="str">
            <v>F7M-971</v>
          </cell>
          <cell r="H591" t="str">
            <v>LAS BAMBAS</v>
          </cell>
          <cell r="I591">
            <v>44336</v>
          </cell>
          <cell r="J591" t="str">
            <v>REPUESTO</v>
          </cell>
          <cell r="K591" t="str">
            <v>FILTRO DE AIRE SECUNDARIO</v>
          </cell>
          <cell r="L591">
            <v>1</v>
          </cell>
          <cell r="M591" t="str">
            <v>UNID.</v>
          </cell>
          <cell r="N591" t="str">
            <v>TRACTO</v>
          </cell>
          <cell r="O591">
            <v>0</v>
          </cell>
          <cell r="P591" t="str">
            <v>M8</v>
          </cell>
          <cell r="Q591" t="str">
            <v>J1</v>
          </cell>
          <cell r="R591" t="str">
            <v>J6</v>
          </cell>
          <cell r="S591" t="str">
            <v>ENTREGADO</v>
          </cell>
          <cell r="T591">
            <v>42684</v>
          </cell>
          <cell r="U591" t="str">
            <v>VARILLAS GAGO  OSCAR ALBERTO</v>
          </cell>
          <cell r="V591" t="str">
            <v>FLOREZ CONDORI  JOSE WILLIANS</v>
          </cell>
        </row>
        <row r="592">
          <cell r="A592">
            <v>548</v>
          </cell>
          <cell r="B592">
            <v>42684</v>
          </cell>
          <cell r="C592" t="str">
            <v>NOVIEMBRE</v>
          </cell>
          <cell r="D592" t="str">
            <v>2016</v>
          </cell>
          <cell r="E592">
            <v>279</v>
          </cell>
          <cell r="F592" t="str">
            <v>D7V-714</v>
          </cell>
          <cell r="G592" t="str">
            <v>F7M-971</v>
          </cell>
          <cell r="H592" t="str">
            <v>LAS BAMBAS</v>
          </cell>
          <cell r="I592">
            <v>44336</v>
          </cell>
          <cell r="J592" t="str">
            <v>REPUESTO</v>
          </cell>
          <cell r="K592" t="str">
            <v>FOCOS R5W24V</v>
          </cell>
          <cell r="L592">
            <v>6</v>
          </cell>
          <cell r="M592" t="str">
            <v>UNID.</v>
          </cell>
          <cell r="N592" t="str">
            <v>TRACTO</v>
          </cell>
          <cell r="O592">
            <v>106</v>
          </cell>
          <cell r="P592" t="str">
            <v>E1</v>
          </cell>
          <cell r="Q592" t="str">
            <v>J1</v>
          </cell>
          <cell r="R592" t="str">
            <v>J6</v>
          </cell>
          <cell r="S592" t="str">
            <v>ENTREGADO</v>
          </cell>
          <cell r="T592">
            <v>0</v>
          </cell>
          <cell r="U592" t="str">
            <v>PALOMINO CARDENAS JUAN CARLOS</v>
          </cell>
          <cell r="V592" t="str">
            <v>FLOREZ CONDORI  JOSE WILLIANS</v>
          </cell>
        </row>
        <row r="593">
          <cell r="A593">
            <v>550</v>
          </cell>
          <cell r="B593">
            <v>42684</v>
          </cell>
          <cell r="C593" t="str">
            <v>NOVIEMBRE</v>
          </cell>
          <cell r="D593" t="str">
            <v>2016</v>
          </cell>
          <cell r="E593">
            <v>279</v>
          </cell>
          <cell r="F593" t="str">
            <v>D7V-714</v>
          </cell>
          <cell r="G593" t="str">
            <v>F7M-971</v>
          </cell>
          <cell r="H593" t="str">
            <v>LAS BAMBAS</v>
          </cell>
          <cell r="I593">
            <v>44336</v>
          </cell>
          <cell r="J593" t="str">
            <v>REPUESTO</v>
          </cell>
          <cell r="K593" t="str">
            <v>VOLANDA PLANA DE 1</v>
          </cell>
          <cell r="L593">
            <v>2</v>
          </cell>
          <cell r="M593" t="str">
            <v>UNID.</v>
          </cell>
          <cell r="N593" t="str">
            <v>CISTERNA</v>
          </cell>
          <cell r="O593">
            <v>0</v>
          </cell>
          <cell r="P593" t="str">
            <v>S1</v>
          </cell>
          <cell r="Q593" t="str">
            <v>J2</v>
          </cell>
          <cell r="R593" t="str">
            <v>J6</v>
          </cell>
          <cell r="S593" t="str">
            <v>ENTREGADO</v>
          </cell>
          <cell r="T593">
            <v>42684</v>
          </cell>
          <cell r="U593" t="str">
            <v>BAYONA CRUZ CRISTIAN ARMANDO</v>
          </cell>
          <cell r="V593" t="str">
            <v>CORIHUAMAN SURCO  ERICK ROBERT</v>
          </cell>
        </row>
        <row r="594">
          <cell r="A594">
            <v>551</v>
          </cell>
          <cell r="B594">
            <v>42684</v>
          </cell>
          <cell r="C594" t="str">
            <v>NOVIEMBRE</v>
          </cell>
          <cell r="D594" t="str">
            <v>2016</v>
          </cell>
          <cell r="E594">
            <v>279</v>
          </cell>
          <cell r="F594" t="str">
            <v>D7V-714</v>
          </cell>
          <cell r="G594" t="str">
            <v>F7M-971</v>
          </cell>
          <cell r="H594" t="str">
            <v>LAS BAMBAS</v>
          </cell>
          <cell r="I594">
            <v>44336</v>
          </cell>
          <cell r="J594" t="str">
            <v>REPUESTO</v>
          </cell>
          <cell r="K594" t="str">
            <v>VOLANDA DE PRESION 1</v>
          </cell>
          <cell r="L594">
            <v>2</v>
          </cell>
          <cell r="M594" t="str">
            <v>UNID.</v>
          </cell>
          <cell r="N594" t="str">
            <v>CISTERNA</v>
          </cell>
          <cell r="O594">
            <v>0</v>
          </cell>
          <cell r="P594" t="str">
            <v>S1</v>
          </cell>
          <cell r="Q594" t="str">
            <v>J2</v>
          </cell>
          <cell r="R594" t="str">
            <v>J6</v>
          </cell>
          <cell r="S594" t="str">
            <v>ENTREGADO</v>
          </cell>
          <cell r="T594">
            <v>42684</v>
          </cell>
          <cell r="U594" t="str">
            <v>BAYONA CRUZ CRISTIAN ARMANDO</v>
          </cell>
          <cell r="V594" t="str">
            <v>CORIHUAMAN SURCO  ERICK ROBERT</v>
          </cell>
        </row>
        <row r="595">
          <cell r="A595">
            <v>552</v>
          </cell>
          <cell r="B595">
            <v>42684</v>
          </cell>
          <cell r="C595" t="str">
            <v>NOVIEMBRE</v>
          </cell>
          <cell r="D595" t="str">
            <v>2016</v>
          </cell>
          <cell r="E595">
            <v>279</v>
          </cell>
          <cell r="F595" t="str">
            <v>D7V-714</v>
          </cell>
          <cell r="G595" t="str">
            <v>F7M-971</v>
          </cell>
          <cell r="H595" t="str">
            <v>LAS BAMBAS</v>
          </cell>
          <cell r="I595">
            <v>44336</v>
          </cell>
          <cell r="J595" t="str">
            <v>REPUESTO</v>
          </cell>
          <cell r="K595" t="str">
            <v>DISCO DE CORTE DE 7</v>
          </cell>
          <cell r="L595">
            <v>1</v>
          </cell>
          <cell r="M595" t="str">
            <v>UNID.</v>
          </cell>
          <cell r="N595" t="str">
            <v>CISTERNA</v>
          </cell>
          <cell r="O595">
            <v>0</v>
          </cell>
          <cell r="P595" t="str">
            <v>S1</v>
          </cell>
          <cell r="Q595" t="str">
            <v>J2</v>
          </cell>
          <cell r="R595" t="str">
            <v>J6</v>
          </cell>
          <cell r="S595" t="str">
            <v>ENTREGADO</v>
          </cell>
          <cell r="T595">
            <v>42684</v>
          </cell>
          <cell r="U595" t="str">
            <v>BAYONA CRUZ CRISTIAN ARMANDO</v>
          </cell>
          <cell r="V595" t="str">
            <v>CORIHUAMAN SURCO  ERICK ROBERT</v>
          </cell>
        </row>
        <row r="596">
          <cell r="A596">
            <v>560</v>
          </cell>
          <cell r="B596">
            <v>42684</v>
          </cell>
          <cell r="C596" t="str">
            <v>NOVIEMBRE</v>
          </cell>
          <cell r="D596" t="str">
            <v>2016</v>
          </cell>
          <cell r="E596">
            <v>279</v>
          </cell>
          <cell r="F596" t="str">
            <v>D7V-714</v>
          </cell>
          <cell r="G596" t="str">
            <v>F7M-971</v>
          </cell>
          <cell r="H596" t="str">
            <v>LAS BAMBAS</v>
          </cell>
          <cell r="I596">
            <v>44336</v>
          </cell>
          <cell r="J596" t="str">
            <v>INSUMO TALLER</v>
          </cell>
          <cell r="K596" t="str">
            <v>SPRAY COLOR ALUMINIO</v>
          </cell>
          <cell r="L596">
            <v>1</v>
          </cell>
          <cell r="M596" t="str">
            <v>UNID.</v>
          </cell>
          <cell r="N596" t="str">
            <v>TRACTO</v>
          </cell>
          <cell r="O596">
            <v>0</v>
          </cell>
          <cell r="P596" t="str">
            <v>M3</v>
          </cell>
          <cell r="Q596" t="str">
            <v>J1</v>
          </cell>
          <cell r="R596" t="str">
            <v>J6</v>
          </cell>
          <cell r="S596" t="str">
            <v>ENTREGADO</v>
          </cell>
          <cell r="T596">
            <v>42684</v>
          </cell>
          <cell r="U596" t="str">
            <v>GARCIA PASQUEL  JOSE LUIS</v>
          </cell>
          <cell r="V596" t="str">
            <v>FLOREZ CONDORI  JOSE WILLIANS</v>
          </cell>
        </row>
        <row r="597">
          <cell r="A597">
            <v>567</v>
          </cell>
          <cell r="B597">
            <v>42684</v>
          </cell>
          <cell r="C597" t="str">
            <v>NOVIEMBRE</v>
          </cell>
          <cell r="D597" t="str">
            <v>2016</v>
          </cell>
          <cell r="E597">
            <v>279</v>
          </cell>
          <cell r="F597" t="str">
            <v>D7V-714</v>
          </cell>
          <cell r="G597" t="str">
            <v>F7M-971</v>
          </cell>
          <cell r="H597" t="str">
            <v>LAS BAMBAS</v>
          </cell>
          <cell r="I597">
            <v>44336</v>
          </cell>
          <cell r="J597" t="str">
            <v>REPUESTO</v>
          </cell>
          <cell r="K597" t="str">
            <v>REFRIGERANTE</v>
          </cell>
          <cell r="L597">
            <v>1</v>
          </cell>
          <cell r="M597" t="str">
            <v>GLNS.</v>
          </cell>
          <cell r="N597" t="str">
            <v>TRACTO</v>
          </cell>
          <cell r="O597">
            <v>0</v>
          </cell>
          <cell r="P597" t="str">
            <v>M3</v>
          </cell>
          <cell r="Q597" t="str">
            <v>J1</v>
          </cell>
          <cell r="R597" t="str">
            <v>J6</v>
          </cell>
          <cell r="S597" t="str">
            <v>ENTREGADO</v>
          </cell>
          <cell r="T597">
            <v>42684</v>
          </cell>
          <cell r="U597" t="str">
            <v>GARCIA PASQUEL  JOSE LUIS</v>
          </cell>
          <cell r="V597" t="str">
            <v>FLOREZ CONDORI  JOSE WILLIANS</v>
          </cell>
        </row>
        <row r="598">
          <cell r="A598">
            <v>504</v>
          </cell>
          <cell r="B598">
            <v>42684</v>
          </cell>
          <cell r="C598" t="str">
            <v>NOVIEMBRE</v>
          </cell>
          <cell r="D598" t="str">
            <v>2016</v>
          </cell>
          <cell r="E598">
            <v>200</v>
          </cell>
          <cell r="F598" t="str">
            <v>TALLER</v>
          </cell>
          <cell r="G598" t="str">
            <v>TALLER</v>
          </cell>
          <cell r="H598" t="str">
            <v>TALLER</v>
          </cell>
          <cell r="I598" t="str">
            <v>TALLER</v>
          </cell>
          <cell r="J598" t="str">
            <v>UNIFORMES</v>
          </cell>
          <cell r="K598" t="str">
            <v>TAIVEX "M"</v>
          </cell>
          <cell r="L598">
            <v>1</v>
          </cell>
          <cell r="M598" t="str">
            <v>UNID.</v>
          </cell>
          <cell r="N598" t="str">
            <v>TALLER</v>
          </cell>
          <cell r="O598">
            <v>0</v>
          </cell>
          <cell r="P598" t="str">
            <v>E1</v>
          </cell>
          <cell r="Q598" t="str">
            <v>J2</v>
          </cell>
          <cell r="R598" t="str">
            <v>J6</v>
          </cell>
          <cell r="S598" t="str">
            <v>ENTREGADO</v>
          </cell>
          <cell r="T598">
            <v>42684</v>
          </cell>
          <cell r="U598" t="str">
            <v>PALOMINO CARDENAS JUAN CARLOS</v>
          </cell>
          <cell r="V598" t="str">
            <v>CORIHUAMAN SURCO  ERICK ROBERT</v>
          </cell>
        </row>
        <row r="599">
          <cell r="A599">
            <v>515</v>
          </cell>
          <cell r="B599">
            <v>42684</v>
          </cell>
          <cell r="C599" t="str">
            <v>NOVIEMBRE</v>
          </cell>
          <cell r="D599" t="str">
            <v>2016</v>
          </cell>
          <cell r="E599">
            <v>200</v>
          </cell>
          <cell r="F599" t="str">
            <v>TALLER</v>
          </cell>
          <cell r="G599" t="str">
            <v>TALLER</v>
          </cell>
          <cell r="H599" t="str">
            <v>TALLER</v>
          </cell>
          <cell r="I599" t="str">
            <v>TALLER</v>
          </cell>
          <cell r="J599" t="str">
            <v>REPUESTO</v>
          </cell>
          <cell r="K599" t="str">
            <v>SACO VALVULA ESTANDAR</v>
          </cell>
          <cell r="L599">
            <v>2</v>
          </cell>
          <cell r="M599" t="str">
            <v>UNID.</v>
          </cell>
          <cell r="N599" t="str">
            <v>TALLER</v>
          </cell>
          <cell r="O599">
            <v>0</v>
          </cell>
          <cell r="P599" t="str">
            <v>N1</v>
          </cell>
          <cell r="Q599" t="str">
            <v>J3</v>
          </cell>
          <cell r="R599" t="str">
            <v>J3</v>
          </cell>
          <cell r="S599" t="str">
            <v>ENTREGADO</v>
          </cell>
          <cell r="T599">
            <v>42684</v>
          </cell>
          <cell r="U599" t="str">
            <v>AGUILAR CCANTUTA WILLY</v>
          </cell>
          <cell r="V599" t="str">
            <v>CHURA PIZARRO ALBERTO</v>
          </cell>
        </row>
        <row r="600">
          <cell r="A600">
            <v>516</v>
          </cell>
          <cell r="B600">
            <v>42684</v>
          </cell>
          <cell r="C600" t="str">
            <v>NOVIEMBRE</v>
          </cell>
          <cell r="D600" t="str">
            <v>2016</v>
          </cell>
          <cell r="E600">
            <v>200</v>
          </cell>
          <cell r="F600" t="str">
            <v>TALLER</v>
          </cell>
          <cell r="G600" t="str">
            <v>TALLER</v>
          </cell>
          <cell r="H600" t="str">
            <v>TALLER</v>
          </cell>
          <cell r="I600" t="str">
            <v>TALLER</v>
          </cell>
          <cell r="J600" t="str">
            <v>REPUESTO</v>
          </cell>
          <cell r="K600" t="str">
            <v>EXTENSION DE LUZ SEGÚN MUESTRA</v>
          </cell>
          <cell r="L600">
            <v>4</v>
          </cell>
          <cell r="M600" t="str">
            <v>M</v>
          </cell>
          <cell r="N600" t="str">
            <v>TALLER</v>
          </cell>
          <cell r="O600">
            <v>106</v>
          </cell>
          <cell r="P600" t="str">
            <v>E1</v>
          </cell>
          <cell r="Q600" t="str">
            <v>J1</v>
          </cell>
          <cell r="R600" t="str">
            <v>J6</v>
          </cell>
          <cell r="S600" t="str">
            <v>PENDIENTE</v>
          </cell>
          <cell r="T600">
            <v>0</v>
          </cell>
          <cell r="U600" t="str">
            <v>PALOMINO CARDENAS JUAN CARLOS</v>
          </cell>
          <cell r="V600" t="str">
            <v>FLOREZ CONDORI  JOSE WILLIANS</v>
          </cell>
        </row>
        <row r="601">
          <cell r="A601">
            <v>524</v>
          </cell>
          <cell r="B601">
            <v>42684</v>
          </cell>
          <cell r="C601" t="str">
            <v>NOVIEMBRE</v>
          </cell>
          <cell r="D601" t="str">
            <v>2016</v>
          </cell>
          <cell r="E601">
            <v>200</v>
          </cell>
          <cell r="F601" t="str">
            <v>TALLER</v>
          </cell>
          <cell r="G601" t="str">
            <v>TALLER</v>
          </cell>
          <cell r="H601" t="str">
            <v>TALLER</v>
          </cell>
          <cell r="I601" t="str">
            <v>TALLER</v>
          </cell>
          <cell r="J601" t="str">
            <v>REPUESTO</v>
          </cell>
          <cell r="K601" t="str">
            <v>TAIVEX "M"</v>
          </cell>
          <cell r="L601">
            <v>1</v>
          </cell>
          <cell r="M601" t="str">
            <v>UNID.</v>
          </cell>
          <cell r="N601" t="str">
            <v>TALLER</v>
          </cell>
          <cell r="O601">
            <v>0</v>
          </cell>
          <cell r="P601" t="str">
            <v>M4</v>
          </cell>
          <cell r="Q601" t="str">
            <v>J1</v>
          </cell>
          <cell r="R601" t="str">
            <v>J6</v>
          </cell>
          <cell r="S601" t="str">
            <v>ENTREGADO</v>
          </cell>
          <cell r="T601">
            <v>42684</v>
          </cell>
          <cell r="U601" t="str">
            <v>JULLIRI APAZA UBALDO</v>
          </cell>
          <cell r="V601" t="str">
            <v>FLOREZ CONDORI  JOSE WILLIANS</v>
          </cell>
        </row>
        <row r="602">
          <cell r="A602">
            <v>525</v>
          </cell>
          <cell r="B602">
            <v>42684</v>
          </cell>
          <cell r="C602" t="str">
            <v>NOVIEMBRE</v>
          </cell>
          <cell r="D602" t="str">
            <v>2016</v>
          </cell>
          <cell r="E602">
            <v>200</v>
          </cell>
          <cell r="F602" t="str">
            <v>TALLER</v>
          </cell>
          <cell r="G602" t="str">
            <v>TALLER</v>
          </cell>
          <cell r="H602" t="str">
            <v>TALLER</v>
          </cell>
          <cell r="I602" t="str">
            <v>TALLER</v>
          </cell>
          <cell r="J602" t="str">
            <v>REPUESTO</v>
          </cell>
          <cell r="K602" t="str">
            <v>SICAFLEX</v>
          </cell>
          <cell r="L602">
            <v>1</v>
          </cell>
          <cell r="M602" t="str">
            <v>UNID.</v>
          </cell>
          <cell r="N602" t="str">
            <v>TALLER</v>
          </cell>
          <cell r="O602">
            <v>0</v>
          </cell>
          <cell r="P602" t="str">
            <v>E1</v>
          </cell>
          <cell r="Q602" t="str">
            <v>J1</v>
          </cell>
          <cell r="R602" t="str">
            <v>J6</v>
          </cell>
          <cell r="S602" t="str">
            <v>ENTREGADO</v>
          </cell>
          <cell r="T602">
            <v>42684</v>
          </cell>
          <cell r="U602" t="str">
            <v>PALOMINO CARDENAS JUAN CARLOS</v>
          </cell>
          <cell r="V602" t="str">
            <v>FLOREZ CONDORI  JOSE WILLIANS</v>
          </cell>
        </row>
        <row r="603">
          <cell r="A603">
            <v>561</v>
          </cell>
          <cell r="B603">
            <v>42684</v>
          </cell>
          <cell r="C603" t="str">
            <v>NOVIEMBRE</v>
          </cell>
          <cell r="D603" t="str">
            <v>2016</v>
          </cell>
          <cell r="E603">
            <v>200</v>
          </cell>
          <cell r="F603" t="str">
            <v>TALLER</v>
          </cell>
          <cell r="G603" t="str">
            <v>TALLER</v>
          </cell>
          <cell r="H603" t="str">
            <v>TALLER</v>
          </cell>
          <cell r="I603" t="str">
            <v>TALLER</v>
          </cell>
          <cell r="J603" t="str">
            <v>HERRAMIENTAS</v>
          </cell>
          <cell r="K603" t="str">
            <v>ESPATULA</v>
          </cell>
          <cell r="L603">
            <v>1</v>
          </cell>
          <cell r="M603" t="str">
            <v>UNID.</v>
          </cell>
          <cell r="N603" t="str">
            <v>TALLER</v>
          </cell>
          <cell r="O603">
            <v>0</v>
          </cell>
          <cell r="P603" t="str">
            <v>M2</v>
          </cell>
          <cell r="Q603" t="str">
            <v>J1</v>
          </cell>
          <cell r="R603" t="str">
            <v>J6</v>
          </cell>
          <cell r="S603" t="str">
            <v>ENTREGADO</v>
          </cell>
          <cell r="T603">
            <v>42684</v>
          </cell>
          <cell r="U603" t="str">
            <v>CHUMPITAZ GAGO JULIO ENRIQUE</v>
          </cell>
          <cell r="V603" t="str">
            <v>FLOREZ CONDORI  JOSE WILLIANS</v>
          </cell>
        </row>
        <row r="604">
          <cell r="A604">
            <v>563</v>
          </cell>
          <cell r="B604">
            <v>42684</v>
          </cell>
          <cell r="C604" t="str">
            <v>NOVIEMBRE</v>
          </cell>
          <cell r="D604" t="str">
            <v>2016</v>
          </cell>
          <cell r="E604">
            <v>200</v>
          </cell>
          <cell r="F604" t="str">
            <v>TALLER</v>
          </cell>
          <cell r="G604" t="str">
            <v>TALLER</v>
          </cell>
          <cell r="H604" t="str">
            <v>TALLER</v>
          </cell>
          <cell r="I604" t="str">
            <v>TALLER</v>
          </cell>
          <cell r="J604" t="str">
            <v>INSUMO TALLER</v>
          </cell>
          <cell r="K604" t="str">
            <v>CINTA NEGRA</v>
          </cell>
          <cell r="L604">
            <v>1</v>
          </cell>
          <cell r="M604" t="str">
            <v>UNID.</v>
          </cell>
          <cell r="N604" t="str">
            <v>TALLER</v>
          </cell>
          <cell r="O604">
            <v>0</v>
          </cell>
          <cell r="P604" t="str">
            <v>M1</v>
          </cell>
          <cell r="Q604" t="str">
            <v>J2</v>
          </cell>
          <cell r="R604" t="str">
            <v>J6</v>
          </cell>
          <cell r="S604" t="str">
            <v>ENTREGADO</v>
          </cell>
          <cell r="T604">
            <v>42684</v>
          </cell>
          <cell r="U604" t="str">
            <v>CABEZAS SANCHEZ JEAN JHONATAN</v>
          </cell>
          <cell r="V604" t="str">
            <v>CORIHUAMAN SURCO  ERICK ROBERT</v>
          </cell>
        </row>
        <row r="605">
          <cell r="A605">
            <v>564</v>
          </cell>
          <cell r="B605">
            <v>42684</v>
          </cell>
          <cell r="C605" t="str">
            <v>NOVIEMBRE</v>
          </cell>
          <cell r="D605" t="str">
            <v>2016</v>
          </cell>
          <cell r="E605">
            <v>200</v>
          </cell>
          <cell r="F605" t="str">
            <v>TALLER</v>
          </cell>
          <cell r="G605" t="str">
            <v>TALLER</v>
          </cell>
          <cell r="H605" t="str">
            <v>TALLER</v>
          </cell>
          <cell r="I605" t="str">
            <v>TALLER</v>
          </cell>
          <cell r="J605" t="str">
            <v>INSUMO TALLER</v>
          </cell>
          <cell r="K605" t="str">
            <v>PRESINTOS</v>
          </cell>
          <cell r="L605">
            <v>10</v>
          </cell>
          <cell r="M605" t="str">
            <v>UNID.</v>
          </cell>
          <cell r="N605" t="str">
            <v>TALLER</v>
          </cell>
          <cell r="O605">
            <v>0</v>
          </cell>
          <cell r="P605" t="str">
            <v>E2</v>
          </cell>
          <cell r="Q605" t="str">
            <v>J2</v>
          </cell>
          <cell r="R605" t="str">
            <v>J6</v>
          </cell>
          <cell r="S605" t="str">
            <v>ENTREGADO</v>
          </cell>
          <cell r="T605">
            <v>42684</v>
          </cell>
          <cell r="U605" t="str">
            <v>YUCA BELLIDO BORIS YERSY</v>
          </cell>
          <cell r="V605" t="str">
            <v>CORIHUAMAN SURCO  ERICK ROBERT</v>
          </cell>
        </row>
        <row r="606">
          <cell r="A606">
            <v>574</v>
          </cell>
          <cell r="B606">
            <v>42684</v>
          </cell>
          <cell r="C606" t="str">
            <v>NOVIEMBRE</v>
          </cell>
          <cell r="D606" t="str">
            <v>2016</v>
          </cell>
          <cell r="E606">
            <v>200</v>
          </cell>
          <cell r="F606" t="str">
            <v>TALLER</v>
          </cell>
          <cell r="G606" t="str">
            <v>TALLER</v>
          </cell>
          <cell r="H606" t="str">
            <v>TALLER</v>
          </cell>
          <cell r="I606" t="str">
            <v>TALLER</v>
          </cell>
          <cell r="J606" t="str">
            <v>HERRAMIENTAS</v>
          </cell>
          <cell r="K606" t="str">
            <v>BROCA 3/8</v>
          </cell>
          <cell r="L606">
            <v>1</v>
          </cell>
          <cell r="M606" t="str">
            <v>UNID.</v>
          </cell>
          <cell r="N606" t="str">
            <v>TALLER</v>
          </cell>
          <cell r="O606">
            <v>106</v>
          </cell>
          <cell r="P606" t="str">
            <v>S1</v>
          </cell>
          <cell r="Q606" t="str">
            <v>J1</v>
          </cell>
          <cell r="R606" t="str">
            <v>J6</v>
          </cell>
          <cell r="S606" t="str">
            <v>ENTREGADO</v>
          </cell>
          <cell r="T606">
            <v>0</v>
          </cell>
          <cell r="U606" t="str">
            <v>BAYONA CRUZ CRISTIAN ARMANDO</v>
          </cell>
          <cell r="V606" t="str">
            <v>FLOREZ CONDORI  JOSE WILLIANS</v>
          </cell>
        </row>
        <row r="607">
          <cell r="A607">
            <v>575</v>
          </cell>
          <cell r="B607">
            <v>42684</v>
          </cell>
          <cell r="C607" t="str">
            <v>NOVIEMBRE</v>
          </cell>
          <cell r="D607" t="str">
            <v>2016</v>
          </cell>
          <cell r="E607">
            <v>200</v>
          </cell>
          <cell r="F607" t="str">
            <v>TALLER</v>
          </cell>
          <cell r="G607" t="str">
            <v>TALLER</v>
          </cell>
          <cell r="H607" t="str">
            <v>TALLER</v>
          </cell>
          <cell r="I607" t="str">
            <v>TALLER</v>
          </cell>
          <cell r="J607" t="str">
            <v>HERRAMIENTAS</v>
          </cell>
          <cell r="K607" t="str">
            <v>HUINCHAS 5 M</v>
          </cell>
          <cell r="L607">
            <v>2</v>
          </cell>
          <cell r="M607" t="str">
            <v>UNID.</v>
          </cell>
          <cell r="N607" t="str">
            <v>TALLER</v>
          </cell>
          <cell r="O607">
            <v>106</v>
          </cell>
          <cell r="P607" t="str">
            <v>S1</v>
          </cell>
          <cell r="Q607" t="str">
            <v>J1</v>
          </cell>
          <cell r="R607" t="str">
            <v>J6</v>
          </cell>
          <cell r="S607" t="str">
            <v>ENTREGADO</v>
          </cell>
          <cell r="T607">
            <v>0</v>
          </cell>
          <cell r="U607" t="str">
            <v>BAYONA CRUZ CRISTIAN ARMANDO</v>
          </cell>
          <cell r="V607" t="str">
            <v>FLOREZ CONDORI  JOSE WILLIANS</v>
          </cell>
        </row>
        <row r="608">
          <cell r="A608">
            <v>581</v>
          </cell>
          <cell r="B608">
            <v>42684</v>
          </cell>
          <cell r="C608" t="str">
            <v>NOVIEMBRE</v>
          </cell>
          <cell r="D608" t="str">
            <v>2016</v>
          </cell>
          <cell r="E608">
            <v>200</v>
          </cell>
          <cell r="F608" t="str">
            <v>TALLER</v>
          </cell>
          <cell r="G608" t="str">
            <v>TALLER</v>
          </cell>
          <cell r="H608" t="str">
            <v>TALLER</v>
          </cell>
          <cell r="I608" t="str">
            <v>TALLER</v>
          </cell>
          <cell r="J608" t="str">
            <v>INSUMO TALLER</v>
          </cell>
          <cell r="K608" t="str">
            <v>THINNER</v>
          </cell>
          <cell r="L608">
            <v>0.15</v>
          </cell>
          <cell r="M608" t="str">
            <v>GLNS.</v>
          </cell>
          <cell r="N608" t="str">
            <v>TALLER</v>
          </cell>
          <cell r="O608">
            <v>0</v>
          </cell>
          <cell r="P608" t="str">
            <v>S1</v>
          </cell>
          <cell r="Q608" t="str">
            <v>J1</v>
          </cell>
          <cell r="R608" t="str">
            <v>J6</v>
          </cell>
          <cell r="S608" t="str">
            <v>ENTREGADO</v>
          </cell>
          <cell r="T608">
            <v>42684</v>
          </cell>
          <cell r="U608" t="str">
            <v>BAYONA CRUZ CRISTIAN ARMANDO</v>
          </cell>
          <cell r="V608" t="str">
            <v>FLOREZ CONDORI  JOSE WILLIANS</v>
          </cell>
        </row>
        <row r="609">
          <cell r="A609">
            <v>591</v>
          </cell>
          <cell r="B609">
            <v>42684</v>
          </cell>
          <cell r="C609" t="str">
            <v>NOVIEMBRE</v>
          </cell>
          <cell r="D609" t="str">
            <v>2016</v>
          </cell>
          <cell r="E609">
            <v>200</v>
          </cell>
          <cell r="F609" t="str">
            <v>TALLER</v>
          </cell>
          <cell r="G609" t="str">
            <v>TALLER</v>
          </cell>
          <cell r="H609" t="str">
            <v>TALLER</v>
          </cell>
          <cell r="I609" t="str">
            <v>TALLER</v>
          </cell>
          <cell r="J609" t="str">
            <v>REPUESTO</v>
          </cell>
          <cell r="K609" t="str">
            <v>PLATINA 1 1/2 X 1/8</v>
          </cell>
          <cell r="L609">
            <v>2</v>
          </cell>
          <cell r="M609" t="str">
            <v>UNID.</v>
          </cell>
          <cell r="N609" t="str">
            <v>CISTERNA</v>
          </cell>
          <cell r="O609">
            <v>106</v>
          </cell>
          <cell r="P609" t="str">
            <v>S1</v>
          </cell>
          <cell r="Q609" t="str">
            <v>J1</v>
          </cell>
          <cell r="R609" t="str">
            <v>J6</v>
          </cell>
          <cell r="S609" t="str">
            <v>ENTREGADO</v>
          </cell>
          <cell r="T609">
            <v>0</v>
          </cell>
          <cell r="U609" t="str">
            <v>BAYONA CRUZ CRISTIAN ARMANDO</v>
          </cell>
          <cell r="V609" t="str">
            <v>FLOREZ CONDORI  JOSE WILLIANS</v>
          </cell>
        </row>
        <row r="610">
          <cell r="A610">
            <v>592</v>
          </cell>
          <cell r="B610">
            <v>42684</v>
          </cell>
          <cell r="C610" t="str">
            <v>NOVIEMBRE</v>
          </cell>
          <cell r="D610" t="str">
            <v>2016</v>
          </cell>
          <cell r="E610">
            <v>200</v>
          </cell>
          <cell r="F610" t="str">
            <v>TALLER</v>
          </cell>
          <cell r="G610" t="str">
            <v>TALLER</v>
          </cell>
          <cell r="H610" t="str">
            <v>TALLER</v>
          </cell>
          <cell r="I610" t="str">
            <v>TALLER</v>
          </cell>
          <cell r="J610" t="str">
            <v>REPUESTO</v>
          </cell>
          <cell r="K610" t="str">
            <v>PLATINA 2 X 1/8</v>
          </cell>
          <cell r="L610">
            <v>1</v>
          </cell>
          <cell r="M610" t="str">
            <v>UNID.</v>
          </cell>
          <cell r="N610" t="str">
            <v>CISTERNA</v>
          </cell>
          <cell r="O610">
            <v>106</v>
          </cell>
          <cell r="P610" t="str">
            <v>S1</v>
          </cell>
          <cell r="Q610" t="str">
            <v>J1</v>
          </cell>
          <cell r="R610" t="str">
            <v>J6</v>
          </cell>
          <cell r="S610" t="str">
            <v>ENTREGADO</v>
          </cell>
          <cell r="T610">
            <v>0</v>
          </cell>
          <cell r="U610" t="str">
            <v>BAYONA CRUZ CRISTIAN ARMANDO</v>
          </cell>
          <cell r="V610" t="str">
            <v>FLOREZ CONDORI  JOSE WILLIANS</v>
          </cell>
        </row>
        <row r="611">
          <cell r="A611">
            <v>593</v>
          </cell>
          <cell r="B611">
            <v>42684</v>
          </cell>
          <cell r="C611" t="str">
            <v>NOVIEMBRE</v>
          </cell>
          <cell r="D611" t="str">
            <v>2016</v>
          </cell>
          <cell r="E611">
            <v>200</v>
          </cell>
          <cell r="F611" t="str">
            <v>TALLER</v>
          </cell>
          <cell r="G611" t="str">
            <v>TALLER</v>
          </cell>
          <cell r="H611" t="str">
            <v>TALLER</v>
          </cell>
          <cell r="I611" t="str">
            <v>TALLER</v>
          </cell>
          <cell r="J611" t="str">
            <v>REPUESTO</v>
          </cell>
          <cell r="K611" t="str">
            <v>TIZA DE CALDERA</v>
          </cell>
          <cell r="L611">
            <v>1</v>
          </cell>
          <cell r="M611" t="str">
            <v>UNID.</v>
          </cell>
          <cell r="N611" t="str">
            <v>TALLER</v>
          </cell>
          <cell r="O611">
            <v>0</v>
          </cell>
          <cell r="P611" t="str">
            <v>S1</v>
          </cell>
          <cell r="Q611" t="str">
            <v>J1</v>
          </cell>
          <cell r="R611" t="str">
            <v>J6</v>
          </cell>
          <cell r="S611" t="str">
            <v>ENTREGADO</v>
          </cell>
          <cell r="T611">
            <v>42684</v>
          </cell>
          <cell r="U611" t="str">
            <v>BAYONA CRUZ CRISTIAN ARMANDO</v>
          </cell>
          <cell r="V611" t="str">
            <v>FLOREZ CONDORI  JOSE WILLIANS</v>
          </cell>
        </row>
        <row r="612">
          <cell r="A612">
            <v>594</v>
          </cell>
          <cell r="B612">
            <v>42684</v>
          </cell>
          <cell r="C612" t="str">
            <v>NOVIEMBRE</v>
          </cell>
          <cell r="D612" t="str">
            <v>2016</v>
          </cell>
          <cell r="E612">
            <v>200</v>
          </cell>
          <cell r="F612" t="str">
            <v>TALLER</v>
          </cell>
          <cell r="G612" t="str">
            <v>TALLER</v>
          </cell>
          <cell r="H612" t="str">
            <v>TALLER</v>
          </cell>
          <cell r="I612" t="str">
            <v>TALLER</v>
          </cell>
          <cell r="J612" t="str">
            <v>REPUESTO</v>
          </cell>
          <cell r="K612" t="str">
            <v>BOTELLA DE OXIGENO DE 10 M3</v>
          </cell>
          <cell r="L612">
            <v>2</v>
          </cell>
          <cell r="M612" t="str">
            <v>UNID.</v>
          </cell>
          <cell r="N612" t="str">
            <v>TALLER</v>
          </cell>
          <cell r="O612">
            <v>1</v>
          </cell>
          <cell r="P612" t="str">
            <v>S1</v>
          </cell>
          <cell r="Q612" t="str">
            <v>J1</v>
          </cell>
          <cell r="R612" t="str">
            <v>J6</v>
          </cell>
          <cell r="S612" t="str">
            <v>ENTREGADO</v>
          </cell>
          <cell r="T612">
            <v>42685</v>
          </cell>
          <cell r="U612" t="str">
            <v>BAYONA CRUZ CRISTIAN ARMANDO</v>
          </cell>
          <cell r="V612" t="str">
            <v>FLOREZ CONDORI  JOSE WILLIANS</v>
          </cell>
        </row>
        <row r="613">
          <cell r="A613">
            <v>584</v>
          </cell>
          <cell r="B613">
            <v>42684</v>
          </cell>
          <cell r="C613" t="str">
            <v>NOVIEMBRE</v>
          </cell>
          <cell r="D613" t="str">
            <v>2016</v>
          </cell>
          <cell r="E613">
            <v>295</v>
          </cell>
          <cell r="F613" t="str">
            <v>X2W-759</v>
          </cell>
          <cell r="G613" t="str">
            <v>C5V-999</v>
          </cell>
          <cell r="H613" t="str">
            <v>LAS BAMBAS</v>
          </cell>
          <cell r="I613">
            <v>150003</v>
          </cell>
          <cell r="J613" t="str">
            <v>REPUESTO</v>
          </cell>
          <cell r="K613" t="str">
            <v>FOCO 9006</v>
          </cell>
          <cell r="L613">
            <v>1</v>
          </cell>
          <cell r="M613" t="str">
            <v>UNID.</v>
          </cell>
          <cell r="N613" t="str">
            <v>TRACTO</v>
          </cell>
          <cell r="O613">
            <v>0</v>
          </cell>
          <cell r="P613" t="str">
            <v>E1</v>
          </cell>
          <cell r="Q613" t="str">
            <v>J1</v>
          </cell>
          <cell r="R613" t="str">
            <v>J6</v>
          </cell>
          <cell r="S613" t="str">
            <v>ENTREGADO</v>
          </cell>
          <cell r="T613">
            <v>42684</v>
          </cell>
          <cell r="U613" t="str">
            <v>PALOMINO CARDENAS JUAN CARLOS</v>
          </cell>
          <cell r="V613" t="str">
            <v>FLOREZ CONDORI  JOSE WILLIANS</v>
          </cell>
        </row>
        <row r="614">
          <cell r="A614">
            <v>585</v>
          </cell>
          <cell r="B614">
            <v>42684</v>
          </cell>
          <cell r="C614" t="str">
            <v>NOVIEMBRE</v>
          </cell>
          <cell r="D614" t="str">
            <v>2016</v>
          </cell>
          <cell r="E614">
            <v>295</v>
          </cell>
          <cell r="F614" t="str">
            <v>X2W-759</v>
          </cell>
          <cell r="G614" t="str">
            <v>C5V-999</v>
          </cell>
          <cell r="H614" t="str">
            <v>LAS BAMBAS</v>
          </cell>
          <cell r="I614">
            <v>150003</v>
          </cell>
          <cell r="J614" t="str">
            <v>REPUESTO</v>
          </cell>
          <cell r="K614" t="str">
            <v>CONDUCTOR PARA FOCO 9006</v>
          </cell>
          <cell r="L614">
            <v>1</v>
          </cell>
          <cell r="M614" t="str">
            <v>UNID.</v>
          </cell>
          <cell r="N614" t="str">
            <v>TRACTO</v>
          </cell>
          <cell r="O614">
            <v>0</v>
          </cell>
          <cell r="P614" t="str">
            <v>E1</v>
          </cell>
          <cell r="Q614" t="str">
            <v>J1</v>
          </cell>
          <cell r="R614" t="str">
            <v>J6</v>
          </cell>
          <cell r="S614" t="str">
            <v>ENTREGADO</v>
          </cell>
          <cell r="T614">
            <v>42684</v>
          </cell>
          <cell r="U614" t="str">
            <v>PALOMINO CARDENAS JUAN CARLOS</v>
          </cell>
          <cell r="V614" t="str">
            <v>FLOREZ CONDORI  JOSE WILLIANS</v>
          </cell>
        </row>
        <row r="615">
          <cell r="A615">
            <v>532</v>
          </cell>
          <cell r="B615">
            <v>42684</v>
          </cell>
          <cell r="C615" t="str">
            <v>NOVIEMBRE</v>
          </cell>
          <cell r="D615" t="str">
            <v>2016</v>
          </cell>
          <cell r="E615">
            <v>283</v>
          </cell>
          <cell r="F615" t="str">
            <v>X2W-760</v>
          </cell>
          <cell r="G615" t="str">
            <v>C5V-992</v>
          </cell>
          <cell r="H615" t="str">
            <v>LAS BAMBAS</v>
          </cell>
          <cell r="I615">
            <v>146750</v>
          </cell>
          <cell r="J615" t="str">
            <v>REPUESTO</v>
          </cell>
          <cell r="K615" t="str">
            <v>FAROS NEBLINEROS 12 V</v>
          </cell>
          <cell r="L615">
            <v>2</v>
          </cell>
          <cell r="M615" t="str">
            <v>UNID.</v>
          </cell>
          <cell r="N615" t="str">
            <v>TRACTO</v>
          </cell>
          <cell r="O615">
            <v>106</v>
          </cell>
          <cell r="P615" t="str">
            <v>E1</v>
          </cell>
          <cell r="Q615" t="str">
            <v>J2</v>
          </cell>
          <cell r="R615" t="str">
            <v>J6</v>
          </cell>
          <cell r="S615" t="str">
            <v>ENTREGADO</v>
          </cell>
          <cell r="T615">
            <v>0</v>
          </cell>
          <cell r="U615" t="str">
            <v>PALOMINO CARDENAS JUAN CARLOS</v>
          </cell>
          <cell r="V615" t="str">
            <v>CORIHUAMAN SURCO  ERICK ROBERT</v>
          </cell>
        </row>
        <row r="616">
          <cell r="A616">
            <v>576</v>
          </cell>
          <cell r="B616">
            <v>42684</v>
          </cell>
          <cell r="C616" t="str">
            <v>NOVIEMBRE</v>
          </cell>
          <cell r="D616" t="str">
            <v>2016</v>
          </cell>
          <cell r="E616">
            <v>283</v>
          </cell>
          <cell r="F616" t="str">
            <v>X2W-760</v>
          </cell>
          <cell r="G616" t="str">
            <v>C5V-992</v>
          </cell>
          <cell r="H616" t="str">
            <v>LAS BAMBAS</v>
          </cell>
          <cell r="I616">
            <v>146750</v>
          </cell>
          <cell r="J616" t="str">
            <v>REPUESTO</v>
          </cell>
          <cell r="K616" t="str">
            <v>FILTRO DE PETROLEO</v>
          </cell>
          <cell r="L616">
            <v>1</v>
          </cell>
          <cell r="M616" t="str">
            <v>UNID.</v>
          </cell>
          <cell r="N616" t="str">
            <v>TRACTO</v>
          </cell>
          <cell r="O616">
            <v>0</v>
          </cell>
          <cell r="P616" t="str">
            <v>M8</v>
          </cell>
          <cell r="Q616" t="str">
            <v>J1</v>
          </cell>
          <cell r="R616" t="str">
            <v>J6</v>
          </cell>
          <cell r="S616" t="str">
            <v>ENTREGADO</v>
          </cell>
          <cell r="T616">
            <v>42684</v>
          </cell>
          <cell r="U616" t="str">
            <v>VARILLAS GAGO  OSCAR ALBERTO</v>
          </cell>
          <cell r="V616" t="str">
            <v>FLOREZ CONDORI  JOSE WILLIANS</v>
          </cell>
        </row>
        <row r="617">
          <cell r="A617">
            <v>577</v>
          </cell>
          <cell r="B617">
            <v>42684</v>
          </cell>
          <cell r="C617" t="str">
            <v>NOVIEMBRE</v>
          </cell>
          <cell r="D617" t="str">
            <v>2016</v>
          </cell>
          <cell r="E617">
            <v>283</v>
          </cell>
          <cell r="F617" t="str">
            <v>X2W-760</v>
          </cell>
          <cell r="G617" t="str">
            <v>C5V-992</v>
          </cell>
          <cell r="H617" t="str">
            <v>LAS BAMBAS</v>
          </cell>
          <cell r="I617">
            <v>146750</v>
          </cell>
          <cell r="J617" t="str">
            <v>REPUESTO</v>
          </cell>
          <cell r="K617" t="str">
            <v>FILTRO SEPARADOR DE AGUA</v>
          </cell>
          <cell r="L617">
            <v>1</v>
          </cell>
          <cell r="M617" t="str">
            <v>UNID.</v>
          </cell>
          <cell r="N617" t="str">
            <v>TRACTO</v>
          </cell>
          <cell r="O617">
            <v>0</v>
          </cell>
          <cell r="P617" t="str">
            <v>M8</v>
          </cell>
          <cell r="Q617" t="str">
            <v>J1</v>
          </cell>
          <cell r="R617" t="str">
            <v>J6</v>
          </cell>
          <cell r="S617" t="str">
            <v>ENTREGADO</v>
          </cell>
          <cell r="T617">
            <v>42684</v>
          </cell>
          <cell r="U617" t="str">
            <v>VARILLAS GAGO  OSCAR ALBERTO</v>
          </cell>
          <cell r="V617" t="str">
            <v>FLOREZ CONDORI  JOSE WILLIANS</v>
          </cell>
        </row>
        <row r="618">
          <cell r="A618">
            <v>547</v>
          </cell>
          <cell r="B618">
            <v>42684</v>
          </cell>
          <cell r="C618" t="str">
            <v>NOVIEMBRE</v>
          </cell>
          <cell r="D618" t="str">
            <v>2016</v>
          </cell>
          <cell r="E618">
            <v>239</v>
          </cell>
          <cell r="F618" t="str">
            <v>X2W-788</v>
          </cell>
          <cell r="G618" t="str">
            <v>C5V-994</v>
          </cell>
          <cell r="H618" t="str">
            <v>LAS BAMBAS</v>
          </cell>
          <cell r="I618">
            <v>137310</v>
          </cell>
          <cell r="J618" t="str">
            <v>REPUESTO</v>
          </cell>
          <cell r="K618" t="str">
            <v>LLANTAS REENCAUCHADAS</v>
          </cell>
          <cell r="L618">
            <v>2</v>
          </cell>
          <cell r="M618" t="str">
            <v>UNID.</v>
          </cell>
          <cell r="N618" t="str">
            <v>CISTERNA</v>
          </cell>
          <cell r="O618">
            <v>0</v>
          </cell>
          <cell r="P618" t="str">
            <v>N2</v>
          </cell>
          <cell r="Q618" t="str">
            <v>J3</v>
          </cell>
          <cell r="R618" t="str">
            <v>J6</v>
          </cell>
          <cell r="S618" t="str">
            <v>ENTREGADO</v>
          </cell>
          <cell r="T618">
            <v>42684</v>
          </cell>
          <cell r="U618" t="str">
            <v>MAMANI LARICO  EDUARDO ALVARO</v>
          </cell>
          <cell r="V618" t="str">
            <v>CHURA PIZARRO ALBERTO</v>
          </cell>
        </row>
        <row r="619">
          <cell r="A619">
            <v>598</v>
          </cell>
          <cell r="B619">
            <v>42685</v>
          </cell>
          <cell r="C619" t="str">
            <v>NOVIEMBRE</v>
          </cell>
          <cell r="D619" t="str">
            <v>2016</v>
          </cell>
          <cell r="E619">
            <v>291</v>
          </cell>
          <cell r="F619" t="str">
            <v>ABR-727</v>
          </cell>
          <cell r="G619" t="str">
            <v>C9S-989</v>
          </cell>
          <cell r="H619" t="str">
            <v>LAS BAMBAS</v>
          </cell>
          <cell r="I619">
            <v>97375</v>
          </cell>
          <cell r="J619" t="str">
            <v>INSUMO TALLER</v>
          </cell>
          <cell r="K619" t="str">
            <v>SUPERCITO 5/32</v>
          </cell>
          <cell r="L619">
            <v>4</v>
          </cell>
          <cell r="M619" t="str">
            <v>KG.</v>
          </cell>
          <cell r="N619" t="str">
            <v>CISTERNA</v>
          </cell>
          <cell r="O619">
            <v>0</v>
          </cell>
          <cell r="P619" t="str">
            <v>S1</v>
          </cell>
          <cell r="Q619" t="str">
            <v>J2</v>
          </cell>
          <cell r="R619" t="str">
            <v>J6</v>
          </cell>
          <cell r="S619" t="str">
            <v>ENTREGADO</v>
          </cell>
          <cell r="T619">
            <v>42685</v>
          </cell>
          <cell r="U619" t="str">
            <v>BAYONA CRUZ CRISTIAN ARMANDO</v>
          </cell>
          <cell r="V619" t="str">
            <v>CORIHUAMAN SURCO  ERICK ROBERT</v>
          </cell>
        </row>
        <row r="620">
          <cell r="A620">
            <v>599</v>
          </cell>
          <cell r="B620">
            <v>42685</v>
          </cell>
          <cell r="C620" t="str">
            <v>NOVIEMBRE</v>
          </cell>
          <cell r="D620" t="str">
            <v>2016</v>
          </cell>
          <cell r="E620">
            <v>291</v>
          </cell>
          <cell r="F620" t="str">
            <v>ABR-727</v>
          </cell>
          <cell r="G620" t="str">
            <v>C9S-989</v>
          </cell>
          <cell r="H620" t="str">
            <v>LAS BAMBAS</v>
          </cell>
          <cell r="I620">
            <v>97375</v>
          </cell>
          <cell r="J620" t="str">
            <v>INSUMO TALLER</v>
          </cell>
          <cell r="K620" t="str">
            <v>CELLOCORD 5/32</v>
          </cell>
          <cell r="L620">
            <v>1</v>
          </cell>
          <cell r="M620" t="str">
            <v>KG.</v>
          </cell>
          <cell r="N620" t="str">
            <v>CISTERNA</v>
          </cell>
          <cell r="O620">
            <v>0</v>
          </cell>
          <cell r="P620" t="str">
            <v>S1</v>
          </cell>
          <cell r="Q620" t="str">
            <v>J2</v>
          </cell>
          <cell r="R620" t="str">
            <v>J6</v>
          </cell>
          <cell r="S620" t="str">
            <v>ENTREGADO</v>
          </cell>
          <cell r="T620">
            <v>42685</v>
          </cell>
          <cell r="U620" t="str">
            <v>BAYONA CRUZ CRISTIAN ARMANDO</v>
          </cell>
          <cell r="V620" t="str">
            <v>CORIHUAMAN SURCO  ERICK ROBERT</v>
          </cell>
        </row>
        <row r="621">
          <cell r="A621">
            <v>600</v>
          </cell>
          <cell r="B621">
            <v>42685</v>
          </cell>
          <cell r="C621" t="str">
            <v>NOVIEMBRE</v>
          </cell>
          <cell r="D621" t="str">
            <v>2016</v>
          </cell>
          <cell r="E621">
            <v>291</v>
          </cell>
          <cell r="F621" t="str">
            <v>ABR-727</v>
          </cell>
          <cell r="G621" t="str">
            <v>C9S-989</v>
          </cell>
          <cell r="H621" t="str">
            <v>LAS BAMBAS</v>
          </cell>
          <cell r="I621">
            <v>97375</v>
          </cell>
          <cell r="J621" t="str">
            <v>INSUMO TALLER</v>
          </cell>
          <cell r="K621" t="str">
            <v>CELLOCORD 1/8</v>
          </cell>
          <cell r="L621">
            <v>2</v>
          </cell>
          <cell r="M621" t="str">
            <v>KG.</v>
          </cell>
          <cell r="N621" t="str">
            <v>CISTERNA</v>
          </cell>
          <cell r="O621">
            <v>0</v>
          </cell>
          <cell r="P621" t="str">
            <v>S1</v>
          </cell>
          <cell r="Q621" t="str">
            <v>J2</v>
          </cell>
          <cell r="R621" t="str">
            <v>J6</v>
          </cell>
          <cell r="S621" t="str">
            <v>ENTREGADO</v>
          </cell>
          <cell r="T621">
            <v>42685</v>
          </cell>
          <cell r="U621" t="str">
            <v>BAYONA CRUZ CRISTIAN ARMANDO</v>
          </cell>
          <cell r="V621" t="str">
            <v>CORIHUAMAN SURCO  ERICK ROBERT</v>
          </cell>
        </row>
        <row r="622">
          <cell r="A622">
            <v>601</v>
          </cell>
          <cell r="B622">
            <v>42685</v>
          </cell>
          <cell r="C622" t="str">
            <v>NOVIEMBRE</v>
          </cell>
          <cell r="D622" t="str">
            <v>2016</v>
          </cell>
          <cell r="E622">
            <v>291</v>
          </cell>
          <cell r="F622" t="str">
            <v>ABR-727</v>
          </cell>
          <cell r="G622" t="str">
            <v>C9S-989</v>
          </cell>
          <cell r="H622" t="str">
            <v>LAS BAMBAS</v>
          </cell>
          <cell r="I622">
            <v>97375</v>
          </cell>
          <cell r="J622" t="str">
            <v>INSUMO TALLER</v>
          </cell>
          <cell r="K622" t="str">
            <v>VARILLAS DE SODADURA INOX 1/8</v>
          </cell>
          <cell r="L622">
            <v>10</v>
          </cell>
          <cell r="M622" t="str">
            <v>UNID.</v>
          </cell>
          <cell r="N622" t="str">
            <v>CISTERNA</v>
          </cell>
          <cell r="O622">
            <v>0</v>
          </cell>
          <cell r="P622" t="str">
            <v>S1</v>
          </cell>
          <cell r="Q622" t="str">
            <v>J2</v>
          </cell>
          <cell r="R622" t="str">
            <v>J6</v>
          </cell>
          <cell r="S622" t="str">
            <v>ENTREGADO</v>
          </cell>
          <cell r="T622">
            <v>42685</v>
          </cell>
          <cell r="U622" t="str">
            <v>BAYONA CRUZ CRISTIAN ARMANDO</v>
          </cell>
          <cell r="V622" t="str">
            <v>CORIHUAMAN SURCO  ERICK ROBERT</v>
          </cell>
        </row>
        <row r="623">
          <cell r="A623">
            <v>602</v>
          </cell>
          <cell r="B623">
            <v>42685</v>
          </cell>
          <cell r="C623" t="str">
            <v>NOVIEMBRE</v>
          </cell>
          <cell r="D623" t="str">
            <v>2016</v>
          </cell>
          <cell r="E623">
            <v>291</v>
          </cell>
          <cell r="F623" t="str">
            <v>ABR-727</v>
          </cell>
          <cell r="G623" t="str">
            <v>C9S-989</v>
          </cell>
          <cell r="H623" t="str">
            <v>LAS BAMBAS</v>
          </cell>
          <cell r="I623">
            <v>97375</v>
          </cell>
          <cell r="J623" t="str">
            <v>INSUMO TALLER</v>
          </cell>
          <cell r="K623" t="str">
            <v>DISCO DE CORTE 7"</v>
          </cell>
          <cell r="L623">
            <v>1</v>
          </cell>
          <cell r="M623" t="str">
            <v>UNID.</v>
          </cell>
          <cell r="N623" t="str">
            <v>CISTERNA</v>
          </cell>
          <cell r="O623">
            <v>0</v>
          </cell>
          <cell r="P623" t="str">
            <v>S1</v>
          </cell>
          <cell r="Q623" t="str">
            <v>J2</v>
          </cell>
          <cell r="R623" t="str">
            <v>J6</v>
          </cell>
          <cell r="S623" t="str">
            <v>ENTREGADO</v>
          </cell>
          <cell r="T623">
            <v>42685</v>
          </cell>
          <cell r="U623" t="str">
            <v>BAYONA CRUZ CRISTIAN ARMANDO</v>
          </cell>
          <cell r="V623" t="str">
            <v>CORIHUAMAN SURCO  ERICK ROBERT</v>
          </cell>
        </row>
        <row r="624">
          <cell r="A624">
            <v>603</v>
          </cell>
          <cell r="B624">
            <v>42685</v>
          </cell>
          <cell r="C624" t="str">
            <v>NOVIEMBRE</v>
          </cell>
          <cell r="D624" t="str">
            <v>2016</v>
          </cell>
          <cell r="E624">
            <v>291</v>
          </cell>
          <cell r="F624" t="str">
            <v>ABR-727</v>
          </cell>
          <cell r="G624" t="str">
            <v>C9S-989</v>
          </cell>
          <cell r="H624" t="str">
            <v>LAS BAMBAS</v>
          </cell>
          <cell r="I624">
            <v>97375</v>
          </cell>
          <cell r="J624" t="str">
            <v>INSUMO TALLER</v>
          </cell>
          <cell r="K624" t="str">
            <v>DESCO DE DESBASTE 7"</v>
          </cell>
          <cell r="L624">
            <v>1</v>
          </cell>
          <cell r="M624" t="str">
            <v>UNID.</v>
          </cell>
          <cell r="N624" t="str">
            <v>CISTERNA</v>
          </cell>
          <cell r="O624">
            <v>0</v>
          </cell>
          <cell r="P624" t="str">
            <v>S1</v>
          </cell>
          <cell r="Q624" t="str">
            <v>J2</v>
          </cell>
          <cell r="R624" t="str">
            <v>J6</v>
          </cell>
          <cell r="S624" t="str">
            <v>ENTREGADO</v>
          </cell>
          <cell r="T624">
            <v>42685</v>
          </cell>
          <cell r="U624" t="str">
            <v>BAYONA CRUZ CRISTIAN ARMANDO</v>
          </cell>
          <cell r="V624" t="str">
            <v>CORIHUAMAN SURCO  ERICK ROBERT</v>
          </cell>
        </row>
        <row r="625">
          <cell r="A625">
            <v>604</v>
          </cell>
          <cell r="B625">
            <v>42685</v>
          </cell>
          <cell r="C625" t="str">
            <v>NOVIEMBRE</v>
          </cell>
          <cell r="D625" t="str">
            <v>2016</v>
          </cell>
          <cell r="E625">
            <v>291</v>
          </cell>
          <cell r="F625" t="str">
            <v>ABR-727</v>
          </cell>
          <cell r="G625" t="str">
            <v>C9S-989</v>
          </cell>
          <cell r="H625" t="str">
            <v>LAS BAMBAS</v>
          </cell>
          <cell r="I625">
            <v>97375</v>
          </cell>
          <cell r="J625" t="str">
            <v>SERVICIO</v>
          </cell>
          <cell r="K625" t="str">
            <v>SERVICIO DE CORTE Y DOBLEZ DE PLANCHA METALICA</v>
          </cell>
          <cell r="L625">
            <v>1</v>
          </cell>
          <cell r="M625" t="str">
            <v>UNID.</v>
          </cell>
          <cell r="N625" t="str">
            <v>CISTERNA</v>
          </cell>
          <cell r="O625">
            <v>1</v>
          </cell>
          <cell r="P625" t="str">
            <v>S1</v>
          </cell>
          <cell r="Q625" t="str">
            <v>J1</v>
          </cell>
          <cell r="R625" t="str">
            <v>J6</v>
          </cell>
          <cell r="S625" t="str">
            <v>ENTREGADO</v>
          </cell>
          <cell r="T625">
            <v>42686</v>
          </cell>
          <cell r="U625" t="str">
            <v>BAYONA CRUZ CRISTIAN ARMANDO</v>
          </cell>
          <cell r="V625" t="str">
            <v>FLOREZ CONDORI  JOSE WILLIANS</v>
          </cell>
        </row>
        <row r="626">
          <cell r="A626">
            <v>654</v>
          </cell>
          <cell r="B626">
            <v>42685</v>
          </cell>
          <cell r="C626" t="str">
            <v>NOVIEMBRE</v>
          </cell>
          <cell r="D626" t="str">
            <v>2016</v>
          </cell>
          <cell r="E626">
            <v>259</v>
          </cell>
          <cell r="F626" t="str">
            <v>AKX-731</v>
          </cell>
          <cell r="G626" t="str">
            <v>TCD-980</v>
          </cell>
          <cell r="H626" t="str">
            <v>LAS BAMBAS</v>
          </cell>
          <cell r="I626">
            <v>29947</v>
          </cell>
          <cell r="J626" t="str">
            <v>REPUESTO</v>
          </cell>
          <cell r="K626" t="str">
            <v>PERNO  1/8 X 1</v>
          </cell>
          <cell r="L626">
            <v>1</v>
          </cell>
          <cell r="M626" t="str">
            <v>UNID.</v>
          </cell>
          <cell r="N626" t="str">
            <v>CISTERNA</v>
          </cell>
          <cell r="O626">
            <v>0</v>
          </cell>
          <cell r="P626" t="str">
            <v>M8</v>
          </cell>
          <cell r="Q626" t="str">
            <v>J1</v>
          </cell>
          <cell r="R626" t="str">
            <v>J6</v>
          </cell>
          <cell r="S626" t="str">
            <v>ENTREGADO</v>
          </cell>
          <cell r="T626">
            <v>42685</v>
          </cell>
          <cell r="U626" t="str">
            <v>VARILLAS GAGO  OSCAR ALBERTO</v>
          </cell>
          <cell r="V626" t="str">
            <v>FLOREZ CONDORI  JOSE WILLIANS</v>
          </cell>
        </row>
        <row r="627">
          <cell r="A627">
            <v>655</v>
          </cell>
          <cell r="B627">
            <v>42685</v>
          </cell>
          <cell r="C627" t="str">
            <v>NOVIEMBRE</v>
          </cell>
          <cell r="D627" t="str">
            <v>2016</v>
          </cell>
          <cell r="E627">
            <v>259</v>
          </cell>
          <cell r="F627" t="str">
            <v>AKX-731</v>
          </cell>
          <cell r="G627" t="str">
            <v>TCD-980</v>
          </cell>
          <cell r="H627" t="str">
            <v>LAS BAMBAS</v>
          </cell>
          <cell r="I627">
            <v>29947</v>
          </cell>
          <cell r="J627" t="str">
            <v>REPUESTO</v>
          </cell>
          <cell r="K627" t="str">
            <v>TUERCA MARIPOSA 1/8</v>
          </cell>
          <cell r="L627">
            <v>1</v>
          </cell>
          <cell r="M627" t="str">
            <v>UNID.</v>
          </cell>
          <cell r="N627" t="str">
            <v>CISTERNA</v>
          </cell>
          <cell r="O627">
            <v>0</v>
          </cell>
          <cell r="P627" t="str">
            <v>M8</v>
          </cell>
          <cell r="Q627" t="str">
            <v>J1</v>
          </cell>
          <cell r="R627" t="str">
            <v>J6</v>
          </cell>
          <cell r="S627" t="str">
            <v>ENTREGADO</v>
          </cell>
          <cell r="T627">
            <v>42685</v>
          </cell>
          <cell r="U627" t="str">
            <v>VARILLAS GAGO  OSCAR ALBERTO</v>
          </cell>
          <cell r="V627" t="str">
            <v>FLOREZ CONDORI  JOSE WILLIANS</v>
          </cell>
        </row>
        <row r="628">
          <cell r="A628">
            <v>615</v>
          </cell>
          <cell r="B628">
            <v>42685</v>
          </cell>
          <cell r="C628" t="str">
            <v>NOVIEMBRE</v>
          </cell>
          <cell r="D628" t="str">
            <v>2016</v>
          </cell>
          <cell r="E628">
            <v>209</v>
          </cell>
          <cell r="F628" t="str">
            <v>AKX-805</v>
          </cell>
          <cell r="G628" t="str">
            <v>F5Z-985</v>
          </cell>
          <cell r="H628" t="str">
            <v>LAS BAMBAS</v>
          </cell>
          <cell r="I628">
            <v>31856</v>
          </cell>
          <cell r="J628" t="str">
            <v>REPUESTO</v>
          </cell>
          <cell r="K628" t="str">
            <v>MANGUERA CORRUGADA 3/8</v>
          </cell>
          <cell r="L628">
            <v>10</v>
          </cell>
          <cell r="M628" t="str">
            <v>M</v>
          </cell>
          <cell r="N628" t="str">
            <v>CISTERNA</v>
          </cell>
          <cell r="O628">
            <v>0</v>
          </cell>
          <cell r="P628" t="str">
            <v>M4</v>
          </cell>
          <cell r="Q628" t="str">
            <v>J1</v>
          </cell>
          <cell r="R628" t="str">
            <v>J6</v>
          </cell>
          <cell r="S628" t="str">
            <v>ENTREGADO</v>
          </cell>
          <cell r="T628">
            <v>42685</v>
          </cell>
          <cell r="U628" t="str">
            <v>JULLIRI APAZA UBALDO</v>
          </cell>
          <cell r="V628" t="str">
            <v>FLOREZ CONDORI  JOSE WILLIANS</v>
          </cell>
        </row>
        <row r="629">
          <cell r="A629">
            <v>636</v>
          </cell>
          <cell r="B629">
            <v>42685</v>
          </cell>
          <cell r="C629" t="str">
            <v>NOVIEMBRE</v>
          </cell>
          <cell r="D629" t="str">
            <v>2016</v>
          </cell>
          <cell r="E629">
            <v>209</v>
          </cell>
          <cell r="F629" t="str">
            <v>AKX-805</v>
          </cell>
          <cell r="G629" t="str">
            <v>F5Z-985</v>
          </cell>
          <cell r="H629" t="str">
            <v>LAS BAMBAS</v>
          </cell>
          <cell r="I629">
            <v>31856</v>
          </cell>
          <cell r="J629" t="str">
            <v>REPUESTO</v>
          </cell>
          <cell r="K629" t="str">
            <v>UNION DE ACOPLE RAPIDO DE 3/8</v>
          </cell>
          <cell r="L629">
            <v>2</v>
          </cell>
          <cell r="M629" t="str">
            <v>UNID.</v>
          </cell>
          <cell r="N629" t="str">
            <v>CISTERNA</v>
          </cell>
          <cell r="O629">
            <v>0</v>
          </cell>
          <cell r="P629" t="str">
            <v>M4</v>
          </cell>
          <cell r="Q629" t="str">
            <v>J3</v>
          </cell>
          <cell r="R629" t="str">
            <v>J6</v>
          </cell>
          <cell r="S629" t="str">
            <v>ENTREGADO</v>
          </cell>
          <cell r="T629">
            <v>42685</v>
          </cell>
          <cell r="U629" t="str">
            <v>JULLIRI APAZA UBALDO</v>
          </cell>
          <cell r="V629" t="str">
            <v>CHURA PIZARRO ALBERTO</v>
          </cell>
        </row>
        <row r="630">
          <cell r="A630">
            <v>637</v>
          </cell>
          <cell r="B630">
            <v>42685</v>
          </cell>
          <cell r="C630" t="str">
            <v>NOVIEMBRE</v>
          </cell>
          <cell r="D630" t="str">
            <v>2016</v>
          </cell>
          <cell r="E630">
            <v>209</v>
          </cell>
          <cell r="F630" t="str">
            <v>AKX-805</v>
          </cell>
          <cell r="G630" t="str">
            <v>F5Z-985</v>
          </cell>
          <cell r="H630" t="str">
            <v>LAS BAMBAS</v>
          </cell>
          <cell r="I630">
            <v>31856</v>
          </cell>
          <cell r="J630" t="str">
            <v>REPUESTO</v>
          </cell>
          <cell r="K630" t="str">
            <v>ACOPLE RAPIDO 1/4</v>
          </cell>
          <cell r="L630">
            <v>4</v>
          </cell>
          <cell r="M630" t="str">
            <v>UNID.</v>
          </cell>
          <cell r="N630" t="str">
            <v>CISTERNA</v>
          </cell>
          <cell r="O630">
            <v>0</v>
          </cell>
          <cell r="P630" t="str">
            <v>M4</v>
          </cell>
          <cell r="Q630" t="str">
            <v>J3</v>
          </cell>
          <cell r="R630" t="str">
            <v>J6</v>
          </cell>
          <cell r="S630" t="str">
            <v>ENTREGADO</v>
          </cell>
          <cell r="T630">
            <v>42685</v>
          </cell>
          <cell r="U630" t="str">
            <v>JULLIRI APAZA UBALDO</v>
          </cell>
          <cell r="V630" t="str">
            <v>CHURA PIZARRO ALBERTO</v>
          </cell>
        </row>
        <row r="631">
          <cell r="A631">
            <v>651</v>
          </cell>
          <cell r="B631">
            <v>42685</v>
          </cell>
          <cell r="C631" t="str">
            <v>NOVIEMBRE</v>
          </cell>
          <cell r="D631" t="str">
            <v>2016</v>
          </cell>
          <cell r="E631">
            <v>209</v>
          </cell>
          <cell r="F631" t="str">
            <v>AKX-805</v>
          </cell>
          <cell r="G631" t="str">
            <v>F5Z-985</v>
          </cell>
          <cell r="H631" t="str">
            <v>LAS BAMBAS</v>
          </cell>
          <cell r="I631">
            <v>31856</v>
          </cell>
          <cell r="J631" t="str">
            <v>REPUESTO</v>
          </cell>
          <cell r="K631" t="str">
            <v>TAPON NPT M12</v>
          </cell>
          <cell r="L631">
            <v>1</v>
          </cell>
          <cell r="M631" t="str">
            <v>UNID.</v>
          </cell>
          <cell r="N631" t="str">
            <v>CISTERNA</v>
          </cell>
          <cell r="O631">
            <v>0</v>
          </cell>
          <cell r="P631" t="str">
            <v>M4</v>
          </cell>
          <cell r="Q631" t="str">
            <v>J1</v>
          </cell>
          <cell r="R631" t="str">
            <v>J6</v>
          </cell>
          <cell r="S631" t="str">
            <v>ENTREGADO</v>
          </cell>
          <cell r="T631">
            <v>42685</v>
          </cell>
          <cell r="U631" t="str">
            <v>JULLIRI APAZA UBALDO</v>
          </cell>
          <cell r="V631" t="str">
            <v>FLOREZ CONDORI  JOSE WILLIANS</v>
          </cell>
        </row>
        <row r="632">
          <cell r="A632">
            <v>664</v>
          </cell>
          <cell r="B632">
            <v>42685</v>
          </cell>
          <cell r="C632" t="str">
            <v>NOVIEMBRE</v>
          </cell>
          <cell r="D632" t="str">
            <v>2016</v>
          </cell>
          <cell r="E632">
            <v>209</v>
          </cell>
          <cell r="F632" t="str">
            <v>AKX-805</v>
          </cell>
          <cell r="G632" t="str">
            <v>F5Z-985</v>
          </cell>
          <cell r="H632" t="str">
            <v>LAS BAMBAS</v>
          </cell>
          <cell r="I632">
            <v>31856</v>
          </cell>
          <cell r="J632" t="str">
            <v>REPUESTO</v>
          </cell>
          <cell r="K632" t="str">
            <v>GRIFO DE TANQUE DE AIRE (Según muestra)</v>
          </cell>
          <cell r="L632">
            <v>1</v>
          </cell>
          <cell r="M632" t="str">
            <v>UNID.</v>
          </cell>
          <cell r="N632" t="str">
            <v>CISTERNA</v>
          </cell>
          <cell r="O632">
            <v>105</v>
          </cell>
          <cell r="P632" t="str">
            <v>M4</v>
          </cell>
          <cell r="Q632" t="str">
            <v>J1</v>
          </cell>
          <cell r="R632" t="str">
            <v>J1</v>
          </cell>
          <cell r="S632" t="str">
            <v>ENTREGADO</v>
          </cell>
          <cell r="T632">
            <v>0</v>
          </cell>
          <cell r="U632" t="str">
            <v>JULLIRI APAZA UBALDO</v>
          </cell>
          <cell r="V632" t="str">
            <v>FLOREZ CONDORI  JOSE WILLIANS</v>
          </cell>
        </row>
        <row r="633">
          <cell r="A633">
            <v>676</v>
          </cell>
          <cell r="B633">
            <v>42685</v>
          </cell>
          <cell r="C633" t="str">
            <v>NOVIEMBRE</v>
          </cell>
          <cell r="D633" t="str">
            <v>2016</v>
          </cell>
          <cell r="E633">
            <v>209</v>
          </cell>
          <cell r="F633" t="str">
            <v>AKX-805</v>
          </cell>
          <cell r="G633" t="str">
            <v>F5Z-985</v>
          </cell>
          <cell r="H633" t="str">
            <v>LAS BAMBAS</v>
          </cell>
          <cell r="I633">
            <v>31856</v>
          </cell>
          <cell r="J633" t="str">
            <v>REPUESTO</v>
          </cell>
          <cell r="K633" t="str">
            <v xml:space="preserve">PERNO 3/8X4 </v>
          </cell>
          <cell r="L633">
            <v>2</v>
          </cell>
          <cell r="M633" t="str">
            <v>UNID.</v>
          </cell>
          <cell r="N633" t="str">
            <v>CISTERNA</v>
          </cell>
          <cell r="O633">
            <v>0</v>
          </cell>
          <cell r="P633" t="str">
            <v>S1</v>
          </cell>
          <cell r="Q633" t="str">
            <v>J1</v>
          </cell>
          <cell r="R633" t="str">
            <v>J1</v>
          </cell>
          <cell r="S633" t="str">
            <v>ENTREGADO</v>
          </cell>
          <cell r="T633">
            <v>42685</v>
          </cell>
          <cell r="U633" t="str">
            <v>BAYONA CRUZ CRISTIAN ARMANDO</v>
          </cell>
          <cell r="V633" t="str">
            <v>FLOREZ CONDORI  JOSE WILLIANS</v>
          </cell>
        </row>
        <row r="634">
          <cell r="A634">
            <v>677</v>
          </cell>
          <cell r="B634">
            <v>42685</v>
          </cell>
          <cell r="C634" t="str">
            <v>NOVIEMBRE</v>
          </cell>
          <cell r="D634" t="str">
            <v>2016</v>
          </cell>
          <cell r="E634">
            <v>209</v>
          </cell>
          <cell r="F634" t="str">
            <v>AKX-805</v>
          </cell>
          <cell r="G634" t="str">
            <v>F5Z-985</v>
          </cell>
          <cell r="H634" t="str">
            <v>LAS BAMBAS</v>
          </cell>
          <cell r="I634">
            <v>31856</v>
          </cell>
          <cell r="J634" t="str">
            <v>REPUESTO</v>
          </cell>
          <cell r="K634" t="str">
            <v>TUERCA SEGURO</v>
          </cell>
          <cell r="L634">
            <v>2</v>
          </cell>
          <cell r="M634" t="str">
            <v>UNID.</v>
          </cell>
          <cell r="N634" t="str">
            <v>CISTERNA</v>
          </cell>
          <cell r="O634">
            <v>0</v>
          </cell>
          <cell r="P634" t="str">
            <v>S1</v>
          </cell>
          <cell r="Q634" t="str">
            <v>J1</v>
          </cell>
          <cell r="R634" t="str">
            <v>J1</v>
          </cell>
          <cell r="S634" t="str">
            <v>ENTREGADO</v>
          </cell>
          <cell r="T634">
            <v>42685</v>
          </cell>
          <cell r="U634" t="str">
            <v>BAYONA CRUZ CRISTIAN ARMANDO</v>
          </cell>
          <cell r="V634" t="str">
            <v>FLOREZ CONDORI  JOSE WILLIANS</v>
          </cell>
        </row>
        <row r="635">
          <cell r="A635">
            <v>678</v>
          </cell>
          <cell r="B635">
            <v>42685</v>
          </cell>
          <cell r="C635" t="str">
            <v>NOVIEMBRE</v>
          </cell>
          <cell r="D635" t="str">
            <v>2016</v>
          </cell>
          <cell r="E635">
            <v>209</v>
          </cell>
          <cell r="F635" t="str">
            <v>AKX-805</v>
          </cell>
          <cell r="G635" t="str">
            <v>F5Z-985</v>
          </cell>
          <cell r="H635" t="str">
            <v>LAS BAMBAS</v>
          </cell>
          <cell r="I635">
            <v>31856</v>
          </cell>
          <cell r="J635" t="str">
            <v>REPUESTO</v>
          </cell>
          <cell r="K635" t="str">
            <v>VOLANDA PLANA</v>
          </cell>
          <cell r="L635">
            <v>4</v>
          </cell>
          <cell r="M635" t="str">
            <v>UNID.</v>
          </cell>
          <cell r="N635" t="str">
            <v>CISTERNA</v>
          </cell>
          <cell r="O635">
            <v>0</v>
          </cell>
          <cell r="P635" t="str">
            <v>S1</v>
          </cell>
          <cell r="Q635" t="str">
            <v>J1</v>
          </cell>
          <cell r="R635" t="str">
            <v>J1</v>
          </cell>
          <cell r="S635" t="str">
            <v>ENTREGADO</v>
          </cell>
          <cell r="T635">
            <v>42685</v>
          </cell>
          <cell r="U635" t="str">
            <v>BAYONA CRUZ CRISTIAN ARMANDO</v>
          </cell>
          <cell r="V635" t="str">
            <v>FLOREZ CONDORI  JOSE WILLIANS</v>
          </cell>
        </row>
        <row r="636">
          <cell r="A636">
            <v>616</v>
          </cell>
          <cell r="B636">
            <v>42685</v>
          </cell>
          <cell r="C636" t="str">
            <v>NOVIEMBRE</v>
          </cell>
          <cell r="D636" t="str">
            <v>2016</v>
          </cell>
          <cell r="E636">
            <v>300</v>
          </cell>
          <cell r="F636" t="str">
            <v>AMT-876</v>
          </cell>
          <cell r="G636" t="str">
            <v>CAMIONETA</v>
          </cell>
          <cell r="H636" t="str">
            <v>LAS BAMBAS</v>
          </cell>
          <cell r="I636">
            <v>26411</v>
          </cell>
          <cell r="J636" t="str">
            <v>REPUESTO</v>
          </cell>
          <cell r="K636" t="str">
            <v>FILTRO DE COMBUSTIBLE</v>
          </cell>
          <cell r="L636">
            <v>1</v>
          </cell>
          <cell r="M636" t="str">
            <v>UNID.</v>
          </cell>
          <cell r="N636" t="str">
            <v>CAMIONETA</v>
          </cell>
          <cell r="O636">
            <v>0</v>
          </cell>
          <cell r="P636" t="str">
            <v>J1</v>
          </cell>
          <cell r="Q636" t="str">
            <v>J1</v>
          </cell>
          <cell r="R636" t="str">
            <v>J6</v>
          </cell>
          <cell r="S636" t="str">
            <v>ENTREGADO</v>
          </cell>
          <cell r="T636">
            <v>42685</v>
          </cell>
          <cell r="U636" t="str">
            <v>FLOREZ CONDORI  JOSE WILLIANS</v>
          </cell>
          <cell r="V636" t="str">
            <v>FLOREZ CONDORI  JOSE WILLIANS</v>
          </cell>
        </row>
        <row r="637">
          <cell r="A637">
            <v>617</v>
          </cell>
          <cell r="B637">
            <v>42685</v>
          </cell>
          <cell r="C637" t="str">
            <v>NOVIEMBRE</v>
          </cell>
          <cell r="D637" t="str">
            <v>2016</v>
          </cell>
          <cell r="E637">
            <v>300</v>
          </cell>
          <cell r="F637" t="str">
            <v>AMT-876</v>
          </cell>
          <cell r="G637" t="str">
            <v>CAMIONETA</v>
          </cell>
          <cell r="H637" t="str">
            <v>LAS BAMBAS</v>
          </cell>
          <cell r="I637">
            <v>26411</v>
          </cell>
          <cell r="J637" t="str">
            <v>REPUESTO</v>
          </cell>
          <cell r="K637" t="str">
            <v>FILTRO DE ACEITE</v>
          </cell>
          <cell r="L637">
            <v>1</v>
          </cell>
          <cell r="M637" t="str">
            <v>UNID.</v>
          </cell>
          <cell r="N637" t="str">
            <v>CAMIONETA</v>
          </cell>
          <cell r="O637">
            <v>0</v>
          </cell>
          <cell r="P637" t="str">
            <v>J1</v>
          </cell>
          <cell r="Q637" t="str">
            <v>J1</v>
          </cell>
          <cell r="R637" t="str">
            <v>J6</v>
          </cell>
          <cell r="S637" t="str">
            <v>ENTREGADO</v>
          </cell>
          <cell r="T637">
            <v>42685</v>
          </cell>
          <cell r="U637" t="str">
            <v>FLOREZ CONDORI  JOSE WILLIANS</v>
          </cell>
          <cell r="V637" t="str">
            <v>FLOREZ CONDORI  JOSE WILLIANS</v>
          </cell>
        </row>
        <row r="638">
          <cell r="A638">
            <v>618</v>
          </cell>
          <cell r="B638">
            <v>42685</v>
          </cell>
          <cell r="C638" t="str">
            <v>NOVIEMBRE</v>
          </cell>
          <cell r="D638" t="str">
            <v>2016</v>
          </cell>
          <cell r="E638">
            <v>300</v>
          </cell>
          <cell r="F638" t="str">
            <v>AMT-876</v>
          </cell>
          <cell r="G638" t="str">
            <v>CAMIONETA</v>
          </cell>
          <cell r="H638" t="str">
            <v>LAS BAMBAS</v>
          </cell>
          <cell r="I638">
            <v>26411</v>
          </cell>
          <cell r="J638" t="str">
            <v>REPUESTO</v>
          </cell>
          <cell r="K638" t="str">
            <v>ACEITE DE MOTOR 15W40</v>
          </cell>
          <cell r="L638">
            <v>2</v>
          </cell>
          <cell r="M638" t="str">
            <v>GLNS.</v>
          </cell>
          <cell r="N638" t="str">
            <v>CAMIONETA</v>
          </cell>
          <cell r="O638">
            <v>0</v>
          </cell>
          <cell r="P638" t="str">
            <v>J1</v>
          </cell>
          <cell r="Q638" t="str">
            <v>J1</v>
          </cell>
          <cell r="R638" t="str">
            <v>J6</v>
          </cell>
          <cell r="S638" t="str">
            <v>ENTREGADO</v>
          </cell>
          <cell r="T638">
            <v>42685</v>
          </cell>
          <cell r="U638" t="str">
            <v>FLOREZ CONDORI  JOSE WILLIANS</v>
          </cell>
          <cell r="V638" t="str">
            <v>FLOREZ CONDORI  JOSE WILLIANS</v>
          </cell>
        </row>
        <row r="639">
          <cell r="A639">
            <v>656</v>
          </cell>
          <cell r="B639">
            <v>42685</v>
          </cell>
          <cell r="C639" t="str">
            <v>NOVIEMBRE</v>
          </cell>
          <cell r="D639" t="str">
            <v>2016</v>
          </cell>
          <cell r="E639">
            <v>298</v>
          </cell>
          <cell r="F639" t="str">
            <v>C5R-892</v>
          </cell>
          <cell r="G639" t="str">
            <v>A0T-983</v>
          </cell>
          <cell r="H639" t="str">
            <v>LAS BAMBAS</v>
          </cell>
          <cell r="I639">
            <v>224029</v>
          </cell>
          <cell r="J639" t="str">
            <v>REPUESTO</v>
          </cell>
          <cell r="K639" t="str">
            <v>JUEGOS DE FAJAS DE FRENOS DE TRACCION</v>
          </cell>
          <cell r="L639">
            <v>2</v>
          </cell>
          <cell r="M639" t="str">
            <v>JUEGO</v>
          </cell>
          <cell r="N639" t="str">
            <v>TRACTO</v>
          </cell>
          <cell r="O639">
            <v>0</v>
          </cell>
          <cell r="P639" t="str">
            <v>M2</v>
          </cell>
          <cell r="Q639" t="str">
            <v>J2</v>
          </cell>
          <cell r="R639" t="str">
            <v>J6</v>
          </cell>
          <cell r="S639" t="str">
            <v>ENTREGADO</v>
          </cell>
          <cell r="T639">
            <v>42685</v>
          </cell>
          <cell r="U639" t="str">
            <v>CHUMPITAZ GAGO JULIO ENRIQUE</v>
          </cell>
          <cell r="V639" t="str">
            <v>CORIHUAMAN SURCO  ERICK ROBERT</v>
          </cell>
        </row>
        <row r="640">
          <cell r="A640">
            <v>657</v>
          </cell>
          <cell r="B640">
            <v>42685</v>
          </cell>
          <cell r="C640" t="str">
            <v>NOVIEMBRE</v>
          </cell>
          <cell r="D640" t="str">
            <v>2016</v>
          </cell>
          <cell r="E640">
            <v>298</v>
          </cell>
          <cell r="F640" t="str">
            <v>C5R-892</v>
          </cell>
          <cell r="G640" t="str">
            <v>A0T-983</v>
          </cell>
          <cell r="H640" t="str">
            <v>LAS BAMBAS</v>
          </cell>
          <cell r="I640">
            <v>224029</v>
          </cell>
          <cell r="J640" t="str">
            <v>REPUESTO</v>
          </cell>
          <cell r="K640" t="str">
            <v>REMACHES</v>
          </cell>
          <cell r="L640">
            <v>300</v>
          </cell>
          <cell r="M640" t="str">
            <v>UNID.</v>
          </cell>
          <cell r="N640" t="str">
            <v>TRACTO</v>
          </cell>
          <cell r="O640">
            <v>0</v>
          </cell>
          <cell r="P640" t="str">
            <v>M2</v>
          </cell>
          <cell r="Q640" t="str">
            <v>J2</v>
          </cell>
          <cell r="R640" t="str">
            <v>J6</v>
          </cell>
          <cell r="S640" t="str">
            <v>ENTREGADO</v>
          </cell>
          <cell r="T640">
            <v>42685</v>
          </cell>
          <cell r="U640" t="str">
            <v>CHUMPITAZ GAGO JULIO ENRIQUE</v>
          </cell>
          <cell r="V640" t="str">
            <v>CORIHUAMAN SURCO  ERICK ROBERT</v>
          </cell>
        </row>
        <row r="641">
          <cell r="A641">
            <v>658</v>
          </cell>
          <cell r="B641">
            <v>42685</v>
          </cell>
          <cell r="C641" t="str">
            <v>NOVIEMBRE</v>
          </cell>
          <cell r="D641" t="str">
            <v>2016</v>
          </cell>
          <cell r="E641">
            <v>298</v>
          </cell>
          <cell r="F641" t="str">
            <v>C5R-892</v>
          </cell>
          <cell r="G641" t="str">
            <v>A0T-983</v>
          </cell>
          <cell r="H641" t="str">
            <v>LAS BAMBAS</v>
          </cell>
          <cell r="I641">
            <v>224029</v>
          </cell>
          <cell r="J641" t="str">
            <v>REPUESTO</v>
          </cell>
          <cell r="K641" t="str">
            <v>RESORTES GRANDES PARA ZAPATAS</v>
          </cell>
          <cell r="L641">
            <v>4</v>
          </cell>
          <cell r="M641" t="str">
            <v>UNID.</v>
          </cell>
          <cell r="N641" t="str">
            <v>TRACTO</v>
          </cell>
          <cell r="O641">
            <v>0</v>
          </cell>
          <cell r="P641" t="str">
            <v>M2</v>
          </cell>
          <cell r="Q641" t="str">
            <v>J2</v>
          </cell>
          <cell r="R641" t="str">
            <v>J6</v>
          </cell>
          <cell r="S641" t="str">
            <v>ENTREGADO</v>
          </cell>
          <cell r="T641">
            <v>42685</v>
          </cell>
          <cell r="U641" t="str">
            <v>CHUMPITAZ GAGO JULIO ENRIQUE</v>
          </cell>
          <cell r="V641" t="str">
            <v>CORIHUAMAN SURCO  ERICK ROBERT</v>
          </cell>
        </row>
        <row r="642">
          <cell r="A642">
            <v>659</v>
          </cell>
          <cell r="B642">
            <v>42685</v>
          </cell>
          <cell r="C642" t="str">
            <v>NOVIEMBRE</v>
          </cell>
          <cell r="D642" t="str">
            <v>2016</v>
          </cell>
          <cell r="E642">
            <v>298</v>
          </cell>
          <cell r="F642" t="str">
            <v>C5R-892</v>
          </cell>
          <cell r="G642" t="str">
            <v>A0T-983</v>
          </cell>
          <cell r="H642" t="str">
            <v>LAS BAMBAS</v>
          </cell>
          <cell r="I642">
            <v>224029</v>
          </cell>
          <cell r="J642" t="str">
            <v>REPUESTO</v>
          </cell>
          <cell r="K642" t="str">
            <v>RESORTES PEQUEÑOS PARA ZAPATAS</v>
          </cell>
          <cell r="L642">
            <v>8</v>
          </cell>
          <cell r="M642" t="str">
            <v>UNID.</v>
          </cell>
          <cell r="N642" t="str">
            <v>TRACTO</v>
          </cell>
          <cell r="O642">
            <v>0</v>
          </cell>
          <cell r="P642" t="str">
            <v>M2</v>
          </cell>
          <cell r="Q642" t="str">
            <v>J2</v>
          </cell>
          <cell r="R642" t="str">
            <v>J6</v>
          </cell>
          <cell r="S642" t="str">
            <v>ENTREGADO</v>
          </cell>
          <cell r="T642">
            <v>42685</v>
          </cell>
          <cell r="U642" t="str">
            <v>CHUMPITAZ GAGO JULIO ENRIQUE</v>
          </cell>
          <cell r="V642" t="str">
            <v>CORIHUAMAN SURCO  ERICK ROBERT</v>
          </cell>
        </row>
        <row r="643">
          <cell r="A643">
            <v>626</v>
          </cell>
          <cell r="B643">
            <v>42685</v>
          </cell>
          <cell r="C643" t="str">
            <v>NOVIEMBRE</v>
          </cell>
          <cell r="D643" t="str">
            <v>2016</v>
          </cell>
          <cell r="E643">
            <v>302</v>
          </cell>
          <cell r="F643" t="str">
            <v>D3N-721</v>
          </cell>
          <cell r="G643" t="str">
            <v>C4S-979</v>
          </cell>
          <cell r="H643" t="str">
            <v>LAS BAMBAS</v>
          </cell>
          <cell r="I643">
            <v>121556.1</v>
          </cell>
          <cell r="J643" t="str">
            <v>REPUESTO</v>
          </cell>
          <cell r="K643" t="str">
            <v>SECADOR DE AIRE</v>
          </cell>
          <cell r="L643">
            <v>1</v>
          </cell>
          <cell r="M643" t="str">
            <v>UNID.</v>
          </cell>
          <cell r="N643" t="str">
            <v>TRACTO</v>
          </cell>
          <cell r="O643">
            <v>1</v>
          </cell>
          <cell r="P643" t="str">
            <v>M8</v>
          </cell>
          <cell r="Q643" t="str">
            <v>J2</v>
          </cell>
          <cell r="R643" t="str">
            <v>J6</v>
          </cell>
          <cell r="S643" t="str">
            <v>ENTREGADO</v>
          </cell>
          <cell r="T643">
            <v>42686</v>
          </cell>
          <cell r="U643" t="str">
            <v>VARILLAS GAGO  OSCAR ALBERTO</v>
          </cell>
          <cell r="V643" t="str">
            <v>CORIHUAMAN SURCO  ERICK ROBERT</v>
          </cell>
        </row>
        <row r="644">
          <cell r="A644">
            <v>635</v>
          </cell>
          <cell r="B644">
            <v>42685</v>
          </cell>
          <cell r="C644" t="str">
            <v>NOVIEMBRE</v>
          </cell>
          <cell r="D644" t="str">
            <v>2016</v>
          </cell>
          <cell r="E644">
            <v>302</v>
          </cell>
          <cell r="F644" t="str">
            <v>D3N-721</v>
          </cell>
          <cell r="G644" t="str">
            <v>C4S-979</v>
          </cell>
          <cell r="H644" t="str">
            <v>LAS BAMBAS</v>
          </cell>
          <cell r="I644">
            <v>121556.1</v>
          </cell>
          <cell r="J644" t="str">
            <v>REPUESTO</v>
          </cell>
          <cell r="K644" t="str">
            <v>FAROS REDONDOS LED  ROJOS GRANDES</v>
          </cell>
          <cell r="L644">
            <v>3</v>
          </cell>
          <cell r="M644" t="str">
            <v>UNID.</v>
          </cell>
          <cell r="N644" t="str">
            <v>CISTERNA</v>
          </cell>
          <cell r="O644">
            <v>0</v>
          </cell>
          <cell r="P644" t="str">
            <v>E2</v>
          </cell>
          <cell r="Q644" t="str">
            <v>J2</v>
          </cell>
          <cell r="R644" t="str">
            <v>J6</v>
          </cell>
          <cell r="S644" t="str">
            <v>ENTREGADO</v>
          </cell>
          <cell r="T644">
            <v>42685</v>
          </cell>
          <cell r="U644" t="str">
            <v>YUCA BELLIDO BORIS YERSY</v>
          </cell>
          <cell r="V644" t="str">
            <v>CORIHUAMAN SURCO  ERICK ROBERT</v>
          </cell>
        </row>
        <row r="645">
          <cell r="A645">
            <v>606</v>
          </cell>
          <cell r="B645">
            <v>42685</v>
          </cell>
          <cell r="C645" t="str">
            <v>NOVIEMBRE</v>
          </cell>
          <cell r="D645" t="str">
            <v>2016</v>
          </cell>
          <cell r="E645">
            <v>297</v>
          </cell>
          <cell r="F645" t="str">
            <v>D3P-747</v>
          </cell>
          <cell r="G645" t="str">
            <v>A0T-985</v>
          </cell>
          <cell r="H645" t="str">
            <v>LAS BAMBAS</v>
          </cell>
          <cell r="I645">
            <v>179946.6</v>
          </cell>
          <cell r="J645" t="str">
            <v>REPUESTO</v>
          </cell>
          <cell r="K645" t="str">
            <v>PITONES CURVOS</v>
          </cell>
          <cell r="L645">
            <v>4</v>
          </cell>
          <cell r="M645" t="str">
            <v>UNID.</v>
          </cell>
          <cell r="N645" t="str">
            <v>CISTERNA</v>
          </cell>
          <cell r="O645">
            <v>0</v>
          </cell>
          <cell r="P645" t="str">
            <v>N2</v>
          </cell>
          <cell r="Q645" t="str">
            <v>J3</v>
          </cell>
          <cell r="R645" t="str">
            <v>J6</v>
          </cell>
          <cell r="S645" t="str">
            <v>ENTREGADO</v>
          </cell>
          <cell r="T645">
            <v>42685</v>
          </cell>
          <cell r="U645" t="str">
            <v>MAMANI LARICO  EDUARDO ALVARO</v>
          </cell>
          <cell r="V645" t="str">
            <v>CHURA PIZARRO ALBERTO</v>
          </cell>
        </row>
        <row r="646">
          <cell r="A646">
            <v>607</v>
          </cell>
          <cell r="B646">
            <v>42685</v>
          </cell>
          <cell r="C646" t="str">
            <v>NOVIEMBRE</v>
          </cell>
          <cell r="D646" t="str">
            <v>2016</v>
          </cell>
          <cell r="E646">
            <v>297</v>
          </cell>
          <cell r="F646" t="str">
            <v>D3P-747</v>
          </cell>
          <cell r="G646" t="str">
            <v>A0T-985</v>
          </cell>
          <cell r="H646" t="str">
            <v>LAS BAMBAS</v>
          </cell>
          <cell r="I646">
            <v>179946.6</v>
          </cell>
          <cell r="J646" t="str">
            <v>REPUESTO</v>
          </cell>
          <cell r="K646" t="str">
            <v>PITONES RECTOS</v>
          </cell>
          <cell r="L646">
            <v>12</v>
          </cell>
          <cell r="M646" t="str">
            <v>UNID.</v>
          </cell>
          <cell r="N646" t="str">
            <v>CISTERNA</v>
          </cell>
          <cell r="O646">
            <v>0</v>
          </cell>
          <cell r="P646" t="str">
            <v>N2</v>
          </cell>
          <cell r="Q646" t="str">
            <v>J3</v>
          </cell>
          <cell r="R646" t="str">
            <v>J6</v>
          </cell>
          <cell r="S646" t="str">
            <v>ENTREGADO</v>
          </cell>
          <cell r="T646">
            <v>42685</v>
          </cell>
          <cell r="U646" t="str">
            <v>MAMANI LARICO  EDUARDO ALVARO</v>
          </cell>
          <cell r="V646" t="str">
            <v>CHURA PIZARRO ALBERTO</v>
          </cell>
        </row>
        <row r="647">
          <cell r="A647">
            <v>597</v>
          </cell>
          <cell r="B647">
            <v>42685</v>
          </cell>
          <cell r="C647" t="str">
            <v>NOVIEMBRE</v>
          </cell>
          <cell r="D647" t="str">
            <v>2016</v>
          </cell>
          <cell r="E647">
            <v>297</v>
          </cell>
          <cell r="F647" t="str">
            <v>D3P-747</v>
          </cell>
          <cell r="G647" t="str">
            <v>A0T-985</v>
          </cell>
          <cell r="H647" t="str">
            <v>LAS BAMBAS</v>
          </cell>
          <cell r="I647">
            <v>179946.6</v>
          </cell>
          <cell r="J647" t="str">
            <v>REPUESTO</v>
          </cell>
          <cell r="K647" t="str">
            <v>LLANTAS REENCAUCHADAS</v>
          </cell>
          <cell r="L647">
            <v>4</v>
          </cell>
          <cell r="M647" t="str">
            <v>UNID.</v>
          </cell>
          <cell r="N647" t="str">
            <v>CISTERNA</v>
          </cell>
          <cell r="O647">
            <v>0</v>
          </cell>
          <cell r="P647" t="str">
            <v>N2</v>
          </cell>
          <cell r="Q647" t="str">
            <v>J3</v>
          </cell>
          <cell r="R647" t="str">
            <v>J6</v>
          </cell>
          <cell r="S647" t="str">
            <v>ENTREGADO</v>
          </cell>
          <cell r="T647">
            <v>42685</v>
          </cell>
          <cell r="U647" t="str">
            <v>MAMANI LARICO  EDUARDO ALVARO</v>
          </cell>
          <cell r="V647" t="str">
            <v>CHURA PIZARRO ALBERTO</v>
          </cell>
        </row>
        <row r="648">
          <cell r="A648">
            <v>638</v>
          </cell>
          <cell r="B648">
            <v>42685</v>
          </cell>
          <cell r="C648" t="str">
            <v>NOVIEMBRE</v>
          </cell>
          <cell r="D648" t="str">
            <v>2016</v>
          </cell>
          <cell r="E648">
            <v>299</v>
          </cell>
          <cell r="F648" t="str">
            <v>D3R-791</v>
          </cell>
          <cell r="G648" t="str">
            <v>B1M-993</v>
          </cell>
          <cell r="H648" t="str">
            <v>LAS BAMBAS</v>
          </cell>
          <cell r="I648">
            <v>135621</v>
          </cell>
          <cell r="J648" t="str">
            <v>REPUESTO</v>
          </cell>
          <cell r="K648" t="str">
            <v>CABLE NRO. 14</v>
          </cell>
          <cell r="L648">
            <v>10</v>
          </cell>
          <cell r="M648" t="str">
            <v>M</v>
          </cell>
          <cell r="N648" t="str">
            <v>CISTERNA</v>
          </cell>
          <cell r="O648">
            <v>0</v>
          </cell>
          <cell r="P648" t="str">
            <v>E2</v>
          </cell>
          <cell r="Q648" t="str">
            <v>J2</v>
          </cell>
          <cell r="R648" t="str">
            <v>J6</v>
          </cell>
          <cell r="S648" t="str">
            <v>ENTREGADO</v>
          </cell>
          <cell r="T648">
            <v>42685</v>
          </cell>
          <cell r="U648" t="str">
            <v>YUCA BELLIDO BORIS YERSY</v>
          </cell>
          <cell r="V648" t="str">
            <v>CORIHUAMAN SURCO  ERICK ROBERT</v>
          </cell>
        </row>
        <row r="649">
          <cell r="A649">
            <v>639</v>
          </cell>
          <cell r="B649">
            <v>42685</v>
          </cell>
          <cell r="C649" t="str">
            <v>NOVIEMBRE</v>
          </cell>
          <cell r="D649" t="str">
            <v>2016</v>
          </cell>
          <cell r="E649">
            <v>299</v>
          </cell>
          <cell r="F649" t="str">
            <v>D3R-791</v>
          </cell>
          <cell r="G649" t="str">
            <v>B1M-993</v>
          </cell>
          <cell r="H649" t="str">
            <v>LAS BAMBAS</v>
          </cell>
          <cell r="I649">
            <v>135621</v>
          </cell>
          <cell r="J649" t="str">
            <v>REPUESTO</v>
          </cell>
          <cell r="K649" t="str">
            <v>TUBO CORRUGADO 1/4</v>
          </cell>
          <cell r="L649">
            <v>10</v>
          </cell>
          <cell r="M649" t="str">
            <v>M</v>
          </cell>
          <cell r="N649" t="str">
            <v>CISTERNA</v>
          </cell>
          <cell r="O649">
            <v>0</v>
          </cell>
          <cell r="P649" t="str">
            <v>E2</v>
          </cell>
          <cell r="Q649" t="str">
            <v>J2</v>
          </cell>
          <cell r="R649" t="str">
            <v>J6</v>
          </cell>
          <cell r="S649" t="str">
            <v>ENTREGADO</v>
          </cell>
          <cell r="T649">
            <v>42685</v>
          </cell>
          <cell r="U649" t="str">
            <v>YUCA BELLIDO BORIS YERSY</v>
          </cell>
          <cell r="V649" t="str">
            <v>CORIHUAMAN SURCO  ERICK ROBERT</v>
          </cell>
        </row>
        <row r="650">
          <cell r="A650">
            <v>652</v>
          </cell>
          <cell r="B650">
            <v>42685</v>
          </cell>
          <cell r="C650" t="str">
            <v>NOVIEMBRE</v>
          </cell>
          <cell r="D650" t="str">
            <v>2016</v>
          </cell>
          <cell r="E650">
            <v>299</v>
          </cell>
          <cell r="F650" t="str">
            <v>D3R-791</v>
          </cell>
          <cell r="G650" t="str">
            <v>B1M-993</v>
          </cell>
          <cell r="H650" t="str">
            <v>LAS BAMBAS</v>
          </cell>
          <cell r="I650">
            <v>135621</v>
          </cell>
          <cell r="J650" t="str">
            <v>REPUESTO</v>
          </cell>
          <cell r="K650" t="str">
            <v>PARCHE RACK 10</v>
          </cell>
          <cell r="L650">
            <v>1</v>
          </cell>
          <cell r="M650" t="str">
            <v>UNID.</v>
          </cell>
          <cell r="N650" t="str">
            <v>CISTERNA</v>
          </cell>
          <cell r="O650">
            <v>0</v>
          </cell>
          <cell r="P650" t="str">
            <v>N1</v>
          </cell>
          <cell r="Q650" t="str">
            <v>J3</v>
          </cell>
          <cell r="R650" t="str">
            <v>J6</v>
          </cell>
          <cell r="S650" t="str">
            <v>ENTREGADO</v>
          </cell>
          <cell r="T650">
            <v>42685</v>
          </cell>
          <cell r="U650" t="str">
            <v>AGUILAR CCANTUTA WILLY</v>
          </cell>
          <cell r="V650" t="str">
            <v>CHURA PIZARRO ALBERTO</v>
          </cell>
        </row>
        <row r="651">
          <cell r="A651">
            <v>653</v>
          </cell>
          <cell r="B651">
            <v>42685</v>
          </cell>
          <cell r="C651" t="str">
            <v>NOVIEMBRE</v>
          </cell>
          <cell r="D651" t="str">
            <v>2016</v>
          </cell>
          <cell r="E651">
            <v>299</v>
          </cell>
          <cell r="F651" t="str">
            <v>D3R-791</v>
          </cell>
          <cell r="G651" t="str">
            <v>B1M-993</v>
          </cell>
          <cell r="H651" t="str">
            <v>LAS BAMBAS</v>
          </cell>
          <cell r="I651">
            <v>135621</v>
          </cell>
          <cell r="J651" t="str">
            <v>REPUESTO</v>
          </cell>
          <cell r="K651" t="str">
            <v>PITONES CURVOS</v>
          </cell>
          <cell r="L651">
            <v>2</v>
          </cell>
          <cell r="M651" t="str">
            <v>UNID.</v>
          </cell>
          <cell r="N651" t="str">
            <v>CISTERNA</v>
          </cell>
          <cell r="O651">
            <v>0</v>
          </cell>
          <cell r="P651" t="str">
            <v>N1</v>
          </cell>
          <cell r="Q651" t="str">
            <v>J3</v>
          </cell>
          <cell r="R651" t="str">
            <v>J6</v>
          </cell>
          <cell r="S651" t="str">
            <v>ENTREGADO</v>
          </cell>
          <cell r="T651">
            <v>42685</v>
          </cell>
          <cell r="U651" t="str">
            <v>AGUILAR CCANTUTA WILLY</v>
          </cell>
          <cell r="V651" t="str">
            <v>CHURA PIZARRO ALBERTO</v>
          </cell>
        </row>
        <row r="652">
          <cell r="A652">
            <v>660</v>
          </cell>
          <cell r="B652">
            <v>42685</v>
          </cell>
          <cell r="C652" t="str">
            <v>NOVIEMBRE</v>
          </cell>
          <cell r="D652" t="str">
            <v>2016</v>
          </cell>
          <cell r="E652">
            <v>299</v>
          </cell>
          <cell r="F652" t="str">
            <v>D3R-791</v>
          </cell>
          <cell r="G652" t="str">
            <v>B1M-993</v>
          </cell>
          <cell r="H652" t="str">
            <v>LAS BAMBAS</v>
          </cell>
          <cell r="I652">
            <v>135621</v>
          </cell>
          <cell r="J652" t="str">
            <v>REPUESTO</v>
          </cell>
          <cell r="K652" t="str">
            <v>UNION RAPIDA DE 1/4</v>
          </cell>
          <cell r="L652">
            <v>1</v>
          </cell>
          <cell r="M652" t="str">
            <v>UNID.</v>
          </cell>
          <cell r="N652" t="str">
            <v>CISTERNA</v>
          </cell>
          <cell r="O652">
            <v>0</v>
          </cell>
          <cell r="P652" t="str">
            <v>M8</v>
          </cell>
          <cell r="Q652" t="str">
            <v>J2</v>
          </cell>
          <cell r="R652" t="str">
            <v>J6</v>
          </cell>
          <cell r="S652" t="str">
            <v>ENTREGADO</v>
          </cell>
          <cell r="T652">
            <v>42685</v>
          </cell>
          <cell r="U652" t="str">
            <v>VARILLAS GAGO  OSCAR ALBERTO</v>
          </cell>
          <cell r="V652" t="str">
            <v>CORIHUAMAN SURCO  ERICK ROBERT</v>
          </cell>
        </row>
        <row r="653">
          <cell r="A653">
            <v>661</v>
          </cell>
          <cell r="B653">
            <v>42685</v>
          </cell>
          <cell r="C653" t="str">
            <v>NOVIEMBRE</v>
          </cell>
          <cell r="D653" t="str">
            <v>2016</v>
          </cell>
          <cell r="E653">
            <v>299</v>
          </cell>
          <cell r="F653" t="str">
            <v>D3R-791</v>
          </cell>
          <cell r="G653" t="str">
            <v>B1M-993</v>
          </cell>
          <cell r="H653" t="str">
            <v>LAS BAMBAS</v>
          </cell>
          <cell r="I653">
            <v>135621</v>
          </cell>
          <cell r="J653" t="str">
            <v>REPUESTO</v>
          </cell>
          <cell r="K653" t="str">
            <v>CONO 1/4</v>
          </cell>
          <cell r="L653">
            <v>1</v>
          </cell>
          <cell r="M653" t="str">
            <v>UNID.</v>
          </cell>
          <cell r="N653" t="str">
            <v>CISTERNA</v>
          </cell>
          <cell r="O653">
            <v>0</v>
          </cell>
          <cell r="P653" t="str">
            <v>M8</v>
          </cell>
          <cell r="Q653" t="str">
            <v>J2</v>
          </cell>
          <cell r="R653" t="str">
            <v>J6</v>
          </cell>
          <cell r="S653" t="str">
            <v>ENTREGADO</v>
          </cell>
          <cell r="T653">
            <v>42685</v>
          </cell>
          <cell r="U653" t="str">
            <v>VARILLAS GAGO  OSCAR ALBERTO</v>
          </cell>
          <cell r="V653" t="str">
            <v>CORIHUAMAN SURCO  ERICK ROBERT</v>
          </cell>
        </row>
        <row r="654">
          <cell r="A654">
            <v>662</v>
          </cell>
          <cell r="B654">
            <v>42685</v>
          </cell>
          <cell r="C654" t="str">
            <v>NOVIEMBRE</v>
          </cell>
          <cell r="D654" t="str">
            <v>2016</v>
          </cell>
          <cell r="E654">
            <v>299</v>
          </cell>
          <cell r="F654" t="str">
            <v>D3R-791</v>
          </cell>
          <cell r="G654" t="str">
            <v>B1M-993</v>
          </cell>
          <cell r="H654" t="str">
            <v>LAS BAMBAS</v>
          </cell>
          <cell r="I654">
            <v>135621</v>
          </cell>
          <cell r="J654" t="str">
            <v>REPUESTO</v>
          </cell>
          <cell r="K654" t="str">
            <v>GUIA 1/4</v>
          </cell>
          <cell r="L654">
            <v>1</v>
          </cell>
          <cell r="M654" t="str">
            <v>UNID.</v>
          </cell>
          <cell r="N654" t="str">
            <v>CISTERNA</v>
          </cell>
          <cell r="O654">
            <v>0</v>
          </cell>
          <cell r="P654" t="str">
            <v>M8</v>
          </cell>
          <cell r="Q654" t="str">
            <v>J2</v>
          </cell>
          <cell r="R654" t="str">
            <v>J6</v>
          </cell>
          <cell r="S654" t="str">
            <v>ENTREGADO</v>
          </cell>
          <cell r="T654">
            <v>42685</v>
          </cell>
          <cell r="U654" t="str">
            <v>VARILLAS GAGO  OSCAR ALBERTO</v>
          </cell>
          <cell r="V654" t="str">
            <v>CORIHUAMAN SURCO  ERICK ROBERT</v>
          </cell>
        </row>
        <row r="655">
          <cell r="A655">
            <v>663</v>
          </cell>
          <cell r="B655">
            <v>42685</v>
          </cell>
          <cell r="C655" t="str">
            <v>NOVIEMBRE</v>
          </cell>
          <cell r="D655" t="str">
            <v>2016</v>
          </cell>
          <cell r="E655">
            <v>299</v>
          </cell>
          <cell r="F655" t="str">
            <v>D3R-791</v>
          </cell>
          <cell r="G655" t="str">
            <v>B1M-993</v>
          </cell>
          <cell r="H655" t="str">
            <v>LAS BAMBAS</v>
          </cell>
          <cell r="I655">
            <v>135621</v>
          </cell>
          <cell r="J655" t="str">
            <v>REPUESTO</v>
          </cell>
          <cell r="K655" t="str">
            <v>MANGUERA DE AIRE 1/4</v>
          </cell>
          <cell r="L655">
            <v>0.3</v>
          </cell>
          <cell r="M655" t="str">
            <v>M</v>
          </cell>
          <cell r="N655" t="str">
            <v>CISTERNA</v>
          </cell>
          <cell r="O655">
            <v>0</v>
          </cell>
          <cell r="P655" t="str">
            <v>M8</v>
          </cell>
          <cell r="Q655" t="str">
            <v>J2</v>
          </cell>
          <cell r="R655" t="str">
            <v>J6</v>
          </cell>
          <cell r="S655" t="str">
            <v>ENTREGADO</v>
          </cell>
          <cell r="T655">
            <v>42685</v>
          </cell>
          <cell r="U655" t="str">
            <v>VARILLAS GAGO  OSCAR ALBERTO</v>
          </cell>
          <cell r="V655" t="str">
            <v>CORIHUAMAN SURCO  ERICK ROBERT</v>
          </cell>
        </row>
        <row r="656">
          <cell r="A656">
            <v>649</v>
          </cell>
          <cell r="B656">
            <v>42685</v>
          </cell>
          <cell r="C656" t="str">
            <v>NOVIEMBRE</v>
          </cell>
          <cell r="D656" t="str">
            <v>2016</v>
          </cell>
          <cell r="E656">
            <v>299</v>
          </cell>
          <cell r="F656" t="str">
            <v>D3R-791</v>
          </cell>
          <cell r="G656" t="str">
            <v>B1M-993</v>
          </cell>
          <cell r="H656" t="str">
            <v>LAS BAMBAS</v>
          </cell>
          <cell r="I656">
            <v>135621</v>
          </cell>
          <cell r="J656" t="str">
            <v>REPUESTO</v>
          </cell>
          <cell r="K656" t="str">
            <v>LLANTAS REENCAUCHADAS IDY</v>
          </cell>
          <cell r="L656">
            <v>4</v>
          </cell>
          <cell r="M656" t="str">
            <v>UNID.</v>
          </cell>
          <cell r="N656" t="str">
            <v>TRACTO</v>
          </cell>
          <cell r="O656">
            <v>1</v>
          </cell>
          <cell r="P656" t="str">
            <v>N1</v>
          </cell>
          <cell r="Q656" t="str">
            <v>J3</v>
          </cell>
          <cell r="R656" t="str">
            <v>J6</v>
          </cell>
          <cell r="S656" t="str">
            <v>ENTREGADO</v>
          </cell>
          <cell r="T656">
            <v>42686</v>
          </cell>
          <cell r="U656" t="str">
            <v>AGUILAR CCANTUTA WILLY</v>
          </cell>
          <cell r="V656" t="str">
            <v>CHURA PIZARRO ALBERTO</v>
          </cell>
        </row>
        <row r="657">
          <cell r="A657">
            <v>650</v>
          </cell>
          <cell r="B657">
            <v>42685</v>
          </cell>
          <cell r="C657" t="str">
            <v>NOVIEMBRE</v>
          </cell>
          <cell r="D657" t="str">
            <v>2016</v>
          </cell>
          <cell r="E657">
            <v>299</v>
          </cell>
          <cell r="F657" t="str">
            <v>D3R-791</v>
          </cell>
          <cell r="G657" t="str">
            <v>B1M-993</v>
          </cell>
          <cell r="H657" t="str">
            <v>LAS BAMBAS</v>
          </cell>
          <cell r="I657">
            <v>135621</v>
          </cell>
          <cell r="J657" t="str">
            <v>REPUESTO</v>
          </cell>
          <cell r="K657" t="str">
            <v>LLANTAS REENCAUCHADAS IZY2</v>
          </cell>
          <cell r="L657">
            <v>4</v>
          </cell>
          <cell r="M657" t="str">
            <v>UNID.</v>
          </cell>
          <cell r="N657" t="str">
            <v>CISTERNA</v>
          </cell>
          <cell r="O657">
            <v>0</v>
          </cell>
          <cell r="P657" t="str">
            <v>N1</v>
          </cell>
          <cell r="Q657" t="str">
            <v>J3</v>
          </cell>
          <cell r="R657" t="str">
            <v>J6</v>
          </cell>
          <cell r="S657" t="str">
            <v>ENTREGADO</v>
          </cell>
          <cell r="T657">
            <v>42685</v>
          </cell>
          <cell r="U657" t="str">
            <v>AGUILAR CCANTUTA WILLY</v>
          </cell>
          <cell r="V657" t="str">
            <v>CHURA PIZARRO ALBERTO</v>
          </cell>
        </row>
        <row r="658">
          <cell r="A658">
            <v>622</v>
          </cell>
          <cell r="B658">
            <v>42685</v>
          </cell>
          <cell r="C658" t="str">
            <v>NOVIEMBRE</v>
          </cell>
          <cell r="D658" t="str">
            <v>2016</v>
          </cell>
          <cell r="E658">
            <v>296</v>
          </cell>
          <cell r="F658" t="str">
            <v>D4X-872</v>
          </cell>
          <cell r="G658" t="str">
            <v>B4P-976</v>
          </cell>
          <cell r="H658" t="str">
            <v>LAS BAMBAS</v>
          </cell>
          <cell r="I658">
            <v>180842</v>
          </cell>
          <cell r="J658" t="str">
            <v>REPUESTO</v>
          </cell>
          <cell r="K658" t="str">
            <v>SPRAY COLOR VERDE</v>
          </cell>
          <cell r="L658">
            <v>1</v>
          </cell>
          <cell r="M658" t="str">
            <v>UNID.</v>
          </cell>
          <cell r="N658" t="str">
            <v>CISTERNA</v>
          </cell>
          <cell r="O658">
            <v>0</v>
          </cell>
          <cell r="P658" t="str">
            <v>M3</v>
          </cell>
          <cell r="Q658" t="str">
            <v>J2</v>
          </cell>
          <cell r="R658" t="str">
            <v>J6</v>
          </cell>
          <cell r="S658" t="str">
            <v>ENTREGADO</v>
          </cell>
          <cell r="T658">
            <v>42685</v>
          </cell>
          <cell r="U658" t="str">
            <v>GARCIA PASQUEL  JOSE LUIS</v>
          </cell>
          <cell r="V658" t="str">
            <v>CORIHUAMAN SURCO  ERICK ROBERT</v>
          </cell>
        </row>
        <row r="659">
          <cell r="A659">
            <v>623</v>
          </cell>
          <cell r="B659">
            <v>42685</v>
          </cell>
          <cell r="C659" t="str">
            <v>NOVIEMBRE</v>
          </cell>
          <cell r="D659" t="str">
            <v>2016</v>
          </cell>
          <cell r="E659">
            <v>296</v>
          </cell>
          <cell r="F659" t="str">
            <v>D4X-872</v>
          </cell>
          <cell r="G659" t="str">
            <v>B4P-976</v>
          </cell>
          <cell r="H659" t="str">
            <v>LAS BAMBAS</v>
          </cell>
          <cell r="I659">
            <v>180842</v>
          </cell>
          <cell r="J659" t="str">
            <v>REPUESTO</v>
          </cell>
          <cell r="K659" t="str">
            <v>SPRAY COLOR BLANCO</v>
          </cell>
          <cell r="L659">
            <v>1</v>
          </cell>
          <cell r="M659" t="str">
            <v>UNID.</v>
          </cell>
          <cell r="N659" t="str">
            <v>CISTERNA</v>
          </cell>
          <cell r="O659">
            <v>1</v>
          </cell>
          <cell r="P659" t="str">
            <v>M3</v>
          </cell>
          <cell r="Q659" t="str">
            <v>J2</v>
          </cell>
          <cell r="R659" t="str">
            <v>J6</v>
          </cell>
          <cell r="S659" t="str">
            <v>ENTREGADO</v>
          </cell>
          <cell r="T659">
            <v>42686</v>
          </cell>
          <cell r="U659" t="str">
            <v>GARCIA PASQUEL  JOSE LUIS</v>
          </cell>
          <cell r="V659" t="str">
            <v>CORIHUAMAN SURCO  ERICK ROBERT</v>
          </cell>
        </row>
        <row r="660">
          <cell r="A660">
            <v>605</v>
          </cell>
          <cell r="B660">
            <v>42685</v>
          </cell>
          <cell r="C660" t="str">
            <v>NOVIEMBRE</v>
          </cell>
          <cell r="D660" t="str">
            <v>2016</v>
          </cell>
          <cell r="E660">
            <v>210</v>
          </cell>
          <cell r="F660" t="str">
            <v>D6F-898</v>
          </cell>
          <cell r="G660" t="str">
            <v>T4L-996</v>
          </cell>
          <cell r="H660" t="str">
            <v>LAS BAMBAS</v>
          </cell>
          <cell r="I660">
            <v>160160</v>
          </cell>
          <cell r="J660" t="str">
            <v>REPUESTO</v>
          </cell>
          <cell r="K660" t="str">
            <v>SERVO DE DIRECCION</v>
          </cell>
          <cell r="L660">
            <v>1</v>
          </cell>
          <cell r="M660" t="str">
            <v>UNID.</v>
          </cell>
          <cell r="N660" t="str">
            <v>TRACTO</v>
          </cell>
          <cell r="O660">
            <v>1</v>
          </cell>
          <cell r="P660" t="str">
            <v>J2</v>
          </cell>
          <cell r="Q660" t="str">
            <v>J2</v>
          </cell>
          <cell r="R660" t="str">
            <v>J6</v>
          </cell>
          <cell r="S660" t="str">
            <v>ENTREGADO</v>
          </cell>
          <cell r="T660">
            <v>42686</v>
          </cell>
          <cell r="U660" t="str">
            <v>CORIHUAMAN SURCO  ERICK ROBERT</v>
          </cell>
          <cell r="V660" t="str">
            <v>CORIHUAMAN SURCO  ERICK ROBERT</v>
          </cell>
        </row>
        <row r="661">
          <cell r="A661">
            <v>619</v>
          </cell>
          <cell r="B661">
            <v>42685</v>
          </cell>
          <cell r="C661" t="str">
            <v>NOVIEMBRE</v>
          </cell>
          <cell r="D661" t="str">
            <v>2016</v>
          </cell>
          <cell r="E661">
            <v>210</v>
          </cell>
          <cell r="F661" t="str">
            <v>D6F-898</v>
          </cell>
          <cell r="G661" t="str">
            <v>T4L-996</v>
          </cell>
          <cell r="H661" t="str">
            <v>LAS BAMBAS</v>
          </cell>
          <cell r="I661">
            <v>160160</v>
          </cell>
          <cell r="J661" t="str">
            <v>REPUESTO</v>
          </cell>
          <cell r="K661" t="str">
            <v>RETEN DE CAJA DE DIRECCION</v>
          </cell>
          <cell r="L661">
            <v>1</v>
          </cell>
          <cell r="M661" t="str">
            <v>UNID.</v>
          </cell>
          <cell r="N661" t="str">
            <v>TRACTO</v>
          </cell>
          <cell r="O661">
            <v>1</v>
          </cell>
          <cell r="P661" t="str">
            <v>M2</v>
          </cell>
          <cell r="Q661" t="str">
            <v>J1</v>
          </cell>
          <cell r="R661" t="str">
            <v>J6</v>
          </cell>
          <cell r="S661" t="str">
            <v>ENTREGADO</v>
          </cell>
          <cell r="T661">
            <v>42686</v>
          </cell>
          <cell r="U661" t="str">
            <v>CHUMPITAZ GAGO JULIO ENRIQUE</v>
          </cell>
          <cell r="V661" t="str">
            <v>FLOREZ CONDORI  JOSE WILLIANS</v>
          </cell>
        </row>
        <row r="662">
          <cell r="A662">
            <v>620</v>
          </cell>
          <cell r="B662">
            <v>42685</v>
          </cell>
          <cell r="C662" t="str">
            <v>NOVIEMBRE</v>
          </cell>
          <cell r="D662" t="str">
            <v>2016</v>
          </cell>
          <cell r="E662">
            <v>210</v>
          </cell>
          <cell r="F662" t="str">
            <v>D6F-898</v>
          </cell>
          <cell r="G662" t="str">
            <v>T4L-996</v>
          </cell>
          <cell r="H662" t="str">
            <v>LAS BAMBAS</v>
          </cell>
          <cell r="I662">
            <v>160160</v>
          </cell>
          <cell r="J662" t="str">
            <v>REPUESTO</v>
          </cell>
          <cell r="K662" t="str">
            <v xml:space="preserve">FILTRO DE ACEITE </v>
          </cell>
          <cell r="L662">
            <v>2</v>
          </cell>
          <cell r="M662" t="str">
            <v>UNID.</v>
          </cell>
          <cell r="N662" t="str">
            <v>TRACTO</v>
          </cell>
          <cell r="O662">
            <v>0</v>
          </cell>
          <cell r="P662" t="str">
            <v>M2</v>
          </cell>
          <cell r="Q662" t="str">
            <v>J1</v>
          </cell>
          <cell r="R662" t="str">
            <v>J6</v>
          </cell>
          <cell r="S662" t="str">
            <v>ENTREGADO</v>
          </cell>
          <cell r="T662">
            <v>42685</v>
          </cell>
          <cell r="U662" t="str">
            <v>CHUMPITAZ GAGO JULIO ENRIQUE</v>
          </cell>
          <cell r="V662" t="str">
            <v>FLOREZ CONDORI  JOSE WILLIANS</v>
          </cell>
        </row>
        <row r="663">
          <cell r="A663">
            <v>621</v>
          </cell>
          <cell r="B663">
            <v>42685</v>
          </cell>
          <cell r="C663" t="str">
            <v>NOVIEMBRE</v>
          </cell>
          <cell r="D663" t="str">
            <v>2016</v>
          </cell>
          <cell r="E663">
            <v>210</v>
          </cell>
          <cell r="F663" t="str">
            <v>D6F-898</v>
          </cell>
          <cell r="G663" t="str">
            <v>T4L-996</v>
          </cell>
          <cell r="H663" t="str">
            <v>LAS BAMBAS</v>
          </cell>
          <cell r="I663">
            <v>160160</v>
          </cell>
          <cell r="J663" t="str">
            <v>REPUESTO</v>
          </cell>
          <cell r="K663" t="str">
            <v>ACEITE 15W40</v>
          </cell>
          <cell r="L663">
            <v>10</v>
          </cell>
          <cell r="M663" t="str">
            <v>GLNS.</v>
          </cell>
          <cell r="N663" t="str">
            <v>TRACTO</v>
          </cell>
          <cell r="O663">
            <v>0</v>
          </cell>
          <cell r="P663" t="str">
            <v>M2</v>
          </cell>
          <cell r="Q663" t="str">
            <v>J1</v>
          </cell>
          <cell r="R663" t="str">
            <v>J6</v>
          </cell>
          <cell r="S663" t="str">
            <v>ENTREGADO</v>
          </cell>
          <cell r="T663">
            <v>42685</v>
          </cell>
          <cell r="U663" t="str">
            <v>CHUMPITAZ GAGO JULIO ENRIQUE</v>
          </cell>
          <cell r="V663" t="str">
            <v>FLOREZ CONDORI  JOSE WILLIANS</v>
          </cell>
        </row>
        <row r="664">
          <cell r="A664">
            <v>640</v>
          </cell>
          <cell r="B664">
            <v>42685</v>
          </cell>
          <cell r="C664" t="str">
            <v>NOVIEMBRE</v>
          </cell>
          <cell r="D664" t="str">
            <v>2016</v>
          </cell>
          <cell r="E664">
            <v>210</v>
          </cell>
          <cell r="F664" t="str">
            <v>D6F-898</v>
          </cell>
          <cell r="G664" t="str">
            <v>T4L-996</v>
          </cell>
          <cell r="H664" t="str">
            <v>LAS BAMBAS</v>
          </cell>
          <cell r="I664">
            <v>160160</v>
          </cell>
          <cell r="J664" t="str">
            <v>REPUESTO</v>
          </cell>
          <cell r="K664" t="str">
            <v>LIMPIA PARABRISA</v>
          </cell>
          <cell r="L664">
            <v>1</v>
          </cell>
          <cell r="M664" t="str">
            <v>GLNS.</v>
          </cell>
          <cell r="N664" t="str">
            <v>TRACTO</v>
          </cell>
          <cell r="O664">
            <v>0</v>
          </cell>
          <cell r="P664" t="str">
            <v>M2</v>
          </cell>
          <cell r="Q664" t="str">
            <v>J2</v>
          </cell>
          <cell r="R664" t="str">
            <v>J6</v>
          </cell>
          <cell r="S664" t="str">
            <v>ENTREGADO</v>
          </cell>
          <cell r="T664">
            <v>42685</v>
          </cell>
          <cell r="U664" t="str">
            <v>CHUMPITAZ GAGO JULIO ENRIQUE</v>
          </cell>
          <cell r="V664" t="str">
            <v>CORIHUAMAN SURCO  ERICK ROBERT</v>
          </cell>
        </row>
        <row r="665">
          <cell r="A665">
            <v>641</v>
          </cell>
          <cell r="B665">
            <v>42685</v>
          </cell>
          <cell r="C665" t="str">
            <v>NOVIEMBRE</v>
          </cell>
          <cell r="D665" t="str">
            <v>2016</v>
          </cell>
          <cell r="E665">
            <v>210</v>
          </cell>
          <cell r="F665" t="str">
            <v>D6F-898</v>
          </cell>
          <cell r="G665" t="str">
            <v>T4L-996</v>
          </cell>
          <cell r="H665" t="str">
            <v>LAS BAMBAS</v>
          </cell>
          <cell r="I665">
            <v>160160</v>
          </cell>
          <cell r="J665" t="str">
            <v>REPUESTO</v>
          </cell>
          <cell r="K665" t="str">
            <v>REFRIGERANTE</v>
          </cell>
          <cell r="L665">
            <v>1</v>
          </cell>
          <cell r="M665" t="str">
            <v>GLNS.</v>
          </cell>
          <cell r="N665" t="str">
            <v>TRACTO</v>
          </cell>
          <cell r="O665">
            <v>0</v>
          </cell>
          <cell r="P665" t="str">
            <v>M2</v>
          </cell>
          <cell r="Q665" t="str">
            <v>J2</v>
          </cell>
          <cell r="R665" t="str">
            <v>J6</v>
          </cell>
          <cell r="S665" t="str">
            <v>ENTREGADO</v>
          </cell>
          <cell r="T665">
            <v>42685</v>
          </cell>
          <cell r="U665" t="str">
            <v>CHUMPITAZ GAGO JULIO ENRIQUE</v>
          </cell>
          <cell r="V665" t="str">
            <v>CORIHUAMAN SURCO  ERICK ROBERT</v>
          </cell>
        </row>
        <row r="666">
          <cell r="A666">
            <v>666</v>
          </cell>
          <cell r="B666">
            <v>42685</v>
          </cell>
          <cell r="C666" t="str">
            <v>NOVIEMBRE</v>
          </cell>
          <cell r="D666" t="str">
            <v>2016</v>
          </cell>
          <cell r="E666">
            <v>210</v>
          </cell>
          <cell r="F666" t="str">
            <v>D6F-898</v>
          </cell>
          <cell r="G666" t="str">
            <v>T4L-996</v>
          </cell>
          <cell r="H666" t="str">
            <v>LAS BAMBAS</v>
          </cell>
          <cell r="I666">
            <v>160160</v>
          </cell>
          <cell r="J666" t="str">
            <v>REPUESTO</v>
          </cell>
          <cell r="K666" t="str">
            <v>FOCO 9005</v>
          </cell>
          <cell r="L666">
            <v>1</v>
          </cell>
          <cell r="M666" t="str">
            <v>UNID.</v>
          </cell>
          <cell r="N666" t="str">
            <v>TRACTO</v>
          </cell>
          <cell r="O666">
            <v>0</v>
          </cell>
          <cell r="P666" t="str">
            <v>E2</v>
          </cell>
          <cell r="Q666" t="str">
            <v>J1</v>
          </cell>
          <cell r="R666" t="str">
            <v>J6</v>
          </cell>
          <cell r="S666" t="str">
            <v>ENTREGADO</v>
          </cell>
          <cell r="T666">
            <v>42685</v>
          </cell>
          <cell r="U666" t="str">
            <v>YUCA BELLIDO BORIS YERSY</v>
          </cell>
          <cell r="V666" t="str">
            <v>FLOREZ CONDORI  JOSE WILLIANS</v>
          </cell>
        </row>
        <row r="667">
          <cell r="A667">
            <v>667</v>
          </cell>
          <cell r="B667">
            <v>42685</v>
          </cell>
          <cell r="C667" t="str">
            <v>NOVIEMBRE</v>
          </cell>
          <cell r="D667" t="str">
            <v>2016</v>
          </cell>
          <cell r="E667">
            <v>210</v>
          </cell>
          <cell r="F667" t="str">
            <v>D6F-898</v>
          </cell>
          <cell r="G667" t="str">
            <v>T4L-996</v>
          </cell>
          <cell r="H667" t="str">
            <v>LAS BAMBAS</v>
          </cell>
          <cell r="I667">
            <v>160160</v>
          </cell>
          <cell r="J667" t="str">
            <v>REPUESTO</v>
          </cell>
          <cell r="K667" t="str">
            <v>FOCO 9006</v>
          </cell>
          <cell r="L667">
            <v>1</v>
          </cell>
          <cell r="M667" t="str">
            <v>UNID.</v>
          </cell>
          <cell r="N667" t="str">
            <v>TRACTO</v>
          </cell>
          <cell r="O667">
            <v>1</v>
          </cell>
          <cell r="P667" t="str">
            <v>E2</v>
          </cell>
          <cell r="Q667" t="str">
            <v>J1</v>
          </cell>
          <cell r="R667" t="str">
            <v>J6</v>
          </cell>
          <cell r="S667" t="str">
            <v>ENTREGADO</v>
          </cell>
          <cell r="T667">
            <v>42686</v>
          </cell>
          <cell r="U667" t="str">
            <v>YUCA BELLIDO BORIS YERSY</v>
          </cell>
          <cell r="V667" t="str">
            <v>FLOREZ CONDORI  JOSE WILLIANS</v>
          </cell>
        </row>
        <row r="668">
          <cell r="A668">
            <v>668</v>
          </cell>
          <cell r="B668">
            <v>42685</v>
          </cell>
          <cell r="C668" t="str">
            <v>NOVIEMBRE</v>
          </cell>
          <cell r="D668" t="str">
            <v>2016</v>
          </cell>
          <cell r="E668">
            <v>210</v>
          </cell>
          <cell r="F668" t="str">
            <v>D6F-898</v>
          </cell>
          <cell r="G668" t="str">
            <v>T4L-996</v>
          </cell>
          <cell r="H668" t="str">
            <v>LAS BAMBAS</v>
          </cell>
          <cell r="I668">
            <v>160160</v>
          </cell>
          <cell r="J668" t="str">
            <v>REPUESTO</v>
          </cell>
          <cell r="K668" t="str">
            <v>FOCO DE DOBLE CONTACTO DE 12 V</v>
          </cell>
          <cell r="L668">
            <v>1</v>
          </cell>
          <cell r="M668" t="str">
            <v>UNID.</v>
          </cell>
          <cell r="N668" t="str">
            <v>TRACTO</v>
          </cell>
          <cell r="O668">
            <v>0</v>
          </cell>
          <cell r="P668" t="str">
            <v>E2</v>
          </cell>
          <cell r="Q668" t="str">
            <v>J1</v>
          </cell>
          <cell r="R668" t="str">
            <v>J6</v>
          </cell>
          <cell r="S668" t="str">
            <v>ENTREGADO</v>
          </cell>
          <cell r="T668">
            <v>42685</v>
          </cell>
          <cell r="U668" t="str">
            <v>YUCA BELLIDO BORIS YERSY</v>
          </cell>
          <cell r="V668" t="str">
            <v>FLOREZ CONDORI  JOSE WILLIANS</v>
          </cell>
        </row>
        <row r="669">
          <cell r="A669">
            <v>669</v>
          </cell>
          <cell r="B669">
            <v>42685</v>
          </cell>
          <cell r="C669" t="str">
            <v>NOVIEMBRE</v>
          </cell>
          <cell r="D669" t="str">
            <v>2016</v>
          </cell>
          <cell r="E669">
            <v>210</v>
          </cell>
          <cell r="F669" t="str">
            <v>D6F-898</v>
          </cell>
          <cell r="G669" t="str">
            <v>T4L-996</v>
          </cell>
          <cell r="H669" t="str">
            <v>LAS BAMBAS</v>
          </cell>
          <cell r="I669">
            <v>160160</v>
          </cell>
          <cell r="J669" t="str">
            <v>REPUESTO</v>
          </cell>
          <cell r="K669" t="str">
            <v>SOCKET</v>
          </cell>
          <cell r="L669">
            <v>1</v>
          </cell>
          <cell r="M669" t="str">
            <v>UNID.</v>
          </cell>
          <cell r="N669" t="str">
            <v>TRACTO</v>
          </cell>
          <cell r="O669">
            <v>0</v>
          </cell>
          <cell r="P669" t="str">
            <v>E2</v>
          </cell>
          <cell r="Q669" t="str">
            <v>J1</v>
          </cell>
          <cell r="R669" t="str">
            <v>J6</v>
          </cell>
          <cell r="S669" t="str">
            <v>ENTREGADO</v>
          </cell>
          <cell r="T669">
            <v>42685</v>
          </cell>
          <cell r="U669" t="str">
            <v>YUCA BELLIDO BORIS YERSY</v>
          </cell>
          <cell r="V669" t="str">
            <v>FLOREZ CONDORI  JOSE WILLIANS</v>
          </cell>
        </row>
        <row r="670">
          <cell r="A670">
            <v>670</v>
          </cell>
          <cell r="B670">
            <v>42685</v>
          </cell>
          <cell r="C670" t="str">
            <v>NOVIEMBRE</v>
          </cell>
          <cell r="D670" t="str">
            <v>2016</v>
          </cell>
          <cell r="E670">
            <v>210</v>
          </cell>
          <cell r="F670" t="str">
            <v>D6F-898</v>
          </cell>
          <cell r="G670" t="str">
            <v>T4L-996</v>
          </cell>
          <cell r="H670" t="str">
            <v>LAS BAMBAS</v>
          </cell>
          <cell r="I670">
            <v>160160</v>
          </cell>
          <cell r="J670" t="str">
            <v>REPUESTO</v>
          </cell>
          <cell r="K670" t="str">
            <v>PERNOS ESTOBOLES DE 1/2</v>
          </cell>
          <cell r="L670">
            <v>2</v>
          </cell>
          <cell r="M670" t="str">
            <v>UNID.</v>
          </cell>
          <cell r="N670" t="str">
            <v>TRACTO</v>
          </cell>
          <cell r="O670">
            <v>0</v>
          </cell>
          <cell r="P670" t="str">
            <v>E2</v>
          </cell>
          <cell r="Q670" t="str">
            <v>J1</v>
          </cell>
          <cell r="R670" t="str">
            <v>J6</v>
          </cell>
          <cell r="S670" t="str">
            <v>ENTREGADO</v>
          </cell>
          <cell r="T670">
            <v>42685</v>
          </cell>
          <cell r="U670" t="str">
            <v>YUCA BELLIDO BORIS YERSY</v>
          </cell>
          <cell r="V670" t="str">
            <v>FLOREZ CONDORI  JOSE WILLIANS</v>
          </cell>
        </row>
        <row r="671">
          <cell r="A671">
            <v>671</v>
          </cell>
          <cell r="B671">
            <v>42685</v>
          </cell>
          <cell r="C671" t="str">
            <v>NOVIEMBRE</v>
          </cell>
          <cell r="D671" t="str">
            <v>2016</v>
          </cell>
          <cell r="E671">
            <v>210</v>
          </cell>
          <cell r="F671" t="str">
            <v>D6F-898</v>
          </cell>
          <cell r="G671" t="str">
            <v>T4L-996</v>
          </cell>
          <cell r="H671" t="str">
            <v>LAS BAMBAS</v>
          </cell>
          <cell r="I671">
            <v>160160</v>
          </cell>
          <cell r="J671" t="str">
            <v>REPUESTO</v>
          </cell>
          <cell r="K671" t="str">
            <v>VOLANDAS DE 1/2</v>
          </cell>
          <cell r="L671">
            <v>2</v>
          </cell>
          <cell r="M671" t="str">
            <v>UNID.</v>
          </cell>
          <cell r="N671" t="str">
            <v>TRACTO</v>
          </cell>
          <cell r="O671">
            <v>0</v>
          </cell>
          <cell r="P671" t="str">
            <v>E2</v>
          </cell>
          <cell r="Q671" t="str">
            <v>J1</v>
          </cell>
          <cell r="R671" t="str">
            <v>J6</v>
          </cell>
          <cell r="S671" t="str">
            <v>ENTREGADO</v>
          </cell>
          <cell r="T671">
            <v>42685</v>
          </cell>
          <cell r="U671" t="str">
            <v>YUCA BELLIDO BORIS YERSY</v>
          </cell>
          <cell r="V671" t="str">
            <v>FLOREZ CONDORI  JOSE WILLIANS</v>
          </cell>
        </row>
        <row r="672">
          <cell r="A672">
            <v>610</v>
          </cell>
          <cell r="B672">
            <v>42685</v>
          </cell>
          <cell r="C672" t="str">
            <v>NOVIEMBRE</v>
          </cell>
          <cell r="D672" t="str">
            <v>2016</v>
          </cell>
          <cell r="E672">
            <v>258</v>
          </cell>
          <cell r="F672" t="str">
            <v>D6F-907</v>
          </cell>
          <cell r="G672" t="str">
            <v>T2Y-979</v>
          </cell>
          <cell r="H672" t="str">
            <v>LAS BAMBAS</v>
          </cell>
          <cell r="I672">
            <v>195511</v>
          </cell>
          <cell r="J672" t="str">
            <v>REPUESTO</v>
          </cell>
          <cell r="K672" t="str">
            <v>LIMPIA PARABRISA</v>
          </cell>
          <cell r="L672">
            <v>1</v>
          </cell>
          <cell r="M672" t="str">
            <v>GLNS.</v>
          </cell>
          <cell r="N672" t="str">
            <v>TRACTO</v>
          </cell>
          <cell r="O672">
            <v>0</v>
          </cell>
          <cell r="P672" t="str">
            <v>M6</v>
          </cell>
          <cell r="Q672" t="str">
            <v>J2</v>
          </cell>
          <cell r="R672" t="str">
            <v>J6</v>
          </cell>
          <cell r="S672" t="str">
            <v>ENTREGADO</v>
          </cell>
          <cell r="T672">
            <v>42685</v>
          </cell>
          <cell r="U672" t="str">
            <v>PARI VENTURA  EDSON ORLANDO</v>
          </cell>
          <cell r="V672" t="str">
            <v>CORIHUAMAN SURCO  ERICK ROBERT</v>
          </cell>
        </row>
        <row r="673">
          <cell r="A673">
            <v>608</v>
          </cell>
          <cell r="B673">
            <v>42685</v>
          </cell>
          <cell r="C673" t="str">
            <v>NOVIEMBRE</v>
          </cell>
          <cell r="D673" t="str">
            <v>2016</v>
          </cell>
          <cell r="E673">
            <v>230</v>
          </cell>
          <cell r="F673" t="str">
            <v>D6G-805</v>
          </cell>
          <cell r="G673" t="str">
            <v>T4Z-996</v>
          </cell>
          <cell r="H673" t="str">
            <v>LAS BAMBAS</v>
          </cell>
          <cell r="I673">
            <v>218905</v>
          </cell>
          <cell r="J673" t="str">
            <v>REPUESTO</v>
          </cell>
          <cell r="K673" t="str">
            <v>CABLE  NRO. 14</v>
          </cell>
          <cell r="L673">
            <v>18</v>
          </cell>
          <cell r="M673" t="str">
            <v>UNID.</v>
          </cell>
          <cell r="N673" t="str">
            <v>TRACTO</v>
          </cell>
          <cell r="O673">
            <v>0</v>
          </cell>
          <cell r="P673" t="str">
            <v>E1</v>
          </cell>
          <cell r="Q673" t="str">
            <v>J2</v>
          </cell>
          <cell r="R673" t="str">
            <v>J6</v>
          </cell>
          <cell r="S673" t="str">
            <v>ENTREGADO</v>
          </cell>
          <cell r="T673">
            <v>42685</v>
          </cell>
          <cell r="U673" t="str">
            <v>PALOMINO CARDENAS JUAN CARLOS</v>
          </cell>
          <cell r="V673" t="str">
            <v>CORIHUAMAN SURCO  ERICK ROBERT</v>
          </cell>
        </row>
        <row r="674">
          <cell r="A674">
            <v>609</v>
          </cell>
          <cell r="B674">
            <v>42685</v>
          </cell>
          <cell r="C674" t="str">
            <v>NOVIEMBRE</v>
          </cell>
          <cell r="D674" t="str">
            <v>2016</v>
          </cell>
          <cell r="E674">
            <v>230</v>
          </cell>
          <cell r="F674" t="str">
            <v>D6G-805</v>
          </cell>
          <cell r="G674" t="str">
            <v>T4Z-996</v>
          </cell>
          <cell r="H674" t="str">
            <v>LAS BAMBAS</v>
          </cell>
          <cell r="I674">
            <v>218905</v>
          </cell>
          <cell r="J674" t="str">
            <v>REPUESTO</v>
          </cell>
          <cell r="K674" t="str">
            <v>FAROS LET GRANDES ROJOS</v>
          </cell>
          <cell r="L674">
            <v>3</v>
          </cell>
          <cell r="M674" t="str">
            <v>UNID.</v>
          </cell>
          <cell r="N674" t="str">
            <v>TRACTO</v>
          </cell>
          <cell r="O674">
            <v>0</v>
          </cell>
          <cell r="P674" t="str">
            <v>E1</v>
          </cell>
          <cell r="Q674" t="str">
            <v>J2</v>
          </cell>
          <cell r="R674" t="str">
            <v>J6</v>
          </cell>
          <cell r="S674" t="str">
            <v>ENTREGADO</v>
          </cell>
          <cell r="T674">
            <v>42685</v>
          </cell>
          <cell r="U674" t="str">
            <v>PALOMINO CARDENAS JUAN CARLOS</v>
          </cell>
          <cell r="V674" t="str">
            <v>CORIHUAMAN SURCO  ERICK ROBERT</v>
          </cell>
        </row>
        <row r="675">
          <cell r="A675">
            <v>611</v>
          </cell>
          <cell r="B675">
            <v>42685</v>
          </cell>
          <cell r="C675" t="str">
            <v>NOVIEMBRE</v>
          </cell>
          <cell r="D675" t="str">
            <v>2016</v>
          </cell>
          <cell r="E675">
            <v>230</v>
          </cell>
          <cell r="F675" t="str">
            <v>D6G-805</v>
          </cell>
          <cell r="G675" t="str">
            <v>T4Z-996</v>
          </cell>
          <cell r="H675" t="str">
            <v>LAS BAMBAS</v>
          </cell>
          <cell r="I675">
            <v>218905</v>
          </cell>
          <cell r="J675" t="str">
            <v>REPUESTO</v>
          </cell>
          <cell r="K675" t="str">
            <v>CABLE CORRUGADO 1/4</v>
          </cell>
          <cell r="L675">
            <v>6</v>
          </cell>
          <cell r="M675" t="str">
            <v>M</v>
          </cell>
          <cell r="N675" t="str">
            <v>CISTERNA</v>
          </cell>
          <cell r="O675">
            <v>0</v>
          </cell>
          <cell r="P675" t="str">
            <v>E1</v>
          </cell>
          <cell r="Q675" t="str">
            <v>J1</v>
          </cell>
          <cell r="R675" t="str">
            <v>J6</v>
          </cell>
          <cell r="S675" t="str">
            <v>ENTREGADO</v>
          </cell>
          <cell r="T675">
            <v>42685</v>
          </cell>
          <cell r="U675" t="str">
            <v>PALOMINO CARDENAS JUAN CARLOS</v>
          </cell>
          <cell r="V675" t="str">
            <v>FLOREZ CONDORI  JOSE WILLIANS</v>
          </cell>
        </row>
        <row r="676">
          <cell r="A676">
            <v>625</v>
          </cell>
          <cell r="B676">
            <v>42685</v>
          </cell>
          <cell r="C676" t="str">
            <v>NOVIEMBRE</v>
          </cell>
          <cell r="D676" t="str">
            <v>2016</v>
          </cell>
          <cell r="E676">
            <v>301</v>
          </cell>
          <cell r="F676" t="str">
            <v>D6G-805</v>
          </cell>
          <cell r="G676" t="str">
            <v>T4Z-996</v>
          </cell>
          <cell r="H676" t="str">
            <v>LAS BAMBAS</v>
          </cell>
          <cell r="I676">
            <v>219830</v>
          </cell>
          <cell r="J676" t="str">
            <v>REPUESTO</v>
          </cell>
          <cell r="K676" t="str">
            <v>FAROS LATERALES LED TIPO RECTANGULAR</v>
          </cell>
          <cell r="L676">
            <v>4</v>
          </cell>
          <cell r="M676" t="str">
            <v>UNID.</v>
          </cell>
          <cell r="N676" t="str">
            <v>CISTERNA</v>
          </cell>
          <cell r="O676">
            <v>0</v>
          </cell>
          <cell r="P676" t="str">
            <v>E1</v>
          </cell>
          <cell r="Q676" t="str">
            <v>J2</v>
          </cell>
          <cell r="R676" t="str">
            <v>J6</v>
          </cell>
          <cell r="S676" t="str">
            <v>ENTREGADO</v>
          </cell>
          <cell r="T676">
            <v>42685</v>
          </cell>
          <cell r="U676" t="str">
            <v>PALOMINO CARDENAS JUAN CARLOS</v>
          </cell>
          <cell r="V676" t="str">
            <v>CORIHUAMAN SURCO  ERICK ROBERT</v>
          </cell>
        </row>
        <row r="677">
          <cell r="A677">
            <v>628</v>
          </cell>
          <cell r="B677">
            <v>42685</v>
          </cell>
          <cell r="C677" t="str">
            <v>NOVIEMBRE</v>
          </cell>
          <cell r="D677" t="str">
            <v>2016</v>
          </cell>
          <cell r="E677">
            <v>301</v>
          </cell>
          <cell r="F677" t="str">
            <v>D6G-805</v>
          </cell>
          <cell r="G677" t="str">
            <v>T4Z-996</v>
          </cell>
          <cell r="H677" t="str">
            <v>LAS BAMBAS</v>
          </cell>
          <cell r="I677">
            <v>219830</v>
          </cell>
          <cell r="J677" t="str">
            <v>REPUESTO</v>
          </cell>
          <cell r="K677" t="str">
            <v>MATACHISPA</v>
          </cell>
          <cell r="L677">
            <v>1</v>
          </cell>
          <cell r="M677" t="str">
            <v>UNID.</v>
          </cell>
          <cell r="N677" t="str">
            <v>TRACTO</v>
          </cell>
          <cell r="O677">
            <v>0</v>
          </cell>
          <cell r="P677" t="str">
            <v>M6</v>
          </cell>
          <cell r="Q677" t="str">
            <v>J2</v>
          </cell>
          <cell r="R677" t="str">
            <v>J6</v>
          </cell>
          <cell r="S677" t="str">
            <v>ENTREGADO</v>
          </cell>
          <cell r="T677">
            <v>42685</v>
          </cell>
          <cell r="U677" t="str">
            <v>PARI VENTURA  EDSON ORLANDO</v>
          </cell>
          <cell r="V677" t="str">
            <v>CORIHUAMAN SURCO  ERICK ROBERT</v>
          </cell>
        </row>
        <row r="678">
          <cell r="A678">
            <v>629</v>
          </cell>
          <cell r="B678">
            <v>42685</v>
          </cell>
          <cell r="C678" t="str">
            <v>NOVIEMBRE</v>
          </cell>
          <cell r="D678" t="str">
            <v>2016</v>
          </cell>
          <cell r="E678">
            <v>301</v>
          </cell>
          <cell r="F678" t="str">
            <v>D6G-805</v>
          </cell>
          <cell r="G678" t="str">
            <v>T4Z-996</v>
          </cell>
          <cell r="H678" t="str">
            <v>LAS BAMBAS</v>
          </cell>
          <cell r="I678">
            <v>219830</v>
          </cell>
          <cell r="J678" t="str">
            <v>REPUESTO</v>
          </cell>
          <cell r="K678" t="str">
            <v>MANIJA DE PUERTA LADO DERECHO</v>
          </cell>
          <cell r="L678">
            <v>1</v>
          </cell>
          <cell r="M678" t="str">
            <v>UNID.</v>
          </cell>
          <cell r="N678" t="str">
            <v>TRACTO</v>
          </cell>
          <cell r="O678">
            <v>1</v>
          </cell>
          <cell r="P678" t="str">
            <v>M6</v>
          </cell>
          <cell r="Q678" t="str">
            <v>J2</v>
          </cell>
          <cell r="R678" t="str">
            <v>J6</v>
          </cell>
          <cell r="S678" t="str">
            <v>ENTREGADO</v>
          </cell>
          <cell r="T678">
            <v>42686</v>
          </cell>
          <cell r="U678" t="str">
            <v>PARI VENTURA  EDSON ORLANDO</v>
          </cell>
          <cell r="V678" t="str">
            <v>CORIHUAMAN SURCO  ERICK ROBERT</v>
          </cell>
        </row>
        <row r="679">
          <cell r="A679">
            <v>630</v>
          </cell>
          <cell r="B679">
            <v>42685</v>
          </cell>
          <cell r="C679" t="str">
            <v>NOVIEMBRE</v>
          </cell>
          <cell r="D679" t="str">
            <v>2016</v>
          </cell>
          <cell r="E679">
            <v>301</v>
          </cell>
          <cell r="F679" t="str">
            <v>D6G-805</v>
          </cell>
          <cell r="G679" t="str">
            <v>T4Z-996</v>
          </cell>
          <cell r="H679" t="str">
            <v>LAS BAMBAS</v>
          </cell>
          <cell r="I679">
            <v>219830</v>
          </cell>
          <cell r="J679" t="str">
            <v>REPUESTO</v>
          </cell>
          <cell r="K679" t="str">
            <v>REFRIGERANTE</v>
          </cell>
          <cell r="L679">
            <v>1</v>
          </cell>
          <cell r="M679" t="str">
            <v>GLNS.</v>
          </cell>
          <cell r="N679" t="str">
            <v>TRACTO</v>
          </cell>
          <cell r="O679">
            <v>0</v>
          </cell>
          <cell r="P679" t="str">
            <v>M6</v>
          </cell>
          <cell r="Q679" t="str">
            <v>J2</v>
          </cell>
          <cell r="R679" t="str">
            <v>J6</v>
          </cell>
          <cell r="S679" t="str">
            <v>ENTREGADO</v>
          </cell>
          <cell r="T679">
            <v>42685</v>
          </cell>
          <cell r="U679" t="str">
            <v>PARI VENTURA  EDSON ORLANDO</v>
          </cell>
          <cell r="V679" t="str">
            <v>CORIHUAMAN SURCO  ERICK ROBERT</v>
          </cell>
        </row>
        <row r="680">
          <cell r="A680">
            <v>631</v>
          </cell>
          <cell r="B680">
            <v>42685</v>
          </cell>
          <cell r="C680" t="str">
            <v>NOVIEMBRE</v>
          </cell>
          <cell r="D680" t="str">
            <v>2016</v>
          </cell>
          <cell r="E680">
            <v>301</v>
          </cell>
          <cell r="F680" t="str">
            <v>D6G-805</v>
          </cell>
          <cell r="G680" t="str">
            <v>T4Z-996</v>
          </cell>
          <cell r="H680" t="str">
            <v>LAS BAMBAS</v>
          </cell>
          <cell r="I680">
            <v>219830</v>
          </cell>
          <cell r="J680" t="str">
            <v>REPUESTO</v>
          </cell>
          <cell r="K680" t="str">
            <v>LIMPIA PARABRISA</v>
          </cell>
          <cell r="L680">
            <v>1</v>
          </cell>
          <cell r="M680" t="str">
            <v>GLNS.</v>
          </cell>
          <cell r="N680" t="str">
            <v>TRACTO</v>
          </cell>
          <cell r="O680">
            <v>0</v>
          </cell>
          <cell r="P680" t="str">
            <v>M6</v>
          </cell>
          <cell r="Q680" t="str">
            <v>J2</v>
          </cell>
          <cell r="R680" t="str">
            <v>J6</v>
          </cell>
          <cell r="S680" t="str">
            <v>ENTREGADO</v>
          </cell>
          <cell r="T680">
            <v>42685</v>
          </cell>
          <cell r="U680" t="str">
            <v>PARI VENTURA  EDSON ORLANDO</v>
          </cell>
          <cell r="V680" t="str">
            <v>CORIHUAMAN SURCO  ERICK ROBERT</v>
          </cell>
        </row>
        <row r="681">
          <cell r="A681">
            <v>632</v>
          </cell>
          <cell r="B681">
            <v>42685</v>
          </cell>
          <cell r="C681" t="str">
            <v>NOVIEMBRE</v>
          </cell>
          <cell r="D681" t="str">
            <v>2016</v>
          </cell>
          <cell r="E681">
            <v>301</v>
          </cell>
          <cell r="F681" t="str">
            <v>D6G-805</v>
          </cell>
          <cell r="G681" t="str">
            <v>T4Z-996</v>
          </cell>
          <cell r="H681" t="str">
            <v>LAS BAMBAS</v>
          </cell>
          <cell r="I681">
            <v>219830</v>
          </cell>
          <cell r="J681" t="str">
            <v>REPUESTO</v>
          </cell>
          <cell r="K681" t="str">
            <v>RETENEDOR DE PUERTA LADO DERECHO</v>
          </cell>
          <cell r="L681">
            <v>1</v>
          </cell>
          <cell r="M681" t="str">
            <v>UNID.</v>
          </cell>
          <cell r="N681" t="str">
            <v>TRACTO</v>
          </cell>
          <cell r="O681">
            <v>0</v>
          </cell>
          <cell r="P681" t="str">
            <v>M6</v>
          </cell>
          <cell r="Q681" t="str">
            <v>J2</v>
          </cell>
          <cell r="R681" t="str">
            <v>J6</v>
          </cell>
          <cell r="S681" t="str">
            <v>ENTREGADO</v>
          </cell>
          <cell r="T681">
            <v>42685</v>
          </cell>
          <cell r="U681" t="str">
            <v>PARI VENTURA  EDSON ORLANDO</v>
          </cell>
          <cell r="V681" t="str">
            <v>CORIHUAMAN SURCO  ERICK ROBERT</v>
          </cell>
        </row>
        <row r="682">
          <cell r="A682">
            <v>633</v>
          </cell>
          <cell r="B682">
            <v>42685</v>
          </cell>
          <cell r="C682" t="str">
            <v>NOVIEMBRE</v>
          </cell>
          <cell r="D682" t="str">
            <v>2016</v>
          </cell>
          <cell r="E682">
            <v>301</v>
          </cell>
          <cell r="F682" t="str">
            <v>D6G-805</v>
          </cell>
          <cell r="G682" t="str">
            <v>T4Z-996</v>
          </cell>
          <cell r="H682" t="str">
            <v>LAS BAMBAS</v>
          </cell>
          <cell r="I682">
            <v>219830</v>
          </cell>
          <cell r="J682" t="str">
            <v>REPUESTO</v>
          </cell>
          <cell r="K682" t="str">
            <v>RETENEDOR DE PUERTA LADO IZQUIERDO</v>
          </cell>
          <cell r="L682">
            <v>1</v>
          </cell>
          <cell r="M682" t="str">
            <v>UNID.</v>
          </cell>
          <cell r="N682" t="str">
            <v>TRACTO</v>
          </cell>
          <cell r="O682">
            <v>0</v>
          </cell>
          <cell r="P682" t="str">
            <v>M6</v>
          </cell>
          <cell r="Q682" t="str">
            <v>J2</v>
          </cell>
          <cell r="R682" t="str">
            <v>J6</v>
          </cell>
          <cell r="S682" t="str">
            <v>ENTREGADO</v>
          </cell>
          <cell r="T682">
            <v>42685</v>
          </cell>
          <cell r="U682" t="str">
            <v>PARI VENTURA  EDSON ORLANDO</v>
          </cell>
          <cell r="V682" t="str">
            <v>CORIHUAMAN SURCO  ERICK ROBERT</v>
          </cell>
        </row>
        <row r="683">
          <cell r="A683">
            <v>634</v>
          </cell>
          <cell r="B683">
            <v>42685</v>
          </cell>
          <cell r="C683" t="str">
            <v>NOVIEMBRE</v>
          </cell>
          <cell r="D683" t="str">
            <v>2016</v>
          </cell>
          <cell r="E683">
            <v>301</v>
          </cell>
          <cell r="F683" t="str">
            <v>D6G-805</v>
          </cell>
          <cell r="G683" t="str">
            <v>T4Z-996</v>
          </cell>
          <cell r="H683" t="str">
            <v>LAS BAMBAS</v>
          </cell>
          <cell r="I683">
            <v>219830</v>
          </cell>
          <cell r="J683" t="str">
            <v>REPUESTO</v>
          </cell>
          <cell r="K683" t="str">
            <v>GOMA DEL SOPORTE DE CAPOT</v>
          </cell>
          <cell r="L683">
            <v>2</v>
          </cell>
          <cell r="M683" t="str">
            <v>UNID.</v>
          </cell>
          <cell r="N683" t="str">
            <v>TRACTO</v>
          </cell>
          <cell r="O683">
            <v>1</v>
          </cell>
          <cell r="P683" t="str">
            <v>M6</v>
          </cell>
          <cell r="Q683" t="str">
            <v>J2</v>
          </cell>
          <cell r="R683" t="str">
            <v>J6</v>
          </cell>
          <cell r="S683" t="str">
            <v>ENTREGADO</v>
          </cell>
          <cell r="T683">
            <v>42686</v>
          </cell>
          <cell r="U683" t="str">
            <v>PARI VENTURA  EDSON ORLANDO</v>
          </cell>
          <cell r="V683" t="str">
            <v>CORIHUAMAN SURCO  ERICK ROBERT</v>
          </cell>
        </row>
        <row r="684">
          <cell r="A684">
            <v>642</v>
          </cell>
          <cell r="B684">
            <v>42685</v>
          </cell>
          <cell r="C684" t="str">
            <v>NOVIEMBRE</v>
          </cell>
          <cell r="D684" t="str">
            <v>2016</v>
          </cell>
          <cell r="E684">
            <v>301</v>
          </cell>
          <cell r="F684" t="str">
            <v>D6G-805</v>
          </cell>
          <cell r="G684" t="str">
            <v>T4Z-996</v>
          </cell>
          <cell r="H684" t="str">
            <v>LAS BAMBAS</v>
          </cell>
          <cell r="I684">
            <v>219830</v>
          </cell>
          <cell r="J684" t="str">
            <v>REPUESTO</v>
          </cell>
          <cell r="K684" t="str">
            <v>PARCHE RACK 10</v>
          </cell>
          <cell r="L684">
            <v>2</v>
          </cell>
          <cell r="M684" t="str">
            <v>UNID.</v>
          </cell>
          <cell r="N684" t="str">
            <v>CISTERNA</v>
          </cell>
          <cell r="O684">
            <v>0</v>
          </cell>
          <cell r="P684" t="str">
            <v>N1</v>
          </cell>
          <cell r="Q684" t="str">
            <v>J3</v>
          </cell>
          <cell r="R684" t="str">
            <v>J6</v>
          </cell>
          <cell r="S684" t="str">
            <v>ENTREGADO</v>
          </cell>
          <cell r="T684">
            <v>42685</v>
          </cell>
          <cell r="U684" t="str">
            <v>AGUILAR CCANTUTA WILLY</v>
          </cell>
          <cell r="V684" t="str">
            <v>CHURA PIZARRO ALBERTO</v>
          </cell>
        </row>
        <row r="685">
          <cell r="A685">
            <v>643</v>
          </cell>
          <cell r="B685">
            <v>42685</v>
          </cell>
          <cell r="C685" t="str">
            <v>NOVIEMBRE</v>
          </cell>
          <cell r="D685" t="str">
            <v>2016</v>
          </cell>
          <cell r="E685">
            <v>301</v>
          </cell>
          <cell r="F685" t="str">
            <v>D6G-805</v>
          </cell>
          <cell r="G685" t="str">
            <v>T4Z-996</v>
          </cell>
          <cell r="H685" t="str">
            <v>LAS BAMBAS</v>
          </cell>
          <cell r="I685">
            <v>219830</v>
          </cell>
          <cell r="J685" t="str">
            <v>REPUESTO</v>
          </cell>
          <cell r="K685" t="str">
            <v>PITON RECTO</v>
          </cell>
          <cell r="L685">
            <v>1</v>
          </cell>
          <cell r="M685" t="str">
            <v>UNID.</v>
          </cell>
          <cell r="N685" t="str">
            <v>CISTERNA</v>
          </cell>
          <cell r="O685">
            <v>0</v>
          </cell>
          <cell r="P685" t="str">
            <v>N1</v>
          </cell>
          <cell r="Q685" t="str">
            <v>J3</v>
          </cell>
          <cell r="R685" t="str">
            <v>J6</v>
          </cell>
          <cell r="S685" t="str">
            <v>ENTREGADO</v>
          </cell>
          <cell r="T685">
            <v>42685</v>
          </cell>
          <cell r="U685" t="str">
            <v>AGUILAR CCANTUTA WILLY</v>
          </cell>
          <cell r="V685" t="str">
            <v>CHURA PIZARRO ALBERTO</v>
          </cell>
        </row>
        <row r="686">
          <cell r="A686">
            <v>644</v>
          </cell>
          <cell r="B686">
            <v>42685</v>
          </cell>
          <cell r="C686" t="str">
            <v>NOVIEMBRE</v>
          </cell>
          <cell r="D686" t="str">
            <v>2016</v>
          </cell>
          <cell r="E686">
            <v>301</v>
          </cell>
          <cell r="F686" t="str">
            <v>D6G-805</v>
          </cell>
          <cell r="G686" t="str">
            <v>T4Z-996</v>
          </cell>
          <cell r="H686" t="str">
            <v>LAS BAMBAS</v>
          </cell>
          <cell r="I686">
            <v>219830</v>
          </cell>
          <cell r="J686" t="str">
            <v>REPUESTO</v>
          </cell>
          <cell r="K686" t="str">
            <v>PERNOS 5/16 X 1</v>
          </cell>
          <cell r="L686">
            <v>2</v>
          </cell>
          <cell r="M686" t="str">
            <v>UNID.</v>
          </cell>
          <cell r="N686" t="str">
            <v>TRACTO</v>
          </cell>
          <cell r="O686">
            <v>0</v>
          </cell>
          <cell r="P686" t="str">
            <v>M6</v>
          </cell>
          <cell r="Q686" t="str">
            <v>J2</v>
          </cell>
          <cell r="R686" t="str">
            <v>J6</v>
          </cell>
          <cell r="S686" t="str">
            <v>ENTREGADO</v>
          </cell>
          <cell r="T686">
            <v>42685</v>
          </cell>
          <cell r="U686" t="str">
            <v>PARI VENTURA  EDSON ORLANDO</v>
          </cell>
          <cell r="V686" t="str">
            <v>CORIHUAMAN SURCO  ERICK ROBERT</v>
          </cell>
        </row>
        <row r="687">
          <cell r="A687">
            <v>645</v>
          </cell>
          <cell r="B687">
            <v>42685</v>
          </cell>
          <cell r="C687" t="str">
            <v>NOVIEMBRE</v>
          </cell>
          <cell r="D687" t="str">
            <v>2016</v>
          </cell>
          <cell r="E687">
            <v>301</v>
          </cell>
          <cell r="F687" t="str">
            <v>D6G-805</v>
          </cell>
          <cell r="G687" t="str">
            <v>T4Z-996</v>
          </cell>
          <cell r="H687" t="str">
            <v>LAS BAMBAS</v>
          </cell>
          <cell r="I687">
            <v>219830</v>
          </cell>
          <cell r="J687" t="str">
            <v>REPUESTO</v>
          </cell>
          <cell r="K687" t="str">
            <v>PERNO SEGURO 5/16</v>
          </cell>
          <cell r="L687">
            <v>2</v>
          </cell>
          <cell r="M687" t="str">
            <v>UNID.</v>
          </cell>
          <cell r="N687" t="str">
            <v>TRACTO</v>
          </cell>
          <cell r="O687">
            <v>0</v>
          </cell>
          <cell r="P687" t="str">
            <v>M6</v>
          </cell>
          <cell r="Q687" t="str">
            <v>J2</v>
          </cell>
          <cell r="R687" t="str">
            <v>J6</v>
          </cell>
          <cell r="S687" t="str">
            <v>ENTREGADO</v>
          </cell>
          <cell r="T687">
            <v>42685</v>
          </cell>
          <cell r="U687" t="str">
            <v>PARI VENTURA  EDSON ORLANDO</v>
          </cell>
          <cell r="V687" t="str">
            <v>CORIHUAMAN SURCO  ERICK ROBERT</v>
          </cell>
        </row>
        <row r="688">
          <cell r="A688">
            <v>646</v>
          </cell>
          <cell r="B688">
            <v>42685</v>
          </cell>
          <cell r="C688" t="str">
            <v>NOVIEMBRE</v>
          </cell>
          <cell r="D688" t="str">
            <v>2016</v>
          </cell>
          <cell r="E688">
            <v>301</v>
          </cell>
          <cell r="F688" t="str">
            <v>D6G-805</v>
          </cell>
          <cell r="G688" t="str">
            <v>T4Z-996</v>
          </cell>
          <cell r="H688" t="str">
            <v>LAS BAMBAS</v>
          </cell>
          <cell r="I688">
            <v>219830</v>
          </cell>
          <cell r="J688" t="str">
            <v>REPUESTO</v>
          </cell>
          <cell r="K688" t="str">
            <v>ARANDELA PLANA 5/16</v>
          </cell>
          <cell r="L688">
            <v>4</v>
          </cell>
          <cell r="M688" t="str">
            <v>UNID.</v>
          </cell>
          <cell r="N688" t="str">
            <v>TRACTO</v>
          </cell>
          <cell r="O688">
            <v>0</v>
          </cell>
          <cell r="P688" t="str">
            <v>M6</v>
          </cell>
          <cell r="Q688" t="str">
            <v>J2</v>
          </cell>
          <cell r="R688" t="str">
            <v>J6</v>
          </cell>
          <cell r="S688" t="str">
            <v>ENTREGADO</v>
          </cell>
          <cell r="T688">
            <v>42685</v>
          </cell>
          <cell r="U688" t="str">
            <v>PARI VENTURA  EDSON ORLANDO</v>
          </cell>
          <cell r="V688" t="str">
            <v>CORIHUAMAN SURCO  ERICK ROBERT</v>
          </cell>
        </row>
        <row r="689">
          <cell r="A689">
            <v>624</v>
          </cell>
          <cell r="B689">
            <v>42685</v>
          </cell>
          <cell r="C689" t="str">
            <v>NOVIEMBRE</v>
          </cell>
          <cell r="D689" t="str">
            <v>2016</v>
          </cell>
          <cell r="E689">
            <v>301</v>
          </cell>
          <cell r="F689" t="str">
            <v>D6G-805</v>
          </cell>
          <cell r="G689" t="str">
            <v>T4Z-996</v>
          </cell>
          <cell r="H689" t="str">
            <v>LAS BAMBAS</v>
          </cell>
          <cell r="I689">
            <v>219830</v>
          </cell>
          <cell r="J689" t="str">
            <v>REPUESTO</v>
          </cell>
          <cell r="K689" t="str">
            <v>LLANTAS REENCAUCHADAS IDY</v>
          </cell>
          <cell r="L689">
            <v>4</v>
          </cell>
          <cell r="M689" t="str">
            <v>UNID.</v>
          </cell>
          <cell r="N689" t="str">
            <v>TRACTO</v>
          </cell>
          <cell r="O689">
            <v>0</v>
          </cell>
          <cell r="P689" t="str">
            <v>N2</v>
          </cell>
          <cell r="Q689" t="str">
            <v>J3</v>
          </cell>
          <cell r="R689" t="str">
            <v>J6</v>
          </cell>
          <cell r="S689" t="str">
            <v>ENTREGADO</v>
          </cell>
          <cell r="T689">
            <v>42685</v>
          </cell>
          <cell r="U689" t="str">
            <v>MAMANI LARICO  EDUARDO ALVARO</v>
          </cell>
          <cell r="V689" t="str">
            <v>CHURA PIZARRO ALBERTO</v>
          </cell>
        </row>
        <row r="690">
          <cell r="A690">
            <v>595</v>
          </cell>
          <cell r="B690">
            <v>42685</v>
          </cell>
          <cell r="C690" t="str">
            <v>NOVIEMBRE</v>
          </cell>
          <cell r="D690" t="str">
            <v>2016</v>
          </cell>
          <cell r="E690">
            <v>200</v>
          </cell>
          <cell r="F690" t="str">
            <v>TALLER</v>
          </cell>
          <cell r="G690" t="str">
            <v>TALLER</v>
          </cell>
          <cell r="H690" t="str">
            <v>TALLER</v>
          </cell>
          <cell r="I690" t="str">
            <v>TALLER</v>
          </cell>
          <cell r="J690" t="str">
            <v>UNIFORMES</v>
          </cell>
          <cell r="K690" t="str">
            <v>TAIVEX "S"</v>
          </cell>
          <cell r="L690">
            <v>1</v>
          </cell>
          <cell r="M690" t="str">
            <v>UNID.</v>
          </cell>
          <cell r="N690" t="str">
            <v>TALLER</v>
          </cell>
          <cell r="O690">
            <v>0</v>
          </cell>
          <cell r="P690" t="str">
            <v>M1</v>
          </cell>
          <cell r="Q690" t="str">
            <v>J2</v>
          </cell>
          <cell r="R690" t="str">
            <v>J6</v>
          </cell>
          <cell r="S690" t="str">
            <v>ENTREGADO</v>
          </cell>
          <cell r="T690">
            <v>42685</v>
          </cell>
          <cell r="U690" t="str">
            <v>CABEZAS SANCHEZ JEAN JHONATAN</v>
          </cell>
          <cell r="V690" t="str">
            <v>CORIHUAMAN SURCO  ERICK ROBERT</v>
          </cell>
        </row>
        <row r="691">
          <cell r="A691">
            <v>596</v>
          </cell>
          <cell r="B691">
            <v>42685</v>
          </cell>
          <cell r="C691" t="str">
            <v>NOVIEMBRE</v>
          </cell>
          <cell r="D691" t="str">
            <v>2016</v>
          </cell>
          <cell r="E691">
            <v>200</v>
          </cell>
          <cell r="F691" t="str">
            <v>TALLER</v>
          </cell>
          <cell r="G691" t="str">
            <v>TALLER</v>
          </cell>
          <cell r="H691" t="str">
            <v>TALLER</v>
          </cell>
          <cell r="I691" t="str">
            <v>TALLER</v>
          </cell>
          <cell r="J691" t="str">
            <v>INSUMO TALLER</v>
          </cell>
          <cell r="K691" t="str">
            <v>CINTA NEGRA</v>
          </cell>
          <cell r="L691">
            <v>1</v>
          </cell>
          <cell r="M691" t="str">
            <v>UNID.</v>
          </cell>
          <cell r="N691" t="str">
            <v>TALLER</v>
          </cell>
          <cell r="O691">
            <v>0</v>
          </cell>
          <cell r="P691" t="str">
            <v>E2</v>
          </cell>
          <cell r="Q691" t="str">
            <v>J2</v>
          </cell>
          <cell r="R691" t="str">
            <v>J6</v>
          </cell>
          <cell r="S691" t="str">
            <v>ENTREGADO</v>
          </cell>
          <cell r="T691">
            <v>42685</v>
          </cell>
          <cell r="U691" t="str">
            <v>YUCA BELLIDO BORIS YERSY</v>
          </cell>
          <cell r="V691" t="str">
            <v>CORIHUAMAN SURCO  ERICK ROBERT</v>
          </cell>
        </row>
        <row r="692">
          <cell r="A692">
            <v>627</v>
          </cell>
          <cell r="B692">
            <v>42685</v>
          </cell>
          <cell r="C692" t="str">
            <v>NOVIEMBRE</v>
          </cell>
          <cell r="D692" t="str">
            <v>2016</v>
          </cell>
          <cell r="E692">
            <v>200</v>
          </cell>
          <cell r="F692" t="str">
            <v>TALLER</v>
          </cell>
          <cell r="G692" t="str">
            <v>TALLER</v>
          </cell>
          <cell r="H692" t="str">
            <v>TALLER</v>
          </cell>
          <cell r="I692" t="str">
            <v>TALLER</v>
          </cell>
          <cell r="J692" t="str">
            <v>INSUMO TALLER</v>
          </cell>
          <cell r="K692" t="str">
            <v>TRAPOS SUELTOS</v>
          </cell>
          <cell r="L692">
            <v>10</v>
          </cell>
          <cell r="M692" t="str">
            <v>UNID.</v>
          </cell>
          <cell r="N692" t="str">
            <v>TALLER</v>
          </cell>
          <cell r="O692">
            <v>0</v>
          </cell>
          <cell r="P692" t="str">
            <v>J6</v>
          </cell>
          <cell r="Q692" t="str">
            <v>J2</v>
          </cell>
          <cell r="R692" t="str">
            <v>J6</v>
          </cell>
          <cell r="S692" t="str">
            <v>ENTREGADO</v>
          </cell>
          <cell r="T692">
            <v>42685</v>
          </cell>
          <cell r="U692" t="str">
            <v>VILLANUEVA BEJAR  YHORDAN MICHEL</v>
          </cell>
          <cell r="V692" t="str">
            <v>CORIHUAMAN SURCO  ERICK ROBERT</v>
          </cell>
        </row>
        <row r="693">
          <cell r="A693">
            <v>647</v>
          </cell>
          <cell r="B693">
            <v>42685</v>
          </cell>
          <cell r="C693" t="str">
            <v>NOVIEMBRE</v>
          </cell>
          <cell r="D693" t="str">
            <v>2016</v>
          </cell>
          <cell r="E693">
            <v>200</v>
          </cell>
          <cell r="F693" t="str">
            <v>TALLER</v>
          </cell>
          <cell r="G693" t="str">
            <v>TALLER</v>
          </cell>
          <cell r="H693" t="str">
            <v>TALLER</v>
          </cell>
          <cell r="I693" t="str">
            <v>TALLER</v>
          </cell>
          <cell r="J693" t="str">
            <v>INSUMO TALLER</v>
          </cell>
          <cell r="K693" t="str">
            <v>LUNAS TRANSPARENTES (CARETA DE SOLDAR)</v>
          </cell>
          <cell r="L693">
            <v>2</v>
          </cell>
          <cell r="M693" t="str">
            <v>UNID.</v>
          </cell>
          <cell r="N693" t="str">
            <v>TALLER</v>
          </cell>
          <cell r="O693">
            <v>0</v>
          </cell>
          <cell r="P693" t="str">
            <v>N1</v>
          </cell>
          <cell r="Q693" t="str">
            <v>J2</v>
          </cell>
          <cell r="R693" t="str">
            <v>J6</v>
          </cell>
          <cell r="S693" t="str">
            <v>ENTREGADO</v>
          </cell>
          <cell r="T693">
            <v>42685</v>
          </cell>
          <cell r="U693" t="str">
            <v>AGUILAR CCANTUTA WILLY</v>
          </cell>
          <cell r="V693" t="str">
            <v>CORIHUAMAN SURCO  ERICK ROBERT</v>
          </cell>
        </row>
        <row r="694">
          <cell r="A694">
            <v>648</v>
          </cell>
          <cell r="B694">
            <v>42685</v>
          </cell>
          <cell r="C694" t="str">
            <v>NOVIEMBRE</v>
          </cell>
          <cell r="D694" t="str">
            <v>2016</v>
          </cell>
          <cell r="E694">
            <v>200</v>
          </cell>
          <cell r="F694" t="str">
            <v>TALLER</v>
          </cell>
          <cell r="G694" t="str">
            <v>TALLER</v>
          </cell>
          <cell r="H694" t="str">
            <v>TALLER</v>
          </cell>
          <cell r="I694" t="str">
            <v>TALLER</v>
          </cell>
          <cell r="J694" t="str">
            <v>HERRAMIENTAS</v>
          </cell>
          <cell r="K694" t="str">
            <v>PRENSA DE MANO 5"</v>
          </cell>
          <cell r="L694">
            <v>2</v>
          </cell>
          <cell r="M694" t="str">
            <v>UNID.</v>
          </cell>
          <cell r="N694" t="str">
            <v>TALLER</v>
          </cell>
          <cell r="O694">
            <v>0</v>
          </cell>
          <cell r="P694" t="str">
            <v>S1</v>
          </cell>
          <cell r="Q694" t="str">
            <v>J1</v>
          </cell>
          <cell r="R694" t="str">
            <v>J6</v>
          </cell>
          <cell r="S694" t="str">
            <v>ENTREGADO</v>
          </cell>
          <cell r="T694">
            <v>42685</v>
          </cell>
          <cell r="U694" t="str">
            <v>BAYONA CRUZ CRISTIAN ARMANDO</v>
          </cell>
          <cell r="V694" t="str">
            <v>FLOREZ CONDORI  JOSE WILLIANS</v>
          </cell>
        </row>
        <row r="695">
          <cell r="A695">
            <v>665</v>
          </cell>
          <cell r="B695">
            <v>42685</v>
          </cell>
          <cell r="C695" t="str">
            <v>NOVIEMBRE</v>
          </cell>
          <cell r="D695" t="str">
            <v>2016</v>
          </cell>
          <cell r="E695">
            <v>200</v>
          </cell>
          <cell r="F695" t="str">
            <v>TALLER</v>
          </cell>
          <cell r="G695" t="str">
            <v>TALLER</v>
          </cell>
          <cell r="H695" t="str">
            <v>TALLER</v>
          </cell>
          <cell r="I695" t="str">
            <v>TALLER</v>
          </cell>
          <cell r="J695" t="str">
            <v>REPUESTO</v>
          </cell>
          <cell r="K695" t="str">
            <v>LIJA NRO. 40</v>
          </cell>
          <cell r="L695">
            <v>1</v>
          </cell>
          <cell r="M695" t="str">
            <v>UNID.</v>
          </cell>
          <cell r="N695" t="str">
            <v>TALLER</v>
          </cell>
          <cell r="O695">
            <v>0</v>
          </cell>
          <cell r="P695" t="str">
            <v>M2</v>
          </cell>
          <cell r="Q695" t="str">
            <v>J1</v>
          </cell>
          <cell r="R695" t="str">
            <v>J1</v>
          </cell>
          <cell r="S695" t="str">
            <v>ENTREGADO</v>
          </cell>
          <cell r="T695">
            <v>42685</v>
          </cell>
          <cell r="U695" t="str">
            <v>CHUMPITAZ GAGO JULIO ENRIQUE</v>
          </cell>
          <cell r="V695" t="str">
            <v>FLOREZ CONDORI  JOSE WILLIANS</v>
          </cell>
        </row>
        <row r="696">
          <cell r="A696">
            <v>679</v>
          </cell>
          <cell r="B696">
            <v>42685</v>
          </cell>
          <cell r="C696" t="str">
            <v>NOVIEMBRE</v>
          </cell>
          <cell r="D696" t="str">
            <v>2016</v>
          </cell>
          <cell r="E696">
            <v>200</v>
          </cell>
          <cell r="F696" t="str">
            <v>TALLER</v>
          </cell>
          <cell r="G696" t="str">
            <v>TALLER</v>
          </cell>
          <cell r="H696" t="str">
            <v>TALLER</v>
          </cell>
          <cell r="I696" t="str">
            <v>TALLER</v>
          </cell>
          <cell r="J696" t="str">
            <v>REPUESTO</v>
          </cell>
          <cell r="K696" t="str">
            <v>PERNO DE 6X1 CON TUERCA SIMPLE</v>
          </cell>
          <cell r="L696">
            <v>2</v>
          </cell>
          <cell r="M696" t="str">
            <v>UNID.</v>
          </cell>
          <cell r="N696" t="str">
            <v>TALLER</v>
          </cell>
          <cell r="O696">
            <v>0</v>
          </cell>
          <cell r="P696" t="str">
            <v>S1</v>
          </cell>
          <cell r="Q696" t="str">
            <v>J1</v>
          </cell>
          <cell r="R696" t="str">
            <v>J1</v>
          </cell>
          <cell r="S696" t="str">
            <v>ENTREGADO</v>
          </cell>
          <cell r="T696">
            <v>42685</v>
          </cell>
          <cell r="U696" t="str">
            <v>BAYONA CRUZ CRISTIAN ARMANDO</v>
          </cell>
          <cell r="V696" t="str">
            <v>FLOREZ CONDORI  JOSE WILLIANS</v>
          </cell>
        </row>
        <row r="697">
          <cell r="A697">
            <v>680</v>
          </cell>
          <cell r="B697">
            <v>42685</v>
          </cell>
          <cell r="C697" t="str">
            <v>NOVIEMBRE</v>
          </cell>
          <cell r="D697" t="str">
            <v>2016</v>
          </cell>
          <cell r="E697">
            <v>200</v>
          </cell>
          <cell r="F697" t="str">
            <v>TALLER</v>
          </cell>
          <cell r="G697" t="str">
            <v>TALLER</v>
          </cell>
          <cell r="H697" t="str">
            <v>TALLER</v>
          </cell>
          <cell r="I697" t="str">
            <v>TALLER</v>
          </cell>
          <cell r="J697" t="str">
            <v>REPUESTO</v>
          </cell>
          <cell r="K697" t="str">
            <v>TUERCA MARIPOSA 3/8</v>
          </cell>
          <cell r="L697">
            <v>2</v>
          </cell>
          <cell r="M697" t="str">
            <v>UNID.</v>
          </cell>
          <cell r="N697" t="str">
            <v>TALLER</v>
          </cell>
          <cell r="O697">
            <v>0</v>
          </cell>
          <cell r="P697" t="str">
            <v>S1</v>
          </cell>
          <cell r="Q697" t="str">
            <v>J1</v>
          </cell>
          <cell r="R697" t="str">
            <v>J1</v>
          </cell>
          <cell r="S697" t="str">
            <v>ENTREGADO</v>
          </cell>
          <cell r="T697">
            <v>42685</v>
          </cell>
          <cell r="U697" t="str">
            <v>BAYONA CRUZ CRISTIAN ARMANDO</v>
          </cell>
          <cell r="V697" t="str">
            <v>FLOREZ CONDORI  JOSE WILLIANS</v>
          </cell>
        </row>
        <row r="698">
          <cell r="A698">
            <v>612</v>
          </cell>
          <cell r="B698">
            <v>42685</v>
          </cell>
          <cell r="C698" t="str">
            <v>NOVIEMBRE</v>
          </cell>
          <cell r="D698" t="str">
            <v>2016</v>
          </cell>
          <cell r="E698">
            <v>295</v>
          </cell>
          <cell r="F698" t="str">
            <v>X2W-759</v>
          </cell>
          <cell r="G698" t="str">
            <v>C5V-999</v>
          </cell>
          <cell r="H698" t="str">
            <v>LAS BAMBAS</v>
          </cell>
          <cell r="I698">
            <v>150003</v>
          </cell>
          <cell r="J698" t="str">
            <v>REPUESTO</v>
          </cell>
          <cell r="K698" t="str">
            <v>PERNOS 1/4 X 1</v>
          </cell>
          <cell r="L698">
            <v>2</v>
          </cell>
          <cell r="M698" t="str">
            <v>UNID.</v>
          </cell>
          <cell r="N698" t="str">
            <v>TRACTO</v>
          </cell>
          <cell r="O698">
            <v>0</v>
          </cell>
          <cell r="P698" t="str">
            <v>E1</v>
          </cell>
          <cell r="Q698" t="str">
            <v>J1</v>
          </cell>
          <cell r="R698" t="str">
            <v>J6</v>
          </cell>
          <cell r="S698" t="str">
            <v>ENTREGADO</v>
          </cell>
          <cell r="T698">
            <v>42685</v>
          </cell>
          <cell r="U698" t="str">
            <v>PALOMINO CARDENAS JUAN CARLOS</v>
          </cell>
          <cell r="V698" t="str">
            <v>FLOREZ CONDORI  JOSE WILLIANS</v>
          </cell>
        </row>
        <row r="699">
          <cell r="A699">
            <v>613</v>
          </cell>
          <cell r="B699">
            <v>42685</v>
          </cell>
          <cell r="C699" t="str">
            <v>NOVIEMBRE</v>
          </cell>
          <cell r="D699" t="str">
            <v>2016</v>
          </cell>
          <cell r="E699">
            <v>295</v>
          </cell>
          <cell r="F699" t="str">
            <v>X2W-759</v>
          </cell>
          <cell r="G699" t="str">
            <v>C5V-999</v>
          </cell>
          <cell r="H699" t="str">
            <v>LAS BAMBAS</v>
          </cell>
          <cell r="I699">
            <v>150003</v>
          </cell>
          <cell r="J699" t="str">
            <v>REPUESTO</v>
          </cell>
          <cell r="K699" t="str">
            <v>ARANDELA 1/4</v>
          </cell>
          <cell r="L699">
            <v>4</v>
          </cell>
          <cell r="M699" t="str">
            <v>UNID.</v>
          </cell>
          <cell r="N699" t="str">
            <v>TRACTO</v>
          </cell>
          <cell r="O699">
            <v>0</v>
          </cell>
          <cell r="P699" t="str">
            <v>E1</v>
          </cell>
          <cell r="Q699" t="str">
            <v>J1</v>
          </cell>
          <cell r="R699" t="str">
            <v>J6</v>
          </cell>
          <cell r="S699" t="str">
            <v>ENTREGADO</v>
          </cell>
          <cell r="T699">
            <v>42685</v>
          </cell>
          <cell r="U699" t="str">
            <v>PALOMINO CARDENAS JUAN CARLOS</v>
          </cell>
          <cell r="V699" t="str">
            <v>FLOREZ CONDORI  JOSE WILLIANS</v>
          </cell>
        </row>
        <row r="700">
          <cell r="A700">
            <v>614</v>
          </cell>
          <cell r="B700">
            <v>42685</v>
          </cell>
          <cell r="C700" t="str">
            <v>NOVIEMBRE</v>
          </cell>
          <cell r="D700" t="str">
            <v>2016</v>
          </cell>
          <cell r="E700">
            <v>295</v>
          </cell>
          <cell r="F700" t="str">
            <v>X2W-759</v>
          </cell>
          <cell r="G700" t="str">
            <v>C5V-999</v>
          </cell>
          <cell r="H700" t="str">
            <v>LAS BAMBAS</v>
          </cell>
          <cell r="I700">
            <v>150003</v>
          </cell>
          <cell r="J700" t="str">
            <v>REPUESTO</v>
          </cell>
          <cell r="K700" t="str">
            <v>TUERCA DE PRESION 1/4</v>
          </cell>
          <cell r="L700">
            <v>2</v>
          </cell>
          <cell r="M700" t="str">
            <v>UNID.</v>
          </cell>
          <cell r="N700" t="str">
            <v>TRACTO</v>
          </cell>
          <cell r="O700">
            <v>0</v>
          </cell>
          <cell r="P700" t="str">
            <v>E1</v>
          </cell>
          <cell r="Q700" t="str">
            <v>J1</v>
          </cell>
          <cell r="R700" t="str">
            <v>J6</v>
          </cell>
          <cell r="S700" t="str">
            <v>ENTREGADO</v>
          </cell>
          <cell r="T700">
            <v>42685</v>
          </cell>
          <cell r="U700" t="str">
            <v>PALOMINO CARDENAS JUAN CARLOS</v>
          </cell>
          <cell r="V700" t="str">
            <v>FLOREZ CONDORI  JOSE WILLIANS</v>
          </cell>
        </row>
        <row r="701">
          <cell r="A701">
            <v>672</v>
          </cell>
          <cell r="B701">
            <v>42685</v>
          </cell>
          <cell r="C701" t="str">
            <v>NOVIEMBRE</v>
          </cell>
          <cell r="D701" t="str">
            <v>2016</v>
          </cell>
          <cell r="E701">
            <v>205</v>
          </cell>
          <cell r="F701" t="str">
            <v>X2W-765</v>
          </cell>
          <cell r="G701" t="str">
            <v>C5V-993</v>
          </cell>
          <cell r="H701" t="str">
            <v>LAS BAMBAS</v>
          </cell>
          <cell r="I701">
            <v>154850</v>
          </cell>
          <cell r="J701" t="str">
            <v>REPUESTO</v>
          </cell>
          <cell r="K701" t="str">
            <v>UNION TEE RAPIDO 3/8</v>
          </cell>
          <cell r="L701">
            <v>1</v>
          </cell>
          <cell r="M701" t="str">
            <v>UNID.</v>
          </cell>
          <cell r="N701" t="str">
            <v>CISTERNA</v>
          </cell>
          <cell r="O701">
            <v>0</v>
          </cell>
          <cell r="P701" t="str">
            <v>M8</v>
          </cell>
          <cell r="Q701" t="str">
            <v>J1</v>
          </cell>
          <cell r="R701" t="str">
            <v>J5</v>
          </cell>
          <cell r="S701" t="str">
            <v>ENTREGADO</v>
          </cell>
          <cell r="T701">
            <v>42685</v>
          </cell>
          <cell r="U701" t="str">
            <v>VARILLAS GAGO  OSCAR ALBERTO</v>
          </cell>
          <cell r="V701" t="str">
            <v>FLOREZ CONDORI  JOSE WILLIANS</v>
          </cell>
        </row>
        <row r="702">
          <cell r="A702">
            <v>673</v>
          </cell>
          <cell r="B702">
            <v>42685</v>
          </cell>
          <cell r="C702" t="str">
            <v>NOVIEMBRE</v>
          </cell>
          <cell r="D702" t="str">
            <v>2016</v>
          </cell>
          <cell r="E702">
            <v>205</v>
          </cell>
          <cell r="F702" t="str">
            <v>X2W-765</v>
          </cell>
          <cell r="G702" t="str">
            <v>C5V-993</v>
          </cell>
          <cell r="H702" t="str">
            <v>LAS BAMBAS</v>
          </cell>
          <cell r="I702">
            <v>154850</v>
          </cell>
          <cell r="J702" t="str">
            <v>REPUESTO</v>
          </cell>
          <cell r="K702" t="str">
            <v>NIPLE DE BRONCE DE 1/4 A 3/8''</v>
          </cell>
          <cell r="L702">
            <v>1</v>
          </cell>
          <cell r="M702" t="str">
            <v>UNID.</v>
          </cell>
          <cell r="N702" t="str">
            <v>CISTERNA</v>
          </cell>
          <cell r="O702">
            <v>0</v>
          </cell>
          <cell r="P702" t="str">
            <v>M8</v>
          </cell>
          <cell r="Q702" t="str">
            <v>J1</v>
          </cell>
          <cell r="R702" t="str">
            <v>J5</v>
          </cell>
          <cell r="S702" t="str">
            <v>ENTREGADO</v>
          </cell>
          <cell r="T702">
            <v>42685</v>
          </cell>
          <cell r="U702" t="str">
            <v>VARILLAS GAGO  OSCAR ALBERTO</v>
          </cell>
          <cell r="V702" t="str">
            <v>FLOREZ CONDORI  JOSE WILLIANS</v>
          </cell>
        </row>
        <row r="703">
          <cell r="A703">
            <v>674</v>
          </cell>
          <cell r="B703">
            <v>42685</v>
          </cell>
          <cell r="C703" t="str">
            <v>NOVIEMBRE</v>
          </cell>
          <cell r="D703" t="str">
            <v>2016</v>
          </cell>
          <cell r="E703">
            <v>205</v>
          </cell>
          <cell r="F703" t="str">
            <v>X2W-765</v>
          </cell>
          <cell r="G703" t="str">
            <v>C5V-993</v>
          </cell>
          <cell r="H703" t="str">
            <v>LAS BAMBAS</v>
          </cell>
          <cell r="I703">
            <v>154850</v>
          </cell>
          <cell r="J703" t="str">
            <v>REPUESTO</v>
          </cell>
          <cell r="K703" t="str">
            <v>CONO Y GUIA, TUERCA 3/8 "</v>
          </cell>
          <cell r="L703">
            <v>1</v>
          </cell>
          <cell r="M703" t="str">
            <v>UNID.</v>
          </cell>
          <cell r="N703" t="str">
            <v>CISTERNA</v>
          </cell>
          <cell r="O703">
            <v>0</v>
          </cell>
          <cell r="P703" t="str">
            <v>M8</v>
          </cell>
          <cell r="Q703" t="str">
            <v>J1</v>
          </cell>
          <cell r="R703" t="str">
            <v>J5</v>
          </cell>
          <cell r="S703" t="str">
            <v>ENTREGADO</v>
          </cell>
          <cell r="T703">
            <v>42685</v>
          </cell>
          <cell r="U703" t="str">
            <v>VARILLAS GAGO  OSCAR ALBERTO</v>
          </cell>
          <cell r="V703" t="str">
            <v>FLOREZ CONDORI  JOSE WILLIANS</v>
          </cell>
        </row>
        <row r="704">
          <cell r="A704">
            <v>675</v>
          </cell>
          <cell r="B704">
            <v>42685</v>
          </cell>
          <cell r="C704" t="str">
            <v>NOVIEMBRE</v>
          </cell>
          <cell r="D704" t="str">
            <v>2016</v>
          </cell>
          <cell r="E704">
            <v>205</v>
          </cell>
          <cell r="F704" t="str">
            <v>X2W-765</v>
          </cell>
          <cell r="G704" t="str">
            <v>C5V-993</v>
          </cell>
          <cell r="H704" t="str">
            <v>LAS BAMBAS</v>
          </cell>
          <cell r="I704">
            <v>154850</v>
          </cell>
          <cell r="J704" t="str">
            <v>REPUESTO</v>
          </cell>
          <cell r="K704" t="str">
            <v>VALVULA DE ALIVIO RAPIDO</v>
          </cell>
          <cell r="L704">
            <v>1</v>
          </cell>
          <cell r="M704" t="str">
            <v>UNID.</v>
          </cell>
          <cell r="N704" t="str">
            <v>TRACTO</v>
          </cell>
          <cell r="O704">
            <v>0</v>
          </cell>
          <cell r="P704" t="str">
            <v>M8</v>
          </cell>
          <cell r="Q704" t="str">
            <v>J1</v>
          </cell>
          <cell r="R704" t="str">
            <v>J5</v>
          </cell>
          <cell r="S704" t="str">
            <v>ENTREGADO</v>
          </cell>
          <cell r="T704">
            <v>42685</v>
          </cell>
          <cell r="U704" t="str">
            <v>VARILLAS GAGO  OSCAR ALBERTO</v>
          </cell>
          <cell r="V704" t="str">
            <v>FLOREZ CONDORI  JOSE WILLIANS</v>
          </cell>
        </row>
        <row r="705">
          <cell r="A705">
            <v>705</v>
          </cell>
          <cell r="B705">
            <v>42686</v>
          </cell>
          <cell r="C705" t="str">
            <v>NOVIEMBRE</v>
          </cell>
          <cell r="D705" t="str">
            <v>2016</v>
          </cell>
          <cell r="E705">
            <v>308</v>
          </cell>
          <cell r="F705" t="str">
            <v>A9H-889</v>
          </cell>
          <cell r="G705" t="str">
            <v>CAMION</v>
          </cell>
          <cell r="H705" t="str">
            <v>TAMBOMAYO</v>
          </cell>
          <cell r="I705">
            <v>120654</v>
          </cell>
          <cell r="J705" t="str">
            <v>SERVICIO</v>
          </cell>
          <cell r="K705" t="str">
            <v>REPARACION DE RADIADOR</v>
          </cell>
          <cell r="L705">
            <v>1</v>
          </cell>
          <cell r="M705" t="str">
            <v>UNID.</v>
          </cell>
          <cell r="N705" t="str">
            <v>CAMION</v>
          </cell>
          <cell r="O705">
            <v>104</v>
          </cell>
          <cell r="P705" t="str">
            <v>M2</v>
          </cell>
          <cell r="Q705" t="str">
            <v>J1</v>
          </cell>
          <cell r="R705" t="str">
            <v>J5</v>
          </cell>
          <cell r="S705" t="str">
            <v>ENTREGADO</v>
          </cell>
          <cell r="T705">
            <v>0</v>
          </cell>
          <cell r="U705" t="str">
            <v>CHUMPITAZ GAGO JULIO ENRIQUE</v>
          </cell>
          <cell r="V705" t="str">
            <v>FLOREZ CONDORI  JOSE WILLIANS</v>
          </cell>
        </row>
        <row r="706">
          <cell r="A706">
            <v>706</v>
          </cell>
          <cell r="B706">
            <v>42686</v>
          </cell>
          <cell r="C706" t="str">
            <v>NOVIEMBRE</v>
          </cell>
          <cell r="D706" t="str">
            <v>2016</v>
          </cell>
          <cell r="E706">
            <v>308</v>
          </cell>
          <cell r="F706" t="str">
            <v>A9H-889</v>
          </cell>
          <cell r="G706" t="str">
            <v>CAMION</v>
          </cell>
          <cell r="H706" t="str">
            <v>TAMBOMAYO</v>
          </cell>
          <cell r="I706">
            <v>120654</v>
          </cell>
          <cell r="J706" t="str">
            <v>REPUESTO</v>
          </cell>
          <cell r="K706" t="str">
            <v>FOCOS 9006</v>
          </cell>
          <cell r="L706">
            <v>2</v>
          </cell>
          <cell r="M706" t="str">
            <v>UNID.</v>
          </cell>
          <cell r="N706" t="str">
            <v>TRACTO</v>
          </cell>
          <cell r="O706">
            <v>0</v>
          </cell>
          <cell r="P706" t="str">
            <v>E1</v>
          </cell>
          <cell r="Q706" t="str">
            <v>J1</v>
          </cell>
          <cell r="R706" t="str">
            <v>J5</v>
          </cell>
          <cell r="S706" t="str">
            <v>ENTREGADO</v>
          </cell>
          <cell r="T706">
            <v>42686</v>
          </cell>
          <cell r="U706" t="str">
            <v>PALOMINO CARDENAS JUAN CARLOS</v>
          </cell>
          <cell r="V706" t="str">
            <v>FLOREZ CONDORI  JOSE WILLIANS</v>
          </cell>
        </row>
        <row r="707">
          <cell r="A707">
            <v>707</v>
          </cell>
          <cell r="B707">
            <v>42686</v>
          </cell>
          <cell r="C707" t="str">
            <v>NOVIEMBRE</v>
          </cell>
          <cell r="D707" t="str">
            <v>2016</v>
          </cell>
          <cell r="E707">
            <v>308</v>
          </cell>
          <cell r="F707" t="str">
            <v>A9H-889</v>
          </cell>
          <cell r="G707" t="str">
            <v>CAMION</v>
          </cell>
          <cell r="H707" t="str">
            <v>TAMBOMAYO</v>
          </cell>
          <cell r="I707">
            <v>120654</v>
          </cell>
          <cell r="J707" t="str">
            <v>REPUESTO</v>
          </cell>
          <cell r="K707" t="str">
            <v>FOCOS 9005 Y CONECTORES</v>
          </cell>
          <cell r="L707">
            <v>2</v>
          </cell>
          <cell r="M707" t="str">
            <v>UNID.</v>
          </cell>
          <cell r="N707" t="str">
            <v>TRACTO</v>
          </cell>
          <cell r="O707">
            <v>0</v>
          </cell>
          <cell r="P707" t="str">
            <v>E1</v>
          </cell>
          <cell r="Q707" t="str">
            <v>J1</v>
          </cell>
          <cell r="R707" t="str">
            <v>J5</v>
          </cell>
          <cell r="S707" t="str">
            <v>ENTREGADO</v>
          </cell>
          <cell r="T707">
            <v>42686</v>
          </cell>
          <cell r="U707" t="str">
            <v>PALOMINO CARDENAS JUAN CARLOS</v>
          </cell>
          <cell r="V707" t="str">
            <v>FLOREZ CONDORI  JOSE WILLIANS</v>
          </cell>
        </row>
        <row r="708">
          <cell r="A708">
            <v>708</v>
          </cell>
          <cell r="B708">
            <v>42686</v>
          </cell>
          <cell r="C708" t="str">
            <v>NOVIEMBRE</v>
          </cell>
          <cell r="D708" t="str">
            <v>2016</v>
          </cell>
          <cell r="E708">
            <v>308</v>
          </cell>
          <cell r="F708" t="str">
            <v>A9H-889</v>
          </cell>
          <cell r="G708" t="str">
            <v>CAMION</v>
          </cell>
          <cell r="H708" t="str">
            <v>TAMBOMAYO</v>
          </cell>
          <cell r="I708">
            <v>120654</v>
          </cell>
          <cell r="J708" t="str">
            <v>REPUESTO</v>
          </cell>
          <cell r="K708" t="str">
            <v>VOLANDAD DE 1/2</v>
          </cell>
          <cell r="L708">
            <v>8</v>
          </cell>
          <cell r="M708" t="str">
            <v>UNID.</v>
          </cell>
          <cell r="N708" t="str">
            <v>TRACTO</v>
          </cell>
          <cell r="O708">
            <v>0</v>
          </cell>
          <cell r="P708" t="str">
            <v>E1</v>
          </cell>
          <cell r="Q708" t="str">
            <v>J1</v>
          </cell>
          <cell r="R708" t="str">
            <v>J5</v>
          </cell>
          <cell r="S708" t="str">
            <v>ENTREGADO</v>
          </cell>
          <cell r="T708">
            <v>42686</v>
          </cell>
          <cell r="U708" t="str">
            <v>PALOMINO CARDENAS JUAN CARLOS</v>
          </cell>
          <cell r="V708" t="str">
            <v>FLOREZ CONDORI  JOSE WILLIANS</v>
          </cell>
        </row>
        <row r="709">
          <cell r="A709">
            <v>709</v>
          </cell>
          <cell r="B709">
            <v>42686</v>
          </cell>
          <cell r="C709" t="str">
            <v>NOVIEMBRE</v>
          </cell>
          <cell r="D709" t="str">
            <v>2016</v>
          </cell>
          <cell r="E709">
            <v>308</v>
          </cell>
          <cell r="F709" t="str">
            <v>A9H-889</v>
          </cell>
          <cell r="G709" t="str">
            <v>CAMION</v>
          </cell>
          <cell r="H709" t="str">
            <v>TAMBOMAYO</v>
          </cell>
          <cell r="I709">
            <v>120654</v>
          </cell>
          <cell r="J709" t="str">
            <v>REPUESTO</v>
          </cell>
          <cell r="K709" t="str">
            <v>FOCOS LAGRIMON</v>
          </cell>
          <cell r="L709">
            <v>2</v>
          </cell>
          <cell r="M709" t="str">
            <v>UNID.</v>
          </cell>
          <cell r="N709" t="str">
            <v>TRACTO</v>
          </cell>
          <cell r="O709">
            <v>0</v>
          </cell>
          <cell r="P709" t="str">
            <v>E1</v>
          </cell>
          <cell r="Q709" t="str">
            <v>J1</v>
          </cell>
          <cell r="R709" t="str">
            <v>J5</v>
          </cell>
          <cell r="S709" t="str">
            <v>ENTREGADO</v>
          </cell>
          <cell r="T709">
            <v>42686</v>
          </cell>
          <cell r="U709" t="str">
            <v>PALOMINO CARDENAS JUAN CARLOS</v>
          </cell>
          <cell r="V709" t="str">
            <v>FLOREZ CONDORI  JOSE WILLIANS</v>
          </cell>
        </row>
        <row r="710">
          <cell r="A710">
            <v>724</v>
          </cell>
          <cell r="B710">
            <v>42686</v>
          </cell>
          <cell r="C710" t="str">
            <v>NOVIEMBRE</v>
          </cell>
          <cell r="D710" t="str">
            <v>2016</v>
          </cell>
          <cell r="E710">
            <v>308</v>
          </cell>
          <cell r="F710" t="str">
            <v>A9H-889</v>
          </cell>
          <cell r="G710" t="str">
            <v>CAMION</v>
          </cell>
          <cell r="H710" t="str">
            <v>TAMBOMAYO</v>
          </cell>
          <cell r="I710">
            <v>120654</v>
          </cell>
          <cell r="J710" t="str">
            <v>SERVICIO</v>
          </cell>
          <cell r="K710" t="str">
            <v>SONDEO DE INTERCOOLER</v>
          </cell>
          <cell r="L710">
            <v>1</v>
          </cell>
          <cell r="M710" t="str">
            <v>UNID.</v>
          </cell>
          <cell r="N710" t="str">
            <v>TRACTO</v>
          </cell>
          <cell r="O710">
            <v>104</v>
          </cell>
          <cell r="P710" t="str">
            <v>M2</v>
          </cell>
          <cell r="Q710" t="str">
            <v>J1</v>
          </cell>
          <cell r="R710" t="str">
            <v>J5</v>
          </cell>
          <cell r="S710" t="str">
            <v>ENTREGADO</v>
          </cell>
          <cell r="T710">
            <v>0</v>
          </cell>
          <cell r="U710" t="str">
            <v>CHUMPITAZ GAGO JULIO ENRIQUE</v>
          </cell>
          <cell r="V710" t="str">
            <v>FLOREZ CONDORI  JOSE WILLIANS</v>
          </cell>
        </row>
        <row r="711">
          <cell r="A711">
            <v>684</v>
          </cell>
          <cell r="B711">
            <v>42686</v>
          </cell>
          <cell r="C711" t="str">
            <v>NOVIEMBRE</v>
          </cell>
          <cell r="D711" t="str">
            <v>2016</v>
          </cell>
          <cell r="E711">
            <v>291</v>
          </cell>
          <cell r="F711" t="str">
            <v>ABR-727</v>
          </cell>
          <cell r="G711" t="str">
            <v>C9S-989</v>
          </cell>
          <cell r="H711" t="str">
            <v>LAS BAMBAS</v>
          </cell>
          <cell r="I711">
            <v>97375</v>
          </cell>
          <cell r="J711" t="str">
            <v>REPUESTO</v>
          </cell>
          <cell r="K711" t="str">
            <v>CELLOCORD 1/8</v>
          </cell>
          <cell r="L711">
            <v>1.5</v>
          </cell>
          <cell r="M711" t="str">
            <v>KG.</v>
          </cell>
          <cell r="N711" t="str">
            <v>CISTERNA</v>
          </cell>
          <cell r="O711">
            <v>0</v>
          </cell>
          <cell r="P711" t="str">
            <v>S1</v>
          </cell>
          <cell r="Q711" t="str">
            <v>J1</v>
          </cell>
          <cell r="R711" t="str">
            <v>J5</v>
          </cell>
          <cell r="S711" t="str">
            <v>ENTREGADO</v>
          </cell>
          <cell r="T711">
            <v>42686</v>
          </cell>
          <cell r="U711" t="str">
            <v>BAYONA CRUZ CRISTIAN ARMANDO</v>
          </cell>
          <cell r="V711" t="str">
            <v>FLOREZ CONDORI  JOSE WILLIANS</v>
          </cell>
        </row>
        <row r="712">
          <cell r="A712">
            <v>685</v>
          </cell>
          <cell r="B712">
            <v>42686</v>
          </cell>
          <cell r="C712" t="str">
            <v>NOVIEMBRE</v>
          </cell>
          <cell r="D712" t="str">
            <v>2016</v>
          </cell>
          <cell r="E712">
            <v>291</v>
          </cell>
          <cell r="F712" t="str">
            <v>ABR-727</v>
          </cell>
          <cell r="G712" t="str">
            <v>C9S-989</v>
          </cell>
          <cell r="H712" t="str">
            <v>LAS BAMBAS</v>
          </cell>
          <cell r="I712">
            <v>97375</v>
          </cell>
          <cell r="J712" t="str">
            <v>REPUESTO</v>
          </cell>
          <cell r="K712" t="str">
            <v>CELLOCORD 5/32</v>
          </cell>
          <cell r="L712">
            <v>1</v>
          </cell>
          <cell r="M712" t="str">
            <v>KG.</v>
          </cell>
          <cell r="N712" t="str">
            <v>CISTERNA</v>
          </cell>
          <cell r="O712">
            <v>0</v>
          </cell>
          <cell r="P712" t="str">
            <v>S1</v>
          </cell>
          <cell r="Q712" t="str">
            <v>J1</v>
          </cell>
          <cell r="R712" t="str">
            <v>J5</v>
          </cell>
          <cell r="S712" t="str">
            <v>ENTREGADO</v>
          </cell>
          <cell r="T712">
            <v>42686</v>
          </cell>
          <cell r="U712" t="str">
            <v>BAYONA CRUZ CRISTIAN ARMANDO</v>
          </cell>
          <cell r="V712" t="str">
            <v>FLOREZ CONDORI  JOSE WILLIANS</v>
          </cell>
        </row>
        <row r="713">
          <cell r="A713">
            <v>686</v>
          </cell>
          <cell r="B713">
            <v>42686</v>
          </cell>
          <cell r="C713" t="str">
            <v>NOVIEMBRE</v>
          </cell>
          <cell r="D713" t="str">
            <v>2016</v>
          </cell>
          <cell r="E713">
            <v>291</v>
          </cell>
          <cell r="F713" t="str">
            <v>ABR-727</v>
          </cell>
          <cell r="G713" t="str">
            <v>C9S-989</v>
          </cell>
          <cell r="H713" t="str">
            <v>LAS BAMBAS</v>
          </cell>
          <cell r="I713">
            <v>97375</v>
          </cell>
          <cell r="J713" t="str">
            <v>REPUESTO</v>
          </cell>
          <cell r="K713" t="str">
            <v>VARILLAS DE SODADURA INOX 1/8</v>
          </cell>
          <cell r="L713">
            <v>5</v>
          </cell>
          <cell r="M713" t="str">
            <v>UNID.</v>
          </cell>
          <cell r="N713" t="str">
            <v>CISTERNA</v>
          </cell>
          <cell r="O713">
            <v>0</v>
          </cell>
          <cell r="P713" t="str">
            <v>S1</v>
          </cell>
          <cell r="Q713" t="str">
            <v>J1</v>
          </cell>
          <cell r="R713" t="str">
            <v>J5</v>
          </cell>
          <cell r="S713" t="str">
            <v>ENTREGADO</v>
          </cell>
          <cell r="T713">
            <v>42686</v>
          </cell>
          <cell r="U713" t="str">
            <v>BAYONA CRUZ CRISTIAN ARMANDO</v>
          </cell>
          <cell r="V713" t="str">
            <v>FLOREZ CONDORI  JOSE WILLIANS</v>
          </cell>
        </row>
        <row r="714">
          <cell r="A714">
            <v>687</v>
          </cell>
          <cell r="B714">
            <v>42686</v>
          </cell>
          <cell r="C714" t="str">
            <v>NOVIEMBRE</v>
          </cell>
          <cell r="D714" t="str">
            <v>2016</v>
          </cell>
          <cell r="E714">
            <v>291</v>
          </cell>
          <cell r="F714" t="str">
            <v>ABR-727</v>
          </cell>
          <cell r="G714" t="str">
            <v>C9S-989</v>
          </cell>
          <cell r="H714" t="str">
            <v>LAS BAMBAS</v>
          </cell>
          <cell r="I714">
            <v>97375</v>
          </cell>
          <cell r="J714" t="str">
            <v>REPUESTO</v>
          </cell>
          <cell r="K714" t="str">
            <v>VARILLAS DE CITOFONTE 1/8</v>
          </cell>
          <cell r="L714">
            <v>2</v>
          </cell>
          <cell r="M714" t="str">
            <v>UNID.</v>
          </cell>
          <cell r="N714" t="str">
            <v>CISTERNA</v>
          </cell>
          <cell r="O714">
            <v>0</v>
          </cell>
          <cell r="P714" t="str">
            <v>S1</v>
          </cell>
          <cell r="Q714" t="str">
            <v>J1</v>
          </cell>
          <cell r="R714" t="str">
            <v>J5</v>
          </cell>
          <cell r="S714" t="str">
            <v>ENTREGADO</v>
          </cell>
          <cell r="T714">
            <v>42686</v>
          </cell>
          <cell r="U714" t="str">
            <v>BAYONA CRUZ CRISTIAN ARMANDO</v>
          </cell>
          <cell r="V714" t="str">
            <v>FLOREZ CONDORI  JOSE WILLIANS</v>
          </cell>
        </row>
        <row r="715">
          <cell r="A715">
            <v>699</v>
          </cell>
          <cell r="B715">
            <v>42686</v>
          </cell>
          <cell r="C715" t="str">
            <v>NOVIEMBRE</v>
          </cell>
          <cell r="D715" t="str">
            <v>2016</v>
          </cell>
          <cell r="E715">
            <v>305</v>
          </cell>
          <cell r="F715" t="str">
            <v>ABS-700</v>
          </cell>
          <cell r="G715" t="str">
            <v>TBC-971</v>
          </cell>
          <cell r="H715" t="str">
            <v>LAS BAMBAS</v>
          </cell>
          <cell r="I715">
            <v>95862</v>
          </cell>
          <cell r="J715" t="str">
            <v>REPUESTO</v>
          </cell>
          <cell r="K715" t="str">
            <v>FARO RECTANGULAR AMBAR</v>
          </cell>
          <cell r="L715">
            <v>1</v>
          </cell>
          <cell r="M715" t="str">
            <v>UNID.</v>
          </cell>
          <cell r="N715" t="str">
            <v>CISTERNA</v>
          </cell>
          <cell r="O715">
            <v>0</v>
          </cell>
          <cell r="P715" t="str">
            <v>E2</v>
          </cell>
          <cell r="Q715" t="str">
            <v>J1</v>
          </cell>
          <cell r="R715" t="str">
            <v>J5</v>
          </cell>
          <cell r="S715" t="str">
            <v>ENTREGADO</v>
          </cell>
          <cell r="T715">
            <v>42686</v>
          </cell>
          <cell r="U715" t="str">
            <v>YUCA BELLIDO BORIS YERSY</v>
          </cell>
          <cell r="V715" t="str">
            <v>FLOREZ CONDORI  JOSE WILLIANS</v>
          </cell>
        </row>
        <row r="716">
          <cell r="A716">
            <v>700</v>
          </cell>
          <cell r="B716">
            <v>42686</v>
          </cell>
          <cell r="C716" t="str">
            <v>NOVIEMBRE</v>
          </cell>
          <cell r="D716" t="str">
            <v>2016</v>
          </cell>
          <cell r="E716">
            <v>305</v>
          </cell>
          <cell r="F716" t="str">
            <v>ABS-700</v>
          </cell>
          <cell r="G716" t="str">
            <v>TBC-971</v>
          </cell>
          <cell r="H716" t="str">
            <v>LAS BAMBAS</v>
          </cell>
          <cell r="I716">
            <v>95862</v>
          </cell>
          <cell r="J716" t="str">
            <v>REPUESTO</v>
          </cell>
          <cell r="K716" t="str">
            <v>PERNO 1/4 X 1 C/ TUERCA Y VOLANDA</v>
          </cell>
          <cell r="L716">
            <v>1</v>
          </cell>
          <cell r="M716" t="str">
            <v>UNID.</v>
          </cell>
          <cell r="N716" t="str">
            <v>CISTERNA</v>
          </cell>
          <cell r="O716">
            <v>0</v>
          </cell>
          <cell r="P716" t="str">
            <v>E2</v>
          </cell>
          <cell r="Q716" t="str">
            <v>J1</v>
          </cell>
          <cell r="R716" t="str">
            <v>J5</v>
          </cell>
          <cell r="S716" t="str">
            <v>ENTREGADO</v>
          </cell>
          <cell r="T716">
            <v>42686</v>
          </cell>
          <cell r="U716" t="str">
            <v>YUCA BELLIDO BORIS YERSY</v>
          </cell>
          <cell r="V716" t="str">
            <v>FLOREZ CONDORI  JOSE WILLIANS</v>
          </cell>
        </row>
        <row r="717">
          <cell r="A717">
            <v>701</v>
          </cell>
          <cell r="B717">
            <v>42686</v>
          </cell>
          <cell r="C717" t="str">
            <v>NOVIEMBRE</v>
          </cell>
          <cell r="D717" t="str">
            <v>2016</v>
          </cell>
          <cell r="E717">
            <v>305</v>
          </cell>
          <cell r="F717" t="str">
            <v>ABS-700</v>
          </cell>
          <cell r="G717" t="str">
            <v>TBC-971</v>
          </cell>
          <cell r="H717" t="str">
            <v>LAS BAMBAS</v>
          </cell>
          <cell r="I717">
            <v>95862</v>
          </cell>
          <cell r="J717" t="str">
            <v>REPUESTO</v>
          </cell>
          <cell r="K717" t="str">
            <v>FOCO DOBLE CONTACTO 12 V</v>
          </cell>
          <cell r="L717">
            <v>1</v>
          </cell>
          <cell r="M717" t="str">
            <v>UNID.</v>
          </cell>
          <cell r="N717" t="str">
            <v>TRACTO</v>
          </cell>
          <cell r="O717">
            <v>0</v>
          </cell>
          <cell r="P717" t="str">
            <v>E2</v>
          </cell>
          <cell r="Q717" t="str">
            <v>J1</v>
          </cell>
          <cell r="R717" t="str">
            <v>J5</v>
          </cell>
          <cell r="S717" t="str">
            <v>ENTREGADO</v>
          </cell>
          <cell r="T717">
            <v>42686</v>
          </cell>
          <cell r="U717" t="str">
            <v>YUCA BELLIDO BORIS YERSY</v>
          </cell>
          <cell r="V717" t="str">
            <v>FLOREZ CONDORI  JOSE WILLIANS</v>
          </cell>
        </row>
        <row r="718">
          <cell r="A718">
            <v>713</v>
          </cell>
          <cell r="B718">
            <v>42686</v>
          </cell>
          <cell r="C718" t="str">
            <v>NOVIEMBRE</v>
          </cell>
          <cell r="D718" t="str">
            <v>2016</v>
          </cell>
          <cell r="E718">
            <v>305</v>
          </cell>
          <cell r="F718" t="str">
            <v>ABS-700</v>
          </cell>
          <cell r="G718" t="str">
            <v>TBC-971</v>
          </cell>
          <cell r="H718" t="str">
            <v>LAS BAMBAS</v>
          </cell>
          <cell r="I718">
            <v>95862</v>
          </cell>
          <cell r="J718" t="str">
            <v>REPUESTO</v>
          </cell>
          <cell r="K718" t="str">
            <v>LLANTAS REENCAUCHADAS IZY2 11R22.5</v>
          </cell>
          <cell r="L718">
            <v>4</v>
          </cell>
          <cell r="M718" t="str">
            <v>UNID.</v>
          </cell>
          <cell r="N718" t="str">
            <v>CISTERNA</v>
          </cell>
          <cell r="O718">
            <v>0</v>
          </cell>
          <cell r="P718" t="str">
            <v>N2</v>
          </cell>
          <cell r="Q718" t="str">
            <v>J1</v>
          </cell>
          <cell r="R718" t="str">
            <v>J5</v>
          </cell>
          <cell r="S718" t="str">
            <v>ENTREGADO</v>
          </cell>
          <cell r="T718">
            <v>42686</v>
          </cell>
          <cell r="U718" t="str">
            <v>MAMANI LARICO  EDUARDO ALVARO</v>
          </cell>
          <cell r="V718" t="str">
            <v>FLOREZ CONDORI  JOSE WILLIANS</v>
          </cell>
        </row>
        <row r="719">
          <cell r="A719">
            <v>715</v>
          </cell>
          <cell r="B719">
            <v>42686</v>
          </cell>
          <cell r="C719" t="str">
            <v>NOVIEMBRE</v>
          </cell>
          <cell r="D719" t="str">
            <v>2016</v>
          </cell>
          <cell r="E719">
            <v>310</v>
          </cell>
          <cell r="F719" t="str">
            <v>AEH-920</v>
          </cell>
          <cell r="G719" t="str">
            <v>CAMIONETA</v>
          </cell>
          <cell r="H719" t="str">
            <v>LAS BAMBAS</v>
          </cell>
          <cell r="I719">
            <v>85226</v>
          </cell>
          <cell r="J719" t="str">
            <v>REPUESTO</v>
          </cell>
          <cell r="K719" t="str">
            <v xml:space="preserve">NEBLINEROS </v>
          </cell>
          <cell r="L719">
            <v>2</v>
          </cell>
          <cell r="M719" t="str">
            <v>UNID.</v>
          </cell>
          <cell r="N719" t="str">
            <v>TRACTO</v>
          </cell>
          <cell r="O719">
            <v>1</v>
          </cell>
          <cell r="P719" t="str">
            <v>E1</v>
          </cell>
          <cell r="Q719" t="str">
            <v>J1</v>
          </cell>
          <cell r="R719" t="str">
            <v>J5</v>
          </cell>
          <cell r="S719" t="str">
            <v>ENTREGADO</v>
          </cell>
          <cell r="T719">
            <v>42687</v>
          </cell>
          <cell r="U719" t="str">
            <v>PALOMINO CARDENAS JUAN CARLOS</v>
          </cell>
          <cell r="V719" t="str">
            <v>FLOREZ CONDORI  JOSE WILLIANS</v>
          </cell>
        </row>
        <row r="720">
          <cell r="A720">
            <v>716</v>
          </cell>
          <cell r="B720">
            <v>42686</v>
          </cell>
          <cell r="C720" t="str">
            <v>NOVIEMBRE</v>
          </cell>
          <cell r="D720" t="str">
            <v>2016</v>
          </cell>
          <cell r="E720">
            <v>310</v>
          </cell>
          <cell r="F720" t="str">
            <v>AEH-920</v>
          </cell>
          <cell r="G720" t="str">
            <v>CAMIONETA</v>
          </cell>
          <cell r="H720" t="str">
            <v>LAS BAMBAS</v>
          </cell>
          <cell r="I720">
            <v>85226</v>
          </cell>
          <cell r="J720" t="str">
            <v>REPUESTO</v>
          </cell>
          <cell r="K720" t="str">
            <v xml:space="preserve">CHAPA DE PUERTA </v>
          </cell>
          <cell r="L720">
            <v>2</v>
          </cell>
          <cell r="M720" t="str">
            <v>UNID.</v>
          </cell>
          <cell r="N720" t="str">
            <v>TRACTO</v>
          </cell>
          <cell r="O720">
            <v>104</v>
          </cell>
          <cell r="P720" t="str">
            <v>E1</v>
          </cell>
          <cell r="Q720" t="str">
            <v>J1</v>
          </cell>
          <cell r="R720" t="str">
            <v>J5</v>
          </cell>
          <cell r="S720" t="str">
            <v>ENTREGADO</v>
          </cell>
          <cell r="T720">
            <v>0</v>
          </cell>
          <cell r="U720" t="str">
            <v>PALOMINO CARDENAS JUAN CARLOS</v>
          </cell>
          <cell r="V720" t="str">
            <v>FLOREZ CONDORI  JOSE WILLIANS</v>
          </cell>
        </row>
        <row r="721">
          <cell r="A721">
            <v>718</v>
          </cell>
          <cell r="B721">
            <v>42686</v>
          </cell>
          <cell r="C721" t="str">
            <v>NOVIEMBRE</v>
          </cell>
          <cell r="D721" t="str">
            <v>2016</v>
          </cell>
          <cell r="E721">
            <v>310</v>
          </cell>
          <cell r="F721" t="str">
            <v>AEH-920</v>
          </cell>
          <cell r="G721" t="str">
            <v>CAMIONETA</v>
          </cell>
          <cell r="H721" t="str">
            <v>LAS BAMBAS</v>
          </cell>
          <cell r="I721">
            <v>85226</v>
          </cell>
          <cell r="J721" t="str">
            <v>REPUESTO</v>
          </cell>
          <cell r="K721" t="str">
            <v>TUERCA SEGURO 5/16</v>
          </cell>
          <cell r="L721">
            <v>3</v>
          </cell>
          <cell r="M721" t="str">
            <v>UNID.</v>
          </cell>
          <cell r="N721" t="str">
            <v>TRACTO</v>
          </cell>
          <cell r="O721">
            <v>0</v>
          </cell>
          <cell r="P721" t="str">
            <v>E1</v>
          </cell>
          <cell r="Q721" t="str">
            <v>J1</v>
          </cell>
          <cell r="R721" t="str">
            <v>J5</v>
          </cell>
          <cell r="S721" t="str">
            <v>ENTREGADO</v>
          </cell>
          <cell r="T721">
            <v>42686</v>
          </cell>
          <cell r="U721" t="str">
            <v>PALOMINO CARDENAS JUAN CARLOS</v>
          </cell>
          <cell r="V721" t="str">
            <v>FLOREZ CONDORI  JOSE WILLIANS</v>
          </cell>
        </row>
        <row r="722">
          <cell r="A722">
            <v>719</v>
          </cell>
          <cell r="B722">
            <v>42686</v>
          </cell>
          <cell r="C722" t="str">
            <v>NOVIEMBRE</v>
          </cell>
          <cell r="D722" t="str">
            <v>2016</v>
          </cell>
          <cell r="E722">
            <v>310</v>
          </cell>
          <cell r="F722" t="str">
            <v>AEH-920</v>
          </cell>
          <cell r="G722" t="str">
            <v>CAMIONETA</v>
          </cell>
          <cell r="H722" t="str">
            <v>LAS BAMBAS</v>
          </cell>
          <cell r="I722">
            <v>85226</v>
          </cell>
          <cell r="J722" t="str">
            <v>REPUESTO</v>
          </cell>
          <cell r="K722" t="str">
            <v>VOLANDAS 5/16</v>
          </cell>
          <cell r="L722">
            <v>5</v>
          </cell>
          <cell r="M722" t="str">
            <v>UNID.</v>
          </cell>
          <cell r="N722" t="str">
            <v>TRACTO</v>
          </cell>
          <cell r="O722">
            <v>0</v>
          </cell>
          <cell r="P722" t="str">
            <v>E1</v>
          </cell>
          <cell r="Q722" t="str">
            <v>J1</v>
          </cell>
          <cell r="R722" t="str">
            <v>J5</v>
          </cell>
          <cell r="S722" t="str">
            <v>ENTREGADO</v>
          </cell>
          <cell r="T722">
            <v>42686</v>
          </cell>
          <cell r="U722" t="str">
            <v>PALOMINO CARDENAS JUAN CARLOS</v>
          </cell>
          <cell r="V722" t="str">
            <v>FLOREZ CONDORI  JOSE WILLIANS</v>
          </cell>
        </row>
        <row r="723">
          <cell r="A723">
            <v>717</v>
          </cell>
          <cell r="B723">
            <v>42686</v>
          </cell>
          <cell r="C723" t="str">
            <v>NOVIEMBRE</v>
          </cell>
          <cell r="D723" t="str">
            <v>2016</v>
          </cell>
          <cell r="E723">
            <v>310</v>
          </cell>
          <cell r="F723" t="str">
            <v>AEH-920</v>
          </cell>
          <cell r="G723" t="str">
            <v>CAMIONETA</v>
          </cell>
          <cell r="H723" t="str">
            <v>LAS BAMBAS</v>
          </cell>
          <cell r="I723">
            <v>85226</v>
          </cell>
          <cell r="J723" t="str">
            <v>REPUESTO</v>
          </cell>
          <cell r="K723" t="str">
            <v>LLANTAS REENCAUCHADAS IZY2 11R22.5</v>
          </cell>
          <cell r="L723">
            <v>8</v>
          </cell>
          <cell r="M723" t="str">
            <v>UNID.</v>
          </cell>
          <cell r="N723" t="str">
            <v>TRACTO</v>
          </cell>
          <cell r="O723">
            <v>0</v>
          </cell>
          <cell r="P723" t="str">
            <v>M7</v>
          </cell>
          <cell r="Q723" t="str">
            <v>J3</v>
          </cell>
          <cell r="R723" t="str">
            <v>J5</v>
          </cell>
          <cell r="S723" t="str">
            <v>ENTREGADO</v>
          </cell>
          <cell r="T723">
            <v>42686</v>
          </cell>
          <cell r="U723" t="str">
            <v>ROBLES ROJAS  JOSE MIGUEL</v>
          </cell>
          <cell r="V723" t="str">
            <v>CHURA PIZARRO ALBERTO</v>
          </cell>
        </row>
        <row r="724">
          <cell r="A724">
            <v>703</v>
          </cell>
          <cell r="B724">
            <v>42686</v>
          </cell>
          <cell r="C724" t="str">
            <v>NOVIEMBRE</v>
          </cell>
          <cell r="D724" t="str">
            <v>2016</v>
          </cell>
          <cell r="E724">
            <v>306</v>
          </cell>
          <cell r="F724" t="str">
            <v>AKX-767</v>
          </cell>
          <cell r="G724" t="str">
            <v>TCR-993</v>
          </cell>
          <cell r="H724" t="str">
            <v>LAS BAMBAS CONC.</v>
          </cell>
          <cell r="I724">
            <v>16820.400000000001</v>
          </cell>
          <cell r="J724" t="str">
            <v>REPUESTO</v>
          </cell>
          <cell r="K724" t="str">
            <v>PITONES RECTOS</v>
          </cell>
          <cell r="L724">
            <v>4</v>
          </cell>
          <cell r="M724" t="str">
            <v>UNID.</v>
          </cell>
          <cell r="N724" t="str">
            <v>TRACTO</v>
          </cell>
          <cell r="O724">
            <v>0</v>
          </cell>
          <cell r="P724" t="str">
            <v>N2</v>
          </cell>
          <cell r="Q724" t="str">
            <v>J1</v>
          </cell>
          <cell r="R724" t="str">
            <v>J5</v>
          </cell>
          <cell r="S724" t="str">
            <v>ENTREGADO</v>
          </cell>
          <cell r="T724">
            <v>42686</v>
          </cell>
          <cell r="U724" t="str">
            <v>MAMANI LARICO  EDUARDO ALVARO</v>
          </cell>
          <cell r="V724" t="str">
            <v>FLOREZ CONDORI  JOSE WILLIANS</v>
          </cell>
        </row>
        <row r="725">
          <cell r="A725">
            <v>704</v>
          </cell>
          <cell r="B725">
            <v>42686</v>
          </cell>
          <cell r="C725" t="str">
            <v>NOVIEMBRE</v>
          </cell>
          <cell r="D725" t="str">
            <v>2016</v>
          </cell>
          <cell r="E725">
            <v>306</v>
          </cell>
          <cell r="F725" t="str">
            <v>AKX-767</v>
          </cell>
          <cell r="G725" t="str">
            <v>TCR-993</v>
          </cell>
          <cell r="H725" t="str">
            <v>LAS BAMBAS CONC.</v>
          </cell>
          <cell r="I725">
            <v>16820.400000000001</v>
          </cell>
          <cell r="J725" t="str">
            <v>REPUESTO</v>
          </cell>
          <cell r="K725" t="str">
            <v>AGUJAS DE PITON</v>
          </cell>
          <cell r="L725">
            <v>4</v>
          </cell>
          <cell r="M725" t="str">
            <v>UNID.</v>
          </cell>
          <cell r="N725" t="str">
            <v>TRACTO</v>
          </cell>
          <cell r="O725">
            <v>0</v>
          </cell>
          <cell r="P725" t="str">
            <v>N2</v>
          </cell>
          <cell r="Q725" t="str">
            <v>J1</v>
          </cell>
          <cell r="R725" t="str">
            <v>J5</v>
          </cell>
          <cell r="S725" t="str">
            <v>ENTREGADO</v>
          </cell>
          <cell r="T725">
            <v>42686</v>
          </cell>
          <cell r="U725" t="str">
            <v>MAMANI LARICO  EDUARDO ALVARO</v>
          </cell>
          <cell r="V725" t="str">
            <v>FLOREZ CONDORI  JOSE WILLIANS</v>
          </cell>
        </row>
        <row r="726">
          <cell r="A726">
            <v>702</v>
          </cell>
          <cell r="B726">
            <v>42686</v>
          </cell>
          <cell r="C726" t="str">
            <v>NOVIEMBRE</v>
          </cell>
          <cell r="D726" t="str">
            <v>2016</v>
          </cell>
          <cell r="E726">
            <v>306</v>
          </cell>
          <cell r="F726" t="str">
            <v>AKX-767</v>
          </cell>
          <cell r="G726" t="str">
            <v>TCR-993</v>
          </cell>
          <cell r="H726" t="str">
            <v>LAS BAMBAS CONC.</v>
          </cell>
          <cell r="I726">
            <v>16820.400000000001</v>
          </cell>
          <cell r="J726" t="str">
            <v>REPUESTO</v>
          </cell>
          <cell r="K726" t="str">
            <v>LLANTAS REENCAUCHADAS IDY 11R22.5</v>
          </cell>
          <cell r="L726">
            <v>4</v>
          </cell>
          <cell r="M726" t="str">
            <v>UNID.</v>
          </cell>
          <cell r="N726" t="str">
            <v>TRACTO</v>
          </cell>
          <cell r="O726">
            <v>0</v>
          </cell>
          <cell r="P726" t="str">
            <v>N2</v>
          </cell>
          <cell r="Q726" t="str">
            <v>J1</v>
          </cell>
          <cell r="R726" t="str">
            <v>J5</v>
          </cell>
          <cell r="S726" t="str">
            <v>ENTREGADO</v>
          </cell>
          <cell r="T726">
            <v>42686</v>
          </cell>
          <cell r="U726" t="str">
            <v>MAMANI LARICO  EDUARDO ALVARO</v>
          </cell>
          <cell r="V726" t="str">
            <v>FLOREZ CONDORI  JOSE WILLIANS</v>
          </cell>
        </row>
        <row r="727">
          <cell r="A727">
            <v>688</v>
          </cell>
          <cell r="B727">
            <v>42686</v>
          </cell>
          <cell r="C727" t="str">
            <v>NOVIEMBRE</v>
          </cell>
          <cell r="D727" t="str">
            <v>2016</v>
          </cell>
          <cell r="E727">
            <v>209</v>
          </cell>
          <cell r="F727" t="str">
            <v>AKX-805</v>
          </cell>
          <cell r="G727" t="str">
            <v>F5Z-985</v>
          </cell>
          <cell r="H727" t="str">
            <v>LAS BAMBAS</v>
          </cell>
          <cell r="I727">
            <v>31856</v>
          </cell>
          <cell r="J727" t="str">
            <v>REPUESTO</v>
          </cell>
          <cell r="K727" t="str">
            <v>MANGUERA CORRUGADA 3/8</v>
          </cell>
          <cell r="L727">
            <v>2</v>
          </cell>
          <cell r="M727" t="str">
            <v>M</v>
          </cell>
          <cell r="N727" t="str">
            <v>CISTERNA</v>
          </cell>
          <cell r="O727">
            <v>0</v>
          </cell>
          <cell r="P727" t="str">
            <v>M4</v>
          </cell>
          <cell r="Q727" t="str">
            <v>J1</v>
          </cell>
          <cell r="R727" t="str">
            <v>J5</v>
          </cell>
          <cell r="S727" t="str">
            <v>ENTREGADO</v>
          </cell>
          <cell r="T727">
            <v>42686</v>
          </cell>
          <cell r="U727" t="str">
            <v>JULLIRI APAZA UBALDO</v>
          </cell>
          <cell r="V727" t="str">
            <v>FLOREZ CONDORI  JOSE WILLIANS</v>
          </cell>
        </row>
        <row r="728">
          <cell r="A728">
            <v>712</v>
          </cell>
          <cell r="B728">
            <v>42686</v>
          </cell>
          <cell r="C728" t="str">
            <v>NOVIEMBRE</v>
          </cell>
          <cell r="D728" t="str">
            <v>2016</v>
          </cell>
          <cell r="E728">
            <v>298</v>
          </cell>
          <cell r="F728" t="str">
            <v>C5R-892</v>
          </cell>
          <cell r="G728" t="str">
            <v>A0T-983</v>
          </cell>
          <cell r="H728" t="str">
            <v>LAS BAMBAS</v>
          </cell>
          <cell r="I728">
            <v>224029</v>
          </cell>
          <cell r="J728" t="str">
            <v>REPUESTO</v>
          </cell>
          <cell r="K728" t="str">
            <v>DISCO DE QUINTA RUEDA Y SEGURO</v>
          </cell>
          <cell r="L728">
            <v>1</v>
          </cell>
          <cell r="M728" t="str">
            <v>UNID.</v>
          </cell>
          <cell r="N728" t="str">
            <v>CISTERNA</v>
          </cell>
          <cell r="O728">
            <v>0</v>
          </cell>
          <cell r="P728" t="str">
            <v>M2</v>
          </cell>
          <cell r="Q728" t="str">
            <v>J1</v>
          </cell>
          <cell r="R728" t="str">
            <v>J5</v>
          </cell>
          <cell r="S728" t="str">
            <v>ENTREGADO</v>
          </cell>
          <cell r="T728">
            <v>42686</v>
          </cell>
          <cell r="U728" t="str">
            <v>CHUMPITAZ GAGO JULIO ENRIQUE</v>
          </cell>
          <cell r="V728" t="str">
            <v>FLOREZ CONDORI  JOSE WILLIANS</v>
          </cell>
        </row>
        <row r="729">
          <cell r="A729">
            <v>714</v>
          </cell>
          <cell r="B729">
            <v>42686</v>
          </cell>
          <cell r="C729" t="str">
            <v>NOVIEMBRE</v>
          </cell>
          <cell r="D729" t="str">
            <v>2016</v>
          </cell>
          <cell r="E729">
            <v>298</v>
          </cell>
          <cell r="F729" t="str">
            <v>C5R-892</v>
          </cell>
          <cell r="G729" t="str">
            <v>A0T-983</v>
          </cell>
          <cell r="H729" t="str">
            <v>LAS BAMBAS</v>
          </cell>
          <cell r="I729">
            <v>224029</v>
          </cell>
          <cell r="J729" t="str">
            <v>REPUESTO</v>
          </cell>
          <cell r="K729" t="str">
            <v>SUPERCITO 1/8</v>
          </cell>
          <cell r="L729">
            <v>1</v>
          </cell>
          <cell r="M729" t="str">
            <v>KG.</v>
          </cell>
          <cell r="N729" t="str">
            <v>CISTERNA</v>
          </cell>
          <cell r="O729">
            <v>0</v>
          </cell>
          <cell r="P729" t="str">
            <v>S1</v>
          </cell>
          <cell r="Q729" t="str">
            <v>J1</v>
          </cell>
          <cell r="R729" t="str">
            <v>J5</v>
          </cell>
          <cell r="S729" t="str">
            <v>ENTREGADO</v>
          </cell>
          <cell r="T729">
            <v>42686</v>
          </cell>
          <cell r="U729" t="str">
            <v>BAYONA CRUZ CRISTIAN ARMANDO</v>
          </cell>
          <cell r="V729" t="str">
            <v>FLOREZ CONDORI  JOSE WILLIANS</v>
          </cell>
        </row>
        <row r="730">
          <cell r="A730">
            <v>694</v>
          </cell>
          <cell r="B730">
            <v>42686</v>
          </cell>
          <cell r="C730" t="str">
            <v>NOVIEMBRE</v>
          </cell>
          <cell r="D730" t="str">
            <v>2016</v>
          </cell>
          <cell r="E730">
            <v>304</v>
          </cell>
          <cell r="F730" t="str">
            <v>D4T-927</v>
          </cell>
          <cell r="G730" t="str">
            <v>B4Q-976</v>
          </cell>
          <cell r="H730" t="str">
            <v>LAS BAMBAS</v>
          </cell>
          <cell r="I730">
            <v>0</v>
          </cell>
          <cell r="J730" t="str">
            <v>REPUESTO</v>
          </cell>
          <cell r="K730" t="str">
            <v>UNION 3/8 BRONCE C/ CONO, GUIS Y TUERCA</v>
          </cell>
          <cell r="L730">
            <v>2</v>
          </cell>
          <cell r="M730" t="str">
            <v>UNID.</v>
          </cell>
          <cell r="N730" t="str">
            <v>TRACTO</v>
          </cell>
          <cell r="O730">
            <v>104</v>
          </cell>
          <cell r="P730" t="str">
            <v>M6</v>
          </cell>
          <cell r="Q730" t="str">
            <v>J1</v>
          </cell>
          <cell r="R730" t="str">
            <v>J5</v>
          </cell>
          <cell r="S730" t="str">
            <v>ENTREGADO</v>
          </cell>
          <cell r="T730">
            <v>0</v>
          </cell>
          <cell r="U730" t="str">
            <v>PARI VENTURA  EDSON ORLANDO</v>
          </cell>
          <cell r="V730" t="str">
            <v>FLOREZ CONDORI  JOSE WILLIANS</v>
          </cell>
        </row>
        <row r="731">
          <cell r="A731">
            <v>695</v>
          </cell>
          <cell r="B731">
            <v>42686</v>
          </cell>
          <cell r="C731" t="str">
            <v>NOVIEMBRE</v>
          </cell>
          <cell r="D731" t="str">
            <v>2016</v>
          </cell>
          <cell r="E731">
            <v>304</v>
          </cell>
          <cell r="F731" t="str">
            <v>D4T-927</v>
          </cell>
          <cell r="G731" t="str">
            <v>B4Q-976</v>
          </cell>
          <cell r="H731" t="str">
            <v>LAS BAMBAS</v>
          </cell>
          <cell r="I731">
            <v>0</v>
          </cell>
          <cell r="J731" t="str">
            <v>REPUESTO</v>
          </cell>
          <cell r="K731" t="str">
            <v>LIQUIDO LIMPIAPARABRISAS</v>
          </cell>
          <cell r="L731">
            <v>1</v>
          </cell>
          <cell r="M731" t="str">
            <v>GLNS.</v>
          </cell>
          <cell r="N731" t="str">
            <v>TRACTO</v>
          </cell>
          <cell r="O731">
            <v>0</v>
          </cell>
          <cell r="P731" t="str">
            <v>M6</v>
          </cell>
          <cell r="Q731" t="str">
            <v>J1</v>
          </cell>
          <cell r="R731" t="str">
            <v>J5</v>
          </cell>
          <cell r="S731" t="str">
            <v>ENTREGADO</v>
          </cell>
          <cell r="T731">
            <v>42686</v>
          </cell>
          <cell r="U731" t="str">
            <v>PARI VENTURA  EDSON ORLANDO</v>
          </cell>
          <cell r="V731" t="str">
            <v>FLOREZ CONDORI  JOSE WILLIANS</v>
          </cell>
        </row>
        <row r="732">
          <cell r="A732">
            <v>693</v>
          </cell>
          <cell r="B732">
            <v>42686</v>
          </cell>
          <cell r="C732" t="str">
            <v>NOVIEMBRE</v>
          </cell>
          <cell r="D732" t="str">
            <v>2016</v>
          </cell>
          <cell r="E732">
            <v>296</v>
          </cell>
          <cell r="F732" t="str">
            <v>D4X-872</v>
          </cell>
          <cell r="G732" t="str">
            <v>B4P-976</v>
          </cell>
          <cell r="H732" t="str">
            <v>LAS BAMBAS</v>
          </cell>
          <cell r="I732">
            <v>180842</v>
          </cell>
          <cell r="J732" t="str">
            <v>REPUESTO</v>
          </cell>
          <cell r="K732" t="str">
            <v>MASILLA BONFLEX</v>
          </cell>
          <cell r="L732">
            <v>1</v>
          </cell>
          <cell r="M732" t="str">
            <v>UNID.</v>
          </cell>
          <cell r="N732" t="str">
            <v>CISTERNA</v>
          </cell>
          <cell r="O732">
            <v>0</v>
          </cell>
          <cell r="P732" t="str">
            <v>M4</v>
          </cell>
          <cell r="Q732" t="str">
            <v>J1</v>
          </cell>
          <cell r="R732" t="str">
            <v>J5</v>
          </cell>
          <cell r="S732" t="str">
            <v>ENTREGADO</v>
          </cell>
          <cell r="T732">
            <v>42686</v>
          </cell>
          <cell r="U732" t="str">
            <v>JULLIRI APAZA UBALDO</v>
          </cell>
          <cell r="V732" t="str">
            <v>FLOREZ CONDORI  JOSE WILLIANS</v>
          </cell>
        </row>
        <row r="733">
          <cell r="A733">
            <v>682</v>
          </cell>
          <cell r="B733">
            <v>42686</v>
          </cell>
          <cell r="C733" t="str">
            <v>NOVIEMBRE</v>
          </cell>
          <cell r="D733" t="str">
            <v>2016</v>
          </cell>
          <cell r="E733">
            <v>200</v>
          </cell>
          <cell r="F733" t="str">
            <v>TALLER</v>
          </cell>
          <cell r="G733" t="str">
            <v>TALLER</v>
          </cell>
          <cell r="H733" t="str">
            <v>TALLER</v>
          </cell>
          <cell r="I733" t="str">
            <v>TALLER</v>
          </cell>
          <cell r="J733" t="str">
            <v>REPUESTO</v>
          </cell>
          <cell r="K733" t="str">
            <v>SIKAFLEX</v>
          </cell>
          <cell r="L733">
            <v>1</v>
          </cell>
          <cell r="M733" t="str">
            <v>UNID.</v>
          </cell>
          <cell r="N733" t="str">
            <v>TALLER</v>
          </cell>
          <cell r="O733">
            <v>0</v>
          </cell>
          <cell r="P733" t="str">
            <v>E1</v>
          </cell>
          <cell r="Q733" t="str">
            <v>J1</v>
          </cell>
          <cell r="R733" t="str">
            <v>J5</v>
          </cell>
          <cell r="S733" t="str">
            <v>ENTREGADO</v>
          </cell>
          <cell r="T733">
            <v>42686</v>
          </cell>
          <cell r="U733" t="str">
            <v>PALOMINO CARDENAS JUAN CARLOS</v>
          </cell>
          <cell r="V733" t="str">
            <v>FLOREZ CONDORI  JOSE WILLIANS</v>
          </cell>
        </row>
        <row r="734">
          <cell r="A734">
            <v>683</v>
          </cell>
          <cell r="B734">
            <v>42686</v>
          </cell>
          <cell r="C734" t="str">
            <v>NOVIEMBRE</v>
          </cell>
          <cell r="D734" t="str">
            <v>2016</v>
          </cell>
          <cell r="E734">
            <v>200</v>
          </cell>
          <cell r="F734" t="str">
            <v>TALLER</v>
          </cell>
          <cell r="G734" t="str">
            <v>TALLER</v>
          </cell>
          <cell r="H734" t="str">
            <v>TALLER</v>
          </cell>
          <cell r="I734" t="str">
            <v>TALLER</v>
          </cell>
          <cell r="J734" t="str">
            <v>REPUESTO</v>
          </cell>
          <cell r="K734" t="str">
            <v>CINTA AISLANTE NEGRO</v>
          </cell>
          <cell r="L734">
            <v>1</v>
          </cell>
          <cell r="M734" t="str">
            <v>UNID.</v>
          </cell>
          <cell r="N734" t="str">
            <v>TALLER</v>
          </cell>
          <cell r="O734">
            <v>0</v>
          </cell>
          <cell r="P734" t="str">
            <v>E1</v>
          </cell>
          <cell r="Q734" t="str">
            <v>J1</v>
          </cell>
          <cell r="R734" t="str">
            <v>J5</v>
          </cell>
          <cell r="S734" t="str">
            <v>ENTREGADO</v>
          </cell>
          <cell r="T734">
            <v>42686</v>
          </cell>
          <cell r="U734" t="str">
            <v>PALOMINO CARDENAS JUAN CARLOS</v>
          </cell>
          <cell r="V734" t="str">
            <v>FLOREZ CONDORI  JOSE WILLIANS</v>
          </cell>
        </row>
        <row r="735">
          <cell r="A735">
            <v>696</v>
          </cell>
          <cell r="B735">
            <v>42686</v>
          </cell>
          <cell r="C735" t="str">
            <v>NOVIEMBRE</v>
          </cell>
          <cell r="D735" t="str">
            <v>2016</v>
          </cell>
          <cell r="E735">
            <v>200</v>
          </cell>
          <cell r="F735" t="str">
            <v>TALLER</v>
          </cell>
          <cell r="G735" t="str">
            <v>TALLER</v>
          </cell>
          <cell r="H735" t="str">
            <v>TALLER</v>
          </cell>
          <cell r="I735" t="str">
            <v>TALLER</v>
          </cell>
          <cell r="J735" t="str">
            <v>REPUESTO</v>
          </cell>
          <cell r="K735" t="str">
            <v>AFLOJATODO</v>
          </cell>
          <cell r="L735">
            <v>1</v>
          </cell>
          <cell r="M735" t="str">
            <v>UNID.</v>
          </cell>
          <cell r="N735" t="str">
            <v>TALLER</v>
          </cell>
          <cell r="O735">
            <v>0</v>
          </cell>
          <cell r="P735" t="str">
            <v>M4</v>
          </cell>
          <cell r="Q735" t="str">
            <v>J1</v>
          </cell>
          <cell r="R735" t="str">
            <v>J5</v>
          </cell>
          <cell r="S735" t="str">
            <v>ENTREGADO</v>
          </cell>
          <cell r="T735">
            <v>42686</v>
          </cell>
          <cell r="U735" t="str">
            <v>JULLIRI APAZA UBALDO</v>
          </cell>
          <cell r="V735" t="str">
            <v>FLOREZ CONDORI  JOSE WILLIANS</v>
          </cell>
        </row>
        <row r="736">
          <cell r="A736">
            <v>697</v>
          </cell>
          <cell r="B736">
            <v>42686</v>
          </cell>
          <cell r="C736" t="str">
            <v>NOVIEMBRE</v>
          </cell>
          <cell r="D736" t="str">
            <v>2016</v>
          </cell>
          <cell r="E736">
            <v>200</v>
          </cell>
          <cell r="F736" t="str">
            <v>TALLER</v>
          </cell>
          <cell r="G736" t="str">
            <v>TALLER</v>
          </cell>
          <cell r="H736" t="str">
            <v>TALLER</v>
          </cell>
          <cell r="I736" t="str">
            <v>TALLER</v>
          </cell>
          <cell r="J736" t="str">
            <v>REPUESTO</v>
          </cell>
          <cell r="K736" t="str">
            <v>ESPATULAS CHICAS</v>
          </cell>
          <cell r="L736">
            <v>2</v>
          </cell>
          <cell r="M736" t="str">
            <v>UNID.</v>
          </cell>
          <cell r="N736" t="str">
            <v>TALLER</v>
          </cell>
          <cell r="O736">
            <v>0</v>
          </cell>
          <cell r="P736" t="str">
            <v>M3</v>
          </cell>
          <cell r="Q736" t="str">
            <v>J1</v>
          </cell>
          <cell r="R736" t="str">
            <v>J5</v>
          </cell>
          <cell r="S736" t="str">
            <v>ENTREGADO</v>
          </cell>
          <cell r="T736">
            <v>42686</v>
          </cell>
          <cell r="U736" t="str">
            <v>GARCIA PASQUEL  JOSE LUIS</v>
          </cell>
          <cell r="V736" t="str">
            <v>FLOREZ CONDORI  JOSE WILLIANS</v>
          </cell>
        </row>
        <row r="737">
          <cell r="A737">
            <v>698</v>
          </cell>
          <cell r="B737">
            <v>42686</v>
          </cell>
          <cell r="C737" t="str">
            <v>NOVIEMBRE</v>
          </cell>
          <cell r="D737" t="str">
            <v>2016</v>
          </cell>
          <cell r="E737">
            <v>200</v>
          </cell>
          <cell r="F737" t="str">
            <v>TALLER</v>
          </cell>
          <cell r="G737" t="str">
            <v>TALLER</v>
          </cell>
          <cell r="H737" t="str">
            <v>TALLER</v>
          </cell>
          <cell r="I737" t="str">
            <v>TALLER</v>
          </cell>
          <cell r="J737" t="str">
            <v>EPPS</v>
          </cell>
          <cell r="K737" t="str">
            <v>TYBEK</v>
          </cell>
          <cell r="L737">
            <v>1</v>
          </cell>
          <cell r="M737" t="str">
            <v>UNID.</v>
          </cell>
          <cell r="N737" t="str">
            <v>TALLER</v>
          </cell>
          <cell r="O737">
            <v>0</v>
          </cell>
          <cell r="P737" t="str">
            <v>M7</v>
          </cell>
          <cell r="Q737" t="str">
            <v>J1</v>
          </cell>
          <cell r="R737" t="str">
            <v>J5</v>
          </cell>
          <cell r="S737" t="str">
            <v>ENTREGADO</v>
          </cell>
          <cell r="T737">
            <v>42686</v>
          </cell>
          <cell r="U737" t="str">
            <v>ROBLES ROJAS  JOSE MIGUEL</v>
          </cell>
          <cell r="V737" t="str">
            <v>FLOREZ CONDORI  JOSE WILLIANS</v>
          </cell>
        </row>
        <row r="738">
          <cell r="A738">
            <v>710</v>
          </cell>
          <cell r="B738">
            <v>42686</v>
          </cell>
          <cell r="C738" t="str">
            <v>NOVIEMBRE</v>
          </cell>
          <cell r="D738" t="str">
            <v>2016</v>
          </cell>
          <cell r="E738">
            <v>200</v>
          </cell>
          <cell r="F738" t="str">
            <v>TALLER</v>
          </cell>
          <cell r="G738" t="str">
            <v>TALLER</v>
          </cell>
          <cell r="H738" t="str">
            <v>TALLER</v>
          </cell>
          <cell r="I738" t="str">
            <v>TALLER</v>
          </cell>
          <cell r="J738" t="str">
            <v>HERRAMIENTAS</v>
          </cell>
          <cell r="K738" t="str">
            <v>MARCADOR INDUSTRIAL</v>
          </cell>
          <cell r="L738">
            <v>1</v>
          </cell>
          <cell r="M738" t="str">
            <v>UNID.</v>
          </cell>
          <cell r="N738" t="str">
            <v>TALLER</v>
          </cell>
          <cell r="O738">
            <v>0</v>
          </cell>
          <cell r="P738" t="str">
            <v>J5</v>
          </cell>
          <cell r="Q738" t="str">
            <v>J1</v>
          </cell>
          <cell r="R738" t="str">
            <v>J5</v>
          </cell>
          <cell r="S738" t="str">
            <v>ENTREGADO</v>
          </cell>
          <cell r="T738">
            <v>42686</v>
          </cell>
          <cell r="U738" t="str">
            <v>CONZA HUALLA NOELIA</v>
          </cell>
          <cell r="V738" t="str">
            <v>FLOREZ CONDORI  JOSE WILLIANS</v>
          </cell>
        </row>
        <row r="739">
          <cell r="A739">
            <v>711</v>
          </cell>
          <cell r="B739">
            <v>42686</v>
          </cell>
          <cell r="C739" t="str">
            <v>NOVIEMBRE</v>
          </cell>
          <cell r="D739" t="str">
            <v>2016</v>
          </cell>
          <cell r="E739">
            <v>200</v>
          </cell>
          <cell r="F739" t="str">
            <v>TALLER</v>
          </cell>
          <cell r="G739" t="str">
            <v>TALLER</v>
          </cell>
          <cell r="H739" t="str">
            <v>TALLER</v>
          </cell>
          <cell r="I739" t="str">
            <v>TALLER</v>
          </cell>
          <cell r="J739" t="str">
            <v>HERRAMIENTAS</v>
          </cell>
          <cell r="K739" t="str">
            <v>SPRAY BLANCO</v>
          </cell>
          <cell r="L739">
            <v>2</v>
          </cell>
          <cell r="M739" t="str">
            <v>UNID.</v>
          </cell>
          <cell r="N739" t="str">
            <v>TALLER</v>
          </cell>
          <cell r="O739">
            <v>0</v>
          </cell>
          <cell r="P739" t="str">
            <v>J5</v>
          </cell>
          <cell r="Q739" t="str">
            <v>J1</v>
          </cell>
          <cell r="R739" t="str">
            <v>J5</v>
          </cell>
          <cell r="S739" t="str">
            <v>ENTREGADO</v>
          </cell>
          <cell r="T739">
            <v>42686</v>
          </cell>
          <cell r="U739" t="str">
            <v>CONZA HUALLA NOELIA</v>
          </cell>
          <cell r="V739" t="str">
            <v>FLOREZ CONDORI  JOSE WILLIANS</v>
          </cell>
        </row>
        <row r="740">
          <cell r="A740">
            <v>681</v>
          </cell>
          <cell r="B740">
            <v>42686</v>
          </cell>
          <cell r="C740" t="str">
            <v>NOVIEMBRE</v>
          </cell>
          <cell r="D740" t="str">
            <v>2016</v>
          </cell>
          <cell r="E740">
            <v>295</v>
          </cell>
          <cell r="F740" t="str">
            <v>X2W-759</v>
          </cell>
          <cell r="G740" t="str">
            <v>C5V-999</v>
          </cell>
          <cell r="H740" t="str">
            <v>LAS BAMBAS</v>
          </cell>
          <cell r="I740">
            <v>150003</v>
          </cell>
          <cell r="J740" t="str">
            <v>REPUESTO</v>
          </cell>
          <cell r="K740" t="str">
            <v xml:space="preserve">TURBO COMPRESOR </v>
          </cell>
          <cell r="L740">
            <v>1</v>
          </cell>
          <cell r="M740" t="str">
            <v>UNID.</v>
          </cell>
          <cell r="N740" t="str">
            <v>TRACTO</v>
          </cell>
          <cell r="O740">
            <v>0</v>
          </cell>
          <cell r="P740" t="str">
            <v>M8</v>
          </cell>
          <cell r="Q740" t="str">
            <v>J1</v>
          </cell>
          <cell r="R740" t="str">
            <v>J1</v>
          </cell>
          <cell r="S740" t="str">
            <v>ENTREGADO</v>
          </cell>
          <cell r="T740">
            <v>42686</v>
          </cell>
          <cell r="U740" t="str">
            <v>VARILLAS GAGO  OSCAR ALBERTO</v>
          </cell>
          <cell r="V740" t="str">
            <v>FLOREZ CONDORI  JOSE WILLIANS</v>
          </cell>
        </row>
        <row r="741">
          <cell r="A741">
            <v>689</v>
          </cell>
          <cell r="B741">
            <v>42686</v>
          </cell>
          <cell r="C741" t="str">
            <v>NOVIEMBRE</v>
          </cell>
          <cell r="D741" t="str">
            <v>2016</v>
          </cell>
          <cell r="E741">
            <v>295</v>
          </cell>
          <cell r="F741" t="str">
            <v>X2W-759</v>
          </cell>
          <cell r="G741" t="str">
            <v>C5V-999</v>
          </cell>
          <cell r="H741" t="str">
            <v>LAS BAMBAS</v>
          </cell>
          <cell r="I741">
            <v>150003</v>
          </cell>
          <cell r="J741" t="str">
            <v>REPUESTO</v>
          </cell>
          <cell r="K741" t="str">
            <v xml:space="preserve">EMPAQUE RECTANGULAR DE TURBO </v>
          </cell>
          <cell r="L741">
            <v>1</v>
          </cell>
          <cell r="M741" t="str">
            <v>UNID.</v>
          </cell>
          <cell r="N741" t="str">
            <v>TRACTO</v>
          </cell>
          <cell r="O741">
            <v>0</v>
          </cell>
          <cell r="P741" t="str">
            <v>M8</v>
          </cell>
          <cell r="Q741" t="str">
            <v>J1</v>
          </cell>
          <cell r="R741" t="str">
            <v>J5</v>
          </cell>
          <cell r="S741" t="str">
            <v>ENTREGADO</v>
          </cell>
          <cell r="T741">
            <v>42686</v>
          </cell>
          <cell r="U741" t="str">
            <v>VARILLAS GAGO  OSCAR ALBERTO</v>
          </cell>
          <cell r="V741" t="str">
            <v>FLOREZ CONDORI  JOSE WILLIANS</v>
          </cell>
        </row>
        <row r="742">
          <cell r="A742">
            <v>690</v>
          </cell>
          <cell r="B742">
            <v>42686</v>
          </cell>
          <cell r="C742" t="str">
            <v>NOVIEMBRE</v>
          </cell>
          <cell r="D742" t="str">
            <v>2016</v>
          </cell>
          <cell r="E742">
            <v>295</v>
          </cell>
          <cell r="F742" t="str">
            <v>X2W-759</v>
          </cell>
          <cell r="G742" t="str">
            <v>C5V-999</v>
          </cell>
          <cell r="H742" t="str">
            <v>LAS BAMBAS</v>
          </cell>
          <cell r="I742">
            <v>150003</v>
          </cell>
          <cell r="J742" t="str">
            <v>REPUESTO</v>
          </cell>
          <cell r="K742" t="str">
            <v>EMPAQUE PARA RETORNO DE ACEITE</v>
          </cell>
          <cell r="L742">
            <v>1</v>
          </cell>
          <cell r="M742" t="str">
            <v>UNID.</v>
          </cell>
          <cell r="N742" t="str">
            <v>TRACTO</v>
          </cell>
          <cell r="O742">
            <v>0</v>
          </cell>
          <cell r="P742" t="str">
            <v>M8</v>
          </cell>
          <cell r="Q742" t="str">
            <v>J1</v>
          </cell>
          <cell r="R742" t="str">
            <v>J5</v>
          </cell>
          <cell r="S742" t="str">
            <v>ENTREGADO</v>
          </cell>
          <cell r="T742">
            <v>42686</v>
          </cell>
          <cell r="U742" t="str">
            <v>VARILLAS GAGO  OSCAR ALBERTO</v>
          </cell>
          <cell r="V742" t="str">
            <v>FLOREZ CONDORI  JOSE WILLIANS</v>
          </cell>
        </row>
        <row r="743">
          <cell r="A743">
            <v>691</v>
          </cell>
          <cell r="B743">
            <v>42686</v>
          </cell>
          <cell r="C743" t="str">
            <v>NOVIEMBRE</v>
          </cell>
          <cell r="D743" t="str">
            <v>2016</v>
          </cell>
          <cell r="E743">
            <v>295</v>
          </cell>
          <cell r="F743" t="str">
            <v>X2W-759</v>
          </cell>
          <cell r="G743" t="str">
            <v>C5V-999</v>
          </cell>
          <cell r="H743" t="str">
            <v>LAS BAMBAS</v>
          </cell>
          <cell r="I743">
            <v>150003</v>
          </cell>
          <cell r="J743" t="str">
            <v>REPUESTO</v>
          </cell>
          <cell r="K743" t="str">
            <v>ESPARRAGOS PARA BASE DE TURBO</v>
          </cell>
          <cell r="L743">
            <v>4</v>
          </cell>
          <cell r="M743" t="str">
            <v>UNID.</v>
          </cell>
          <cell r="N743" t="str">
            <v>TRACTO</v>
          </cell>
          <cell r="O743">
            <v>0</v>
          </cell>
          <cell r="P743" t="str">
            <v>M8</v>
          </cell>
          <cell r="Q743" t="str">
            <v>J1</v>
          </cell>
          <cell r="R743" t="str">
            <v>J5</v>
          </cell>
          <cell r="S743" t="str">
            <v>ENTREGADO</v>
          </cell>
          <cell r="T743">
            <v>42686</v>
          </cell>
          <cell r="U743" t="str">
            <v>VARILLAS GAGO  OSCAR ALBERTO</v>
          </cell>
          <cell r="V743" t="str">
            <v>FLOREZ CONDORI  JOSE WILLIANS</v>
          </cell>
        </row>
        <row r="744">
          <cell r="A744">
            <v>692</v>
          </cell>
          <cell r="B744">
            <v>42686</v>
          </cell>
          <cell r="C744" t="str">
            <v>NOVIEMBRE</v>
          </cell>
          <cell r="D744" t="str">
            <v>2016</v>
          </cell>
          <cell r="E744">
            <v>295</v>
          </cell>
          <cell r="F744" t="str">
            <v>X2W-759</v>
          </cell>
          <cell r="G744" t="str">
            <v>C5V-999</v>
          </cell>
          <cell r="H744" t="str">
            <v>LAS BAMBAS</v>
          </cell>
          <cell r="I744">
            <v>150003</v>
          </cell>
          <cell r="J744" t="str">
            <v>REPUESTO</v>
          </cell>
          <cell r="K744" t="str">
            <v>TUERCAS PARA ESPARRAGO DE BASE DE TURBO</v>
          </cell>
          <cell r="L744">
            <v>4</v>
          </cell>
          <cell r="M744" t="str">
            <v>UNID.</v>
          </cell>
          <cell r="N744" t="str">
            <v>TRACTO</v>
          </cell>
          <cell r="O744">
            <v>0</v>
          </cell>
          <cell r="P744" t="str">
            <v>M8</v>
          </cell>
          <cell r="Q744" t="str">
            <v>J1</v>
          </cell>
          <cell r="R744" t="str">
            <v>J5</v>
          </cell>
          <cell r="S744" t="str">
            <v>ENTREGADO</v>
          </cell>
          <cell r="T744">
            <v>42686</v>
          </cell>
          <cell r="U744" t="str">
            <v>VARILLAS GAGO  OSCAR ALBERTO</v>
          </cell>
          <cell r="V744" t="str">
            <v>FLOREZ CONDORI  JOSE WILLIANS</v>
          </cell>
        </row>
        <row r="745">
          <cell r="A745">
            <v>720</v>
          </cell>
          <cell r="B745">
            <v>42686</v>
          </cell>
          <cell r="C745" t="str">
            <v>NOVIEMBRE</v>
          </cell>
          <cell r="D745" t="str">
            <v>2016</v>
          </cell>
          <cell r="E745">
            <v>311</v>
          </cell>
          <cell r="F745" t="str">
            <v>X2W-791</v>
          </cell>
          <cell r="G745" t="str">
            <v>C5V-989</v>
          </cell>
          <cell r="H745" t="str">
            <v>LAS BAMBAS</v>
          </cell>
          <cell r="I745">
            <v>144606</v>
          </cell>
          <cell r="J745" t="str">
            <v>REPUESTO</v>
          </cell>
          <cell r="K745" t="str">
            <v>FILTRO DE ACEITE</v>
          </cell>
          <cell r="L745">
            <v>1</v>
          </cell>
          <cell r="M745" t="str">
            <v>UNID.</v>
          </cell>
          <cell r="N745" t="str">
            <v>TRACTO</v>
          </cell>
          <cell r="O745">
            <v>1</v>
          </cell>
          <cell r="P745" t="str">
            <v>J1</v>
          </cell>
          <cell r="Q745" t="str">
            <v>J1</v>
          </cell>
          <cell r="R745" t="str">
            <v>J5</v>
          </cell>
          <cell r="S745" t="str">
            <v>ENTREGADO</v>
          </cell>
          <cell r="T745">
            <v>42687</v>
          </cell>
          <cell r="U745" t="str">
            <v>FLOREZ CONDORI  JOSE WILLIANS</v>
          </cell>
          <cell r="V745" t="str">
            <v>FLOREZ CONDORI  JOSE WILLIANS</v>
          </cell>
        </row>
        <row r="746">
          <cell r="A746">
            <v>721</v>
          </cell>
          <cell r="B746">
            <v>42686</v>
          </cell>
          <cell r="C746" t="str">
            <v>NOVIEMBRE</v>
          </cell>
          <cell r="D746" t="str">
            <v>2016</v>
          </cell>
          <cell r="E746">
            <v>311</v>
          </cell>
          <cell r="F746" t="str">
            <v>X2W-791</v>
          </cell>
          <cell r="G746" t="str">
            <v>C5V-989</v>
          </cell>
          <cell r="H746" t="str">
            <v>LAS BAMBAS</v>
          </cell>
          <cell r="I746">
            <v>144606</v>
          </cell>
          <cell r="J746" t="str">
            <v>REPUESTO</v>
          </cell>
          <cell r="K746" t="str">
            <v>FILTRO DE COMBUSTIBLE</v>
          </cell>
          <cell r="L746">
            <v>1</v>
          </cell>
          <cell r="M746" t="str">
            <v>UNID.</v>
          </cell>
          <cell r="N746" t="str">
            <v>TRACTO</v>
          </cell>
          <cell r="O746">
            <v>1</v>
          </cell>
          <cell r="P746" t="str">
            <v>J1</v>
          </cell>
          <cell r="Q746" t="str">
            <v>J1</v>
          </cell>
          <cell r="R746" t="str">
            <v>J5</v>
          </cell>
          <cell r="S746" t="str">
            <v>ENTREGADO</v>
          </cell>
          <cell r="T746">
            <v>42687</v>
          </cell>
          <cell r="U746" t="str">
            <v>FLOREZ CONDORI  JOSE WILLIANS</v>
          </cell>
          <cell r="V746" t="str">
            <v>FLOREZ CONDORI  JOSE WILLIANS</v>
          </cell>
        </row>
        <row r="747">
          <cell r="A747">
            <v>722</v>
          </cell>
          <cell r="B747">
            <v>42686</v>
          </cell>
          <cell r="C747" t="str">
            <v>NOVIEMBRE</v>
          </cell>
          <cell r="D747" t="str">
            <v>2016</v>
          </cell>
          <cell r="E747">
            <v>311</v>
          </cell>
          <cell r="F747" t="str">
            <v>X2W-791</v>
          </cell>
          <cell r="G747" t="str">
            <v>C5V-989</v>
          </cell>
          <cell r="H747" t="str">
            <v>LAS BAMBAS</v>
          </cell>
          <cell r="I747">
            <v>144606</v>
          </cell>
          <cell r="J747" t="str">
            <v>REPUESTO</v>
          </cell>
          <cell r="K747" t="str">
            <v>FILTRO DE AIRE</v>
          </cell>
          <cell r="L747">
            <v>1</v>
          </cell>
          <cell r="M747" t="str">
            <v>UNID.</v>
          </cell>
          <cell r="N747" t="str">
            <v>TRACTO</v>
          </cell>
          <cell r="O747">
            <v>1</v>
          </cell>
          <cell r="P747" t="str">
            <v>J1</v>
          </cell>
          <cell r="Q747" t="str">
            <v>J1</v>
          </cell>
          <cell r="R747" t="str">
            <v>J5</v>
          </cell>
          <cell r="S747" t="str">
            <v>ENTREGADO</v>
          </cell>
          <cell r="T747">
            <v>42687</v>
          </cell>
          <cell r="U747" t="str">
            <v>FLOREZ CONDORI  JOSE WILLIANS</v>
          </cell>
          <cell r="V747" t="str">
            <v>FLOREZ CONDORI  JOSE WILLIANS</v>
          </cell>
        </row>
        <row r="748">
          <cell r="A748">
            <v>723</v>
          </cell>
          <cell r="B748">
            <v>42686</v>
          </cell>
          <cell r="C748" t="str">
            <v>NOVIEMBRE</v>
          </cell>
          <cell r="D748" t="str">
            <v>2016</v>
          </cell>
          <cell r="E748">
            <v>311</v>
          </cell>
          <cell r="F748" t="str">
            <v>X2W-791</v>
          </cell>
          <cell r="G748" t="str">
            <v>C5V-989</v>
          </cell>
          <cell r="H748" t="str">
            <v>LAS BAMBAS</v>
          </cell>
          <cell r="I748">
            <v>144606</v>
          </cell>
          <cell r="J748" t="str">
            <v>REPUESTO</v>
          </cell>
          <cell r="K748" t="str">
            <v>ACEITE DE MOTOR 15W40</v>
          </cell>
          <cell r="L748">
            <v>2</v>
          </cell>
          <cell r="M748" t="str">
            <v>GLNS.</v>
          </cell>
          <cell r="N748" t="str">
            <v>TRACTO</v>
          </cell>
          <cell r="O748">
            <v>1</v>
          </cell>
          <cell r="P748" t="str">
            <v>J1</v>
          </cell>
          <cell r="Q748" t="str">
            <v>J1</v>
          </cell>
          <cell r="R748" t="str">
            <v>J5</v>
          </cell>
          <cell r="S748" t="str">
            <v>ENTREGADO</v>
          </cell>
          <cell r="T748">
            <v>42687</v>
          </cell>
          <cell r="U748" t="str">
            <v>FLOREZ CONDORI  JOSE WILLIANS</v>
          </cell>
          <cell r="V748" t="str">
            <v>FLOREZ CONDORI  JOSE WILLIANS</v>
          </cell>
        </row>
        <row r="749">
          <cell r="A749">
            <v>748</v>
          </cell>
          <cell r="B749">
            <v>42687</v>
          </cell>
          <cell r="C749" t="str">
            <v>NOVIEMBRE</v>
          </cell>
          <cell r="D749" t="str">
            <v>2016</v>
          </cell>
          <cell r="E749">
            <v>308</v>
          </cell>
          <cell r="F749" t="str">
            <v>A9H-889</v>
          </cell>
          <cell r="G749" t="str">
            <v>CAMION</v>
          </cell>
          <cell r="H749" t="str">
            <v>TAMBOMAYO</v>
          </cell>
          <cell r="I749">
            <v>120654</v>
          </cell>
          <cell r="J749" t="str">
            <v>SERVICIO</v>
          </cell>
          <cell r="K749" t="str">
            <v>REPARACION DE INTERCULER</v>
          </cell>
          <cell r="L749">
            <v>1</v>
          </cell>
          <cell r="M749" t="str">
            <v>UNID.</v>
          </cell>
          <cell r="N749" t="str">
            <v>TRACTO</v>
          </cell>
          <cell r="O749">
            <v>103</v>
          </cell>
          <cell r="P749" t="str">
            <v>M2</v>
          </cell>
          <cell r="Q749" t="str">
            <v>J2</v>
          </cell>
          <cell r="R749" t="str">
            <v>J2</v>
          </cell>
          <cell r="S749" t="str">
            <v>ENTREGADO</v>
          </cell>
          <cell r="T749">
            <v>0</v>
          </cell>
          <cell r="U749" t="str">
            <v>CHUMPITAZ GAGO JULIO ENRIQUE</v>
          </cell>
          <cell r="V749" t="str">
            <v>CORIHUAMAN SURCO  ERICK ROBERT</v>
          </cell>
        </row>
        <row r="750">
          <cell r="A750">
            <v>730</v>
          </cell>
          <cell r="B750">
            <v>42687</v>
          </cell>
          <cell r="C750" t="str">
            <v>NOVIEMBRE</v>
          </cell>
          <cell r="D750" t="str">
            <v>2016</v>
          </cell>
          <cell r="E750">
            <v>317</v>
          </cell>
          <cell r="F750" t="str">
            <v>ABQ-704</v>
          </cell>
          <cell r="G750" t="str">
            <v>TBB-995</v>
          </cell>
          <cell r="H750" t="str">
            <v>LAS BAMBAS</v>
          </cell>
          <cell r="I750">
            <v>107424</v>
          </cell>
          <cell r="J750" t="str">
            <v>REPUESTO</v>
          </cell>
          <cell r="K750" t="str">
            <v xml:space="preserve">PERNOS DE 9/16" X 6" </v>
          </cell>
          <cell r="L750">
            <v>3</v>
          </cell>
          <cell r="M750" t="str">
            <v>UNID.</v>
          </cell>
          <cell r="N750" t="str">
            <v>CISTERNA</v>
          </cell>
          <cell r="O750">
            <v>0</v>
          </cell>
          <cell r="P750" t="str">
            <v>S1</v>
          </cell>
          <cell r="Q750" t="str">
            <v>J2</v>
          </cell>
          <cell r="R750" t="str">
            <v>J2</v>
          </cell>
          <cell r="S750" t="str">
            <v>ENTREGADO</v>
          </cell>
          <cell r="T750">
            <v>42687</v>
          </cell>
          <cell r="U750" t="str">
            <v>BAYONA CRUZ CRISTIAN ARMANDO</v>
          </cell>
          <cell r="V750" t="str">
            <v>CORIHUAMAN SURCO  ERICK ROBERT</v>
          </cell>
        </row>
        <row r="751">
          <cell r="A751">
            <v>731</v>
          </cell>
          <cell r="B751">
            <v>42687</v>
          </cell>
          <cell r="C751" t="str">
            <v>NOVIEMBRE</v>
          </cell>
          <cell r="D751" t="str">
            <v>2016</v>
          </cell>
          <cell r="E751">
            <v>316</v>
          </cell>
          <cell r="F751" t="str">
            <v>ABQ-705</v>
          </cell>
          <cell r="G751" t="str">
            <v>D0Z-996</v>
          </cell>
          <cell r="H751" t="str">
            <v>LAS BAMBAS</v>
          </cell>
          <cell r="I751">
            <v>105500</v>
          </cell>
          <cell r="J751" t="str">
            <v>REPUESTO</v>
          </cell>
          <cell r="K751" t="str">
            <v xml:space="preserve">TRACTO - VALVULA RELAY </v>
          </cell>
          <cell r="L751">
            <v>1</v>
          </cell>
          <cell r="M751" t="str">
            <v>UNID.</v>
          </cell>
          <cell r="N751" t="str">
            <v>TRACTO</v>
          </cell>
          <cell r="O751">
            <v>103</v>
          </cell>
          <cell r="P751" t="str">
            <v>M5</v>
          </cell>
          <cell r="Q751" t="str">
            <v>J2</v>
          </cell>
          <cell r="R751" t="str">
            <v>J2</v>
          </cell>
          <cell r="S751" t="str">
            <v>ENTREGADO</v>
          </cell>
          <cell r="T751">
            <v>0</v>
          </cell>
          <cell r="U751" t="str">
            <v>LOPEZ RUIZ WILBERTO</v>
          </cell>
          <cell r="V751" t="str">
            <v>CORIHUAMAN SURCO  ERICK ROBERT</v>
          </cell>
        </row>
        <row r="752">
          <cell r="A752">
            <v>740</v>
          </cell>
          <cell r="B752">
            <v>42687</v>
          </cell>
          <cell r="C752" t="str">
            <v>NOVIEMBRE</v>
          </cell>
          <cell r="D752" t="str">
            <v>2016</v>
          </cell>
          <cell r="E752">
            <v>316</v>
          </cell>
          <cell r="F752" t="str">
            <v>ABQ-705</v>
          </cell>
          <cell r="G752" t="str">
            <v>D0Z-996</v>
          </cell>
          <cell r="H752" t="str">
            <v>LAS BAMBAS</v>
          </cell>
          <cell r="I752">
            <v>105500</v>
          </cell>
          <cell r="J752" t="str">
            <v>MATERIALES</v>
          </cell>
          <cell r="K752" t="str">
            <v>REFRIGERANTE</v>
          </cell>
          <cell r="L752">
            <v>1</v>
          </cell>
          <cell r="M752" t="str">
            <v>GLNS.</v>
          </cell>
          <cell r="N752" t="str">
            <v>TRACTO</v>
          </cell>
          <cell r="O752">
            <v>0</v>
          </cell>
          <cell r="P752" t="str">
            <v>M5</v>
          </cell>
          <cell r="Q752" t="str">
            <v>J2</v>
          </cell>
          <cell r="R752" t="str">
            <v>J2</v>
          </cell>
          <cell r="S752" t="str">
            <v>ENTREGADO</v>
          </cell>
          <cell r="T752">
            <v>42687</v>
          </cell>
          <cell r="U752" t="str">
            <v>LOPEZ RUIZ WILBERTO</v>
          </cell>
          <cell r="V752" t="str">
            <v>CORIHUAMAN SURCO  ERICK ROBERT</v>
          </cell>
        </row>
        <row r="753">
          <cell r="A753">
            <v>741</v>
          </cell>
          <cell r="B753">
            <v>42687</v>
          </cell>
          <cell r="C753" t="str">
            <v>NOVIEMBRE</v>
          </cell>
          <cell r="D753" t="str">
            <v>2016</v>
          </cell>
          <cell r="E753">
            <v>316</v>
          </cell>
          <cell r="F753" t="str">
            <v>ABQ-705</v>
          </cell>
          <cell r="G753" t="str">
            <v>D0Z-996</v>
          </cell>
          <cell r="H753" t="str">
            <v>LAS BAMBAS</v>
          </cell>
          <cell r="I753">
            <v>105500</v>
          </cell>
          <cell r="J753" t="str">
            <v>MATERIALES</v>
          </cell>
          <cell r="K753" t="str">
            <v>LIMPIA PARABRISAS</v>
          </cell>
          <cell r="L753">
            <v>1</v>
          </cell>
          <cell r="M753" t="str">
            <v>GLNS.</v>
          </cell>
          <cell r="N753" t="str">
            <v>TRACTO</v>
          </cell>
          <cell r="O753">
            <v>0</v>
          </cell>
          <cell r="P753" t="str">
            <v>M5</v>
          </cell>
          <cell r="Q753" t="str">
            <v>J2</v>
          </cell>
          <cell r="R753" t="str">
            <v>J2</v>
          </cell>
          <cell r="S753" t="str">
            <v>ENTREGADO</v>
          </cell>
          <cell r="T753">
            <v>42687</v>
          </cell>
          <cell r="U753" t="str">
            <v>LOPEZ RUIZ WILBERTO</v>
          </cell>
          <cell r="V753" t="str">
            <v>CORIHUAMAN SURCO  ERICK ROBERT</v>
          </cell>
        </row>
        <row r="754">
          <cell r="A754">
            <v>743</v>
          </cell>
          <cell r="B754">
            <v>42687</v>
          </cell>
          <cell r="C754" t="str">
            <v>NOVIEMBRE</v>
          </cell>
          <cell r="D754" t="str">
            <v>2016</v>
          </cell>
          <cell r="E754">
            <v>314</v>
          </cell>
          <cell r="F754" t="str">
            <v>ABQ-780</v>
          </cell>
          <cell r="G754" t="str">
            <v>C9S-990</v>
          </cell>
          <cell r="H754" t="str">
            <v>LAS BAMBAS</v>
          </cell>
          <cell r="I754">
            <v>112664</v>
          </cell>
          <cell r="J754" t="str">
            <v>MATERIALES</v>
          </cell>
          <cell r="K754" t="str">
            <v>PARCHE NRO 10</v>
          </cell>
          <cell r="L754">
            <v>1</v>
          </cell>
          <cell r="M754" t="str">
            <v>UNID.</v>
          </cell>
          <cell r="N754" t="str">
            <v>CISTERNA</v>
          </cell>
          <cell r="O754">
            <v>0</v>
          </cell>
          <cell r="P754" t="str">
            <v>N1</v>
          </cell>
          <cell r="Q754" t="str">
            <v>J2</v>
          </cell>
          <cell r="R754" t="str">
            <v>J2</v>
          </cell>
          <cell r="S754" t="str">
            <v>ENTREGADO</v>
          </cell>
          <cell r="T754">
            <v>42687</v>
          </cell>
          <cell r="U754" t="str">
            <v>AGUILAR CCANTUTA WILLY</v>
          </cell>
          <cell r="V754" t="str">
            <v>CORIHUAMAN SURCO  ERICK ROBERT</v>
          </cell>
        </row>
        <row r="755">
          <cell r="A755">
            <v>744</v>
          </cell>
          <cell r="B755">
            <v>42687</v>
          </cell>
          <cell r="C755" t="str">
            <v>NOVIEMBRE</v>
          </cell>
          <cell r="D755" t="str">
            <v>2016</v>
          </cell>
          <cell r="E755">
            <v>314</v>
          </cell>
          <cell r="F755" t="str">
            <v>ABQ-780</v>
          </cell>
          <cell r="G755" t="str">
            <v>C9S-990</v>
          </cell>
          <cell r="H755" t="str">
            <v>LAS BAMBAS</v>
          </cell>
          <cell r="I755">
            <v>112664</v>
          </cell>
          <cell r="J755" t="str">
            <v>MATERIALES</v>
          </cell>
          <cell r="K755" t="str">
            <v>PARCHE NRO 12</v>
          </cell>
          <cell r="L755">
            <v>1</v>
          </cell>
          <cell r="M755" t="str">
            <v>UNID.</v>
          </cell>
          <cell r="N755" t="str">
            <v>CISTERNA</v>
          </cell>
          <cell r="O755">
            <v>0</v>
          </cell>
          <cell r="P755" t="str">
            <v>N1</v>
          </cell>
          <cell r="Q755" t="str">
            <v>J2</v>
          </cell>
          <cell r="R755" t="str">
            <v>J2</v>
          </cell>
          <cell r="S755" t="str">
            <v>ENTREGADO</v>
          </cell>
          <cell r="T755">
            <v>42687</v>
          </cell>
          <cell r="U755" t="str">
            <v>AGUILAR CCANTUTA WILLY</v>
          </cell>
          <cell r="V755" t="str">
            <v>CORIHUAMAN SURCO  ERICK ROBERT</v>
          </cell>
        </row>
        <row r="756">
          <cell r="A756">
            <v>745</v>
          </cell>
          <cell r="B756">
            <v>42687</v>
          </cell>
          <cell r="C756" t="str">
            <v>NOVIEMBRE</v>
          </cell>
          <cell r="D756" t="str">
            <v>2016</v>
          </cell>
          <cell r="E756">
            <v>305</v>
          </cell>
          <cell r="F756" t="str">
            <v>ABS-700</v>
          </cell>
          <cell r="G756" t="str">
            <v>TBC-971</v>
          </cell>
          <cell r="H756" t="str">
            <v>LAS BAMBAS</v>
          </cell>
          <cell r="I756">
            <v>95862</v>
          </cell>
          <cell r="J756" t="str">
            <v>REPUESTO</v>
          </cell>
          <cell r="K756" t="str">
            <v xml:space="preserve">MAXI BRECK </v>
          </cell>
          <cell r="L756">
            <v>1</v>
          </cell>
          <cell r="M756" t="str">
            <v>UNID.</v>
          </cell>
          <cell r="N756" t="str">
            <v>TRACTO</v>
          </cell>
          <cell r="O756">
            <v>0</v>
          </cell>
          <cell r="P756" t="str">
            <v>M5</v>
          </cell>
          <cell r="Q756" t="str">
            <v>J2</v>
          </cell>
          <cell r="R756" t="str">
            <v>J2</v>
          </cell>
          <cell r="S756" t="str">
            <v>ENTREGADO</v>
          </cell>
          <cell r="T756">
            <v>42687</v>
          </cell>
          <cell r="U756" t="str">
            <v>LOPEZ RUIZ WILBERTO</v>
          </cell>
          <cell r="V756" t="str">
            <v>CORIHUAMAN SURCO  ERICK ROBERT</v>
          </cell>
        </row>
        <row r="757">
          <cell r="A757">
            <v>733</v>
          </cell>
          <cell r="B757">
            <v>42687</v>
          </cell>
          <cell r="C757" t="str">
            <v>NOVIEMBRE</v>
          </cell>
          <cell r="D757" t="str">
            <v>2016</v>
          </cell>
          <cell r="E757">
            <v>310</v>
          </cell>
          <cell r="F757" t="str">
            <v>AEH-920</v>
          </cell>
          <cell r="G757" t="str">
            <v>CAMIONETA</v>
          </cell>
          <cell r="H757" t="str">
            <v>LAS BAMBAS</v>
          </cell>
          <cell r="I757">
            <v>85226</v>
          </cell>
          <cell r="J757" t="str">
            <v>REPUESTO</v>
          </cell>
          <cell r="K757" t="str">
            <v>UNIO DE BRONCE CONO Y GUIA</v>
          </cell>
          <cell r="L757">
            <v>1</v>
          </cell>
          <cell r="M757" t="str">
            <v>UNID.</v>
          </cell>
          <cell r="N757" t="str">
            <v>CISTERNA</v>
          </cell>
          <cell r="O757">
            <v>0</v>
          </cell>
          <cell r="P757" t="str">
            <v>M7</v>
          </cell>
          <cell r="Q757" t="str">
            <v>J2</v>
          </cell>
          <cell r="R757" t="str">
            <v>J2</v>
          </cell>
          <cell r="S757" t="str">
            <v>ENTREGADO</v>
          </cell>
          <cell r="T757">
            <v>42687</v>
          </cell>
          <cell r="U757" t="str">
            <v>ROBLES ROJAS  JOSE MIGUEL</v>
          </cell>
          <cell r="V757" t="str">
            <v>CORIHUAMAN SURCO  ERICK ROBERT</v>
          </cell>
        </row>
        <row r="758">
          <cell r="A758">
            <v>734</v>
          </cell>
          <cell r="B758">
            <v>42687</v>
          </cell>
          <cell r="C758" t="str">
            <v>NOVIEMBRE</v>
          </cell>
          <cell r="D758" t="str">
            <v>2016</v>
          </cell>
          <cell r="E758">
            <v>310</v>
          </cell>
          <cell r="F758" t="str">
            <v>AEH-920</v>
          </cell>
          <cell r="G758" t="str">
            <v>CAMIONETA</v>
          </cell>
          <cell r="H758" t="str">
            <v>LAS BAMBAS</v>
          </cell>
          <cell r="I758">
            <v>85226</v>
          </cell>
          <cell r="J758" t="str">
            <v>REPUESTO</v>
          </cell>
          <cell r="K758" t="str">
            <v>CONECTOR DE 3/8 X 3/8</v>
          </cell>
          <cell r="L758">
            <v>2</v>
          </cell>
          <cell r="M758" t="str">
            <v>UNID.</v>
          </cell>
          <cell r="N758" t="str">
            <v>CISTERNA</v>
          </cell>
          <cell r="O758">
            <v>0</v>
          </cell>
          <cell r="P758" t="str">
            <v>M7</v>
          </cell>
          <cell r="Q758" t="str">
            <v>J2</v>
          </cell>
          <cell r="R758" t="str">
            <v>J2</v>
          </cell>
          <cell r="S758" t="str">
            <v>ENTREGADO</v>
          </cell>
          <cell r="T758">
            <v>42687</v>
          </cell>
          <cell r="U758" t="str">
            <v>ROBLES ROJAS  JOSE MIGUEL</v>
          </cell>
          <cell r="V758" t="str">
            <v>CORIHUAMAN SURCO  ERICK ROBERT</v>
          </cell>
        </row>
        <row r="759">
          <cell r="A759">
            <v>735</v>
          </cell>
          <cell r="B759">
            <v>42687</v>
          </cell>
          <cell r="C759" t="str">
            <v>NOVIEMBRE</v>
          </cell>
          <cell r="D759" t="str">
            <v>2016</v>
          </cell>
          <cell r="E759">
            <v>310</v>
          </cell>
          <cell r="F759" t="str">
            <v>AEH-920</v>
          </cell>
          <cell r="G759" t="str">
            <v>CAMIONETA</v>
          </cell>
          <cell r="H759" t="str">
            <v>LAS BAMBAS</v>
          </cell>
          <cell r="I759">
            <v>85226</v>
          </cell>
          <cell r="J759" t="str">
            <v>MATERIALES</v>
          </cell>
          <cell r="K759" t="str">
            <v>PRESINTOS</v>
          </cell>
          <cell r="L759">
            <v>1</v>
          </cell>
          <cell r="M759" t="str">
            <v>UNID.</v>
          </cell>
          <cell r="N759" t="str">
            <v>CISTERNA</v>
          </cell>
          <cell r="O759">
            <v>0</v>
          </cell>
          <cell r="P759" t="str">
            <v>M7</v>
          </cell>
          <cell r="Q759" t="str">
            <v>J2</v>
          </cell>
          <cell r="R759" t="str">
            <v>J2</v>
          </cell>
          <cell r="S759" t="str">
            <v>ENTREGADO</v>
          </cell>
          <cell r="T759">
            <v>42687</v>
          </cell>
          <cell r="U759" t="str">
            <v>ROBLES ROJAS  JOSE MIGUEL</v>
          </cell>
          <cell r="V759" t="str">
            <v>CORIHUAMAN SURCO  ERICK ROBERT</v>
          </cell>
        </row>
        <row r="760">
          <cell r="A760">
            <v>736</v>
          </cell>
          <cell r="B760">
            <v>42687</v>
          </cell>
          <cell r="C760" t="str">
            <v>NOVIEMBRE</v>
          </cell>
          <cell r="D760" t="str">
            <v>2016</v>
          </cell>
          <cell r="E760">
            <v>310</v>
          </cell>
          <cell r="F760" t="str">
            <v>AEH-920</v>
          </cell>
          <cell r="G760" t="str">
            <v>CAMIONETA</v>
          </cell>
          <cell r="H760" t="str">
            <v>LAS BAMBAS</v>
          </cell>
          <cell r="I760">
            <v>85226</v>
          </cell>
          <cell r="J760" t="str">
            <v>MATERIALES</v>
          </cell>
          <cell r="K760" t="str">
            <v>REFRIGERANTE</v>
          </cell>
          <cell r="L760">
            <v>2</v>
          </cell>
          <cell r="M760" t="str">
            <v>GLNS.</v>
          </cell>
          <cell r="N760" t="str">
            <v>TRACTO</v>
          </cell>
          <cell r="O760">
            <v>0</v>
          </cell>
          <cell r="P760" t="str">
            <v>M7</v>
          </cell>
          <cell r="Q760" t="str">
            <v>J2</v>
          </cell>
          <cell r="R760" t="str">
            <v>J2</v>
          </cell>
          <cell r="S760" t="str">
            <v>ENTREGADO</v>
          </cell>
          <cell r="T760">
            <v>42687</v>
          </cell>
          <cell r="U760" t="str">
            <v>ROBLES ROJAS  JOSE MIGUEL</v>
          </cell>
          <cell r="V760" t="str">
            <v>CORIHUAMAN SURCO  ERICK ROBERT</v>
          </cell>
        </row>
        <row r="761">
          <cell r="A761">
            <v>737</v>
          </cell>
          <cell r="B761">
            <v>42687</v>
          </cell>
          <cell r="C761" t="str">
            <v>NOVIEMBRE</v>
          </cell>
          <cell r="D761" t="str">
            <v>2016</v>
          </cell>
          <cell r="E761">
            <v>310</v>
          </cell>
          <cell r="F761" t="str">
            <v>AEH-920</v>
          </cell>
          <cell r="G761" t="str">
            <v>CAMIONETA</v>
          </cell>
          <cell r="H761" t="str">
            <v>LAS BAMBAS</v>
          </cell>
          <cell r="I761">
            <v>85226</v>
          </cell>
          <cell r="J761" t="str">
            <v>REPUESTO</v>
          </cell>
          <cell r="K761" t="str">
            <v>PERNO DE 1/2 X 4"</v>
          </cell>
          <cell r="L761">
            <v>1</v>
          </cell>
          <cell r="M761" t="str">
            <v>UNID.</v>
          </cell>
          <cell r="N761" t="str">
            <v>TRACTO</v>
          </cell>
          <cell r="O761">
            <v>0</v>
          </cell>
          <cell r="P761" t="str">
            <v>M7</v>
          </cell>
          <cell r="Q761" t="str">
            <v>J2</v>
          </cell>
          <cell r="R761" t="str">
            <v>J2</v>
          </cell>
          <cell r="S761" t="str">
            <v>ENTREGADO</v>
          </cell>
          <cell r="T761">
            <v>42687</v>
          </cell>
          <cell r="U761" t="str">
            <v>ROBLES ROJAS  JOSE MIGUEL</v>
          </cell>
          <cell r="V761" t="str">
            <v>CORIHUAMAN SURCO  ERICK ROBERT</v>
          </cell>
        </row>
        <row r="762">
          <cell r="A762">
            <v>738</v>
          </cell>
          <cell r="B762">
            <v>42687</v>
          </cell>
          <cell r="C762" t="str">
            <v>NOVIEMBRE</v>
          </cell>
          <cell r="D762" t="str">
            <v>2016</v>
          </cell>
          <cell r="E762">
            <v>310</v>
          </cell>
          <cell r="F762" t="str">
            <v>AEH-920</v>
          </cell>
          <cell r="G762" t="str">
            <v>CAMIONETA</v>
          </cell>
          <cell r="H762" t="str">
            <v>LAS BAMBAS</v>
          </cell>
          <cell r="I762">
            <v>85226</v>
          </cell>
          <cell r="J762" t="str">
            <v>REPUESTO</v>
          </cell>
          <cell r="K762" t="str">
            <v>ARANDELAS DE 1/2</v>
          </cell>
          <cell r="L762">
            <v>4</v>
          </cell>
          <cell r="M762" t="str">
            <v>UNID.</v>
          </cell>
          <cell r="N762" t="str">
            <v>TRACTO</v>
          </cell>
          <cell r="O762">
            <v>0</v>
          </cell>
          <cell r="P762" t="str">
            <v>M7</v>
          </cell>
          <cell r="Q762" t="str">
            <v>J2</v>
          </cell>
          <cell r="R762" t="str">
            <v>J2</v>
          </cell>
          <cell r="S762" t="str">
            <v>ENTREGADO</v>
          </cell>
          <cell r="T762">
            <v>42687</v>
          </cell>
          <cell r="U762" t="str">
            <v>ROBLES ROJAS  JOSE MIGUEL</v>
          </cell>
          <cell r="V762" t="str">
            <v>CORIHUAMAN SURCO  ERICK ROBERT</v>
          </cell>
        </row>
        <row r="763">
          <cell r="A763">
            <v>746</v>
          </cell>
          <cell r="B763">
            <v>42687</v>
          </cell>
          <cell r="C763" t="str">
            <v>NOVIEMBRE</v>
          </cell>
          <cell r="D763" t="str">
            <v>2016</v>
          </cell>
          <cell r="E763">
            <v>312</v>
          </cell>
          <cell r="F763" t="str">
            <v>C9M-902</v>
          </cell>
          <cell r="G763" t="str">
            <v>B8L-970</v>
          </cell>
          <cell r="H763" t="str">
            <v>LAS BAMBAS</v>
          </cell>
          <cell r="I763">
            <v>207199</v>
          </cell>
          <cell r="J763" t="str">
            <v>REPUESTO</v>
          </cell>
          <cell r="K763" t="str">
            <v>BLOQUEADOR DE CORRIENTE</v>
          </cell>
          <cell r="L763">
            <v>1</v>
          </cell>
          <cell r="M763" t="str">
            <v>UNID.</v>
          </cell>
          <cell r="N763" t="str">
            <v>TRACTO</v>
          </cell>
          <cell r="O763">
            <v>103</v>
          </cell>
          <cell r="P763" t="str">
            <v>M2</v>
          </cell>
          <cell r="Q763" t="str">
            <v>J2</v>
          </cell>
          <cell r="R763" t="str">
            <v>J2</v>
          </cell>
          <cell r="S763" t="str">
            <v>ENTREGADO</v>
          </cell>
          <cell r="T763">
            <v>0</v>
          </cell>
          <cell r="U763" t="str">
            <v>CHUMPITAZ GAGO JULIO ENRIQUE</v>
          </cell>
          <cell r="V763" t="str">
            <v>CORIHUAMAN SURCO  ERICK ROBERT</v>
          </cell>
        </row>
        <row r="764">
          <cell r="A764">
            <v>747</v>
          </cell>
          <cell r="B764">
            <v>42687</v>
          </cell>
          <cell r="C764" t="str">
            <v>NOVIEMBRE</v>
          </cell>
          <cell r="D764" t="str">
            <v>2016</v>
          </cell>
          <cell r="E764">
            <v>312</v>
          </cell>
          <cell r="F764" t="str">
            <v>C9M-902</v>
          </cell>
          <cell r="G764" t="str">
            <v>B8L-970</v>
          </cell>
          <cell r="H764" t="str">
            <v>LAS BAMBAS</v>
          </cell>
          <cell r="I764">
            <v>207199</v>
          </cell>
          <cell r="J764" t="str">
            <v>REPUESTO</v>
          </cell>
          <cell r="K764" t="str">
            <v>PALANCA DE LUCES</v>
          </cell>
          <cell r="L764">
            <v>1</v>
          </cell>
          <cell r="M764" t="str">
            <v>UNID.</v>
          </cell>
          <cell r="N764" t="str">
            <v>TRACTO</v>
          </cell>
          <cell r="O764">
            <v>103</v>
          </cell>
          <cell r="P764" t="str">
            <v>M2</v>
          </cell>
          <cell r="Q764" t="str">
            <v>J2</v>
          </cell>
          <cell r="R764" t="str">
            <v>J2</v>
          </cell>
          <cell r="S764" t="str">
            <v>ENTREGADO</v>
          </cell>
          <cell r="T764">
            <v>0</v>
          </cell>
          <cell r="U764" t="str">
            <v>CHUMPITAZ GAGO JULIO ENRIQUE</v>
          </cell>
          <cell r="V764" t="str">
            <v>CORIHUAMAN SURCO  ERICK ROBERT</v>
          </cell>
        </row>
        <row r="765">
          <cell r="A765">
            <v>725</v>
          </cell>
          <cell r="B765">
            <v>42687</v>
          </cell>
          <cell r="C765" t="str">
            <v>NOVIEMBRE</v>
          </cell>
          <cell r="D765" t="str">
            <v>2016</v>
          </cell>
          <cell r="E765">
            <v>313</v>
          </cell>
          <cell r="F765" t="str">
            <v>D3S-767</v>
          </cell>
          <cell r="G765" t="str">
            <v>B8L-973</v>
          </cell>
          <cell r="H765" t="str">
            <v>LAS BAMBAS</v>
          </cell>
          <cell r="I765">
            <v>181571</v>
          </cell>
          <cell r="J765" t="str">
            <v>REPUESTO</v>
          </cell>
          <cell r="K765" t="str">
            <v>MUELLE DE 1/2 X 30 cm X 3 1/2 (USADOS)</v>
          </cell>
          <cell r="L765">
            <v>1</v>
          </cell>
          <cell r="M765" t="str">
            <v>UNID.</v>
          </cell>
          <cell r="N765" t="str">
            <v>CISTERNA</v>
          </cell>
          <cell r="O765">
            <v>103</v>
          </cell>
          <cell r="P765" t="str">
            <v>M2</v>
          </cell>
          <cell r="Q765" t="str">
            <v>J2</v>
          </cell>
          <cell r="R765" t="str">
            <v>J2</v>
          </cell>
          <cell r="S765" t="str">
            <v>ENTREGADO</v>
          </cell>
          <cell r="T765">
            <v>0</v>
          </cell>
          <cell r="U765" t="str">
            <v>CHUMPITAZ GAGO JULIO ENRIQUE</v>
          </cell>
          <cell r="V765" t="str">
            <v>CORIHUAMAN SURCO  ERICK ROBERT</v>
          </cell>
        </row>
        <row r="766">
          <cell r="A766">
            <v>726</v>
          </cell>
          <cell r="B766">
            <v>42687</v>
          </cell>
          <cell r="C766" t="str">
            <v>NOVIEMBRE</v>
          </cell>
          <cell r="D766" t="str">
            <v>2016</v>
          </cell>
          <cell r="E766">
            <v>313</v>
          </cell>
          <cell r="F766" t="str">
            <v>D3S-767</v>
          </cell>
          <cell r="G766" t="str">
            <v>B8L-973</v>
          </cell>
          <cell r="H766" t="str">
            <v>LAS BAMBAS</v>
          </cell>
          <cell r="I766">
            <v>181571</v>
          </cell>
          <cell r="J766" t="str">
            <v>REPUESTO</v>
          </cell>
          <cell r="K766" t="str">
            <v>MUELLE DE 1/2 X 36 cm X 3 1/2 (USADOS)</v>
          </cell>
          <cell r="L766">
            <v>1</v>
          </cell>
          <cell r="M766" t="str">
            <v>UNID.</v>
          </cell>
          <cell r="N766" t="str">
            <v>CISTERNA</v>
          </cell>
          <cell r="O766">
            <v>103</v>
          </cell>
          <cell r="P766" t="str">
            <v>M2</v>
          </cell>
          <cell r="Q766" t="str">
            <v>J2</v>
          </cell>
          <cell r="R766" t="str">
            <v>J2</v>
          </cell>
          <cell r="S766" t="str">
            <v>ENTREGADO</v>
          </cell>
          <cell r="T766">
            <v>0</v>
          </cell>
          <cell r="U766" t="str">
            <v>CHUMPITAZ GAGO JULIO ENRIQUE</v>
          </cell>
          <cell r="V766" t="str">
            <v>CORIHUAMAN SURCO  ERICK ROBERT</v>
          </cell>
        </row>
        <row r="767">
          <cell r="A767">
            <v>727</v>
          </cell>
          <cell r="B767">
            <v>42687</v>
          </cell>
          <cell r="C767" t="str">
            <v>NOVIEMBRE</v>
          </cell>
          <cell r="D767" t="str">
            <v>2016</v>
          </cell>
          <cell r="E767">
            <v>313</v>
          </cell>
          <cell r="F767" t="str">
            <v>D3S-767</v>
          </cell>
          <cell r="G767" t="str">
            <v>B8L-973</v>
          </cell>
          <cell r="H767" t="str">
            <v>LAS BAMBAS</v>
          </cell>
          <cell r="I767">
            <v>181571</v>
          </cell>
          <cell r="J767" t="str">
            <v>REPUESTO</v>
          </cell>
          <cell r="K767" t="str">
            <v>PERNO CENTRO DE 1/2 X 6 "</v>
          </cell>
          <cell r="L767">
            <v>1</v>
          </cell>
          <cell r="M767" t="str">
            <v>UNID.</v>
          </cell>
          <cell r="N767" t="str">
            <v>CISTERNA</v>
          </cell>
          <cell r="O767">
            <v>103</v>
          </cell>
          <cell r="P767" t="str">
            <v>M2</v>
          </cell>
          <cell r="Q767" t="str">
            <v>J2</v>
          </cell>
          <cell r="R767" t="str">
            <v>J2</v>
          </cell>
          <cell r="S767" t="str">
            <v>ENTREGADO</v>
          </cell>
          <cell r="T767">
            <v>0</v>
          </cell>
          <cell r="U767" t="str">
            <v>CHUMPITAZ GAGO JULIO ENRIQUE</v>
          </cell>
          <cell r="V767" t="str">
            <v>CORIHUAMAN SURCO  ERICK ROBERT</v>
          </cell>
        </row>
        <row r="768">
          <cell r="A768">
            <v>728</v>
          </cell>
          <cell r="B768">
            <v>42687</v>
          </cell>
          <cell r="C768" t="str">
            <v>NOVIEMBRE</v>
          </cell>
          <cell r="D768" t="str">
            <v>2016</v>
          </cell>
          <cell r="E768">
            <v>313</v>
          </cell>
          <cell r="F768" t="str">
            <v>D3S-767</v>
          </cell>
          <cell r="G768" t="str">
            <v>B8L-973</v>
          </cell>
          <cell r="H768" t="str">
            <v>LAS BAMBAS</v>
          </cell>
          <cell r="I768">
            <v>181571</v>
          </cell>
          <cell r="J768" t="str">
            <v>REPUESTO</v>
          </cell>
          <cell r="K768" t="str">
            <v>TUERCA DE 1/2</v>
          </cell>
          <cell r="L768">
            <v>1</v>
          </cell>
          <cell r="M768" t="str">
            <v>UNID.</v>
          </cell>
          <cell r="N768" t="str">
            <v>CISTERNA</v>
          </cell>
          <cell r="O768">
            <v>0</v>
          </cell>
          <cell r="P768" t="str">
            <v>M2</v>
          </cell>
          <cell r="Q768" t="str">
            <v>J2</v>
          </cell>
          <cell r="R768" t="str">
            <v>J2</v>
          </cell>
          <cell r="S768" t="str">
            <v>ENTREGADO</v>
          </cell>
          <cell r="T768">
            <v>42687</v>
          </cell>
          <cell r="U768" t="str">
            <v>CHUMPITAZ GAGO JULIO ENRIQUE</v>
          </cell>
          <cell r="V768" t="str">
            <v>CORIHUAMAN SURCO  ERICK ROBERT</v>
          </cell>
        </row>
        <row r="769">
          <cell r="A769">
            <v>729</v>
          </cell>
          <cell r="B769">
            <v>42687</v>
          </cell>
          <cell r="C769" t="str">
            <v>NOVIEMBRE</v>
          </cell>
          <cell r="D769" t="str">
            <v>2016</v>
          </cell>
          <cell r="E769">
            <v>313</v>
          </cell>
          <cell r="F769" t="str">
            <v>D3S-767</v>
          </cell>
          <cell r="G769" t="str">
            <v>B8L-973</v>
          </cell>
          <cell r="H769" t="str">
            <v>LAS BAMBAS</v>
          </cell>
          <cell r="I769">
            <v>181571</v>
          </cell>
          <cell r="J769" t="str">
            <v>REPUESTO</v>
          </cell>
          <cell r="K769" t="str">
            <v xml:space="preserve">VALANDAS PLANAS DE 1/2 </v>
          </cell>
          <cell r="L769">
            <v>2</v>
          </cell>
          <cell r="M769" t="str">
            <v>UNID.</v>
          </cell>
          <cell r="N769" t="str">
            <v>CISTERNA</v>
          </cell>
          <cell r="O769">
            <v>0</v>
          </cell>
          <cell r="P769" t="str">
            <v>M2</v>
          </cell>
          <cell r="Q769" t="str">
            <v>J2</v>
          </cell>
          <cell r="R769" t="str">
            <v>J2</v>
          </cell>
          <cell r="S769" t="str">
            <v>ENTREGADO</v>
          </cell>
          <cell r="T769">
            <v>42687</v>
          </cell>
          <cell r="U769" t="str">
            <v>CHUMPITAZ GAGO JULIO ENRIQUE</v>
          </cell>
          <cell r="V769" t="str">
            <v>CORIHUAMAN SURCO  ERICK ROBERT</v>
          </cell>
        </row>
        <row r="770">
          <cell r="A770">
            <v>732</v>
          </cell>
          <cell r="B770">
            <v>42687</v>
          </cell>
          <cell r="C770" t="str">
            <v>NOVIEMBRE</v>
          </cell>
          <cell r="D770" t="str">
            <v>2016</v>
          </cell>
          <cell r="E770">
            <v>319</v>
          </cell>
          <cell r="F770" t="str">
            <v>D6G-806</v>
          </cell>
          <cell r="G770" t="str">
            <v>C5V-997</v>
          </cell>
          <cell r="H770" t="str">
            <v>LAS BAMBAS</v>
          </cell>
          <cell r="I770">
            <v>153925</v>
          </cell>
          <cell r="J770" t="str">
            <v>REPUESTO</v>
          </cell>
          <cell r="K770" t="str">
            <v>ACCESORIOS  DE PULPO DE CISTERNA</v>
          </cell>
          <cell r="L770">
            <v>1</v>
          </cell>
          <cell r="M770" t="str">
            <v>UNID.</v>
          </cell>
          <cell r="N770" t="str">
            <v>CISTERNA</v>
          </cell>
          <cell r="O770">
            <v>0</v>
          </cell>
          <cell r="P770" t="str">
            <v>M1</v>
          </cell>
          <cell r="Q770" t="str">
            <v>J2</v>
          </cell>
          <cell r="R770" t="str">
            <v>J2</v>
          </cell>
          <cell r="S770" t="str">
            <v>ENTREGADO</v>
          </cell>
          <cell r="T770">
            <v>42687</v>
          </cell>
          <cell r="U770" t="str">
            <v>CABEZAS SANCHEZ JEAN JHONATAN</v>
          </cell>
          <cell r="V770" t="str">
            <v>CORIHUAMAN SURCO  ERICK ROBERT</v>
          </cell>
        </row>
        <row r="771">
          <cell r="A771">
            <v>739</v>
          </cell>
          <cell r="B771">
            <v>42687</v>
          </cell>
          <cell r="C771" t="str">
            <v>NOVIEMBRE</v>
          </cell>
          <cell r="D771" t="str">
            <v>2016</v>
          </cell>
          <cell r="E771">
            <v>318</v>
          </cell>
          <cell r="F771" t="str">
            <v>D6G-806</v>
          </cell>
          <cell r="G771" t="str">
            <v>B8K-998</v>
          </cell>
          <cell r="H771" t="str">
            <v>LAS BAMBAS</v>
          </cell>
          <cell r="I771">
            <v>215505</v>
          </cell>
          <cell r="J771" t="str">
            <v>MATERIALES</v>
          </cell>
          <cell r="K771" t="str">
            <v>REFRIGERANTE</v>
          </cell>
          <cell r="L771">
            <v>2</v>
          </cell>
          <cell r="M771" t="str">
            <v>GLNS.</v>
          </cell>
          <cell r="N771" t="str">
            <v>TRACTO</v>
          </cell>
          <cell r="O771">
            <v>0</v>
          </cell>
          <cell r="P771" t="str">
            <v>M7</v>
          </cell>
          <cell r="Q771" t="str">
            <v>J2</v>
          </cell>
          <cell r="R771" t="str">
            <v>J2</v>
          </cell>
          <cell r="S771" t="str">
            <v>ENTREGADO</v>
          </cell>
          <cell r="T771">
            <v>42687</v>
          </cell>
          <cell r="U771" t="str">
            <v>ROBLES ROJAS  JOSE MIGUEL</v>
          </cell>
          <cell r="V771" t="str">
            <v>CORIHUAMAN SURCO  ERICK ROBERT</v>
          </cell>
        </row>
        <row r="772">
          <cell r="A772">
            <v>742</v>
          </cell>
          <cell r="B772">
            <v>42687</v>
          </cell>
          <cell r="C772" t="str">
            <v>NOVIEMBRE</v>
          </cell>
          <cell r="D772" t="str">
            <v>2016</v>
          </cell>
          <cell r="E772">
            <v>319</v>
          </cell>
          <cell r="F772" t="str">
            <v>X2W-763</v>
          </cell>
          <cell r="G772" t="str">
            <v>C5V-997</v>
          </cell>
          <cell r="H772" t="str">
            <v>LAS BAMBAS</v>
          </cell>
          <cell r="I772">
            <v>153925</v>
          </cell>
          <cell r="J772" t="str">
            <v>REPUESTO</v>
          </cell>
          <cell r="K772" t="str">
            <v>GOMAS DE MANITOS DE AIRE</v>
          </cell>
          <cell r="L772">
            <v>2</v>
          </cell>
          <cell r="M772" t="str">
            <v>UNID.</v>
          </cell>
          <cell r="N772" t="str">
            <v>TRACTO</v>
          </cell>
          <cell r="O772">
            <v>0</v>
          </cell>
          <cell r="P772" t="str">
            <v>M1</v>
          </cell>
          <cell r="Q772" t="str">
            <v>J2</v>
          </cell>
          <cell r="R772" t="str">
            <v>J2</v>
          </cell>
          <cell r="S772" t="str">
            <v>ENTREGADO</v>
          </cell>
          <cell r="T772">
            <v>42687</v>
          </cell>
          <cell r="U772" t="str">
            <v>CABEZAS SANCHEZ JEAN JHONATAN</v>
          </cell>
          <cell r="V772" t="str">
            <v>CORIHUAMAN SURCO  ERICK ROBERT</v>
          </cell>
        </row>
        <row r="773">
          <cell r="A773">
            <v>761</v>
          </cell>
          <cell r="B773">
            <v>42688</v>
          </cell>
          <cell r="C773" t="str">
            <v>NOVIEMBRE</v>
          </cell>
          <cell r="D773" t="str">
            <v>2016</v>
          </cell>
          <cell r="E773">
            <v>308</v>
          </cell>
          <cell r="F773" t="str">
            <v>A9H-889</v>
          </cell>
          <cell r="G773" t="str">
            <v>CAMION</v>
          </cell>
          <cell r="H773" t="str">
            <v>TAMBOMAYO</v>
          </cell>
          <cell r="I773">
            <v>120654</v>
          </cell>
          <cell r="J773" t="str">
            <v>REPUESTO</v>
          </cell>
          <cell r="K773" t="str">
            <v>SOPORTE DE CABINA IZQUIERDO</v>
          </cell>
          <cell r="L773">
            <v>1</v>
          </cell>
          <cell r="M773" t="str">
            <v>UNID.</v>
          </cell>
          <cell r="N773" t="str">
            <v>TRACTO</v>
          </cell>
          <cell r="O773">
            <v>102</v>
          </cell>
          <cell r="P773" t="str">
            <v>M2</v>
          </cell>
          <cell r="Q773" t="str">
            <v>J1</v>
          </cell>
          <cell r="R773" t="str">
            <v>J6</v>
          </cell>
          <cell r="S773" t="str">
            <v>ENTREGADO</v>
          </cell>
          <cell r="T773">
            <v>0</v>
          </cell>
          <cell r="U773" t="str">
            <v>CHUMPITAZ GAGO JULIO ENRIQUE</v>
          </cell>
          <cell r="V773" t="str">
            <v>FLOREZ CONDORI  JOSE WILLIANS</v>
          </cell>
        </row>
        <row r="774">
          <cell r="A774">
            <v>762</v>
          </cell>
          <cell r="B774">
            <v>42688</v>
          </cell>
          <cell r="C774" t="str">
            <v>NOVIEMBRE</v>
          </cell>
          <cell r="D774" t="str">
            <v>2016</v>
          </cell>
          <cell r="E774">
            <v>308</v>
          </cell>
          <cell r="F774" t="str">
            <v>A9H-889</v>
          </cell>
          <cell r="G774" t="str">
            <v>CAMION</v>
          </cell>
          <cell r="H774" t="str">
            <v>TAMBOMAYO</v>
          </cell>
          <cell r="I774">
            <v>120654</v>
          </cell>
          <cell r="J774" t="str">
            <v>REPUESTO</v>
          </cell>
          <cell r="K774" t="str">
            <v>SOPORTE DE CABINA DERECHO</v>
          </cell>
          <cell r="L774">
            <v>1</v>
          </cell>
          <cell r="M774" t="str">
            <v>UNID.</v>
          </cell>
          <cell r="N774" t="str">
            <v>TRACTO</v>
          </cell>
          <cell r="O774">
            <v>102</v>
          </cell>
          <cell r="P774" t="str">
            <v>M2</v>
          </cell>
          <cell r="Q774" t="str">
            <v>J1</v>
          </cell>
          <cell r="R774" t="str">
            <v>J6</v>
          </cell>
          <cell r="S774" t="str">
            <v>ENTREGADO</v>
          </cell>
          <cell r="T774">
            <v>0</v>
          </cell>
          <cell r="U774" t="str">
            <v>CHUMPITAZ GAGO JULIO ENRIQUE</v>
          </cell>
          <cell r="V774" t="str">
            <v>FLOREZ CONDORI  JOSE WILLIANS</v>
          </cell>
        </row>
        <row r="775">
          <cell r="A775">
            <v>763</v>
          </cell>
          <cell r="B775">
            <v>42688</v>
          </cell>
          <cell r="C775" t="str">
            <v>NOVIEMBRE</v>
          </cell>
          <cell r="D775" t="str">
            <v>2016</v>
          </cell>
          <cell r="E775">
            <v>308</v>
          </cell>
          <cell r="F775" t="str">
            <v>A9H-889</v>
          </cell>
          <cell r="G775" t="str">
            <v>CAMION</v>
          </cell>
          <cell r="H775" t="str">
            <v>TAMBOMAYO</v>
          </cell>
          <cell r="I775">
            <v>120654</v>
          </cell>
          <cell r="J775" t="str">
            <v>REPUESTO</v>
          </cell>
          <cell r="K775" t="str">
            <v>BOMBA DE COMBUSTIBLE</v>
          </cell>
          <cell r="L775">
            <v>1</v>
          </cell>
          <cell r="M775" t="str">
            <v>UNID.</v>
          </cell>
          <cell r="N775" t="str">
            <v>TRACTO</v>
          </cell>
          <cell r="O775">
            <v>102</v>
          </cell>
          <cell r="P775" t="str">
            <v>M2</v>
          </cell>
          <cell r="Q775" t="str">
            <v>J1</v>
          </cell>
          <cell r="R775" t="str">
            <v>J6</v>
          </cell>
          <cell r="S775" t="str">
            <v>ENTREGADO</v>
          </cell>
          <cell r="T775">
            <v>0</v>
          </cell>
          <cell r="U775" t="str">
            <v>CHUMPITAZ GAGO JULIO ENRIQUE</v>
          </cell>
          <cell r="V775" t="str">
            <v>FLOREZ CONDORI  JOSE WILLIANS</v>
          </cell>
        </row>
        <row r="776">
          <cell r="A776">
            <v>796</v>
          </cell>
          <cell r="B776">
            <v>42688</v>
          </cell>
          <cell r="C776" t="str">
            <v>NOVIEMBRE</v>
          </cell>
          <cell r="D776" t="str">
            <v>2016</v>
          </cell>
          <cell r="E776">
            <v>308</v>
          </cell>
          <cell r="F776" t="str">
            <v>A9H-889</v>
          </cell>
          <cell r="G776" t="str">
            <v>CAMION</v>
          </cell>
          <cell r="H776" t="str">
            <v>TAMBOMAYO</v>
          </cell>
          <cell r="I776">
            <v>120654</v>
          </cell>
          <cell r="J776" t="str">
            <v>REPUESTO</v>
          </cell>
          <cell r="K776" t="str">
            <v>PERNO 1/4 X 1</v>
          </cell>
          <cell r="L776">
            <v>2</v>
          </cell>
          <cell r="M776" t="str">
            <v>UNID.</v>
          </cell>
          <cell r="N776" t="str">
            <v>TRACTO</v>
          </cell>
          <cell r="O776">
            <v>0</v>
          </cell>
          <cell r="P776" t="str">
            <v>M2</v>
          </cell>
          <cell r="Q776" t="str">
            <v>J1</v>
          </cell>
          <cell r="R776" t="str">
            <v>J6</v>
          </cell>
          <cell r="S776" t="str">
            <v>ENTREGADO</v>
          </cell>
          <cell r="T776">
            <v>42688</v>
          </cell>
          <cell r="U776" t="str">
            <v>CHUMPITAZ GAGO JULIO ENRIQUE</v>
          </cell>
          <cell r="V776" t="str">
            <v>FLOREZ CONDORI  JOSE WILLIANS</v>
          </cell>
        </row>
        <row r="777">
          <cell r="A777">
            <v>797</v>
          </cell>
          <cell r="B777">
            <v>42688</v>
          </cell>
          <cell r="C777" t="str">
            <v>NOVIEMBRE</v>
          </cell>
          <cell r="D777" t="str">
            <v>2016</v>
          </cell>
          <cell r="E777">
            <v>308</v>
          </cell>
          <cell r="F777" t="str">
            <v>A9H-889</v>
          </cell>
          <cell r="G777" t="str">
            <v>CAMION</v>
          </cell>
          <cell r="H777" t="str">
            <v>TAMBOMAYO</v>
          </cell>
          <cell r="I777">
            <v>120654</v>
          </cell>
          <cell r="J777" t="str">
            <v>REPUESTO</v>
          </cell>
          <cell r="K777" t="str">
            <v>VOLOANDA PLANA 1/4</v>
          </cell>
          <cell r="L777">
            <v>4</v>
          </cell>
          <cell r="M777" t="str">
            <v>UNID.</v>
          </cell>
          <cell r="N777" t="str">
            <v>TRACTO</v>
          </cell>
          <cell r="O777">
            <v>0</v>
          </cell>
          <cell r="P777" t="str">
            <v>M2</v>
          </cell>
          <cell r="Q777" t="str">
            <v>J1</v>
          </cell>
          <cell r="R777" t="str">
            <v>J6</v>
          </cell>
          <cell r="S777" t="str">
            <v>ENTREGADO</v>
          </cell>
          <cell r="T777">
            <v>42688</v>
          </cell>
          <cell r="U777" t="str">
            <v>CHUMPITAZ GAGO JULIO ENRIQUE</v>
          </cell>
          <cell r="V777" t="str">
            <v>FLOREZ CONDORI  JOSE WILLIANS</v>
          </cell>
        </row>
        <row r="778">
          <cell r="A778">
            <v>798</v>
          </cell>
          <cell r="B778">
            <v>42688</v>
          </cell>
          <cell r="C778" t="str">
            <v>NOVIEMBRE</v>
          </cell>
          <cell r="D778" t="str">
            <v>2016</v>
          </cell>
          <cell r="E778">
            <v>308</v>
          </cell>
          <cell r="F778" t="str">
            <v>A9H-889</v>
          </cell>
          <cell r="G778" t="str">
            <v>CAMION</v>
          </cell>
          <cell r="H778" t="str">
            <v>TAMBOMAYO</v>
          </cell>
          <cell r="I778">
            <v>120654</v>
          </cell>
          <cell r="J778" t="str">
            <v>REPUESTO</v>
          </cell>
          <cell r="K778" t="str">
            <v>TUERCA SEGURO 1/4</v>
          </cell>
          <cell r="L778">
            <v>2</v>
          </cell>
          <cell r="M778" t="str">
            <v>UNID.</v>
          </cell>
          <cell r="N778" t="str">
            <v>TRACTO</v>
          </cell>
          <cell r="O778">
            <v>0</v>
          </cell>
          <cell r="P778" t="str">
            <v>M2</v>
          </cell>
          <cell r="Q778" t="str">
            <v>J1</v>
          </cell>
          <cell r="R778" t="str">
            <v>J6</v>
          </cell>
          <cell r="S778" t="str">
            <v>ENTREGADO</v>
          </cell>
          <cell r="T778">
            <v>42688</v>
          </cell>
          <cell r="U778" t="str">
            <v>CHUMPITAZ GAGO JULIO ENRIQUE</v>
          </cell>
          <cell r="V778" t="str">
            <v>FLOREZ CONDORI  JOSE WILLIANS</v>
          </cell>
        </row>
        <row r="779">
          <cell r="A779">
            <v>823</v>
          </cell>
          <cell r="B779">
            <v>42688</v>
          </cell>
          <cell r="C779" t="str">
            <v>NOVIEMBRE</v>
          </cell>
          <cell r="D779" t="str">
            <v>2016</v>
          </cell>
          <cell r="E779">
            <v>308</v>
          </cell>
          <cell r="F779" t="str">
            <v>A9H-889</v>
          </cell>
          <cell r="G779" t="str">
            <v>CAMION</v>
          </cell>
          <cell r="H779" t="str">
            <v>TAMBOMAYO</v>
          </cell>
          <cell r="I779">
            <v>120654</v>
          </cell>
          <cell r="J779" t="str">
            <v>REPUESTO</v>
          </cell>
          <cell r="K779" t="str">
            <v>FILTRO DE CALEFACCION</v>
          </cell>
          <cell r="L779">
            <v>1</v>
          </cell>
          <cell r="M779" t="str">
            <v>UNID.</v>
          </cell>
          <cell r="N779" t="str">
            <v>TRACTO</v>
          </cell>
          <cell r="O779">
            <v>1</v>
          </cell>
          <cell r="P779" t="str">
            <v>M2</v>
          </cell>
          <cell r="Q779" t="str">
            <v>J2</v>
          </cell>
          <cell r="R779" t="str">
            <v>J2</v>
          </cell>
          <cell r="S779" t="str">
            <v>ENTREGADO</v>
          </cell>
          <cell r="T779">
            <v>42689</v>
          </cell>
          <cell r="U779" t="str">
            <v>CHUMPITAZ GAGO JULIO ENRIQUE</v>
          </cell>
          <cell r="V779" t="str">
            <v>CORIHUAMAN SURCO  ERICK ROBERT</v>
          </cell>
        </row>
        <row r="780">
          <cell r="A780">
            <v>824</v>
          </cell>
          <cell r="B780">
            <v>42688</v>
          </cell>
          <cell r="C780" t="str">
            <v>NOVIEMBRE</v>
          </cell>
          <cell r="D780" t="str">
            <v>2016</v>
          </cell>
          <cell r="E780">
            <v>308</v>
          </cell>
          <cell r="F780" t="str">
            <v>A9H-889</v>
          </cell>
          <cell r="G780" t="str">
            <v>CAMION</v>
          </cell>
          <cell r="H780" t="str">
            <v>TAMBOMAYO</v>
          </cell>
          <cell r="I780">
            <v>120654</v>
          </cell>
          <cell r="J780" t="str">
            <v>REPUESTO</v>
          </cell>
          <cell r="K780" t="str">
            <v>REFRIGERANTE</v>
          </cell>
          <cell r="L780">
            <v>10</v>
          </cell>
          <cell r="M780" t="str">
            <v>GLNS.</v>
          </cell>
          <cell r="N780" t="str">
            <v>TRACTO</v>
          </cell>
          <cell r="O780">
            <v>0</v>
          </cell>
          <cell r="P780" t="str">
            <v>M2</v>
          </cell>
          <cell r="Q780" t="str">
            <v>J2</v>
          </cell>
          <cell r="R780" t="str">
            <v>J2</v>
          </cell>
          <cell r="S780" t="str">
            <v>ENTREGADO</v>
          </cell>
          <cell r="T780">
            <v>42688</v>
          </cell>
          <cell r="U780" t="str">
            <v>CHUMPITAZ GAGO JULIO ENRIQUE</v>
          </cell>
          <cell r="V780" t="str">
            <v>CORIHUAMAN SURCO  ERICK ROBERT</v>
          </cell>
        </row>
        <row r="781">
          <cell r="A781">
            <v>799</v>
          </cell>
          <cell r="B781">
            <v>42688</v>
          </cell>
          <cell r="C781" t="str">
            <v>NOVIEMBRE</v>
          </cell>
          <cell r="D781" t="str">
            <v>2016</v>
          </cell>
          <cell r="E781">
            <v>316</v>
          </cell>
          <cell r="F781" t="str">
            <v>ABQ-705</v>
          </cell>
          <cell r="G781" t="str">
            <v>D0Z-996</v>
          </cell>
          <cell r="H781" t="str">
            <v>LAS BAMBAS</v>
          </cell>
          <cell r="I781">
            <v>105500</v>
          </cell>
          <cell r="J781" t="str">
            <v>REPUESTO</v>
          </cell>
          <cell r="K781" t="str">
            <v>CODOS NIPLES 5/8</v>
          </cell>
          <cell r="L781">
            <v>2</v>
          </cell>
          <cell r="M781" t="str">
            <v>UNID.</v>
          </cell>
          <cell r="N781" t="str">
            <v>TRACTO</v>
          </cell>
          <cell r="O781">
            <v>0</v>
          </cell>
          <cell r="P781" t="str">
            <v>M5</v>
          </cell>
          <cell r="Q781" t="str">
            <v>J1</v>
          </cell>
          <cell r="R781" t="str">
            <v>J6</v>
          </cell>
          <cell r="S781" t="str">
            <v>ENTREGADO</v>
          </cell>
          <cell r="T781">
            <v>42688</v>
          </cell>
          <cell r="U781" t="str">
            <v>LOPEZ RUIZ WILBERTO</v>
          </cell>
          <cell r="V781" t="str">
            <v>FLOREZ CONDORI  JOSE WILLIANS</v>
          </cell>
        </row>
        <row r="782">
          <cell r="A782">
            <v>800</v>
          </cell>
          <cell r="B782">
            <v>42688</v>
          </cell>
          <cell r="C782" t="str">
            <v>NOVIEMBRE</v>
          </cell>
          <cell r="D782" t="str">
            <v>2016</v>
          </cell>
          <cell r="E782">
            <v>316</v>
          </cell>
          <cell r="F782" t="str">
            <v>ABQ-705</v>
          </cell>
          <cell r="G782" t="str">
            <v>D0Z-996</v>
          </cell>
          <cell r="H782" t="str">
            <v>LAS BAMBAS</v>
          </cell>
          <cell r="I782">
            <v>105500</v>
          </cell>
          <cell r="J782" t="str">
            <v>REPUESTO</v>
          </cell>
          <cell r="K782" t="str">
            <v>TUERCA 5/8</v>
          </cell>
          <cell r="L782">
            <v>2</v>
          </cell>
          <cell r="M782" t="str">
            <v>UNID.</v>
          </cell>
          <cell r="N782" t="str">
            <v>TRACTO</v>
          </cell>
          <cell r="O782">
            <v>0</v>
          </cell>
          <cell r="P782" t="str">
            <v>M5</v>
          </cell>
          <cell r="Q782" t="str">
            <v>J1</v>
          </cell>
          <cell r="R782" t="str">
            <v>J6</v>
          </cell>
          <cell r="S782" t="str">
            <v>ENTREGADO</v>
          </cell>
          <cell r="T782">
            <v>42688</v>
          </cell>
          <cell r="U782" t="str">
            <v>LOPEZ RUIZ WILBERTO</v>
          </cell>
          <cell r="V782" t="str">
            <v>FLOREZ CONDORI  JOSE WILLIANS</v>
          </cell>
        </row>
        <row r="783">
          <cell r="A783">
            <v>801</v>
          </cell>
          <cell r="B783">
            <v>42688</v>
          </cell>
          <cell r="C783" t="str">
            <v>NOVIEMBRE</v>
          </cell>
          <cell r="D783" t="str">
            <v>2016</v>
          </cell>
          <cell r="E783">
            <v>316</v>
          </cell>
          <cell r="F783" t="str">
            <v>ABQ-705</v>
          </cell>
          <cell r="G783" t="str">
            <v>D0Z-996</v>
          </cell>
          <cell r="H783" t="str">
            <v>LAS BAMBAS</v>
          </cell>
          <cell r="I783">
            <v>105500</v>
          </cell>
          <cell r="J783" t="str">
            <v>REPUESTO</v>
          </cell>
          <cell r="K783" t="str">
            <v>CONO 5/8</v>
          </cell>
          <cell r="L783">
            <v>2</v>
          </cell>
          <cell r="M783" t="str">
            <v>UNID.</v>
          </cell>
          <cell r="N783" t="str">
            <v>TRACTO</v>
          </cell>
          <cell r="O783">
            <v>0</v>
          </cell>
          <cell r="P783" t="str">
            <v>M5</v>
          </cell>
          <cell r="Q783" t="str">
            <v>J1</v>
          </cell>
          <cell r="R783" t="str">
            <v>J6</v>
          </cell>
          <cell r="S783" t="str">
            <v>ENTREGADO</v>
          </cell>
          <cell r="T783">
            <v>42688</v>
          </cell>
          <cell r="U783" t="str">
            <v>LOPEZ RUIZ WILBERTO</v>
          </cell>
          <cell r="V783" t="str">
            <v>FLOREZ CONDORI  JOSE WILLIANS</v>
          </cell>
        </row>
        <row r="784">
          <cell r="A784">
            <v>802</v>
          </cell>
          <cell r="B784">
            <v>42688</v>
          </cell>
          <cell r="C784" t="str">
            <v>NOVIEMBRE</v>
          </cell>
          <cell r="D784" t="str">
            <v>2016</v>
          </cell>
          <cell r="E784">
            <v>316</v>
          </cell>
          <cell r="F784" t="str">
            <v>ABQ-705</v>
          </cell>
          <cell r="G784" t="str">
            <v>D0Z-996</v>
          </cell>
          <cell r="H784" t="str">
            <v>LAS BAMBAS</v>
          </cell>
          <cell r="I784">
            <v>105500</v>
          </cell>
          <cell r="J784" t="str">
            <v>REPUESTO</v>
          </cell>
          <cell r="K784" t="str">
            <v>GUIA 5/8</v>
          </cell>
          <cell r="L784">
            <v>2</v>
          </cell>
          <cell r="M784" t="str">
            <v>UNID.</v>
          </cell>
          <cell r="N784" t="str">
            <v>TRACTO</v>
          </cell>
          <cell r="O784">
            <v>0</v>
          </cell>
          <cell r="P784" t="str">
            <v>M5</v>
          </cell>
          <cell r="Q784" t="str">
            <v>J1</v>
          </cell>
          <cell r="R784" t="str">
            <v>J6</v>
          </cell>
          <cell r="S784" t="str">
            <v>ENTREGADO</v>
          </cell>
          <cell r="T784">
            <v>42688</v>
          </cell>
          <cell r="U784" t="str">
            <v>LOPEZ RUIZ WILBERTO</v>
          </cell>
          <cell r="V784" t="str">
            <v>FLOREZ CONDORI  JOSE WILLIANS</v>
          </cell>
        </row>
        <row r="785">
          <cell r="A785">
            <v>803</v>
          </cell>
          <cell r="B785">
            <v>42688</v>
          </cell>
          <cell r="C785" t="str">
            <v>NOVIEMBRE</v>
          </cell>
          <cell r="D785" t="str">
            <v>2016</v>
          </cell>
          <cell r="E785">
            <v>316</v>
          </cell>
          <cell r="F785" t="str">
            <v>ABQ-705</v>
          </cell>
          <cell r="G785" t="str">
            <v>D0Z-996</v>
          </cell>
          <cell r="H785" t="str">
            <v>LAS BAMBAS</v>
          </cell>
          <cell r="I785">
            <v>105500</v>
          </cell>
          <cell r="J785" t="str">
            <v>REPUESTO</v>
          </cell>
          <cell r="K785" t="str">
            <v>CINTA TEFLON</v>
          </cell>
          <cell r="L785">
            <v>1</v>
          </cell>
          <cell r="M785" t="str">
            <v>UNID.</v>
          </cell>
          <cell r="N785" t="str">
            <v>TRACTO</v>
          </cell>
          <cell r="O785">
            <v>0</v>
          </cell>
          <cell r="P785" t="str">
            <v>M5</v>
          </cell>
          <cell r="Q785" t="str">
            <v>J1</v>
          </cell>
          <cell r="R785" t="str">
            <v>J6</v>
          </cell>
          <cell r="S785" t="str">
            <v>ENTREGADO</v>
          </cell>
          <cell r="T785">
            <v>42688</v>
          </cell>
          <cell r="U785" t="str">
            <v>LOPEZ RUIZ WILBERTO</v>
          </cell>
          <cell r="V785" t="str">
            <v>FLOREZ CONDORI  JOSE WILLIANS</v>
          </cell>
        </row>
        <row r="786">
          <cell r="A786">
            <v>804</v>
          </cell>
          <cell r="B786">
            <v>42688</v>
          </cell>
          <cell r="C786" t="str">
            <v>NOVIEMBRE</v>
          </cell>
          <cell r="D786" t="str">
            <v>2016</v>
          </cell>
          <cell r="E786">
            <v>316</v>
          </cell>
          <cell r="F786" t="str">
            <v>ABQ-705</v>
          </cell>
          <cell r="G786" t="str">
            <v>D0Z-996</v>
          </cell>
          <cell r="H786" t="str">
            <v>LAS BAMBAS</v>
          </cell>
          <cell r="I786">
            <v>105500</v>
          </cell>
          <cell r="J786" t="str">
            <v>REPUESTO</v>
          </cell>
          <cell r="K786" t="str">
            <v>FILTRO DE COMBUSTIBLE DE PAPEL</v>
          </cell>
          <cell r="L786">
            <v>1</v>
          </cell>
          <cell r="M786" t="str">
            <v>UNID.</v>
          </cell>
          <cell r="N786" t="str">
            <v>TRACTO</v>
          </cell>
          <cell r="O786">
            <v>102</v>
          </cell>
          <cell r="P786" t="str">
            <v>M5</v>
          </cell>
          <cell r="Q786" t="str">
            <v>J1</v>
          </cell>
          <cell r="R786" t="str">
            <v>J6</v>
          </cell>
          <cell r="S786" t="str">
            <v>ENTREGADO</v>
          </cell>
          <cell r="T786">
            <v>0</v>
          </cell>
          <cell r="U786" t="str">
            <v>LOPEZ RUIZ WILBERTO</v>
          </cell>
          <cell r="V786" t="str">
            <v>FLOREZ CONDORI  JOSE WILLIANS</v>
          </cell>
        </row>
        <row r="787">
          <cell r="A787">
            <v>805</v>
          </cell>
          <cell r="B787">
            <v>42688</v>
          </cell>
          <cell r="C787" t="str">
            <v>NOVIEMBRE</v>
          </cell>
          <cell r="D787" t="str">
            <v>2016</v>
          </cell>
          <cell r="E787">
            <v>316</v>
          </cell>
          <cell r="F787" t="str">
            <v>ABQ-705</v>
          </cell>
          <cell r="G787" t="str">
            <v>D0Z-996</v>
          </cell>
          <cell r="H787" t="str">
            <v>LAS BAMBAS</v>
          </cell>
          <cell r="I787">
            <v>105500</v>
          </cell>
          <cell r="J787" t="str">
            <v>REPUESTO</v>
          </cell>
          <cell r="K787" t="str">
            <v>FILTRO DE COMBUSTIBLE PEQUEÑO</v>
          </cell>
          <cell r="L787">
            <v>1</v>
          </cell>
          <cell r="M787" t="str">
            <v>UNID.</v>
          </cell>
          <cell r="N787" t="str">
            <v>TRACTO</v>
          </cell>
          <cell r="O787">
            <v>102</v>
          </cell>
          <cell r="P787" t="str">
            <v>M5</v>
          </cell>
          <cell r="Q787" t="str">
            <v>J1</v>
          </cell>
          <cell r="R787" t="str">
            <v>J6</v>
          </cell>
          <cell r="S787" t="str">
            <v>ENTREGADO</v>
          </cell>
          <cell r="T787">
            <v>0</v>
          </cell>
          <cell r="U787" t="str">
            <v>LOPEZ RUIZ WILBERTO</v>
          </cell>
          <cell r="V787" t="str">
            <v>FLOREZ CONDORI  JOSE WILLIANS</v>
          </cell>
        </row>
        <row r="788">
          <cell r="A788">
            <v>750</v>
          </cell>
          <cell r="B788">
            <v>42688</v>
          </cell>
          <cell r="C788" t="str">
            <v>NOVIEMBRE</v>
          </cell>
          <cell r="D788" t="str">
            <v>2016</v>
          </cell>
          <cell r="E788">
            <v>291</v>
          </cell>
          <cell r="F788" t="str">
            <v>ABR-727</v>
          </cell>
          <cell r="G788" t="str">
            <v>C9S-989</v>
          </cell>
          <cell r="H788" t="str">
            <v>LAS BAMBAS</v>
          </cell>
          <cell r="I788">
            <v>97375</v>
          </cell>
          <cell r="J788" t="str">
            <v>REPUESTO</v>
          </cell>
          <cell r="K788" t="str">
            <v>CONECTOR DE CISTERNA</v>
          </cell>
          <cell r="L788">
            <v>1</v>
          </cell>
          <cell r="M788" t="str">
            <v>UNID.</v>
          </cell>
          <cell r="N788" t="str">
            <v>CISTERNA</v>
          </cell>
          <cell r="O788">
            <v>0</v>
          </cell>
          <cell r="P788" t="str">
            <v>E2</v>
          </cell>
          <cell r="Q788" t="str">
            <v>J2</v>
          </cell>
          <cell r="R788" t="str">
            <v>J6</v>
          </cell>
          <cell r="S788" t="str">
            <v>ENTREGADO</v>
          </cell>
          <cell r="T788">
            <v>42688</v>
          </cell>
          <cell r="U788" t="str">
            <v>YUCA BELLIDO BORIS YERSY</v>
          </cell>
          <cell r="V788" t="str">
            <v>CORIHUAMAN SURCO  ERICK ROBERT</v>
          </cell>
        </row>
        <row r="789">
          <cell r="A789">
            <v>770</v>
          </cell>
          <cell r="B789">
            <v>42688</v>
          </cell>
          <cell r="C789" t="str">
            <v>NOVIEMBRE</v>
          </cell>
          <cell r="D789" t="str">
            <v>2016</v>
          </cell>
          <cell r="E789">
            <v>291</v>
          </cell>
          <cell r="F789" t="str">
            <v>ABR-727</v>
          </cell>
          <cell r="G789" t="str">
            <v>C9S-989</v>
          </cell>
          <cell r="H789" t="str">
            <v>LAS BAMBAS</v>
          </cell>
          <cell r="I789">
            <v>97375</v>
          </cell>
          <cell r="J789" t="str">
            <v>REPUESTO</v>
          </cell>
          <cell r="K789" t="str">
            <v>PARCHE RACK 12</v>
          </cell>
          <cell r="L789">
            <v>1</v>
          </cell>
          <cell r="M789" t="str">
            <v>UNID.</v>
          </cell>
          <cell r="N789" t="str">
            <v>TRACTO</v>
          </cell>
          <cell r="O789">
            <v>0</v>
          </cell>
          <cell r="P789" t="str">
            <v>N1</v>
          </cell>
          <cell r="Q789" t="str">
            <v>J3</v>
          </cell>
          <cell r="R789" t="str">
            <v>J6</v>
          </cell>
          <cell r="S789" t="str">
            <v>ENTREGADO</v>
          </cell>
          <cell r="T789">
            <v>42688</v>
          </cell>
          <cell r="U789" t="str">
            <v>AGUILAR CCANTUTA WILLY</v>
          </cell>
          <cell r="V789" t="str">
            <v>CHURA PIZARRO ALBERTO</v>
          </cell>
        </row>
        <row r="790">
          <cell r="A790">
            <v>765</v>
          </cell>
          <cell r="B790">
            <v>42688</v>
          </cell>
          <cell r="C790" t="str">
            <v>NOVIEMBRE</v>
          </cell>
          <cell r="D790" t="str">
            <v>2016</v>
          </cell>
          <cell r="E790">
            <v>326</v>
          </cell>
          <cell r="F790" t="str">
            <v>AEH-862</v>
          </cell>
          <cell r="G790" t="str">
            <v>CAMIONETA</v>
          </cell>
          <cell r="H790" t="str">
            <v>LAS BAMBAS</v>
          </cell>
          <cell r="I790">
            <v>14161</v>
          </cell>
          <cell r="J790" t="str">
            <v>REPUESTO</v>
          </cell>
          <cell r="K790" t="str">
            <v>MANGUERA CODO DEL TUBO DE AGUA</v>
          </cell>
          <cell r="L790">
            <v>1</v>
          </cell>
          <cell r="M790" t="str">
            <v>UNID.</v>
          </cell>
          <cell r="N790" t="str">
            <v>TRACTO</v>
          </cell>
          <cell r="O790">
            <v>102</v>
          </cell>
          <cell r="P790" t="str">
            <v>M5</v>
          </cell>
          <cell r="Q790" t="str">
            <v>J1</v>
          </cell>
          <cell r="R790" t="str">
            <v>J6</v>
          </cell>
          <cell r="S790" t="str">
            <v>ENTREGADO</v>
          </cell>
          <cell r="T790">
            <v>0</v>
          </cell>
          <cell r="U790" t="str">
            <v>LOPEZ RUIZ WILBERTO</v>
          </cell>
          <cell r="V790" t="str">
            <v>FLOREZ CONDORI  JOSE WILLIANS</v>
          </cell>
        </row>
        <row r="791">
          <cell r="A791">
            <v>766</v>
          </cell>
          <cell r="B791">
            <v>42688</v>
          </cell>
          <cell r="C791" t="str">
            <v>NOVIEMBRE</v>
          </cell>
          <cell r="D791" t="str">
            <v>2016</v>
          </cell>
          <cell r="E791">
            <v>326</v>
          </cell>
          <cell r="F791" t="str">
            <v>AEH-862</v>
          </cell>
          <cell r="G791" t="str">
            <v>CAMIONETA</v>
          </cell>
          <cell r="H791" t="str">
            <v>LAS BAMBAS</v>
          </cell>
          <cell r="I791">
            <v>14161</v>
          </cell>
          <cell r="J791" t="str">
            <v>SERVICIO</v>
          </cell>
          <cell r="K791" t="str">
            <v>SERVICIO DE PRENSADO DE LA BARRA DE DIRECCION</v>
          </cell>
          <cell r="L791">
            <v>1</v>
          </cell>
          <cell r="M791" t="str">
            <v>UNID.</v>
          </cell>
          <cell r="N791" t="str">
            <v>TRACTO</v>
          </cell>
          <cell r="O791">
            <v>1</v>
          </cell>
          <cell r="P791" t="str">
            <v>M5</v>
          </cell>
          <cell r="Q791" t="str">
            <v>J1</v>
          </cell>
          <cell r="R791" t="str">
            <v>J6</v>
          </cell>
          <cell r="S791" t="str">
            <v>ENTREGADO</v>
          </cell>
          <cell r="T791">
            <v>42689</v>
          </cell>
          <cell r="U791" t="str">
            <v>LOPEZ RUIZ WILBERTO</v>
          </cell>
          <cell r="V791" t="str">
            <v>FLOREZ CONDORI  JOSE WILLIANS</v>
          </cell>
        </row>
        <row r="792">
          <cell r="A792">
            <v>787</v>
          </cell>
          <cell r="B792">
            <v>42688</v>
          </cell>
          <cell r="C792" t="str">
            <v>NOVIEMBRE</v>
          </cell>
          <cell r="D792" t="str">
            <v>2016</v>
          </cell>
          <cell r="E792">
            <v>326</v>
          </cell>
          <cell r="F792" t="str">
            <v>AEH-862</v>
          </cell>
          <cell r="G792" t="str">
            <v>CAMIONETA</v>
          </cell>
          <cell r="H792" t="str">
            <v>LAS BAMBAS</v>
          </cell>
          <cell r="I792">
            <v>14161</v>
          </cell>
          <cell r="J792" t="str">
            <v>REPUESTO</v>
          </cell>
          <cell r="K792" t="str">
            <v>PERNOS 5/16 X 1</v>
          </cell>
          <cell r="L792">
            <v>2</v>
          </cell>
          <cell r="M792" t="str">
            <v>UNID.</v>
          </cell>
          <cell r="N792" t="str">
            <v>TRACTO</v>
          </cell>
          <cell r="O792">
            <v>0</v>
          </cell>
          <cell r="P792" t="str">
            <v>M5</v>
          </cell>
          <cell r="Q792" t="str">
            <v>J1</v>
          </cell>
          <cell r="R792" t="str">
            <v>J6</v>
          </cell>
          <cell r="S792" t="str">
            <v>ENTREGADO</v>
          </cell>
          <cell r="T792">
            <v>42688</v>
          </cell>
          <cell r="U792" t="str">
            <v>LOPEZ RUIZ WILBERTO</v>
          </cell>
          <cell r="V792" t="str">
            <v>FLOREZ CONDORI  JOSE WILLIANS</v>
          </cell>
        </row>
        <row r="793">
          <cell r="A793">
            <v>788</v>
          </cell>
          <cell r="B793">
            <v>42688</v>
          </cell>
          <cell r="C793" t="str">
            <v>NOVIEMBRE</v>
          </cell>
          <cell r="D793" t="str">
            <v>2016</v>
          </cell>
          <cell r="E793">
            <v>326</v>
          </cell>
          <cell r="F793" t="str">
            <v>AEH-862</v>
          </cell>
          <cell r="G793" t="str">
            <v>CAMIONETA</v>
          </cell>
          <cell r="H793" t="str">
            <v>LAS BAMBAS</v>
          </cell>
          <cell r="I793">
            <v>14161</v>
          </cell>
          <cell r="J793" t="str">
            <v>REPUESTO</v>
          </cell>
          <cell r="K793" t="str">
            <v>ARANDELAS PLANAS 5/16</v>
          </cell>
          <cell r="L793">
            <v>4</v>
          </cell>
          <cell r="M793" t="str">
            <v>UNID.</v>
          </cell>
          <cell r="N793" t="str">
            <v>TRACTO</v>
          </cell>
          <cell r="O793">
            <v>0</v>
          </cell>
          <cell r="P793" t="str">
            <v>M5</v>
          </cell>
          <cell r="Q793" t="str">
            <v>J1</v>
          </cell>
          <cell r="R793" t="str">
            <v>J6</v>
          </cell>
          <cell r="S793" t="str">
            <v>ENTREGADO</v>
          </cell>
          <cell r="T793">
            <v>42688</v>
          </cell>
          <cell r="U793" t="str">
            <v>LOPEZ RUIZ WILBERTO</v>
          </cell>
          <cell r="V793" t="str">
            <v>FLOREZ CONDORI  JOSE WILLIANS</v>
          </cell>
        </row>
        <row r="794">
          <cell r="A794">
            <v>789</v>
          </cell>
          <cell r="B794">
            <v>42688</v>
          </cell>
          <cell r="C794" t="str">
            <v>NOVIEMBRE</v>
          </cell>
          <cell r="D794" t="str">
            <v>2016</v>
          </cell>
          <cell r="E794">
            <v>326</v>
          </cell>
          <cell r="F794" t="str">
            <v>AEH-862</v>
          </cell>
          <cell r="G794" t="str">
            <v>CAMIONETA</v>
          </cell>
          <cell r="H794" t="str">
            <v>LAS BAMBAS</v>
          </cell>
          <cell r="I794">
            <v>14161</v>
          </cell>
          <cell r="J794" t="str">
            <v>REPUESTO</v>
          </cell>
          <cell r="K794" t="str">
            <v>TUERCA SEGURO 5/16</v>
          </cell>
          <cell r="L794">
            <v>2</v>
          </cell>
          <cell r="M794" t="str">
            <v>UNID.</v>
          </cell>
          <cell r="N794" t="str">
            <v>TRACTO</v>
          </cell>
          <cell r="O794">
            <v>0</v>
          </cell>
          <cell r="P794" t="str">
            <v>M5</v>
          </cell>
          <cell r="Q794" t="str">
            <v>J1</v>
          </cell>
          <cell r="R794" t="str">
            <v>J6</v>
          </cell>
          <cell r="S794" t="str">
            <v>ENTREGADO</v>
          </cell>
          <cell r="T794">
            <v>42688</v>
          </cell>
          <cell r="U794" t="str">
            <v>LOPEZ RUIZ WILBERTO</v>
          </cell>
          <cell r="V794" t="str">
            <v>FLOREZ CONDORI  JOSE WILLIANS</v>
          </cell>
        </row>
        <row r="795">
          <cell r="A795">
            <v>817</v>
          </cell>
          <cell r="B795">
            <v>42688</v>
          </cell>
          <cell r="C795" t="str">
            <v>NOVIEMBRE</v>
          </cell>
          <cell r="D795" t="str">
            <v>2016</v>
          </cell>
          <cell r="E795">
            <v>326</v>
          </cell>
          <cell r="F795" t="str">
            <v>AEH-862</v>
          </cell>
          <cell r="G795" t="str">
            <v>CAMIONETA</v>
          </cell>
          <cell r="H795" t="str">
            <v>LAS BAMBAS</v>
          </cell>
          <cell r="I795">
            <v>14161</v>
          </cell>
          <cell r="J795" t="str">
            <v>SERVICIO</v>
          </cell>
          <cell r="K795" t="str">
            <v xml:space="preserve">PRENSADO DE BARRA DE DIRECCION </v>
          </cell>
          <cell r="L795">
            <v>1</v>
          </cell>
          <cell r="M795" t="str">
            <v>UNID.</v>
          </cell>
          <cell r="N795" t="str">
            <v>TRACTO</v>
          </cell>
          <cell r="O795">
            <v>102</v>
          </cell>
          <cell r="P795" t="str">
            <v>M5</v>
          </cell>
          <cell r="Q795" t="str">
            <v>J1</v>
          </cell>
          <cell r="R795" t="str">
            <v>J1</v>
          </cell>
          <cell r="S795" t="str">
            <v>ENTREGADO</v>
          </cell>
          <cell r="T795">
            <v>0</v>
          </cell>
          <cell r="U795" t="str">
            <v>LOPEZ RUIZ WILBERTO</v>
          </cell>
          <cell r="V795" t="str">
            <v>FLOREZ CONDORI  JOSE WILLIANS</v>
          </cell>
        </row>
        <row r="796">
          <cell r="A796">
            <v>825</v>
          </cell>
          <cell r="B796">
            <v>42688</v>
          </cell>
          <cell r="C796" t="str">
            <v>NOVIEMBRE</v>
          </cell>
          <cell r="D796" t="str">
            <v>2016</v>
          </cell>
          <cell r="E796">
            <v>326</v>
          </cell>
          <cell r="F796" t="str">
            <v>AEH-862</v>
          </cell>
          <cell r="G796" t="str">
            <v>CAMIONETA</v>
          </cell>
          <cell r="H796" t="str">
            <v>LAS BAMBAS</v>
          </cell>
          <cell r="I796">
            <v>14161</v>
          </cell>
          <cell r="J796" t="str">
            <v>REPUESTO</v>
          </cell>
          <cell r="K796" t="str">
            <v>MANGUERAS DE TUBO DE AGUA 2 1/2" ( SEGÚN MUESTRA)</v>
          </cell>
          <cell r="L796">
            <v>2</v>
          </cell>
          <cell r="M796" t="str">
            <v>UNID.</v>
          </cell>
          <cell r="N796" t="str">
            <v>TRACTO</v>
          </cell>
          <cell r="O796">
            <v>0</v>
          </cell>
          <cell r="P796" t="str">
            <v>M5</v>
          </cell>
          <cell r="Q796" t="str">
            <v>J2</v>
          </cell>
          <cell r="R796" t="str">
            <v>J2</v>
          </cell>
          <cell r="S796" t="str">
            <v>ENTREGADO</v>
          </cell>
          <cell r="T796">
            <v>42688</v>
          </cell>
          <cell r="U796" t="str">
            <v>LOPEZ RUIZ WILBERTO</v>
          </cell>
          <cell r="V796" t="str">
            <v>CORIHUAMAN SURCO  ERICK ROBERT</v>
          </cell>
        </row>
        <row r="797">
          <cell r="A797">
            <v>826</v>
          </cell>
          <cell r="B797">
            <v>42688</v>
          </cell>
          <cell r="C797" t="str">
            <v>NOVIEMBRE</v>
          </cell>
          <cell r="D797" t="str">
            <v>2016</v>
          </cell>
          <cell r="E797">
            <v>326</v>
          </cell>
          <cell r="F797" t="str">
            <v>AEH-862</v>
          </cell>
          <cell r="G797" t="str">
            <v>CAMIONETA</v>
          </cell>
          <cell r="H797" t="str">
            <v>LAS BAMBAS</v>
          </cell>
          <cell r="I797">
            <v>14161</v>
          </cell>
          <cell r="J797" t="str">
            <v>REPUESTO</v>
          </cell>
          <cell r="K797" t="str">
            <v>ABRASADERAS  SEGÚN MUESTRA</v>
          </cell>
          <cell r="L797">
            <v>4</v>
          </cell>
          <cell r="M797" t="str">
            <v>UNID.</v>
          </cell>
          <cell r="N797" t="str">
            <v>TRACTO</v>
          </cell>
          <cell r="O797">
            <v>0</v>
          </cell>
          <cell r="P797" t="str">
            <v>M5</v>
          </cell>
          <cell r="Q797" t="str">
            <v>J2</v>
          </cell>
          <cell r="R797" t="str">
            <v>J2</v>
          </cell>
          <cell r="S797" t="str">
            <v>ENTREGADO</v>
          </cell>
          <cell r="T797">
            <v>42688</v>
          </cell>
          <cell r="U797" t="str">
            <v>LOPEZ RUIZ WILBERTO</v>
          </cell>
          <cell r="V797" t="str">
            <v>CORIHUAMAN SURCO  ERICK ROBERT</v>
          </cell>
        </row>
        <row r="798">
          <cell r="A798">
            <v>827</v>
          </cell>
          <cell r="B798">
            <v>42688</v>
          </cell>
          <cell r="C798" t="str">
            <v>NOVIEMBRE</v>
          </cell>
          <cell r="D798" t="str">
            <v>2016</v>
          </cell>
          <cell r="E798">
            <v>326</v>
          </cell>
          <cell r="F798" t="str">
            <v>AEH-862</v>
          </cell>
          <cell r="G798" t="str">
            <v>CAMIONETA</v>
          </cell>
          <cell r="H798" t="str">
            <v>LAS BAMBAS</v>
          </cell>
          <cell r="I798">
            <v>14161</v>
          </cell>
          <cell r="J798" t="str">
            <v>REPUESTO</v>
          </cell>
          <cell r="K798" t="str">
            <v>REFRIGERANTE</v>
          </cell>
          <cell r="L798">
            <v>10</v>
          </cell>
          <cell r="M798" t="str">
            <v>GLNS.</v>
          </cell>
          <cell r="N798" t="str">
            <v>TRACTO</v>
          </cell>
          <cell r="O798">
            <v>0</v>
          </cell>
          <cell r="P798" t="str">
            <v>M5</v>
          </cell>
          <cell r="Q798" t="str">
            <v>J2</v>
          </cell>
          <cell r="R798" t="str">
            <v>J2</v>
          </cell>
          <cell r="S798" t="str">
            <v>ENTREGADO</v>
          </cell>
          <cell r="T798">
            <v>42688</v>
          </cell>
          <cell r="U798" t="str">
            <v>LOPEZ RUIZ WILBERTO</v>
          </cell>
          <cell r="V798" t="str">
            <v>CORIHUAMAN SURCO  ERICK ROBERT</v>
          </cell>
        </row>
        <row r="799">
          <cell r="A799">
            <v>795</v>
          </cell>
          <cell r="B799">
            <v>42688</v>
          </cell>
          <cell r="C799" t="str">
            <v>NOVIEMBRE</v>
          </cell>
          <cell r="D799" t="str">
            <v>2016</v>
          </cell>
          <cell r="E799">
            <v>310</v>
          </cell>
          <cell r="F799" t="str">
            <v>AEH-920</v>
          </cell>
          <cell r="G799" t="str">
            <v>CAMIONETA</v>
          </cell>
          <cell r="H799" t="str">
            <v>LAS BAMBAS</v>
          </cell>
          <cell r="I799">
            <v>85226</v>
          </cell>
          <cell r="J799" t="str">
            <v>REPUESTO</v>
          </cell>
          <cell r="K799" t="str">
            <v xml:space="preserve">MAXI BRECK </v>
          </cell>
          <cell r="L799">
            <v>2</v>
          </cell>
          <cell r="M799" t="str">
            <v>UNID.</v>
          </cell>
          <cell r="N799" t="str">
            <v>CISTERNA</v>
          </cell>
          <cell r="O799">
            <v>102</v>
          </cell>
          <cell r="P799" t="str">
            <v>M7</v>
          </cell>
          <cell r="Q799" t="str">
            <v>J2</v>
          </cell>
          <cell r="R799" t="str">
            <v>J6</v>
          </cell>
          <cell r="S799" t="str">
            <v>ENTREGADO</v>
          </cell>
          <cell r="T799">
            <v>0</v>
          </cell>
          <cell r="U799" t="str">
            <v>ROBLES ROJAS  JOSE MIGUEL</v>
          </cell>
          <cell r="V799" t="str">
            <v>CORIHUAMAN SURCO  ERICK ROBERT</v>
          </cell>
        </row>
        <row r="800">
          <cell r="A800">
            <v>821</v>
          </cell>
          <cell r="B800">
            <v>42688</v>
          </cell>
          <cell r="C800" t="str">
            <v>NOVIEMBRE</v>
          </cell>
          <cell r="D800" t="str">
            <v>2016</v>
          </cell>
          <cell r="E800">
            <v>329</v>
          </cell>
          <cell r="F800" t="str">
            <v>AKW-731</v>
          </cell>
          <cell r="G800" t="str">
            <v>TCR-989</v>
          </cell>
          <cell r="H800" t="str">
            <v>LAS BAMBAS CONC.</v>
          </cell>
          <cell r="I800">
            <v>19290</v>
          </cell>
          <cell r="J800" t="str">
            <v>REPUESTO</v>
          </cell>
          <cell r="K800" t="str">
            <v>MINIFUSIBLES DE 10 AMP.</v>
          </cell>
          <cell r="L800">
            <v>6</v>
          </cell>
          <cell r="M800" t="str">
            <v>UNID.</v>
          </cell>
          <cell r="N800" t="str">
            <v>CAMION</v>
          </cell>
          <cell r="O800">
            <v>-1</v>
          </cell>
          <cell r="P800" t="str">
            <v>E2</v>
          </cell>
          <cell r="Q800" t="str">
            <v>J2</v>
          </cell>
          <cell r="R800" t="str">
            <v>J2</v>
          </cell>
          <cell r="S800" t="str">
            <v>ENTREGADO</v>
          </cell>
          <cell r="T800">
            <v>42687</v>
          </cell>
          <cell r="U800" t="str">
            <v>YUCA BELLIDO BORIS YERSY</v>
          </cell>
          <cell r="V800" t="str">
            <v>CORIHUAMAN SURCO  ERICK ROBERT</v>
          </cell>
        </row>
        <row r="801">
          <cell r="A801">
            <v>753</v>
          </cell>
          <cell r="B801">
            <v>42688</v>
          </cell>
          <cell r="C801" t="str">
            <v>NOVIEMBRE</v>
          </cell>
          <cell r="D801" t="str">
            <v>2016</v>
          </cell>
          <cell r="E801">
            <v>323</v>
          </cell>
          <cell r="F801" t="str">
            <v>AKW-860</v>
          </cell>
          <cell r="G801" t="str">
            <v>F5Z-991</v>
          </cell>
          <cell r="H801" t="str">
            <v>LAS BAMBAS</v>
          </cell>
          <cell r="I801">
            <v>36535</v>
          </cell>
          <cell r="J801" t="str">
            <v>REPUESTO</v>
          </cell>
          <cell r="K801" t="str">
            <v>CELLOCOR 1/8</v>
          </cell>
          <cell r="L801">
            <v>1</v>
          </cell>
          <cell r="M801" t="str">
            <v>KG.</v>
          </cell>
          <cell r="N801" t="str">
            <v>CISTERNA</v>
          </cell>
          <cell r="O801">
            <v>0</v>
          </cell>
          <cell r="P801" t="str">
            <v>S1</v>
          </cell>
          <cell r="Q801" t="str">
            <v>J2</v>
          </cell>
          <cell r="R801" t="str">
            <v>J6</v>
          </cell>
          <cell r="S801" t="str">
            <v>ENTREGADO</v>
          </cell>
          <cell r="T801">
            <v>42688</v>
          </cell>
          <cell r="U801" t="str">
            <v>BAYONA CRUZ CRISTIAN ARMANDO</v>
          </cell>
          <cell r="V801" t="str">
            <v>CORIHUAMAN SURCO  ERICK ROBERT</v>
          </cell>
        </row>
        <row r="802">
          <cell r="A802">
            <v>754</v>
          </cell>
          <cell r="B802">
            <v>42688</v>
          </cell>
          <cell r="C802" t="str">
            <v>NOVIEMBRE</v>
          </cell>
          <cell r="D802" t="str">
            <v>2016</v>
          </cell>
          <cell r="E802">
            <v>323</v>
          </cell>
          <cell r="F802" t="str">
            <v>AKW-860</v>
          </cell>
          <cell r="G802" t="str">
            <v>F5Z-991</v>
          </cell>
          <cell r="H802" t="str">
            <v>LAS BAMBAS</v>
          </cell>
          <cell r="I802">
            <v>36535</v>
          </cell>
          <cell r="J802" t="str">
            <v>REPUESTO</v>
          </cell>
          <cell r="K802" t="str">
            <v>SUPERCITO 1/8</v>
          </cell>
          <cell r="L802">
            <v>1</v>
          </cell>
          <cell r="M802" t="str">
            <v>KG.</v>
          </cell>
          <cell r="N802" t="str">
            <v>CISTERNA</v>
          </cell>
          <cell r="O802">
            <v>0</v>
          </cell>
          <cell r="P802" t="str">
            <v>S1</v>
          </cell>
          <cell r="Q802" t="str">
            <v>J2</v>
          </cell>
          <cell r="R802" t="str">
            <v>J6</v>
          </cell>
          <cell r="S802" t="str">
            <v>ENTREGADO</v>
          </cell>
          <cell r="T802">
            <v>42688</v>
          </cell>
          <cell r="U802" t="str">
            <v>BAYONA CRUZ CRISTIAN ARMANDO</v>
          </cell>
          <cell r="V802" t="str">
            <v>CORIHUAMAN SURCO  ERICK ROBERT</v>
          </cell>
        </row>
        <row r="803">
          <cell r="A803">
            <v>755</v>
          </cell>
          <cell r="B803">
            <v>42688</v>
          </cell>
          <cell r="C803" t="str">
            <v>NOVIEMBRE</v>
          </cell>
          <cell r="D803" t="str">
            <v>2016</v>
          </cell>
          <cell r="E803">
            <v>323</v>
          </cell>
          <cell r="F803" t="str">
            <v>AKW-860</v>
          </cell>
          <cell r="G803" t="str">
            <v>F5Z-991</v>
          </cell>
          <cell r="H803" t="str">
            <v>LAS BAMBAS</v>
          </cell>
          <cell r="I803">
            <v>36535</v>
          </cell>
          <cell r="J803" t="str">
            <v>REPUESTO</v>
          </cell>
          <cell r="K803" t="str">
            <v>PERNO 1/2 X 4</v>
          </cell>
          <cell r="L803">
            <v>1</v>
          </cell>
          <cell r="M803" t="str">
            <v>UNID.</v>
          </cell>
          <cell r="N803" t="str">
            <v>TRACTO</v>
          </cell>
          <cell r="O803">
            <v>0</v>
          </cell>
          <cell r="P803" t="str">
            <v>M7</v>
          </cell>
          <cell r="Q803" t="str">
            <v>J1</v>
          </cell>
          <cell r="R803" t="str">
            <v>J6</v>
          </cell>
          <cell r="S803" t="str">
            <v>ENTREGADO</v>
          </cell>
          <cell r="T803">
            <v>42688</v>
          </cell>
          <cell r="U803" t="str">
            <v>ROBLES ROJAS  JOSE MIGUEL</v>
          </cell>
          <cell r="V803" t="str">
            <v>FLOREZ CONDORI  JOSE WILLIANS</v>
          </cell>
        </row>
        <row r="804">
          <cell r="A804">
            <v>756</v>
          </cell>
          <cell r="B804">
            <v>42688</v>
          </cell>
          <cell r="C804" t="str">
            <v>NOVIEMBRE</v>
          </cell>
          <cell r="D804" t="str">
            <v>2016</v>
          </cell>
          <cell r="E804">
            <v>323</v>
          </cell>
          <cell r="F804" t="str">
            <v>AKW-860</v>
          </cell>
          <cell r="G804" t="str">
            <v>F5Z-991</v>
          </cell>
          <cell r="H804" t="str">
            <v>LAS BAMBAS</v>
          </cell>
          <cell r="I804">
            <v>36535</v>
          </cell>
          <cell r="J804" t="str">
            <v>REPUESTO</v>
          </cell>
          <cell r="K804" t="str">
            <v>TUERCA 1/2</v>
          </cell>
          <cell r="L804">
            <v>1</v>
          </cell>
          <cell r="M804" t="str">
            <v>UNID.</v>
          </cell>
          <cell r="N804" t="str">
            <v>TRACTO</v>
          </cell>
          <cell r="O804">
            <v>0</v>
          </cell>
          <cell r="P804" t="str">
            <v>M7</v>
          </cell>
          <cell r="Q804" t="str">
            <v>J1</v>
          </cell>
          <cell r="R804" t="str">
            <v>J6</v>
          </cell>
          <cell r="S804" t="str">
            <v>ENTREGADO</v>
          </cell>
          <cell r="T804">
            <v>42688</v>
          </cell>
          <cell r="U804" t="str">
            <v>ROBLES ROJAS  JOSE MIGUEL</v>
          </cell>
          <cell r="V804" t="str">
            <v>FLOREZ CONDORI  JOSE WILLIANS</v>
          </cell>
        </row>
        <row r="805">
          <cell r="A805">
            <v>757</v>
          </cell>
          <cell r="B805">
            <v>42688</v>
          </cell>
          <cell r="C805" t="str">
            <v>NOVIEMBRE</v>
          </cell>
          <cell r="D805" t="str">
            <v>2016</v>
          </cell>
          <cell r="E805">
            <v>323</v>
          </cell>
          <cell r="F805" t="str">
            <v>AKW-860</v>
          </cell>
          <cell r="G805" t="str">
            <v>F5Z-991</v>
          </cell>
          <cell r="H805" t="str">
            <v>LAS BAMBAS</v>
          </cell>
          <cell r="I805">
            <v>36535</v>
          </cell>
          <cell r="J805" t="str">
            <v>REPUESTO</v>
          </cell>
          <cell r="K805" t="str">
            <v>ARANDELA PLANA 1/2</v>
          </cell>
          <cell r="L805">
            <v>4</v>
          </cell>
          <cell r="M805" t="str">
            <v>UNID.</v>
          </cell>
          <cell r="N805" t="str">
            <v>TRACTO</v>
          </cell>
          <cell r="O805">
            <v>0</v>
          </cell>
          <cell r="P805" t="str">
            <v>M7</v>
          </cell>
          <cell r="Q805" t="str">
            <v>J1</v>
          </cell>
          <cell r="R805" t="str">
            <v>J6</v>
          </cell>
          <cell r="S805" t="str">
            <v>ENTREGADO</v>
          </cell>
          <cell r="T805">
            <v>42688</v>
          </cell>
          <cell r="U805" t="str">
            <v>ROBLES ROJAS  JOSE MIGUEL</v>
          </cell>
          <cell r="V805" t="str">
            <v>FLOREZ CONDORI  JOSE WILLIANS</v>
          </cell>
        </row>
        <row r="806">
          <cell r="A806">
            <v>758</v>
          </cell>
          <cell r="B806">
            <v>42688</v>
          </cell>
          <cell r="C806" t="str">
            <v>NOVIEMBRE</v>
          </cell>
          <cell r="D806" t="str">
            <v>2016</v>
          </cell>
          <cell r="E806">
            <v>323</v>
          </cell>
          <cell r="F806" t="str">
            <v>AKW-860</v>
          </cell>
          <cell r="G806" t="str">
            <v>F5Z-991</v>
          </cell>
          <cell r="H806" t="str">
            <v>LAS BAMBAS</v>
          </cell>
          <cell r="I806">
            <v>36535</v>
          </cell>
          <cell r="J806" t="str">
            <v>REPUESTO</v>
          </cell>
          <cell r="K806" t="str">
            <v>PERNO 5/16 X 1 1/2</v>
          </cell>
          <cell r="L806">
            <v>2</v>
          </cell>
          <cell r="M806" t="str">
            <v>UNID.</v>
          </cell>
          <cell r="N806" t="str">
            <v>TRACTO</v>
          </cell>
          <cell r="O806">
            <v>0</v>
          </cell>
          <cell r="P806" t="str">
            <v>M7</v>
          </cell>
          <cell r="Q806" t="str">
            <v>J1</v>
          </cell>
          <cell r="R806" t="str">
            <v>J6</v>
          </cell>
          <cell r="S806" t="str">
            <v>ENTREGADO</v>
          </cell>
          <cell r="T806">
            <v>42688</v>
          </cell>
          <cell r="U806" t="str">
            <v>ROBLES ROJAS  JOSE MIGUEL</v>
          </cell>
          <cell r="V806" t="str">
            <v>FLOREZ CONDORI  JOSE WILLIANS</v>
          </cell>
        </row>
        <row r="807">
          <cell r="A807">
            <v>759</v>
          </cell>
          <cell r="B807">
            <v>42688</v>
          </cell>
          <cell r="C807" t="str">
            <v>NOVIEMBRE</v>
          </cell>
          <cell r="D807" t="str">
            <v>2016</v>
          </cell>
          <cell r="E807">
            <v>323</v>
          </cell>
          <cell r="F807" t="str">
            <v>AKW-860</v>
          </cell>
          <cell r="G807" t="str">
            <v>F5Z-991</v>
          </cell>
          <cell r="H807" t="str">
            <v>LAS BAMBAS</v>
          </cell>
          <cell r="I807">
            <v>36535</v>
          </cell>
          <cell r="J807" t="str">
            <v>REPUESTO</v>
          </cell>
          <cell r="K807" t="str">
            <v>TUERCA 5/16</v>
          </cell>
          <cell r="L807">
            <v>2</v>
          </cell>
          <cell r="M807" t="str">
            <v>UNID.</v>
          </cell>
          <cell r="N807" t="str">
            <v>TRACTO</v>
          </cell>
          <cell r="O807">
            <v>0</v>
          </cell>
          <cell r="P807" t="str">
            <v>M7</v>
          </cell>
          <cell r="Q807" t="str">
            <v>J1</v>
          </cell>
          <cell r="R807" t="str">
            <v>J6</v>
          </cell>
          <cell r="S807" t="str">
            <v>ENTREGADO</v>
          </cell>
          <cell r="T807">
            <v>42688</v>
          </cell>
          <cell r="U807" t="str">
            <v>ROBLES ROJAS  JOSE MIGUEL</v>
          </cell>
          <cell r="V807" t="str">
            <v>FLOREZ CONDORI  JOSE WILLIANS</v>
          </cell>
        </row>
        <row r="808">
          <cell r="A808">
            <v>760</v>
          </cell>
          <cell r="B808">
            <v>42688</v>
          </cell>
          <cell r="C808" t="str">
            <v>NOVIEMBRE</v>
          </cell>
          <cell r="D808" t="str">
            <v>2016</v>
          </cell>
          <cell r="E808">
            <v>323</v>
          </cell>
          <cell r="F808" t="str">
            <v>AKW-860</v>
          </cell>
          <cell r="G808" t="str">
            <v>F5Z-991</v>
          </cell>
          <cell r="H808" t="str">
            <v>LAS BAMBAS</v>
          </cell>
          <cell r="I808">
            <v>36535</v>
          </cell>
          <cell r="J808" t="str">
            <v>REPUESTO</v>
          </cell>
          <cell r="K808" t="str">
            <v>ARANDELA PLANA 5/16</v>
          </cell>
          <cell r="L808">
            <v>4</v>
          </cell>
          <cell r="M808" t="str">
            <v>UNID.</v>
          </cell>
          <cell r="N808" t="str">
            <v>TRACTO</v>
          </cell>
          <cell r="O808">
            <v>0</v>
          </cell>
          <cell r="P808" t="str">
            <v>M7</v>
          </cell>
          <cell r="Q808" t="str">
            <v>J1</v>
          </cell>
          <cell r="R808" t="str">
            <v>J6</v>
          </cell>
          <cell r="S808" t="str">
            <v>ENTREGADO</v>
          </cell>
          <cell r="T808">
            <v>42688</v>
          </cell>
          <cell r="U808" t="str">
            <v>ROBLES ROJAS  JOSE MIGUEL</v>
          </cell>
          <cell r="V808" t="str">
            <v>FLOREZ CONDORI  JOSE WILLIANS</v>
          </cell>
        </row>
        <row r="809">
          <cell r="A809">
            <v>780</v>
          </cell>
          <cell r="B809">
            <v>42688</v>
          </cell>
          <cell r="C809" t="str">
            <v>NOVIEMBRE</v>
          </cell>
          <cell r="D809" t="str">
            <v>2016</v>
          </cell>
          <cell r="E809">
            <v>323</v>
          </cell>
          <cell r="F809" t="str">
            <v>AKW-860</v>
          </cell>
          <cell r="G809" t="str">
            <v>F5Z-991</v>
          </cell>
          <cell r="H809" t="str">
            <v>LAS BAMBAS</v>
          </cell>
          <cell r="I809">
            <v>36535</v>
          </cell>
          <cell r="J809" t="str">
            <v>REPUESTO</v>
          </cell>
          <cell r="K809" t="str">
            <v>LIQUIDO LIMPIAPARABRISAS</v>
          </cell>
          <cell r="L809">
            <v>1</v>
          </cell>
          <cell r="M809" t="str">
            <v>GLNS.</v>
          </cell>
          <cell r="N809" t="str">
            <v>TRACTO</v>
          </cell>
          <cell r="O809">
            <v>0</v>
          </cell>
          <cell r="P809" t="str">
            <v>M7</v>
          </cell>
          <cell r="Q809" t="str">
            <v>J1</v>
          </cell>
          <cell r="R809" t="str">
            <v>J6</v>
          </cell>
          <cell r="S809" t="str">
            <v>ENTREGADO</v>
          </cell>
          <cell r="T809">
            <v>42688</v>
          </cell>
          <cell r="U809" t="str">
            <v>ROBLES ROJAS  JOSE MIGUEL</v>
          </cell>
          <cell r="V809" t="str">
            <v>FLOREZ CONDORI  JOSE WILLIANS</v>
          </cell>
        </row>
        <row r="810">
          <cell r="A810">
            <v>781</v>
          </cell>
          <cell r="B810">
            <v>42688</v>
          </cell>
          <cell r="C810" t="str">
            <v>NOVIEMBRE</v>
          </cell>
          <cell r="D810" t="str">
            <v>2016</v>
          </cell>
          <cell r="E810">
            <v>324</v>
          </cell>
          <cell r="F810" t="str">
            <v>AKW-894</v>
          </cell>
          <cell r="G810" t="str">
            <v>TBN-978</v>
          </cell>
          <cell r="H810" t="str">
            <v>LAS BAMBAS</v>
          </cell>
          <cell r="I810">
            <v>36539</v>
          </cell>
          <cell r="J810" t="str">
            <v>REPUESTO</v>
          </cell>
          <cell r="K810" t="str">
            <v>TAPABARRO REPARADO FARO DELANTERO LADO IZQUIERDO</v>
          </cell>
          <cell r="L810">
            <v>1</v>
          </cell>
          <cell r="M810" t="str">
            <v>UNID.</v>
          </cell>
          <cell r="N810" t="str">
            <v>TRACTO</v>
          </cell>
          <cell r="O810">
            <v>0</v>
          </cell>
          <cell r="P810" t="str">
            <v>M4</v>
          </cell>
          <cell r="Q810" t="str">
            <v>J1</v>
          </cell>
          <cell r="R810" t="str">
            <v>J6</v>
          </cell>
          <cell r="S810" t="str">
            <v>ENTREGADO</v>
          </cell>
          <cell r="T810">
            <v>42688</v>
          </cell>
          <cell r="U810" t="str">
            <v>JULLIRI APAZA UBALDO</v>
          </cell>
          <cell r="V810" t="str">
            <v>FLOREZ CONDORI  JOSE WILLIANS</v>
          </cell>
        </row>
        <row r="811">
          <cell r="A811">
            <v>782</v>
          </cell>
          <cell r="B811">
            <v>42688</v>
          </cell>
          <cell r="C811" t="str">
            <v>NOVIEMBRE</v>
          </cell>
          <cell r="D811" t="str">
            <v>2016</v>
          </cell>
          <cell r="E811">
            <v>324</v>
          </cell>
          <cell r="F811" t="str">
            <v>AKW-894</v>
          </cell>
          <cell r="G811" t="str">
            <v>TBN-978</v>
          </cell>
          <cell r="H811" t="str">
            <v>LAS BAMBAS</v>
          </cell>
          <cell r="I811">
            <v>36539</v>
          </cell>
          <cell r="J811" t="str">
            <v>REPUESTO</v>
          </cell>
          <cell r="K811" t="str">
            <v>PERNO 5/16 X 1</v>
          </cell>
          <cell r="L811">
            <v>1</v>
          </cell>
          <cell r="M811" t="str">
            <v>UNID.</v>
          </cell>
          <cell r="N811" t="str">
            <v>TRACTO</v>
          </cell>
          <cell r="O811">
            <v>0</v>
          </cell>
          <cell r="P811" t="str">
            <v>M4</v>
          </cell>
          <cell r="Q811" t="str">
            <v>J1</v>
          </cell>
          <cell r="R811" t="str">
            <v>J6</v>
          </cell>
          <cell r="S811" t="str">
            <v>ENTREGADO</v>
          </cell>
          <cell r="T811">
            <v>42688</v>
          </cell>
          <cell r="U811" t="str">
            <v>JULLIRI APAZA UBALDO</v>
          </cell>
          <cell r="V811" t="str">
            <v>FLOREZ CONDORI  JOSE WILLIANS</v>
          </cell>
        </row>
        <row r="812">
          <cell r="A812">
            <v>783</v>
          </cell>
          <cell r="B812">
            <v>42688</v>
          </cell>
          <cell r="C812" t="str">
            <v>NOVIEMBRE</v>
          </cell>
          <cell r="D812" t="str">
            <v>2016</v>
          </cell>
          <cell r="E812">
            <v>324</v>
          </cell>
          <cell r="F812" t="str">
            <v>AKW-894</v>
          </cell>
          <cell r="G812" t="str">
            <v>TBN-978</v>
          </cell>
          <cell r="H812" t="str">
            <v>LAS BAMBAS</v>
          </cell>
          <cell r="I812">
            <v>36539</v>
          </cell>
          <cell r="J812" t="str">
            <v>REPUESTO</v>
          </cell>
          <cell r="K812" t="str">
            <v>VOLANDA PLANA 5/16</v>
          </cell>
          <cell r="L812">
            <v>2</v>
          </cell>
          <cell r="M812" t="str">
            <v>UNID.</v>
          </cell>
          <cell r="N812" t="str">
            <v>TRACTO</v>
          </cell>
          <cell r="O812">
            <v>0</v>
          </cell>
          <cell r="P812" t="str">
            <v>M4</v>
          </cell>
          <cell r="Q812" t="str">
            <v>J1</v>
          </cell>
          <cell r="R812" t="str">
            <v>J6</v>
          </cell>
          <cell r="S812" t="str">
            <v>ENTREGADO</v>
          </cell>
          <cell r="T812">
            <v>42688</v>
          </cell>
          <cell r="U812" t="str">
            <v>JULLIRI APAZA UBALDO</v>
          </cell>
          <cell r="V812" t="str">
            <v>FLOREZ CONDORI  JOSE WILLIANS</v>
          </cell>
        </row>
        <row r="813">
          <cell r="A813">
            <v>784</v>
          </cell>
          <cell r="B813">
            <v>42688</v>
          </cell>
          <cell r="C813" t="str">
            <v>NOVIEMBRE</v>
          </cell>
          <cell r="D813" t="str">
            <v>2016</v>
          </cell>
          <cell r="E813">
            <v>324</v>
          </cell>
          <cell r="F813" t="str">
            <v>AKW-894</v>
          </cell>
          <cell r="G813" t="str">
            <v>TBN-978</v>
          </cell>
          <cell r="H813" t="str">
            <v>LAS BAMBAS</v>
          </cell>
          <cell r="I813">
            <v>36539</v>
          </cell>
          <cell r="J813" t="str">
            <v>REPUESTO</v>
          </cell>
          <cell r="K813" t="str">
            <v>TUERCA SEGURO 5/16</v>
          </cell>
          <cell r="L813">
            <v>1</v>
          </cell>
          <cell r="M813" t="str">
            <v>UNID.</v>
          </cell>
          <cell r="N813" t="str">
            <v>TRACTO</v>
          </cell>
          <cell r="O813">
            <v>0</v>
          </cell>
          <cell r="P813" t="str">
            <v>M4</v>
          </cell>
          <cell r="Q813" t="str">
            <v>J1</v>
          </cell>
          <cell r="R813" t="str">
            <v>J6</v>
          </cell>
          <cell r="S813" t="str">
            <v>ENTREGADO</v>
          </cell>
          <cell r="T813">
            <v>42688</v>
          </cell>
          <cell r="U813" t="str">
            <v>JULLIRI APAZA UBALDO</v>
          </cell>
          <cell r="V813" t="str">
            <v>FLOREZ CONDORI  JOSE WILLIANS</v>
          </cell>
        </row>
        <row r="814">
          <cell r="A814">
            <v>790</v>
          </cell>
          <cell r="B814">
            <v>42688</v>
          </cell>
          <cell r="C814" t="str">
            <v>NOVIEMBRE</v>
          </cell>
          <cell r="D814" t="str">
            <v>2016</v>
          </cell>
          <cell r="E814">
            <v>306</v>
          </cell>
          <cell r="F814" t="str">
            <v>AKX-767</v>
          </cell>
          <cell r="G814" t="str">
            <v>TCR-993</v>
          </cell>
          <cell r="H814" t="str">
            <v>LAS BAMBAS CONC.</v>
          </cell>
          <cell r="I814">
            <v>16820.400000000001</v>
          </cell>
          <cell r="J814" t="str">
            <v>REPUESTO</v>
          </cell>
          <cell r="K814" t="str">
            <v>FAROS NEBLINEROS AAA</v>
          </cell>
          <cell r="L814">
            <v>2</v>
          </cell>
          <cell r="M814" t="str">
            <v>UNID.</v>
          </cell>
          <cell r="N814" t="str">
            <v>TRACTO</v>
          </cell>
          <cell r="O814">
            <v>0</v>
          </cell>
          <cell r="P814" t="str">
            <v>E2</v>
          </cell>
          <cell r="Q814" t="str">
            <v>J1</v>
          </cell>
          <cell r="R814" t="str">
            <v>J6</v>
          </cell>
          <cell r="S814" t="str">
            <v>ENTREGADO</v>
          </cell>
          <cell r="T814">
            <v>42688</v>
          </cell>
          <cell r="U814" t="str">
            <v>YUCA BELLIDO BORIS YERSY</v>
          </cell>
          <cell r="V814" t="str">
            <v>FLOREZ CONDORI  JOSE WILLIANS</v>
          </cell>
        </row>
        <row r="815">
          <cell r="A815">
            <v>806</v>
          </cell>
          <cell r="B815">
            <v>42688</v>
          </cell>
          <cell r="C815" t="str">
            <v>NOVIEMBRE</v>
          </cell>
          <cell r="D815" t="str">
            <v>2016</v>
          </cell>
          <cell r="E815">
            <v>209</v>
          </cell>
          <cell r="F815" t="str">
            <v>AKX-805</v>
          </cell>
          <cell r="G815" t="str">
            <v>F5Z-985</v>
          </cell>
          <cell r="H815" t="str">
            <v>LAS BAMBAS</v>
          </cell>
          <cell r="I815">
            <v>31856</v>
          </cell>
          <cell r="J815" t="str">
            <v>REPUESTO</v>
          </cell>
          <cell r="K815" t="str">
            <v>CONO 1/4</v>
          </cell>
          <cell r="L815">
            <v>1</v>
          </cell>
          <cell r="M815" t="str">
            <v>UNID.</v>
          </cell>
          <cell r="N815" t="str">
            <v>CISTERNA</v>
          </cell>
          <cell r="O815">
            <v>0</v>
          </cell>
          <cell r="P815" t="str">
            <v>M7</v>
          </cell>
          <cell r="Q815" t="str">
            <v>J1</v>
          </cell>
          <cell r="R815" t="str">
            <v>J6</v>
          </cell>
          <cell r="S815" t="str">
            <v>ENTREGADO</v>
          </cell>
          <cell r="T815">
            <v>42688</v>
          </cell>
          <cell r="U815" t="str">
            <v>ROBLES ROJAS  JOSE MIGUEL</v>
          </cell>
          <cell r="V815" t="str">
            <v>FLOREZ CONDORI  JOSE WILLIANS</v>
          </cell>
        </row>
        <row r="816">
          <cell r="A816">
            <v>807</v>
          </cell>
          <cell r="B816">
            <v>42688</v>
          </cell>
          <cell r="C816" t="str">
            <v>NOVIEMBRE</v>
          </cell>
          <cell r="D816" t="str">
            <v>2016</v>
          </cell>
          <cell r="E816">
            <v>209</v>
          </cell>
          <cell r="F816" t="str">
            <v>AKX-805</v>
          </cell>
          <cell r="G816" t="str">
            <v>F5Z-985</v>
          </cell>
          <cell r="H816" t="str">
            <v>LAS BAMBAS</v>
          </cell>
          <cell r="I816">
            <v>31856</v>
          </cell>
          <cell r="J816" t="str">
            <v>REPUESTO</v>
          </cell>
          <cell r="K816" t="str">
            <v>GUIA 1/4</v>
          </cell>
          <cell r="L816">
            <v>1</v>
          </cell>
          <cell r="M816" t="str">
            <v>UNID.</v>
          </cell>
          <cell r="N816" t="str">
            <v>CISTERNA</v>
          </cell>
          <cell r="O816">
            <v>0</v>
          </cell>
          <cell r="P816" t="str">
            <v>M7</v>
          </cell>
          <cell r="Q816" t="str">
            <v>J1</v>
          </cell>
          <cell r="R816" t="str">
            <v>J6</v>
          </cell>
          <cell r="S816" t="str">
            <v>ENTREGADO</v>
          </cell>
          <cell r="T816">
            <v>42688</v>
          </cell>
          <cell r="U816" t="str">
            <v>ROBLES ROJAS  JOSE MIGUEL</v>
          </cell>
          <cell r="V816" t="str">
            <v>FLOREZ CONDORI  JOSE WILLIANS</v>
          </cell>
        </row>
        <row r="817">
          <cell r="A817">
            <v>808</v>
          </cell>
          <cell r="B817">
            <v>42688</v>
          </cell>
          <cell r="C817" t="str">
            <v>NOVIEMBRE</v>
          </cell>
          <cell r="D817" t="str">
            <v>2016</v>
          </cell>
          <cell r="E817">
            <v>209</v>
          </cell>
          <cell r="F817" t="str">
            <v>AKX-805</v>
          </cell>
          <cell r="G817" t="str">
            <v>F5Z-985</v>
          </cell>
          <cell r="H817" t="str">
            <v>LAS BAMBAS</v>
          </cell>
          <cell r="I817">
            <v>31856</v>
          </cell>
          <cell r="J817" t="str">
            <v>REPUESTO</v>
          </cell>
          <cell r="K817" t="str">
            <v>CONO 3/8</v>
          </cell>
          <cell r="L817">
            <v>1</v>
          </cell>
          <cell r="M817" t="str">
            <v>UNID.</v>
          </cell>
          <cell r="N817" t="str">
            <v>CISTERNA</v>
          </cell>
          <cell r="O817">
            <v>0</v>
          </cell>
          <cell r="P817" t="str">
            <v>M7</v>
          </cell>
          <cell r="Q817" t="str">
            <v>J1</v>
          </cell>
          <cell r="R817" t="str">
            <v>J6</v>
          </cell>
          <cell r="S817" t="str">
            <v>ENTREGADO</v>
          </cell>
          <cell r="T817">
            <v>42688</v>
          </cell>
          <cell r="U817" t="str">
            <v>ROBLES ROJAS  JOSE MIGUEL</v>
          </cell>
          <cell r="V817" t="str">
            <v>FLOREZ CONDORI  JOSE WILLIANS</v>
          </cell>
        </row>
        <row r="818">
          <cell r="A818">
            <v>809</v>
          </cell>
          <cell r="B818">
            <v>42688</v>
          </cell>
          <cell r="C818" t="str">
            <v>NOVIEMBRE</v>
          </cell>
          <cell r="D818" t="str">
            <v>2016</v>
          </cell>
          <cell r="E818">
            <v>209</v>
          </cell>
          <cell r="F818" t="str">
            <v>AKX-805</v>
          </cell>
          <cell r="G818" t="str">
            <v>F5Z-985</v>
          </cell>
          <cell r="H818" t="str">
            <v>LAS BAMBAS</v>
          </cell>
          <cell r="I818">
            <v>31856</v>
          </cell>
          <cell r="J818" t="str">
            <v>REPUESTO</v>
          </cell>
          <cell r="K818" t="str">
            <v>GUIA 3/8</v>
          </cell>
          <cell r="L818">
            <v>1</v>
          </cell>
          <cell r="M818" t="str">
            <v>UNID.</v>
          </cell>
          <cell r="N818" t="str">
            <v>CISTERNA</v>
          </cell>
          <cell r="O818">
            <v>0</v>
          </cell>
          <cell r="P818" t="str">
            <v>M7</v>
          </cell>
          <cell r="Q818" t="str">
            <v>J1</v>
          </cell>
          <cell r="R818" t="str">
            <v>J6</v>
          </cell>
          <cell r="S818" t="str">
            <v>ENTREGADO</v>
          </cell>
          <cell r="T818">
            <v>42688</v>
          </cell>
          <cell r="U818" t="str">
            <v>ROBLES ROJAS  JOSE MIGUEL</v>
          </cell>
          <cell r="V818" t="str">
            <v>FLOREZ CONDORI  JOSE WILLIANS</v>
          </cell>
        </row>
        <row r="819">
          <cell r="A819">
            <v>811</v>
          </cell>
          <cell r="B819">
            <v>42688</v>
          </cell>
          <cell r="C819" t="str">
            <v>NOVIEMBRE</v>
          </cell>
          <cell r="D819" t="str">
            <v>2016</v>
          </cell>
          <cell r="E819">
            <v>209</v>
          </cell>
          <cell r="F819" t="str">
            <v>AKX-805</v>
          </cell>
          <cell r="G819" t="str">
            <v>F5Z-985</v>
          </cell>
          <cell r="H819" t="str">
            <v>LAS BAMBAS</v>
          </cell>
          <cell r="I819">
            <v>31856</v>
          </cell>
          <cell r="J819" t="str">
            <v>REPUESTO</v>
          </cell>
          <cell r="K819" t="str">
            <v>MANGUERA DE AIRE SIMFLEX 1/4</v>
          </cell>
          <cell r="L819">
            <v>1.5</v>
          </cell>
          <cell r="M819" t="str">
            <v>M</v>
          </cell>
          <cell r="N819" t="str">
            <v>TRACTO</v>
          </cell>
          <cell r="O819">
            <v>102</v>
          </cell>
          <cell r="P819" t="str">
            <v>M7</v>
          </cell>
          <cell r="Q819" t="str">
            <v>J2</v>
          </cell>
          <cell r="R819" t="str">
            <v>J6</v>
          </cell>
          <cell r="S819" t="str">
            <v>ENTREGADO</v>
          </cell>
          <cell r="T819">
            <v>0</v>
          </cell>
          <cell r="U819" t="str">
            <v>ROBLES ROJAS  JOSE MIGUEL</v>
          </cell>
          <cell r="V819" t="str">
            <v>CORIHUAMAN SURCO  ERICK ROBERT</v>
          </cell>
        </row>
        <row r="820">
          <cell r="A820">
            <v>812</v>
          </cell>
          <cell r="B820">
            <v>42688</v>
          </cell>
          <cell r="C820" t="str">
            <v>NOVIEMBRE</v>
          </cell>
          <cell r="D820" t="str">
            <v>2016</v>
          </cell>
          <cell r="E820">
            <v>209</v>
          </cell>
          <cell r="F820" t="str">
            <v>AKX-805</v>
          </cell>
          <cell r="G820" t="str">
            <v>F5Z-985</v>
          </cell>
          <cell r="H820" t="str">
            <v>LAS BAMBAS</v>
          </cell>
          <cell r="I820">
            <v>31856</v>
          </cell>
          <cell r="J820" t="str">
            <v>REPUESTO</v>
          </cell>
          <cell r="K820" t="str">
            <v>UNION DE 1/4 X 1/4</v>
          </cell>
          <cell r="L820">
            <v>1</v>
          </cell>
          <cell r="M820" t="str">
            <v>UNID.</v>
          </cell>
          <cell r="N820" t="str">
            <v>TRACTO</v>
          </cell>
          <cell r="O820">
            <v>102</v>
          </cell>
          <cell r="P820" t="str">
            <v>M7</v>
          </cell>
          <cell r="Q820" t="str">
            <v>J2</v>
          </cell>
          <cell r="R820" t="str">
            <v>J6</v>
          </cell>
          <cell r="S820" t="str">
            <v>ENTREGADO</v>
          </cell>
          <cell r="T820">
            <v>0</v>
          </cell>
          <cell r="U820" t="str">
            <v>ROBLES ROJAS  JOSE MIGUEL</v>
          </cell>
          <cell r="V820" t="str">
            <v>CORIHUAMAN SURCO  ERICK ROBERT</v>
          </cell>
        </row>
        <row r="821">
          <cell r="A821">
            <v>819</v>
          </cell>
          <cell r="B821">
            <v>42688</v>
          </cell>
          <cell r="C821" t="str">
            <v>NOVIEMBRE</v>
          </cell>
          <cell r="D821" t="str">
            <v>2016</v>
          </cell>
          <cell r="E821">
            <v>209</v>
          </cell>
          <cell r="F821" t="str">
            <v>AKX-805</v>
          </cell>
          <cell r="G821" t="str">
            <v>F5Z-985</v>
          </cell>
          <cell r="H821" t="str">
            <v>LAS BAMBAS</v>
          </cell>
          <cell r="I821">
            <v>31856</v>
          </cell>
          <cell r="J821" t="str">
            <v>REPUESTO</v>
          </cell>
          <cell r="K821" t="str">
            <v>LLANTAS REENCAUCHADAS IDY 11R22.5</v>
          </cell>
          <cell r="L821">
            <v>4</v>
          </cell>
          <cell r="M821" t="str">
            <v>UNID.</v>
          </cell>
          <cell r="N821" t="str">
            <v>TRACTO</v>
          </cell>
          <cell r="O821">
            <v>-1</v>
          </cell>
          <cell r="P821" t="str">
            <v>J3</v>
          </cell>
          <cell r="Q821" t="str">
            <v>J1</v>
          </cell>
          <cell r="R821" t="str">
            <v>J4</v>
          </cell>
          <cell r="S821" t="str">
            <v>ENTREGADO</v>
          </cell>
          <cell r="T821">
            <v>42687</v>
          </cell>
          <cell r="U821" t="str">
            <v>CHURA PIZARRO ALBERTO</v>
          </cell>
          <cell r="V821" t="str">
            <v>FLOREZ CONDORI  JOSE WILLIANS</v>
          </cell>
        </row>
        <row r="822">
          <cell r="A822">
            <v>820</v>
          </cell>
          <cell r="B822">
            <v>42688</v>
          </cell>
          <cell r="C822" t="str">
            <v>NOVIEMBRE</v>
          </cell>
          <cell r="D822" t="str">
            <v>2016</v>
          </cell>
          <cell r="E822">
            <v>209</v>
          </cell>
          <cell r="F822" t="str">
            <v>AKX-805</v>
          </cell>
          <cell r="G822" t="str">
            <v>F5Z-985</v>
          </cell>
          <cell r="H822" t="str">
            <v>LAS BAMBAS</v>
          </cell>
          <cell r="I822">
            <v>31856</v>
          </cell>
          <cell r="J822" t="str">
            <v>REPUESTO</v>
          </cell>
          <cell r="K822" t="str">
            <v>LLANTAS REENCAUCHADAS IDY 11R22.5</v>
          </cell>
          <cell r="L822">
            <v>3</v>
          </cell>
          <cell r="M822" t="str">
            <v>UNID.</v>
          </cell>
          <cell r="N822" t="str">
            <v>TRACTO</v>
          </cell>
          <cell r="O822">
            <v>102</v>
          </cell>
          <cell r="P822" t="str">
            <v>N1</v>
          </cell>
          <cell r="Q822" t="str">
            <v>J2</v>
          </cell>
          <cell r="R822" t="str">
            <v>J4</v>
          </cell>
          <cell r="S822" t="str">
            <v>ENTREGADO</v>
          </cell>
          <cell r="T822">
            <v>0</v>
          </cell>
          <cell r="U822" t="str">
            <v>AGUILAR CCANTUTA WILLY</v>
          </cell>
          <cell r="V822" t="str">
            <v>CORIHUAMAN SURCO  ERICK ROBERT</v>
          </cell>
        </row>
        <row r="823">
          <cell r="A823">
            <v>776</v>
          </cell>
          <cell r="B823">
            <v>42688</v>
          </cell>
          <cell r="C823" t="str">
            <v>NOVIEMBRE</v>
          </cell>
          <cell r="D823" t="str">
            <v>2016</v>
          </cell>
          <cell r="E823">
            <v>240</v>
          </cell>
          <cell r="F823" t="str">
            <v>B2M-948</v>
          </cell>
          <cell r="G823" t="str">
            <v>CAMION</v>
          </cell>
          <cell r="H823" t="str">
            <v>TAMBOMAYO</v>
          </cell>
          <cell r="I823">
            <v>111543</v>
          </cell>
          <cell r="J823" t="str">
            <v>REPUESTO</v>
          </cell>
          <cell r="K823" t="str">
            <v>BORNES DE BATERIA DE 24 V POSITIVO</v>
          </cell>
          <cell r="L823">
            <v>2</v>
          </cell>
          <cell r="M823" t="str">
            <v>UNID.</v>
          </cell>
          <cell r="N823" t="str">
            <v>TRACTO</v>
          </cell>
          <cell r="O823">
            <v>102</v>
          </cell>
          <cell r="P823" t="str">
            <v>E2</v>
          </cell>
          <cell r="Q823" t="str">
            <v>J1</v>
          </cell>
          <cell r="R823" t="str">
            <v>J6</v>
          </cell>
          <cell r="S823" t="str">
            <v>ENTREGADO</v>
          </cell>
          <cell r="T823">
            <v>0</v>
          </cell>
          <cell r="U823" t="str">
            <v>YUCA BELLIDO BORIS YERSY</v>
          </cell>
          <cell r="V823" t="str">
            <v>FLOREZ CONDORI  JOSE WILLIANS</v>
          </cell>
        </row>
        <row r="824">
          <cell r="A824">
            <v>777</v>
          </cell>
          <cell r="B824">
            <v>42688</v>
          </cell>
          <cell r="C824" t="str">
            <v>NOVIEMBRE</v>
          </cell>
          <cell r="D824" t="str">
            <v>2016</v>
          </cell>
          <cell r="E824">
            <v>240</v>
          </cell>
          <cell r="F824" t="str">
            <v>B2M-948</v>
          </cell>
          <cell r="G824" t="str">
            <v>CAMION</v>
          </cell>
          <cell r="H824" t="str">
            <v>TAMBOMAYO</v>
          </cell>
          <cell r="I824">
            <v>111543</v>
          </cell>
          <cell r="J824" t="str">
            <v>REPUESTO</v>
          </cell>
          <cell r="K824" t="str">
            <v>BORNES DE BATERIA DE 24 V NEGATIVO</v>
          </cell>
          <cell r="L824">
            <v>2</v>
          </cell>
          <cell r="M824" t="str">
            <v>UNID.</v>
          </cell>
          <cell r="N824" t="str">
            <v>TRACTO</v>
          </cell>
          <cell r="O824">
            <v>102</v>
          </cell>
          <cell r="P824" t="str">
            <v>E2</v>
          </cell>
          <cell r="Q824" t="str">
            <v>J1</v>
          </cell>
          <cell r="R824" t="str">
            <v>J6</v>
          </cell>
          <cell r="S824" t="str">
            <v>ENTREGADO</v>
          </cell>
          <cell r="T824">
            <v>0</v>
          </cell>
          <cell r="U824" t="str">
            <v>YUCA BELLIDO BORIS YERSY</v>
          </cell>
          <cell r="V824" t="str">
            <v>FLOREZ CONDORI  JOSE WILLIANS</v>
          </cell>
        </row>
        <row r="825">
          <cell r="A825">
            <v>779</v>
          </cell>
          <cell r="B825">
            <v>42688</v>
          </cell>
          <cell r="C825" t="str">
            <v>NOVIEMBRE</v>
          </cell>
          <cell r="D825" t="str">
            <v>2016</v>
          </cell>
          <cell r="E825">
            <v>240</v>
          </cell>
          <cell r="F825" t="str">
            <v>B2M-948</v>
          </cell>
          <cell r="G825" t="str">
            <v>CAMION</v>
          </cell>
          <cell r="H825" t="str">
            <v>TAMBOMAYO</v>
          </cell>
          <cell r="I825">
            <v>111543</v>
          </cell>
          <cell r="J825" t="str">
            <v>REPUESTO</v>
          </cell>
          <cell r="K825" t="str">
            <v>TAPA DE RADIADOR DE HINO</v>
          </cell>
          <cell r="L825">
            <v>1</v>
          </cell>
          <cell r="M825" t="str">
            <v>UNID.</v>
          </cell>
          <cell r="N825" t="str">
            <v>CAMION</v>
          </cell>
          <cell r="O825">
            <v>102</v>
          </cell>
          <cell r="P825" t="str">
            <v>M7</v>
          </cell>
          <cell r="Q825" t="str">
            <v>J2</v>
          </cell>
          <cell r="R825" t="str">
            <v>J6</v>
          </cell>
          <cell r="S825" t="str">
            <v>ENTREGADO</v>
          </cell>
          <cell r="T825">
            <v>0</v>
          </cell>
          <cell r="U825" t="str">
            <v>ROBLES ROJAS  JOSE MIGUEL</v>
          </cell>
          <cell r="V825" t="str">
            <v>CORIHUAMAN SURCO  ERICK ROBERT</v>
          </cell>
        </row>
        <row r="826">
          <cell r="A826">
            <v>786</v>
          </cell>
          <cell r="B826">
            <v>42688</v>
          </cell>
          <cell r="C826" t="str">
            <v>NOVIEMBRE</v>
          </cell>
          <cell r="D826" t="str">
            <v>2016</v>
          </cell>
          <cell r="E826">
            <v>312</v>
          </cell>
          <cell r="F826" t="str">
            <v>C9M-902</v>
          </cell>
          <cell r="G826" t="str">
            <v>B8L-970</v>
          </cell>
          <cell r="H826" t="str">
            <v>LAS BAMBAS</v>
          </cell>
          <cell r="I826">
            <v>207199</v>
          </cell>
          <cell r="J826" t="str">
            <v>REPUESTO</v>
          </cell>
          <cell r="K826" t="str">
            <v>FUSIBLE DE 20 AMP</v>
          </cell>
          <cell r="L826">
            <v>18</v>
          </cell>
          <cell r="M826" t="str">
            <v>UNID.</v>
          </cell>
          <cell r="N826" t="str">
            <v>TRACTO</v>
          </cell>
          <cell r="O826">
            <v>0</v>
          </cell>
          <cell r="P826" t="str">
            <v>E1</v>
          </cell>
          <cell r="Q826" t="str">
            <v>J2</v>
          </cell>
          <cell r="R826" t="str">
            <v>J6</v>
          </cell>
          <cell r="S826" t="str">
            <v>ENTREGADO</v>
          </cell>
          <cell r="T826">
            <v>42688</v>
          </cell>
          <cell r="U826" t="str">
            <v>PALOMINO CARDENAS JUAN CARLOS</v>
          </cell>
          <cell r="V826" t="str">
            <v>CORIHUAMAN SURCO  ERICK ROBERT</v>
          </cell>
        </row>
        <row r="827">
          <cell r="A827">
            <v>810</v>
          </cell>
          <cell r="B827">
            <v>42688</v>
          </cell>
          <cell r="C827" t="str">
            <v>NOVIEMBRE</v>
          </cell>
          <cell r="D827" t="str">
            <v>2016</v>
          </cell>
          <cell r="E827">
            <v>312</v>
          </cell>
          <cell r="F827" t="str">
            <v>C9M-902</v>
          </cell>
          <cell r="G827" t="str">
            <v>B8L-970</v>
          </cell>
          <cell r="H827" t="str">
            <v>LAS BAMBAS</v>
          </cell>
          <cell r="I827">
            <v>207199</v>
          </cell>
          <cell r="J827" t="str">
            <v>SERVICIO</v>
          </cell>
          <cell r="K827" t="str">
            <v>SERVICIO DE ESCANEO</v>
          </cell>
          <cell r="L827">
            <v>1</v>
          </cell>
          <cell r="M827" t="str">
            <v>UNID.</v>
          </cell>
          <cell r="N827" t="str">
            <v>TRACTO</v>
          </cell>
          <cell r="O827">
            <v>102</v>
          </cell>
          <cell r="P827" t="str">
            <v>E1</v>
          </cell>
          <cell r="Q827" t="str">
            <v>J1</v>
          </cell>
          <cell r="R827" t="str">
            <v>J6</v>
          </cell>
          <cell r="S827" t="str">
            <v>ENTREGADO</v>
          </cell>
          <cell r="T827">
            <v>0</v>
          </cell>
          <cell r="U827" t="str">
            <v>PALOMINO CARDENAS JUAN CARLOS</v>
          </cell>
          <cell r="V827" t="str">
            <v>FLOREZ CONDORI  JOSE WILLIANS</v>
          </cell>
        </row>
        <row r="828">
          <cell r="A828">
            <v>778</v>
          </cell>
          <cell r="B828">
            <v>42688</v>
          </cell>
          <cell r="C828" t="str">
            <v>NOVIEMBRE</v>
          </cell>
          <cell r="D828" t="str">
            <v>2016</v>
          </cell>
          <cell r="E828">
            <v>315</v>
          </cell>
          <cell r="F828" t="str">
            <v>D3O-742</v>
          </cell>
          <cell r="G828" t="str">
            <v>B8L-971</v>
          </cell>
          <cell r="H828" t="str">
            <v>LAS BAMBAS</v>
          </cell>
          <cell r="I828">
            <v>182794</v>
          </cell>
          <cell r="J828" t="str">
            <v>REPUESTO</v>
          </cell>
          <cell r="K828" t="str">
            <v>LLANTA REENCAUCHADA IZB</v>
          </cell>
          <cell r="L828">
            <v>1</v>
          </cell>
          <cell r="M828" t="str">
            <v>UNID.</v>
          </cell>
          <cell r="N828" t="str">
            <v>TRACTO</v>
          </cell>
          <cell r="O828">
            <v>0</v>
          </cell>
          <cell r="P828" t="str">
            <v>N2</v>
          </cell>
          <cell r="Q828" t="str">
            <v>J3</v>
          </cell>
          <cell r="R828" t="str">
            <v>J6</v>
          </cell>
          <cell r="S828" t="str">
            <v>ENTREGADO</v>
          </cell>
          <cell r="T828">
            <v>42688</v>
          </cell>
          <cell r="U828" t="str">
            <v>MAMANI LARICO  EDUARDO ALVARO</v>
          </cell>
          <cell r="V828" t="str">
            <v>CHURA PIZARRO ALBERTO</v>
          </cell>
        </row>
        <row r="829">
          <cell r="A829">
            <v>774</v>
          </cell>
          <cell r="B829">
            <v>42688</v>
          </cell>
          <cell r="C829" t="str">
            <v>NOVIEMBRE</v>
          </cell>
          <cell r="D829" t="str">
            <v>2016</v>
          </cell>
          <cell r="E829">
            <v>322</v>
          </cell>
          <cell r="F829" t="str">
            <v>D3O-745</v>
          </cell>
          <cell r="G829" t="str">
            <v>F3L-979</v>
          </cell>
          <cell r="H829" t="str">
            <v>LAS BAMBAS</v>
          </cell>
          <cell r="I829">
            <v>155342.39999999999</v>
          </cell>
          <cell r="J829" t="str">
            <v>REPUESTO</v>
          </cell>
          <cell r="K829" t="str">
            <v>PERNO CENTRO DE MUELLE 1/2 X 6, COMPLETO</v>
          </cell>
          <cell r="L829">
            <v>1</v>
          </cell>
          <cell r="M829" t="str">
            <v>UNID.</v>
          </cell>
          <cell r="N829" t="str">
            <v>CISTERNA</v>
          </cell>
          <cell r="O829">
            <v>0</v>
          </cell>
          <cell r="P829" t="str">
            <v>M6</v>
          </cell>
          <cell r="Q829" t="str">
            <v>J1</v>
          </cell>
          <cell r="R829" t="str">
            <v>J6</v>
          </cell>
          <cell r="S829" t="str">
            <v>ENTREGADO</v>
          </cell>
          <cell r="T829">
            <v>42688</v>
          </cell>
          <cell r="U829" t="str">
            <v>PARI VENTURA  EDSON ORLANDO</v>
          </cell>
          <cell r="V829" t="str">
            <v>FLOREZ CONDORI  JOSE WILLIANS</v>
          </cell>
        </row>
        <row r="830">
          <cell r="A830">
            <v>775</v>
          </cell>
          <cell r="B830">
            <v>42688</v>
          </cell>
          <cell r="C830" t="str">
            <v>NOVIEMBRE</v>
          </cell>
          <cell r="D830" t="str">
            <v>2016</v>
          </cell>
          <cell r="E830">
            <v>322</v>
          </cell>
          <cell r="F830" t="str">
            <v>D3O-745</v>
          </cell>
          <cell r="G830" t="str">
            <v>F3L-979</v>
          </cell>
          <cell r="H830" t="str">
            <v>LAS BAMBAS</v>
          </cell>
          <cell r="I830">
            <v>155342.39999999999</v>
          </cell>
          <cell r="J830" t="str">
            <v>REPUESTO</v>
          </cell>
          <cell r="K830" t="str">
            <v>LIMPIA PARABRISA</v>
          </cell>
          <cell r="L830">
            <v>1</v>
          </cell>
          <cell r="M830" t="str">
            <v>GLNS.</v>
          </cell>
          <cell r="N830" t="str">
            <v>CISTERNA</v>
          </cell>
          <cell r="O830">
            <v>0</v>
          </cell>
          <cell r="P830" t="str">
            <v>M6</v>
          </cell>
          <cell r="Q830" t="str">
            <v>J1</v>
          </cell>
          <cell r="R830" t="str">
            <v>J6</v>
          </cell>
          <cell r="S830" t="str">
            <v>ENTREGADO</v>
          </cell>
          <cell r="T830">
            <v>42688</v>
          </cell>
          <cell r="U830" t="str">
            <v>PARI VENTURA  EDSON ORLANDO</v>
          </cell>
          <cell r="V830" t="str">
            <v>FLOREZ CONDORI  JOSE WILLIANS</v>
          </cell>
        </row>
        <row r="831">
          <cell r="A831">
            <v>813</v>
          </cell>
          <cell r="B831">
            <v>42688</v>
          </cell>
          <cell r="C831" t="str">
            <v>NOVIEMBRE</v>
          </cell>
          <cell r="D831" t="str">
            <v>2016</v>
          </cell>
          <cell r="E831">
            <v>322</v>
          </cell>
          <cell r="F831" t="str">
            <v>D3O-745</v>
          </cell>
          <cell r="G831" t="str">
            <v>F3L-979</v>
          </cell>
          <cell r="H831" t="str">
            <v>LAS BAMBAS</v>
          </cell>
          <cell r="I831">
            <v>155342.39999999999</v>
          </cell>
          <cell r="J831" t="str">
            <v>REPUESTO</v>
          </cell>
          <cell r="K831" t="str">
            <v>SOPORTE DE CAPOT</v>
          </cell>
          <cell r="L831">
            <v>1</v>
          </cell>
          <cell r="M831" t="str">
            <v>UNID.</v>
          </cell>
          <cell r="N831" t="str">
            <v>TRACTO</v>
          </cell>
          <cell r="O831">
            <v>102</v>
          </cell>
          <cell r="P831" t="str">
            <v>M6</v>
          </cell>
          <cell r="Q831" t="str">
            <v>J1</v>
          </cell>
          <cell r="R831" t="str">
            <v>J1</v>
          </cell>
          <cell r="S831" t="str">
            <v>ENTREGADO</v>
          </cell>
          <cell r="T831">
            <v>0</v>
          </cell>
          <cell r="U831" t="str">
            <v>PARI VENTURA  EDSON ORLANDO</v>
          </cell>
          <cell r="V831" t="str">
            <v>FLOREZ CONDORI  JOSE WILLIANS</v>
          </cell>
        </row>
        <row r="832">
          <cell r="A832">
            <v>792</v>
          </cell>
          <cell r="B832">
            <v>42688</v>
          </cell>
          <cell r="C832" t="str">
            <v>NOVIEMBRE</v>
          </cell>
          <cell r="D832" t="str">
            <v>2016</v>
          </cell>
          <cell r="E832">
            <v>304</v>
          </cell>
          <cell r="F832" t="str">
            <v>D4T-927</v>
          </cell>
          <cell r="G832" t="str">
            <v>B4Q-976</v>
          </cell>
          <cell r="H832" t="str">
            <v>LAS BAMBAS</v>
          </cell>
          <cell r="I832">
            <v>0</v>
          </cell>
          <cell r="J832" t="str">
            <v>REPUESTO</v>
          </cell>
          <cell r="K832" t="str">
            <v>PERNO 5/8 X 6</v>
          </cell>
          <cell r="L832">
            <v>2</v>
          </cell>
          <cell r="M832" t="str">
            <v>UNID.</v>
          </cell>
          <cell r="N832" t="str">
            <v>CISTERNA</v>
          </cell>
          <cell r="O832">
            <v>0</v>
          </cell>
          <cell r="P832" t="str">
            <v>M7</v>
          </cell>
          <cell r="Q832" t="str">
            <v>J1</v>
          </cell>
          <cell r="R832" t="str">
            <v>J6</v>
          </cell>
          <cell r="S832" t="str">
            <v>ENTREGADO</v>
          </cell>
          <cell r="T832">
            <v>42688</v>
          </cell>
          <cell r="U832" t="str">
            <v>ROBLES ROJAS  JOSE MIGUEL</v>
          </cell>
          <cell r="V832" t="str">
            <v>FLOREZ CONDORI  JOSE WILLIANS</v>
          </cell>
        </row>
        <row r="833">
          <cell r="A833">
            <v>793</v>
          </cell>
          <cell r="B833">
            <v>42688</v>
          </cell>
          <cell r="C833" t="str">
            <v>NOVIEMBRE</v>
          </cell>
          <cell r="D833" t="str">
            <v>2016</v>
          </cell>
          <cell r="E833">
            <v>304</v>
          </cell>
          <cell r="F833" t="str">
            <v>D4T-927</v>
          </cell>
          <cell r="G833" t="str">
            <v>B4Q-976</v>
          </cell>
          <cell r="H833" t="str">
            <v>LAS BAMBAS</v>
          </cell>
          <cell r="I833">
            <v>0</v>
          </cell>
          <cell r="J833" t="str">
            <v>REPUESTO</v>
          </cell>
          <cell r="K833" t="str">
            <v>VOLANDAS PLANAS 5/8</v>
          </cell>
          <cell r="L833">
            <v>4</v>
          </cell>
          <cell r="M833" t="str">
            <v>UNID.</v>
          </cell>
          <cell r="N833" t="str">
            <v>CISTERNA</v>
          </cell>
          <cell r="O833">
            <v>0</v>
          </cell>
          <cell r="P833" t="str">
            <v>M7</v>
          </cell>
          <cell r="Q833" t="str">
            <v>J1</v>
          </cell>
          <cell r="R833" t="str">
            <v>J6</v>
          </cell>
          <cell r="S833" t="str">
            <v>ENTREGADO</v>
          </cell>
          <cell r="T833">
            <v>42688</v>
          </cell>
          <cell r="U833" t="str">
            <v>ROBLES ROJAS  JOSE MIGUEL</v>
          </cell>
          <cell r="V833" t="str">
            <v>FLOREZ CONDORI  JOSE WILLIANS</v>
          </cell>
        </row>
        <row r="834">
          <cell r="A834">
            <v>794</v>
          </cell>
          <cell r="B834">
            <v>42688</v>
          </cell>
          <cell r="C834" t="str">
            <v>NOVIEMBRE</v>
          </cell>
          <cell r="D834" t="str">
            <v>2016</v>
          </cell>
          <cell r="E834">
            <v>304</v>
          </cell>
          <cell r="F834" t="str">
            <v>D4T-927</v>
          </cell>
          <cell r="G834" t="str">
            <v>B4Q-976</v>
          </cell>
          <cell r="H834" t="str">
            <v>LAS BAMBAS</v>
          </cell>
          <cell r="I834">
            <v>0</v>
          </cell>
          <cell r="J834" t="str">
            <v>REPUESTO</v>
          </cell>
          <cell r="K834" t="str">
            <v>TUERCA SEGURO 5/8</v>
          </cell>
          <cell r="L834">
            <v>2</v>
          </cell>
          <cell r="M834" t="str">
            <v>UNID.</v>
          </cell>
          <cell r="N834" t="str">
            <v>CISTERNA</v>
          </cell>
          <cell r="O834">
            <v>0</v>
          </cell>
          <cell r="P834" t="str">
            <v>M7</v>
          </cell>
          <cell r="Q834" t="str">
            <v>J1</v>
          </cell>
          <cell r="R834" t="str">
            <v>J6</v>
          </cell>
          <cell r="S834" t="str">
            <v>ENTREGADO</v>
          </cell>
          <cell r="T834">
            <v>42688</v>
          </cell>
          <cell r="U834" t="str">
            <v>ROBLES ROJAS  JOSE MIGUEL</v>
          </cell>
          <cell r="V834" t="str">
            <v>FLOREZ CONDORI  JOSE WILLIANS</v>
          </cell>
        </row>
        <row r="835">
          <cell r="A835">
            <v>749</v>
          </cell>
          <cell r="B835">
            <v>42688</v>
          </cell>
          <cell r="C835" t="str">
            <v>NOVIEMBRE</v>
          </cell>
          <cell r="D835" t="str">
            <v>2016</v>
          </cell>
          <cell r="E835">
            <v>200</v>
          </cell>
          <cell r="F835" t="str">
            <v>TALLER</v>
          </cell>
          <cell r="G835" t="str">
            <v>TALLER</v>
          </cell>
          <cell r="H835" t="str">
            <v>TALLER</v>
          </cell>
          <cell r="I835" t="str">
            <v>TALLER</v>
          </cell>
          <cell r="J835" t="str">
            <v>UNIFORMES</v>
          </cell>
          <cell r="K835" t="str">
            <v>TAIVEX "S"</v>
          </cell>
          <cell r="L835">
            <v>1</v>
          </cell>
          <cell r="M835" t="str">
            <v>UNID.</v>
          </cell>
          <cell r="N835" t="str">
            <v>TALLER</v>
          </cell>
          <cell r="O835">
            <v>102</v>
          </cell>
          <cell r="P835" t="str">
            <v>M1</v>
          </cell>
          <cell r="Q835" t="str">
            <v>J2</v>
          </cell>
          <cell r="R835" t="str">
            <v>J6</v>
          </cell>
          <cell r="S835" t="str">
            <v>ENTREGADO</v>
          </cell>
          <cell r="T835">
            <v>0</v>
          </cell>
          <cell r="U835" t="str">
            <v>CABEZAS SANCHEZ JEAN JHONATAN</v>
          </cell>
          <cell r="V835" t="str">
            <v>CORIHUAMAN SURCO  ERICK ROBERT</v>
          </cell>
        </row>
        <row r="836">
          <cell r="A836">
            <v>764</v>
          </cell>
          <cell r="B836">
            <v>42688</v>
          </cell>
          <cell r="C836" t="str">
            <v>NOVIEMBRE</v>
          </cell>
          <cell r="D836" t="str">
            <v>2016</v>
          </cell>
          <cell r="E836">
            <v>200</v>
          </cell>
          <cell r="F836" t="str">
            <v>TALLER</v>
          </cell>
          <cell r="G836" t="str">
            <v>TALLER</v>
          </cell>
          <cell r="H836" t="str">
            <v>TALLER</v>
          </cell>
          <cell r="I836" t="str">
            <v>TALLER</v>
          </cell>
          <cell r="J836" t="str">
            <v>INSUMO TALLER</v>
          </cell>
          <cell r="K836" t="str">
            <v>VARILLAS DE INOX</v>
          </cell>
          <cell r="L836">
            <v>3</v>
          </cell>
          <cell r="M836" t="str">
            <v>UNID.</v>
          </cell>
          <cell r="N836" t="str">
            <v>CISTERNA</v>
          </cell>
          <cell r="O836">
            <v>0</v>
          </cell>
          <cell r="P836" t="str">
            <v>M7</v>
          </cell>
          <cell r="Q836" t="str">
            <v>J1</v>
          </cell>
          <cell r="R836" t="str">
            <v>J6</v>
          </cell>
          <cell r="S836" t="str">
            <v>ENTREGADO</v>
          </cell>
          <cell r="T836">
            <v>42688</v>
          </cell>
          <cell r="U836" t="str">
            <v>ROBLES ROJAS  JOSE MIGUEL</v>
          </cell>
          <cell r="V836" t="str">
            <v>FLOREZ CONDORI  JOSE WILLIANS</v>
          </cell>
        </row>
        <row r="837">
          <cell r="A837">
            <v>771</v>
          </cell>
          <cell r="B837">
            <v>42688</v>
          </cell>
          <cell r="C837" t="str">
            <v>NOVIEMBRE</v>
          </cell>
          <cell r="D837" t="str">
            <v>2016</v>
          </cell>
          <cell r="E837">
            <v>200</v>
          </cell>
          <cell r="F837" t="str">
            <v>TALLER</v>
          </cell>
          <cell r="G837" t="str">
            <v>TALLER</v>
          </cell>
          <cell r="H837" t="str">
            <v>TALLER</v>
          </cell>
          <cell r="I837" t="str">
            <v>TALLER</v>
          </cell>
          <cell r="J837" t="str">
            <v>INSUMO TALLER</v>
          </cell>
          <cell r="K837" t="str">
            <v>SPRAY COLOR BLANCO</v>
          </cell>
          <cell r="L837">
            <v>1</v>
          </cell>
          <cell r="M837" t="str">
            <v>UNID.</v>
          </cell>
          <cell r="N837" t="str">
            <v>TALLER</v>
          </cell>
          <cell r="O837">
            <v>102</v>
          </cell>
          <cell r="P837" t="str">
            <v>N1</v>
          </cell>
          <cell r="Q837" t="str">
            <v>J3</v>
          </cell>
          <cell r="R837" t="str">
            <v>J6</v>
          </cell>
          <cell r="S837" t="str">
            <v>ENTREGADO</v>
          </cell>
          <cell r="T837">
            <v>0</v>
          </cell>
          <cell r="U837" t="str">
            <v>AGUILAR CCANTUTA WILLY</v>
          </cell>
          <cell r="V837" t="str">
            <v>CHURA PIZARRO ALBERTO</v>
          </cell>
        </row>
        <row r="838">
          <cell r="A838">
            <v>772</v>
          </cell>
          <cell r="B838">
            <v>42688</v>
          </cell>
          <cell r="C838" t="str">
            <v>NOVIEMBRE</v>
          </cell>
          <cell r="D838" t="str">
            <v>2016</v>
          </cell>
          <cell r="E838">
            <v>200</v>
          </cell>
          <cell r="F838" t="str">
            <v>TALLER</v>
          </cell>
          <cell r="G838" t="str">
            <v>TALLER</v>
          </cell>
          <cell r="H838" t="str">
            <v>TALLER</v>
          </cell>
          <cell r="I838" t="str">
            <v>TALLER</v>
          </cell>
          <cell r="J838" t="str">
            <v>UNIFORMES</v>
          </cell>
          <cell r="K838" t="str">
            <v>TAIVEX "L"</v>
          </cell>
          <cell r="L838">
            <v>1</v>
          </cell>
          <cell r="M838" t="str">
            <v>UNID.</v>
          </cell>
          <cell r="N838" t="str">
            <v>TALLER</v>
          </cell>
          <cell r="O838">
            <v>0</v>
          </cell>
          <cell r="P838" t="str">
            <v>N1</v>
          </cell>
          <cell r="Q838" t="str">
            <v>J3</v>
          </cell>
          <cell r="R838" t="str">
            <v>J6</v>
          </cell>
          <cell r="S838" t="str">
            <v>ENTREGADO</v>
          </cell>
          <cell r="T838">
            <v>42688</v>
          </cell>
          <cell r="U838" t="str">
            <v>AGUILAR CCANTUTA WILLY</v>
          </cell>
          <cell r="V838" t="str">
            <v>CHURA PIZARRO ALBERTO</v>
          </cell>
        </row>
        <row r="839">
          <cell r="A839">
            <v>785</v>
          </cell>
          <cell r="B839">
            <v>42688</v>
          </cell>
          <cell r="C839" t="str">
            <v>NOVIEMBRE</v>
          </cell>
          <cell r="D839" t="str">
            <v>2016</v>
          </cell>
          <cell r="E839">
            <v>200</v>
          </cell>
          <cell r="F839" t="str">
            <v>TALLER</v>
          </cell>
          <cell r="G839" t="str">
            <v>TALLER</v>
          </cell>
          <cell r="H839" t="str">
            <v>TALLER</v>
          </cell>
          <cell r="I839" t="str">
            <v>TALLER</v>
          </cell>
          <cell r="J839" t="str">
            <v>INSUMO TALLER</v>
          </cell>
          <cell r="K839" t="str">
            <v>TRAPOS SUELTOS</v>
          </cell>
          <cell r="L839">
            <v>1</v>
          </cell>
          <cell r="M839" t="str">
            <v>KG.</v>
          </cell>
          <cell r="N839" t="str">
            <v>TALLER</v>
          </cell>
          <cell r="O839">
            <v>0</v>
          </cell>
          <cell r="P839" t="str">
            <v>J6</v>
          </cell>
          <cell r="Q839" t="str">
            <v>J1</v>
          </cell>
          <cell r="R839" t="str">
            <v>J6</v>
          </cell>
          <cell r="S839" t="str">
            <v>ENTREGADO</v>
          </cell>
          <cell r="T839">
            <v>42688</v>
          </cell>
          <cell r="U839" t="str">
            <v>VILLANUEVA BEJAR  YHORDAN MICHEL</v>
          </cell>
          <cell r="V839" t="str">
            <v>FLOREZ CONDORI  JOSE WILLIANS</v>
          </cell>
        </row>
        <row r="840">
          <cell r="A840">
            <v>791</v>
          </cell>
          <cell r="B840">
            <v>42688</v>
          </cell>
          <cell r="C840" t="str">
            <v>NOVIEMBRE</v>
          </cell>
          <cell r="D840" t="str">
            <v>2016</v>
          </cell>
          <cell r="E840">
            <v>200</v>
          </cell>
          <cell r="F840" t="str">
            <v>TALLER</v>
          </cell>
          <cell r="G840" t="str">
            <v>TALLER</v>
          </cell>
          <cell r="H840" t="str">
            <v>TALLER</v>
          </cell>
          <cell r="I840" t="str">
            <v>TALLER</v>
          </cell>
          <cell r="J840" t="str">
            <v>MATERIALES</v>
          </cell>
          <cell r="K840" t="str">
            <v>HOJAS BOND</v>
          </cell>
          <cell r="L840">
            <v>1</v>
          </cell>
          <cell r="M840" t="str">
            <v>MILLAR</v>
          </cell>
          <cell r="N840" t="str">
            <v>TALLER</v>
          </cell>
          <cell r="O840">
            <v>0</v>
          </cell>
          <cell r="P840" t="str">
            <v>J6</v>
          </cell>
          <cell r="Q840" t="str">
            <v>J1</v>
          </cell>
          <cell r="R840" t="str">
            <v>J6</v>
          </cell>
          <cell r="S840" t="str">
            <v>ENTREGADO</v>
          </cell>
          <cell r="T840">
            <v>42688</v>
          </cell>
          <cell r="U840" t="str">
            <v>VILLANUEVA BEJAR  YHORDAN MICHEL</v>
          </cell>
          <cell r="V840" t="str">
            <v>FLOREZ CONDORI  JOSE WILLIANS</v>
          </cell>
        </row>
        <row r="841">
          <cell r="A841">
            <v>818</v>
          </cell>
          <cell r="B841">
            <v>42688</v>
          </cell>
          <cell r="C841" t="str">
            <v>NOVIEMBRE</v>
          </cell>
          <cell r="D841" t="str">
            <v>2016</v>
          </cell>
          <cell r="E841">
            <v>200</v>
          </cell>
          <cell r="F841" t="str">
            <v>TALLER</v>
          </cell>
          <cell r="G841" t="str">
            <v>TALLER</v>
          </cell>
          <cell r="H841" t="str">
            <v>TALLER</v>
          </cell>
          <cell r="I841" t="str">
            <v>TALLER</v>
          </cell>
          <cell r="J841" t="str">
            <v>REPUESTO</v>
          </cell>
          <cell r="K841" t="str">
            <v>FOCO DE 01 CONTACTO 24V</v>
          </cell>
          <cell r="L841">
            <v>1</v>
          </cell>
          <cell r="M841" t="str">
            <v>UNID.</v>
          </cell>
          <cell r="N841" t="str">
            <v>TALLER</v>
          </cell>
          <cell r="O841">
            <v>-1</v>
          </cell>
          <cell r="P841" t="str">
            <v>E2</v>
          </cell>
          <cell r="Q841" t="str">
            <v>J1</v>
          </cell>
          <cell r="R841" t="str">
            <v>J5</v>
          </cell>
          <cell r="S841" t="str">
            <v>ENTREGADO</v>
          </cell>
          <cell r="T841">
            <v>42687</v>
          </cell>
          <cell r="U841" t="str">
            <v>YUCA BELLIDO BORIS YERSY</v>
          </cell>
          <cell r="V841" t="str">
            <v>FLOREZ CONDORI  JOSE WILLIANS</v>
          </cell>
        </row>
        <row r="842">
          <cell r="A842">
            <v>822</v>
          </cell>
          <cell r="B842">
            <v>42688</v>
          </cell>
          <cell r="C842" t="str">
            <v>NOVIEMBRE</v>
          </cell>
          <cell r="D842" t="str">
            <v>2016</v>
          </cell>
          <cell r="E842">
            <v>200</v>
          </cell>
          <cell r="F842" t="str">
            <v>TALLER</v>
          </cell>
          <cell r="G842" t="str">
            <v>TALLER</v>
          </cell>
          <cell r="H842" t="str">
            <v>TALLER</v>
          </cell>
          <cell r="I842" t="str">
            <v>TALLER</v>
          </cell>
          <cell r="J842" t="str">
            <v>IMPLEMENTACION</v>
          </cell>
          <cell r="K842" t="str">
            <v>MANGUERA DE AIRE PARA ENGRASAR DE  5/16" CON ACOPLES RAPIRO DE 1/4" DE LARGO 50m</v>
          </cell>
          <cell r="L842">
            <v>1</v>
          </cell>
          <cell r="M842" t="str">
            <v>UNID.</v>
          </cell>
          <cell r="N842" t="str">
            <v>TALLER</v>
          </cell>
          <cell r="O842">
            <v>1</v>
          </cell>
          <cell r="P842" t="str">
            <v>M1</v>
          </cell>
          <cell r="Q842" t="str">
            <v>J2</v>
          </cell>
          <cell r="R842" t="str">
            <v>J2</v>
          </cell>
          <cell r="S842" t="str">
            <v>ENTREGADO</v>
          </cell>
          <cell r="T842">
            <v>42689</v>
          </cell>
          <cell r="U842" t="str">
            <v>CABEZAS SANCHEZ JEAN JHONATAN</v>
          </cell>
          <cell r="V842" t="str">
            <v>CORIHUAMAN SURCO  ERICK ROBERT</v>
          </cell>
        </row>
        <row r="843">
          <cell r="A843">
            <v>751</v>
          </cell>
          <cell r="B843">
            <v>42688</v>
          </cell>
          <cell r="C843" t="str">
            <v>NOVIEMBRE</v>
          </cell>
          <cell r="D843" t="str">
            <v>2016</v>
          </cell>
          <cell r="E843">
            <v>319</v>
          </cell>
          <cell r="F843" t="str">
            <v>X2W-763</v>
          </cell>
          <cell r="G843" t="str">
            <v>C5V-997</v>
          </cell>
          <cell r="H843" t="str">
            <v>LAS BAMBAS</v>
          </cell>
          <cell r="I843">
            <v>153925</v>
          </cell>
          <cell r="J843" t="str">
            <v>REPUESTO</v>
          </cell>
          <cell r="K843" t="str">
            <v>CERROJO DE PUERTA LADO DERECHO</v>
          </cell>
          <cell r="L843">
            <v>1</v>
          </cell>
          <cell r="M843" t="str">
            <v>UNID.</v>
          </cell>
          <cell r="N843" t="str">
            <v>TRACTO</v>
          </cell>
          <cell r="O843">
            <v>102</v>
          </cell>
          <cell r="P843" t="str">
            <v>M1</v>
          </cell>
          <cell r="Q843" t="str">
            <v>J2</v>
          </cell>
          <cell r="R843" t="str">
            <v>J6</v>
          </cell>
          <cell r="S843" t="str">
            <v>ENTREGADO</v>
          </cell>
          <cell r="T843">
            <v>0</v>
          </cell>
          <cell r="U843" t="str">
            <v>CABEZAS SANCHEZ JEAN JHONATAN</v>
          </cell>
          <cell r="V843" t="str">
            <v>CORIHUAMAN SURCO  ERICK ROBERT</v>
          </cell>
        </row>
        <row r="844">
          <cell r="A844">
            <v>752</v>
          </cell>
          <cell r="B844">
            <v>42688</v>
          </cell>
          <cell r="C844" t="str">
            <v>NOVIEMBRE</v>
          </cell>
          <cell r="D844" t="str">
            <v>2016</v>
          </cell>
          <cell r="E844">
            <v>319</v>
          </cell>
          <cell r="F844" t="str">
            <v>X2W-763</v>
          </cell>
          <cell r="G844" t="str">
            <v>C5V-997</v>
          </cell>
          <cell r="H844" t="str">
            <v>LAS BAMBAS</v>
          </cell>
          <cell r="I844">
            <v>153925</v>
          </cell>
          <cell r="J844" t="str">
            <v>REPUESTO</v>
          </cell>
          <cell r="K844" t="str">
            <v>CERROJO DE PUERTA LADO IZQUIERDO</v>
          </cell>
          <cell r="L844">
            <v>1</v>
          </cell>
          <cell r="M844" t="str">
            <v>UNID.</v>
          </cell>
          <cell r="N844" t="str">
            <v>TRACTO</v>
          </cell>
          <cell r="O844">
            <v>102</v>
          </cell>
          <cell r="P844" t="str">
            <v>M1</v>
          </cell>
          <cell r="Q844" t="str">
            <v>J2</v>
          </cell>
          <cell r="R844" t="str">
            <v>J6</v>
          </cell>
          <cell r="S844" t="str">
            <v>ENTREGADO</v>
          </cell>
          <cell r="T844">
            <v>0</v>
          </cell>
          <cell r="U844" t="str">
            <v>CABEZAS SANCHEZ JEAN JHONATAN</v>
          </cell>
          <cell r="V844" t="str">
            <v>CORIHUAMAN SURCO  ERICK ROBERT</v>
          </cell>
        </row>
        <row r="845">
          <cell r="A845">
            <v>767</v>
          </cell>
          <cell r="B845">
            <v>42688</v>
          </cell>
          <cell r="C845" t="str">
            <v>NOVIEMBRE</v>
          </cell>
          <cell r="D845" t="str">
            <v>2016</v>
          </cell>
          <cell r="E845">
            <v>205</v>
          </cell>
          <cell r="F845" t="str">
            <v>X2W-765</v>
          </cell>
          <cell r="G845" t="str">
            <v>C5V-993</v>
          </cell>
          <cell r="H845" t="str">
            <v>LAS BAMBAS</v>
          </cell>
          <cell r="I845">
            <v>154850</v>
          </cell>
          <cell r="J845" t="str">
            <v>REPUESTO</v>
          </cell>
          <cell r="K845" t="str">
            <v>PERNOS DE 3/8 X 4 1/2</v>
          </cell>
          <cell r="L845">
            <v>3</v>
          </cell>
          <cell r="M845" t="str">
            <v>UNID.</v>
          </cell>
          <cell r="N845" t="str">
            <v>CISTERNA</v>
          </cell>
          <cell r="O845">
            <v>0</v>
          </cell>
          <cell r="P845" t="str">
            <v>S1</v>
          </cell>
          <cell r="Q845" t="str">
            <v>J1</v>
          </cell>
          <cell r="R845" t="str">
            <v>J6</v>
          </cell>
          <cell r="S845" t="str">
            <v>ENTREGADO</v>
          </cell>
          <cell r="T845">
            <v>42688</v>
          </cell>
          <cell r="U845" t="str">
            <v>BAYONA CRUZ CRISTIAN ARMANDO</v>
          </cell>
          <cell r="V845" t="str">
            <v>FLOREZ CONDORI  JOSE WILLIANS</v>
          </cell>
        </row>
        <row r="846">
          <cell r="A846">
            <v>768</v>
          </cell>
          <cell r="B846">
            <v>42688</v>
          </cell>
          <cell r="C846" t="str">
            <v>NOVIEMBRE</v>
          </cell>
          <cell r="D846" t="str">
            <v>2016</v>
          </cell>
          <cell r="E846">
            <v>205</v>
          </cell>
          <cell r="F846" t="str">
            <v>X2W-765</v>
          </cell>
          <cell r="G846" t="str">
            <v>C5V-993</v>
          </cell>
          <cell r="H846" t="str">
            <v>LAS BAMBAS</v>
          </cell>
          <cell r="I846">
            <v>154850</v>
          </cell>
          <cell r="J846" t="str">
            <v>REPUESTO</v>
          </cell>
          <cell r="K846" t="str">
            <v>VOLANDA PLANA 3/8</v>
          </cell>
          <cell r="L846">
            <v>6</v>
          </cell>
          <cell r="M846" t="str">
            <v>UNID.</v>
          </cell>
          <cell r="N846" t="str">
            <v>CISTERNA</v>
          </cell>
          <cell r="O846">
            <v>0</v>
          </cell>
          <cell r="P846" t="str">
            <v>S1</v>
          </cell>
          <cell r="Q846" t="str">
            <v>J1</v>
          </cell>
          <cell r="R846" t="str">
            <v>J6</v>
          </cell>
          <cell r="S846" t="str">
            <v>ENTREGADO</v>
          </cell>
          <cell r="T846">
            <v>42688</v>
          </cell>
          <cell r="U846" t="str">
            <v>BAYONA CRUZ CRISTIAN ARMANDO</v>
          </cell>
          <cell r="V846" t="str">
            <v>FLOREZ CONDORI  JOSE WILLIANS</v>
          </cell>
        </row>
        <row r="847">
          <cell r="A847">
            <v>769</v>
          </cell>
          <cell r="B847">
            <v>42688</v>
          </cell>
          <cell r="C847" t="str">
            <v>NOVIEMBRE</v>
          </cell>
          <cell r="D847" t="str">
            <v>2016</v>
          </cell>
          <cell r="E847">
            <v>205</v>
          </cell>
          <cell r="F847" t="str">
            <v>X2W-765</v>
          </cell>
          <cell r="G847" t="str">
            <v>C5V-993</v>
          </cell>
          <cell r="H847" t="str">
            <v>LAS BAMBAS</v>
          </cell>
          <cell r="I847">
            <v>154850</v>
          </cell>
          <cell r="J847" t="str">
            <v>REPUESTO</v>
          </cell>
          <cell r="K847" t="str">
            <v>TUERCA SEGURO 3/8</v>
          </cell>
          <cell r="L847">
            <v>3</v>
          </cell>
          <cell r="M847" t="str">
            <v>UNID.</v>
          </cell>
          <cell r="N847" t="str">
            <v>CISTERNA</v>
          </cell>
          <cell r="O847">
            <v>0</v>
          </cell>
          <cell r="P847" t="str">
            <v>S1</v>
          </cell>
          <cell r="Q847" t="str">
            <v>J1</v>
          </cell>
          <cell r="R847" t="str">
            <v>J6</v>
          </cell>
          <cell r="S847" t="str">
            <v>ENTREGADO</v>
          </cell>
          <cell r="T847">
            <v>42688</v>
          </cell>
          <cell r="U847" t="str">
            <v>BAYONA CRUZ CRISTIAN ARMANDO</v>
          </cell>
          <cell r="V847" t="str">
            <v>FLOREZ CONDORI  JOSE WILLIANS</v>
          </cell>
        </row>
        <row r="848">
          <cell r="A848">
            <v>773</v>
          </cell>
          <cell r="B848">
            <v>42688</v>
          </cell>
          <cell r="C848" t="str">
            <v>NOVIEMBRE</v>
          </cell>
          <cell r="D848" t="str">
            <v>2016</v>
          </cell>
          <cell r="E848">
            <v>205</v>
          </cell>
          <cell r="F848" t="str">
            <v>X2W-765</v>
          </cell>
          <cell r="G848" t="str">
            <v>C5V-993</v>
          </cell>
          <cell r="H848" t="str">
            <v>LAS BAMBAS</v>
          </cell>
          <cell r="I848">
            <v>154850</v>
          </cell>
          <cell r="J848" t="str">
            <v>REPUESTO</v>
          </cell>
          <cell r="K848" t="str">
            <v>VALVULA INTERLOOK</v>
          </cell>
          <cell r="L848">
            <v>1</v>
          </cell>
          <cell r="M848" t="str">
            <v>UNID.</v>
          </cell>
          <cell r="N848" t="str">
            <v>CISTERNA</v>
          </cell>
          <cell r="O848">
            <v>0</v>
          </cell>
          <cell r="P848" t="str">
            <v>S1</v>
          </cell>
          <cell r="Q848" t="str">
            <v>J1</v>
          </cell>
          <cell r="R848" t="str">
            <v>J6</v>
          </cell>
          <cell r="S848" t="str">
            <v>ENTREGADO</v>
          </cell>
          <cell r="T848">
            <v>42688</v>
          </cell>
          <cell r="U848" t="str">
            <v>BAYONA CRUZ CRISTIAN ARMANDO</v>
          </cell>
          <cell r="V848" t="str">
            <v>FLOREZ CONDORI  JOSE WILLIANS</v>
          </cell>
        </row>
        <row r="849">
          <cell r="A849">
            <v>814</v>
          </cell>
          <cell r="B849">
            <v>42688</v>
          </cell>
          <cell r="C849" t="str">
            <v>NOVIEMBRE</v>
          </cell>
          <cell r="D849" t="str">
            <v>2016</v>
          </cell>
          <cell r="E849">
            <v>239</v>
          </cell>
          <cell r="F849" t="str">
            <v>X2W-788</v>
          </cell>
          <cell r="G849" t="str">
            <v>C5V-994</v>
          </cell>
          <cell r="H849" t="str">
            <v>LAS BAMBAS</v>
          </cell>
          <cell r="I849">
            <v>137310</v>
          </cell>
          <cell r="J849" t="str">
            <v>REPUESTO</v>
          </cell>
          <cell r="K849" t="str">
            <v>PERNO 3/8 X 3"</v>
          </cell>
          <cell r="L849">
            <v>1</v>
          </cell>
          <cell r="M849" t="str">
            <v>UNID.</v>
          </cell>
          <cell r="N849" t="str">
            <v>CISTERNA</v>
          </cell>
          <cell r="O849">
            <v>102</v>
          </cell>
          <cell r="P849" t="str">
            <v>M4</v>
          </cell>
          <cell r="Q849" t="str">
            <v>J1</v>
          </cell>
          <cell r="R849" t="str">
            <v>J1</v>
          </cell>
          <cell r="S849" t="str">
            <v>ENTREGADO</v>
          </cell>
          <cell r="T849">
            <v>0</v>
          </cell>
          <cell r="U849" t="str">
            <v>JULLIRI APAZA UBALDO</v>
          </cell>
          <cell r="V849" t="str">
            <v>FLOREZ CONDORI  JOSE WILLIANS</v>
          </cell>
        </row>
        <row r="850">
          <cell r="A850">
            <v>815</v>
          </cell>
          <cell r="B850">
            <v>42688</v>
          </cell>
          <cell r="C850" t="str">
            <v>NOVIEMBRE</v>
          </cell>
          <cell r="D850" t="str">
            <v>2016</v>
          </cell>
          <cell r="E850">
            <v>239</v>
          </cell>
          <cell r="F850" t="str">
            <v>X2W-788</v>
          </cell>
          <cell r="G850" t="str">
            <v>C5V-994</v>
          </cell>
          <cell r="H850" t="str">
            <v>LAS BAMBAS</v>
          </cell>
          <cell r="I850">
            <v>137310</v>
          </cell>
          <cell r="J850" t="str">
            <v>REPUESTO</v>
          </cell>
          <cell r="K850" t="str">
            <v>ARANDELA 3/8</v>
          </cell>
          <cell r="L850">
            <v>2</v>
          </cell>
          <cell r="M850" t="str">
            <v>UNID.</v>
          </cell>
          <cell r="N850" t="str">
            <v>CISTERNA</v>
          </cell>
          <cell r="O850">
            <v>102</v>
          </cell>
          <cell r="P850" t="str">
            <v>M4</v>
          </cell>
          <cell r="Q850" t="str">
            <v>J1</v>
          </cell>
          <cell r="R850" t="str">
            <v>J1</v>
          </cell>
          <cell r="S850" t="str">
            <v>ENTREGADO</v>
          </cell>
          <cell r="T850">
            <v>0</v>
          </cell>
          <cell r="U850" t="str">
            <v>JULLIRI APAZA UBALDO</v>
          </cell>
          <cell r="V850" t="str">
            <v>FLOREZ CONDORI  JOSE WILLIANS</v>
          </cell>
        </row>
        <row r="851">
          <cell r="A851">
            <v>816</v>
          </cell>
          <cell r="B851">
            <v>42688</v>
          </cell>
          <cell r="C851" t="str">
            <v>NOVIEMBRE</v>
          </cell>
          <cell r="D851" t="str">
            <v>2016</v>
          </cell>
          <cell r="E851">
            <v>239</v>
          </cell>
          <cell r="F851" t="str">
            <v>X2W-788</v>
          </cell>
          <cell r="G851" t="str">
            <v>C5V-994</v>
          </cell>
          <cell r="H851" t="str">
            <v>LAS BAMBAS</v>
          </cell>
          <cell r="I851">
            <v>137310</v>
          </cell>
          <cell r="J851" t="str">
            <v>REPUESTO</v>
          </cell>
          <cell r="K851" t="str">
            <v>TUERCA SEGURO 3/8</v>
          </cell>
          <cell r="L851">
            <v>1</v>
          </cell>
          <cell r="M851" t="str">
            <v>UNID.</v>
          </cell>
          <cell r="N851" t="str">
            <v>CISTERNA</v>
          </cell>
          <cell r="O851">
            <v>102</v>
          </cell>
          <cell r="P851" t="str">
            <v>M4</v>
          </cell>
          <cell r="Q851" t="str">
            <v>J1</v>
          </cell>
          <cell r="R851" t="str">
            <v>J1</v>
          </cell>
          <cell r="S851" t="str">
            <v>ENTREGADO</v>
          </cell>
          <cell r="T851">
            <v>0</v>
          </cell>
          <cell r="U851" t="str">
            <v>JULLIRI APAZA UBALDO</v>
          </cell>
          <cell r="V851" t="str">
            <v>FLOREZ CONDORI  JOSE WILLIANS</v>
          </cell>
        </row>
        <row r="852">
          <cell r="A852">
            <v>899</v>
          </cell>
          <cell r="B852">
            <v>42689</v>
          </cell>
          <cell r="C852" t="str">
            <v>NOVIEMBRE</v>
          </cell>
          <cell r="D852" t="str">
            <v>2016</v>
          </cell>
          <cell r="E852">
            <v>344</v>
          </cell>
          <cell r="F852" t="str">
            <v>A5O-859</v>
          </cell>
          <cell r="G852" t="str">
            <v>B6Y-971</v>
          </cell>
          <cell r="H852" t="str">
            <v>LAS BAMBAS</v>
          </cell>
          <cell r="I852">
            <v>114907</v>
          </cell>
          <cell r="J852" t="str">
            <v>REPUESTO</v>
          </cell>
          <cell r="K852" t="str">
            <v>FILTRO DE AIRE</v>
          </cell>
          <cell r="L852">
            <v>1</v>
          </cell>
          <cell r="M852" t="str">
            <v>UNID.</v>
          </cell>
          <cell r="N852" t="str">
            <v>CAMIONETA</v>
          </cell>
          <cell r="O852">
            <v>0</v>
          </cell>
          <cell r="P852" t="str">
            <v>M6</v>
          </cell>
          <cell r="Q852" t="str">
            <v>J1</v>
          </cell>
          <cell r="R852" t="str">
            <v>J6</v>
          </cell>
          <cell r="S852" t="str">
            <v>ENTREGADO</v>
          </cell>
          <cell r="T852">
            <v>42689</v>
          </cell>
          <cell r="U852" t="str">
            <v>PARI VENTURA  EDSON ORLANDO</v>
          </cell>
          <cell r="V852" t="str">
            <v>FLOREZ CONDORI  JOSE WILLIANS</v>
          </cell>
        </row>
        <row r="853">
          <cell r="A853">
            <v>900</v>
          </cell>
          <cell r="B853">
            <v>42689</v>
          </cell>
          <cell r="C853" t="str">
            <v>NOVIEMBRE</v>
          </cell>
          <cell r="D853" t="str">
            <v>2016</v>
          </cell>
          <cell r="E853">
            <v>344</v>
          </cell>
          <cell r="F853" t="str">
            <v>A5O-859</v>
          </cell>
          <cell r="G853" t="str">
            <v>B6Y-971</v>
          </cell>
          <cell r="H853" t="str">
            <v>LAS BAMBAS</v>
          </cell>
          <cell r="I853">
            <v>114907</v>
          </cell>
          <cell r="J853" t="str">
            <v>REPUESTO</v>
          </cell>
          <cell r="K853" t="str">
            <v>FILTRO DE COMBUISTIBLE</v>
          </cell>
          <cell r="L853">
            <v>1</v>
          </cell>
          <cell r="M853" t="str">
            <v>UNID.</v>
          </cell>
          <cell r="N853" t="str">
            <v>CAMIONETA</v>
          </cell>
          <cell r="O853">
            <v>0</v>
          </cell>
          <cell r="P853" t="str">
            <v>M6</v>
          </cell>
          <cell r="Q853" t="str">
            <v>J1</v>
          </cell>
          <cell r="R853" t="str">
            <v>J6</v>
          </cell>
          <cell r="S853" t="str">
            <v>ENTREGADO</v>
          </cell>
          <cell r="T853">
            <v>42689</v>
          </cell>
          <cell r="U853" t="str">
            <v>PARI VENTURA  EDSON ORLANDO</v>
          </cell>
          <cell r="V853" t="str">
            <v>FLOREZ CONDORI  JOSE WILLIANS</v>
          </cell>
        </row>
        <row r="854">
          <cell r="A854">
            <v>901</v>
          </cell>
          <cell r="B854">
            <v>42689</v>
          </cell>
          <cell r="C854" t="str">
            <v>NOVIEMBRE</v>
          </cell>
          <cell r="D854" t="str">
            <v>2016</v>
          </cell>
          <cell r="E854">
            <v>344</v>
          </cell>
          <cell r="F854" t="str">
            <v>A5O-859</v>
          </cell>
          <cell r="G854" t="str">
            <v>B6Y-971</v>
          </cell>
          <cell r="H854" t="str">
            <v>LAS BAMBAS</v>
          </cell>
          <cell r="I854">
            <v>114907</v>
          </cell>
          <cell r="J854" t="str">
            <v>REPUESTO</v>
          </cell>
          <cell r="K854" t="str">
            <v>FILTRO DE ACEITE</v>
          </cell>
          <cell r="L854">
            <v>1</v>
          </cell>
          <cell r="M854" t="str">
            <v>UNID.</v>
          </cell>
          <cell r="N854" t="str">
            <v>CAMIONETA</v>
          </cell>
          <cell r="O854">
            <v>0</v>
          </cell>
          <cell r="P854" t="str">
            <v>M6</v>
          </cell>
          <cell r="Q854" t="str">
            <v>J1</v>
          </cell>
          <cell r="R854" t="str">
            <v>J6</v>
          </cell>
          <cell r="S854" t="str">
            <v>ENTREGADO</v>
          </cell>
          <cell r="T854">
            <v>42689</v>
          </cell>
          <cell r="U854" t="str">
            <v>PARI VENTURA  EDSON ORLANDO</v>
          </cell>
          <cell r="V854" t="str">
            <v>FLOREZ CONDORI  JOSE WILLIANS</v>
          </cell>
        </row>
        <row r="855">
          <cell r="A855">
            <v>902</v>
          </cell>
          <cell r="B855">
            <v>42689</v>
          </cell>
          <cell r="C855" t="str">
            <v>NOVIEMBRE</v>
          </cell>
          <cell r="D855" t="str">
            <v>2016</v>
          </cell>
          <cell r="E855">
            <v>344</v>
          </cell>
          <cell r="F855" t="str">
            <v>A5O-859</v>
          </cell>
          <cell r="G855" t="str">
            <v>B6Y-971</v>
          </cell>
          <cell r="H855" t="str">
            <v>LAS BAMBAS</v>
          </cell>
          <cell r="I855">
            <v>114907</v>
          </cell>
          <cell r="J855" t="str">
            <v>REPUESTO</v>
          </cell>
          <cell r="K855" t="str">
            <v>ACEITE 15W40</v>
          </cell>
          <cell r="L855">
            <v>2</v>
          </cell>
          <cell r="M855" t="str">
            <v>GLNS.</v>
          </cell>
          <cell r="N855" t="str">
            <v>CAMIONETA</v>
          </cell>
          <cell r="O855">
            <v>0</v>
          </cell>
          <cell r="P855" t="str">
            <v>M6</v>
          </cell>
          <cell r="Q855" t="str">
            <v>J1</v>
          </cell>
          <cell r="R855" t="str">
            <v>J6</v>
          </cell>
          <cell r="S855" t="str">
            <v>ENTREGADO</v>
          </cell>
          <cell r="T855">
            <v>42689</v>
          </cell>
          <cell r="U855" t="str">
            <v>PARI VENTURA  EDSON ORLANDO</v>
          </cell>
          <cell r="V855" t="str">
            <v>FLOREZ CONDORI  JOSE WILLIANS</v>
          </cell>
        </row>
        <row r="856">
          <cell r="A856">
            <v>868</v>
          </cell>
          <cell r="B856">
            <v>42689</v>
          </cell>
          <cell r="C856" t="str">
            <v>NOVIEMBRE</v>
          </cell>
          <cell r="D856" t="str">
            <v>2016</v>
          </cell>
          <cell r="E856">
            <v>308</v>
          </cell>
          <cell r="F856" t="str">
            <v>A9H-889</v>
          </cell>
          <cell r="G856" t="str">
            <v>CAMION</v>
          </cell>
          <cell r="H856" t="str">
            <v>TAMBOMAYO</v>
          </cell>
          <cell r="I856">
            <v>120654</v>
          </cell>
          <cell r="J856" t="str">
            <v>REPUESTO</v>
          </cell>
          <cell r="K856" t="str">
            <v>ACEITE 15W40</v>
          </cell>
          <cell r="L856">
            <v>0.5</v>
          </cell>
          <cell r="M856" t="str">
            <v>GLNS.</v>
          </cell>
          <cell r="N856" t="str">
            <v>TRACTO</v>
          </cell>
          <cell r="O856">
            <v>0</v>
          </cell>
          <cell r="P856" t="str">
            <v>M2</v>
          </cell>
          <cell r="Q856" t="str">
            <v>J1</v>
          </cell>
          <cell r="R856" t="str">
            <v>J6</v>
          </cell>
          <cell r="S856" t="str">
            <v>ENTREGADO</v>
          </cell>
          <cell r="T856">
            <v>42689</v>
          </cell>
          <cell r="U856" t="str">
            <v>CHUMPITAZ GAGO JULIO ENRIQUE</v>
          </cell>
          <cell r="V856" t="str">
            <v>FLOREZ CONDORI  JOSE WILLIANS</v>
          </cell>
        </row>
        <row r="857">
          <cell r="A857">
            <v>852</v>
          </cell>
          <cell r="B857">
            <v>42689</v>
          </cell>
          <cell r="C857" t="str">
            <v>NOVIEMBRE</v>
          </cell>
          <cell r="D857" t="str">
            <v>2016</v>
          </cell>
          <cell r="E857">
            <v>316</v>
          </cell>
          <cell r="F857" t="str">
            <v>ABQ-705</v>
          </cell>
          <cell r="G857" t="str">
            <v>D0Z-996</v>
          </cell>
          <cell r="H857" t="str">
            <v>LAS BAMBAS</v>
          </cell>
          <cell r="I857">
            <v>105500</v>
          </cell>
          <cell r="J857" t="str">
            <v>REPUESTO</v>
          </cell>
          <cell r="K857" t="str">
            <v>PITONES RECTOS</v>
          </cell>
          <cell r="L857">
            <v>1</v>
          </cell>
          <cell r="M857" t="str">
            <v>UNID.</v>
          </cell>
          <cell r="N857" t="str">
            <v>TRACTO</v>
          </cell>
          <cell r="O857">
            <v>0</v>
          </cell>
          <cell r="P857" t="str">
            <v>N2</v>
          </cell>
          <cell r="Q857" t="str">
            <v>J3</v>
          </cell>
          <cell r="R857" t="str">
            <v>J6</v>
          </cell>
          <cell r="S857" t="str">
            <v>ENTREGADO</v>
          </cell>
          <cell r="T857">
            <v>42689</v>
          </cell>
          <cell r="U857" t="str">
            <v>MAMANI LARICO  EDUARDO ALVARO</v>
          </cell>
          <cell r="V857" t="str">
            <v>CHURA PIZARRO ALBERTO</v>
          </cell>
        </row>
        <row r="858">
          <cell r="A858">
            <v>853</v>
          </cell>
          <cell r="B858">
            <v>42689</v>
          </cell>
          <cell r="C858" t="str">
            <v>NOVIEMBRE</v>
          </cell>
          <cell r="D858" t="str">
            <v>2016</v>
          </cell>
          <cell r="E858">
            <v>316</v>
          </cell>
          <cell r="F858" t="str">
            <v>ABQ-705</v>
          </cell>
          <cell r="G858" t="str">
            <v>D0Z-996</v>
          </cell>
          <cell r="H858" t="str">
            <v>LAS BAMBAS</v>
          </cell>
          <cell r="I858">
            <v>105500</v>
          </cell>
          <cell r="J858" t="str">
            <v>REPUESTO</v>
          </cell>
          <cell r="K858" t="str">
            <v>PARCHE RACK 10</v>
          </cell>
          <cell r="L858">
            <v>1</v>
          </cell>
          <cell r="M858" t="str">
            <v>UNID.</v>
          </cell>
          <cell r="N858" t="str">
            <v>TRACTO</v>
          </cell>
          <cell r="O858">
            <v>0</v>
          </cell>
          <cell r="P858" t="str">
            <v>N2</v>
          </cell>
          <cell r="Q858" t="str">
            <v>J3</v>
          </cell>
          <cell r="R858" t="str">
            <v>J6</v>
          </cell>
          <cell r="S858" t="str">
            <v>ENTREGADO</v>
          </cell>
          <cell r="T858">
            <v>42689</v>
          </cell>
          <cell r="U858" t="str">
            <v>MAMANI LARICO  EDUARDO ALVARO</v>
          </cell>
          <cell r="V858" t="str">
            <v>CHURA PIZARRO ALBERTO</v>
          </cell>
        </row>
        <row r="859">
          <cell r="A859">
            <v>866</v>
          </cell>
          <cell r="B859">
            <v>42689</v>
          </cell>
          <cell r="C859" t="str">
            <v>NOVIEMBRE</v>
          </cell>
          <cell r="D859" t="str">
            <v>2016</v>
          </cell>
          <cell r="E859">
            <v>316</v>
          </cell>
          <cell r="F859" t="str">
            <v>ABQ-705</v>
          </cell>
          <cell r="G859" t="str">
            <v>D0Z-996</v>
          </cell>
          <cell r="H859" t="str">
            <v>LAS BAMBAS</v>
          </cell>
          <cell r="I859">
            <v>105500</v>
          </cell>
          <cell r="J859" t="str">
            <v>REPUESTO</v>
          </cell>
          <cell r="K859" t="str">
            <v>PARCHE RACK 12</v>
          </cell>
          <cell r="L859">
            <v>1</v>
          </cell>
          <cell r="M859" t="str">
            <v>UNID.</v>
          </cell>
          <cell r="N859" t="str">
            <v>TRACTO</v>
          </cell>
          <cell r="O859">
            <v>0</v>
          </cell>
          <cell r="P859" t="str">
            <v>N1</v>
          </cell>
          <cell r="Q859" t="str">
            <v>J3</v>
          </cell>
          <cell r="R859" t="str">
            <v>J6</v>
          </cell>
          <cell r="S859" t="str">
            <v>ENTREGADO</v>
          </cell>
          <cell r="T859">
            <v>42689</v>
          </cell>
          <cell r="U859" t="str">
            <v>AGUILAR CCANTUTA WILLY</v>
          </cell>
          <cell r="V859" t="str">
            <v>CHURA PIZARRO ALBERTO</v>
          </cell>
        </row>
        <row r="860">
          <cell r="A860">
            <v>867</v>
          </cell>
          <cell r="B860">
            <v>42689</v>
          </cell>
          <cell r="C860" t="str">
            <v>NOVIEMBRE</v>
          </cell>
          <cell r="D860" t="str">
            <v>2016</v>
          </cell>
          <cell r="E860">
            <v>316</v>
          </cell>
          <cell r="F860" t="str">
            <v>ABQ-705</v>
          </cell>
          <cell r="G860" t="str">
            <v>D0Z-996</v>
          </cell>
          <cell r="H860" t="str">
            <v>LAS BAMBAS</v>
          </cell>
          <cell r="I860">
            <v>105500</v>
          </cell>
          <cell r="J860" t="str">
            <v>REPUESTO</v>
          </cell>
          <cell r="K860" t="str">
            <v>PITON RECTO</v>
          </cell>
          <cell r="L860">
            <v>1</v>
          </cell>
          <cell r="M860" t="str">
            <v>UNID.</v>
          </cell>
          <cell r="N860" t="str">
            <v>TRACTO</v>
          </cell>
          <cell r="O860">
            <v>0</v>
          </cell>
          <cell r="P860" t="str">
            <v>N1</v>
          </cell>
          <cell r="Q860" t="str">
            <v>J3</v>
          </cell>
          <cell r="R860" t="str">
            <v>J6</v>
          </cell>
          <cell r="S860" t="str">
            <v>ENTREGADO</v>
          </cell>
          <cell r="T860">
            <v>42689</v>
          </cell>
          <cell r="U860" t="str">
            <v>AGUILAR CCANTUTA WILLY</v>
          </cell>
          <cell r="V860" t="str">
            <v>CHURA PIZARRO ALBERTO</v>
          </cell>
        </row>
        <row r="861">
          <cell r="A861">
            <v>895</v>
          </cell>
          <cell r="B861">
            <v>42689</v>
          </cell>
          <cell r="C861" t="str">
            <v>NOVIEMBRE</v>
          </cell>
          <cell r="D861" t="str">
            <v>2016</v>
          </cell>
          <cell r="E861">
            <v>305</v>
          </cell>
          <cell r="F861" t="str">
            <v>ABS-700</v>
          </cell>
          <cell r="G861" t="str">
            <v>TBC-971</v>
          </cell>
          <cell r="H861" t="str">
            <v>LAS BAMBAS</v>
          </cell>
          <cell r="I861">
            <v>95862</v>
          </cell>
          <cell r="J861" t="str">
            <v>REPUESTO</v>
          </cell>
          <cell r="K861" t="str">
            <v>FILTRO DE COMBUSTIBLE VALVULA</v>
          </cell>
          <cell r="L861">
            <v>1</v>
          </cell>
          <cell r="M861" t="str">
            <v>UNID.</v>
          </cell>
          <cell r="N861" t="str">
            <v>TRACTO</v>
          </cell>
          <cell r="O861">
            <v>0</v>
          </cell>
          <cell r="P861" t="str">
            <v>M5</v>
          </cell>
          <cell r="Q861" t="str">
            <v>J1</v>
          </cell>
          <cell r="R861" t="str">
            <v>J6</v>
          </cell>
          <cell r="S861" t="str">
            <v>ENTREGADO</v>
          </cell>
          <cell r="T861">
            <v>42689</v>
          </cell>
          <cell r="U861" t="str">
            <v>LOPEZ RUIZ WILBERTO</v>
          </cell>
          <cell r="V861" t="str">
            <v>FLOREZ CONDORI  JOSE WILLIANS</v>
          </cell>
        </row>
        <row r="862">
          <cell r="A862">
            <v>896</v>
          </cell>
          <cell r="B862">
            <v>42689</v>
          </cell>
          <cell r="C862" t="str">
            <v>NOVIEMBRE</v>
          </cell>
          <cell r="D862" t="str">
            <v>2016</v>
          </cell>
          <cell r="E862">
            <v>305</v>
          </cell>
          <cell r="F862" t="str">
            <v>ABS-700</v>
          </cell>
          <cell r="G862" t="str">
            <v>TBC-971</v>
          </cell>
          <cell r="H862" t="str">
            <v>LAS BAMBAS</v>
          </cell>
          <cell r="I862">
            <v>95862</v>
          </cell>
          <cell r="J862" t="str">
            <v>REPUESTO</v>
          </cell>
          <cell r="K862" t="str">
            <v>FILTRO DE COMBUSTIBLE CHICO</v>
          </cell>
          <cell r="L862">
            <v>1</v>
          </cell>
          <cell r="M862" t="str">
            <v>UNID.</v>
          </cell>
          <cell r="N862" t="str">
            <v>TRACTO</v>
          </cell>
          <cell r="O862">
            <v>0</v>
          </cell>
          <cell r="P862" t="str">
            <v>M5</v>
          </cell>
          <cell r="Q862" t="str">
            <v>J1</v>
          </cell>
          <cell r="R862" t="str">
            <v>J6</v>
          </cell>
          <cell r="S862" t="str">
            <v>ENTREGADO</v>
          </cell>
          <cell r="T862">
            <v>42689</v>
          </cell>
          <cell r="U862" t="str">
            <v>LOPEZ RUIZ WILBERTO</v>
          </cell>
          <cell r="V862" t="str">
            <v>FLOREZ CONDORI  JOSE WILLIANS</v>
          </cell>
        </row>
        <row r="863">
          <cell r="A863">
            <v>854</v>
          </cell>
          <cell r="B863">
            <v>42689</v>
          </cell>
          <cell r="C863" t="str">
            <v>NOVIEMBRE</v>
          </cell>
          <cell r="D863" t="str">
            <v>2016</v>
          </cell>
          <cell r="E863">
            <v>326</v>
          </cell>
          <cell r="F863" t="str">
            <v>AEH-862</v>
          </cell>
          <cell r="G863" t="str">
            <v>CAMIONETA</v>
          </cell>
          <cell r="H863" t="str">
            <v>LAS BAMBAS</v>
          </cell>
          <cell r="I863">
            <v>14161</v>
          </cell>
          <cell r="J863" t="str">
            <v>REPUESTO</v>
          </cell>
          <cell r="K863" t="str">
            <v>LIQUIDO REFRIGERANTE</v>
          </cell>
          <cell r="L863">
            <v>5</v>
          </cell>
          <cell r="M863" t="str">
            <v>GLNS.</v>
          </cell>
          <cell r="N863" t="str">
            <v>TRACTO</v>
          </cell>
          <cell r="O863">
            <v>0</v>
          </cell>
          <cell r="P863" t="str">
            <v>M5</v>
          </cell>
          <cell r="Q863" t="str">
            <v>J1</v>
          </cell>
          <cell r="R863" t="str">
            <v>J5</v>
          </cell>
          <cell r="S863" t="str">
            <v>ENTREGADO</v>
          </cell>
          <cell r="T863">
            <v>42689</v>
          </cell>
          <cell r="U863" t="str">
            <v>LOPEZ RUIZ WILBERTO</v>
          </cell>
          <cell r="V863" t="str">
            <v>FLOREZ CONDORI  JOSE WILLIANS</v>
          </cell>
        </row>
        <row r="864">
          <cell r="A864">
            <v>861</v>
          </cell>
          <cell r="B864">
            <v>42689</v>
          </cell>
          <cell r="C864" t="str">
            <v>NOVIEMBRE</v>
          </cell>
          <cell r="D864" t="str">
            <v>2016</v>
          </cell>
          <cell r="E864">
            <v>326</v>
          </cell>
          <cell r="F864" t="str">
            <v>AEH-862</v>
          </cell>
          <cell r="G864" t="str">
            <v>CAMIONETA</v>
          </cell>
          <cell r="H864" t="str">
            <v>LAS BAMBAS</v>
          </cell>
          <cell r="I864">
            <v>14161</v>
          </cell>
          <cell r="J864" t="str">
            <v>REPUESTO</v>
          </cell>
          <cell r="K864" t="str">
            <v>PRECINTOS 300</v>
          </cell>
          <cell r="L864">
            <v>4</v>
          </cell>
          <cell r="M864" t="str">
            <v>UNID.</v>
          </cell>
          <cell r="N864" t="str">
            <v>TRACTO</v>
          </cell>
          <cell r="O864">
            <v>0</v>
          </cell>
          <cell r="P864" t="str">
            <v>M5</v>
          </cell>
          <cell r="Q864" t="str">
            <v>J1</v>
          </cell>
          <cell r="R864" t="str">
            <v>J5</v>
          </cell>
          <cell r="S864" t="str">
            <v>ENTREGADO</v>
          </cell>
          <cell r="T864">
            <v>42689</v>
          </cell>
          <cell r="U864" t="str">
            <v>LOPEZ RUIZ WILBERTO</v>
          </cell>
          <cell r="V864" t="str">
            <v>FLOREZ CONDORI  JOSE WILLIANS</v>
          </cell>
        </row>
        <row r="865">
          <cell r="A865">
            <v>871</v>
          </cell>
          <cell r="B865">
            <v>42689</v>
          </cell>
          <cell r="C865" t="str">
            <v>NOVIEMBRE</v>
          </cell>
          <cell r="D865" t="str">
            <v>2016</v>
          </cell>
          <cell r="E865">
            <v>326</v>
          </cell>
          <cell r="F865" t="str">
            <v>AEH-862</v>
          </cell>
          <cell r="G865" t="str">
            <v>CAMIONETA</v>
          </cell>
          <cell r="H865" t="str">
            <v>LAS BAMBAS</v>
          </cell>
          <cell r="I865">
            <v>14161</v>
          </cell>
          <cell r="J865" t="str">
            <v>REPUESTO</v>
          </cell>
          <cell r="K865" t="str">
            <v>LIMPIA PARABRISA</v>
          </cell>
          <cell r="L865">
            <v>1</v>
          </cell>
          <cell r="M865" t="str">
            <v>GLNS.</v>
          </cell>
          <cell r="N865" t="str">
            <v>TRACTO</v>
          </cell>
          <cell r="O865">
            <v>0</v>
          </cell>
          <cell r="P865" t="str">
            <v>M5</v>
          </cell>
          <cell r="Q865" t="str">
            <v>J1</v>
          </cell>
          <cell r="R865" t="str">
            <v>J6</v>
          </cell>
          <cell r="S865" t="str">
            <v>ENTREGADO</v>
          </cell>
          <cell r="T865">
            <v>42689</v>
          </cell>
          <cell r="U865" t="str">
            <v>LOPEZ RUIZ WILBERTO</v>
          </cell>
          <cell r="V865" t="str">
            <v>FLOREZ CONDORI  JOSE WILLIANS</v>
          </cell>
        </row>
        <row r="866">
          <cell r="A866">
            <v>879</v>
          </cell>
          <cell r="B866">
            <v>42689</v>
          </cell>
          <cell r="C866" t="str">
            <v>NOVIEMBRE</v>
          </cell>
          <cell r="D866" t="str">
            <v>2016</v>
          </cell>
          <cell r="E866">
            <v>227</v>
          </cell>
          <cell r="F866" t="str">
            <v>AKW-731</v>
          </cell>
          <cell r="G866" t="str">
            <v>TCR-989</v>
          </cell>
          <cell r="H866" t="str">
            <v>LAS BAMBAS CONC.</v>
          </cell>
          <cell r="I866">
            <v>16623.400000000001</v>
          </cell>
          <cell r="J866" t="str">
            <v>REPUESTO</v>
          </cell>
          <cell r="K866" t="str">
            <v>SOPORTES DE CABINA</v>
          </cell>
          <cell r="L866">
            <v>2</v>
          </cell>
          <cell r="M866" t="str">
            <v>UNID.</v>
          </cell>
          <cell r="N866" t="str">
            <v>TRACTO</v>
          </cell>
          <cell r="O866">
            <v>0</v>
          </cell>
          <cell r="P866" t="str">
            <v>M2</v>
          </cell>
          <cell r="Q866" t="str">
            <v>J1</v>
          </cell>
          <cell r="R866" t="str">
            <v>J6</v>
          </cell>
          <cell r="S866" t="str">
            <v>ENTREGADO</v>
          </cell>
          <cell r="T866">
            <v>42689</v>
          </cell>
          <cell r="U866" t="str">
            <v>CHUMPITAZ GAGO JULIO ENRIQUE</v>
          </cell>
          <cell r="V866" t="str">
            <v>FLOREZ CONDORI  JOSE WILLIANS</v>
          </cell>
        </row>
        <row r="867">
          <cell r="A867">
            <v>885</v>
          </cell>
          <cell r="B867">
            <v>42689</v>
          </cell>
          <cell r="C867" t="str">
            <v>NOVIEMBRE</v>
          </cell>
          <cell r="D867" t="str">
            <v>2016</v>
          </cell>
          <cell r="E867">
            <v>329</v>
          </cell>
          <cell r="F867" t="str">
            <v>AKW-731</v>
          </cell>
          <cell r="G867" t="str">
            <v>TCR-989</v>
          </cell>
          <cell r="H867" t="str">
            <v>LAS BAMBAS CONC.</v>
          </cell>
          <cell r="I867">
            <v>19290</v>
          </cell>
          <cell r="J867" t="str">
            <v>REPUESTO</v>
          </cell>
          <cell r="K867" t="str">
            <v>FAROS NEBLINEROS AAA CHICO</v>
          </cell>
          <cell r="L867">
            <v>2</v>
          </cell>
          <cell r="M867" t="str">
            <v>UNID.</v>
          </cell>
          <cell r="N867" t="str">
            <v>CAMION</v>
          </cell>
          <cell r="O867">
            <v>0</v>
          </cell>
          <cell r="P867" t="str">
            <v>E1</v>
          </cell>
          <cell r="Q867" t="str">
            <v>J1</v>
          </cell>
          <cell r="R867" t="str">
            <v>J6</v>
          </cell>
          <cell r="S867" t="str">
            <v>ENTREGADO</v>
          </cell>
          <cell r="T867">
            <v>42689</v>
          </cell>
          <cell r="U867" t="str">
            <v>PALOMINO CARDENAS JUAN CARLOS</v>
          </cell>
          <cell r="V867" t="str">
            <v>FLOREZ CONDORI  JOSE WILLIANS</v>
          </cell>
        </row>
        <row r="868">
          <cell r="A868">
            <v>888</v>
          </cell>
          <cell r="B868">
            <v>42689</v>
          </cell>
          <cell r="C868" t="str">
            <v>NOVIEMBRE</v>
          </cell>
          <cell r="D868" t="str">
            <v>2016</v>
          </cell>
          <cell r="E868">
            <v>329</v>
          </cell>
          <cell r="F868" t="str">
            <v>AKW-731</v>
          </cell>
          <cell r="G868" t="str">
            <v>TCR-989</v>
          </cell>
          <cell r="H868" t="str">
            <v>LAS BAMBAS CONC.</v>
          </cell>
          <cell r="I868">
            <v>19290</v>
          </cell>
          <cell r="J868" t="str">
            <v>REPUESTO</v>
          </cell>
          <cell r="K868" t="str">
            <v>FOCO H3 DE 24 V</v>
          </cell>
          <cell r="L868">
            <v>2</v>
          </cell>
          <cell r="M868" t="str">
            <v>UNID.</v>
          </cell>
          <cell r="N868" t="str">
            <v>CAMION</v>
          </cell>
          <cell r="O868">
            <v>0</v>
          </cell>
          <cell r="P868" t="str">
            <v>E1</v>
          </cell>
          <cell r="Q868" t="str">
            <v>J1</v>
          </cell>
          <cell r="R868" t="str">
            <v>J6</v>
          </cell>
          <cell r="S868" t="str">
            <v>ENTREGADO</v>
          </cell>
          <cell r="T868">
            <v>42689</v>
          </cell>
          <cell r="U868" t="str">
            <v>PALOMINO CARDENAS JUAN CARLOS</v>
          </cell>
          <cell r="V868" t="str">
            <v>FLOREZ CONDORI  JOSE WILLIANS</v>
          </cell>
        </row>
        <row r="869">
          <cell r="A869">
            <v>903</v>
          </cell>
          <cell r="B869">
            <v>42689</v>
          </cell>
          <cell r="C869" t="str">
            <v>NOVIEMBRE</v>
          </cell>
          <cell r="D869" t="str">
            <v>2016</v>
          </cell>
          <cell r="E869">
            <v>324</v>
          </cell>
          <cell r="F869" t="str">
            <v>AKW-894</v>
          </cell>
          <cell r="G869" t="str">
            <v>TBN-978</v>
          </cell>
          <cell r="H869" t="str">
            <v>LAS BAMBAS</v>
          </cell>
          <cell r="I869">
            <v>36539</v>
          </cell>
          <cell r="J869" t="str">
            <v>REPUESTO</v>
          </cell>
          <cell r="K869" t="str">
            <v>PARCHE RACK 14</v>
          </cell>
          <cell r="L869">
            <v>1</v>
          </cell>
          <cell r="M869" t="str">
            <v>UNID.</v>
          </cell>
          <cell r="N869" t="str">
            <v>CISTERNA</v>
          </cell>
          <cell r="O869">
            <v>0</v>
          </cell>
          <cell r="P869" t="str">
            <v>N1</v>
          </cell>
          <cell r="Q869" t="str">
            <v>J3</v>
          </cell>
          <cell r="R869" t="str">
            <v>J6</v>
          </cell>
          <cell r="S869" t="str">
            <v>ENTREGADO</v>
          </cell>
          <cell r="T869">
            <v>42689</v>
          </cell>
          <cell r="U869" t="str">
            <v>AGUILAR CCANTUTA WILLY</v>
          </cell>
          <cell r="V869" t="str">
            <v>CHURA PIZARRO ALBERTO</v>
          </cell>
        </row>
        <row r="870">
          <cell r="A870">
            <v>845</v>
          </cell>
          <cell r="B870">
            <v>42689</v>
          </cell>
          <cell r="C870" t="str">
            <v>NOVIEMBRE</v>
          </cell>
          <cell r="D870" t="str">
            <v>2016</v>
          </cell>
          <cell r="E870">
            <v>328</v>
          </cell>
          <cell r="F870" t="str">
            <v>B2L-889</v>
          </cell>
          <cell r="G870" t="str">
            <v>CAMION</v>
          </cell>
          <cell r="H870" t="str">
            <v>TAMBOMAYO</v>
          </cell>
          <cell r="I870">
            <v>120642</v>
          </cell>
          <cell r="J870" t="str">
            <v>REPUESTO</v>
          </cell>
          <cell r="K870" t="str">
            <v>FOCO DE DOBLE CONTACTO DE 12 V</v>
          </cell>
          <cell r="L870">
            <v>1</v>
          </cell>
          <cell r="M870" t="str">
            <v>UNID.</v>
          </cell>
          <cell r="N870" t="str">
            <v>TRACTO</v>
          </cell>
          <cell r="O870">
            <v>0</v>
          </cell>
          <cell r="P870" t="str">
            <v>E2</v>
          </cell>
          <cell r="Q870" t="str">
            <v>J2</v>
          </cell>
          <cell r="R870" t="str">
            <v>J6</v>
          </cell>
          <cell r="S870" t="str">
            <v>ENTREGADO</v>
          </cell>
          <cell r="T870">
            <v>42689</v>
          </cell>
          <cell r="U870" t="str">
            <v>YUCA BELLIDO BORIS YERSY</v>
          </cell>
          <cell r="V870" t="str">
            <v>CORIHUAMAN SURCO  ERICK ROBERT</v>
          </cell>
        </row>
        <row r="871">
          <cell r="A871">
            <v>846</v>
          </cell>
          <cell r="B871">
            <v>42689</v>
          </cell>
          <cell r="C871" t="str">
            <v>NOVIEMBRE</v>
          </cell>
          <cell r="D871" t="str">
            <v>2016</v>
          </cell>
          <cell r="E871">
            <v>328</v>
          </cell>
          <cell r="F871" t="str">
            <v>B2L-889</v>
          </cell>
          <cell r="G871" t="str">
            <v>CAMION</v>
          </cell>
          <cell r="H871" t="str">
            <v>TAMBOMAYO</v>
          </cell>
          <cell r="I871">
            <v>120642</v>
          </cell>
          <cell r="J871" t="str">
            <v>REPUESTO</v>
          </cell>
          <cell r="K871" t="str">
            <v>FOCOS LAGRIMAS DE 12 V</v>
          </cell>
          <cell r="L871">
            <v>2</v>
          </cell>
          <cell r="M871" t="str">
            <v>UNID.</v>
          </cell>
          <cell r="N871" t="str">
            <v>TRACTO</v>
          </cell>
          <cell r="O871">
            <v>0</v>
          </cell>
          <cell r="P871" t="str">
            <v>E2</v>
          </cell>
          <cell r="Q871" t="str">
            <v>J2</v>
          </cell>
          <cell r="R871" t="str">
            <v>J6</v>
          </cell>
          <cell r="S871" t="str">
            <v>ENTREGADO</v>
          </cell>
          <cell r="T871">
            <v>42689</v>
          </cell>
          <cell r="U871" t="str">
            <v>YUCA BELLIDO BORIS YERSY</v>
          </cell>
          <cell r="V871" t="str">
            <v>CORIHUAMAN SURCO  ERICK ROBERT</v>
          </cell>
        </row>
        <row r="872">
          <cell r="A872">
            <v>855</v>
          </cell>
          <cell r="B872">
            <v>42689</v>
          </cell>
          <cell r="C872" t="str">
            <v>NOVIEMBRE</v>
          </cell>
          <cell r="D872" t="str">
            <v>2016</v>
          </cell>
          <cell r="E872">
            <v>328</v>
          </cell>
          <cell r="F872" t="str">
            <v>B2L-889</v>
          </cell>
          <cell r="G872" t="str">
            <v>CAMION</v>
          </cell>
          <cell r="H872" t="str">
            <v>TAMBOMAYO</v>
          </cell>
          <cell r="I872">
            <v>120642</v>
          </cell>
          <cell r="J872" t="str">
            <v>REPUESTO</v>
          </cell>
          <cell r="K872" t="str">
            <v>ACEITE 15W40</v>
          </cell>
          <cell r="L872">
            <v>10</v>
          </cell>
          <cell r="M872" t="str">
            <v>GLNS.</v>
          </cell>
          <cell r="N872" t="str">
            <v>TRACTO</v>
          </cell>
          <cell r="O872">
            <v>0</v>
          </cell>
          <cell r="P872" t="str">
            <v>M1</v>
          </cell>
          <cell r="Q872" t="str">
            <v>J1</v>
          </cell>
          <cell r="R872" t="str">
            <v>J5</v>
          </cell>
          <cell r="S872" t="str">
            <v>ENTREGADO</v>
          </cell>
          <cell r="T872">
            <v>42689</v>
          </cell>
          <cell r="U872" t="str">
            <v>CABEZAS SANCHEZ JEAN JHONATAN</v>
          </cell>
          <cell r="V872" t="str">
            <v>FLOREZ CONDORI  JOSE WILLIANS</v>
          </cell>
        </row>
        <row r="873">
          <cell r="A873">
            <v>856</v>
          </cell>
          <cell r="B873">
            <v>42689</v>
          </cell>
          <cell r="C873" t="str">
            <v>NOVIEMBRE</v>
          </cell>
          <cell r="D873" t="str">
            <v>2016</v>
          </cell>
          <cell r="E873">
            <v>328</v>
          </cell>
          <cell r="F873" t="str">
            <v>B2L-889</v>
          </cell>
          <cell r="G873" t="str">
            <v>CAMION</v>
          </cell>
          <cell r="H873" t="str">
            <v>TAMBOMAYO</v>
          </cell>
          <cell r="I873">
            <v>120642</v>
          </cell>
          <cell r="J873" t="str">
            <v>REPUESTO</v>
          </cell>
          <cell r="K873" t="str">
            <v>FILTRO DE ACEITE</v>
          </cell>
          <cell r="L873">
            <v>2</v>
          </cell>
          <cell r="M873" t="str">
            <v>UNID.</v>
          </cell>
          <cell r="N873" t="str">
            <v>TRACTO</v>
          </cell>
          <cell r="O873">
            <v>0</v>
          </cell>
          <cell r="P873" t="str">
            <v>M1</v>
          </cell>
          <cell r="Q873" t="str">
            <v>J1</v>
          </cell>
          <cell r="R873" t="str">
            <v>J5</v>
          </cell>
          <cell r="S873" t="str">
            <v>ENTREGADO</v>
          </cell>
          <cell r="T873">
            <v>42689</v>
          </cell>
          <cell r="U873" t="str">
            <v>CABEZAS SANCHEZ JEAN JHONATAN</v>
          </cell>
          <cell r="V873" t="str">
            <v>FLOREZ CONDORI  JOSE WILLIANS</v>
          </cell>
        </row>
        <row r="874">
          <cell r="A874">
            <v>857</v>
          </cell>
          <cell r="B874">
            <v>42689</v>
          </cell>
          <cell r="C874" t="str">
            <v>NOVIEMBRE</v>
          </cell>
          <cell r="D874" t="str">
            <v>2016</v>
          </cell>
          <cell r="E874">
            <v>328</v>
          </cell>
          <cell r="F874" t="str">
            <v>B2L-889</v>
          </cell>
          <cell r="G874" t="str">
            <v>CAMION</v>
          </cell>
          <cell r="H874" t="str">
            <v>TAMBOMAYO</v>
          </cell>
          <cell r="I874">
            <v>120642</v>
          </cell>
          <cell r="J874" t="str">
            <v>REPUESTO</v>
          </cell>
          <cell r="K874" t="str">
            <v xml:space="preserve">FILTRO DE COMBUSTIBLE </v>
          </cell>
          <cell r="L874">
            <v>2</v>
          </cell>
          <cell r="M874" t="str">
            <v>UNID.</v>
          </cell>
          <cell r="N874" t="str">
            <v>TRACTO</v>
          </cell>
          <cell r="O874">
            <v>0</v>
          </cell>
          <cell r="P874" t="str">
            <v>M1</v>
          </cell>
          <cell r="Q874" t="str">
            <v>J1</v>
          </cell>
          <cell r="R874" t="str">
            <v>J5</v>
          </cell>
          <cell r="S874" t="str">
            <v>ENTREGADO</v>
          </cell>
          <cell r="T874">
            <v>42689</v>
          </cell>
          <cell r="U874" t="str">
            <v>CABEZAS SANCHEZ JEAN JHONATAN</v>
          </cell>
          <cell r="V874" t="str">
            <v>FLOREZ CONDORI  JOSE WILLIANS</v>
          </cell>
        </row>
        <row r="875">
          <cell r="A875">
            <v>858</v>
          </cell>
          <cell r="B875">
            <v>42689</v>
          </cell>
          <cell r="C875" t="str">
            <v>NOVIEMBRE</v>
          </cell>
          <cell r="D875" t="str">
            <v>2016</v>
          </cell>
          <cell r="E875">
            <v>328</v>
          </cell>
          <cell r="F875" t="str">
            <v>B2L-889</v>
          </cell>
          <cell r="G875" t="str">
            <v>CAMION</v>
          </cell>
          <cell r="H875" t="str">
            <v>TAMBOMAYO</v>
          </cell>
          <cell r="I875">
            <v>120642</v>
          </cell>
          <cell r="J875" t="str">
            <v>REPUESTO</v>
          </cell>
          <cell r="K875" t="str">
            <v>FILTRO DE AIRE PRIMARIO</v>
          </cell>
          <cell r="L875">
            <v>1</v>
          </cell>
          <cell r="M875" t="str">
            <v>UNID.</v>
          </cell>
          <cell r="N875" t="str">
            <v>TRACTO</v>
          </cell>
          <cell r="O875">
            <v>0</v>
          </cell>
          <cell r="P875" t="str">
            <v>M1</v>
          </cell>
          <cell r="Q875" t="str">
            <v>J1</v>
          </cell>
          <cell r="R875" t="str">
            <v>J5</v>
          </cell>
          <cell r="S875" t="str">
            <v>ENTREGADO</v>
          </cell>
          <cell r="T875">
            <v>42689</v>
          </cell>
          <cell r="U875" t="str">
            <v>CABEZAS SANCHEZ JEAN JHONATAN</v>
          </cell>
          <cell r="V875" t="str">
            <v>FLOREZ CONDORI  JOSE WILLIANS</v>
          </cell>
        </row>
        <row r="876">
          <cell r="A876">
            <v>859</v>
          </cell>
          <cell r="B876">
            <v>42689</v>
          </cell>
          <cell r="C876" t="str">
            <v>NOVIEMBRE</v>
          </cell>
          <cell r="D876" t="str">
            <v>2016</v>
          </cell>
          <cell r="E876">
            <v>328</v>
          </cell>
          <cell r="F876" t="str">
            <v>B2L-889</v>
          </cell>
          <cell r="G876" t="str">
            <v>CAMION</v>
          </cell>
          <cell r="H876" t="str">
            <v>TAMBOMAYO</v>
          </cell>
          <cell r="I876">
            <v>120642</v>
          </cell>
          <cell r="J876" t="str">
            <v>REPUESTO</v>
          </cell>
          <cell r="K876" t="str">
            <v>FILTRO DE AIRE SECUNDARIO</v>
          </cell>
          <cell r="L876">
            <v>1</v>
          </cell>
          <cell r="M876" t="str">
            <v>UNID.</v>
          </cell>
          <cell r="N876" t="str">
            <v>TRACTO</v>
          </cell>
          <cell r="O876">
            <v>0</v>
          </cell>
          <cell r="P876" t="str">
            <v>M1</v>
          </cell>
          <cell r="Q876" t="str">
            <v>J1</v>
          </cell>
          <cell r="R876" t="str">
            <v>J5</v>
          </cell>
          <cell r="S876" t="str">
            <v>ENTREGADO</v>
          </cell>
          <cell r="T876">
            <v>42689</v>
          </cell>
          <cell r="U876" t="str">
            <v>CABEZAS SANCHEZ JEAN JHONATAN</v>
          </cell>
          <cell r="V876" t="str">
            <v>FLOREZ CONDORI  JOSE WILLIANS</v>
          </cell>
        </row>
        <row r="877">
          <cell r="A877">
            <v>860</v>
          </cell>
          <cell r="B877">
            <v>42689</v>
          </cell>
          <cell r="C877" t="str">
            <v>NOVIEMBRE</v>
          </cell>
          <cell r="D877" t="str">
            <v>2016</v>
          </cell>
          <cell r="E877">
            <v>328</v>
          </cell>
          <cell r="F877" t="str">
            <v>B2L-889</v>
          </cell>
          <cell r="G877" t="str">
            <v>CAMION</v>
          </cell>
          <cell r="H877" t="str">
            <v>TAMBOMAYO</v>
          </cell>
          <cell r="I877">
            <v>120642</v>
          </cell>
          <cell r="J877" t="str">
            <v>REPUESTO</v>
          </cell>
          <cell r="K877" t="str">
            <v xml:space="preserve">PETROLEO </v>
          </cell>
          <cell r="L877">
            <v>1</v>
          </cell>
          <cell r="M877" t="str">
            <v>GLNS.</v>
          </cell>
          <cell r="N877" t="str">
            <v>TRACTO</v>
          </cell>
          <cell r="O877">
            <v>0</v>
          </cell>
          <cell r="P877" t="str">
            <v>M1</v>
          </cell>
          <cell r="Q877" t="str">
            <v>J1</v>
          </cell>
          <cell r="R877" t="str">
            <v>J5</v>
          </cell>
          <cell r="S877" t="str">
            <v>ENTREGADO</v>
          </cell>
          <cell r="T877">
            <v>42689</v>
          </cell>
          <cell r="U877" t="str">
            <v>CABEZAS SANCHEZ JEAN JHONATAN</v>
          </cell>
          <cell r="V877" t="str">
            <v>FLOREZ CONDORI  JOSE WILLIANS</v>
          </cell>
        </row>
        <row r="878">
          <cell r="A878">
            <v>862</v>
          </cell>
          <cell r="B878">
            <v>42689</v>
          </cell>
          <cell r="C878" t="str">
            <v>NOVIEMBRE</v>
          </cell>
          <cell r="D878" t="str">
            <v>2016</v>
          </cell>
          <cell r="E878">
            <v>328</v>
          </cell>
          <cell r="F878" t="str">
            <v>B2L-889</v>
          </cell>
          <cell r="G878" t="str">
            <v>CAMION</v>
          </cell>
          <cell r="H878" t="str">
            <v>TAMBOMAYO</v>
          </cell>
          <cell r="I878">
            <v>120642</v>
          </cell>
          <cell r="J878" t="str">
            <v>REPUESTO</v>
          </cell>
          <cell r="K878" t="str">
            <v>LIQUIDO LIMPIAPARABRISAS</v>
          </cell>
          <cell r="L878">
            <v>1</v>
          </cell>
          <cell r="M878" t="str">
            <v>GLNS.</v>
          </cell>
          <cell r="N878" t="str">
            <v>TRACTO</v>
          </cell>
          <cell r="O878">
            <v>0</v>
          </cell>
          <cell r="P878" t="str">
            <v>M1</v>
          </cell>
          <cell r="Q878" t="str">
            <v>J1</v>
          </cell>
          <cell r="R878" t="str">
            <v>J5</v>
          </cell>
          <cell r="S878" t="str">
            <v>ENTREGADO</v>
          </cell>
          <cell r="T878">
            <v>42689</v>
          </cell>
          <cell r="U878" t="str">
            <v>CABEZAS SANCHEZ JEAN JHONATAN</v>
          </cell>
          <cell r="V878" t="str">
            <v>FLOREZ CONDORI  JOSE WILLIANS</v>
          </cell>
        </row>
        <row r="879">
          <cell r="A879">
            <v>869</v>
          </cell>
          <cell r="B879">
            <v>42689</v>
          </cell>
          <cell r="C879" t="str">
            <v>NOVIEMBRE</v>
          </cell>
          <cell r="D879" t="str">
            <v>2016</v>
          </cell>
          <cell r="E879">
            <v>328</v>
          </cell>
          <cell r="F879" t="str">
            <v>B2L-889</v>
          </cell>
          <cell r="G879" t="str">
            <v>CAMION</v>
          </cell>
          <cell r="H879" t="str">
            <v>TAMBOMAYO</v>
          </cell>
          <cell r="I879">
            <v>120642</v>
          </cell>
          <cell r="J879" t="str">
            <v>REPUESTO</v>
          </cell>
          <cell r="K879" t="str">
            <v>TAPA DE DEPOSITO DE TANQUE LIMPIA PARABRISA</v>
          </cell>
          <cell r="L879">
            <v>1</v>
          </cell>
          <cell r="M879" t="str">
            <v>UNID.</v>
          </cell>
          <cell r="N879" t="str">
            <v>TRACTO</v>
          </cell>
          <cell r="O879">
            <v>0</v>
          </cell>
          <cell r="P879" t="str">
            <v>M1</v>
          </cell>
          <cell r="Q879" t="str">
            <v>J2</v>
          </cell>
          <cell r="R879" t="str">
            <v>J6</v>
          </cell>
          <cell r="S879" t="str">
            <v>ENTREGADO</v>
          </cell>
          <cell r="T879">
            <v>42689</v>
          </cell>
          <cell r="U879" t="str">
            <v>CABEZAS SANCHEZ JEAN JHONATAN</v>
          </cell>
          <cell r="V879" t="str">
            <v>CORIHUAMAN SURCO  ERICK ROBERT</v>
          </cell>
        </row>
        <row r="880">
          <cell r="A880">
            <v>872</v>
          </cell>
          <cell r="B880">
            <v>42689</v>
          </cell>
          <cell r="C880" t="str">
            <v>NOVIEMBRE</v>
          </cell>
          <cell r="D880" t="str">
            <v>2016</v>
          </cell>
          <cell r="E880">
            <v>328</v>
          </cell>
          <cell r="F880" t="str">
            <v>B2L-889</v>
          </cell>
          <cell r="G880" t="str">
            <v>CAMION</v>
          </cell>
          <cell r="H880" t="str">
            <v>TAMBOMAYO</v>
          </cell>
          <cell r="I880">
            <v>120642</v>
          </cell>
          <cell r="J880" t="str">
            <v>REPUESTO</v>
          </cell>
          <cell r="K880" t="str">
            <v>FILTRO DE AGUA</v>
          </cell>
          <cell r="L880">
            <v>1</v>
          </cell>
          <cell r="M880" t="str">
            <v>UNID.</v>
          </cell>
          <cell r="N880" t="str">
            <v>TRACTO</v>
          </cell>
          <cell r="O880">
            <v>0</v>
          </cell>
          <cell r="P880" t="str">
            <v>M1</v>
          </cell>
          <cell r="Q880" t="str">
            <v>J1</v>
          </cell>
          <cell r="R880" t="str">
            <v>J6</v>
          </cell>
          <cell r="S880" t="str">
            <v>ENTREGADO</v>
          </cell>
          <cell r="T880">
            <v>42689</v>
          </cell>
          <cell r="U880" t="str">
            <v>CABEZAS SANCHEZ JEAN JHONATAN</v>
          </cell>
          <cell r="V880" t="str">
            <v>FLOREZ CONDORI  JOSE WILLIANS</v>
          </cell>
        </row>
        <row r="881">
          <cell r="A881">
            <v>873</v>
          </cell>
          <cell r="B881">
            <v>42689</v>
          </cell>
          <cell r="C881" t="str">
            <v>NOVIEMBRE</v>
          </cell>
          <cell r="D881" t="str">
            <v>2016</v>
          </cell>
          <cell r="E881">
            <v>328</v>
          </cell>
          <cell r="F881" t="str">
            <v>B2L-889</v>
          </cell>
          <cell r="G881" t="str">
            <v>CAMION</v>
          </cell>
          <cell r="H881" t="str">
            <v>TAMBOMAYO</v>
          </cell>
          <cell r="I881">
            <v>120642</v>
          </cell>
          <cell r="J881" t="str">
            <v>REPUESTO</v>
          </cell>
          <cell r="K881" t="str">
            <v>LIMPIA PARABRISA</v>
          </cell>
          <cell r="L881">
            <v>1</v>
          </cell>
          <cell r="M881" t="str">
            <v>GLNS.</v>
          </cell>
          <cell r="N881" t="str">
            <v>TRACTO</v>
          </cell>
          <cell r="O881">
            <v>0</v>
          </cell>
          <cell r="P881" t="str">
            <v>M1</v>
          </cell>
          <cell r="Q881" t="str">
            <v>J1</v>
          </cell>
          <cell r="R881" t="str">
            <v>J6</v>
          </cell>
          <cell r="S881" t="str">
            <v>ENTREGADO</v>
          </cell>
          <cell r="T881">
            <v>42689</v>
          </cell>
          <cell r="U881" t="str">
            <v>CABEZAS SANCHEZ JEAN JHONATAN</v>
          </cell>
          <cell r="V881" t="str">
            <v>FLOREZ CONDORI  JOSE WILLIANS</v>
          </cell>
        </row>
        <row r="882">
          <cell r="A882">
            <v>875</v>
          </cell>
          <cell r="B882">
            <v>42689</v>
          </cell>
          <cell r="C882" t="str">
            <v>NOVIEMBRE</v>
          </cell>
          <cell r="D882" t="str">
            <v>2016</v>
          </cell>
          <cell r="E882">
            <v>328</v>
          </cell>
          <cell r="F882" t="str">
            <v>B2L-889</v>
          </cell>
          <cell r="G882" t="str">
            <v>CAMION</v>
          </cell>
          <cell r="H882" t="str">
            <v>TAMBOMAYO</v>
          </cell>
          <cell r="I882">
            <v>120642</v>
          </cell>
          <cell r="J882" t="str">
            <v>REPUESTO</v>
          </cell>
          <cell r="K882" t="str">
            <v>PRESINTOS 300</v>
          </cell>
          <cell r="L882">
            <v>4</v>
          </cell>
          <cell r="M882" t="str">
            <v>UNID.</v>
          </cell>
          <cell r="N882" t="str">
            <v>TRACTO</v>
          </cell>
          <cell r="O882">
            <v>0</v>
          </cell>
          <cell r="P882" t="str">
            <v>E1</v>
          </cell>
          <cell r="Q882" t="str">
            <v>J2</v>
          </cell>
          <cell r="R882" t="str">
            <v>J6</v>
          </cell>
          <cell r="S882" t="str">
            <v>ENTREGADO</v>
          </cell>
          <cell r="T882">
            <v>42689</v>
          </cell>
          <cell r="U882" t="str">
            <v>PALOMINO CARDENAS JUAN CARLOS</v>
          </cell>
          <cell r="V882" t="str">
            <v>CORIHUAMAN SURCO  ERICK ROBERT</v>
          </cell>
        </row>
        <row r="883">
          <cell r="A883">
            <v>881</v>
          </cell>
          <cell r="B883">
            <v>42689</v>
          </cell>
          <cell r="C883" t="str">
            <v>NOVIEMBRE</v>
          </cell>
          <cell r="D883" t="str">
            <v>2016</v>
          </cell>
          <cell r="E883">
            <v>337</v>
          </cell>
          <cell r="F883" t="str">
            <v>B2L-889</v>
          </cell>
          <cell r="G883" t="str">
            <v>CAMION</v>
          </cell>
          <cell r="H883" t="str">
            <v>TAMBOMAYO</v>
          </cell>
          <cell r="I883">
            <v>0</v>
          </cell>
          <cell r="J883" t="str">
            <v>REPUESTO</v>
          </cell>
          <cell r="K883" t="str">
            <v>PRESINTOS 300</v>
          </cell>
          <cell r="L883">
            <v>10</v>
          </cell>
          <cell r="M883" t="str">
            <v>UNID.</v>
          </cell>
          <cell r="N883" t="str">
            <v>TRACTO</v>
          </cell>
          <cell r="O883">
            <v>0</v>
          </cell>
          <cell r="P883" t="str">
            <v>E2</v>
          </cell>
          <cell r="Q883" t="str">
            <v>J1</v>
          </cell>
          <cell r="R883" t="str">
            <v>J6</v>
          </cell>
          <cell r="S883" t="str">
            <v>ENTREGADO</v>
          </cell>
          <cell r="T883">
            <v>42689</v>
          </cell>
          <cell r="U883" t="str">
            <v>YUCA BELLIDO BORIS YERSY</v>
          </cell>
          <cell r="V883" t="str">
            <v>FLOREZ CONDORI  JOSE WILLIANS</v>
          </cell>
        </row>
        <row r="884">
          <cell r="A884">
            <v>887</v>
          </cell>
          <cell r="B884">
            <v>42689</v>
          </cell>
          <cell r="C884" t="str">
            <v>NOVIEMBRE</v>
          </cell>
          <cell r="D884" t="str">
            <v>2016</v>
          </cell>
          <cell r="E884">
            <v>240</v>
          </cell>
          <cell r="F884" t="str">
            <v>B2M-948</v>
          </cell>
          <cell r="G884" t="str">
            <v>CAMION</v>
          </cell>
          <cell r="H884" t="str">
            <v>TAMBOMAYO</v>
          </cell>
          <cell r="I884">
            <v>111543</v>
          </cell>
          <cell r="J884" t="str">
            <v>REPUESTO</v>
          </cell>
          <cell r="K884" t="str">
            <v>FAROS NEBLINEROS AAA CHICO</v>
          </cell>
          <cell r="L884">
            <v>2</v>
          </cell>
          <cell r="M884" t="str">
            <v>UNID.</v>
          </cell>
          <cell r="N884" t="str">
            <v>CAMION</v>
          </cell>
          <cell r="O884">
            <v>0</v>
          </cell>
          <cell r="P884" t="str">
            <v>E1</v>
          </cell>
          <cell r="Q884" t="str">
            <v>J1</v>
          </cell>
          <cell r="R884" t="str">
            <v>J6</v>
          </cell>
          <cell r="S884" t="str">
            <v>ENTREGADO</v>
          </cell>
          <cell r="T884">
            <v>42689</v>
          </cell>
          <cell r="U884" t="str">
            <v>PALOMINO CARDENAS JUAN CARLOS</v>
          </cell>
          <cell r="V884" t="str">
            <v>FLOREZ CONDORI  JOSE WILLIANS</v>
          </cell>
        </row>
        <row r="885">
          <cell r="A885">
            <v>890</v>
          </cell>
          <cell r="B885">
            <v>42689</v>
          </cell>
          <cell r="C885" t="str">
            <v>NOVIEMBRE</v>
          </cell>
          <cell r="D885" t="str">
            <v>2016</v>
          </cell>
          <cell r="E885">
            <v>240</v>
          </cell>
          <cell r="F885" t="str">
            <v>B2M-948</v>
          </cell>
          <cell r="G885" t="str">
            <v>CAMION</v>
          </cell>
          <cell r="H885" t="str">
            <v>TAMBOMAYO</v>
          </cell>
          <cell r="I885">
            <v>111543</v>
          </cell>
          <cell r="J885" t="str">
            <v>REPUESTO</v>
          </cell>
          <cell r="K885" t="str">
            <v>FOCO H3 DE 24 V</v>
          </cell>
          <cell r="L885">
            <v>2</v>
          </cell>
          <cell r="M885" t="str">
            <v>UNID.</v>
          </cell>
          <cell r="N885" t="str">
            <v>CAMION</v>
          </cell>
          <cell r="O885">
            <v>0</v>
          </cell>
          <cell r="P885" t="str">
            <v>E1</v>
          </cell>
          <cell r="Q885" t="str">
            <v>J1</v>
          </cell>
          <cell r="R885" t="str">
            <v>J6</v>
          </cell>
          <cell r="S885" t="str">
            <v>ENTREGADO</v>
          </cell>
          <cell r="T885">
            <v>42689</v>
          </cell>
          <cell r="U885" t="str">
            <v>PALOMINO CARDENAS JUAN CARLOS</v>
          </cell>
          <cell r="V885" t="str">
            <v>FLOREZ CONDORI  JOSE WILLIANS</v>
          </cell>
        </row>
        <row r="886">
          <cell r="A886">
            <v>832</v>
          </cell>
          <cell r="B886">
            <v>42689</v>
          </cell>
          <cell r="C886" t="str">
            <v>NOVIEMBRE</v>
          </cell>
          <cell r="D886" t="str">
            <v>2016</v>
          </cell>
          <cell r="E886">
            <v>332</v>
          </cell>
          <cell r="F886" t="str">
            <v>C5R-899</v>
          </cell>
          <cell r="G886" t="str">
            <v>A0U-978</v>
          </cell>
          <cell r="H886" t="str">
            <v>LAS BAMBAS</v>
          </cell>
          <cell r="I886">
            <v>249043</v>
          </cell>
          <cell r="J886" t="str">
            <v>REPUESTO</v>
          </cell>
          <cell r="K886" t="str">
            <v>LIQUIDO REFRIGERANTE</v>
          </cell>
          <cell r="L886">
            <v>0.5</v>
          </cell>
          <cell r="M886" t="str">
            <v>GLNS.</v>
          </cell>
          <cell r="N886" t="str">
            <v>TRACTO</v>
          </cell>
          <cell r="O886">
            <v>0</v>
          </cell>
          <cell r="P886" t="str">
            <v>M6</v>
          </cell>
          <cell r="Q886" t="str">
            <v>J1</v>
          </cell>
          <cell r="R886" t="str">
            <v>J6</v>
          </cell>
          <cell r="S886" t="str">
            <v>ENTREGADO</v>
          </cell>
          <cell r="T886">
            <v>42689</v>
          </cell>
          <cell r="U886" t="str">
            <v>PARI VENTURA  EDSON ORLANDO</v>
          </cell>
          <cell r="V886" t="str">
            <v>FLOREZ CONDORI  JOSE WILLIANS</v>
          </cell>
        </row>
        <row r="887">
          <cell r="A887">
            <v>833</v>
          </cell>
          <cell r="B887">
            <v>42689</v>
          </cell>
          <cell r="C887" t="str">
            <v>NOVIEMBRE</v>
          </cell>
          <cell r="D887" t="str">
            <v>2016</v>
          </cell>
          <cell r="E887">
            <v>332</v>
          </cell>
          <cell r="F887" t="str">
            <v>C5R-899</v>
          </cell>
          <cell r="G887" t="str">
            <v>A0U-978</v>
          </cell>
          <cell r="H887" t="str">
            <v>LAS BAMBAS</v>
          </cell>
          <cell r="I887">
            <v>249043</v>
          </cell>
          <cell r="J887" t="str">
            <v>REPUESTO</v>
          </cell>
          <cell r="K887" t="str">
            <v>LIQUIDO LIMPIA PARABRISA</v>
          </cell>
          <cell r="L887">
            <v>0.5</v>
          </cell>
          <cell r="M887" t="str">
            <v>GLNS.</v>
          </cell>
          <cell r="N887" t="str">
            <v>TRACTO</v>
          </cell>
          <cell r="O887">
            <v>0</v>
          </cell>
          <cell r="P887" t="str">
            <v>M6</v>
          </cell>
          <cell r="Q887" t="str">
            <v>J1</v>
          </cell>
          <cell r="R887" t="str">
            <v>J6</v>
          </cell>
          <cell r="S887" t="str">
            <v>ENTREGADO</v>
          </cell>
          <cell r="T887">
            <v>42689</v>
          </cell>
          <cell r="U887" t="str">
            <v>PARI VENTURA  EDSON ORLANDO</v>
          </cell>
          <cell r="V887" t="str">
            <v>FLOREZ CONDORI  JOSE WILLIANS</v>
          </cell>
        </row>
        <row r="888">
          <cell r="A888">
            <v>863</v>
          </cell>
          <cell r="B888">
            <v>42689</v>
          </cell>
          <cell r="C888" t="str">
            <v>NOVIEMBRE</v>
          </cell>
          <cell r="D888" t="str">
            <v>2016</v>
          </cell>
          <cell r="E888">
            <v>332</v>
          </cell>
          <cell r="F888" t="str">
            <v>C5R-899</v>
          </cell>
          <cell r="G888" t="str">
            <v>A0U-978</v>
          </cell>
          <cell r="H888" t="str">
            <v>LAS BAMBAS</v>
          </cell>
          <cell r="I888">
            <v>249043</v>
          </cell>
          <cell r="J888" t="str">
            <v>REPUESTO</v>
          </cell>
          <cell r="K888" t="str">
            <v>PERNO 5/16 X 1 1/2</v>
          </cell>
          <cell r="L888">
            <v>1</v>
          </cell>
          <cell r="M888" t="str">
            <v>UNID.</v>
          </cell>
          <cell r="N888" t="str">
            <v>TRACTO</v>
          </cell>
          <cell r="O888">
            <v>0</v>
          </cell>
          <cell r="P888" t="str">
            <v>M5</v>
          </cell>
          <cell r="Q888" t="str">
            <v>J1</v>
          </cell>
          <cell r="R888" t="str">
            <v>J6</v>
          </cell>
          <cell r="S888" t="str">
            <v>ENTREGADO</v>
          </cell>
          <cell r="T888">
            <v>42689</v>
          </cell>
          <cell r="U888" t="str">
            <v>LOPEZ RUIZ WILBERTO</v>
          </cell>
          <cell r="V888" t="str">
            <v>FLOREZ CONDORI  JOSE WILLIANS</v>
          </cell>
        </row>
        <row r="889">
          <cell r="A889">
            <v>864</v>
          </cell>
          <cell r="B889">
            <v>42689</v>
          </cell>
          <cell r="C889" t="str">
            <v>NOVIEMBRE</v>
          </cell>
          <cell r="D889" t="str">
            <v>2016</v>
          </cell>
          <cell r="E889">
            <v>332</v>
          </cell>
          <cell r="F889" t="str">
            <v>C5R-899</v>
          </cell>
          <cell r="G889" t="str">
            <v>A0U-978</v>
          </cell>
          <cell r="H889" t="str">
            <v>LAS BAMBAS</v>
          </cell>
          <cell r="I889">
            <v>249043</v>
          </cell>
          <cell r="J889" t="str">
            <v>REPUESTO</v>
          </cell>
          <cell r="K889" t="str">
            <v>TUERCA MARIPOSA 5/16</v>
          </cell>
          <cell r="L889">
            <v>1</v>
          </cell>
          <cell r="M889" t="str">
            <v>UNID.</v>
          </cell>
          <cell r="N889" t="str">
            <v>TRACTO</v>
          </cell>
          <cell r="O889">
            <v>0</v>
          </cell>
          <cell r="P889" t="str">
            <v>M5</v>
          </cell>
          <cell r="Q889" t="str">
            <v>J1</v>
          </cell>
          <cell r="R889" t="str">
            <v>J6</v>
          </cell>
          <cell r="S889" t="str">
            <v>ENTREGADO</v>
          </cell>
          <cell r="T889">
            <v>42689</v>
          </cell>
          <cell r="U889" t="str">
            <v>LOPEZ RUIZ WILBERTO</v>
          </cell>
          <cell r="V889" t="str">
            <v>FLOREZ CONDORI  JOSE WILLIANS</v>
          </cell>
        </row>
        <row r="890">
          <cell r="A890">
            <v>836</v>
          </cell>
          <cell r="B890">
            <v>42689</v>
          </cell>
          <cell r="C890" t="str">
            <v>NOVIEMBRE</v>
          </cell>
          <cell r="D890" t="str">
            <v>2016</v>
          </cell>
          <cell r="E890">
            <v>336</v>
          </cell>
          <cell r="F890" t="str">
            <v>C6X-739</v>
          </cell>
          <cell r="G890" t="str">
            <v>TCS-988</v>
          </cell>
          <cell r="H890" t="str">
            <v>LAS BAMBAS CONC.</v>
          </cell>
          <cell r="I890">
            <v>224777</v>
          </cell>
          <cell r="J890" t="str">
            <v>REPUESTO</v>
          </cell>
          <cell r="K890" t="str">
            <v>MATACHISPA</v>
          </cell>
          <cell r="L890">
            <v>1</v>
          </cell>
          <cell r="M890" t="str">
            <v>UNID.</v>
          </cell>
          <cell r="N890" t="str">
            <v>TRACTO</v>
          </cell>
          <cell r="O890">
            <v>0</v>
          </cell>
          <cell r="P890" t="str">
            <v>M3</v>
          </cell>
          <cell r="Q890" t="str">
            <v>J1</v>
          </cell>
          <cell r="R890" t="str">
            <v>J6</v>
          </cell>
          <cell r="S890" t="str">
            <v>ENTREGADO</v>
          </cell>
          <cell r="T890">
            <v>42689</v>
          </cell>
          <cell r="U890" t="str">
            <v>GARCIA PASQUEL  JOSE LUIS</v>
          </cell>
          <cell r="V890" t="str">
            <v>FLOREZ CONDORI  JOSE WILLIANS</v>
          </cell>
        </row>
        <row r="891">
          <cell r="A891">
            <v>878</v>
          </cell>
          <cell r="B891">
            <v>42689</v>
          </cell>
          <cell r="C891" t="str">
            <v>NOVIEMBRE</v>
          </cell>
          <cell r="D891" t="str">
            <v>2016</v>
          </cell>
          <cell r="E891">
            <v>336</v>
          </cell>
          <cell r="F891" t="str">
            <v>C6X-739</v>
          </cell>
          <cell r="G891" t="str">
            <v>TCS-988</v>
          </cell>
          <cell r="H891" t="str">
            <v>LAS BAMBAS CONC.</v>
          </cell>
          <cell r="I891">
            <v>224777</v>
          </cell>
          <cell r="J891" t="str">
            <v>REPUESTO</v>
          </cell>
          <cell r="K891" t="str">
            <v>FOCO DE UN CONTACTO DE 12 V</v>
          </cell>
          <cell r="L891">
            <v>1</v>
          </cell>
          <cell r="M891" t="str">
            <v>UNID.</v>
          </cell>
          <cell r="N891" t="str">
            <v>TRACTO</v>
          </cell>
          <cell r="O891">
            <v>0</v>
          </cell>
          <cell r="P891" t="str">
            <v>E1</v>
          </cell>
          <cell r="Q891" t="str">
            <v>J2</v>
          </cell>
          <cell r="R891" t="str">
            <v>J6</v>
          </cell>
          <cell r="S891" t="str">
            <v>ENTREGADO</v>
          </cell>
          <cell r="T891">
            <v>42689</v>
          </cell>
          <cell r="U891" t="str">
            <v>PALOMINO CARDENAS JUAN CARLOS</v>
          </cell>
          <cell r="V891" t="str">
            <v>CORIHUAMAN SURCO  ERICK ROBERT</v>
          </cell>
        </row>
        <row r="892">
          <cell r="A892">
            <v>886</v>
          </cell>
          <cell r="B892">
            <v>42689</v>
          </cell>
          <cell r="C892" t="str">
            <v>NOVIEMBRE</v>
          </cell>
          <cell r="D892" t="str">
            <v>2016</v>
          </cell>
          <cell r="E892">
            <v>309</v>
          </cell>
          <cell r="F892" t="str">
            <v>C9N-807</v>
          </cell>
          <cell r="G892" t="str">
            <v>B4O-994</v>
          </cell>
          <cell r="H892" t="str">
            <v>LAS BAMBAS</v>
          </cell>
          <cell r="I892">
            <v>207654</v>
          </cell>
          <cell r="J892" t="str">
            <v>REPUESTO</v>
          </cell>
          <cell r="K892" t="str">
            <v>FAROS NEBLINEROS AAA CHICO</v>
          </cell>
          <cell r="L892">
            <v>2</v>
          </cell>
          <cell r="M892" t="str">
            <v>UNID.</v>
          </cell>
          <cell r="N892" t="str">
            <v>CAMION</v>
          </cell>
          <cell r="O892">
            <v>0</v>
          </cell>
          <cell r="P892" t="str">
            <v>E1</v>
          </cell>
          <cell r="Q892" t="str">
            <v>J1</v>
          </cell>
          <cell r="R892" t="str">
            <v>J6</v>
          </cell>
          <cell r="S892" t="str">
            <v>ENTREGADO</v>
          </cell>
          <cell r="T892">
            <v>42689</v>
          </cell>
          <cell r="U892" t="str">
            <v>PALOMINO CARDENAS JUAN CARLOS</v>
          </cell>
          <cell r="V892" t="str">
            <v>FLOREZ CONDORI  JOSE WILLIANS</v>
          </cell>
        </row>
        <row r="893">
          <cell r="A893">
            <v>889</v>
          </cell>
          <cell r="B893">
            <v>42689</v>
          </cell>
          <cell r="C893" t="str">
            <v>NOVIEMBRE</v>
          </cell>
          <cell r="D893" t="str">
            <v>2016</v>
          </cell>
          <cell r="E893">
            <v>309</v>
          </cell>
          <cell r="F893" t="str">
            <v>C9N-807</v>
          </cell>
          <cell r="G893" t="str">
            <v>B4O-994</v>
          </cell>
          <cell r="H893" t="str">
            <v>LAS BAMBAS</v>
          </cell>
          <cell r="I893">
            <v>207654</v>
          </cell>
          <cell r="J893" t="str">
            <v>REPUESTO</v>
          </cell>
          <cell r="K893" t="str">
            <v>FOCO H3 DE 24 V</v>
          </cell>
          <cell r="L893">
            <v>2</v>
          </cell>
          <cell r="M893" t="str">
            <v>UNID.</v>
          </cell>
          <cell r="N893" t="str">
            <v>CAMION</v>
          </cell>
          <cell r="O893">
            <v>0</v>
          </cell>
          <cell r="P893" t="str">
            <v>E1</v>
          </cell>
          <cell r="Q893" t="str">
            <v>J1</v>
          </cell>
          <cell r="R893" t="str">
            <v>J6</v>
          </cell>
          <cell r="S893" t="str">
            <v>ENTREGADO</v>
          </cell>
          <cell r="T893">
            <v>42689</v>
          </cell>
          <cell r="U893" t="str">
            <v>PALOMINO CARDENAS JUAN CARLOS</v>
          </cell>
          <cell r="V893" t="str">
            <v>FLOREZ CONDORI  JOSE WILLIANS</v>
          </cell>
        </row>
        <row r="894">
          <cell r="A894">
            <v>897</v>
          </cell>
          <cell r="B894">
            <v>42689</v>
          </cell>
          <cell r="C894" t="str">
            <v>NOVIEMBRE</v>
          </cell>
          <cell r="D894" t="str">
            <v>2016</v>
          </cell>
          <cell r="E894">
            <v>341</v>
          </cell>
          <cell r="F894" t="str">
            <v>D3P-743</v>
          </cell>
          <cell r="G894" t="str">
            <v>B8L-972</v>
          </cell>
          <cell r="H894" t="str">
            <v>LAS BAMBAS</v>
          </cell>
          <cell r="I894">
            <v>179155</v>
          </cell>
          <cell r="J894" t="str">
            <v>REPUESTO</v>
          </cell>
          <cell r="K894" t="str">
            <v>PRESINTOS 200</v>
          </cell>
          <cell r="L894">
            <v>6</v>
          </cell>
          <cell r="M894" t="str">
            <v>UNID.</v>
          </cell>
          <cell r="N894" t="str">
            <v>TRACTO</v>
          </cell>
          <cell r="O894">
            <v>0</v>
          </cell>
          <cell r="P894" t="str">
            <v>M4</v>
          </cell>
          <cell r="Q894" t="str">
            <v>J1</v>
          </cell>
          <cell r="R894" t="str">
            <v>J6</v>
          </cell>
          <cell r="S894" t="str">
            <v>ENTREGADO</v>
          </cell>
          <cell r="T894">
            <v>42689</v>
          </cell>
          <cell r="U894" t="str">
            <v>JULLIRI APAZA UBALDO</v>
          </cell>
          <cell r="V894" t="str">
            <v>FLOREZ CONDORI  JOSE WILLIANS</v>
          </cell>
        </row>
        <row r="895">
          <cell r="A895">
            <v>906</v>
          </cell>
          <cell r="B895">
            <v>42689</v>
          </cell>
          <cell r="C895" t="str">
            <v>NOVIEMBRE</v>
          </cell>
          <cell r="D895" t="str">
            <v>2016</v>
          </cell>
          <cell r="E895">
            <v>341</v>
          </cell>
          <cell r="F895" t="str">
            <v>D3P-743</v>
          </cell>
          <cell r="G895" t="str">
            <v>B8L-972</v>
          </cell>
          <cell r="H895" t="str">
            <v>LAS BAMBAS</v>
          </cell>
          <cell r="I895">
            <v>179155</v>
          </cell>
          <cell r="J895" t="str">
            <v>REPUESTO</v>
          </cell>
          <cell r="K895" t="str">
            <v>LIQUIDO REFRIGERANTE</v>
          </cell>
          <cell r="L895">
            <v>1.25</v>
          </cell>
          <cell r="M895" t="str">
            <v>GLNS.</v>
          </cell>
          <cell r="N895" t="str">
            <v>TRACTO</v>
          </cell>
          <cell r="O895">
            <v>0</v>
          </cell>
          <cell r="P895" t="str">
            <v>M4</v>
          </cell>
          <cell r="Q895" t="str">
            <v>J2</v>
          </cell>
          <cell r="R895" t="str">
            <v>J6</v>
          </cell>
          <cell r="S895" t="str">
            <v>ENTREGADO</v>
          </cell>
          <cell r="T895">
            <v>42689</v>
          </cell>
          <cell r="U895" t="str">
            <v>JULLIRI APAZA UBALDO</v>
          </cell>
          <cell r="V895" t="str">
            <v>CORIHUAMAN SURCO  ERICK ROBERT</v>
          </cell>
        </row>
        <row r="896">
          <cell r="A896">
            <v>829</v>
          </cell>
          <cell r="B896">
            <v>42689</v>
          </cell>
          <cell r="C896" t="str">
            <v>NOVIEMBRE</v>
          </cell>
          <cell r="D896" t="str">
            <v>2016</v>
          </cell>
          <cell r="E896">
            <v>331</v>
          </cell>
          <cell r="F896" t="str">
            <v>D3P-744</v>
          </cell>
          <cell r="G896" t="str">
            <v>A0F-996</v>
          </cell>
          <cell r="H896" t="str">
            <v>LAS BAMBAS</v>
          </cell>
          <cell r="I896">
            <v>151792</v>
          </cell>
          <cell r="J896" t="str">
            <v>REPUESTO</v>
          </cell>
          <cell r="K896" t="str">
            <v>FOCO 9005</v>
          </cell>
          <cell r="L896">
            <v>1</v>
          </cell>
          <cell r="M896" t="str">
            <v>UNID.</v>
          </cell>
          <cell r="N896" t="str">
            <v>TRACTO</v>
          </cell>
          <cell r="O896">
            <v>0</v>
          </cell>
          <cell r="P896" t="str">
            <v>E2</v>
          </cell>
          <cell r="Q896" t="str">
            <v>J1</v>
          </cell>
          <cell r="R896" t="str">
            <v>J6</v>
          </cell>
          <cell r="S896" t="str">
            <v>ENTREGADO</v>
          </cell>
          <cell r="T896">
            <v>42689</v>
          </cell>
          <cell r="U896" t="str">
            <v>YUCA BELLIDO BORIS YERSY</v>
          </cell>
          <cell r="V896" t="str">
            <v>FLOREZ CONDORI  JOSE WILLIANS</v>
          </cell>
        </row>
        <row r="897">
          <cell r="A897">
            <v>847</v>
          </cell>
          <cell r="B897">
            <v>42689</v>
          </cell>
          <cell r="C897" t="str">
            <v>NOVIEMBRE</v>
          </cell>
          <cell r="D897" t="str">
            <v>2016</v>
          </cell>
          <cell r="E897">
            <v>330</v>
          </cell>
          <cell r="F897" t="str">
            <v>D3Q-741</v>
          </cell>
          <cell r="G897" t="str">
            <v>D2E-976</v>
          </cell>
          <cell r="H897" t="str">
            <v>LAS BAMBAS</v>
          </cell>
          <cell r="I897">
            <v>181560</v>
          </cell>
          <cell r="J897" t="str">
            <v>REPUESTO</v>
          </cell>
          <cell r="K897" t="str">
            <v>TAPABARRO DE CAPOT LADO DERECHO</v>
          </cell>
          <cell r="L897">
            <v>1</v>
          </cell>
          <cell r="M897" t="str">
            <v>UNID.</v>
          </cell>
          <cell r="N897" t="str">
            <v>TRACTO</v>
          </cell>
          <cell r="O897">
            <v>0</v>
          </cell>
          <cell r="P897" t="str">
            <v>M2</v>
          </cell>
          <cell r="Q897" t="str">
            <v>J2</v>
          </cell>
          <cell r="R897" t="str">
            <v>J6</v>
          </cell>
          <cell r="S897" t="str">
            <v>ENTREGADO</v>
          </cell>
          <cell r="T897">
            <v>42689</v>
          </cell>
          <cell r="U897" t="str">
            <v>CHUMPITAZ GAGO JULIO ENRIQUE</v>
          </cell>
          <cell r="V897" t="str">
            <v>CORIHUAMAN SURCO  ERICK ROBERT</v>
          </cell>
        </row>
        <row r="898">
          <cell r="A898">
            <v>848</v>
          </cell>
          <cell r="B898">
            <v>42689</v>
          </cell>
          <cell r="C898" t="str">
            <v>NOVIEMBRE</v>
          </cell>
          <cell r="D898" t="str">
            <v>2016</v>
          </cell>
          <cell r="E898">
            <v>330</v>
          </cell>
          <cell r="F898" t="str">
            <v>D3Q-741</v>
          </cell>
          <cell r="G898" t="str">
            <v>D2E-976</v>
          </cell>
          <cell r="H898" t="str">
            <v>LAS BAMBAS</v>
          </cell>
          <cell r="I898">
            <v>181560</v>
          </cell>
          <cell r="J898" t="str">
            <v>REPUESTO</v>
          </cell>
          <cell r="K898" t="str">
            <v>PERNO 5/16 X 1</v>
          </cell>
          <cell r="L898">
            <v>4</v>
          </cell>
          <cell r="M898" t="str">
            <v>UNID.</v>
          </cell>
          <cell r="N898" t="str">
            <v>TRACTO</v>
          </cell>
          <cell r="O898">
            <v>0</v>
          </cell>
          <cell r="P898" t="str">
            <v>M2</v>
          </cell>
          <cell r="Q898" t="str">
            <v>J2</v>
          </cell>
          <cell r="R898" t="str">
            <v>J6</v>
          </cell>
          <cell r="S898" t="str">
            <v>ENTREGADO</v>
          </cell>
          <cell r="T898">
            <v>42689</v>
          </cell>
          <cell r="U898" t="str">
            <v>CHUMPITAZ GAGO JULIO ENRIQUE</v>
          </cell>
          <cell r="V898" t="str">
            <v>CORIHUAMAN SURCO  ERICK ROBERT</v>
          </cell>
        </row>
        <row r="899">
          <cell r="A899">
            <v>849</v>
          </cell>
          <cell r="B899">
            <v>42689</v>
          </cell>
          <cell r="C899" t="str">
            <v>NOVIEMBRE</v>
          </cell>
          <cell r="D899" t="str">
            <v>2016</v>
          </cell>
          <cell r="E899">
            <v>330</v>
          </cell>
          <cell r="F899" t="str">
            <v>D3Q-741</v>
          </cell>
          <cell r="G899" t="str">
            <v>D2E-976</v>
          </cell>
          <cell r="H899" t="str">
            <v>LAS BAMBAS</v>
          </cell>
          <cell r="I899">
            <v>181560</v>
          </cell>
          <cell r="J899" t="str">
            <v>REPUESTO</v>
          </cell>
          <cell r="K899" t="str">
            <v>VOLANDA PLANA 5/16</v>
          </cell>
          <cell r="L899">
            <v>8</v>
          </cell>
          <cell r="M899" t="str">
            <v>UNID.</v>
          </cell>
          <cell r="N899" t="str">
            <v>TRACTO</v>
          </cell>
          <cell r="O899">
            <v>0</v>
          </cell>
          <cell r="P899" t="str">
            <v>M2</v>
          </cell>
          <cell r="Q899" t="str">
            <v>J2</v>
          </cell>
          <cell r="R899" t="str">
            <v>J6</v>
          </cell>
          <cell r="S899" t="str">
            <v>ENTREGADO</v>
          </cell>
          <cell r="T899">
            <v>42689</v>
          </cell>
          <cell r="U899" t="str">
            <v>CHUMPITAZ GAGO JULIO ENRIQUE</v>
          </cell>
          <cell r="V899" t="str">
            <v>CORIHUAMAN SURCO  ERICK ROBERT</v>
          </cell>
        </row>
        <row r="900">
          <cell r="A900">
            <v>850</v>
          </cell>
          <cell r="B900">
            <v>42689</v>
          </cell>
          <cell r="C900" t="str">
            <v>NOVIEMBRE</v>
          </cell>
          <cell r="D900" t="str">
            <v>2016</v>
          </cell>
          <cell r="E900">
            <v>330</v>
          </cell>
          <cell r="F900" t="str">
            <v>D3Q-741</v>
          </cell>
          <cell r="G900" t="str">
            <v>D2E-976</v>
          </cell>
          <cell r="H900" t="str">
            <v>LAS BAMBAS</v>
          </cell>
          <cell r="I900">
            <v>181560</v>
          </cell>
          <cell r="J900" t="str">
            <v>REPUESTO</v>
          </cell>
          <cell r="K900" t="str">
            <v>VOLANDA PRESION 5/16</v>
          </cell>
          <cell r="L900">
            <v>8</v>
          </cell>
          <cell r="M900" t="str">
            <v>UNID.</v>
          </cell>
          <cell r="N900" t="str">
            <v>TRACTO</v>
          </cell>
          <cell r="O900">
            <v>0</v>
          </cell>
          <cell r="P900" t="str">
            <v>M2</v>
          </cell>
          <cell r="Q900" t="str">
            <v>J2</v>
          </cell>
          <cell r="R900" t="str">
            <v>J6</v>
          </cell>
          <cell r="S900" t="str">
            <v>ENTREGADO</v>
          </cell>
          <cell r="T900">
            <v>42689</v>
          </cell>
          <cell r="U900" t="str">
            <v>CHUMPITAZ GAGO JULIO ENRIQUE</v>
          </cell>
          <cell r="V900" t="str">
            <v>CORIHUAMAN SURCO  ERICK ROBERT</v>
          </cell>
        </row>
        <row r="901">
          <cell r="A901">
            <v>851</v>
          </cell>
          <cell r="B901">
            <v>42689</v>
          </cell>
          <cell r="C901" t="str">
            <v>NOVIEMBRE</v>
          </cell>
          <cell r="D901" t="str">
            <v>2016</v>
          </cell>
          <cell r="E901">
            <v>330</v>
          </cell>
          <cell r="F901" t="str">
            <v>D3Q-741</v>
          </cell>
          <cell r="G901" t="str">
            <v>D2E-976</v>
          </cell>
          <cell r="H901" t="str">
            <v>LAS BAMBAS</v>
          </cell>
          <cell r="I901">
            <v>181560</v>
          </cell>
          <cell r="J901" t="str">
            <v>REPUESTO</v>
          </cell>
          <cell r="K901" t="str">
            <v>TUERCA SEGURO 5/16</v>
          </cell>
          <cell r="L901">
            <v>4</v>
          </cell>
          <cell r="M901" t="str">
            <v>UNID.</v>
          </cell>
          <cell r="N901" t="str">
            <v>TRACTO</v>
          </cell>
          <cell r="O901">
            <v>0</v>
          </cell>
          <cell r="P901" t="str">
            <v>M2</v>
          </cell>
          <cell r="Q901" t="str">
            <v>J2</v>
          </cell>
          <cell r="R901" t="str">
            <v>J6</v>
          </cell>
          <cell r="S901" t="str">
            <v>ENTREGADO</v>
          </cell>
          <cell r="T901">
            <v>42689</v>
          </cell>
          <cell r="U901" t="str">
            <v>CHUMPITAZ GAGO JULIO ENRIQUE</v>
          </cell>
          <cell r="V901" t="str">
            <v>CORIHUAMAN SURCO  ERICK ROBERT</v>
          </cell>
        </row>
        <row r="902">
          <cell r="A902">
            <v>837</v>
          </cell>
          <cell r="B902">
            <v>42689</v>
          </cell>
          <cell r="C902" t="str">
            <v>NOVIEMBRE</v>
          </cell>
          <cell r="D902" t="str">
            <v>2016</v>
          </cell>
          <cell r="E902">
            <v>333</v>
          </cell>
          <cell r="F902" t="str">
            <v>D3S-725</v>
          </cell>
          <cell r="G902" t="str">
            <v>TBL-977</v>
          </cell>
          <cell r="H902" t="str">
            <v>LAS BAMBAS</v>
          </cell>
          <cell r="I902">
            <v>149993</v>
          </cell>
          <cell r="J902" t="str">
            <v>REPUESTO</v>
          </cell>
          <cell r="K902" t="str">
            <v>FILTRO DE AIRE PRIMARIO</v>
          </cell>
          <cell r="L902">
            <v>1</v>
          </cell>
          <cell r="M902" t="str">
            <v>UNID.</v>
          </cell>
          <cell r="N902" t="str">
            <v>TRACTO</v>
          </cell>
          <cell r="O902">
            <v>0</v>
          </cell>
          <cell r="P902" t="str">
            <v>M7</v>
          </cell>
          <cell r="Q902" t="str">
            <v>J2</v>
          </cell>
          <cell r="R902" t="str">
            <v>J6</v>
          </cell>
          <cell r="S902" t="str">
            <v>ENTREGADO</v>
          </cell>
          <cell r="T902">
            <v>42689</v>
          </cell>
          <cell r="U902" t="str">
            <v>ROBLES ROJAS  JOSE MIGUEL</v>
          </cell>
          <cell r="V902" t="str">
            <v>CORIHUAMAN SURCO  ERICK ROBERT</v>
          </cell>
        </row>
        <row r="903">
          <cell r="A903">
            <v>838</v>
          </cell>
          <cell r="B903">
            <v>42689</v>
          </cell>
          <cell r="C903" t="str">
            <v>NOVIEMBRE</v>
          </cell>
          <cell r="D903" t="str">
            <v>2016</v>
          </cell>
          <cell r="E903">
            <v>333</v>
          </cell>
          <cell r="F903" t="str">
            <v>D3S-725</v>
          </cell>
          <cell r="G903" t="str">
            <v>TBL-977</v>
          </cell>
          <cell r="H903" t="str">
            <v>LAS BAMBAS</v>
          </cell>
          <cell r="I903">
            <v>149993</v>
          </cell>
          <cell r="J903" t="str">
            <v>REPUESTO</v>
          </cell>
          <cell r="K903" t="str">
            <v>FILTRO DE COMBUSTIBLE</v>
          </cell>
          <cell r="L903">
            <v>1</v>
          </cell>
          <cell r="M903" t="str">
            <v>UNID.</v>
          </cell>
          <cell r="N903" t="str">
            <v>TRACTO</v>
          </cell>
          <cell r="O903">
            <v>0</v>
          </cell>
          <cell r="P903" t="str">
            <v>M7</v>
          </cell>
          <cell r="Q903" t="str">
            <v>J2</v>
          </cell>
          <cell r="R903" t="str">
            <v>J6</v>
          </cell>
          <cell r="S903" t="str">
            <v>ENTREGADO</v>
          </cell>
          <cell r="T903">
            <v>42689</v>
          </cell>
          <cell r="U903" t="str">
            <v>ROBLES ROJAS  JOSE MIGUEL</v>
          </cell>
          <cell r="V903" t="str">
            <v>CORIHUAMAN SURCO  ERICK ROBERT</v>
          </cell>
        </row>
        <row r="904">
          <cell r="A904">
            <v>839</v>
          </cell>
          <cell r="B904">
            <v>42689</v>
          </cell>
          <cell r="C904" t="str">
            <v>NOVIEMBRE</v>
          </cell>
          <cell r="D904" t="str">
            <v>2016</v>
          </cell>
          <cell r="E904">
            <v>333</v>
          </cell>
          <cell r="F904" t="str">
            <v>D3S-725</v>
          </cell>
          <cell r="G904" t="str">
            <v>TBL-977</v>
          </cell>
          <cell r="H904" t="str">
            <v>LAS BAMBAS</v>
          </cell>
          <cell r="I904">
            <v>149993</v>
          </cell>
          <cell r="J904" t="str">
            <v>REPUESTO</v>
          </cell>
          <cell r="K904" t="str">
            <v>FILTRO DE COMBUSTIBLE VALVULA</v>
          </cell>
          <cell r="L904">
            <v>1</v>
          </cell>
          <cell r="M904" t="str">
            <v>UNID.</v>
          </cell>
          <cell r="N904" t="str">
            <v>TRACTO</v>
          </cell>
          <cell r="O904">
            <v>0</v>
          </cell>
          <cell r="P904" t="str">
            <v>M7</v>
          </cell>
          <cell r="Q904" t="str">
            <v>J2</v>
          </cell>
          <cell r="R904" t="str">
            <v>J6</v>
          </cell>
          <cell r="S904" t="str">
            <v>ENTREGADO</v>
          </cell>
          <cell r="T904">
            <v>42689</v>
          </cell>
          <cell r="U904" t="str">
            <v>ROBLES ROJAS  JOSE MIGUEL</v>
          </cell>
          <cell r="V904" t="str">
            <v>CORIHUAMAN SURCO  ERICK ROBERT</v>
          </cell>
        </row>
        <row r="905">
          <cell r="A905">
            <v>840</v>
          </cell>
          <cell r="B905">
            <v>42689</v>
          </cell>
          <cell r="C905" t="str">
            <v>NOVIEMBRE</v>
          </cell>
          <cell r="D905" t="str">
            <v>2016</v>
          </cell>
          <cell r="E905">
            <v>333</v>
          </cell>
          <cell r="F905" t="str">
            <v>D3S-725</v>
          </cell>
          <cell r="G905" t="str">
            <v>TBL-977</v>
          </cell>
          <cell r="H905" t="str">
            <v>LAS BAMBAS</v>
          </cell>
          <cell r="I905">
            <v>149993</v>
          </cell>
          <cell r="J905" t="str">
            <v>REPUESTO</v>
          </cell>
          <cell r="K905" t="str">
            <v>ACEITE 15 W 40</v>
          </cell>
          <cell r="L905">
            <v>10</v>
          </cell>
          <cell r="M905" t="str">
            <v>GLNS.</v>
          </cell>
          <cell r="N905" t="str">
            <v>TRACTO</v>
          </cell>
          <cell r="O905">
            <v>0</v>
          </cell>
          <cell r="P905" t="str">
            <v>M7</v>
          </cell>
          <cell r="Q905" t="str">
            <v>J2</v>
          </cell>
          <cell r="R905" t="str">
            <v>J6</v>
          </cell>
          <cell r="S905" t="str">
            <v>ENTREGADO</v>
          </cell>
          <cell r="T905">
            <v>42689</v>
          </cell>
          <cell r="U905" t="str">
            <v>ROBLES ROJAS  JOSE MIGUEL</v>
          </cell>
          <cell r="V905" t="str">
            <v>CORIHUAMAN SURCO  ERICK ROBERT</v>
          </cell>
        </row>
        <row r="906">
          <cell r="A906">
            <v>841</v>
          </cell>
          <cell r="B906">
            <v>42689</v>
          </cell>
          <cell r="C906" t="str">
            <v>NOVIEMBRE</v>
          </cell>
          <cell r="D906" t="str">
            <v>2016</v>
          </cell>
          <cell r="E906">
            <v>333</v>
          </cell>
          <cell r="F906" t="str">
            <v>D3S-725</v>
          </cell>
          <cell r="G906" t="str">
            <v>TBL-977</v>
          </cell>
          <cell r="H906" t="str">
            <v>LAS BAMBAS</v>
          </cell>
          <cell r="I906">
            <v>149993</v>
          </cell>
          <cell r="J906" t="str">
            <v>REPUESTO</v>
          </cell>
          <cell r="K906" t="str">
            <v>FILTRO DE ACEITE</v>
          </cell>
          <cell r="L906">
            <v>2</v>
          </cell>
          <cell r="M906" t="str">
            <v>UNID.</v>
          </cell>
          <cell r="N906" t="str">
            <v>TRACTO</v>
          </cell>
          <cell r="O906">
            <v>0</v>
          </cell>
          <cell r="P906" t="str">
            <v>M7</v>
          </cell>
          <cell r="Q906" t="str">
            <v>J2</v>
          </cell>
          <cell r="R906" t="str">
            <v>J6</v>
          </cell>
          <cell r="S906" t="str">
            <v>ENTREGADO</v>
          </cell>
          <cell r="T906">
            <v>42689</v>
          </cell>
          <cell r="U906" t="str">
            <v>ROBLES ROJAS  JOSE MIGUEL</v>
          </cell>
          <cell r="V906" t="str">
            <v>CORIHUAMAN SURCO  ERICK ROBERT</v>
          </cell>
        </row>
        <row r="907">
          <cell r="A907">
            <v>842</v>
          </cell>
          <cell r="B907">
            <v>42689</v>
          </cell>
          <cell r="C907" t="str">
            <v>NOVIEMBRE</v>
          </cell>
          <cell r="D907" t="str">
            <v>2016</v>
          </cell>
          <cell r="E907">
            <v>333</v>
          </cell>
          <cell r="F907" t="str">
            <v>D3S-725</v>
          </cell>
          <cell r="G907" t="str">
            <v>TBL-977</v>
          </cell>
          <cell r="H907" t="str">
            <v>LAS BAMBAS</v>
          </cell>
          <cell r="I907">
            <v>149993</v>
          </cell>
          <cell r="J907" t="str">
            <v>REPUESTO</v>
          </cell>
          <cell r="K907" t="str">
            <v>ACEITE SINTETICO SAE 50 (TRANSMISION)</v>
          </cell>
          <cell r="L907">
            <v>5</v>
          </cell>
          <cell r="M907" t="str">
            <v>GLNS.</v>
          </cell>
          <cell r="N907" t="str">
            <v>TRACTO</v>
          </cell>
          <cell r="O907">
            <v>0</v>
          </cell>
          <cell r="P907" t="str">
            <v>M7</v>
          </cell>
          <cell r="Q907" t="str">
            <v>J2</v>
          </cell>
          <cell r="R907" t="str">
            <v>J6</v>
          </cell>
          <cell r="S907" t="str">
            <v>ENTREGADO</v>
          </cell>
          <cell r="T907">
            <v>42689</v>
          </cell>
          <cell r="U907" t="str">
            <v>ROBLES ROJAS  JOSE MIGUEL</v>
          </cell>
          <cell r="V907" t="str">
            <v>CORIHUAMAN SURCO  ERICK ROBERT</v>
          </cell>
        </row>
        <row r="908">
          <cell r="A908">
            <v>843</v>
          </cell>
          <cell r="B908">
            <v>42689</v>
          </cell>
          <cell r="C908" t="str">
            <v>NOVIEMBRE</v>
          </cell>
          <cell r="D908" t="str">
            <v>2016</v>
          </cell>
          <cell r="E908">
            <v>333</v>
          </cell>
          <cell r="F908" t="str">
            <v>D3S-725</v>
          </cell>
          <cell r="G908" t="str">
            <v>TBL-977</v>
          </cell>
          <cell r="H908" t="str">
            <v>LAS BAMBAS</v>
          </cell>
          <cell r="I908">
            <v>149993</v>
          </cell>
          <cell r="J908" t="str">
            <v>REPUESTO</v>
          </cell>
          <cell r="K908" t="str">
            <v>ACEITE 85W140 DIFEERENCIAL</v>
          </cell>
          <cell r="L908">
            <v>10</v>
          </cell>
          <cell r="M908" t="str">
            <v>GLNS.</v>
          </cell>
          <cell r="N908" t="str">
            <v>TRACTO</v>
          </cell>
          <cell r="O908">
            <v>0</v>
          </cell>
          <cell r="P908" t="str">
            <v>M7</v>
          </cell>
          <cell r="Q908" t="str">
            <v>J2</v>
          </cell>
          <cell r="R908" t="str">
            <v>J6</v>
          </cell>
          <cell r="S908" t="str">
            <v>ENTREGADO</v>
          </cell>
          <cell r="T908">
            <v>42689</v>
          </cell>
          <cell r="U908" t="str">
            <v>ROBLES ROJAS  JOSE MIGUEL</v>
          </cell>
          <cell r="V908" t="str">
            <v>CORIHUAMAN SURCO  ERICK ROBERT</v>
          </cell>
        </row>
        <row r="909">
          <cell r="A909">
            <v>844</v>
          </cell>
          <cell r="B909">
            <v>42689</v>
          </cell>
          <cell r="C909" t="str">
            <v>NOVIEMBRE</v>
          </cell>
          <cell r="D909" t="str">
            <v>2016</v>
          </cell>
          <cell r="E909">
            <v>333</v>
          </cell>
          <cell r="F909" t="str">
            <v>D3S-725</v>
          </cell>
          <cell r="G909" t="str">
            <v>TBL-977</v>
          </cell>
          <cell r="H909" t="str">
            <v>LAS BAMBAS</v>
          </cell>
          <cell r="I909">
            <v>149993</v>
          </cell>
          <cell r="J909" t="str">
            <v>REPUESTO</v>
          </cell>
          <cell r="K909" t="str">
            <v>FILTRO DE CORONA DIFERENCIAL</v>
          </cell>
          <cell r="L909">
            <v>1</v>
          </cell>
          <cell r="M909" t="str">
            <v>UNID.</v>
          </cell>
          <cell r="N909" t="str">
            <v>TRACTO</v>
          </cell>
          <cell r="O909">
            <v>0</v>
          </cell>
          <cell r="P909" t="str">
            <v>M7</v>
          </cell>
          <cell r="Q909" t="str">
            <v>J2</v>
          </cell>
          <cell r="R909" t="str">
            <v>J6</v>
          </cell>
          <cell r="S909" t="str">
            <v>ENTREGADO</v>
          </cell>
          <cell r="T909">
            <v>42689</v>
          </cell>
          <cell r="U909" t="str">
            <v>ROBLES ROJAS  JOSE MIGUEL</v>
          </cell>
          <cell r="V909" t="str">
            <v>CORIHUAMAN SURCO  ERICK ROBERT</v>
          </cell>
        </row>
        <row r="910">
          <cell r="A910">
            <v>870</v>
          </cell>
          <cell r="B910">
            <v>42689</v>
          </cell>
          <cell r="C910" t="str">
            <v>NOVIEMBRE</v>
          </cell>
          <cell r="D910" t="str">
            <v>2016</v>
          </cell>
          <cell r="E910">
            <v>333</v>
          </cell>
          <cell r="F910" t="str">
            <v>D3S-725</v>
          </cell>
          <cell r="G910" t="str">
            <v>TBL-977</v>
          </cell>
          <cell r="H910" t="str">
            <v>LAS BAMBAS</v>
          </cell>
          <cell r="I910">
            <v>149993</v>
          </cell>
          <cell r="J910" t="str">
            <v>REPUESTO</v>
          </cell>
          <cell r="K910" t="str">
            <v>FOCO DE DOBLE CONTACTO DE 12 V</v>
          </cell>
          <cell r="L910">
            <v>1</v>
          </cell>
          <cell r="M910" t="str">
            <v>UNID.</v>
          </cell>
          <cell r="N910" t="str">
            <v>TRACTO</v>
          </cell>
          <cell r="O910">
            <v>0</v>
          </cell>
          <cell r="P910" t="str">
            <v>E2</v>
          </cell>
          <cell r="Q910" t="str">
            <v>J2</v>
          </cell>
          <cell r="R910" t="str">
            <v>J6</v>
          </cell>
          <cell r="S910" t="str">
            <v>ENTREGADO</v>
          </cell>
          <cell r="T910">
            <v>42689</v>
          </cell>
          <cell r="U910" t="str">
            <v>YUCA BELLIDO BORIS YERSY</v>
          </cell>
          <cell r="V910" t="str">
            <v>CORIHUAMAN SURCO  ERICK ROBERT</v>
          </cell>
        </row>
        <row r="911">
          <cell r="A911">
            <v>891</v>
          </cell>
          <cell r="B911">
            <v>42689</v>
          </cell>
          <cell r="C911" t="str">
            <v>NOVIEMBRE</v>
          </cell>
          <cell r="D911" t="str">
            <v>2016</v>
          </cell>
          <cell r="E911">
            <v>333</v>
          </cell>
          <cell r="F911" t="str">
            <v>D3S-725</v>
          </cell>
          <cell r="G911" t="str">
            <v>TBL-977</v>
          </cell>
          <cell r="H911" t="str">
            <v>LAS BAMBAS</v>
          </cell>
          <cell r="I911">
            <v>149993</v>
          </cell>
          <cell r="J911" t="str">
            <v>REPUESTO</v>
          </cell>
          <cell r="K911" t="str">
            <v>LIQUIDO REFRIGERANTE</v>
          </cell>
          <cell r="L911">
            <v>2</v>
          </cell>
          <cell r="M911" t="str">
            <v>GLNS.</v>
          </cell>
          <cell r="N911" t="str">
            <v>TRACTO</v>
          </cell>
          <cell r="O911">
            <v>0</v>
          </cell>
          <cell r="P911" t="str">
            <v>M7</v>
          </cell>
          <cell r="Q911" t="str">
            <v>J1</v>
          </cell>
          <cell r="R911" t="str">
            <v>J6</v>
          </cell>
          <cell r="S911" t="str">
            <v>ENTREGADO</v>
          </cell>
          <cell r="T911">
            <v>42689</v>
          </cell>
          <cell r="U911" t="str">
            <v>ROBLES ROJAS  JOSE MIGUEL</v>
          </cell>
          <cell r="V911" t="str">
            <v>FLOREZ CONDORI  JOSE WILLIANS</v>
          </cell>
        </row>
        <row r="912">
          <cell r="A912">
            <v>876</v>
          </cell>
          <cell r="B912">
            <v>42689</v>
          </cell>
          <cell r="C912" t="str">
            <v>NOVIEMBRE</v>
          </cell>
          <cell r="D912" t="str">
            <v>2016</v>
          </cell>
          <cell r="E912">
            <v>333</v>
          </cell>
          <cell r="F912" t="str">
            <v>D3S-725</v>
          </cell>
          <cell r="G912" t="str">
            <v>TBL-977</v>
          </cell>
          <cell r="H912" t="str">
            <v>LAS BAMBAS</v>
          </cell>
          <cell r="I912">
            <v>149993</v>
          </cell>
          <cell r="J912" t="str">
            <v>REPUESTO</v>
          </cell>
          <cell r="K912" t="str">
            <v>LLANTA REENCAUCHADA IZB</v>
          </cell>
          <cell r="L912">
            <v>1</v>
          </cell>
          <cell r="M912" t="str">
            <v>UNID.</v>
          </cell>
          <cell r="N912" t="str">
            <v>TRACTO</v>
          </cell>
          <cell r="O912">
            <v>0</v>
          </cell>
          <cell r="P912" t="str">
            <v>N1</v>
          </cell>
          <cell r="Q912" t="str">
            <v>J3</v>
          </cell>
          <cell r="R912" t="str">
            <v>J6</v>
          </cell>
          <cell r="S912" t="str">
            <v>ENTREGADO</v>
          </cell>
          <cell r="T912">
            <v>42689</v>
          </cell>
          <cell r="U912" t="str">
            <v>AGUILAR CCANTUTA WILLY</v>
          </cell>
          <cell r="V912" t="str">
            <v>CHURA PIZARRO ALBERTO</v>
          </cell>
        </row>
        <row r="913">
          <cell r="A913">
            <v>904</v>
          </cell>
          <cell r="B913">
            <v>42689</v>
          </cell>
          <cell r="C913" t="str">
            <v>NOVIEMBRE</v>
          </cell>
          <cell r="D913" t="str">
            <v>2016</v>
          </cell>
          <cell r="E913">
            <v>342</v>
          </cell>
          <cell r="F913" t="str">
            <v>D6F-903</v>
          </cell>
          <cell r="G913" t="str">
            <v>B8K-997</v>
          </cell>
          <cell r="H913" t="str">
            <v>LAS BAMBAS</v>
          </cell>
          <cell r="I913">
            <v>215260</v>
          </cell>
          <cell r="J913" t="str">
            <v>REPUESTO</v>
          </cell>
          <cell r="K913" t="str">
            <v>TRIZ</v>
          </cell>
          <cell r="L913">
            <v>1</v>
          </cell>
          <cell r="M913" t="str">
            <v>UNID.</v>
          </cell>
          <cell r="N913" t="str">
            <v>TRACTO</v>
          </cell>
          <cell r="O913">
            <v>0</v>
          </cell>
          <cell r="P913" t="str">
            <v>E1</v>
          </cell>
          <cell r="Q913" t="str">
            <v>J1</v>
          </cell>
          <cell r="R913" t="str">
            <v>J6</v>
          </cell>
          <cell r="S913" t="str">
            <v>ENTREGADO</v>
          </cell>
          <cell r="T913">
            <v>42689</v>
          </cell>
          <cell r="U913" t="str">
            <v>PALOMINO CARDENAS JUAN CARLOS</v>
          </cell>
          <cell r="V913" t="str">
            <v>FLOREZ CONDORI  JOSE WILLIANS</v>
          </cell>
        </row>
        <row r="914">
          <cell r="A914">
            <v>905</v>
          </cell>
          <cell r="B914">
            <v>42689</v>
          </cell>
          <cell r="C914" t="str">
            <v>NOVIEMBRE</v>
          </cell>
          <cell r="D914" t="str">
            <v>2016</v>
          </cell>
          <cell r="E914">
            <v>342</v>
          </cell>
          <cell r="F914" t="str">
            <v>D6F-903</v>
          </cell>
          <cell r="G914" t="str">
            <v>B8K-997</v>
          </cell>
          <cell r="H914" t="str">
            <v>LAS BAMBAS</v>
          </cell>
          <cell r="I914">
            <v>215260</v>
          </cell>
          <cell r="J914" t="str">
            <v>REPUESTO</v>
          </cell>
          <cell r="K914" t="str">
            <v>TUERCAS 1/2</v>
          </cell>
          <cell r="L914">
            <v>2</v>
          </cell>
          <cell r="M914" t="str">
            <v>UNID.</v>
          </cell>
          <cell r="N914" t="str">
            <v>TRACTO</v>
          </cell>
          <cell r="O914">
            <v>0</v>
          </cell>
          <cell r="P914" t="str">
            <v>E1</v>
          </cell>
          <cell r="Q914" t="str">
            <v>J1</v>
          </cell>
          <cell r="R914" t="str">
            <v>J6</v>
          </cell>
          <cell r="S914" t="str">
            <v>ENTREGADO</v>
          </cell>
          <cell r="T914">
            <v>42689</v>
          </cell>
          <cell r="U914" t="str">
            <v>PALOMINO CARDENAS JUAN CARLOS</v>
          </cell>
          <cell r="V914" t="str">
            <v>FLOREZ CONDORI  JOSE WILLIANS</v>
          </cell>
        </row>
        <row r="915">
          <cell r="A915">
            <v>882</v>
          </cell>
          <cell r="B915">
            <v>42689</v>
          </cell>
          <cell r="C915" t="str">
            <v>NOVIEMBRE</v>
          </cell>
          <cell r="D915" t="str">
            <v>2016</v>
          </cell>
          <cell r="E915">
            <v>335</v>
          </cell>
          <cell r="F915" t="str">
            <v>D7N-755</v>
          </cell>
          <cell r="G915" t="str">
            <v>F7L-983</v>
          </cell>
          <cell r="H915" t="str">
            <v>LAS BAMBAS</v>
          </cell>
          <cell r="I915">
            <v>46030</v>
          </cell>
          <cell r="J915" t="str">
            <v>INSUMO TALLER</v>
          </cell>
          <cell r="K915" t="str">
            <v>CELLOCORD 5/32</v>
          </cell>
          <cell r="L915">
            <v>5</v>
          </cell>
          <cell r="M915" t="str">
            <v>KG.</v>
          </cell>
          <cell r="N915" t="str">
            <v>CISTERNA</v>
          </cell>
          <cell r="O915">
            <v>0</v>
          </cell>
          <cell r="P915" t="str">
            <v>S2</v>
          </cell>
          <cell r="Q915" t="str">
            <v>J1</v>
          </cell>
          <cell r="R915" t="str">
            <v>J6</v>
          </cell>
          <cell r="S915" t="str">
            <v>ENTREGADO</v>
          </cell>
          <cell r="T915">
            <v>42689</v>
          </cell>
          <cell r="U915" t="str">
            <v>PALOMINO ESTRADA  MICHEL</v>
          </cell>
          <cell r="V915" t="str">
            <v>FLOREZ CONDORI  JOSE WILLIANS</v>
          </cell>
        </row>
        <row r="916">
          <cell r="A916">
            <v>883</v>
          </cell>
          <cell r="B916">
            <v>42689</v>
          </cell>
          <cell r="C916" t="str">
            <v>NOVIEMBRE</v>
          </cell>
          <cell r="D916" t="str">
            <v>2016</v>
          </cell>
          <cell r="E916">
            <v>335</v>
          </cell>
          <cell r="F916" t="str">
            <v>D7N-755</v>
          </cell>
          <cell r="G916" t="str">
            <v>F7L-983</v>
          </cell>
          <cell r="H916" t="str">
            <v>LAS BAMBAS</v>
          </cell>
          <cell r="I916">
            <v>46030</v>
          </cell>
          <cell r="J916" t="str">
            <v>REPUESTO</v>
          </cell>
          <cell r="K916" t="str">
            <v>PERNO MANHOLE 3/8 X 6</v>
          </cell>
          <cell r="L916">
            <v>1</v>
          </cell>
          <cell r="M916" t="str">
            <v>UNID.</v>
          </cell>
          <cell r="N916" t="str">
            <v>CISTERNA</v>
          </cell>
          <cell r="O916">
            <v>0</v>
          </cell>
          <cell r="P916" t="str">
            <v>S2</v>
          </cell>
          <cell r="Q916" t="str">
            <v>J1</v>
          </cell>
          <cell r="R916" t="str">
            <v>J6</v>
          </cell>
          <cell r="S916" t="str">
            <v>ENTREGADO</v>
          </cell>
          <cell r="T916">
            <v>42689</v>
          </cell>
          <cell r="U916" t="str">
            <v>PALOMINO ESTRADA  MICHEL</v>
          </cell>
          <cell r="V916" t="str">
            <v>FLOREZ CONDORI  JOSE WILLIANS</v>
          </cell>
        </row>
        <row r="917">
          <cell r="A917">
            <v>884</v>
          </cell>
          <cell r="B917">
            <v>42689</v>
          </cell>
          <cell r="C917" t="str">
            <v>NOVIEMBRE</v>
          </cell>
          <cell r="D917" t="str">
            <v>2016</v>
          </cell>
          <cell r="E917">
            <v>335</v>
          </cell>
          <cell r="F917" t="str">
            <v>D7N-755</v>
          </cell>
          <cell r="G917" t="str">
            <v>F7L-983</v>
          </cell>
          <cell r="H917" t="str">
            <v>LAS BAMBAS</v>
          </cell>
          <cell r="I917">
            <v>46030</v>
          </cell>
          <cell r="J917" t="str">
            <v>REPUESTO</v>
          </cell>
          <cell r="K917" t="str">
            <v>TUERCA 3/8 DE PERNO MANHOLE</v>
          </cell>
          <cell r="L917">
            <v>2</v>
          </cell>
          <cell r="M917" t="str">
            <v>UNID.</v>
          </cell>
          <cell r="N917" t="str">
            <v>CISTERNA</v>
          </cell>
          <cell r="O917">
            <v>0</v>
          </cell>
          <cell r="P917" t="str">
            <v>S2</v>
          </cell>
          <cell r="Q917" t="str">
            <v>J1</v>
          </cell>
          <cell r="R917" t="str">
            <v>J6</v>
          </cell>
          <cell r="S917" t="str">
            <v>ENTREGADO</v>
          </cell>
          <cell r="T917">
            <v>42689</v>
          </cell>
          <cell r="U917" t="str">
            <v>PALOMINO ESTRADA  MICHEL</v>
          </cell>
          <cell r="V917" t="str">
            <v>FLOREZ CONDORI  JOSE WILLIANS</v>
          </cell>
        </row>
        <row r="918">
          <cell r="A918">
            <v>828</v>
          </cell>
          <cell r="B918">
            <v>42689</v>
          </cell>
          <cell r="C918" t="str">
            <v>NOVIEMBRE</v>
          </cell>
          <cell r="D918" t="str">
            <v>2016</v>
          </cell>
          <cell r="E918">
            <v>200</v>
          </cell>
          <cell r="F918" t="str">
            <v>TALLER</v>
          </cell>
          <cell r="G918" t="str">
            <v>TALLER</v>
          </cell>
          <cell r="H918" t="str">
            <v>TALLER</v>
          </cell>
          <cell r="I918" t="str">
            <v>TALLER</v>
          </cell>
          <cell r="J918" t="str">
            <v>INSUMO TALLER</v>
          </cell>
          <cell r="K918" t="str">
            <v>LAPICEROS</v>
          </cell>
          <cell r="L918">
            <v>15</v>
          </cell>
          <cell r="M918" t="str">
            <v>UNID.</v>
          </cell>
          <cell r="N918" t="str">
            <v>TALLER</v>
          </cell>
          <cell r="O918">
            <v>0</v>
          </cell>
          <cell r="P918" t="str">
            <v>J6</v>
          </cell>
          <cell r="Q918" t="str">
            <v>J1</v>
          </cell>
          <cell r="R918" t="str">
            <v>J6</v>
          </cell>
          <cell r="S918" t="str">
            <v>ENTREGADO</v>
          </cell>
          <cell r="T918">
            <v>42689</v>
          </cell>
          <cell r="U918" t="str">
            <v>VILLANUEVA BEJAR  YHORDAN MICHEL</v>
          </cell>
          <cell r="V918" t="str">
            <v>FLOREZ CONDORI  JOSE WILLIANS</v>
          </cell>
        </row>
        <row r="919">
          <cell r="A919">
            <v>830</v>
          </cell>
          <cell r="B919">
            <v>42689</v>
          </cell>
          <cell r="C919" t="str">
            <v>NOVIEMBRE</v>
          </cell>
          <cell r="D919" t="str">
            <v>2016</v>
          </cell>
          <cell r="E919">
            <v>200</v>
          </cell>
          <cell r="F919" t="str">
            <v>TALLER</v>
          </cell>
          <cell r="G919" t="str">
            <v>TALLER</v>
          </cell>
          <cell r="H919" t="str">
            <v>TALLER</v>
          </cell>
          <cell r="I919" t="str">
            <v>TALLER</v>
          </cell>
          <cell r="J919" t="str">
            <v>INSUMO TALLER</v>
          </cell>
          <cell r="K919" t="str">
            <v>CINTA NEGRA</v>
          </cell>
          <cell r="L919">
            <v>1</v>
          </cell>
          <cell r="M919" t="str">
            <v>UNID.</v>
          </cell>
          <cell r="N919" t="str">
            <v>TALLER</v>
          </cell>
          <cell r="O919">
            <v>0</v>
          </cell>
          <cell r="P919" t="str">
            <v>E2</v>
          </cell>
          <cell r="Q919" t="str">
            <v>J1</v>
          </cell>
          <cell r="R919" t="str">
            <v>J6</v>
          </cell>
          <cell r="S919" t="str">
            <v>ENTREGADO</v>
          </cell>
          <cell r="T919">
            <v>42689</v>
          </cell>
          <cell r="U919" t="str">
            <v>YUCA BELLIDO BORIS YERSY</v>
          </cell>
          <cell r="V919" t="str">
            <v>FLOREZ CONDORI  JOSE WILLIANS</v>
          </cell>
        </row>
        <row r="920">
          <cell r="A920">
            <v>831</v>
          </cell>
          <cell r="B920">
            <v>42689</v>
          </cell>
          <cell r="C920" t="str">
            <v>NOVIEMBRE</v>
          </cell>
          <cell r="D920" t="str">
            <v>2016</v>
          </cell>
          <cell r="E920">
            <v>200</v>
          </cell>
          <cell r="F920" t="str">
            <v>TALLER</v>
          </cell>
          <cell r="G920" t="str">
            <v>TALLER</v>
          </cell>
          <cell r="H920" t="str">
            <v>TALLER</v>
          </cell>
          <cell r="I920" t="str">
            <v>TALLER</v>
          </cell>
          <cell r="J920" t="str">
            <v>UNIFORMES</v>
          </cell>
          <cell r="K920" t="str">
            <v>TAIVEX "M"</v>
          </cell>
          <cell r="L920">
            <v>1</v>
          </cell>
          <cell r="M920" t="str">
            <v>UNID.</v>
          </cell>
          <cell r="N920" t="str">
            <v>TALLER</v>
          </cell>
          <cell r="O920">
            <v>0</v>
          </cell>
          <cell r="P920" t="str">
            <v>M5</v>
          </cell>
          <cell r="Q920" t="str">
            <v>J2</v>
          </cell>
          <cell r="R920" t="str">
            <v>J6</v>
          </cell>
          <cell r="S920" t="str">
            <v>ENTREGADO</v>
          </cell>
          <cell r="T920">
            <v>42689</v>
          </cell>
          <cell r="U920" t="str">
            <v>LOPEZ RUIZ WILBERTO</v>
          </cell>
          <cell r="V920" t="str">
            <v>CORIHUAMAN SURCO  ERICK ROBERT</v>
          </cell>
        </row>
        <row r="921">
          <cell r="A921">
            <v>865</v>
          </cell>
          <cell r="B921">
            <v>42689</v>
          </cell>
          <cell r="C921" t="str">
            <v>NOVIEMBRE</v>
          </cell>
          <cell r="D921" t="str">
            <v>2016</v>
          </cell>
          <cell r="E921">
            <v>200</v>
          </cell>
          <cell r="F921" t="str">
            <v>TALLER</v>
          </cell>
          <cell r="G921" t="str">
            <v>TALLER</v>
          </cell>
          <cell r="H921" t="str">
            <v>TALLER</v>
          </cell>
          <cell r="I921" t="str">
            <v>TALLER</v>
          </cell>
          <cell r="J921" t="str">
            <v>MATERIALES</v>
          </cell>
          <cell r="K921" t="str">
            <v>TABLEROS</v>
          </cell>
          <cell r="L921">
            <v>4</v>
          </cell>
          <cell r="M921" t="str">
            <v>UNID.</v>
          </cell>
          <cell r="N921" t="str">
            <v>TALLER</v>
          </cell>
          <cell r="O921">
            <v>0</v>
          </cell>
          <cell r="P921" t="str">
            <v>J5</v>
          </cell>
          <cell r="Q921" t="str">
            <v>J1</v>
          </cell>
          <cell r="R921" t="str">
            <v>J6</v>
          </cell>
          <cell r="S921" t="str">
            <v>ENTREGADO</v>
          </cell>
          <cell r="T921">
            <v>42689</v>
          </cell>
          <cell r="U921" t="str">
            <v>CONZA HUALLA NOELIA</v>
          </cell>
          <cell r="V921" t="str">
            <v>FLOREZ CONDORI  JOSE WILLIANS</v>
          </cell>
        </row>
        <row r="922">
          <cell r="A922">
            <v>874</v>
          </cell>
          <cell r="B922">
            <v>42689</v>
          </cell>
          <cell r="C922" t="str">
            <v>NOVIEMBRE</v>
          </cell>
          <cell r="D922" t="str">
            <v>2016</v>
          </cell>
          <cell r="E922">
            <v>200</v>
          </cell>
          <cell r="F922" t="str">
            <v>TALLER</v>
          </cell>
          <cell r="G922" t="str">
            <v>TALLER</v>
          </cell>
          <cell r="H922" t="str">
            <v>TALLER</v>
          </cell>
          <cell r="I922" t="str">
            <v>TALLER</v>
          </cell>
          <cell r="J922" t="str">
            <v>REPUESTO</v>
          </cell>
          <cell r="K922" t="str">
            <v>PILAS TRIPLE A</v>
          </cell>
          <cell r="L922">
            <v>3</v>
          </cell>
          <cell r="M922" t="str">
            <v>UNID.</v>
          </cell>
          <cell r="N922" t="str">
            <v>TALLER</v>
          </cell>
          <cell r="O922">
            <v>101</v>
          </cell>
          <cell r="P922" t="str">
            <v>S2</v>
          </cell>
          <cell r="Q922" t="str">
            <v>J2</v>
          </cell>
          <cell r="R922" t="str">
            <v>J6</v>
          </cell>
          <cell r="S922" t="str">
            <v>ENTREGADO</v>
          </cell>
          <cell r="T922">
            <v>0</v>
          </cell>
          <cell r="U922" t="str">
            <v>PALOMINO ESTRADA  MICHEL</v>
          </cell>
          <cell r="V922" t="str">
            <v>CORIHUAMAN SURCO  ERICK ROBERT</v>
          </cell>
        </row>
        <row r="923">
          <cell r="A923">
            <v>880</v>
          </cell>
          <cell r="B923">
            <v>42689</v>
          </cell>
          <cell r="C923" t="str">
            <v>NOVIEMBRE</v>
          </cell>
          <cell r="D923" t="str">
            <v>2016</v>
          </cell>
          <cell r="E923">
            <v>200</v>
          </cell>
          <cell r="F923" t="str">
            <v>TALLER</v>
          </cell>
          <cell r="G923" t="str">
            <v>TALLER</v>
          </cell>
          <cell r="H923" t="str">
            <v>TALLER</v>
          </cell>
          <cell r="I923" t="str">
            <v>TALLER</v>
          </cell>
          <cell r="J923" t="str">
            <v>INSUMO TALLER</v>
          </cell>
          <cell r="K923" t="str">
            <v>SOLDIMIX</v>
          </cell>
          <cell r="L923">
            <v>1</v>
          </cell>
          <cell r="M923" t="str">
            <v>UNID.</v>
          </cell>
          <cell r="N923" t="str">
            <v>TALLER</v>
          </cell>
          <cell r="O923">
            <v>0</v>
          </cell>
          <cell r="P923" t="str">
            <v>J5</v>
          </cell>
          <cell r="Q923" t="str">
            <v>J1</v>
          </cell>
          <cell r="R923" t="str">
            <v>J6</v>
          </cell>
          <cell r="S923" t="str">
            <v>ENTREGADO</v>
          </cell>
          <cell r="T923">
            <v>42689</v>
          </cell>
          <cell r="U923" t="str">
            <v>CONZA HUALLA NOELIA</v>
          </cell>
          <cell r="V923" t="str">
            <v>FLOREZ CONDORI  JOSE WILLIANS</v>
          </cell>
        </row>
        <row r="924">
          <cell r="A924">
            <v>894</v>
          </cell>
          <cell r="B924">
            <v>42689</v>
          </cell>
          <cell r="C924" t="str">
            <v>NOVIEMBRE</v>
          </cell>
          <cell r="D924" t="str">
            <v>2016</v>
          </cell>
          <cell r="E924">
            <v>200</v>
          </cell>
          <cell r="F924" t="str">
            <v>TALLER</v>
          </cell>
          <cell r="G924" t="str">
            <v>TALLER</v>
          </cell>
          <cell r="H924" t="str">
            <v>TALLER</v>
          </cell>
          <cell r="I924" t="str">
            <v>TALLER</v>
          </cell>
          <cell r="J924" t="str">
            <v>UNIFORMES</v>
          </cell>
          <cell r="K924" t="str">
            <v>TAIVEX "L"</v>
          </cell>
          <cell r="L924">
            <v>1</v>
          </cell>
          <cell r="M924" t="str">
            <v>UNID.</v>
          </cell>
          <cell r="N924" t="str">
            <v>TALLER</v>
          </cell>
          <cell r="O924">
            <v>0</v>
          </cell>
          <cell r="P924" t="str">
            <v>M3</v>
          </cell>
          <cell r="Q924" t="str">
            <v>J1</v>
          </cell>
          <cell r="R924" t="str">
            <v>J6</v>
          </cell>
          <cell r="S924" t="str">
            <v>ENTREGADO</v>
          </cell>
          <cell r="T924">
            <v>42689</v>
          </cell>
          <cell r="U924" t="str">
            <v>GARCIA PASQUEL  JOSE LUIS</v>
          </cell>
          <cell r="V924" t="str">
            <v>FLOREZ CONDORI  JOSE WILLIANS</v>
          </cell>
        </row>
        <row r="925">
          <cell r="A925">
            <v>898</v>
          </cell>
          <cell r="B925">
            <v>42689</v>
          </cell>
          <cell r="C925" t="str">
            <v>NOVIEMBRE</v>
          </cell>
          <cell r="D925" t="str">
            <v>2016</v>
          </cell>
          <cell r="E925">
            <v>200</v>
          </cell>
          <cell r="F925" t="str">
            <v>TALLER</v>
          </cell>
          <cell r="G925" t="str">
            <v>TALLER</v>
          </cell>
          <cell r="H925" t="str">
            <v>TALLER</v>
          </cell>
          <cell r="I925" t="str">
            <v>TALLER</v>
          </cell>
          <cell r="J925" t="str">
            <v>INSUMO TALLER</v>
          </cell>
          <cell r="K925" t="str">
            <v>SOLDIMIX</v>
          </cell>
          <cell r="L925">
            <v>1</v>
          </cell>
          <cell r="M925" t="str">
            <v>UNID.</v>
          </cell>
          <cell r="N925" t="str">
            <v>TALLER</v>
          </cell>
          <cell r="O925">
            <v>0</v>
          </cell>
          <cell r="P925" t="str">
            <v>E2</v>
          </cell>
          <cell r="Q925" t="str">
            <v>J1</v>
          </cell>
          <cell r="R925" t="str">
            <v>J6</v>
          </cell>
          <cell r="S925" t="str">
            <v>ENTREGADO</v>
          </cell>
          <cell r="T925">
            <v>42689</v>
          </cell>
          <cell r="U925" t="str">
            <v>YUCA BELLIDO BORIS YERSY</v>
          </cell>
          <cell r="V925" t="str">
            <v>FLOREZ CONDORI  JOSE WILLIANS</v>
          </cell>
        </row>
        <row r="926">
          <cell r="A926">
            <v>834</v>
          </cell>
          <cell r="B926">
            <v>42689</v>
          </cell>
          <cell r="C926" t="str">
            <v>NOVIEMBRE</v>
          </cell>
          <cell r="D926" t="str">
            <v>2016</v>
          </cell>
          <cell r="E926">
            <v>334</v>
          </cell>
          <cell r="F926" t="str">
            <v>X2W-761</v>
          </cell>
          <cell r="G926" t="str">
            <v>C5V-996</v>
          </cell>
          <cell r="H926" t="str">
            <v>LAS BAMBAS</v>
          </cell>
          <cell r="I926">
            <v>140937</v>
          </cell>
          <cell r="J926" t="str">
            <v>REPUESTO</v>
          </cell>
          <cell r="K926" t="str">
            <v>SOCKET</v>
          </cell>
          <cell r="L926">
            <v>1</v>
          </cell>
          <cell r="M926" t="str">
            <v>UNID.</v>
          </cell>
          <cell r="N926" t="str">
            <v>TRACTO</v>
          </cell>
          <cell r="O926">
            <v>0</v>
          </cell>
          <cell r="P926" t="str">
            <v>E2</v>
          </cell>
          <cell r="Q926" t="str">
            <v>J1</v>
          </cell>
          <cell r="R926" t="str">
            <v>J6</v>
          </cell>
          <cell r="S926" t="str">
            <v>ENTREGADO</v>
          </cell>
          <cell r="T926">
            <v>42689</v>
          </cell>
          <cell r="U926" t="str">
            <v>YUCA BELLIDO BORIS YERSY</v>
          </cell>
          <cell r="V926" t="str">
            <v>FLOREZ CONDORI  JOSE WILLIANS</v>
          </cell>
        </row>
        <row r="927">
          <cell r="A927">
            <v>835</v>
          </cell>
          <cell r="B927">
            <v>42689</v>
          </cell>
          <cell r="C927" t="str">
            <v>NOVIEMBRE</v>
          </cell>
          <cell r="D927" t="str">
            <v>2016</v>
          </cell>
          <cell r="E927">
            <v>334</v>
          </cell>
          <cell r="F927" t="str">
            <v>X2W-761</v>
          </cell>
          <cell r="G927" t="str">
            <v>C5V-996</v>
          </cell>
          <cell r="H927" t="str">
            <v>LAS BAMBAS</v>
          </cell>
          <cell r="I927">
            <v>140937</v>
          </cell>
          <cell r="J927" t="str">
            <v>REPUESTO</v>
          </cell>
          <cell r="K927" t="str">
            <v>FOCO DE DOBLE CONTACTO DE 12 V</v>
          </cell>
          <cell r="L927">
            <v>1</v>
          </cell>
          <cell r="M927" t="str">
            <v>UNID.</v>
          </cell>
          <cell r="N927" t="str">
            <v>TRACTO</v>
          </cell>
          <cell r="O927">
            <v>0</v>
          </cell>
          <cell r="P927" t="str">
            <v>E2</v>
          </cell>
          <cell r="Q927" t="str">
            <v>J1</v>
          </cell>
          <cell r="R927" t="str">
            <v>J6</v>
          </cell>
          <cell r="S927" t="str">
            <v>ENTREGADO</v>
          </cell>
          <cell r="T927">
            <v>42689</v>
          </cell>
          <cell r="U927" t="str">
            <v>YUCA BELLIDO BORIS YERSY</v>
          </cell>
          <cell r="V927" t="str">
            <v>FLOREZ CONDORI  JOSE WILLIANS</v>
          </cell>
        </row>
        <row r="928">
          <cell r="A928">
            <v>877</v>
          </cell>
          <cell r="B928">
            <v>42689</v>
          </cell>
          <cell r="C928" t="str">
            <v>NOVIEMBRE</v>
          </cell>
          <cell r="D928" t="str">
            <v>2016</v>
          </cell>
          <cell r="E928">
            <v>334</v>
          </cell>
          <cell r="F928" t="str">
            <v>X2W-761</v>
          </cell>
          <cell r="G928" t="str">
            <v>C5V-996</v>
          </cell>
          <cell r="H928" t="str">
            <v>LAS BAMBAS</v>
          </cell>
          <cell r="I928">
            <v>140937</v>
          </cell>
          <cell r="J928" t="str">
            <v>REPUESTO</v>
          </cell>
          <cell r="K928" t="str">
            <v>PALANCA DE LUCES INTERMITENTES</v>
          </cell>
          <cell r="L928">
            <v>1</v>
          </cell>
          <cell r="M928" t="str">
            <v>UNID.</v>
          </cell>
          <cell r="N928" t="str">
            <v>TRACTO</v>
          </cell>
          <cell r="O928">
            <v>0</v>
          </cell>
          <cell r="P928" t="str">
            <v>E2</v>
          </cell>
          <cell r="Q928" t="str">
            <v>J2</v>
          </cell>
          <cell r="R928" t="str">
            <v>J6</v>
          </cell>
          <cell r="S928" t="str">
            <v>ENTREGADO</v>
          </cell>
          <cell r="T928">
            <v>42689</v>
          </cell>
          <cell r="U928" t="str">
            <v>YUCA BELLIDO BORIS YERSY</v>
          </cell>
          <cell r="V928" t="str">
            <v>CORIHUAMAN SURCO  ERICK ROBERT</v>
          </cell>
        </row>
        <row r="929">
          <cell r="A929">
            <v>893</v>
          </cell>
          <cell r="B929">
            <v>42689</v>
          </cell>
          <cell r="C929" t="str">
            <v>NOVIEMBRE</v>
          </cell>
          <cell r="D929" t="str">
            <v>2016</v>
          </cell>
          <cell r="E929">
            <v>254</v>
          </cell>
          <cell r="F929" t="str">
            <v>X2W-762</v>
          </cell>
          <cell r="G929" t="str">
            <v>C5V-998</v>
          </cell>
          <cell r="H929" t="str">
            <v>LAS BAMBAS</v>
          </cell>
          <cell r="I929">
            <v>122505</v>
          </cell>
          <cell r="J929" t="str">
            <v>REPUESTO</v>
          </cell>
          <cell r="K929" t="str">
            <v>TERMOSTATO PARA FREIGHTLINER MOTOR MERCEDES</v>
          </cell>
          <cell r="L929">
            <v>2</v>
          </cell>
          <cell r="M929" t="str">
            <v>UNID.</v>
          </cell>
          <cell r="N929" t="str">
            <v>TRACTO</v>
          </cell>
          <cell r="O929">
            <v>0</v>
          </cell>
          <cell r="P929" t="str">
            <v>M4</v>
          </cell>
          <cell r="Q929" t="str">
            <v>J2</v>
          </cell>
          <cell r="R929" t="str">
            <v>J6</v>
          </cell>
          <cell r="S929" t="str">
            <v>ENTREGADO</v>
          </cell>
          <cell r="T929">
            <v>42689</v>
          </cell>
          <cell r="U929" t="str">
            <v>JULLIRI APAZA UBALDO</v>
          </cell>
          <cell r="V929" t="str">
            <v>CORIHUAMAN SURCO  ERICK ROBERT</v>
          </cell>
        </row>
        <row r="930">
          <cell r="A930">
            <v>892</v>
          </cell>
          <cell r="B930">
            <v>42689</v>
          </cell>
          <cell r="C930" t="str">
            <v>NOVIEMBRE</v>
          </cell>
          <cell r="D930" t="str">
            <v>2016</v>
          </cell>
          <cell r="E930">
            <v>205</v>
          </cell>
          <cell r="F930" t="str">
            <v>X2W-765</v>
          </cell>
          <cell r="G930" t="str">
            <v>C5V-993</v>
          </cell>
          <cell r="H930" t="str">
            <v>LAS BAMBAS</v>
          </cell>
          <cell r="I930">
            <v>154850</v>
          </cell>
          <cell r="J930" t="str">
            <v>REPUESTO</v>
          </cell>
          <cell r="K930" t="str">
            <v>FAROS LED ROJO GRANDE</v>
          </cell>
          <cell r="L930">
            <v>1</v>
          </cell>
          <cell r="M930" t="str">
            <v>UNID.</v>
          </cell>
          <cell r="N930" t="str">
            <v>CISTERNA</v>
          </cell>
          <cell r="O930">
            <v>101</v>
          </cell>
          <cell r="P930" t="str">
            <v>E1</v>
          </cell>
          <cell r="Q930" t="str">
            <v>J1</v>
          </cell>
          <cell r="R930" t="str">
            <v>J6</v>
          </cell>
          <cell r="S930" t="str">
            <v>ENTREGADO</v>
          </cell>
          <cell r="T930">
            <v>0</v>
          </cell>
          <cell r="U930" t="str">
            <v>PALOMINO CARDENAS JUAN CARLOS</v>
          </cell>
          <cell r="V930" t="str">
            <v>FLOREZ CONDORI  JOSE WILLIANS</v>
          </cell>
        </row>
        <row r="931">
          <cell r="A931">
            <v>974</v>
          </cell>
          <cell r="B931">
            <v>42690</v>
          </cell>
          <cell r="C931" t="str">
            <v>NOVIEMBRE</v>
          </cell>
          <cell r="D931" t="str">
            <v>2016</v>
          </cell>
          <cell r="E931">
            <v>308</v>
          </cell>
          <cell r="F931" t="str">
            <v>A9H-889</v>
          </cell>
          <cell r="G931" t="str">
            <v>CAMION</v>
          </cell>
          <cell r="H931" t="str">
            <v>TAMBOMAYO</v>
          </cell>
          <cell r="I931">
            <v>120654</v>
          </cell>
          <cell r="J931" t="str">
            <v>REPUESTO</v>
          </cell>
          <cell r="K931" t="str">
            <v>PITON RECTO</v>
          </cell>
          <cell r="L931">
            <v>1</v>
          </cell>
          <cell r="M931" t="str">
            <v>UNID.</v>
          </cell>
          <cell r="N931" t="str">
            <v>TRACTO</v>
          </cell>
          <cell r="O931">
            <v>0</v>
          </cell>
          <cell r="P931" t="str">
            <v>N1</v>
          </cell>
          <cell r="Q931" t="str">
            <v>J3</v>
          </cell>
          <cell r="R931" t="str">
            <v>J6</v>
          </cell>
          <cell r="S931" t="str">
            <v>ENTREGADO</v>
          </cell>
          <cell r="T931">
            <v>42690</v>
          </cell>
          <cell r="U931" t="str">
            <v>AGUILAR CCANTUTA WILLY</v>
          </cell>
          <cell r="V931" t="str">
            <v>CHURA PIZARRO ALBERTO</v>
          </cell>
        </row>
        <row r="932">
          <cell r="A932">
            <v>975</v>
          </cell>
          <cell r="B932">
            <v>42690</v>
          </cell>
          <cell r="C932" t="str">
            <v>NOVIEMBRE</v>
          </cell>
          <cell r="D932" t="str">
            <v>2016</v>
          </cell>
          <cell r="E932">
            <v>308</v>
          </cell>
          <cell r="F932" t="str">
            <v>A9H-889</v>
          </cell>
          <cell r="G932" t="str">
            <v>CAMION</v>
          </cell>
          <cell r="H932" t="str">
            <v>TAMBOMAYO</v>
          </cell>
          <cell r="I932">
            <v>120654</v>
          </cell>
          <cell r="J932" t="str">
            <v>REPUESTO</v>
          </cell>
          <cell r="K932" t="str">
            <v>PARCHE RACK 12</v>
          </cell>
          <cell r="L932">
            <v>1</v>
          </cell>
          <cell r="M932" t="str">
            <v>UNID.</v>
          </cell>
          <cell r="N932" t="str">
            <v>TRACTO</v>
          </cell>
          <cell r="O932">
            <v>0</v>
          </cell>
          <cell r="P932" t="str">
            <v>N1</v>
          </cell>
          <cell r="Q932" t="str">
            <v>J3</v>
          </cell>
          <cell r="R932" t="str">
            <v>J6</v>
          </cell>
          <cell r="S932" t="str">
            <v>ENTREGADO</v>
          </cell>
          <cell r="T932">
            <v>42690</v>
          </cell>
          <cell r="U932" t="str">
            <v>AGUILAR CCANTUTA WILLY</v>
          </cell>
          <cell r="V932" t="str">
            <v>CHURA PIZARRO ALBERTO</v>
          </cell>
        </row>
        <row r="933">
          <cell r="A933">
            <v>949</v>
          </cell>
          <cell r="B933">
            <v>42690</v>
          </cell>
          <cell r="C933" t="str">
            <v>NOVIEMBRE</v>
          </cell>
          <cell r="D933" t="str">
            <v>2016</v>
          </cell>
          <cell r="E933">
            <v>321</v>
          </cell>
          <cell r="F933" t="str">
            <v>ABP-729</v>
          </cell>
          <cell r="G933" t="str">
            <v>D8K-985</v>
          </cell>
          <cell r="H933" t="str">
            <v>LAS BAMBAS</v>
          </cell>
          <cell r="I933">
            <v>106121</v>
          </cell>
          <cell r="J933" t="str">
            <v>REPUESTO</v>
          </cell>
          <cell r="K933" t="str">
            <v>FOCO DE CASTILLO</v>
          </cell>
          <cell r="L933">
            <v>1</v>
          </cell>
          <cell r="M933" t="str">
            <v>UNID.</v>
          </cell>
          <cell r="N933" t="str">
            <v>TRACTO</v>
          </cell>
          <cell r="O933">
            <v>0</v>
          </cell>
          <cell r="P933" t="str">
            <v>M1</v>
          </cell>
          <cell r="Q933" t="str">
            <v>J2</v>
          </cell>
          <cell r="R933" t="str">
            <v>J6</v>
          </cell>
          <cell r="S933" t="str">
            <v>ENTREGADO</v>
          </cell>
          <cell r="T933">
            <v>42690</v>
          </cell>
          <cell r="U933" t="str">
            <v>CABEZAS SANCHEZ JEAN JHONATAN</v>
          </cell>
          <cell r="V933" t="str">
            <v>CORIHUAMAN SURCO  ERICK ROBERT</v>
          </cell>
        </row>
        <row r="934">
          <cell r="A934">
            <v>915</v>
          </cell>
          <cell r="B934">
            <v>42690</v>
          </cell>
          <cell r="C934" t="str">
            <v>NOVIEMBRE</v>
          </cell>
          <cell r="D934" t="str">
            <v>2016</v>
          </cell>
          <cell r="E934">
            <v>351</v>
          </cell>
          <cell r="F934" t="str">
            <v>ABP-783</v>
          </cell>
          <cell r="G934" t="str">
            <v>C9S-988</v>
          </cell>
          <cell r="H934" t="str">
            <v>LAS BAMBAS</v>
          </cell>
          <cell r="I934">
            <v>122840</v>
          </cell>
          <cell r="J934" t="str">
            <v>REPUESTO</v>
          </cell>
          <cell r="K934" t="str">
            <v>UNION EN T 3/8</v>
          </cell>
          <cell r="L934">
            <v>1</v>
          </cell>
          <cell r="M934" t="str">
            <v>UNID.</v>
          </cell>
          <cell r="N934" t="str">
            <v>TRACTO</v>
          </cell>
          <cell r="O934">
            <v>0</v>
          </cell>
          <cell r="P934" t="str">
            <v>M7</v>
          </cell>
          <cell r="Q934" t="str">
            <v>J1</v>
          </cell>
          <cell r="R934" t="str">
            <v>J6</v>
          </cell>
          <cell r="S934" t="str">
            <v>ENTREGADO</v>
          </cell>
          <cell r="T934">
            <v>42690</v>
          </cell>
          <cell r="U934" t="str">
            <v>ROBLES ROJAS  JOSE MIGUEL</v>
          </cell>
          <cell r="V934" t="str">
            <v>FLOREZ CONDORI  JOSE WILLIANS</v>
          </cell>
        </row>
        <row r="935">
          <cell r="A935">
            <v>918</v>
          </cell>
          <cell r="B935">
            <v>42690</v>
          </cell>
          <cell r="C935" t="str">
            <v>NOVIEMBRE</v>
          </cell>
          <cell r="D935" t="str">
            <v>2016</v>
          </cell>
          <cell r="E935">
            <v>351</v>
          </cell>
          <cell r="F935" t="str">
            <v>ABP-783</v>
          </cell>
          <cell r="G935" t="str">
            <v>C9S-988</v>
          </cell>
          <cell r="H935" t="str">
            <v>LAS BAMBAS</v>
          </cell>
          <cell r="I935">
            <v>122840</v>
          </cell>
          <cell r="J935" t="str">
            <v>REPUESTO</v>
          </cell>
          <cell r="K935" t="str">
            <v>FOCOS R5W24V</v>
          </cell>
          <cell r="L935">
            <v>3</v>
          </cell>
          <cell r="M935" t="str">
            <v>UNID.</v>
          </cell>
          <cell r="N935" t="str">
            <v>TRACTO</v>
          </cell>
          <cell r="O935">
            <v>1</v>
          </cell>
          <cell r="P935" t="str">
            <v>E1</v>
          </cell>
          <cell r="Q935" t="str">
            <v>J1</v>
          </cell>
          <cell r="R935" t="str">
            <v>J5</v>
          </cell>
          <cell r="S935" t="str">
            <v>ENTREGADO</v>
          </cell>
          <cell r="T935">
            <v>42691</v>
          </cell>
          <cell r="U935" t="str">
            <v>PALOMINO CARDENAS JUAN CARLOS</v>
          </cell>
          <cell r="V935" t="str">
            <v>FLOREZ CONDORI  JOSE WILLIANS</v>
          </cell>
        </row>
        <row r="936">
          <cell r="A936">
            <v>923</v>
          </cell>
          <cell r="B936">
            <v>42690</v>
          </cell>
          <cell r="C936" t="str">
            <v>NOVIEMBRE</v>
          </cell>
          <cell r="D936" t="str">
            <v>2016</v>
          </cell>
          <cell r="E936">
            <v>351</v>
          </cell>
          <cell r="F936" t="str">
            <v>ABP-783</v>
          </cell>
          <cell r="G936" t="str">
            <v>C9S-988</v>
          </cell>
          <cell r="H936" t="str">
            <v>LAS BAMBAS</v>
          </cell>
          <cell r="I936">
            <v>122840</v>
          </cell>
          <cell r="J936" t="str">
            <v>REPUESTO</v>
          </cell>
          <cell r="K936" t="str">
            <v>PERNO 1 X 7</v>
          </cell>
          <cell r="L936">
            <v>1</v>
          </cell>
          <cell r="M936" t="str">
            <v>UNID.</v>
          </cell>
          <cell r="N936" t="str">
            <v>CISTERNA</v>
          </cell>
          <cell r="O936">
            <v>0</v>
          </cell>
          <cell r="P936" t="str">
            <v>M7</v>
          </cell>
          <cell r="Q936" t="str">
            <v>J1</v>
          </cell>
          <cell r="R936" t="str">
            <v>J6</v>
          </cell>
          <cell r="S936" t="str">
            <v>ENTREGADO</v>
          </cell>
          <cell r="T936">
            <v>42690</v>
          </cell>
          <cell r="U936" t="str">
            <v>ROBLES ROJAS  JOSE MIGUEL</v>
          </cell>
          <cell r="V936" t="str">
            <v>FLOREZ CONDORI  JOSE WILLIANS</v>
          </cell>
        </row>
        <row r="937">
          <cell r="A937">
            <v>924</v>
          </cell>
          <cell r="B937">
            <v>42690</v>
          </cell>
          <cell r="C937" t="str">
            <v>NOVIEMBRE</v>
          </cell>
          <cell r="D937" t="str">
            <v>2016</v>
          </cell>
          <cell r="E937">
            <v>351</v>
          </cell>
          <cell r="F937" t="str">
            <v>ABP-783</v>
          </cell>
          <cell r="G937" t="str">
            <v>C9S-988</v>
          </cell>
          <cell r="H937" t="str">
            <v>LAS BAMBAS</v>
          </cell>
          <cell r="I937">
            <v>122840</v>
          </cell>
          <cell r="J937" t="str">
            <v>REPUESTO</v>
          </cell>
          <cell r="K937" t="str">
            <v>TUERCA SEGURO 1</v>
          </cell>
          <cell r="L937">
            <v>1</v>
          </cell>
          <cell r="M937" t="str">
            <v>UNID.</v>
          </cell>
          <cell r="N937" t="str">
            <v>CISTERNA</v>
          </cell>
          <cell r="O937">
            <v>0</v>
          </cell>
          <cell r="P937" t="str">
            <v>M7</v>
          </cell>
          <cell r="Q937" t="str">
            <v>J1</v>
          </cell>
          <cell r="R937" t="str">
            <v>J6</v>
          </cell>
          <cell r="S937" t="str">
            <v>ENTREGADO</v>
          </cell>
          <cell r="T937">
            <v>42690</v>
          </cell>
          <cell r="U937" t="str">
            <v>ROBLES ROJAS  JOSE MIGUEL</v>
          </cell>
          <cell r="V937" t="str">
            <v>FLOREZ CONDORI  JOSE WILLIANS</v>
          </cell>
        </row>
        <row r="938">
          <cell r="A938">
            <v>925</v>
          </cell>
          <cell r="B938">
            <v>42690</v>
          </cell>
          <cell r="C938" t="str">
            <v>NOVIEMBRE</v>
          </cell>
          <cell r="D938" t="str">
            <v>2016</v>
          </cell>
          <cell r="E938">
            <v>351</v>
          </cell>
          <cell r="F938" t="str">
            <v>ABP-783</v>
          </cell>
          <cell r="G938" t="str">
            <v>C9S-988</v>
          </cell>
          <cell r="H938" t="str">
            <v>LAS BAMBAS</v>
          </cell>
          <cell r="I938">
            <v>122840</v>
          </cell>
          <cell r="J938" t="str">
            <v>REPUESTO</v>
          </cell>
          <cell r="K938" t="str">
            <v>PERNO 3/8 X 4</v>
          </cell>
          <cell r="L938">
            <v>1</v>
          </cell>
          <cell r="M938" t="str">
            <v>UNID.</v>
          </cell>
          <cell r="N938" t="str">
            <v>CISTERNA</v>
          </cell>
          <cell r="O938">
            <v>0</v>
          </cell>
          <cell r="P938" t="str">
            <v>M7</v>
          </cell>
          <cell r="Q938" t="str">
            <v>J1</v>
          </cell>
          <cell r="R938" t="str">
            <v>J6</v>
          </cell>
          <cell r="S938" t="str">
            <v>ENTREGADO</v>
          </cell>
          <cell r="T938">
            <v>42690</v>
          </cell>
          <cell r="U938" t="str">
            <v>ROBLES ROJAS  JOSE MIGUEL</v>
          </cell>
          <cell r="V938" t="str">
            <v>FLOREZ CONDORI  JOSE WILLIANS</v>
          </cell>
        </row>
        <row r="939">
          <cell r="A939">
            <v>926</v>
          </cell>
          <cell r="B939">
            <v>42690</v>
          </cell>
          <cell r="C939" t="str">
            <v>NOVIEMBRE</v>
          </cell>
          <cell r="D939" t="str">
            <v>2016</v>
          </cell>
          <cell r="E939">
            <v>351</v>
          </cell>
          <cell r="F939" t="str">
            <v>ABP-783</v>
          </cell>
          <cell r="G939" t="str">
            <v>C9S-988</v>
          </cell>
          <cell r="H939" t="str">
            <v>LAS BAMBAS</v>
          </cell>
          <cell r="I939">
            <v>122840</v>
          </cell>
          <cell r="J939" t="str">
            <v>REPUESTO</v>
          </cell>
          <cell r="K939" t="str">
            <v>TUERCA SEGURO 3/8</v>
          </cell>
          <cell r="L939">
            <v>1</v>
          </cell>
          <cell r="M939" t="str">
            <v>UNID.</v>
          </cell>
          <cell r="N939" t="str">
            <v>CISTERNA</v>
          </cell>
          <cell r="O939">
            <v>0</v>
          </cell>
          <cell r="P939" t="str">
            <v>M7</v>
          </cell>
          <cell r="Q939" t="str">
            <v>J1</v>
          </cell>
          <cell r="R939" t="str">
            <v>J6</v>
          </cell>
          <cell r="S939" t="str">
            <v>ENTREGADO</v>
          </cell>
          <cell r="T939">
            <v>42690</v>
          </cell>
          <cell r="U939" t="str">
            <v>ROBLES ROJAS  JOSE MIGUEL</v>
          </cell>
          <cell r="V939" t="str">
            <v>FLOREZ CONDORI  JOSE WILLIANS</v>
          </cell>
        </row>
        <row r="940">
          <cell r="A940">
            <v>927</v>
          </cell>
          <cell r="B940">
            <v>42690</v>
          </cell>
          <cell r="C940" t="str">
            <v>NOVIEMBRE</v>
          </cell>
          <cell r="D940" t="str">
            <v>2016</v>
          </cell>
          <cell r="E940">
            <v>351</v>
          </cell>
          <cell r="F940" t="str">
            <v>ABP-783</v>
          </cell>
          <cell r="G940" t="str">
            <v>C9S-988</v>
          </cell>
          <cell r="H940" t="str">
            <v>LAS BAMBAS</v>
          </cell>
          <cell r="I940">
            <v>122840</v>
          </cell>
          <cell r="J940" t="str">
            <v>REPUESTO</v>
          </cell>
          <cell r="K940" t="str">
            <v>VOLANDA PLANA 1</v>
          </cell>
          <cell r="L940">
            <v>4</v>
          </cell>
          <cell r="M940" t="str">
            <v>UNID.</v>
          </cell>
          <cell r="N940" t="str">
            <v>CISTERNA</v>
          </cell>
          <cell r="O940">
            <v>0</v>
          </cell>
          <cell r="P940" t="str">
            <v>M7</v>
          </cell>
          <cell r="Q940" t="str">
            <v>J1</v>
          </cell>
          <cell r="R940" t="str">
            <v>J6</v>
          </cell>
          <cell r="S940" t="str">
            <v>ENTREGADO</v>
          </cell>
          <cell r="T940">
            <v>42690</v>
          </cell>
          <cell r="U940" t="str">
            <v>ROBLES ROJAS  JOSE MIGUEL</v>
          </cell>
          <cell r="V940" t="str">
            <v>FLOREZ CONDORI  JOSE WILLIANS</v>
          </cell>
        </row>
        <row r="941">
          <cell r="A941">
            <v>928</v>
          </cell>
          <cell r="B941">
            <v>42690</v>
          </cell>
          <cell r="C941" t="str">
            <v>NOVIEMBRE</v>
          </cell>
          <cell r="D941" t="str">
            <v>2016</v>
          </cell>
          <cell r="E941">
            <v>351</v>
          </cell>
          <cell r="F941" t="str">
            <v>ABP-783</v>
          </cell>
          <cell r="G941" t="str">
            <v>C9S-988</v>
          </cell>
          <cell r="H941" t="str">
            <v>LAS BAMBAS</v>
          </cell>
          <cell r="I941">
            <v>122840</v>
          </cell>
          <cell r="J941" t="str">
            <v>REPUESTO</v>
          </cell>
          <cell r="K941" t="str">
            <v>VOLANDA PLANA 3/8</v>
          </cell>
          <cell r="L941">
            <v>4</v>
          </cell>
          <cell r="M941" t="str">
            <v>UNID.</v>
          </cell>
          <cell r="N941" t="str">
            <v>CISTERNA</v>
          </cell>
          <cell r="O941">
            <v>0</v>
          </cell>
          <cell r="P941" t="str">
            <v>M7</v>
          </cell>
          <cell r="Q941" t="str">
            <v>J1</v>
          </cell>
          <cell r="R941" t="str">
            <v>J6</v>
          </cell>
          <cell r="S941" t="str">
            <v>ENTREGADO</v>
          </cell>
          <cell r="T941">
            <v>42690</v>
          </cell>
          <cell r="U941" t="str">
            <v>ROBLES ROJAS  JOSE MIGUEL</v>
          </cell>
          <cell r="V941" t="str">
            <v>FLOREZ CONDORI  JOSE WILLIANS</v>
          </cell>
        </row>
        <row r="942">
          <cell r="A942">
            <v>939</v>
          </cell>
          <cell r="B942">
            <v>42690</v>
          </cell>
          <cell r="C942" t="str">
            <v>NOVIEMBRE</v>
          </cell>
          <cell r="D942" t="str">
            <v>2016</v>
          </cell>
          <cell r="E942">
            <v>351</v>
          </cell>
          <cell r="F942" t="str">
            <v>ABP-783</v>
          </cell>
          <cell r="G942" t="str">
            <v>C9S-988</v>
          </cell>
          <cell r="H942" t="str">
            <v>LAS BAMBAS</v>
          </cell>
          <cell r="I942">
            <v>122840</v>
          </cell>
          <cell r="J942" t="str">
            <v>REPUESTO</v>
          </cell>
          <cell r="K942" t="str">
            <v>PERNO 5/16 X 1 1/2</v>
          </cell>
          <cell r="L942">
            <v>6</v>
          </cell>
          <cell r="M942" t="str">
            <v>UNID.</v>
          </cell>
          <cell r="N942" t="str">
            <v>CISTERNA</v>
          </cell>
          <cell r="O942">
            <v>0</v>
          </cell>
          <cell r="P942" t="str">
            <v>S2</v>
          </cell>
          <cell r="Q942" t="str">
            <v>J1</v>
          </cell>
          <cell r="R942" t="str">
            <v>J6</v>
          </cell>
          <cell r="S942" t="str">
            <v>ENTREGADO</v>
          </cell>
          <cell r="T942">
            <v>42690</v>
          </cell>
          <cell r="U942" t="str">
            <v>PALOMINO ESTRADA  MICHEL</v>
          </cell>
          <cell r="V942" t="str">
            <v>FLOREZ CONDORI  JOSE WILLIANS</v>
          </cell>
        </row>
        <row r="943">
          <cell r="A943">
            <v>940</v>
          </cell>
          <cell r="B943">
            <v>42690</v>
          </cell>
          <cell r="C943" t="str">
            <v>NOVIEMBRE</v>
          </cell>
          <cell r="D943" t="str">
            <v>2016</v>
          </cell>
          <cell r="E943">
            <v>351</v>
          </cell>
          <cell r="F943" t="str">
            <v>ABP-783</v>
          </cell>
          <cell r="G943" t="str">
            <v>C9S-988</v>
          </cell>
          <cell r="H943" t="str">
            <v>LAS BAMBAS</v>
          </cell>
          <cell r="I943">
            <v>122840</v>
          </cell>
          <cell r="J943" t="str">
            <v>REPUESTO</v>
          </cell>
          <cell r="K943" t="str">
            <v>TUERCA SEGURO 5/16</v>
          </cell>
          <cell r="L943">
            <v>6</v>
          </cell>
          <cell r="M943" t="str">
            <v>UNID.</v>
          </cell>
          <cell r="N943" t="str">
            <v>CISTERNA</v>
          </cell>
          <cell r="O943">
            <v>0</v>
          </cell>
          <cell r="P943" t="str">
            <v>S2</v>
          </cell>
          <cell r="Q943" t="str">
            <v>J1</v>
          </cell>
          <cell r="R943" t="str">
            <v>J6</v>
          </cell>
          <cell r="S943" t="str">
            <v>ENTREGADO</v>
          </cell>
          <cell r="T943">
            <v>42690</v>
          </cell>
          <cell r="U943" t="str">
            <v>PALOMINO ESTRADA  MICHEL</v>
          </cell>
          <cell r="V943" t="str">
            <v>FLOREZ CONDORI  JOSE WILLIANS</v>
          </cell>
        </row>
        <row r="944">
          <cell r="A944">
            <v>941</v>
          </cell>
          <cell r="B944">
            <v>42690</v>
          </cell>
          <cell r="C944" t="str">
            <v>NOVIEMBRE</v>
          </cell>
          <cell r="D944" t="str">
            <v>2016</v>
          </cell>
          <cell r="E944">
            <v>351</v>
          </cell>
          <cell r="F944" t="str">
            <v>ABP-783</v>
          </cell>
          <cell r="G944" t="str">
            <v>C9S-988</v>
          </cell>
          <cell r="H944" t="str">
            <v>LAS BAMBAS</v>
          </cell>
          <cell r="I944">
            <v>122840</v>
          </cell>
          <cell r="J944" t="str">
            <v>REPUESTO</v>
          </cell>
          <cell r="K944" t="str">
            <v>ARANDELA PLANA 5/16</v>
          </cell>
          <cell r="L944">
            <v>12</v>
          </cell>
          <cell r="M944" t="str">
            <v>UNID.</v>
          </cell>
          <cell r="N944" t="str">
            <v>CISTERNA</v>
          </cell>
          <cell r="O944">
            <v>0</v>
          </cell>
          <cell r="P944" t="str">
            <v>S2</v>
          </cell>
          <cell r="Q944" t="str">
            <v>J1</v>
          </cell>
          <cell r="R944" t="str">
            <v>J6</v>
          </cell>
          <cell r="S944" t="str">
            <v>ENTREGADO</v>
          </cell>
          <cell r="T944">
            <v>42690</v>
          </cell>
          <cell r="U944" t="str">
            <v>PALOMINO ESTRADA  MICHEL</v>
          </cell>
          <cell r="V944" t="str">
            <v>FLOREZ CONDORI  JOSE WILLIANS</v>
          </cell>
        </row>
        <row r="945">
          <cell r="A945">
            <v>965</v>
          </cell>
          <cell r="B945">
            <v>42690</v>
          </cell>
          <cell r="C945" t="str">
            <v>NOVIEMBRE</v>
          </cell>
          <cell r="D945" t="str">
            <v>2016</v>
          </cell>
          <cell r="E945">
            <v>351</v>
          </cell>
          <cell r="F945" t="str">
            <v>ABP-783</v>
          </cell>
          <cell r="G945" t="str">
            <v>C9S-988</v>
          </cell>
          <cell r="H945" t="str">
            <v>LAS BAMBAS</v>
          </cell>
          <cell r="I945">
            <v>122840</v>
          </cell>
          <cell r="J945" t="str">
            <v>REPUESTO</v>
          </cell>
          <cell r="K945" t="str">
            <v>AGUA LIMPIA PARABRISA</v>
          </cell>
          <cell r="L945">
            <v>1</v>
          </cell>
          <cell r="M945" t="str">
            <v>GLNS.</v>
          </cell>
          <cell r="N945" t="str">
            <v>TRACTO</v>
          </cell>
          <cell r="O945">
            <v>0</v>
          </cell>
          <cell r="P945" t="str">
            <v>M2</v>
          </cell>
          <cell r="Q945" t="str">
            <v>J2</v>
          </cell>
          <cell r="R945" t="str">
            <v>J6</v>
          </cell>
          <cell r="S945" t="str">
            <v>ENTREGADO</v>
          </cell>
          <cell r="T945">
            <v>42690</v>
          </cell>
          <cell r="U945" t="str">
            <v>CHUMPITAZ GAGO JULIO ENRIQUE</v>
          </cell>
          <cell r="V945" t="str">
            <v>CORIHUAMAN SURCO  ERICK ROBERT</v>
          </cell>
        </row>
        <row r="946">
          <cell r="A946">
            <v>988</v>
          </cell>
          <cell r="B946">
            <v>42690</v>
          </cell>
          <cell r="C946" t="str">
            <v>NOVIEMBRE</v>
          </cell>
          <cell r="D946" t="str">
            <v>2016</v>
          </cell>
          <cell r="E946">
            <v>355</v>
          </cell>
          <cell r="F946" t="str">
            <v>APG-726</v>
          </cell>
          <cell r="G946" t="str">
            <v>CAMIONETA</v>
          </cell>
          <cell r="H946" t="str">
            <v>LAS BAMBAS</v>
          </cell>
          <cell r="I946">
            <v>1356</v>
          </cell>
          <cell r="J946" t="str">
            <v>REPUESTO</v>
          </cell>
          <cell r="K946" t="str">
            <v>UNION DE 3/8"</v>
          </cell>
          <cell r="L946">
            <v>1</v>
          </cell>
          <cell r="M946" t="str">
            <v>UNID.</v>
          </cell>
          <cell r="N946" t="str">
            <v>CISTERNA</v>
          </cell>
          <cell r="O946">
            <v>0</v>
          </cell>
          <cell r="P946" t="str">
            <v>E1</v>
          </cell>
          <cell r="Q946" t="str">
            <v>J2</v>
          </cell>
          <cell r="R946" t="str">
            <v>J2</v>
          </cell>
          <cell r="S946" t="str">
            <v>ENTREGADO</v>
          </cell>
          <cell r="T946">
            <v>42690</v>
          </cell>
          <cell r="U946" t="str">
            <v>PALOMINO CARDENAS JUAN CARLOS</v>
          </cell>
          <cell r="V946" t="str">
            <v>CORIHUAMAN SURCO  ERICK ROBERT</v>
          </cell>
        </row>
        <row r="947">
          <cell r="A947">
            <v>989</v>
          </cell>
          <cell r="B947">
            <v>42690</v>
          </cell>
          <cell r="C947" t="str">
            <v>NOVIEMBRE</v>
          </cell>
          <cell r="D947" t="str">
            <v>2016</v>
          </cell>
          <cell r="E947">
            <v>355</v>
          </cell>
          <cell r="F947" t="str">
            <v>APG-726</v>
          </cell>
          <cell r="G947" t="str">
            <v>CAMIONETA</v>
          </cell>
          <cell r="H947" t="str">
            <v>LAS BAMBAS</v>
          </cell>
          <cell r="I947">
            <v>1356</v>
          </cell>
          <cell r="J947" t="str">
            <v>REPUESTO</v>
          </cell>
          <cell r="K947" t="str">
            <v>UNION TIPO T 3/8"</v>
          </cell>
          <cell r="L947">
            <v>1</v>
          </cell>
          <cell r="M947" t="str">
            <v>UNID.</v>
          </cell>
          <cell r="N947" t="str">
            <v>CISTERNA</v>
          </cell>
          <cell r="O947">
            <v>0</v>
          </cell>
          <cell r="P947" t="str">
            <v>E1</v>
          </cell>
          <cell r="Q947" t="str">
            <v>J2</v>
          </cell>
          <cell r="R947" t="str">
            <v>J2</v>
          </cell>
          <cell r="S947" t="str">
            <v>ENTREGADO</v>
          </cell>
          <cell r="T947">
            <v>42690</v>
          </cell>
          <cell r="U947" t="str">
            <v>PALOMINO CARDENAS JUAN CARLOS</v>
          </cell>
          <cell r="V947" t="str">
            <v>CORIHUAMAN SURCO  ERICK ROBERT</v>
          </cell>
        </row>
        <row r="948">
          <cell r="A948">
            <v>990</v>
          </cell>
          <cell r="B948">
            <v>42690</v>
          </cell>
          <cell r="C948" t="str">
            <v>NOVIEMBRE</v>
          </cell>
          <cell r="D948" t="str">
            <v>2016</v>
          </cell>
          <cell r="E948">
            <v>355</v>
          </cell>
          <cell r="F948" t="str">
            <v>APG-726</v>
          </cell>
          <cell r="G948" t="str">
            <v>CAMIONETA</v>
          </cell>
          <cell r="H948" t="str">
            <v>LAS BAMBAS</v>
          </cell>
          <cell r="I948">
            <v>1356</v>
          </cell>
          <cell r="J948" t="str">
            <v>REPUESTO</v>
          </cell>
          <cell r="K948" t="str">
            <v>REMACHE 5/16"</v>
          </cell>
          <cell r="L948">
            <v>1</v>
          </cell>
          <cell r="M948" t="str">
            <v>UNID.</v>
          </cell>
          <cell r="N948" t="str">
            <v>CISTERNA</v>
          </cell>
          <cell r="O948">
            <v>0</v>
          </cell>
          <cell r="P948" t="str">
            <v>M1</v>
          </cell>
          <cell r="Q948" t="str">
            <v>J2</v>
          </cell>
          <cell r="R948" t="str">
            <v>J2</v>
          </cell>
          <cell r="S948" t="str">
            <v>ENTREGADO</v>
          </cell>
          <cell r="T948">
            <v>42690</v>
          </cell>
          <cell r="U948" t="str">
            <v>CABEZAS SANCHEZ JEAN JHONATAN</v>
          </cell>
          <cell r="V948" t="str">
            <v>CORIHUAMAN SURCO  ERICK ROBERT</v>
          </cell>
        </row>
        <row r="949">
          <cell r="A949">
            <v>943</v>
          </cell>
          <cell r="B949">
            <v>42690</v>
          </cell>
          <cell r="C949" t="str">
            <v>NOVIEMBRE</v>
          </cell>
          <cell r="D949" t="str">
            <v>2016</v>
          </cell>
          <cell r="E949">
            <v>337</v>
          </cell>
          <cell r="F949" t="str">
            <v>B2L-889</v>
          </cell>
          <cell r="G949" t="str">
            <v>CAMION</v>
          </cell>
          <cell r="H949" t="str">
            <v>TAMBOMAYO</v>
          </cell>
          <cell r="I949">
            <v>0</v>
          </cell>
          <cell r="J949" t="str">
            <v>SERVICIO</v>
          </cell>
          <cell r="K949" t="str">
            <v>CORTE, DOBLEZ, PARA SOPORTE TANQUE HIDRAULICO (OMEGA)</v>
          </cell>
          <cell r="L949">
            <v>2</v>
          </cell>
          <cell r="M949" t="str">
            <v>UNID.</v>
          </cell>
          <cell r="N949" t="str">
            <v>TRACTO</v>
          </cell>
          <cell r="O949">
            <v>0</v>
          </cell>
          <cell r="P949" t="str">
            <v>S2</v>
          </cell>
          <cell r="Q949" t="str">
            <v>J1</v>
          </cell>
          <cell r="R949" t="str">
            <v>J1</v>
          </cell>
          <cell r="S949" t="str">
            <v>ENTREGADO</v>
          </cell>
          <cell r="T949">
            <v>42690</v>
          </cell>
          <cell r="U949" t="str">
            <v>PALOMINO ESTRADA  MICHEL</v>
          </cell>
          <cell r="V949" t="str">
            <v>FLOREZ CONDORI  JOSE WILLIANS</v>
          </cell>
        </row>
        <row r="950">
          <cell r="A950">
            <v>966</v>
          </cell>
          <cell r="B950">
            <v>42690</v>
          </cell>
          <cell r="C950" t="str">
            <v>NOVIEMBRE</v>
          </cell>
          <cell r="D950" t="str">
            <v>2016</v>
          </cell>
          <cell r="E950">
            <v>240</v>
          </cell>
          <cell r="F950" t="str">
            <v>B2M-948</v>
          </cell>
          <cell r="G950" t="str">
            <v>CAMION</v>
          </cell>
          <cell r="H950" t="str">
            <v>TAMBOMAYO</v>
          </cell>
          <cell r="I950">
            <v>111543</v>
          </cell>
          <cell r="J950" t="str">
            <v>REPUESTO</v>
          </cell>
          <cell r="K950" t="str">
            <v>PERNO 1/4 X 1 1/2</v>
          </cell>
          <cell r="L950">
            <v>2</v>
          </cell>
          <cell r="M950" t="str">
            <v>UNID.</v>
          </cell>
          <cell r="N950" t="str">
            <v>CAMION</v>
          </cell>
          <cell r="O950">
            <v>0</v>
          </cell>
          <cell r="P950" t="str">
            <v>M7</v>
          </cell>
          <cell r="Q950" t="str">
            <v>J1</v>
          </cell>
          <cell r="R950" t="str">
            <v>J6</v>
          </cell>
          <cell r="S950" t="str">
            <v>ENTREGADO</v>
          </cell>
          <cell r="T950">
            <v>42690</v>
          </cell>
          <cell r="U950" t="str">
            <v>ROBLES ROJAS  JOSE MIGUEL</v>
          </cell>
          <cell r="V950" t="str">
            <v>FLOREZ CONDORI  JOSE WILLIANS</v>
          </cell>
        </row>
        <row r="951">
          <cell r="A951">
            <v>967</v>
          </cell>
          <cell r="B951">
            <v>42690</v>
          </cell>
          <cell r="C951" t="str">
            <v>NOVIEMBRE</v>
          </cell>
          <cell r="D951" t="str">
            <v>2016</v>
          </cell>
          <cell r="E951">
            <v>240</v>
          </cell>
          <cell r="F951" t="str">
            <v>B2M-948</v>
          </cell>
          <cell r="G951" t="str">
            <v>CAMION</v>
          </cell>
          <cell r="H951" t="str">
            <v>TAMBOMAYO</v>
          </cell>
          <cell r="I951">
            <v>111543</v>
          </cell>
          <cell r="J951" t="str">
            <v>REPUESTO</v>
          </cell>
          <cell r="K951" t="str">
            <v>TUERCA SEGURO 1/4</v>
          </cell>
          <cell r="L951">
            <v>2</v>
          </cell>
          <cell r="M951" t="str">
            <v>UNID.</v>
          </cell>
          <cell r="N951" t="str">
            <v>CAMION</v>
          </cell>
          <cell r="O951">
            <v>0</v>
          </cell>
          <cell r="P951" t="str">
            <v>M7</v>
          </cell>
          <cell r="Q951" t="str">
            <v>J1</v>
          </cell>
          <cell r="R951" t="str">
            <v>J6</v>
          </cell>
          <cell r="S951" t="str">
            <v>ENTREGADO</v>
          </cell>
          <cell r="T951">
            <v>42690</v>
          </cell>
          <cell r="U951" t="str">
            <v>ROBLES ROJAS  JOSE MIGUEL</v>
          </cell>
          <cell r="V951" t="str">
            <v>FLOREZ CONDORI  JOSE WILLIANS</v>
          </cell>
        </row>
        <row r="952">
          <cell r="A952">
            <v>968</v>
          </cell>
          <cell r="B952">
            <v>42690</v>
          </cell>
          <cell r="C952" t="str">
            <v>NOVIEMBRE</v>
          </cell>
          <cell r="D952" t="str">
            <v>2016</v>
          </cell>
          <cell r="E952">
            <v>240</v>
          </cell>
          <cell r="F952" t="str">
            <v>B2M-948</v>
          </cell>
          <cell r="G952" t="str">
            <v>CAMION</v>
          </cell>
          <cell r="H952" t="str">
            <v>TAMBOMAYO</v>
          </cell>
          <cell r="I952">
            <v>111543</v>
          </cell>
          <cell r="J952" t="str">
            <v>REPUESTO</v>
          </cell>
          <cell r="K952" t="str">
            <v>VOLANDA PLANA 1/4</v>
          </cell>
          <cell r="L952">
            <v>4</v>
          </cell>
          <cell r="M952" t="str">
            <v>UNID.</v>
          </cell>
          <cell r="N952" t="str">
            <v>CAMION</v>
          </cell>
          <cell r="O952">
            <v>0</v>
          </cell>
          <cell r="P952" t="str">
            <v>M7</v>
          </cell>
          <cell r="Q952" t="str">
            <v>J1</v>
          </cell>
          <cell r="R952" t="str">
            <v>J6</v>
          </cell>
          <cell r="S952" t="str">
            <v>ENTREGADO</v>
          </cell>
          <cell r="T952">
            <v>42690</v>
          </cell>
          <cell r="U952" t="str">
            <v>ROBLES ROJAS  JOSE MIGUEL</v>
          </cell>
          <cell r="V952" t="str">
            <v>FLOREZ CONDORI  JOSE WILLIANS</v>
          </cell>
        </row>
        <row r="953">
          <cell r="A953">
            <v>976</v>
          </cell>
          <cell r="B953">
            <v>42690</v>
          </cell>
          <cell r="C953" t="str">
            <v>NOVIEMBRE</v>
          </cell>
          <cell r="D953" t="str">
            <v>2016</v>
          </cell>
          <cell r="E953">
            <v>240</v>
          </cell>
          <cell r="F953" t="str">
            <v>B2M-948</v>
          </cell>
          <cell r="G953" t="str">
            <v>CAMION</v>
          </cell>
          <cell r="H953" t="str">
            <v>TAMBOMAYO</v>
          </cell>
          <cell r="I953">
            <v>111543</v>
          </cell>
          <cell r="J953" t="str">
            <v>REPUESTO</v>
          </cell>
          <cell r="K953" t="str">
            <v>FOCOS H4 24 V</v>
          </cell>
          <cell r="L953">
            <v>2</v>
          </cell>
          <cell r="M953" t="str">
            <v>UNID.</v>
          </cell>
          <cell r="N953" t="str">
            <v>CAMION</v>
          </cell>
          <cell r="O953">
            <v>0</v>
          </cell>
          <cell r="P953" t="str">
            <v>E2</v>
          </cell>
          <cell r="Q953" t="str">
            <v>J2</v>
          </cell>
          <cell r="R953" t="str">
            <v>J6</v>
          </cell>
          <cell r="S953" t="str">
            <v>ENTREGADO</v>
          </cell>
          <cell r="T953">
            <v>42690</v>
          </cell>
          <cell r="U953" t="str">
            <v>YUCA BELLIDO BORIS YERSY</v>
          </cell>
          <cell r="V953" t="str">
            <v>CORIHUAMAN SURCO  ERICK ROBERT</v>
          </cell>
        </row>
        <row r="954">
          <cell r="A954">
            <v>977</v>
          </cell>
          <cell r="B954">
            <v>42690</v>
          </cell>
          <cell r="C954" t="str">
            <v>NOVIEMBRE</v>
          </cell>
          <cell r="D954" t="str">
            <v>2016</v>
          </cell>
          <cell r="E954">
            <v>240</v>
          </cell>
          <cell r="F954" t="str">
            <v>B2M-948</v>
          </cell>
          <cell r="G954" t="str">
            <v>CAMION</v>
          </cell>
          <cell r="H954" t="str">
            <v>TAMBOMAYO</v>
          </cell>
          <cell r="I954">
            <v>111543</v>
          </cell>
          <cell r="J954" t="str">
            <v>REPUESTO</v>
          </cell>
          <cell r="K954" t="str">
            <v>TERMINALES OJOS 3 16</v>
          </cell>
          <cell r="L954">
            <v>2</v>
          </cell>
          <cell r="M954" t="str">
            <v>UNID.</v>
          </cell>
          <cell r="N954" t="str">
            <v>CAMION</v>
          </cell>
          <cell r="O954">
            <v>0</v>
          </cell>
          <cell r="P954" t="str">
            <v>E2</v>
          </cell>
          <cell r="Q954" t="str">
            <v>J2</v>
          </cell>
          <cell r="R954" t="str">
            <v>J6</v>
          </cell>
          <cell r="S954" t="str">
            <v>ENTREGADO</v>
          </cell>
          <cell r="T954">
            <v>42690</v>
          </cell>
          <cell r="U954" t="str">
            <v>YUCA BELLIDO BORIS YERSY</v>
          </cell>
          <cell r="V954" t="str">
            <v>CORIHUAMAN SURCO  ERICK ROBERT</v>
          </cell>
        </row>
        <row r="955">
          <cell r="A955">
            <v>981</v>
          </cell>
          <cell r="B955">
            <v>42690</v>
          </cell>
          <cell r="C955" t="str">
            <v>NOVIEMBRE</v>
          </cell>
          <cell r="D955" t="str">
            <v>2016</v>
          </cell>
          <cell r="E955">
            <v>240</v>
          </cell>
          <cell r="F955" t="str">
            <v>B2M-948</v>
          </cell>
          <cell r="G955" t="str">
            <v>CAMION</v>
          </cell>
          <cell r="H955" t="str">
            <v>TAMBOMAYO</v>
          </cell>
          <cell r="I955">
            <v>111543</v>
          </cell>
          <cell r="J955" t="str">
            <v>REPUESTO</v>
          </cell>
          <cell r="K955" t="str">
            <v>PERNO 5/16" X 2"</v>
          </cell>
          <cell r="L955">
            <v>1</v>
          </cell>
          <cell r="M955" t="str">
            <v>UNID.</v>
          </cell>
          <cell r="N955" t="str">
            <v>CAMION</v>
          </cell>
          <cell r="O955">
            <v>0</v>
          </cell>
          <cell r="P955" t="str">
            <v>E2</v>
          </cell>
          <cell r="Q955" t="str">
            <v>J2</v>
          </cell>
          <cell r="R955" t="str">
            <v>J2</v>
          </cell>
          <cell r="S955" t="str">
            <v>ENTREGADO</v>
          </cell>
          <cell r="T955">
            <v>42690</v>
          </cell>
          <cell r="U955" t="str">
            <v>YUCA BELLIDO BORIS YERSY</v>
          </cell>
          <cell r="V955" t="str">
            <v>CORIHUAMAN SURCO  ERICK ROBERT</v>
          </cell>
        </row>
        <row r="956">
          <cell r="A956">
            <v>982</v>
          </cell>
          <cell r="B956">
            <v>42690</v>
          </cell>
          <cell r="C956" t="str">
            <v>NOVIEMBRE</v>
          </cell>
          <cell r="D956" t="str">
            <v>2016</v>
          </cell>
          <cell r="E956">
            <v>240</v>
          </cell>
          <cell r="F956" t="str">
            <v>B2M-948</v>
          </cell>
          <cell r="G956" t="str">
            <v>CAMION</v>
          </cell>
          <cell r="H956" t="str">
            <v>TAMBOMAYO</v>
          </cell>
          <cell r="I956">
            <v>111543</v>
          </cell>
          <cell r="J956" t="str">
            <v>REPUESTO</v>
          </cell>
          <cell r="K956" t="str">
            <v>TUERCAS 5/16"</v>
          </cell>
          <cell r="L956">
            <v>2</v>
          </cell>
          <cell r="M956" t="str">
            <v>UNID.</v>
          </cell>
          <cell r="N956" t="str">
            <v>CAMION</v>
          </cell>
          <cell r="O956">
            <v>0</v>
          </cell>
          <cell r="P956" t="str">
            <v>E2</v>
          </cell>
          <cell r="Q956" t="str">
            <v>J2</v>
          </cell>
          <cell r="R956" t="str">
            <v>J2</v>
          </cell>
          <cell r="S956" t="str">
            <v>ENTREGADO</v>
          </cell>
          <cell r="T956">
            <v>42690</v>
          </cell>
          <cell r="U956" t="str">
            <v>YUCA BELLIDO BORIS YERSY</v>
          </cell>
          <cell r="V956" t="str">
            <v>CORIHUAMAN SURCO  ERICK ROBERT</v>
          </cell>
        </row>
        <row r="957">
          <cell r="A957">
            <v>983</v>
          </cell>
          <cell r="B957">
            <v>42690</v>
          </cell>
          <cell r="C957" t="str">
            <v>NOVIEMBRE</v>
          </cell>
          <cell r="D957" t="str">
            <v>2016</v>
          </cell>
          <cell r="E957">
            <v>240</v>
          </cell>
          <cell r="F957" t="str">
            <v>B2M-948</v>
          </cell>
          <cell r="G957" t="str">
            <v>CAMION</v>
          </cell>
          <cell r="H957" t="str">
            <v>TAMBOMAYO</v>
          </cell>
          <cell r="I957">
            <v>111543</v>
          </cell>
          <cell r="J957" t="str">
            <v>REPUESTO</v>
          </cell>
          <cell r="K957" t="str">
            <v>VOLANDAS PLANAS 5/16"</v>
          </cell>
          <cell r="L957">
            <v>2</v>
          </cell>
          <cell r="M957" t="str">
            <v>UNID.</v>
          </cell>
          <cell r="N957" t="str">
            <v>CAMION</v>
          </cell>
          <cell r="O957">
            <v>0</v>
          </cell>
          <cell r="P957" t="str">
            <v>E2</v>
          </cell>
          <cell r="Q957" t="str">
            <v>J2</v>
          </cell>
          <cell r="R957" t="str">
            <v>J2</v>
          </cell>
          <cell r="S957" t="str">
            <v>ENTREGADO</v>
          </cell>
          <cell r="T957">
            <v>42690</v>
          </cell>
          <cell r="U957" t="str">
            <v>YUCA BELLIDO BORIS YERSY</v>
          </cell>
          <cell r="V957" t="str">
            <v>CORIHUAMAN SURCO  ERICK ROBERT</v>
          </cell>
        </row>
        <row r="958">
          <cell r="A958">
            <v>984</v>
          </cell>
          <cell r="B958">
            <v>42690</v>
          </cell>
          <cell r="C958" t="str">
            <v>NOVIEMBRE</v>
          </cell>
          <cell r="D958" t="str">
            <v>2016</v>
          </cell>
          <cell r="E958">
            <v>240</v>
          </cell>
          <cell r="F958" t="str">
            <v>B2M-948</v>
          </cell>
          <cell r="G958" t="str">
            <v>CAMION</v>
          </cell>
          <cell r="H958" t="str">
            <v>TAMBOMAYO</v>
          </cell>
          <cell r="I958">
            <v>111543</v>
          </cell>
          <cell r="J958" t="str">
            <v>REPUESTO</v>
          </cell>
          <cell r="K958" t="str">
            <v>FOCO DOBLE CONTACTO 24V</v>
          </cell>
          <cell r="L958">
            <v>1</v>
          </cell>
          <cell r="M958" t="str">
            <v>UNID.</v>
          </cell>
          <cell r="N958" t="str">
            <v>CAMION</v>
          </cell>
          <cell r="O958">
            <v>0</v>
          </cell>
          <cell r="P958" t="str">
            <v>E2</v>
          </cell>
          <cell r="Q958" t="str">
            <v>J2</v>
          </cell>
          <cell r="R958" t="str">
            <v>J2</v>
          </cell>
          <cell r="S958" t="str">
            <v>ENTREGADO</v>
          </cell>
          <cell r="T958">
            <v>42690</v>
          </cell>
          <cell r="U958" t="str">
            <v>YUCA BELLIDO BORIS YERSY</v>
          </cell>
          <cell r="V958" t="str">
            <v>CORIHUAMAN SURCO  ERICK ROBERT</v>
          </cell>
        </row>
        <row r="959">
          <cell r="A959">
            <v>985</v>
          </cell>
          <cell r="B959">
            <v>42690</v>
          </cell>
          <cell r="C959" t="str">
            <v>NOVIEMBRE</v>
          </cell>
          <cell r="D959" t="str">
            <v>2016</v>
          </cell>
          <cell r="E959">
            <v>240</v>
          </cell>
          <cell r="F959" t="str">
            <v>B2M-948</v>
          </cell>
          <cell r="G959" t="str">
            <v>CAMION</v>
          </cell>
          <cell r="H959" t="str">
            <v>TAMBOMAYO</v>
          </cell>
          <cell r="I959">
            <v>111543</v>
          </cell>
          <cell r="J959" t="str">
            <v>REPUESTO</v>
          </cell>
          <cell r="K959" t="str">
            <v>FOCO DE UN CONTACTO DE 24V</v>
          </cell>
          <cell r="L959">
            <v>1</v>
          </cell>
          <cell r="M959" t="str">
            <v>UNID.</v>
          </cell>
          <cell r="N959" t="str">
            <v>CAMION</v>
          </cell>
          <cell r="O959">
            <v>0</v>
          </cell>
          <cell r="P959" t="str">
            <v>E2</v>
          </cell>
          <cell r="Q959" t="str">
            <v>J2</v>
          </cell>
          <cell r="R959" t="str">
            <v>J2</v>
          </cell>
          <cell r="S959" t="str">
            <v>ENTREGADO</v>
          </cell>
          <cell r="T959">
            <v>42690</v>
          </cell>
          <cell r="U959" t="str">
            <v>YUCA BELLIDO BORIS YERSY</v>
          </cell>
          <cell r="V959" t="str">
            <v>CORIHUAMAN SURCO  ERICK ROBERT</v>
          </cell>
        </row>
        <row r="960">
          <cell r="A960">
            <v>986</v>
          </cell>
          <cell r="B960">
            <v>42690</v>
          </cell>
          <cell r="C960" t="str">
            <v>NOVIEMBRE</v>
          </cell>
          <cell r="D960" t="str">
            <v>2016</v>
          </cell>
          <cell r="E960">
            <v>204</v>
          </cell>
          <cell r="F960" t="str">
            <v>C9P-948</v>
          </cell>
          <cell r="G960" t="str">
            <v>B4O-995</v>
          </cell>
          <cell r="H960" t="str">
            <v>LAS BAMBAS</v>
          </cell>
          <cell r="I960">
            <v>156586</v>
          </cell>
          <cell r="J960" t="str">
            <v>REPUESTO</v>
          </cell>
          <cell r="K960" t="str">
            <v>FOCOS 9006</v>
          </cell>
          <cell r="L960">
            <v>2</v>
          </cell>
          <cell r="M960" t="str">
            <v>UNID.</v>
          </cell>
          <cell r="N960" t="str">
            <v>TRACTO</v>
          </cell>
          <cell r="O960">
            <v>0</v>
          </cell>
          <cell r="P960" t="str">
            <v>E1</v>
          </cell>
          <cell r="Q960" t="str">
            <v>J2</v>
          </cell>
          <cell r="R960" t="str">
            <v>J2</v>
          </cell>
          <cell r="S960" t="str">
            <v>ENTREGADO</v>
          </cell>
          <cell r="T960">
            <v>42690</v>
          </cell>
          <cell r="U960" t="str">
            <v>PALOMINO CARDENAS JUAN CARLOS</v>
          </cell>
          <cell r="V960" t="str">
            <v>CORIHUAMAN SURCO  ERICK ROBERT</v>
          </cell>
        </row>
        <row r="961">
          <cell r="A961">
            <v>987</v>
          </cell>
          <cell r="B961">
            <v>42690</v>
          </cell>
          <cell r="C961" t="str">
            <v>NOVIEMBRE</v>
          </cell>
          <cell r="D961" t="str">
            <v>2016</v>
          </cell>
          <cell r="E961">
            <v>204</v>
          </cell>
          <cell r="F961" t="str">
            <v>C9P-948</v>
          </cell>
          <cell r="G961" t="str">
            <v>B4O-995</v>
          </cell>
          <cell r="H961" t="str">
            <v>LAS BAMBAS</v>
          </cell>
          <cell r="I961">
            <v>156586</v>
          </cell>
          <cell r="J961" t="str">
            <v>REPUESTO</v>
          </cell>
          <cell r="K961" t="str">
            <v>FOCOS 9005</v>
          </cell>
          <cell r="L961">
            <v>2</v>
          </cell>
          <cell r="M961" t="str">
            <v>UNID.</v>
          </cell>
          <cell r="N961" t="str">
            <v>TRACTO</v>
          </cell>
          <cell r="O961">
            <v>0</v>
          </cell>
          <cell r="P961" t="str">
            <v>E1</v>
          </cell>
          <cell r="Q961" t="str">
            <v>J2</v>
          </cell>
          <cell r="R961" t="str">
            <v>J2</v>
          </cell>
          <cell r="S961" t="str">
            <v>ENTREGADO</v>
          </cell>
          <cell r="T961">
            <v>42690</v>
          </cell>
          <cell r="U961" t="str">
            <v>PALOMINO CARDENAS JUAN CARLOS</v>
          </cell>
          <cell r="V961" t="str">
            <v>CORIHUAMAN SURCO  ERICK ROBERT</v>
          </cell>
        </row>
        <row r="962">
          <cell r="A962">
            <v>942</v>
          </cell>
          <cell r="B962">
            <v>42690</v>
          </cell>
          <cell r="C962" t="str">
            <v>NOVIEMBRE</v>
          </cell>
          <cell r="D962" t="str">
            <v>2016</v>
          </cell>
          <cell r="E962">
            <v>348</v>
          </cell>
          <cell r="F962" t="str">
            <v>D3P-747</v>
          </cell>
          <cell r="G962" t="str">
            <v>A0T-985</v>
          </cell>
          <cell r="H962" t="str">
            <v>LAS BAMBAS</v>
          </cell>
          <cell r="I962">
            <v>181234</v>
          </cell>
          <cell r="J962" t="str">
            <v>REPUESTO</v>
          </cell>
          <cell r="K962" t="str">
            <v>PITON RECTO</v>
          </cell>
          <cell r="L962">
            <v>1</v>
          </cell>
          <cell r="M962" t="str">
            <v>UNID.</v>
          </cell>
          <cell r="N962" t="str">
            <v>TRACTO</v>
          </cell>
          <cell r="O962">
            <v>0</v>
          </cell>
          <cell r="P962" t="str">
            <v>N1</v>
          </cell>
          <cell r="Q962" t="str">
            <v>J3</v>
          </cell>
          <cell r="R962" t="str">
            <v>J6</v>
          </cell>
          <cell r="S962" t="str">
            <v>ENTREGADO</v>
          </cell>
          <cell r="T962">
            <v>42690</v>
          </cell>
          <cell r="U962" t="str">
            <v>AGUILAR CCANTUTA WILLY</v>
          </cell>
          <cell r="V962" t="str">
            <v>CHURA PIZARRO ALBERTO</v>
          </cell>
        </row>
        <row r="963">
          <cell r="A963">
            <v>955</v>
          </cell>
          <cell r="B963">
            <v>42690</v>
          </cell>
          <cell r="C963" t="str">
            <v>NOVIEMBRE</v>
          </cell>
          <cell r="D963" t="str">
            <v>2016</v>
          </cell>
          <cell r="E963">
            <v>348</v>
          </cell>
          <cell r="F963" t="str">
            <v>D3P-747</v>
          </cell>
          <cell r="G963" t="str">
            <v>A0T-985</v>
          </cell>
          <cell r="H963" t="str">
            <v>LAS BAMBAS</v>
          </cell>
          <cell r="I963">
            <v>181234</v>
          </cell>
          <cell r="J963" t="str">
            <v>REPUESTO</v>
          </cell>
          <cell r="K963" t="str">
            <v>NIPLES 1/2 X 3/8</v>
          </cell>
          <cell r="L963">
            <v>2</v>
          </cell>
          <cell r="M963" t="str">
            <v>UNID.</v>
          </cell>
          <cell r="N963" t="str">
            <v>TRACTO</v>
          </cell>
          <cell r="O963">
            <v>0</v>
          </cell>
          <cell r="P963" t="str">
            <v>M7</v>
          </cell>
          <cell r="Q963" t="str">
            <v>J1</v>
          </cell>
          <cell r="R963" t="str">
            <v>J6</v>
          </cell>
          <cell r="S963" t="str">
            <v>ENTREGADO</v>
          </cell>
          <cell r="T963">
            <v>42690</v>
          </cell>
          <cell r="U963" t="str">
            <v>ROBLES ROJAS  JOSE MIGUEL</v>
          </cell>
          <cell r="V963" t="str">
            <v>FLOREZ CONDORI  JOSE WILLIANS</v>
          </cell>
        </row>
        <row r="964">
          <cell r="A964">
            <v>956</v>
          </cell>
          <cell r="B964">
            <v>42690</v>
          </cell>
          <cell r="C964" t="str">
            <v>NOVIEMBRE</v>
          </cell>
          <cell r="D964" t="str">
            <v>2016</v>
          </cell>
          <cell r="E964">
            <v>348</v>
          </cell>
          <cell r="F964" t="str">
            <v>D3P-747</v>
          </cell>
          <cell r="G964" t="str">
            <v>A0T-985</v>
          </cell>
          <cell r="H964" t="str">
            <v>LAS BAMBAS</v>
          </cell>
          <cell r="I964">
            <v>181234</v>
          </cell>
          <cell r="J964" t="str">
            <v>REPUESTO</v>
          </cell>
          <cell r="K964" t="str">
            <v>CONO 1/2</v>
          </cell>
          <cell r="L964">
            <v>2</v>
          </cell>
          <cell r="M964" t="str">
            <v>UNID.</v>
          </cell>
          <cell r="N964" t="str">
            <v>TRACTO</v>
          </cell>
          <cell r="O964">
            <v>0</v>
          </cell>
          <cell r="P964" t="str">
            <v>M7</v>
          </cell>
          <cell r="Q964" t="str">
            <v>J1</v>
          </cell>
          <cell r="R964" t="str">
            <v>J6</v>
          </cell>
          <cell r="S964" t="str">
            <v>ENTREGADO</v>
          </cell>
          <cell r="T964">
            <v>42690</v>
          </cell>
          <cell r="U964" t="str">
            <v>ROBLES ROJAS  JOSE MIGUEL</v>
          </cell>
          <cell r="V964" t="str">
            <v>FLOREZ CONDORI  JOSE WILLIANS</v>
          </cell>
        </row>
        <row r="965">
          <cell r="A965">
            <v>957</v>
          </cell>
          <cell r="B965">
            <v>42690</v>
          </cell>
          <cell r="C965" t="str">
            <v>NOVIEMBRE</v>
          </cell>
          <cell r="D965" t="str">
            <v>2016</v>
          </cell>
          <cell r="E965">
            <v>348</v>
          </cell>
          <cell r="F965" t="str">
            <v>D3P-747</v>
          </cell>
          <cell r="G965" t="str">
            <v>A0T-985</v>
          </cell>
          <cell r="H965" t="str">
            <v>LAS BAMBAS</v>
          </cell>
          <cell r="I965">
            <v>181234</v>
          </cell>
          <cell r="J965" t="str">
            <v>REPUESTO</v>
          </cell>
          <cell r="K965" t="str">
            <v>GUIA 1/2</v>
          </cell>
          <cell r="L965">
            <v>2</v>
          </cell>
          <cell r="M965" t="str">
            <v>UNID.</v>
          </cell>
          <cell r="N965" t="str">
            <v>TRACTO</v>
          </cell>
          <cell r="O965">
            <v>0</v>
          </cell>
          <cell r="P965" t="str">
            <v>M7</v>
          </cell>
          <cell r="Q965" t="str">
            <v>J1</v>
          </cell>
          <cell r="R965" t="str">
            <v>J6</v>
          </cell>
          <cell r="S965" t="str">
            <v>ENTREGADO</v>
          </cell>
          <cell r="T965">
            <v>42690</v>
          </cell>
          <cell r="U965" t="str">
            <v>ROBLES ROJAS  JOSE MIGUEL</v>
          </cell>
          <cell r="V965" t="str">
            <v>FLOREZ CONDORI  JOSE WILLIANS</v>
          </cell>
        </row>
        <row r="966">
          <cell r="A966">
            <v>958</v>
          </cell>
          <cell r="B966">
            <v>42690</v>
          </cell>
          <cell r="C966" t="str">
            <v>NOVIEMBRE</v>
          </cell>
          <cell r="D966" t="str">
            <v>2016</v>
          </cell>
          <cell r="E966">
            <v>348</v>
          </cell>
          <cell r="F966" t="str">
            <v>D3P-747</v>
          </cell>
          <cell r="G966" t="str">
            <v>A0T-985</v>
          </cell>
          <cell r="H966" t="str">
            <v>LAS BAMBAS</v>
          </cell>
          <cell r="I966">
            <v>181234</v>
          </cell>
          <cell r="J966" t="str">
            <v>REPUESTO</v>
          </cell>
          <cell r="K966" t="str">
            <v>PRESINTOS 300</v>
          </cell>
          <cell r="L966">
            <v>4</v>
          </cell>
          <cell r="M966" t="str">
            <v>UNID.</v>
          </cell>
          <cell r="N966" t="str">
            <v>TRACTO</v>
          </cell>
          <cell r="O966">
            <v>0</v>
          </cell>
          <cell r="P966" t="str">
            <v>M7</v>
          </cell>
          <cell r="Q966" t="str">
            <v>J1</v>
          </cell>
          <cell r="R966" t="str">
            <v>J6</v>
          </cell>
          <cell r="S966" t="str">
            <v>ENTREGADO</v>
          </cell>
          <cell r="T966">
            <v>42690</v>
          </cell>
          <cell r="U966" t="str">
            <v>ROBLES ROJAS  JOSE MIGUEL</v>
          </cell>
          <cell r="V966" t="str">
            <v>FLOREZ CONDORI  JOSE WILLIANS</v>
          </cell>
        </row>
        <row r="967">
          <cell r="A967">
            <v>959</v>
          </cell>
          <cell r="B967">
            <v>42690</v>
          </cell>
          <cell r="C967" t="str">
            <v>NOVIEMBRE</v>
          </cell>
          <cell r="D967" t="str">
            <v>2016</v>
          </cell>
          <cell r="E967">
            <v>348</v>
          </cell>
          <cell r="F967" t="str">
            <v>D3P-747</v>
          </cell>
          <cell r="G967" t="str">
            <v>A0T-985</v>
          </cell>
          <cell r="H967" t="str">
            <v>LAS BAMBAS</v>
          </cell>
          <cell r="I967">
            <v>181234</v>
          </cell>
          <cell r="J967" t="str">
            <v>REPUESTO</v>
          </cell>
          <cell r="K967" t="str">
            <v>MANGUERA SIMFLEX DE 3/8</v>
          </cell>
          <cell r="L967">
            <v>2</v>
          </cell>
          <cell r="M967" t="str">
            <v>M</v>
          </cell>
          <cell r="N967" t="str">
            <v>TRACTO</v>
          </cell>
          <cell r="O967">
            <v>0</v>
          </cell>
          <cell r="P967" t="str">
            <v>M7</v>
          </cell>
          <cell r="Q967" t="str">
            <v>J1</v>
          </cell>
          <cell r="R967" t="str">
            <v>J6</v>
          </cell>
          <cell r="S967" t="str">
            <v>ENTREGADO</v>
          </cell>
          <cell r="T967">
            <v>42690</v>
          </cell>
          <cell r="U967" t="str">
            <v>ROBLES ROJAS  JOSE MIGUEL</v>
          </cell>
          <cell r="V967" t="str">
            <v>FLOREZ CONDORI  JOSE WILLIANS</v>
          </cell>
        </row>
        <row r="968">
          <cell r="A968">
            <v>937</v>
          </cell>
          <cell r="B968">
            <v>42690</v>
          </cell>
          <cell r="C968" t="str">
            <v>NOVIEMBRE</v>
          </cell>
          <cell r="D968" t="str">
            <v>2016</v>
          </cell>
          <cell r="E968">
            <v>345</v>
          </cell>
          <cell r="F968" t="str">
            <v>D3R-742</v>
          </cell>
          <cell r="G968" t="str">
            <v>D2E-975</v>
          </cell>
          <cell r="H968" t="str">
            <v>LAS BAMBAS</v>
          </cell>
          <cell r="I968">
            <v>150239</v>
          </cell>
          <cell r="J968" t="str">
            <v>REPUESTO</v>
          </cell>
          <cell r="K968" t="str">
            <v>MANGUERA DE INTERCOOLER A TURBO</v>
          </cell>
          <cell r="L968">
            <v>1</v>
          </cell>
          <cell r="M968" t="str">
            <v>UNID.</v>
          </cell>
          <cell r="N968" t="str">
            <v>TRACTO</v>
          </cell>
          <cell r="O968">
            <v>100</v>
          </cell>
          <cell r="P968" t="str">
            <v>M6</v>
          </cell>
          <cell r="Q968" t="str">
            <v>J2</v>
          </cell>
          <cell r="R968" t="str">
            <v>J6</v>
          </cell>
          <cell r="S968" t="str">
            <v>ENTREGADO</v>
          </cell>
          <cell r="T968">
            <v>0</v>
          </cell>
          <cell r="U968" t="str">
            <v>PARI VENTURA  EDSON ORLANDO</v>
          </cell>
          <cell r="V968" t="str">
            <v>CORIHUAMAN SURCO  ERICK ROBERT</v>
          </cell>
        </row>
        <row r="969">
          <cell r="A969">
            <v>979</v>
          </cell>
          <cell r="B969">
            <v>42690</v>
          </cell>
          <cell r="C969" t="str">
            <v>NOVIEMBRE</v>
          </cell>
          <cell r="D969" t="str">
            <v>2016</v>
          </cell>
          <cell r="E969">
            <v>345</v>
          </cell>
          <cell r="F969" t="str">
            <v>D3R-742</v>
          </cell>
          <cell r="G969" t="str">
            <v>D2E-975</v>
          </cell>
          <cell r="H969" t="str">
            <v>LAS BAMBAS</v>
          </cell>
          <cell r="I969">
            <v>150239</v>
          </cell>
          <cell r="J969" t="str">
            <v>REPUESTO</v>
          </cell>
          <cell r="K969" t="str">
            <v>PERNOS DE 1/2 x 2" CON HUCHA PLANO Y HUCHA DE PRECION CON TUERCA</v>
          </cell>
          <cell r="L969">
            <v>4</v>
          </cell>
          <cell r="M969" t="str">
            <v>UNID.</v>
          </cell>
          <cell r="N969" t="str">
            <v>TRACTO</v>
          </cell>
          <cell r="O969">
            <v>0</v>
          </cell>
          <cell r="P969" t="str">
            <v>M2</v>
          </cell>
          <cell r="Q969" t="str">
            <v>J2</v>
          </cell>
          <cell r="R969" t="str">
            <v>J4</v>
          </cell>
          <cell r="S969" t="str">
            <v>ENTREGADO</v>
          </cell>
          <cell r="T969">
            <v>42690</v>
          </cell>
          <cell r="U969" t="str">
            <v>CHUMPITAZ GAGO JULIO ENRIQUE</v>
          </cell>
          <cell r="V969" t="str">
            <v>CORIHUAMAN SURCO  ERICK ROBERT</v>
          </cell>
        </row>
        <row r="970">
          <cell r="A970">
            <v>980</v>
          </cell>
          <cell r="B970">
            <v>42690</v>
          </cell>
          <cell r="C970" t="str">
            <v>NOVIEMBRE</v>
          </cell>
          <cell r="D970" t="str">
            <v>2016</v>
          </cell>
          <cell r="E970">
            <v>354</v>
          </cell>
          <cell r="F970" t="str">
            <v>D6F-825</v>
          </cell>
          <cell r="G970" t="str">
            <v>T2Y-992</v>
          </cell>
          <cell r="H970" t="str">
            <v>LAS BAMBAS</v>
          </cell>
          <cell r="I970">
            <v>182729</v>
          </cell>
          <cell r="J970" t="str">
            <v>REPUESTO</v>
          </cell>
          <cell r="K970" t="str">
            <v xml:space="preserve">MASCARA DE TABLERO </v>
          </cell>
          <cell r="L970">
            <v>1</v>
          </cell>
          <cell r="M970" t="str">
            <v>UNID.</v>
          </cell>
          <cell r="N970" t="str">
            <v>TRACTO</v>
          </cell>
          <cell r="O970">
            <v>1</v>
          </cell>
          <cell r="P970" t="str">
            <v>E1</v>
          </cell>
          <cell r="Q970" t="str">
            <v>J2</v>
          </cell>
          <cell r="R970" t="str">
            <v>J2</v>
          </cell>
          <cell r="S970" t="str">
            <v>ENTREGADO</v>
          </cell>
          <cell r="T970">
            <v>42691</v>
          </cell>
          <cell r="U970" t="str">
            <v>PALOMINO CARDENAS JUAN CARLOS</v>
          </cell>
          <cell r="V970" t="str">
            <v>CORIHUAMAN SURCO  ERICK ROBERT</v>
          </cell>
        </row>
        <row r="971">
          <cell r="A971">
            <v>916</v>
          </cell>
          <cell r="B971">
            <v>42690</v>
          </cell>
          <cell r="C971" t="str">
            <v>NOVIEMBRE</v>
          </cell>
          <cell r="D971" t="str">
            <v>2016</v>
          </cell>
          <cell r="E971">
            <v>342</v>
          </cell>
          <cell r="F971" t="str">
            <v>D6F-903</v>
          </cell>
          <cell r="G971" t="str">
            <v>B8K-997</v>
          </cell>
          <cell r="H971" t="str">
            <v>LAS BAMBAS</v>
          </cell>
          <cell r="I971">
            <v>215260</v>
          </cell>
          <cell r="J971" t="str">
            <v>REPUESTO</v>
          </cell>
          <cell r="K971" t="str">
            <v>LIQUIDO LIMPIAPARABRISAS</v>
          </cell>
          <cell r="L971">
            <v>1</v>
          </cell>
          <cell r="M971" t="str">
            <v>UNID.</v>
          </cell>
          <cell r="N971" t="str">
            <v>TRACTO</v>
          </cell>
          <cell r="O971">
            <v>0</v>
          </cell>
          <cell r="P971" t="str">
            <v>M5</v>
          </cell>
          <cell r="Q971" t="str">
            <v>J1</v>
          </cell>
          <cell r="R971" t="str">
            <v>J5</v>
          </cell>
          <cell r="S971" t="str">
            <v>ENTREGADO</v>
          </cell>
          <cell r="T971">
            <v>42690</v>
          </cell>
          <cell r="U971" t="str">
            <v>LOPEZ RUIZ WILBERTO</v>
          </cell>
          <cell r="V971" t="str">
            <v>FLOREZ CONDORI  JOSE WILLIANS</v>
          </cell>
        </row>
        <row r="972">
          <cell r="A972">
            <v>920</v>
          </cell>
          <cell r="B972">
            <v>42690</v>
          </cell>
          <cell r="C972" t="str">
            <v>NOVIEMBRE</v>
          </cell>
          <cell r="D972" t="str">
            <v>2016</v>
          </cell>
          <cell r="E972">
            <v>342</v>
          </cell>
          <cell r="F972" t="str">
            <v>D6F-903</v>
          </cell>
          <cell r="G972" t="str">
            <v>B8K-997</v>
          </cell>
          <cell r="H972" t="str">
            <v>LAS BAMBAS</v>
          </cell>
          <cell r="I972">
            <v>215260</v>
          </cell>
          <cell r="J972" t="str">
            <v>REPUESTO</v>
          </cell>
          <cell r="K972" t="str">
            <v>PITON RECTO</v>
          </cell>
          <cell r="L972">
            <v>1</v>
          </cell>
          <cell r="M972" t="str">
            <v>UNID.</v>
          </cell>
          <cell r="N972" t="str">
            <v>TRACTO</v>
          </cell>
          <cell r="O972">
            <v>0</v>
          </cell>
          <cell r="P972" t="str">
            <v>N1</v>
          </cell>
          <cell r="Q972" t="str">
            <v>J3</v>
          </cell>
          <cell r="R972" t="str">
            <v>J6</v>
          </cell>
          <cell r="S972" t="str">
            <v>ENTREGADO</v>
          </cell>
          <cell r="T972">
            <v>42690</v>
          </cell>
          <cell r="U972" t="str">
            <v>AGUILAR CCANTUTA WILLY</v>
          </cell>
          <cell r="V972" t="str">
            <v>CHURA PIZARRO ALBERTO</v>
          </cell>
        </row>
        <row r="973">
          <cell r="A973">
            <v>921</v>
          </cell>
          <cell r="B973">
            <v>42690</v>
          </cell>
          <cell r="C973" t="str">
            <v>NOVIEMBRE</v>
          </cell>
          <cell r="D973" t="str">
            <v>2016</v>
          </cell>
          <cell r="E973">
            <v>342</v>
          </cell>
          <cell r="F973" t="str">
            <v>D6F-903</v>
          </cell>
          <cell r="G973" t="str">
            <v>B8K-997</v>
          </cell>
          <cell r="H973" t="str">
            <v>LAS BAMBAS</v>
          </cell>
          <cell r="I973">
            <v>215260</v>
          </cell>
          <cell r="J973" t="str">
            <v>REPUESTO</v>
          </cell>
          <cell r="K973" t="str">
            <v>PARCHE RACK 10</v>
          </cell>
          <cell r="L973">
            <v>1</v>
          </cell>
          <cell r="M973" t="str">
            <v>UNID.</v>
          </cell>
          <cell r="N973" t="str">
            <v>TRACTO</v>
          </cell>
          <cell r="O973">
            <v>0</v>
          </cell>
          <cell r="P973" t="str">
            <v>N1</v>
          </cell>
          <cell r="Q973" t="str">
            <v>J3</v>
          </cell>
          <cell r="R973" t="str">
            <v>J6</v>
          </cell>
          <cell r="S973" t="str">
            <v>ENTREGADO</v>
          </cell>
          <cell r="T973">
            <v>42690</v>
          </cell>
          <cell r="U973" t="str">
            <v>AGUILAR CCANTUTA WILLY</v>
          </cell>
          <cell r="V973" t="str">
            <v>CHURA PIZARRO ALBERTO</v>
          </cell>
        </row>
        <row r="974">
          <cell r="A974">
            <v>929</v>
          </cell>
          <cell r="B974">
            <v>42690</v>
          </cell>
          <cell r="C974" t="str">
            <v>NOVIEMBRE</v>
          </cell>
          <cell r="D974" t="str">
            <v>2016</v>
          </cell>
          <cell r="E974">
            <v>342</v>
          </cell>
          <cell r="F974" t="str">
            <v>D6F-903</v>
          </cell>
          <cell r="G974" t="str">
            <v>B8K-997</v>
          </cell>
          <cell r="H974" t="str">
            <v>LAS BAMBAS</v>
          </cell>
          <cell r="I974">
            <v>215260</v>
          </cell>
          <cell r="J974" t="str">
            <v>REPUESTO</v>
          </cell>
          <cell r="K974" t="str">
            <v>UNION DE 3/8 COMPLETO</v>
          </cell>
          <cell r="L974">
            <v>1</v>
          </cell>
          <cell r="M974" t="str">
            <v>UNID.</v>
          </cell>
          <cell r="N974" t="str">
            <v>CISTERNA</v>
          </cell>
          <cell r="O974">
            <v>0</v>
          </cell>
          <cell r="P974" t="str">
            <v>M5</v>
          </cell>
          <cell r="Q974" t="str">
            <v>J1</v>
          </cell>
          <cell r="R974" t="str">
            <v>J6</v>
          </cell>
          <cell r="S974" t="str">
            <v>ENTREGADO</v>
          </cell>
          <cell r="T974">
            <v>42690</v>
          </cell>
          <cell r="U974" t="str">
            <v>LOPEZ RUIZ WILBERTO</v>
          </cell>
          <cell r="V974" t="str">
            <v>FLOREZ CONDORI  JOSE WILLIANS</v>
          </cell>
        </row>
        <row r="975">
          <cell r="A975">
            <v>930</v>
          </cell>
          <cell r="B975">
            <v>42690</v>
          </cell>
          <cell r="C975" t="str">
            <v>NOVIEMBRE</v>
          </cell>
          <cell r="D975" t="str">
            <v>2016</v>
          </cell>
          <cell r="E975">
            <v>342</v>
          </cell>
          <cell r="F975" t="str">
            <v>D6F-903</v>
          </cell>
          <cell r="G975" t="str">
            <v>B8K-997</v>
          </cell>
          <cell r="H975" t="str">
            <v>LAS BAMBAS</v>
          </cell>
          <cell r="I975">
            <v>215260</v>
          </cell>
          <cell r="J975" t="str">
            <v>REPUESTO</v>
          </cell>
          <cell r="K975" t="str">
            <v>TUERCAS 3/8</v>
          </cell>
          <cell r="L975">
            <v>2</v>
          </cell>
          <cell r="M975" t="str">
            <v>UNID.</v>
          </cell>
          <cell r="N975" t="str">
            <v>CISTERNA</v>
          </cell>
          <cell r="O975">
            <v>0</v>
          </cell>
          <cell r="P975" t="str">
            <v>M5</v>
          </cell>
          <cell r="Q975" t="str">
            <v>J1</v>
          </cell>
          <cell r="R975" t="str">
            <v>J6</v>
          </cell>
          <cell r="S975" t="str">
            <v>ENTREGADO</v>
          </cell>
          <cell r="T975">
            <v>42690</v>
          </cell>
          <cell r="U975" t="str">
            <v>LOPEZ RUIZ WILBERTO</v>
          </cell>
          <cell r="V975" t="str">
            <v>FLOREZ CONDORI  JOSE WILLIANS</v>
          </cell>
        </row>
        <row r="976">
          <cell r="A976">
            <v>931</v>
          </cell>
          <cell r="B976">
            <v>42690</v>
          </cell>
          <cell r="C976" t="str">
            <v>NOVIEMBRE</v>
          </cell>
          <cell r="D976" t="str">
            <v>2016</v>
          </cell>
          <cell r="E976">
            <v>342</v>
          </cell>
          <cell r="F976" t="str">
            <v>D6F-903</v>
          </cell>
          <cell r="G976" t="str">
            <v>B8K-997</v>
          </cell>
          <cell r="H976" t="str">
            <v>LAS BAMBAS</v>
          </cell>
          <cell r="I976">
            <v>215260</v>
          </cell>
          <cell r="J976" t="str">
            <v>REPUESTO</v>
          </cell>
          <cell r="K976" t="str">
            <v>CONOS 3/8</v>
          </cell>
          <cell r="L976">
            <v>2</v>
          </cell>
          <cell r="M976" t="str">
            <v>UNID.</v>
          </cell>
          <cell r="N976" t="str">
            <v>CISTERNA</v>
          </cell>
          <cell r="O976">
            <v>0</v>
          </cell>
          <cell r="P976" t="str">
            <v>M5</v>
          </cell>
          <cell r="Q976" t="str">
            <v>J1</v>
          </cell>
          <cell r="R976" t="str">
            <v>J6</v>
          </cell>
          <cell r="S976" t="str">
            <v>ENTREGADO</v>
          </cell>
          <cell r="T976">
            <v>42690</v>
          </cell>
          <cell r="U976" t="str">
            <v>LOPEZ RUIZ WILBERTO</v>
          </cell>
          <cell r="V976" t="str">
            <v>FLOREZ CONDORI  JOSE WILLIANS</v>
          </cell>
        </row>
        <row r="977">
          <cell r="A977">
            <v>932</v>
          </cell>
          <cell r="B977">
            <v>42690</v>
          </cell>
          <cell r="C977" t="str">
            <v>NOVIEMBRE</v>
          </cell>
          <cell r="D977" t="str">
            <v>2016</v>
          </cell>
          <cell r="E977">
            <v>342</v>
          </cell>
          <cell r="F977" t="str">
            <v>D6F-903</v>
          </cell>
          <cell r="G977" t="str">
            <v>B8K-997</v>
          </cell>
          <cell r="H977" t="str">
            <v>LAS BAMBAS</v>
          </cell>
          <cell r="I977">
            <v>215260</v>
          </cell>
          <cell r="J977" t="str">
            <v>REPUESTO</v>
          </cell>
          <cell r="K977" t="str">
            <v>GUIA 3/8</v>
          </cell>
          <cell r="L977">
            <v>2</v>
          </cell>
          <cell r="M977" t="str">
            <v>UNID.</v>
          </cell>
          <cell r="N977" t="str">
            <v>CISTERNA</v>
          </cell>
          <cell r="O977">
            <v>0</v>
          </cell>
          <cell r="P977" t="str">
            <v>M5</v>
          </cell>
          <cell r="Q977" t="str">
            <v>J1</v>
          </cell>
          <cell r="R977" t="str">
            <v>J6</v>
          </cell>
          <cell r="S977" t="str">
            <v>ENTREGADO</v>
          </cell>
          <cell r="T977">
            <v>42690</v>
          </cell>
          <cell r="U977" t="str">
            <v>LOPEZ RUIZ WILBERTO</v>
          </cell>
          <cell r="V977" t="str">
            <v>FLOREZ CONDORI  JOSE WILLIANS</v>
          </cell>
        </row>
        <row r="978">
          <cell r="A978">
            <v>933</v>
          </cell>
          <cell r="B978">
            <v>42690</v>
          </cell>
          <cell r="C978" t="str">
            <v>NOVIEMBRE</v>
          </cell>
          <cell r="D978" t="str">
            <v>2016</v>
          </cell>
          <cell r="E978">
            <v>342</v>
          </cell>
          <cell r="F978" t="str">
            <v>D6F-903</v>
          </cell>
          <cell r="G978" t="str">
            <v>B8K-997</v>
          </cell>
          <cell r="H978" t="str">
            <v>LAS BAMBAS</v>
          </cell>
          <cell r="I978">
            <v>215260</v>
          </cell>
          <cell r="J978" t="str">
            <v>REPUESTO</v>
          </cell>
          <cell r="K978" t="str">
            <v>CODO 5/8</v>
          </cell>
          <cell r="L978">
            <v>1</v>
          </cell>
          <cell r="M978" t="str">
            <v>UNID.</v>
          </cell>
          <cell r="N978" t="str">
            <v>CISTERNA</v>
          </cell>
          <cell r="O978">
            <v>0</v>
          </cell>
          <cell r="P978" t="str">
            <v>M5</v>
          </cell>
          <cell r="Q978" t="str">
            <v>J1</v>
          </cell>
          <cell r="R978" t="str">
            <v>J6</v>
          </cell>
          <cell r="S978" t="str">
            <v>ENTREGADO</v>
          </cell>
          <cell r="T978">
            <v>42690</v>
          </cell>
          <cell r="U978" t="str">
            <v>LOPEZ RUIZ WILBERTO</v>
          </cell>
          <cell r="V978" t="str">
            <v>FLOREZ CONDORI  JOSE WILLIANS</v>
          </cell>
        </row>
        <row r="979">
          <cell r="A979">
            <v>934</v>
          </cell>
          <cell r="B979">
            <v>42690</v>
          </cell>
          <cell r="C979" t="str">
            <v>NOVIEMBRE</v>
          </cell>
          <cell r="D979" t="str">
            <v>2016</v>
          </cell>
          <cell r="E979">
            <v>342</v>
          </cell>
          <cell r="F979" t="str">
            <v>D6F-903</v>
          </cell>
          <cell r="G979" t="str">
            <v>B8K-997</v>
          </cell>
          <cell r="H979" t="str">
            <v>LAS BAMBAS</v>
          </cell>
          <cell r="I979">
            <v>215260</v>
          </cell>
          <cell r="J979" t="str">
            <v>REPUESTO</v>
          </cell>
          <cell r="K979" t="str">
            <v>TUERCA 5/8</v>
          </cell>
          <cell r="L979">
            <v>2</v>
          </cell>
          <cell r="M979" t="str">
            <v>UNID.</v>
          </cell>
          <cell r="N979" t="str">
            <v>CISTERNA</v>
          </cell>
          <cell r="O979">
            <v>0</v>
          </cell>
          <cell r="P979" t="str">
            <v>M5</v>
          </cell>
          <cell r="Q979" t="str">
            <v>J1</v>
          </cell>
          <cell r="R979" t="str">
            <v>J6</v>
          </cell>
          <cell r="S979" t="str">
            <v>ENTREGADO</v>
          </cell>
          <cell r="T979">
            <v>42690</v>
          </cell>
          <cell r="U979" t="str">
            <v>LOPEZ RUIZ WILBERTO</v>
          </cell>
          <cell r="V979" t="str">
            <v>FLOREZ CONDORI  JOSE WILLIANS</v>
          </cell>
        </row>
        <row r="980">
          <cell r="A980">
            <v>935</v>
          </cell>
          <cell r="B980">
            <v>42690</v>
          </cell>
          <cell r="C980" t="str">
            <v>NOVIEMBRE</v>
          </cell>
          <cell r="D980" t="str">
            <v>2016</v>
          </cell>
          <cell r="E980">
            <v>342</v>
          </cell>
          <cell r="F980" t="str">
            <v>D6F-903</v>
          </cell>
          <cell r="G980" t="str">
            <v>B8K-997</v>
          </cell>
          <cell r="H980" t="str">
            <v>LAS BAMBAS</v>
          </cell>
          <cell r="I980">
            <v>215260</v>
          </cell>
          <cell r="J980" t="str">
            <v>REPUESTO</v>
          </cell>
          <cell r="K980" t="str">
            <v>CONO 5/8</v>
          </cell>
          <cell r="L980">
            <v>2</v>
          </cell>
          <cell r="M980" t="str">
            <v>UNID.</v>
          </cell>
          <cell r="N980" t="str">
            <v>CISTERNA</v>
          </cell>
          <cell r="O980">
            <v>0</v>
          </cell>
          <cell r="P980" t="str">
            <v>M5</v>
          </cell>
          <cell r="Q980" t="str">
            <v>J1</v>
          </cell>
          <cell r="R980" t="str">
            <v>J6</v>
          </cell>
          <cell r="S980" t="str">
            <v>ENTREGADO</v>
          </cell>
          <cell r="T980">
            <v>42690</v>
          </cell>
          <cell r="U980" t="str">
            <v>LOPEZ RUIZ WILBERTO</v>
          </cell>
          <cell r="V980" t="str">
            <v>FLOREZ CONDORI  JOSE WILLIANS</v>
          </cell>
        </row>
        <row r="981">
          <cell r="A981">
            <v>936</v>
          </cell>
          <cell r="B981">
            <v>42690</v>
          </cell>
          <cell r="C981" t="str">
            <v>NOVIEMBRE</v>
          </cell>
          <cell r="D981" t="str">
            <v>2016</v>
          </cell>
          <cell r="E981">
            <v>342</v>
          </cell>
          <cell r="F981" t="str">
            <v>D6F-903</v>
          </cell>
          <cell r="G981" t="str">
            <v>B8K-997</v>
          </cell>
          <cell r="H981" t="str">
            <v>LAS BAMBAS</v>
          </cell>
          <cell r="I981">
            <v>215260</v>
          </cell>
          <cell r="J981" t="str">
            <v>REPUESTO</v>
          </cell>
          <cell r="K981" t="str">
            <v>GUIA 5/8</v>
          </cell>
          <cell r="L981">
            <v>2</v>
          </cell>
          <cell r="M981" t="str">
            <v>UNID.</v>
          </cell>
          <cell r="N981" t="str">
            <v>CISTERNA</v>
          </cell>
          <cell r="O981">
            <v>0</v>
          </cell>
          <cell r="P981" t="str">
            <v>M5</v>
          </cell>
          <cell r="Q981" t="str">
            <v>J1</v>
          </cell>
          <cell r="R981" t="str">
            <v>J6</v>
          </cell>
          <cell r="S981" t="str">
            <v>ENTREGADO</v>
          </cell>
          <cell r="T981">
            <v>42690</v>
          </cell>
          <cell r="U981" t="str">
            <v>LOPEZ RUIZ WILBERTO</v>
          </cell>
          <cell r="V981" t="str">
            <v>FLOREZ CONDORI  JOSE WILLIANS</v>
          </cell>
        </row>
        <row r="982">
          <cell r="A982">
            <v>944</v>
          </cell>
          <cell r="B982">
            <v>42690</v>
          </cell>
          <cell r="C982" t="str">
            <v>NOVIEMBRE</v>
          </cell>
          <cell r="D982" t="str">
            <v>2016</v>
          </cell>
          <cell r="E982">
            <v>342</v>
          </cell>
          <cell r="F982" t="str">
            <v>D6F-903</v>
          </cell>
          <cell r="G982" t="str">
            <v>B8K-997</v>
          </cell>
          <cell r="H982" t="str">
            <v>LAS BAMBAS</v>
          </cell>
          <cell r="I982">
            <v>215260</v>
          </cell>
          <cell r="J982" t="str">
            <v>REPUESTO</v>
          </cell>
          <cell r="K982" t="str">
            <v>UNION DE 3/8 COMPLETO</v>
          </cell>
          <cell r="L982">
            <v>1</v>
          </cell>
          <cell r="M982" t="str">
            <v>UNID.</v>
          </cell>
          <cell r="N982" t="str">
            <v>CISTERNA</v>
          </cell>
          <cell r="O982">
            <v>0</v>
          </cell>
          <cell r="P982" t="str">
            <v>M5</v>
          </cell>
          <cell r="Q982" t="str">
            <v>J1</v>
          </cell>
          <cell r="R982" t="str">
            <v>J6</v>
          </cell>
          <cell r="S982" t="str">
            <v>ENTREGADO</v>
          </cell>
          <cell r="T982">
            <v>42690</v>
          </cell>
          <cell r="U982" t="str">
            <v>LOPEZ RUIZ WILBERTO</v>
          </cell>
          <cell r="V982" t="str">
            <v>FLOREZ CONDORI  JOSE WILLIANS</v>
          </cell>
        </row>
        <row r="983">
          <cell r="A983">
            <v>945</v>
          </cell>
          <cell r="B983">
            <v>42690</v>
          </cell>
          <cell r="C983" t="str">
            <v>NOVIEMBRE</v>
          </cell>
          <cell r="D983" t="str">
            <v>2016</v>
          </cell>
          <cell r="E983">
            <v>342</v>
          </cell>
          <cell r="F983" t="str">
            <v>D6F-903</v>
          </cell>
          <cell r="G983" t="str">
            <v>B8K-997</v>
          </cell>
          <cell r="H983" t="str">
            <v>LAS BAMBAS</v>
          </cell>
          <cell r="I983">
            <v>215260</v>
          </cell>
          <cell r="J983" t="str">
            <v>REPUESTO</v>
          </cell>
          <cell r="K983" t="str">
            <v>TUERCAS 3/8</v>
          </cell>
          <cell r="L983">
            <v>2</v>
          </cell>
          <cell r="M983" t="str">
            <v>UNID.</v>
          </cell>
          <cell r="N983" t="str">
            <v>CISTERNA</v>
          </cell>
          <cell r="O983">
            <v>0</v>
          </cell>
          <cell r="P983" t="str">
            <v>M5</v>
          </cell>
          <cell r="Q983" t="str">
            <v>J1</v>
          </cell>
          <cell r="R983" t="str">
            <v>J6</v>
          </cell>
          <cell r="S983" t="str">
            <v>ENTREGADO</v>
          </cell>
          <cell r="T983">
            <v>42690</v>
          </cell>
          <cell r="U983" t="str">
            <v>LOPEZ RUIZ WILBERTO</v>
          </cell>
          <cell r="V983" t="str">
            <v>FLOREZ CONDORI  JOSE WILLIANS</v>
          </cell>
        </row>
        <row r="984">
          <cell r="A984">
            <v>946</v>
          </cell>
          <cell r="B984">
            <v>42690</v>
          </cell>
          <cell r="C984" t="str">
            <v>NOVIEMBRE</v>
          </cell>
          <cell r="D984" t="str">
            <v>2016</v>
          </cell>
          <cell r="E984">
            <v>342</v>
          </cell>
          <cell r="F984" t="str">
            <v>D6F-903</v>
          </cell>
          <cell r="G984" t="str">
            <v>B8K-997</v>
          </cell>
          <cell r="H984" t="str">
            <v>LAS BAMBAS</v>
          </cell>
          <cell r="I984">
            <v>215260</v>
          </cell>
          <cell r="J984" t="str">
            <v>REPUESTO</v>
          </cell>
          <cell r="K984" t="str">
            <v>CONOS 3/8</v>
          </cell>
          <cell r="L984">
            <v>2</v>
          </cell>
          <cell r="M984" t="str">
            <v>UNID.</v>
          </cell>
          <cell r="N984" t="str">
            <v>CISTERNA</v>
          </cell>
          <cell r="O984">
            <v>0</v>
          </cell>
          <cell r="P984" t="str">
            <v>M5</v>
          </cell>
          <cell r="Q984" t="str">
            <v>J1</v>
          </cell>
          <cell r="R984" t="str">
            <v>J6</v>
          </cell>
          <cell r="S984" t="str">
            <v>ENTREGADO</v>
          </cell>
          <cell r="T984">
            <v>42690</v>
          </cell>
          <cell r="U984" t="str">
            <v>LOPEZ RUIZ WILBERTO</v>
          </cell>
          <cell r="V984" t="str">
            <v>FLOREZ CONDORI  JOSE WILLIANS</v>
          </cell>
        </row>
        <row r="985">
          <cell r="A985">
            <v>947</v>
          </cell>
          <cell r="B985">
            <v>42690</v>
          </cell>
          <cell r="C985" t="str">
            <v>NOVIEMBRE</v>
          </cell>
          <cell r="D985" t="str">
            <v>2016</v>
          </cell>
          <cell r="E985">
            <v>342</v>
          </cell>
          <cell r="F985" t="str">
            <v>D6F-903</v>
          </cell>
          <cell r="G985" t="str">
            <v>B8K-997</v>
          </cell>
          <cell r="H985" t="str">
            <v>LAS BAMBAS</v>
          </cell>
          <cell r="I985">
            <v>215260</v>
          </cell>
          <cell r="J985" t="str">
            <v>REPUESTO</v>
          </cell>
          <cell r="K985" t="str">
            <v>GUIA 3/8</v>
          </cell>
          <cell r="L985">
            <v>2</v>
          </cell>
          <cell r="M985" t="str">
            <v>UNID.</v>
          </cell>
          <cell r="N985" t="str">
            <v>CISTERNA</v>
          </cell>
          <cell r="O985">
            <v>0</v>
          </cell>
          <cell r="P985" t="str">
            <v>M5</v>
          </cell>
          <cell r="Q985" t="str">
            <v>J1</v>
          </cell>
          <cell r="R985" t="str">
            <v>J6</v>
          </cell>
          <cell r="S985" t="str">
            <v>ENTREGADO</v>
          </cell>
          <cell r="T985">
            <v>42690</v>
          </cell>
          <cell r="U985" t="str">
            <v>LOPEZ RUIZ WILBERTO</v>
          </cell>
          <cell r="V985" t="str">
            <v>FLOREZ CONDORI  JOSE WILLIANS</v>
          </cell>
        </row>
        <row r="986">
          <cell r="A986">
            <v>951</v>
          </cell>
          <cell r="B986">
            <v>42690</v>
          </cell>
          <cell r="C986" t="str">
            <v>NOVIEMBRE</v>
          </cell>
          <cell r="D986" t="str">
            <v>2016</v>
          </cell>
          <cell r="E986">
            <v>342</v>
          </cell>
          <cell r="F986" t="str">
            <v>D6F-903</v>
          </cell>
          <cell r="G986" t="str">
            <v>B8K-997</v>
          </cell>
          <cell r="H986" t="str">
            <v>LAS BAMBAS</v>
          </cell>
          <cell r="I986">
            <v>215260</v>
          </cell>
          <cell r="J986" t="str">
            <v>REPUESTO</v>
          </cell>
          <cell r="K986" t="str">
            <v>PERNOS 1/4 X 1</v>
          </cell>
          <cell r="L986">
            <v>4</v>
          </cell>
          <cell r="M986" t="str">
            <v>UNID.</v>
          </cell>
          <cell r="N986" t="str">
            <v>TRACTO</v>
          </cell>
          <cell r="O986">
            <v>0</v>
          </cell>
          <cell r="P986" t="str">
            <v>S2</v>
          </cell>
          <cell r="Q986" t="str">
            <v>J1</v>
          </cell>
          <cell r="R986" t="str">
            <v>J6</v>
          </cell>
          <cell r="S986" t="str">
            <v>ENTREGADO</v>
          </cell>
          <cell r="T986">
            <v>42690</v>
          </cell>
          <cell r="U986" t="str">
            <v>PALOMINO ESTRADA  MICHEL</v>
          </cell>
          <cell r="V986" t="str">
            <v>FLOREZ CONDORI  JOSE WILLIANS</v>
          </cell>
        </row>
        <row r="987">
          <cell r="A987">
            <v>952</v>
          </cell>
          <cell r="B987">
            <v>42690</v>
          </cell>
          <cell r="C987" t="str">
            <v>NOVIEMBRE</v>
          </cell>
          <cell r="D987" t="str">
            <v>2016</v>
          </cell>
          <cell r="E987">
            <v>342</v>
          </cell>
          <cell r="F987" t="str">
            <v>D6F-903</v>
          </cell>
          <cell r="G987" t="str">
            <v>B8K-997</v>
          </cell>
          <cell r="H987" t="str">
            <v>LAS BAMBAS</v>
          </cell>
          <cell r="I987">
            <v>215260</v>
          </cell>
          <cell r="J987" t="str">
            <v>REPUESTO</v>
          </cell>
          <cell r="K987" t="str">
            <v>TUERCA SEGURO 1/4</v>
          </cell>
          <cell r="L987">
            <v>4</v>
          </cell>
          <cell r="M987" t="str">
            <v>UNID.</v>
          </cell>
          <cell r="N987" t="str">
            <v>TRACTO</v>
          </cell>
          <cell r="O987">
            <v>0</v>
          </cell>
          <cell r="P987" t="str">
            <v>S2</v>
          </cell>
          <cell r="Q987" t="str">
            <v>J1</v>
          </cell>
          <cell r="R987" t="str">
            <v>J6</v>
          </cell>
          <cell r="S987" t="str">
            <v>ENTREGADO</v>
          </cell>
          <cell r="T987">
            <v>42690</v>
          </cell>
          <cell r="U987" t="str">
            <v>PALOMINO ESTRADA  MICHEL</v>
          </cell>
          <cell r="V987" t="str">
            <v>FLOREZ CONDORI  JOSE WILLIANS</v>
          </cell>
        </row>
        <row r="988">
          <cell r="A988">
            <v>953</v>
          </cell>
          <cell r="B988">
            <v>42690</v>
          </cell>
          <cell r="C988" t="str">
            <v>NOVIEMBRE</v>
          </cell>
          <cell r="D988" t="str">
            <v>2016</v>
          </cell>
          <cell r="E988">
            <v>342</v>
          </cell>
          <cell r="F988" t="str">
            <v>D6F-903</v>
          </cell>
          <cell r="G988" t="str">
            <v>B8K-997</v>
          </cell>
          <cell r="H988" t="str">
            <v>LAS BAMBAS</v>
          </cell>
          <cell r="I988">
            <v>215260</v>
          </cell>
          <cell r="J988" t="str">
            <v>REPUESTO</v>
          </cell>
          <cell r="K988" t="str">
            <v>VOLANDA PLANA 1/4</v>
          </cell>
          <cell r="L988">
            <v>4</v>
          </cell>
          <cell r="M988" t="str">
            <v>UNID.</v>
          </cell>
          <cell r="N988" t="str">
            <v>TRACTO</v>
          </cell>
          <cell r="O988">
            <v>0</v>
          </cell>
          <cell r="P988" t="str">
            <v>S2</v>
          </cell>
          <cell r="Q988" t="str">
            <v>J1</v>
          </cell>
          <cell r="R988" t="str">
            <v>J6</v>
          </cell>
          <cell r="S988" t="str">
            <v>ENTREGADO</v>
          </cell>
          <cell r="T988">
            <v>42690</v>
          </cell>
          <cell r="U988" t="str">
            <v>PALOMINO ESTRADA  MICHEL</v>
          </cell>
          <cell r="V988" t="str">
            <v>FLOREZ CONDORI  JOSE WILLIANS</v>
          </cell>
        </row>
        <row r="989">
          <cell r="A989">
            <v>954</v>
          </cell>
          <cell r="B989">
            <v>42690</v>
          </cell>
          <cell r="C989" t="str">
            <v>NOVIEMBRE</v>
          </cell>
          <cell r="D989" t="str">
            <v>2016</v>
          </cell>
          <cell r="E989">
            <v>342</v>
          </cell>
          <cell r="F989" t="str">
            <v>D6F-903</v>
          </cell>
          <cell r="G989" t="str">
            <v>B8K-997</v>
          </cell>
          <cell r="H989" t="str">
            <v>LAS BAMBAS</v>
          </cell>
          <cell r="I989">
            <v>215260</v>
          </cell>
          <cell r="J989" t="str">
            <v>REPUESTO</v>
          </cell>
          <cell r="K989" t="str">
            <v>VOLANDA PLANA 1/4</v>
          </cell>
          <cell r="L989">
            <v>4</v>
          </cell>
          <cell r="M989" t="str">
            <v>UNID.</v>
          </cell>
          <cell r="N989" t="str">
            <v>TRACTO</v>
          </cell>
          <cell r="O989">
            <v>0</v>
          </cell>
          <cell r="P989" t="str">
            <v>S2</v>
          </cell>
          <cell r="Q989" t="str">
            <v>J1</v>
          </cell>
          <cell r="R989" t="str">
            <v>J6</v>
          </cell>
          <cell r="S989" t="str">
            <v>ENTREGADO</v>
          </cell>
          <cell r="T989">
            <v>42690</v>
          </cell>
          <cell r="U989" t="str">
            <v>PALOMINO ESTRADA  MICHEL</v>
          </cell>
          <cell r="V989" t="str">
            <v>FLOREZ CONDORI  JOSE WILLIANS</v>
          </cell>
        </row>
        <row r="990">
          <cell r="A990">
            <v>964</v>
          </cell>
          <cell r="B990">
            <v>42690</v>
          </cell>
          <cell r="C990" t="str">
            <v>NOVIEMBRE</v>
          </cell>
          <cell r="D990" t="str">
            <v>2016</v>
          </cell>
          <cell r="E990">
            <v>342</v>
          </cell>
          <cell r="F990" t="str">
            <v>D6F-903</v>
          </cell>
          <cell r="G990" t="str">
            <v>B8K-997</v>
          </cell>
          <cell r="H990" t="str">
            <v>LAS BAMBAS</v>
          </cell>
          <cell r="I990">
            <v>215260</v>
          </cell>
          <cell r="J990" t="str">
            <v>REPUESTO</v>
          </cell>
          <cell r="K990" t="str">
            <v>ALETA PUENTE POSTERIOR</v>
          </cell>
          <cell r="L990">
            <v>2</v>
          </cell>
          <cell r="M990" t="str">
            <v>UNID.</v>
          </cell>
          <cell r="N990" t="str">
            <v>TRACTO</v>
          </cell>
          <cell r="O990">
            <v>100</v>
          </cell>
          <cell r="P990" t="str">
            <v>S2</v>
          </cell>
          <cell r="Q990" t="str">
            <v>J2</v>
          </cell>
          <cell r="R990" t="str">
            <v>J6</v>
          </cell>
          <cell r="S990" t="str">
            <v>ENTREGADO</v>
          </cell>
          <cell r="T990">
            <v>0</v>
          </cell>
          <cell r="U990" t="str">
            <v>PALOMINO ESTRADA  MICHEL</v>
          </cell>
          <cell r="V990" t="str">
            <v>CORIHUAMAN SURCO  ERICK ROBERT</v>
          </cell>
        </row>
        <row r="991">
          <cell r="A991">
            <v>908</v>
          </cell>
          <cell r="B991">
            <v>42690</v>
          </cell>
          <cell r="C991" t="str">
            <v>NOVIEMBRE</v>
          </cell>
          <cell r="D991" t="str">
            <v>2016</v>
          </cell>
          <cell r="E991">
            <v>335</v>
          </cell>
          <cell r="F991" t="str">
            <v>D7N-755</v>
          </cell>
          <cell r="G991" t="str">
            <v>F7L-983</v>
          </cell>
          <cell r="H991" t="str">
            <v>LAS BAMBAS</v>
          </cell>
          <cell r="I991">
            <v>46030</v>
          </cell>
          <cell r="J991" t="str">
            <v>REPUESTO</v>
          </cell>
          <cell r="K991" t="str">
            <v>SENSOR DE RETROCESO</v>
          </cell>
          <cell r="L991">
            <v>1</v>
          </cell>
          <cell r="M991" t="str">
            <v>UNID.</v>
          </cell>
          <cell r="N991" t="str">
            <v>TRACTO</v>
          </cell>
          <cell r="O991">
            <v>100</v>
          </cell>
          <cell r="P991" t="str">
            <v>E2</v>
          </cell>
          <cell r="Q991" t="str">
            <v>J2</v>
          </cell>
          <cell r="R991" t="str">
            <v>J6</v>
          </cell>
          <cell r="S991" t="str">
            <v>ENTREGADO</v>
          </cell>
          <cell r="T991">
            <v>0</v>
          </cell>
          <cell r="U991" t="str">
            <v>YUCA BELLIDO BORIS YERSY</v>
          </cell>
          <cell r="V991" t="str">
            <v>CORIHUAMAN SURCO  ERICK ROBERT</v>
          </cell>
        </row>
        <row r="992">
          <cell r="A992">
            <v>938</v>
          </cell>
          <cell r="B992">
            <v>42690</v>
          </cell>
          <cell r="C992" t="str">
            <v>NOVIEMBRE</v>
          </cell>
          <cell r="D992" t="str">
            <v>2016</v>
          </cell>
          <cell r="E992">
            <v>335</v>
          </cell>
          <cell r="F992" t="str">
            <v>D7N-755</v>
          </cell>
          <cell r="G992" t="str">
            <v>F7L-983</v>
          </cell>
          <cell r="H992" t="str">
            <v>LAS BAMBAS</v>
          </cell>
          <cell r="I992">
            <v>46030</v>
          </cell>
          <cell r="J992" t="str">
            <v>REPUESTO</v>
          </cell>
          <cell r="K992" t="str">
            <v>VALVULA DE ALIVIO</v>
          </cell>
          <cell r="L992">
            <v>1</v>
          </cell>
          <cell r="M992" t="str">
            <v>UNID.</v>
          </cell>
          <cell r="N992" t="str">
            <v>TRACTO</v>
          </cell>
          <cell r="O992">
            <v>0</v>
          </cell>
          <cell r="P992" t="str">
            <v>M6</v>
          </cell>
          <cell r="Q992" t="str">
            <v>J2</v>
          </cell>
          <cell r="R992" t="str">
            <v>J6</v>
          </cell>
          <cell r="S992" t="str">
            <v>ENTREGADO</v>
          </cell>
          <cell r="T992">
            <v>42690</v>
          </cell>
          <cell r="U992" t="str">
            <v>PARI VENTURA  EDSON ORLANDO</v>
          </cell>
          <cell r="V992" t="str">
            <v>CORIHUAMAN SURCO  ERICK ROBERT</v>
          </cell>
        </row>
        <row r="993">
          <cell r="A993">
            <v>969</v>
          </cell>
          <cell r="B993">
            <v>42690</v>
          </cell>
          <cell r="C993" t="str">
            <v>NOVIEMBRE</v>
          </cell>
          <cell r="D993" t="str">
            <v>2016</v>
          </cell>
          <cell r="E993">
            <v>335</v>
          </cell>
          <cell r="F993" t="str">
            <v>D7N-755</v>
          </cell>
          <cell r="G993" t="str">
            <v>F7L-983</v>
          </cell>
          <cell r="H993" t="str">
            <v>LAS BAMBAS</v>
          </cell>
          <cell r="I993">
            <v>46030</v>
          </cell>
          <cell r="J993" t="str">
            <v>REPUESTO</v>
          </cell>
          <cell r="K993" t="str">
            <v>CABLE TRIFASICO 3 X 16</v>
          </cell>
          <cell r="L993">
            <v>4</v>
          </cell>
          <cell r="M993" t="str">
            <v>M</v>
          </cell>
          <cell r="N993" t="str">
            <v>TRACTO</v>
          </cell>
          <cell r="O993">
            <v>0</v>
          </cell>
          <cell r="P993" t="str">
            <v>E1</v>
          </cell>
          <cell r="Q993" t="str">
            <v>J1</v>
          </cell>
          <cell r="R993" t="str">
            <v>J6</v>
          </cell>
          <cell r="S993" t="str">
            <v>ENTREGADO</v>
          </cell>
          <cell r="T993">
            <v>42690</v>
          </cell>
          <cell r="U993" t="str">
            <v>PALOMINO CARDENAS JUAN CARLOS</v>
          </cell>
          <cell r="V993" t="str">
            <v>FLOREZ CONDORI  JOSE WILLIANS</v>
          </cell>
        </row>
        <row r="994">
          <cell r="A994">
            <v>970</v>
          </cell>
          <cell r="B994">
            <v>42690</v>
          </cell>
          <cell r="C994" t="str">
            <v>NOVIEMBRE</v>
          </cell>
          <cell r="D994" t="str">
            <v>2016</v>
          </cell>
          <cell r="E994">
            <v>335</v>
          </cell>
          <cell r="F994" t="str">
            <v>D7N-755</v>
          </cell>
          <cell r="G994" t="str">
            <v>F7L-983</v>
          </cell>
          <cell r="H994" t="str">
            <v>LAS BAMBAS</v>
          </cell>
          <cell r="I994">
            <v>46030</v>
          </cell>
          <cell r="J994" t="str">
            <v>REPUESTO</v>
          </cell>
          <cell r="K994" t="str">
            <v>TECLA DE LUZ</v>
          </cell>
          <cell r="L994">
            <v>1</v>
          </cell>
          <cell r="M994" t="str">
            <v>UNID.</v>
          </cell>
          <cell r="N994" t="str">
            <v>TRACTO</v>
          </cell>
          <cell r="O994">
            <v>0</v>
          </cell>
          <cell r="P994" t="str">
            <v>E1</v>
          </cell>
          <cell r="Q994" t="str">
            <v>J1</v>
          </cell>
          <cell r="R994" t="str">
            <v>J6</v>
          </cell>
          <cell r="S994" t="str">
            <v>ENTREGADO</v>
          </cell>
          <cell r="T994">
            <v>42690</v>
          </cell>
          <cell r="U994" t="str">
            <v>PALOMINO CARDENAS JUAN CARLOS</v>
          </cell>
          <cell r="V994" t="str">
            <v>FLOREZ CONDORI  JOSE WILLIANS</v>
          </cell>
        </row>
        <row r="995">
          <cell r="A995">
            <v>971</v>
          </cell>
          <cell r="B995">
            <v>42690</v>
          </cell>
          <cell r="C995" t="str">
            <v>NOVIEMBRE</v>
          </cell>
          <cell r="D995" t="str">
            <v>2016</v>
          </cell>
          <cell r="E995">
            <v>335</v>
          </cell>
          <cell r="F995" t="str">
            <v>D7N-755</v>
          </cell>
          <cell r="G995" t="str">
            <v>F7L-983</v>
          </cell>
          <cell r="H995" t="str">
            <v>LAS BAMBAS</v>
          </cell>
          <cell r="I995">
            <v>46030</v>
          </cell>
          <cell r="J995" t="str">
            <v>REPUESTO</v>
          </cell>
          <cell r="K995" t="str">
            <v>TERMINALES DE ENCHUFE HEMBRA</v>
          </cell>
          <cell r="L995">
            <v>2</v>
          </cell>
          <cell r="M995" t="str">
            <v>UNID.</v>
          </cell>
          <cell r="N995" t="str">
            <v>TRACTO</v>
          </cell>
          <cell r="O995">
            <v>0</v>
          </cell>
          <cell r="P995" t="str">
            <v>E1</v>
          </cell>
          <cell r="Q995" t="str">
            <v>J1</v>
          </cell>
          <cell r="R995" t="str">
            <v>J6</v>
          </cell>
          <cell r="S995" t="str">
            <v>ENTREGADO</v>
          </cell>
          <cell r="T995">
            <v>42690</v>
          </cell>
          <cell r="U995" t="str">
            <v>PALOMINO CARDENAS JUAN CARLOS</v>
          </cell>
          <cell r="V995" t="str">
            <v>FLOREZ CONDORI  JOSE WILLIANS</v>
          </cell>
        </row>
        <row r="996">
          <cell r="A996">
            <v>909</v>
          </cell>
          <cell r="B996">
            <v>42690</v>
          </cell>
          <cell r="C996" t="str">
            <v>NOVIEMBRE</v>
          </cell>
          <cell r="D996" t="str">
            <v>2016</v>
          </cell>
          <cell r="E996">
            <v>350</v>
          </cell>
          <cell r="F996" t="str">
            <v>D7V-714</v>
          </cell>
          <cell r="G996" t="str">
            <v>F7M-971</v>
          </cell>
          <cell r="H996" t="str">
            <v>LAS BAMBAS</v>
          </cell>
          <cell r="I996">
            <v>45671</v>
          </cell>
          <cell r="J996" t="str">
            <v>REPUESTO</v>
          </cell>
          <cell r="K996" t="str">
            <v>TAPA DE HIDROLINA</v>
          </cell>
          <cell r="L996">
            <v>1</v>
          </cell>
          <cell r="M996" t="str">
            <v>UNID.</v>
          </cell>
          <cell r="N996" t="str">
            <v>TRACTO</v>
          </cell>
          <cell r="O996">
            <v>1</v>
          </cell>
          <cell r="P996" t="str">
            <v>M1</v>
          </cell>
          <cell r="Q996" t="str">
            <v>J2</v>
          </cell>
          <cell r="R996" t="str">
            <v>J6</v>
          </cell>
          <cell r="S996" t="str">
            <v>ENTREGADO</v>
          </cell>
          <cell r="T996">
            <v>42691</v>
          </cell>
          <cell r="U996" t="str">
            <v>CABEZAS SANCHEZ JEAN JHONATAN</v>
          </cell>
          <cell r="V996" t="str">
            <v>CORIHUAMAN SURCO  ERICK ROBERT</v>
          </cell>
        </row>
        <row r="997">
          <cell r="A997">
            <v>910</v>
          </cell>
          <cell r="B997">
            <v>42690</v>
          </cell>
          <cell r="C997" t="str">
            <v>NOVIEMBRE</v>
          </cell>
          <cell r="D997" t="str">
            <v>2016</v>
          </cell>
          <cell r="E997">
            <v>350</v>
          </cell>
          <cell r="F997" t="str">
            <v>D7V-714</v>
          </cell>
          <cell r="G997" t="str">
            <v>F7M-971</v>
          </cell>
          <cell r="H997" t="str">
            <v>LAS BAMBAS</v>
          </cell>
          <cell r="I997">
            <v>45671</v>
          </cell>
          <cell r="J997" t="str">
            <v>REPUESTO</v>
          </cell>
          <cell r="K997" t="str">
            <v>CORTADOR DE CORRIENTE</v>
          </cell>
          <cell r="L997">
            <v>1</v>
          </cell>
          <cell r="M997" t="str">
            <v>UNID.</v>
          </cell>
          <cell r="N997" t="str">
            <v>TRACTO</v>
          </cell>
          <cell r="O997">
            <v>100</v>
          </cell>
          <cell r="P997" t="str">
            <v>E2</v>
          </cell>
          <cell r="Q997" t="str">
            <v>J2</v>
          </cell>
          <cell r="R997" t="str">
            <v>J6</v>
          </cell>
          <cell r="S997" t="str">
            <v>PENDIENTE</v>
          </cell>
          <cell r="T997">
            <v>0</v>
          </cell>
          <cell r="U997" t="str">
            <v>YUCA BELLIDO BORIS YERSY</v>
          </cell>
          <cell r="V997" t="str">
            <v>CORIHUAMAN SURCO  ERICK ROBERT</v>
          </cell>
        </row>
        <row r="998">
          <cell r="A998">
            <v>960</v>
          </cell>
          <cell r="B998">
            <v>42690</v>
          </cell>
          <cell r="C998" t="str">
            <v>NOVIEMBRE</v>
          </cell>
          <cell r="D998" t="str">
            <v>2016</v>
          </cell>
          <cell r="E998">
            <v>350</v>
          </cell>
          <cell r="F998" t="str">
            <v>D7V-714</v>
          </cell>
          <cell r="G998" t="str">
            <v>F7M-971</v>
          </cell>
          <cell r="H998" t="str">
            <v>LAS BAMBAS</v>
          </cell>
          <cell r="I998">
            <v>45671</v>
          </cell>
          <cell r="J998" t="str">
            <v>REPUESTO</v>
          </cell>
          <cell r="K998" t="str">
            <v>PERNO 3/8 X 1</v>
          </cell>
          <cell r="L998">
            <v>1</v>
          </cell>
          <cell r="M998" t="str">
            <v>UNID.</v>
          </cell>
          <cell r="N998" t="str">
            <v>TRACTO</v>
          </cell>
          <cell r="O998">
            <v>0</v>
          </cell>
          <cell r="P998" t="str">
            <v>E2</v>
          </cell>
          <cell r="Q998" t="str">
            <v>J1</v>
          </cell>
          <cell r="R998" t="str">
            <v>J6</v>
          </cell>
          <cell r="S998" t="str">
            <v>ENTREGADO</v>
          </cell>
          <cell r="T998">
            <v>42690</v>
          </cell>
          <cell r="U998" t="str">
            <v>YUCA BELLIDO BORIS YERSY</v>
          </cell>
          <cell r="V998" t="str">
            <v>FLOREZ CONDORI  JOSE WILLIANS</v>
          </cell>
        </row>
        <row r="999">
          <cell r="A999">
            <v>961</v>
          </cell>
          <cell r="B999">
            <v>42690</v>
          </cell>
          <cell r="C999" t="str">
            <v>NOVIEMBRE</v>
          </cell>
          <cell r="D999" t="str">
            <v>2016</v>
          </cell>
          <cell r="E999">
            <v>350</v>
          </cell>
          <cell r="F999" t="str">
            <v>D7V-714</v>
          </cell>
          <cell r="G999" t="str">
            <v>F7M-971</v>
          </cell>
          <cell r="H999" t="str">
            <v>LAS BAMBAS</v>
          </cell>
          <cell r="I999">
            <v>45671</v>
          </cell>
          <cell r="J999" t="str">
            <v>REPUESTO</v>
          </cell>
          <cell r="K999" t="str">
            <v>TUERCA SEGURO 3/8</v>
          </cell>
          <cell r="L999">
            <v>1</v>
          </cell>
          <cell r="M999" t="str">
            <v>UNID.</v>
          </cell>
          <cell r="N999" t="str">
            <v>TRACTO</v>
          </cell>
          <cell r="O999">
            <v>0</v>
          </cell>
          <cell r="P999" t="str">
            <v>E2</v>
          </cell>
          <cell r="Q999" t="str">
            <v>J1</v>
          </cell>
          <cell r="R999" t="str">
            <v>J6</v>
          </cell>
          <cell r="S999" t="str">
            <v>ENTREGADO</v>
          </cell>
          <cell r="T999">
            <v>42690</v>
          </cell>
          <cell r="U999" t="str">
            <v>YUCA BELLIDO BORIS YERSY</v>
          </cell>
          <cell r="V999" t="str">
            <v>FLOREZ CONDORI  JOSE WILLIANS</v>
          </cell>
        </row>
        <row r="1000">
          <cell r="A1000">
            <v>962</v>
          </cell>
          <cell r="B1000">
            <v>42690</v>
          </cell>
          <cell r="C1000" t="str">
            <v>NOVIEMBRE</v>
          </cell>
          <cell r="D1000" t="str">
            <v>2016</v>
          </cell>
          <cell r="E1000">
            <v>350</v>
          </cell>
          <cell r="F1000" t="str">
            <v>D7V-714</v>
          </cell>
          <cell r="G1000" t="str">
            <v>F7M-971</v>
          </cell>
          <cell r="H1000" t="str">
            <v>LAS BAMBAS</v>
          </cell>
          <cell r="I1000">
            <v>45671</v>
          </cell>
          <cell r="J1000" t="str">
            <v>REPUESTO</v>
          </cell>
          <cell r="K1000" t="str">
            <v>VOLANDA PLANA 3/8</v>
          </cell>
          <cell r="L1000">
            <v>2</v>
          </cell>
          <cell r="M1000" t="str">
            <v>UNID.</v>
          </cell>
          <cell r="N1000" t="str">
            <v>TRACTO</v>
          </cell>
          <cell r="O1000">
            <v>0</v>
          </cell>
          <cell r="P1000" t="str">
            <v>E2</v>
          </cell>
          <cell r="Q1000" t="str">
            <v>J1</v>
          </cell>
          <cell r="R1000" t="str">
            <v>J6</v>
          </cell>
          <cell r="S1000" t="str">
            <v>ENTREGADO</v>
          </cell>
          <cell r="T1000">
            <v>42690</v>
          </cell>
          <cell r="U1000" t="str">
            <v>YUCA BELLIDO BORIS YERSY</v>
          </cell>
          <cell r="V1000" t="str">
            <v>FLOREZ CONDORI  JOSE WILLIANS</v>
          </cell>
        </row>
        <row r="1001">
          <cell r="A1001">
            <v>907</v>
          </cell>
          <cell r="B1001">
            <v>42690</v>
          </cell>
          <cell r="C1001" t="str">
            <v>NOVIEMBRE</v>
          </cell>
          <cell r="D1001" t="str">
            <v>2016</v>
          </cell>
          <cell r="E1001">
            <v>200</v>
          </cell>
          <cell r="F1001" t="str">
            <v>TALLER</v>
          </cell>
          <cell r="G1001" t="str">
            <v>TALLER</v>
          </cell>
          <cell r="H1001" t="str">
            <v>TALLER</v>
          </cell>
          <cell r="I1001" t="str">
            <v>TALLER</v>
          </cell>
          <cell r="J1001" t="str">
            <v>UNIFORMES</v>
          </cell>
          <cell r="K1001" t="str">
            <v>TAIVEX "M"</v>
          </cell>
          <cell r="L1001">
            <v>1</v>
          </cell>
          <cell r="M1001" t="str">
            <v>UNID.</v>
          </cell>
          <cell r="N1001" t="str">
            <v>TALLER</v>
          </cell>
          <cell r="O1001">
            <v>0</v>
          </cell>
          <cell r="P1001" t="str">
            <v>M4</v>
          </cell>
          <cell r="Q1001" t="str">
            <v>J2</v>
          </cell>
          <cell r="R1001" t="str">
            <v>J6</v>
          </cell>
          <cell r="S1001" t="str">
            <v>ENTREGADO</v>
          </cell>
          <cell r="T1001">
            <v>42690</v>
          </cell>
          <cell r="U1001" t="str">
            <v>JULLIRI APAZA UBALDO</v>
          </cell>
          <cell r="V1001" t="str">
            <v>CORIHUAMAN SURCO  ERICK ROBERT</v>
          </cell>
        </row>
        <row r="1002">
          <cell r="A1002">
            <v>917</v>
          </cell>
          <cell r="B1002">
            <v>42690</v>
          </cell>
          <cell r="C1002" t="str">
            <v>NOVIEMBRE</v>
          </cell>
          <cell r="D1002" t="str">
            <v>2016</v>
          </cell>
          <cell r="E1002">
            <v>200</v>
          </cell>
          <cell r="F1002" t="str">
            <v>TALLER</v>
          </cell>
          <cell r="G1002" t="str">
            <v>TALLER</v>
          </cell>
          <cell r="H1002" t="str">
            <v>TALLER</v>
          </cell>
          <cell r="I1002" t="str">
            <v>TALLER</v>
          </cell>
          <cell r="J1002" t="str">
            <v>INSUMO TALLER</v>
          </cell>
          <cell r="K1002" t="str">
            <v>DETERGENTE</v>
          </cell>
          <cell r="L1002">
            <v>1</v>
          </cell>
          <cell r="M1002" t="str">
            <v>UNID.</v>
          </cell>
          <cell r="N1002" t="str">
            <v>TALLER</v>
          </cell>
          <cell r="O1002">
            <v>0</v>
          </cell>
          <cell r="P1002" t="str">
            <v>M5</v>
          </cell>
          <cell r="Q1002" t="str">
            <v>J1</v>
          </cell>
          <cell r="R1002" t="str">
            <v>J5</v>
          </cell>
          <cell r="S1002" t="str">
            <v>ENTREGADO</v>
          </cell>
          <cell r="T1002">
            <v>42690</v>
          </cell>
          <cell r="U1002" t="str">
            <v>LOPEZ RUIZ WILBERTO</v>
          </cell>
          <cell r="V1002" t="str">
            <v>FLOREZ CONDORI  JOSE WILLIANS</v>
          </cell>
        </row>
        <row r="1003">
          <cell r="A1003">
            <v>919</v>
          </cell>
          <cell r="B1003">
            <v>42690</v>
          </cell>
          <cell r="C1003" t="str">
            <v>NOVIEMBRE</v>
          </cell>
          <cell r="D1003" t="str">
            <v>2016</v>
          </cell>
          <cell r="E1003">
            <v>200</v>
          </cell>
          <cell r="F1003" t="str">
            <v>TALLER</v>
          </cell>
          <cell r="G1003" t="str">
            <v>TALLER</v>
          </cell>
          <cell r="H1003" t="str">
            <v>TALLER</v>
          </cell>
          <cell r="I1003" t="str">
            <v>TALLER</v>
          </cell>
          <cell r="J1003" t="str">
            <v>INSUMO TALLER</v>
          </cell>
          <cell r="K1003" t="str">
            <v>CINTA AISLANTE NEGRO</v>
          </cell>
          <cell r="L1003">
            <v>1</v>
          </cell>
          <cell r="M1003" t="str">
            <v>UNID.</v>
          </cell>
          <cell r="N1003" t="str">
            <v>TALLER</v>
          </cell>
          <cell r="O1003">
            <v>0</v>
          </cell>
          <cell r="P1003" t="str">
            <v>E1</v>
          </cell>
          <cell r="Q1003" t="str">
            <v>J1</v>
          </cell>
          <cell r="R1003" t="str">
            <v>J5</v>
          </cell>
          <cell r="S1003" t="str">
            <v>ENTREGADO</v>
          </cell>
          <cell r="T1003">
            <v>42690</v>
          </cell>
          <cell r="U1003" t="str">
            <v>PALOMINO CARDENAS JUAN CARLOS</v>
          </cell>
          <cell r="V1003" t="str">
            <v>FLOREZ CONDORI  JOSE WILLIANS</v>
          </cell>
        </row>
        <row r="1004">
          <cell r="A1004">
            <v>922</v>
          </cell>
          <cell r="B1004">
            <v>42690</v>
          </cell>
          <cell r="C1004" t="str">
            <v>NOVIEMBRE</v>
          </cell>
          <cell r="D1004" t="str">
            <v>2016</v>
          </cell>
          <cell r="E1004">
            <v>200</v>
          </cell>
          <cell r="F1004" t="str">
            <v>TALLER</v>
          </cell>
          <cell r="G1004" t="str">
            <v>TALLER</v>
          </cell>
          <cell r="H1004" t="str">
            <v>TALLER</v>
          </cell>
          <cell r="I1004" t="str">
            <v>TALLER</v>
          </cell>
          <cell r="J1004" t="str">
            <v>INSUMO TALLER</v>
          </cell>
          <cell r="K1004" t="str">
            <v>DETERGENTE</v>
          </cell>
          <cell r="L1004">
            <v>1</v>
          </cell>
          <cell r="M1004" t="str">
            <v>UNID.</v>
          </cell>
          <cell r="N1004" t="str">
            <v>TALLER</v>
          </cell>
          <cell r="O1004">
            <v>0</v>
          </cell>
          <cell r="P1004" t="str">
            <v>E2</v>
          </cell>
          <cell r="Q1004" t="str">
            <v>J2</v>
          </cell>
          <cell r="R1004" t="str">
            <v>J6</v>
          </cell>
          <cell r="S1004" t="str">
            <v>ENTREGADO</v>
          </cell>
          <cell r="T1004">
            <v>42690</v>
          </cell>
          <cell r="U1004" t="str">
            <v>YUCA BELLIDO BORIS YERSY</v>
          </cell>
          <cell r="V1004" t="str">
            <v>CORIHUAMAN SURCO  ERICK ROBERT</v>
          </cell>
        </row>
        <row r="1005">
          <cell r="A1005">
            <v>973</v>
          </cell>
          <cell r="B1005">
            <v>42690</v>
          </cell>
          <cell r="C1005" t="str">
            <v>NOVIEMBRE</v>
          </cell>
          <cell r="D1005" t="str">
            <v>2016</v>
          </cell>
          <cell r="E1005">
            <v>200</v>
          </cell>
          <cell r="F1005" t="str">
            <v>TALLER</v>
          </cell>
          <cell r="G1005" t="str">
            <v>TALLER</v>
          </cell>
          <cell r="H1005" t="str">
            <v>TALLER</v>
          </cell>
          <cell r="I1005" t="str">
            <v>TALLER</v>
          </cell>
          <cell r="J1005" t="str">
            <v>REPUESTO</v>
          </cell>
          <cell r="K1005" t="str">
            <v>BOQUILLA DE CORTE NRO. 0</v>
          </cell>
          <cell r="L1005">
            <v>1</v>
          </cell>
          <cell r="M1005" t="str">
            <v>UNID.</v>
          </cell>
          <cell r="N1005" t="str">
            <v>TALLER</v>
          </cell>
          <cell r="O1005">
            <v>100</v>
          </cell>
          <cell r="P1005" t="str">
            <v>S2</v>
          </cell>
          <cell r="Q1005" t="str">
            <v>J2</v>
          </cell>
          <cell r="R1005" t="str">
            <v>J6</v>
          </cell>
          <cell r="S1005" t="str">
            <v>ENTREGADO</v>
          </cell>
          <cell r="T1005">
            <v>0</v>
          </cell>
          <cell r="U1005" t="str">
            <v>PALOMINO ESTRADA  MICHEL</v>
          </cell>
          <cell r="V1005" t="str">
            <v>CORIHUAMAN SURCO  ERICK ROBERT</v>
          </cell>
        </row>
        <row r="1006">
          <cell r="A1006">
            <v>978</v>
          </cell>
          <cell r="B1006">
            <v>42690</v>
          </cell>
          <cell r="C1006" t="str">
            <v>NOVIEMBRE</v>
          </cell>
          <cell r="D1006" t="str">
            <v>2016</v>
          </cell>
          <cell r="E1006">
            <v>200</v>
          </cell>
          <cell r="F1006" t="str">
            <v>TALLER</v>
          </cell>
          <cell r="G1006" t="str">
            <v>TALLER</v>
          </cell>
          <cell r="H1006" t="str">
            <v>TALLER</v>
          </cell>
          <cell r="I1006" t="str">
            <v>TALLER</v>
          </cell>
          <cell r="J1006" t="str">
            <v>REPUESTO</v>
          </cell>
          <cell r="K1006" t="str">
            <v>PIEDRAS DE CORTES 7"</v>
          </cell>
          <cell r="L1006">
            <v>2</v>
          </cell>
          <cell r="M1006" t="str">
            <v>UNID.</v>
          </cell>
          <cell r="N1006" t="str">
            <v>TALLER</v>
          </cell>
          <cell r="O1006">
            <v>0</v>
          </cell>
          <cell r="P1006" t="str">
            <v>S2</v>
          </cell>
          <cell r="Q1006" t="str">
            <v>J2</v>
          </cell>
          <cell r="R1006" t="str">
            <v>J4</v>
          </cell>
          <cell r="S1006" t="str">
            <v>ENTREGADO</v>
          </cell>
          <cell r="T1006">
            <v>42690</v>
          </cell>
          <cell r="U1006" t="str">
            <v>PALOMINO ESTRADA  MICHEL</v>
          </cell>
          <cell r="V1006" t="str">
            <v>CORIHUAMAN SURCO  ERICK ROBERT</v>
          </cell>
        </row>
        <row r="1007">
          <cell r="A1007">
            <v>950</v>
          </cell>
          <cell r="B1007">
            <v>42690</v>
          </cell>
          <cell r="C1007" t="str">
            <v>NOVIEMBRE</v>
          </cell>
          <cell r="D1007" t="str">
            <v>2016</v>
          </cell>
          <cell r="E1007">
            <v>352</v>
          </cell>
          <cell r="F1007" t="str">
            <v>X2W-759</v>
          </cell>
          <cell r="G1007" t="str">
            <v>C5V-999</v>
          </cell>
          <cell r="H1007" t="str">
            <v>LAS BAMBAS</v>
          </cell>
          <cell r="I1007">
            <v>152065</v>
          </cell>
          <cell r="J1007" t="str">
            <v>INSUMO TALLER</v>
          </cell>
          <cell r="K1007" t="str">
            <v>SPRAY COLOR BLANCO</v>
          </cell>
          <cell r="L1007">
            <v>1</v>
          </cell>
          <cell r="M1007" t="str">
            <v>UNID.</v>
          </cell>
          <cell r="N1007" t="str">
            <v>CISTERNA</v>
          </cell>
          <cell r="O1007">
            <v>0</v>
          </cell>
          <cell r="P1007" t="str">
            <v>S2</v>
          </cell>
          <cell r="Q1007" t="str">
            <v>J1</v>
          </cell>
          <cell r="R1007" t="str">
            <v>J6</v>
          </cell>
          <cell r="S1007" t="str">
            <v>ENTREGADO</v>
          </cell>
          <cell r="T1007">
            <v>42690</v>
          </cell>
          <cell r="U1007" t="str">
            <v>PALOMINO ESTRADA  MICHEL</v>
          </cell>
          <cell r="V1007" t="str">
            <v>FLOREZ CONDORI  JOSE WILLIANS</v>
          </cell>
        </row>
        <row r="1008">
          <cell r="A1008">
            <v>972</v>
          </cell>
          <cell r="B1008">
            <v>42690</v>
          </cell>
          <cell r="C1008" t="str">
            <v>NOVIEMBRE</v>
          </cell>
          <cell r="D1008" t="str">
            <v>2016</v>
          </cell>
          <cell r="E1008">
            <v>352</v>
          </cell>
          <cell r="F1008" t="str">
            <v>X2W-759</v>
          </cell>
          <cell r="G1008" t="str">
            <v>C5V-999</v>
          </cell>
          <cell r="H1008" t="str">
            <v>LAS BAMBAS</v>
          </cell>
          <cell r="I1008">
            <v>152065</v>
          </cell>
          <cell r="J1008" t="str">
            <v>REPUESTO</v>
          </cell>
          <cell r="K1008" t="str">
            <v>VALVULA DE BREKEO DE FRENO DE SERVICIO</v>
          </cell>
          <cell r="L1008">
            <v>1</v>
          </cell>
          <cell r="M1008" t="str">
            <v>UNID.</v>
          </cell>
          <cell r="N1008" t="str">
            <v>TRACTO</v>
          </cell>
          <cell r="O1008">
            <v>0</v>
          </cell>
          <cell r="P1008" t="str">
            <v>M5</v>
          </cell>
          <cell r="Q1008" t="str">
            <v>J2</v>
          </cell>
          <cell r="R1008" t="str">
            <v>J6</v>
          </cell>
          <cell r="S1008" t="str">
            <v>ENTREGADO</v>
          </cell>
          <cell r="T1008">
            <v>42690</v>
          </cell>
          <cell r="U1008" t="str">
            <v>LOPEZ RUIZ WILBERTO</v>
          </cell>
          <cell r="V1008" t="str">
            <v>CORIHUAMAN SURCO  ERICK ROBERT</v>
          </cell>
        </row>
        <row r="1009">
          <cell r="A1009">
            <v>911</v>
          </cell>
          <cell r="B1009">
            <v>42690</v>
          </cell>
          <cell r="C1009" t="str">
            <v>NOVIEMBRE</v>
          </cell>
          <cell r="D1009" t="str">
            <v>2016</v>
          </cell>
          <cell r="E1009">
            <v>349</v>
          </cell>
          <cell r="F1009" t="str">
            <v>X2W-762</v>
          </cell>
          <cell r="G1009" t="str">
            <v>C5V-998</v>
          </cell>
          <cell r="H1009" t="str">
            <v>LAS BAMBAS</v>
          </cell>
          <cell r="I1009">
            <v>153818</v>
          </cell>
          <cell r="J1009" t="str">
            <v>REPUESTO</v>
          </cell>
          <cell r="K1009" t="str">
            <v>FILTRO DE ACEITE</v>
          </cell>
          <cell r="L1009">
            <v>2</v>
          </cell>
          <cell r="M1009" t="str">
            <v>UNID.</v>
          </cell>
          <cell r="N1009" t="str">
            <v>TRACTO</v>
          </cell>
          <cell r="O1009">
            <v>0</v>
          </cell>
          <cell r="P1009" t="str">
            <v>M4</v>
          </cell>
          <cell r="Q1009" t="str">
            <v>J1</v>
          </cell>
          <cell r="R1009" t="str">
            <v>J6</v>
          </cell>
          <cell r="S1009" t="str">
            <v>ENTREGADO</v>
          </cell>
          <cell r="T1009">
            <v>42690</v>
          </cell>
          <cell r="U1009" t="str">
            <v>JULLIRI APAZA UBALDO</v>
          </cell>
          <cell r="V1009" t="str">
            <v>FLOREZ CONDORI  JOSE WILLIANS</v>
          </cell>
        </row>
        <row r="1010">
          <cell r="A1010">
            <v>912</v>
          </cell>
          <cell r="B1010">
            <v>42690</v>
          </cell>
          <cell r="C1010" t="str">
            <v>NOVIEMBRE</v>
          </cell>
          <cell r="D1010" t="str">
            <v>2016</v>
          </cell>
          <cell r="E1010">
            <v>349</v>
          </cell>
          <cell r="F1010" t="str">
            <v>X2W-762</v>
          </cell>
          <cell r="G1010" t="str">
            <v>C5V-998</v>
          </cell>
          <cell r="H1010" t="str">
            <v>LAS BAMBAS</v>
          </cell>
          <cell r="I1010">
            <v>153818</v>
          </cell>
          <cell r="J1010" t="str">
            <v>REPUESTO</v>
          </cell>
          <cell r="K1010" t="str">
            <v>FILTRO SEPARADOR DE AGUA TIPO CARTUCHO</v>
          </cell>
          <cell r="L1010">
            <v>1</v>
          </cell>
          <cell r="M1010" t="str">
            <v>UNID.</v>
          </cell>
          <cell r="N1010" t="str">
            <v>TRACTO</v>
          </cell>
          <cell r="O1010">
            <v>0</v>
          </cell>
          <cell r="P1010" t="str">
            <v>M4</v>
          </cell>
          <cell r="Q1010" t="str">
            <v>J1</v>
          </cell>
          <cell r="R1010" t="str">
            <v>J6</v>
          </cell>
          <cell r="S1010" t="str">
            <v>ENTREGADO</v>
          </cell>
          <cell r="T1010">
            <v>42690</v>
          </cell>
          <cell r="U1010" t="str">
            <v>JULLIRI APAZA UBALDO</v>
          </cell>
          <cell r="V1010" t="str">
            <v>FLOREZ CONDORI  JOSE WILLIANS</v>
          </cell>
        </row>
        <row r="1011">
          <cell r="A1011">
            <v>913</v>
          </cell>
          <cell r="B1011">
            <v>42690</v>
          </cell>
          <cell r="C1011" t="str">
            <v>NOVIEMBRE</v>
          </cell>
          <cell r="D1011" t="str">
            <v>2016</v>
          </cell>
          <cell r="E1011">
            <v>349</v>
          </cell>
          <cell r="F1011" t="str">
            <v>X2W-762</v>
          </cell>
          <cell r="G1011" t="str">
            <v>C5V-998</v>
          </cell>
          <cell r="H1011" t="str">
            <v>LAS BAMBAS</v>
          </cell>
          <cell r="I1011">
            <v>153818</v>
          </cell>
          <cell r="J1011" t="str">
            <v>REPUESTO</v>
          </cell>
          <cell r="K1011" t="str">
            <v>FILTRO DE COMBUSTIBLE PRIMARIO</v>
          </cell>
          <cell r="L1011">
            <v>1</v>
          </cell>
          <cell r="M1011" t="str">
            <v>UNID.</v>
          </cell>
          <cell r="N1011" t="str">
            <v>TRACTO</v>
          </cell>
          <cell r="O1011">
            <v>0</v>
          </cell>
          <cell r="P1011" t="str">
            <v>M4</v>
          </cell>
          <cell r="Q1011" t="str">
            <v>J1</v>
          </cell>
          <cell r="R1011" t="str">
            <v>J6</v>
          </cell>
          <cell r="S1011" t="str">
            <v>ENTREGADO</v>
          </cell>
          <cell r="T1011">
            <v>42690</v>
          </cell>
          <cell r="U1011" t="str">
            <v>JULLIRI APAZA UBALDO</v>
          </cell>
          <cell r="V1011" t="str">
            <v>FLOREZ CONDORI  JOSE WILLIANS</v>
          </cell>
        </row>
        <row r="1012">
          <cell r="A1012">
            <v>914</v>
          </cell>
          <cell r="B1012">
            <v>42690</v>
          </cell>
          <cell r="C1012" t="str">
            <v>NOVIEMBRE</v>
          </cell>
          <cell r="D1012" t="str">
            <v>2016</v>
          </cell>
          <cell r="E1012">
            <v>349</v>
          </cell>
          <cell r="F1012" t="str">
            <v>X2W-762</v>
          </cell>
          <cell r="G1012" t="str">
            <v>C5V-998</v>
          </cell>
          <cell r="H1012" t="str">
            <v>LAS BAMBAS</v>
          </cell>
          <cell r="I1012">
            <v>153818</v>
          </cell>
          <cell r="J1012" t="str">
            <v>REPUESTO</v>
          </cell>
          <cell r="K1012" t="str">
            <v>ACEITE 15W40</v>
          </cell>
          <cell r="L1012">
            <v>10</v>
          </cell>
          <cell r="M1012" t="str">
            <v>GLNS.</v>
          </cell>
          <cell r="N1012" t="str">
            <v>TRACTO</v>
          </cell>
          <cell r="O1012">
            <v>0</v>
          </cell>
          <cell r="P1012" t="str">
            <v>M4</v>
          </cell>
          <cell r="Q1012" t="str">
            <v>J1</v>
          </cell>
          <cell r="R1012" t="str">
            <v>J6</v>
          </cell>
          <cell r="S1012" t="str">
            <v>ENTREGADO</v>
          </cell>
          <cell r="T1012">
            <v>42690</v>
          </cell>
          <cell r="U1012" t="str">
            <v>JULLIRI APAZA UBALDO</v>
          </cell>
          <cell r="V1012" t="str">
            <v>FLOREZ CONDORI  JOSE WILLIANS</v>
          </cell>
        </row>
        <row r="1013">
          <cell r="A1013">
            <v>948</v>
          </cell>
          <cell r="B1013">
            <v>42690</v>
          </cell>
          <cell r="C1013" t="str">
            <v>NOVIEMBRE</v>
          </cell>
          <cell r="D1013" t="str">
            <v>2016</v>
          </cell>
          <cell r="E1013">
            <v>349</v>
          </cell>
          <cell r="F1013" t="str">
            <v>X2W-762</v>
          </cell>
          <cell r="G1013" t="str">
            <v>C5V-998</v>
          </cell>
          <cell r="H1013" t="str">
            <v>LAS BAMBAS</v>
          </cell>
          <cell r="I1013">
            <v>153818</v>
          </cell>
          <cell r="J1013" t="str">
            <v>REPUESTO</v>
          </cell>
          <cell r="K1013" t="str">
            <v>SOPORTE DE CABINA</v>
          </cell>
          <cell r="L1013">
            <v>2</v>
          </cell>
          <cell r="M1013" t="str">
            <v>UNID.</v>
          </cell>
          <cell r="N1013" t="str">
            <v>TRACTO</v>
          </cell>
          <cell r="O1013">
            <v>0</v>
          </cell>
          <cell r="P1013" t="str">
            <v>M4</v>
          </cell>
          <cell r="Q1013" t="str">
            <v>J1</v>
          </cell>
          <cell r="R1013" t="str">
            <v>J6</v>
          </cell>
          <cell r="S1013" t="str">
            <v>ENTREGADO</v>
          </cell>
          <cell r="T1013">
            <v>42690</v>
          </cell>
          <cell r="U1013" t="str">
            <v>JULLIRI APAZA UBALDO</v>
          </cell>
          <cell r="V1013" t="str">
            <v>FLOREZ CONDORI  JOSE WILLIANS</v>
          </cell>
        </row>
        <row r="1014">
          <cell r="A1014">
            <v>963</v>
          </cell>
          <cell r="B1014">
            <v>42690</v>
          </cell>
          <cell r="C1014" t="str">
            <v>NOVIEMBRE</v>
          </cell>
          <cell r="D1014" t="str">
            <v>2016</v>
          </cell>
          <cell r="E1014">
            <v>349</v>
          </cell>
          <cell r="F1014" t="str">
            <v>X2W-762</v>
          </cell>
          <cell r="G1014" t="str">
            <v>C5V-998</v>
          </cell>
          <cell r="H1014" t="str">
            <v>LAS BAMBAS</v>
          </cell>
          <cell r="I1014">
            <v>153818</v>
          </cell>
          <cell r="J1014" t="str">
            <v>REPUESTO</v>
          </cell>
          <cell r="K1014" t="str">
            <v>ALETA PUENTE POSTERIOR</v>
          </cell>
          <cell r="L1014">
            <v>2</v>
          </cell>
          <cell r="M1014" t="str">
            <v>UNID.</v>
          </cell>
          <cell r="N1014" t="str">
            <v>TRACTO</v>
          </cell>
          <cell r="O1014">
            <v>100</v>
          </cell>
          <cell r="P1014" t="str">
            <v>S2</v>
          </cell>
          <cell r="Q1014" t="str">
            <v>J2</v>
          </cell>
          <cell r="R1014" t="str">
            <v>J6</v>
          </cell>
          <cell r="S1014" t="str">
            <v>ENTREGADO</v>
          </cell>
          <cell r="T1014">
            <v>0</v>
          </cell>
          <cell r="U1014" t="str">
            <v>PALOMINO ESTRADA  MICHEL</v>
          </cell>
          <cell r="V1014" t="str">
            <v>CORIHUAMAN SURCO  ERICK ROBERT</v>
          </cell>
        </row>
        <row r="1015">
          <cell r="A1015">
            <v>1020</v>
          </cell>
          <cell r="B1015">
            <v>42691</v>
          </cell>
          <cell r="C1015" t="str">
            <v>NOVIEMBRE</v>
          </cell>
          <cell r="D1015" t="str">
            <v>2016</v>
          </cell>
          <cell r="E1015">
            <v>359</v>
          </cell>
          <cell r="F1015" t="str">
            <v>ABR-798</v>
          </cell>
          <cell r="G1015" t="str">
            <v>TBM-980</v>
          </cell>
          <cell r="H1015" t="str">
            <v>LAS BAMBAS</v>
          </cell>
          <cell r="I1015">
            <v>121757</v>
          </cell>
          <cell r="J1015" t="str">
            <v>REPUESTO</v>
          </cell>
          <cell r="K1015" t="str">
            <v>NEBLINEROS  AAA</v>
          </cell>
          <cell r="L1015">
            <v>1</v>
          </cell>
          <cell r="M1015" t="str">
            <v>UNID.</v>
          </cell>
          <cell r="N1015" t="str">
            <v>TRACTO</v>
          </cell>
          <cell r="O1015">
            <v>0</v>
          </cell>
          <cell r="P1015" t="str">
            <v>E2</v>
          </cell>
          <cell r="Q1015" t="str">
            <v>J1</v>
          </cell>
          <cell r="R1015" t="str">
            <v>J6</v>
          </cell>
          <cell r="S1015" t="str">
            <v>ENTREGADO</v>
          </cell>
          <cell r="T1015">
            <v>42691</v>
          </cell>
          <cell r="U1015" t="str">
            <v>YUCA BELLIDO BORIS YERSY</v>
          </cell>
          <cell r="V1015" t="str">
            <v>FLOREZ CONDORI  JOSE WILLIANS</v>
          </cell>
        </row>
        <row r="1016">
          <cell r="A1016">
            <v>1022</v>
          </cell>
          <cell r="B1016">
            <v>42691</v>
          </cell>
          <cell r="C1016" t="str">
            <v>NOVIEMBRE</v>
          </cell>
          <cell r="D1016" t="str">
            <v>2016</v>
          </cell>
          <cell r="E1016">
            <v>359</v>
          </cell>
          <cell r="F1016" t="str">
            <v>ABR-798</v>
          </cell>
          <cell r="G1016" t="str">
            <v>TBM-980</v>
          </cell>
          <cell r="H1016" t="str">
            <v>LAS BAMBAS</v>
          </cell>
          <cell r="I1016">
            <v>121757</v>
          </cell>
          <cell r="J1016" t="str">
            <v>REPUESTO</v>
          </cell>
          <cell r="K1016" t="str">
            <v>NEBLINEROS  AAA</v>
          </cell>
          <cell r="L1016">
            <v>2</v>
          </cell>
          <cell r="M1016" t="str">
            <v>UNID.</v>
          </cell>
          <cell r="N1016" t="str">
            <v>TRACTO</v>
          </cell>
          <cell r="O1016">
            <v>0</v>
          </cell>
          <cell r="P1016" t="str">
            <v>E2</v>
          </cell>
          <cell r="Q1016" t="str">
            <v>J1</v>
          </cell>
          <cell r="R1016" t="str">
            <v>J6</v>
          </cell>
          <cell r="S1016" t="str">
            <v>ENTREGADO</v>
          </cell>
          <cell r="T1016">
            <v>42691</v>
          </cell>
          <cell r="U1016" t="str">
            <v>YUCA BELLIDO BORIS YERSY</v>
          </cell>
          <cell r="V1016" t="str">
            <v>FLOREZ CONDORI  JOSE WILLIANS</v>
          </cell>
        </row>
        <row r="1017">
          <cell r="A1017">
            <v>1015</v>
          </cell>
          <cell r="B1017">
            <v>42691</v>
          </cell>
          <cell r="C1017" t="str">
            <v>NOVIEMBRE</v>
          </cell>
          <cell r="D1017" t="str">
            <v>2016</v>
          </cell>
          <cell r="E1017">
            <v>329</v>
          </cell>
          <cell r="F1017" t="str">
            <v>AKW-731</v>
          </cell>
          <cell r="G1017" t="str">
            <v>TCR-989</v>
          </cell>
          <cell r="H1017" t="str">
            <v>LAS BAMBAS CONC.</v>
          </cell>
          <cell r="I1017">
            <v>19290</v>
          </cell>
          <cell r="J1017" t="str">
            <v>REPUESTO</v>
          </cell>
          <cell r="K1017" t="str">
            <v>PERNO MANHOLE 3/8 X 6</v>
          </cell>
          <cell r="L1017">
            <v>2</v>
          </cell>
          <cell r="M1017" t="str">
            <v>UNID.</v>
          </cell>
          <cell r="N1017" t="str">
            <v>CAMION</v>
          </cell>
          <cell r="O1017">
            <v>0</v>
          </cell>
          <cell r="P1017" t="str">
            <v>S3</v>
          </cell>
          <cell r="Q1017" t="str">
            <v>J1</v>
          </cell>
          <cell r="R1017" t="str">
            <v>J6</v>
          </cell>
          <cell r="S1017" t="str">
            <v>ENTREGADO</v>
          </cell>
          <cell r="T1017">
            <v>42691</v>
          </cell>
          <cell r="U1017" t="str">
            <v>JIMENEZ MACHACA JAVIER</v>
          </cell>
          <cell r="V1017" t="str">
            <v>FLOREZ CONDORI  JOSE WILLIANS</v>
          </cell>
        </row>
        <row r="1018">
          <cell r="A1018">
            <v>1016</v>
          </cell>
          <cell r="B1018">
            <v>42691</v>
          </cell>
          <cell r="C1018" t="str">
            <v>NOVIEMBRE</v>
          </cell>
          <cell r="D1018" t="str">
            <v>2016</v>
          </cell>
          <cell r="E1018">
            <v>329</v>
          </cell>
          <cell r="F1018" t="str">
            <v>AKW-731</v>
          </cell>
          <cell r="G1018" t="str">
            <v>TCR-989</v>
          </cell>
          <cell r="H1018" t="str">
            <v>LAS BAMBAS CONC.</v>
          </cell>
          <cell r="I1018">
            <v>19290</v>
          </cell>
          <cell r="J1018" t="str">
            <v>REPUESTO</v>
          </cell>
          <cell r="K1018" t="str">
            <v>VOLANDA PLANAS 3/8</v>
          </cell>
          <cell r="L1018">
            <v>2</v>
          </cell>
          <cell r="M1018" t="str">
            <v>UNID.</v>
          </cell>
          <cell r="N1018" t="str">
            <v>CAMION</v>
          </cell>
          <cell r="O1018">
            <v>0</v>
          </cell>
          <cell r="P1018" t="str">
            <v>S3</v>
          </cell>
          <cell r="Q1018" t="str">
            <v>J1</v>
          </cell>
          <cell r="R1018" t="str">
            <v>J6</v>
          </cell>
          <cell r="S1018" t="str">
            <v>ENTREGADO</v>
          </cell>
          <cell r="T1018">
            <v>42691</v>
          </cell>
          <cell r="U1018" t="str">
            <v>JIMENEZ MACHACA JAVIER</v>
          </cell>
          <cell r="V1018" t="str">
            <v>FLOREZ CONDORI  JOSE WILLIANS</v>
          </cell>
        </row>
        <row r="1019">
          <cell r="A1019">
            <v>1017</v>
          </cell>
          <cell r="B1019">
            <v>42691</v>
          </cell>
          <cell r="C1019" t="str">
            <v>NOVIEMBRE</v>
          </cell>
          <cell r="D1019" t="str">
            <v>2016</v>
          </cell>
          <cell r="E1019">
            <v>329</v>
          </cell>
          <cell r="F1019" t="str">
            <v>AKW-731</v>
          </cell>
          <cell r="G1019" t="str">
            <v>TCR-989</v>
          </cell>
          <cell r="H1019" t="str">
            <v>LAS BAMBAS CONC.</v>
          </cell>
          <cell r="I1019">
            <v>19290</v>
          </cell>
          <cell r="J1019" t="str">
            <v>REPUESTO</v>
          </cell>
          <cell r="K1019" t="str">
            <v>TUERCAS 3/8</v>
          </cell>
          <cell r="L1019">
            <v>4</v>
          </cell>
          <cell r="M1019" t="str">
            <v>UNID.</v>
          </cell>
          <cell r="N1019" t="str">
            <v>CAMION</v>
          </cell>
          <cell r="O1019">
            <v>0</v>
          </cell>
          <cell r="P1019" t="str">
            <v>S3</v>
          </cell>
          <cell r="Q1019" t="str">
            <v>J1</v>
          </cell>
          <cell r="R1019" t="str">
            <v>J6</v>
          </cell>
          <cell r="S1019" t="str">
            <v>ENTREGADO</v>
          </cell>
          <cell r="T1019">
            <v>42691</v>
          </cell>
          <cell r="U1019" t="str">
            <v>JIMENEZ MACHACA JAVIER</v>
          </cell>
          <cell r="V1019" t="str">
            <v>FLOREZ CONDORI  JOSE WILLIANS</v>
          </cell>
        </row>
        <row r="1020">
          <cell r="A1020">
            <v>1021</v>
          </cell>
          <cell r="B1020">
            <v>42691</v>
          </cell>
          <cell r="C1020" t="str">
            <v>NOVIEMBRE</v>
          </cell>
          <cell r="D1020" t="str">
            <v>2016</v>
          </cell>
          <cell r="E1020">
            <v>329</v>
          </cell>
          <cell r="F1020" t="str">
            <v>AKW-731</v>
          </cell>
          <cell r="G1020" t="str">
            <v>TCR-989</v>
          </cell>
          <cell r="H1020" t="str">
            <v>LAS BAMBAS CONC.</v>
          </cell>
          <cell r="I1020">
            <v>19290</v>
          </cell>
          <cell r="J1020" t="str">
            <v>INSUMO TALLER</v>
          </cell>
          <cell r="K1020" t="str">
            <v>SOLDADURA CHANFERCORD</v>
          </cell>
          <cell r="L1020">
            <v>5</v>
          </cell>
          <cell r="M1020" t="str">
            <v>KG.</v>
          </cell>
          <cell r="N1020" t="str">
            <v>CAMION</v>
          </cell>
          <cell r="O1020">
            <v>0</v>
          </cell>
          <cell r="P1020" t="str">
            <v>S3</v>
          </cell>
          <cell r="Q1020" t="str">
            <v>J1</v>
          </cell>
          <cell r="R1020" t="str">
            <v>J6</v>
          </cell>
          <cell r="S1020" t="str">
            <v>ENTREGADO</v>
          </cell>
          <cell r="T1020">
            <v>42691</v>
          </cell>
          <cell r="U1020" t="str">
            <v>JIMENEZ MACHACA JAVIER</v>
          </cell>
          <cell r="V1020" t="str">
            <v>FLOREZ CONDORI  JOSE WILLIANS</v>
          </cell>
        </row>
        <row r="1021">
          <cell r="A1021">
            <v>1026</v>
          </cell>
          <cell r="B1021">
            <v>42691</v>
          </cell>
          <cell r="C1021" t="str">
            <v>NOVIEMBRE</v>
          </cell>
          <cell r="D1021" t="str">
            <v>2016</v>
          </cell>
          <cell r="E1021">
            <v>329</v>
          </cell>
          <cell r="F1021" t="str">
            <v>AKW-731</v>
          </cell>
          <cell r="G1021" t="str">
            <v>TCR-989</v>
          </cell>
          <cell r="H1021" t="str">
            <v>LAS BAMBAS CONC.</v>
          </cell>
          <cell r="I1021">
            <v>19290</v>
          </cell>
          <cell r="J1021" t="str">
            <v>REPUESTO</v>
          </cell>
          <cell r="K1021" t="str">
            <v>VALVULA PARA ENCROCHE DE RECUPERADOR DE VAPORES</v>
          </cell>
          <cell r="L1021">
            <v>1</v>
          </cell>
          <cell r="M1021" t="str">
            <v>UNID.</v>
          </cell>
          <cell r="N1021" t="str">
            <v>CAMION</v>
          </cell>
          <cell r="O1021">
            <v>99</v>
          </cell>
          <cell r="P1021" t="str">
            <v>S2</v>
          </cell>
          <cell r="Q1021" t="str">
            <v>J1</v>
          </cell>
          <cell r="R1021" t="str">
            <v>J6</v>
          </cell>
          <cell r="S1021" t="str">
            <v>ENTREGADO</v>
          </cell>
          <cell r="T1021">
            <v>0</v>
          </cell>
          <cell r="U1021" t="str">
            <v>PALOMINO ESTRADA  MICHEL</v>
          </cell>
          <cell r="V1021" t="str">
            <v>FLOREZ CONDORI  JOSE WILLIANS</v>
          </cell>
        </row>
        <row r="1022">
          <cell r="A1022">
            <v>1027</v>
          </cell>
          <cell r="B1022">
            <v>42691</v>
          </cell>
          <cell r="C1022" t="str">
            <v>NOVIEMBRE</v>
          </cell>
          <cell r="D1022" t="str">
            <v>2016</v>
          </cell>
          <cell r="E1022">
            <v>329</v>
          </cell>
          <cell r="F1022" t="str">
            <v>AKW-731</v>
          </cell>
          <cell r="G1022" t="str">
            <v>TCR-989</v>
          </cell>
          <cell r="H1022" t="str">
            <v>LAS BAMBAS CONC.</v>
          </cell>
          <cell r="I1022">
            <v>19290</v>
          </cell>
          <cell r="J1022" t="str">
            <v>REPUESTO</v>
          </cell>
          <cell r="K1022" t="str">
            <v>NIPLE 3" X  6"</v>
          </cell>
          <cell r="L1022">
            <v>1</v>
          </cell>
          <cell r="M1022" t="str">
            <v>UNID.</v>
          </cell>
          <cell r="N1022" t="str">
            <v>CAMION</v>
          </cell>
          <cell r="O1022">
            <v>99</v>
          </cell>
          <cell r="P1022" t="str">
            <v>S2</v>
          </cell>
          <cell r="Q1022" t="str">
            <v>J1</v>
          </cell>
          <cell r="R1022" t="str">
            <v>J6</v>
          </cell>
          <cell r="S1022" t="str">
            <v>ENTREGADO</v>
          </cell>
          <cell r="T1022">
            <v>0</v>
          </cell>
          <cell r="U1022" t="str">
            <v>PALOMINO ESTRADA  MICHEL</v>
          </cell>
          <cell r="V1022" t="str">
            <v>FLOREZ CONDORI  JOSE WILLIANS</v>
          </cell>
        </row>
        <row r="1023">
          <cell r="A1023">
            <v>1006</v>
          </cell>
          <cell r="B1023">
            <v>42691</v>
          </cell>
          <cell r="C1023" t="str">
            <v>NOVIEMBRE</v>
          </cell>
          <cell r="D1023" t="str">
            <v>2016</v>
          </cell>
          <cell r="E1023">
            <v>356</v>
          </cell>
          <cell r="F1023" t="str">
            <v>AKX-767</v>
          </cell>
          <cell r="G1023" t="str">
            <v>TCR-993</v>
          </cell>
          <cell r="H1023" t="str">
            <v>LAS BAMBAS CONC.</v>
          </cell>
          <cell r="I1023">
            <v>18156</v>
          </cell>
          <cell r="J1023" t="str">
            <v>REPUESTO</v>
          </cell>
          <cell r="K1023" t="str">
            <v>SPRAY COLOR BLANCO</v>
          </cell>
          <cell r="L1023">
            <v>1</v>
          </cell>
          <cell r="M1023" t="str">
            <v>UNID.</v>
          </cell>
          <cell r="N1023" t="str">
            <v>CAMIONETA</v>
          </cell>
          <cell r="O1023">
            <v>0</v>
          </cell>
          <cell r="P1023" t="str">
            <v>M6</v>
          </cell>
          <cell r="Q1023" t="str">
            <v>J1</v>
          </cell>
          <cell r="R1023" t="str">
            <v>J6</v>
          </cell>
          <cell r="S1023" t="str">
            <v>ENTREGADO</v>
          </cell>
          <cell r="T1023">
            <v>42691</v>
          </cell>
          <cell r="U1023" t="str">
            <v>PARI VENTURA  EDSON ORLANDO</v>
          </cell>
          <cell r="V1023" t="str">
            <v>FLOREZ CONDORI  JOSE WILLIANS</v>
          </cell>
        </row>
        <row r="1024">
          <cell r="A1024">
            <v>1007</v>
          </cell>
          <cell r="B1024">
            <v>42691</v>
          </cell>
          <cell r="C1024" t="str">
            <v>NOVIEMBRE</v>
          </cell>
          <cell r="D1024" t="str">
            <v>2016</v>
          </cell>
          <cell r="E1024">
            <v>356</v>
          </cell>
          <cell r="F1024" t="str">
            <v>AKX-767</v>
          </cell>
          <cell r="G1024" t="str">
            <v>TCR-993</v>
          </cell>
          <cell r="H1024" t="str">
            <v>LAS BAMBAS CONC.</v>
          </cell>
          <cell r="I1024">
            <v>18156</v>
          </cell>
          <cell r="J1024" t="str">
            <v>IMPLEMENTACION</v>
          </cell>
          <cell r="K1024" t="str">
            <v>LETRERO DE "PELIGRO DE COMBUSTIBLE - CONVOY UNIDADES"</v>
          </cell>
          <cell r="L1024">
            <v>1</v>
          </cell>
          <cell r="M1024" t="str">
            <v>UNID.</v>
          </cell>
          <cell r="N1024" t="str">
            <v>CAMIONETA</v>
          </cell>
          <cell r="O1024">
            <v>0</v>
          </cell>
          <cell r="P1024" t="str">
            <v>M6</v>
          </cell>
          <cell r="Q1024" t="str">
            <v>J1</v>
          </cell>
          <cell r="R1024" t="str">
            <v>J6</v>
          </cell>
          <cell r="S1024" t="str">
            <v>ENTREGADO</v>
          </cell>
          <cell r="T1024">
            <v>42691</v>
          </cell>
          <cell r="U1024" t="str">
            <v>PARI VENTURA  EDSON ORLANDO</v>
          </cell>
          <cell r="V1024" t="str">
            <v>FLOREZ CONDORI  JOSE WILLIANS</v>
          </cell>
        </row>
        <row r="1025">
          <cell r="A1025">
            <v>1024</v>
          </cell>
          <cell r="B1025">
            <v>42691</v>
          </cell>
          <cell r="C1025" t="str">
            <v>NOVIEMBRE</v>
          </cell>
          <cell r="D1025" t="str">
            <v>2016</v>
          </cell>
          <cell r="E1025">
            <v>209</v>
          </cell>
          <cell r="F1025" t="str">
            <v>AKX-805</v>
          </cell>
          <cell r="G1025" t="str">
            <v>F5Z-985</v>
          </cell>
          <cell r="H1025" t="str">
            <v>LAS BAMBAS</v>
          </cell>
          <cell r="I1025">
            <v>31856</v>
          </cell>
          <cell r="J1025" t="str">
            <v>REPUESTO</v>
          </cell>
          <cell r="K1025" t="str">
            <v>FARO LED ROJO GRANDE</v>
          </cell>
          <cell r="L1025">
            <v>1</v>
          </cell>
          <cell r="M1025" t="str">
            <v>UNID.</v>
          </cell>
          <cell r="N1025" t="str">
            <v>CISTERNA</v>
          </cell>
          <cell r="O1025">
            <v>0</v>
          </cell>
          <cell r="P1025" t="str">
            <v>E1</v>
          </cell>
          <cell r="Q1025" t="str">
            <v>J1</v>
          </cell>
          <cell r="R1025" t="str">
            <v>J6</v>
          </cell>
          <cell r="S1025" t="str">
            <v>ENTREGADO</v>
          </cell>
          <cell r="T1025">
            <v>42691</v>
          </cell>
          <cell r="U1025" t="str">
            <v>PALOMINO CARDENAS JUAN CARLOS</v>
          </cell>
          <cell r="V1025" t="str">
            <v>FLOREZ CONDORI  JOSE WILLIANS</v>
          </cell>
        </row>
        <row r="1026">
          <cell r="A1026">
            <v>1025</v>
          </cell>
          <cell r="B1026">
            <v>42691</v>
          </cell>
          <cell r="C1026" t="str">
            <v>NOVIEMBRE</v>
          </cell>
          <cell r="D1026" t="str">
            <v>2016</v>
          </cell>
          <cell r="E1026">
            <v>209</v>
          </cell>
          <cell r="F1026" t="str">
            <v>AKX-805</v>
          </cell>
          <cell r="G1026" t="str">
            <v>F5Z-985</v>
          </cell>
          <cell r="H1026" t="str">
            <v>LAS BAMBAS</v>
          </cell>
          <cell r="I1026">
            <v>31856</v>
          </cell>
          <cell r="J1026" t="str">
            <v>REPUESTO</v>
          </cell>
          <cell r="K1026" t="str">
            <v>FARO LED AMBAR GRANDE</v>
          </cell>
          <cell r="L1026">
            <v>1</v>
          </cell>
          <cell r="M1026" t="str">
            <v>UNID.</v>
          </cell>
          <cell r="N1026" t="str">
            <v>CISTERNA</v>
          </cell>
          <cell r="O1026">
            <v>0</v>
          </cell>
          <cell r="P1026" t="str">
            <v>E1</v>
          </cell>
          <cell r="Q1026" t="str">
            <v>J1</v>
          </cell>
          <cell r="R1026" t="str">
            <v>J6</v>
          </cell>
          <cell r="S1026" t="str">
            <v>ENTREGADO</v>
          </cell>
          <cell r="T1026">
            <v>42691</v>
          </cell>
          <cell r="U1026" t="str">
            <v>PALOMINO CARDENAS JUAN CARLOS</v>
          </cell>
          <cell r="V1026" t="str">
            <v>FLOREZ CONDORI  JOSE WILLIANS</v>
          </cell>
        </row>
        <row r="1027">
          <cell r="A1027">
            <v>1008</v>
          </cell>
          <cell r="B1027">
            <v>42691</v>
          </cell>
          <cell r="C1027" t="str">
            <v>NOVIEMBRE</v>
          </cell>
          <cell r="D1027" t="str">
            <v>2016</v>
          </cell>
          <cell r="E1027">
            <v>355</v>
          </cell>
          <cell r="F1027" t="str">
            <v>APG-726</v>
          </cell>
          <cell r="G1027" t="str">
            <v>CAMIONETA</v>
          </cell>
          <cell r="H1027" t="str">
            <v>LAS BAMBAS</v>
          </cell>
          <cell r="I1027">
            <v>1356</v>
          </cell>
          <cell r="J1027" t="str">
            <v>INSUMO TALLER</v>
          </cell>
          <cell r="K1027" t="str">
            <v>DETERGENTE</v>
          </cell>
          <cell r="L1027">
            <v>1</v>
          </cell>
          <cell r="M1027" t="str">
            <v>UNID.</v>
          </cell>
          <cell r="N1027" t="str">
            <v>CISTERNA</v>
          </cell>
          <cell r="O1027">
            <v>0</v>
          </cell>
          <cell r="P1027" t="str">
            <v>S2</v>
          </cell>
          <cell r="Q1027" t="str">
            <v>J1</v>
          </cell>
          <cell r="R1027" t="str">
            <v>J6</v>
          </cell>
          <cell r="S1027" t="str">
            <v>ENTREGADO</v>
          </cell>
          <cell r="T1027">
            <v>42691</v>
          </cell>
          <cell r="U1027" t="str">
            <v>PALOMINO ESTRADA  MICHEL</v>
          </cell>
          <cell r="V1027" t="str">
            <v>FLOREZ CONDORI  JOSE WILLIANS</v>
          </cell>
        </row>
        <row r="1028">
          <cell r="A1028">
            <v>1000</v>
          </cell>
          <cell r="B1028">
            <v>42691</v>
          </cell>
          <cell r="C1028" t="str">
            <v>NOVIEMBRE</v>
          </cell>
          <cell r="D1028" t="str">
            <v>2016</v>
          </cell>
          <cell r="E1028">
            <v>337</v>
          </cell>
          <cell r="F1028" t="str">
            <v>B2L-889</v>
          </cell>
          <cell r="G1028" t="str">
            <v>CAMION</v>
          </cell>
          <cell r="H1028" t="str">
            <v>TAMBOMAYO</v>
          </cell>
          <cell r="I1028">
            <v>0</v>
          </cell>
          <cell r="J1028" t="str">
            <v>REPUESTO</v>
          </cell>
          <cell r="K1028" t="str">
            <v>FOCO LAGRIMA 12V</v>
          </cell>
          <cell r="L1028">
            <v>5</v>
          </cell>
          <cell r="M1028" t="str">
            <v>UNID.</v>
          </cell>
          <cell r="N1028" t="str">
            <v>TRACTO</v>
          </cell>
          <cell r="O1028">
            <v>0</v>
          </cell>
          <cell r="P1028" t="str">
            <v>E1</v>
          </cell>
          <cell r="Q1028" t="str">
            <v>J1</v>
          </cell>
          <cell r="R1028" t="str">
            <v>J1</v>
          </cell>
          <cell r="S1028" t="str">
            <v>ENTREGADO</v>
          </cell>
          <cell r="T1028">
            <v>42691</v>
          </cell>
          <cell r="U1028" t="str">
            <v>PALOMINO CARDENAS JUAN CARLOS</v>
          </cell>
          <cell r="V1028" t="str">
            <v>FLOREZ CONDORI  JOSE WILLIANS</v>
          </cell>
        </row>
        <row r="1029">
          <cell r="A1029">
            <v>995</v>
          </cell>
          <cell r="B1029">
            <v>42691</v>
          </cell>
          <cell r="C1029" t="str">
            <v>NOVIEMBRE</v>
          </cell>
          <cell r="D1029" t="str">
            <v>2016</v>
          </cell>
          <cell r="E1029">
            <v>240</v>
          </cell>
          <cell r="F1029" t="str">
            <v>B2M-948</v>
          </cell>
          <cell r="G1029" t="str">
            <v>CAMION</v>
          </cell>
          <cell r="H1029" t="str">
            <v>TAMBOMAYO</v>
          </cell>
          <cell r="I1029">
            <v>111543</v>
          </cell>
          <cell r="J1029" t="str">
            <v>REPUESTO</v>
          </cell>
          <cell r="K1029" t="str">
            <v>PRESINTOS 300</v>
          </cell>
          <cell r="L1029">
            <v>20</v>
          </cell>
          <cell r="M1029" t="str">
            <v>UNID.</v>
          </cell>
          <cell r="N1029" t="str">
            <v>CAMION</v>
          </cell>
          <cell r="O1029">
            <v>0</v>
          </cell>
          <cell r="P1029" t="str">
            <v>M7</v>
          </cell>
          <cell r="Q1029" t="str">
            <v>J1</v>
          </cell>
          <cell r="R1029" t="str">
            <v>J6</v>
          </cell>
          <cell r="S1029" t="str">
            <v>ENTREGADO</v>
          </cell>
          <cell r="T1029">
            <v>42691</v>
          </cell>
          <cell r="U1029" t="str">
            <v>ROBLES ROJAS  JOSE MIGUEL</v>
          </cell>
          <cell r="V1029" t="str">
            <v>FLOREZ CONDORI  JOSE WILLIANS</v>
          </cell>
        </row>
        <row r="1030">
          <cell r="A1030">
            <v>1043</v>
          </cell>
          <cell r="B1030">
            <v>42691</v>
          </cell>
          <cell r="C1030" t="str">
            <v>NOVIEMBRE</v>
          </cell>
          <cell r="D1030" t="str">
            <v>2016</v>
          </cell>
          <cell r="E1030">
            <v>363</v>
          </cell>
          <cell r="F1030" t="str">
            <v>C5R-896</v>
          </cell>
          <cell r="G1030" t="str">
            <v>A0U-977</v>
          </cell>
          <cell r="H1030" t="str">
            <v>LAS BAMBAS</v>
          </cell>
          <cell r="I1030">
            <v>211020</v>
          </cell>
          <cell r="J1030" t="str">
            <v>SERVICIO</v>
          </cell>
          <cell r="K1030" t="str">
            <v>FABRICACION DE TINA DE RADIADOR Y VERIFICACION DE INTERCOOLER</v>
          </cell>
          <cell r="L1030">
            <v>1</v>
          </cell>
          <cell r="M1030" t="str">
            <v>UNID.</v>
          </cell>
          <cell r="N1030" t="str">
            <v>TRACTO</v>
          </cell>
          <cell r="O1030">
            <v>0</v>
          </cell>
          <cell r="P1030" t="str">
            <v>M4</v>
          </cell>
          <cell r="Q1030" t="str">
            <v>J1</v>
          </cell>
          <cell r="R1030" t="str">
            <v>J6</v>
          </cell>
          <cell r="S1030" t="str">
            <v>ENTREGADO</v>
          </cell>
          <cell r="T1030">
            <v>42691</v>
          </cell>
          <cell r="U1030" t="str">
            <v>JULLIRI APAZA UBALDO</v>
          </cell>
          <cell r="V1030" t="str">
            <v>FLOREZ CONDORI  JOSE WILLIANS</v>
          </cell>
        </row>
        <row r="1031">
          <cell r="A1031">
            <v>1044</v>
          </cell>
          <cell r="B1031">
            <v>42691</v>
          </cell>
          <cell r="C1031" t="str">
            <v>NOVIEMBRE</v>
          </cell>
          <cell r="D1031" t="str">
            <v>2016</v>
          </cell>
          <cell r="E1031">
            <v>363</v>
          </cell>
          <cell r="F1031" t="str">
            <v>C5R-896</v>
          </cell>
          <cell r="G1031" t="str">
            <v>A0U-977</v>
          </cell>
          <cell r="H1031" t="str">
            <v>LAS BAMBAS</v>
          </cell>
          <cell r="I1031">
            <v>211020</v>
          </cell>
          <cell r="J1031" t="str">
            <v>REPUESTO</v>
          </cell>
          <cell r="K1031" t="str">
            <v>BROCA 1/16</v>
          </cell>
          <cell r="L1031">
            <v>1</v>
          </cell>
          <cell r="M1031" t="str">
            <v>UNID.</v>
          </cell>
          <cell r="N1031" t="str">
            <v>TRACTO</v>
          </cell>
          <cell r="O1031">
            <v>99</v>
          </cell>
          <cell r="P1031" t="str">
            <v>M4</v>
          </cell>
          <cell r="Q1031" t="str">
            <v>J1</v>
          </cell>
          <cell r="R1031" t="str">
            <v>J6</v>
          </cell>
          <cell r="S1031" t="str">
            <v>ENTREGADO</v>
          </cell>
          <cell r="T1031">
            <v>0</v>
          </cell>
          <cell r="U1031" t="str">
            <v>JULLIRI APAZA UBALDO</v>
          </cell>
          <cell r="V1031" t="str">
            <v>FLOREZ CONDORI  JOSE WILLIANS</v>
          </cell>
        </row>
        <row r="1032">
          <cell r="A1032">
            <v>1045</v>
          </cell>
          <cell r="B1032">
            <v>42691</v>
          </cell>
          <cell r="C1032" t="str">
            <v>NOVIEMBRE</v>
          </cell>
          <cell r="D1032" t="str">
            <v>2016</v>
          </cell>
          <cell r="E1032">
            <v>363</v>
          </cell>
          <cell r="F1032" t="str">
            <v>C5R-896</v>
          </cell>
          <cell r="G1032" t="str">
            <v>A0U-977</v>
          </cell>
          <cell r="H1032" t="str">
            <v>LAS BAMBAS</v>
          </cell>
          <cell r="I1032">
            <v>211020</v>
          </cell>
          <cell r="J1032" t="str">
            <v>REPUESTO</v>
          </cell>
          <cell r="K1032" t="str">
            <v>MANGUERA DE AGUA DE 2 1/2 " X 20 CM</v>
          </cell>
          <cell r="L1032">
            <v>2</v>
          </cell>
          <cell r="M1032" t="str">
            <v>UNID.</v>
          </cell>
          <cell r="N1032" t="str">
            <v>TRACTO</v>
          </cell>
          <cell r="O1032">
            <v>99</v>
          </cell>
          <cell r="P1032" t="str">
            <v>M4</v>
          </cell>
          <cell r="Q1032" t="str">
            <v>J1</v>
          </cell>
          <cell r="R1032" t="str">
            <v>J6</v>
          </cell>
          <cell r="S1032" t="str">
            <v>ENTREGADO</v>
          </cell>
          <cell r="T1032">
            <v>0</v>
          </cell>
          <cell r="U1032" t="str">
            <v>JULLIRI APAZA UBALDO</v>
          </cell>
          <cell r="V1032" t="str">
            <v>FLOREZ CONDORI  JOSE WILLIANS</v>
          </cell>
        </row>
        <row r="1033">
          <cell r="A1033">
            <v>1046</v>
          </cell>
          <cell r="B1033">
            <v>42691</v>
          </cell>
          <cell r="C1033" t="str">
            <v>NOVIEMBRE</v>
          </cell>
          <cell r="D1033" t="str">
            <v>2016</v>
          </cell>
          <cell r="E1033">
            <v>363</v>
          </cell>
          <cell r="F1033" t="str">
            <v>C5R-896</v>
          </cell>
          <cell r="G1033" t="str">
            <v>A0U-977</v>
          </cell>
          <cell r="H1033" t="str">
            <v>LAS BAMBAS</v>
          </cell>
          <cell r="I1033">
            <v>211020</v>
          </cell>
          <cell r="J1033" t="str">
            <v>REPUESTO</v>
          </cell>
          <cell r="K1033" t="str">
            <v>ABRAZADERAS 2 1/2"</v>
          </cell>
          <cell r="L1033">
            <v>4</v>
          </cell>
          <cell r="M1033" t="str">
            <v>UNID.</v>
          </cell>
          <cell r="N1033" t="str">
            <v>TRACTO</v>
          </cell>
          <cell r="O1033">
            <v>99</v>
          </cell>
          <cell r="P1033" t="str">
            <v>M4</v>
          </cell>
          <cell r="Q1033" t="str">
            <v>J1</v>
          </cell>
          <cell r="R1033" t="str">
            <v>J6</v>
          </cell>
          <cell r="S1033" t="str">
            <v>ENTREGADO</v>
          </cell>
          <cell r="T1033">
            <v>0</v>
          </cell>
          <cell r="U1033" t="str">
            <v>JULLIRI APAZA UBALDO</v>
          </cell>
          <cell r="V1033" t="str">
            <v>FLOREZ CONDORI  JOSE WILLIANS</v>
          </cell>
        </row>
        <row r="1034">
          <cell r="A1034">
            <v>1051</v>
          </cell>
          <cell r="B1034">
            <v>42691</v>
          </cell>
          <cell r="C1034" t="str">
            <v>NOVIEMBRE</v>
          </cell>
          <cell r="D1034" t="str">
            <v>2016</v>
          </cell>
          <cell r="E1034">
            <v>363</v>
          </cell>
          <cell r="F1034" t="str">
            <v>C5R-896</v>
          </cell>
          <cell r="G1034" t="str">
            <v>A0U-977</v>
          </cell>
          <cell r="H1034" t="str">
            <v>LAS BAMBAS</v>
          </cell>
          <cell r="I1034">
            <v>211020</v>
          </cell>
          <cell r="J1034" t="str">
            <v>REPUESTO</v>
          </cell>
          <cell r="K1034" t="str">
            <v>PERNO 3/8 X 4 1/2</v>
          </cell>
          <cell r="L1034">
            <v>6</v>
          </cell>
          <cell r="M1034" t="str">
            <v>UNID.</v>
          </cell>
          <cell r="N1034" t="str">
            <v>TRACTO</v>
          </cell>
          <cell r="O1034">
            <v>99</v>
          </cell>
          <cell r="P1034" t="str">
            <v>M4</v>
          </cell>
          <cell r="Q1034" t="str">
            <v>J1</v>
          </cell>
          <cell r="R1034" t="str">
            <v>J6</v>
          </cell>
          <cell r="S1034" t="str">
            <v>ENTREGADO</v>
          </cell>
          <cell r="T1034">
            <v>0</v>
          </cell>
          <cell r="U1034" t="str">
            <v>JULLIRI APAZA UBALDO</v>
          </cell>
          <cell r="V1034" t="str">
            <v>FLOREZ CONDORI  JOSE WILLIANS</v>
          </cell>
        </row>
        <row r="1035">
          <cell r="A1035">
            <v>1052</v>
          </cell>
          <cell r="B1035">
            <v>42691</v>
          </cell>
          <cell r="C1035" t="str">
            <v>NOVIEMBRE</v>
          </cell>
          <cell r="D1035" t="str">
            <v>2016</v>
          </cell>
          <cell r="E1035">
            <v>363</v>
          </cell>
          <cell r="F1035" t="str">
            <v>C5R-896</v>
          </cell>
          <cell r="G1035" t="str">
            <v>A0U-977</v>
          </cell>
          <cell r="H1035" t="str">
            <v>LAS BAMBAS</v>
          </cell>
          <cell r="I1035">
            <v>211020</v>
          </cell>
          <cell r="J1035" t="str">
            <v>REPUESTO</v>
          </cell>
          <cell r="K1035" t="str">
            <v>TUERCA SEGUERO 3/8</v>
          </cell>
          <cell r="L1035">
            <v>6</v>
          </cell>
          <cell r="M1035" t="str">
            <v>UNID.</v>
          </cell>
          <cell r="N1035" t="str">
            <v>TRACTO</v>
          </cell>
          <cell r="O1035">
            <v>99</v>
          </cell>
          <cell r="P1035" t="str">
            <v>M4</v>
          </cell>
          <cell r="Q1035" t="str">
            <v>J1</v>
          </cell>
          <cell r="R1035" t="str">
            <v>J6</v>
          </cell>
          <cell r="S1035" t="str">
            <v>ENTREGADO</v>
          </cell>
          <cell r="T1035">
            <v>0</v>
          </cell>
          <cell r="U1035" t="str">
            <v>JULLIRI APAZA UBALDO</v>
          </cell>
          <cell r="V1035" t="str">
            <v>FLOREZ CONDORI  JOSE WILLIANS</v>
          </cell>
        </row>
        <row r="1036">
          <cell r="A1036">
            <v>1053</v>
          </cell>
          <cell r="B1036">
            <v>42691</v>
          </cell>
          <cell r="C1036" t="str">
            <v>NOVIEMBRE</v>
          </cell>
          <cell r="D1036" t="str">
            <v>2016</v>
          </cell>
          <cell r="E1036">
            <v>363</v>
          </cell>
          <cell r="F1036" t="str">
            <v>C5R-896</v>
          </cell>
          <cell r="G1036" t="str">
            <v>A0U-977</v>
          </cell>
          <cell r="H1036" t="str">
            <v>LAS BAMBAS</v>
          </cell>
          <cell r="I1036">
            <v>211020</v>
          </cell>
          <cell r="J1036" t="str">
            <v>REPUESTO</v>
          </cell>
          <cell r="K1036" t="str">
            <v>VOLANDA PLANA 3/8</v>
          </cell>
          <cell r="L1036">
            <v>12</v>
          </cell>
          <cell r="M1036" t="str">
            <v>UNID.</v>
          </cell>
          <cell r="N1036" t="str">
            <v>TRACTO</v>
          </cell>
          <cell r="O1036">
            <v>99</v>
          </cell>
          <cell r="P1036" t="str">
            <v>M4</v>
          </cell>
          <cell r="Q1036" t="str">
            <v>J1</v>
          </cell>
          <cell r="R1036" t="str">
            <v>J6</v>
          </cell>
          <cell r="S1036" t="str">
            <v>ENTREGADO</v>
          </cell>
          <cell r="T1036">
            <v>0</v>
          </cell>
          <cell r="U1036" t="str">
            <v>JULLIRI APAZA UBALDO</v>
          </cell>
          <cell r="V1036" t="str">
            <v>FLOREZ CONDORI  JOSE WILLIANS</v>
          </cell>
        </row>
        <row r="1037">
          <cell r="A1037">
            <v>994</v>
          </cell>
          <cell r="B1037">
            <v>42691</v>
          </cell>
          <cell r="C1037" t="str">
            <v>NOVIEMBRE</v>
          </cell>
          <cell r="D1037" t="str">
            <v>2016</v>
          </cell>
          <cell r="E1037">
            <v>353</v>
          </cell>
          <cell r="F1037" t="str">
            <v>C5R-899</v>
          </cell>
          <cell r="G1037" t="str">
            <v>A0U-978</v>
          </cell>
          <cell r="H1037" t="str">
            <v>LAS BAMBAS</v>
          </cell>
          <cell r="I1037">
            <v>249342</v>
          </cell>
          <cell r="J1037" t="str">
            <v>REPUESTO</v>
          </cell>
          <cell r="K1037" t="str">
            <v>FOCO DE DOBLE CONTACTO 12 V</v>
          </cell>
          <cell r="L1037">
            <v>1</v>
          </cell>
          <cell r="M1037" t="str">
            <v>UNID.</v>
          </cell>
          <cell r="N1037" t="str">
            <v>TRACTO</v>
          </cell>
          <cell r="O1037">
            <v>0</v>
          </cell>
          <cell r="P1037" t="str">
            <v>E1</v>
          </cell>
          <cell r="Q1037" t="str">
            <v>J1</v>
          </cell>
          <cell r="R1037" t="str">
            <v>J6</v>
          </cell>
          <cell r="S1037" t="str">
            <v>ENTREGADO</v>
          </cell>
          <cell r="T1037">
            <v>42691</v>
          </cell>
          <cell r="U1037" t="str">
            <v>PALOMINO CARDENAS JUAN CARLOS</v>
          </cell>
          <cell r="V1037" t="str">
            <v>FLOREZ CONDORI  JOSE WILLIANS</v>
          </cell>
        </row>
        <row r="1038">
          <cell r="A1038">
            <v>1001</v>
          </cell>
          <cell r="B1038">
            <v>42691</v>
          </cell>
          <cell r="C1038" t="str">
            <v>NOVIEMBRE</v>
          </cell>
          <cell r="D1038" t="str">
            <v>2016</v>
          </cell>
          <cell r="E1038">
            <v>353</v>
          </cell>
          <cell r="F1038" t="str">
            <v>C5R-899</v>
          </cell>
          <cell r="G1038" t="str">
            <v>A0U-978</v>
          </cell>
          <cell r="H1038" t="str">
            <v>LAS BAMBAS</v>
          </cell>
          <cell r="I1038">
            <v>249342</v>
          </cell>
          <cell r="J1038" t="str">
            <v>REPUESTO</v>
          </cell>
          <cell r="K1038" t="str">
            <v>PERNOS CARTER 5/16 X 1 1/2 CON TUERCA</v>
          </cell>
          <cell r="L1038">
            <v>2</v>
          </cell>
          <cell r="M1038" t="str">
            <v>UNID.</v>
          </cell>
          <cell r="N1038" t="str">
            <v>TRACTO</v>
          </cell>
          <cell r="O1038">
            <v>0</v>
          </cell>
          <cell r="P1038" t="str">
            <v>M1</v>
          </cell>
          <cell r="Q1038" t="str">
            <v>J1</v>
          </cell>
          <cell r="R1038" t="str">
            <v>J6</v>
          </cell>
          <cell r="S1038" t="str">
            <v>ENTREGADO</v>
          </cell>
          <cell r="T1038">
            <v>42691</v>
          </cell>
          <cell r="U1038" t="str">
            <v>CABEZAS SANCHEZ JEAN JHONATAN</v>
          </cell>
          <cell r="V1038" t="str">
            <v>FLOREZ CONDORI  JOSE WILLIANS</v>
          </cell>
        </row>
        <row r="1039">
          <cell r="A1039">
            <v>1005</v>
          </cell>
          <cell r="B1039">
            <v>42691</v>
          </cell>
          <cell r="C1039" t="str">
            <v>NOVIEMBRE</v>
          </cell>
          <cell r="D1039" t="str">
            <v>2016</v>
          </cell>
          <cell r="E1039">
            <v>353</v>
          </cell>
          <cell r="F1039" t="str">
            <v>C5R-899</v>
          </cell>
          <cell r="G1039" t="str">
            <v>A0U-978</v>
          </cell>
          <cell r="H1039" t="str">
            <v>LAS BAMBAS</v>
          </cell>
          <cell r="I1039">
            <v>249342</v>
          </cell>
          <cell r="J1039" t="str">
            <v>REPUESTO</v>
          </cell>
          <cell r="K1039" t="str">
            <v>SOCKET DE DOBLE CONTACTO</v>
          </cell>
          <cell r="L1039">
            <v>1</v>
          </cell>
          <cell r="M1039" t="str">
            <v>UNID.</v>
          </cell>
          <cell r="N1039" t="str">
            <v>TRACTO</v>
          </cell>
          <cell r="O1039">
            <v>0</v>
          </cell>
          <cell r="P1039" t="str">
            <v>E1</v>
          </cell>
          <cell r="Q1039" t="str">
            <v>J1</v>
          </cell>
          <cell r="R1039" t="str">
            <v>J6</v>
          </cell>
          <cell r="S1039" t="str">
            <v>ENTREGADO</v>
          </cell>
          <cell r="T1039">
            <v>42691</v>
          </cell>
          <cell r="U1039" t="str">
            <v>PALOMINO CARDENAS JUAN CARLOS</v>
          </cell>
          <cell r="V1039" t="str">
            <v>FLOREZ CONDORI  JOSE WILLIANS</v>
          </cell>
        </row>
        <row r="1040">
          <cell r="A1040">
            <v>1009</v>
          </cell>
          <cell r="B1040">
            <v>42691</v>
          </cell>
          <cell r="C1040" t="str">
            <v>NOVIEMBRE</v>
          </cell>
          <cell r="D1040" t="str">
            <v>2016</v>
          </cell>
          <cell r="E1040">
            <v>353</v>
          </cell>
          <cell r="F1040" t="str">
            <v>C5R-899</v>
          </cell>
          <cell r="G1040" t="str">
            <v>A0U-978</v>
          </cell>
          <cell r="H1040" t="str">
            <v>LAS BAMBAS</v>
          </cell>
          <cell r="I1040">
            <v>249342</v>
          </cell>
          <cell r="J1040" t="str">
            <v>REPUESTO</v>
          </cell>
          <cell r="K1040" t="str">
            <v>RELAY 12 V</v>
          </cell>
          <cell r="L1040">
            <v>1</v>
          </cell>
          <cell r="M1040" t="str">
            <v>UNID.</v>
          </cell>
          <cell r="N1040" t="str">
            <v>TRACTO</v>
          </cell>
          <cell r="O1040">
            <v>0</v>
          </cell>
          <cell r="P1040" t="str">
            <v>E1</v>
          </cell>
          <cell r="Q1040" t="str">
            <v>J1</v>
          </cell>
          <cell r="R1040" t="str">
            <v>J6</v>
          </cell>
          <cell r="S1040" t="str">
            <v>ENTREGADO</v>
          </cell>
          <cell r="T1040">
            <v>42691</v>
          </cell>
          <cell r="U1040" t="str">
            <v>PALOMINO CARDENAS JUAN CARLOS</v>
          </cell>
          <cell r="V1040" t="str">
            <v>FLOREZ CONDORI  JOSE WILLIANS</v>
          </cell>
        </row>
        <row r="1041">
          <cell r="A1041">
            <v>1010</v>
          </cell>
          <cell r="B1041">
            <v>42691</v>
          </cell>
          <cell r="C1041" t="str">
            <v>NOVIEMBRE</v>
          </cell>
          <cell r="D1041" t="str">
            <v>2016</v>
          </cell>
          <cell r="E1041">
            <v>353</v>
          </cell>
          <cell r="F1041" t="str">
            <v>C5R-899</v>
          </cell>
          <cell r="G1041" t="str">
            <v>A0U-978</v>
          </cell>
          <cell r="H1041" t="str">
            <v>LAS BAMBAS</v>
          </cell>
          <cell r="I1041">
            <v>249342</v>
          </cell>
          <cell r="J1041" t="str">
            <v>REPUESTO</v>
          </cell>
          <cell r="K1041" t="str">
            <v xml:space="preserve">PORTA FUSIBLE </v>
          </cell>
          <cell r="L1041">
            <v>1</v>
          </cell>
          <cell r="M1041" t="str">
            <v>UNID.</v>
          </cell>
          <cell r="N1041" t="str">
            <v>TRACTO</v>
          </cell>
          <cell r="O1041">
            <v>0</v>
          </cell>
          <cell r="P1041" t="str">
            <v>E1</v>
          </cell>
          <cell r="Q1041" t="str">
            <v>J1</v>
          </cell>
          <cell r="R1041" t="str">
            <v>J6</v>
          </cell>
          <cell r="S1041" t="str">
            <v>ENTREGADO</v>
          </cell>
          <cell r="T1041">
            <v>42691</v>
          </cell>
          <cell r="U1041" t="str">
            <v>PALOMINO CARDENAS JUAN CARLOS</v>
          </cell>
          <cell r="V1041" t="str">
            <v>FLOREZ CONDORI  JOSE WILLIANS</v>
          </cell>
        </row>
        <row r="1042">
          <cell r="A1042">
            <v>1011</v>
          </cell>
          <cell r="B1042">
            <v>42691</v>
          </cell>
          <cell r="C1042" t="str">
            <v>NOVIEMBRE</v>
          </cell>
          <cell r="D1042" t="str">
            <v>2016</v>
          </cell>
          <cell r="E1042">
            <v>353</v>
          </cell>
          <cell r="F1042" t="str">
            <v>C5R-899</v>
          </cell>
          <cell r="G1042" t="str">
            <v>A0U-978</v>
          </cell>
          <cell r="H1042" t="str">
            <v>LAS BAMBAS</v>
          </cell>
          <cell r="I1042">
            <v>249342</v>
          </cell>
          <cell r="J1042" t="str">
            <v>REPUESTO</v>
          </cell>
          <cell r="K1042" t="str">
            <v>FUSIBLE DE 10 AMP</v>
          </cell>
          <cell r="L1042">
            <v>1</v>
          </cell>
          <cell r="M1042" t="str">
            <v>UNID.</v>
          </cell>
          <cell r="N1042" t="str">
            <v>TRACTO</v>
          </cell>
          <cell r="O1042">
            <v>0</v>
          </cell>
          <cell r="P1042" t="str">
            <v>E1</v>
          </cell>
          <cell r="Q1042" t="str">
            <v>J1</v>
          </cell>
          <cell r="R1042" t="str">
            <v>J6</v>
          </cell>
          <cell r="S1042" t="str">
            <v>ENTREGADO</v>
          </cell>
          <cell r="T1042">
            <v>42691</v>
          </cell>
          <cell r="U1042" t="str">
            <v>PALOMINO CARDENAS JUAN CARLOS</v>
          </cell>
          <cell r="V1042" t="str">
            <v>FLOREZ CONDORI  JOSE WILLIANS</v>
          </cell>
        </row>
        <row r="1043">
          <cell r="A1043">
            <v>1012</v>
          </cell>
          <cell r="B1043">
            <v>42691</v>
          </cell>
          <cell r="C1043" t="str">
            <v>NOVIEMBRE</v>
          </cell>
          <cell r="D1043" t="str">
            <v>2016</v>
          </cell>
          <cell r="E1043">
            <v>353</v>
          </cell>
          <cell r="F1043" t="str">
            <v>C5R-899</v>
          </cell>
          <cell r="G1043" t="str">
            <v>A0U-978</v>
          </cell>
          <cell r="H1043" t="str">
            <v>LAS BAMBAS</v>
          </cell>
          <cell r="I1043">
            <v>249342</v>
          </cell>
          <cell r="J1043" t="str">
            <v>REPUESTO</v>
          </cell>
          <cell r="K1043" t="str">
            <v>TERMINALES DE ENCHUFE HEMBRA CON FORRO</v>
          </cell>
          <cell r="L1043">
            <v>4</v>
          </cell>
          <cell r="M1043" t="str">
            <v>UNID.</v>
          </cell>
          <cell r="N1043" t="str">
            <v>TRACTO</v>
          </cell>
          <cell r="O1043">
            <v>0</v>
          </cell>
          <cell r="P1043" t="str">
            <v>E1</v>
          </cell>
          <cell r="Q1043" t="str">
            <v>J1</v>
          </cell>
          <cell r="R1043" t="str">
            <v>J6</v>
          </cell>
          <cell r="S1043" t="str">
            <v>ENTREGADO</v>
          </cell>
          <cell r="T1043">
            <v>42691</v>
          </cell>
          <cell r="U1043" t="str">
            <v>PALOMINO CARDENAS JUAN CARLOS</v>
          </cell>
          <cell r="V1043" t="str">
            <v>FLOREZ CONDORI  JOSE WILLIANS</v>
          </cell>
        </row>
        <row r="1044">
          <cell r="A1044">
            <v>1018</v>
          </cell>
          <cell r="B1044">
            <v>42691</v>
          </cell>
          <cell r="C1044" t="str">
            <v>NOVIEMBRE</v>
          </cell>
          <cell r="D1044" t="str">
            <v>2016</v>
          </cell>
          <cell r="E1044">
            <v>353</v>
          </cell>
          <cell r="F1044" t="str">
            <v>C5R-899</v>
          </cell>
          <cell r="G1044" t="str">
            <v>A0U-978</v>
          </cell>
          <cell r="H1044" t="str">
            <v>LAS BAMBAS</v>
          </cell>
          <cell r="I1044">
            <v>249342</v>
          </cell>
          <cell r="J1044" t="str">
            <v>REPUESTO</v>
          </cell>
          <cell r="K1044" t="str">
            <v>ACEITE 15W40</v>
          </cell>
          <cell r="L1044">
            <v>0.25</v>
          </cell>
          <cell r="M1044" t="str">
            <v>GLNS.</v>
          </cell>
          <cell r="N1044" t="str">
            <v>TRACTO</v>
          </cell>
          <cell r="O1044">
            <v>0</v>
          </cell>
          <cell r="P1044" t="str">
            <v>M1</v>
          </cell>
          <cell r="Q1044" t="str">
            <v>J1</v>
          </cell>
          <cell r="R1044" t="str">
            <v>J6</v>
          </cell>
          <cell r="S1044" t="str">
            <v>ENTREGADO</v>
          </cell>
          <cell r="T1044">
            <v>42691</v>
          </cell>
          <cell r="U1044" t="str">
            <v>CABEZAS SANCHEZ JEAN JHONATAN</v>
          </cell>
          <cell r="V1044" t="str">
            <v>FLOREZ CONDORI  JOSE WILLIANS</v>
          </cell>
        </row>
        <row r="1045">
          <cell r="A1045">
            <v>1019</v>
          </cell>
          <cell r="B1045">
            <v>42691</v>
          </cell>
          <cell r="C1045" t="str">
            <v>NOVIEMBRE</v>
          </cell>
          <cell r="D1045" t="str">
            <v>2016</v>
          </cell>
          <cell r="E1045">
            <v>353</v>
          </cell>
          <cell r="F1045" t="str">
            <v>C5R-899</v>
          </cell>
          <cell r="G1045" t="str">
            <v>A0U-978</v>
          </cell>
          <cell r="H1045" t="str">
            <v>LAS BAMBAS</v>
          </cell>
          <cell r="I1045">
            <v>249342</v>
          </cell>
          <cell r="J1045" t="str">
            <v>REPUESTO</v>
          </cell>
          <cell r="K1045" t="str">
            <v>REFRIGERANTE</v>
          </cell>
          <cell r="L1045">
            <v>0.25</v>
          </cell>
          <cell r="M1045" t="str">
            <v>GLNS.</v>
          </cell>
          <cell r="N1045" t="str">
            <v>TRACTO</v>
          </cell>
          <cell r="O1045">
            <v>0</v>
          </cell>
          <cell r="P1045" t="str">
            <v>M1</v>
          </cell>
          <cell r="Q1045" t="str">
            <v>J1</v>
          </cell>
          <cell r="R1045" t="str">
            <v>J6</v>
          </cell>
          <cell r="S1045" t="str">
            <v>ENTREGADO</v>
          </cell>
          <cell r="T1045">
            <v>42691</v>
          </cell>
          <cell r="U1045" t="str">
            <v>CABEZAS SANCHEZ JEAN JHONATAN</v>
          </cell>
          <cell r="V1045" t="str">
            <v>FLOREZ CONDORI  JOSE WILLIANS</v>
          </cell>
        </row>
        <row r="1046">
          <cell r="A1046">
            <v>1023</v>
          </cell>
          <cell r="B1046">
            <v>42691</v>
          </cell>
          <cell r="C1046" t="str">
            <v>NOVIEMBRE</v>
          </cell>
          <cell r="D1046" t="str">
            <v>2016</v>
          </cell>
          <cell r="E1046">
            <v>353</v>
          </cell>
          <cell r="F1046" t="str">
            <v>C5R-899</v>
          </cell>
          <cell r="G1046" t="str">
            <v>A0U-978</v>
          </cell>
          <cell r="H1046" t="str">
            <v>LAS BAMBAS</v>
          </cell>
          <cell r="I1046">
            <v>249342</v>
          </cell>
          <cell r="J1046" t="str">
            <v>REPUESTO</v>
          </cell>
          <cell r="K1046" t="str">
            <v xml:space="preserve">PERNOS 3/8 X 1/2" C/ ARANDELAS </v>
          </cell>
          <cell r="L1046">
            <v>2</v>
          </cell>
          <cell r="M1046" t="str">
            <v>UNID.</v>
          </cell>
          <cell r="N1046" t="str">
            <v>TRACTO</v>
          </cell>
          <cell r="O1046">
            <v>0</v>
          </cell>
          <cell r="P1046" t="str">
            <v>M1</v>
          </cell>
          <cell r="Q1046" t="str">
            <v>J1</v>
          </cell>
          <cell r="R1046" t="str">
            <v>J5</v>
          </cell>
          <cell r="S1046" t="str">
            <v>ENTREGADO</v>
          </cell>
          <cell r="T1046">
            <v>42691</v>
          </cell>
          <cell r="U1046" t="str">
            <v>CABEZAS SANCHEZ JEAN JHONATAN</v>
          </cell>
          <cell r="V1046" t="str">
            <v>FLOREZ CONDORI  JOSE WILLIANS</v>
          </cell>
        </row>
        <row r="1047">
          <cell r="A1047">
            <v>993</v>
          </cell>
          <cell r="B1047">
            <v>42691</v>
          </cell>
          <cell r="C1047" t="str">
            <v>NOVIEMBRE</v>
          </cell>
          <cell r="D1047" t="str">
            <v>2016</v>
          </cell>
          <cell r="E1047">
            <v>204</v>
          </cell>
          <cell r="F1047" t="str">
            <v>C9P-948</v>
          </cell>
          <cell r="G1047" t="str">
            <v>B4O-995</v>
          </cell>
          <cell r="H1047" t="str">
            <v>LAS BAMBAS</v>
          </cell>
          <cell r="I1047">
            <v>156586</v>
          </cell>
          <cell r="J1047" t="str">
            <v>REPUESTO</v>
          </cell>
          <cell r="K1047" t="str">
            <v>RELAY DE ELEVALUNAS PRINCIPAL</v>
          </cell>
          <cell r="L1047">
            <v>1</v>
          </cell>
          <cell r="M1047" t="str">
            <v>UNID.</v>
          </cell>
          <cell r="N1047" t="str">
            <v>TRACTO</v>
          </cell>
          <cell r="O1047">
            <v>99</v>
          </cell>
          <cell r="P1047" t="str">
            <v>E1</v>
          </cell>
          <cell r="Q1047" t="str">
            <v>J1</v>
          </cell>
          <cell r="R1047" t="str">
            <v>J6</v>
          </cell>
          <cell r="S1047" t="str">
            <v>ENTREGADO</v>
          </cell>
          <cell r="T1047">
            <v>0</v>
          </cell>
          <cell r="U1047" t="str">
            <v>PALOMINO CARDENAS JUAN CARLOS</v>
          </cell>
          <cell r="V1047" t="str">
            <v>FLOREZ CONDORI  JOSE WILLIANS</v>
          </cell>
        </row>
        <row r="1048">
          <cell r="A1048">
            <v>1031</v>
          </cell>
          <cell r="B1048">
            <v>42691</v>
          </cell>
          <cell r="C1048" t="str">
            <v>NOVIEMBRE</v>
          </cell>
          <cell r="D1048" t="str">
            <v>2016</v>
          </cell>
          <cell r="E1048">
            <v>361</v>
          </cell>
          <cell r="F1048" t="str">
            <v>D3N-721</v>
          </cell>
          <cell r="G1048" t="str">
            <v>C4S-979</v>
          </cell>
          <cell r="H1048" t="str">
            <v>LAS BAMBAS</v>
          </cell>
          <cell r="I1048">
            <v>132860</v>
          </cell>
          <cell r="J1048" t="str">
            <v>REPUESTO</v>
          </cell>
          <cell r="K1048" t="str">
            <v>FILTRO DE ACEITE</v>
          </cell>
          <cell r="L1048">
            <v>2</v>
          </cell>
          <cell r="M1048" t="str">
            <v>UNID.</v>
          </cell>
          <cell r="N1048" t="str">
            <v>TRACTO</v>
          </cell>
          <cell r="O1048">
            <v>0</v>
          </cell>
          <cell r="P1048" t="str">
            <v>M2</v>
          </cell>
          <cell r="Q1048" t="str">
            <v>J1</v>
          </cell>
          <cell r="R1048" t="str">
            <v>J6</v>
          </cell>
          <cell r="S1048" t="str">
            <v>ENTREGADO</v>
          </cell>
          <cell r="T1048">
            <v>42691</v>
          </cell>
          <cell r="U1048" t="str">
            <v>CHUMPITAZ GAGO JULIO ENRIQUE</v>
          </cell>
          <cell r="V1048" t="str">
            <v>FLOREZ CONDORI  JOSE WILLIANS</v>
          </cell>
        </row>
        <row r="1049">
          <cell r="A1049">
            <v>1032</v>
          </cell>
          <cell r="B1049">
            <v>42691</v>
          </cell>
          <cell r="C1049" t="str">
            <v>NOVIEMBRE</v>
          </cell>
          <cell r="D1049" t="str">
            <v>2016</v>
          </cell>
          <cell r="E1049">
            <v>361</v>
          </cell>
          <cell r="F1049" t="str">
            <v>D3N-721</v>
          </cell>
          <cell r="G1049" t="str">
            <v>C4S-979</v>
          </cell>
          <cell r="H1049" t="str">
            <v>LAS BAMBAS</v>
          </cell>
          <cell r="I1049">
            <v>132860</v>
          </cell>
          <cell r="J1049" t="str">
            <v>REPUESTO</v>
          </cell>
          <cell r="K1049" t="str">
            <v>FILTRO DE PETROLEO</v>
          </cell>
          <cell r="L1049">
            <v>1</v>
          </cell>
          <cell r="M1049" t="str">
            <v>UNID.</v>
          </cell>
          <cell r="N1049" t="str">
            <v>TRACTO</v>
          </cell>
          <cell r="O1049">
            <v>0</v>
          </cell>
          <cell r="P1049" t="str">
            <v>M2</v>
          </cell>
          <cell r="Q1049" t="str">
            <v>J1</v>
          </cell>
          <cell r="R1049" t="str">
            <v>J6</v>
          </cell>
          <cell r="S1049" t="str">
            <v>ENTREGADO</v>
          </cell>
          <cell r="T1049">
            <v>42691</v>
          </cell>
          <cell r="U1049" t="str">
            <v>CHUMPITAZ GAGO JULIO ENRIQUE</v>
          </cell>
          <cell r="V1049" t="str">
            <v>FLOREZ CONDORI  JOSE WILLIANS</v>
          </cell>
        </row>
        <row r="1050">
          <cell r="A1050">
            <v>1033</v>
          </cell>
          <cell r="B1050">
            <v>42691</v>
          </cell>
          <cell r="C1050" t="str">
            <v>NOVIEMBRE</v>
          </cell>
          <cell r="D1050" t="str">
            <v>2016</v>
          </cell>
          <cell r="E1050">
            <v>361</v>
          </cell>
          <cell r="F1050" t="str">
            <v>D3N-721</v>
          </cell>
          <cell r="G1050" t="str">
            <v>C4S-979</v>
          </cell>
          <cell r="H1050" t="str">
            <v>LAS BAMBAS</v>
          </cell>
          <cell r="I1050">
            <v>132860</v>
          </cell>
          <cell r="J1050" t="str">
            <v>REPUESTO</v>
          </cell>
          <cell r="K1050" t="str">
            <v>FILTRO SEPARADOR DE AGUA</v>
          </cell>
          <cell r="L1050">
            <v>1</v>
          </cell>
          <cell r="M1050" t="str">
            <v>UNID.</v>
          </cell>
          <cell r="N1050" t="str">
            <v>TRACTO</v>
          </cell>
          <cell r="O1050">
            <v>0</v>
          </cell>
          <cell r="P1050" t="str">
            <v>M2</v>
          </cell>
          <cell r="Q1050" t="str">
            <v>J1</v>
          </cell>
          <cell r="R1050" t="str">
            <v>J6</v>
          </cell>
          <cell r="S1050" t="str">
            <v>ENTREGADO</v>
          </cell>
          <cell r="T1050">
            <v>42691</v>
          </cell>
          <cell r="U1050" t="str">
            <v>CHUMPITAZ GAGO JULIO ENRIQUE</v>
          </cell>
          <cell r="V1050" t="str">
            <v>FLOREZ CONDORI  JOSE WILLIANS</v>
          </cell>
        </row>
        <row r="1051">
          <cell r="A1051">
            <v>1034</v>
          </cell>
          <cell r="B1051">
            <v>42691</v>
          </cell>
          <cell r="C1051" t="str">
            <v>NOVIEMBRE</v>
          </cell>
          <cell r="D1051" t="str">
            <v>2016</v>
          </cell>
          <cell r="E1051">
            <v>361</v>
          </cell>
          <cell r="F1051" t="str">
            <v>D3N-721</v>
          </cell>
          <cell r="G1051" t="str">
            <v>C4S-979</v>
          </cell>
          <cell r="H1051" t="str">
            <v>LAS BAMBAS</v>
          </cell>
          <cell r="I1051">
            <v>132860</v>
          </cell>
          <cell r="J1051" t="str">
            <v>REPUESTO</v>
          </cell>
          <cell r="K1051" t="str">
            <v>ACEITE 15W40</v>
          </cell>
          <cell r="L1051">
            <v>10</v>
          </cell>
          <cell r="M1051" t="str">
            <v>GLNS.</v>
          </cell>
          <cell r="N1051" t="str">
            <v>TRACTO</v>
          </cell>
          <cell r="O1051">
            <v>0</v>
          </cell>
          <cell r="P1051" t="str">
            <v>M2</v>
          </cell>
          <cell r="Q1051" t="str">
            <v>J1</v>
          </cell>
          <cell r="R1051" t="str">
            <v>J6</v>
          </cell>
          <cell r="S1051" t="str">
            <v>ENTREGADO</v>
          </cell>
          <cell r="T1051">
            <v>42691</v>
          </cell>
          <cell r="U1051" t="str">
            <v>CHUMPITAZ GAGO JULIO ENRIQUE</v>
          </cell>
          <cell r="V1051" t="str">
            <v>FLOREZ CONDORI  JOSE WILLIANS</v>
          </cell>
        </row>
        <row r="1052">
          <cell r="A1052">
            <v>1035</v>
          </cell>
          <cell r="B1052">
            <v>42691</v>
          </cell>
          <cell r="C1052" t="str">
            <v>NOVIEMBRE</v>
          </cell>
          <cell r="D1052" t="str">
            <v>2016</v>
          </cell>
          <cell r="E1052">
            <v>361</v>
          </cell>
          <cell r="F1052" t="str">
            <v>D3N-721</v>
          </cell>
          <cell r="G1052" t="str">
            <v>C4S-979</v>
          </cell>
          <cell r="H1052" t="str">
            <v>LAS BAMBAS</v>
          </cell>
          <cell r="I1052">
            <v>132860</v>
          </cell>
          <cell r="J1052" t="str">
            <v>REPUESTO</v>
          </cell>
          <cell r="K1052" t="str">
            <v>FILTRO DE AIRE PRIMARIO</v>
          </cell>
          <cell r="L1052">
            <v>1</v>
          </cell>
          <cell r="M1052" t="str">
            <v>UNID.</v>
          </cell>
          <cell r="N1052" t="str">
            <v>TRACTO</v>
          </cell>
          <cell r="O1052">
            <v>0</v>
          </cell>
          <cell r="P1052" t="str">
            <v>M2</v>
          </cell>
          <cell r="Q1052" t="str">
            <v>J1</v>
          </cell>
          <cell r="R1052" t="str">
            <v>J6</v>
          </cell>
          <cell r="S1052" t="str">
            <v>ENTREGADO</v>
          </cell>
          <cell r="T1052">
            <v>42691</v>
          </cell>
          <cell r="U1052" t="str">
            <v>CHUMPITAZ GAGO JULIO ENRIQUE</v>
          </cell>
          <cell r="V1052" t="str">
            <v>FLOREZ CONDORI  JOSE WILLIANS</v>
          </cell>
        </row>
        <row r="1053">
          <cell r="A1053">
            <v>1036</v>
          </cell>
          <cell r="B1053">
            <v>42691</v>
          </cell>
          <cell r="C1053" t="str">
            <v>NOVIEMBRE</v>
          </cell>
          <cell r="D1053" t="str">
            <v>2016</v>
          </cell>
          <cell r="E1053">
            <v>361</v>
          </cell>
          <cell r="F1053" t="str">
            <v>D3N-721</v>
          </cell>
          <cell r="G1053" t="str">
            <v>C4S-979</v>
          </cell>
          <cell r="H1053" t="str">
            <v>LAS BAMBAS</v>
          </cell>
          <cell r="I1053">
            <v>132860</v>
          </cell>
          <cell r="J1053" t="str">
            <v>REPUESTO</v>
          </cell>
          <cell r="K1053" t="str">
            <v>FILTRO DE AIRE SECUNDARIO</v>
          </cell>
          <cell r="L1053">
            <v>1</v>
          </cell>
          <cell r="M1053" t="str">
            <v>UNID.</v>
          </cell>
          <cell r="N1053" t="str">
            <v>TRACTO</v>
          </cell>
          <cell r="O1053">
            <v>0</v>
          </cell>
          <cell r="P1053" t="str">
            <v>M2</v>
          </cell>
          <cell r="Q1053" t="str">
            <v>J1</v>
          </cell>
          <cell r="R1053" t="str">
            <v>J6</v>
          </cell>
          <cell r="S1053" t="str">
            <v>ENTREGADO</v>
          </cell>
          <cell r="T1053">
            <v>42691</v>
          </cell>
          <cell r="U1053" t="str">
            <v>CHUMPITAZ GAGO JULIO ENRIQUE</v>
          </cell>
          <cell r="V1053" t="str">
            <v>FLOREZ CONDORI  JOSE WILLIANS</v>
          </cell>
        </row>
        <row r="1054">
          <cell r="A1054">
            <v>1038</v>
          </cell>
          <cell r="B1054">
            <v>42691</v>
          </cell>
          <cell r="C1054" t="str">
            <v>NOVIEMBRE</v>
          </cell>
          <cell r="D1054" t="str">
            <v>2016</v>
          </cell>
          <cell r="E1054">
            <v>361</v>
          </cell>
          <cell r="F1054" t="str">
            <v>D3N-721</v>
          </cell>
          <cell r="G1054" t="str">
            <v>C4S-979</v>
          </cell>
          <cell r="H1054" t="str">
            <v>LAS BAMBAS</v>
          </cell>
          <cell r="I1054">
            <v>132860</v>
          </cell>
          <cell r="J1054" t="str">
            <v>REPUESTO</v>
          </cell>
          <cell r="K1054" t="str">
            <v>AGUA LIMPIA PARABRISA</v>
          </cell>
          <cell r="L1054">
            <v>1</v>
          </cell>
          <cell r="M1054" t="str">
            <v>GLNS.</v>
          </cell>
          <cell r="N1054" t="str">
            <v>TRACTO</v>
          </cell>
          <cell r="O1054">
            <v>0</v>
          </cell>
          <cell r="P1054" t="str">
            <v>M2</v>
          </cell>
          <cell r="Q1054" t="str">
            <v>J1</v>
          </cell>
          <cell r="R1054" t="str">
            <v>J6</v>
          </cell>
          <cell r="S1054" t="str">
            <v>ENTREGADO</v>
          </cell>
          <cell r="T1054">
            <v>42691</v>
          </cell>
          <cell r="U1054" t="str">
            <v>CHUMPITAZ GAGO JULIO ENRIQUE</v>
          </cell>
          <cell r="V1054" t="str">
            <v>FLOREZ CONDORI  JOSE WILLIANS</v>
          </cell>
        </row>
        <row r="1055">
          <cell r="A1055">
            <v>1039</v>
          </cell>
          <cell r="B1055">
            <v>42691</v>
          </cell>
          <cell r="C1055" t="str">
            <v>NOVIEMBRE</v>
          </cell>
          <cell r="D1055" t="str">
            <v>2016</v>
          </cell>
          <cell r="E1055">
            <v>361</v>
          </cell>
          <cell r="F1055" t="str">
            <v>D3N-721</v>
          </cell>
          <cell r="G1055" t="str">
            <v>C4S-979</v>
          </cell>
          <cell r="H1055" t="str">
            <v>LAS BAMBAS</v>
          </cell>
          <cell r="I1055">
            <v>132860</v>
          </cell>
          <cell r="J1055" t="str">
            <v>REPUESTO</v>
          </cell>
          <cell r="K1055" t="str">
            <v>AGUA LIMPIA PARABRISA</v>
          </cell>
          <cell r="L1055">
            <v>1</v>
          </cell>
          <cell r="M1055" t="str">
            <v>GLNS.</v>
          </cell>
          <cell r="N1055" t="str">
            <v>TRACTO</v>
          </cell>
          <cell r="O1055">
            <v>0</v>
          </cell>
          <cell r="P1055" t="str">
            <v>M2</v>
          </cell>
          <cell r="Q1055" t="str">
            <v>J1</v>
          </cell>
          <cell r="R1055" t="str">
            <v>J6</v>
          </cell>
          <cell r="S1055" t="str">
            <v>ENTREGADO</v>
          </cell>
          <cell r="T1055">
            <v>42691</v>
          </cell>
          <cell r="U1055" t="str">
            <v>CHUMPITAZ GAGO JULIO ENRIQUE</v>
          </cell>
          <cell r="V1055" t="str">
            <v>FLOREZ CONDORI  JOSE WILLIANS</v>
          </cell>
        </row>
        <row r="1056">
          <cell r="A1056">
            <v>991</v>
          </cell>
          <cell r="B1056">
            <v>42691</v>
          </cell>
          <cell r="C1056" t="str">
            <v>NOVIEMBRE</v>
          </cell>
          <cell r="D1056" t="str">
            <v>2016</v>
          </cell>
          <cell r="E1056">
            <v>202</v>
          </cell>
          <cell r="F1056" t="str">
            <v>D3P-752</v>
          </cell>
          <cell r="G1056" t="str">
            <v>C5Y-985</v>
          </cell>
          <cell r="H1056" t="str">
            <v>LAS BAMBAS</v>
          </cell>
          <cell r="I1056">
            <v>150504</v>
          </cell>
          <cell r="J1056" t="str">
            <v>REPUESTO</v>
          </cell>
          <cell r="K1056" t="str">
            <v xml:space="preserve">PORTA IODO </v>
          </cell>
          <cell r="L1056">
            <v>1</v>
          </cell>
          <cell r="M1056" t="str">
            <v>UNID.</v>
          </cell>
          <cell r="N1056" t="str">
            <v>TRACTO</v>
          </cell>
          <cell r="O1056">
            <v>99</v>
          </cell>
          <cell r="P1056" t="str">
            <v>E1</v>
          </cell>
          <cell r="Q1056" t="str">
            <v>J1</v>
          </cell>
          <cell r="R1056" t="str">
            <v>J6</v>
          </cell>
          <cell r="S1056" t="str">
            <v>ENTREGADO</v>
          </cell>
          <cell r="T1056">
            <v>0</v>
          </cell>
          <cell r="U1056" t="str">
            <v>PALOMINO CARDENAS JUAN CARLOS</v>
          </cell>
          <cell r="V1056" t="str">
            <v>FLOREZ CONDORI  JOSE WILLIANS</v>
          </cell>
        </row>
        <row r="1057">
          <cell r="A1057">
            <v>992</v>
          </cell>
          <cell r="B1057">
            <v>42691</v>
          </cell>
          <cell r="C1057" t="str">
            <v>NOVIEMBRE</v>
          </cell>
          <cell r="D1057" t="str">
            <v>2016</v>
          </cell>
          <cell r="E1057">
            <v>202</v>
          </cell>
          <cell r="F1057" t="str">
            <v>D3P-752</v>
          </cell>
          <cell r="G1057" t="str">
            <v>C5Y-985</v>
          </cell>
          <cell r="H1057" t="str">
            <v>LAS BAMBAS</v>
          </cell>
          <cell r="I1057">
            <v>150504</v>
          </cell>
          <cell r="J1057" t="str">
            <v>REPUESTO</v>
          </cell>
          <cell r="K1057" t="str">
            <v>RELAY DE CARGA DE ALTERNADOR</v>
          </cell>
          <cell r="L1057">
            <v>1</v>
          </cell>
          <cell r="M1057" t="str">
            <v>UNID.</v>
          </cell>
          <cell r="N1057" t="str">
            <v>TRACTO</v>
          </cell>
          <cell r="O1057">
            <v>99</v>
          </cell>
          <cell r="P1057" t="str">
            <v>E1</v>
          </cell>
          <cell r="Q1057" t="str">
            <v>J1</v>
          </cell>
          <cell r="R1057" t="str">
            <v>J6</v>
          </cell>
          <cell r="S1057" t="str">
            <v>ENTREGADO</v>
          </cell>
          <cell r="T1057">
            <v>0</v>
          </cell>
          <cell r="U1057" t="str">
            <v>PALOMINO CARDENAS JUAN CARLOS</v>
          </cell>
          <cell r="V1057" t="str">
            <v>FLOREZ CONDORI  JOSE WILLIANS</v>
          </cell>
        </row>
        <row r="1058">
          <cell r="A1058">
            <v>996</v>
          </cell>
          <cell r="B1058">
            <v>42691</v>
          </cell>
          <cell r="C1058" t="str">
            <v>NOVIEMBRE</v>
          </cell>
          <cell r="D1058" t="str">
            <v>2016</v>
          </cell>
          <cell r="E1058">
            <v>345</v>
          </cell>
          <cell r="F1058" t="str">
            <v>D3R-742</v>
          </cell>
          <cell r="G1058" t="str">
            <v>D2E-975</v>
          </cell>
          <cell r="H1058" t="str">
            <v>LAS BAMBAS</v>
          </cell>
          <cell r="I1058">
            <v>150239</v>
          </cell>
          <cell r="J1058" t="str">
            <v>REPUESTO</v>
          </cell>
          <cell r="K1058" t="str">
            <v>GUARDAFANGO</v>
          </cell>
          <cell r="L1058">
            <v>2</v>
          </cell>
          <cell r="M1058" t="str">
            <v>UNID.</v>
          </cell>
          <cell r="N1058" t="str">
            <v>CISTERNA</v>
          </cell>
          <cell r="O1058">
            <v>0</v>
          </cell>
          <cell r="P1058" t="str">
            <v>M6</v>
          </cell>
          <cell r="Q1058" t="str">
            <v>J1</v>
          </cell>
          <cell r="R1058" t="str">
            <v>J1</v>
          </cell>
          <cell r="S1058" t="str">
            <v>ENTREGADO</v>
          </cell>
          <cell r="T1058">
            <v>42691</v>
          </cell>
          <cell r="U1058" t="str">
            <v>PARI VENTURA  EDSON ORLANDO</v>
          </cell>
          <cell r="V1058" t="str">
            <v>FLOREZ CONDORI  JOSE WILLIANS</v>
          </cell>
        </row>
        <row r="1059">
          <cell r="A1059">
            <v>997</v>
          </cell>
          <cell r="B1059">
            <v>42691</v>
          </cell>
          <cell r="C1059" t="str">
            <v>NOVIEMBRE</v>
          </cell>
          <cell r="D1059" t="str">
            <v>2016</v>
          </cell>
          <cell r="E1059">
            <v>345</v>
          </cell>
          <cell r="F1059" t="str">
            <v>D3R-742</v>
          </cell>
          <cell r="G1059" t="str">
            <v>D2E-975</v>
          </cell>
          <cell r="H1059" t="str">
            <v>LAS BAMBAS</v>
          </cell>
          <cell r="I1059">
            <v>150239</v>
          </cell>
          <cell r="J1059" t="str">
            <v>REPUESTO</v>
          </cell>
          <cell r="K1059" t="str">
            <v>PERNO 5/16X1</v>
          </cell>
          <cell r="L1059">
            <v>8</v>
          </cell>
          <cell r="M1059" t="str">
            <v>UNID.</v>
          </cell>
          <cell r="N1059" t="str">
            <v>CISTERNA</v>
          </cell>
          <cell r="O1059">
            <v>0</v>
          </cell>
          <cell r="P1059" t="str">
            <v>M6</v>
          </cell>
          <cell r="Q1059" t="str">
            <v>J1</v>
          </cell>
          <cell r="R1059" t="str">
            <v>J1</v>
          </cell>
          <cell r="S1059" t="str">
            <v>ENTREGADO</v>
          </cell>
          <cell r="T1059">
            <v>42691</v>
          </cell>
          <cell r="U1059" t="str">
            <v>PARI VENTURA  EDSON ORLANDO</v>
          </cell>
          <cell r="V1059" t="str">
            <v>FLOREZ CONDORI  JOSE WILLIANS</v>
          </cell>
        </row>
        <row r="1060">
          <cell r="A1060">
            <v>998</v>
          </cell>
          <cell r="B1060">
            <v>42691</v>
          </cell>
          <cell r="C1060" t="str">
            <v>NOVIEMBRE</v>
          </cell>
          <cell r="D1060" t="str">
            <v>2016</v>
          </cell>
          <cell r="E1060">
            <v>345</v>
          </cell>
          <cell r="F1060" t="str">
            <v>D3R-742</v>
          </cell>
          <cell r="G1060" t="str">
            <v>D2E-975</v>
          </cell>
          <cell r="H1060" t="str">
            <v>LAS BAMBAS</v>
          </cell>
          <cell r="I1060">
            <v>150239</v>
          </cell>
          <cell r="J1060" t="str">
            <v>REPUESTO</v>
          </cell>
          <cell r="K1060" t="str">
            <v>ARANDELA PLACA</v>
          </cell>
          <cell r="L1060">
            <v>16</v>
          </cell>
          <cell r="M1060" t="str">
            <v>UNID.</v>
          </cell>
          <cell r="N1060" t="str">
            <v>CISTERNA</v>
          </cell>
          <cell r="O1060">
            <v>0</v>
          </cell>
          <cell r="P1060" t="str">
            <v>M6</v>
          </cell>
          <cell r="Q1060" t="str">
            <v>J1</v>
          </cell>
          <cell r="R1060" t="str">
            <v>J1</v>
          </cell>
          <cell r="S1060" t="str">
            <v>ENTREGADO</v>
          </cell>
          <cell r="T1060">
            <v>42691</v>
          </cell>
          <cell r="U1060" t="str">
            <v>PARI VENTURA  EDSON ORLANDO</v>
          </cell>
          <cell r="V1060" t="str">
            <v>FLOREZ CONDORI  JOSE WILLIANS</v>
          </cell>
        </row>
        <row r="1061">
          <cell r="A1061">
            <v>999</v>
          </cell>
          <cell r="B1061">
            <v>42691</v>
          </cell>
          <cell r="C1061" t="str">
            <v>NOVIEMBRE</v>
          </cell>
          <cell r="D1061" t="str">
            <v>2016</v>
          </cell>
          <cell r="E1061">
            <v>345</v>
          </cell>
          <cell r="F1061" t="str">
            <v>D3R-742</v>
          </cell>
          <cell r="G1061" t="str">
            <v>D2E-975</v>
          </cell>
          <cell r="H1061" t="str">
            <v>LAS BAMBAS</v>
          </cell>
          <cell r="I1061">
            <v>150239</v>
          </cell>
          <cell r="J1061" t="str">
            <v>REPUESTO</v>
          </cell>
          <cell r="K1061" t="str">
            <v>TUERCA SEGURO</v>
          </cell>
          <cell r="L1061">
            <v>8</v>
          </cell>
          <cell r="M1061" t="str">
            <v>UNID.</v>
          </cell>
          <cell r="N1061" t="str">
            <v>CISTERNA</v>
          </cell>
          <cell r="O1061">
            <v>0</v>
          </cell>
          <cell r="P1061" t="str">
            <v>M6</v>
          </cell>
          <cell r="Q1061" t="str">
            <v>J1</v>
          </cell>
          <cell r="R1061" t="str">
            <v>J1</v>
          </cell>
          <cell r="S1061" t="str">
            <v>ENTREGADO</v>
          </cell>
          <cell r="T1061">
            <v>42691</v>
          </cell>
          <cell r="U1061" t="str">
            <v>PARI VENTURA  EDSON ORLANDO</v>
          </cell>
          <cell r="V1061" t="str">
            <v>FLOREZ CONDORI  JOSE WILLIANS</v>
          </cell>
        </row>
        <row r="1062">
          <cell r="A1062">
            <v>1048</v>
          </cell>
          <cell r="B1062">
            <v>42691</v>
          </cell>
          <cell r="C1062" t="str">
            <v>NOVIEMBRE</v>
          </cell>
          <cell r="D1062" t="str">
            <v>2016</v>
          </cell>
          <cell r="E1062">
            <v>345</v>
          </cell>
          <cell r="F1062" t="str">
            <v>D3R-742</v>
          </cell>
          <cell r="G1062" t="str">
            <v>D2E-975</v>
          </cell>
          <cell r="H1062" t="str">
            <v>LAS BAMBAS</v>
          </cell>
          <cell r="I1062">
            <v>150239</v>
          </cell>
          <cell r="J1062" t="str">
            <v>REPUESTO</v>
          </cell>
          <cell r="K1062" t="str">
            <v>PERNO 5/16 X 1 1/2</v>
          </cell>
          <cell r="L1062">
            <v>2</v>
          </cell>
          <cell r="M1062" t="str">
            <v>UNID.</v>
          </cell>
          <cell r="N1062" t="str">
            <v>CISTERNA</v>
          </cell>
          <cell r="O1062">
            <v>0</v>
          </cell>
          <cell r="P1062" t="str">
            <v>M6</v>
          </cell>
          <cell r="Q1062" t="str">
            <v>J1</v>
          </cell>
          <cell r="R1062" t="str">
            <v>J6</v>
          </cell>
          <cell r="S1062" t="str">
            <v>ENTREGADO</v>
          </cell>
          <cell r="T1062">
            <v>42691</v>
          </cell>
          <cell r="U1062" t="str">
            <v>PARI VENTURA  EDSON ORLANDO</v>
          </cell>
          <cell r="V1062" t="str">
            <v>FLOREZ CONDORI  JOSE WILLIANS</v>
          </cell>
        </row>
        <row r="1063">
          <cell r="A1063">
            <v>1049</v>
          </cell>
          <cell r="B1063">
            <v>42691</v>
          </cell>
          <cell r="C1063" t="str">
            <v>NOVIEMBRE</v>
          </cell>
          <cell r="D1063" t="str">
            <v>2016</v>
          </cell>
          <cell r="E1063">
            <v>345</v>
          </cell>
          <cell r="F1063" t="str">
            <v>D3R-742</v>
          </cell>
          <cell r="G1063" t="str">
            <v>D2E-975</v>
          </cell>
          <cell r="H1063" t="str">
            <v>LAS BAMBAS</v>
          </cell>
          <cell r="I1063">
            <v>150239</v>
          </cell>
          <cell r="J1063" t="str">
            <v>REPUESTO</v>
          </cell>
          <cell r="K1063" t="str">
            <v>TUERCA SEGURO 5/16</v>
          </cell>
          <cell r="L1063">
            <v>2</v>
          </cell>
          <cell r="M1063" t="str">
            <v>UNID.</v>
          </cell>
          <cell r="N1063" t="str">
            <v>CISTERNA</v>
          </cell>
          <cell r="O1063">
            <v>0</v>
          </cell>
          <cell r="P1063" t="str">
            <v>M6</v>
          </cell>
          <cell r="Q1063" t="str">
            <v>J1</v>
          </cell>
          <cell r="R1063" t="str">
            <v>J6</v>
          </cell>
          <cell r="S1063" t="str">
            <v>ENTREGADO</v>
          </cell>
          <cell r="T1063">
            <v>42691</v>
          </cell>
          <cell r="U1063" t="str">
            <v>PARI VENTURA  EDSON ORLANDO</v>
          </cell>
          <cell r="V1063" t="str">
            <v>FLOREZ CONDORI  JOSE WILLIANS</v>
          </cell>
        </row>
        <row r="1064">
          <cell r="A1064">
            <v>1050</v>
          </cell>
          <cell r="B1064">
            <v>42691</v>
          </cell>
          <cell r="C1064" t="str">
            <v>NOVIEMBRE</v>
          </cell>
          <cell r="D1064" t="str">
            <v>2016</v>
          </cell>
          <cell r="E1064">
            <v>345</v>
          </cell>
          <cell r="F1064" t="str">
            <v>D3R-742</v>
          </cell>
          <cell r="G1064" t="str">
            <v>D2E-975</v>
          </cell>
          <cell r="H1064" t="str">
            <v>LAS BAMBAS</v>
          </cell>
          <cell r="I1064">
            <v>150239</v>
          </cell>
          <cell r="J1064" t="str">
            <v>REPUESTO</v>
          </cell>
          <cell r="K1064" t="str">
            <v>ARANDELA PLANA 5/16</v>
          </cell>
          <cell r="L1064">
            <v>2</v>
          </cell>
          <cell r="M1064" t="str">
            <v>UNID.</v>
          </cell>
          <cell r="N1064" t="str">
            <v>CISTERNA</v>
          </cell>
          <cell r="O1064">
            <v>0</v>
          </cell>
          <cell r="P1064" t="str">
            <v>M6</v>
          </cell>
          <cell r="Q1064" t="str">
            <v>J1</v>
          </cell>
          <cell r="R1064" t="str">
            <v>J6</v>
          </cell>
          <cell r="S1064" t="str">
            <v>ENTREGADO</v>
          </cell>
          <cell r="T1064">
            <v>42691</v>
          </cell>
          <cell r="U1064" t="str">
            <v>PARI VENTURA  EDSON ORLANDO</v>
          </cell>
          <cell r="V1064" t="str">
            <v>FLOREZ CONDORI  JOSE WILLIANS</v>
          </cell>
        </row>
        <row r="1065">
          <cell r="A1065">
            <v>1040</v>
          </cell>
          <cell r="B1065">
            <v>42691</v>
          </cell>
          <cell r="C1065" t="str">
            <v>NOVIEMBRE</v>
          </cell>
          <cell r="D1065" t="str">
            <v>2016</v>
          </cell>
          <cell r="E1065">
            <v>360</v>
          </cell>
          <cell r="F1065" t="str">
            <v>D3R-791</v>
          </cell>
          <cell r="G1065" t="str">
            <v>B1M-993</v>
          </cell>
          <cell r="H1065" t="str">
            <v>LAS BAMBAS</v>
          </cell>
          <cell r="I1065">
            <v>136941</v>
          </cell>
          <cell r="J1065" t="str">
            <v>REPUESTO</v>
          </cell>
          <cell r="K1065" t="str">
            <v>BASE CEBADOR DE FILTRO DE VALVULA</v>
          </cell>
          <cell r="L1065">
            <v>1</v>
          </cell>
          <cell r="M1065" t="str">
            <v>UNID.</v>
          </cell>
          <cell r="N1065" t="str">
            <v>TRACTO</v>
          </cell>
          <cell r="O1065">
            <v>0</v>
          </cell>
          <cell r="P1065" t="str">
            <v>M5</v>
          </cell>
          <cell r="Q1065" t="str">
            <v>J1</v>
          </cell>
          <cell r="R1065" t="str">
            <v>J6</v>
          </cell>
          <cell r="S1065" t="str">
            <v>ENTREGADO</v>
          </cell>
          <cell r="T1065">
            <v>42691</v>
          </cell>
          <cell r="U1065" t="str">
            <v>LOPEZ RUIZ WILBERTO</v>
          </cell>
          <cell r="V1065" t="str">
            <v>FLOREZ CONDORI  JOSE WILLIANS</v>
          </cell>
        </row>
        <row r="1066">
          <cell r="A1066">
            <v>1041</v>
          </cell>
          <cell r="B1066">
            <v>42691</v>
          </cell>
          <cell r="C1066" t="str">
            <v>NOVIEMBRE</v>
          </cell>
          <cell r="D1066" t="str">
            <v>2016</v>
          </cell>
          <cell r="E1066">
            <v>360</v>
          </cell>
          <cell r="F1066" t="str">
            <v>D3R-791</v>
          </cell>
          <cell r="G1066" t="str">
            <v>B1M-993</v>
          </cell>
          <cell r="H1066" t="str">
            <v>LAS BAMBAS</v>
          </cell>
          <cell r="I1066">
            <v>136941</v>
          </cell>
          <cell r="J1066" t="str">
            <v>REPUESTO</v>
          </cell>
          <cell r="K1066" t="str">
            <v>FILTRO DE COMBUSTIBLE VALVULA</v>
          </cell>
          <cell r="L1066">
            <v>1</v>
          </cell>
          <cell r="M1066" t="str">
            <v>UNID.</v>
          </cell>
          <cell r="N1066" t="str">
            <v>TRACTO</v>
          </cell>
          <cell r="O1066">
            <v>99</v>
          </cell>
          <cell r="P1066" t="str">
            <v>M5</v>
          </cell>
          <cell r="Q1066" t="str">
            <v>J1</v>
          </cell>
          <cell r="R1066" t="str">
            <v>J6</v>
          </cell>
          <cell r="S1066" t="str">
            <v>ENTREGADO</v>
          </cell>
          <cell r="T1066">
            <v>0</v>
          </cell>
          <cell r="U1066" t="str">
            <v>LOPEZ RUIZ WILBERTO</v>
          </cell>
          <cell r="V1066" t="str">
            <v>FLOREZ CONDORI  JOSE WILLIANS</v>
          </cell>
        </row>
        <row r="1067">
          <cell r="A1067">
            <v>1042</v>
          </cell>
          <cell r="B1067">
            <v>42691</v>
          </cell>
          <cell r="C1067" t="str">
            <v>NOVIEMBRE</v>
          </cell>
          <cell r="D1067" t="str">
            <v>2016</v>
          </cell>
          <cell r="E1067">
            <v>360</v>
          </cell>
          <cell r="F1067" t="str">
            <v>D3R-791</v>
          </cell>
          <cell r="G1067" t="str">
            <v>B1M-993</v>
          </cell>
          <cell r="H1067" t="str">
            <v>LAS BAMBAS</v>
          </cell>
          <cell r="I1067">
            <v>136941</v>
          </cell>
          <cell r="J1067" t="str">
            <v>REPUESTO</v>
          </cell>
          <cell r="K1067" t="str">
            <v>FILTRO DE COMBUSTIBLE MEDIANO</v>
          </cell>
          <cell r="L1067">
            <v>1</v>
          </cell>
          <cell r="M1067" t="str">
            <v>UNID.</v>
          </cell>
          <cell r="N1067" t="str">
            <v>TRACTO</v>
          </cell>
          <cell r="O1067">
            <v>0</v>
          </cell>
          <cell r="P1067" t="str">
            <v>M5</v>
          </cell>
          <cell r="Q1067" t="str">
            <v>J1</v>
          </cell>
          <cell r="R1067" t="str">
            <v>J6</v>
          </cell>
          <cell r="S1067" t="str">
            <v>ENTREGADO</v>
          </cell>
          <cell r="T1067">
            <v>42691</v>
          </cell>
          <cell r="U1067" t="str">
            <v>LOPEZ RUIZ WILBERTO</v>
          </cell>
          <cell r="V1067" t="str">
            <v>FLOREZ CONDORI  JOSE WILLIANS</v>
          </cell>
        </row>
        <row r="1068">
          <cell r="A1068">
            <v>1014</v>
          </cell>
          <cell r="B1068">
            <v>42691</v>
          </cell>
          <cell r="C1068" t="str">
            <v>NOVIEMBRE</v>
          </cell>
          <cell r="D1068" t="str">
            <v>2016</v>
          </cell>
          <cell r="E1068">
            <v>354</v>
          </cell>
          <cell r="F1068" t="str">
            <v>D6F-825</v>
          </cell>
          <cell r="G1068" t="str">
            <v>T2Y-992</v>
          </cell>
          <cell r="H1068" t="str">
            <v>LAS BAMBAS</v>
          </cell>
          <cell r="I1068">
            <v>182729</v>
          </cell>
          <cell r="J1068" t="str">
            <v>REPUESTO</v>
          </cell>
          <cell r="K1068" t="str">
            <v>PITON RECTO</v>
          </cell>
          <cell r="L1068">
            <v>2</v>
          </cell>
          <cell r="M1068" t="str">
            <v>UNID.</v>
          </cell>
          <cell r="N1068" t="str">
            <v>CISTERNA</v>
          </cell>
          <cell r="O1068">
            <v>0</v>
          </cell>
          <cell r="P1068" t="str">
            <v>N2</v>
          </cell>
          <cell r="Q1068" t="str">
            <v>J3</v>
          </cell>
          <cell r="R1068" t="str">
            <v>J6</v>
          </cell>
          <cell r="S1068" t="str">
            <v>ENTREGADO</v>
          </cell>
          <cell r="T1068">
            <v>42691</v>
          </cell>
          <cell r="U1068" t="str">
            <v>MAMANI LARICO  EDUARDO ALVARO</v>
          </cell>
          <cell r="V1068" t="str">
            <v>CHURA PIZARRO ALBERTO</v>
          </cell>
        </row>
        <row r="1069">
          <cell r="A1069">
            <v>1004</v>
          </cell>
          <cell r="B1069">
            <v>42691</v>
          </cell>
          <cell r="C1069" t="str">
            <v>NOVIEMBRE</v>
          </cell>
          <cell r="D1069" t="str">
            <v>2016</v>
          </cell>
          <cell r="E1069">
            <v>354</v>
          </cell>
          <cell r="F1069" t="str">
            <v>D6F-825</v>
          </cell>
          <cell r="G1069" t="str">
            <v>T2Y-992</v>
          </cell>
          <cell r="H1069" t="str">
            <v>LAS BAMBAS</v>
          </cell>
          <cell r="I1069">
            <v>182729</v>
          </cell>
          <cell r="J1069" t="str">
            <v>REPUESTO</v>
          </cell>
          <cell r="K1069" t="str">
            <v>LLANTAS REENCAUCHADAS 386</v>
          </cell>
          <cell r="L1069">
            <v>4</v>
          </cell>
          <cell r="M1069" t="str">
            <v>UNID.</v>
          </cell>
          <cell r="N1069" t="str">
            <v>CISTERNA</v>
          </cell>
          <cell r="O1069">
            <v>0</v>
          </cell>
          <cell r="P1069" t="str">
            <v>N2</v>
          </cell>
          <cell r="Q1069" t="str">
            <v>J3</v>
          </cell>
          <cell r="R1069" t="str">
            <v>J6</v>
          </cell>
          <cell r="S1069" t="str">
            <v>ENTREGADO</v>
          </cell>
          <cell r="T1069">
            <v>42691</v>
          </cell>
          <cell r="U1069" t="str">
            <v>MAMANI LARICO  EDUARDO ALVARO</v>
          </cell>
          <cell r="V1069" t="str">
            <v>CHURA PIZARRO ALBERTO</v>
          </cell>
        </row>
        <row r="1070">
          <cell r="A1070">
            <v>1030</v>
          </cell>
          <cell r="B1070">
            <v>42691</v>
          </cell>
          <cell r="C1070" t="str">
            <v>NOVIEMBRE</v>
          </cell>
          <cell r="D1070" t="str">
            <v>2016</v>
          </cell>
          <cell r="E1070">
            <v>335</v>
          </cell>
          <cell r="F1070" t="str">
            <v>D7N-755</v>
          </cell>
          <cell r="G1070" t="str">
            <v>F7L-983</v>
          </cell>
          <cell r="H1070" t="str">
            <v>LAS BAMBAS</v>
          </cell>
          <cell r="I1070">
            <v>46030</v>
          </cell>
          <cell r="J1070" t="str">
            <v>REPUESTO</v>
          </cell>
          <cell r="K1070" t="str">
            <v>LLANTAS REENCAUCHADAS 386</v>
          </cell>
          <cell r="L1070">
            <v>4</v>
          </cell>
          <cell r="M1070" t="str">
            <v>UNID.</v>
          </cell>
          <cell r="N1070" t="str">
            <v>CISTERNA</v>
          </cell>
          <cell r="O1070">
            <v>0</v>
          </cell>
          <cell r="P1070" t="str">
            <v>N1</v>
          </cell>
          <cell r="Q1070" t="str">
            <v>J3</v>
          </cell>
          <cell r="R1070" t="str">
            <v>J6</v>
          </cell>
          <cell r="S1070" t="str">
            <v>ENTREGADO</v>
          </cell>
          <cell r="T1070">
            <v>42691</v>
          </cell>
          <cell r="U1070" t="str">
            <v>AGUILAR CCANTUTA WILLY</v>
          </cell>
          <cell r="V1070" t="str">
            <v>CHURA PIZARRO ALBERTO</v>
          </cell>
        </row>
        <row r="1071">
          <cell r="A1071">
            <v>1047</v>
          </cell>
          <cell r="B1071">
            <v>42691</v>
          </cell>
          <cell r="C1071" t="str">
            <v>NOVIEMBRE</v>
          </cell>
          <cell r="D1071" t="str">
            <v>2016</v>
          </cell>
          <cell r="E1071">
            <v>350</v>
          </cell>
          <cell r="F1071" t="str">
            <v>D7V-714</v>
          </cell>
          <cell r="G1071" t="str">
            <v>F7M-971</v>
          </cell>
          <cell r="H1071" t="str">
            <v>LAS BAMBAS</v>
          </cell>
          <cell r="I1071">
            <v>45671</v>
          </cell>
          <cell r="J1071" t="str">
            <v>REPUESTO</v>
          </cell>
          <cell r="K1071" t="str">
            <v>HIDROLINA</v>
          </cell>
          <cell r="L1071">
            <v>0.25</v>
          </cell>
          <cell r="M1071" t="str">
            <v>GLNS.</v>
          </cell>
          <cell r="N1071" t="str">
            <v>TRACTO</v>
          </cell>
          <cell r="O1071">
            <v>0</v>
          </cell>
          <cell r="P1071" t="str">
            <v>M1</v>
          </cell>
          <cell r="Q1071" t="str">
            <v>J1</v>
          </cell>
          <cell r="R1071" t="str">
            <v>J6</v>
          </cell>
          <cell r="S1071" t="str">
            <v>ENTREGADO</v>
          </cell>
          <cell r="T1071">
            <v>42691</v>
          </cell>
          <cell r="U1071" t="str">
            <v>CABEZAS SANCHEZ JEAN JHONATAN</v>
          </cell>
          <cell r="V1071" t="str">
            <v>FLOREZ CONDORI  JOSE WILLIANS</v>
          </cell>
        </row>
        <row r="1072">
          <cell r="A1072">
            <v>1003</v>
          </cell>
          <cell r="B1072">
            <v>42691</v>
          </cell>
          <cell r="C1072" t="str">
            <v>NOVIEMBRE</v>
          </cell>
          <cell r="D1072" t="str">
            <v>2016</v>
          </cell>
          <cell r="E1072">
            <v>200</v>
          </cell>
          <cell r="F1072" t="str">
            <v>TALLER</v>
          </cell>
          <cell r="G1072" t="str">
            <v>TALLER</v>
          </cell>
          <cell r="H1072" t="str">
            <v>TALLER</v>
          </cell>
          <cell r="I1072" t="str">
            <v>TALLER</v>
          </cell>
          <cell r="J1072" t="str">
            <v>REPUESTO</v>
          </cell>
          <cell r="K1072" t="str">
            <v>SPRAY COLOR BLANCO, COLOR ALUMINIO</v>
          </cell>
          <cell r="L1072">
            <v>2</v>
          </cell>
          <cell r="M1072" t="str">
            <v>UNID.</v>
          </cell>
          <cell r="N1072" t="str">
            <v>TALLER</v>
          </cell>
          <cell r="O1072">
            <v>0</v>
          </cell>
          <cell r="P1072" t="str">
            <v>N1</v>
          </cell>
          <cell r="Q1072" t="str">
            <v>J1</v>
          </cell>
          <cell r="R1072" t="str">
            <v>J4</v>
          </cell>
          <cell r="S1072" t="str">
            <v>ENTREGADO</v>
          </cell>
          <cell r="T1072">
            <v>42691</v>
          </cell>
          <cell r="U1072" t="str">
            <v>AGUILAR CCANTUTA WILLY</v>
          </cell>
          <cell r="V1072" t="str">
            <v>FLOREZ CONDORI  JOSE WILLIANS</v>
          </cell>
        </row>
        <row r="1073">
          <cell r="A1073">
            <v>1013</v>
          </cell>
          <cell r="B1073">
            <v>42691</v>
          </cell>
          <cell r="C1073" t="str">
            <v>NOVIEMBRE</v>
          </cell>
          <cell r="D1073" t="str">
            <v>2016</v>
          </cell>
          <cell r="E1073">
            <v>200</v>
          </cell>
          <cell r="F1073" t="str">
            <v>TALLER</v>
          </cell>
          <cell r="G1073" t="str">
            <v>TALLER</v>
          </cell>
          <cell r="H1073" t="str">
            <v>TALLER</v>
          </cell>
          <cell r="I1073" t="str">
            <v>TALLER</v>
          </cell>
          <cell r="J1073" t="str">
            <v>UNIFORMES</v>
          </cell>
          <cell r="K1073" t="str">
            <v>TAIVEX "L"</v>
          </cell>
          <cell r="L1073">
            <v>1</v>
          </cell>
          <cell r="M1073" t="str">
            <v>UNID.</v>
          </cell>
          <cell r="N1073" t="str">
            <v>TALLER</v>
          </cell>
          <cell r="O1073">
            <v>0</v>
          </cell>
          <cell r="P1073" t="str">
            <v>J1</v>
          </cell>
          <cell r="Q1073" t="str">
            <v>J1</v>
          </cell>
          <cell r="R1073" t="str">
            <v>J6</v>
          </cell>
          <cell r="S1073" t="str">
            <v>ENTREGADO</v>
          </cell>
          <cell r="T1073">
            <v>42691</v>
          </cell>
          <cell r="U1073" t="str">
            <v>FLOREZ CONDORI  JOSE WILLIANS</v>
          </cell>
          <cell r="V1073" t="str">
            <v>FLOREZ CONDORI  JOSE WILLIANS</v>
          </cell>
        </row>
        <row r="1074">
          <cell r="A1074">
            <v>1028</v>
          </cell>
          <cell r="B1074">
            <v>42691</v>
          </cell>
          <cell r="C1074" t="str">
            <v>NOVIEMBRE</v>
          </cell>
          <cell r="D1074" t="str">
            <v>2016</v>
          </cell>
          <cell r="E1074">
            <v>200</v>
          </cell>
          <cell r="F1074" t="str">
            <v>TALLER</v>
          </cell>
          <cell r="G1074" t="str">
            <v>TALLER</v>
          </cell>
          <cell r="H1074" t="str">
            <v>TALLER</v>
          </cell>
          <cell r="I1074" t="str">
            <v>TALLER</v>
          </cell>
          <cell r="J1074" t="str">
            <v>INSUMO TALLER</v>
          </cell>
          <cell r="K1074" t="str">
            <v>AFLOJATODO</v>
          </cell>
          <cell r="L1074">
            <v>1</v>
          </cell>
          <cell r="M1074" t="str">
            <v>UNID.</v>
          </cell>
          <cell r="N1074" t="str">
            <v>TALLER</v>
          </cell>
          <cell r="O1074">
            <v>0</v>
          </cell>
          <cell r="P1074" t="str">
            <v>S3</v>
          </cell>
          <cell r="Q1074" t="str">
            <v>J1</v>
          </cell>
          <cell r="R1074" t="str">
            <v>J6</v>
          </cell>
          <cell r="S1074" t="str">
            <v>ENTREGADO</v>
          </cell>
          <cell r="T1074">
            <v>42691</v>
          </cell>
          <cell r="U1074" t="str">
            <v>JIMENEZ MACHACA JAVIER</v>
          </cell>
          <cell r="V1074" t="str">
            <v>FLOREZ CONDORI  JOSE WILLIANS</v>
          </cell>
        </row>
        <row r="1075">
          <cell r="A1075">
            <v>1029</v>
          </cell>
          <cell r="B1075">
            <v>42691</v>
          </cell>
          <cell r="C1075" t="str">
            <v>NOVIEMBRE</v>
          </cell>
          <cell r="D1075" t="str">
            <v>2016</v>
          </cell>
          <cell r="E1075">
            <v>200</v>
          </cell>
          <cell r="F1075" t="str">
            <v>TALLER</v>
          </cell>
          <cell r="G1075" t="str">
            <v>TALLER</v>
          </cell>
          <cell r="H1075" t="str">
            <v>TALLER</v>
          </cell>
          <cell r="I1075" t="str">
            <v>TALLER</v>
          </cell>
          <cell r="J1075" t="str">
            <v>HERRAMIENTAS</v>
          </cell>
          <cell r="K1075" t="str">
            <v>ESCOBILLA DE ACERO</v>
          </cell>
          <cell r="L1075">
            <v>1</v>
          </cell>
          <cell r="M1075" t="str">
            <v>UNID.</v>
          </cell>
          <cell r="N1075" t="str">
            <v>TALLER</v>
          </cell>
          <cell r="O1075">
            <v>0</v>
          </cell>
          <cell r="P1075" t="str">
            <v>S3</v>
          </cell>
          <cell r="Q1075" t="str">
            <v>J1</v>
          </cell>
          <cell r="R1075" t="str">
            <v>J6</v>
          </cell>
          <cell r="S1075" t="str">
            <v>ENTREGADO</v>
          </cell>
          <cell r="T1075">
            <v>42691</v>
          </cell>
          <cell r="U1075" t="str">
            <v>JIMENEZ MACHACA JAVIER</v>
          </cell>
          <cell r="V1075" t="str">
            <v>FLOREZ CONDORI  JOSE WILLIANS</v>
          </cell>
        </row>
        <row r="1076">
          <cell r="A1076">
            <v>1037</v>
          </cell>
          <cell r="B1076">
            <v>42691</v>
          </cell>
          <cell r="C1076" t="str">
            <v>NOVIEMBRE</v>
          </cell>
          <cell r="D1076" t="str">
            <v>2016</v>
          </cell>
          <cell r="E1076">
            <v>200</v>
          </cell>
          <cell r="F1076" t="str">
            <v>TALLER</v>
          </cell>
          <cell r="G1076" t="str">
            <v>TALLER</v>
          </cell>
          <cell r="H1076" t="str">
            <v>TALLER</v>
          </cell>
          <cell r="I1076" t="str">
            <v>TALLER</v>
          </cell>
          <cell r="J1076" t="str">
            <v>REPUESTO</v>
          </cell>
          <cell r="K1076" t="str">
            <v>TRIZ</v>
          </cell>
          <cell r="L1076">
            <v>1</v>
          </cell>
          <cell r="M1076" t="str">
            <v>UNID.</v>
          </cell>
          <cell r="N1076" t="str">
            <v>TALLER</v>
          </cell>
          <cell r="O1076">
            <v>0</v>
          </cell>
          <cell r="P1076" t="str">
            <v>E2</v>
          </cell>
          <cell r="Q1076" t="str">
            <v>J1</v>
          </cell>
          <cell r="R1076" t="str">
            <v>J6</v>
          </cell>
          <cell r="S1076" t="str">
            <v>ENTREGADO</v>
          </cell>
          <cell r="T1076">
            <v>42691</v>
          </cell>
          <cell r="U1076" t="str">
            <v>YUCA BELLIDO BORIS YERSY</v>
          </cell>
          <cell r="V1076" t="str">
            <v>FLOREZ CONDORI  JOSE WILLIANS</v>
          </cell>
        </row>
        <row r="1077">
          <cell r="A1077">
            <v>1002</v>
          </cell>
          <cell r="B1077">
            <v>42691</v>
          </cell>
          <cell r="C1077" t="str">
            <v>NOVIEMBRE</v>
          </cell>
          <cell r="D1077" t="str">
            <v>2016</v>
          </cell>
          <cell r="E1077">
            <v>352</v>
          </cell>
          <cell r="F1077" t="str">
            <v>X2W-759</v>
          </cell>
          <cell r="G1077" t="str">
            <v>C5V-999</v>
          </cell>
          <cell r="H1077" t="str">
            <v>LAS BAMBAS</v>
          </cell>
          <cell r="I1077">
            <v>152065</v>
          </cell>
          <cell r="J1077" t="str">
            <v>REPUESTO</v>
          </cell>
          <cell r="K1077" t="str">
            <v>PARCHE RAC 12</v>
          </cell>
          <cell r="L1077">
            <v>1</v>
          </cell>
          <cell r="M1077" t="str">
            <v>UNID.</v>
          </cell>
          <cell r="N1077" t="str">
            <v>TRACTO</v>
          </cell>
          <cell r="O1077">
            <v>0</v>
          </cell>
          <cell r="P1077" t="str">
            <v>N1</v>
          </cell>
          <cell r="Q1077" t="str">
            <v>J1</v>
          </cell>
          <cell r="R1077" t="str">
            <v>J4</v>
          </cell>
          <cell r="S1077" t="str">
            <v>ENTREGADO</v>
          </cell>
          <cell r="T1077">
            <v>42691</v>
          </cell>
          <cell r="U1077" t="str">
            <v>AGUILAR CCANTUTA WILLY</v>
          </cell>
          <cell r="V1077" t="str">
            <v>FLOREZ CONDORI  JOSE WILLIANS</v>
          </cell>
        </row>
        <row r="1078">
          <cell r="A1078">
            <v>1152</v>
          </cell>
          <cell r="B1078">
            <v>42692</v>
          </cell>
          <cell r="C1078" t="str">
            <v>NOVIEMBRE</v>
          </cell>
          <cell r="D1078" t="str">
            <v>2016</v>
          </cell>
          <cell r="E1078">
            <v>344</v>
          </cell>
          <cell r="F1078" t="str">
            <v>A5O-859</v>
          </cell>
          <cell r="G1078" t="str">
            <v>B6Y-971</v>
          </cell>
          <cell r="H1078" t="str">
            <v>LAS BAMBAS</v>
          </cell>
          <cell r="I1078">
            <v>114907</v>
          </cell>
          <cell r="J1078" t="str">
            <v>REPUESTO</v>
          </cell>
          <cell r="K1078" t="str">
            <v>FOCO LAGRIMON AMBAR 12 V</v>
          </cell>
          <cell r="L1078">
            <v>1</v>
          </cell>
          <cell r="M1078" t="str">
            <v>UNID.</v>
          </cell>
          <cell r="N1078" t="str">
            <v>TRACTO</v>
          </cell>
          <cell r="O1078">
            <v>0</v>
          </cell>
          <cell r="P1078" t="str">
            <v>E2</v>
          </cell>
          <cell r="Q1078" t="str">
            <v>J1</v>
          </cell>
          <cell r="R1078" t="str">
            <v>J1</v>
          </cell>
          <cell r="S1078" t="str">
            <v>ENTREGADO</v>
          </cell>
          <cell r="T1078">
            <v>42692</v>
          </cell>
          <cell r="U1078" t="str">
            <v>YUCA BELLIDO BORIS YERSY</v>
          </cell>
          <cell r="V1078" t="str">
            <v>FLOREZ CONDORI  JOSE WILLIANS</v>
          </cell>
        </row>
        <row r="1079">
          <cell r="A1079">
            <v>1153</v>
          </cell>
          <cell r="B1079">
            <v>42692</v>
          </cell>
          <cell r="C1079" t="str">
            <v>NOVIEMBRE</v>
          </cell>
          <cell r="D1079" t="str">
            <v>2016</v>
          </cell>
          <cell r="E1079">
            <v>344</v>
          </cell>
          <cell r="F1079" t="str">
            <v>A5O-859</v>
          </cell>
          <cell r="G1079" t="str">
            <v>B6Y-971</v>
          </cell>
          <cell r="H1079" t="str">
            <v>LAS BAMBAS</v>
          </cell>
          <cell r="I1079">
            <v>114907</v>
          </cell>
          <cell r="J1079" t="str">
            <v>REPUESTO</v>
          </cell>
          <cell r="K1079" t="str">
            <v>FOCO DE DOBLE CONTACTO DE 12 V</v>
          </cell>
          <cell r="L1079">
            <v>1</v>
          </cell>
          <cell r="M1079" t="str">
            <v>UNID.</v>
          </cell>
          <cell r="N1079" t="str">
            <v>TRACTO</v>
          </cell>
          <cell r="O1079">
            <v>0</v>
          </cell>
          <cell r="P1079" t="str">
            <v>E2</v>
          </cell>
          <cell r="Q1079" t="str">
            <v>J1</v>
          </cell>
          <cell r="R1079" t="str">
            <v>J1</v>
          </cell>
          <cell r="S1079" t="str">
            <v>ENTREGADO</v>
          </cell>
          <cell r="T1079">
            <v>42692</v>
          </cell>
          <cell r="U1079" t="str">
            <v>YUCA BELLIDO BORIS YERSY</v>
          </cell>
          <cell r="V1079" t="str">
            <v>FLOREZ CONDORI  JOSE WILLIANS</v>
          </cell>
        </row>
        <row r="1080">
          <cell r="A1080">
            <v>1154</v>
          </cell>
          <cell r="B1080">
            <v>42692</v>
          </cell>
          <cell r="C1080" t="str">
            <v>NOVIEMBRE</v>
          </cell>
          <cell r="D1080" t="str">
            <v>2016</v>
          </cell>
          <cell r="E1080">
            <v>351</v>
          </cell>
          <cell r="F1080" t="str">
            <v>ABP-783</v>
          </cell>
          <cell r="G1080" t="str">
            <v>C9S-988</v>
          </cell>
          <cell r="H1080" t="str">
            <v>LAS BAMBAS</v>
          </cell>
          <cell r="I1080">
            <v>122840</v>
          </cell>
          <cell r="J1080" t="str">
            <v>REPUESTO</v>
          </cell>
          <cell r="K1080" t="str">
            <v>CARTUCHO DE PULPO COMPLETO</v>
          </cell>
          <cell r="L1080">
            <v>1</v>
          </cell>
          <cell r="M1080" t="str">
            <v>UNID.</v>
          </cell>
          <cell r="N1080" t="str">
            <v>CISTERNA</v>
          </cell>
          <cell r="O1080">
            <v>0</v>
          </cell>
          <cell r="P1080" t="str">
            <v>M5</v>
          </cell>
          <cell r="Q1080" t="str">
            <v>J1</v>
          </cell>
          <cell r="R1080" t="str">
            <v>J1</v>
          </cell>
          <cell r="S1080" t="str">
            <v>ENTREGADO</v>
          </cell>
          <cell r="T1080">
            <v>42692</v>
          </cell>
          <cell r="U1080" t="str">
            <v>LOPEZ RUIZ WILBERTO</v>
          </cell>
          <cell r="V1080" t="str">
            <v>FLOREZ CONDORI  JOSE WILLIANS</v>
          </cell>
        </row>
        <row r="1081">
          <cell r="A1081">
            <v>1155</v>
          </cell>
          <cell r="B1081">
            <v>42692</v>
          </cell>
          <cell r="C1081" t="str">
            <v>NOVIEMBRE</v>
          </cell>
          <cell r="D1081" t="str">
            <v>2016</v>
          </cell>
          <cell r="E1081">
            <v>351</v>
          </cell>
          <cell r="F1081" t="str">
            <v>ABP-783</v>
          </cell>
          <cell r="G1081" t="str">
            <v>C9S-988</v>
          </cell>
          <cell r="H1081" t="str">
            <v>LAS BAMBAS</v>
          </cell>
          <cell r="I1081">
            <v>122840</v>
          </cell>
          <cell r="J1081" t="str">
            <v>REPUESTO</v>
          </cell>
          <cell r="K1081" t="str">
            <v>NIPLE 3/8 CON TUERCA,</v>
          </cell>
          <cell r="L1081">
            <v>12</v>
          </cell>
          <cell r="M1081" t="str">
            <v>UNID.</v>
          </cell>
          <cell r="N1081" t="str">
            <v>CISTERNA</v>
          </cell>
          <cell r="O1081">
            <v>0</v>
          </cell>
          <cell r="P1081" t="str">
            <v>M5</v>
          </cell>
          <cell r="Q1081" t="str">
            <v>J1</v>
          </cell>
          <cell r="R1081" t="str">
            <v>J1</v>
          </cell>
          <cell r="S1081" t="str">
            <v>ENTREGADO</v>
          </cell>
          <cell r="T1081">
            <v>42692</v>
          </cell>
          <cell r="U1081" t="str">
            <v>LOPEZ RUIZ WILBERTO</v>
          </cell>
          <cell r="V1081" t="str">
            <v>FLOREZ CONDORI  JOSE WILLIANS</v>
          </cell>
        </row>
        <row r="1082">
          <cell r="A1082">
            <v>1156</v>
          </cell>
          <cell r="B1082">
            <v>42692</v>
          </cell>
          <cell r="C1082" t="str">
            <v>NOVIEMBRE</v>
          </cell>
          <cell r="D1082" t="str">
            <v>2016</v>
          </cell>
          <cell r="E1082">
            <v>351</v>
          </cell>
          <cell r="F1082" t="str">
            <v>ABP-783</v>
          </cell>
          <cell r="G1082" t="str">
            <v>C9S-988</v>
          </cell>
          <cell r="H1082" t="str">
            <v>LAS BAMBAS</v>
          </cell>
          <cell r="I1082">
            <v>122840</v>
          </cell>
          <cell r="J1082" t="str">
            <v>REPUESTO</v>
          </cell>
          <cell r="K1082" t="str">
            <v>CONOS</v>
          </cell>
          <cell r="L1082">
            <v>12</v>
          </cell>
          <cell r="M1082" t="str">
            <v>UNID.</v>
          </cell>
          <cell r="N1082" t="str">
            <v>CISTERNA</v>
          </cell>
          <cell r="O1082">
            <v>0</v>
          </cell>
          <cell r="P1082" t="str">
            <v>M5</v>
          </cell>
          <cell r="Q1082" t="str">
            <v>J1</v>
          </cell>
          <cell r="R1082" t="str">
            <v>J1</v>
          </cell>
          <cell r="S1082" t="str">
            <v>ENTREGADO</v>
          </cell>
          <cell r="T1082">
            <v>42692</v>
          </cell>
          <cell r="U1082" t="str">
            <v>LOPEZ RUIZ WILBERTO</v>
          </cell>
          <cell r="V1082" t="str">
            <v>FLOREZ CONDORI  JOSE WILLIANS</v>
          </cell>
        </row>
        <row r="1083">
          <cell r="A1083">
            <v>1157</v>
          </cell>
          <cell r="B1083">
            <v>42692</v>
          </cell>
          <cell r="C1083" t="str">
            <v>NOVIEMBRE</v>
          </cell>
          <cell r="D1083" t="str">
            <v>2016</v>
          </cell>
          <cell r="E1083">
            <v>351</v>
          </cell>
          <cell r="F1083" t="str">
            <v>ABP-783</v>
          </cell>
          <cell r="G1083" t="str">
            <v>C9S-988</v>
          </cell>
          <cell r="H1083" t="str">
            <v>LAS BAMBAS</v>
          </cell>
          <cell r="I1083">
            <v>122840</v>
          </cell>
          <cell r="J1083" t="str">
            <v>REPUESTO</v>
          </cell>
          <cell r="K1083" t="str">
            <v>GUIAS</v>
          </cell>
          <cell r="L1083">
            <v>12</v>
          </cell>
          <cell r="M1083" t="str">
            <v>UNID.</v>
          </cell>
          <cell r="N1083" t="str">
            <v>CISTERNA</v>
          </cell>
          <cell r="O1083">
            <v>0</v>
          </cell>
          <cell r="P1083" t="str">
            <v>M5</v>
          </cell>
          <cell r="Q1083" t="str">
            <v>J1</v>
          </cell>
          <cell r="R1083" t="str">
            <v>J1</v>
          </cell>
          <cell r="S1083" t="str">
            <v>ENTREGADO</v>
          </cell>
          <cell r="T1083">
            <v>42692</v>
          </cell>
          <cell r="U1083" t="str">
            <v>LOPEZ RUIZ WILBERTO</v>
          </cell>
          <cell r="V1083" t="str">
            <v>FLOREZ CONDORI  JOSE WILLIANS</v>
          </cell>
        </row>
        <row r="1084">
          <cell r="A1084">
            <v>1095</v>
          </cell>
          <cell r="B1084">
            <v>42692</v>
          </cell>
          <cell r="C1084" t="str">
            <v>NOVIEMBRE</v>
          </cell>
          <cell r="D1084" t="str">
            <v>2016</v>
          </cell>
          <cell r="E1084">
            <v>371</v>
          </cell>
          <cell r="F1084" t="str">
            <v>ABR-727</v>
          </cell>
          <cell r="G1084" t="str">
            <v>C9S-989</v>
          </cell>
          <cell r="H1084" t="str">
            <v>LAS BAMBAS</v>
          </cell>
          <cell r="I1084">
            <v>98682</v>
          </cell>
          <cell r="J1084" t="str">
            <v>REPUESTO</v>
          </cell>
          <cell r="K1084" t="str">
            <v>SOPORTE DE RODAJE DE CARDAN</v>
          </cell>
          <cell r="L1084">
            <v>1</v>
          </cell>
          <cell r="M1084" t="str">
            <v>UNID.</v>
          </cell>
          <cell r="N1084" t="str">
            <v>TRACTO</v>
          </cell>
          <cell r="O1084">
            <v>98</v>
          </cell>
          <cell r="P1084" t="str">
            <v>M7</v>
          </cell>
          <cell r="Q1084" t="str">
            <v>J2</v>
          </cell>
          <cell r="R1084" t="str">
            <v>J6</v>
          </cell>
          <cell r="S1084" t="str">
            <v>ENTREGADO</v>
          </cell>
          <cell r="T1084">
            <v>0</v>
          </cell>
          <cell r="U1084" t="str">
            <v>ROBLES ROJAS  JOSE MIGUEL</v>
          </cell>
          <cell r="V1084" t="str">
            <v>CORIHUAMAN SURCO  ERICK ROBERT</v>
          </cell>
        </row>
        <row r="1085">
          <cell r="A1085">
            <v>1110</v>
          </cell>
          <cell r="B1085">
            <v>42692</v>
          </cell>
          <cell r="C1085" t="str">
            <v>NOVIEMBRE</v>
          </cell>
          <cell r="D1085" t="str">
            <v>2016</v>
          </cell>
          <cell r="E1085">
            <v>371</v>
          </cell>
          <cell r="F1085" t="str">
            <v>ABR-727</v>
          </cell>
          <cell r="G1085" t="str">
            <v>C9S-989</v>
          </cell>
          <cell r="H1085" t="str">
            <v>LAS BAMBAS</v>
          </cell>
          <cell r="I1085">
            <v>98682</v>
          </cell>
          <cell r="J1085" t="str">
            <v>REPUESTO</v>
          </cell>
          <cell r="K1085" t="str">
            <v>LIQUIDO REFRIGERANTE</v>
          </cell>
          <cell r="L1085">
            <v>2</v>
          </cell>
          <cell r="M1085" t="str">
            <v>GLNS.</v>
          </cell>
          <cell r="N1085" t="str">
            <v>TRACTO</v>
          </cell>
          <cell r="O1085">
            <v>0</v>
          </cell>
          <cell r="P1085" t="str">
            <v>M7</v>
          </cell>
          <cell r="Q1085" t="str">
            <v>J1</v>
          </cell>
          <cell r="R1085" t="str">
            <v>J6</v>
          </cell>
          <cell r="S1085" t="str">
            <v>ENTREGADO</v>
          </cell>
          <cell r="T1085">
            <v>42692</v>
          </cell>
          <cell r="U1085" t="str">
            <v>ROBLES ROJAS  JOSE MIGUEL</v>
          </cell>
          <cell r="V1085" t="str">
            <v>FLOREZ CONDORI  JOSE WILLIANS</v>
          </cell>
        </row>
        <row r="1086">
          <cell r="A1086">
            <v>1111</v>
          </cell>
          <cell r="B1086">
            <v>42692</v>
          </cell>
          <cell r="C1086" t="str">
            <v>NOVIEMBRE</v>
          </cell>
          <cell r="D1086" t="str">
            <v>2016</v>
          </cell>
          <cell r="E1086">
            <v>357</v>
          </cell>
          <cell r="F1086" t="str">
            <v>ABR-796</v>
          </cell>
          <cell r="G1086" t="str">
            <v>C9S-994</v>
          </cell>
          <cell r="H1086" t="str">
            <v>LAS BAMBAS</v>
          </cell>
          <cell r="I1086">
            <v>107387</v>
          </cell>
          <cell r="J1086" t="str">
            <v>REPUESTO</v>
          </cell>
          <cell r="K1086" t="str">
            <v>RELAY 12 V</v>
          </cell>
          <cell r="L1086">
            <v>1</v>
          </cell>
          <cell r="M1086" t="str">
            <v>UNID.</v>
          </cell>
          <cell r="N1086" t="str">
            <v>TRACTO</v>
          </cell>
          <cell r="O1086">
            <v>0</v>
          </cell>
          <cell r="P1086" t="str">
            <v>E2</v>
          </cell>
          <cell r="Q1086" t="str">
            <v>J1</v>
          </cell>
          <cell r="R1086" t="str">
            <v>J6</v>
          </cell>
          <cell r="S1086" t="str">
            <v>ENTREGADO</v>
          </cell>
          <cell r="T1086">
            <v>42692</v>
          </cell>
          <cell r="U1086" t="str">
            <v>YUCA BELLIDO BORIS YERSY</v>
          </cell>
          <cell r="V1086" t="str">
            <v>FLOREZ CONDORI  JOSE WILLIANS</v>
          </cell>
        </row>
        <row r="1087">
          <cell r="A1087">
            <v>1123</v>
          </cell>
          <cell r="B1087">
            <v>42692</v>
          </cell>
          <cell r="C1087" t="str">
            <v>NOVIEMBRE</v>
          </cell>
          <cell r="D1087" t="str">
            <v>2016</v>
          </cell>
          <cell r="E1087">
            <v>357</v>
          </cell>
          <cell r="F1087" t="str">
            <v>ABR-796</v>
          </cell>
          <cell r="G1087" t="str">
            <v>C9S-994</v>
          </cell>
          <cell r="H1087" t="str">
            <v>LAS BAMBAS</v>
          </cell>
          <cell r="I1087">
            <v>107387</v>
          </cell>
          <cell r="J1087" t="str">
            <v>REPUESTO</v>
          </cell>
          <cell r="K1087" t="str">
            <v>PERNO 3/8X 1" C/ VOLANDA</v>
          </cell>
          <cell r="L1087">
            <v>1</v>
          </cell>
          <cell r="M1087" t="str">
            <v>UNID.</v>
          </cell>
          <cell r="N1087" t="str">
            <v>TRACTO</v>
          </cell>
          <cell r="O1087">
            <v>0</v>
          </cell>
          <cell r="P1087" t="str">
            <v>M1</v>
          </cell>
          <cell r="Q1087" t="str">
            <v>J1</v>
          </cell>
          <cell r="R1087" t="str">
            <v>J5</v>
          </cell>
          <cell r="S1087" t="str">
            <v>ENTREGADO</v>
          </cell>
          <cell r="T1087">
            <v>42692</v>
          </cell>
          <cell r="U1087" t="str">
            <v>CABEZAS SANCHEZ JEAN JHONATAN</v>
          </cell>
          <cell r="V1087" t="str">
            <v>FLOREZ CONDORI  JOSE WILLIANS</v>
          </cell>
        </row>
        <row r="1088">
          <cell r="A1088">
            <v>1070</v>
          </cell>
          <cell r="B1088">
            <v>42692</v>
          </cell>
          <cell r="C1088" t="str">
            <v>NOVIEMBRE</v>
          </cell>
          <cell r="D1088" t="str">
            <v>2016</v>
          </cell>
          <cell r="E1088">
            <v>359</v>
          </cell>
          <cell r="F1088" t="str">
            <v>ABR-798</v>
          </cell>
          <cell r="G1088" t="str">
            <v>TBM-980</v>
          </cell>
          <cell r="H1088" t="str">
            <v>LAS BAMBAS</v>
          </cell>
          <cell r="I1088">
            <v>121757</v>
          </cell>
          <cell r="J1088" t="str">
            <v>REPUESTO</v>
          </cell>
          <cell r="K1088" t="str">
            <v>PERNO MANHOLE 3/8 X 6</v>
          </cell>
          <cell r="L1088">
            <v>1</v>
          </cell>
          <cell r="M1088" t="str">
            <v>UNID.</v>
          </cell>
          <cell r="N1088" t="str">
            <v>CISTERNA</v>
          </cell>
          <cell r="O1088">
            <v>0</v>
          </cell>
          <cell r="P1088" t="str">
            <v>S2</v>
          </cell>
          <cell r="Q1088" t="str">
            <v>J1</v>
          </cell>
          <cell r="R1088" t="str">
            <v>J6</v>
          </cell>
          <cell r="S1088" t="str">
            <v>ENTREGADO</v>
          </cell>
          <cell r="T1088">
            <v>42692</v>
          </cell>
          <cell r="U1088" t="str">
            <v>PALOMINO ESTRADA  MICHEL</v>
          </cell>
          <cell r="V1088" t="str">
            <v>FLOREZ CONDORI  JOSE WILLIANS</v>
          </cell>
        </row>
        <row r="1089">
          <cell r="A1089">
            <v>1071</v>
          </cell>
          <cell r="B1089">
            <v>42692</v>
          </cell>
          <cell r="C1089" t="str">
            <v>NOVIEMBRE</v>
          </cell>
          <cell r="D1089" t="str">
            <v>2016</v>
          </cell>
          <cell r="E1089">
            <v>359</v>
          </cell>
          <cell r="F1089" t="str">
            <v>ABR-798</v>
          </cell>
          <cell r="G1089" t="str">
            <v>TBM-980</v>
          </cell>
          <cell r="H1089" t="str">
            <v>LAS BAMBAS</v>
          </cell>
          <cell r="I1089">
            <v>121757</v>
          </cell>
          <cell r="J1089" t="str">
            <v>REPUESTO</v>
          </cell>
          <cell r="K1089" t="str">
            <v>TUERCA 3/8</v>
          </cell>
          <cell r="L1089">
            <v>2</v>
          </cell>
          <cell r="M1089" t="str">
            <v>UNID.</v>
          </cell>
          <cell r="N1089" t="str">
            <v>CISTERNA</v>
          </cell>
          <cell r="O1089">
            <v>0</v>
          </cell>
          <cell r="P1089" t="str">
            <v>S2</v>
          </cell>
          <cell r="Q1089" t="str">
            <v>J1</v>
          </cell>
          <cell r="R1089" t="str">
            <v>J6</v>
          </cell>
          <cell r="S1089" t="str">
            <v>ENTREGADO</v>
          </cell>
          <cell r="T1089">
            <v>42692</v>
          </cell>
          <cell r="U1089" t="str">
            <v>PALOMINO ESTRADA  MICHEL</v>
          </cell>
          <cell r="V1089" t="str">
            <v>FLOREZ CONDORI  JOSE WILLIANS</v>
          </cell>
        </row>
        <row r="1090">
          <cell r="A1090">
            <v>1072</v>
          </cell>
          <cell r="B1090">
            <v>42692</v>
          </cell>
          <cell r="C1090" t="str">
            <v>NOVIEMBRE</v>
          </cell>
          <cell r="D1090" t="str">
            <v>2016</v>
          </cell>
          <cell r="E1090">
            <v>359</v>
          </cell>
          <cell r="F1090" t="str">
            <v>ABR-798</v>
          </cell>
          <cell r="G1090" t="str">
            <v>TBM-980</v>
          </cell>
          <cell r="H1090" t="str">
            <v>LAS BAMBAS</v>
          </cell>
          <cell r="I1090">
            <v>121757</v>
          </cell>
          <cell r="J1090" t="str">
            <v>IMPLEMENTACION</v>
          </cell>
          <cell r="K1090" t="str">
            <v>LINTERNA PARA CASCO</v>
          </cell>
          <cell r="L1090">
            <v>1</v>
          </cell>
          <cell r="M1090" t="str">
            <v>UNID.</v>
          </cell>
          <cell r="N1090" t="str">
            <v>TALLER</v>
          </cell>
          <cell r="O1090">
            <v>98</v>
          </cell>
          <cell r="P1090" t="str">
            <v>S2</v>
          </cell>
          <cell r="Q1090" t="str">
            <v>J1</v>
          </cell>
          <cell r="R1090" t="str">
            <v>J6</v>
          </cell>
          <cell r="S1090" t="str">
            <v>ENTREGADO</v>
          </cell>
          <cell r="T1090">
            <v>0</v>
          </cell>
          <cell r="U1090" t="str">
            <v>PALOMINO ESTRADA  MICHEL</v>
          </cell>
          <cell r="V1090" t="str">
            <v>FLOREZ CONDORI  JOSE WILLIANS</v>
          </cell>
        </row>
        <row r="1091">
          <cell r="A1091">
            <v>1109</v>
          </cell>
          <cell r="B1091">
            <v>42692</v>
          </cell>
          <cell r="C1091" t="str">
            <v>NOVIEMBRE</v>
          </cell>
          <cell r="D1091" t="str">
            <v>2016</v>
          </cell>
          <cell r="E1091">
            <v>359</v>
          </cell>
          <cell r="F1091" t="str">
            <v>ABR-798</v>
          </cell>
          <cell r="G1091" t="str">
            <v>TBM-980</v>
          </cell>
          <cell r="H1091" t="str">
            <v>LAS BAMBAS</v>
          </cell>
          <cell r="I1091">
            <v>121757</v>
          </cell>
          <cell r="J1091" t="str">
            <v>REPUESTO</v>
          </cell>
          <cell r="K1091" t="str">
            <v>BOMBA DE CEBADOR</v>
          </cell>
          <cell r="L1091">
            <v>1</v>
          </cell>
          <cell r="M1091" t="str">
            <v>UNID.</v>
          </cell>
          <cell r="N1091" t="str">
            <v>TRACTO</v>
          </cell>
          <cell r="O1091">
            <v>0</v>
          </cell>
          <cell r="P1091" t="str">
            <v>M2</v>
          </cell>
          <cell r="Q1091" t="str">
            <v>J1</v>
          </cell>
          <cell r="R1091" t="str">
            <v>J6</v>
          </cell>
          <cell r="S1091" t="str">
            <v>ENTREGADO</v>
          </cell>
          <cell r="T1091">
            <v>42692</v>
          </cell>
          <cell r="U1091" t="str">
            <v>CHUMPITAZ GAGO JULIO ENRIQUE</v>
          </cell>
          <cell r="V1091" t="str">
            <v>FLOREZ CONDORI  JOSE WILLIANS</v>
          </cell>
        </row>
        <row r="1092">
          <cell r="A1092">
            <v>1115</v>
          </cell>
          <cell r="B1092">
            <v>42692</v>
          </cell>
          <cell r="C1092" t="str">
            <v>NOVIEMBRE</v>
          </cell>
          <cell r="D1092" t="str">
            <v>2016</v>
          </cell>
          <cell r="E1092">
            <v>359</v>
          </cell>
          <cell r="F1092" t="str">
            <v>ABR-798</v>
          </cell>
          <cell r="G1092" t="str">
            <v>TBM-980</v>
          </cell>
          <cell r="H1092" t="str">
            <v>LAS BAMBAS</v>
          </cell>
          <cell r="I1092">
            <v>121757</v>
          </cell>
          <cell r="J1092" t="str">
            <v>REPUESTO</v>
          </cell>
          <cell r="K1092" t="str">
            <v>AGUA REFRIGERANTE</v>
          </cell>
          <cell r="L1092">
            <v>1</v>
          </cell>
          <cell r="M1092" t="str">
            <v>GLNS.</v>
          </cell>
          <cell r="N1092" t="str">
            <v>TRACTO</v>
          </cell>
          <cell r="O1092">
            <v>0</v>
          </cell>
          <cell r="P1092" t="str">
            <v>M2</v>
          </cell>
          <cell r="Q1092" t="str">
            <v>J2</v>
          </cell>
          <cell r="R1092" t="str">
            <v>J6</v>
          </cell>
          <cell r="S1092" t="str">
            <v>ENTREGADO</v>
          </cell>
          <cell r="T1092">
            <v>42692</v>
          </cell>
          <cell r="U1092" t="str">
            <v>CHUMPITAZ GAGO JULIO ENRIQUE</v>
          </cell>
          <cell r="V1092" t="str">
            <v>CORIHUAMAN SURCO  ERICK ROBERT</v>
          </cell>
        </row>
        <row r="1093">
          <cell r="A1093">
            <v>1055</v>
          </cell>
          <cell r="B1093">
            <v>42692</v>
          </cell>
          <cell r="C1093" t="str">
            <v>NOVIEMBRE</v>
          </cell>
          <cell r="D1093" t="str">
            <v>2016</v>
          </cell>
          <cell r="E1093">
            <v>369</v>
          </cell>
          <cell r="F1093" t="str">
            <v>ABS-700</v>
          </cell>
          <cell r="G1093" t="str">
            <v>TBC-971</v>
          </cell>
          <cell r="H1093" t="str">
            <v>LAS BAMBAS</v>
          </cell>
          <cell r="I1093">
            <v>97182.399999999994</v>
          </cell>
          <cell r="J1093" t="str">
            <v>REPUESTO</v>
          </cell>
          <cell r="K1093" t="str">
            <v>FILTRO DE AIRE</v>
          </cell>
          <cell r="L1093">
            <v>1</v>
          </cell>
          <cell r="M1093" t="str">
            <v>UNID.</v>
          </cell>
          <cell r="N1093" t="str">
            <v>CAMIONETA</v>
          </cell>
          <cell r="O1093">
            <v>98</v>
          </cell>
          <cell r="P1093" t="str">
            <v>M6</v>
          </cell>
          <cell r="Q1093" t="str">
            <v>J1</v>
          </cell>
          <cell r="R1093" t="str">
            <v>J6</v>
          </cell>
          <cell r="S1093" t="str">
            <v>ENTREGADO</v>
          </cell>
          <cell r="T1093">
            <v>0</v>
          </cell>
          <cell r="U1093" t="str">
            <v>PARI VENTURA  EDSON ORLANDO</v>
          </cell>
          <cell r="V1093" t="str">
            <v>FLOREZ CONDORI  JOSE WILLIANS</v>
          </cell>
        </row>
        <row r="1094">
          <cell r="A1094">
            <v>1056</v>
          </cell>
          <cell r="B1094">
            <v>42692</v>
          </cell>
          <cell r="C1094" t="str">
            <v>NOVIEMBRE</v>
          </cell>
          <cell r="D1094" t="str">
            <v>2016</v>
          </cell>
          <cell r="E1094">
            <v>369</v>
          </cell>
          <cell r="F1094" t="str">
            <v>ABS-700</v>
          </cell>
          <cell r="G1094" t="str">
            <v>TBC-971</v>
          </cell>
          <cell r="H1094" t="str">
            <v>LAS BAMBAS</v>
          </cell>
          <cell r="I1094">
            <v>97182.399999999994</v>
          </cell>
          <cell r="J1094" t="str">
            <v>REPUESTO</v>
          </cell>
          <cell r="K1094" t="str">
            <v>FILTRO DE COMBUSTIBLE</v>
          </cell>
          <cell r="L1094">
            <v>1</v>
          </cell>
          <cell r="M1094" t="str">
            <v>UNID.</v>
          </cell>
          <cell r="N1094" t="str">
            <v>CAMIONETA</v>
          </cell>
          <cell r="O1094">
            <v>0</v>
          </cell>
          <cell r="P1094" t="str">
            <v>M6</v>
          </cell>
          <cell r="Q1094" t="str">
            <v>J1</v>
          </cell>
          <cell r="R1094" t="str">
            <v>J6</v>
          </cell>
          <cell r="S1094" t="str">
            <v>ENTREGADO</v>
          </cell>
          <cell r="T1094">
            <v>42692</v>
          </cell>
          <cell r="U1094" t="str">
            <v>PARI VENTURA  EDSON ORLANDO</v>
          </cell>
          <cell r="V1094" t="str">
            <v>FLOREZ CONDORI  JOSE WILLIANS</v>
          </cell>
        </row>
        <row r="1095">
          <cell r="A1095">
            <v>1057</v>
          </cell>
          <cell r="B1095">
            <v>42692</v>
          </cell>
          <cell r="C1095" t="str">
            <v>NOVIEMBRE</v>
          </cell>
          <cell r="D1095" t="str">
            <v>2016</v>
          </cell>
          <cell r="E1095">
            <v>369</v>
          </cell>
          <cell r="F1095" t="str">
            <v>ABS-700</v>
          </cell>
          <cell r="G1095" t="str">
            <v>TBC-971</v>
          </cell>
          <cell r="H1095" t="str">
            <v>LAS BAMBAS</v>
          </cell>
          <cell r="I1095">
            <v>97182.399999999994</v>
          </cell>
          <cell r="J1095" t="str">
            <v>REPUESTO</v>
          </cell>
          <cell r="K1095" t="str">
            <v>FILTRO DE ACEITE</v>
          </cell>
          <cell r="L1095">
            <v>1</v>
          </cell>
          <cell r="M1095" t="str">
            <v>UNID.</v>
          </cell>
          <cell r="N1095" t="str">
            <v>CAMIONETA</v>
          </cell>
          <cell r="O1095">
            <v>0</v>
          </cell>
          <cell r="P1095" t="str">
            <v>M6</v>
          </cell>
          <cell r="Q1095" t="str">
            <v>J1</v>
          </cell>
          <cell r="R1095" t="str">
            <v>J6</v>
          </cell>
          <cell r="S1095" t="str">
            <v>ENTREGADO</v>
          </cell>
          <cell r="T1095">
            <v>42692</v>
          </cell>
          <cell r="U1095" t="str">
            <v>PARI VENTURA  EDSON ORLANDO</v>
          </cell>
          <cell r="V1095" t="str">
            <v>FLOREZ CONDORI  JOSE WILLIANS</v>
          </cell>
        </row>
        <row r="1096">
          <cell r="A1096">
            <v>1058</v>
          </cell>
          <cell r="B1096">
            <v>42692</v>
          </cell>
          <cell r="C1096" t="str">
            <v>NOVIEMBRE</v>
          </cell>
          <cell r="D1096" t="str">
            <v>2016</v>
          </cell>
          <cell r="E1096">
            <v>369</v>
          </cell>
          <cell r="F1096" t="str">
            <v>ABS-700</v>
          </cell>
          <cell r="G1096" t="str">
            <v>TBC-971</v>
          </cell>
          <cell r="H1096" t="str">
            <v>LAS BAMBAS</v>
          </cell>
          <cell r="I1096">
            <v>97182.399999999994</v>
          </cell>
          <cell r="J1096" t="str">
            <v>REPUESTO</v>
          </cell>
          <cell r="K1096" t="str">
            <v>ACEITE 15W40</v>
          </cell>
          <cell r="L1096">
            <v>2</v>
          </cell>
          <cell r="M1096" t="str">
            <v>GLNS.</v>
          </cell>
          <cell r="N1096" t="str">
            <v>CAMIONETA</v>
          </cell>
          <cell r="O1096">
            <v>0</v>
          </cell>
          <cell r="P1096" t="str">
            <v>M6</v>
          </cell>
          <cell r="Q1096" t="str">
            <v>J1</v>
          </cell>
          <cell r="R1096" t="str">
            <v>J6</v>
          </cell>
          <cell r="S1096" t="str">
            <v>ENTREGADO</v>
          </cell>
          <cell r="T1096">
            <v>42692</v>
          </cell>
          <cell r="U1096" t="str">
            <v>PARI VENTURA  EDSON ORLANDO</v>
          </cell>
          <cell r="V1096" t="str">
            <v>FLOREZ CONDORI  JOSE WILLIANS</v>
          </cell>
        </row>
        <row r="1097">
          <cell r="A1097">
            <v>1106</v>
          </cell>
          <cell r="B1097">
            <v>42692</v>
          </cell>
          <cell r="C1097" t="str">
            <v>NOVIEMBRE</v>
          </cell>
          <cell r="D1097" t="str">
            <v>2016</v>
          </cell>
          <cell r="E1097">
            <v>364</v>
          </cell>
          <cell r="F1097" t="str">
            <v>AKX-731</v>
          </cell>
          <cell r="G1097" t="str">
            <v>TCD-980</v>
          </cell>
          <cell r="H1097" t="str">
            <v>LAS BAMBAS</v>
          </cell>
          <cell r="I1097">
            <v>31279</v>
          </cell>
          <cell r="J1097" t="str">
            <v>REPUESTO</v>
          </cell>
          <cell r="K1097" t="str">
            <v>FOCO LAGRIMON AMBAR 12 V</v>
          </cell>
          <cell r="L1097">
            <v>1</v>
          </cell>
          <cell r="M1097" t="str">
            <v>UNID.</v>
          </cell>
          <cell r="N1097" t="str">
            <v>TRACTO</v>
          </cell>
          <cell r="O1097">
            <v>0</v>
          </cell>
          <cell r="P1097" t="str">
            <v>E2</v>
          </cell>
          <cell r="Q1097" t="str">
            <v>J1</v>
          </cell>
          <cell r="R1097" t="str">
            <v>J6</v>
          </cell>
          <cell r="S1097" t="str">
            <v>ENTREGADO</v>
          </cell>
          <cell r="T1097">
            <v>42692</v>
          </cell>
          <cell r="U1097" t="str">
            <v>YUCA BELLIDO BORIS YERSY</v>
          </cell>
          <cell r="V1097" t="str">
            <v>FLOREZ CONDORI  JOSE WILLIANS</v>
          </cell>
        </row>
        <row r="1098">
          <cell r="A1098">
            <v>1107</v>
          </cell>
          <cell r="B1098">
            <v>42692</v>
          </cell>
          <cell r="C1098" t="str">
            <v>NOVIEMBRE</v>
          </cell>
          <cell r="D1098" t="str">
            <v>2016</v>
          </cell>
          <cell r="E1098">
            <v>364</v>
          </cell>
          <cell r="F1098" t="str">
            <v>AKX-731</v>
          </cell>
          <cell r="G1098" t="str">
            <v>TCD-980</v>
          </cell>
          <cell r="H1098" t="str">
            <v>LAS BAMBAS</v>
          </cell>
          <cell r="I1098">
            <v>31279</v>
          </cell>
          <cell r="J1098" t="str">
            <v>REPUESTO</v>
          </cell>
          <cell r="K1098" t="str">
            <v>FOCO DOBLE CONTACTO 12 V</v>
          </cell>
          <cell r="L1098">
            <v>1</v>
          </cell>
          <cell r="M1098" t="str">
            <v>UNID.</v>
          </cell>
          <cell r="N1098" t="str">
            <v>TRACTO</v>
          </cell>
          <cell r="O1098">
            <v>0</v>
          </cell>
          <cell r="P1098" t="str">
            <v>E2</v>
          </cell>
          <cell r="Q1098" t="str">
            <v>J1</v>
          </cell>
          <cell r="R1098" t="str">
            <v>J6</v>
          </cell>
          <cell r="S1098" t="str">
            <v>ENTREGADO</v>
          </cell>
          <cell r="T1098">
            <v>42692</v>
          </cell>
          <cell r="U1098" t="str">
            <v>YUCA BELLIDO BORIS YERSY</v>
          </cell>
          <cell r="V1098" t="str">
            <v>FLOREZ CONDORI  JOSE WILLIANS</v>
          </cell>
        </row>
        <row r="1099">
          <cell r="A1099">
            <v>1108</v>
          </cell>
          <cell r="B1099">
            <v>42692</v>
          </cell>
          <cell r="C1099" t="str">
            <v>NOVIEMBRE</v>
          </cell>
          <cell r="D1099" t="str">
            <v>2016</v>
          </cell>
          <cell r="E1099">
            <v>364</v>
          </cell>
          <cell r="F1099" t="str">
            <v>AKX-731</v>
          </cell>
          <cell r="G1099" t="str">
            <v>TCD-980</v>
          </cell>
          <cell r="H1099" t="str">
            <v>LAS BAMBAS</v>
          </cell>
          <cell r="I1099">
            <v>31279</v>
          </cell>
          <cell r="J1099" t="str">
            <v>REPUESTO</v>
          </cell>
          <cell r="K1099" t="str">
            <v>PRESINTOS 200</v>
          </cell>
          <cell r="L1099">
            <v>10</v>
          </cell>
          <cell r="M1099" t="str">
            <v>UNID.</v>
          </cell>
          <cell r="N1099" t="str">
            <v>TRACTO</v>
          </cell>
          <cell r="O1099">
            <v>0</v>
          </cell>
          <cell r="P1099" t="str">
            <v>E2</v>
          </cell>
          <cell r="Q1099" t="str">
            <v>J1</v>
          </cell>
          <cell r="R1099" t="str">
            <v>J6</v>
          </cell>
          <cell r="S1099" t="str">
            <v>ENTREGADO</v>
          </cell>
          <cell r="T1099">
            <v>42692</v>
          </cell>
          <cell r="U1099" t="str">
            <v>YUCA BELLIDO BORIS YERSY</v>
          </cell>
          <cell r="V1099" t="str">
            <v>FLOREZ CONDORI  JOSE WILLIANS</v>
          </cell>
        </row>
        <row r="1100">
          <cell r="A1100">
            <v>1085</v>
          </cell>
          <cell r="B1100">
            <v>42692</v>
          </cell>
          <cell r="C1100" t="str">
            <v>NOVIEMBRE</v>
          </cell>
          <cell r="D1100" t="str">
            <v>2016</v>
          </cell>
          <cell r="E1100">
            <v>368</v>
          </cell>
          <cell r="F1100" t="str">
            <v>AMT-866</v>
          </cell>
          <cell r="G1100" t="str">
            <v>CAMIONETA</v>
          </cell>
          <cell r="H1100" t="str">
            <v>LAS BAMBAS</v>
          </cell>
          <cell r="I1100">
            <v>29965</v>
          </cell>
          <cell r="J1100" t="str">
            <v>REPUESTO</v>
          </cell>
          <cell r="K1100" t="str">
            <v>ABRAZADERA DE TANQUE PRINCIPAL HACIA EL CHASIS</v>
          </cell>
          <cell r="L1100">
            <v>2</v>
          </cell>
          <cell r="M1100" t="str">
            <v>UNID.</v>
          </cell>
          <cell r="N1100" t="str">
            <v>CAMION</v>
          </cell>
          <cell r="O1100">
            <v>98</v>
          </cell>
          <cell r="P1100" t="str">
            <v>M7</v>
          </cell>
          <cell r="Q1100" t="str">
            <v>J1</v>
          </cell>
          <cell r="R1100" t="str">
            <v>J5</v>
          </cell>
          <cell r="S1100" t="str">
            <v>ENTREGADO</v>
          </cell>
          <cell r="T1100">
            <v>0</v>
          </cell>
          <cell r="U1100" t="str">
            <v>ROBLES ROJAS  JOSE MIGUEL</v>
          </cell>
          <cell r="V1100" t="str">
            <v>FLOREZ CONDORI  JOSE WILLIANS</v>
          </cell>
        </row>
        <row r="1101">
          <cell r="A1101">
            <v>1119</v>
          </cell>
          <cell r="B1101">
            <v>42692</v>
          </cell>
          <cell r="C1101" t="str">
            <v>NOVIEMBRE</v>
          </cell>
          <cell r="D1101" t="str">
            <v>2016</v>
          </cell>
          <cell r="E1101">
            <v>367</v>
          </cell>
          <cell r="F1101" t="str">
            <v>B2L-889</v>
          </cell>
          <cell r="G1101" t="str">
            <v>CAMION</v>
          </cell>
          <cell r="H1101" t="str">
            <v>TAMBOMAYO</v>
          </cell>
          <cell r="I1101">
            <v>120679</v>
          </cell>
          <cell r="J1101" t="str">
            <v>REPUESTO</v>
          </cell>
          <cell r="K1101" t="str">
            <v>JUEGOS DE BOCINAS DE BALANCIN</v>
          </cell>
          <cell r="L1101">
            <v>2</v>
          </cell>
          <cell r="M1101" t="str">
            <v>JUEGO</v>
          </cell>
          <cell r="N1101" t="str">
            <v>CISTERNA</v>
          </cell>
          <cell r="O1101">
            <v>0</v>
          </cell>
          <cell r="P1101" t="str">
            <v>S2</v>
          </cell>
          <cell r="Q1101" t="str">
            <v>J1</v>
          </cell>
          <cell r="R1101" t="str">
            <v>J6</v>
          </cell>
          <cell r="S1101" t="str">
            <v>ENTREGADO</v>
          </cell>
          <cell r="T1101">
            <v>42692</v>
          </cell>
          <cell r="U1101" t="str">
            <v>PALOMINO ESTRADA  MICHEL</v>
          </cell>
          <cell r="V1101" t="str">
            <v>FLOREZ CONDORI  JOSE WILLIANS</v>
          </cell>
        </row>
        <row r="1102">
          <cell r="A1102">
            <v>1120</v>
          </cell>
          <cell r="B1102">
            <v>42692</v>
          </cell>
          <cell r="C1102" t="str">
            <v>NOVIEMBRE</v>
          </cell>
          <cell r="D1102" t="str">
            <v>2016</v>
          </cell>
          <cell r="E1102">
            <v>367</v>
          </cell>
          <cell r="F1102" t="str">
            <v>B2L-889</v>
          </cell>
          <cell r="G1102" t="str">
            <v>CAMION</v>
          </cell>
          <cell r="H1102" t="str">
            <v>TAMBOMAYO</v>
          </cell>
          <cell r="I1102">
            <v>120679</v>
          </cell>
          <cell r="J1102" t="str">
            <v>REPUESTO</v>
          </cell>
          <cell r="K1102" t="str">
            <v>PERNO 1/2 X 4</v>
          </cell>
          <cell r="L1102">
            <v>2</v>
          </cell>
          <cell r="M1102" t="str">
            <v>UNID.</v>
          </cell>
          <cell r="N1102" t="str">
            <v>CISTERNA</v>
          </cell>
          <cell r="O1102">
            <v>0</v>
          </cell>
          <cell r="P1102" t="str">
            <v>S2</v>
          </cell>
          <cell r="Q1102" t="str">
            <v>J1</v>
          </cell>
          <cell r="R1102" t="str">
            <v>J6</v>
          </cell>
          <cell r="S1102" t="str">
            <v>ENTREGADO</v>
          </cell>
          <cell r="T1102">
            <v>42692</v>
          </cell>
          <cell r="U1102" t="str">
            <v>PALOMINO ESTRADA  MICHEL</v>
          </cell>
          <cell r="V1102" t="str">
            <v>FLOREZ CONDORI  JOSE WILLIANS</v>
          </cell>
        </row>
        <row r="1103">
          <cell r="A1103">
            <v>1121</v>
          </cell>
          <cell r="B1103">
            <v>42692</v>
          </cell>
          <cell r="C1103" t="str">
            <v>NOVIEMBRE</v>
          </cell>
          <cell r="D1103" t="str">
            <v>2016</v>
          </cell>
          <cell r="E1103">
            <v>367</v>
          </cell>
          <cell r="F1103" t="str">
            <v>B2L-889</v>
          </cell>
          <cell r="G1103" t="str">
            <v>CAMION</v>
          </cell>
          <cell r="H1103" t="str">
            <v>TAMBOMAYO</v>
          </cell>
          <cell r="I1103">
            <v>120679</v>
          </cell>
          <cell r="J1103" t="str">
            <v>REPUESTO</v>
          </cell>
          <cell r="K1103" t="str">
            <v>TUERCA SEGURO 1/2</v>
          </cell>
          <cell r="L1103">
            <v>2</v>
          </cell>
          <cell r="M1103" t="str">
            <v>UNID.</v>
          </cell>
          <cell r="N1103" t="str">
            <v>CISTERNA</v>
          </cell>
          <cell r="O1103">
            <v>0</v>
          </cell>
          <cell r="P1103" t="str">
            <v>S2</v>
          </cell>
          <cell r="Q1103" t="str">
            <v>J1</v>
          </cell>
          <cell r="R1103" t="str">
            <v>J6</v>
          </cell>
          <cell r="S1103" t="str">
            <v>ENTREGADO</v>
          </cell>
          <cell r="T1103">
            <v>42692</v>
          </cell>
          <cell r="U1103" t="str">
            <v>PALOMINO ESTRADA  MICHEL</v>
          </cell>
          <cell r="V1103" t="str">
            <v>FLOREZ CONDORI  JOSE WILLIANS</v>
          </cell>
        </row>
        <row r="1104">
          <cell r="A1104">
            <v>1125</v>
          </cell>
          <cell r="B1104">
            <v>42692</v>
          </cell>
          <cell r="C1104" t="str">
            <v>NOVIEMBRE</v>
          </cell>
          <cell r="D1104" t="str">
            <v>2016</v>
          </cell>
          <cell r="E1104">
            <v>372</v>
          </cell>
          <cell r="F1104" t="str">
            <v>C5R-892</v>
          </cell>
          <cell r="G1104" t="str">
            <v>A0T-983</v>
          </cell>
          <cell r="H1104" t="str">
            <v>LAS BAMBAS</v>
          </cell>
          <cell r="I1104">
            <v>225360</v>
          </cell>
          <cell r="J1104" t="str">
            <v>REPUESTO</v>
          </cell>
          <cell r="K1104" t="str">
            <v>ACEITE 15W40</v>
          </cell>
          <cell r="L1104">
            <v>2</v>
          </cell>
          <cell r="M1104" t="str">
            <v>GLNS.</v>
          </cell>
          <cell r="N1104" t="str">
            <v>TRACTO</v>
          </cell>
          <cell r="O1104">
            <v>0</v>
          </cell>
          <cell r="P1104" t="str">
            <v>M7</v>
          </cell>
          <cell r="Q1104" t="str">
            <v>J1</v>
          </cell>
          <cell r="R1104" t="str">
            <v>J5</v>
          </cell>
          <cell r="S1104" t="str">
            <v>ENTREGADO</v>
          </cell>
          <cell r="T1104">
            <v>42692</v>
          </cell>
          <cell r="U1104" t="str">
            <v>ROBLES ROJAS  JOSE MIGUEL</v>
          </cell>
          <cell r="V1104" t="str">
            <v>FLOREZ CONDORI  JOSE WILLIANS</v>
          </cell>
        </row>
        <row r="1105">
          <cell r="A1105">
            <v>1132</v>
          </cell>
          <cell r="B1105">
            <v>42692</v>
          </cell>
          <cell r="C1105" t="str">
            <v>NOVIEMBRE</v>
          </cell>
          <cell r="D1105" t="str">
            <v>2016</v>
          </cell>
          <cell r="E1105">
            <v>372</v>
          </cell>
          <cell r="F1105" t="str">
            <v>C5R-892</v>
          </cell>
          <cell r="G1105" t="str">
            <v>A0T-983</v>
          </cell>
          <cell r="H1105" t="str">
            <v>LAS BAMBAS</v>
          </cell>
          <cell r="I1105">
            <v>225360</v>
          </cell>
          <cell r="J1105" t="str">
            <v>SERVICIO</v>
          </cell>
          <cell r="K1105" t="str">
            <v>TAPIZADO DE 2 ASIENTOS (PILOTO Y COPILOTO)</v>
          </cell>
          <cell r="L1105">
            <v>1</v>
          </cell>
          <cell r="M1105" t="str">
            <v>UNID.</v>
          </cell>
          <cell r="N1105" t="str">
            <v>TRACTO</v>
          </cell>
          <cell r="O1105">
            <v>0</v>
          </cell>
          <cell r="P1105" t="str">
            <v>M2</v>
          </cell>
          <cell r="Q1105" t="str">
            <v>J2</v>
          </cell>
          <cell r="R1105" t="str">
            <v>J6</v>
          </cell>
          <cell r="S1105" t="str">
            <v>ENTREGADO</v>
          </cell>
          <cell r="T1105">
            <v>42692</v>
          </cell>
          <cell r="U1105" t="str">
            <v>CHUMPITAZ GAGO JULIO ENRIQUE</v>
          </cell>
          <cell r="V1105" t="str">
            <v>CORIHUAMAN SURCO  ERICK ROBERT</v>
          </cell>
        </row>
        <row r="1106">
          <cell r="A1106">
            <v>1141</v>
          </cell>
          <cell r="B1106">
            <v>42692</v>
          </cell>
          <cell r="C1106" t="str">
            <v>NOVIEMBRE</v>
          </cell>
          <cell r="D1106" t="str">
            <v>2016</v>
          </cell>
          <cell r="E1106">
            <v>372</v>
          </cell>
          <cell r="F1106" t="str">
            <v>C5R-892</v>
          </cell>
          <cell r="G1106" t="str">
            <v>A0T-983</v>
          </cell>
          <cell r="H1106" t="str">
            <v>LAS BAMBAS</v>
          </cell>
          <cell r="I1106">
            <v>225360</v>
          </cell>
          <cell r="J1106" t="str">
            <v>INSUMO TALLER</v>
          </cell>
          <cell r="K1106" t="str">
            <v>VARILLAS DE INOX</v>
          </cell>
          <cell r="L1106">
            <v>2</v>
          </cell>
          <cell r="M1106" t="str">
            <v>UNID.</v>
          </cell>
          <cell r="N1106" t="str">
            <v>TRACTO</v>
          </cell>
          <cell r="O1106">
            <v>0</v>
          </cell>
          <cell r="P1106" t="str">
            <v>M1</v>
          </cell>
          <cell r="Q1106" t="str">
            <v>J2</v>
          </cell>
          <cell r="R1106" t="str">
            <v>J2</v>
          </cell>
          <cell r="S1106" t="str">
            <v>ENTREGADO</v>
          </cell>
          <cell r="T1106">
            <v>42692</v>
          </cell>
          <cell r="U1106" t="str">
            <v>CABEZAS SANCHEZ JEAN JHONATAN</v>
          </cell>
          <cell r="V1106" t="str">
            <v>CORIHUAMAN SURCO  ERICK ROBERT</v>
          </cell>
        </row>
        <row r="1107">
          <cell r="A1107">
            <v>1142</v>
          </cell>
          <cell r="B1107">
            <v>42692</v>
          </cell>
          <cell r="C1107" t="str">
            <v>NOVIEMBRE</v>
          </cell>
          <cell r="D1107" t="str">
            <v>2016</v>
          </cell>
          <cell r="E1107">
            <v>372</v>
          </cell>
          <cell r="F1107" t="str">
            <v>C5R-892</v>
          </cell>
          <cell r="G1107" t="str">
            <v>A0T-983</v>
          </cell>
          <cell r="H1107" t="str">
            <v>LAS BAMBAS</v>
          </cell>
          <cell r="I1107">
            <v>225360</v>
          </cell>
          <cell r="J1107" t="str">
            <v>REPUESTO</v>
          </cell>
          <cell r="K1107" t="str">
            <v>PERNOS DE 1/4 X 2</v>
          </cell>
          <cell r="L1107">
            <v>2</v>
          </cell>
          <cell r="M1107" t="str">
            <v>UNID.</v>
          </cell>
          <cell r="N1107" t="str">
            <v>TRACTO</v>
          </cell>
          <cell r="O1107">
            <v>0</v>
          </cell>
          <cell r="P1107" t="str">
            <v>M1</v>
          </cell>
          <cell r="Q1107" t="str">
            <v>J2</v>
          </cell>
          <cell r="R1107" t="str">
            <v>J2</v>
          </cell>
          <cell r="S1107" t="str">
            <v>ENTREGADO</v>
          </cell>
          <cell r="T1107">
            <v>42692</v>
          </cell>
          <cell r="U1107" t="str">
            <v>CABEZAS SANCHEZ JEAN JHONATAN</v>
          </cell>
          <cell r="V1107" t="str">
            <v>CORIHUAMAN SURCO  ERICK ROBERT</v>
          </cell>
        </row>
        <row r="1108">
          <cell r="A1108">
            <v>1143</v>
          </cell>
          <cell r="B1108">
            <v>42692</v>
          </cell>
          <cell r="C1108" t="str">
            <v>NOVIEMBRE</v>
          </cell>
          <cell r="D1108" t="str">
            <v>2016</v>
          </cell>
          <cell r="E1108">
            <v>372</v>
          </cell>
          <cell r="F1108" t="str">
            <v>C5R-892</v>
          </cell>
          <cell r="G1108" t="str">
            <v>A0T-983</v>
          </cell>
          <cell r="H1108" t="str">
            <v>LAS BAMBAS</v>
          </cell>
          <cell r="I1108">
            <v>225360</v>
          </cell>
          <cell r="J1108" t="str">
            <v>REPUESTO</v>
          </cell>
          <cell r="K1108" t="str">
            <v>TUERCAS DE 1/4</v>
          </cell>
          <cell r="L1108">
            <v>2</v>
          </cell>
          <cell r="M1108" t="str">
            <v>UNID.</v>
          </cell>
          <cell r="N1108" t="str">
            <v>TRACTO</v>
          </cell>
          <cell r="O1108">
            <v>0</v>
          </cell>
          <cell r="P1108" t="str">
            <v>M1</v>
          </cell>
          <cell r="Q1108" t="str">
            <v>J2</v>
          </cell>
          <cell r="R1108" t="str">
            <v>J2</v>
          </cell>
          <cell r="S1108" t="str">
            <v>ENTREGADO</v>
          </cell>
          <cell r="T1108">
            <v>42692</v>
          </cell>
          <cell r="U1108" t="str">
            <v>CABEZAS SANCHEZ JEAN JHONATAN</v>
          </cell>
          <cell r="V1108" t="str">
            <v>CORIHUAMAN SURCO  ERICK ROBERT</v>
          </cell>
        </row>
        <row r="1109">
          <cell r="A1109">
            <v>1082</v>
          </cell>
          <cell r="B1109">
            <v>42692</v>
          </cell>
          <cell r="C1109" t="str">
            <v>NOVIEMBRE</v>
          </cell>
          <cell r="D1109" t="str">
            <v>2016</v>
          </cell>
          <cell r="E1109">
            <v>363</v>
          </cell>
          <cell r="F1109" t="str">
            <v>C5R-896</v>
          </cell>
          <cell r="G1109" t="str">
            <v>A0U-977</v>
          </cell>
          <cell r="H1109" t="str">
            <v>LAS BAMBAS</v>
          </cell>
          <cell r="I1109">
            <v>211020</v>
          </cell>
          <cell r="J1109" t="str">
            <v>REPUESTO</v>
          </cell>
          <cell r="K1109" t="str">
            <v>FARO LATERAL A,BAR RECTANGULAR</v>
          </cell>
          <cell r="L1109">
            <v>1</v>
          </cell>
          <cell r="M1109" t="str">
            <v>UNID.</v>
          </cell>
          <cell r="N1109" t="str">
            <v>CISTERNA</v>
          </cell>
          <cell r="O1109">
            <v>0</v>
          </cell>
          <cell r="P1109" t="str">
            <v>E2</v>
          </cell>
          <cell r="Q1109" t="str">
            <v>J1</v>
          </cell>
          <cell r="R1109" t="str">
            <v>J5</v>
          </cell>
          <cell r="S1109" t="str">
            <v>ENTREGADO</v>
          </cell>
          <cell r="T1109">
            <v>42692</v>
          </cell>
          <cell r="U1109" t="str">
            <v>YUCA BELLIDO BORIS YERSY</v>
          </cell>
          <cell r="V1109" t="str">
            <v>FLOREZ CONDORI  JOSE WILLIANS</v>
          </cell>
        </row>
        <row r="1110">
          <cell r="A1110">
            <v>1083</v>
          </cell>
          <cell r="B1110">
            <v>42692</v>
          </cell>
          <cell r="C1110" t="str">
            <v>NOVIEMBRE</v>
          </cell>
          <cell r="D1110" t="str">
            <v>2016</v>
          </cell>
          <cell r="E1110">
            <v>363</v>
          </cell>
          <cell r="F1110" t="str">
            <v>C5R-896</v>
          </cell>
          <cell r="G1110" t="str">
            <v>A0U-977</v>
          </cell>
          <cell r="H1110" t="str">
            <v>LAS BAMBAS</v>
          </cell>
          <cell r="I1110">
            <v>211020</v>
          </cell>
          <cell r="J1110" t="str">
            <v>REPUESTO</v>
          </cell>
          <cell r="K1110" t="str">
            <v>LUZ DE PLACA LED</v>
          </cell>
          <cell r="L1110">
            <v>1</v>
          </cell>
          <cell r="M1110" t="str">
            <v>UNID.</v>
          </cell>
          <cell r="N1110" t="str">
            <v>CISTERNA</v>
          </cell>
          <cell r="O1110">
            <v>0</v>
          </cell>
          <cell r="P1110" t="str">
            <v>E2</v>
          </cell>
          <cell r="Q1110" t="str">
            <v>J1</v>
          </cell>
          <cell r="R1110" t="str">
            <v>J5</v>
          </cell>
          <cell r="S1110" t="str">
            <v>ENTREGADO</v>
          </cell>
          <cell r="T1110">
            <v>42692</v>
          </cell>
          <cell r="U1110" t="str">
            <v>YUCA BELLIDO BORIS YERSY</v>
          </cell>
          <cell r="V1110" t="str">
            <v>FLOREZ CONDORI  JOSE WILLIANS</v>
          </cell>
        </row>
        <row r="1111">
          <cell r="A1111">
            <v>1084</v>
          </cell>
          <cell r="B1111">
            <v>42692</v>
          </cell>
          <cell r="C1111" t="str">
            <v>NOVIEMBRE</v>
          </cell>
          <cell r="D1111" t="str">
            <v>2016</v>
          </cell>
          <cell r="E1111">
            <v>363</v>
          </cell>
          <cell r="F1111" t="str">
            <v>C5R-896</v>
          </cell>
          <cell r="G1111" t="str">
            <v>A0U-977</v>
          </cell>
          <cell r="H1111" t="str">
            <v>LAS BAMBAS</v>
          </cell>
          <cell r="I1111">
            <v>211020</v>
          </cell>
          <cell r="J1111" t="str">
            <v>REPUESTO</v>
          </cell>
          <cell r="K1111" t="str">
            <v>FOCO LAGRIMON AMBAR 12 V</v>
          </cell>
          <cell r="L1111">
            <v>1</v>
          </cell>
          <cell r="M1111" t="str">
            <v>UNID.</v>
          </cell>
          <cell r="N1111" t="str">
            <v>TRACTO</v>
          </cell>
          <cell r="O1111">
            <v>0</v>
          </cell>
          <cell r="P1111" t="str">
            <v>E2</v>
          </cell>
          <cell r="Q1111" t="str">
            <v>J1</v>
          </cell>
          <cell r="R1111" t="str">
            <v>J5</v>
          </cell>
          <cell r="S1111" t="str">
            <v>ENTREGADO</v>
          </cell>
          <cell r="T1111">
            <v>42692</v>
          </cell>
          <cell r="U1111" t="str">
            <v>YUCA BELLIDO BORIS YERSY</v>
          </cell>
          <cell r="V1111" t="str">
            <v>FLOREZ CONDORI  JOSE WILLIANS</v>
          </cell>
        </row>
        <row r="1112">
          <cell r="A1112">
            <v>1090</v>
          </cell>
          <cell r="B1112">
            <v>42692</v>
          </cell>
          <cell r="C1112" t="str">
            <v>NOVIEMBRE</v>
          </cell>
          <cell r="D1112" t="str">
            <v>2016</v>
          </cell>
          <cell r="E1112">
            <v>363</v>
          </cell>
          <cell r="F1112" t="str">
            <v>C5R-896</v>
          </cell>
          <cell r="G1112" t="str">
            <v>A0U-977</v>
          </cell>
          <cell r="H1112" t="str">
            <v>LAS BAMBAS</v>
          </cell>
          <cell r="I1112">
            <v>211020</v>
          </cell>
          <cell r="J1112" t="str">
            <v>REPUESTO</v>
          </cell>
          <cell r="K1112" t="str">
            <v>REFRIGERANTE</v>
          </cell>
          <cell r="L1112">
            <v>5</v>
          </cell>
          <cell r="M1112" t="str">
            <v>GLNS.</v>
          </cell>
          <cell r="N1112" t="str">
            <v>TRACTO</v>
          </cell>
          <cell r="O1112">
            <v>0</v>
          </cell>
          <cell r="P1112" t="str">
            <v>M4</v>
          </cell>
          <cell r="Q1112" t="str">
            <v>J1</v>
          </cell>
          <cell r="R1112" t="str">
            <v>J1</v>
          </cell>
          <cell r="S1112" t="str">
            <v>ENTREGADO</v>
          </cell>
          <cell r="T1112">
            <v>42692</v>
          </cell>
          <cell r="U1112" t="str">
            <v>JULLIRI APAZA UBALDO</v>
          </cell>
          <cell r="V1112" t="str">
            <v>FLOREZ CONDORI  JOSE WILLIANS</v>
          </cell>
        </row>
        <row r="1113">
          <cell r="A1113">
            <v>1079</v>
          </cell>
          <cell r="B1113">
            <v>42692</v>
          </cell>
          <cell r="C1113" t="str">
            <v>NOVIEMBRE</v>
          </cell>
          <cell r="D1113" t="str">
            <v>2016</v>
          </cell>
          <cell r="E1113">
            <v>312</v>
          </cell>
          <cell r="F1113" t="str">
            <v>C9M-902</v>
          </cell>
          <cell r="G1113" t="str">
            <v>B8L-970</v>
          </cell>
          <cell r="H1113" t="str">
            <v>LAS BAMBAS</v>
          </cell>
          <cell r="I1113">
            <v>207199</v>
          </cell>
          <cell r="J1113" t="str">
            <v>REPUESTO</v>
          </cell>
          <cell r="K1113" t="str">
            <v>PERNO 5/16X1" C/ TUERCA</v>
          </cell>
          <cell r="L1113">
            <v>1</v>
          </cell>
          <cell r="M1113" t="str">
            <v>UNID.</v>
          </cell>
          <cell r="N1113" t="str">
            <v>TRACTO</v>
          </cell>
          <cell r="O1113">
            <v>0</v>
          </cell>
          <cell r="P1113" t="str">
            <v>M2</v>
          </cell>
          <cell r="Q1113" t="str">
            <v>J1</v>
          </cell>
          <cell r="R1113" t="str">
            <v>J5</v>
          </cell>
          <cell r="S1113" t="str">
            <v>ENTREGADO</v>
          </cell>
          <cell r="T1113">
            <v>42692</v>
          </cell>
          <cell r="U1113" t="str">
            <v>CHUMPITAZ GAGO JULIO ENRIQUE</v>
          </cell>
          <cell r="V1113" t="str">
            <v>FLOREZ CONDORI  JOSE WILLIANS</v>
          </cell>
        </row>
        <row r="1114">
          <cell r="A1114">
            <v>1080</v>
          </cell>
          <cell r="B1114">
            <v>42692</v>
          </cell>
          <cell r="C1114" t="str">
            <v>NOVIEMBRE</v>
          </cell>
          <cell r="D1114" t="str">
            <v>2016</v>
          </cell>
          <cell r="E1114">
            <v>312</v>
          </cell>
          <cell r="F1114" t="str">
            <v>C9M-902</v>
          </cell>
          <cell r="G1114" t="str">
            <v>B8L-970</v>
          </cell>
          <cell r="H1114" t="str">
            <v>LAS BAMBAS</v>
          </cell>
          <cell r="I1114">
            <v>207199</v>
          </cell>
          <cell r="J1114" t="str">
            <v>REPUESTO</v>
          </cell>
          <cell r="K1114" t="str">
            <v>VOLANDAS PLANAS 5/16"</v>
          </cell>
          <cell r="L1114">
            <v>2</v>
          </cell>
          <cell r="M1114" t="str">
            <v>UNID.</v>
          </cell>
          <cell r="N1114" t="str">
            <v>TRACTO</v>
          </cell>
          <cell r="O1114">
            <v>0</v>
          </cell>
          <cell r="P1114" t="str">
            <v>M2</v>
          </cell>
          <cell r="Q1114" t="str">
            <v>J1</v>
          </cell>
          <cell r="R1114" t="str">
            <v>J5</v>
          </cell>
          <cell r="S1114" t="str">
            <v>ENTREGADO</v>
          </cell>
          <cell r="T1114">
            <v>42692</v>
          </cell>
          <cell r="U1114" t="str">
            <v>CHUMPITAZ GAGO JULIO ENRIQUE</v>
          </cell>
          <cell r="V1114" t="str">
            <v>FLOREZ CONDORI  JOSE WILLIANS</v>
          </cell>
        </row>
        <row r="1115">
          <cell r="A1115">
            <v>1081</v>
          </cell>
          <cell r="B1115">
            <v>42692</v>
          </cell>
          <cell r="C1115" t="str">
            <v>NOVIEMBRE</v>
          </cell>
          <cell r="D1115" t="str">
            <v>2016</v>
          </cell>
          <cell r="E1115">
            <v>312</v>
          </cell>
          <cell r="F1115" t="str">
            <v>C9M-902</v>
          </cell>
          <cell r="G1115" t="str">
            <v>B8L-970</v>
          </cell>
          <cell r="H1115" t="str">
            <v>LAS BAMBAS</v>
          </cell>
          <cell r="I1115">
            <v>207199</v>
          </cell>
          <cell r="J1115" t="str">
            <v>REPUESTO</v>
          </cell>
          <cell r="K1115" t="str">
            <v>VOLANDAS DE PRESION 5/16"</v>
          </cell>
          <cell r="L1115">
            <v>2</v>
          </cell>
          <cell r="M1115" t="str">
            <v>UNID.</v>
          </cell>
          <cell r="N1115" t="str">
            <v>TRACTO</v>
          </cell>
          <cell r="O1115">
            <v>0</v>
          </cell>
          <cell r="P1115" t="str">
            <v>M2</v>
          </cell>
          <cell r="Q1115" t="str">
            <v>J1</v>
          </cell>
          <cell r="R1115" t="str">
            <v>J5</v>
          </cell>
          <cell r="S1115" t="str">
            <v>ENTREGADO</v>
          </cell>
          <cell r="T1115">
            <v>42692</v>
          </cell>
          <cell r="U1115" t="str">
            <v>CHUMPITAZ GAGO JULIO ENRIQUE</v>
          </cell>
          <cell r="V1115" t="str">
            <v>FLOREZ CONDORI  JOSE WILLIANS</v>
          </cell>
        </row>
        <row r="1116">
          <cell r="A1116">
            <v>1102</v>
          </cell>
          <cell r="B1116">
            <v>42692</v>
          </cell>
          <cell r="C1116" t="str">
            <v>NOVIEMBRE</v>
          </cell>
          <cell r="D1116" t="str">
            <v>2016</v>
          </cell>
          <cell r="E1116">
            <v>256</v>
          </cell>
          <cell r="F1116" t="str">
            <v>C9M-902</v>
          </cell>
          <cell r="G1116" t="str">
            <v>B8L-970</v>
          </cell>
          <cell r="H1116" t="str">
            <v>LAS BAMBAS</v>
          </cell>
          <cell r="I1116">
            <v>206166</v>
          </cell>
          <cell r="J1116" t="str">
            <v>REPUESTO</v>
          </cell>
          <cell r="K1116" t="str">
            <v>PERNO 5/16 X 1 1/2</v>
          </cell>
          <cell r="L1116">
            <v>1</v>
          </cell>
          <cell r="M1116" t="str">
            <v>UNID.</v>
          </cell>
          <cell r="N1116" t="str">
            <v>CAMIONETA</v>
          </cell>
          <cell r="O1116">
            <v>0</v>
          </cell>
          <cell r="P1116" t="str">
            <v>E1</v>
          </cell>
          <cell r="Q1116" t="str">
            <v>J2</v>
          </cell>
          <cell r="R1116" t="str">
            <v>J6</v>
          </cell>
          <cell r="S1116" t="str">
            <v>ENTREGADO</v>
          </cell>
          <cell r="T1116">
            <v>42692</v>
          </cell>
          <cell r="U1116" t="str">
            <v>PALOMINO CARDENAS JUAN CARLOS</v>
          </cell>
          <cell r="V1116" t="str">
            <v>CORIHUAMAN SURCO  ERICK ROBERT</v>
          </cell>
        </row>
        <row r="1117">
          <cell r="A1117">
            <v>1103</v>
          </cell>
          <cell r="B1117">
            <v>42692</v>
          </cell>
          <cell r="C1117" t="str">
            <v>NOVIEMBRE</v>
          </cell>
          <cell r="D1117" t="str">
            <v>2016</v>
          </cell>
          <cell r="E1117">
            <v>256</v>
          </cell>
          <cell r="F1117" t="str">
            <v>C9M-902</v>
          </cell>
          <cell r="G1117" t="str">
            <v>B8L-970</v>
          </cell>
          <cell r="H1117" t="str">
            <v>LAS BAMBAS</v>
          </cell>
          <cell r="I1117">
            <v>206166</v>
          </cell>
          <cell r="J1117" t="str">
            <v>REPUESTO</v>
          </cell>
          <cell r="K1117" t="str">
            <v>VOLANDAS PLANAS 5/16</v>
          </cell>
          <cell r="L1117">
            <v>2</v>
          </cell>
          <cell r="M1117" t="str">
            <v>UNID.</v>
          </cell>
          <cell r="N1117" t="str">
            <v>CAMIONETA</v>
          </cell>
          <cell r="O1117">
            <v>0</v>
          </cell>
          <cell r="P1117" t="str">
            <v>E1</v>
          </cell>
          <cell r="Q1117" t="str">
            <v>J2</v>
          </cell>
          <cell r="R1117" t="str">
            <v>J6</v>
          </cell>
          <cell r="S1117" t="str">
            <v>ENTREGADO</v>
          </cell>
          <cell r="T1117">
            <v>42692</v>
          </cell>
          <cell r="U1117" t="str">
            <v>PALOMINO CARDENAS JUAN CARLOS</v>
          </cell>
          <cell r="V1117" t="str">
            <v>CORIHUAMAN SURCO  ERICK ROBERT</v>
          </cell>
        </row>
        <row r="1118">
          <cell r="A1118">
            <v>1104</v>
          </cell>
          <cell r="B1118">
            <v>42692</v>
          </cell>
          <cell r="C1118" t="str">
            <v>NOVIEMBRE</v>
          </cell>
          <cell r="D1118" t="str">
            <v>2016</v>
          </cell>
          <cell r="E1118">
            <v>256</v>
          </cell>
          <cell r="F1118" t="str">
            <v>C9M-902</v>
          </cell>
          <cell r="G1118" t="str">
            <v>B8L-970</v>
          </cell>
          <cell r="H1118" t="str">
            <v>LAS BAMBAS</v>
          </cell>
          <cell r="I1118">
            <v>206166</v>
          </cell>
          <cell r="J1118" t="str">
            <v>REPUESTO</v>
          </cell>
          <cell r="K1118" t="str">
            <v>TUERCAS 5/16"</v>
          </cell>
          <cell r="L1118">
            <v>2</v>
          </cell>
          <cell r="M1118" t="str">
            <v>UNID.</v>
          </cell>
          <cell r="N1118" t="str">
            <v>CAMIONETA</v>
          </cell>
          <cell r="O1118">
            <v>0</v>
          </cell>
          <cell r="P1118" t="str">
            <v>E1</v>
          </cell>
          <cell r="Q1118" t="str">
            <v>J2</v>
          </cell>
          <cell r="R1118" t="str">
            <v>J6</v>
          </cell>
          <cell r="S1118" t="str">
            <v>ENTREGADO</v>
          </cell>
          <cell r="T1118">
            <v>42692</v>
          </cell>
          <cell r="U1118" t="str">
            <v>PALOMINO CARDENAS JUAN CARLOS</v>
          </cell>
          <cell r="V1118" t="str">
            <v>CORIHUAMAN SURCO  ERICK ROBERT</v>
          </cell>
        </row>
        <row r="1119">
          <cell r="A1119">
            <v>1059</v>
          </cell>
          <cell r="B1119">
            <v>42692</v>
          </cell>
          <cell r="C1119" t="str">
            <v>NOVIEMBRE</v>
          </cell>
          <cell r="D1119" t="str">
            <v>2016</v>
          </cell>
          <cell r="E1119">
            <v>204</v>
          </cell>
          <cell r="F1119" t="str">
            <v>C9P-948</v>
          </cell>
          <cell r="G1119" t="str">
            <v>B4O-995</v>
          </cell>
          <cell r="H1119" t="str">
            <v>LAS BAMBAS</v>
          </cell>
          <cell r="I1119">
            <v>156586</v>
          </cell>
          <cell r="J1119" t="str">
            <v>REPUESTO</v>
          </cell>
          <cell r="K1119" t="str">
            <v>FOCOS 9006</v>
          </cell>
          <cell r="L1119">
            <v>2</v>
          </cell>
          <cell r="M1119" t="str">
            <v>UNID.</v>
          </cell>
          <cell r="N1119" t="str">
            <v>TRACTO</v>
          </cell>
          <cell r="O1119">
            <v>0</v>
          </cell>
          <cell r="P1119" t="str">
            <v>E1</v>
          </cell>
          <cell r="Q1119" t="str">
            <v>J1</v>
          </cell>
          <cell r="R1119" t="str">
            <v>J6</v>
          </cell>
          <cell r="S1119" t="str">
            <v>ENTREGADO</v>
          </cell>
          <cell r="T1119">
            <v>42692</v>
          </cell>
          <cell r="U1119" t="str">
            <v>PALOMINO CARDENAS JUAN CARLOS</v>
          </cell>
          <cell r="V1119" t="str">
            <v>FLOREZ CONDORI  JOSE WILLIANS</v>
          </cell>
        </row>
        <row r="1120">
          <cell r="A1120">
            <v>1060</v>
          </cell>
          <cell r="B1120">
            <v>42692</v>
          </cell>
          <cell r="C1120" t="str">
            <v>NOVIEMBRE</v>
          </cell>
          <cell r="D1120" t="str">
            <v>2016</v>
          </cell>
          <cell r="E1120">
            <v>204</v>
          </cell>
          <cell r="F1120" t="str">
            <v>C9P-948</v>
          </cell>
          <cell r="G1120" t="str">
            <v>B4O-995</v>
          </cell>
          <cell r="H1120" t="str">
            <v>LAS BAMBAS</v>
          </cell>
          <cell r="I1120">
            <v>156586</v>
          </cell>
          <cell r="J1120" t="str">
            <v>REPUESTO</v>
          </cell>
          <cell r="K1120" t="str">
            <v>FOCOS 9005</v>
          </cell>
          <cell r="L1120">
            <v>2</v>
          </cell>
          <cell r="M1120" t="str">
            <v>UNID.</v>
          </cell>
          <cell r="N1120" t="str">
            <v>TRACTO</v>
          </cell>
          <cell r="O1120">
            <v>0</v>
          </cell>
          <cell r="P1120" t="str">
            <v>E1</v>
          </cell>
          <cell r="Q1120" t="str">
            <v>J1</v>
          </cell>
          <cell r="R1120" t="str">
            <v>J6</v>
          </cell>
          <cell r="S1120" t="str">
            <v>ENTREGADO</v>
          </cell>
          <cell r="T1120">
            <v>42692</v>
          </cell>
          <cell r="U1120" t="str">
            <v>PALOMINO CARDENAS JUAN CARLOS</v>
          </cell>
          <cell r="V1120" t="str">
            <v>FLOREZ CONDORI  JOSE WILLIANS</v>
          </cell>
        </row>
        <row r="1121">
          <cell r="A1121">
            <v>1061</v>
          </cell>
          <cell r="B1121">
            <v>42692</v>
          </cell>
          <cell r="C1121" t="str">
            <v>NOVIEMBRE</v>
          </cell>
          <cell r="D1121" t="str">
            <v>2016</v>
          </cell>
          <cell r="E1121">
            <v>204</v>
          </cell>
          <cell r="F1121" t="str">
            <v>C9P-948</v>
          </cell>
          <cell r="G1121" t="str">
            <v>B4O-995</v>
          </cell>
          <cell r="H1121" t="str">
            <v>LAS BAMBAS</v>
          </cell>
          <cell r="I1121">
            <v>156586</v>
          </cell>
          <cell r="J1121" t="str">
            <v>REPUESTO</v>
          </cell>
          <cell r="K1121" t="str">
            <v>FAROS LATERALES RED RECTANGULARES AMBAR</v>
          </cell>
          <cell r="L1121">
            <v>4</v>
          </cell>
          <cell r="M1121" t="str">
            <v>UNID.</v>
          </cell>
          <cell r="N1121" t="str">
            <v>CISTERNA</v>
          </cell>
          <cell r="O1121">
            <v>0</v>
          </cell>
          <cell r="P1121" t="str">
            <v>E1</v>
          </cell>
          <cell r="Q1121" t="str">
            <v>J1</v>
          </cell>
          <cell r="R1121" t="str">
            <v>J6</v>
          </cell>
          <cell r="S1121" t="str">
            <v>ENTREGADO</v>
          </cell>
          <cell r="T1121">
            <v>42692</v>
          </cell>
          <cell r="U1121" t="str">
            <v>PALOMINO CARDENAS JUAN CARLOS</v>
          </cell>
          <cell r="V1121" t="str">
            <v>FLOREZ CONDORI  JOSE WILLIANS</v>
          </cell>
        </row>
        <row r="1122">
          <cell r="A1122">
            <v>1112</v>
          </cell>
          <cell r="B1122">
            <v>42692</v>
          </cell>
          <cell r="C1122" t="str">
            <v>NOVIEMBRE</v>
          </cell>
          <cell r="D1122" t="str">
            <v>2016</v>
          </cell>
          <cell r="E1122">
            <v>204</v>
          </cell>
          <cell r="F1122" t="str">
            <v>C9P-948</v>
          </cell>
          <cell r="G1122" t="str">
            <v>B4O-995</v>
          </cell>
          <cell r="H1122" t="str">
            <v>LAS BAMBAS</v>
          </cell>
          <cell r="I1122">
            <v>156586</v>
          </cell>
          <cell r="J1122" t="str">
            <v>REPUESTO</v>
          </cell>
          <cell r="K1122" t="str">
            <v>CONECTOR PARA FOCO 9005</v>
          </cell>
          <cell r="L1122">
            <v>1</v>
          </cell>
          <cell r="M1122" t="str">
            <v>UNID.</v>
          </cell>
          <cell r="N1122" t="str">
            <v>TRACTO</v>
          </cell>
          <cell r="O1122">
            <v>0</v>
          </cell>
          <cell r="P1122" t="str">
            <v>E2</v>
          </cell>
          <cell r="Q1122" t="str">
            <v>J1</v>
          </cell>
          <cell r="R1122" t="str">
            <v>J6</v>
          </cell>
          <cell r="S1122" t="str">
            <v>ENTREGADO</v>
          </cell>
          <cell r="T1122">
            <v>42692</v>
          </cell>
          <cell r="U1122" t="str">
            <v>YUCA BELLIDO BORIS YERSY</v>
          </cell>
          <cell r="V1122" t="str">
            <v>FLOREZ CONDORI  JOSE WILLIANS</v>
          </cell>
        </row>
        <row r="1123">
          <cell r="A1123">
            <v>1131</v>
          </cell>
          <cell r="B1123">
            <v>42692</v>
          </cell>
          <cell r="C1123" t="str">
            <v>NOVIEMBRE</v>
          </cell>
          <cell r="D1123" t="str">
            <v>2016</v>
          </cell>
          <cell r="E1123">
            <v>204</v>
          </cell>
          <cell r="F1123" t="str">
            <v>C9P-948</v>
          </cell>
          <cell r="G1123" t="str">
            <v>B4O-995</v>
          </cell>
          <cell r="H1123" t="str">
            <v>LAS BAMBAS</v>
          </cell>
          <cell r="I1123">
            <v>156586</v>
          </cell>
          <cell r="J1123" t="str">
            <v>REPUESTO</v>
          </cell>
          <cell r="K1123" t="str">
            <v>FOCOS LAGRIMONES AMBAR</v>
          </cell>
          <cell r="L1123">
            <v>3</v>
          </cell>
          <cell r="M1123" t="str">
            <v>UNID.</v>
          </cell>
          <cell r="N1123" t="str">
            <v>TRACTO</v>
          </cell>
          <cell r="O1123">
            <v>98</v>
          </cell>
          <cell r="P1123" t="str">
            <v>E1</v>
          </cell>
          <cell r="Q1123" t="str">
            <v>J2</v>
          </cell>
          <cell r="R1123" t="str">
            <v>J6</v>
          </cell>
          <cell r="S1123" t="str">
            <v>ENTREGADO</v>
          </cell>
          <cell r="T1123">
            <v>0</v>
          </cell>
          <cell r="U1123" t="str">
            <v>PALOMINO CARDENAS JUAN CARLOS</v>
          </cell>
          <cell r="V1123" t="str">
            <v>CORIHUAMAN SURCO  ERICK ROBERT</v>
          </cell>
        </row>
        <row r="1124">
          <cell r="A1124">
            <v>1133</v>
          </cell>
          <cell r="B1124">
            <v>42692</v>
          </cell>
          <cell r="C1124" t="str">
            <v>NOVIEMBRE</v>
          </cell>
          <cell r="D1124" t="str">
            <v>2016</v>
          </cell>
          <cell r="E1124">
            <v>204</v>
          </cell>
          <cell r="F1124" t="str">
            <v>C9P-948</v>
          </cell>
          <cell r="G1124" t="str">
            <v>B4O-995</v>
          </cell>
          <cell r="H1124" t="str">
            <v>LAS BAMBAS</v>
          </cell>
          <cell r="I1124">
            <v>156586</v>
          </cell>
          <cell r="J1124" t="str">
            <v>REPUESTO</v>
          </cell>
          <cell r="K1124" t="str">
            <v>SOPORTE DE GUARDAFANGO LADO IZQUIERDO (BRAZO DE FALDON)</v>
          </cell>
          <cell r="L1124">
            <v>1</v>
          </cell>
          <cell r="M1124" t="str">
            <v>UNID.</v>
          </cell>
          <cell r="N1124" t="str">
            <v>TRACTO</v>
          </cell>
          <cell r="O1124">
            <v>0</v>
          </cell>
          <cell r="P1124" t="str">
            <v>M2</v>
          </cell>
          <cell r="Q1124" t="str">
            <v>J2</v>
          </cell>
          <cell r="R1124" t="str">
            <v>J6</v>
          </cell>
          <cell r="S1124" t="str">
            <v>ENTREGADO</v>
          </cell>
          <cell r="T1124">
            <v>42692</v>
          </cell>
          <cell r="U1124" t="str">
            <v>CHUMPITAZ GAGO JULIO ENRIQUE</v>
          </cell>
          <cell r="V1124" t="str">
            <v>CORIHUAMAN SURCO  ERICK ROBERT</v>
          </cell>
        </row>
        <row r="1125">
          <cell r="A1125">
            <v>1134</v>
          </cell>
          <cell r="B1125">
            <v>42692</v>
          </cell>
          <cell r="C1125" t="str">
            <v>NOVIEMBRE</v>
          </cell>
          <cell r="D1125" t="str">
            <v>2016</v>
          </cell>
          <cell r="E1125">
            <v>204</v>
          </cell>
          <cell r="F1125" t="str">
            <v>C9P-948</v>
          </cell>
          <cell r="G1125" t="str">
            <v>B4O-995</v>
          </cell>
          <cell r="H1125" t="str">
            <v>LAS BAMBAS</v>
          </cell>
          <cell r="I1125">
            <v>156586</v>
          </cell>
          <cell r="J1125" t="str">
            <v>REPUESTO</v>
          </cell>
          <cell r="K1125" t="str">
            <v>PERNO 5/16 X 1</v>
          </cell>
          <cell r="L1125">
            <v>8</v>
          </cell>
          <cell r="M1125" t="str">
            <v>UNID.</v>
          </cell>
          <cell r="N1125" t="str">
            <v>TRACTO</v>
          </cell>
          <cell r="O1125">
            <v>0</v>
          </cell>
          <cell r="P1125" t="str">
            <v>M2</v>
          </cell>
          <cell r="Q1125" t="str">
            <v>J2</v>
          </cell>
          <cell r="R1125" t="str">
            <v>J6</v>
          </cell>
          <cell r="S1125" t="str">
            <v>ENTREGADO</v>
          </cell>
          <cell r="T1125">
            <v>42692</v>
          </cell>
          <cell r="U1125" t="str">
            <v>CHUMPITAZ GAGO JULIO ENRIQUE</v>
          </cell>
          <cell r="V1125" t="str">
            <v>CORIHUAMAN SURCO  ERICK ROBERT</v>
          </cell>
        </row>
        <row r="1126">
          <cell r="A1126">
            <v>1135</v>
          </cell>
          <cell r="B1126">
            <v>42692</v>
          </cell>
          <cell r="C1126" t="str">
            <v>NOVIEMBRE</v>
          </cell>
          <cell r="D1126" t="str">
            <v>2016</v>
          </cell>
          <cell r="E1126">
            <v>204</v>
          </cell>
          <cell r="F1126" t="str">
            <v>C9P-948</v>
          </cell>
          <cell r="G1126" t="str">
            <v>B4O-995</v>
          </cell>
          <cell r="H1126" t="str">
            <v>LAS BAMBAS</v>
          </cell>
          <cell r="I1126">
            <v>156586</v>
          </cell>
          <cell r="J1126" t="str">
            <v>REPUESTO</v>
          </cell>
          <cell r="K1126" t="str">
            <v>TUERCA 5/16</v>
          </cell>
          <cell r="L1126">
            <v>8</v>
          </cell>
          <cell r="M1126" t="str">
            <v>UNID.</v>
          </cell>
          <cell r="N1126" t="str">
            <v>TRACTO</v>
          </cell>
          <cell r="O1126">
            <v>0</v>
          </cell>
          <cell r="P1126" t="str">
            <v>M2</v>
          </cell>
          <cell r="Q1126" t="str">
            <v>J2</v>
          </cell>
          <cell r="R1126" t="str">
            <v>J6</v>
          </cell>
          <cell r="S1126" t="str">
            <v>ENTREGADO</v>
          </cell>
          <cell r="T1126">
            <v>42692</v>
          </cell>
          <cell r="U1126" t="str">
            <v>CHUMPITAZ GAGO JULIO ENRIQUE</v>
          </cell>
          <cell r="V1126" t="str">
            <v>CORIHUAMAN SURCO  ERICK ROBERT</v>
          </cell>
        </row>
        <row r="1127">
          <cell r="A1127">
            <v>1136</v>
          </cell>
          <cell r="B1127">
            <v>42692</v>
          </cell>
          <cell r="C1127" t="str">
            <v>NOVIEMBRE</v>
          </cell>
          <cell r="D1127" t="str">
            <v>2016</v>
          </cell>
          <cell r="E1127">
            <v>204</v>
          </cell>
          <cell r="F1127" t="str">
            <v>C9P-948</v>
          </cell>
          <cell r="G1127" t="str">
            <v>B4O-995</v>
          </cell>
          <cell r="H1127" t="str">
            <v>LAS BAMBAS</v>
          </cell>
          <cell r="I1127">
            <v>156586</v>
          </cell>
          <cell r="J1127" t="str">
            <v>REPUESTO</v>
          </cell>
          <cell r="K1127" t="str">
            <v>VOLANDA PLANA 5/16</v>
          </cell>
          <cell r="L1127">
            <v>8</v>
          </cell>
          <cell r="M1127" t="str">
            <v>UNID.</v>
          </cell>
          <cell r="N1127" t="str">
            <v>TRACTO</v>
          </cell>
          <cell r="O1127">
            <v>0</v>
          </cell>
          <cell r="P1127" t="str">
            <v>M2</v>
          </cell>
          <cell r="Q1127" t="str">
            <v>J2</v>
          </cell>
          <cell r="R1127" t="str">
            <v>J6</v>
          </cell>
          <cell r="S1127" t="str">
            <v>ENTREGADO</v>
          </cell>
          <cell r="T1127">
            <v>42692</v>
          </cell>
          <cell r="U1127" t="str">
            <v>CHUMPITAZ GAGO JULIO ENRIQUE</v>
          </cell>
          <cell r="V1127" t="str">
            <v>CORIHUAMAN SURCO  ERICK ROBERT</v>
          </cell>
        </row>
        <row r="1128">
          <cell r="A1128">
            <v>1137</v>
          </cell>
          <cell r="B1128">
            <v>42692</v>
          </cell>
          <cell r="C1128" t="str">
            <v>NOVIEMBRE</v>
          </cell>
          <cell r="D1128" t="str">
            <v>2016</v>
          </cell>
          <cell r="E1128">
            <v>204</v>
          </cell>
          <cell r="F1128" t="str">
            <v>C9P-948</v>
          </cell>
          <cell r="G1128" t="str">
            <v>B4O-995</v>
          </cell>
          <cell r="H1128" t="str">
            <v>LAS BAMBAS</v>
          </cell>
          <cell r="I1128">
            <v>156586</v>
          </cell>
          <cell r="J1128" t="str">
            <v>REPUESTO</v>
          </cell>
          <cell r="K1128" t="str">
            <v>VOLANDA PRESION</v>
          </cell>
          <cell r="L1128">
            <v>8</v>
          </cell>
          <cell r="M1128" t="str">
            <v>UNID.</v>
          </cell>
          <cell r="N1128" t="str">
            <v>TRACTO</v>
          </cell>
          <cell r="O1128">
            <v>0</v>
          </cell>
          <cell r="P1128" t="str">
            <v>M2</v>
          </cell>
          <cell r="Q1128" t="str">
            <v>J2</v>
          </cell>
          <cell r="R1128" t="str">
            <v>J6</v>
          </cell>
          <cell r="S1128" t="str">
            <v>ENTREGADO</v>
          </cell>
          <cell r="T1128">
            <v>42692</v>
          </cell>
          <cell r="U1128" t="str">
            <v>CHUMPITAZ GAGO JULIO ENRIQUE</v>
          </cell>
          <cell r="V1128" t="str">
            <v>CORIHUAMAN SURCO  ERICK ROBERT</v>
          </cell>
        </row>
        <row r="1129">
          <cell r="A1129">
            <v>1140</v>
          </cell>
          <cell r="B1129">
            <v>42692</v>
          </cell>
          <cell r="C1129" t="str">
            <v>NOVIEMBRE</v>
          </cell>
          <cell r="D1129" t="str">
            <v>2016</v>
          </cell>
          <cell r="E1129">
            <v>204</v>
          </cell>
          <cell r="F1129" t="str">
            <v>C9P-948</v>
          </cell>
          <cell r="G1129" t="str">
            <v>B4O-995</v>
          </cell>
          <cell r="H1129" t="str">
            <v>LAS BAMBAS</v>
          </cell>
          <cell r="I1129">
            <v>156586</v>
          </cell>
          <cell r="J1129" t="str">
            <v>REPUESTO</v>
          </cell>
          <cell r="K1129" t="str">
            <v>MINIFUSIBLES DE 10 AMP.</v>
          </cell>
          <cell r="L1129">
            <v>8</v>
          </cell>
          <cell r="M1129" t="str">
            <v>UNID.</v>
          </cell>
          <cell r="N1129" t="str">
            <v>TRACTO</v>
          </cell>
          <cell r="O1129">
            <v>0</v>
          </cell>
          <cell r="P1129" t="str">
            <v>E1</v>
          </cell>
          <cell r="Q1129" t="str">
            <v>J2</v>
          </cell>
          <cell r="R1129" t="str">
            <v>J2</v>
          </cell>
          <cell r="S1129" t="str">
            <v>ENTREGADO</v>
          </cell>
          <cell r="T1129">
            <v>42692</v>
          </cell>
          <cell r="U1129" t="str">
            <v>PALOMINO CARDENAS JUAN CARLOS</v>
          </cell>
          <cell r="V1129" t="str">
            <v>CORIHUAMAN SURCO  ERICK ROBERT</v>
          </cell>
        </row>
        <row r="1130">
          <cell r="A1130">
            <v>1144</v>
          </cell>
          <cell r="B1130">
            <v>42692</v>
          </cell>
          <cell r="C1130" t="str">
            <v>NOVIEMBRE</v>
          </cell>
          <cell r="D1130" t="str">
            <v>2016</v>
          </cell>
          <cell r="E1130">
            <v>204</v>
          </cell>
          <cell r="F1130" t="str">
            <v>C9P-948</v>
          </cell>
          <cell r="G1130" t="str">
            <v>B4O-995</v>
          </cell>
          <cell r="H1130" t="str">
            <v>LAS BAMBAS</v>
          </cell>
          <cell r="I1130">
            <v>156586</v>
          </cell>
          <cell r="J1130" t="str">
            <v>REPUESTO</v>
          </cell>
          <cell r="K1130" t="str">
            <v>VALVULA RELAY DE PULPO-CARRETA</v>
          </cell>
          <cell r="L1130">
            <v>1</v>
          </cell>
          <cell r="M1130" t="str">
            <v>UNID.</v>
          </cell>
          <cell r="N1130" t="str">
            <v>CISTERNA</v>
          </cell>
          <cell r="O1130">
            <v>0</v>
          </cell>
          <cell r="P1130" t="str">
            <v>M2</v>
          </cell>
          <cell r="Q1130" t="str">
            <v>J1</v>
          </cell>
          <cell r="R1130" t="str">
            <v>J5</v>
          </cell>
          <cell r="S1130" t="str">
            <v>ENTREGADO</v>
          </cell>
          <cell r="T1130">
            <v>42692</v>
          </cell>
          <cell r="U1130" t="str">
            <v>CHUMPITAZ GAGO JULIO ENRIQUE</v>
          </cell>
          <cell r="V1130" t="str">
            <v>FLOREZ CONDORI  JOSE WILLIANS</v>
          </cell>
        </row>
        <row r="1131">
          <cell r="A1131">
            <v>1145</v>
          </cell>
          <cell r="B1131">
            <v>42692</v>
          </cell>
          <cell r="C1131" t="str">
            <v>NOVIEMBRE</v>
          </cell>
          <cell r="D1131" t="str">
            <v>2016</v>
          </cell>
          <cell r="E1131">
            <v>204</v>
          </cell>
          <cell r="F1131" t="str">
            <v>C9P-948</v>
          </cell>
          <cell r="G1131" t="str">
            <v>B4O-995</v>
          </cell>
          <cell r="H1131" t="str">
            <v>LAS BAMBAS</v>
          </cell>
          <cell r="I1131">
            <v>156586</v>
          </cell>
          <cell r="J1131" t="str">
            <v>REPUESTO</v>
          </cell>
          <cell r="K1131" t="str">
            <v xml:space="preserve">PERNO DE 1/2 x 3/2" C/TUERCA </v>
          </cell>
          <cell r="L1131">
            <v>2</v>
          </cell>
          <cell r="M1131" t="str">
            <v>UNID.</v>
          </cell>
          <cell r="N1131" t="str">
            <v>TRACTO</v>
          </cell>
          <cell r="O1131">
            <v>0</v>
          </cell>
          <cell r="P1131" t="str">
            <v>M2</v>
          </cell>
          <cell r="Q1131" t="str">
            <v>J1</v>
          </cell>
          <cell r="R1131" t="str">
            <v>J5</v>
          </cell>
          <cell r="S1131" t="str">
            <v>ENTREGADO</v>
          </cell>
          <cell r="T1131">
            <v>42692</v>
          </cell>
          <cell r="U1131" t="str">
            <v>CHUMPITAZ GAGO JULIO ENRIQUE</v>
          </cell>
          <cell r="V1131" t="str">
            <v>FLOREZ CONDORI  JOSE WILLIANS</v>
          </cell>
        </row>
        <row r="1132">
          <cell r="A1132">
            <v>1146</v>
          </cell>
          <cell r="B1132">
            <v>42692</v>
          </cell>
          <cell r="C1132" t="str">
            <v>NOVIEMBRE</v>
          </cell>
          <cell r="D1132" t="str">
            <v>2016</v>
          </cell>
          <cell r="E1132">
            <v>204</v>
          </cell>
          <cell r="F1132" t="str">
            <v>C9P-948</v>
          </cell>
          <cell r="G1132" t="str">
            <v>B4O-995</v>
          </cell>
          <cell r="H1132" t="str">
            <v>LAS BAMBAS</v>
          </cell>
          <cell r="I1132">
            <v>156586</v>
          </cell>
          <cell r="J1132" t="str">
            <v>REPUESTO</v>
          </cell>
          <cell r="K1132" t="str">
            <v>ARANDELA PLANA 1/2</v>
          </cell>
          <cell r="L1132">
            <v>6</v>
          </cell>
          <cell r="M1132" t="str">
            <v>UNID.</v>
          </cell>
          <cell r="N1132" t="str">
            <v>TRACTO</v>
          </cell>
          <cell r="O1132">
            <v>0</v>
          </cell>
          <cell r="P1132" t="str">
            <v>M2</v>
          </cell>
          <cell r="Q1132" t="str">
            <v>J1</v>
          </cell>
          <cell r="R1132" t="str">
            <v>J5</v>
          </cell>
          <cell r="S1132" t="str">
            <v>ENTREGADO</v>
          </cell>
          <cell r="T1132">
            <v>42692</v>
          </cell>
          <cell r="U1132" t="str">
            <v>CHUMPITAZ GAGO JULIO ENRIQUE</v>
          </cell>
          <cell r="V1132" t="str">
            <v>FLOREZ CONDORI  JOSE WILLIANS</v>
          </cell>
        </row>
        <row r="1133">
          <cell r="A1133">
            <v>1147</v>
          </cell>
          <cell r="B1133">
            <v>42692</v>
          </cell>
          <cell r="C1133" t="str">
            <v>NOVIEMBRE</v>
          </cell>
          <cell r="D1133" t="str">
            <v>2016</v>
          </cell>
          <cell r="E1133">
            <v>204</v>
          </cell>
          <cell r="F1133" t="str">
            <v>C9P-948</v>
          </cell>
          <cell r="G1133" t="str">
            <v>B4O-995</v>
          </cell>
          <cell r="H1133" t="str">
            <v>LAS BAMBAS</v>
          </cell>
          <cell r="I1133">
            <v>156586</v>
          </cell>
          <cell r="J1133" t="str">
            <v>REPUESTO</v>
          </cell>
          <cell r="K1133" t="str">
            <v>PERNO 1/2 X 2 C/ TUERCA</v>
          </cell>
          <cell r="L1133">
            <v>1</v>
          </cell>
          <cell r="M1133" t="str">
            <v>UNID.</v>
          </cell>
          <cell r="N1133" t="str">
            <v>TRACTO</v>
          </cell>
          <cell r="O1133">
            <v>0</v>
          </cell>
          <cell r="P1133" t="str">
            <v>M2</v>
          </cell>
          <cell r="Q1133" t="str">
            <v>J1</v>
          </cell>
          <cell r="R1133" t="str">
            <v>J5</v>
          </cell>
          <cell r="S1133" t="str">
            <v>ENTREGADO</v>
          </cell>
          <cell r="T1133">
            <v>42692</v>
          </cell>
          <cell r="U1133" t="str">
            <v>CHUMPITAZ GAGO JULIO ENRIQUE</v>
          </cell>
          <cell r="V1133" t="str">
            <v>FLOREZ CONDORI  JOSE WILLIANS</v>
          </cell>
        </row>
        <row r="1134">
          <cell r="A1134">
            <v>1158</v>
          </cell>
          <cell r="B1134">
            <v>42692</v>
          </cell>
          <cell r="C1134" t="str">
            <v>NOVIEMBRE</v>
          </cell>
          <cell r="D1134" t="str">
            <v>2016</v>
          </cell>
          <cell r="E1134">
            <v>204</v>
          </cell>
          <cell r="F1134" t="str">
            <v>C9P-948</v>
          </cell>
          <cell r="G1134" t="str">
            <v>B4O-995</v>
          </cell>
          <cell r="H1134" t="str">
            <v>LAS BAMBAS</v>
          </cell>
          <cell r="I1134">
            <v>156586</v>
          </cell>
          <cell r="J1134" t="str">
            <v>REPUESTO</v>
          </cell>
          <cell r="K1134" t="str">
            <v>TUERCA 7/16</v>
          </cell>
          <cell r="L1134">
            <v>4</v>
          </cell>
          <cell r="M1134" t="str">
            <v>UNID.</v>
          </cell>
          <cell r="N1134" t="str">
            <v>CISTERNA</v>
          </cell>
          <cell r="O1134">
            <v>0</v>
          </cell>
          <cell r="P1134" t="str">
            <v>E2</v>
          </cell>
          <cell r="Q1134" t="str">
            <v>J1</v>
          </cell>
          <cell r="R1134" t="str">
            <v>J1</v>
          </cell>
          <cell r="S1134" t="str">
            <v>ENTREGADO</v>
          </cell>
          <cell r="T1134">
            <v>42692</v>
          </cell>
          <cell r="U1134" t="str">
            <v>YUCA BELLIDO BORIS YERSY</v>
          </cell>
          <cell r="V1134" t="str">
            <v>FLOREZ CONDORI  JOSE WILLIANS</v>
          </cell>
        </row>
        <row r="1135">
          <cell r="A1135">
            <v>1159</v>
          </cell>
          <cell r="B1135">
            <v>42692</v>
          </cell>
          <cell r="C1135" t="str">
            <v>NOVIEMBRE</v>
          </cell>
          <cell r="D1135" t="str">
            <v>2016</v>
          </cell>
          <cell r="E1135">
            <v>204</v>
          </cell>
          <cell r="F1135" t="str">
            <v>C9P-948</v>
          </cell>
          <cell r="G1135" t="str">
            <v>B4O-995</v>
          </cell>
          <cell r="H1135" t="str">
            <v>LAS BAMBAS</v>
          </cell>
          <cell r="I1135">
            <v>156586</v>
          </cell>
          <cell r="J1135" t="str">
            <v>REPUESTO</v>
          </cell>
          <cell r="K1135" t="str">
            <v>ARANDELA 7/16 PRESION</v>
          </cell>
          <cell r="L1135">
            <v>4</v>
          </cell>
          <cell r="M1135" t="str">
            <v>UNID.</v>
          </cell>
          <cell r="N1135" t="str">
            <v>CISTERNA</v>
          </cell>
          <cell r="O1135">
            <v>0</v>
          </cell>
          <cell r="P1135" t="str">
            <v>E2</v>
          </cell>
          <cell r="Q1135" t="str">
            <v>J1</v>
          </cell>
          <cell r="R1135" t="str">
            <v>J1</v>
          </cell>
          <cell r="S1135" t="str">
            <v>ENTREGADO</v>
          </cell>
          <cell r="T1135">
            <v>42692</v>
          </cell>
          <cell r="U1135" t="str">
            <v>YUCA BELLIDO BORIS YERSY</v>
          </cell>
          <cell r="V1135" t="str">
            <v>FLOREZ CONDORI  JOSE WILLIANS</v>
          </cell>
        </row>
        <row r="1136">
          <cell r="A1136">
            <v>1160</v>
          </cell>
          <cell r="B1136">
            <v>42692</v>
          </cell>
          <cell r="C1136" t="str">
            <v>NOVIEMBRE</v>
          </cell>
          <cell r="D1136" t="str">
            <v>2016</v>
          </cell>
          <cell r="E1136">
            <v>204</v>
          </cell>
          <cell r="F1136" t="str">
            <v>C9P-948</v>
          </cell>
          <cell r="G1136" t="str">
            <v>B4O-995</v>
          </cell>
          <cell r="H1136" t="str">
            <v>LAS BAMBAS</v>
          </cell>
          <cell r="I1136">
            <v>156586</v>
          </cell>
          <cell r="J1136" t="str">
            <v>REPUESTO</v>
          </cell>
          <cell r="K1136" t="str">
            <v>PERNO 1/4 CON TUERCA Y VOLANDA</v>
          </cell>
          <cell r="L1136">
            <v>6</v>
          </cell>
          <cell r="M1136" t="str">
            <v>UNID.</v>
          </cell>
          <cell r="N1136" t="str">
            <v>TRACTO</v>
          </cell>
          <cell r="O1136">
            <v>0</v>
          </cell>
          <cell r="P1136" t="str">
            <v>E2</v>
          </cell>
          <cell r="Q1136" t="str">
            <v>J1</v>
          </cell>
          <cell r="R1136" t="str">
            <v>J1</v>
          </cell>
          <cell r="S1136" t="str">
            <v>ENTREGADO</v>
          </cell>
          <cell r="T1136">
            <v>42692</v>
          </cell>
          <cell r="U1136" t="str">
            <v>YUCA BELLIDO BORIS YERSY</v>
          </cell>
          <cell r="V1136" t="str">
            <v>FLOREZ CONDORI  JOSE WILLIANS</v>
          </cell>
        </row>
        <row r="1137">
          <cell r="A1137">
            <v>1161</v>
          </cell>
          <cell r="B1137">
            <v>42692</v>
          </cell>
          <cell r="C1137" t="str">
            <v>NOVIEMBRE</v>
          </cell>
          <cell r="D1137" t="str">
            <v>2016</v>
          </cell>
          <cell r="E1137">
            <v>204</v>
          </cell>
          <cell r="F1137" t="str">
            <v>C9P-948</v>
          </cell>
          <cell r="G1137" t="str">
            <v>B4O-995</v>
          </cell>
          <cell r="H1137" t="str">
            <v>LAS BAMBAS</v>
          </cell>
          <cell r="I1137">
            <v>156586</v>
          </cell>
          <cell r="J1137" t="str">
            <v>REPUESTO</v>
          </cell>
          <cell r="K1137" t="str">
            <v>FOCO DOBLE CONTACTO DE 12V</v>
          </cell>
          <cell r="L1137">
            <v>2</v>
          </cell>
          <cell r="M1137" t="str">
            <v>UNID.</v>
          </cell>
          <cell r="N1137" t="str">
            <v>TRACTO</v>
          </cell>
          <cell r="O1137">
            <v>0</v>
          </cell>
          <cell r="P1137" t="str">
            <v>E2</v>
          </cell>
          <cell r="Q1137" t="str">
            <v>J1</v>
          </cell>
          <cell r="R1137" t="str">
            <v>J1</v>
          </cell>
          <cell r="S1137" t="str">
            <v>ENTREGADO</v>
          </cell>
          <cell r="T1137">
            <v>42692</v>
          </cell>
          <cell r="U1137" t="str">
            <v>YUCA BELLIDO BORIS YERSY</v>
          </cell>
          <cell r="V1137" t="str">
            <v>FLOREZ CONDORI  JOSE WILLIANS</v>
          </cell>
        </row>
        <row r="1138">
          <cell r="A1138">
            <v>1091</v>
          </cell>
          <cell r="B1138">
            <v>42692</v>
          </cell>
          <cell r="C1138" t="str">
            <v>NOVIEMBRE</v>
          </cell>
          <cell r="D1138" t="str">
            <v>2016</v>
          </cell>
          <cell r="E1138">
            <v>361</v>
          </cell>
          <cell r="F1138" t="str">
            <v>D3N-721</v>
          </cell>
          <cell r="G1138" t="str">
            <v>C4S-979</v>
          </cell>
          <cell r="H1138" t="str">
            <v>LAS BAMBAS</v>
          </cell>
          <cell r="I1138">
            <v>132860</v>
          </cell>
          <cell r="J1138" t="str">
            <v>REPUESTO</v>
          </cell>
          <cell r="K1138" t="str">
            <v>PERNO MANHOLE 3/8 X 6</v>
          </cell>
          <cell r="L1138">
            <v>1</v>
          </cell>
          <cell r="M1138" t="str">
            <v>UNID.</v>
          </cell>
          <cell r="N1138" t="str">
            <v>CISTERNA</v>
          </cell>
          <cell r="O1138">
            <v>0</v>
          </cell>
          <cell r="P1138" t="str">
            <v>S2</v>
          </cell>
          <cell r="Q1138" t="str">
            <v>J1</v>
          </cell>
          <cell r="R1138" t="str">
            <v>J6</v>
          </cell>
          <cell r="S1138" t="str">
            <v>ENTREGADO</v>
          </cell>
          <cell r="T1138">
            <v>42692</v>
          </cell>
          <cell r="U1138" t="str">
            <v>PALOMINO ESTRADA  MICHEL</v>
          </cell>
          <cell r="V1138" t="str">
            <v>FLOREZ CONDORI  JOSE WILLIANS</v>
          </cell>
        </row>
        <row r="1139">
          <cell r="A1139">
            <v>1092</v>
          </cell>
          <cell r="B1139">
            <v>42692</v>
          </cell>
          <cell r="C1139" t="str">
            <v>NOVIEMBRE</v>
          </cell>
          <cell r="D1139" t="str">
            <v>2016</v>
          </cell>
          <cell r="E1139">
            <v>361</v>
          </cell>
          <cell r="F1139" t="str">
            <v>D3N-721</v>
          </cell>
          <cell r="G1139" t="str">
            <v>C4S-979</v>
          </cell>
          <cell r="H1139" t="str">
            <v>LAS BAMBAS</v>
          </cell>
          <cell r="I1139">
            <v>132860</v>
          </cell>
          <cell r="J1139" t="str">
            <v>REPUESTO</v>
          </cell>
          <cell r="K1139" t="str">
            <v>TUERCA 3/8</v>
          </cell>
          <cell r="L1139">
            <v>2</v>
          </cell>
          <cell r="M1139" t="str">
            <v>UNID.</v>
          </cell>
          <cell r="N1139" t="str">
            <v>CISTERNA</v>
          </cell>
          <cell r="O1139">
            <v>0</v>
          </cell>
          <cell r="P1139" t="str">
            <v>S2</v>
          </cell>
          <cell r="Q1139" t="str">
            <v>J1</v>
          </cell>
          <cell r="R1139" t="str">
            <v>J6</v>
          </cell>
          <cell r="S1139" t="str">
            <v>ENTREGADO</v>
          </cell>
          <cell r="T1139">
            <v>42692</v>
          </cell>
          <cell r="U1139" t="str">
            <v>PALOMINO ESTRADA  MICHEL</v>
          </cell>
          <cell r="V1139" t="str">
            <v>FLOREZ CONDORI  JOSE WILLIANS</v>
          </cell>
        </row>
        <row r="1140">
          <cell r="A1140">
            <v>1093</v>
          </cell>
          <cell r="B1140">
            <v>42692</v>
          </cell>
          <cell r="C1140" t="str">
            <v>NOVIEMBRE</v>
          </cell>
          <cell r="D1140" t="str">
            <v>2016</v>
          </cell>
          <cell r="E1140">
            <v>361</v>
          </cell>
          <cell r="F1140" t="str">
            <v>D3N-721</v>
          </cell>
          <cell r="G1140" t="str">
            <v>C4S-979</v>
          </cell>
          <cell r="H1140" t="str">
            <v>LAS BAMBAS</v>
          </cell>
          <cell r="I1140">
            <v>132860</v>
          </cell>
          <cell r="J1140" t="str">
            <v>REPUESTO</v>
          </cell>
          <cell r="K1140" t="str">
            <v>SPRAY COLOR BLANCO</v>
          </cell>
          <cell r="L1140">
            <v>1</v>
          </cell>
          <cell r="M1140" t="str">
            <v>UNID.</v>
          </cell>
          <cell r="N1140" t="str">
            <v>CISTERNA</v>
          </cell>
          <cell r="O1140">
            <v>0</v>
          </cell>
          <cell r="P1140" t="str">
            <v>S2</v>
          </cell>
          <cell r="Q1140" t="str">
            <v>J1</v>
          </cell>
          <cell r="R1140" t="str">
            <v>J6</v>
          </cell>
          <cell r="S1140" t="str">
            <v>ENTREGADO</v>
          </cell>
          <cell r="T1140">
            <v>42692</v>
          </cell>
          <cell r="U1140" t="str">
            <v>PALOMINO ESTRADA  MICHEL</v>
          </cell>
          <cell r="V1140" t="str">
            <v>FLOREZ CONDORI  JOSE WILLIANS</v>
          </cell>
        </row>
        <row r="1141">
          <cell r="A1141">
            <v>1122</v>
          </cell>
          <cell r="B1141">
            <v>42692</v>
          </cell>
          <cell r="C1141" t="str">
            <v>NOVIEMBRE</v>
          </cell>
          <cell r="D1141" t="str">
            <v>2016</v>
          </cell>
          <cell r="E1141">
            <v>361</v>
          </cell>
          <cell r="F1141" t="str">
            <v>D3N-721</v>
          </cell>
          <cell r="G1141" t="str">
            <v>C4S-979</v>
          </cell>
          <cell r="H1141" t="str">
            <v>LAS BAMBAS</v>
          </cell>
          <cell r="I1141">
            <v>132860</v>
          </cell>
          <cell r="J1141" t="str">
            <v>REPUESTO</v>
          </cell>
          <cell r="K1141" t="str">
            <v>MANGUERA DE AIRE TRACTO-CARRETA (COLOR AZUL)</v>
          </cell>
          <cell r="L1141">
            <v>1</v>
          </cell>
          <cell r="M1141" t="str">
            <v>UNID.</v>
          </cell>
          <cell r="N1141" t="str">
            <v>TRACTO</v>
          </cell>
          <cell r="O1141">
            <v>98</v>
          </cell>
          <cell r="P1141" t="str">
            <v>M2</v>
          </cell>
          <cell r="Q1141" t="str">
            <v>J1</v>
          </cell>
          <cell r="R1141" t="str">
            <v>J5</v>
          </cell>
          <cell r="S1141" t="str">
            <v>ENTREGADO</v>
          </cell>
          <cell r="T1141">
            <v>0</v>
          </cell>
          <cell r="U1141" t="str">
            <v>CHUMPITAZ GAGO JULIO ENRIQUE</v>
          </cell>
          <cell r="V1141" t="str">
            <v>FLOREZ CONDORI  JOSE WILLIANS</v>
          </cell>
        </row>
        <row r="1142">
          <cell r="A1142">
            <v>1127</v>
          </cell>
          <cell r="B1142">
            <v>42692</v>
          </cell>
          <cell r="C1142" t="str">
            <v>NOVIEMBRE</v>
          </cell>
          <cell r="D1142" t="str">
            <v>2016</v>
          </cell>
          <cell r="E1142">
            <v>361</v>
          </cell>
          <cell r="F1142" t="str">
            <v>D3N-721</v>
          </cell>
          <cell r="G1142" t="str">
            <v>C4S-979</v>
          </cell>
          <cell r="H1142" t="str">
            <v>LAS BAMBAS</v>
          </cell>
          <cell r="I1142">
            <v>132860</v>
          </cell>
          <cell r="J1142" t="str">
            <v>REPUESTO</v>
          </cell>
          <cell r="K1142" t="str">
            <v xml:space="preserve">PERNOS 5/16 X 2" C/ VOLANDA PLANA </v>
          </cell>
          <cell r="L1142">
            <v>2</v>
          </cell>
          <cell r="M1142" t="str">
            <v>UNID.</v>
          </cell>
          <cell r="N1142" t="str">
            <v>CISTERNA</v>
          </cell>
          <cell r="O1142">
            <v>0</v>
          </cell>
          <cell r="P1142" t="str">
            <v>M2</v>
          </cell>
          <cell r="Q1142" t="str">
            <v>J1</v>
          </cell>
          <cell r="R1142" t="str">
            <v>J5</v>
          </cell>
          <cell r="S1142" t="str">
            <v>ENTREGADO</v>
          </cell>
          <cell r="T1142">
            <v>42692</v>
          </cell>
          <cell r="U1142" t="str">
            <v>CHUMPITAZ GAGO JULIO ENRIQUE</v>
          </cell>
          <cell r="V1142" t="str">
            <v>FLOREZ CONDORI  JOSE WILLIANS</v>
          </cell>
        </row>
        <row r="1143">
          <cell r="A1143">
            <v>1165</v>
          </cell>
          <cell r="B1143">
            <v>42692</v>
          </cell>
          <cell r="C1143" t="str">
            <v>NOVIEMBRE</v>
          </cell>
          <cell r="D1143" t="str">
            <v>2016</v>
          </cell>
          <cell r="E1143">
            <v>361</v>
          </cell>
          <cell r="F1143" t="str">
            <v>D3N-721</v>
          </cell>
          <cell r="G1143" t="str">
            <v>C4S-979</v>
          </cell>
          <cell r="H1143" t="str">
            <v>LAS BAMBAS</v>
          </cell>
          <cell r="I1143">
            <v>132860</v>
          </cell>
          <cell r="J1143" t="str">
            <v>REPUESTO</v>
          </cell>
          <cell r="K1143" t="str">
            <v>PEDRA CORTE 4 1/2</v>
          </cell>
          <cell r="L1143">
            <v>2</v>
          </cell>
          <cell r="M1143" t="str">
            <v>UNID.</v>
          </cell>
          <cell r="N1143" t="str">
            <v>CISTERNA</v>
          </cell>
          <cell r="O1143">
            <v>0</v>
          </cell>
          <cell r="P1143" t="str">
            <v>S2</v>
          </cell>
          <cell r="Q1143" t="str">
            <v>J1</v>
          </cell>
          <cell r="R1143" t="str">
            <v>J1</v>
          </cell>
          <cell r="S1143" t="str">
            <v>ENTREGADO</v>
          </cell>
          <cell r="T1143">
            <v>42692</v>
          </cell>
          <cell r="U1143" t="str">
            <v>PALOMINO ESTRADA  MICHEL</v>
          </cell>
          <cell r="V1143" t="str">
            <v>FLOREZ CONDORI  JOSE WILLIANS</v>
          </cell>
        </row>
        <row r="1144">
          <cell r="A1144">
            <v>1166</v>
          </cell>
          <cell r="B1144">
            <v>42692</v>
          </cell>
          <cell r="C1144" t="str">
            <v>NOVIEMBRE</v>
          </cell>
          <cell r="D1144" t="str">
            <v>2016</v>
          </cell>
          <cell r="E1144">
            <v>361</v>
          </cell>
          <cell r="F1144" t="str">
            <v>D3N-721</v>
          </cell>
          <cell r="G1144" t="str">
            <v>C4S-979</v>
          </cell>
          <cell r="H1144" t="str">
            <v>LAS BAMBAS</v>
          </cell>
          <cell r="I1144">
            <v>132860</v>
          </cell>
          <cell r="J1144" t="str">
            <v>REPUESTO</v>
          </cell>
          <cell r="K1144" t="str">
            <v>PERNO MANHOLE 3/8 X 6</v>
          </cell>
          <cell r="L1144">
            <v>1</v>
          </cell>
          <cell r="M1144" t="str">
            <v>UNID.</v>
          </cell>
          <cell r="N1144" t="str">
            <v>CISTERNA</v>
          </cell>
          <cell r="O1144">
            <v>0</v>
          </cell>
          <cell r="P1144" t="str">
            <v>S2</v>
          </cell>
          <cell r="Q1144" t="str">
            <v>J1</v>
          </cell>
          <cell r="R1144" t="str">
            <v>J1</v>
          </cell>
          <cell r="S1144" t="str">
            <v>ENTREGADO</v>
          </cell>
          <cell r="T1144">
            <v>42692</v>
          </cell>
          <cell r="U1144" t="str">
            <v>PALOMINO ESTRADA  MICHEL</v>
          </cell>
          <cell r="V1144" t="str">
            <v>FLOREZ CONDORI  JOSE WILLIANS</v>
          </cell>
        </row>
        <row r="1145">
          <cell r="A1145">
            <v>1167</v>
          </cell>
          <cell r="B1145">
            <v>42692</v>
          </cell>
          <cell r="C1145" t="str">
            <v>NOVIEMBRE</v>
          </cell>
          <cell r="D1145" t="str">
            <v>2016</v>
          </cell>
          <cell r="E1145">
            <v>361</v>
          </cell>
          <cell r="F1145" t="str">
            <v>D3N-721</v>
          </cell>
          <cell r="G1145" t="str">
            <v>C4S-979</v>
          </cell>
          <cell r="H1145" t="str">
            <v>LAS BAMBAS</v>
          </cell>
          <cell r="I1145">
            <v>132860</v>
          </cell>
          <cell r="J1145" t="str">
            <v>REPUESTO</v>
          </cell>
          <cell r="K1145" t="str">
            <v>TUERCA 3/8</v>
          </cell>
          <cell r="L1145">
            <v>2</v>
          </cell>
          <cell r="M1145" t="str">
            <v>UNID.</v>
          </cell>
          <cell r="N1145" t="str">
            <v>CISTERNA</v>
          </cell>
          <cell r="O1145">
            <v>0</v>
          </cell>
          <cell r="P1145" t="str">
            <v>S2</v>
          </cell>
          <cell r="Q1145" t="str">
            <v>J1</v>
          </cell>
          <cell r="R1145" t="str">
            <v>J1</v>
          </cell>
          <cell r="S1145" t="str">
            <v>ENTREGADO</v>
          </cell>
          <cell r="T1145">
            <v>42692</v>
          </cell>
          <cell r="U1145" t="str">
            <v>PALOMINO ESTRADA  MICHEL</v>
          </cell>
          <cell r="V1145" t="str">
            <v>FLOREZ CONDORI  JOSE WILLIANS</v>
          </cell>
        </row>
        <row r="1146">
          <cell r="A1146">
            <v>1168</v>
          </cell>
          <cell r="B1146">
            <v>42692</v>
          </cell>
          <cell r="C1146" t="str">
            <v>NOVIEMBRE</v>
          </cell>
          <cell r="D1146" t="str">
            <v>2016</v>
          </cell>
          <cell r="E1146">
            <v>361</v>
          </cell>
          <cell r="F1146" t="str">
            <v>D3N-721</v>
          </cell>
          <cell r="G1146" t="str">
            <v>C4S-979</v>
          </cell>
          <cell r="H1146" t="str">
            <v>LAS BAMBAS</v>
          </cell>
          <cell r="I1146">
            <v>132860</v>
          </cell>
          <cell r="J1146" t="str">
            <v>REPUESTO</v>
          </cell>
          <cell r="K1146" t="str">
            <v>VOLANDA 3/8</v>
          </cell>
          <cell r="L1146">
            <v>1</v>
          </cell>
          <cell r="M1146" t="str">
            <v>UNID.</v>
          </cell>
          <cell r="N1146" t="str">
            <v>CISTERNA</v>
          </cell>
          <cell r="O1146">
            <v>0</v>
          </cell>
          <cell r="P1146" t="str">
            <v>S2</v>
          </cell>
          <cell r="Q1146" t="str">
            <v>J1</v>
          </cell>
          <cell r="R1146" t="str">
            <v>J1</v>
          </cell>
          <cell r="S1146" t="str">
            <v>ENTREGADO</v>
          </cell>
          <cell r="T1146">
            <v>42692</v>
          </cell>
          <cell r="U1146" t="str">
            <v>PALOMINO ESTRADA  MICHEL</v>
          </cell>
          <cell r="V1146" t="str">
            <v>FLOREZ CONDORI  JOSE WILLIANS</v>
          </cell>
        </row>
        <row r="1147">
          <cell r="A1147">
            <v>1169</v>
          </cell>
          <cell r="B1147">
            <v>42692</v>
          </cell>
          <cell r="C1147" t="str">
            <v>NOVIEMBRE</v>
          </cell>
          <cell r="D1147" t="str">
            <v>2016</v>
          </cell>
          <cell r="E1147">
            <v>361</v>
          </cell>
          <cell r="F1147" t="str">
            <v>D3N-721</v>
          </cell>
          <cell r="G1147" t="str">
            <v>C4S-979</v>
          </cell>
          <cell r="H1147" t="str">
            <v>LAS BAMBAS</v>
          </cell>
          <cell r="I1147">
            <v>132860</v>
          </cell>
          <cell r="J1147" t="str">
            <v>REPUESTO</v>
          </cell>
          <cell r="K1147" t="str">
            <v>PERNO 5/8 X6</v>
          </cell>
          <cell r="L1147">
            <v>2</v>
          </cell>
          <cell r="M1147" t="str">
            <v>UNID.</v>
          </cell>
          <cell r="N1147" t="str">
            <v>CISTERNA</v>
          </cell>
          <cell r="O1147">
            <v>0</v>
          </cell>
          <cell r="P1147" t="str">
            <v>S2</v>
          </cell>
          <cell r="Q1147" t="str">
            <v>J1</v>
          </cell>
          <cell r="R1147" t="str">
            <v>J1</v>
          </cell>
          <cell r="S1147" t="str">
            <v>ENTREGADO</v>
          </cell>
          <cell r="T1147">
            <v>42692</v>
          </cell>
          <cell r="U1147" t="str">
            <v>PALOMINO ESTRADA  MICHEL</v>
          </cell>
          <cell r="V1147" t="str">
            <v>FLOREZ CONDORI  JOSE WILLIANS</v>
          </cell>
        </row>
        <row r="1148">
          <cell r="A1148">
            <v>1170</v>
          </cell>
          <cell r="B1148">
            <v>42692</v>
          </cell>
          <cell r="C1148" t="str">
            <v>NOVIEMBRE</v>
          </cell>
          <cell r="D1148" t="str">
            <v>2016</v>
          </cell>
          <cell r="E1148">
            <v>361</v>
          </cell>
          <cell r="F1148" t="str">
            <v>D3N-721</v>
          </cell>
          <cell r="G1148" t="str">
            <v>C4S-979</v>
          </cell>
          <cell r="H1148" t="str">
            <v>LAS BAMBAS</v>
          </cell>
          <cell r="I1148">
            <v>132860</v>
          </cell>
          <cell r="J1148" t="str">
            <v>REPUESTO</v>
          </cell>
          <cell r="K1148" t="str">
            <v>TUERCA 5/8 SEGURO</v>
          </cell>
          <cell r="L1148">
            <v>2</v>
          </cell>
          <cell r="M1148" t="str">
            <v>UNID.</v>
          </cell>
          <cell r="N1148" t="str">
            <v>CISTERNA</v>
          </cell>
          <cell r="O1148">
            <v>0</v>
          </cell>
          <cell r="P1148" t="str">
            <v>S2</v>
          </cell>
          <cell r="Q1148" t="str">
            <v>J1</v>
          </cell>
          <cell r="R1148" t="str">
            <v>J1</v>
          </cell>
          <cell r="S1148" t="str">
            <v>ENTREGADO</v>
          </cell>
          <cell r="T1148">
            <v>42692</v>
          </cell>
          <cell r="U1148" t="str">
            <v>PALOMINO ESTRADA  MICHEL</v>
          </cell>
          <cell r="V1148" t="str">
            <v>FLOREZ CONDORI  JOSE WILLIANS</v>
          </cell>
        </row>
        <row r="1149">
          <cell r="A1149">
            <v>1148</v>
          </cell>
          <cell r="B1149">
            <v>42692</v>
          </cell>
          <cell r="C1149" t="str">
            <v>NOVIEMBRE</v>
          </cell>
          <cell r="D1149" t="str">
            <v>2016</v>
          </cell>
          <cell r="E1149">
            <v>345</v>
          </cell>
          <cell r="F1149" t="str">
            <v>D3R-742</v>
          </cell>
          <cell r="G1149" t="str">
            <v>D2E-975</v>
          </cell>
          <cell r="H1149" t="str">
            <v>LAS BAMBAS</v>
          </cell>
          <cell r="I1149">
            <v>150239</v>
          </cell>
          <cell r="J1149" t="str">
            <v>REPUESTO</v>
          </cell>
          <cell r="K1149" t="str">
            <v>EMPAQUE CUADRADO DE TURBO</v>
          </cell>
          <cell r="L1149">
            <v>1</v>
          </cell>
          <cell r="M1149" t="str">
            <v>UNID.</v>
          </cell>
          <cell r="N1149" t="str">
            <v>TRACTO</v>
          </cell>
          <cell r="O1149">
            <v>0</v>
          </cell>
          <cell r="P1149" t="str">
            <v>M2</v>
          </cell>
          <cell r="Q1149" t="str">
            <v>J1</v>
          </cell>
          <cell r="R1149" t="str">
            <v>J5</v>
          </cell>
          <cell r="S1149" t="str">
            <v>ENTREGADO</v>
          </cell>
          <cell r="T1149">
            <v>42692</v>
          </cell>
          <cell r="U1149" t="str">
            <v>CHUMPITAZ GAGO JULIO ENRIQUE</v>
          </cell>
          <cell r="V1149" t="str">
            <v>FLOREZ CONDORI  JOSE WILLIANS</v>
          </cell>
        </row>
        <row r="1150">
          <cell r="A1150">
            <v>1149</v>
          </cell>
          <cell r="B1150">
            <v>42692</v>
          </cell>
          <cell r="C1150" t="str">
            <v>NOVIEMBRE</v>
          </cell>
          <cell r="D1150" t="str">
            <v>2016</v>
          </cell>
          <cell r="E1150">
            <v>345</v>
          </cell>
          <cell r="F1150" t="str">
            <v>D3R-742</v>
          </cell>
          <cell r="G1150" t="str">
            <v>D2E-975</v>
          </cell>
          <cell r="H1150" t="str">
            <v>LAS BAMBAS</v>
          </cell>
          <cell r="I1150">
            <v>150239</v>
          </cell>
          <cell r="J1150" t="str">
            <v>REPUESTO</v>
          </cell>
          <cell r="K1150" t="str">
            <v>EMPAQUE DE ENTRADA Y SALIDA DE TURBO</v>
          </cell>
          <cell r="L1150">
            <v>1</v>
          </cell>
          <cell r="M1150" t="str">
            <v>UNID.</v>
          </cell>
          <cell r="N1150" t="str">
            <v>TRACTO</v>
          </cell>
          <cell r="O1150">
            <v>0</v>
          </cell>
          <cell r="P1150" t="str">
            <v>M2</v>
          </cell>
          <cell r="Q1150" t="str">
            <v>J1</v>
          </cell>
          <cell r="R1150" t="str">
            <v>J5</v>
          </cell>
          <cell r="S1150" t="str">
            <v>ENTREGADO</v>
          </cell>
          <cell r="T1150">
            <v>42692</v>
          </cell>
          <cell r="U1150" t="str">
            <v>CHUMPITAZ GAGO JULIO ENRIQUE</v>
          </cell>
          <cell r="V1150" t="str">
            <v>FLOREZ CONDORI  JOSE WILLIANS</v>
          </cell>
        </row>
        <row r="1151">
          <cell r="A1151">
            <v>1150</v>
          </cell>
          <cell r="B1151">
            <v>42692</v>
          </cell>
          <cell r="C1151" t="str">
            <v>NOVIEMBRE</v>
          </cell>
          <cell r="D1151" t="str">
            <v>2016</v>
          </cell>
          <cell r="E1151">
            <v>345</v>
          </cell>
          <cell r="F1151" t="str">
            <v>D3R-742</v>
          </cell>
          <cell r="G1151" t="str">
            <v>D2E-975</v>
          </cell>
          <cell r="H1151" t="str">
            <v>LAS BAMBAS</v>
          </cell>
          <cell r="I1151">
            <v>150239</v>
          </cell>
          <cell r="J1151" t="str">
            <v>REPUESTO</v>
          </cell>
          <cell r="K1151" t="str">
            <v>ESPARRAGOS  (PRISIONERO) M10 X 1.5 X 4.4</v>
          </cell>
          <cell r="L1151">
            <v>4</v>
          </cell>
          <cell r="M1151" t="str">
            <v>UNID.</v>
          </cell>
          <cell r="N1151" t="str">
            <v>TRACTO</v>
          </cell>
          <cell r="O1151">
            <v>0</v>
          </cell>
          <cell r="P1151" t="str">
            <v>M2</v>
          </cell>
          <cell r="Q1151" t="str">
            <v>J1</v>
          </cell>
          <cell r="R1151" t="str">
            <v>J5</v>
          </cell>
          <cell r="S1151" t="str">
            <v>ENTREGADO</v>
          </cell>
          <cell r="T1151">
            <v>42692</v>
          </cell>
          <cell r="U1151" t="str">
            <v>CHUMPITAZ GAGO JULIO ENRIQUE</v>
          </cell>
          <cell r="V1151" t="str">
            <v>FLOREZ CONDORI  JOSE WILLIANS</v>
          </cell>
        </row>
        <row r="1152">
          <cell r="A1152">
            <v>1151</v>
          </cell>
          <cell r="B1152">
            <v>42692</v>
          </cell>
          <cell r="C1152" t="str">
            <v>NOVIEMBRE</v>
          </cell>
          <cell r="D1152" t="str">
            <v>2016</v>
          </cell>
          <cell r="E1152">
            <v>345</v>
          </cell>
          <cell r="F1152" t="str">
            <v>D3R-742</v>
          </cell>
          <cell r="G1152" t="str">
            <v>D2E-975</v>
          </cell>
          <cell r="H1152" t="str">
            <v>LAS BAMBAS</v>
          </cell>
          <cell r="I1152">
            <v>150239</v>
          </cell>
          <cell r="J1152" t="str">
            <v>REPUESTO</v>
          </cell>
          <cell r="K1152" t="str">
            <v xml:space="preserve">TUERCAS S-55 </v>
          </cell>
          <cell r="L1152">
            <v>4</v>
          </cell>
          <cell r="M1152" t="str">
            <v>UNID.</v>
          </cell>
          <cell r="N1152" t="str">
            <v>TRACTO</v>
          </cell>
          <cell r="O1152">
            <v>0</v>
          </cell>
          <cell r="P1152" t="str">
            <v>M2</v>
          </cell>
          <cell r="Q1152" t="str">
            <v>J1</v>
          </cell>
          <cell r="R1152" t="str">
            <v>J5</v>
          </cell>
          <cell r="S1152" t="str">
            <v>ENTREGADO</v>
          </cell>
          <cell r="T1152">
            <v>42692</v>
          </cell>
          <cell r="U1152" t="str">
            <v>CHUMPITAZ GAGO JULIO ENRIQUE</v>
          </cell>
          <cell r="V1152" t="str">
            <v>FLOREZ CONDORI  JOSE WILLIANS</v>
          </cell>
        </row>
        <row r="1153">
          <cell r="A1153">
            <v>1073</v>
          </cell>
          <cell r="B1153">
            <v>42692</v>
          </cell>
          <cell r="C1153" t="str">
            <v>NOVIEMBRE</v>
          </cell>
          <cell r="D1153" t="str">
            <v>2016</v>
          </cell>
          <cell r="E1153">
            <v>360</v>
          </cell>
          <cell r="F1153" t="str">
            <v>D3R-791</v>
          </cell>
          <cell r="G1153" t="str">
            <v>B1M-993</v>
          </cell>
          <cell r="H1153" t="str">
            <v>LAS BAMBAS</v>
          </cell>
          <cell r="I1153">
            <v>136941</v>
          </cell>
          <cell r="J1153" t="str">
            <v>REPUESTO</v>
          </cell>
          <cell r="K1153" t="str">
            <v>PERNO 1/4 X 1</v>
          </cell>
          <cell r="L1153">
            <v>1</v>
          </cell>
          <cell r="M1153" t="str">
            <v>UNID.</v>
          </cell>
          <cell r="N1153" t="str">
            <v>TRACTO</v>
          </cell>
          <cell r="O1153">
            <v>0</v>
          </cell>
          <cell r="P1153" t="str">
            <v>M5</v>
          </cell>
          <cell r="Q1153" t="str">
            <v>J1</v>
          </cell>
          <cell r="R1153" t="str">
            <v>J6</v>
          </cell>
          <cell r="S1153" t="str">
            <v>ENTREGADO</v>
          </cell>
          <cell r="T1153">
            <v>42692</v>
          </cell>
          <cell r="U1153" t="str">
            <v>LOPEZ RUIZ WILBERTO</v>
          </cell>
          <cell r="V1153" t="str">
            <v>FLOREZ CONDORI  JOSE WILLIANS</v>
          </cell>
        </row>
        <row r="1154">
          <cell r="A1154">
            <v>1074</v>
          </cell>
          <cell r="B1154">
            <v>42692</v>
          </cell>
          <cell r="C1154" t="str">
            <v>NOVIEMBRE</v>
          </cell>
          <cell r="D1154" t="str">
            <v>2016</v>
          </cell>
          <cell r="E1154">
            <v>360</v>
          </cell>
          <cell r="F1154" t="str">
            <v>D3R-791</v>
          </cell>
          <cell r="G1154" t="str">
            <v>B1M-993</v>
          </cell>
          <cell r="H1154" t="str">
            <v>LAS BAMBAS</v>
          </cell>
          <cell r="I1154">
            <v>136941</v>
          </cell>
          <cell r="J1154" t="str">
            <v>REPUESTO</v>
          </cell>
          <cell r="K1154" t="str">
            <v>TUERCA 1/4</v>
          </cell>
          <cell r="L1154">
            <v>1</v>
          </cell>
          <cell r="M1154" t="str">
            <v>UNID.</v>
          </cell>
          <cell r="N1154" t="str">
            <v>TRACTO</v>
          </cell>
          <cell r="O1154">
            <v>0</v>
          </cell>
          <cell r="P1154" t="str">
            <v>M5</v>
          </cell>
          <cell r="Q1154" t="str">
            <v>J1</v>
          </cell>
          <cell r="R1154" t="str">
            <v>J6</v>
          </cell>
          <cell r="S1154" t="str">
            <v>ENTREGADO</v>
          </cell>
          <cell r="T1154">
            <v>42692</v>
          </cell>
          <cell r="U1154" t="str">
            <v>LOPEZ RUIZ WILBERTO</v>
          </cell>
          <cell r="V1154" t="str">
            <v>FLOREZ CONDORI  JOSE WILLIANS</v>
          </cell>
        </row>
        <row r="1155">
          <cell r="A1155">
            <v>1075</v>
          </cell>
          <cell r="B1155">
            <v>42692</v>
          </cell>
          <cell r="C1155" t="str">
            <v>NOVIEMBRE</v>
          </cell>
          <cell r="D1155" t="str">
            <v>2016</v>
          </cell>
          <cell r="E1155">
            <v>360</v>
          </cell>
          <cell r="F1155" t="str">
            <v>D3R-791</v>
          </cell>
          <cell r="G1155" t="str">
            <v>B1M-993</v>
          </cell>
          <cell r="H1155" t="str">
            <v>LAS BAMBAS</v>
          </cell>
          <cell r="I1155">
            <v>136941</v>
          </cell>
          <cell r="J1155" t="str">
            <v>REPUESTO</v>
          </cell>
          <cell r="K1155" t="str">
            <v>VOLANDA PLANA 1/4</v>
          </cell>
          <cell r="L1155">
            <v>1</v>
          </cell>
          <cell r="M1155" t="str">
            <v>UNID.</v>
          </cell>
          <cell r="N1155" t="str">
            <v>TRACTO</v>
          </cell>
          <cell r="O1155">
            <v>0</v>
          </cell>
          <cell r="P1155" t="str">
            <v>M5</v>
          </cell>
          <cell r="Q1155" t="str">
            <v>J1</v>
          </cell>
          <cell r="R1155" t="str">
            <v>J6</v>
          </cell>
          <cell r="S1155" t="str">
            <v>ENTREGADO</v>
          </cell>
          <cell r="T1155">
            <v>42692</v>
          </cell>
          <cell r="U1155" t="str">
            <v>LOPEZ RUIZ WILBERTO</v>
          </cell>
          <cell r="V1155" t="str">
            <v>FLOREZ CONDORI  JOSE WILLIANS</v>
          </cell>
        </row>
        <row r="1156">
          <cell r="A1156">
            <v>1089</v>
          </cell>
          <cell r="B1156">
            <v>42692</v>
          </cell>
          <cell r="C1156" t="str">
            <v>NOVIEMBRE</v>
          </cell>
          <cell r="D1156" t="str">
            <v>2016</v>
          </cell>
          <cell r="E1156">
            <v>360</v>
          </cell>
          <cell r="F1156" t="str">
            <v>D3R-791</v>
          </cell>
          <cell r="G1156" t="str">
            <v>B1M-993</v>
          </cell>
          <cell r="H1156" t="str">
            <v>LAS BAMBAS</v>
          </cell>
          <cell r="I1156">
            <v>136941</v>
          </cell>
          <cell r="J1156" t="str">
            <v>REPUESTO</v>
          </cell>
          <cell r="K1156" t="str">
            <v>CODO NIPLE 3/8 (DE LA MANGUERA COMPRESORA DE ACEITE)</v>
          </cell>
          <cell r="L1156">
            <v>1</v>
          </cell>
          <cell r="M1156" t="str">
            <v>UNID.</v>
          </cell>
          <cell r="N1156" t="str">
            <v>TRACTO</v>
          </cell>
          <cell r="O1156">
            <v>0</v>
          </cell>
          <cell r="P1156" t="str">
            <v>M5</v>
          </cell>
          <cell r="Q1156" t="str">
            <v>J1</v>
          </cell>
          <cell r="R1156" t="str">
            <v>J6</v>
          </cell>
          <cell r="S1156" t="str">
            <v>ENTREGADO</v>
          </cell>
          <cell r="T1156">
            <v>42692</v>
          </cell>
          <cell r="U1156" t="str">
            <v>LOPEZ RUIZ WILBERTO</v>
          </cell>
          <cell r="V1156" t="str">
            <v>FLOREZ CONDORI  JOSE WILLIANS</v>
          </cell>
        </row>
        <row r="1157">
          <cell r="A1157">
            <v>1094</v>
          </cell>
          <cell r="B1157">
            <v>42692</v>
          </cell>
          <cell r="C1157" t="str">
            <v>NOVIEMBRE</v>
          </cell>
          <cell r="D1157" t="str">
            <v>2016</v>
          </cell>
          <cell r="E1157">
            <v>360</v>
          </cell>
          <cell r="F1157" t="str">
            <v>D3R-791</v>
          </cell>
          <cell r="G1157" t="str">
            <v>B1M-993</v>
          </cell>
          <cell r="H1157" t="str">
            <v>LAS BAMBAS</v>
          </cell>
          <cell r="I1157">
            <v>136941</v>
          </cell>
          <cell r="J1157" t="str">
            <v>REPUESTO</v>
          </cell>
          <cell r="K1157" t="str">
            <v>ACEITE MOTOR 15W-40</v>
          </cell>
          <cell r="L1157">
            <v>1</v>
          </cell>
          <cell r="M1157" t="str">
            <v>GLNS.</v>
          </cell>
          <cell r="N1157" t="str">
            <v>TRACTO</v>
          </cell>
          <cell r="O1157">
            <v>0</v>
          </cell>
          <cell r="P1157" t="str">
            <v>M5</v>
          </cell>
          <cell r="Q1157" t="str">
            <v>J1</v>
          </cell>
          <cell r="R1157" t="str">
            <v>J6</v>
          </cell>
          <cell r="S1157" t="str">
            <v>ENTREGADO</v>
          </cell>
          <cell r="T1157">
            <v>42692</v>
          </cell>
          <cell r="U1157" t="str">
            <v>LOPEZ RUIZ WILBERTO</v>
          </cell>
          <cell r="V1157" t="str">
            <v>FLOREZ CONDORI  JOSE WILLIANS</v>
          </cell>
        </row>
        <row r="1158">
          <cell r="A1158">
            <v>1078</v>
          </cell>
          <cell r="B1158">
            <v>42692</v>
          </cell>
          <cell r="C1158" t="str">
            <v>NOVIEMBRE</v>
          </cell>
          <cell r="D1158" t="str">
            <v>2016</v>
          </cell>
          <cell r="E1158">
            <v>370</v>
          </cell>
          <cell r="F1158" t="str">
            <v>D4T-927</v>
          </cell>
          <cell r="G1158" t="str">
            <v>B4Q-976</v>
          </cell>
          <cell r="H1158" t="str">
            <v>LAS BAMBAS</v>
          </cell>
          <cell r="I1158">
            <v>187827</v>
          </cell>
          <cell r="J1158" t="str">
            <v>REPUESTO</v>
          </cell>
          <cell r="K1158" t="str">
            <v>VALVULA DE ALIVIO</v>
          </cell>
          <cell r="L1158">
            <v>1</v>
          </cell>
          <cell r="M1158" t="str">
            <v>UNID.</v>
          </cell>
          <cell r="N1158" t="str">
            <v>CISTERNA</v>
          </cell>
          <cell r="O1158">
            <v>0</v>
          </cell>
          <cell r="P1158" t="str">
            <v>M6</v>
          </cell>
          <cell r="Q1158" t="str">
            <v>J1</v>
          </cell>
          <cell r="R1158" t="str">
            <v>J6</v>
          </cell>
          <cell r="S1158" t="str">
            <v>ENTREGADO</v>
          </cell>
          <cell r="T1158">
            <v>42692</v>
          </cell>
          <cell r="U1158" t="str">
            <v>PARI VENTURA  EDSON ORLANDO</v>
          </cell>
          <cell r="V1158" t="str">
            <v>FLOREZ CONDORI  JOSE WILLIANS</v>
          </cell>
        </row>
        <row r="1159">
          <cell r="A1159">
            <v>1087</v>
          </cell>
          <cell r="B1159">
            <v>42692</v>
          </cell>
          <cell r="C1159" t="str">
            <v>NOVIEMBRE</v>
          </cell>
          <cell r="D1159" t="str">
            <v>2016</v>
          </cell>
          <cell r="E1159">
            <v>370</v>
          </cell>
          <cell r="F1159" t="str">
            <v>D4T-927</v>
          </cell>
          <cell r="G1159" t="str">
            <v>B4Q-976</v>
          </cell>
          <cell r="H1159" t="str">
            <v>LAS BAMBAS</v>
          </cell>
          <cell r="I1159">
            <v>187827</v>
          </cell>
          <cell r="J1159" t="str">
            <v>REPUESTO</v>
          </cell>
          <cell r="K1159" t="str">
            <v>MATACHISPA</v>
          </cell>
          <cell r="L1159">
            <v>1</v>
          </cell>
          <cell r="M1159" t="str">
            <v>UNID.</v>
          </cell>
          <cell r="N1159" t="str">
            <v>TRACTO</v>
          </cell>
          <cell r="O1159">
            <v>0</v>
          </cell>
          <cell r="P1159" t="str">
            <v>M6</v>
          </cell>
          <cell r="Q1159" t="str">
            <v>J1</v>
          </cell>
          <cell r="R1159" t="str">
            <v>J6</v>
          </cell>
          <cell r="S1159" t="str">
            <v>ENTREGADO</v>
          </cell>
          <cell r="T1159">
            <v>42692</v>
          </cell>
          <cell r="U1159" t="str">
            <v>PARI VENTURA  EDSON ORLANDO</v>
          </cell>
          <cell r="V1159" t="str">
            <v>FLOREZ CONDORI  JOSE WILLIANS</v>
          </cell>
        </row>
        <row r="1160">
          <cell r="A1160">
            <v>1096</v>
          </cell>
          <cell r="B1160">
            <v>42692</v>
          </cell>
          <cell r="C1160" t="str">
            <v>NOVIEMBRE</v>
          </cell>
          <cell r="D1160" t="str">
            <v>2016</v>
          </cell>
          <cell r="E1160">
            <v>370</v>
          </cell>
          <cell r="F1160" t="str">
            <v>D4T-927</v>
          </cell>
          <cell r="G1160" t="str">
            <v>B4Q-976</v>
          </cell>
          <cell r="H1160" t="str">
            <v>LAS BAMBAS</v>
          </cell>
          <cell r="I1160">
            <v>187827</v>
          </cell>
          <cell r="J1160" t="str">
            <v>REPUESTO</v>
          </cell>
          <cell r="K1160" t="str">
            <v>PARCHE RACK 10</v>
          </cell>
          <cell r="L1160">
            <v>1</v>
          </cell>
          <cell r="M1160" t="str">
            <v>UNID.</v>
          </cell>
          <cell r="N1160" t="str">
            <v>TRACTO</v>
          </cell>
          <cell r="O1160">
            <v>0</v>
          </cell>
          <cell r="P1160" t="str">
            <v>N1</v>
          </cell>
          <cell r="Q1160" t="str">
            <v>J2</v>
          </cell>
          <cell r="R1160" t="str">
            <v>J6</v>
          </cell>
          <cell r="S1160" t="str">
            <v>ENTREGADO</v>
          </cell>
          <cell r="T1160">
            <v>42692</v>
          </cell>
          <cell r="U1160" t="str">
            <v>AGUILAR CCANTUTA WILLY</v>
          </cell>
          <cell r="V1160" t="str">
            <v>CORIHUAMAN SURCO  ERICK ROBERT</v>
          </cell>
        </row>
        <row r="1161">
          <cell r="A1161">
            <v>1097</v>
          </cell>
          <cell r="B1161">
            <v>42692</v>
          </cell>
          <cell r="C1161" t="str">
            <v>NOVIEMBRE</v>
          </cell>
          <cell r="D1161" t="str">
            <v>2016</v>
          </cell>
          <cell r="E1161">
            <v>370</v>
          </cell>
          <cell r="F1161" t="str">
            <v>D4T-927</v>
          </cell>
          <cell r="G1161" t="str">
            <v>B4Q-976</v>
          </cell>
          <cell r="H1161" t="str">
            <v>LAS BAMBAS</v>
          </cell>
          <cell r="I1161">
            <v>187827</v>
          </cell>
          <cell r="J1161" t="str">
            <v>REPUESTO</v>
          </cell>
          <cell r="K1161" t="str">
            <v>PARCHE RACK 12</v>
          </cell>
          <cell r="L1161">
            <v>1</v>
          </cell>
          <cell r="M1161" t="str">
            <v>UNID.</v>
          </cell>
          <cell r="N1161" t="str">
            <v>TRACTO</v>
          </cell>
          <cell r="O1161">
            <v>0</v>
          </cell>
          <cell r="P1161" t="str">
            <v>N1</v>
          </cell>
          <cell r="Q1161" t="str">
            <v>J2</v>
          </cell>
          <cell r="R1161" t="str">
            <v>J6</v>
          </cell>
          <cell r="S1161" t="str">
            <v>ENTREGADO</v>
          </cell>
          <cell r="T1161">
            <v>42692</v>
          </cell>
          <cell r="U1161" t="str">
            <v>AGUILAR CCANTUTA WILLY</v>
          </cell>
          <cell r="V1161" t="str">
            <v>CORIHUAMAN SURCO  ERICK ROBERT</v>
          </cell>
        </row>
        <row r="1162">
          <cell r="A1162">
            <v>1098</v>
          </cell>
          <cell r="B1162">
            <v>42692</v>
          </cell>
          <cell r="C1162" t="str">
            <v>NOVIEMBRE</v>
          </cell>
          <cell r="D1162" t="str">
            <v>2016</v>
          </cell>
          <cell r="E1162">
            <v>370</v>
          </cell>
          <cell r="F1162" t="str">
            <v>D4T-927</v>
          </cell>
          <cell r="G1162" t="str">
            <v>B4Q-976</v>
          </cell>
          <cell r="H1162" t="str">
            <v>LAS BAMBAS</v>
          </cell>
          <cell r="I1162">
            <v>187827</v>
          </cell>
          <cell r="J1162" t="str">
            <v>REPUESTO</v>
          </cell>
          <cell r="K1162" t="str">
            <v>PITON RECTO</v>
          </cell>
          <cell r="L1162">
            <v>1</v>
          </cell>
          <cell r="M1162" t="str">
            <v>UNID.</v>
          </cell>
          <cell r="N1162" t="str">
            <v>TRACTO</v>
          </cell>
          <cell r="O1162">
            <v>0</v>
          </cell>
          <cell r="P1162" t="str">
            <v>N1</v>
          </cell>
          <cell r="Q1162" t="str">
            <v>J2</v>
          </cell>
          <cell r="R1162" t="str">
            <v>J6</v>
          </cell>
          <cell r="S1162" t="str">
            <v>ENTREGADO</v>
          </cell>
          <cell r="T1162">
            <v>42692</v>
          </cell>
          <cell r="U1162" t="str">
            <v>AGUILAR CCANTUTA WILLY</v>
          </cell>
          <cell r="V1162" t="str">
            <v>CORIHUAMAN SURCO  ERICK ROBERT</v>
          </cell>
        </row>
        <row r="1163">
          <cell r="A1163">
            <v>1099</v>
          </cell>
          <cell r="B1163">
            <v>42692</v>
          </cell>
          <cell r="C1163" t="str">
            <v>NOVIEMBRE</v>
          </cell>
          <cell r="D1163" t="str">
            <v>2016</v>
          </cell>
          <cell r="E1163">
            <v>370</v>
          </cell>
          <cell r="F1163" t="str">
            <v>D4T-927</v>
          </cell>
          <cell r="G1163" t="str">
            <v>B4Q-976</v>
          </cell>
          <cell r="H1163" t="str">
            <v>LAS BAMBAS</v>
          </cell>
          <cell r="I1163">
            <v>187827</v>
          </cell>
          <cell r="J1163" t="str">
            <v>REPUESTO</v>
          </cell>
          <cell r="K1163" t="str">
            <v>PITON CURVO</v>
          </cell>
          <cell r="L1163">
            <v>1</v>
          </cell>
          <cell r="M1163" t="str">
            <v>UNID.</v>
          </cell>
          <cell r="N1163" t="str">
            <v>TRACTO</v>
          </cell>
          <cell r="O1163">
            <v>0</v>
          </cell>
          <cell r="P1163" t="str">
            <v>N1</v>
          </cell>
          <cell r="Q1163" t="str">
            <v>J2</v>
          </cell>
          <cell r="R1163" t="str">
            <v>J6</v>
          </cell>
          <cell r="S1163" t="str">
            <v>ENTREGADO</v>
          </cell>
          <cell r="T1163">
            <v>42692</v>
          </cell>
          <cell r="U1163" t="str">
            <v>AGUILAR CCANTUTA WILLY</v>
          </cell>
          <cell r="V1163" t="str">
            <v>CORIHUAMAN SURCO  ERICK ROBERT</v>
          </cell>
        </row>
        <row r="1164">
          <cell r="A1164">
            <v>1100</v>
          </cell>
          <cell r="B1164">
            <v>42692</v>
          </cell>
          <cell r="C1164" t="str">
            <v>NOVIEMBRE</v>
          </cell>
          <cell r="D1164" t="str">
            <v>2016</v>
          </cell>
          <cell r="E1164">
            <v>370</v>
          </cell>
          <cell r="F1164" t="str">
            <v>D4T-927</v>
          </cell>
          <cell r="G1164" t="str">
            <v>B4Q-976</v>
          </cell>
          <cell r="H1164" t="str">
            <v>LAS BAMBAS</v>
          </cell>
          <cell r="I1164">
            <v>187827</v>
          </cell>
          <cell r="J1164" t="str">
            <v>REPUESTO</v>
          </cell>
          <cell r="K1164" t="str">
            <v>PITON RECTO</v>
          </cell>
          <cell r="L1164">
            <v>1</v>
          </cell>
          <cell r="M1164" t="str">
            <v>UNID.</v>
          </cell>
          <cell r="N1164" t="str">
            <v>CISTERNA</v>
          </cell>
          <cell r="O1164">
            <v>0</v>
          </cell>
          <cell r="P1164" t="str">
            <v>N1</v>
          </cell>
          <cell r="Q1164" t="str">
            <v>J2</v>
          </cell>
          <cell r="R1164" t="str">
            <v>J6</v>
          </cell>
          <cell r="S1164" t="str">
            <v>ENTREGADO</v>
          </cell>
          <cell r="T1164">
            <v>42692</v>
          </cell>
          <cell r="U1164" t="str">
            <v>AGUILAR CCANTUTA WILLY</v>
          </cell>
          <cell r="V1164" t="str">
            <v>CORIHUAMAN SURCO  ERICK ROBERT</v>
          </cell>
        </row>
        <row r="1165">
          <cell r="A1165">
            <v>1101</v>
          </cell>
          <cell r="B1165">
            <v>42692</v>
          </cell>
          <cell r="C1165" t="str">
            <v>NOVIEMBRE</v>
          </cell>
          <cell r="D1165" t="str">
            <v>2016</v>
          </cell>
          <cell r="E1165">
            <v>370</v>
          </cell>
          <cell r="F1165" t="str">
            <v>D4T-927</v>
          </cell>
          <cell r="G1165" t="str">
            <v>B4Q-976</v>
          </cell>
          <cell r="H1165" t="str">
            <v>LAS BAMBAS</v>
          </cell>
          <cell r="I1165">
            <v>187827</v>
          </cell>
          <cell r="J1165" t="str">
            <v>REPUESTO</v>
          </cell>
          <cell r="K1165" t="str">
            <v>PARCHE RACK 12</v>
          </cell>
          <cell r="L1165">
            <v>1</v>
          </cell>
          <cell r="M1165" t="str">
            <v>UNID.</v>
          </cell>
          <cell r="N1165" t="str">
            <v>CISTERNA</v>
          </cell>
          <cell r="O1165">
            <v>0</v>
          </cell>
          <cell r="P1165" t="str">
            <v>N1</v>
          </cell>
          <cell r="Q1165" t="str">
            <v>J2</v>
          </cell>
          <cell r="R1165" t="str">
            <v>J6</v>
          </cell>
          <cell r="S1165" t="str">
            <v>ENTREGADO</v>
          </cell>
          <cell r="T1165">
            <v>42692</v>
          </cell>
          <cell r="U1165" t="str">
            <v>AGUILAR CCANTUTA WILLY</v>
          </cell>
          <cell r="V1165" t="str">
            <v>CORIHUAMAN SURCO  ERICK ROBERT</v>
          </cell>
        </row>
        <row r="1166">
          <cell r="A1166">
            <v>1113</v>
          </cell>
          <cell r="B1166">
            <v>42692</v>
          </cell>
          <cell r="C1166" t="str">
            <v>NOVIEMBRE</v>
          </cell>
          <cell r="D1166" t="str">
            <v>2016</v>
          </cell>
          <cell r="E1166">
            <v>370</v>
          </cell>
          <cell r="F1166" t="str">
            <v>D4T-927</v>
          </cell>
          <cell r="G1166" t="str">
            <v>B4Q-976</v>
          </cell>
          <cell r="H1166" t="str">
            <v>LAS BAMBAS</v>
          </cell>
          <cell r="I1166">
            <v>187827</v>
          </cell>
          <cell r="J1166" t="str">
            <v>REPUESTO</v>
          </cell>
          <cell r="K1166" t="str">
            <v>LIQUIDO REFRIGERANTE</v>
          </cell>
          <cell r="L1166">
            <v>0.5</v>
          </cell>
          <cell r="M1166" t="str">
            <v>GLNS.</v>
          </cell>
          <cell r="N1166" t="str">
            <v>TRACTO</v>
          </cell>
          <cell r="O1166">
            <v>0</v>
          </cell>
          <cell r="P1166" t="str">
            <v>M6</v>
          </cell>
          <cell r="Q1166" t="str">
            <v>J1</v>
          </cell>
          <cell r="R1166" t="str">
            <v>J6</v>
          </cell>
          <cell r="S1166" t="str">
            <v>ENTREGADO</v>
          </cell>
          <cell r="T1166">
            <v>42692</v>
          </cell>
          <cell r="U1166" t="str">
            <v>PARI VENTURA  EDSON ORLANDO</v>
          </cell>
          <cell r="V1166" t="str">
            <v>FLOREZ CONDORI  JOSE WILLIANS</v>
          </cell>
        </row>
        <row r="1167">
          <cell r="A1167">
            <v>1114</v>
          </cell>
          <cell r="B1167">
            <v>42692</v>
          </cell>
          <cell r="C1167" t="str">
            <v>NOVIEMBRE</v>
          </cell>
          <cell r="D1167" t="str">
            <v>2016</v>
          </cell>
          <cell r="E1167">
            <v>370</v>
          </cell>
          <cell r="F1167" t="str">
            <v>D4T-927</v>
          </cell>
          <cell r="G1167" t="str">
            <v>B4Q-976</v>
          </cell>
          <cell r="H1167" t="str">
            <v>LAS BAMBAS</v>
          </cell>
          <cell r="I1167">
            <v>187827</v>
          </cell>
          <cell r="J1167" t="str">
            <v>REPUESTO</v>
          </cell>
          <cell r="K1167" t="str">
            <v>ACOPLE DE 1/2 CON SALIDA DE 3/8</v>
          </cell>
          <cell r="L1167">
            <v>1</v>
          </cell>
          <cell r="M1167" t="str">
            <v>UNID.</v>
          </cell>
          <cell r="N1167" t="str">
            <v>TRACTO</v>
          </cell>
          <cell r="O1167">
            <v>0</v>
          </cell>
          <cell r="P1167" t="str">
            <v>M6</v>
          </cell>
          <cell r="Q1167" t="str">
            <v>J1</v>
          </cell>
          <cell r="R1167" t="str">
            <v>J6</v>
          </cell>
          <cell r="S1167" t="str">
            <v>ENTREGADO</v>
          </cell>
          <cell r="T1167">
            <v>42692</v>
          </cell>
          <cell r="U1167" t="str">
            <v>PARI VENTURA  EDSON ORLANDO</v>
          </cell>
          <cell r="V1167" t="str">
            <v>FLOREZ CONDORI  JOSE WILLIANS</v>
          </cell>
        </row>
        <row r="1168">
          <cell r="A1168">
            <v>1126</v>
          </cell>
          <cell r="B1168">
            <v>42692</v>
          </cell>
          <cell r="C1168" t="str">
            <v>NOVIEMBRE</v>
          </cell>
          <cell r="D1168" t="str">
            <v>2016</v>
          </cell>
          <cell r="E1168">
            <v>370</v>
          </cell>
          <cell r="F1168" t="str">
            <v>D4T-927</v>
          </cell>
          <cell r="G1168" t="str">
            <v>B4Q-976</v>
          </cell>
          <cell r="H1168" t="str">
            <v>LAS BAMBAS</v>
          </cell>
          <cell r="I1168">
            <v>187827</v>
          </cell>
          <cell r="J1168" t="str">
            <v>REPUESTO</v>
          </cell>
          <cell r="K1168" t="str">
            <v>ACCESORIOS DE PULPO</v>
          </cell>
          <cell r="L1168">
            <v>1</v>
          </cell>
          <cell r="M1168" t="str">
            <v>UNID.</v>
          </cell>
          <cell r="N1168" t="str">
            <v>CISTERNA</v>
          </cell>
          <cell r="O1168">
            <v>0</v>
          </cell>
          <cell r="P1168" t="str">
            <v>M6</v>
          </cell>
          <cell r="Q1168" t="str">
            <v>J1</v>
          </cell>
          <cell r="R1168" t="str">
            <v>J6</v>
          </cell>
          <cell r="S1168" t="str">
            <v>ENTREGADO</v>
          </cell>
          <cell r="T1168">
            <v>42692</v>
          </cell>
          <cell r="U1168" t="str">
            <v>PARI VENTURA  EDSON ORLANDO</v>
          </cell>
          <cell r="V1168" t="str">
            <v>FLOREZ CONDORI  JOSE WILLIANS</v>
          </cell>
        </row>
        <row r="1169">
          <cell r="A1169">
            <v>1066</v>
          </cell>
          <cell r="B1169">
            <v>42692</v>
          </cell>
          <cell r="C1169" t="str">
            <v>NOVIEMBRE</v>
          </cell>
          <cell r="D1169" t="str">
            <v>2016</v>
          </cell>
          <cell r="E1169">
            <v>362</v>
          </cell>
          <cell r="F1169" t="str">
            <v>D4X-872</v>
          </cell>
          <cell r="G1169" t="str">
            <v>B4P-976</v>
          </cell>
          <cell r="H1169" t="str">
            <v>LAS BAMBAS</v>
          </cell>
          <cell r="I1169">
            <v>181891</v>
          </cell>
          <cell r="J1169" t="str">
            <v>REPUESTO</v>
          </cell>
          <cell r="K1169" t="str">
            <v>FARO LED GRANDE BLANCO</v>
          </cell>
          <cell r="L1169">
            <v>1</v>
          </cell>
          <cell r="M1169" t="str">
            <v>UNID.</v>
          </cell>
          <cell r="N1169" t="str">
            <v>CISTERNA</v>
          </cell>
          <cell r="O1169">
            <v>0</v>
          </cell>
          <cell r="P1169" t="str">
            <v>E2</v>
          </cell>
          <cell r="Q1169" t="str">
            <v>J1</v>
          </cell>
          <cell r="R1169" t="str">
            <v>J6</v>
          </cell>
          <cell r="S1169" t="str">
            <v>ENTREGADO</v>
          </cell>
          <cell r="T1169">
            <v>42692</v>
          </cell>
          <cell r="U1169" t="str">
            <v>YUCA BELLIDO BORIS YERSY</v>
          </cell>
          <cell r="V1169" t="str">
            <v>FLOREZ CONDORI  JOSE WILLIANS</v>
          </cell>
        </row>
        <row r="1170">
          <cell r="A1170">
            <v>1067</v>
          </cell>
          <cell r="B1170">
            <v>42692</v>
          </cell>
          <cell r="C1170" t="str">
            <v>NOVIEMBRE</v>
          </cell>
          <cell r="D1170" t="str">
            <v>2016</v>
          </cell>
          <cell r="E1170">
            <v>362</v>
          </cell>
          <cell r="F1170" t="str">
            <v>D4X-872</v>
          </cell>
          <cell r="G1170" t="str">
            <v>B4P-976</v>
          </cell>
          <cell r="H1170" t="str">
            <v>LAS BAMBAS</v>
          </cell>
          <cell r="I1170">
            <v>181891</v>
          </cell>
          <cell r="J1170" t="str">
            <v>REPUESTO</v>
          </cell>
          <cell r="K1170" t="str">
            <v>FOCO DE DOBLE CONTACTO DE 12 V</v>
          </cell>
          <cell r="L1170">
            <v>1</v>
          </cell>
          <cell r="M1170" t="str">
            <v>UNID.</v>
          </cell>
          <cell r="N1170" t="str">
            <v>CISTERNA</v>
          </cell>
          <cell r="O1170">
            <v>0</v>
          </cell>
          <cell r="P1170" t="str">
            <v>E2</v>
          </cell>
          <cell r="Q1170" t="str">
            <v>J1</v>
          </cell>
          <cell r="R1170" t="str">
            <v>J6</v>
          </cell>
          <cell r="S1170" t="str">
            <v>ENTREGADO</v>
          </cell>
          <cell r="T1170">
            <v>42692</v>
          </cell>
          <cell r="U1170" t="str">
            <v>YUCA BELLIDO BORIS YERSY</v>
          </cell>
          <cell r="V1170" t="str">
            <v>FLOREZ CONDORI  JOSE WILLIANS</v>
          </cell>
        </row>
        <row r="1171">
          <cell r="A1171">
            <v>1068</v>
          </cell>
          <cell r="B1171">
            <v>42692</v>
          </cell>
          <cell r="C1171" t="str">
            <v>NOVIEMBRE</v>
          </cell>
          <cell r="D1171" t="str">
            <v>2016</v>
          </cell>
          <cell r="E1171">
            <v>362</v>
          </cell>
          <cell r="F1171" t="str">
            <v>D4X-872</v>
          </cell>
          <cell r="G1171" t="str">
            <v>B4P-976</v>
          </cell>
          <cell r="H1171" t="str">
            <v>LAS BAMBAS</v>
          </cell>
          <cell r="I1171">
            <v>181891</v>
          </cell>
          <cell r="J1171" t="str">
            <v>REPUESTO</v>
          </cell>
          <cell r="K1171" t="str">
            <v>FARO LATERAL AMBAR REDONDO</v>
          </cell>
          <cell r="L1171">
            <v>1</v>
          </cell>
          <cell r="M1171" t="str">
            <v>UNID.</v>
          </cell>
          <cell r="N1171" t="str">
            <v>CISTERNA</v>
          </cell>
          <cell r="O1171">
            <v>0</v>
          </cell>
          <cell r="P1171" t="str">
            <v>E2</v>
          </cell>
          <cell r="Q1171" t="str">
            <v>J1</v>
          </cell>
          <cell r="R1171" t="str">
            <v>J6</v>
          </cell>
          <cell r="S1171" t="str">
            <v>ENTREGADO</v>
          </cell>
          <cell r="T1171">
            <v>42692</v>
          </cell>
          <cell r="U1171" t="str">
            <v>YUCA BELLIDO BORIS YERSY</v>
          </cell>
          <cell r="V1171" t="str">
            <v>FLOREZ CONDORI  JOSE WILLIANS</v>
          </cell>
        </row>
        <row r="1172">
          <cell r="A1172">
            <v>1069</v>
          </cell>
          <cell r="B1172">
            <v>42692</v>
          </cell>
          <cell r="C1172" t="str">
            <v>NOVIEMBRE</v>
          </cell>
          <cell r="D1172" t="str">
            <v>2016</v>
          </cell>
          <cell r="E1172">
            <v>362</v>
          </cell>
          <cell r="F1172" t="str">
            <v>D4X-872</v>
          </cell>
          <cell r="G1172" t="str">
            <v>B4P-976</v>
          </cell>
          <cell r="H1172" t="str">
            <v>LAS BAMBAS</v>
          </cell>
          <cell r="I1172">
            <v>181891</v>
          </cell>
          <cell r="J1172" t="str">
            <v>REPUESTO</v>
          </cell>
          <cell r="K1172" t="str">
            <v>LIQUIDO REFRIGERANTE</v>
          </cell>
          <cell r="L1172">
            <v>0.5</v>
          </cell>
          <cell r="M1172" t="str">
            <v>GLNS.</v>
          </cell>
          <cell r="N1172" t="str">
            <v>TRACTO</v>
          </cell>
          <cell r="O1172">
            <v>0</v>
          </cell>
          <cell r="P1172" t="str">
            <v>M1</v>
          </cell>
          <cell r="Q1172" t="str">
            <v>J1</v>
          </cell>
          <cell r="R1172" t="str">
            <v>J6</v>
          </cell>
          <cell r="S1172" t="str">
            <v>ENTREGADO</v>
          </cell>
          <cell r="T1172">
            <v>42692</v>
          </cell>
          <cell r="U1172" t="str">
            <v>CABEZAS SANCHEZ JEAN JHONATAN</v>
          </cell>
          <cell r="V1172" t="str">
            <v>FLOREZ CONDORI  JOSE WILLIANS</v>
          </cell>
        </row>
        <row r="1173">
          <cell r="A1173">
            <v>1076</v>
          </cell>
          <cell r="B1173">
            <v>42692</v>
          </cell>
          <cell r="C1173" t="str">
            <v>NOVIEMBRE</v>
          </cell>
          <cell r="D1173" t="str">
            <v>2016</v>
          </cell>
          <cell r="E1173">
            <v>362</v>
          </cell>
          <cell r="F1173" t="str">
            <v>D4X-872</v>
          </cell>
          <cell r="G1173" t="str">
            <v>B4P-976</v>
          </cell>
          <cell r="H1173" t="str">
            <v>LAS BAMBAS</v>
          </cell>
          <cell r="I1173">
            <v>181891</v>
          </cell>
          <cell r="J1173" t="str">
            <v>REPUESTO</v>
          </cell>
          <cell r="K1173" t="str">
            <v>ABRAZADERA DE MUELLE 7/8 X 15 "</v>
          </cell>
          <cell r="L1173">
            <v>1</v>
          </cell>
          <cell r="M1173" t="str">
            <v>UNID.</v>
          </cell>
          <cell r="N1173" t="str">
            <v>CISTERNA</v>
          </cell>
          <cell r="O1173">
            <v>98</v>
          </cell>
          <cell r="P1173" t="str">
            <v>M1</v>
          </cell>
          <cell r="Q1173" t="str">
            <v>J2</v>
          </cell>
          <cell r="R1173" t="str">
            <v>J6</v>
          </cell>
          <cell r="S1173" t="str">
            <v>ENTREGADO</v>
          </cell>
          <cell r="T1173">
            <v>0</v>
          </cell>
          <cell r="U1173" t="str">
            <v>CABEZAS SANCHEZ JEAN JHONATAN</v>
          </cell>
          <cell r="V1173" t="str">
            <v>CORIHUAMAN SURCO  ERICK ROBERT</v>
          </cell>
        </row>
        <row r="1174">
          <cell r="A1174">
            <v>1162</v>
          </cell>
          <cell r="B1174">
            <v>42692</v>
          </cell>
          <cell r="C1174" t="str">
            <v>NOVIEMBRE</v>
          </cell>
          <cell r="D1174" t="str">
            <v>2016</v>
          </cell>
          <cell r="E1174">
            <v>362</v>
          </cell>
          <cell r="F1174" t="str">
            <v>D4X-872</v>
          </cell>
          <cell r="G1174" t="str">
            <v>B4P-976</v>
          </cell>
          <cell r="H1174" t="str">
            <v>LAS BAMBAS</v>
          </cell>
          <cell r="I1174">
            <v>181891</v>
          </cell>
          <cell r="J1174" t="str">
            <v>REPUESTO</v>
          </cell>
          <cell r="K1174" t="str">
            <v>PERNO MANHOLE 3/8 X 6</v>
          </cell>
          <cell r="L1174">
            <v>1</v>
          </cell>
          <cell r="M1174" t="str">
            <v>UNID.</v>
          </cell>
          <cell r="N1174" t="str">
            <v>CISTERNA</v>
          </cell>
          <cell r="O1174">
            <v>0</v>
          </cell>
          <cell r="P1174" t="str">
            <v>S3</v>
          </cell>
          <cell r="Q1174" t="str">
            <v>J1</v>
          </cell>
          <cell r="R1174" t="str">
            <v>J1</v>
          </cell>
          <cell r="S1174" t="str">
            <v>ENTREGADO</v>
          </cell>
          <cell r="T1174">
            <v>42692</v>
          </cell>
          <cell r="U1174" t="str">
            <v>JIMENEZ MACHACA JAVIER</v>
          </cell>
          <cell r="V1174" t="str">
            <v>FLOREZ CONDORI  JOSE WILLIANS</v>
          </cell>
        </row>
        <row r="1175">
          <cell r="A1175">
            <v>1163</v>
          </cell>
          <cell r="B1175">
            <v>42692</v>
          </cell>
          <cell r="C1175" t="str">
            <v>NOVIEMBRE</v>
          </cell>
          <cell r="D1175" t="str">
            <v>2016</v>
          </cell>
          <cell r="E1175">
            <v>362</v>
          </cell>
          <cell r="F1175" t="str">
            <v>D4X-872</v>
          </cell>
          <cell r="G1175" t="str">
            <v>B4P-976</v>
          </cell>
          <cell r="H1175" t="str">
            <v>LAS BAMBAS</v>
          </cell>
          <cell r="I1175">
            <v>181891</v>
          </cell>
          <cell r="J1175" t="str">
            <v>REPUESTO</v>
          </cell>
          <cell r="K1175" t="str">
            <v>TUERCA 3/8</v>
          </cell>
          <cell r="L1175">
            <v>2</v>
          </cell>
          <cell r="M1175" t="str">
            <v>UNID.</v>
          </cell>
          <cell r="N1175" t="str">
            <v>CISTERNA</v>
          </cell>
          <cell r="O1175">
            <v>0</v>
          </cell>
          <cell r="P1175" t="str">
            <v>S3</v>
          </cell>
          <cell r="Q1175" t="str">
            <v>J1</v>
          </cell>
          <cell r="R1175" t="str">
            <v>J1</v>
          </cell>
          <cell r="S1175" t="str">
            <v>ENTREGADO</v>
          </cell>
          <cell r="T1175">
            <v>42692</v>
          </cell>
          <cell r="U1175" t="str">
            <v>JIMENEZ MACHACA JAVIER</v>
          </cell>
          <cell r="V1175" t="str">
            <v>FLOREZ CONDORI  JOSE WILLIANS</v>
          </cell>
        </row>
        <row r="1176">
          <cell r="A1176">
            <v>1164</v>
          </cell>
          <cell r="B1176">
            <v>42692</v>
          </cell>
          <cell r="C1176" t="str">
            <v>NOVIEMBRE</v>
          </cell>
          <cell r="D1176" t="str">
            <v>2016</v>
          </cell>
          <cell r="E1176">
            <v>362</v>
          </cell>
          <cell r="F1176" t="str">
            <v>D4X-872</v>
          </cell>
          <cell r="G1176" t="str">
            <v>B4P-976</v>
          </cell>
          <cell r="H1176" t="str">
            <v>LAS BAMBAS</v>
          </cell>
          <cell r="I1176">
            <v>181891</v>
          </cell>
          <cell r="J1176" t="str">
            <v>REPUESTO</v>
          </cell>
          <cell r="K1176" t="str">
            <v>VOLANDA 3/8</v>
          </cell>
          <cell r="L1176">
            <v>1</v>
          </cell>
          <cell r="M1176" t="str">
            <v>UNID.</v>
          </cell>
          <cell r="N1176" t="str">
            <v>CISTERNA</v>
          </cell>
          <cell r="O1176">
            <v>0</v>
          </cell>
          <cell r="P1176" t="str">
            <v>S3</v>
          </cell>
          <cell r="Q1176" t="str">
            <v>J1</v>
          </cell>
          <cell r="R1176" t="str">
            <v>J1</v>
          </cell>
          <cell r="S1176" t="str">
            <v>ENTREGADO</v>
          </cell>
          <cell r="T1176">
            <v>42692</v>
          </cell>
          <cell r="U1176" t="str">
            <v>JIMENEZ MACHACA JAVIER</v>
          </cell>
          <cell r="V1176" t="str">
            <v>FLOREZ CONDORI  JOSE WILLIANS</v>
          </cell>
        </row>
        <row r="1177">
          <cell r="A1177">
            <v>1054</v>
          </cell>
          <cell r="B1177">
            <v>42692</v>
          </cell>
          <cell r="C1177" t="str">
            <v>NOVIEMBRE</v>
          </cell>
          <cell r="D1177" t="str">
            <v>2016</v>
          </cell>
          <cell r="E1177">
            <v>200</v>
          </cell>
          <cell r="F1177" t="str">
            <v>TALLER</v>
          </cell>
          <cell r="G1177" t="str">
            <v>TALLER</v>
          </cell>
          <cell r="H1177" t="str">
            <v>TALLER</v>
          </cell>
          <cell r="I1177" t="str">
            <v>TALLER</v>
          </cell>
          <cell r="J1177" t="str">
            <v>UNIFORMES</v>
          </cell>
          <cell r="K1177" t="str">
            <v>TAIVEX "M"</v>
          </cell>
          <cell r="L1177">
            <v>1</v>
          </cell>
          <cell r="M1177" t="str">
            <v>UNID.</v>
          </cell>
          <cell r="N1177" t="str">
            <v>TALLER</v>
          </cell>
          <cell r="O1177">
            <v>0</v>
          </cell>
          <cell r="P1177" t="str">
            <v>M5</v>
          </cell>
          <cell r="Q1177" t="str">
            <v>J1</v>
          </cell>
          <cell r="R1177" t="str">
            <v>J6</v>
          </cell>
          <cell r="S1177" t="str">
            <v>ENTREGADO</v>
          </cell>
          <cell r="T1177">
            <v>42692</v>
          </cell>
          <cell r="U1177" t="str">
            <v>LOPEZ RUIZ WILBERTO</v>
          </cell>
          <cell r="V1177" t="str">
            <v>FLOREZ CONDORI  JOSE WILLIANS</v>
          </cell>
        </row>
        <row r="1178">
          <cell r="A1178">
            <v>1062</v>
          </cell>
          <cell r="B1178">
            <v>42692</v>
          </cell>
          <cell r="C1178" t="str">
            <v>NOVIEMBRE</v>
          </cell>
          <cell r="D1178" t="str">
            <v>2016</v>
          </cell>
          <cell r="E1178">
            <v>200</v>
          </cell>
          <cell r="F1178" t="str">
            <v>TALLER</v>
          </cell>
          <cell r="G1178" t="str">
            <v>TALLER</v>
          </cell>
          <cell r="H1178" t="str">
            <v>TALLER</v>
          </cell>
          <cell r="I1178" t="str">
            <v>TALLER</v>
          </cell>
          <cell r="J1178" t="str">
            <v>HERRAMIENTAS</v>
          </cell>
          <cell r="K1178" t="str">
            <v>BROCA 3/16</v>
          </cell>
          <cell r="L1178">
            <v>1</v>
          </cell>
          <cell r="M1178" t="str">
            <v>UNID.</v>
          </cell>
          <cell r="N1178" t="str">
            <v>TALLER</v>
          </cell>
          <cell r="O1178">
            <v>0</v>
          </cell>
          <cell r="P1178" t="str">
            <v>E1</v>
          </cell>
          <cell r="Q1178" t="str">
            <v>J1</v>
          </cell>
          <cell r="R1178" t="str">
            <v>J6</v>
          </cell>
          <cell r="S1178" t="str">
            <v>ENTREGADO</v>
          </cell>
          <cell r="T1178">
            <v>42692</v>
          </cell>
          <cell r="U1178" t="str">
            <v>PALOMINO CARDENAS JUAN CARLOS</v>
          </cell>
          <cell r="V1178" t="str">
            <v>FLOREZ CONDORI  JOSE WILLIANS</v>
          </cell>
        </row>
        <row r="1179">
          <cell r="A1179">
            <v>1063</v>
          </cell>
          <cell r="B1179">
            <v>42692</v>
          </cell>
          <cell r="C1179" t="str">
            <v>NOVIEMBRE</v>
          </cell>
          <cell r="D1179" t="str">
            <v>2016</v>
          </cell>
          <cell r="E1179">
            <v>200</v>
          </cell>
          <cell r="F1179" t="str">
            <v>TALLER</v>
          </cell>
          <cell r="G1179" t="str">
            <v>TALLER</v>
          </cell>
          <cell r="H1179" t="str">
            <v>TALLER</v>
          </cell>
          <cell r="I1179" t="str">
            <v>TALLER</v>
          </cell>
          <cell r="J1179" t="str">
            <v>HERRAMIENTAS</v>
          </cell>
          <cell r="K1179" t="str">
            <v>BROCA 1/4</v>
          </cell>
          <cell r="L1179">
            <v>1</v>
          </cell>
          <cell r="M1179" t="str">
            <v>UNID.</v>
          </cell>
          <cell r="N1179" t="str">
            <v>TALLER</v>
          </cell>
          <cell r="O1179">
            <v>0</v>
          </cell>
          <cell r="P1179" t="str">
            <v>E1</v>
          </cell>
          <cell r="Q1179" t="str">
            <v>J1</v>
          </cell>
          <cell r="R1179" t="str">
            <v>J6</v>
          </cell>
          <cell r="S1179" t="str">
            <v>ENTREGADO</v>
          </cell>
          <cell r="T1179">
            <v>42692</v>
          </cell>
          <cell r="U1179" t="str">
            <v>PALOMINO CARDENAS JUAN CARLOS</v>
          </cell>
          <cell r="V1179" t="str">
            <v>FLOREZ CONDORI  JOSE WILLIANS</v>
          </cell>
        </row>
        <row r="1180">
          <cell r="A1180">
            <v>1064</v>
          </cell>
          <cell r="B1180">
            <v>42692</v>
          </cell>
          <cell r="C1180" t="str">
            <v>NOVIEMBRE</v>
          </cell>
          <cell r="D1180" t="str">
            <v>2016</v>
          </cell>
          <cell r="E1180">
            <v>200</v>
          </cell>
          <cell r="F1180" t="str">
            <v>TALLER</v>
          </cell>
          <cell r="G1180" t="str">
            <v>TALLER</v>
          </cell>
          <cell r="H1180" t="str">
            <v>TALLER</v>
          </cell>
          <cell r="I1180" t="str">
            <v>TALLER</v>
          </cell>
          <cell r="J1180" t="str">
            <v>HERRAMIENTAS</v>
          </cell>
          <cell r="K1180" t="str">
            <v>BROCA 5/16</v>
          </cell>
          <cell r="L1180">
            <v>1</v>
          </cell>
          <cell r="M1180" t="str">
            <v>UNID.</v>
          </cell>
          <cell r="N1180" t="str">
            <v>TALLER</v>
          </cell>
          <cell r="O1180">
            <v>0</v>
          </cell>
          <cell r="P1180" t="str">
            <v>E1</v>
          </cell>
          <cell r="Q1180" t="str">
            <v>J1</v>
          </cell>
          <cell r="R1180" t="str">
            <v>J6</v>
          </cell>
          <cell r="S1180" t="str">
            <v>ENTREGADO</v>
          </cell>
          <cell r="T1180">
            <v>42692</v>
          </cell>
          <cell r="U1180" t="str">
            <v>PALOMINO CARDENAS JUAN CARLOS</v>
          </cell>
          <cell r="V1180" t="str">
            <v>FLOREZ CONDORI  JOSE WILLIANS</v>
          </cell>
        </row>
        <row r="1181">
          <cell r="A1181">
            <v>1065</v>
          </cell>
          <cell r="B1181">
            <v>42692</v>
          </cell>
          <cell r="C1181" t="str">
            <v>NOVIEMBRE</v>
          </cell>
          <cell r="D1181" t="str">
            <v>2016</v>
          </cell>
          <cell r="E1181">
            <v>200</v>
          </cell>
          <cell r="F1181" t="str">
            <v>TALLER</v>
          </cell>
          <cell r="G1181" t="str">
            <v>TALLER</v>
          </cell>
          <cell r="H1181" t="str">
            <v>TALLER</v>
          </cell>
          <cell r="I1181" t="str">
            <v>TALLER</v>
          </cell>
          <cell r="J1181" t="str">
            <v>HERRAMIENTAS</v>
          </cell>
          <cell r="K1181" t="str">
            <v>BROCA 3/8</v>
          </cell>
          <cell r="L1181">
            <v>1</v>
          </cell>
          <cell r="M1181" t="str">
            <v>UNID.</v>
          </cell>
          <cell r="N1181" t="str">
            <v>TALLER</v>
          </cell>
          <cell r="O1181">
            <v>0</v>
          </cell>
          <cell r="P1181" t="str">
            <v>E1</v>
          </cell>
          <cell r="Q1181" t="str">
            <v>J1</v>
          </cell>
          <cell r="R1181" t="str">
            <v>J6</v>
          </cell>
          <cell r="S1181" t="str">
            <v>ENTREGADO</v>
          </cell>
          <cell r="T1181">
            <v>42692</v>
          </cell>
          <cell r="U1181" t="str">
            <v>PALOMINO CARDENAS JUAN CARLOS</v>
          </cell>
          <cell r="V1181" t="str">
            <v>FLOREZ CONDORI  JOSE WILLIANS</v>
          </cell>
        </row>
        <row r="1182">
          <cell r="A1182">
            <v>1077</v>
          </cell>
          <cell r="B1182">
            <v>42692</v>
          </cell>
          <cell r="C1182" t="str">
            <v>NOVIEMBRE</v>
          </cell>
          <cell r="D1182" t="str">
            <v>2016</v>
          </cell>
          <cell r="E1182">
            <v>200</v>
          </cell>
          <cell r="F1182" t="str">
            <v>TALLER</v>
          </cell>
          <cell r="G1182" t="str">
            <v>TALLER</v>
          </cell>
          <cell r="H1182" t="str">
            <v>TALLER</v>
          </cell>
          <cell r="I1182" t="str">
            <v>TALLER</v>
          </cell>
          <cell r="J1182" t="str">
            <v>INSUMO TALLER</v>
          </cell>
          <cell r="K1182" t="str">
            <v>CINTA TEFLON</v>
          </cell>
          <cell r="L1182">
            <v>1</v>
          </cell>
          <cell r="M1182" t="str">
            <v>UNID.</v>
          </cell>
          <cell r="N1182" t="str">
            <v>TALLER</v>
          </cell>
          <cell r="O1182">
            <v>0</v>
          </cell>
          <cell r="P1182" t="str">
            <v>M5</v>
          </cell>
          <cell r="Q1182" t="str">
            <v>J1</v>
          </cell>
          <cell r="R1182" t="str">
            <v>J6</v>
          </cell>
          <cell r="S1182" t="str">
            <v>ENTREGADO</v>
          </cell>
          <cell r="T1182">
            <v>42692</v>
          </cell>
          <cell r="U1182" t="str">
            <v>LOPEZ RUIZ WILBERTO</v>
          </cell>
          <cell r="V1182" t="str">
            <v>FLOREZ CONDORI  JOSE WILLIANS</v>
          </cell>
        </row>
        <row r="1183">
          <cell r="A1183">
            <v>1086</v>
          </cell>
          <cell r="B1183">
            <v>42692</v>
          </cell>
          <cell r="C1183" t="str">
            <v>NOVIEMBRE</v>
          </cell>
          <cell r="D1183" t="str">
            <v>2016</v>
          </cell>
          <cell r="E1183">
            <v>200</v>
          </cell>
          <cell r="F1183" t="str">
            <v>TALLER</v>
          </cell>
          <cell r="G1183" t="str">
            <v>TALLER</v>
          </cell>
          <cell r="H1183" t="str">
            <v>TALLER</v>
          </cell>
          <cell r="I1183" t="str">
            <v>TALLER</v>
          </cell>
          <cell r="J1183" t="str">
            <v>INSUMO TALLER</v>
          </cell>
          <cell r="K1183" t="str">
            <v>TIZA</v>
          </cell>
          <cell r="L1183">
            <v>1</v>
          </cell>
          <cell r="M1183" t="str">
            <v>UNID.</v>
          </cell>
          <cell r="N1183" t="str">
            <v>TALLER</v>
          </cell>
          <cell r="O1183">
            <v>0</v>
          </cell>
          <cell r="P1183" t="str">
            <v>S3</v>
          </cell>
          <cell r="Q1183" t="str">
            <v>J1</v>
          </cell>
          <cell r="R1183" t="str">
            <v>J6</v>
          </cell>
          <cell r="S1183" t="str">
            <v>ENTREGADO</v>
          </cell>
          <cell r="T1183">
            <v>42692</v>
          </cell>
          <cell r="U1183" t="str">
            <v>JIMENEZ MACHACA JAVIER</v>
          </cell>
          <cell r="V1183" t="str">
            <v>FLOREZ CONDORI  JOSE WILLIANS</v>
          </cell>
        </row>
        <row r="1184">
          <cell r="A1184">
            <v>1088</v>
          </cell>
          <cell r="B1184">
            <v>42692</v>
          </cell>
          <cell r="C1184" t="str">
            <v>NOVIEMBRE</v>
          </cell>
          <cell r="D1184" t="str">
            <v>2016</v>
          </cell>
          <cell r="E1184">
            <v>200</v>
          </cell>
          <cell r="F1184" t="str">
            <v>TALLER</v>
          </cell>
          <cell r="G1184" t="str">
            <v>TALLER</v>
          </cell>
          <cell r="H1184" t="str">
            <v>TALLER</v>
          </cell>
          <cell r="I1184" t="str">
            <v>TALLER</v>
          </cell>
          <cell r="J1184" t="str">
            <v>INSUMO TALLER</v>
          </cell>
          <cell r="K1184" t="str">
            <v>TRAPOS SUELTOS</v>
          </cell>
          <cell r="L1184">
            <v>1</v>
          </cell>
          <cell r="M1184" t="str">
            <v>KG.</v>
          </cell>
          <cell r="N1184" t="str">
            <v>TALLER</v>
          </cell>
          <cell r="O1184">
            <v>0</v>
          </cell>
          <cell r="P1184" t="str">
            <v>J6</v>
          </cell>
          <cell r="Q1184" t="str">
            <v>J1</v>
          </cell>
          <cell r="R1184" t="str">
            <v>J6</v>
          </cell>
          <cell r="S1184" t="str">
            <v>ENTREGADO</v>
          </cell>
          <cell r="T1184">
            <v>42692</v>
          </cell>
          <cell r="U1184" t="str">
            <v>VILLANUEVA BEJAR  YHORDAN MICHEL</v>
          </cell>
          <cell r="V1184" t="str">
            <v>FLOREZ CONDORI  JOSE WILLIANS</v>
          </cell>
        </row>
        <row r="1185">
          <cell r="A1185">
            <v>1105</v>
          </cell>
          <cell r="B1185">
            <v>42692</v>
          </cell>
          <cell r="C1185" t="str">
            <v>NOVIEMBRE</v>
          </cell>
          <cell r="D1185" t="str">
            <v>2016</v>
          </cell>
          <cell r="E1185">
            <v>200</v>
          </cell>
          <cell r="F1185" t="str">
            <v>TALLER</v>
          </cell>
          <cell r="G1185" t="str">
            <v>TALLER</v>
          </cell>
          <cell r="H1185" t="str">
            <v>TALLER</v>
          </cell>
          <cell r="I1185" t="str">
            <v>TALLER</v>
          </cell>
          <cell r="J1185" t="str">
            <v>INSUMO TALLER</v>
          </cell>
          <cell r="K1185" t="str">
            <v>VARILLAS INOX</v>
          </cell>
          <cell r="L1185">
            <v>7</v>
          </cell>
          <cell r="M1185" t="str">
            <v>UNID.</v>
          </cell>
          <cell r="N1185" t="str">
            <v>TALLER</v>
          </cell>
          <cell r="O1185">
            <v>0</v>
          </cell>
          <cell r="P1185" t="str">
            <v>S3</v>
          </cell>
          <cell r="Q1185" t="str">
            <v>J1</v>
          </cell>
          <cell r="R1185" t="str">
            <v>J6</v>
          </cell>
          <cell r="S1185" t="str">
            <v>ENTREGADO</v>
          </cell>
          <cell r="T1185">
            <v>42692</v>
          </cell>
          <cell r="U1185" t="str">
            <v>JIMENEZ MACHACA JAVIER</v>
          </cell>
          <cell r="V1185" t="str">
            <v>FLOREZ CONDORI  JOSE WILLIANS</v>
          </cell>
        </row>
        <row r="1186">
          <cell r="A1186">
            <v>1118</v>
          </cell>
          <cell r="B1186">
            <v>42692</v>
          </cell>
          <cell r="C1186" t="str">
            <v>NOVIEMBRE</v>
          </cell>
          <cell r="D1186" t="str">
            <v>2016</v>
          </cell>
          <cell r="E1186">
            <v>200</v>
          </cell>
          <cell r="F1186" t="str">
            <v>TALLER</v>
          </cell>
          <cell r="G1186" t="str">
            <v>TALLER</v>
          </cell>
          <cell r="H1186" t="str">
            <v>TALLER</v>
          </cell>
          <cell r="I1186" t="str">
            <v>TALLER</v>
          </cell>
          <cell r="J1186" t="str">
            <v>INSUMO TALLER</v>
          </cell>
          <cell r="K1186" t="str">
            <v>SILICONA</v>
          </cell>
          <cell r="L1186">
            <v>1</v>
          </cell>
          <cell r="M1186" t="str">
            <v>UNID.</v>
          </cell>
          <cell r="N1186" t="str">
            <v>TALLER</v>
          </cell>
          <cell r="O1186">
            <v>0</v>
          </cell>
          <cell r="P1186" t="str">
            <v>M5</v>
          </cell>
          <cell r="Q1186" t="str">
            <v>J1</v>
          </cell>
          <cell r="R1186" t="str">
            <v>J6</v>
          </cell>
          <cell r="S1186" t="str">
            <v>ENTREGADO</v>
          </cell>
          <cell r="T1186">
            <v>42692</v>
          </cell>
          <cell r="U1186" t="str">
            <v>LOPEZ RUIZ WILBERTO</v>
          </cell>
          <cell r="V1186" t="str">
            <v>FLOREZ CONDORI  JOSE WILLIANS</v>
          </cell>
        </row>
        <row r="1187">
          <cell r="A1187">
            <v>1138</v>
          </cell>
          <cell r="B1187">
            <v>42692</v>
          </cell>
          <cell r="C1187" t="str">
            <v>NOVIEMBRE</v>
          </cell>
          <cell r="D1187" t="str">
            <v>2016</v>
          </cell>
          <cell r="E1187">
            <v>200</v>
          </cell>
          <cell r="F1187" t="str">
            <v>TALLER</v>
          </cell>
          <cell r="G1187" t="str">
            <v>TALLER</v>
          </cell>
          <cell r="H1187" t="str">
            <v>TALLER</v>
          </cell>
          <cell r="I1187" t="str">
            <v>TALLER</v>
          </cell>
          <cell r="J1187" t="str">
            <v>INSUMO TALLER</v>
          </cell>
          <cell r="K1187" t="str">
            <v>SIKAFLEX</v>
          </cell>
          <cell r="L1187">
            <v>1</v>
          </cell>
          <cell r="M1187" t="str">
            <v>UNID.</v>
          </cell>
          <cell r="N1187" t="str">
            <v>TALLER</v>
          </cell>
          <cell r="O1187">
            <v>0</v>
          </cell>
          <cell r="P1187" t="str">
            <v>E1</v>
          </cell>
          <cell r="Q1187" t="str">
            <v>J2</v>
          </cell>
          <cell r="R1187" t="str">
            <v>J6</v>
          </cell>
          <cell r="S1187" t="str">
            <v>ENTREGADO</v>
          </cell>
          <cell r="T1187">
            <v>42692</v>
          </cell>
          <cell r="U1187" t="str">
            <v>PALOMINO CARDENAS JUAN CARLOS</v>
          </cell>
          <cell r="V1187" t="str">
            <v>CORIHUAMAN SURCO  ERICK ROBERT</v>
          </cell>
        </row>
        <row r="1188">
          <cell r="A1188">
            <v>1171</v>
          </cell>
          <cell r="B1188">
            <v>42692</v>
          </cell>
          <cell r="C1188" t="str">
            <v>NOVIEMBRE</v>
          </cell>
          <cell r="D1188" t="str">
            <v>2016</v>
          </cell>
          <cell r="E1188">
            <v>200</v>
          </cell>
          <cell r="F1188" t="str">
            <v>TALLER</v>
          </cell>
          <cell r="G1188" t="str">
            <v>TALLER</v>
          </cell>
          <cell r="H1188" t="str">
            <v>TALLER</v>
          </cell>
          <cell r="I1188" t="str">
            <v>TALLER</v>
          </cell>
          <cell r="J1188" t="str">
            <v>REPUESTO</v>
          </cell>
          <cell r="K1188" t="str">
            <v>SOLDIMIX</v>
          </cell>
          <cell r="L1188">
            <v>1</v>
          </cell>
          <cell r="M1188" t="str">
            <v>UNID.</v>
          </cell>
          <cell r="N1188" t="str">
            <v>CISTERNA</v>
          </cell>
          <cell r="O1188">
            <v>0</v>
          </cell>
          <cell r="P1188" t="str">
            <v>S3</v>
          </cell>
          <cell r="Q1188" t="str">
            <v>J1</v>
          </cell>
          <cell r="R1188" t="str">
            <v>J1</v>
          </cell>
          <cell r="S1188" t="str">
            <v>ENTREGADO</v>
          </cell>
          <cell r="T1188">
            <v>42692</v>
          </cell>
          <cell r="U1188" t="str">
            <v>JIMENEZ MACHACA JAVIER</v>
          </cell>
          <cell r="V1188" t="str">
            <v>FLOREZ CONDORI  JOSE WILLIANS</v>
          </cell>
        </row>
        <row r="1189">
          <cell r="A1189">
            <v>1116</v>
          </cell>
          <cell r="B1189">
            <v>42692</v>
          </cell>
          <cell r="C1189" t="str">
            <v>NOVIEMBRE</v>
          </cell>
          <cell r="D1189" t="str">
            <v>2016</v>
          </cell>
          <cell r="E1189">
            <v>366</v>
          </cell>
          <cell r="F1189" t="str">
            <v>X2W-760</v>
          </cell>
          <cell r="G1189" t="str">
            <v>C5V-992</v>
          </cell>
          <cell r="H1189" t="str">
            <v>LAS BAMBAS</v>
          </cell>
          <cell r="I1189">
            <v>148037</v>
          </cell>
          <cell r="J1189" t="str">
            <v>REPUESTO</v>
          </cell>
          <cell r="K1189" t="str">
            <v>PERNO MANHOLE 3/8 X 6</v>
          </cell>
          <cell r="L1189">
            <v>1</v>
          </cell>
          <cell r="M1189" t="str">
            <v>UNID.</v>
          </cell>
          <cell r="N1189" t="str">
            <v>CISTERNA</v>
          </cell>
          <cell r="O1189">
            <v>0</v>
          </cell>
          <cell r="P1189" t="str">
            <v>S3</v>
          </cell>
          <cell r="Q1189" t="str">
            <v>J1</v>
          </cell>
          <cell r="R1189" t="str">
            <v>J6</v>
          </cell>
          <cell r="S1189" t="str">
            <v>ENTREGADO</v>
          </cell>
          <cell r="T1189">
            <v>42692</v>
          </cell>
          <cell r="U1189" t="str">
            <v>JIMENEZ MACHACA JAVIER</v>
          </cell>
          <cell r="V1189" t="str">
            <v>FLOREZ CONDORI  JOSE WILLIANS</v>
          </cell>
        </row>
        <row r="1190">
          <cell r="A1190">
            <v>1117</v>
          </cell>
          <cell r="B1190">
            <v>42692</v>
          </cell>
          <cell r="C1190" t="str">
            <v>NOVIEMBRE</v>
          </cell>
          <cell r="D1190" t="str">
            <v>2016</v>
          </cell>
          <cell r="E1190">
            <v>366</v>
          </cell>
          <cell r="F1190" t="str">
            <v>X2W-760</v>
          </cell>
          <cell r="G1190" t="str">
            <v>C5V-992</v>
          </cell>
          <cell r="H1190" t="str">
            <v>LAS BAMBAS</v>
          </cell>
          <cell r="I1190">
            <v>148037</v>
          </cell>
          <cell r="J1190" t="str">
            <v>REPUESTO</v>
          </cell>
          <cell r="K1190" t="str">
            <v>TUERCA 3/8</v>
          </cell>
          <cell r="L1190">
            <v>2</v>
          </cell>
          <cell r="M1190" t="str">
            <v>UNID.</v>
          </cell>
          <cell r="N1190" t="str">
            <v>CISTERNA</v>
          </cell>
          <cell r="O1190">
            <v>0</v>
          </cell>
          <cell r="P1190" t="str">
            <v>S3</v>
          </cell>
          <cell r="Q1190" t="str">
            <v>J1</v>
          </cell>
          <cell r="R1190" t="str">
            <v>J6</v>
          </cell>
          <cell r="S1190" t="str">
            <v>ENTREGADO</v>
          </cell>
          <cell r="T1190">
            <v>42692</v>
          </cell>
          <cell r="U1190" t="str">
            <v>JIMENEZ MACHACA JAVIER</v>
          </cell>
          <cell r="V1190" t="str">
            <v>FLOREZ CONDORI  JOSE WILLIANS</v>
          </cell>
        </row>
        <row r="1191">
          <cell r="A1191">
            <v>1124</v>
          </cell>
          <cell r="B1191">
            <v>42692</v>
          </cell>
          <cell r="C1191" t="str">
            <v>NOVIEMBRE</v>
          </cell>
          <cell r="D1191" t="str">
            <v>2016</v>
          </cell>
          <cell r="E1191">
            <v>366</v>
          </cell>
          <cell r="F1191" t="str">
            <v>X2W-760</v>
          </cell>
          <cell r="G1191" t="str">
            <v>C5V-992</v>
          </cell>
          <cell r="H1191" t="str">
            <v>LAS BAMBAS</v>
          </cell>
          <cell r="I1191">
            <v>148037</v>
          </cell>
          <cell r="J1191" t="str">
            <v>REPUESTO</v>
          </cell>
          <cell r="K1191" t="str">
            <v>VOLANDA 3/8</v>
          </cell>
          <cell r="L1191">
            <v>5</v>
          </cell>
          <cell r="M1191" t="str">
            <v>UNID.</v>
          </cell>
          <cell r="N1191" t="str">
            <v>TRACTO</v>
          </cell>
          <cell r="O1191">
            <v>0</v>
          </cell>
          <cell r="P1191" t="str">
            <v>S3</v>
          </cell>
          <cell r="Q1191" t="str">
            <v>J1</v>
          </cell>
          <cell r="R1191" t="str">
            <v>J5</v>
          </cell>
          <cell r="S1191" t="str">
            <v>ENTREGADO</v>
          </cell>
          <cell r="T1191">
            <v>42692</v>
          </cell>
          <cell r="U1191" t="str">
            <v>JIMENEZ MACHACA JAVIER</v>
          </cell>
          <cell r="V1191" t="str">
            <v>FLOREZ CONDORI  JOSE WILLIANS</v>
          </cell>
        </row>
        <row r="1192">
          <cell r="A1192">
            <v>1128</v>
          </cell>
          <cell r="B1192">
            <v>42692</v>
          </cell>
          <cell r="C1192" t="str">
            <v>NOVIEMBRE</v>
          </cell>
          <cell r="D1192" t="str">
            <v>2016</v>
          </cell>
          <cell r="E1192">
            <v>366</v>
          </cell>
          <cell r="F1192" t="str">
            <v>X2W-760</v>
          </cell>
          <cell r="G1192" t="str">
            <v>C5V-992</v>
          </cell>
          <cell r="H1192" t="str">
            <v>LAS BAMBAS</v>
          </cell>
          <cell r="I1192">
            <v>148037</v>
          </cell>
          <cell r="J1192" t="str">
            <v>REPUESTO</v>
          </cell>
          <cell r="K1192" t="str">
            <v>PERNO 1/4 X 2</v>
          </cell>
          <cell r="L1192">
            <v>4</v>
          </cell>
          <cell r="M1192" t="str">
            <v>UNID.</v>
          </cell>
          <cell r="N1192" t="str">
            <v>TRACTO</v>
          </cell>
          <cell r="O1192">
            <v>98</v>
          </cell>
          <cell r="P1192" t="str">
            <v>S2</v>
          </cell>
          <cell r="Q1192" t="str">
            <v>J1</v>
          </cell>
          <cell r="R1192" t="str">
            <v>J6</v>
          </cell>
          <cell r="S1192" t="str">
            <v>ENTREGADO</v>
          </cell>
          <cell r="T1192">
            <v>0</v>
          </cell>
          <cell r="U1192" t="str">
            <v>PALOMINO ESTRADA  MICHEL</v>
          </cell>
          <cell r="V1192" t="str">
            <v>FLOREZ CONDORI  JOSE WILLIANS</v>
          </cell>
        </row>
        <row r="1193">
          <cell r="A1193">
            <v>1129</v>
          </cell>
          <cell r="B1193">
            <v>42692</v>
          </cell>
          <cell r="C1193" t="str">
            <v>NOVIEMBRE</v>
          </cell>
          <cell r="D1193" t="str">
            <v>2016</v>
          </cell>
          <cell r="E1193">
            <v>366</v>
          </cell>
          <cell r="F1193" t="str">
            <v>X2W-760</v>
          </cell>
          <cell r="G1193" t="str">
            <v>C5V-992</v>
          </cell>
          <cell r="H1193" t="str">
            <v>LAS BAMBAS</v>
          </cell>
          <cell r="I1193">
            <v>148037</v>
          </cell>
          <cell r="J1193" t="str">
            <v>REPUESTO</v>
          </cell>
          <cell r="K1193" t="str">
            <v>TUERCA 1/4</v>
          </cell>
          <cell r="L1193">
            <v>4</v>
          </cell>
          <cell r="M1193" t="str">
            <v>UNID.</v>
          </cell>
          <cell r="N1193" t="str">
            <v>TRACTO</v>
          </cell>
          <cell r="O1193">
            <v>98</v>
          </cell>
          <cell r="P1193" t="str">
            <v>S2</v>
          </cell>
          <cell r="Q1193" t="str">
            <v>J1</v>
          </cell>
          <cell r="R1193" t="str">
            <v>J6</v>
          </cell>
          <cell r="S1193" t="str">
            <v>ENTREGADO</v>
          </cell>
          <cell r="T1193">
            <v>0</v>
          </cell>
          <cell r="U1193" t="str">
            <v>PALOMINO ESTRADA  MICHEL</v>
          </cell>
          <cell r="V1193" t="str">
            <v>FLOREZ CONDORI  JOSE WILLIANS</v>
          </cell>
        </row>
        <row r="1194">
          <cell r="A1194">
            <v>1130</v>
          </cell>
          <cell r="B1194">
            <v>42692</v>
          </cell>
          <cell r="C1194" t="str">
            <v>NOVIEMBRE</v>
          </cell>
          <cell r="D1194" t="str">
            <v>2016</v>
          </cell>
          <cell r="E1194">
            <v>366</v>
          </cell>
          <cell r="F1194" t="str">
            <v>X2W-760</v>
          </cell>
          <cell r="G1194" t="str">
            <v>C5V-992</v>
          </cell>
          <cell r="H1194" t="str">
            <v>LAS BAMBAS</v>
          </cell>
          <cell r="I1194">
            <v>148037</v>
          </cell>
          <cell r="J1194" t="str">
            <v>REPUESTO</v>
          </cell>
          <cell r="K1194" t="str">
            <v>VOLANDA PLANA 1/4</v>
          </cell>
          <cell r="L1194">
            <v>8</v>
          </cell>
          <cell r="M1194" t="str">
            <v>UNID.</v>
          </cell>
          <cell r="N1194" t="str">
            <v>TRACTO</v>
          </cell>
          <cell r="O1194">
            <v>98</v>
          </cell>
          <cell r="P1194" t="str">
            <v>S2</v>
          </cell>
          <cell r="Q1194" t="str">
            <v>J1</v>
          </cell>
          <cell r="R1194" t="str">
            <v>J6</v>
          </cell>
          <cell r="S1194" t="str">
            <v>ENTREGADO</v>
          </cell>
          <cell r="T1194">
            <v>0</v>
          </cell>
          <cell r="U1194" t="str">
            <v>PALOMINO ESTRADA  MICHEL</v>
          </cell>
          <cell r="V1194" t="str">
            <v>FLOREZ CONDORI  JOSE WILLIANS</v>
          </cell>
        </row>
        <row r="1195">
          <cell r="A1195">
            <v>1139</v>
          </cell>
          <cell r="B1195">
            <v>42692</v>
          </cell>
          <cell r="C1195" t="str">
            <v>NOVIEMBRE</v>
          </cell>
          <cell r="D1195" t="str">
            <v>2016</v>
          </cell>
          <cell r="E1195">
            <v>334</v>
          </cell>
          <cell r="F1195" t="str">
            <v>X2W-761</v>
          </cell>
          <cell r="G1195" t="str">
            <v>C5V-996</v>
          </cell>
          <cell r="H1195" t="str">
            <v>LAS BAMBAS</v>
          </cell>
          <cell r="I1195">
            <v>140937</v>
          </cell>
          <cell r="J1195" t="str">
            <v>REPUESTO</v>
          </cell>
          <cell r="K1195" t="str">
            <v>GUARDAFANGOS DE CISTERNA</v>
          </cell>
          <cell r="L1195">
            <v>1</v>
          </cell>
          <cell r="M1195" t="str">
            <v>UNID.</v>
          </cell>
          <cell r="N1195" t="str">
            <v>CISTERNA</v>
          </cell>
          <cell r="O1195">
            <v>0</v>
          </cell>
          <cell r="P1195" t="str">
            <v>J1</v>
          </cell>
          <cell r="Q1195" t="str">
            <v>J1</v>
          </cell>
          <cell r="R1195" t="str">
            <v>J6</v>
          </cell>
          <cell r="S1195" t="str">
            <v>ENTREGADO</v>
          </cell>
          <cell r="T1195">
            <v>42692</v>
          </cell>
          <cell r="U1195" t="str">
            <v>FLOREZ CONDORI  JOSE WILLIANS</v>
          </cell>
          <cell r="V1195" t="str">
            <v>FLOREZ CONDORI  JOSE WILLIANS</v>
          </cell>
        </row>
        <row r="1196">
          <cell r="A1196">
            <v>1177</v>
          </cell>
          <cell r="B1196">
            <v>42693</v>
          </cell>
          <cell r="C1196" t="str">
            <v>NOVIEMBRE</v>
          </cell>
          <cell r="D1196" t="str">
            <v>2016</v>
          </cell>
          <cell r="E1196">
            <v>344</v>
          </cell>
          <cell r="F1196" t="str">
            <v>A5O-859</v>
          </cell>
          <cell r="G1196" t="str">
            <v>B6Y-971</v>
          </cell>
          <cell r="H1196" t="str">
            <v>LAS BAMBAS</v>
          </cell>
          <cell r="I1196">
            <v>114907</v>
          </cell>
          <cell r="J1196" t="str">
            <v>REPUESTO</v>
          </cell>
          <cell r="K1196" t="str">
            <v>PERNO 5/16 x 1 " C/ TUERCA Y ARANDELA</v>
          </cell>
          <cell r="L1196">
            <v>1</v>
          </cell>
          <cell r="M1196" t="str">
            <v>UNID.</v>
          </cell>
          <cell r="N1196" t="str">
            <v>TRACTO</v>
          </cell>
          <cell r="O1196">
            <v>0</v>
          </cell>
          <cell r="P1196" t="str">
            <v>E2</v>
          </cell>
          <cell r="Q1196" t="str">
            <v>J1</v>
          </cell>
          <cell r="R1196" t="str">
            <v>J5</v>
          </cell>
          <cell r="S1196" t="str">
            <v>ENTREGADO</v>
          </cell>
          <cell r="T1196">
            <v>42693</v>
          </cell>
          <cell r="U1196" t="str">
            <v>YUCA BELLIDO BORIS YERSY</v>
          </cell>
          <cell r="V1196" t="str">
            <v>FLOREZ CONDORI  JOSE WILLIANS</v>
          </cell>
        </row>
        <row r="1197">
          <cell r="A1197">
            <v>1182</v>
          </cell>
          <cell r="B1197">
            <v>42693</v>
          </cell>
          <cell r="C1197" t="str">
            <v>NOVIEMBRE</v>
          </cell>
          <cell r="D1197" t="str">
            <v>2016</v>
          </cell>
          <cell r="E1197">
            <v>308</v>
          </cell>
          <cell r="F1197" t="str">
            <v>A9H-889</v>
          </cell>
          <cell r="G1197" t="str">
            <v>CAMION</v>
          </cell>
          <cell r="H1197" t="str">
            <v>TAMBOMAYO</v>
          </cell>
          <cell r="I1197">
            <v>120654</v>
          </cell>
          <cell r="J1197" t="str">
            <v>SERVICIO</v>
          </cell>
          <cell r="K1197" t="str">
            <v>REPARACION DE RADIADOR</v>
          </cell>
          <cell r="L1197">
            <v>1</v>
          </cell>
          <cell r="M1197" t="str">
            <v>UNID.</v>
          </cell>
          <cell r="N1197" t="str">
            <v>CAMION</v>
          </cell>
          <cell r="O1197">
            <v>97</v>
          </cell>
          <cell r="P1197" t="str">
            <v>M1</v>
          </cell>
          <cell r="Q1197" t="str">
            <v>J1</v>
          </cell>
          <cell r="R1197" t="str">
            <v>J5</v>
          </cell>
          <cell r="S1197" t="str">
            <v>ENTREGADO</v>
          </cell>
          <cell r="T1197">
            <v>0</v>
          </cell>
          <cell r="U1197" t="str">
            <v>CABEZAS SANCHEZ JEAN JHONATAN</v>
          </cell>
          <cell r="V1197" t="str">
            <v>FLOREZ CONDORI  JOSE WILLIANS</v>
          </cell>
        </row>
        <row r="1198">
          <cell r="A1198">
            <v>1206</v>
          </cell>
          <cell r="B1198">
            <v>42693</v>
          </cell>
          <cell r="C1198" t="str">
            <v>NOVIEMBRE</v>
          </cell>
          <cell r="D1198" t="str">
            <v>2016</v>
          </cell>
          <cell r="E1198">
            <v>371</v>
          </cell>
          <cell r="F1198" t="str">
            <v>ABR-727</v>
          </cell>
          <cell r="G1198" t="str">
            <v>C9S-989</v>
          </cell>
          <cell r="H1198" t="str">
            <v>LAS BAMBAS</v>
          </cell>
          <cell r="I1198">
            <v>98682</v>
          </cell>
          <cell r="J1198" t="str">
            <v>REPUESTO</v>
          </cell>
          <cell r="K1198" t="str">
            <v xml:space="preserve">FILTRO DE COMBUSTIBLE </v>
          </cell>
          <cell r="L1198">
            <v>1</v>
          </cell>
          <cell r="M1198" t="str">
            <v>UNID.</v>
          </cell>
          <cell r="N1198" t="str">
            <v>TRACTO</v>
          </cell>
          <cell r="O1198">
            <v>0</v>
          </cell>
          <cell r="P1198" t="str">
            <v>M7</v>
          </cell>
          <cell r="Q1198" t="str">
            <v>J1</v>
          </cell>
          <cell r="R1198" t="str">
            <v>J1</v>
          </cell>
          <cell r="S1198" t="str">
            <v>ENTREGADO</v>
          </cell>
          <cell r="T1198">
            <v>42693</v>
          </cell>
          <cell r="U1198" t="str">
            <v>ROBLES ROJAS  JOSE MIGUEL</v>
          </cell>
          <cell r="V1198" t="str">
            <v>FLOREZ CONDORI  JOSE WILLIANS</v>
          </cell>
        </row>
        <row r="1199">
          <cell r="A1199">
            <v>1207</v>
          </cell>
          <cell r="B1199">
            <v>42693</v>
          </cell>
          <cell r="C1199" t="str">
            <v>NOVIEMBRE</v>
          </cell>
          <cell r="D1199" t="str">
            <v>2016</v>
          </cell>
          <cell r="E1199">
            <v>371</v>
          </cell>
          <cell r="F1199" t="str">
            <v>ABR-727</v>
          </cell>
          <cell r="G1199" t="str">
            <v>C9S-989</v>
          </cell>
          <cell r="H1199" t="str">
            <v>LAS BAMBAS</v>
          </cell>
          <cell r="I1199">
            <v>98682</v>
          </cell>
          <cell r="J1199" t="str">
            <v>REPUESTO</v>
          </cell>
          <cell r="K1199" t="str">
            <v>FILTRO VALVULA</v>
          </cell>
          <cell r="L1199">
            <v>1</v>
          </cell>
          <cell r="M1199" t="str">
            <v>UNID.</v>
          </cell>
          <cell r="N1199" t="str">
            <v>TRACTO</v>
          </cell>
          <cell r="O1199">
            <v>0</v>
          </cell>
          <cell r="P1199" t="str">
            <v>M7</v>
          </cell>
          <cell r="Q1199" t="str">
            <v>J1</v>
          </cell>
          <cell r="R1199" t="str">
            <v>J1</v>
          </cell>
          <cell r="S1199" t="str">
            <v>ENTREGADO</v>
          </cell>
          <cell r="T1199">
            <v>42693</v>
          </cell>
          <cell r="U1199" t="str">
            <v>ROBLES ROJAS  JOSE MIGUEL</v>
          </cell>
          <cell r="V1199" t="str">
            <v>FLOREZ CONDORI  JOSE WILLIANS</v>
          </cell>
        </row>
        <row r="1200">
          <cell r="A1200">
            <v>1218</v>
          </cell>
          <cell r="B1200">
            <v>42693</v>
          </cell>
          <cell r="C1200" t="str">
            <v>NOVIEMBRE</v>
          </cell>
          <cell r="D1200" t="str">
            <v>2016</v>
          </cell>
          <cell r="E1200">
            <v>376</v>
          </cell>
          <cell r="F1200" t="str">
            <v>AEH-801</v>
          </cell>
          <cell r="G1200" t="str">
            <v>CAMIONETA</v>
          </cell>
          <cell r="H1200" t="str">
            <v>LAS BAMBAS</v>
          </cell>
          <cell r="I1200">
            <v>86724</v>
          </cell>
          <cell r="J1200" t="str">
            <v>REPUESTO</v>
          </cell>
          <cell r="K1200" t="str">
            <v>FILTRO COMBUSTIBLE</v>
          </cell>
          <cell r="L1200">
            <v>1</v>
          </cell>
          <cell r="M1200" t="str">
            <v>UNID.</v>
          </cell>
          <cell r="N1200" t="str">
            <v>CAMIONETA</v>
          </cell>
          <cell r="O1200">
            <v>0</v>
          </cell>
          <cell r="P1200" t="str">
            <v>TERCERO</v>
          </cell>
          <cell r="Q1200" t="str">
            <v>J1</v>
          </cell>
          <cell r="R1200" t="str">
            <v>J1</v>
          </cell>
          <cell r="S1200" t="str">
            <v>ENTREGADO</v>
          </cell>
          <cell r="T1200">
            <v>42693</v>
          </cell>
          <cell r="U1200" t="str">
            <v>TERCERO</v>
          </cell>
          <cell r="V1200" t="str">
            <v>FLOREZ CONDORI  JOSE WILLIANS</v>
          </cell>
        </row>
        <row r="1201">
          <cell r="A1201">
            <v>1219</v>
          </cell>
          <cell r="B1201">
            <v>42693</v>
          </cell>
          <cell r="C1201" t="str">
            <v>NOVIEMBRE</v>
          </cell>
          <cell r="D1201" t="str">
            <v>2016</v>
          </cell>
          <cell r="E1201">
            <v>376</v>
          </cell>
          <cell r="F1201" t="str">
            <v>AEH-801</v>
          </cell>
          <cell r="G1201" t="str">
            <v>CAMIONETA</v>
          </cell>
          <cell r="H1201" t="str">
            <v>LAS BAMBAS</v>
          </cell>
          <cell r="I1201">
            <v>86724</v>
          </cell>
          <cell r="J1201" t="str">
            <v>REPUESTO</v>
          </cell>
          <cell r="K1201" t="str">
            <v>FILTRO DE AIRE</v>
          </cell>
          <cell r="L1201">
            <v>1</v>
          </cell>
          <cell r="M1201" t="str">
            <v>UNID.</v>
          </cell>
          <cell r="N1201" t="str">
            <v>CAMIONETA</v>
          </cell>
          <cell r="O1201">
            <v>0</v>
          </cell>
          <cell r="P1201" t="str">
            <v>TERCERO</v>
          </cell>
          <cell r="Q1201" t="str">
            <v>J1</v>
          </cell>
          <cell r="R1201" t="str">
            <v>J1</v>
          </cell>
          <cell r="S1201" t="str">
            <v>ENTREGADO</v>
          </cell>
          <cell r="T1201">
            <v>42693</v>
          </cell>
          <cell r="U1201" t="str">
            <v>TERCERO</v>
          </cell>
          <cell r="V1201" t="str">
            <v>FLOREZ CONDORI  JOSE WILLIANS</v>
          </cell>
        </row>
        <row r="1202">
          <cell r="A1202">
            <v>1220</v>
          </cell>
          <cell r="B1202">
            <v>42693</v>
          </cell>
          <cell r="C1202" t="str">
            <v>NOVIEMBRE</v>
          </cell>
          <cell r="D1202" t="str">
            <v>2016</v>
          </cell>
          <cell r="E1202">
            <v>376</v>
          </cell>
          <cell r="F1202" t="str">
            <v>AEH-801</v>
          </cell>
          <cell r="G1202" t="str">
            <v>CAMIONETA</v>
          </cell>
          <cell r="H1202" t="str">
            <v>LAS BAMBAS</v>
          </cell>
          <cell r="I1202">
            <v>86724</v>
          </cell>
          <cell r="J1202" t="str">
            <v>REPUESTO</v>
          </cell>
          <cell r="K1202" t="str">
            <v>FILTRO DE ACEITE</v>
          </cell>
          <cell r="L1202">
            <v>1</v>
          </cell>
          <cell r="M1202" t="str">
            <v>UNID.</v>
          </cell>
          <cell r="N1202" t="str">
            <v>CAMIONETA</v>
          </cell>
          <cell r="O1202">
            <v>0</v>
          </cell>
          <cell r="P1202" t="str">
            <v>TERCERO</v>
          </cell>
          <cell r="Q1202" t="str">
            <v>J1</v>
          </cell>
          <cell r="R1202" t="str">
            <v>J1</v>
          </cell>
          <cell r="S1202" t="str">
            <v>ENTREGADO</v>
          </cell>
          <cell r="T1202">
            <v>42693</v>
          </cell>
          <cell r="U1202" t="str">
            <v>TERCERO</v>
          </cell>
          <cell r="V1202" t="str">
            <v>FLOREZ CONDORI  JOSE WILLIANS</v>
          </cell>
        </row>
        <row r="1203">
          <cell r="A1203">
            <v>1221</v>
          </cell>
          <cell r="B1203">
            <v>42693</v>
          </cell>
          <cell r="C1203" t="str">
            <v>NOVIEMBRE</v>
          </cell>
          <cell r="D1203" t="str">
            <v>2016</v>
          </cell>
          <cell r="E1203">
            <v>376</v>
          </cell>
          <cell r="F1203" t="str">
            <v>AEH-801</v>
          </cell>
          <cell r="G1203" t="str">
            <v>CAMIONETA</v>
          </cell>
          <cell r="H1203" t="str">
            <v>LAS BAMBAS</v>
          </cell>
          <cell r="I1203">
            <v>86724</v>
          </cell>
          <cell r="J1203" t="str">
            <v>REPUESTO</v>
          </cell>
          <cell r="K1203" t="str">
            <v>ACEITE MOTOR 15W-40</v>
          </cell>
          <cell r="L1203">
            <v>2</v>
          </cell>
          <cell r="M1203" t="str">
            <v>GLNS.</v>
          </cell>
          <cell r="N1203" t="str">
            <v>CAMIONETA</v>
          </cell>
          <cell r="O1203">
            <v>0</v>
          </cell>
          <cell r="P1203" t="str">
            <v>TERCERO</v>
          </cell>
          <cell r="Q1203" t="str">
            <v>J1</v>
          </cell>
          <cell r="R1203" t="str">
            <v>J1</v>
          </cell>
          <cell r="S1203" t="str">
            <v>ENTREGADO</v>
          </cell>
          <cell r="T1203">
            <v>42693</v>
          </cell>
          <cell r="U1203" t="str">
            <v>TERCERO</v>
          </cell>
          <cell r="V1203" t="str">
            <v>FLOREZ CONDORI  JOSE WILLIANS</v>
          </cell>
        </row>
        <row r="1204">
          <cell r="A1204">
            <v>1212</v>
          </cell>
          <cell r="B1204">
            <v>42693</v>
          </cell>
          <cell r="C1204" t="str">
            <v>NOVIEMBRE</v>
          </cell>
          <cell r="D1204" t="str">
            <v>2016</v>
          </cell>
          <cell r="E1204">
            <v>375</v>
          </cell>
          <cell r="F1204" t="str">
            <v>AEH-862</v>
          </cell>
          <cell r="G1204" t="str">
            <v>CAMIONETA</v>
          </cell>
          <cell r="H1204" t="str">
            <v>LAS BAMBAS</v>
          </cell>
          <cell r="I1204">
            <v>95175</v>
          </cell>
          <cell r="J1204" t="str">
            <v>REPUESTO</v>
          </cell>
          <cell r="K1204" t="str">
            <v>FILTRO COMBUSTIBLE</v>
          </cell>
          <cell r="L1204">
            <v>1</v>
          </cell>
          <cell r="M1204" t="str">
            <v>UNID.</v>
          </cell>
          <cell r="N1204" t="str">
            <v>CAMIONETA</v>
          </cell>
          <cell r="O1204">
            <v>0</v>
          </cell>
          <cell r="P1204" t="str">
            <v>TERCERO</v>
          </cell>
          <cell r="Q1204" t="str">
            <v>J1</v>
          </cell>
          <cell r="R1204" t="str">
            <v>J1</v>
          </cell>
          <cell r="S1204" t="str">
            <v>ENTREGADO</v>
          </cell>
          <cell r="T1204">
            <v>42693</v>
          </cell>
          <cell r="U1204" t="str">
            <v>TERCERO</v>
          </cell>
          <cell r="V1204" t="str">
            <v>FLOREZ CONDORI  JOSE WILLIANS</v>
          </cell>
        </row>
        <row r="1205">
          <cell r="A1205">
            <v>1213</v>
          </cell>
          <cell r="B1205">
            <v>42693</v>
          </cell>
          <cell r="C1205" t="str">
            <v>NOVIEMBRE</v>
          </cell>
          <cell r="D1205" t="str">
            <v>2016</v>
          </cell>
          <cell r="E1205">
            <v>375</v>
          </cell>
          <cell r="F1205" t="str">
            <v>AEH-862</v>
          </cell>
          <cell r="G1205" t="str">
            <v>CAMIONETA</v>
          </cell>
          <cell r="H1205" t="str">
            <v>LAS BAMBAS</v>
          </cell>
          <cell r="I1205">
            <v>95175</v>
          </cell>
          <cell r="J1205" t="str">
            <v>REPUESTO</v>
          </cell>
          <cell r="K1205" t="str">
            <v>FILTRO DE AIRE</v>
          </cell>
          <cell r="L1205">
            <v>1</v>
          </cell>
          <cell r="M1205" t="str">
            <v>UNID.</v>
          </cell>
          <cell r="N1205" t="str">
            <v>CAMIONETA</v>
          </cell>
          <cell r="O1205">
            <v>0</v>
          </cell>
          <cell r="P1205" t="str">
            <v>TERCERO</v>
          </cell>
          <cell r="Q1205" t="str">
            <v>J1</v>
          </cell>
          <cell r="R1205" t="str">
            <v>J1</v>
          </cell>
          <cell r="S1205" t="str">
            <v>ENTREGADO</v>
          </cell>
          <cell r="T1205">
            <v>42693</v>
          </cell>
          <cell r="U1205" t="str">
            <v>TERCERO</v>
          </cell>
          <cell r="V1205" t="str">
            <v>FLOREZ CONDORI  JOSE WILLIANS</v>
          </cell>
        </row>
        <row r="1206">
          <cell r="A1206">
            <v>1214</v>
          </cell>
          <cell r="B1206">
            <v>42693</v>
          </cell>
          <cell r="C1206" t="str">
            <v>NOVIEMBRE</v>
          </cell>
          <cell r="D1206" t="str">
            <v>2016</v>
          </cell>
          <cell r="E1206">
            <v>375</v>
          </cell>
          <cell r="F1206" t="str">
            <v>AEH-862</v>
          </cell>
          <cell r="G1206" t="str">
            <v>CAMIONETA</v>
          </cell>
          <cell r="H1206" t="str">
            <v>LAS BAMBAS</v>
          </cell>
          <cell r="I1206">
            <v>95175</v>
          </cell>
          <cell r="J1206" t="str">
            <v>REPUESTO</v>
          </cell>
          <cell r="K1206" t="str">
            <v>FILTRO DE ACEITE</v>
          </cell>
          <cell r="L1206">
            <v>1</v>
          </cell>
          <cell r="M1206" t="str">
            <v>UNID.</v>
          </cell>
          <cell r="N1206" t="str">
            <v>CAMIONETA</v>
          </cell>
          <cell r="O1206">
            <v>0</v>
          </cell>
          <cell r="P1206" t="str">
            <v>TERCERO</v>
          </cell>
          <cell r="Q1206" t="str">
            <v>J1</v>
          </cell>
          <cell r="R1206" t="str">
            <v>J1</v>
          </cell>
          <cell r="S1206" t="str">
            <v>ENTREGADO</v>
          </cell>
          <cell r="T1206">
            <v>42693</v>
          </cell>
          <cell r="U1206" t="str">
            <v>TERCERO</v>
          </cell>
          <cell r="V1206" t="str">
            <v>FLOREZ CONDORI  JOSE WILLIANS</v>
          </cell>
        </row>
        <row r="1207">
          <cell r="A1207">
            <v>1215</v>
          </cell>
          <cell r="B1207">
            <v>42693</v>
          </cell>
          <cell r="C1207" t="str">
            <v>NOVIEMBRE</v>
          </cell>
          <cell r="D1207" t="str">
            <v>2016</v>
          </cell>
          <cell r="E1207">
            <v>375</v>
          </cell>
          <cell r="F1207" t="str">
            <v>AEH-862</v>
          </cell>
          <cell r="G1207" t="str">
            <v>CAMIONETA</v>
          </cell>
          <cell r="H1207" t="str">
            <v>LAS BAMBAS</v>
          </cell>
          <cell r="I1207">
            <v>95175</v>
          </cell>
          <cell r="J1207" t="str">
            <v>REPUESTO</v>
          </cell>
          <cell r="K1207" t="str">
            <v>ACEITE MOTOR 15W-40</v>
          </cell>
          <cell r="L1207">
            <v>2</v>
          </cell>
          <cell r="M1207" t="str">
            <v>GLNS.</v>
          </cell>
          <cell r="N1207" t="str">
            <v>CAMIONETA</v>
          </cell>
          <cell r="O1207">
            <v>0</v>
          </cell>
          <cell r="P1207" t="str">
            <v>TERCERO</v>
          </cell>
          <cell r="Q1207" t="str">
            <v>J1</v>
          </cell>
          <cell r="R1207" t="str">
            <v>J1</v>
          </cell>
          <cell r="S1207" t="str">
            <v>ENTREGADO</v>
          </cell>
          <cell r="T1207">
            <v>42693</v>
          </cell>
          <cell r="U1207" t="str">
            <v>TERCERO</v>
          </cell>
          <cell r="V1207" t="str">
            <v>FLOREZ CONDORI  JOSE WILLIANS</v>
          </cell>
        </row>
        <row r="1208">
          <cell r="A1208">
            <v>1208</v>
          </cell>
          <cell r="B1208">
            <v>42693</v>
          </cell>
          <cell r="C1208" t="str">
            <v>NOVIEMBRE</v>
          </cell>
          <cell r="D1208" t="str">
            <v>2016</v>
          </cell>
          <cell r="E1208">
            <v>337</v>
          </cell>
          <cell r="F1208" t="str">
            <v>B2L-889</v>
          </cell>
          <cell r="G1208" t="str">
            <v>CAMION</v>
          </cell>
          <cell r="H1208" t="str">
            <v>TAMBOMAYO</v>
          </cell>
          <cell r="I1208">
            <v>0</v>
          </cell>
          <cell r="J1208" t="str">
            <v>REPUESTO</v>
          </cell>
          <cell r="K1208" t="str">
            <v>LIQUIDO REFRIGERANTE</v>
          </cell>
          <cell r="L1208">
            <v>1.25</v>
          </cell>
          <cell r="M1208" t="str">
            <v>GLNS.</v>
          </cell>
          <cell r="N1208" t="str">
            <v>CAMION</v>
          </cell>
          <cell r="O1208">
            <v>0</v>
          </cell>
          <cell r="P1208" t="str">
            <v>M4</v>
          </cell>
          <cell r="Q1208" t="str">
            <v>J1</v>
          </cell>
          <cell r="R1208" t="str">
            <v>J5</v>
          </cell>
          <cell r="S1208" t="str">
            <v>ENTREGADO</v>
          </cell>
          <cell r="T1208">
            <v>42693</v>
          </cell>
          <cell r="U1208" t="str">
            <v>JULLIRI APAZA UBALDO</v>
          </cell>
          <cell r="V1208" t="str">
            <v>FLOREZ CONDORI  JOSE WILLIANS</v>
          </cell>
        </row>
        <row r="1209">
          <cell r="A1209">
            <v>1230</v>
          </cell>
          <cell r="B1209">
            <v>42693</v>
          </cell>
          <cell r="C1209" t="str">
            <v>NOVIEMBRE</v>
          </cell>
          <cell r="D1209" t="str">
            <v>2016</v>
          </cell>
          <cell r="E1209">
            <v>337</v>
          </cell>
          <cell r="F1209" t="str">
            <v>B2L-889</v>
          </cell>
          <cell r="G1209" t="str">
            <v>CAMION</v>
          </cell>
          <cell r="H1209" t="str">
            <v>TAMBOMAYO</v>
          </cell>
          <cell r="I1209">
            <v>0</v>
          </cell>
          <cell r="J1209" t="str">
            <v>REPUESTO</v>
          </cell>
          <cell r="K1209" t="str">
            <v>CHANFER</v>
          </cell>
          <cell r="L1209">
            <v>1</v>
          </cell>
          <cell r="M1209" t="str">
            <v>KG.</v>
          </cell>
          <cell r="N1209" t="str">
            <v>CAMION</v>
          </cell>
          <cell r="O1209">
            <v>0</v>
          </cell>
          <cell r="P1209" t="str">
            <v>S2</v>
          </cell>
          <cell r="Q1209" t="str">
            <v>J1</v>
          </cell>
          <cell r="R1209" t="str">
            <v>J1</v>
          </cell>
          <cell r="S1209" t="str">
            <v>ENTREGADO</v>
          </cell>
          <cell r="T1209">
            <v>42693</v>
          </cell>
          <cell r="U1209" t="str">
            <v>PALOMINO ESTRADA  MICHEL</v>
          </cell>
          <cell r="V1209" t="str">
            <v>FLOREZ CONDORI  JOSE WILLIANS</v>
          </cell>
        </row>
        <row r="1210">
          <cell r="A1210">
            <v>1201</v>
          </cell>
          <cell r="B1210">
            <v>42693</v>
          </cell>
          <cell r="C1210" t="str">
            <v>NOVIEMBRE</v>
          </cell>
          <cell r="D1210" t="str">
            <v>2016</v>
          </cell>
          <cell r="E1210">
            <v>240</v>
          </cell>
          <cell r="F1210" t="str">
            <v>B2M-948</v>
          </cell>
          <cell r="G1210" t="str">
            <v>CAMION</v>
          </cell>
          <cell r="H1210" t="str">
            <v>TAMBOMAYO</v>
          </cell>
          <cell r="I1210">
            <v>111543</v>
          </cell>
          <cell r="J1210" t="str">
            <v>REPUESTO</v>
          </cell>
          <cell r="K1210" t="str">
            <v>GRACERA</v>
          </cell>
          <cell r="L1210">
            <v>2</v>
          </cell>
          <cell r="M1210" t="str">
            <v>UNID.</v>
          </cell>
          <cell r="N1210" t="str">
            <v>CAMION</v>
          </cell>
          <cell r="O1210">
            <v>0</v>
          </cell>
          <cell r="P1210" t="str">
            <v>M5</v>
          </cell>
          <cell r="Q1210" t="str">
            <v>J1</v>
          </cell>
          <cell r="R1210" t="str">
            <v>J1</v>
          </cell>
          <cell r="S1210" t="str">
            <v>ENTREGADO</v>
          </cell>
          <cell r="T1210">
            <v>42693</v>
          </cell>
          <cell r="U1210" t="str">
            <v>LOPEZ RUIZ WILBERTO</v>
          </cell>
          <cell r="V1210" t="str">
            <v>FLOREZ CONDORI  JOSE WILLIANS</v>
          </cell>
        </row>
        <row r="1211">
          <cell r="A1211">
            <v>1202</v>
          </cell>
          <cell r="B1211">
            <v>42693</v>
          </cell>
          <cell r="C1211" t="str">
            <v>NOVIEMBRE</v>
          </cell>
          <cell r="D1211" t="str">
            <v>2016</v>
          </cell>
          <cell r="E1211">
            <v>240</v>
          </cell>
          <cell r="F1211" t="str">
            <v>B2M-948</v>
          </cell>
          <cell r="G1211" t="str">
            <v>CAMION</v>
          </cell>
          <cell r="H1211" t="str">
            <v>TAMBOMAYO</v>
          </cell>
          <cell r="I1211">
            <v>111543</v>
          </cell>
          <cell r="J1211" t="str">
            <v>HERRAMIENTAS</v>
          </cell>
          <cell r="K1211" t="str">
            <v>MACHO  (según muestra)</v>
          </cell>
          <cell r="L1211">
            <v>1</v>
          </cell>
          <cell r="M1211" t="str">
            <v>UNID.</v>
          </cell>
          <cell r="N1211" t="str">
            <v>TALLER</v>
          </cell>
          <cell r="O1211">
            <v>0</v>
          </cell>
          <cell r="P1211" t="str">
            <v>M5</v>
          </cell>
          <cell r="Q1211" t="str">
            <v>J1</v>
          </cell>
          <cell r="R1211" t="str">
            <v>J1</v>
          </cell>
          <cell r="S1211" t="str">
            <v>ENTREGADO</v>
          </cell>
          <cell r="T1211">
            <v>42693</v>
          </cell>
          <cell r="U1211" t="str">
            <v>LOPEZ RUIZ WILBERTO</v>
          </cell>
          <cell r="V1211" t="str">
            <v>FLOREZ CONDORI  JOSE WILLIANS</v>
          </cell>
        </row>
        <row r="1212">
          <cell r="A1212">
            <v>1175</v>
          </cell>
          <cell r="B1212">
            <v>42693</v>
          </cell>
          <cell r="C1212" t="str">
            <v>NOVIEMBRE</v>
          </cell>
          <cell r="D1212" t="str">
            <v>2016</v>
          </cell>
          <cell r="E1212">
            <v>204</v>
          </cell>
          <cell r="F1212" t="str">
            <v>C9P-948</v>
          </cell>
          <cell r="G1212" t="str">
            <v>B4O-995</v>
          </cell>
          <cell r="H1212" t="str">
            <v>LAS BAMBAS</v>
          </cell>
          <cell r="I1212">
            <v>156586</v>
          </cell>
          <cell r="J1212" t="str">
            <v>REPUESTO</v>
          </cell>
          <cell r="K1212" t="str">
            <v xml:space="preserve">FARO LED LUZ DE PLACA </v>
          </cell>
          <cell r="L1212">
            <v>1</v>
          </cell>
          <cell r="M1212" t="str">
            <v>UNID.</v>
          </cell>
          <cell r="N1212" t="str">
            <v>CISTERNA</v>
          </cell>
          <cell r="O1212">
            <v>0</v>
          </cell>
          <cell r="P1212" t="str">
            <v>E1</v>
          </cell>
          <cell r="Q1212" t="str">
            <v>J1</v>
          </cell>
          <cell r="R1212" t="str">
            <v>J1</v>
          </cell>
          <cell r="S1212" t="str">
            <v>ENTREGADO</v>
          </cell>
          <cell r="T1212">
            <v>42693</v>
          </cell>
          <cell r="U1212" t="str">
            <v>PALOMINO CARDENAS JUAN CARLOS</v>
          </cell>
          <cell r="V1212" t="str">
            <v>FLOREZ CONDORI  JOSE WILLIANS</v>
          </cell>
        </row>
        <row r="1213">
          <cell r="A1213">
            <v>1176</v>
          </cell>
          <cell r="B1213">
            <v>42693</v>
          </cell>
          <cell r="C1213" t="str">
            <v>NOVIEMBRE</v>
          </cell>
          <cell r="D1213" t="str">
            <v>2016</v>
          </cell>
          <cell r="E1213">
            <v>204</v>
          </cell>
          <cell r="F1213" t="str">
            <v>C9P-948</v>
          </cell>
          <cell r="G1213" t="str">
            <v>B4O-995</v>
          </cell>
          <cell r="H1213" t="str">
            <v>LAS BAMBAS</v>
          </cell>
          <cell r="I1213">
            <v>156586</v>
          </cell>
          <cell r="J1213" t="str">
            <v>REPUESTO</v>
          </cell>
          <cell r="K1213" t="str">
            <v>PERNO 5/32 X1 CON TUERCA</v>
          </cell>
          <cell r="L1213">
            <v>10</v>
          </cell>
          <cell r="M1213" t="str">
            <v>UNID.</v>
          </cell>
          <cell r="N1213" t="str">
            <v>CISTERNA</v>
          </cell>
          <cell r="O1213">
            <v>0</v>
          </cell>
          <cell r="P1213" t="str">
            <v>E1</v>
          </cell>
          <cell r="Q1213" t="str">
            <v>J1</v>
          </cell>
          <cell r="R1213" t="str">
            <v>J1</v>
          </cell>
          <cell r="S1213" t="str">
            <v>ENTREGADO</v>
          </cell>
          <cell r="T1213">
            <v>42693</v>
          </cell>
          <cell r="U1213" t="str">
            <v>PALOMINO CARDENAS JUAN CARLOS</v>
          </cell>
          <cell r="V1213" t="str">
            <v>FLOREZ CONDORI  JOSE WILLIANS</v>
          </cell>
        </row>
        <row r="1214">
          <cell r="A1214">
            <v>1198</v>
          </cell>
          <cell r="B1214">
            <v>42693</v>
          </cell>
          <cell r="C1214" t="str">
            <v>NOVIEMBRE</v>
          </cell>
          <cell r="D1214" t="str">
            <v>2016</v>
          </cell>
          <cell r="E1214">
            <v>204</v>
          </cell>
          <cell r="F1214" t="str">
            <v>C9P-948</v>
          </cell>
          <cell r="G1214" t="str">
            <v>B4O-995</v>
          </cell>
          <cell r="H1214" t="str">
            <v>LAS BAMBAS</v>
          </cell>
          <cell r="I1214">
            <v>156586</v>
          </cell>
          <cell r="J1214" t="str">
            <v>IMPLEMENTACION</v>
          </cell>
          <cell r="K1214" t="str">
            <v xml:space="preserve">RADIO COMUNICACIÓN COMPLETA </v>
          </cell>
          <cell r="L1214">
            <v>1</v>
          </cell>
          <cell r="M1214" t="str">
            <v>UNID.</v>
          </cell>
          <cell r="N1214" t="str">
            <v>TRACTO</v>
          </cell>
          <cell r="O1214">
            <v>97</v>
          </cell>
          <cell r="P1214" t="str">
            <v>E1</v>
          </cell>
          <cell r="Q1214" t="str">
            <v>J1</v>
          </cell>
          <cell r="R1214" t="str">
            <v>J1</v>
          </cell>
          <cell r="S1214" t="str">
            <v>ENTREGADO</v>
          </cell>
          <cell r="T1214">
            <v>0</v>
          </cell>
          <cell r="U1214" t="str">
            <v>PALOMINO CARDENAS JUAN CARLOS</v>
          </cell>
          <cell r="V1214" t="str">
            <v>FLOREZ CONDORI  JOSE WILLIANS</v>
          </cell>
        </row>
        <row r="1215">
          <cell r="A1215">
            <v>1209</v>
          </cell>
          <cell r="B1215">
            <v>42693</v>
          </cell>
          <cell r="C1215" t="str">
            <v>NOVIEMBRE</v>
          </cell>
          <cell r="D1215" t="str">
            <v>2016</v>
          </cell>
          <cell r="E1215">
            <v>207</v>
          </cell>
          <cell r="F1215" t="str">
            <v>D3P-746</v>
          </cell>
          <cell r="G1215" t="str">
            <v>C0T-974</v>
          </cell>
          <cell r="H1215" t="str">
            <v>LAS BAMBAS</v>
          </cell>
          <cell r="I1215">
            <v>128937</v>
          </cell>
          <cell r="J1215" t="str">
            <v>REPUESTO</v>
          </cell>
          <cell r="K1215" t="str">
            <v xml:space="preserve">BALANCIN </v>
          </cell>
          <cell r="L1215">
            <v>4</v>
          </cell>
          <cell r="M1215" t="str">
            <v>JUEGO</v>
          </cell>
          <cell r="N1215" t="str">
            <v>CISTERNA</v>
          </cell>
          <cell r="O1215">
            <v>0</v>
          </cell>
          <cell r="P1215" t="str">
            <v>S2</v>
          </cell>
          <cell r="Q1215" t="str">
            <v>J1</v>
          </cell>
          <cell r="R1215" t="str">
            <v>J5</v>
          </cell>
          <cell r="S1215" t="str">
            <v>ENTREGADO</v>
          </cell>
          <cell r="T1215">
            <v>42693</v>
          </cell>
          <cell r="U1215" t="str">
            <v>PALOMINO ESTRADA  MICHEL</v>
          </cell>
          <cell r="V1215" t="str">
            <v>FLOREZ CONDORI  JOSE WILLIANS</v>
          </cell>
        </row>
        <row r="1216">
          <cell r="A1216">
            <v>1210</v>
          </cell>
          <cell r="B1216">
            <v>42693</v>
          </cell>
          <cell r="C1216" t="str">
            <v>NOVIEMBRE</v>
          </cell>
          <cell r="D1216" t="str">
            <v>2016</v>
          </cell>
          <cell r="E1216">
            <v>207</v>
          </cell>
          <cell r="F1216" t="str">
            <v>D3P-746</v>
          </cell>
          <cell r="G1216" t="str">
            <v>C0T-974</v>
          </cell>
          <cell r="H1216" t="str">
            <v>LAS BAMBAS</v>
          </cell>
          <cell r="I1216">
            <v>128937</v>
          </cell>
          <cell r="J1216" t="str">
            <v>REPUESTO</v>
          </cell>
          <cell r="K1216" t="str">
            <v>PERNOS DE 1/2 X 4" CON TUERCA SEGURO</v>
          </cell>
          <cell r="L1216">
            <v>4</v>
          </cell>
          <cell r="M1216" t="str">
            <v>UNID.</v>
          </cell>
          <cell r="N1216" t="str">
            <v>CISTERNA</v>
          </cell>
          <cell r="O1216">
            <v>0</v>
          </cell>
          <cell r="P1216" t="str">
            <v>S2</v>
          </cell>
          <cell r="Q1216" t="str">
            <v>J1</v>
          </cell>
          <cell r="R1216" t="str">
            <v>J5</v>
          </cell>
          <cell r="S1216" t="str">
            <v>ENTREGADO</v>
          </cell>
          <cell r="T1216">
            <v>42693</v>
          </cell>
          <cell r="U1216" t="str">
            <v>PALOMINO ESTRADA  MICHEL</v>
          </cell>
          <cell r="V1216" t="str">
            <v>FLOREZ CONDORI  JOSE WILLIANS</v>
          </cell>
        </row>
        <row r="1217">
          <cell r="A1217">
            <v>1183</v>
          </cell>
          <cell r="B1217">
            <v>42693</v>
          </cell>
          <cell r="C1217" t="str">
            <v>NOVIEMBRE</v>
          </cell>
          <cell r="D1217" t="str">
            <v>2016</v>
          </cell>
          <cell r="E1217">
            <v>202</v>
          </cell>
          <cell r="F1217" t="str">
            <v>D3P-752</v>
          </cell>
          <cell r="G1217" t="str">
            <v>C5Y-985</v>
          </cell>
          <cell r="H1217" t="str">
            <v>LAS BAMBAS</v>
          </cell>
          <cell r="I1217">
            <v>150504</v>
          </cell>
          <cell r="J1217" t="str">
            <v>REPUESTO</v>
          </cell>
          <cell r="K1217" t="str">
            <v>TECLA ELEVALUNA LADO IZQUIERDA</v>
          </cell>
          <cell r="L1217">
            <v>1</v>
          </cell>
          <cell r="M1217" t="str">
            <v>UNID.</v>
          </cell>
          <cell r="N1217" t="str">
            <v>TRACTO</v>
          </cell>
          <cell r="O1217">
            <v>97</v>
          </cell>
          <cell r="P1217" t="str">
            <v>E1</v>
          </cell>
          <cell r="Q1217" t="str">
            <v>J1</v>
          </cell>
          <cell r="R1217" t="str">
            <v>J1</v>
          </cell>
          <cell r="S1217" t="str">
            <v>ENTREGADO</v>
          </cell>
          <cell r="T1217">
            <v>0</v>
          </cell>
          <cell r="U1217" t="str">
            <v>PALOMINO CARDENAS JUAN CARLOS</v>
          </cell>
          <cell r="V1217" t="str">
            <v>FLOREZ CONDORI  JOSE WILLIANS</v>
          </cell>
        </row>
        <row r="1218">
          <cell r="A1218">
            <v>1184</v>
          </cell>
          <cell r="B1218">
            <v>42693</v>
          </cell>
          <cell r="C1218" t="str">
            <v>NOVIEMBRE</v>
          </cell>
          <cell r="D1218" t="str">
            <v>2016</v>
          </cell>
          <cell r="E1218">
            <v>202</v>
          </cell>
          <cell r="F1218" t="str">
            <v>D3P-752</v>
          </cell>
          <cell r="G1218" t="str">
            <v>C5Y-985</v>
          </cell>
          <cell r="H1218" t="str">
            <v>LAS BAMBAS</v>
          </cell>
          <cell r="I1218">
            <v>150504</v>
          </cell>
          <cell r="J1218" t="str">
            <v>REPUESTO</v>
          </cell>
          <cell r="K1218" t="str">
            <v>TECLA ELEVALUNA LADO DERECHO</v>
          </cell>
          <cell r="L1218">
            <v>1</v>
          </cell>
          <cell r="M1218" t="str">
            <v>UNID.</v>
          </cell>
          <cell r="N1218" t="str">
            <v>TRACTO</v>
          </cell>
          <cell r="O1218">
            <v>97</v>
          </cell>
          <cell r="P1218" t="str">
            <v>E1</v>
          </cell>
          <cell r="Q1218" t="str">
            <v>J1</v>
          </cell>
          <cell r="R1218" t="str">
            <v>J1</v>
          </cell>
          <cell r="S1218" t="str">
            <v>ENTREGADO</v>
          </cell>
          <cell r="T1218">
            <v>0</v>
          </cell>
          <cell r="U1218" t="str">
            <v>PALOMINO CARDENAS JUAN CARLOS</v>
          </cell>
          <cell r="V1218" t="str">
            <v>FLOREZ CONDORI  JOSE WILLIANS</v>
          </cell>
        </row>
        <row r="1219">
          <cell r="A1219">
            <v>1185</v>
          </cell>
          <cell r="B1219">
            <v>42693</v>
          </cell>
          <cell r="C1219" t="str">
            <v>NOVIEMBRE</v>
          </cell>
          <cell r="D1219" t="str">
            <v>2016</v>
          </cell>
          <cell r="E1219">
            <v>202</v>
          </cell>
          <cell r="F1219" t="str">
            <v>D3P-752</v>
          </cell>
          <cell r="G1219" t="str">
            <v>C5Y-985</v>
          </cell>
          <cell r="H1219" t="str">
            <v>LAS BAMBAS</v>
          </cell>
          <cell r="I1219">
            <v>150504</v>
          </cell>
          <cell r="J1219" t="str">
            <v>REPUESTO</v>
          </cell>
          <cell r="K1219" t="str">
            <v>CIRCULA</v>
          </cell>
          <cell r="L1219">
            <v>1</v>
          </cell>
          <cell r="M1219" t="str">
            <v>UNID.</v>
          </cell>
          <cell r="N1219" t="str">
            <v>TRACTO</v>
          </cell>
          <cell r="O1219">
            <v>97</v>
          </cell>
          <cell r="P1219" t="str">
            <v>E1</v>
          </cell>
          <cell r="Q1219" t="str">
            <v>J1</v>
          </cell>
          <cell r="R1219" t="str">
            <v>J1</v>
          </cell>
          <cell r="S1219" t="str">
            <v>PENDIENTE</v>
          </cell>
          <cell r="T1219">
            <v>0</v>
          </cell>
          <cell r="U1219" t="str">
            <v>PALOMINO CARDENAS JUAN CARLOS</v>
          </cell>
          <cell r="V1219" t="str">
            <v>FLOREZ CONDORI  JOSE WILLIANS</v>
          </cell>
        </row>
        <row r="1220">
          <cell r="A1220">
            <v>1186</v>
          </cell>
          <cell r="B1220">
            <v>42693</v>
          </cell>
          <cell r="C1220" t="str">
            <v>NOVIEMBRE</v>
          </cell>
          <cell r="D1220" t="str">
            <v>2016</v>
          </cell>
          <cell r="E1220">
            <v>202</v>
          </cell>
          <cell r="F1220" t="str">
            <v>D3P-752</v>
          </cell>
          <cell r="G1220" t="str">
            <v>C5Y-985</v>
          </cell>
          <cell r="H1220" t="str">
            <v>LAS BAMBAS</v>
          </cell>
          <cell r="I1220">
            <v>150504</v>
          </cell>
          <cell r="J1220" t="str">
            <v>REPUESTO</v>
          </cell>
          <cell r="K1220" t="str">
            <v>CONECTORES DE FOCO LAGRIMON</v>
          </cell>
          <cell r="L1220">
            <v>4</v>
          </cell>
          <cell r="M1220" t="str">
            <v>UNID.</v>
          </cell>
          <cell r="N1220" t="str">
            <v>CISTERNA</v>
          </cell>
          <cell r="O1220">
            <v>97</v>
          </cell>
          <cell r="P1220" t="str">
            <v>E1</v>
          </cell>
          <cell r="Q1220" t="str">
            <v>J1</v>
          </cell>
          <cell r="R1220" t="str">
            <v>J1</v>
          </cell>
          <cell r="S1220" t="str">
            <v>ENTREGADO</v>
          </cell>
          <cell r="T1220">
            <v>0</v>
          </cell>
          <cell r="U1220" t="str">
            <v>PALOMINO CARDENAS JUAN CARLOS</v>
          </cell>
          <cell r="V1220" t="str">
            <v>FLOREZ CONDORI  JOSE WILLIANS</v>
          </cell>
        </row>
        <row r="1221">
          <cell r="A1221">
            <v>1187</v>
          </cell>
          <cell r="B1221">
            <v>42693</v>
          </cell>
          <cell r="C1221" t="str">
            <v>NOVIEMBRE</v>
          </cell>
          <cell r="D1221" t="str">
            <v>2016</v>
          </cell>
          <cell r="E1221">
            <v>202</v>
          </cell>
          <cell r="F1221" t="str">
            <v>D3P-752</v>
          </cell>
          <cell r="G1221" t="str">
            <v>C5Y-985</v>
          </cell>
          <cell r="H1221" t="str">
            <v>LAS BAMBAS</v>
          </cell>
          <cell r="I1221">
            <v>150504</v>
          </cell>
          <cell r="J1221" t="str">
            <v>REPUESTO</v>
          </cell>
          <cell r="K1221" t="str">
            <v>FOCOS LAGRIMON</v>
          </cell>
          <cell r="L1221">
            <v>4</v>
          </cell>
          <cell r="M1221" t="str">
            <v>UNID.</v>
          </cell>
          <cell r="N1221" t="str">
            <v>CISTERNA</v>
          </cell>
          <cell r="O1221">
            <v>0</v>
          </cell>
          <cell r="P1221" t="str">
            <v>E1</v>
          </cell>
          <cell r="Q1221" t="str">
            <v>J1</v>
          </cell>
          <cell r="R1221" t="str">
            <v>J1</v>
          </cell>
          <cell r="S1221" t="str">
            <v>ENTREGADO</v>
          </cell>
          <cell r="T1221">
            <v>42693</v>
          </cell>
          <cell r="U1221" t="str">
            <v>PALOMINO CARDENAS JUAN CARLOS</v>
          </cell>
          <cell r="V1221" t="str">
            <v>FLOREZ CONDORI  JOSE WILLIANS</v>
          </cell>
        </row>
        <row r="1222">
          <cell r="A1222">
            <v>1188</v>
          </cell>
          <cell r="B1222">
            <v>42693</v>
          </cell>
          <cell r="C1222" t="str">
            <v>NOVIEMBRE</v>
          </cell>
          <cell r="D1222" t="str">
            <v>2016</v>
          </cell>
          <cell r="E1222">
            <v>202</v>
          </cell>
          <cell r="F1222" t="str">
            <v>D3P-752</v>
          </cell>
          <cell r="G1222" t="str">
            <v>C5Y-985</v>
          </cell>
          <cell r="H1222" t="str">
            <v>LAS BAMBAS</v>
          </cell>
          <cell r="I1222">
            <v>150504</v>
          </cell>
          <cell r="J1222" t="str">
            <v>REPUESTO</v>
          </cell>
          <cell r="K1222" t="str">
            <v>TAPA FARO DELANTERO DERECHO</v>
          </cell>
          <cell r="L1222">
            <v>1</v>
          </cell>
          <cell r="M1222" t="str">
            <v>UNID.</v>
          </cell>
          <cell r="N1222" t="str">
            <v>TRACTO</v>
          </cell>
          <cell r="O1222">
            <v>0</v>
          </cell>
          <cell r="P1222" t="str">
            <v>E1</v>
          </cell>
          <cell r="Q1222" t="str">
            <v>J1</v>
          </cell>
          <cell r="R1222" t="str">
            <v>J1</v>
          </cell>
          <cell r="S1222" t="str">
            <v>ENTREGADO</v>
          </cell>
          <cell r="T1222">
            <v>42693</v>
          </cell>
          <cell r="U1222" t="str">
            <v>PALOMINO CARDENAS JUAN CARLOS</v>
          </cell>
          <cell r="V1222" t="str">
            <v>FLOREZ CONDORI  JOSE WILLIANS</v>
          </cell>
        </row>
        <row r="1223">
          <cell r="A1223">
            <v>1189</v>
          </cell>
          <cell r="B1223">
            <v>42693</v>
          </cell>
          <cell r="C1223" t="str">
            <v>NOVIEMBRE</v>
          </cell>
          <cell r="D1223" t="str">
            <v>2016</v>
          </cell>
          <cell r="E1223">
            <v>202</v>
          </cell>
          <cell r="F1223" t="str">
            <v>D3P-752</v>
          </cell>
          <cell r="G1223" t="str">
            <v>C5Y-985</v>
          </cell>
          <cell r="H1223" t="str">
            <v>LAS BAMBAS</v>
          </cell>
          <cell r="I1223">
            <v>150504</v>
          </cell>
          <cell r="J1223" t="str">
            <v>REPUESTO</v>
          </cell>
          <cell r="K1223" t="str">
            <v>TAPA FARO DELANTERO IZQUIERDO</v>
          </cell>
          <cell r="L1223">
            <v>1</v>
          </cell>
          <cell r="M1223" t="str">
            <v>UNID.</v>
          </cell>
          <cell r="N1223" t="str">
            <v>TRACTO</v>
          </cell>
          <cell r="O1223">
            <v>0</v>
          </cell>
          <cell r="P1223" t="str">
            <v>E1</v>
          </cell>
          <cell r="Q1223" t="str">
            <v>J1</v>
          </cell>
          <cell r="R1223" t="str">
            <v>J1</v>
          </cell>
          <cell r="S1223" t="str">
            <v>ENTREGADO</v>
          </cell>
          <cell r="T1223">
            <v>42693</v>
          </cell>
          <cell r="U1223" t="str">
            <v>PALOMINO CARDENAS JUAN CARLOS</v>
          </cell>
          <cell r="V1223" t="str">
            <v>FLOREZ CONDORI  JOSE WILLIANS</v>
          </cell>
        </row>
        <row r="1224">
          <cell r="A1224">
            <v>1190</v>
          </cell>
          <cell r="B1224">
            <v>42693</v>
          </cell>
          <cell r="C1224" t="str">
            <v>NOVIEMBRE</v>
          </cell>
          <cell r="D1224" t="str">
            <v>2016</v>
          </cell>
          <cell r="E1224">
            <v>202</v>
          </cell>
          <cell r="F1224" t="str">
            <v>D3P-752</v>
          </cell>
          <cell r="G1224" t="str">
            <v>C5Y-985</v>
          </cell>
          <cell r="H1224" t="str">
            <v>LAS BAMBAS</v>
          </cell>
          <cell r="I1224">
            <v>150504</v>
          </cell>
          <cell r="J1224" t="str">
            <v>REPUESTO</v>
          </cell>
          <cell r="K1224" t="str">
            <v>FOCO 9006</v>
          </cell>
          <cell r="L1224">
            <v>2</v>
          </cell>
          <cell r="M1224" t="str">
            <v>UNID.</v>
          </cell>
          <cell r="N1224" t="str">
            <v>TRACTO</v>
          </cell>
          <cell r="O1224">
            <v>0</v>
          </cell>
          <cell r="P1224" t="str">
            <v>E1</v>
          </cell>
          <cell r="Q1224" t="str">
            <v>J1</v>
          </cell>
          <cell r="R1224" t="str">
            <v>J1</v>
          </cell>
          <cell r="S1224" t="str">
            <v>ENTREGADO</v>
          </cell>
          <cell r="T1224">
            <v>42693</v>
          </cell>
          <cell r="U1224" t="str">
            <v>PALOMINO CARDENAS JUAN CARLOS</v>
          </cell>
          <cell r="V1224" t="str">
            <v>FLOREZ CONDORI  JOSE WILLIANS</v>
          </cell>
        </row>
        <row r="1225">
          <cell r="A1225">
            <v>1191</v>
          </cell>
          <cell r="B1225">
            <v>42693</v>
          </cell>
          <cell r="C1225" t="str">
            <v>NOVIEMBRE</v>
          </cell>
          <cell r="D1225" t="str">
            <v>2016</v>
          </cell>
          <cell r="E1225">
            <v>202</v>
          </cell>
          <cell r="F1225" t="str">
            <v>D3P-752</v>
          </cell>
          <cell r="G1225" t="str">
            <v>C5Y-985</v>
          </cell>
          <cell r="H1225" t="str">
            <v>LAS BAMBAS</v>
          </cell>
          <cell r="I1225">
            <v>150504</v>
          </cell>
          <cell r="J1225" t="str">
            <v>REPUESTO</v>
          </cell>
          <cell r="K1225" t="str">
            <v>FARO LED ROJO GRANDE</v>
          </cell>
          <cell r="L1225">
            <v>7</v>
          </cell>
          <cell r="M1225" t="str">
            <v>UNID.</v>
          </cell>
          <cell r="N1225" t="str">
            <v>CISTERNA</v>
          </cell>
          <cell r="O1225">
            <v>97</v>
          </cell>
          <cell r="P1225" t="str">
            <v>E1</v>
          </cell>
          <cell r="Q1225" t="str">
            <v>J1</v>
          </cell>
          <cell r="R1225" t="str">
            <v>J1</v>
          </cell>
          <cell r="S1225" t="str">
            <v>ENTREGADO</v>
          </cell>
          <cell r="T1225">
            <v>0</v>
          </cell>
          <cell r="U1225" t="str">
            <v>PALOMINO CARDENAS JUAN CARLOS</v>
          </cell>
          <cell r="V1225" t="str">
            <v>FLOREZ CONDORI  JOSE WILLIANS</v>
          </cell>
        </row>
        <row r="1226">
          <cell r="A1226">
            <v>1192</v>
          </cell>
          <cell r="B1226">
            <v>42693</v>
          </cell>
          <cell r="C1226" t="str">
            <v>NOVIEMBRE</v>
          </cell>
          <cell r="D1226" t="str">
            <v>2016</v>
          </cell>
          <cell r="E1226">
            <v>202</v>
          </cell>
          <cell r="F1226" t="str">
            <v>D3P-752</v>
          </cell>
          <cell r="G1226" t="str">
            <v>C5Y-985</v>
          </cell>
          <cell r="H1226" t="str">
            <v>LAS BAMBAS</v>
          </cell>
          <cell r="I1226">
            <v>150504</v>
          </cell>
          <cell r="J1226" t="str">
            <v>REPUESTO</v>
          </cell>
          <cell r="K1226" t="str">
            <v>TERMINALES DE 3/8 PARA BATERIA</v>
          </cell>
          <cell r="L1226">
            <v>4</v>
          </cell>
          <cell r="M1226" t="str">
            <v>UNID.</v>
          </cell>
          <cell r="N1226" t="str">
            <v>CISTERNA</v>
          </cell>
          <cell r="O1226">
            <v>0</v>
          </cell>
          <cell r="P1226" t="str">
            <v>E1</v>
          </cell>
          <cell r="Q1226" t="str">
            <v>J1</v>
          </cell>
          <cell r="R1226" t="str">
            <v>J1</v>
          </cell>
          <cell r="S1226" t="str">
            <v>ENTREGADO</v>
          </cell>
          <cell r="T1226">
            <v>42693</v>
          </cell>
          <cell r="U1226" t="str">
            <v>PALOMINO CARDENAS JUAN CARLOS</v>
          </cell>
          <cell r="V1226" t="str">
            <v>FLOREZ CONDORI  JOSE WILLIANS</v>
          </cell>
        </row>
        <row r="1227">
          <cell r="A1227">
            <v>1193</v>
          </cell>
          <cell r="B1227">
            <v>42693</v>
          </cell>
          <cell r="C1227" t="str">
            <v>NOVIEMBRE</v>
          </cell>
          <cell r="D1227" t="str">
            <v>2016</v>
          </cell>
          <cell r="E1227">
            <v>202</v>
          </cell>
          <cell r="F1227" t="str">
            <v>D3P-752</v>
          </cell>
          <cell r="G1227" t="str">
            <v>C5Y-985</v>
          </cell>
          <cell r="H1227" t="str">
            <v>LAS BAMBAS</v>
          </cell>
          <cell r="I1227">
            <v>150504</v>
          </cell>
          <cell r="J1227" t="str">
            <v>REPUESTO</v>
          </cell>
          <cell r="K1227" t="str">
            <v>CABLE PARA BATERIA</v>
          </cell>
          <cell r="L1227">
            <v>1</v>
          </cell>
          <cell r="M1227" t="str">
            <v>UNID.</v>
          </cell>
          <cell r="N1227" t="str">
            <v>TRACTO</v>
          </cell>
          <cell r="O1227">
            <v>0</v>
          </cell>
          <cell r="P1227" t="str">
            <v>E1</v>
          </cell>
          <cell r="Q1227" t="str">
            <v>J1</v>
          </cell>
          <cell r="R1227" t="str">
            <v>J1</v>
          </cell>
          <cell r="S1227" t="str">
            <v>ENTREGADO</v>
          </cell>
          <cell r="T1227">
            <v>42693</v>
          </cell>
          <cell r="U1227" t="str">
            <v>PALOMINO CARDENAS JUAN CARLOS</v>
          </cell>
          <cell r="V1227" t="str">
            <v>FLOREZ CONDORI  JOSE WILLIANS</v>
          </cell>
        </row>
        <row r="1228">
          <cell r="A1228">
            <v>1194</v>
          </cell>
          <cell r="B1228">
            <v>42693</v>
          </cell>
          <cell r="C1228" t="str">
            <v>NOVIEMBRE</v>
          </cell>
          <cell r="D1228" t="str">
            <v>2016</v>
          </cell>
          <cell r="E1228">
            <v>202</v>
          </cell>
          <cell r="F1228" t="str">
            <v>D3P-752</v>
          </cell>
          <cell r="G1228" t="str">
            <v>C5Y-985</v>
          </cell>
          <cell r="H1228" t="str">
            <v>LAS BAMBAS</v>
          </cell>
          <cell r="I1228">
            <v>150504</v>
          </cell>
          <cell r="J1228" t="str">
            <v>REPUESTO</v>
          </cell>
          <cell r="K1228" t="str">
            <v>ELECTROVALVULA DE VENTILADOR (SEGÚN MUESTRA)</v>
          </cell>
          <cell r="L1228">
            <v>1</v>
          </cell>
          <cell r="M1228" t="str">
            <v>UNID.</v>
          </cell>
          <cell r="N1228" t="str">
            <v>TRACTO</v>
          </cell>
          <cell r="O1228">
            <v>0</v>
          </cell>
          <cell r="P1228" t="str">
            <v>E1</v>
          </cell>
          <cell r="Q1228" t="str">
            <v>J1</v>
          </cell>
          <cell r="R1228" t="str">
            <v>J1</v>
          </cell>
          <cell r="S1228" t="str">
            <v>ENTREGADO</v>
          </cell>
          <cell r="T1228">
            <v>42693</v>
          </cell>
          <cell r="U1228" t="str">
            <v>PALOMINO CARDENAS JUAN CARLOS</v>
          </cell>
          <cell r="V1228" t="str">
            <v>FLOREZ CONDORI  JOSE WILLIANS</v>
          </cell>
        </row>
        <row r="1229">
          <cell r="A1229">
            <v>1195</v>
          </cell>
          <cell r="B1229">
            <v>42693</v>
          </cell>
          <cell r="C1229" t="str">
            <v>NOVIEMBRE</v>
          </cell>
          <cell r="D1229" t="str">
            <v>2016</v>
          </cell>
          <cell r="E1229">
            <v>202</v>
          </cell>
          <cell r="F1229" t="str">
            <v>D3P-752</v>
          </cell>
          <cell r="G1229" t="str">
            <v>C5Y-985</v>
          </cell>
          <cell r="H1229" t="str">
            <v>LAS BAMBAS</v>
          </cell>
          <cell r="I1229">
            <v>150504</v>
          </cell>
          <cell r="J1229" t="str">
            <v>REPUESTO</v>
          </cell>
          <cell r="K1229" t="str">
            <v>FOCO 896</v>
          </cell>
          <cell r="L1229">
            <v>1</v>
          </cell>
          <cell r="M1229" t="str">
            <v>UNID.</v>
          </cell>
          <cell r="N1229" t="str">
            <v>CISTERNA</v>
          </cell>
          <cell r="O1229">
            <v>0</v>
          </cell>
          <cell r="P1229" t="str">
            <v>E1</v>
          </cell>
          <cell r="Q1229" t="str">
            <v>J1</v>
          </cell>
          <cell r="R1229" t="str">
            <v>J1</v>
          </cell>
          <cell r="S1229" t="str">
            <v>ENTREGADO</v>
          </cell>
          <cell r="T1229">
            <v>42693</v>
          </cell>
          <cell r="U1229" t="str">
            <v>PALOMINO CARDENAS JUAN CARLOS</v>
          </cell>
          <cell r="V1229" t="str">
            <v>FLOREZ CONDORI  JOSE WILLIANS</v>
          </cell>
        </row>
        <row r="1230">
          <cell r="A1230">
            <v>1196</v>
          </cell>
          <cell r="B1230">
            <v>42693</v>
          </cell>
          <cell r="C1230" t="str">
            <v>NOVIEMBRE</v>
          </cell>
          <cell r="D1230" t="str">
            <v>2016</v>
          </cell>
          <cell r="E1230">
            <v>202</v>
          </cell>
          <cell r="F1230" t="str">
            <v>D3P-752</v>
          </cell>
          <cell r="G1230" t="str">
            <v>C5Y-985</v>
          </cell>
          <cell r="H1230" t="str">
            <v>LAS BAMBAS</v>
          </cell>
          <cell r="I1230">
            <v>150504</v>
          </cell>
          <cell r="J1230" t="str">
            <v>IMPLEMENTACION</v>
          </cell>
          <cell r="K1230" t="str">
            <v xml:space="preserve">RADIO COMUNICACIÓN COMPLETA </v>
          </cell>
          <cell r="L1230">
            <v>1</v>
          </cell>
          <cell r="M1230" t="str">
            <v>UNID.</v>
          </cell>
          <cell r="N1230" t="str">
            <v>TRACTO</v>
          </cell>
          <cell r="O1230">
            <v>97</v>
          </cell>
          <cell r="P1230" t="str">
            <v>E1</v>
          </cell>
          <cell r="Q1230" t="str">
            <v>J1</v>
          </cell>
          <cell r="R1230" t="str">
            <v>J1</v>
          </cell>
          <cell r="S1230" t="str">
            <v>ENTREGADO</v>
          </cell>
          <cell r="T1230">
            <v>0</v>
          </cell>
          <cell r="U1230" t="str">
            <v>PALOMINO CARDENAS JUAN CARLOS</v>
          </cell>
          <cell r="V1230" t="str">
            <v>FLOREZ CONDORI  JOSE WILLIANS</v>
          </cell>
        </row>
        <row r="1231">
          <cell r="A1231">
            <v>1199</v>
          </cell>
          <cell r="B1231">
            <v>42693</v>
          </cell>
          <cell r="C1231" t="str">
            <v>NOVIEMBRE</v>
          </cell>
          <cell r="D1231" t="str">
            <v>2016</v>
          </cell>
          <cell r="E1231">
            <v>202</v>
          </cell>
          <cell r="F1231" t="str">
            <v>D3P-752</v>
          </cell>
          <cell r="G1231" t="str">
            <v>C5Y-985</v>
          </cell>
          <cell r="H1231" t="str">
            <v>LAS BAMBAS</v>
          </cell>
          <cell r="I1231">
            <v>150504</v>
          </cell>
          <cell r="J1231" t="str">
            <v>REPUESTO</v>
          </cell>
          <cell r="K1231" t="str">
            <v>FOCO LAGRIMA 12V</v>
          </cell>
          <cell r="L1231">
            <v>5</v>
          </cell>
          <cell r="M1231" t="str">
            <v>UNID.</v>
          </cell>
          <cell r="N1231" t="str">
            <v>CISTERNA</v>
          </cell>
          <cell r="O1231">
            <v>0</v>
          </cell>
          <cell r="P1231" t="str">
            <v>E1</v>
          </cell>
          <cell r="Q1231" t="str">
            <v>J1</v>
          </cell>
          <cell r="R1231" t="str">
            <v>J1</v>
          </cell>
          <cell r="S1231" t="str">
            <v>ENTREGADO</v>
          </cell>
          <cell r="T1231">
            <v>42693</v>
          </cell>
          <cell r="U1231" t="str">
            <v>PALOMINO CARDENAS JUAN CARLOS</v>
          </cell>
          <cell r="V1231" t="str">
            <v>FLOREZ CONDORI  JOSE WILLIANS</v>
          </cell>
        </row>
        <row r="1232">
          <cell r="A1232">
            <v>1200</v>
          </cell>
          <cell r="B1232">
            <v>42693</v>
          </cell>
          <cell r="C1232" t="str">
            <v>NOVIEMBRE</v>
          </cell>
          <cell r="D1232" t="str">
            <v>2016</v>
          </cell>
          <cell r="E1232">
            <v>202</v>
          </cell>
          <cell r="F1232" t="str">
            <v>D3P-752</v>
          </cell>
          <cell r="G1232" t="str">
            <v>C5Y-985</v>
          </cell>
          <cell r="H1232" t="str">
            <v>LAS BAMBAS</v>
          </cell>
          <cell r="I1232">
            <v>150504</v>
          </cell>
          <cell r="J1232" t="str">
            <v>REPUESTO</v>
          </cell>
          <cell r="K1232" t="str">
            <v>FOCO DOBLE CONTACTO  12 V</v>
          </cell>
          <cell r="L1232">
            <v>2</v>
          </cell>
          <cell r="M1232" t="str">
            <v>UNID.</v>
          </cell>
          <cell r="N1232" t="str">
            <v>CISTERNA</v>
          </cell>
          <cell r="O1232">
            <v>0</v>
          </cell>
          <cell r="P1232" t="str">
            <v>E1</v>
          </cell>
          <cell r="Q1232" t="str">
            <v>J1</v>
          </cell>
          <cell r="R1232" t="str">
            <v>J1</v>
          </cell>
          <cell r="S1232" t="str">
            <v>ENTREGADO</v>
          </cell>
          <cell r="T1232">
            <v>42693</v>
          </cell>
          <cell r="U1232" t="str">
            <v>PALOMINO CARDENAS JUAN CARLOS</v>
          </cell>
          <cell r="V1232" t="str">
            <v>FLOREZ CONDORI  JOSE WILLIANS</v>
          </cell>
        </row>
        <row r="1233">
          <cell r="A1233">
            <v>1203</v>
          </cell>
          <cell r="B1233">
            <v>42693</v>
          </cell>
          <cell r="C1233" t="str">
            <v>NOVIEMBRE</v>
          </cell>
          <cell r="D1233" t="str">
            <v>2016</v>
          </cell>
          <cell r="E1233">
            <v>202</v>
          </cell>
          <cell r="F1233" t="str">
            <v>D3P-752</v>
          </cell>
          <cell r="G1233" t="str">
            <v>C5Y-985</v>
          </cell>
          <cell r="H1233" t="str">
            <v>LAS BAMBAS</v>
          </cell>
          <cell r="I1233">
            <v>150504</v>
          </cell>
          <cell r="J1233" t="str">
            <v>REPUESTO</v>
          </cell>
          <cell r="K1233" t="str">
            <v>FARO LED AMBAR DE 2"</v>
          </cell>
          <cell r="L1233">
            <v>12</v>
          </cell>
          <cell r="M1233" t="str">
            <v>UNID.</v>
          </cell>
          <cell r="N1233" t="str">
            <v>CISTERNA</v>
          </cell>
          <cell r="O1233">
            <v>0</v>
          </cell>
          <cell r="P1233" t="str">
            <v>E1</v>
          </cell>
          <cell r="Q1233" t="str">
            <v>J1</v>
          </cell>
          <cell r="R1233" t="str">
            <v>J1</v>
          </cell>
          <cell r="S1233" t="str">
            <v>ENTREGADO</v>
          </cell>
          <cell r="T1233">
            <v>42693</v>
          </cell>
          <cell r="U1233" t="str">
            <v>PALOMINO CARDENAS JUAN CARLOS</v>
          </cell>
          <cell r="V1233" t="str">
            <v>FLOREZ CONDORI  JOSE WILLIANS</v>
          </cell>
        </row>
        <row r="1234">
          <cell r="A1234">
            <v>1181</v>
          </cell>
          <cell r="B1234">
            <v>42693</v>
          </cell>
          <cell r="C1234" t="str">
            <v>NOVIEMBRE</v>
          </cell>
          <cell r="D1234" t="str">
            <v>2016</v>
          </cell>
          <cell r="E1234">
            <v>374</v>
          </cell>
          <cell r="F1234" t="str">
            <v>D3P-754</v>
          </cell>
          <cell r="G1234" t="str">
            <v>C0V-971</v>
          </cell>
          <cell r="H1234" t="str">
            <v>LAS BAMBAS</v>
          </cell>
          <cell r="I1234">
            <v>160820</v>
          </cell>
          <cell r="J1234" t="str">
            <v>REPUESTO</v>
          </cell>
          <cell r="K1234" t="str">
            <v>CABLE PUENTE BATERIA POSITIVO (+)</v>
          </cell>
          <cell r="L1234">
            <v>1</v>
          </cell>
          <cell r="M1234" t="str">
            <v>UNID.</v>
          </cell>
          <cell r="N1234" t="str">
            <v>CISTERNA</v>
          </cell>
          <cell r="O1234">
            <v>0</v>
          </cell>
          <cell r="P1234" t="str">
            <v>E1</v>
          </cell>
          <cell r="Q1234" t="str">
            <v>J1</v>
          </cell>
          <cell r="R1234" t="str">
            <v>J1</v>
          </cell>
          <cell r="S1234" t="str">
            <v>ENTREGADO</v>
          </cell>
          <cell r="T1234">
            <v>42693</v>
          </cell>
          <cell r="U1234" t="str">
            <v>PALOMINO CARDENAS JUAN CARLOS</v>
          </cell>
          <cell r="V1234" t="str">
            <v>FLOREZ CONDORI  JOSE WILLIANS</v>
          </cell>
        </row>
        <row r="1235">
          <cell r="A1235">
            <v>1222</v>
          </cell>
          <cell r="B1235">
            <v>42693</v>
          </cell>
          <cell r="C1235" t="str">
            <v>NOVIEMBRE</v>
          </cell>
          <cell r="D1235" t="str">
            <v>2016</v>
          </cell>
          <cell r="E1235">
            <v>374</v>
          </cell>
          <cell r="F1235" t="str">
            <v>D3P-754</v>
          </cell>
          <cell r="G1235" t="str">
            <v>C0V-971</v>
          </cell>
          <cell r="H1235" t="str">
            <v>LAS BAMBAS</v>
          </cell>
          <cell r="I1235">
            <v>160820</v>
          </cell>
          <cell r="J1235" t="str">
            <v>REPUESTO</v>
          </cell>
          <cell r="K1235" t="str">
            <v xml:space="preserve">PERNO 1/4 X1" </v>
          </cell>
          <cell r="L1235">
            <v>2</v>
          </cell>
          <cell r="M1235" t="str">
            <v>UNID.</v>
          </cell>
          <cell r="N1235" t="str">
            <v>TRACTO</v>
          </cell>
          <cell r="O1235">
            <v>0</v>
          </cell>
          <cell r="P1235" t="str">
            <v>E2</v>
          </cell>
          <cell r="Q1235" t="str">
            <v>J1</v>
          </cell>
          <cell r="R1235" t="str">
            <v>J1</v>
          </cell>
          <cell r="S1235" t="str">
            <v>ENTREGADO</v>
          </cell>
          <cell r="T1235">
            <v>42693</v>
          </cell>
          <cell r="U1235" t="str">
            <v>YUCA BELLIDO BORIS YERSY</v>
          </cell>
          <cell r="V1235" t="str">
            <v>FLOREZ CONDORI  JOSE WILLIANS</v>
          </cell>
        </row>
        <row r="1236">
          <cell r="A1236">
            <v>1223</v>
          </cell>
          <cell r="B1236">
            <v>42693</v>
          </cell>
          <cell r="C1236" t="str">
            <v>NOVIEMBRE</v>
          </cell>
          <cell r="D1236" t="str">
            <v>2016</v>
          </cell>
          <cell r="E1236">
            <v>374</v>
          </cell>
          <cell r="F1236" t="str">
            <v>D3P-754</v>
          </cell>
          <cell r="G1236" t="str">
            <v>C0V-971</v>
          </cell>
          <cell r="H1236" t="str">
            <v>LAS BAMBAS</v>
          </cell>
          <cell r="I1236">
            <v>160820</v>
          </cell>
          <cell r="J1236" t="str">
            <v>REPUESTO</v>
          </cell>
          <cell r="K1236" t="str">
            <v>VOLANDAS 1/4</v>
          </cell>
          <cell r="L1236">
            <v>4</v>
          </cell>
          <cell r="M1236" t="str">
            <v>UNID.</v>
          </cell>
          <cell r="N1236" t="str">
            <v>TRACTO</v>
          </cell>
          <cell r="O1236">
            <v>0</v>
          </cell>
          <cell r="P1236" t="str">
            <v>E2</v>
          </cell>
          <cell r="Q1236" t="str">
            <v>J1</v>
          </cell>
          <cell r="R1236" t="str">
            <v>J1</v>
          </cell>
          <cell r="S1236" t="str">
            <v>ENTREGADO</v>
          </cell>
          <cell r="T1236">
            <v>42693</v>
          </cell>
          <cell r="U1236" t="str">
            <v>YUCA BELLIDO BORIS YERSY</v>
          </cell>
          <cell r="V1236" t="str">
            <v>FLOREZ CONDORI  JOSE WILLIANS</v>
          </cell>
        </row>
        <row r="1237">
          <cell r="A1237">
            <v>1224</v>
          </cell>
          <cell r="B1237">
            <v>42693</v>
          </cell>
          <cell r="C1237" t="str">
            <v>NOVIEMBRE</v>
          </cell>
          <cell r="D1237" t="str">
            <v>2016</v>
          </cell>
          <cell r="E1237">
            <v>374</v>
          </cell>
          <cell r="F1237" t="str">
            <v>D3P-754</v>
          </cell>
          <cell r="G1237" t="str">
            <v>C0V-971</v>
          </cell>
          <cell r="H1237" t="str">
            <v>LAS BAMBAS</v>
          </cell>
          <cell r="I1237">
            <v>160820</v>
          </cell>
          <cell r="J1237" t="str">
            <v>REPUESTO</v>
          </cell>
          <cell r="K1237" t="str">
            <v>TUERCA SEGURA 1/4</v>
          </cell>
          <cell r="L1237">
            <v>2</v>
          </cell>
          <cell r="M1237" t="str">
            <v>UNID.</v>
          </cell>
          <cell r="N1237" t="str">
            <v>TRACTO</v>
          </cell>
          <cell r="O1237">
            <v>0</v>
          </cell>
          <cell r="P1237" t="str">
            <v>E2</v>
          </cell>
          <cell r="Q1237" t="str">
            <v>J1</v>
          </cell>
          <cell r="R1237" t="str">
            <v>J1</v>
          </cell>
          <cell r="S1237" t="str">
            <v>ENTREGADO</v>
          </cell>
          <cell r="T1237">
            <v>42693</v>
          </cell>
          <cell r="U1237" t="str">
            <v>YUCA BELLIDO BORIS YERSY</v>
          </cell>
          <cell r="V1237" t="str">
            <v>FLOREZ CONDORI  JOSE WILLIANS</v>
          </cell>
        </row>
        <row r="1238">
          <cell r="A1238">
            <v>1211</v>
          </cell>
          <cell r="B1238">
            <v>42693</v>
          </cell>
          <cell r="C1238" t="str">
            <v>NOVIEMBRE</v>
          </cell>
          <cell r="D1238" t="str">
            <v>2016</v>
          </cell>
          <cell r="E1238">
            <v>345</v>
          </cell>
          <cell r="F1238" t="str">
            <v>D3R-742</v>
          </cell>
          <cell r="G1238" t="str">
            <v>D2E-975</v>
          </cell>
          <cell r="H1238" t="str">
            <v>LAS BAMBAS</v>
          </cell>
          <cell r="I1238">
            <v>150239</v>
          </cell>
          <cell r="J1238" t="str">
            <v>REPUESTO</v>
          </cell>
          <cell r="K1238" t="str">
            <v>FILTRO DE AIRE</v>
          </cell>
          <cell r="L1238">
            <v>1</v>
          </cell>
          <cell r="M1238" t="str">
            <v>UNID.</v>
          </cell>
          <cell r="N1238" t="str">
            <v>TRACTO</v>
          </cell>
          <cell r="O1238">
            <v>0</v>
          </cell>
          <cell r="P1238" t="str">
            <v>M2</v>
          </cell>
          <cell r="Q1238" t="str">
            <v>J1</v>
          </cell>
          <cell r="R1238" t="str">
            <v>J1</v>
          </cell>
          <cell r="S1238" t="str">
            <v>ENTREGADO</v>
          </cell>
          <cell r="T1238">
            <v>42693</v>
          </cell>
          <cell r="U1238" t="str">
            <v>CHUMPITAZ GAGO JULIO ENRIQUE</v>
          </cell>
          <cell r="V1238" t="str">
            <v>FLOREZ CONDORI  JOSE WILLIANS</v>
          </cell>
        </row>
        <row r="1239">
          <cell r="A1239">
            <v>1217</v>
          </cell>
          <cell r="B1239">
            <v>42693</v>
          </cell>
          <cell r="C1239" t="str">
            <v>NOVIEMBRE</v>
          </cell>
          <cell r="D1239" t="str">
            <v>2016</v>
          </cell>
          <cell r="E1239">
            <v>345</v>
          </cell>
          <cell r="F1239" t="str">
            <v>D3R-742</v>
          </cell>
          <cell r="G1239" t="str">
            <v>D2E-975</v>
          </cell>
          <cell r="H1239" t="str">
            <v>LAS BAMBAS</v>
          </cell>
          <cell r="I1239">
            <v>150239</v>
          </cell>
          <cell r="J1239" t="str">
            <v>REPUESTO</v>
          </cell>
          <cell r="K1239" t="str">
            <v>FILTRO SEUNDARIO</v>
          </cell>
          <cell r="L1239">
            <v>1</v>
          </cell>
          <cell r="M1239" t="str">
            <v>UNID.</v>
          </cell>
          <cell r="N1239" t="str">
            <v>TRACTO</v>
          </cell>
          <cell r="O1239">
            <v>0</v>
          </cell>
          <cell r="P1239" t="str">
            <v>M2</v>
          </cell>
          <cell r="Q1239" t="str">
            <v>J1</v>
          </cell>
          <cell r="R1239" t="str">
            <v>J1</v>
          </cell>
          <cell r="S1239" t="str">
            <v>ENTREGADO</v>
          </cell>
          <cell r="T1239">
            <v>42693</v>
          </cell>
          <cell r="U1239" t="str">
            <v>CHUMPITAZ GAGO JULIO ENRIQUE</v>
          </cell>
          <cell r="V1239" t="str">
            <v>FLOREZ CONDORI  JOSE WILLIANS</v>
          </cell>
        </row>
        <row r="1240">
          <cell r="A1240">
            <v>1225</v>
          </cell>
          <cell r="B1240">
            <v>42693</v>
          </cell>
          <cell r="C1240" t="str">
            <v>NOVIEMBRE</v>
          </cell>
          <cell r="D1240" t="str">
            <v>2016</v>
          </cell>
          <cell r="E1240">
            <v>345</v>
          </cell>
          <cell r="F1240" t="str">
            <v>D3R-742</v>
          </cell>
          <cell r="G1240" t="str">
            <v>D2E-975</v>
          </cell>
          <cell r="H1240" t="str">
            <v>LAS BAMBAS</v>
          </cell>
          <cell r="I1240">
            <v>150239</v>
          </cell>
          <cell r="J1240" t="str">
            <v>REPUESTO</v>
          </cell>
          <cell r="K1240" t="str">
            <v>CELLOCORD 1/8</v>
          </cell>
          <cell r="L1240">
            <v>10</v>
          </cell>
          <cell r="M1240" t="str">
            <v>UNID.</v>
          </cell>
          <cell r="N1240" t="str">
            <v>CISTERNA</v>
          </cell>
          <cell r="O1240">
            <v>0</v>
          </cell>
          <cell r="P1240" t="str">
            <v>S3</v>
          </cell>
          <cell r="Q1240" t="str">
            <v>J1</v>
          </cell>
          <cell r="R1240" t="str">
            <v>J1</v>
          </cell>
          <cell r="S1240" t="str">
            <v>ENTREGADO</v>
          </cell>
          <cell r="T1240">
            <v>42693</v>
          </cell>
          <cell r="U1240" t="str">
            <v>JIMENEZ MACHACA JAVIER</v>
          </cell>
          <cell r="V1240" t="str">
            <v>FLOREZ CONDORI  JOSE WILLIANS</v>
          </cell>
        </row>
        <row r="1241">
          <cell r="A1241">
            <v>1226</v>
          </cell>
          <cell r="B1241">
            <v>42693</v>
          </cell>
          <cell r="C1241" t="str">
            <v>NOVIEMBRE</v>
          </cell>
          <cell r="D1241" t="str">
            <v>2016</v>
          </cell>
          <cell r="E1241">
            <v>345</v>
          </cell>
          <cell r="F1241" t="str">
            <v>D3R-742</v>
          </cell>
          <cell r="G1241" t="str">
            <v>D2E-975</v>
          </cell>
          <cell r="H1241" t="str">
            <v>LAS BAMBAS</v>
          </cell>
          <cell r="I1241">
            <v>150239</v>
          </cell>
          <cell r="J1241" t="str">
            <v>REPUESTO</v>
          </cell>
          <cell r="K1241" t="str">
            <v>PERNO 1/4 X 1"</v>
          </cell>
          <cell r="L1241">
            <v>4</v>
          </cell>
          <cell r="M1241" t="str">
            <v>UNID.</v>
          </cell>
          <cell r="N1241" t="str">
            <v>CISTERNA</v>
          </cell>
          <cell r="O1241">
            <v>0</v>
          </cell>
          <cell r="P1241" t="str">
            <v>S3</v>
          </cell>
          <cell r="Q1241" t="str">
            <v>J1</v>
          </cell>
          <cell r="R1241" t="str">
            <v>J1</v>
          </cell>
          <cell r="S1241" t="str">
            <v>ENTREGADO</v>
          </cell>
          <cell r="T1241">
            <v>42693</v>
          </cell>
          <cell r="U1241" t="str">
            <v>JIMENEZ MACHACA JAVIER</v>
          </cell>
          <cell r="V1241" t="str">
            <v>FLOREZ CONDORI  JOSE WILLIANS</v>
          </cell>
        </row>
        <row r="1242">
          <cell r="A1242">
            <v>1227</v>
          </cell>
          <cell r="B1242">
            <v>42693</v>
          </cell>
          <cell r="C1242" t="str">
            <v>NOVIEMBRE</v>
          </cell>
          <cell r="D1242" t="str">
            <v>2016</v>
          </cell>
          <cell r="E1242">
            <v>345</v>
          </cell>
          <cell r="F1242" t="str">
            <v>D3R-742</v>
          </cell>
          <cell r="G1242" t="str">
            <v>D2E-975</v>
          </cell>
          <cell r="H1242" t="str">
            <v>LAS BAMBAS</v>
          </cell>
          <cell r="I1242">
            <v>150239</v>
          </cell>
          <cell r="J1242" t="str">
            <v>REPUESTO</v>
          </cell>
          <cell r="K1242" t="str">
            <v>TUERCA 1/4</v>
          </cell>
          <cell r="L1242">
            <v>4</v>
          </cell>
          <cell r="M1242" t="str">
            <v>UNID.</v>
          </cell>
          <cell r="N1242" t="str">
            <v>CISTERNA</v>
          </cell>
          <cell r="O1242">
            <v>0</v>
          </cell>
          <cell r="P1242" t="str">
            <v>S3</v>
          </cell>
          <cell r="Q1242" t="str">
            <v>J1</v>
          </cell>
          <cell r="R1242" t="str">
            <v>J1</v>
          </cell>
          <cell r="S1242" t="str">
            <v>ENTREGADO</v>
          </cell>
          <cell r="T1242">
            <v>42693</v>
          </cell>
          <cell r="U1242" t="str">
            <v>JIMENEZ MACHACA JAVIER</v>
          </cell>
          <cell r="V1242" t="str">
            <v>FLOREZ CONDORI  JOSE WILLIANS</v>
          </cell>
        </row>
        <row r="1243">
          <cell r="A1243">
            <v>1228</v>
          </cell>
          <cell r="B1243">
            <v>42693</v>
          </cell>
          <cell r="C1243" t="str">
            <v>NOVIEMBRE</v>
          </cell>
          <cell r="D1243" t="str">
            <v>2016</v>
          </cell>
          <cell r="E1243">
            <v>345</v>
          </cell>
          <cell r="F1243" t="str">
            <v>D3R-742</v>
          </cell>
          <cell r="G1243" t="str">
            <v>D2E-975</v>
          </cell>
          <cell r="H1243" t="str">
            <v>LAS BAMBAS</v>
          </cell>
          <cell r="I1243">
            <v>150239</v>
          </cell>
          <cell r="J1243" t="str">
            <v>REPUESTO</v>
          </cell>
          <cell r="K1243" t="str">
            <v>VOLANDA 1/4</v>
          </cell>
          <cell r="L1243">
            <v>4</v>
          </cell>
          <cell r="M1243" t="str">
            <v>UNID.</v>
          </cell>
          <cell r="N1243" t="str">
            <v>CISTERNA</v>
          </cell>
          <cell r="O1243">
            <v>0</v>
          </cell>
          <cell r="P1243" t="str">
            <v>S3</v>
          </cell>
          <cell r="Q1243" t="str">
            <v>J1</v>
          </cell>
          <cell r="R1243" t="str">
            <v>J1</v>
          </cell>
          <cell r="S1243" t="str">
            <v>ENTREGADO</v>
          </cell>
          <cell r="T1243">
            <v>42693</v>
          </cell>
          <cell r="U1243" t="str">
            <v>JIMENEZ MACHACA JAVIER</v>
          </cell>
          <cell r="V1243" t="str">
            <v>FLOREZ CONDORI  JOSE WILLIANS</v>
          </cell>
        </row>
        <row r="1244">
          <cell r="A1244">
            <v>1172</v>
          </cell>
          <cell r="B1244">
            <v>42693</v>
          </cell>
          <cell r="C1244" t="str">
            <v>NOVIEMBRE</v>
          </cell>
          <cell r="D1244" t="str">
            <v>2016</v>
          </cell>
          <cell r="E1244">
            <v>362</v>
          </cell>
          <cell r="F1244" t="str">
            <v>D4X-872</v>
          </cell>
          <cell r="G1244" t="str">
            <v>B4P-976</v>
          </cell>
          <cell r="H1244" t="str">
            <v>LAS BAMBAS</v>
          </cell>
          <cell r="I1244">
            <v>181891</v>
          </cell>
          <cell r="J1244" t="str">
            <v>REPUESTO</v>
          </cell>
          <cell r="K1244" t="str">
            <v>PARCHE RACK 10</v>
          </cell>
          <cell r="L1244">
            <v>1</v>
          </cell>
          <cell r="M1244" t="str">
            <v>UNID.</v>
          </cell>
          <cell r="N1244" t="str">
            <v>CISTERNA</v>
          </cell>
          <cell r="O1244">
            <v>0</v>
          </cell>
          <cell r="P1244" t="str">
            <v>N1</v>
          </cell>
          <cell r="Q1244" t="str">
            <v>J1</v>
          </cell>
          <cell r="R1244" t="str">
            <v>J1</v>
          </cell>
          <cell r="S1244" t="str">
            <v>ENTREGADO</v>
          </cell>
          <cell r="T1244">
            <v>42693</v>
          </cell>
          <cell r="U1244" t="str">
            <v>AGUILAR CCANTUTA WILLY</v>
          </cell>
          <cell r="V1244" t="str">
            <v>FLOREZ CONDORI  JOSE WILLIANS</v>
          </cell>
        </row>
        <row r="1245">
          <cell r="A1245">
            <v>1173</v>
          </cell>
          <cell r="B1245">
            <v>42693</v>
          </cell>
          <cell r="C1245" t="str">
            <v>NOVIEMBRE</v>
          </cell>
          <cell r="D1245" t="str">
            <v>2016</v>
          </cell>
          <cell r="E1245">
            <v>362</v>
          </cell>
          <cell r="F1245" t="str">
            <v>D4X-872</v>
          </cell>
          <cell r="G1245" t="str">
            <v>B4P-976</v>
          </cell>
          <cell r="H1245" t="str">
            <v>LAS BAMBAS</v>
          </cell>
          <cell r="I1245">
            <v>181891</v>
          </cell>
          <cell r="J1245" t="str">
            <v>REPUESTO</v>
          </cell>
          <cell r="K1245" t="str">
            <v>PITON  RECTO</v>
          </cell>
          <cell r="L1245">
            <v>1</v>
          </cell>
          <cell r="M1245" t="str">
            <v>UNID.</v>
          </cell>
          <cell r="N1245" t="str">
            <v>CISTERNA</v>
          </cell>
          <cell r="O1245">
            <v>0</v>
          </cell>
          <cell r="P1245" t="str">
            <v>N1</v>
          </cell>
          <cell r="Q1245" t="str">
            <v>J1</v>
          </cell>
          <cell r="R1245" t="str">
            <v>J1</v>
          </cell>
          <cell r="S1245" t="str">
            <v>ENTREGADO</v>
          </cell>
          <cell r="T1245">
            <v>42693</v>
          </cell>
          <cell r="U1245" t="str">
            <v>AGUILAR CCANTUTA WILLY</v>
          </cell>
          <cell r="V1245" t="str">
            <v>FLOREZ CONDORI  JOSE WILLIANS</v>
          </cell>
        </row>
        <row r="1246">
          <cell r="A1246">
            <v>1179</v>
          </cell>
          <cell r="B1246">
            <v>42693</v>
          </cell>
          <cell r="C1246" t="str">
            <v>NOVIEMBRE</v>
          </cell>
          <cell r="D1246" t="str">
            <v>2016</v>
          </cell>
          <cell r="E1246">
            <v>362</v>
          </cell>
          <cell r="F1246" t="str">
            <v>D4X-872</v>
          </cell>
          <cell r="G1246" t="str">
            <v>B4P-976</v>
          </cell>
          <cell r="H1246" t="str">
            <v>LAS BAMBAS</v>
          </cell>
          <cell r="I1246">
            <v>181891</v>
          </cell>
          <cell r="J1246" t="str">
            <v>REPUESTO</v>
          </cell>
          <cell r="K1246" t="str">
            <v>SPRAY BLANCO</v>
          </cell>
          <cell r="L1246">
            <v>2</v>
          </cell>
          <cell r="M1246" t="str">
            <v>UNID.</v>
          </cell>
          <cell r="N1246" t="str">
            <v>CISTERNA</v>
          </cell>
          <cell r="O1246">
            <v>0</v>
          </cell>
          <cell r="P1246" t="str">
            <v>J1</v>
          </cell>
          <cell r="Q1246" t="str">
            <v>J1</v>
          </cell>
          <cell r="R1246" t="str">
            <v>J5</v>
          </cell>
          <cell r="S1246" t="str">
            <v>ENTREGADO</v>
          </cell>
          <cell r="T1246">
            <v>42693</v>
          </cell>
          <cell r="U1246" t="str">
            <v>FLOREZ CONDORI  JOSE WILLIANS</v>
          </cell>
          <cell r="V1246" t="str">
            <v>FLOREZ CONDORI  JOSE WILLIANS</v>
          </cell>
        </row>
        <row r="1247">
          <cell r="A1247">
            <v>1180</v>
          </cell>
          <cell r="B1247">
            <v>42693</v>
          </cell>
          <cell r="C1247" t="str">
            <v>NOVIEMBRE</v>
          </cell>
          <cell r="D1247" t="str">
            <v>2016</v>
          </cell>
          <cell r="E1247">
            <v>362</v>
          </cell>
          <cell r="F1247" t="str">
            <v>D4X-872</v>
          </cell>
          <cell r="G1247" t="str">
            <v>B4P-976</v>
          </cell>
          <cell r="H1247" t="str">
            <v>LAS BAMBAS</v>
          </cell>
          <cell r="I1247">
            <v>181891</v>
          </cell>
          <cell r="J1247" t="str">
            <v>REPUESTO</v>
          </cell>
          <cell r="K1247" t="str">
            <v>PARCHE RAC-12</v>
          </cell>
          <cell r="L1247">
            <v>1</v>
          </cell>
          <cell r="M1247" t="str">
            <v>UNID.</v>
          </cell>
          <cell r="N1247" t="str">
            <v>CISTERNA</v>
          </cell>
          <cell r="O1247">
            <v>0</v>
          </cell>
          <cell r="P1247" t="str">
            <v>N1</v>
          </cell>
          <cell r="Q1247" t="str">
            <v>J1</v>
          </cell>
          <cell r="R1247" t="str">
            <v>J5</v>
          </cell>
          <cell r="S1247" t="str">
            <v>ENTREGADO</v>
          </cell>
          <cell r="T1247">
            <v>42693</v>
          </cell>
          <cell r="U1247" t="str">
            <v>AGUILAR CCANTUTA WILLY</v>
          </cell>
          <cell r="V1247" t="str">
            <v>FLOREZ CONDORI  JOSE WILLIANS</v>
          </cell>
        </row>
        <row r="1248">
          <cell r="A1248">
            <v>1197</v>
          </cell>
          <cell r="B1248">
            <v>42693</v>
          </cell>
          <cell r="C1248" t="str">
            <v>NOVIEMBRE</v>
          </cell>
          <cell r="D1248" t="str">
            <v>2016</v>
          </cell>
          <cell r="E1248">
            <v>354</v>
          </cell>
          <cell r="F1248" t="str">
            <v>D6F-825</v>
          </cell>
          <cell r="G1248" t="str">
            <v>T2Y-992</v>
          </cell>
          <cell r="H1248" t="str">
            <v>LAS BAMBAS</v>
          </cell>
          <cell r="I1248">
            <v>182729</v>
          </cell>
          <cell r="J1248" t="str">
            <v>REPUESTO</v>
          </cell>
          <cell r="K1248" t="str">
            <v>BATERIA</v>
          </cell>
          <cell r="L1248">
            <v>4</v>
          </cell>
          <cell r="M1248" t="str">
            <v>UNID.</v>
          </cell>
          <cell r="N1248" t="str">
            <v>TRACTO</v>
          </cell>
          <cell r="O1248">
            <v>97</v>
          </cell>
          <cell r="P1248" t="str">
            <v>E1</v>
          </cell>
          <cell r="Q1248" t="str">
            <v>J1</v>
          </cell>
          <cell r="R1248" t="str">
            <v>J1</v>
          </cell>
          <cell r="S1248" t="str">
            <v>ENTREGADO</v>
          </cell>
          <cell r="T1248">
            <v>0</v>
          </cell>
          <cell r="U1248" t="str">
            <v>PALOMINO CARDENAS JUAN CARLOS</v>
          </cell>
          <cell r="V1248" t="str">
            <v>FLOREZ CONDORI  JOSE WILLIANS</v>
          </cell>
        </row>
        <row r="1249">
          <cell r="A1249">
            <v>1174</v>
          </cell>
          <cell r="B1249">
            <v>42693</v>
          </cell>
          <cell r="C1249" t="str">
            <v>NOVIEMBRE</v>
          </cell>
          <cell r="D1249" t="str">
            <v>2016</v>
          </cell>
          <cell r="E1249">
            <v>301</v>
          </cell>
          <cell r="F1249" t="str">
            <v>D6G-805</v>
          </cell>
          <cell r="G1249" t="str">
            <v>T4Z-996</v>
          </cell>
          <cell r="H1249" t="str">
            <v>LAS BAMBAS</v>
          </cell>
          <cell r="I1249">
            <v>219830</v>
          </cell>
          <cell r="J1249" t="str">
            <v>REPUESTO</v>
          </cell>
          <cell r="K1249" t="str">
            <v>SOPORTE DE CAPOT</v>
          </cell>
          <cell r="L1249">
            <v>2</v>
          </cell>
          <cell r="M1249" t="str">
            <v>UNID.</v>
          </cell>
          <cell r="N1249" t="str">
            <v>TRACTO</v>
          </cell>
          <cell r="O1249">
            <v>0</v>
          </cell>
          <cell r="P1249" t="str">
            <v>M7</v>
          </cell>
          <cell r="Q1249" t="str">
            <v>J1</v>
          </cell>
          <cell r="R1249" t="str">
            <v>J1</v>
          </cell>
          <cell r="S1249" t="str">
            <v>ENTREGADO</v>
          </cell>
          <cell r="T1249">
            <v>42693</v>
          </cell>
          <cell r="U1249" t="str">
            <v>ROBLES ROJAS  JOSE MIGUEL</v>
          </cell>
          <cell r="V1249" t="str">
            <v>FLOREZ CONDORI  JOSE WILLIANS</v>
          </cell>
        </row>
        <row r="1250">
          <cell r="A1250">
            <v>1216</v>
          </cell>
          <cell r="B1250">
            <v>42693</v>
          </cell>
          <cell r="C1250" t="str">
            <v>NOVIEMBRE</v>
          </cell>
          <cell r="D1250" t="str">
            <v>2016</v>
          </cell>
          <cell r="E1250">
            <v>301</v>
          </cell>
          <cell r="F1250" t="str">
            <v>D6G-805</v>
          </cell>
          <cell r="G1250" t="str">
            <v>T4Z-996</v>
          </cell>
          <cell r="H1250" t="str">
            <v>LAS BAMBAS</v>
          </cell>
          <cell r="I1250">
            <v>219830</v>
          </cell>
          <cell r="J1250" t="str">
            <v>REPUESTO</v>
          </cell>
          <cell r="K1250" t="str">
            <v>ACEITE MOTOR 15W-40</v>
          </cell>
          <cell r="L1250">
            <v>1</v>
          </cell>
          <cell r="M1250" t="str">
            <v>GLNS.</v>
          </cell>
          <cell r="N1250" t="str">
            <v>TRACTO</v>
          </cell>
          <cell r="O1250">
            <v>0</v>
          </cell>
          <cell r="P1250" t="str">
            <v>M4</v>
          </cell>
          <cell r="Q1250" t="str">
            <v>J1</v>
          </cell>
          <cell r="R1250" t="str">
            <v>J1</v>
          </cell>
          <cell r="S1250" t="str">
            <v>ENTREGADO</v>
          </cell>
          <cell r="T1250">
            <v>42693</v>
          </cell>
          <cell r="U1250" t="str">
            <v>JULLIRI APAZA UBALDO</v>
          </cell>
          <cell r="V1250" t="str">
            <v>FLOREZ CONDORI  JOSE WILLIANS</v>
          </cell>
        </row>
        <row r="1251">
          <cell r="A1251">
            <v>1178</v>
          </cell>
          <cell r="B1251">
            <v>42693</v>
          </cell>
          <cell r="C1251" t="str">
            <v>NOVIEMBRE</v>
          </cell>
          <cell r="D1251" t="str">
            <v>2016</v>
          </cell>
          <cell r="E1251">
            <v>200</v>
          </cell>
          <cell r="F1251" t="str">
            <v>TALLER</v>
          </cell>
          <cell r="G1251" t="str">
            <v>TALLER</v>
          </cell>
          <cell r="H1251" t="str">
            <v>TALLER</v>
          </cell>
          <cell r="I1251" t="str">
            <v>TALLER</v>
          </cell>
          <cell r="J1251" t="str">
            <v>EPPS</v>
          </cell>
          <cell r="K1251" t="str">
            <v>TYBEK XL</v>
          </cell>
          <cell r="L1251">
            <v>1</v>
          </cell>
          <cell r="M1251" t="str">
            <v>UNID.</v>
          </cell>
          <cell r="N1251" t="str">
            <v>TALLER</v>
          </cell>
          <cell r="O1251">
            <v>0</v>
          </cell>
          <cell r="P1251" t="str">
            <v>M7</v>
          </cell>
          <cell r="Q1251" t="str">
            <v>J1</v>
          </cell>
          <cell r="R1251" t="str">
            <v>J5</v>
          </cell>
          <cell r="S1251" t="str">
            <v>ENTREGADO</v>
          </cell>
          <cell r="T1251">
            <v>42693</v>
          </cell>
          <cell r="U1251" t="str">
            <v>ROBLES ROJAS  JOSE MIGUEL</v>
          </cell>
          <cell r="V1251" t="str">
            <v>FLOREZ CONDORI  JOSE WILLIANS</v>
          </cell>
        </row>
        <row r="1252">
          <cell r="A1252">
            <v>1229</v>
          </cell>
          <cell r="B1252">
            <v>42693</v>
          </cell>
          <cell r="C1252" t="str">
            <v>NOVIEMBRE</v>
          </cell>
          <cell r="D1252" t="str">
            <v>2016</v>
          </cell>
          <cell r="E1252">
            <v>200</v>
          </cell>
          <cell r="F1252" t="str">
            <v>TALLER</v>
          </cell>
          <cell r="G1252" t="str">
            <v>TALLER</v>
          </cell>
          <cell r="H1252" t="str">
            <v>TALLER</v>
          </cell>
          <cell r="I1252" t="str">
            <v>TALLER</v>
          </cell>
          <cell r="J1252" t="str">
            <v>REPUESTO</v>
          </cell>
          <cell r="K1252" t="str">
            <v>CINTA AISLANTE NEGRO</v>
          </cell>
          <cell r="L1252">
            <v>1</v>
          </cell>
          <cell r="M1252" t="str">
            <v>UNID.</v>
          </cell>
          <cell r="N1252" t="str">
            <v>TALLER</v>
          </cell>
          <cell r="O1252">
            <v>0</v>
          </cell>
          <cell r="P1252" t="str">
            <v>E2</v>
          </cell>
          <cell r="Q1252" t="str">
            <v>J1</v>
          </cell>
          <cell r="R1252" t="str">
            <v>J1</v>
          </cell>
          <cell r="S1252" t="str">
            <v>ENTREGADO</v>
          </cell>
          <cell r="T1252">
            <v>42693</v>
          </cell>
          <cell r="U1252" t="str">
            <v>YUCA BELLIDO BORIS YERSY</v>
          </cell>
          <cell r="V1252" t="str">
            <v>FLOREZ CONDORI  JOSE WILLIANS</v>
          </cell>
        </row>
        <row r="1253">
          <cell r="A1253">
            <v>1204</v>
          </cell>
          <cell r="B1253">
            <v>42693</v>
          </cell>
          <cell r="C1253" t="str">
            <v>NOVIEMBRE</v>
          </cell>
          <cell r="D1253" t="str">
            <v>2016</v>
          </cell>
          <cell r="E1253">
            <v>366</v>
          </cell>
          <cell r="F1253" t="str">
            <v>X2W-760</v>
          </cell>
          <cell r="G1253" t="str">
            <v>C5V-992</v>
          </cell>
          <cell r="H1253" t="str">
            <v>LAS BAMBAS</v>
          </cell>
          <cell r="I1253">
            <v>148037</v>
          </cell>
          <cell r="J1253" t="str">
            <v>REPUESTO</v>
          </cell>
          <cell r="K1253" t="str">
            <v>SUPERCITO 5/32</v>
          </cell>
          <cell r="L1253">
            <v>10</v>
          </cell>
          <cell r="M1253" t="str">
            <v>KG.</v>
          </cell>
          <cell r="N1253" t="str">
            <v>CISTERNA</v>
          </cell>
          <cell r="O1253">
            <v>0</v>
          </cell>
          <cell r="P1253" t="str">
            <v>S2</v>
          </cell>
          <cell r="Q1253" t="str">
            <v>J1</v>
          </cell>
          <cell r="R1253" t="str">
            <v>J1</v>
          </cell>
          <cell r="S1253" t="str">
            <v>ENTREGADO</v>
          </cell>
          <cell r="T1253">
            <v>42693</v>
          </cell>
          <cell r="U1253" t="str">
            <v>PALOMINO ESTRADA  MICHEL</v>
          </cell>
          <cell r="V1253" t="str">
            <v>FLOREZ CONDORI  JOSE WILLIANS</v>
          </cell>
        </row>
        <row r="1254">
          <cell r="A1254">
            <v>1205</v>
          </cell>
          <cell r="B1254">
            <v>42693</v>
          </cell>
          <cell r="C1254" t="str">
            <v>NOVIEMBRE</v>
          </cell>
          <cell r="D1254" t="str">
            <v>2016</v>
          </cell>
          <cell r="E1254">
            <v>366</v>
          </cell>
          <cell r="F1254" t="str">
            <v>X2W-760</v>
          </cell>
          <cell r="G1254" t="str">
            <v>C5V-992</v>
          </cell>
          <cell r="H1254" t="str">
            <v>LAS BAMBAS</v>
          </cell>
          <cell r="I1254">
            <v>148037</v>
          </cell>
          <cell r="J1254" t="str">
            <v>REPUESTO</v>
          </cell>
          <cell r="K1254" t="str">
            <v>TAPA DEPOSITO DE AGUA 20 LB</v>
          </cell>
          <cell r="L1254">
            <v>1</v>
          </cell>
          <cell r="M1254" t="str">
            <v>UNID.</v>
          </cell>
          <cell r="N1254" t="str">
            <v>TRACTO</v>
          </cell>
          <cell r="O1254">
            <v>0</v>
          </cell>
          <cell r="P1254" t="str">
            <v>M4</v>
          </cell>
          <cell r="Q1254" t="str">
            <v>J1</v>
          </cell>
          <cell r="R1254" t="str">
            <v>J1</v>
          </cell>
          <cell r="S1254" t="str">
            <v>ENTREGADO</v>
          </cell>
          <cell r="T1254">
            <v>42693</v>
          </cell>
          <cell r="U1254" t="str">
            <v>JULLIRI APAZA UBALDO</v>
          </cell>
          <cell r="V1254" t="str">
            <v>FLOREZ CONDORI  JOSE WILLIANS</v>
          </cell>
        </row>
        <row r="1255">
          <cell r="A1255">
            <v>1232</v>
          </cell>
          <cell r="B1255">
            <v>42694</v>
          </cell>
          <cell r="C1255" t="str">
            <v>NOVIEMBRE</v>
          </cell>
          <cell r="D1255" t="str">
            <v>2016</v>
          </cell>
          <cell r="E1255">
            <v>378</v>
          </cell>
          <cell r="F1255" t="str">
            <v>AKW-731</v>
          </cell>
          <cell r="G1255" t="str">
            <v>TCR-989</v>
          </cell>
          <cell r="H1255" t="str">
            <v>LAS BAMBAS CONC.</v>
          </cell>
          <cell r="I1255">
            <v>20017</v>
          </cell>
          <cell r="J1255" t="str">
            <v>REPUESTO</v>
          </cell>
          <cell r="K1255" t="str">
            <v xml:space="preserve">TAPON DE VOCAMASA ROEDA DELANTERA </v>
          </cell>
          <cell r="L1255">
            <v>1</v>
          </cell>
          <cell r="M1255" t="str">
            <v>UNID.</v>
          </cell>
          <cell r="N1255" t="str">
            <v>TRACTO</v>
          </cell>
          <cell r="O1255">
            <v>0</v>
          </cell>
          <cell r="P1255" t="str">
            <v>M5</v>
          </cell>
          <cell r="Q1255" t="str">
            <v>J2</v>
          </cell>
          <cell r="R1255" t="str">
            <v>J2</v>
          </cell>
          <cell r="S1255" t="str">
            <v>ENTREGADO</v>
          </cell>
          <cell r="T1255">
            <v>42694</v>
          </cell>
          <cell r="U1255" t="str">
            <v>LOPEZ RUIZ WILBERTO</v>
          </cell>
          <cell r="V1255" t="str">
            <v>CORIHUAMAN SURCO  ERICK ROBERT</v>
          </cell>
        </row>
        <row r="1256">
          <cell r="A1256">
            <v>1233</v>
          </cell>
          <cell r="B1256">
            <v>42694</v>
          </cell>
          <cell r="C1256" t="str">
            <v>NOVIEMBRE</v>
          </cell>
          <cell r="D1256" t="str">
            <v>2016</v>
          </cell>
          <cell r="E1256">
            <v>378</v>
          </cell>
          <cell r="F1256" t="str">
            <v>AKW-731</v>
          </cell>
          <cell r="G1256" t="str">
            <v>TCR-989</v>
          </cell>
          <cell r="H1256" t="str">
            <v>LAS BAMBAS CONC.</v>
          </cell>
          <cell r="I1256">
            <v>20017</v>
          </cell>
          <cell r="J1256" t="str">
            <v>INSUMO TALLER</v>
          </cell>
          <cell r="K1256" t="str">
            <v>DETERGENTE</v>
          </cell>
          <cell r="L1256">
            <v>1</v>
          </cell>
          <cell r="M1256" t="str">
            <v>UNID.</v>
          </cell>
          <cell r="N1256" t="str">
            <v>TRACTO</v>
          </cell>
          <cell r="O1256">
            <v>0</v>
          </cell>
          <cell r="P1256" t="str">
            <v>M5</v>
          </cell>
          <cell r="Q1256" t="str">
            <v>J2</v>
          </cell>
          <cell r="R1256" t="str">
            <v>J2</v>
          </cell>
          <cell r="S1256" t="str">
            <v>ENTREGADO</v>
          </cell>
          <cell r="T1256">
            <v>42694</v>
          </cell>
          <cell r="U1256" t="str">
            <v>LOPEZ RUIZ WILBERTO</v>
          </cell>
          <cell r="V1256" t="str">
            <v>CORIHUAMAN SURCO  ERICK ROBERT</v>
          </cell>
        </row>
        <row r="1257">
          <cell r="A1257">
            <v>1234</v>
          </cell>
          <cell r="B1257">
            <v>42694</v>
          </cell>
          <cell r="C1257" t="str">
            <v>NOVIEMBRE</v>
          </cell>
          <cell r="D1257" t="str">
            <v>2016</v>
          </cell>
          <cell r="E1257">
            <v>378</v>
          </cell>
          <cell r="F1257" t="str">
            <v>AKW-731</v>
          </cell>
          <cell r="G1257" t="str">
            <v>TCR-989</v>
          </cell>
          <cell r="H1257" t="str">
            <v>LAS BAMBAS CONC.</v>
          </cell>
          <cell r="I1257">
            <v>20017</v>
          </cell>
          <cell r="J1257" t="str">
            <v>REPUESTO</v>
          </cell>
          <cell r="K1257" t="str">
            <v>AGUA LIMPIA PARABRISAS</v>
          </cell>
          <cell r="L1257">
            <v>1</v>
          </cell>
          <cell r="M1257" t="str">
            <v>GLNS.</v>
          </cell>
          <cell r="N1257" t="str">
            <v>TRACTO</v>
          </cell>
          <cell r="O1257">
            <v>0</v>
          </cell>
          <cell r="P1257" t="str">
            <v>M5</v>
          </cell>
          <cell r="Q1257" t="str">
            <v>J2</v>
          </cell>
          <cell r="R1257" t="str">
            <v>J2</v>
          </cell>
          <cell r="S1257" t="str">
            <v>ENTREGADO</v>
          </cell>
          <cell r="T1257">
            <v>42694</v>
          </cell>
          <cell r="U1257" t="str">
            <v>LOPEZ RUIZ WILBERTO</v>
          </cell>
          <cell r="V1257" t="str">
            <v>CORIHUAMAN SURCO  ERICK ROBERT</v>
          </cell>
        </row>
        <row r="1258">
          <cell r="A1258">
            <v>1235</v>
          </cell>
          <cell r="B1258">
            <v>42694</v>
          </cell>
          <cell r="C1258" t="str">
            <v>NOVIEMBRE</v>
          </cell>
          <cell r="D1258" t="str">
            <v>2016</v>
          </cell>
          <cell r="E1258">
            <v>378</v>
          </cell>
          <cell r="F1258" t="str">
            <v>AKW-731</v>
          </cell>
          <cell r="G1258" t="str">
            <v>TCR-989</v>
          </cell>
          <cell r="H1258" t="str">
            <v>LAS BAMBAS CONC.</v>
          </cell>
          <cell r="I1258">
            <v>20017</v>
          </cell>
          <cell r="J1258" t="str">
            <v>REPUESTO</v>
          </cell>
          <cell r="K1258" t="str">
            <v>ACEITE 15W40</v>
          </cell>
          <cell r="L1258">
            <v>1</v>
          </cell>
          <cell r="M1258" t="str">
            <v>GLNS.</v>
          </cell>
          <cell r="N1258" t="str">
            <v>TRACTO</v>
          </cell>
          <cell r="O1258">
            <v>0</v>
          </cell>
          <cell r="P1258" t="str">
            <v>M5</v>
          </cell>
          <cell r="Q1258" t="str">
            <v>J2</v>
          </cell>
          <cell r="R1258" t="str">
            <v>J2</v>
          </cell>
          <cell r="S1258" t="str">
            <v>ENTREGADO</v>
          </cell>
          <cell r="T1258">
            <v>42694</v>
          </cell>
          <cell r="U1258" t="str">
            <v>LOPEZ RUIZ WILBERTO</v>
          </cell>
          <cell r="V1258" t="str">
            <v>CORIHUAMAN SURCO  ERICK ROBERT</v>
          </cell>
        </row>
        <row r="1259">
          <cell r="A1259">
            <v>1239</v>
          </cell>
          <cell r="B1259">
            <v>42694</v>
          </cell>
          <cell r="C1259" t="str">
            <v>NOVIEMBRE</v>
          </cell>
          <cell r="D1259" t="str">
            <v>2016</v>
          </cell>
          <cell r="E1259">
            <v>378</v>
          </cell>
          <cell r="F1259" t="str">
            <v>AKW-731</v>
          </cell>
          <cell r="G1259" t="str">
            <v>TCR-989</v>
          </cell>
          <cell r="H1259" t="str">
            <v>LAS BAMBAS CONC.</v>
          </cell>
          <cell r="I1259">
            <v>20017</v>
          </cell>
          <cell r="J1259" t="str">
            <v>REPUESTO</v>
          </cell>
          <cell r="K1259" t="str">
            <v>RESORTES DE LA BASE DE RACHE MAXIBREKE</v>
          </cell>
          <cell r="L1259">
            <v>12</v>
          </cell>
          <cell r="M1259" t="str">
            <v>UNID.</v>
          </cell>
          <cell r="N1259" t="str">
            <v>CISTERNA</v>
          </cell>
          <cell r="O1259">
            <v>1</v>
          </cell>
          <cell r="P1259" t="str">
            <v>M5</v>
          </cell>
          <cell r="Q1259" t="str">
            <v>J2</v>
          </cell>
          <cell r="R1259" t="str">
            <v>J2</v>
          </cell>
          <cell r="S1259" t="str">
            <v>ENTREGADO</v>
          </cell>
          <cell r="T1259">
            <v>42695</v>
          </cell>
          <cell r="U1259" t="str">
            <v>LOPEZ RUIZ WILBERTO</v>
          </cell>
          <cell r="V1259" t="str">
            <v>CORIHUAMAN SURCO  ERICK ROBERT</v>
          </cell>
        </row>
        <row r="1260">
          <cell r="A1260">
            <v>1236</v>
          </cell>
          <cell r="B1260">
            <v>42694</v>
          </cell>
          <cell r="C1260" t="str">
            <v>NOVIEMBRE</v>
          </cell>
          <cell r="D1260" t="str">
            <v>2016</v>
          </cell>
          <cell r="E1260">
            <v>367</v>
          </cell>
          <cell r="F1260" t="str">
            <v>B2L-889</v>
          </cell>
          <cell r="G1260" t="str">
            <v>CAMION</v>
          </cell>
          <cell r="H1260" t="str">
            <v>TAMBOMAYO</v>
          </cell>
          <cell r="I1260">
            <v>120679</v>
          </cell>
          <cell r="J1260" t="str">
            <v>REPUESTO</v>
          </cell>
          <cell r="K1260" t="str">
            <v>PERNO DE 7/16 X 1"</v>
          </cell>
          <cell r="L1260">
            <v>20</v>
          </cell>
          <cell r="M1260" t="str">
            <v>UNID.</v>
          </cell>
          <cell r="N1260" t="str">
            <v>CAMION</v>
          </cell>
          <cell r="O1260">
            <v>0</v>
          </cell>
          <cell r="P1260" t="str">
            <v>M1</v>
          </cell>
          <cell r="Q1260" t="str">
            <v>J2</v>
          </cell>
          <cell r="R1260" t="str">
            <v>J2</v>
          </cell>
          <cell r="S1260" t="str">
            <v>ENTREGADO</v>
          </cell>
          <cell r="T1260">
            <v>42694</v>
          </cell>
          <cell r="U1260" t="str">
            <v>CABEZAS SANCHEZ JEAN JHONATAN</v>
          </cell>
          <cell r="V1260" t="str">
            <v>CORIHUAMAN SURCO  ERICK ROBERT</v>
          </cell>
        </row>
        <row r="1261">
          <cell r="A1261">
            <v>1237</v>
          </cell>
          <cell r="B1261">
            <v>42694</v>
          </cell>
          <cell r="C1261" t="str">
            <v>NOVIEMBRE</v>
          </cell>
          <cell r="D1261" t="str">
            <v>2016</v>
          </cell>
          <cell r="E1261">
            <v>367</v>
          </cell>
          <cell r="F1261" t="str">
            <v>B2L-889</v>
          </cell>
          <cell r="G1261" t="str">
            <v>CAMION</v>
          </cell>
          <cell r="H1261" t="str">
            <v>TAMBOMAYO</v>
          </cell>
          <cell r="I1261">
            <v>120679</v>
          </cell>
          <cell r="J1261" t="str">
            <v>REPUESTO</v>
          </cell>
          <cell r="K1261" t="str">
            <v>ARANDELAS</v>
          </cell>
          <cell r="L1261">
            <v>20</v>
          </cell>
          <cell r="M1261" t="str">
            <v>UNID.</v>
          </cell>
          <cell r="N1261" t="str">
            <v>CAMION</v>
          </cell>
          <cell r="O1261">
            <v>0</v>
          </cell>
          <cell r="P1261" t="str">
            <v>M1</v>
          </cell>
          <cell r="Q1261" t="str">
            <v>J2</v>
          </cell>
          <cell r="R1261" t="str">
            <v>J2</v>
          </cell>
          <cell r="S1261" t="str">
            <v>ENTREGADO</v>
          </cell>
          <cell r="T1261">
            <v>42694</v>
          </cell>
          <cell r="U1261" t="str">
            <v>CABEZAS SANCHEZ JEAN JHONATAN</v>
          </cell>
          <cell r="V1261" t="str">
            <v>CORIHUAMAN SURCO  ERICK ROBERT</v>
          </cell>
        </row>
        <row r="1262">
          <cell r="A1262">
            <v>1238</v>
          </cell>
          <cell r="B1262">
            <v>42694</v>
          </cell>
          <cell r="C1262" t="str">
            <v>NOVIEMBRE</v>
          </cell>
          <cell r="D1262" t="str">
            <v>2016</v>
          </cell>
          <cell r="E1262">
            <v>367</v>
          </cell>
          <cell r="F1262" t="str">
            <v>B2L-889</v>
          </cell>
          <cell r="G1262" t="str">
            <v>CAMION</v>
          </cell>
          <cell r="H1262" t="str">
            <v>TAMBOMAYO</v>
          </cell>
          <cell r="I1262">
            <v>120679</v>
          </cell>
          <cell r="J1262" t="str">
            <v>REPUESTO</v>
          </cell>
          <cell r="K1262" t="str">
            <v>TUERCAS SEGURO</v>
          </cell>
          <cell r="L1262">
            <v>20</v>
          </cell>
          <cell r="M1262" t="str">
            <v>UNID.</v>
          </cell>
          <cell r="N1262" t="str">
            <v>CAMION</v>
          </cell>
          <cell r="O1262">
            <v>0</v>
          </cell>
          <cell r="P1262" t="str">
            <v>M1</v>
          </cell>
          <cell r="Q1262" t="str">
            <v>J2</v>
          </cell>
          <cell r="R1262" t="str">
            <v>J2</v>
          </cell>
          <cell r="S1262" t="str">
            <v>ENTREGADO</v>
          </cell>
          <cell r="T1262">
            <v>42694</v>
          </cell>
          <cell r="U1262" t="str">
            <v>CABEZAS SANCHEZ JEAN JHONATAN</v>
          </cell>
          <cell r="V1262" t="str">
            <v>CORIHUAMAN SURCO  ERICK ROBERT</v>
          </cell>
        </row>
        <row r="1263">
          <cell r="A1263">
            <v>1231</v>
          </cell>
          <cell r="B1263">
            <v>42694</v>
          </cell>
          <cell r="C1263" t="str">
            <v>NOVIEMBRE</v>
          </cell>
          <cell r="D1263" t="str">
            <v>2016</v>
          </cell>
          <cell r="E1263">
            <v>377</v>
          </cell>
          <cell r="F1263" t="str">
            <v>C9M-902</v>
          </cell>
          <cell r="G1263" t="str">
            <v>B8L-970</v>
          </cell>
          <cell r="H1263" t="str">
            <v>LAS BAMBAS</v>
          </cell>
          <cell r="I1263">
            <v>208513</v>
          </cell>
          <cell r="J1263" t="str">
            <v>REPUESTO</v>
          </cell>
          <cell r="K1263" t="str">
            <v>LLANTAS REENCAUCHADAS 11R 22.5</v>
          </cell>
          <cell r="L1263">
            <v>4</v>
          </cell>
          <cell r="M1263" t="str">
            <v>UNID.</v>
          </cell>
          <cell r="N1263" t="str">
            <v>CISTERNA</v>
          </cell>
          <cell r="O1263">
            <v>0</v>
          </cell>
          <cell r="P1263" t="str">
            <v>N2</v>
          </cell>
          <cell r="Q1263" t="str">
            <v>J2</v>
          </cell>
          <cell r="R1263" t="str">
            <v>J2</v>
          </cell>
          <cell r="S1263" t="str">
            <v>ENTREGADO</v>
          </cell>
          <cell r="T1263">
            <v>42694</v>
          </cell>
          <cell r="U1263" t="str">
            <v>MAMANI LARICO  EDUARDO ALVARO</v>
          </cell>
          <cell r="V1263" t="str">
            <v>CORIHUAMAN SURCO  ERICK ROBERT</v>
          </cell>
        </row>
        <row r="1264">
          <cell r="A1264">
            <v>1240</v>
          </cell>
          <cell r="B1264">
            <v>42694</v>
          </cell>
          <cell r="C1264" t="str">
            <v>NOVIEMBRE</v>
          </cell>
          <cell r="D1264" t="str">
            <v>2016</v>
          </cell>
          <cell r="E1264">
            <v>207</v>
          </cell>
          <cell r="F1264" t="str">
            <v>D3P-746</v>
          </cell>
          <cell r="G1264" t="str">
            <v>C0T-974</v>
          </cell>
          <cell r="H1264" t="str">
            <v>LAS BAMBAS</v>
          </cell>
          <cell r="I1264">
            <v>128937</v>
          </cell>
          <cell r="J1264" t="str">
            <v>REPUESTO</v>
          </cell>
          <cell r="K1264" t="str">
            <v>LLANTAS DE TRACCION 11R22.5</v>
          </cell>
          <cell r="L1264">
            <v>6</v>
          </cell>
          <cell r="M1264" t="str">
            <v>UNID.</v>
          </cell>
          <cell r="N1264" t="str">
            <v>TRACTO</v>
          </cell>
          <cell r="O1264">
            <v>0</v>
          </cell>
          <cell r="P1264" t="str">
            <v>N2</v>
          </cell>
          <cell r="Q1264" t="str">
            <v>J2</v>
          </cell>
          <cell r="R1264" t="str">
            <v>J2</v>
          </cell>
          <cell r="S1264" t="str">
            <v>ENTREGADO</v>
          </cell>
          <cell r="T1264">
            <v>42694</v>
          </cell>
          <cell r="U1264" t="str">
            <v>MAMANI LARICO  EDUARDO ALVARO</v>
          </cell>
          <cell r="V1264" t="str">
            <v>CORIHUAMAN SURCO  ERICK ROBERT</v>
          </cell>
        </row>
        <row r="1265">
          <cell r="A1265">
            <v>1243</v>
          </cell>
          <cell r="B1265">
            <v>42695</v>
          </cell>
          <cell r="C1265" t="str">
            <v>NOVIEMBRE</v>
          </cell>
          <cell r="D1265" t="str">
            <v>2016</v>
          </cell>
          <cell r="E1265">
            <v>381</v>
          </cell>
          <cell r="F1265" t="str">
            <v>A5O-859</v>
          </cell>
          <cell r="G1265" t="str">
            <v>B6Y-971</v>
          </cell>
          <cell r="H1265" t="str">
            <v>LAS BAMBAS</v>
          </cell>
          <cell r="I1265">
            <v>115079</v>
          </cell>
          <cell r="J1265" t="str">
            <v>REPUESTO</v>
          </cell>
          <cell r="K1265" t="str">
            <v>TERMOSHUIT DE VENTILADOR YM</v>
          </cell>
          <cell r="L1265">
            <v>1</v>
          </cell>
          <cell r="M1265" t="str">
            <v>UNID.</v>
          </cell>
          <cell r="N1265" t="str">
            <v>TRACTO</v>
          </cell>
          <cell r="O1265">
            <v>95</v>
          </cell>
          <cell r="P1265" t="str">
            <v>M4</v>
          </cell>
          <cell r="Q1265" t="str">
            <v>J2</v>
          </cell>
          <cell r="R1265" t="str">
            <v>J2</v>
          </cell>
          <cell r="S1265" t="str">
            <v>ENTREGADO</v>
          </cell>
          <cell r="T1265">
            <v>0</v>
          </cell>
          <cell r="U1265" t="str">
            <v>JULLIRI APAZA UBALDO</v>
          </cell>
          <cell r="V1265" t="str">
            <v>CORIHUAMAN SURCO  ERICK ROBERT</v>
          </cell>
        </row>
        <row r="1266">
          <cell r="A1266">
            <v>1242</v>
          </cell>
          <cell r="B1266">
            <v>42695</v>
          </cell>
          <cell r="C1266" t="str">
            <v>NOVIEMBRE</v>
          </cell>
          <cell r="D1266" t="str">
            <v>2016</v>
          </cell>
          <cell r="E1266">
            <v>376</v>
          </cell>
          <cell r="F1266" t="str">
            <v>AEH-801</v>
          </cell>
          <cell r="G1266" t="str">
            <v>CAMIONETA</v>
          </cell>
          <cell r="H1266" t="str">
            <v>LAS BAMBAS</v>
          </cell>
          <cell r="I1266">
            <v>86724</v>
          </cell>
          <cell r="J1266" t="str">
            <v>REPUESTO</v>
          </cell>
          <cell r="K1266" t="str">
            <v>LLANTA MT 265R16</v>
          </cell>
          <cell r="L1266">
            <v>4</v>
          </cell>
          <cell r="M1266" t="str">
            <v>UNID.</v>
          </cell>
          <cell r="N1266" t="str">
            <v>CAMIONETA</v>
          </cell>
          <cell r="O1266">
            <v>0</v>
          </cell>
          <cell r="P1266" t="str">
            <v>J3</v>
          </cell>
          <cell r="Q1266" t="str">
            <v>J1</v>
          </cell>
          <cell r="R1266" t="str">
            <v>J1</v>
          </cell>
          <cell r="S1266" t="str">
            <v>ENTREGADO</v>
          </cell>
          <cell r="T1266">
            <v>42695</v>
          </cell>
          <cell r="U1266" t="str">
            <v>CHURA PIZARRO ALBERTO</v>
          </cell>
          <cell r="V1266" t="str">
            <v>FLOREZ CONDORI  JOSE WILLIANS</v>
          </cell>
        </row>
        <row r="1267">
          <cell r="A1267">
            <v>1258</v>
          </cell>
          <cell r="B1267">
            <v>42695</v>
          </cell>
          <cell r="C1267" t="str">
            <v>NOVIEMBRE</v>
          </cell>
          <cell r="D1267" t="str">
            <v>2016</v>
          </cell>
          <cell r="E1267">
            <v>382</v>
          </cell>
          <cell r="F1267" t="str">
            <v>AEH-888</v>
          </cell>
          <cell r="G1267" t="str">
            <v>CAMIONETA</v>
          </cell>
          <cell r="H1267" t="str">
            <v>LAS BAMBAS</v>
          </cell>
          <cell r="I1267">
            <v>89834</v>
          </cell>
          <cell r="J1267" t="str">
            <v>REPUESTO</v>
          </cell>
          <cell r="K1267" t="str">
            <v>FILTRO DE COMBUSTIBLE</v>
          </cell>
          <cell r="L1267">
            <v>1</v>
          </cell>
          <cell r="M1267" t="str">
            <v>UNID.</v>
          </cell>
          <cell r="N1267" t="str">
            <v>CAMIONETA</v>
          </cell>
          <cell r="O1267">
            <v>0</v>
          </cell>
          <cell r="P1267" t="str">
            <v>M6</v>
          </cell>
          <cell r="Q1267" t="str">
            <v>J2</v>
          </cell>
          <cell r="R1267" t="str">
            <v>J6</v>
          </cell>
          <cell r="S1267" t="str">
            <v>ENTREGADO</v>
          </cell>
          <cell r="T1267">
            <v>42695</v>
          </cell>
          <cell r="U1267" t="str">
            <v>PARI VENTURA  EDSON ORLANDO</v>
          </cell>
          <cell r="V1267" t="str">
            <v>CORIHUAMAN SURCO  ERICK ROBERT</v>
          </cell>
        </row>
        <row r="1268">
          <cell r="A1268">
            <v>1259</v>
          </cell>
          <cell r="B1268">
            <v>42695</v>
          </cell>
          <cell r="C1268" t="str">
            <v>NOVIEMBRE</v>
          </cell>
          <cell r="D1268" t="str">
            <v>2016</v>
          </cell>
          <cell r="E1268">
            <v>382</v>
          </cell>
          <cell r="F1268" t="str">
            <v>AEH-888</v>
          </cell>
          <cell r="G1268" t="str">
            <v>CAMIONETA</v>
          </cell>
          <cell r="H1268" t="str">
            <v>LAS BAMBAS</v>
          </cell>
          <cell r="I1268">
            <v>89834</v>
          </cell>
          <cell r="J1268" t="str">
            <v>REPUESTO</v>
          </cell>
          <cell r="K1268" t="str">
            <v>FILTRO DE ACEITE</v>
          </cell>
          <cell r="L1268">
            <v>1</v>
          </cell>
          <cell r="M1268" t="str">
            <v>UNID.</v>
          </cell>
          <cell r="N1268" t="str">
            <v>CAMIONETA</v>
          </cell>
          <cell r="O1268">
            <v>0</v>
          </cell>
          <cell r="P1268" t="str">
            <v>M6</v>
          </cell>
          <cell r="Q1268" t="str">
            <v>J2</v>
          </cell>
          <cell r="R1268" t="str">
            <v>J6</v>
          </cell>
          <cell r="S1268" t="str">
            <v>ENTREGADO</v>
          </cell>
          <cell r="T1268">
            <v>42695</v>
          </cell>
          <cell r="U1268" t="str">
            <v>PARI VENTURA  EDSON ORLANDO</v>
          </cell>
          <cell r="V1268" t="str">
            <v>CORIHUAMAN SURCO  ERICK ROBERT</v>
          </cell>
        </row>
        <row r="1269">
          <cell r="A1269">
            <v>1260</v>
          </cell>
          <cell r="B1269">
            <v>42695</v>
          </cell>
          <cell r="C1269" t="str">
            <v>NOVIEMBRE</v>
          </cell>
          <cell r="D1269" t="str">
            <v>2016</v>
          </cell>
          <cell r="E1269">
            <v>382</v>
          </cell>
          <cell r="F1269" t="str">
            <v>AEH-888</v>
          </cell>
          <cell r="G1269" t="str">
            <v>CAMIONETA</v>
          </cell>
          <cell r="H1269" t="str">
            <v>LAS BAMBAS</v>
          </cell>
          <cell r="I1269">
            <v>89834</v>
          </cell>
          <cell r="J1269" t="str">
            <v>REPUESTO</v>
          </cell>
          <cell r="K1269" t="str">
            <v>FILTRO DE AIRE</v>
          </cell>
          <cell r="L1269">
            <v>1</v>
          </cell>
          <cell r="M1269" t="str">
            <v>UNID.</v>
          </cell>
          <cell r="N1269" t="str">
            <v>CAMIONETA</v>
          </cell>
          <cell r="O1269">
            <v>0</v>
          </cell>
          <cell r="P1269" t="str">
            <v>M6</v>
          </cell>
          <cell r="Q1269" t="str">
            <v>J2</v>
          </cell>
          <cell r="R1269" t="str">
            <v>J6</v>
          </cell>
          <cell r="S1269" t="str">
            <v>ENTREGADO</v>
          </cell>
          <cell r="T1269">
            <v>42695</v>
          </cell>
          <cell r="U1269" t="str">
            <v>PARI VENTURA  EDSON ORLANDO</v>
          </cell>
          <cell r="V1269" t="str">
            <v>CORIHUAMAN SURCO  ERICK ROBERT</v>
          </cell>
        </row>
        <row r="1270">
          <cell r="A1270">
            <v>1261</v>
          </cell>
          <cell r="B1270">
            <v>42695</v>
          </cell>
          <cell r="C1270" t="str">
            <v>NOVIEMBRE</v>
          </cell>
          <cell r="D1270" t="str">
            <v>2016</v>
          </cell>
          <cell r="E1270">
            <v>382</v>
          </cell>
          <cell r="F1270" t="str">
            <v>AEH-888</v>
          </cell>
          <cell r="G1270" t="str">
            <v>CAMIONETA</v>
          </cell>
          <cell r="H1270" t="str">
            <v>LAS BAMBAS</v>
          </cell>
          <cell r="I1270">
            <v>89834</v>
          </cell>
          <cell r="J1270" t="str">
            <v>REPUESTO</v>
          </cell>
          <cell r="K1270" t="str">
            <v>GALONES 15W40</v>
          </cell>
          <cell r="L1270">
            <v>2</v>
          </cell>
          <cell r="M1270" t="str">
            <v>UNID.</v>
          </cell>
          <cell r="N1270" t="str">
            <v>CAMIONETA</v>
          </cell>
          <cell r="O1270">
            <v>0</v>
          </cell>
          <cell r="P1270" t="str">
            <v>M6</v>
          </cell>
          <cell r="Q1270" t="str">
            <v>J2</v>
          </cell>
          <cell r="R1270" t="str">
            <v>J6</v>
          </cell>
          <cell r="S1270" t="str">
            <v>ENTREGADO</v>
          </cell>
          <cell r="T1270">
            <v>42695</v>
          </cell>
          <cell r="U1270" t="str">
            <v>PARI VENTURA  EDSON ORLANDO</v>
          </cell>
          <cell r="V1270" t="str">
            <v>CORIHUAMAN SURCO  ERICK ROBERT</v>
          </cell>
        </row>
        <row r="1271">
          <cell r="A1271">
            <v>1285</v>
          </cell>
          <cell r="B1271">
            <v>42695</v>
          </cell>
          <cell r="C1271" t="str">
            <v>NOVIEMBRE</v>
          </cell>
          <cell r="D1271" t="str">
            <v>2016</v>
          </cell>
          <cell r="E1271">
            <v>392</v>
          </cell>
          <cell r="F1271" t="str">
            <v>AMV-781</v>
          </cell>
          <cell r="G1271" t="str">
            <v>CAMIONETA</v>
          </cell>
          <cell r="H1271" t="str">
            <v>LAS BAMBAS</v>
          </cell>
          <cell r="I1271">
            <v>22547</v>
          </cell>
          <cell r="J1271" t="str">
            <v>REPUESTO</v>
          </cell>
          <cell r="K1271" t="str">
            <v>FILTRO DE AIRE</v>
          </cell>
          <cell r="L1271">
            <v>1</v>
          </cell>
          <cell r="M1271" t="str">
            <v>UNID.</v>
          </cell>
          <cell r="N1271" t="str">
            <v>CAMIONETA</v>
          </cell>
          <cell r="O1271">
            <v>0</v>
          </cell>
          <cell r="P1271" t="str">
            <v>J2</v>
          </cell>
          <cell r="Q1271" t="str">
            <v>J1</v>
          </cell>
          <cell r="R1271" t="str">
            <v>J1</v>
          </cell>
          <cell r="S1271" t="str">
            <v>ENTREGADO</v>
          </cell>
          <cell r="T1271">
            <v>42695</v>
          </cell>
          <cell r="U1271" t="str">
            <v>CORIHUAMAN SURCO  ERICK ROBERT</v>
          </cell>
          <cell r="V1271" t="str">
            <v>FLOREZ CONDORI  JOSE WILLIANS</v>
          </cell>
        </row>
        <row r="1272">
          <cell r="A1272">
            <v>1286</v>
          </cell>
          <cell r="B1272">
            <v>42695</v>
          </cell>
          <cell r="C1272" t="str">
            <v>NOVIEMBRE</v>
          </cell>
          <cell r="D1272" t="str">
            <v>2016</v>
          </cell>
          <cell r="E1272">
            <v>392</v>
          </cell>
          <cell r="F1272" t="str">
            <v>AMV-781</v>
          </cell>
          <cell r="G1272" t="str">
            <v>CAMIONETA</v>
          </cell>
          <cell r="H1272" t="str">
            <v>LAS BAMBAS</v>
          </cell>
          <cell r="I1272">
            <v>22547</v>
          </cell>
          <cell r="J1272" t="str">
            <v>REPUESTO</v>
          </cell>
          <cell r="K1272" t="str">
            <v>FILTRO DE COMBUSTIBLE</v>
          </cell>
          <cell r="L1272">
            <v>1</v>
          </cell>
          <cell r="M1272" t="str">
            <v>UNID.</v>
          </cell>
          <cell r="N1272" t="str">
            <v>CAMIONETA</v>
          </cell>
          <cell r="O1272">
            <v>0</v>
          </cell>
          <cell r="P1272" t="str">
            <v>J2</v>
          </cell>
          <cell r="Q1272" t="str">
            <v>J1</v>
          </cell>
          <cell r="R1272" t="str">
            <v>J1</v>
          </cell>
          <cell r="S1272" t="str">
            <v>ENTREGADO</v>
          </cell>
          <cell r="T1272">
            <v>42695</v>
          </cell>
          <cell r="U1272" t="str">
            <v>CORIHUAMAN SURCO  ERICK ROBERT</v>
          </cell>
          <cell r="V1272" t="str">
            <v>FLOREZ CONDORI  JOSE WILLIANS</v>
          </cell>
        </row>
        <row r="1273">
          <cell r="A1273">
            <v>1287</v>
          </cell>
          <cell r="B1273">
            <v>42695</v>
          </cell>
          <cell r="C1273" t="str">
            <v>NOVIEMBRE</v>
          </cell>
          <cell r="D1273" t="str">
            <v>2016</v>
          </cell>
          <cell r="E1273">
            <v>392</v>
          </cell>
          <cell r="F1273" t="str">
            <v>AMV-781</v>
          </cell>
          <cell r="G1273" t="str">
            <v>CAMIONETA</v>
          </cell>
          <cell r="H1273" t="str">
            <v>LAS BAMBAS</v>
          </cell>
          <cell r="I1273">
            <v>22547</v>
          </cell>
          <cell r="J1273" t="str">
            <v>REPUESTO</v>
          </cell>
          <cell r="K1273" t="str">
            <v>FILTRO DE ACEITE</v>
          </cell>
          <cell r="L1273">
            <v>1</v>
          </cell>
          <cell r="M1273" t="str">
            <v>UNID.</v>
          </cell>
          <cell r="N1273" t="str">
            <v>CAMIONETA</v>
          </cell>
          <cell r="O1273">
            <v>0</v>
          </cell>
          <cell r="P1273" t="str">
            <v>J2</v>
          </cell>
          <cell r="Q1273" t="str">
            <v>J1</v>
          </cell>
          <cell r="R1273" t="str">
            <v>J1</v>
          </cell>
          <cell r="S1273" t="str">
            <v>ENTREGADO</v>
          </cell>
          <cell r="T1273">
            <v>42695</v>
          </cell>
          <cell r="U1273" t="str">
            <v>CORIHUAMAN SURCO  ERICK ROBERT</v>
          </cell>
          <cell r="V1273" t="str">
            <v>FLOREZ CONDORI  JOSE WILLIANS</v>
          </cell>
        </row>
        <row r="1274">
          <cell r="A1274">
            <v>1288</v>
          </cell>
          <cell r="B1274">
            <v>42695</v>
          </cell>
          <cell r="C1274" t="str">
            <v>NOVIEMBRE</v>
          </cell>
          <cell r="D1274" t="str">
            <v>2016</v>
          </cell>
          <cell r="E1274">
            <v>392</v>
          </cell>
          <cell r="F1274" t="str">
            <v>AMV-781</v>
          </cell>
          <cell r="G1274" t="str">
            <v>CAMIONETA</v>
          </cell>
          <cell r="H1274" t="str">
            <v>LAS BAMBAS</v>
          </cell>
          <cell r="I1274">
            <v>22547</v>
          </cell>
          <cell r="J1274" t="str">
            <v>REPUESTO</v>
          </cell>
          <cell r="K1274" t="str">
            <v>ACEITE MOTOR 15W-40</v>
          </cell>
          <cell r="L1274">
            <v>2</v>
          </cell>
          <cell r="M1274" t="str">
            <v>GLNS.</v>
          </cell>
          <cell r="N1274" t="str">
            <v>CAMIONETA</v>
          </cell>
          <cell r="O1274">
            <v>0</v>
          </cell>
          <cell r="P1274" t="str">
            <v>J2</v>
          </cell>
          <cell r="Q1274" t="str">
            <v>J1</v>
          </cell>
          <cell r="R1274" t="str">
            <v>J1</v>
          </cell>
          <cell r="S1274" t="str">
            <v>ENTREGADO</v>
          </cell>
          <cell r="T1274">
            <v>42695</v>
          </cell>
          <cell r="U1274" t="str">
            <v>CORIHUAMAN SURCO  ERICK ROBERT</v>
          </cell>
          <cell r="V1274" t="str">
            <v>FLOREZ CONDORI  JOSE WILLIANS</v>
          </cell>
        </row>
        <row r="1275">
          <cell r="A1275">
            <v>1289</v>
          </cell>
          <cell r="B1275">
            <v>42695</v>
          </cell>
          <cell r="C1275" t="str">
            <v>NOVIEMBRE</v>
          </cell>
          <cell r="D1275" t="str">
            <v>2016</v>
          </cell>
          <cell r="E1275">
            <v>392</v>
          </cell>
          <cell r="F1275" t="str">
            <v>AMV-781</v>
          </cell>
          <cell r="G1275" t="str">
            <v>CAMIONETA</v>
          </cell>
          <cell r="H1275" t="str">
            <v>LAS BAMBAS</v>
          </cell>
          <cell r="I1275">
            <v>22547</v>
          </cell>
          <cell r="J1275" t="str">
            <v>REPUESTO</v>
          </cell>
          <cell r="K1275" t="str">
            <v>LIQUIDO LIMPIAPARABRISAS</v>
          </cell>
          <cell r="L1275">
            <v>0.5</v>
          </cell>
          <cell r="M1275" t="str">
            <v>GLNS.</v>
          </cell>
          <cell r="N1275" t="str">
            <v>CAMIONETA</v>
          </cell>
          <cell r="O1275">
            <v>0</v>
          </cell>
          <cell r="P1275" t="str">
            <v>J2</v>
          </cell>
          <cell r="Q1275" t="str">
            <v>J1</v>
          </cell>
          <cell r="R1275" t="str">
            <v>J1</v>
          </cell>
          <cell r="S1275" t="str">
            <v>ENTREGADO</v>
          </cell>
          <cell r="T1275">
            <v>42695</v>
          </cell>
          <cell r="U1275" t="str">
            <v>CORIHUAMAN SURCO  ERICK ROBERT</v>
          </cell>
          <cell r="V1275" t="str">
            <v>FLOREZ CONDORI  JOSE WILLIANS</v>
          </cell>
        </row>
        <row r="1276">
          <cell r="A1276">
            <v>1244</v>
          </cell>
          <cell r="B1276">
            <v>42695</v>
          </cell>
          <cell r="C1276" t="str">
            <v>NOVIEMBRE</v>
          </cell>
          <cell r="D1276" t="str">
            <v>2016</v>
          </cell>
          <cell r="E1276">
            <v>377</v>
          </cell>
          <cell r="F1276" t="str">
            <v>C9M-902</v>
          </cell>
          <cell r="G1276" t="str">
            <v>B8L-970</v>
          </cell>
          <cell r="H1276" t="str">
            <v>LAS BAMBAS</v>
          </cell>
          <cell r="I1276">
            <v>208513</v>
          </cell>
          <cell r="J1276" t="str">
            <v>REPUESTO</v>
          </cell>
          <cell r="K1276" t="str">
            <v>ACEITE 15W40</v>
          </cell>
          <cell r="L1276">
            <v>10</v>
          </cell>
          <cell r="M1276" t="str">
            <v>GLNS.</v>
          </cell>
          <cell r="N1276" t="str">
            <v>TRACTO</v>
          </cell>
          <cell r="O1276">
            <v>0</v>
          </cell>
          <cell r="P1276" t="str">
            <v>M5</v>
          </cell>
          <cell r="Q1276" t="str">
            <v>J1</v>
          </cell>
          <cell r="R1276" t="str">
            <v>J2</v>
          </cell>
          <cell r="S1276" t="str">
            <v>ENTREGADO</v>
          </cell>
          <cell r="T1276">
            <v>42695</v>
          </cell>
          <cell r="U1276" t="str">
            <v>LOPEZ RUIZ WILBERTO</v>
          </cell>
          <cell r="V1276" t="str">
            <v>FLOREZ CONDORI  JOSE WILLIANS</v>
          </cell>
        </row>
        <row r="1277">
          <cell r="A1277">
            <v>1245</v>
          </cell>
          <cell r="B1277">
            <v>42695</v>
          </cell>
          <cell r="C1277" t="str">
            <v>NOVIEMBRE</v>
          </cell>
          <cell r="D1277" t="str">
            <v>2016</v>
          </cell>
          <cell r="E1277">
            <v>377</v>
          </cell>
          <cell r="F1277" t="str">
            <v>C9M-902</v>
          </cell>
          <cell r="G1277" t="str">
            <v>B8L-970</v>
          </cell>
          <cell r="H1277" t="str">
            <v>LAS BAMBAS</v>
          </cell>
          <cell r="I1277">
            <v>208513</v>
          </cell>
          <cell r="J1277" t="str">
            <v>REPUESTO</v>
          </cell>
          <cell r="K1277" t="str">
            <v>FILTRO DE ACEITE</v>
          </cell>
          <cell r="L1277">
            <v>2</v>
          </cell>
          <cell r="M1277" t="str">
            <v>UNID.</v>
          </cell>
          <cell r="N1277" t="str">
            <v>TRACTO</v>
          </cell>
          <cell r="O1277">
            <v>0</v>
          </cell>
          <cell r="P1277" t="str">
            <v>M5</v>
          </cell>
          <cell r="Q1277" t="str">
            <v>J1</v>
          </cell>
          <cell r="R1277" t="str">
            <v>J2</v>
          </cell>
          <cell r="S1277" t="str">
            <v>ENTREGADO</v>
          </cell>
          <cell r="T1277">
            <v>42695</v>
          </cell>
          <cell r="U1277" t="str">
            <v>LOPEZ RUIZ WILBERTO</v>
          </cell>
          <cell r="V1277" t="str">
            <v>FLOREZ CONDORI  JOSE WILLIANS</v>
          </cell>
        </row>
        <row r="1278">
          <cell r="A1278">
            <v>1246</v>
          </cell>
          <cell r="B1278">
            <v>42695</v>
          </cell>
          <cell r="C1278" t="str">
            <v>NOVIEMBRE</v>
          </cell>
          <cell r="D1278" t="str">
            <v>2016</v>
          </cell>
          <cell r="E1278">
            <v>377</v>
          </cell>
          <cell r="F1278" t="str">
            <v>C9M-902</v>
          </cell>
          <cell r="G1278" t="str">
            <v>B8L-970</v>
          </cell>
          <cell r="H1278" t="str">
            <v>LAS BAMBAS</v>
          </cell>
          <cell r="I1278">
            <v>208513</v>
          </cell>
          <cell r="J1278" t="str">
            <v>REPUESTO</v>
          </cell>
          <cell r="K1278" t="str">
            <v>FILTRO DE COMBUSTIBLE VALVULA</v>
          </cell>
          <cell r="L1278">
            <v>1</v>
          </cell>
          <cell r="M1278" t="str">
            <v>UNID.</v>
          </cell>
          <cell r="N1278" t="str">
            <v>TRACTO</v>
          </cell>
          <cell r="O1278">
            <v>0</v>
          </cell>
          <cell r="P1278" t="str">
            <v>M5</v>
          </cell>
          <cell r="Q1278" t="str">
            <v>J1</v>
          </cell>
          <cell r="R1278" t="str">
            <v>J2</v>
          </cell>
          <cell r="S1278" t="str">
            <v>ENTREGADO</v>
          </cell>
          <cell r="T1278">
            <v>42695</v>
          </cell>
          <cell r="U1278" t="str">
            <v>LOPEZ RUIZ WILBERTO</v>
          </cell>
          <cell r="V1278" t="str">
            <v>FLOREZ CONDORI  JOSE WILLIANS</v>
          </cell>
        </row>
        <row r="1279">
          <cell r="A1279">
            <v>1247</v>
          </cell>
          <cell r="B1279">
            <v>42695</v>
          </cell>
          <cell r="C1279" t="str">
            <v>NOVIEMBRE</v>
          </cell>
          <cell r="D1279" t="str">
            <v>2016</v>
          </cell>
          <cell r="E1279">
            <v>377</v>
          </cell>
          <cell r="F1279" t="str">
            <v>C9M-902</v>
          </cell>
          <cell r="G1279" t="str">
            <v>B8L-970</v>
          </cell>
          <cell r="H1279" t="str">
            <v>LAS BAMBAS</v>
          </cell>
          <cell r="I1279">
            <v>208513</v>
          </cell>
          <cell r="J1279" t="str">
            <v>REPUESTO</v>
          </cell>
          <cell r="K1279" t="str">
            <v>FILTRO DE COMBUSTIBLE MEDIANO</v>
          </cell>
          <cell r="L1279">
            <v>1</v>
          </cell>
          <cell r="M1279" t="str">
            <v>UNID.</v>
          </cell>
          <cell r="N1279" t="str">
            <v>TRACTO</v>
          </cell>
          <cell r="O1279">
            <v>0</v>
          </cell>
          <cell r="P1279" t="str">
            <v>M5</v>
          </cell>
          <cell r="Q1279" t="str">
            <v>J1</v>
          </cell>
          <cell r="R1279" t="str">
            <v>J2</v>
          </cell>
          <cell r="S1279" t="str">
            <v>ENTREGADO</v>
          </cell>
          <cell r="T1279">
            <v>42695</v>
          </cell>
          <cell r="U1279" t="str">
            <v>LOPEZ RUIZ WILBERTO</v>
          </cell>
          <cell r="V1279" t="str">
            <v>FLOREZ CONDORI  JOSE WILLIANS</v>
          </cell>
        </row>
        <row r="1280">
          <cell r="A1280">
            <v>1272</v>
          </cell>
          <cell r="B1280">
            <v>42695</v>
          </cell>
          <cell r="C1280" t="str">
            <v>NOVIEMBRE</v>
          </cell>
          <cell r="D1280" t="str">
            <v>2016</v>
          </cell>
          <cell r="E1280">
            <v>204</v>
          </cell>
          <cell r="F1280" t="str">
            <v>C9P-948</v>
          </cell>
          <cell r="G1280" t="str">
            <v>B4O-995</v>
          </cell>
          <cell r="H1280" t="str">
            <v>LAS BAMBAS</v>
          </cell>
          <cell r="I1280">
            <v>156586</v>
          </cell>
          <cell r="J1280" t="str">
            <v>REPUESTO</v>
          </cell>
          <cell r="K1280" t="str">
            <v>BOCINA DE TEMPLADOR</v>
          </cell>
          <cell r="L1280">
            <v>2</v>
          </cell>
          <cell r="M1280" t="str">
            <v>UNID.</v>
          </cell>
          <cell r="N1280" t="str">
            <v>CISTERNA</v>
          </cell>
          <cell r="O1280">
            <v>0</v>
          </cell>
          <cell r="P1280" t="str">
            <v>S2</v>
          </cell>
          <cell r="Q1280" t="str">
            <v>J1</v>
          </cell>
          <cell r="R1280" t="str">
            <v>J1</v>
          </cell>
          <cell r="S1280" t="str">
            <v>ENTREGADO</v>
          </cell>
          <cell r="T1280">
            <v>42695</v>
          </cell>
          <cell r="U1280" t="str">
            <v>PALOMINO ESTRADA  MICHEL</v>
          </cell>
          <cell r="V1280" t="str">
            <v>FLOREZ CONDORI  JOSE WILLIANS</v>
          </cell>
        </row>
        <row r="1281">
          <cell r="A1281">
            <v>1252</v>
          </cell>
          <cell r="B1281">
            <v>42695</v>
          </cell>
          <cell r="C1281" t="str">
            <v>NOVIEMBRE</v>
          </cell>
          <cell r="D1281" t="str">
            <v>2016</v>
          </cell>
          <cell r="E1281">
            <v>361</v>
          </cell>
          <cell r="F1281" t="str">
            <v>D3N-721</v>
          </cell>
          <cell r="G1281" t="str">
            <v>C4S-979</v>
          </cell>
          <cell r="H1281" t="str">
            <v>LAS BAMBAS</v>
          </cell>
          <cell r="I1281">
            <v>132860</v>
          </cell>
          <cell r="J1281" t="str">
            <v>REPUESTO</v>
          </cell>
          <cell r="K1281" t="str">
            <v>PERNOS 5/16 X 1 1/2</v>
          </cell>
          <cell r="L1281">
            <v>2</v>
          </cell>
          <cell r="M1281" t="str">
            <v>UNID.</v>
          </cell>
          <cell r="N1281" t="str">
            <v>TRACTO</v>
          </cell>
          <cell r="O1281">
            <v>0</v>
          </cell>
          <cell r="P1281" t="str">
            <v>E1</v>
          </cell>
          <cell r="Q1281" t="str">
            <v>J2</v>
          </cell>
          <cell r="R1281" t="str">
            <v>J6</v>
          </cell>
          <cell r="S1281" t="str">
            <v>ENTREGADO</v>
          </cell>
          <cell r="T1281">
            <v>42695</v>
          </cell>
          <cell r="U1281" t="str">
            <v>PALOMINO CARDENAS JUAN CARLOS</v>
          </cell>
          <cell r="V1281" t="str">
            <v>CORIHUAMAN SURCO  ERICK ROBERT</v>
          </cell>
        </row>
        <row r="1282">
          <cell r="A1282">
            <v>1253</v>
          </cell>
          <cell r="B1282">
            <v>42695</v>
          </cell>
          <cell r="C1282" t="str">
            <v>NOVIEMBRE</v>
          </cell>
          <cell r="D1282" t="str">
            <v>2016</v>
          </cell>
          <cell r="E1282">
            <v>361</v>
          </cell>
          <cell r="F1282" t="str">
            <v>D3N-721</v>
          </cell>
          <cell r="G1282" t="str">
            <v>C4S-979</v>
          </cell>
          <cell r="H1282" t="str">
            <v>LAS BAMBAS</v>
          </cell>
          <cell r="I1282">
            <v>132860</v>
          </cell>
          <cell r="J1282" t="str">
            <v>REPUESTO</v>
          </cell>
          <cell r="K1282" t="str">
            <v>TUERCA SEGURO 5/16</v>
          </cell>
          <cell r="L1282">
            <v>2</v>
          </cell>
          <cell r="M1282" t="str">
            <v>UNID.</v>
          </cell>
          <cell r="N1282" t="str">
            <v>TRACTO</v>
          </cell>
          <cell r="O1282">
            <v>0</v>
          </cell>
          <cell r="P1282" t="str">
            <v>E1</v>
          </cell>
          <cell r="Q1282" t="str">
            <v>J2</v>
          </cell>
          <cell r="R1282" t="str">
            <v>J6</v>
          </cell>
          <cell r="S1282" t="str">
            <v>ENTREGADO</v>
          </cell>
          <cell r="T1282">
            <v>42695</v>
          </cell>
          <cell r="U1282" t="str">
            <v>PALOMINO CARDENAS JUAN CARLOS</v>
          </cell>
          <cell r="V1282" t="str">
            <v>CORIHUAMAN SURCO  ERICK ROBERT</v>
          </cell>
        </row>
        <row r="1283">
          <cell r="A1283">
            <v>1254</v>
          </cell>
          <cell r="B1283">
            <v>42695</v>
          </cell>
          <cell r="C1283" t="str">
            <v>NOVIEMBRE</v>
          </cell>
          <cell r="D1283" t="str">
            <v>2016</v>
          </cell>
          <cell r="E1283">
            <v>361</v>
          </cell>
          <cell r="F1283" t="str">
            <v>D3N-721</v>
          </cell>
          <cell r="G1283" t="str">
            <v>C4S-979</v>
          </cell>
          <cell r="H1283" t="str">
            <v>LAS BAMBAS</v>
          </cell>
          <cell r="I1283">
            <v>132860</v>
          </cell>
          <cell r="J1283" t="str">
            <v>REPUESTO</v>
          </cell>
          <cell r="K1283" t="str">
            <v>VOLNADAS 5/16</v>
          </cell>
          <cell r="L1283">
            <v>10</v>
          </cell>
          <cell r="M1283" t="str">
            <v>UNID.</v>
          </cell>
          <cell r="N1283" t="str">
            <v>TRACTO</v>
          </cell>
          <cell r="O1283">
            <v>0</v>
          </cell>
          <cell r="P1283" t="str">
            <v>E1</v>
          </cell>
          <cell r="Q1283" t="str">
            <v>J2</v>
          </cell>
          <cell r="R1283" t="str">
            <v>J6</v>
          </cell>
          <cell r="S1283" t="str">
            <v>ENTREGADO</v>
          </cell>
          <cell r="T1283">
            <v>42695</v>
          </cell>
          <cell r="U1283" t="str">
            <v>PALOMINO CARDENAS JUAN CARLOS</v>
          </cell>
          <cell r="V1283" t="str">
            <v>CORIHUAMAN SURCO  ERICK ROBERT</v>
          </cell>
        </row>
        <row r="1284">
          <cell r="A1284">
            <v>1255</v>
          </cell>
          <cell r="B1284">
            <v>42695</v>
          </cell>
          <cell r="C1284" t="str">
            <v>NOVIEMBRE</v>
          </cell>
          <cell r="D1284" t="str">
            <v>2016</v>
          </cell>
          <cell r="E1284">
            <v>361</v>
          </cell>
          <cell r="F1284" t="str">
            <v>D3N-721</v>
          </cell>
          <cell r="G1284" t="str">
            <v>C4S-979</v>
          </cell>
          <cell r="H1284" t="str">
            <v>LAS BAMBAS</v>
          </cell>
          <cell r="I1284">
            <v>132860</v>
          </cell>
          <cell r="J1284" t="str">
            <v>REPUESTO</v>
          </cell>
          <cell r="K1284" t="str">
            <v>FAROS NEBLINEROS</v>
          </cell>
          <cell r="L1284">
            <v>2</v>
          </cell>
          <cell r="M1284" t="str">
            <v>UNID.</v>
          </cell>
          <cell r="N1284" t="str">
            <v>TRACTO</v>
          </cell>
          <cell r="O1284">
            <v>0</v>
          </cell>
          <cell r="P1284" t="str">
            <v>E1</v>
          </cell>
          <cell r="Q1284" t="str">
            <v>J2</v>
          </cell>
          <cell r="R1284" t="str">
            <v>J6</v>
          </cell>
          <cell r="S1284" t="str">
            <v>ENTREGADO</v>
          </cell>
          <cell r="T1284">
            <v>42695</v>
          </cell>
          <cell r="U1284" t="str">
            <v>PALOMINO CARDENAS JUAN CARLOS</v>
          </cell>
          <cell r="V1284" t="str">
            <v>CORIHUAMAN SURCO  ERICK ROBERT</v>
          </cell>
        </row>
        <row r="1285">
          <cell r="A1285">
            <v>1265</v>
          </cell>
          <cell r="B1285">
            <v>42695</v>
          </cell>
          <cell r="C1285" t="str">
            <v>NOVIEMBRE</v>
          </cell>
          <cell r="D1285" t="str">
            <v>2016</v>
          </cell>
          <cell r="E1285">
            <v>202</v>
          </cell>
          <cell r="F1285" t="str">
            <v>D3P-752</v>
          </cell>
          <cell r="G1285" t="str">
            <v>C5Y-985</v>
          </cell>
          <cell r="H1285" t="str">
            <v>LAS BAMBAS</v>
          </cell>
          <cell r="I1285">
            <v>150504</v>
          </cell>
          <cell r="J1285" t="str">
            <v>REPUESTO</v>
          </cell>
          <cell r="K1285" t="str">
            <v>FAROS NEBLINEROS</v>
          </cell>
          <cell r="L1285">
            <v>2</v>
          </cell>
          <cell r="M1285" t="str">
            <v>UNID.</v>
          </cell>
          <cell r="N1285" t="str">
            <v>TRACTO</v>
          </cell>
          <cell r="O1285">
            <v>0</v>
          </cell>
          <cell r="P1285" t="str">
            <v>E1</v>
          </cell>
          <cell r="Q1285" t="str">
            <v>J1</v>
          </cell>
          <cell r="R1285" t="str">
            <v>J6</v>
          </cell>
          <cell r="S1285" t="str">
            <v>ENTREGADO</v>
          </cell>
          <cell r="T1285">
            <v>42695</v>
          </cell>
          <cell r="U1285" t="str">
            <v>PALOMINO CARDENAS JUAN CARLOS</v>
          </cell>
          <cell r="V1285" t="str">
            <v>FLOREZ CONDORI  JOSE WILLIANS</v>
          </cell>
        </row>
        <row r="1286">
          <cell r="A1286">
            <v>1267</v>
          </cell>
          <cell r="B1286">
            <v>42695</v>
          </cell>
          <cell r="C1286" t="str">
            <v>NOVIEMBRE</v>
          </cell>
          <cell r="D1286" t="str">
            <v>2016</v>
          </cell>
          <cell r="E1286">
            <v>202</v>
          </cell>
          <cell r="F1286" t="str">
            <v>D3P-752</v>
          </cell>
          <cell r="G1286" t="str">
            <v>C5Y-985</v>
          </cell>
          <cell r="H1286" t="str">
            <v>LAS BAMBAS</v>
          </cell>
          <cell r="I1286">
            <v>150504</v>
          </cell>
          <cell r="J1286" t="str">
            <v>REPUESTO</v>
          </cell>
          <cell r="K1286" t="str">
            <v>TERMINALES DE OJO 3/8 PARA CABLE DE BATERIA</v>
          </cell>
          <cell r="L1286">
            <v>12</v>
          </cell>
          <cell r="M1286" t="str">
            <v>UNID.</v>
          </cell>
          <cell r="N1286" t="str">
            <v>TRACTO</v>
          </cell>
          <cell r="O1286">
            <v>0</v>
          </cell>
          <cell r="P1286" t="str">
            <v>E1</v>
          </cell>
          <cell r="Q1286" t="str">
            <v>J1</v>
          </cell>
          <cell r="R1286" t="str">
            <v>J6</v>
          </cell>
          <cell r="S1286" t="str">
            <v>ENTREGADO</v>
          </cell>
          <cell r="T1286">
            <v>42695</v>
          </cell>
          <cell r="U1286" t="str">
            <v>PALOMINO CARDENAS JUAN CARLOS</v>
          </cell>
          <cell r="V1286" t="str">
            <v>FLOREZ CONDORI  JOSE WILLIANS</v>
          </cell>
        </row>
        <row r="1287">
          <cell r="A1287">
            <v>1268</v>
          </cell>
          <cell r="B1287">
            <v>42695</v>
          </cell>
          <cell r="C1287" t="str">
            <v>NOVIEMBRE</v>
          </cell>
          <cell r="D1287" t="str">
            <v>2016</v>
          </cell>
          <cell r="E1287">
            <v>202</v>
          </cell>
          <cell r="F1287" t="str">
            <v>D3P-752</v>
          </cell>
          <cell r="G1287" t="str">
            <v>C5Y-985</v>
          </cell>
          <cell r="H1287" t="str">
            <v>LAS BAMBAS</v>
          </cell>
          <cell r="I1287">
            <v>150504</v>
          </cell>
          <cell r="J1287" t="str">
            <v>REPUESTO</v>
          </cell>
          <cell r="K1287" t="str">
            <v>CABLE DE BATERIA</v>
          </cell>
          <cell r="L1287">
            <v>1.5</v>
          </cell>
          <cell r="M1287" t="str">
            <v>M</v>
          </cell>
          <cell r="N1287" t="str">
            <v>TRACTO</v>
          </cell>
          <cell r="O1287">
            <v>0</v>
          </cell>
          <cell r="P1287" t="str">
            <v>E1</v>
          </cell>
          <cell r="Q1287" t="str">
            <v>J1</v>
          </cell>
          <cell r="R1287" t="str">
            <v>J6</v>
          </cell>
          <cell r="S1287" t="str">
            <v>ENTREGADO</v>
          </cell>
          <cell r="T1287">
            <v>42695</v>
          </cell>
          <cell r="U1287" t="str">
            <v>PALOMINO CARDENAS JUAN CARLOS</v>
          </cell>
          <cell r="V1287" t="str">
            <v>FLOREZ CONDORI  JOSE WILLIANS</v>
          </cell>
        </row>
        <row r="1288">
          <cell r="A1288">
            <v>1269</v>
          </cell>
          <cell r="B1288">
            <v>42695</v>
          </cell>
          <cell r="C1288" t="str">
            <v>NOVIEMBRE</v>
          </cell>
          <cell r="D1288" t="str">
            <v>2016</v>
          </cell>
          <cell r="E1288">
            <v>202</v>
          </cell>
          <cell r="F1288" t="str">
            <v>D3P-752</v>
          </cell>
          <cell r="G1288" t="str">
            <v>C5Y-985</v>
          </cell>
          <cell r="H1288" t="str">
            <v>LAS BAMBAS</v>
          </cell>
          <cell r="I1288">
            <v>150504</v>
          </cell>
          <cell r="J1288" t="str">
            <v>REPUESTO</v>
          </cell>
          <cell r="K1288" t="str">
            <v>TERMINALES DE OJO 3/8 PARA CABLE DE BATERIA</v>
          </cell>
          <cell r="L1288">
            <v>12</v>
          </cell>
          <cell r="M1288" t="str">
            <v>UNID.</v>
          </cell>
          <cell r="N1288" t="str">
            <v>TRACTO</v>
          </cell>
          <cell r="O1288">
            <v>0</v>
          </cell>
          <cell r="P1288" t="str">
            <v>E1</v>
          </cell>
          <cell r="Q1288" t="str">
            <v>J1</v>
          </cell>
          <cell r="R1288" t="str">
            <v>J6</v>
          </cell>
          <cell r="S1288" t="str">
            <v>ENTREGADO</v>
          </cell>
          <cell r="T1288">
            <v>42695</v>
          </cell>
          <cell r="U1288" t="str">
            <v>PALOMINO CARDENAS JUAN CARLOS</v>
          </cell>
          <cell r="V1288" t="str">
            <v>FLOREZ CONDORI  JOSE WILLIANS</v>
          </cell>
        </row>
        <row r="1289">
          <cell r="A1289">
            <v>1266</v>
          </cell>
          <cell r="B1289">
            <v>42695</v>
          </cell>
          <cell r="C1289" t="str">
            <v>NOVIEMBRE</v>
          </cell>
          <cell r="D1289" t="str">
            <v>2016</v>
          </cell>
          <cell r="E1289">
            <v>374</v>
          </cell>
          <cell r="F1289" t="str">
            <v>D3P-754</v>
          </cell>
          <cell r="G1289" t="str">
            <v>C0V-971</v>
          </cell>
          <cell r="H1289" t="str">
            <v>LAS BAMBAS</v>
          </cell>
          <cell r="I1289">
            <v>160820</v>
          </cell>
          <cell r="J1289" t="str">
            <v>REPUESTO</v>
          </cell>
          <cell r="K1289" t="str">
            <v>CABLE DE BATERIA</v>
          </cell>
          <cell r="L1289">
            <v>1.5</v>
          </cell>
          <cell r="M1289" t="str">
            <v>M</v>
          </cell>
          <cell r="N1289" t="str">
            <v>TRACTO</v>
          </cell>
          <cell r="O1289">
            <v>0</v>
          </cell>
          <cell r="P1289" t="str">
            <v>E1</v>
          </cell>
          <cell r="Q1289" t="str">
            <v>J1</v>
          </cell>
          <cell r="R1289" t="str">
            <v>J6</v>
          </cell>
          <cell r="S1289" t="str">
            <v>ENTREGADO</v>
          </cell>
          <cell r="T1289">
            <v>42695</v>
          </cell>
          <cell r="U1289" t="str">
            <v>PALOMINO CARDENAS JUAN CARLOS</v>
          </cell>
          <cell r="V1289" t="str">
            <v>FLOREZ CONDORI  JOSE WILLIANS</v>
          </cell>
        </row>
        <row r="1290">
          <cell r="A1290">
            <v>1275</v>
          </cell>
          <cell r="B1290">
            <v>42695</v>
          </cell>
          <cell r="C1290" t="str">
            <v>NOVIEMBRE</v>
          </cell>
          <cell r="D1290" t="str">
            <v>2016</v>
          </cell>
          <cell r="E1290">
            <v>374</v>
          </cell>
          <cell r="F1290" t="str">
            <v>D3P-754</v>
          </cell>
          <cell r="G1290" t="str">
            <v>C0V-971</v>
          </cell>
          <cell r="H1290" t="str">
            <v>LAS BAMBAS</v>
          </cell>
          <cell r="I1290">
            <v>160820</v>
          </cell>
          <cell r="J1290" t="str">
            <v>REPUESTO</v>
          </cell>
          <cell r="K1290" t="str">
            <v>PIN  1"X6"</v>
          </cell>
          <cell r="L1290">
            <v>2</v>
          </cell>
          <cell r="M1290" t="str">
            <v>UNID.</v>
          </cell>
          <cell r="N1290" t="str">
            <v>CISTERNA</v>
          </cell>
          <cell r="O1290">
            <v>0</v>
          </cell>
          <cell r="P1290" t="str">
            <v>S2</v>
          </cell>
          <cell r="Q1290" t="str">
            <v>J1</v>
          </cell>
          <cell r="R1290" t="str">
            <v>J1</v>
          </cell>
          <cell r="S1290" t="str">
            <v>ENTREGADO</v>
          </cell>
          <cell r="T1290">
            <v>42695</v>
          </cell>
          <cell r="U1290" t="str">
            <v>PALOMINO ESTRADA  MICHEL</v>
          </cell>
          <cell r="V1290" t="str">
            <v>FLOREZ CONDORI  JOSE WILLIANS</v>
          </cell>
        </row>
        <row r="1291">
          <cell r="A1291">
            <v>1276</v>
          </cell>
          <cell r="B1291">
            <v>42695</v>
          </cell>
          <cell r="C1291" t="str">
            <v>NOVIEMBRE</v>
          </cell>
          <cell r="D1291" t="str">
            <v>2016</v>
          </cell>
          <cell r="E1291">
            <v>374</v>
          </cell>
          <cell r="F1291" t="str">
            <v>D3P-754</v>
          </cell>
          <cell r="G1291" t="str">
            <v>C0V-971</v>
          </cell>
          <cell r="H1291" t="str">
            <v>LAS BAMBAS</v>
          </cell>
          <cell r="I1291">
            <v>160820</v>
          </cell>
          <cell r="J1291" t="str">
            <v>REPUESTO</v>
          </cell>
          <cell r="K1291" t="str">
            <v>CABLE NRO 14</v>
          </cell>
          <cell r="L1291">
            <v>14</v>
          </cell>
          <cell r="M1291" t="str">
            <v>M</v>
          </cell>
          <cell r="N1291" t="str">
            <v>TRACTO</v>
          </cell>
          <cell r="O1291">
            <v>0</v>
          </cell>
          <cell r="P1291" t="str">
            <v>E1</v>
          </cell>
          <cell r="Q1291" t="str">
            <v>J1</v>
          </cell>
          <cell r="R1291" t="str">
            <v>J1</v>
          </cell>
          <cell r="S1291" t="str">
            <v>ENTREGADO</v>
          </cell>
          <cell r="T1291">
            <v>42695</v>
          </cell>
          <cell r="U1291" t="str">
            <v>PALOMINO CARDENAS JUAN CARLOS</v>
          </cell>
          <cell r="V1291" t="str">
            <v>FLOREZ CONDORI  JOSE WILLIANS</v>
          </cell>
        </row>
        <row r="1292">
          <cell r="A1292">
            <v>1277</v>
          </cell>
          <cell r="B1292">
            <v>42695</v>
          </cell>
          <cell r="C1292" t="str">
            <v>NOVIEMBRE</v>
          </cell>
          <cell r="D1292" t="str">
            <v>2016</v>
          </cell>
          <cell r="E1292">
            <v>374</v>
          </cell>
          <cell r="F1292" t="str">
            <v>D3P-754</v>
          </cell>
          <cell r="G1292" t="str">
            <v>C0V-971</v>
          </cell>
          <cell r="H1292" t="str">
            <v>LAS BAMBAS</v>
          </cell>
          <cell r="I1292">
            <v>160820</v>
          </cell>
          <cell r="J1292" t="str">
            <v>REPUESTO</v>
          </cell>
          <cell r="K1292" t="str">
            <v>CABLE CORRIGADO 1/4</v>
          </cell>
          <cell r="L1292">
            <v>6</v>
          </cell>
          <cell r="M1292" t="str">
            <v>M</v>
          </cell>
          <cell r="N1292" t="str">
            <v>TRACTO</v>
          </cell>
          <cell r="O1292">
            <v>0</v>
          </cell>
          <cell r="P1292" t="str">
            <v>E1</v>
          </cell>
          <cell r="Q1292" t="str">
            <v>J1</v>
          </cell>
          <cell r="R1292" t="str">
            <v>J1</v>
          </cell>
          <cell r="S1292" t="str">
            <v>ENTREGADO</v>
          </cell>
          <cell r="T1292">
            <v>42695</v>
          </cell>
          <cell r="U1292" t="str">
            <v>PALOMINO CARDENAS JUAN CARLOS</v>
          </cell>
          <cell r="V1292" t="str">
            <v>FLOREZ CONDORI  JOSE WILLIANS</v>
          </cell>
        </row>
        <row r="1293">
          <cell r="A1293">
            <v>1278</v>
          </cell>
          <cell r="B1293">
            <v>42695</v>
          </cell>
          <cell r="C1293" t="str">
            <v>NOVIEMBRE</v>
          </cell>
          <cell r="D1293" t="str">
            <v>2016</v>
          </cell>
          <cell r="E1293">
            <v>374</v>
          </cell>
          <cell r="F1293" t="str">
            <v>D3P-754</v>
          </cell>
          <cell r="G1293" t="str">
            <v>C0V-971</v>
          </cell>
          <cell r="H1293" t="str">
            <v>LAS BAMBAS</v>
          </cell>
          <cell r="I1293">
            <v>160820</v>
          </cell>
          <cell r="J1293" t="str">
            <v>REPUESTO</v>
          </cell>
          <cell r="K1293" t="str">
            <v>TERIMINALES DE ENCHIUFE HEMBRA CON FORRO</v>
          </cell>
          <cell r="L1293">
            <v>8</v>
          </cell>
          <cell r="M1293" t="str">
            <v>UNID.</v>
          </cell>
          <cell r="N1293" t="str">
            <v>TRACTO</v>
          </cell>
          <cell r="O1293">
            <v>0</v>
          </cell>
          <cell r="P1293" t="str">
            <v>E1</v>
          </cell>
          <cell r="Q1293" t="str">
            <v>J1</v>
          </cell>
          <cell r="R1293" t="str">
            <v>J1</v>
          </cell>
          <cell r="S1293" t="str">
            <v>ENTREGADO</v>
          </cell>
          <cell r="T1293">
            <v>42695</v>
          </cell>
          <cell r="U1293" t="str">
            <v>PALOMINO CARDENAS JUAN CARLOS</v>
          </cell>
          <cell r="V1293" t="str">
            <v>FLOREZ CONDORI  JOSE WILLIANS</v>
          </cell>
        </row>
        <row r="1294">
          <cell r="A1294">
            <v>1279</v>
          </cell>
          <cell r="B1294">
            <v>42695</v>
          </cell>
          <cell r="C1294" t="str">
            <v>NOVIEMBRE</v>
          </cell>
          <cell r="D1294" t="str">
            <v>2016</v>
          </cell>
          <cell r="E1294">
            <v>374</v>
          </cell>
          <cell r="F1294" t="str">
            <v>D3P-754</v>
          </cell>
          <cell r="G1294" t="str">
            <v>C0V-971</v>
          </cell>
          <cell r="H1294" t="str">
            <v>LAS BAMBAS</v>
          </cell>
          <cell r="I1294">
            <v>160820</v>
          </cell>
          <cell r="J1294" t="str">
            <v>REPUESTO</v>
          </cell>
          <cell r="K1294" t="str">
            <v>FUSIBLE DE 20 AMP</v>
          </cell>
          <cell r="L1294">
            <v>1</v>
          </cell>
          <cell r="M1294" t="str">
            <v>UNID.</v>
          </cell>
          <cell r="N1294" t="str">
            <v>TRACTO</v>
          </cell>
          <cell r="O1294">
            <v>0</v>
          </cell>
          <cell r="P1294" t="str">
            <v>E1</v>
          </cell>
          <cell r="Q1294" t="str">
            <v>J1</v>
          </cell>
          <cell r="R1294" t="str">
            <v>J1</v>
          </cell>
          <cell r="S1294" t="str">
            <v>ENTREGADO</v>
          </cell>
          <cell r="T1294">
            <v>42695</v>
          </cell>
          <cell r="U1294" t="str">
            <v>PALOMINO CARDENAS JUAN CARLOS</v>
          </cell>
          <cell r="V1294" t="str">
            <v>FLOREZ CONDORI  JOSE WILLIANS</v>
          </cell>
        </row>
        <row r="1295">
          <cell r="A1295">
            <v>1280</v>
          </cell>
          <cell r="B1295">
            <v>42695</v>
          </cell>
          <cell r="C1295" t="str">
            <v>NOVIEMBRE</v>
          </cell>
          <cell r="D1295" t="str">
            <v>2016</v>
          </cell>
          <cell r="E1295">
            <v>374</v>
          </cell>
          <cell r="F1295" t="str">
            <v>D3P-754</v>
          </cell>
          <cell r="G1295" t="str">
            <v>C0V-971</v>
          </cell>
          <cell r="H1295" t="str">
            <v>LAS BAMBAS</v>
          </cell>
          <cell r="I1295">
            <v>160820</v>
          </cell>
          <cell r="J1295" t="str">
            <v>REPUESTO</v>
          </cell>
          <cell r="K1295" t="str">
            <v>TECLA DE LUZ</v>
          </cell>
          <cell r="L1295">
            <v>1</v>
          </cell>
          <cell r="M1295" t="str">
            <v>UNID.</v>
          </cell>
          <cell r="N1295" t="str">
            <v>TRACTO</v>
          </cell>
          <cell r="O1295">
            <v>0</v>
          </cell>
          <cell r="P1295" t="str">
            <v>E1</v>
          </cell>
          <cell r="Q1295" t="str">
            <v>J1</v>
          </cell>
          <cell r="R1295" t="str">
            <v>J1</v>
          </cell>
          <cell r="S1295" t="str">
            <v>ENTREGADO</v>
          </cell>
          <cell r="T1295">
            <v>42695</v>
          </cell>
          <cell r="U1295" t="str">
            <v>PALOMINO CARDENAS JUAN CARLOS</v>
          </cell>
          <cell r="V1295" t="str">
            <v>FLOREZ CONDORI  JOSE WILLIANS</v>
          </cell>
        </row>
        <row r="1296">
          <cell r="A1296">
            <v>1281</v>
          </cell>
          <cell r="B1296">
            <v>42695</v>
          </cell>
          <cell r="C1296" t="str">
            <v>NOVIEMBRE</v>
          </cell>
          <cell r="D1296" t="str">
            <v>2016</v>
          </cell>
          <cell r="E1296">
            <v>374</v>
          </cell>
          <cell r="F1296" t="str">
            <v>D3P-754</v>
          </cell>
          <cell r="G1296" t="str">
            <v>C0V-971</v>
          </cell>
          <cell r="H1296" t="str">
            <v>LAS BAMBAS</v>
          </cell>
          <cell r="I1296">
            <v>160820</v>
          </cell>
          <cell r="J1296" t="str">
            <v>REPUESTO</v>
          </cell>
          <cell r="K1296" t="str">
            <v>FARO NEBLINERO</v>
          </cell>
          <cell r="L1296">
            <v>2</v>
          </cell>
          <cell r="M1296" t="str">
            <v>UNID.</v>
          </cell>
          <cell r="N1296" t="str">
            <v>TRACTO</v>
          </cell>
          <cell r="O1296">
            <v>0</v>
          </cell>
          <cell r="P1296" t="str">
            <v>E1</v>
          </cell>
          <cell r="Q1296" t="str">
            <v>J1</v>
          </cell>
          <cell r="R1296" t="str">
            <v>J1</v>
          </cell>
          <cell r="S1296" t="str">
            <v>ENTREGADO</v>
          </cell>
          <cell r="T1296">
            <v>42695</v>
          </cell>
          <cell r="U1296" t="str">
            <v>PALOMINO CARDENAS JUAN CARLOS</v>
          </cell>
          <cell r="V1296" t="str">
            <v>FLOREZ CONDORI  JOSE WILLIANS</v>
          </cell>
        </row>
        <row r="1297">
          <cell r="A1297">
            <v>1282</v>
          </cell>
          <cell r="B1297">
            <v>42695</v>
          </cell>
          <cell r="C1297" t="str">
            <v>NOVIEMBRE</v>
          </cell>
          <cell r="D1297" t="str">
            <v>2016</v>
          </cell>
          <cell r="E1297">
            <v>374</v>
          </cell>
          <cell r="F1297" t="str">
            <v>D3P-754</v>
          </cell>
          <cell r="G1297" t="str">
            <v>C0V-971</v>
          </cell>
          <cell r="H1297" t="str">
            <v>LAS BAMBAS</v>
          </cell>
          <cell r="I1297">
            <v>160820</v>
          </cell>
          <cell r="J1297" t="str">
            <v>REPUESTO</v>
          </cell>
          <cell r="K1297" t="str">
            <v>TUERCA SEGURO</v>
          </cell>
          <cell r="L1297">
            <v>2</v>
          </cell>
          <cell r="M1297" t="str">
            <v>UNID.</v>
          </cell>
          <cell r="N1297" t="str">
            <v>CISTERNA</v>
          </cell>
          <cell r="O1297">
            <v>0</v>
          </cell>
          <cell r="P1297" t="str">
            <v>S2</v>
          </cell>
          <cell r="Q1297" t="str">
            <v>J1</v>
          </cell>
          <cell r="R1297" t="str">
            <v>J1</v>
          </cell>
          <cell r="S1297" t="str">
            <v>ENTREGADO</v>
          </cell>
          <cell r="T1297">
            <v>42695</v>
          </cell>
          <cell r="U1297" t="str">
            <v>PALOMINO ESTRADA  MICHEL</v>
          </cell>
          <cell r="V1297" t="str">
            <v>FLOREZ CONDORI  JOSE WILLIANS</v>
          </cell>
        </row>
        <row r="1298">
          <cell r="A1298">
            <v>1256</v>
          </cell>
          <cell r="B1298">
            <v>42695</v>
          </cell>
          <cell r="C1298" t="str">
            <v>NOVIEMBRE</v>
          </cell>
          <cell r="D1298" t="str">
            <v>2016</v>
          </cell>
          <cell r="E1298">
            <v>360</v>
          </cell>
          <cell r="F1298" t="str">
            <v>D3R-791</v>
          </cell>
          <cell r="G1298" t="str">
            <v>B1M-993</v>
          </cell>
          <cell r="H1298" t="str">
            <v>LAS BAMBAS</v>
          </cell>
          <cell r="I1298">
            <v>136941</v>
          </cell>
          <cell r="J1298" t="str">
            <v>REPUESTO</v>
          </cell>
          <cell r="K1298" t="str">
            <v>TERMINALES HEMBRA</v>
          </cell>
          <cell r="L1298">
            <v>5</v>
          </cell>
          <cell r="M1298" t="str">
            <v>UNID.</v>
          </cell>
          <cell r="N1298" t="str">
            <v>TRACTO</v>
          </cell>
          <cell r="O1298">
            <v>0</v>
          </cell>
          <cell r="P1298" t="str">
            <v>E2</v>
          </cell>
          <cell r="Q1298" t="str">
            <v>J2</v>
          </cell>
          <cell r="R1298" t="str">
            <v>J6</v>
          </cell>
          <cell r="S1298" t="str">
            <v>ENTREGADO</v>
          </cell>
          <cell r="T1298">
            <v>42695</v>
          </cell>
          <cell r="U1298" t="str">
            <v>YUCA BELLIDO BORIS YERSY</v>
          </cell>
          <cell r="V1298" t="str">
            <v>CORIHUAMAN SURCO  ERICK ROBERT</v>
          </cell>
        </row>
        <row r="1299">
          <cell r="A1299">
            <v>1257</v>
          </cell>
          <cell r="B1299">
            <v>42695</v>
          </cell>
          <cell r="C1299" t="str">
            <v>NOVIEMBRE</v>
          </cell>
          <cell r="D1299" t="str">
            <v>2016</v>
          </cell>
          <cell r="E1299">
            <v>360</v>
          </cell>
          <cell r="F1299" t="str">
            <v>D3R-791</v>
          </cell>
          <cell r="G1299" t="str">
            <v>B1M-993</v>
          </cell>
          <cell r="H1299" t="str">
            <v>LAS BAMBAS</v>
          </cell>
          <cell r="I1299">
            <v>136941</v>
          </cell>
          <cell r="J1299" t="str">
            <v>REPUESTO</v>
          </cell>
          <cell r="K1299" t="str">
            <v>RELAY 12 V</v>
          </cell>
          <cell r="L1299">
            <v>2</v>
          </cell>
          <cell r="M1299" t="str">
            <v>UNID.</v>
          </cell>
          <cell r="N1299" t="str">
            <v>TRACTO</v>
          </cell>
          <cell r="O1299">
            <v>0</v>
          </cell>
          <cell r="P1299" t="str">
            <v>E2</v>
          </cell>
          <cell r="Q1299" t="str">
            <v>J2</v>
          </cell>
          <cell r="R1299" t="str">
            <v>J6</v>
          </cell>
          <cell r="S1299" t="str">
            <v>ENTREGADO</v>
          </cell>
          <cell r="T1299">
            <v>42695</v>
          </cell>
          <cell r="U1299" t="str">
            <v>YUCA BELLIDO BORIS YERSY</v>
          </cell>
          <cell r="V1299" t="str">
            <v>CORIHUAMAN SURCO  ERICK ROBERT</v>
          </cell>
        </row>
        <row r="1300">
          <cell r="A1300">
            <v>1248</v>
          </cell>
          <cell r="B1300">
            <v>42695</v>
          </cell>
          <cell r="C1300" t="str">
            <v>NOVIEMBRE</v>
          </cell>
          <cell r="D1300" t="str">
            <v>2016</v>
          </cell>
          <cell r="E1300">
            <v>370</v>
          </cell>
          <cell r="F1300" t="str">
            <v>D4T-927</v>
          </cell>
          <cell r="G1300" t="str">
            <v>B4Q-976</v>
          </cell>
          <cell r="H1300" t="str">
            <v>LAS BAMBAS</v>
          </cell>
          <cell r="I1300">
            <v>187827</v>
          </cell>
          <cell r="J1300" t="str">
            <v>REPUESTO</v>
          </cell>
          <cell r="K1300" t="str">
            <v>FAROS NEBLINEROS</v>
          </cell>
          <cell r="L1300">
            <v>2</v>
          </cell>
          <cell r="M1300" t="str">
            <v>UNID.</v>
          </cell>
          <cell r="N1300" t="str">
            <v>TRACTO</v>
          </cell>
          <cell r="O1300">
            <v>0</v>
          </cell>
          <cell r="P1300" t="str">
            <v>M5</v>
          </cell>
          <cell r="Q1300" t="str">
            <v>J2</v>
          </cell>
          <cell r="R1300" t="str">
            <v>J6</v>
          </cell>
          <cell r="S1300" t="str">
            <v>ENTREGADO</v>
          </cell>
          <cell r="T1300">
            <v>42695</v>
          </cell>
          <cell r="U1300" t="str">
            <v>LOPEZ RUIZ WILBERTO</v>
          </cell>
          <cell r="V1300" t="str">
            <v>CORIHUAMAN SURCO  ERICK ROBERT</v>
          </cell>
        </row>
        <row r="1301">
          <cell r="A1301">
            <v>1249</v>
          </cell>
          <cell r="B1301">
            <v>42695</v>
          </cell>
          <cell r="C1301" t="str">
            <v>NOVIEMBRE</v>
          </cell>
          <cell r="D1301" t="str">
            <v>2016</v>
          </cell>
          <cell r="E1301">
            <v>370</v>
          </cell>
          <cell r="F1301" t="str">
            <v>D4T-927</v>
          </cell>
          <cell r="G1301" t="str">
            <v>B4Q-976</v>
          </cell>
          <cell r="H1301" t="str">
            <v>LAS BAMBAS</v>
          </cell>
          <cell r="I1301">
            <v>187827</v>
          </cell>
          <cell r="J1301" t="str">
            <v>REPUESTO</v>
          </cell>
          <cell r="K1301" t="str">
            <v>FARO PIRATA</v>
          </cell>
          <cell r="L1301">
            <v>1</v>
          </cell>
          <cell r="M1301" t="str">
            <v>UNID.</v>
          </cell>
          <cell r="N1301" t="str">
            <v>TRACTO</v>
          </cell>
          <cell r="O1301">
            <v>0</v>
          </cell>
          <cell r="P1301" t="str">
            <v>M5</v>
          </cell>
          <cell r="Q1301" t="str">
            <v>J2</v>
          </cell>
          <cell r="R1301" t="str">
            <v>J6</v>
          </cell>
          <cell r="S1301" t="str">
            <v>ENTREGADO</v>
          </cell>
          <cell r="T1301">
            <v>42695</v>
          </cell>
          <cell r="U1301" t="str">
            <v>LOPEZ RUIZ WILBERTO</v>
          </cell>
          <cell r="V1301" t="str">
            <v>CORIHUAMAN SURCO  ERICK ROBERT</v>
          </cell>
        </row>
        <row r="1302">
          <cell r="A1302">
            <v>1262</v>
          </cell>
          <cell r="B1302">
            <v>42695</v>
          </cell>
          <cell r="C1302" t="str">
            <v>NOVIEMBRE</v>
          </cell>
          <cell r="D1302" t="str">
            <v>2016</v>
          </cell>
          <cell r="E1302">
            <v>370</v>
          </cell>
          <cell r="F1302" t="str">
            <v>D4T-927</v>
          </cell>
          <cell r="G1302" t="str">
            <v>B4Q-976</v>
          </cell>
          <cell r="H1302" t="str">
            <v>LAS BAMBAS</v>
          </cell>
          <cell r="I1302">
            <v>187827</v>
          </cell>
          <cell r="J1302" t="str">
            <v>REPUESTO</v>
          </cell>
          <cell r="K1302" t="str">
            <v>PLANCHA DE METAL</v>
          </cell>
          <cell r="L1302">
            <v>1</v>
          </cell>
          <cell r="M1302" t="str">
            <v>UNID.</v>
          </cell>
          <cell r="N1302" t="str">
            <v>CISTERNA</v>
          </cell>
          <cell r="O1302">
            <v>0</v>
          </cell>
          <cell r="P1302" t="str">
            <v>S2</v>
          </cell>
          <cell r="Q1302" t="str">
            <v>J2</v>
          </cell>
          <cell r="R1302" t="str">
            <v>J6</v>
          </cell>
          <cell r="S1302" t="str">
            <v>ENTREGADO</v>
          </cell>
          <cell r="T1302">
            <v>42695</v>
          </cell>
          <cell r="U1302" t="str">
            <v>PALOMINO ESTRADA  MICHEL</v>
          </cell>
          <cell r="V1302" t="str">
            <v>CORIHUAMAN SURCO  ERICK ROBERT</v>
          </cell>
        </row>
        <row r="1303">
          <cell r="A1303">
            <v>1263</v>
          </cell>
          <cell r="B1303">
            <v>42695</v>
          </cell>
          <cell r="C1303" t="str">
            <v>NOVIEMBRE</v>
          </cell>
          <cell r="D1303" t="str">
            <v>2016</v>
          </cell>
          <cell r="E1303">
            <v>370</v>
          </cell>
          <cell r="F1303" t="str">
            <v>D4T-927</v>
          </cell>
          <cell r="G1303" t="str">
            <v>B4Q-976</v>
          </cell>
          <cell r="H1303" t="str">
            <v>LAS BAMBAS</v>
          </cell>
          <cell r="I1303">
            <v>187827</v>
          </cell>
          <cell r="J1303" t="str">
            <v>REPUESTO</v>
          </cell>
          <cell r="K1303" t="str">
            <v>PERNOS 3/8 X 1</v>
          </cell>
          <cell r="L1303">
            <v>4</v>
          </cell>
          <cell r="M1303" t="str">
            <v>UNID.</v>
          </cell>
          <cell r="N1303" t="str">
            <v>CISTERNA</v>
          </cell>
          <cell r="O1303">
            <v>0</v>
          </cell>
          <cell r="P1303" t="str">
            <v>S2</v>
          </cell>
          <cell r="Q1303" t="str">
            <v>J2</v>
          </cell>
          <cell r="R1303" t="str">
            <v>J6</v>
          </cell>
          <cell r="S1303" t="str">
            <v>ENTREGADO</v>
          </cell>
          <cell r="T1303">
            <v>42695</v>
          </cell>
          <cell r="U1303" t="str">
            <v>PALOMINO ESTRADA  MICHEL</v>
          </cell>
          <cell r="V1303" t="str">
            <v>CORIHUAMAN SURCO  ERICK ROBERT</v>
          </cell>
        </row>
        <row r="1304">
          <cell r="A1304">
            <v>1264</v>
          </cell>
          <cell r="B1304">
            <v>42695</v>
          </cell>
          <cell r="C1304" t="str">
            <v>NOVIEMBRE</v>
          </cell>
          <cell r="D1304" t="str">
            <v>2016</v>
          </cell>
          <cell r="E1304">
            <v>370</v>
          </cell>
          <cell r="F1304" t="str">
            <v>D4T-927</v>
          </cell>
          <cell r="G1304" t="str">
            <v>B4Q-976</v>
          </cell>
          <cell r="H1304" t="str">
            <v>LAS BAMBAS</v>
          </cell>
          <cell r="I1304">
            <v>187827</v>
          </cell>
          <cell r="J1304" t="str">
            <v>REPUESTO</v>
          </cell>
          <cell r="K1304" t="str">
            <v>VOLANDAS 3/8</v>
          </cell>
          <cell r="L1304">
            <v>4</v>
          </cell>
          <cell r="M1304" t="str">
            <v>UNID.</v>
          </cell>
          <cell r="N1304" t="str">
            <v>CISTERNA</v>
          </cell>
          <cell r="O1304">
            <v>0</v>
          </cell>
          <cell r="P1304" t="str">
            <v>S2</v>
          </cell>
          <cell r="Q1304" t="str">
            <v>J2</v>
          </cell>
          <cell r="R1304" t="str">
            <v>J6</v>
          </cell>
          <cell r="S1304" t="str">
            <v>ENTREGADO</v>
          </cell>
          <cell r="T1304">
            <v>42695</v>
          </cell>
          <cell r="U1304" t="str">
            <v>PALOMINO ESTRADA  MICHEL</v>
          </cell>
          <cell r="V1304" t="str">
            <v>CORIHUAMAN SURCO  ERICK ROBERT</v>
          </cell>
        </row>
        <row r="1305">
          <cell r="A1305">
            <v>1270</v>
          </cell>
          <cell r="B1305">
            <v>42695</v>
          </cell>
          <cell r="C1305" t="str">
            <v>NOVIEMBRE</v>
          </cell>
          <cell r="D1305" t="str">
            <v>2016</v>
          </cell>
          <cell r="E1305">
            <v>370</v>
          </cell>
          <cell r="F1305" t="str">
            <v>D4T-927</v>
          </cell>
          <cell r="G1305" t="str">
            <v>B4Q-976</v>
          </cell>
          <cell r="H1305" t="str">
            <v>LAS BAMBAS</v>
          </cell>
          <cell r="I1305">
            <v>187827</v>
          </cell>
          <cell r="J1305" t="str">
            <v>REPUESTO</v>
          </cell>
          <cell r="K1305" t="str">
            <v>SOPORTE DE CARDAN</v>
          </cell>
          <cell r="L1305">
            <v>1</v>
          </cell>
          <cell r="M1305" t="str">
            <v>UNID.</v>
          </cell>
          <cell r="N1305" t="str">
            <v>CISTERNA</v>
          </cell>
          <cell r="O1305">
            <v>0</v>
          </cell>
          <cell r="P1305" t="str">
            <v>M7</v>
          </cell>
          <cell r="Q1305" t="str">
            <v>J2</v>
          </cell>
          <cell r="R1305" t="str">
            <v>J6</v>
          </cell>
          <cell r="S1305" t="str">
            <v>ENTREGADO</v>
          </cell>
          <cell r="T1305">
            <v>42695</v>
          </cell>
          <cell r="U1305" t="str">
            <v>ROBLES ROJAS  JOSE MIGUEL</v>
          </cell>
          <cell r="V1305" t="str">
            <v>CORIHUAMAN SURCO  ERICK ROBERT</v>
          </cell>
        </row>
        <row r="1306">
          <cell r="A1306">
            <v>1241</v>
          </cell>
          <cell r="B1306">
            <v>42695</v>
          </cell>
          <cell r="C1306" t="str">
            <v>NOVIEMBRE</v>
          </cell>
          <cell r="D1306" t="str">
            <v>2016</v>
          </cell>
          <cell r="E1306">
            <v>200</v>
          </cell>
          <cell r="F1306" t="str">
            <v>TALLER</v>
          </cell>
          <cell r="G1306" t="str">
            <v>TALLER</v>
          </cell>
          <cell r="H1306" t="str">
            <v>TALLER</v>
          </cell>
          <cell r="I1306" t="str">
            <v>TALLER</v>
          </cell>
          <cell r="J1306" t="str">
            <v>HERRAMIENTAS</v>
          </cell>
          <cell r="K1306" t="str">
            <v>TAIVEX "XL"</v>
          </cell>
          <cell r="L1306">
            <v>9</v>
          </cell>
          <cell r="M1306" t="str">
            <v>UNID.</v>
          </cell>
          <cell r="N1306" t="str">
            <v>TALLER</v>
          </cell>
          <cell r="O1306">
            <v>0</v>
          </cell>
          <cell r="P1306" t="str">
            <v>J1</v>
          </cell>
          <cell r="Q1306" t="str">
            <v>J1</v>
          </cell>
          <cell r="R1306" t="str">
            <v>J6</v>
          </cell>
          <cell r="S1306" t="str">
            <v>ENTREGADO</v>
          </cell>
          <cell r="T1306">
            <v>42695</v>
          </cell>
          <cell r="U1306" t="str">
            <v>FLOREZ CONDORI  JOSE WILLIANS</v>
          </cell>
          <cell r="V1306" t="str">
            <v>FLOREZ CONDORI  JOSE WILLIANS</v>
          </cell>
        </row>
        <row r="1307">
          <cell r="A1307">
            <v>1250</v>
          </cell>
          <cell r="B1307">
            <v>42695</v>
          </cell>
          <cell r="C1307" t="str">
            <v>NOVIEMBRE</v>
          </cell>
          <cell r="D1307" t="str">
            <v>2016</v>
          </cell>
          <cell r="E1307">
            <v>200</v>
          </cell>
          <cell r="F1307" t="str">
            <v>TALLER</v>
          </cell>
          <cell r="G1307" t="str">
            <v>TALLER</v>
          </cell>
          <cell r="H1307" t="str">
            <v>TALLER</v>
          </cell>
          <cell r="I1307" t="str">
            <v>TALLER</v>
          </cell>
          <cell r="J1307" t="str">
            <v>INSUMO TALLER</v>
          </cell>
          <cell r="K1307" t="str">
            <v>SPRAY COLOR BLANCO</v>
          </cell>
          <cell r="L1307">
            <v>2</v>
          </cell>
          <cell r="M1307" t="str">
            <v>UNID.</v>
          </cell>
          <cell r="N1307" t="str">
            <v>TALLER</v>
          </cell>
          <cell r="O1307">
            <v>0</v>
          </cell>
          <cell r="P1307" t="str">
            <v>J3</v>
          </cell>
          <cell r="Q1307" t="str">
            <v>J3</v>
          </cell>
          <cell r="R1307" t="str">
            <v>J6</v>
          </cell>
          <cell r="S1307" t="str">
            <v>ENTREGADO</v>
          </cell>
          <cell r="T1307">
            <v>42695</v>
          </cell>
          <cell r="U1307" t="str">
            <v>CHURA PIZARRO ALBERTO</v>
          </cell>
          <cell r="V1307" t="str">
            <v>CHURA PIZARRO ALBERTO</v>
          </cell>
        </row>
        <row r="1308">
          <cell r="A1308">
            <v>1251</v>
          </cell>
          <cell r="B1308">
            <v>42695</v>
          </cell>
          <cell r="C1308" t="str">
            <v>NOVIEMBRE</v>
          </cell>
          <cell r="D1308" t="str">
            <v>2016</v>
          </cell>
          <cell r="E1308">
            <v>200</v>
          </cell>
          <cell r="F1308" t="str">
            <v>TALLER</v>
          </cell>
          <cell r="G1308" t="str">
            <v>TALLER</v>
          </cell>
          <cell r="H1308" t="str">
            <v>TALLER</v>
          </cell>
          <cell r="I1308" t="str">
            <v>TALLER</v>
          </cell>
          <cell r="J1308" t="str">
            <v>INSUMO TALLER</v>
          </cell>
          <cell r="K1308" t="str">
            <v>SPRAY COLOR ALUMINIO</v>
          </cell>
          <cell r="L1308">
            <v>2</v>
          </cell>
          <cell r="M1308" t="str">
            <v>UNID.</v>
          </cell>
          <cell r="N1308" t="str">
            <v>TALLER</v>
          </cell>
          <cell r="O1308">
            <v>0</v>
          </cell>
          <cell r="P1308" t="str">
            <v>J3</v>
          </cell>
          <cell r="Q1308" t="str">
            <v>J3</v>
          </cell>
          <cell r="R1308" t="str">
            <v>J6</v>
          </cell>
          <cell r="S1308" t="str">
            <v>ENTREGADO</v>
          </cell>
          <cell r="T1308">
            <v>42695</v>
          </cell>
          <cell r="U1308" t="str">
            <v>CHURA PIZARRO ALBERTO</v>
          </cell>
          <cell r="V1308" t="str">
            <v>CHURA PIZARRO ALBERTO</v>
          </cell>
        </row>
        <row r="1309">
          <cell r="A1309">
            <v>1271</v>
          </cell>
          <cell r="B1309">
            <v>42695</v>
          </cell>
          <cell r="C1309" t="str">
            <v>NOVIEMBRE</v>
          </cell>
          <cell r="D1309" t="str">
            <v>2016</v>
          </cell>
          <cell r="E1309">
            <v>200</v>
          </cell>
          <cell r="F1309" t="str">
            <v>TALLER</v>
          </cell>
          <cell r="G1309" t="str">
            <v>TALLER</v>
          </cell>
          <cell r="H1309" t="str">
            <v>TALLER</v>
          </cell>
          <cell r="I1309" t="str">
            <v>TALLER</v>
          </cell>
          <cell r="J1309" t="str">
            <v>HERRAMIENTAS</v>
          </cell>
          <cell r="K1309" t="str">
            <v>DISCO DE DESVASTE DE 7"</v>
          </cell>
          <cell r="L1309">
            <v>1</v>
          </cell>
          <cell r="M1309" t="str">
            <v>UNID.</v>
          </cell>
          <cell r="N1309" t="str">
            <v>CISTERNA</v>
          </cell>
          <cell r="O1309">
            <v>0</v>
          </cell>
          <cell r="P1309" t="str">
            <v>S3</v>
          </cell>
          <cell r="Q1309" t="str">
            <v>J2</v>
          </cell>
          <cell r="R1309" t="str">
            <v>J2</v>
          </cell>
          <cell r="S1309" t="str">
            <v>ENTREGADO</v>
          </cell>
          <cell r="T1309">
            <v>42695</v>
          </cell>
          <cell r="U1309" t="str">
            <v>JIMENEZ MACHACA JAVIER</v>
          </cell>
          <cell r="V1309" t="str">
            <v>CORIHUAMAN SURCO  ERICK ROBERT</v>
          </cell>
        </row>
        <row r="1310">
          <cell r="A1310">
            <v>1274</v>
          </cell>
          <cell r="B1310">
            <v>42695</v>
          </cell>
          <cell r="C1310" t="str">
            <v>NOVIEMBRE</v>
          </cell>
          <cell r="D1310" t="str">
            <v>2016</v>
          </cell>
          <cell r="E1310">
            <v>366</v>
          </cell>
          <cell r="F1310" t="str">
            <v>X2W-760</v>
          </cell>
          <cell r="G1310" t="str">
            <v>C5V-992</v>
          </cell>
          <cell r="H1310" t="str">
            <v>LAS BAMBAS</v>
          </cell>
          <cell r="I1310">
            <v>148037</v>
          </cell>
          <cell r="J1310" t="str">
            <v>REPUESTO</v>
          </cell>
          <cell r="K1310" t="str">
            <v>GRACERA 45° 5/16</v>
          </cell>
          <cell r="L1310">
            <v>2</v>
          </cell>
          <cell r="M1310" t="str">
            <v>UNID.</v>
          </cell>
          <cell r="N1310" t="str">
            <v>CISTERNA</v>
          </cell>
          <cell r="O1310">
            <v>0</v>
          </cell>
          <cell r="P1310" t="str">
            <v>S3</v>
          </cell>
          <cell r="Q1310" t="str">
            <v>J1</v>
          </cell>
          <cell r="R1310" t="str">
            <v>J1</v>
          </cell>
          <cell r="S1310" t="str">
            <v>ENTREGADO</v>
          </cell>
          <cell r="T1310">
            <v>42695</v>
          </cell>
          <cell r="U1310" t="str">
            <v>JIMENEZ MACHACA JAVIER</v>
          </cell>
          <cell r="V1310" t="str">
            <v>FLOREZ CONDORI  JOSE WILLIANS</v>
          </cell>
        </row>
        <row r="1311">
          <cell r="A1311">
            <v>1283</v>
          </cell>
          <cell r="B1311">
            <v>42695</v>
          </cell>
          <cell r="C1311" t="str">
            <v>NOVIEMBRE</v>
          </cell>
          <cell r="D1311" t="str">
            <v>2016</v>
          </cell>
          <cell r="E1311">
            <v>366</v>
          </cell>
          <cell r="F1311" t="str">
            <v>X2W-760</v>
          </cell>
          <cell r="G1311" t="str">
            <v>C5V-992</v>
          </cell>
          <cell r="H1311" t="str">
            <v>LAS BAMBAS</v>
          </cell>
          <cell r="I1311">
            <v>148037</v>
          </cell>
          <cell r="J1311" t="str">
            <v>REPUESTO</v>
          </cell>
          <cell r="K1311" t="str">
            <v>PERNOS 5/8X6</v>
          </cell>
          <cell r="L1311">
            <v>4</v>
          </cell>
          <cell r="M1311" t="str">
            <v>UNID.</v>
          </cell>
          <cell r="N1311" t="str">
            <v>CISTERNA</v>
          </cell>
          <cell r="O1311">
            <v>0</v>
          </cell>
          <cell r="P1311" t="str">
            <v>S2</v>
          </cell>
          <cell r="Q1311" t="str">
            <v>J1</v>
          </cell>
          <cell r="R1311" t="str">
            <v>J1</v>
          </cell>
          <cell r="S1311" t="str">
            <v>ENTREGADO</v>
          </cell>
          <cell r="T1311">
            <v>42695</v>
          </cell>
          <cell r="U1311" t="str">
            <v>PALOMINO ESTRADA  MICHEL</v>
          </cell>
          <cell r="V1311" t="str">
            <v>FLOREZ CONDORI  JOSE WILLIANS</v>
          </cell>
        </row>
        <row r="1312">
          <cell r="A1312">
            <v>1284</v>
          </cell>
          <cell r="B1312">
            <v>42695</v>
          </cell>
          <cell r="C1312" t="str">
            <v>NOVIEMBRE</v>
          </cell>
          <cell r="D1312" t="str">
            <v>2016</v>
          </cell>
          <cell r="E1312">
            <v>366</v>
          </cell>
          <cell r="F1312" t="str">
            <v>X2W-760</v>
          </cell>
          <cell r="G1312" t="str">
            <v>C5V-992</v>
          </cell>
          <cell r="H1312" t="str">
            <v>LAS BAMBAS</v>
          </cell>
          <cell r="I1312">
            <v>148037</v>
          </cell>
          <cell r="J1312" t="str">
            <v>REPUESTO</v>
          </cell>
          <cell r="K1312" t="str">
            <v>TUERCA SEGURO 5/8</v>
          </cell>
          <cell r="L1312">
            <v>4</v>
          </cell>
          <cell r="M1312" t="str">
            <v>UNID.</v>
          </cell>
          <cell r="N1312" t="str">
            <v>CISTERNA</v>
          </cell>
          <cell r="O1312">
            <v>0</v>
          </cell>
          <cell r="P1312" t="str">
            <v>S2</v>
          </cell>
          <cell r="Q1312" t="str">
            <v>J1</v>
          </cell>
          <cell r="R1312" t="str">
            <v>J1</v>
          </cell>
          <cell r="S1312" t="str">
            <v>ENTREGADO</v>
          </cell>
          <cell r="T1312">
            <v>42695</v>
          </cell>
          <cell r="U1312" t="str">
            <v>PALOMINO ESTRADA  MICHEL</v>
          </cell>
          <cell r="V1312" t="str">
            <v>FLOREZ CONDORI  JOSE WILLIANS</v>
          </cell>
        </row>
        <row r="1313">
          <cell r="A1313">
            <v>1273</v>
          </cell>
          <cell r="B1313">
            <v>42695</v>
          </cell>
          <cell r="C1313" t="str">
            <v>NOVIEMBRE</v>
          </cell>
          <cell r="D1313" t="str">
            <v>2016</v>
          </cell>
          <cell r="E1313">
            <v>311</v>
          </cell>
          <cell r="F1313" t="str">
            <v>X2W-791</v>
          </cell>
          <cell r="G1313" t="str">
            <v>C5V-989</v>
          </cell>
          <cell r="H1313" t="str">
            <v>LAS BAMBAS</v>
          </cell>
          <cell r="I1313">
            <v>144606</v>
          </cell>
          <cell r="J1313" t="str">
            <v>REPUESTO</v>
          </cell>
          <cell r="K1313" t="str">
            <v>FARO BLANCO REDONDO</v>
          </cell>
          <cell r="L1313">
            <v>1</v>
          </cell>
          <cell r="M1313" t="str">
            <v>UNID.</v>
          </cell>
          <cell r="N1313" t="str">
            <v>CISTERNA</v>
          </cell>
          <cell r="O1313">
            <v>0</v>
          </cell>
          <cell r="P1313" t="str">
            <v>E2</v>
          </cell>
          <cell r="Q1313" t="str">
            <v>J1</v>
          </cell>
          <cell r="R1313" t="str">
            <v>J1</v>
          </cell>
          <cell r="S1313" t="str">
            <v>ENTREGADO</v>
          </cell>
          <cell r="T1313">
            <v>42695</v>
          </cell>
          <cell r="U1313" t="str">
            <v>YUCA BELLIDO BORIS YERSY</v>
          </cell>
          <cell r="V1313" t="str">
            <v>FLOREZ CONDORI  JOSE WILLIANS</v>
          </cell>
        </row>
        <row r="1314">
          <cell r="A1314">
            <v>1295</v>
          </cell>
          <cell r="B1314">
            <v>42696</v>
          </cell>
          <cell r="C1314" t="str">
            <v>NOVIEMBRE</v>
          </cell>
          <cell r="D1314" t="str">
            <v>2016</v>
          </cell>
          <cell r="E1314">
            <v>395</v>
          </cell>
          <cell r="F1314" t="str">
            <v>AAM-837</v>
          </cell>
          <cell r="G1314" t="str">
            <v>CAMIONETA</v>
          </cell>
          <cell r="H1314" t="str">
            <v>LAS BAMBAS</v>
          </cell>
          <cell r="I1314">
            <v>112793</v>
          </cell>
          <cell r="J1314" t="str">
            <v>REPUESTO</v>
          </cell>
          <cell r="K1314" t="str">
            <v>FILTRO DE AIRE</v>
          </cell>
          <cell r="L1314">
            <v>1</v>
          </cell>
          <cell r="M1314" t="str">
            <v>UNID.</v>
          </cell>
          <cell r="N1314" t="str">
            <v>CAMIONETA</v>
          </cell>
          <cell r="O1314">
            <v>0</v>
          </cell>
          <cell r="P1314" t="str">
            <v>J2</v>
          </cell>
          <cell r="Q1314" t="str">
            <v>J2</v>
          </cell>
          <cell r="R1314" t="str">
            <v>J6</v>
          </cell>
          <cell r="S1314" t="str">
            <v>ENTREGADO</v>
          </cell>
          <cell r="T1314">
            <v>42696</v>
          </cell>
          <cell r="U1314" t="str">
            <v>CORIHUAMAN SURCO  ERICK ROBERT</v>
          </cell>
          <cell r="V1314" t="str">
            <v>CORIHUAMAN SURCO  ERICK ROBERT</v>
          </cell>
        </row>
        <row r="1315">
          <cell r="A1315">
            <v>1296</v>
          </cell>
          <cell r="B1315">
            <v>42696</v>
          </cell>
          <cell r="C1315" t="str">
            <v>NOVIEMBRE</v>
          </cell>
          <cell r="D1315" t="str">
            <v>2016</v>
          </cell>
          <cell r="E1315">
            <v>395</v>
          </cell>
          <cell r="F1315" t="str">
            <v>AAM-837</v>
          </cell>
          <cell r="G1315" t="str">
            <v>CAMIONETA</v>
          </cell>
          <cell r="H1315" t="str">
            <v>LAS BAMBAS</v>
          </cell>
          <cell r="I1315">
            <v>112793</v>
          </cell>
          <cell r="J1315" t="str">
            <v>REPUESTO</v>
          </cell>
          <cell r="K1315" t="str">
            <v>FILTRO DE COMBUSTIBLE</v>
          </cell>
          <cell r="L1315">
            <v>1</v>
          </cell>
          <cell r="M1315" t="str">
            <v>UNID.</v>
          </cell>
          <cell r="N1315" t="str">
            <v>CAMIONETA</v>
          </cell>
          <cell r="O1315">
            <v>0</v>
          </cell>
          <cell r="P1315" t="str">
            <v>J2</v>
          </cell>
          <cell r="Q1315" t="str">
            <v>J2</v>
          </cell>
          <cell r="R1315" t="str">
            <v>J6</v>
          </cell>
          <cell r="S1315" t="str">
            <v>ENTREGADO</v>
          </cell>
          <cell r="T1315">
            <v>42696</v>
          </cell>
          <cell r="U1315" t="str">
            <v>CORIHUAMAN SURCO  ERICK ROBERT</v>
          </cell>
          <cell r="V1315" t="str">
            <v>CORIHUAMAN SURCO  ERICK ROBERT</v>
          </cell>
        </row>
        <row r="1316">
          <cell r="A1316">
            <v>1297</v>
          </cell>
          <cell r="B1316">
            <v>42696</v>
          </cell>
          <cell r="C1316" t="str">
            <v>NOVIEMBRE</v>
          </cell>
          <cell r="D1316" t="str">
            <v>2016</v>
          </cell>
          <cell r="E1316">
            <v>395</v>
          </cell>
          <cell r="F1316" t="str">
            <v>AAM-837</v>
          </cell>
          <cell r="G1316" t="str">
            <v>CAMIONETA</v>
          </cell>
          <cell r="H1316" t="str">
            <v>LAS BAMBAS</v>
          </cell>
          <cell r="I1316">
            <v>112793</v>
          </cell>
          <cell r="J1316" t="str">
            <v>REPUESTO</v>
          </cell>
          <cell r="K1316" t="str">
            <v>FILTRO DE ACEITE</v>
          </cell>
          <cell r="L1316">
            <v>1</v>
          </cell>
          <cell r="M1316" t="str">
            <v>UNID.</v>
          </cell>
          <cell r="N1316" t="str">
            <v>CAMIONETA</v>
          </cell>
          <cell r="O1316">
            <v>0</v>
          </cell>
          <cell r="P1316" t="str">
            <v>J2</v>
          </cell>
          <cell r="Q1316" t="str">
            <v>J2</v>
          </cell>
          <cell r="R1316" t="str">
            <v>J6</v>
          </cell>
          <cell r="S1316" t="str">
            <v>ENTREGADO</v>
          </cell>
          <cell r="T1316">
            <v>42696</v>
          </cell>
          <cell r="U1316" t="str">
            <v>CORIHUAMAN SURCO  ERICK ROBERT</v>
          </cell>
          <cell r="V1316" t="str">
            <v>CORIHUAMAN SURCO  ERICK ROBERT</v>
          </cell>
        </row>
        <row r="1317">
          <cell r="A1317">
            <v>1298</v>
          </cell>
          <cell r="B1317">
            <v>42696</v>
          </cell>
          <cell r="C1317" t="str">
            <v>NOVIEMBRE</v>
          </cell>
          <cell r="D1317" t="str">
            <v>2016</v>
          </cell>
          <cell r="E1317">
            <v>395</v>
          </cell>
          <cell r="F1317" t="str">
            <v>AAM-837</v>
          </cell>
          <cell r="G1317" t="str">
            <v>CAMIONETA</v>
          </cell>
          <cell r="H1317" t="str">
            <v>LAS BAMBAS</v>
          </cell>
          <cell r="I1317">
            <v>112793</v>
          </cell>
          <cell r="J1317" t="str">
            <v>REPUESTO</v>
          </cell>
          <cell r="K1317" t="str">
            <v>ACEITE 15W40</v>
          </cell>
          <cell r="L1317">
            <v>2</v>
          </cell>
          <cell r="M1317" t="str">
            <v>GLNS.</v>
          </cell>
          <cell r="N1317" t="str">
            <v>CAMIONETA</v>
          </cell>
          <cell r="O1317">
            <v>0</v>
          </cell>
          <cell r="P1317" t="str">
            <v>J2</v>
          </cell>
          <cell r="Q1317" t="str">
            <v>J2</v>
          </cell>
          <cell r="R1317" t="str">
            <v>J6</v>
          </cell>
          <cell r="S1317" t="str">
            <v>ENTREGADO</v>
          </cell>
          <cell r="T1317">
            <v>42696</v>
          </cell>
          <cell r="U1317" t="str">
            <v>CORIHUAMAN SURCO  ERICK ROBERT</v>
          </cell>
          <cell r="V1317" t="str">
            <v>CORIHUAMAN SURCO  ERICK ROBERT</v>
          </cell>
        </row>
        <row r="1318">
          <cell r="A1318">
            <v>1325</v>
          </cell>
          <cell r="B1318">
            <v>42696</v>
          </cell>
          <cell r="C1318" t="str">
            <v>NOVIEMBRE</v>
          </cell>
          <cell r="D1318" t="str">
            <v>2016</v>
          </cell>
          <cell r="E1318">
            <v>389</v>
          </cell>
          <cell r="F1318" t="str">
            <v>ABQ-704</v>
          </cell>
          <cell r="G1318" t="str">
            <v>TBB-995</v>
          </cell>
          <cell r="H1318" t="str">
            <v>LAS BAMBAS</v>
          </cell>
          <cell r="I1318">
            <v>108737</v>
          </cell>
          <cell r="J1318" t="str">
            <v>REPUESTO</v>
          </cell>
          <cell r="K1318" t="str">
            <v>FAROS NEBLINEROS</v>
          </cell>
          <cell r="L1318">
            <v>2</v>
          </cell>
          <cell r="M1318" t="str">
            <v>UNID.</v>
          </cell>
          <cell r="N1318" t="str">
            <v>TRACTO</v>
          </cell>
          <cell r="O1318">
            <v>0</v>
          </cell>
          <cell r="P1318" t="str">
            <v>E1</v>
          </cell>
          <cell r="Q1318" t="str">
            <v>J1</v>
          </cell>
          <cell r="R1318" t="str">
            <v>J6</v>
          </cell>
          <cell r="S1318" t="str">
            <v>ENTREGADO</v>
          </cell>
          <cell r="T1318">
            <v>42696</v>
          </cell>
          <cell r="U1318" t="str">
            <v>PALOMINO CARDENAS JUAN CARLOS</v>
          </cell>
          <cell r="V1318" t="str">
            <v>FLOREZ CONDORI  JOSE WILLIANS</v>
          </cell>
        </row>
        <row r="1319">
          <cell r="A1319">
            <v>1326</v>
          </cell>
          <cell r="B1319">
            <v>42696</v>
          </cell>
          <cell r="C1319" t="str">
            <v>NOVIEMBRE</v>
          </cell>
          <cell r="D1319" t="str">
            <v>2016</v>
          </cell>
          <cell r="E1319">
            <v>389</v>
          </cell>
          <cell r="F1319" t="str">
            <v>ABQ-704</v>
          </cell>
          <cell r="G1319" t="str">
            <v>TBB-995</v>
          </cell>
          <cell r="H1319" t="str">
            <v>LAS BAMBAS</v>
          </cell>
          <cell r="I1319">
            <v>108737</v>
          </cell>
          <cell r="J1319" t="str">
            <v>REPUESTO</v>
          </cell>
          <cell r="K1319" t="str">
            <v>PERNOS 5/16 X 1 1/2</v>
          </cell>
          <cell r="L1319">
            <v>2</v>
          </cell>
          <cell r="M1319" t="str">
            <v>UNID.</v>
          </cell>
          <cell r="N1319" t="str">
            <v>TRACTO</v>
          </cell>
          <cell r="O1319">
            <v>0</v>
          </cell>
          <cell r="P1319" t="str">
            <v>E1</v>
          </cell>
          <cell r="Q1319" t="str">
            <v>J1</v>
          </cell>
          <cell r="R1319" t="str">
            <v>J6</v>
          </cell>
          <cell r="S1319" t="str">
            <v>ENTREGADO</v>
          </cell>
          <cell r="T1319">
            <v>42696</v>
          </cell>
          <cell r="U1319" t="str">
            <v>PALOMINO CARDENAS JUAN CARLOS</v>
          </cell>
          <cell r="V1319" t="str">
            <v>FLOREZ CONDORI  JOSE WILLIANS</v>
          </cell>
        </row>
        <row r="1320">
          <cell r="A1320">
            <v>1327</v>
          </cell>
          <cell r="B1320">
            <v>42696</v>
          </cell>
          <cell r="C1320" t="str">
            <v>NOVIEMBRE</v>
          </cell>
          <cell r="D1320" t="str">
            <v>2016</v>
          </cell>
          <cell r="E1320">
            <v>389</v>
          </cell>
          <cell r="F1320" t="str">
            <v>ABQ-704</v>
          </cell>
          <cell r="G1320" t="str">
            <v>TBB-995</v>
          </cell>
          <cell r="H1320" t="str">
            <v>LAS BAMBAS</v>
          </cell>
          <cell r="I1320">
            <v>108737</v>
          </cell>
          <cell r="J1320" t="str">
            <v>REPUESTO</v>
          </cell>
          <cell r="K1320" t="str">
            <v>VOLANDAS 5/16</v>
          </cell>
          <cell r="L1320">
            <v>10</v>
          </cell>
          <cell r="M1320" t="str">
            <v>UNID.</v>
          </cell>
          <cell r="N1320" t="str">
            <v>TRACTO</v>
          </cell>
          <cell r="O1320">
            <v>0</v>
          </cell>
          <cell r="P1320" t="str">
            <v>E1</v>
          </cell>
          <cell r="Q1320" t="str">
            <v>J1</v>
          </cell>
          <cell r="R1320" t="str">
            <v>J6</v>
          </cell>
          <cell r="S1320" t="str">
            <v>ENTREGADO</v>
          </cell>
          <cell r="T1320">
            <v>42696</v>
          </cell>
          <cell r="U1320" t="str">
            <v>PALOMINO CARDENAS JUAN CARLOS</v>
          </cell>
          <cell r="V1320" t="str">
            <v>FLOREZ CONDORI  JOSE WILLIANS</v>
          </cell>
        </row>
        <row r="1321">
          <cell r="A1321">
            <v>1328</v>
          </cell>
          <cell r="B1321">
            <v>42696</v>
          </cell>
          <cell r="C1321" t="str">
            <v>NOVIEMBRE</v>
          </cell>
          <cell r="D1321" t="str">
            <v>2016</v>
          </cell>
          <cell r="E1321">
            <v>389</v>
          </cell>
          <cell r="F1321" t="str">
            <v>ABQ-704</v>
          </cell>
          <cell r="G1321" t="str">
            <v>TBB-995</v>
          </cell>
          <cell r="H1321" t="str">
            <v>LAS BAMBAS</v>
          </cell>
          <cell r="I1321">
            <v>108737</v>
          </cell>
          <cell r="J1321" t="str">
            <v>REPUESTO</v>
          </cell>
          <cell r="K1321" t="str">
            <v>TUERCAS SEGURO 5/16</v>
          </cell>
          <cell r="L1321">
            <v>2</v>
          </cell>
          <cell r="M1321" t="str">
            <v>UNID.</v>
          </cell>
          <cell r="N1321" t="str">
            <v>TRACTO</v>
          </cell>
          <cell r="O1321">
            <v>0</v>
          </cell>
          <cell r="P1321" t="str">
            <v>E1</v>
          </cell>
          <cell r="Q1321" t="str">
            <v>J1</v>
          </cell>
          <cell r="R1321" t="str">
            <v>J6</v>
          </cell>
          <cell r="S1321" t="str">
            <v>ENTREGADO</v>
          </cell>
          <cell r="T1321">
            <v>42696</v>
          </cell>
          <cell r="U1321" t="str">
            <v>PALOMINO CARDENAS JUAN CARLOS</v>
          </cell>
          <cell r="V1321" t="str">
            <v>FLOREZ CONDORI  JOSE WILLIANS</v>
          </cell>
        </row>
        <row r="1322">
          <cell r="A1322">
            <v>1336</v>
          </cell>
          <cell r="B1322">
            <v>42696</v>
          </cell>
          <cell r="C1322" t="str">
            <v>NOVIEMBRE</v>
          </cell>
          <cell r="D1322" t="str">
            <v>2016</v>
          </cell>
          <cell r="E1322">
            <v>389</v>
          </cell>
          <cell r="F1322" t="str">
            <v>ABQ-704</v>
          </cell>
          <cell r="G1322" t="str">
            <v>TBB-995</v>
          </cell>
          <cell r="H1322" t="str">
            <v>LAS BAMBAS</v>
          </cell>
          <cell r="I1322">
            <v>108737</v>
          </cell>
          <cell r="J1322" t="str">
            <v>REPUESTO</v>
          </cell>
          <cell r="K1322" t="str">
            <v>ESPEJO RETROVISOR GRANDE LADO DERECHO</v>
          </cell>
          <cell r="L1322">
            <v>1</v>
          </cell>
          <cell r="M1322" t="str">
            <v>UNID.</v>
          </cell>
          <cell r="N1322" t="str">
            <v>TRACTO</v>
          </cell>
          <cell r="O1322">
            <v>94</v>
          </cell>
          <cell r="P1322" t="str">
            <v>M1</v>
          </cell>
          <cell r="Q1322" t="str">
            <v>J1</v>
          </cell>
          <cell r="R1322" t="str">
            <v>J6</v>
          </cell>
          <cell r="S1322" t="str">
            <v>ENTREGADO</v>
          </cell>
          <cell r="T1322">
            <v>0</v>
          </cell>
          <cell r="U1322" t="str">
            <v>CABEZAS SANCHEZ JEAN JHONATAN</v>
          </cell>
          <cell r="V1322" t="str">
            <v>FLOREZ CONDORI  JOSE WILLIANS</v>
          </cell>
        </row>
        <row r="1323">
          <cell r="A1323">
            <v>1355</v>
          </cell>
          <cell r="B1323">
            <v>42696</v>
          </cell>
          <cell r="C1323" t="str">
            <v>NOVIEMBRE</v>
          </cell>
          <cell r="D1323" t="str">
            <v>2016</v>
          </cell>
          <cell r="E1323">
            <v>389</v>
          </cell>
          <cell r="F1323" t="str">
            <v>ABQ-704</v>
          </cell>
          <cell r="G1323" t="str">
            <v>TBB-995</v>
          </cell>
          <cell r="H1323" t="str">
            <v>LAS BAMBAS</v>
          </cell>
          <cell r="I1323">
            <v>108737</v>
          </cell>
          <cell r="J1323" t="str">
            <v>REPUESTO</v>
          </cell>
          <cell r="K1323" t="str">
            <v>PERNO 5/16 X 1</v>
          </cell>
          <cell r="L1323">
            <v>2</v>
          </cell>
          <cell r="M1323" t="str">
            <v>UNID.</v>
          </cell>
          <cell r="N1323" t="str">
            <v>CISTERNA</v>
          </cell>
          <cell r="O1323">
            <v>0</v>
          </cell>
          <cell r="P1323" t="str">
            <v>S2</v>
          </cell>
          <cell r="Q1323" t="str">
            <v>J2</v>
          </cell>
          <cell r="R1323" t="str">
            <v>J6</v>
          </cell>
          <cell r="S1323" t="str">
            <v>ENTREGADO</v>
          </cell>
          <cell r="T1323">
            <v>42696</v>
          </cell>
          <cell r="U1323" t="str">
            <v>PALOMINO ESTRADA  MICHEL</v>
          </cell>
          <cell r="V1323" t="str">
            <v>CORIHUAMAN SURCO  ERICK ROBERT</v>
          </cell>
        </row>
        <row r="1324">
          <cell r="A1324">
            <v>1356</v>
          </cell>
          <cell r="B1324">
            <v>42696</v>
          </cell>
          <cell r="C1324" t="str">
            <v>NOVIEMBRE</v>
          </cell>
          <cell r="D1324" t="str">
            <v>2016</v>
          </cell>
          <cell r="E1324">
            <v>389</v>
          </cell>
          <cell r="F1324" t="str">
            <v>ABQ-704</v>
          </cell>
          <cell r="G1324" t="str">
            <v>TBB-995</v>
          </cell>
          <cell r="H1324" t="str">
            <v>LAS BAMBAS</v>
          </cell>
          <cell r="I1324">
            <v>108737</v>
          </cell>
          <cell r="J1324" t="str">
            <v>REPUESTO</v>
          </cell>
          <cell r="K1324" t="str">
            <v>TUERCA SEGURO 5/16</v>
          </cell>
          <cell r="L1324">
            <v>2</v>
          </cell>
          <cell r="M1324" t="str">
            <v>UNID.</v>
          </cell>
          <cell r="N1324" t="str">
            <v>CISTERNA</v>
          </cell>
          <cell r="O1324">
            <v>0</v>
          </cell>
          <cell r="P1324" t="str">
            <v>S2</v>
          </cell>
          <cell r="Q1324" t="str">
            <v>J2</v>
          </cell>
          <cell r="R1324" t="str">
            <v>J6</v>
          </cell>
          <cell r="S1324" t="str">
            <v>ENTREGADO</v>
          </cell>
          <cell r="T1324">
            <v>42696</v>
          </cell>
          <cell r="U1324" t="str">
            <v>PALOMINO ESTRADA  MICHEL</v>
          </cell>
          <cell r="V1324" t="str">
            <v>CORIHUAMAN SURCO  ERICK ROBERT</v>
          </cell>
        </row>
        <row r="1325">
          <cell r="A1325">
            <v>1371</v>
          </cell>
          <cell r="B1325">
            <v>42696</v>
          </cell>
          <cell r="C1325" t="str">
            <v>NOVIEMBRE</v>
          </cell>
          <cell r="D1325" t="str">
            <v>2016</v>
          </cell>
          <cell r="E1325">
            <v>396</v>
          </cell>
          <cell r="F1325" t="str">
            <v>ABQ-780</v>
          </cell>
          <cell r="G1325" t="str">
            <v>C9S-990</v>
          </cell>
          <cell r="H1325" t="str">
            <v>LAS BAMBAS</v>
          </cell>
          <cell r="I1325">
            <v>113997</v>
          </cell>
          <cell r="J1325" t="str">
            <v>REPUESTO</v>
          </cell>
          <cell r="K1325" t="str">
            <v>LLANTAS REENCAUCHADAS DE TRACCION</v>
          </cell>
          <cell r="L1325">
            <v>4</v>
          </cell>
          <cell r="M1325" t="str">
            <v>UNID.</v>
          </cell>
          <cell r="N1325" t="str">
            <v>TRACTO</v>
          </cell>
          <cell r="O1325">
            <v>0</v>
          </cell>
          <cell r="P1325" t="str">
            <v>N1</v>
          </cell>
          <cell r="Q1325" t="str">
            <v>J3</v>
          </cell>
          <cell r="R1325" t="str">
            <v>J6</v>
          </cell>
          <cell r="S1325" t="str">
            <v>ENTREGADO</v>
          </cell>
          <cell r="T1325">
            <v>42696</v>
          </cell>
          <cell r="U1325" t="str">
            <v>AGUILAR CCANTUTA WILLY</v>
          </cell>
          <cell r="V1325" t="str">
            <v>CHURA PIZARRO ALBERTO</v>
          </cell>
        </row>
        <row r="1326">
          <cell r="A1326">
            <v>1329</v>
          </cell>
          <cell r="B1326">
            <v>42696</v>
          </cell>
          <cell r="C1326">
            <v>0</v>
          </cell>
          <cell r="D1326">
            <v>0</v>
          </cell>
          <cell r="E1326">
            <v>396</v>
          </cell>
          <cell r="F1326" t="str">
            <v>ABQ-780</v>
          </cell>
          <cell r="G1326" t="str">
            <v>C9S-990</v>
          </cell>
          <cell r="H1326" t="str">
            <v>LAS BAMBAS</v>
          </cell>
          <cell r="I1326">
            <v>113997</v>
          </cell>
          <cell r="J1326" t="str">
            <v>REPUESTO</v>
          </cell>
          <cell r="K1326" t="str">
            <v>FAROS NEBLINEROS</v>
          </cell>
          <cell r="L1326">
            <v>2</v>
          </cell>
          <cell r="M1326" t="str">
            <v>UNID.</v>
          </cell>
          <cell r="N1326" t="str">
            <v>TRACTO</v>
          </cell>
          <cell r="O1326">
            <v>0</v>
          </cell>
          <cell r="P1326" t="str">
            <v>E1</v>
          </cell>
          <cell r="Q1326" t="str">
            <v>J1</v>
          </cell>
          <cell r="R1326" t="str">
            <v>J6</v>
          </cell>
          <cell r="S1326" t="str">
            <v>ENTREGADO</v>
          </cell>
          <cell r="T1326">
            <v>42696</v>
          </cell>
          <cell r="U1326" t="str">
            <v>PALOMINO CARDENAS JUAN CARLOS</v>
          </cell>
          <cell r="V1326" t="str">
            <v>FLOREZ CONDORI  JOSE WILLIANS</v>
          </cell>
        </row>
        <row r="1327">
          <cell r="A1327">
            <v>1330</v>
          </cell>
          <cell r="B1327">
            <v>42696</v>
          </cell>
          <cell r="C1327">
            <v>0</v>
          </cell>
          <cell r="D1327">
            <v>0</v>
          </cell>
          <cell r="E1327">
            <v>396</v>
          </cell>
          <cell r="F1327" t="str">
            <v>ABQ-780</v>
          </cell>
          <cell r="G1327" t="str">
            <v>C9S-990</v>
          </cell>
          <cell r="H1327" t="str">
            <v>LAS BAMBAS</v>
          </cell>
          <cell r="I1327">
            <v>113997</v>
          </cell>
          <cell r="J1327" t="str">
            <v>REPUESTO</v>
          </cell>
          <cell r="K1327" t="str">
            <v>PERNOS 5/16 X 1 1/2</v>
          </cell>
          <cell r="L1327">
            <v>2</v>
          </cell>
          <cell r="M1327" t="str">
            <v>UNID.</v>
          </cell>
          <cell r="N1327" t="str">
            <v>TRACTO</v>
          </cell>
          <cell r="O1327">
            <v>94</v>
          </cell>
          <cell r="P1327" t="str">
            <v>E1</v>
          </cell>
          <cell r="Q1327" t="str">
            <v>J1</v>
          </cell>
          <cell r="R1327" t="str">
            <v>J6</v>
          </cell>
          <cell r="S1327" t="str">
            <v>ENTREGADO</v>
          </cell>
          <cell r="T1327">
            <v>0</v>
          </cell>
          <cell r="U1327" t="str">
            <v>PALOMINO CARDENAS JUAN CARLOS</v>
          </cell>
          <cell r="V1327" t="str">
            <v>FLOREZ CONDORI  JOSE WILLIANS</v>
          </cell>
        </row>
        <row r="1328">
          <cell r="A1328">
            <v>1331</v>
          </cell>
          <cell r="B1328">
            <v>42696</v>
          </cell>
          <cell r="C1328">
            <v>0</v>
          </cell>
          <cell r="D1328">
            <v>0</v>
          </cell>
          <cell r="E1328">
            <v>396</v>
          </cell>
          <cell r="F1328" t="str">
            <v>ABQ-780</v>
          </cell>
          <cell r="G1328" t="str">
            <v>C9S-990</v>
          </cell>
          <cell r="H1328" t="str">
            <v>LAS BAMBAS</v>
          </cell>
          <cell r="I1328">
            <v>113997</v>
          </cell>
          <cell r="J1328" t="str">
            <v>REPUESTO</v>
          </cell>
          <cell r="K1328" t="str">
            <v>VOLANDAS 5/16</v>
          </cell>
          <cell r="L1328">
            <v>10</v>
          </cell>
          <cell r="M1328" t="str">
            <v>UNID.</v>
          </cell>
          <cell r="N1328" t="str">
            <v>TRACTO</v>
          </cell>
          <cell r="O1328">
            <v>0</v>
          </cell>
          <cell r="P1328" t="str">
            <v>E1</v>
          </cell>
          <cell r="Q1328" t="str">
            <v>J1</v>
          </cell>
          <cell r="R1328" t="str">
            <v>J6</v>
          </cell>
          <cell r="S1328" t="str">
            <v>ENTREGADO</v>
          </cell>
          <cell r="T1328">
            <v>42696</v>
          </cell>
          <cell r="U1328" t="str">
            <v>PALOMINO CARDENAS JUAN CARLOS</v>
          </cell>
          <cell r="V1328" t="str">
            <v>FLOREZ CONDORI  JOSE WILLIANS</v>
          </cell>
        </row>
        <row r="1329">
          <cell r="A1329">
            <v>1332</v>
          </cell>
          <cell r="B1329">
            <v>42696</v>
          </cell>
          <cell r="C1329">
            <v>0</v>
          </cell>
          <cell r="D1329">
            <v>0</v>
          </cell>
          <cell r="E1329">
            <v>396</v>
          </cell>
          <cell r="F1329" t="str">
            <v>ABQ-780</v>
          </cell>
          <cell r="G1329" t="str">
            <v>C9S-990</v>
          </cell>
          <cell r="H1329" t="str">
            <v>LAS BAMBAS</v>
          </cell>
          <cell r="I1329">
            <v>113997</v>
          </cell>
          <cell r="J1329" t="str">
            <v>REPUESTO</v>
          </cell>
          <cell r="K1329" t="str">
            <v>TUERCAS SEGURO 5/16</v>
          </cell>
          <cell r="L1329">
            <v>2</v>
          </cell>
          <cell r="M1329" t="str">
            <v>UNID.</v>
          </cell>
          <cell r="N1329" t="str">
            <v>TRACTO</v>
          </cell>
          <cell r="O1329">
            <v>0</v>
          </cell>
          <cell r="P1329" t="str">
            <v>E1</v>
          </cell>
          <cell r="Q1329" t="str">
            <v>J1</v>
          </cell>
          <cell r="R1329" t="str">
            <v>J6</v>
          </cell>
          <cell r="S1329" t="str">
            <v>ENTREGADO</v>
          </cell>
          <cell r="T1329">
            <v>42696</v>
          </cell>
          <cell r="U1329" t="str">
            <v>PALOMINO CARDENAS JUAN CARLOS</v>
          </cell>
          <cell r="V1329" t="str">
            <v>FLOREZ CONDORI  JOSE WILLIANS</v>
          </cell>
        </row>
        <row r="1330">
          <cell r="A1330">
            <v>1340</v>
          </cell>
          <cell r="B1330">
            <v>42696</v>
          </cell>
          <cell r="C1330" t="str">
            <v>NOVIEMBRE</v>
          </cell>
          <cell r="D1330" t="str">
            <v>2016</v>
          </cell>
          <cell r="E1330">
            <v>396</v>
          </cell>
          <cell r="F1330" t="str">
            <v>ABQ-780</v>
          </cell>
          <cell r="G1330" t="str">
            <v>C9S-990</v>
          </cell>
          <cell r="H1330" t="str">
            <v>LAS BAMBAS</v>
          </cell>
          <cell r="I1330">
            <v>113997</v>
          </cell>
          <cell r="J1330" t="str">
            <v>REPUESTO</v>
          </cell>
          <cell r="K1330" t="str">
            <v>TANQUE DE EXPANSION</v>
          </cell>
          <cell r="L1330">
            <v>1</v>
          </cell>
          <cell r="M1330" t="str">
            <v>UNID.</v>
          </cell>
          <cell r="N1330" t="str">
            <v>TRACTO</v>
          </cell>
          <cell r="O1330">
            <v>94</v>
          </cell>
          <cell r="P1330" t="str">
            <v>M5</v>
          </cell>
          <cell r="Q1330" t="str">
            <v>J1</v>
          </cell>
          <cell r="R1330" t="str">
            <v>J6</v>
          </cell>
          <cell r="S1330" t="str">
            <v>ENTREGADO</v>
          </cell>
          <cell r="T1330">
            <v>0</v>
          </cell>
          <cell r="U1330" t="str">
            <v>LOPEZ RUIZ WILBERTO</v>
          </cell>
          <cell r="V1330" t="str">
            <v>FLOREZ CONDORI  JOSE WILLIANS</v>
          </cell>
        </row>
        <row r="1331">
          <cell r="A1331">
            <v>1341</v>
          </cell>
          <cell r="B1331">
            <v>42696</v>
          </cell>
          <cell r="C1331" t="str">
            <v>NOVIEMBRE</v>
          </cell>
          <cell r="D1331" t="str">
            <v>2016</v>
          </cell>
          <cell r="E1331">
            <v>396</v>
          </cell>
          <cell r="F1331" t="str">
            <v>ABQ-780</v>
          </cell>
          <cell r="G1331" t="str">
            <v>C9S-990</v>
          </cell>
          <cell r="H1331" t="str">
            <v>LAS BAMBAS</v>
          </cell>
          <cell r="I1331">
            <v>113997</v>
          </cell>
          <cell r="J1331" t="str">
            <v>REPUESTO</v>
          </cell>
          <cell r="K1331" t="str">
            <v>LIQUIDO LIMPIAPARABRISAS</v>
          </cell>
          <cell r="L1331">
            <v>1</v>
          </cell>
          <cell r="M1331" t="str">
            <v>GLNS.</v>
          </cell>
          <cell r="N1331" t="str">
            <v>TRACTO</v>
          </cell>
          <cell r="O1331">
            <v>0</v>
          </cell>
          <cell r="P1331" t="str">
            <v>M5</v>
          </cell>
          <cell r="Q1331" t="str">
            <v>J1</v>
          </cell>
          <cell r="R1331" t="str">
            <v>J6</v>
          </cell>
          <cell r="S1331" t="str">
            <v>ENTREGADO</v>
          </cell>
          <cell r="T1331">
            <v>42696</v>
          </cell>
          <cell r="U1331" t="str">
            <v>LOPEZ RUIZ WILBERTO</v>
          </cell>
          <cell r="V1331" t="str">
            <v>FLOREZ CONDORI  JOSE WILLIANS</v>
          </cell>
        </row>
        <row r="1332">
          <cell r="A1332">
            <v>1342</v>
          </cell>
          <cell r="B1332">
            <v>42696</v>
          </cell>
          <cell r="C1332" t="str">
            <v>NOVIEMBRE</v>
          </cell>
          <cell r="D1332" t="str">
            <v>2016</v>
          </cell>
          <cell r="E1332">
            <v>396</v>
          </cell>
          <cell r="F1332" t="str">
            <v>ABQ-780</v>
          </cell>
          <cell r="G1332" t="str">
            <v>C9S-990</v>
          </cell>
          <cell r="H1332" t="str">
            <v>LAS BAMBAS</v>
          </cell>
          <cell r="I1332">
            <v>113997</v>
          </cell>
          <cell r="J1332" t="str">
            <v>REPUESTO</v>
          </cell>
          <cell r="K1332" t="str">
            <v>CINTA NEGRA</v>
          </cell>
          <cell r="L1332">
            <v>1</v>
          </cell>
          <cell r="M1332" t="str">
            <v>UNID.</v>
          </cell>
          <cell r="N1332" t="str">
            <v>TRACTO</v>
          </cell>
          <cell r="O1332">
            <v>0</v>
          </cell>
          <cell r="P1332" t="str">
            <v>E2</v>
          </cell>
          <cell r="Q1332" t="str">
            <v>J1</v>
          </cell>
          <cell r="R1332" t="str">
            <v>J6</v>
          </cell>
          <cell r="S1332" t="str">
            <v>ENTREGADO</v>
          </cell>
          <cell r="T1332">
            <v>42696</v>
          </cell>
          <cell r="U1332" t="str">
            <v>YUCA BELLIDO BORIS YERSY</v>
          </cell>
          <cell r="V1332" t="str">
            <v>FLOREZ CONDORI  JOSE WILLIANS</v>
          </cell>
        </row>
        <row r="1333">
          <cell r="A1333">
            <v>1343</v>
          </cell>
          <cell r="B1333">
            <v>42696</v>
          </cell>
          <cell r="C1333" t="str">
            <v>NOVIEMBRE</v>
          </cell>
          <cell r="D1333" t="str">
            <v>2016</v>
          </cell>
          <cell r="E1333">
            <v>396</v>
          </cell>
          <cell r="F1333" t="str">
            <v>ABQ-780</v>
          </cell>
          <cell r="G1333" t="str">
            <v>C9S-990</v>
          </cell>
          <cell r="H1333" t="str">
            <v>LAS BAMBAS</v>
          </cell>
          <cell r="I1333">
            <v>113997</v>
          </cell>
          <cell r="J1333" t="str">
            <v>REPUESTO</v>
          </cell>
          <cell r="K1333" t="str">
            <v>TUBO CORRUGADO 3/8</v>
          </cell>
          <cell r="L1333">
            <v>1</v>
          </cell>
          <cell r="M1333" t="str">
            <v>M</v>
          </cell>
          <cell r="N1333" t="str">
            <v>TRACTO</v>
          </cell>
          <cell r="O1333">
            <v>0</v>
          </cell>
          <cell r="P1333" t="str">
            <v>E2</v>
          </cell>
          <cell r="Q1333" t="str">
            <v>J1</v>
          </cell>
          <cell r="R1333" t="str">
            <v>J6</v>
          </cell>
          <cell r="S1333" t="str">
            <v>ENTREGADO</v>
          </cell>
          <cell r="T1333">
            <v>42696</v>
          </cell>
          <cell r="U1333" t="str">
            <v>YUCA BELLIDO BORIS YERSY</v>
          </cell>
          <cell r="V1333" t="str">
            <v>FLOREZ CONDORI  JOSE WILLIANS</v>
          </cell>
        </row>
        <row r="1334">
          <cell r="A1334">
            <v>1376</v>
          </cell>
          <cell r="B1334">
            <v>42696</v>
          </cell>
          <cell r="C1334" t="str">
            <v>NOVIEMBRE</v>
          </cell>
          <cell r="D1334" t="str">
            <v>2016</v>
          </cell>
          <cell r="E1334">
            <v>396</v>
          </cell>
          <cell r="F1334" t="str">
            <v>ABQ-780</v>
          </cell>
          <cell r="G1334" t="str">
            <v>C9S-990</v>
          </cell>
          <cell r="H1334" t="str">
            <v>LAS BAMBAS</v>
          </cell>
          <cell r="I1334">
            <v>113997</v>
          </cell>
          <cell r="J1334" t="str">
            <v>REPUESTO</v>
          </cell>
          <cell r="K1334" t="str">
            <v>PARCHE RACK 14</v>
          </cell>
          <cell r="L1334">
            <v>1</v>
          </cell>
          <cell r="M1334" t="str">
            <v>UNID.</v>
          </cell>
          <cell r="N1334" t="str">
            <v>TRACTO</v>
          </cell>
          <cell r="O1334">
            <v>0</v>
          </cell>
          <cell r="P1334" t="str">
            <v>N2</v>
          </cell>
          <cell r="Q1334" t="str">
            <v>J3</v>
          </cell>
          <cell r="R1334" t="str">
            <v>J6</v>
          </cell>
          <cell r="S1334" t="str">
            <v>ENTREGADO</v>
          </cell>
          <cell r="T1334">
            <v>42696</v>
          </cell>
          <cell r="U1334" t="str">
            <v>MAMANI LARICO  EDUARDO ALVARO</v>
          </cell>
          <cell r="V1334" t="str">
            <v>CHURA PIZARRO ALBERTO</v>
          </cell>
        </row>
        <row r="1335">
          <cell r="A1335">
            <v>1378</v>
          </cell>
          <cell r="B1335">
            <v>42696</v>
          </cell>
          <cell r="C1335" t="str">
            <v>NOVIEMBRE</v>
          </cell>
          <cell r="D1335" t="str">
            <v>2016</v>
          </cell>
          <cell r="E1335">
            <v>396</v>
          </cell>
          <cell r="F1335" t="str">
            <v>ABQ-780</v>
          </cell>
          <cell r="G1335" t="str">
            <v>C9S-990</v>
          </cell>
          <cell r="H1335" t="str">
            <v>LAS BAMBAS</v>
          </cell>
          <cell r="I1335">
            <v>113997</v>
          </cell>
          <cell r="J1335" t="str">
            <v>REPUESTO</v>
          </cell>
          <cell r="K1335" t="str">
            <v>ESPARRAGOS DE BOCAMASA DE TRACCION</v>
          </cell>
          <cell r="L1335">
            <v>2</v>
          </cell>
          <cell r="M1335" t="str">
            <v>UNID.</v>
          </cell>
          <cell r="N1335" t="str">
            <v>TRACTO</v>
          </cell>
          <cell r="O1335">
            <v>0</v>
          </cell>
          <cell r="P1335" t="str">
            <v>M5</v>
          </cell>
          <cell r="Q1335" t="str">
            <v>J1</v>
          </cell>
          <cell r="R1335" t="str">
            <v>J6</v>
          </cell>
          <cell r="S1335" t="str">
            <v>ENTREGADO</v>
          </cell>
          <cell r="T1335">
            <v>42696</v>
          </cell>
          <cell r="U1335" t="str">
            <v>LOPEZ RUIZ WILBERTO</v>
          </cell>
          <cell r="V1335" t="str">
            <v>FLOREZ CONDORI  JOSE WILLIANS</v>
          </cell>
        </row>
        <row r="1336">
          <cell r="A1336">
            <v>1379</v>
          </cell>
          <cell r="B1336">
            <v>42696</v>
          </cell>
          <cell r="C1336" t="str">
            <v>NOVIEMBRE</v>
          </cell>
          <cell r="D1336" t="str">
            <v>2016</v>
          </cell>
          <cell r="E1336">
            <v>396</v>
          </cell>
          <cell r="F1336" t="str">
            <v>ABQ-780</v>
          </cell>
          <cell r="G1336" t="str">
            <v>C9S-990</v>
          </cell>
          <cell r="H1336" t="str">
            <v>LAS BAMBAS</v>
          </cell>
          <cell r="I1336">
            <v>113997</v>
          </cell>
          <cell r="J1336" t="str">
            <v>REPUESTO</v>
          </cell>
          <cell r="K1336" t="str">
            <v>TUERCAS DE ESPARRAGO</v>
          </cell>
          <cell r="L1336">
            <v>2</v>
          </cell>
          <cell r="M1336" t="str">
            <v>UNID.</v>
          </cell>
          <cell r="N1336" t="str">
            <v>TRACTO</v>
          </cell>
          <cell r="O1336">
            <v>0</v>
          </cell>
          <cell r="P1336" t="str">
            <v>M5</v>
          </cell>
          <cell r="Q1336" t="str">
            <v>J1</v>
          </cell>
          <cell r="R1336" t="str">
            <v>J6</v>
          </cell>
          <cell r="S1336" t="str">
            <v>ENTREGADO</v>
          </cell>
          <cell r="T1336">
            <v>42696</v>
          </cell>
          <cell r="U1336" t="str">
            <v>LOPEZ RUIZ WILBERTO</v>
          </cell>
          <cell r="V1336" t="str">
            <v>FLOREZ CONDORI  JOSE WILLIANS</v>
          </cell>
        </row>
        <row r="1337">
          <cell r="A1337">
            <v>1309</v>
          </cell>
          <cell r="B1337">
            <v>42696</v>
          </cell>
          <cell r="C1337" t="str">
            <v>NOVIEMBRE</v>
          </cell>
          <cell r="D1337" t="str">
            <v>2016</v>
          </cell>
          <cell r="E1337">
            <v>387</v>
          </cell>
          <cell r="F1337" t="str">
            <v>ABR-741</v>
          </cell>
          <cell r="G1337" t="str">
            <v>T3N-974</v>
          </cell>
          <cell r="H1337" t="str">
            <v>LAS BAMBAS</v>
          </cell>
          <cell r="I1337">
            <v>105904</v>
          </cell>
          <cell r="J1337" t="str">
            <v>REPUESTO</v>
          </cell>
          <cell r="K1337" t="str">
            <v>SOPORTE DE CABINA LADO DERECHO</v>
          </cell>
          <cell r="L1337">
            <v>1</v>
          </cell>
          <cell r="M1337" t="str">
            <v>UNID.</v>
          </cell>
          <cell r="N1337" t="str">
            <v>TRACTO</v>
          </cell>
          <cell r="O1337">
            <v>0</v>
          </cell>
          <cell r="P1337" t="str">
            <v>M7</v>
          </cell>
          <cell r="Q1337" t="str">
            <v>J1</v>
          </cell>
          <cell r="R1337" t="str">
            <v>J6</v>
          </cell>
          <cell r="S1337" t="str">
            <v>ENTREGADO</v>
          </cell>
          <cell r="T1337">
            <v>42696</v>
          </cell>
          <cell r="U1337" t="str">
            <v>ROBLES ROJAS  JOSE MIGUEL</v>
          </cell>
          <cell r="V1337" t="str">
            <v>FLOREZ CONDORI  JOSE WILLIANS</v>
          </cell>
        </row>
        <row r="1338">
          <cell r="A1338">
            <v>1310</v>
          </cell>
          <cell r="B1338">
            <v>42696</v>
          </cell>
          <cell r="C1338" t="str">
            <v>NOVIEMBRE</v>
          </cell>
          <cell r="D1338" t="str">
            <v>2016</v>
          </cell>
          <cell r="E1338">
            <v>387</v>
          </cell>
          <cell r="F1338" t="str">
            <v>ABR-741</v>
          </cell>
          <cell r="G1338" t="str">
            <v>T3N-974</v>
          </cell>
          <cell r="H1338" t="str">
            <v>LAS BAMBAS</v>
          </cell>
          <cell r="I1338">
            <v>105904</v>
          </cell>
          <cell r="J1338" t="str">
            <v>REPUESTO</v>
          </cell>
          <cell r="K1338" t="str">
            <v>LIQUIDO REFRIGERANTE</v>
          </cell>
          <cell r="L1338">
            <v>1</v>
          </cell>
          <cell r="M1338" t="str">
            <v>GLNS.</v>
          </cell>
          <cell r="N1338" t="str">
            <v>TRACTO</v>
          </cell>
          <cell r="O1338">
            <v>0</v>
          </cell>
          <cell r="P1338" t="str">
            <v>M7</v>
          </cell>
          <cell r="Q1338" t="str">
            <v>J1</v>
          </cell>
          <cell r="R1338" t="str">
            <v>J6</v>
          </cell>
          <cell r="S1338" t="str">
            <v>ENTREGADO</v>
          </cell>
          <cell r="T1338">
            <v>42696</v>
          </cell>
          <cell r="U1338" t="str">
            <v>ROBLES ROJAS  JOSE MIGUEL</v>
          </cell>
          <cell r="V1338" t="str">
            <v>FLOREZ CONDORI  JOSE WILLIANS</v>
          </cell>
        </row>
        <row r="1339">
          <cell r="A1339">
            <v>1311</v>
          </cell>
          <cell r="B1339">
            <v>42696</v>
          </cell>
          <cell r="C1339" t="str">
            <v>NOVIEMBRE</v>
          </cell>
          <cell r="D1339" t="str">
            <v>2016</v>
          </cell>
          <cell r="E1339">
            <v>387</v>
          </cell>
          <cell r="F1339" t="str">
            <v>ABR-741</v>
          </cell>
          <cell r="G1339" t="str">
            <v>T3N-974</v>
          </cell>
          <cell r="H1339" t="str">
            <v>LAS BAMBAS</v>
          </cell>
          <cell r="I1339">
            <v>105904</v>
          </cell>
          <cell r="J1339" t="str">
            <v>REPUESTO</v>
          </cell>
          <cell r="K1339" t="str">
            <v>LIQUIDO LIMPIAPARABRISAS</v>
          </cell>
          <cell r="L1339">
            <v>1</v>
          </cell>
          <cell r="M1339" t="str">
            <v>GLNS.</v>
          </cell>
          <cell r="N1339" t="str">
            <v>TRACTO</v>
          </cell>
          <cell r="O1339">
            <v>0</v>
          </cell>
          <cell r="P1339" t="str">
            <v>M7</v>
          </cell>
          <cell r="Q1339" t="str">
            <v>J1</v>
          </cell>
          <cell r="R1339" t="str">
            <v>J6</v>
          </cell>
          <cell r="S1339" t="str">
            <v>ENTREGADO</v>
          </cell>
          <cell r="T1339">
            <v>42696</v>
          </cell>
          <cell r="U1339" t="str">
            <v>ROBLES ROJAS  JOSE MIGUEL</v>
          </cell>
          <cell r="V1339" t="str">
            <v>FLOREZ CONDORI  JOSE WILLIANS</v>
          </cell>
        </row>
        <row r="1340">
          <cell r="A1340">
            <v>1349</v>
          </cell>
          <cell r="B1340">
            <v>42696</v>
          </cell>
          <cell r="C1340" t="str">
            <v>NOVIEMBRE</v>
          </cell>
          <cell r="D1340" t="str">
            <v>2016</v>
          </cell>
          <cell r="E1340">
            <v>387</v>
          </cell>
          <cell r="F1340" t="str">
            <v>ABR-741</v>
          </cell>
          <cell r="G1340" t="str">
            <v>T3N-974</v>
          </cell>
          <cell r="H1340" t="str">
            <v>LAS BAMBAS</v>
          </cell>
          <cell r="I1340">
            <v>105904</v>
          </cell>
          <cell r="J1340" t="str">
            <v>REPUESTO</v>
          </cell>
          <cell r="K1340" t="str">
            <v>FAROS NEBLINEROS</v>
          </cell>
          <cell r="L1340">
            <v>2</v>
          </cell>
          <cell r="M1340" t="str">
            <v>UNID.</v>
          </cell>
          <cell r="N1340" t="str">
            <v>TRACTO</v>
          </cell>
          <cell r="O1340">
            <v>0</v>
          </cell>
          <cell r="P1340" t="str">
            <v>E2</v>
          </cell>
          <cell r="Q1340" t="str">
            <v>J2</v>
          </cell>
          <cell r="R1340" t="str">
            <v>J6</v>
          </cell>
          <cell r="S1340" t="str">
            <v>ENTREGADO</v>
          </cell>
          <cell r="T1340">
            <v>42696</v>
          </cell>
          <cell r="U1340" t="str">
            <v>YUCA BELLIDO BORIS YERSY</v>
          </cell>
          <cell r="V1340" t="str">
            <v>CORIHUAMAN SURCO  ERICK ROBERT</v>
          </cell>
        </row>
        <row r="1341">
          <cell r="A1341">
            <v>1316</v>
          </cell>
          <cell r="B1341">
            <v>42696</v>
          </cell>
          <cell r="C1341" t="str">
            <v>NOVIEMBRE</v>
          </cell>
          <cell r="D1341" t="str">
            <v>2016</v>
          </cell>
          <cell r="E1341">
            <v>384</v>
          </cell>
          <cell r="F1341" t="str">
            <v>ABR-759</v>
          </cell>
          <cell r="G1341" t="str">
            <v>D0Z-995</v>
          </cell>
          <cell r="H1341" t="str">
            <v>LAS BAMBAS</v>
          </cell>
          <cell r="I1341">
            <v>109079</v>
          </cell>
          <cell r="J1341" t="str">
            <v>REPUESTO</v>
          </cell>
          <cell r="K1341" t="str">
            <v>FAROS NEBLINEROS AAA</v>
          </cell>
          <cell r="L1341">
            <v>2</v>
          </cell>
          <cell r="M1341" t="str">
            <v>UNID.</v>
          </cell>
          <cell r="N1341" t="str">
            <v>TRACTO</v>
          </cell>
          <cell r="O1341">
            <v>0</v>
          </cell>
          <cell r="P1341" t="str">
            <v>E2</v>
          </cell>
          <cell r="Q1341" t="str">
            <v>J1</v>
          </cell>
          <cell r="R1341" t="str">
            <v>J6</v>
          </cell>
          <cell r="S1341" t="str">
            <v>ENTREGADO</v>
          </cell>
          <cell r="T1341">
            <v>42696</v>
          </cell>
          <cell r="U1341" t="str">
            <v>YUCA BELLIDO BORIS YERSY</v>
          </cell>
          <cell r="V1341" t="str">
            <v>FLOREZ CONDORI  JOSE WILLIANS</v>
          </cell>
        </row>
        <row r="1342">
          <cell r="A1342">
            <v>1317</v>
          </cell>
          <cell r="B1342">
            <v>42696</v>
          </cell>
          <cell r="C1342" t="str">
            <v>NOVIEMBRE</v>
          </cell>
          <cell r="D1342" t="str">
            <v>2016</v>
          </cell>
          <cell r="E1342">
            <v>384</v>
          </cell>
          <cell r="F1342" t="str">
            <v>ABR-759</v>
          </cell>
          <cell r="G1342" t="str">
            <v>D0Z-995</v>
          </cell>
          <cell r="H1342" t="str">
            <v>LAS BAMBAS</v>
          </cell>
          <cell r="I1342">
            <v>109079</v>
          </cell>
          <cell r="J1342" t="str">
            <v>REPUESTO</v>
          </cell>
          <cell r="K1342" t="str">
            <v>PERNOS 5/16 X 2"</v>
          </cell>
          <cell r="L1342">
            <v>2</v>
          </cell>
          <cell r="M1342" t="str">
            <v>UNID.</v>
          </cell>
          <cell r="N1342" t="str">
            <v>TRACTO</v>
          </cell>
          <cell r="O1342">
            <v>0</v>
          </cell>
          <cell r="P1342" t="str">
            <v>E2</v>
          </cell>
          <cell r="Q1342" t="str">
            <v>J1</v>
          </cell>
          <cell r="R1342" t="str">
            <v>J6</v>
          </cell>
          <cell r="S1342" t="str">
            <v>ENTREGADO</v>
          </cell>
          <cell r="T1342">
            <v>42696</v>
          </cell>
          <cell r="U1342" t="str">
            <v>YUCA BELLIDO BORIS YERSY</v>
          </cell>
          <cell r="V1342" t="str">
            <v>FLOREZ CONDORI  JOSE WILLIANS</v>
          </cell>
        </row>
        <row r="1343">
          <cell r="A1343">
            <v>1318</v>
          </cell>
          <cell r="B1343">
            <v>42696</v>
          </cell>
          <cell r="C1343" t="str">
            <v>NOVIEMBRE</v>
          </cell>
          <cell r="D1343" t="str">
            <v>2016</v>
          </cell>
          <cell r="E1343">
            <v>384</v>
          </cell>
          <cell r="F1343" t="str">
            <v>ABR-759</v>
          </cell>
          <cell r="G1343" t="str">
            <v>D0Z-995</v>
          </cell>
          <cell r="H1343" t="str">
            <v>LAS BAMBAS</v>
          </cell>
          <cell r="I1343">
            <v>109079</v>
          </cell>
          <cell r="J1343" t="str">
            <v>REPUESTO</v>
          </cell>
          <cell r="K1343" t="str">
            <v>TUERCA 5/16</v>
          </cell>
          <cell r="L1343">
            <v>2</v>
          </cell>
          <cell r="M1343" t="str">
            <v>UNID.</v>
          </cell>
          <cell r="N1343" t="str">
            <v>TRACTO</v>
          </cell>
          <cell r="O1343">
            <v>0</v>
          </cell>
          <cell r="P1343" t="str">
            <v>E2</v>
          </cell>
          <cell r="Q1343" t="str">
            <v>J1</v>
          </cell>
          <cell r="R1343" t="str">
            <v>J6</v>
          </cell>
          <cell r="S1343" t="str">
            <v>ENTREGADO</v>
          </cell>
          <cell r="T1343">
            <v>42696</v>
          </cell>
          <cell r="U1343" t="str">
            <v>YUCA BELLIDO BORIS YERSY</v>
          </cell>
          <cell r="V1343" t="str">
            <v>FLOREZ CONDORI  JOSE WILLIANS</v>
          </cell>
        </row>
        <row r="1344">
          <cell r="A1344">
            <v>1319</v>
          </cell>
          <cell r="B1344">
            <v>42696</v>
          </cell>
          <cell r="C1344" t="str">
            <v>NOVIEMBRE</v>
          </cell>
          <cell r="D1344" t="str">
            <v>2016</v>
          </cell>
          <cell r="E1344">
            <v>384</v>
          </cell>
          <cell r="F1344" t="str">
            <v>ABR-759</v>
          </cell>
          <cell r="G1344" t="str">
            <v>D0Z-995</v>
          </cell>
          <cell r="H1344" t="str">
            <v>LAS BAMBAS</v>
          </cell>
          <cell r="I1344">
            <v>109079</v>
          </cell>
          <cell r="J1344" t="str">
            <v>REPUESTO</v>
          </cell>
          <cell r="K1344" t="str">
            <v>VOLANDA PLANA 5/16</v>
          </cell>
          <cell r="L1344">
            <v>2</v>
          </cell>
          <cell r="M1344" t="str">
            <v>UNID.</v>
          </cell>
          <cell r="N1344" t="str">
            <v>TRACTO</v>
          </cell>
          <cell r="O1344">
            <v>0</v>
          </cell>
          <cell r="P1344" t="str">
            <v>E2</v>
          </cell>
          <cell r="Q1344" t="str">
            <v>J1</v>
          </cell>
          <cell r="R1344" t="str">
            <v>J6</v>
          </cell>
          <cell r="S1344" t="str">
            <v>ENTREGADO</v>
          </cell>
          <cell r="T1344">
            <v>42696</v>
          </cell>
          <cell r="U1344" t="str">
            <v>YUCA BELLIDO BORIS YERSY</v>
          </cell>
          <cell r="V1344" t="str">
            <v>FLOREZ CONDORI  JOSE WILLIANS</v>
          </cell>
        </row>
        <row r="1345">
          <cell r="A1345">
            <v>1320</v>
          </cell>
          <cell r="B1345">
            <v>42696</v>
          </cell>
          <cell r="C1345" t="str">
            <v>NOVIEMBRE</v>
          </cell>
          <cell r="D1345" t="str">
            <v>2016</v>
          </cell>
          <cell r="E1345">
            <v>384</v>
          </cell>
          <cell r="F1345" t="str">
            <v>ABR-759</v>
          </cell>
          <cell r="G1345" t="str">
            <v>D0Z-995</v>
          </cell>
          <cell r="H1345" t="str">
            <v>LAS BAMBAS</v>
          </cell>
          <cell r="I1345">
            <v>109079</v>
          </cell>
          <cell r="J1345" t="str">
            <v>REPUESTO</v>
          </cell>
          <cell r="K1345" t="str">
            <v>FOCO 9006</v>
          </cell>
          <cell r="L1345">
            <v>1</v>
          </cell>
          <cell r="M1345" t="str">
            <v>UNID.</v>
          </cell>
          <cell r="N1345" t="str">
            <v>TRACTO</v>
          </cell>
          <cell r="O1345">
            <v>0</v>
          </cell>
          <cell r="P1345" t="str">
            <v>E2</v>
          </cell>
          <cell r="Q1345" t="str">
            <v>J1</v>
          </cell>
          <cell r="R1345" t="str">
            <v>J6</v>
          </cell>
          <cell r="S1345" t="str">
            <v>ENTREGADO</v>
          </cell>
          <cell r="T1345">
            <v>42696</v>
          </cell>
          <cell r="U1345" t="str">
            <v>YUCA BELLIDO BORIS YERSY</v>
          </cell>
          <cell r="V1345" t="str">
            <v>FLOREZ CONDORI  JOSE WILLIANS</v>
          </cell>
        </row>
        <row r="1346">
          <cell r="A1346">
            <v>1321</v>
          </cell>
          <cell r="B1346">
            <v>42696</v>
          </cell>
          <cell r="C1346" t="str">
            <v>NOVIEMBRE</v>
          </cell>
          <cell r="D1346" t="str">
            <v>2016</v>
          </cell>
          <cell r="E1346">
            <v>384</v>
          </cell>
          <cell r="F1346" t="str">
            <v>ABR-759</v>
          </cell>
          <cell r="G1346" t="str">
            <v>D0Z-995</v>
          </cell>
          <cell r="H1346" t="str">
            <v>LAS BAMBAS</v>
          </cell>
          <cell r="I1346">
            <v>109079</v>
          </cell>
          <cell r="J1346" t="str">
            <v>REPUESTO</v>
          </cell>
          <cell r="K1346" t="str">
            <v>FOCO LAGRIMON AMBAR 12 V</v>
          </cell>
          <cell r="L1346">
            <v>1</v>
          </cell>
          <cell r="M1346" t="str">
            <v>UNID.</v>
          </cell>
          <cell r="N1346" t="str">
            <v>TRACTO</v>
          </cell>
          <cell r="O1346">
            <v>0</v>
          </cell>
          <cell r="P1346" t="str">
            <v>E2</v>
          </cell>
          <cell r="Q1346" t="str">
            <v>J1</v>
          </cell>
          <cell r="R1346" t="str">
            <v>J6</v>
          </cell>
          <cell r="S1346" t="str">
            <v>ENTREGADO</v>
          </cell>
          <cell r="T1346">
            <v>42696</v>
          </cell>
          <cell r="U1346" t="str">
            <v>YUCA BELLIDO BORIS YERSY</v>
          </cell>
          <cell r="V1346" t="str">
            <v>FLOREZ CONDORI  JOSE WILLIANS</v>
          </cell>
        </row>
        <row r="1347">
          <cell r="A1347">
            <v>1383</v>
          </cell>
          <cell r="B1347">
            <v>42696</v>
          </cell>
          <cell r="C1347" t="str">
            <v>NOVIEMBRE</v>
          </cell>
          <cell r="D1347" t="str">
            <v>2016</v>
          </cell>
          <cell r="E1347">
            <v>356</v>
          </cell>
          <cell r="F1347" t="str">
            <v>AKX-767</v>
          </cell>
          <cell r="G1347" t="str">
            <v>TCR-993</v>
          </cell>
          <cell r="H1347" t="str">
            <v>LAS BAMBAS CONC.</v>
          </cell>
          <cell r="I1347">
            <v>18156</v>
          </cell>
          <cell r="J1347" t="str">
            <v>REPUESTO</v>
          </cell>
          <cell r="K1347" t="str">
            <v>SENSOR DE RETROCESO</v>
          </cell>
          <cell r="L1347">
            <v>1</v>
          </cell>
          <cell r="M1347" t="str">
            <v>UNID.</v>
          </cell>
          <cell r="N1347" t="str">
            <v>TRACTO</v>
          </cell>
          <cell r="O1347">
            <v>94</v>
          </cell>
          <cell r="P1347" t="str">
            <v>E1</v>
          </cell>
          <cell r="Q1347" t="str">
            <v>J1</v>
          </cell>
          <cell r="R1347" t="str">
            <v>J6</v>
          </cell>
          <cell r="S1347" t="str">
            <v>ENTREGADO</v>
          </cell>
          <cell r="T1347">
            <v>0</v>
          </cell>
          <cell r="U1347" t="str">
            <v>PALOMINO CARDENAS JUAN CARLOS</v>
          </cell>
          <cell r="V1347" t="str">
            <v>FLOREZ CONDORI  JOSE WILLIANS</v>
          </cell>
        </row>
        <row r="1348">
          <cell r="A1348">
            <v>1384</v>
          </cell>
          <cell r="B1348">
            <v>42696</v>
          </cell>
          <cell r="C1348" t="str">
            <v>NOVIEMBRE</v>
          </cell>
          <cell r="D1348" t="str">
            <v>2016</v>
          </cell>
          <cell r="E1348">
            <v>356</v>
          </cell>
          <cell r="F1348" t="str">
            <v>AKX-767</v>
          </cell>
          <cell r="G1348" t="str">
            <v>TCR-993</v>
          </cell>
          <cell r="H1348" t="str">
            <v>LAS BAMBAS CONC.</v>
          </cell>
          <cell r="I1348">
            <v>18156</v>
          </cell>
          <cell r="J1348" t="str">
            <v>REPUESTO</v>
          </cell>
          <cell r="K1348" t="str">
            <v>RELAY DE 12 V</v>
          </cell>
          <cell r="L1348">
            <v>1</v>
          </cell>
          <cell r="M1348" t="str">
            <v>UNID.</v>
          </cell>
          <cell r="N1348" t="str">
            <v>TRACTO</v>
          </cell>
          <cell r="O1348">
            <v>0</v>
          </cell>
          <cell r="P1348" t="str">
            <v>E1</v>
          </cell>
          <cell r="Q1348" t="str">
            <v>J1</v>
          </cell>
          <cell r="R1348" t="str">
            <v>J6</v>
          </cell>
          <cell r="S1348" t="str">
            <v>ENTREGADO</v>
          </cell>
          <cell r="T1348">
            <v>42696</v>
          </cell>
          <cell r="U1348" t="str">
            <v>PALOMINO CARDENAS JUAN CARLOS</v>
          </cell>
          <cell r="V1348" t="str">
            <v>FLOREZ CONDORI  JOSE WILLIANS</v>
          </cell>
        </row>
        <row r="1349">
          <cell r="A1349">
            <v>1385</v>
          </cell>
          <cell r="B1349">
            <v>42696</v>
          </cell>
          <cell r="C1349" t="str">
            <v>NOVIEMBRE</v>
          </cell>
          <cell r="D1349" t="str">
            <v>2016</v>
          </cell>
          <cell r="E1349">
            <v>367</v>
          </cell>
          <cell r="F1349" t="str">
            <v>B2L-889</v>
          </cell>
          <cell r="G1349" t="str">
            <v>CAMION</v>
          </cell>
          <cell r="H1349" t="str">
            <v>TAMBOMAYO</v>
          </cell>
          <cell r="I1349">
            <v>120679</v>
          </cell>
          <cell r="J1349" t="str">
            <v>REPUESTO</v>
          </cell>
          <cell r="K1349" t="str">
            <v>VALVULA RECUPERADOR DE VAPORES ( según muestra)</v>
          </cell>
          <cell r="L1349">
            <v>1</v>
          </cell>
          <cell r="M1349" t="str">
            <v>UNID.</v>
          </cell>
          <cell r="N1349" t="str">
            <v>CAMION</v>
          </cell>
          <cell r="O1349">
            <v>94</v>
          </cell>
          <cell r="P1349" t="str">
            <v>S2</v>
          </cell>
          <cell r="Q1349" t="str">
            <v>J1</v>
          </cell>
          <cell r="R1349" t="str">
            <v>J1</v>
          </cell>
          <cell r="S1349" t="str">
            <v>ENTREGADO</v>
          </cell>
          <cell r="T1349">
            <v>0</v>
          </cell>
          <cell r="U1349" t="str">
            <v>PALOMINO ESTRADA  MICHEL</v>
          </cell>
          <cell r="V1349" t="str">
            <v>FLOREZ CONDORI  JOSE WILLIANS</v>
          </cell>
        </row>
        <row r="1350">
          <cell r="A1350">
            <v>1386</v>
          </cell>
          <cell r="B1350">
            <v>42696</v>
          </cell>
          <cell r="C1350" t="str">
            <v>NOVIEMBRE</v>
          </cell>
          <cell r="D1350" t="str">
            <v>2016</v>
          </cell>
          <cell r="E1350">
            <v>367</v>
          </cell>
          <cell r="F1350" t="str">
            <v>B2L-889</v>
          </cell>
          <cell r="G1350" t="str">
            <v>CAMION</v>
          </cell>
          <cell r="H1350" t="str">
            <v>TAMBOMAYO</v>
          </cell>
          <cell r="I1350">
            <v>120679</v>
          </cell>
          <cell r="J1350" t="str">
            <v>REPUESTO</v>
          </cell>
          <cell r="K1350" t="str">
            <v>NIPLE PARA RECUPERADOR DE VAPORES</v>
          </cell>
          <cell r="L1350">
            <v>1</v>
          </cell>
          <cell r="M1350" t="str">
            <v>UNID.</v>
          </cell>
          <cell r="N1350" t="str">
            <v>CAMION</v>
          </cell>
          <cell r="O1350">
            <v>94</v>
          </cell>
          <cell r="P1350" t="str">
            <v>S2</v>
          </cell>
          <cell r="Q1350" t="str">
            <v>J1</v>
          </cell>
          <cell r="R1350" t="str">
            <v>J1</v>
          </cell>
          <cell r="S1350" t="str">
            <v>ENTREGADO</v>
          </cell>
          <cell r="T1350">
            <v>0</v>
          </cell>
          <cell r="U1350" t="str">
            <v>PALOMINO ESTRADA  MICHEL</v>
          </cell>
          <cell r="V1350" t="str">
            <v>FLOREZ CONDORI  JOSE WILLIANS</v>
          </cell>
        </row>
        <row r="1351">
          <cell r="A1351">
            <v>1357</v>
          </cell>
          <cell r="B1351">
            <v>42696</v>
          </cell>
          <cell r="C1351" t="str">
            <v>NOVIEMBRE</v>
          </cell>
          <cell r="D1351" t="str">
            <v>2016</v>
          </cell>
          <cell r="E1351">
            <v>398</v>
          </cell>
          <cell r="F1351" t="str">
            <v>C6X-739</v>
          </cell>
          <cell r="G1351" t="str">
            <v>TCS-988</v>
          </cell>
          <cell r="H1351" t="str">
            <v>LAS BAMBAS CONC.</v>
          </cell>
          <cell r="I1351">
            <v>226106.6</v>
          </cell>
          <cell r="J1351" t="str">
            <v>REPUESTO</v>
          </cell>
          <cell r="K1351" t="str">
            <v>ACEITE 15W40</v>
          </cell>
          <cell r="L1351">
            <v>10</v>
          </cell>
          <cell r="M1351" t="str">
            <v>GLNS.</v>
          </cell>
          <cell r="N1351" t="str">
            <v>TRACTO</v>
          </cell>
          <cell r="O1351">
            <v>0</v>
          </cell>
          <cell r="P1351" t="str">
            <v>M2</v>
          </cell>
          <cell r="Q1351" t="str">
            <v>J2</v>
          </cell>
          <cell r="R1351" t="str">
            <v>J6</v>
          </cell>
          <cell r="S1351" t="str">
            <v>ENTREGADO</v>
          </cell>
          <cell r="T1351">
            <v>42696</v>
          </cell>
          <cell r="U1351" t="str">
            <v>CHUMPITAZ GAGO JULIO ENRIQUE</v>
          </cell>
          <cell r="V1351" t="str">
            <v>CORIHUAMAN SURCO  ERICK ROBERT</v>
          </cell>
        </row>
        <row r="1352">
          <cell r="A1352">
            <v>1358</v>
          </cell>
          <cell r="B1352">
            <v>42696</v>
          </cell>
          <cell r="C1352" t="str">
            <v>NOVIEMBRE</v>
          </cell>
          <cell r="D1352" t="str">
            <v>2016</v>
          </cell>
          <cell r="E1352">
            <v>398</v>
          </cell>
          <cell r="F1352" t="str">
            <v>C6X-739</v>
          </cell>
          <cell r="G1352" t="str">
            <v>TCS-988</v>
          </cell>
          <cell r="H1352" t="str">
            <v>LAS BAMBAS CONC.</v>
          </cell>
          <cell r="I1352">
            <v>226106.6</v>
          </cell>
          <cell r="J1352" t="str">
            <v>REPUESTO</v>
          </cell>
          <cell r="K1352" t="str">
            <v>LIQUIDO LIMPIAPARABRISAS</v>
          </cell>
          <cell r="L1352">
            <v>1</v>
          </cell>
          <cell r="M1352" t="str">
            <v>GLNS.</v>
          </cell>
          <cell r="N1352" t="str">
            <v>TRACTO</v>
          </cell>
          <cell r="O1352">
            <v>0</v>
          </cell>
          <cell r="P1352" t="str">
            <v>M2</v>
          </cell>
          <cell r="Q1352" t="str">
            <v>J2</v>
          </cell>
          <cell r="R1352" t="str">
            <v>J6</v>
          </cell>
          <cell r="S1352" t="str">
            <v>ENTREGADO</v>
          </cell>
          <cell r="T1352">
            <v>42696</v>
          </cell>
          <cell r="U1352" t="str">
            <v>CHUMPITAZ GAGO JULIO ENRIQUE</v>
          </cell>
          <cell r="V1352" t="str">
            <v>CORIHUAMAN SURCO  ERICK ROBERT</v>
          </cell>
        </row>
        <row r="1353">
          <cell r="A1353">
            <v>1322</v>
          </cell>
          <cell r="B1353">
            <v>42696</v>
          </cell>
          <cell r="C1353" t="str">
            <v>NOVIEMBRE</v>
          </cell>
          <cell r="D1353" t="str">
            <v>2016</v>
          </cell>
          <cell r="E1353">
            <v>377</v>
          </cell>
          <cell r="F1353" t="str">
            <v>C9M-902</v>
          </cell>
          <cell r="G1353" t="str">
            <v>B8L-970</v>
          </cell>
          <cell r="H1353" t="str">
            <v>LAS BAMBAS</v>
          </cell>
          <cell r="I1353">
            <v>208513</v>
          </cell>
          <cell r="J1353" t="str">
            <v>REPUESTO</v>
          </cell>
          <cell r="K1353" t="str">
            <v>TORNAMESA REPARADA</v>
          </cell>
          <cell r="L1353">
            <v>1</v>
          </cell>
          <cell r="M1353" t="str">
            <v>UNID.</v>
          </cell>
          <cell r="N1353" t="str">
            <v>TRACTO</v>
          </cell>
          <cell r="O1353">
            <v>94</v>
          </cell>
          <cell r="P1353" t="str">
            <v>M5</v>
          </cell>
          <cell r="Q1353" t="str">
            <v>J1</v>
          </cell>
          <cell r="R1353" t="str">
            <v>J6</v>
          </cell>
          <cell r="S1353" t="str">
            <v>ENTREGADO</v>
          </cell>
          <cell r="T1353">
            <v>0</v>
          </cell>
          <cell r="U1353" t="str">
            <v>LOPEZ RUIZ WILBERTO</v>
          </cell>
          <cell r="V1353" t="str">
            <v>FLOREZ CONDORI  JOSE WILLIANS</v>
          </cell>
        </row>
        <row r="1354">
          <cell r="A1354">
            <v>1323</v>
          </cell>
          <cell r="B1354">
            <v>42696</v>
          </cell>
          <cell r="C1354" t="str">
            <v>NOVIEMBRE</v>
          </cell>
          <cell r="D1354" t="str">
            <v>2016</v>
          </cell>
          <cell r="E1354">
            <v>377</v>
          </cell>
          <cell r="F1354" t="str">
            <v>C9M-902</v>
          </cell>
          <cell r="G1354" t="str">
            <v>B8L-970</v>
          </cell>
          <cell r="H1354" t="str">
            <v>LAS BAMBAS</v>
          </cell>
          <cell r="I1354">
            <v>208513</v>
          </cell>
          <cell r="J1354" t="str">
            <v>REPUESTO</v>
          </cell>
          <cell r="K1354" t="str">
            <v>BUJES</v>
          </cell>
          <cell r="L1354">
            <v>2</v>
          </cell>
          <cell r="M1354" t="str">
            <v>UNID.</v>
          </cell>
          <cell r="N1354" t="str">
            <v>TRACTO</v>
          </cell>
          <cell r="O1354">
            <v>0</v>
          </cell>
          <cell r="P1354" t="str">
            <v>M5</v>
          </cell>
          <cell r="Q1354" t="str">
            <v>J1</v>
          </cell>
          <cell r="R1354" t="str">
            <v>J6</v>
          </cell>
          <cell r="S1354" t="str">
            <v>ENTREGADO</v>
          </cell>
          <cell r="T1354">
            <v>42696</v>
          </cell>
          <cell r="U1354" t="str">
            <v>LOPEZ RUIZ WILBERTO</v>
          </cell>
          <cell r="V1354" t="str">
            <v>FLOREZ CONDORI  JOSE WILLIANS</v>
          </cell>
        </row>
        <row r="1355">
          <cell r="A1355">
            <v>1324</v>
          </cell>
          <cell r="B1355">
            <v>42696</v>
          </cell>
          <cell r="C1355" t="str">
            <v>NOVIEMBRE</v>
          </cell>
          <cell r="D1355" t="str">
            <v>2016</v>
          </cell>
          <cell r="E1355">
            <v>377</v>
          </cell>
          <cell r="F1355" t="str">
            <v>C9M-902</v>
          </cell>
          <cell r="G1355" t="str">
            <v>B8L-970</v>
          </cell>
          <cell r="H1355" t="str">
            <v>LAS BAMBAS</v>
          </cell>
          <cell r="I1355">
            <v>208513</v>
          </cell>
          <cell r="J1355" t="str">
            <v>REPUESTO</v>
          </cell>
          <cell r="K1355" t="str">
            <v>PINES</v>
          </cell>
          <cell r="L1355">
            <v>2</v>
          </cell>
          <cell r="M1355" t="str">
            <v>UNID.</v>
          </cell>
          <cell r="N1355" t="str">
            <v>TRACTO</v>
          </cell>
          <cell r="O1355">
            <v>0</v>
          </cell>
          <cell r="P1355" t="str">
            <v>M5</v>
          </cell>
          <cell r="Q1355" t="str">
            <v>J1</v>
          </cell>
          <cell r="R1355" t="str">
            <v>J6</v>
          </cell>
          <cell r="S1355" t="str">
            <v>ENTREGADO</v>
          </cell>
          <cell r="T1355">
            <v>42696</v>
          </cell>
          <cell r="U1355" t="str">
            <v>LOPEZ RUIZ WILBERTO</v>
          </cell>
          <cell r="V1355" t="str">
            <v>FLOREZ CONDORI  JOSE WILLIANS</v>
          </cell>
        </row>
        <row r="1356">
          <cell r="A1356">
            <v>1375</v>
          </cell>
          <cell r="B1356">
            <v>42696</v>
          </cell>
          <cell r="C1356" t="str">
            <v>NOVIEMBRE</v>
          </cell>
          <cell r="D1356" t="str">
            <v>2016</v>
          </cell>
          <cell r="E1356">
            <v>377</v>
          </cell>
          <cell r="F1356" t="str">
            <v>C9M-902</v>
          </cell>
          <cell r="G1356" t="str">
            <v>B8L-970</v>
          </cell>
          <cell r="H1356" t="str">
            <v>LAS BAMBAS</v>
          </cell>
          <cell r="I1356">
            <v>208513</v>
          </cell>
          <cell r="J1356" t="str">
            <v>REPUESTO</v>
          </cell>
          <cell r="K1356" t="str">
            <v>VARILLAS DE CITOFONTE 1/8</v>
          </cell>
          <cell r="L1356">
            <v>20</v>
          </cell>
          <cell r="M1356" t="str">
            <v>UNID.</v>
          </cell>
          <cell r="N1356" t="str">
            <v>TRACTO</v>
          </cell>
          <cell r="O1356">
            <v>94</v>
          </cell>
          <cell r="P1356" t="str">
            <v>S3</v>
          </cell>
          <cell r="Q1356" t="str">
            <v>J2</v>
          </cell>
          <cell r="R1356" t="str">
            <v>J6</v>
          </cell>
          <cell r="S1356" t="str">
            <v>ENTREGADO</v>
          </cell>
          <cell r="T1356">
            <v>0</v>
          </cell>
          <cell r="U1356" t="str">
            <v>JIMENEZ MACHACA JAVIER</v>
          </cell>
          <cell r="V1356" t="str">
            <v>CORIHUAMAN SURCO  ERICK ROBERT</v>
          </cell>
        </row>
        <row r="1357">
          <cell r="A1357">
            <v>1338</v>
          </cell>
          <cell r="B1357">
            <v>42696</v>
          </cell>
          <cell r="C1357" t="str">
            <v>NOVIEMBRE</v>
          </cell>
          <cell r="D1357" t="str">
            <v>2016</v>
          </cell>
          <cell r="E1357">
            <v>380</v>
          </cell>
          <cell r="F1357" t="str">
            <v>C9N-807</v>
          </cell>
          <cell r="G1357" t="str">
            <v>B4O-994</v>
          </cell>
          <cell r="H1357" t="str">
            <v>LAS BAMBAS</v>
          </cell>
          <cell r="I1357">
            <v>208922</v>
          </cell>
          <cell r="J1357" t="str">
            <v>REPUESTO</v>
          </cell>
          <cell r="K1357" t="str">
            <v>PRESINTOS 200</v>
          </cell>
          <cell r="L1357">
            <v>20</v>
          </cell>
          <cell r="M1357" t="str">
            <v>UNID.</v>
          </cell>
          <cell r="N1357" t="str">
            <v>CISTERNA</v>
          </cell>
          <cell r="O1357">
            <v>0</v>
          </cell>
          <cell r="P1357" t="str">
            <v>E2</v>
          </cell>
          <cell r="Q1357" t="str">
            <v>J1</v>
          </cell>
          <cell r="R1357" t="str">
            <v>J6</v>
          </cell>
          <cell r="S1357" t="str">
            <v>ENTREGADO</v>
          </cell>
          <cell r="T1357">
            <v>42696</v>
          </cell>
          <cell r="U1357" t="str">
            <v>YUCA BELLIDO BORIS YERSY</v>
          </cell>
          <cell r="V1357" t="str">
            <v>FLOREZ CONDORI  JOSE WILLIANS</v>
          </cell>
        </row>
        <row r="1358">
          <cell r="A1358">
            <v>1339</v>
          </cell>
          <cell r="B1358">
            <v>42696</v>
          </cell>
          <cell r="C1358" t="str">
            <v>NOVIEMBRE</v>
          </cell>
          <cell r="D1358" t="str">
            <v>2016</v>
          </cell>
          <cell r="E1358">
            <v>380</v>
          </cell>
          <cell r="F1358" t="str">
            <v>C9N-807</v>
          </cell>
          <cell r="G1358" t="str">
            <v>B4O-994</v>
          </cell>
          <cell r="H1358" t="str">
            <v>LAS BAMBAS</v>
          </cell>
          <cell r="I1358">
            <v>208922</v>
          </cell>
          <cell r="J1358" t="str">
            <v>REPUESTO</v>
          </cell>
          <cell r="K1358" t="str">
            <v>MINIFUSIBLES DE 10 AMP.</v>
          </cell>
          <cell r="L1358">
            <v>5</v>
          </cell>
          <cell r="M1358" t="str">
            <v>UNID.</v>
          </cell>
          <cell r="N1358" t="str">
            <v>TRACTO</v>
          </cell>
          <cell r="O1358">
            <v>0</v>
          </cell>
          <cell r="P1358" t="str">
            <v>E2</v>
          </cell>
          <cell r="Q1358" t="str">
            <v>J1</v>
          </cell>
          <cell r="R1358" t="str">
            <v>J6</v>
          </cell>
          <cell r="S1358" t="str">
            <v>ENTREGADO</v>
          </cell>
          <cell r="T1358">
            <v>42696</v>
          </cell>
          <cell r="U1358" t="str">
            <v>YUCA BELLIDO BORIS YERSY</v>
          </cell>
          <cell r="V1358" t="str">
            <v>FLOREZ CONDORI  JOSE WILLIANS</v>
          </cell>
        </row>
        <row r="1359">
          <cell r="A1359">
            <v>1294</v>
          </cell>
          <cell r="B1359">
            <v>42696</v>
          </cell>
          <cell r="C1359" t="str">
            <v>NOVIEMBRE</v>
          </cell>
          <cell r="D1359" t="str">
            <v>2016</v>
          </cell>
          <cell r="E1359">
            <v>380</v>
          </cell>
          <cell r="F1359" t="str">
            <v>C9N-807</v>
          </cell>
          <cell r="G1359" t="str">
            <v>B4O-994</v>
          </cell>
          <cell r="H1359" t="str">
            <v>LAS BAMBAS</v>
          </cell>
          <cell r="I1359">
            <v>208922</v>
          </cell>
          <cell r="J1359" t="str">
            <v>REPUESTO</v>
          </cell>
          <cell r="K1359" t="str">
            <v>LLANTA REENCAUCHADA MIXTA</v>
          </cell>
          <cell r="L1359">
            <v>1</v>
          </cell>
          <cell r="M1359" t="str">
            <v>UNID.</v>
          </cell>
          <cell r="N1359" t="str">
            <v>CISTERNA</v>
          </cell>
          <cell r="O1359">
            <v>0</v>
          </cell>
          <cell r="P1359" t="str">
            <v>N2</v>
          </cell>
          <cell r="Q1359" t="str">
            <v>J3</v>
          </cell>
          <cell r="R1359" t="str">
            <v>J6</v>
          </cell>
          <cell r="S1359" t="str">
            <v>ENTREGADO</v>
          </cell>
          <cell r="T1359">
            <v>42696</v>
          </cell>
          <cell r="U1359" t="str">
            <v>MAMANI LARICO  EDUARDO ALVARO</v>
          </cell>
          <cell r="V1359" t="str">
            <v>CHURA PIZARRO ALBERTO</v>
          </cell>
        </row>
        <row r="1360">
          <cell r="A1360">
            <v>1352</v>
          </cell>
          <cell r="B1360">
            <v>42696</v>
          </cell>
          <cell r="C1360" t="str">
            <v>NOVIEMBRE</v>
          </cell>
          <cell r="D1360" t="str">
            <v>2016</v>
          </cell>
          <cell r="E1360">
            <v>361</v>
          </cell>
          <cell r="F1360" t="str">
            <v>D3N-721</v>
          </cell>
          <cell r="G1360" t="str">
            <v>C4S-979</v>
          </cell>
          <cell r="H1360" t="str">
            <v>LAS BAMBAS</v>
          </cell>
          <cell r="I1360">
            <v>132860</v>
          </cell>
          <cell r="J1360" t="str">
            <v>REPUESTO</v>
          </cell>
          <cell r="K1360" t="str">
            <v>FOCO PIRATA</v>
          </cell>
          <cell r="L1360">
            <v>1</v>
          </cell>
          <cell r="M1360" t="str">
            <v>UNID.</v>
          </cell>
          <cell r="N1360" t="str">
            <v>CISTERNA</v>
          </cell>
          <cell r="O1360">
            <v>0</v>
          </cell>
          <cell r="P1360" t="str">
            <v>E1</v>
          </cell>
          <cell r="Q1360" t="str">
            <v>J1</v>
          </cell>
          <cell r="R1360" t="str">
            <v>J6</v>
          </cell>
          <cell r="S1360" t="str">
            <v>ENTREGADO</v>
          </cell>
          <cell r="T1360">
            <v>42696</v>
          </cell>
          <cell r="U1360" t="str">
            <v>PALOMINO CARDENAS JUAN CARLOS</v>
          </cell>
          <cell r="V1360" t="str">
            <v>FLOREZ CONDORI  JOSE WILLIANS</v>
          </cell>
        </row>
        <row r="1361">
          <cell r="A1361">
            <v>1365</v>
          </cell>
          <cell r="B1361">
            <v>42696</v>
          </cell>
          <cell r="C1361" t="str">
            <v>NOVIEMBRE</v>
          </cell>
          <cell r="D1361" t="str">
            <v>2016</v>
          </cell>
          <cell r="E1361">
            <v>361</v>
          </cell>
          <cell r="F1361" t="str">
            <v>D3N-721</v>
          </cell>
          <cell r="G1361" t="str">
            <v>C4S-979</v>
          </cell>
          <cell r="H1361" t="str">
            <v>LAS BAMBAS</v>
          </cell>
          <cell r="I1361">
            <v>132860</v>
          </cell>
          <cell r="J1361" t="str">
            <v>REPUESTO</v>
          </cell>
          <cell r="K1361" t="str">
            <v>FARO PIRATA</v>
          </cell>
          <cell r="L1361">
            <v>1</v>
          </cell>
          <cell r="M1361" t="str">
            <v>UNID.</v>
          </cell>
          <cell r="N1361" t="str">
            <v>CISTERNA</v>
          </cell>
          <cell r="O1361">
            <v>0</v>
          </cell>
          <cell r="P1361" t="str">
            <v>E2</v>
          </cell>
          <cell r="Q1361" t="str">
            <v>J1</v>
          </cell>
          <cell r="R1361" t="str">
            <v>J6</v>
          </cell>
          <cell r="S1361" t="str">
            <v>ENTREGADO</v>
          </cell>
          <cell r="T1361">
            <v>42696</v>
          </cell>
          <cell r="U1361" t="str">
            <v>YUCA BELLIDO BORIS YERSY</v>
          </cell>
          <cell r="V1361" t="str">
            <v>FLOREZ CONDORI  JOSE WILLIANS</v>
          </cell>
        </row>
        <row r="1362">
          <cell r="A1362">
            <v>1335</v>
          </cell>
          <cell r="B1362">
            <v>42696</v>
          </cell>
          <cell r="C1362" t="str">
            <v>NOVIEMBRE</v>
          </cell>
          <cell r="D1362" t="str">
            <v>2016</v>
          </cell>
          <cell r="E1362">
            <v>385</v>
          </cell>
          <cell r="F1362" t="str">
            <v>D3O-745</v>
          </cell>
          <cell r="G1362" t="str">
            <v>F3L-979</v>
          </cell>
          <cell r="H1362" t="str">
            <v>LAS BAMBAS</v>
          </cell>
          <cell r="I1362">
            <v>156638</v>
          </cell>
          <cell r="J1362" t="str">
            <v>REPUESTO</v>
          </cell>
          <cell r="K1362" t="str">
            <v>ESPEJO RETROVISOR GRANDE LADO IZQUIERDO</v>
          </cell>
          <cell r="L1362">
            <v>1</v>
          </cell>
          <cell r="M1362" t="str">
            <v>UNID.</v>
          </cell>
          <cell r="N1362" t="str">
            <v>TRACTO</v>
          </cell>
          <cell r="O1362">
            <v>0</v>
          </cell>
          <cell r="P1362" t="str">
            <v>M2</v>
          </cell>
          <cell r="Q1362" t="str">
            <v>J1</v>
          </cell>
          <cell r="R1362" t="str">
            <v>J6</v>
          </cell>
          <cell r="S1362" t="str">
            <v>ENTREGADO</v>
          </cell>
          <cell r="T1362">
            <v>42696</v>
          </cell>
          <cell r="U1362" t="str">
            <v>CHUMPITAZ GAGO JULIO ENRIQUE</v>
          </cell>
          <cell r="V1362" t="str">
            <v>FLOREZ CONDORI  JOSE WILLIANS</v>
          </cell>
        </row>
        <row r="1363">
          <cell r="A1363">
            <v>1359</v>
          </cell>
          <cell r="B1363">
            <v>42696</v>
          </cell>
          <cell r="C1363" t="str">
            <v>NOVIEMBRE</v>
          </cell>
          <cell r="D1363" t="str">
            <v>2016</v>
          </cell>
          <cell r="E1363">
            <v>385</v>
          </cell>
          <cell r="F1363" t="str">
            <v>D3O-745</v>
          </cell>
          <cell r="G1363" t="str">
            <v>F3L-979</v>
          </cell>
          <cell r="H1363" t="str">
            <v>LAS BAMBAS</v>
          </cell>
          <cell r="I1363">
            <v>156638</v>
          </cell>
          <cell r="J1363" t="str">
            <v>REPUESTO</v>
          </cell>
          <cell r="K1363" t="str">
            <v xml:space="preserve">REMACHES </v>
          </cell>
          <cell r="L1363">
            <v>150</v>
          </cell>
          <cell r="M1363" t="str">
            <v>UNID.</v>
          </cell>
          <cell r="N1363" t="str">
            <v>CISTERNA</v>
          </cell>
          <cell r="O1363">
            <v>0</v>
          </cell>
          <cell r="P1363" t="str">
            <v>M1</v>
          </cell>
          <cell r="Q1363" t="str">
            <v>J1</v>
          </cell>
          <cell r="R1363" t="str">
            <v>J6</v>
          </cell>
          <cell r="S1363" t="str">
            <v>ENTREGADO</v>
          </cell>
          <cell r="T1363">
            <v>42696</v>
          </cell>
          <cell r="U1363" t="str">
            <v>CABEZAS SANCHEZ JEAN JHONATAN</v>
          </cell>
          <cell r="V1363" t="str">
            <v>FLOREZ CONDORI  JOSE WILLIANS</v>
          </cell>
        </row>
        <row r="1364">
          <cell r="A1364">
            <v>1360</v>
          </cell>
          <cell r="B1364">
            <v>42696</v>
          </cell>
          <cell r="C1364" t="str">
            <v>NOVIEMBRE</v>
          </cell>
          <cell r="D1364" t="str">
            <v>2016</v>
          </cell>
          <cell r="E1364">
            <v>385</v>
          </cell>
          <cell r="F1364" t="str">
            <v>D3O-745</v>
          </cell>
          <cell r="G1364" t="str">
            <v>F3L-979</v>
          </cell>
          <cell r="H1364" t="str">
            <v>LAS BAMBAS</v>
          </cell>
          <cell r="I1364">
            <v>156638</v>
          </cell>
          <cell r="J1364" t="str">
            <v>REPUESTO</v>
          </cell>
          <cell r="K1364" t="str">
            <v>ZAPATAS</v>
          </cell>
          <cell r="L1364">
            <v>1</v>
          </cell>
          <cell r="M1364" t="str">
            <v>JUEGO</v>
          </cell>
          <cell r="N1364" t="str">
            <v>CISTERNA</v>
          </cell>
          <cell r="O1364">
            <v>0</v>
          </cell>
          <cell r="P1364" t="str">
            <v>M1</v>
          </cell>
          <cell r="Q1364" t="str">
            <v>J1</v>
          </cell>
          <cell r="R1364" t="str">
            <v>J6</v>
          </cell>
          <cell r="S1364" t="str">
            <v>ENTREGADO</v>
          </cell>
          <cell r="T1364">
            <v>42696</v>
          </cell>
          <cell r="U1364" t="str">
            <v>CABEZAS SANCHEZ JEAN JHONATAN</v>
          </cell>
          <cell r="V1364" t="str">
            <v>FLOREZ CONDORI  JOSE WILLIANS</v>
          </cell>
        </row>
        <row r="1365">
          <cell r="A1365">
            <v>1361</v>
          </cell>
          <cell r="B1365">
            <v>42696</v>
          </cell>
          <cell r="C1365" t="str">
            <v>NOVIEMBRE</v>
          </cell>
          <cell r="D1365" t="str">
            <v>2016</v>
          </cell>
          <cell r="E1365">
            <v>385</v>
          </cell>
          <cell r="F1365" t="str">
            <v>D3O-745</v>
          </cell>
          <cell r="G1365" t="str">
            <v>F3L-979</v>
          </cell>
          <cell r="H1365" t="str">
            <v>LAS BAMBAS</v>
          </cell>
          <cell r="I1365">
            <v>156638</v>
          </cell>
          <cell r="J1365" t="str">
            <v>REPUESTO</v>
          </cell>
          <cell r="K1365" t="str">
            <v>RESORTES GRANDES PARA ZAPATAS</v>
          </cell>
          <cell r="L1365">
            <v>2</v>
          </cell>
          <cell r="M1365" t="str">
            <v>UNID.</v>
          </cell>
          <cell r="N1365" t="str">
            <v>CISTERNA</v>
          </cell>
          <cell r="O1365">
            <v>0</v>
          </cell>
          <cell r="P1365" t="str">
            <v>M1</v>
          </cell>
          <cell r="Q1365" t="str">
            <v>J1</v>
          </cell>
          <cell r="R1365" t="str">
            <v>J6</v>
          </cell>
          <cell r="S1365" t="str">
            <v>ENTREGADO</v>
          </cell>
          <cell r="T1365">
            <v>42696</v>
          </cell>
          <cell r="U1365" t="str">
            <v>CABEZAS SANCHEZ JEAN JHONATAN</v>
          </cell>
          <cell r="V1365" t="str">
            <v>FLOREZ CONDORI  JOSE WILLIANS</v>
          </cell>
        </row>
        <row r="1366">
          <cell r="A1366">
            <v>1362</v>
          </cell>
          <cell r="B1366">
            <v>42696</v>
          </cell>
          <cell r="C1366" t="str">
            <v>NOVIEMBRE</v>
          </cell>
          <cell r="D1366" t="str">
            <v>2016</v>
          </cell>
          <cell r="E1366">
            <v>385</v>
          </cell>
          <cell r="F1366" t="str">
            <v>D3O-745</v>
          </cell>
          <cell r="G1366" t="str">
            <v>F3L-979</v>
          </cell>
          <cell r="H1366" t="str">
            <v>LAS BAMBAS</v>
          </cell>
          <cell r="I1366">
            <v>156638</v>
          </cell>
          <cell r="J1366" t="str">
            <v>REPUESTO</v>
          </cell>
          <cell r="K1366" t="str">
            <v>RESORTES PEQUEÑOS PARA ZAPATAS</v>
          </cell>
          <cell r="L1366">
            <v>4</v>
          </cell>
          <cell r="M1366" t="str">
            <v>UNID.</v>
          </cell>
          <cell r="N1366" t="str">
            <v>CISTERNA</v>
          </cell>
          <cell r="O1366">
            <v>0</v>
          </cell>
          <cell r="P1366" t="str">
            <v>M1</v>
          </cell>
          <cell r="Q1366" t="str">
            <v>J1</v>
          </cell>
          <cell r="R1366" t="str">
            <v>J6</v>
          </cell>
          <cell r="S1366" t="str">
            <v>ENTREGADO</v>
          </cell>
          <cell r="T1366">
            <v>42696</v>
          </cell>
          <cell r="U1366" t="str">
            <v>CABEZAS SANCHEZ JEAN JHONATAN</v>
          </cell>
          <cell r="V1366" t="str">
            <v>FLOREZ CONDORI  JOSE WILLIANS</v>
          </cell>
        </row>
        <row r="1367">
          <cell r="A1367">
            <v>1314</v>
          </cell>
          <cell r="B1367">
            <v>42696</v>
          </cell>
          <cell r="C1367" t="str">
            <v>NOVIEMBRE</v>
          </cell>
          <cell r="D1367" t="str">
            <v>2016</v>
          </cell>
          <cell r="E1367">
            <v>390</v>
          </cell>
          <cell r="F1367" t="str">
            <v>D3P-744</v>
          </cell>
          <cell r="G1367" t="str">
            <v>A0F-996</v>
          </cell>
          <cell r="H1367" t="str">
            <v>LAS BAMBAS</v>
          </cell>
          <cell r="I1367">
            <v>153106</v>
          </cell>
          <cell r="J1367" t="str">
            <v>REPUESTO</v>
          </cell>
          <cell r="K1367" t="str">
            <v>PRESINTO 300</v>
          </cell>
          <cell r="L1367">
            <v>20</v>
          </cell>
          <cell r="M1367" t="str">
            <v>UNID.</v>
          </cell>
          <cell r="N1367" t="str">
            <v>TRACTO</v>
          </cell>
          <cell r="O1367">
            <v>0</v>
          </cell>
          <cell r="P1367" t="str">
            <v>E1</v>
          </cell>
          <cell r="Q1367" t="str">
            <v>J1</v>
          </cell>
          <cell r="R1367" t="str">
            <v>J6</v>
          </cell>
          <cell r="S1367" t="str">
            <v>ENTREGADO</v>
          </cell>
          <cell r="T1367">
            <v>42696</v>
          </cell>
          <cell r="U1367" t="str">
            <v>PALOMINO CARDENAS JUAN CARLOS</v>
          </cell>
          <cell r="V1367" t="str">
            <v>FLOREZ CONDORI  JOSE WILLIANS</v>
          </cell>
        </row>
        <row r="1368">
          <cell r="A1368">
            <v>1345</v>
          </cell>
          <cell r="B1368">
            <v>42696</v>
          </cell>
          <cell r="C1368" t="str">
            <v>NOVIEMBRE</v>
          </cell>
          <cell r="D1368" t="str">
            <v>2016</v>
          </cell>
          <cell r="E1368">
            <v>390</v>
          </cell>
          <cell r="F1368" t="str">
            <v>D3P-744</v>
          </cell>
          <cell r="G1368" t="str">
            <v>A0F-996</v>
          </cell>
          <cell r="H1368" t="str">
            <v>LAS BAMBAS</v>
          </cell>
          <cell r="I1368">
            <v>153106</v>
          </cell>
          <cell r="J1368" t="str">
            <v>REPUESTO</v>
          </cell>
          <cell r="K1368" t="str">
            <v>VALVULA DE PASE DE COMBUSTIBLE IZQUIERDO</v>
          </cell>
          <cell r="L1368">
            <v>1</v>
          </cell>
          <cell r="M1368" t="str">
            <v>UNID.</v>
          </cell>
          <cell r="N1368" t="str">
            <v>TRACTO</v>
          </cell>
          <cell r="O1368">
            <v>94</v>
          </cell>
          <cell r="P1368" t="str">
            <v>M4</v>
          </cell>
          <cell r="Q1368" t="str">
            <v>J1</v>
          </cell>
          <cell r="R1368" t="str">
            <v>J6</v>
          </cell>
          <cell r="S1368" t="str">
            <v>ENTREGADO</v>
          </cell>
          <cell r="T1368">
            <v>0</v>
          </cell>
          <cell r="U1368" t="str">
            <v>JULLIRI APAZA UBALDO</v>
          </cell>
          <cell r="V1368" t="str">
            <v>FLOREZ CONDORI  JOSE WILLIANS</v>
          </cell>
        </row>
        <row r="1369">
          <cell r="A1369">
            <v>1346</v>
          </cell>
          <cell r="B1369">
            <v>42696</v>
          </cell>
          <cell r="C1369" t="str">
            <v>NOVIEMBRE</v>
          </cell>
          <cell r="D1369" t="str">
            <v>2016</v>
          </cell>
          <cell r="E1369">
            <v>390</v>
          </cell>
          <cell r="F1369" t="str">
            <v>D3P-744</v>
          </cell>
          <cell r="G1369" t="str">
            <v>A0F-996</v>
          </cell>
          <cell r="H1369" t="str">
            <v>LAS BAMBAS</v>
          </cell>
          <cell r="I1369">
            <v>153106</v>
          </cell>
          <cell r="J1369" t="str">
            <v>REPUESTO</v>
          </cell>
          <cell r="K1369" t="str">
            <v>VALVULA DE PASE DE COMBUSTIBLE DERECHO</v>
          </cell>
          <cell r="L1369">
            <v>1</v>
          </cell>
          <cell r="M1369" t="str">
            <v>UNID.</v>
          </cell>
          <cell r="N1369" t="str">
            <v>TRACTO</v>
          </cell>
          <cell r="O1369">
            <v>94</v>
          </cell>
          <cell r="P1369" t="str">
            <v>M4</v>
          </cell>
          <cell r="Q1369" t="str">
            <v>J1</v>
          </cell>
          <cell r="R1369" t="str">
            <v>J6</v>
          </cell>
          <cell r="S1369" t="str">
            <v>ENTREGADO</v>
          </cell>
          <cell r="T1369">
            <v>0</v>
          </cell>
          <cell r="U1369" t="str">
            <v>JULLIRI APAZA UBALDO</v>
          </cell>
          <cell r="V1369" t="str">
            <v>FLOREZ CONDORI  JOSE WILLIANS</v>
          </cell>
        </row>
        <row r="1370">
          <cell r="A1370">
            <v>1353</v>
          </cell>
          <cell r="B1370">
            <v>42696</v>
          </cell>
          <cell r="C1370" t="str">
            <v>NOVIEMBRE</v>
          </cell>
          <cell r="D1370" t="str">
            <v>2016</v>
          </cell>
          <cell r="E1370">
            <v>390</v>
          </cell>
          <cell r="F1370" t="str">
            <v>D3P-744</v>
          </cell>
          <cell r="G1370" t="str">
            <v>A0F-996</v>
          </cell>
          <cell r="H1370" t="str">
            <v>LAS BAMBAS</v>
          </cell>
          <cell r="I1370">
            <v>153106</v>
          </cell>
          <cell r="J1370" t="str">
            <v>SERVICIO</v>
          </cell>
          <cell r="K1370" t="str">
            <v>REPARACION  DETAPABARRO  DE FARO LADO IZQUIERDO</v>
          </cell>
          <cell r="L1370">
            <v>1</v>
          </cell>
          <cell r="M1370" t="str">
            <v>UNID.</v>
          </cell>
          <cell r="N1370" t="str">
            <v>TRACTO</v>
          </cell>
          <cell r="O1370">
            <v>0</v>
          </cell>
          <cell r="P1370" t="str">
            <v>M4</v>
          </cell>
          <cell r="Q1370" t="str">
            <v>J1</v>
          </cell>
          <cell r="R1370" t="str">
            <v>J6</v>
          </cell>
          <cell r="S1370" t="str">
            <v>ENTREGADO</v>
          </cell>
          <cell r="T1370">
            <v>42696</v>
          </cell>
          <cell r="U1370" t="str">
            <v>JULLIRI APAZA UBALDO</v>
          </cell>
          <cell r="V1370" t="str">
            <v>FLOREZ CONDORI  JOSE WILLIANS</v>
          </cell>
        </row>
        <row r="1371">
          <cell r="A1371">
            <v>1354</v>
          </cell>
          <cell r="B1371">
            <v>42696</v>
          </cell>
          <cell r="C1371" t="str">
            <v>NOVIEMBRE</v>
          </cell>
          <cell r="D1371" t="str">
            <v>2016</v>
          </cell>
          <cell r="E1371">
            <v>390</v>
          </cell>
          <cell r="F1371" t="str">
            <v>D3P-744</v>
          </cell>
          <cell r="G1371" t="str">
            <v>A0F-996</v>
          </cell>
          <cell r="H1371" t="str">
            <v>LAS BAMBAS</v>
          </cell>
          <cell r="I1371">
            <v>153106</v>
          </cell>
          <cell r="J1371" t="str">
            <v>REPUESTO</v>
          </cell>
          <cell r="K1371" t="str">
            <v>ORING 1 X 3/16</v>
          </cell>
          <cell r="L1371">
            <v>1</v>
          </cell>
          <cell r="M1371" t="str">
            <v>UNID.</v>
          </cell>
          <cell r="N1371" t="str">
            <v>TRACTO</v>
          </cell>
          <cell r="O1371">
            <v>0</v>
          </cell>
          <cell r="P1371" t="str">
            <v>M4</v>
          </cell>
          <cell r="Q1371" t="str">
            <v>J1</v>
          </cell>
          <cell r="R1371" t="str">
            <v>J6</v>
          </cell>
          <cell r="S1371" t="str">
            <v>ENTREGADO</v>
          </cell>
          <cell r="T1371">
            <v>42696</v>
          </cell>
          <cell r="U1371" t="str">
            <v>JULLIRI APAZA UBALDO</v>
          </cell>
          <cell r="V1371" t="str">
            <v>FLOREZ CONDORI  JOSE WILLIANS</v>
          </cell>
        </row>
        <row r="1372">
          <cell r="A1372">
            <v>1313</v>
          </cell>
          <cell r="B1372">
            <v>42696</v>
          </cell>
          <cell r="C1372" t="str">
            <v>NOVIEMBRE</v>
          </cell>
          <cell r="D1372" t="str">
            <v>2016</v>
          </cell>
          <cell r="E1372">
            <v>390</v>
          </cell>
          <cell r="F1372" t="str">
            <v>D3P-744</v>
          </cell>
          <cell r="G1372" t="str">
            <v>A0F-996</v>
          </cell>
          <cell r="H1372" t="str">
            <v>LAS BAMBAS</v>
          </cell>
          <cell r="I1372">
            <v>153106</v>
          </cell>
          <cell r="J1372" t="str">
            <v>REPUESTO</v>
          </cell>
          <cell r="K1372" t="str">
            <v>LLANTAS REENCAUCHADAS</v>
          </cell>
          <cell r="L1372">
            <v>4</v>
          </cell>
          <cell r="M1372" t="str">
            <v>UNID.</v>
          </cell>
          <cell r="N1372" t="str">
            <v>TRACTO</v>
          </cell>
          <cell r="O1372">
            <v>0</v>
          </cell>
          <cell r="P1372" t="str">
            <v>N2</v>
          </cell>
          <cell r="Q1372" t="str">
            <v>J3</v>
          </cell>
          <cell r="R1372" t="str">
            <v>J6</v>
          </cell>
          <cell r="S1372" t="str">
            <v>ENTREGADO</v>
          </cell>
          <cell r="T1372">
            <v>42696</v>
          </cell>
          <cell r="U1372" t="str">
            <v>MAMANI LARICO  EDUARDO ALVARO</v>
          </cell>
          <cell r="V1372" t="str">
            <v>CHURA PIZARRO ALBERTO</v>
          </cell>
        </row>
        <row r="1373">
          <cell r="A1373">
            <v>1304</v>
          </cell>
          <cell r="B1373">
            <v>42696</v>
          </cell>
          <cell r="C1373" t="str">
            <v>NOVIEMBRE</v>
          </cell>
          <cell r="D1373" t="str">
            <v>2016</v>
          </cell>
          <cell r="E1373">
            <v>391</v>
          </cell>
          <cell r="F1373" t="str">
            <v>D3Q-741</v>
          </cell>
          <cell r="G1373" t="str">
            <v>D2E-976</v>
          </cell>
          <cell r="H1373" t="str">
            <v>LAS BAMBAS</v>
          </cell>
          <cell r="I1373">
            <v>162515</v>
          </cell>
          <cell r="J1373" t="str">
            <v>REPUESTO</v>
          </cell>
          <cell r="K1373" t="str">
            <v>FILTRO DE AIRE PRIMARIO</v>
          </cell>
          <cell r="L1373">
            <v>1</v>
          </cell>
          <cell r="M1373" t="str">
            <v>UNID.</v>
          </cell>
          <cell r="N1373" t="str">
            <v>TRACTO</v>
          </cell>
          <cell r="O1373">
            <v>0</v>
          </cell>
          <cell r="P1373" t="str">
            <v>M6</v>
          </cell>
          <cell r="Q1373" t="str">
            <v>J2</v>
          </cell>
          <cell r="R1373" t="str">
            <v>J6</v>
          </cell>
          <cell r="S1373" t="str">
            <v>ENTREGADO</v>
          </cell>
          <cell r="T1373">
            <v>42696</v>
          </cell>
          <cell r="U1373" t="str">
            <v>PARI VENTURA  EDSON ORLANDO</v>
          </cell>
          <cell r="V1373" t="str">
            <v>CORIHUAMAN SURCO  ERICK ROBERT</v>
          </cell>
        </row>
        <row r="1374">
          <cell r="A1374">
            <v>1305</v>
          </cell>
          <cell r="B1374">
            <v>42696</v>
          </cell>
          <cell r="C1374" t="str">
            <v>NOVIEMBRE</v>
          </cell>
          <cell r="D1374" t="str">
            <v>2016</v>
          </cell>
          <cell r="E1374">
            <v>391</v>
          </cell>
          <cell r="F1374" t="str">
            <v>D3Q-741</v>
          </cell>
          <cell r="G1374" t="str">
            <v>D2E-976</v>
          </cell>
          <cell r="H1374" t="str">
            <v>LAS BAMBAS</v>
          </cell>
          <cell r="I1374">
            <v>162515</v>
          </cell>
          <cell r="J1374" t="str">
            <v>REPUESTO</v>
          </cell>
          <cell r="K1374" t="str">
            <v>FILTRO DE ACEITE</v>
          </cell>
          <cell r="L1374">
            <v>2</v>
          </cell>
          <cell r="M1374" t="str">
            <v>UNID.</v>
          </cell>
          <cell r="N1374" t="str">
            <v>TRACTO</v>
          </cell>
          <cell r="O1374">
            <v>0</v>
          </cell>
          <cell r="P1374" t="str">
            <v>M6</v>
          </cell>
          <cell r="Q1374" t="str">
            <v>J2</v>
          </cell>
          <cell r="R1374" t="str">
            <v>J6</v>
          </cell>
          <cell r="S1374" t="str">
            <v>ENTREGADO</v>
          </cell>
          <cell r="T1374">
            <v>42696</v>
          </cell>
          <cell r="U1374" t="str">
            <v>PARI VENTURA  EDSON ORLANDO</v>
          </cell>
          <cell r="V1374" t="str">
            <v>CORIHUAMAN SURCO  ERICK ROBERT</v>
          </cell>
        </row>
        <row r="1375">
          <cell r="A1375">
            <v>1306</v>
          </cell>
          <cell r="B1375">
            <v>42696</v>
          </cell>
          <cell r="C1375" t="str">
            <v>NOVIEMBRE</v>
          </cell>
          <cell r="D1375" t="str">
            <v>2016</v>
          </cell>
          <cell r="E1375">
            <v>391</v>
          </cell>
          <cell r="F1375" t="str">
            <v>D3Q-741</v>
          </cell>
          <cell r="G1375" t="str">
            <v>D2E-976</v>
          </cell>
          <cell r="H1375" t="str">
            <v>LAS BAMBAS</v>
          </cell>
          <cell r="I1375">
            <v>162515</v>
          </cell>
          <cell r="J1375" t="str">
            <v>REPUESTO</v>
          </cell>
          <cell r="K1375" t="str">
            <v>FILTRO DE COMBUSTIBLE</v>
          </cell>
          <cell r="L1375">
            <v>2</v>
          </cell>
          <cell r="M1375" t="str">
            <v>UNID.</v>
          </cell>
          <cell r="N1375" t="str">
            <v>TRACTO</v>
          </cell>
          <cell r="O1375">
            <v>0</v>
          </cell>
          <cell r="P1375" t="str">
            <v>M6</v>
          </cell>
          <cell r="Q1375" t="str">
            <v>J2</v>
          </cell>
          <cell r="R1375" t="str">
            <v>J6</v>
          </cell>
          <cell r="S1375" t="str">
            <v>ENTREGADO</v>
          </cell>
          <cell r="T1375">
            <v>42696</v>
          </cell>
          <cell r="U1375" t="str">
            <v>PARI VENTURA  EDSON ORLANDO</v>
          </cell>
          <cell r="V1375" t="str">
            <v>CORIHUAMAN SURCO  ERICK ROBERT</v>
          </cell>
        </row>
        <row r="1376">
          <cell r="A1376">
            <v>1307</v>
          </cell>
          <cell r="B1376">
            <v>42696</v>
          </cell>
          <cell r="C1376" t="str">
            <v>NOVIEMBRE</v>
          </cell>
          <cell r="D1376" t="str">
            <v>2016</v>
          </cell>
          <cell r="E1376">
            <v>391</v>
          </cell>
          <cell r="F1376" t="str">
            <v>D3Q-741</v>
          </cell>
          <cell r="G1376" t="str">
            <v>D2E-976</v>
          </cell>
          <cell r="H1376" t="str">
            <v>LAS BAMBAS</v>
          </cell>
          <cell r="I1376">
            <v>162515</v>
          </cell>
          <cell r="J1376" t="str">
            <v>REPUESTO</v>
          </cell>
          <cell r="K1376" t="str">
            <v>ACEITE 15W40</v>
          </cell>
          <cell r="L1376">
            <v>10</v>
          </cell>
          <cell r="M1376" t="str">
            <v>GLNS.</v>
          </cell>
          <cell r="N1376" t="str">
            <v>TRACTO</v>
          </cell>
          <cell r="O1376">
            <v>0</v>
          </cell>
          <cell r="P1376" t="str">
            <v>M6</v>
          </cell>
          <cell r="Q1376" t="str">
            <v>J2</v>
          </cell>
          <cell r="R1376" t="str">
            <v>J6</v>
          </cell>
          <cell r="S1376" t="str">
            <v>ENTREGADO</v>
          </cell>
          <cell r="T1376">
            <v>42696</v>
          </cell>
          <cell r="U1376" t="str">
            <v>PARI VENTURA  EDSON ORLANDO</v>
          </cell>
          <cell r="V1376" t="str">
            <v>CORIHUAMAN SURCO  ERICK ROBERT</v>
          </cell>
        </row>
        <row r="1377">
          <cell r="A1377">
            <v>1308</v>
          </cell>
          <cell r="B1377">
            <v>42696</v>
          </cell>
          <cell r="C1377" t="str">
            <v>NOVIEMBRE</v>
          </cell>
          <cell r="D1377" t="str">
            <v>2016</v>
          </cell>
          <cell r="E1377">
            <v>391</v>
          </cell>
          <cell r="F1377" t="str">
            <v>D3Q-741</v>
          </cell>
          <cell r="G1377" t="str">
            <v>D2E-976</v>
          </cell>
          <cell r="H1377" t="str">
            <v>LAS BAMBAS</v>
          </cell>
          <cell r="I1377">
            <v>162515</v>
          </cell>
          <cell r="J1377" t="str">
            <v>REPUESTO</v>
          </cell>
          <cell r="K1377" t="str">
            <v>LIQUIDO LIMPIAPARABRISAS</v>
          </cell>
          <cell r="L1377">
            <v>1</v>
          </cell>
          <cell r="M1377" t="str">
            <v>GLNS.</v>
          </cell>
          <cell r="N1377" t="str">
            <v>TRACTO</v>
          </cell>
          <cell r="O1377">
            <v>0</v>
          </cell>
          <cell r="P1377" t="str">
            <v>M6</v>
          </cell>
          <cell r="Q1377" t="str">
            <v>J2</v>
          </cell>
          <cell r="R1377" t="str">
            <v>J6</v>
          </cell>
          <cell r="S1377" t="str">
            <v>ENTREGADO</v>
          </cell>
          <cell r="T1377">
            <v>42696</v>
          </cell>
          <cell r="U1377" t="str">
            <v>PARI VENTURA  EDSON ORLANDO</v>
          </cell>
          <cell r="V1377" t="str">
            <v>CORIHUAMAN SURCO  ERICK ROBERT</v>
          </cell>
        </row>
        <row r="1378">
          <cell r="A1378">
            <v>1363</v>
          </cell>
          <cell r="B1378">
            <v>42696</v>
          </cell>
          <cell r="C1378" t="str">
            <v>NOVIEMBRE</v>
          </cell>
          <cell r="D1378" t="str">
            <v>2016</v>
          </cell>
          <cell r="E1378">
            <v>391</v>
          </cell>
          <cell r="F1378" t="str">
            <v>D3Q-741</v>
          </cell>
          <cell r="G1378" t="str">
            <v>D2E-976</v>
          </cell>
          <cell r="H1378" t="str">
            <v>LAS BAMBAS</v>
          </cell>
          <cell r="I1378">
            <v>162515</v>
          </cell>
          <cell r="J1378" t="str">
            <v>REPUESTO</v>
          </cell>
          <cell r="K1378" t="str">
            <v>MATACHISPA</v>
          </cell>
          <cell r="L1378">
            <v>1</v>
          </cell>
          <cell r="M1378" t="str">
            <v>UNID.</v>
          </cell>
          <cell r="N1378" t="str">
            <v>TRACTO</v>
          </cell>
          <cell r="O1378">
            <v>0</v>
          </cell>
          <cell r="P1378" t="str">
            <v>M5</v>
          </cell>
          <cell r="Q1378" t="str">
            <v>J2</v>
          </cell>
          <cell r="R1378" t="str">
            <v>J6</v>
          </cell>
          <cell r="S1378" t="str">
            <v>ENTREGADO</v>
          </cell>
          <cell r="T1378">
            <v>42696</v>
          </cell>
          <cell r="U1378" t="str">
            <v>LOPEZ RUIZ WILBERTO</v>
          </cell>
          <cell r="V1378" t="str">
            <v>CORIHUAMAN SURCO  ERICK ROBERT</v>
          </cell>
        </row>
        <row r="1379">
          <cell r="A1379">
            <v>1372</v>
          </cell>
          <cell r="B1379">
            <v>42696</v>
          </cell>
          <cell r="C1379" t="str">
            <v>NOVIEMBRE</v>
          </cell>
          <cell r="D1379" t="str">
            <v>2016</v>
          </cell>
          <cell r="E1379">
            <v>399</v>
          </cell>
          <cell r="F1379" t="str">
            <v>D3R-742</v>
          </cell>
          <cell r="G1379" t="str">
            <v>D2E-975</v>
          </cell>
          <cell r="H1379" t="str">
            <v>LAS BAMBAS</v>
          </cell>
          <cell r="I1379">
            <v>150257</v>
          </cell>
          <cell r="J1379" t="str">
            <v>REPUESTO</v>
          </cell>
          <cell r="K1379" t="str">
            <v>PERNO 5/16 X 1</v>
          </cell>
          <cell r="L1379">
            <v>2</v>
          </cell>
          <cell r="M1379" t="str">
            <v>UNID.</v>
          </cell>
          <cell r="N1379" t="str">
            <v>TRACTO</v>
          </cell>
          <cell r="O1379">
            <v>0</v>
          </cell>
          <cell r="P1379" t="str">
            <v>M7</v>
          </cell>
          <cell r="Q1379" t="str">
            <v>J1</v>
          </cell>
          <cell r="R1379" t="str">
            <v>J6</v>
          </cell>
          <cell r="S1379" t="str">
            <v>ENTREGADO</v>
          </cell>
          <cell r="T1379">
            <v>42696</v>
          </cell>
          <cell r="U1379" t="str">
            <v>ROBLES ROJAS  JOSE MIGUEL</v>
          </cell>
          <cell r="V1379" t="str">
            <v>FLOREZ CONDORI  JOSE WILLIANS</v>
          </cell>
        </row>
        <row r="1380">
          <cell r="A1380">
            <v>1373</v>
          </cell>
          <cell r="B1380">
            <v>42696</v>
          </cell>
          <cell r="C1380" t="str">
            <v>NOVIEMBRE</v>
          </cell>
          <cell r="D1380" t="str">
            <v>2016</v>
          </cell>
          <cell r="E1380">
            <v>399</v>
          </cell>
          <cell r="F1380" t="str">
            <v>D3R-742</v>
          </cell>
          <cell r="G1380" t="str">
            <v>D2E-975</v>
          </cell>
          <cell r="H1380" t="str">
            <v>LAS BAMBAS</v>
          </cell>
          <cell r="I1380">
            <v>150257</v>
          </cell>
          <cell r="J1380" t="str">
            <v>REPUESTO</v>
          </cell>
          <cell r="K1380" t="str">
            <v>TUERCA 5/16</v>
          </cell>
          <cell r="L1380">
            <v>2</v>
          </cell>
          <cell r="M1380" t="str">
            <v>UNID.</v>
          </cell>
          <cell r="N1380" t="str">
            <v>TRACTO</v>
          </cell>
          <cell r="O1380">
            <v>0</v>
          </cell>
          <cell r="P1380" t="str">
            <v>M7</v>
          </cell>
          <cell r="Q1380" t="str">
            <v>J1</v>
          </cell>
          <cell r="R1380" t="str">
            <v>J6</v>
          </cell>
          <cell r="S1380" t="str">
            <v>ENTREGADO</v>
          </cell>
          <cell r="T1380">
            <v>42696</v>
          </cell>
          <cell r="U1380" t="str">
            <v>ROBLES ROJAS  JOSE MIGUEL</v>
          </cell>
          <cell r="V1380" t="str">
            <v>FLOREZ CONDORI  JOSE WILLIANS</v>
          </cell>
        </row>
        <row r="1381">
          <cell r="A1381">
            <v>1374</v>
          </cell>
          <cell r="B1381">
            <v>42696</v>
          </cell>
          <cell r="C1381" t="str">
            <v>NOVIEMBRE</v>
          </cell>
          <cell r="D1381" t="str">
            <v>2016</v>
          </cell>
          <cell r="E1381">
            <v>399</v>
          </cell>
          <cell r="F1381" t="str">
            <v>D3R-742</v>
          </cell>
          <cell r="G1381" t="str">
            <v>D2E-975</v>
          </cell>
          <cell r="H1381" t="str">
            <v>LAS BAMBAS</v>
          </cell>
          <cell r="I1381">
            <v>150257</v>
          </cell>
          <cell r="J1381" t="str">
            <v>REPUESTO</v>
          </cell>
          <cell r="K1381" t="str">
            <v>ARANDELA PLANA 5/16</v>
          </cell>
          <cell r="L1381">
            <v>6</v>
          </cell>
          <cell r="M1381" t="str">
            <v>UNID.</v>
          </cell>
          <cell r="N1381" t="str">
            <v>TRACTO</v>
          </cell>
          <cell r="O1381">
            <v>0</v>
          </cell>
          <cell r="P1381" t="str">
            <v>M7</v>
          </cell>
          <cell r="Q1381" t="str">
            <v>J1</v>
          </cell>
          <cell r="R1381" t="str">
            <v>J6</v>
          </cell>
          <cell r="S1381" t="str">
            <v>ENTREGADO</v>
          </cell>
          <cell r="T1381">
            <v>42696</v>
          </cell>
          <cell r="U1381" t="str">
            <v>ROBLES ROJAS  JOSE MIGUEL</v>
          </cell>
          <cell r="V1381" t="str">
            <v>FLOREZ CONDORI  JOSE WILLIANS</v>
          </cell>
        </row>
        <row r="1382">
          <cell r="A1382">
            <v>1380</v>
          </cell>
          <cell r="B1382">
            <v>42696</v>
          </cell>
          <cell r="C1382" t="str">
            <v>NOVIEMBRE</v>
          </cell>
          <cell r="D1382" t="str">
            <v>2016</v>
          </cell>
          <cell r="E1382">
            <v>399</v>
          </cell>
          <cell r="F1382" t="str">
            <v>D3R-742</v>
          </cell>
          <cell r="G1382" t="str">
            <v>D2E-975</v>
          </cell>
          <cell r="H1382" t="str">
            <v>LAS BAMBAS</v>
          </cell>
          <cell r="I1382">
            <v>150257</v>
          </cell>
          <cell r="J1382" t="str">
            <v>REPUESTO</v>
          </cell>
          <cell r="K1382" t="str">
            <v>PERNO 5/16 X 2 1/2</v>
          </cell>
          <cell r="L1382">
            <v>3</v>
          </cell>
          <cell r="M1382" t="str">
            <v>UNID.</v>
          </cell>
          <cell r="N1382" t="str">
            <v>TRACTO</v>
          </cell>
          <cell r="O1382">
            <v>0</v>
          </cell>
          <cell r="P1382" t="str">
            <v>M7</v>
          </cell>
          <cell r="Q1382" t="str">
            <v>J1</v>
          </cell>
          <cell r="R1382" t="str">
            <v>J6</v>
          </cell>
          <cell r="S1382" t="str">
            <v>ENTREGADO</v>
          </cell>
          <cell r="T1382">
            <v>42696</v>
          </cell>
          <cell r="U1382" t="str">
            <v>ROBLES ROJAS  JOSE MIGUEL</v>
          </cell>
          <cell r="V1382" t="str">
            <v>FLOREZ CONDORI  JOSE WILLIANS</v>
          </cell>
        </row>
        <row r="1383">
          <cell r="A1383">
            <v>1381</v>
          </cell>
          <cell r="B1383">
            <v>42696</v>
          </cell>
          <cell r="C1383" t="str">
            <v>NOVIEMBRE</v>
          </cell>
          <cell r="D1383" t="str">
            <v>2016</v>
          </cell>
          <cell r="E1383">
            <v>399</v>
          </cell>
          <cell r="F1383" t="str">
            <v>D3R-742</v>
          </cell>
          <cell r="G1383" t="str">
            <v>D2E-975</v>
          </cell>
          <cell r="H1383" t="str">
            <v>LAS BAMBAS</v>
          </cell>
          <cell r="I1383">
            <v>150257</v>
          </cell>
          <cell r="J1383" t="str">
            <v>REPUESTO</v>
          </cell>
          <cell r="K1383" t="str">
            <v>TUERCA 5/16</v>
          </cell>
          <cell r="L1383">
            <v>3</v>
          </cell>
          <cell r="M1383" t="str">
            <v>UNID.</v>
          </cell>
          <cell r="N1383" t="str">
            <v>TRACTO</v>
          </cell>
          <cell r="O1383">
            <v>0</v>
          </cell>
          <cell r="P1383" t="str">
            <v>M7</v>
          </cell>
          <cell r="Q1383" t="str">
            <v>J1</v>
          </cell>
          <cell r="R1383" t="str">
            <v>J6</v>
          </cell>
          <cell r="S1383" t="str">
            <v>ENTREGADO</v>
          </cell>
          <cell r="T1383">
            <v>42696</v>
          </cell>
          <cell r="U1383" t="str">
            <v>ROBLES ROJAS  JOSE MIGUEL</v>
          </cell>
          <cell r="V1383" t="str">
            <v>FLOREZ CONDORI  JOSE WILLIANS</v>
          </cell>
        </row>
        <row r="1384">
          <cell r="A1384">
            <v>1382</v>
          </cell>
          <cell r="B1384">
            <v>42696</v>
          </cell>
          <cell r="C1384" t="str">
            <v>NOVIEMBRE</v>
          </cell>
          <cell r="D1384" t="str">
            <v>2016</v>
          </cell>
          <cell r="E1384">
            <v>399</v>
          </cell>
          <cell r="F1384" t="str">
            <v>D3R-742</v>
          </cell>
          <cell r="G1384" t="str">
            <v>D2E-975</v>
          </cell>
          <cell r="H1384" t="str">
            <v>LAS BAMBAS</v>
          </cell>
          <cell r="I1384">
            <v>150257</v>
          </cell>
          <cell r="J1384" t="str">
            <v>REPUESTO</v>
          </cell>
          <cell r="K1384" t="str">
            <v>ARANDELAS PLANAS 5/16</v>
          </cell>
          <cell r="L1384">
            <v>6</v>
          </cell>
          <cell r="M1384" t="str">
            <v>UNID.</v>
          </cell>
          <cell r="N1384" t="str">
            <v>TRACTO</v>
          </cell>
          <cell r="O1384">
            <v>0</v>
          </cell>
          <cell r="P1384" t="str">
            <v>M7</v>
          </cell>
          <cell r="Q1384" t="str">
            <v>J1</v>
          </cell>
          <cell r="R1384" t="str">
            <v>J6</v>
          </cell>
          <cell r="S1384" t="str">
            <v>ENTREGADO</v>
          </cell>
          <cell r="T1384">
            <v>42696</v>
          </cell>
          <cell r="U1384" t="str">
            <v>ROBLES ROJAS  JOSE MIGUEL</v>
          </cell>
          <cell r="V1384" t="str">
            <v>FLOREZ CONDORI  JOSE WILLIANS</v>
          </cell>
        </row>
        <row r="1385">
          <cell r="A1385">
            <v>1393</v>
          </cell>
          <cell r="B1385">
            <v>42696</v>
          </cell>
          <cell r="C1385" t="str">
            <v>NOVIEMBRE</v>
          </cell>
          <cell r="D1385" t="str">
            <v>2016</v>
          </cell>
          <cell r="E1385">
            <v>399</v>
          </cell>
          <cell r="F1385" t="str">
            <v>D3R-742</v>
          </cell>
          <cell r="G1385" t="str">
            <v>D2E-975</v>
          </cell>
          <cell r="H1385" t="str">
            <v>LAS BAMBAS</v>
          </cell>
          <cell r="I1385">
            <v>150257</v>
          </cell>
          <cell r="J1385" t="str">
            <v>REPUESTO</v>
          </cell>
          <cell r="K1385" t="str">
            <v>RETENEDOR DE PUERTA</v>
          </cell>
          <cell r="L1385">
            <v>1</v>
          </cell>
          <cell r="M1385" t="str">
            <v>UNID.</v>
          </cell>
          <cell r="N1385" t="str">
            <v>TRACTO</v>
          </cell>
          <cell r="O1385">
            <v>0</v>
          </cell>
          <cell r="P1385" t="str">
            <v>M7</v>
          </cell>
          <cell r="Q1385" t="str">
            <v>J2</v>
          </cell>
          <cell r="R1385" t="str">
            <v>J6</v>
          </cell>
          <cell r="S1385" t="str">
            <v>ENTREGADO</v>
          </cell>
          <cell r="T1385">
            <v>42696</v>
          </cell>
          <cell r="U1385" t="str">
            <v>ROBLES ROJAS  JOSE MIGUEL</v>
          </cell>
          <cell r="V1385" t="str">
            <v>CORIHUAMAN SURCO  ERICK ROBERT</v>
          </cell>
        </row>
        <row r="1386">
          <cell r="A1386">
            <v>1387</v>
          </cell>
          <cell r="B1386">
            <v>42696</v>
          </cell>
          <cell r="C1386" t="str">
            <v>NOVIEMBRE</v>
          </cell>
          <cell r="D1386" t="str">
            <v>2016</v>
          </cell>
          <cell r="E1386">
            <v>397</v>
          </cell>
          <cell r="F1386" t="str">
            <v>D6F-903</v>
          </cell>
          <cell r="G1386" t="str">
            <v>B8K-997</v>
          </cell>
          <cell r="H1386" t="str">
            <v>LAS BAMBAS</v>
          </cell>
          <cell r="I1386">
            <v>216322</v>
          </cell>
          <cell r="J1386" t="str">
            <v>REPUESTO</v>
          </cell>
          <cell r="K1386" t="str">
            <v>PRESINTOS 200</v>
          </cell>
          <cell r="L1386">
            <v>10</v>
          </cell>
          <cell r="M1386" t="str">
            <v>UNID.</v>
          </cell>
          <cell r="N1386" t="str">
            <v>CISTERNA</v>
          </cell>
          <cell r="O1386">
            <v>0</v>
          </cell>
          <cell r="P1386" t="str">
            <v>E2</v>
          </cell>
          <cell r="Q1386" t="str">
            <v>J2</v>
          </cell>
          <cell r="R1386" t="str">
            <v>J6</v>
          </cell>
          <cell r="S1386" t="str">
            <v>ENTREGADO</v>
          </cell>
          <cell r="T1386">
            <v>42696</v>
          </cell>
          <cell r="U1386" t="str">
            <v>YUCA BELLIDO BORIS YERSY</v>
          </cell>
          <cell r="V1386" t="str">
            <v>CORIHUAMAN SURCO  ERICK ROBERT</v>
          </cell>
        </row>
        <row r="1387">
          <cell r="A1387">
            <v>1388</v>
          </cell>
          <cell r="B1387">
            <v>42696</v>
          </cell>
          <cell r="C1387" t="str">
            <v>NOVIEMBRE</v>
          </cell>
          <cell r="D1387" t="str">
            <v>2016</v>
          </cell>
          <cell r="E1387">
            <v>397</v>
          </cell>
          <cell r="F1387" t="str">
            <v>D6F-903</v>
          </cell>
          <cell r="G1387" t="str">
            <v>B8K-997</v>
          </cell>
          <cell r="H1387" t="str">
            <v>LAS BAMBAS</v>
          </cell>
          <cell r="I1387">
            <v>216322</v>
          </cell>
          <cell r="J1387" t="str">
            <v>REPUESTO</v>
          </cell>
          <cell r="K1387" t="str">
            <v>FARO REDONDO LED AMBAR</v>
          </cell>
          <cell r="L1387">
            <v>1</v>
          </cell>
          <cell r="M1387" t="str">
            <v>UNID.</v>
          </cell>
          <cell r="N1387" t="str">
            <v>CISTERNA</v>
          </cell>
          <cell r="O1387">
            <v>0</v>
          </cell>
          <cell r="P1387" t="str">
            <v>E2</v>
          </cell>
          <cell r="Q1387" t="str">
            <v>J2</v>
          </cell>
          <cell r="R1387" t="str">
            <v>J6</v>
          </cell>
          <cell r="S1387" t="str">
            <v>ENTREGADO</v>
          </cell>
          <cell r="T1387">
            <v>42696</v>
          </cell>
          <cell r="U1387" t="str">
            <v>YUCA BELLIDO BORIS YERSY</v>
          </cell>
          <cell r="V1387" t="str">
            <v>CORIHUAMAN SURCO  ERICK ROBERT</v>
          </cell>
        </row>
        <row r="1388">
          <cell r="A1388">
            <v>1299</v>
          </cell>
          <cell r="B1388">
            <v>42696</v>
          </cell>
          <cell r="C1388" t="str">
            <v>NOVIEMBRE</v>
          </cell>
          <cell r="D1388" t="str">
            <v>2016</v>
          </cell>
          <cell r="E1388">
            <v>393</v>
          </cell>
          <cell r="F1388" t="str">
            <v>D6G-806</v>
          </cell>
          <cell r="G1388" t="str">
            <v>B8K-998</v>
          </cell>
          <cell r="H1388" t="str">
            <v>LAS BAMBAS</v>
          </cell>
          <cell r="I1388">
            <v>216852</v>
          </cell>
          <cell r="J1388" t="str">
            <v>REPUESTO</v>
          </cell>
          <cell r="K1388" t="str">
            <v>FILTRO DE AIRE PRIMARIO</v>
          </cell>
          <cell r="L1388">
            <v>1</v>
          </cell>
          <cell r="M1388" t="str">
            <v>UNID.</v>
          </cell>
          <cell r="N1388" t="str">
            <v>TRACTO</v>
          </cell>
          <cell r="O1388">
            <v>0</v>
          </cell>
          <cell r="P1388" t="str">
            <v>M1</v>
          </cell>
          <cell r="Q1388" t="str">
            <v>J2</v>
          </cell>
          <cell r="R1388" t="str">
            <v>J6</v>
          </cell>
          <cell r="S1388" t="str">
            <v>ENTREGADO</v>
          </cell>
          <cell r="T1388">
            <v>42696</v>
          </cell>
          <cell r="U1388" t="str">
            <v>CABEZAS SANCHEZ JEAN JHONATAN</v>
          </cell>
          <cell r="V1388" t="str">
            <v>CORIHUAMAN SURCO  ERICK ROBERT</v>
          </cell>
        </row>
        <row r="1389">
          <cell r="A1389">
            <v>1300</v>
          </cell>
          <cell r="B1389">
            <v>42696</v>
          </cell>
          <cell r="C1389" t="str">
            <v>NOVIEMBRE</v>
          </cell>
          <cell r="D1389" t="str">
            <v>2016</v>
          </cell>
          <cell r="E1389">
            <v>393</v>
          </cell>
          <cell r="F1389" t="str">
            <v>D6G-806</v>
          </cell>
          <cell r="G1389" t="str">
            <v>B8K-998</v>
          </cell>
          <cell r="H1389" t="str">
            <v>LAS BAMBAS</v>
          </cell>
          <cell r="I1389">
            <v>216852</v>
          </cell>
          <cell r="J1389" t="str">
            <v>REPUESTO</v>
          </cell>
          <cell r="K1389" t="str">
            <v>FILTRO DE ACEITE</v>
          </cell>
          <cell r="L1389">
            <v>2</v>
          </cell>
          <cell r="M1389" t="str">
            <v>UNID.</v>
          </cell>
          <cell r="N1389" t="str">
            <v>TRACTO</v>
          </cell>
          <cell r="O1389">
            <v>0</v>
          </cell>
          <cell r="P1389" t="str">
            <v>M1</v>
          </cell>
          <cell r="Q1389" t="str">
            <v>J2</v>
          </cell>
          <cell r="R1389" t="str">
            <v>J6</v>
          </cell>
          <cell r="S1389" t="str">
            <v>ENTREGADO</v>
          </cell>
          <cell r="T1389">
            <v>42696</v>
          </cell>
          <cell r="U1389" t="str">
            <v>CABEZAS SANCHEZ JEAN JHONATAN</v>
          </cell>
          <cell r="V1389" t="str">
            <v>CORIHUAMAN SURCO  ERICK ROBERT</v>
          </cell>
        </row>
        <row r="1390">
          <cell r="A1390">
            <v>1301</v>
          </cell>
          <cell r="B1390">
            <v>42696</v>
          </cell>
          <cell r="C1390" t="str">
            <v>NOVIEMBRE</v>
          </cell>
          <cell r="D1390" t="str">
            <v>2016</v>
          </cell>
          <cell r="E1390">
            <v>393</v>
          </cell>
          <cell r="F1390" t="str">
            <v>D6G-806</v>
          </cell>
          <cell r="G1390" t="str">
            <v>B8K-998</v>
          </cell>
          <cell r="H1390" t="str">
            <v>LAS BAMBAS</v>
          </cell>
          <cell r="I1390">
            <v>216852</v>
          </cell>
          <cell r="J1390" t="str">
            <v>REPUESTO</v>
          </cell>
          <cell r="K1390" t="str">
            <v>FILTRO DE COMBUSTIBLE</v>
          </cell>
          <cell r="L1390">
            <v>2</v>
          </cell>
          <cell r="M1390" t="str">
            <v>UNID.</v>
          </cell>
          <cell r="N1390" t="str">
            <v>TRACTO</v>
          </cell>
          <cell r="O1390">
            <v>0</v>
          </cell>
          <cell r="P1390" t="str">
            <v>M1</v>
          </cell>
          <cell r="Q1390" t="str">
            <v>J2</v>
          </cell>
          <cell r="R1390" t="str">
            <v>J6</v>
          </cell>
          <cell r="S1390" t="str">
            <v>ENTREGADO</v>
          </cell>
          <cell r="T1390">
            <v>42696</v>
          </cell>
          <cell r="U1390" t="str">
            <v>CABEZAS SANCHEZ JEAN JHONATAN</v>
          </cell>
          <cell r="V1390" t="str">
            <v>CORIHUAMAN SURCO  ERICK ROBERT</v>
          </cell>
        </row>
        <row r="1391">
          <cell r="A1391">
            <v>1302</v>
          </cell>
          <cell r="B1391">
            <v>42696</v>
          </cell>
          <cell r="C1391" t="str">
            <v>NOVIEMBRE</v>
          </cell>
          <cell r="D1391" t="str">
            <v>2016</v>
          </cell>
          <cell r="E1391">
            <v>393</v>
          </cell>
          <cell r="F1391" t="str">
            <v>D6G-806</v>
          </cell>
          <cell r="G1391" t="str">
            <v>B8K-998</v>
          </cell>
          <cell r="H1391" t="str">
            <v>LAS BAMBAS</v>
          </cell>
          <cell r="I1391">
            <v>216852</v>
          </cell>
          <cell r="J1391" t="str">
            <v>REPUESTO</v>
          </cell>
          <cell r="K1391" t="str">
            <v>ACEITE 15W40</v>
          </cell>
          <cell r="L1391">
            <v>10</v>
          </cell>
          <cell r="M1391" t="str">
            <v>GLNS.</v>
          </cell>
          <cell r="N1391" t="str">
            <v>TRACTO</v>
          </cell>
          <cell r="O1391">
            <v>0</v>
          </cell>
          <cell r="P1391" t="str">
            <v>M1</v>
          </cell>
          <cell r="Q1391" t="str">
            <v>J2</v>
          </cell>
          <cell r="R1391" t="str">
            <v>J6</v>
          </cell>
          <cell r="S1391" t="str">
            <v>ENTREGADO</v>
          </cell>
          <cell r="T1391">
            <v>42696</v>
          </cell>
          <cell r="U1391" t="str">
            <v>CABEZAS SANCHEZ JEAN JHONATAN</v>
          </cell>
          <cell r="V1391" t="str">
            <v>CORIHUAMAN SURCO  ERICK ROBERT</v>
          </cell>
        </row>
        <row r="1392">
          <cell r="A1392">
            <v>1303</v>
          </cell>
          <cell r="B1392">
            <v>42696</v>
          </cell>
          <cell r="C1392" t="str">
            <v>NOVIEMBRE</v>
          </cell>
          <cell r="D1392" t="str">
            <v>2016</v>
          </cell>
          <cell r="E1392">
            <v>393</v>
          </cell>
          <cell r="F1392" t="str">
            <v>D6G-806</v>
          </cell>
          <cell r="G1392" t="str">
            <v>B8K-998</v>
          </cell>
          <cell r="H1392" t="str">
            <v>LAS BAMBAS</v>
          </cell>
          <cell r="I1392">
            <v>216852</v>
          </cell>
          <cell r="J1392" t="str">
            <v>REPUESTO</v>
          </cell>
          <cell r="K1392" t="str">
            <v>LIQUIDO LIMPIAPARABRISAS</v>
          </cell>
          <cell r="L1392">
            <v>1</v>
          </cell>
          <cell r="M1392" t="str">
            <v>GLNS.</v>
          </cell>
          <cell r="N1392" t="str">
            <v>TRACTO</v>
          </cell>
          <cell r="O1392">
            <v>0</v>
          </cell>
          <cell r="P1392" t="str">
            <v>M1</v>
          </cell>
          <cell r="Q1392" t="str">
            <v>J2</v>
          </cell>
          <cell r="R1392" t="str">
            <v>J6</v>
          </cell>
          <cell r="S1392" t="str">
            <v>ENTREGADO</v>
          </cell>
          <cell r="T1392">
            <v>42696</v>
          </cell>
          <cell r="U1392" t="str">
            <v>CABEZAS SANCHEZ JEAN JHONATAN</v>
          </cell>
          <cell r="V1392" t="str">
            <v>CORIHUAMAN SURCO  ERICK ROBERT</v>
          </cell>
        </row>
        <row r="1393">
          <cell r="A1393">
            <v>1347</v>
          </cell>
          <cell r="B1393">
            <v>42696</v>
          </cell>
          <cell r="C1393" t="str">
            <v>NOVIEMBRE</v>
          </cell>
          <cell r="D1393" t="str">
            <v>2016</v>
          </cell>
          <cell r="E1393">
            <v>393</v>
          </cell>
          <cell r="F1393" t="str">
            <v>D6G-806</v>
          </cell>
          <cell r="G1393" t="str">
            <v>B8K-998</v>
          </cell>
          <cell r="H1393" t="str">
            <v>LAS BAMBAS</v>
          </cell>
          <cell r="I1393">
            <v>216852</v>
          </cell>
          <cell r="J1393" t="str">
            <v>REPUESTO</v>
          </cell>
          <cell r="K1393" t="str">
            <v>PERNO 1/4 X 2</v>
          </cell>
          <cell r="L1393">
            <v>1</v>
          </cell>
          <cell r="M1393" t="str">
            <v>UNID.</v>
          </cell>
          <cell r="N1393" t="str">
            <v>TRACTO</v>
          </cell>
          <cell r="O1393">
            <v>0</v>
          </cell>
          <cell r="P1393" t="str">
            <v>J2</v>
          </cell>
          <cell r="Q1393" t="str">
            <v>J2</v>
          </cell>
          <cell r="R1393" t="str">
            <v>J6</v>
          </cell>
          <cell r="S1393" t="str">
            <v>ENTREGADO</v>
          </cell>
          <cell r="T1393">
            <v>42696</v>
          </cell>
          <cell r="U1393" t="str">
            <v>CORIHUAMAN SURCO  ERICK ROBERT</v>
          </cell>
          <cell r="V1393" t="str">
            <v>CORIHUAMAN SURCO  ERICK ROBERT</v>
          </cell>
        </row>
        <row r="1394">
          <cell r="A1394">
            <v>1348</v>
          </cell>
          <cell r="B1394">
            <v>42696</v>
          </cell>
          <cell r="C1394" t="str">
            <v>NOVIEMBRE</v>
          </cell>
          <cell r="D1394" t="str">
            <v>2016</v>
          </cell>
          <cell r="E1394">
            <v>393</v>
          </cell>
          <cell r="F1394" t="str">
            <v>D6G-806</v>
          </cell>
          <cell r="G1394" t="str">
            <v>B8K-998</v>
          </cell>
          <cell r="H1394" t="str">
            <v>LAS BAMBAS</v>
          </cell>
          <cell r="I1394">
            <v>216852</v>
          </cell>
          <cell r="J1394" t="str">
            <v>REPUESTO</v>
          </cell>
          <cell r="K1394" t="str">
            <v>TUERCA MARIPOSA 1/4</v>
          </cell>
          <cell r="L1394">
            <v>1</v>
          </cell>
          <cell r="M1394" t="str">
            <v>UNID.</v>
          </cell>
          <cell r="N1394" t="str">
            <v>TRACTO</v>
          </cell>
          <cell r="O1394">
            <v>0</v>
          </cell>
          <cell r="P1394" t="str">
            <v>J2</v>
          </cell>
          <cell r="Q1394" t="str">
            <v>J2</v>
          </cell>
          <cell r="R1394" t="str">
            <v>J6</v>
          </cell>
          <cell r="S1394" t="str">
            <v>ENTREGADO</v>
          </cell>
          <cell r="T1394">
            <v>42696</v>
          </cell>
          <cell r="U1394" t="str">
            <v>CORIHUAMAN SURCO  ERICK ROBERT</v>
          </cell>
          <cell r="V1394" t="str">
            <v>CORIHUAMAN SURCO  ERICK ROBERT</v>
          </cell>
        </row>
        <row r="1395">
          <cell r="A1395">
            <v>1350</v>
          </cell>
          <cell r="B1395">
            <v>42696</v>
          </cell>
          <cell r="C1395" t="str">
            <v>NOVIEMBRE</v>
          </cell>
          <cell r="D1395" t="str">
            <v>2016</v>
          </cell>
          <cell r="E1395">
            <v>393</v>
          </cell>
          <cell r="F1395" t="str">
            <v>D6G-806</v>
          </cell>
          <cell r="G1395" t="str">
            <v>B8K-998</v>
          </cell>
          <cell r="H1395" t="str">
            <v>LAS BAMBAS</v>
          </cell>
          <cell r="I1395">
            <v>216852</v>
          </cell>
          <cell r="J1395" t="str">
            <v>REPUESTO</v>
          </cell>
          <cell r="K1395" t="str">
            <v>CINTA TEFLON</v>
          </cell>
          <cell r="L1395">
            <v>1</v>
          </cell>
          <cell r="M1395" t="str">
            <v>UNID.</v>
          </cell>
          <cell r="N1395" t="str">
            <v>CISTERNA</v>
          </cell>
          <cell r="O1395">
            <v>0</v>
          </cell>
          <cell r="P1395" t="str">
            <v>M6</v>
          </cell>
          <cell r="Q1395" t="str">
            <v>J1</v>
          </cell>
          <cell r="R1395" t="str">
            <v>J6</v>
          </cell>
          <cell r="S1395" t="str">
            <v>ENTREGADO</v>
          </cell>
          <cell r="T1395">
            <v>42696</v>
          </cell>
          <cell r="U1395" t="str">
            <v>PARI VENTURA  EDSON ORLANDO</v>
          </cell>
          <cell r="V1395" t="str">
            <v>FLOREZ CONDORI  JOSE WILLIANS</v>
          </cell>
        </row>
        <row r="1396">
          <cell r="A1396">
            <v>1351</v>
          </cell>
          <cell r="B1396">
            <v>42696</v>
          </cell>
          <cell r="C1396" t="str">
            <v>NOVIEMBRE</v>
          </cell>
          <cell r="D1396" t="str">
            <v>2016</v>
          </cell>
          <cell r="E1396">
            <v>393</v>
          </cell>
          <cell r="F1396" t="str">
            <v>D6G-806</v>
          </cell>
          <cell r="G1396" t="str">
            <v>B8K-998</v>
          </cell>
          <cell r="H1396" t="str">
            <v>LAS BAMBAS</v>
          </cell>
          <cell r="I1396">
            <v>216852</v>
          </cell>
          <cell r="J1396" t="str">
            <v>REPUESTO</v>
          </cell>
          <cell r="K1396" t="str">
            <v>EMPAQUETADURA DE TAPA MANHOLE</v>
          </cell>
          <cell r="L1396">
            <v>1</v>
          </cell>
          <cell r="M1396" t="str">
            <v>UNID.</v>
          </cell>
          <cell r="N1396" t="str">
            <v>CISTERNA</v>
          </cell>
          <cell r="O1396">
            <v>0</v>
          </cell>
          <cell r="P1396" t="str">
            <v>M6</v>
          </cell>
          <cell r="Q1396" t="str">
            <v>J1</v>
          </cell>
          <cell r="R1396" t="str">
            <v>J6</v>
          </cell>
          <cell r="S1396" t="str">
            <v>ENTREGADO</v>
          </cell>
          <cell r="T1396">
            <v>42696</v>
          </cell>
          <cell r="U1396" t="str">
            <v>PARI VENTURA  EDSON ORLANDO</v>
          </cell>
          <cell r="V1396" t="str">
            <v>FLOREZ CONDORI  JOSE WILLIANS</v>
          </cell>
        </row>
        <row r="1397">
          <cell r="A1397">
            <v>1364</v>
          </cell>
          <cell r="B1397">
            <v>42696</v>
          </cell>
          <cell r="C1397" t="str">
            <v>NOVIEMBRE</v>
          </cell>
          <cell r="D1397" t="str">
            <v>2016</v>
          </cell>
          <cell r="E1397">
            <v>393</v>
          </cell>
          <cell r="F1397" t="str">
            <v>D6G-806</v>
          </cell>
          <cell r="G1397" t="str">
            <v>B8K-998</v>
          </cell>
          <cell r="H1397" t="str">
            <v>LAS BAMBAS</v>
          </cell>
          <cell r="I1397">
            <v>216852</v>
          </cell>
          <cell r="J1397" t="str">
            <v>REPUESTO</v>
          </cell>
          <cell r="K1397" t="str">
            <v>LLANTAS REENCAUCHADAS 386</v>
          </cell>
          <cell r="L1397">
            <v>1</v>
          </cell>
          <cell r="M1397" t="str">
            <v>UNID.</v>
          </cell>
          <cell r="N1397" t="str">
            <v>CISTERNA</v>
          </cell>
          <cell r="O1397">
            <v>0</v>
          </cell>
          <cell r="P1397" t="str">
            <v>N1</v>
          </cell>
          <cell r="Q1397" t="str">
            <v>J3</v>
          </cell>
          <cell r="R1397" t="str">
            <v>J6</v>
          </cell>
          <cell r="S1397" t="str">
            <v>ENTREGADO</v>
          </cell>
          <cell r="T1397">
            <v>42696</v>
          </cell>
          <cell r="U1397" t="str">
            <v>AGUILAR CCANTUTA WILLY</v>
          </cell>
          <cell r="V1397" t="str">
            <v>CHURA PIZARRO ALBERTO</v>
          </cell>
        </row>
        <row r="1398">
          <cell r="A1398">
            <v>1290</v>
          </cell>
          <cell r="B1398">
            <v>42696</v>
          </cell>
          <cell r="C1398" t="str">
            <v>NOVIEMBRE</v>
          </cell>
          <cell r="D1398" t="str">
            <v>2016</v>
          </cell>
          <cell r="E1398">
            <v>386</v>
          </cell>
          <cell r="F1398" t="str">
            <v>D7N-755</v>
          </cell>
          <cell r="G1398" t="str">
            <v>F7L-983</v>
          </cell>
          <cell r="H1398" t="str">
            <v>LAS BAMBAS</v>
          </cell>
          <cell r="I1398">
            <v>47366</v>
          </cell>
          <cell r="J1398" t="str">
            <v>REPUESTO</v>
          </cell>
          <cell r="K1398" t="str">
            <v>LIQUIDO LIMPIAPARABRISAS</v>
          </cell>
          <cell r="L1398">
            <v>0.5</v>
          </cell>
          <cell r="M1398" t="str">
            <v>GLNS.</v>
          </cell>
          <cell r="N1398" t="str">
            <v>TRACTO</v>
          </cell>
          <cell r="O1398">
            <v>0</v>
          </cell>
          <cell r="P1398" t="str">
            <v>M6</v>
          </cell>
          <cell r="Q1398" t="str">
            <v>J1</v>
          </cell>
          <cell r="R1398" t="str">
            <v>J6</v>
          </cell>
          <cell r="S1398" t="str">
            <v>ENTREGADO</v>
          </cell>
          <cell r="T1398">
            <v>42696</v>
          </cell>
          <cell r="U1398" t="str">
            <v>PARI VENTURA  EDSON ORLANDO</v>
          </cell>
          <cell r="V1398" t="str">
            <v>FLOREZ CONDORI  JOSE WILLIANS</v>
          </cell>
        </row>
        <row r="1399">
          <cell r="A1399">
            <v>1291</v>
          </cell>
          <cell r="B1399">
            <v>42696</v>
          </cell>
          <cell r="C1399" t="str">
            <v>NOVIEMBRE</v>
          </cell>
          <cell r="D1399" t="str">
            <v>2016</v>
          </cell>
          <cell r="E1399">
            <v>386</v>
          </cell>
          <cell r="F1399" t="str">
            <v>D7N-755</v>
          </cell>
          <cell r="G1399" t="str">
            <v>F7L-983</v>
          </cell>
          <cell r="H1399" t="str">
            <v>LAS BAMBAS</v>
          </cell>
          <cell r="I1399">
            <v>47366</v>
          </cell>
          <cell r="J1399" t="str">
            <v>REPUESTO</v>
          </cell>
          <cell r="K1399" t="str">
            <v>LIQUIDO REFRIGERANTE</v>
          </cell>
          <cell r="L1399">
            <v>0.5</v>
          </cell>
          <cell r="M1399" t="str">
            <v>GLNS.</v>
          </cell>
          <cell r="N1399" t="str">
            <v>TRACTO</v>
          </cell>
          <cell r="O1399">
            <v>0</v>
          </cell>
          <cell r="P1399" t="str">
            <v>M6</v>
          </cell>
          <cell r="Q1399" t="str">
            <v>J1</v>
          </cell>
          <cell r="R1399" t="str">
            <v>J6</v>
          </cell>
          <cell r="S1399" t="str">
            <v>ENTREGADO</v>
          </cell>
          <cell r="T1399">
            <v>42696</v>
          </cell>
          <cell r="U1399" t="str">
            <v>PARI VENTURA  EDSON ORLANDO</v>
          </cell>
          <cell r="V1399" t="str">
            <v>FLOREZ CONDORI  JOSE WILLIANS</v>
          </cell>
        </row>
        <row r="1400">
          <cell r="A1400">
            <v>1292</v>
          </cell>
          <cell r="B1400">
            <v>42696</v>
          </cell>
          <cell r="C1400" t="str">
            <v>NOVIEMBRE</v>
          </cell>
          <cell r="D1400" t="str">
            <v>2016</v>
          </cell>
          <cell r="E1400">
            <v>386</v>
          </cell>
          <cell r="F1400" t="str">
            <v>D7N-755</v>
          </cell>
          <cell r="G1400" t="str">
            <v>F7L-983</v>
          </cell>
          <cell r="H1400" t="str">
            <v>LAS BAMBAS</v>
          </cell>
          <cell r="I1400">
            <v>47366</v>
          </cell>
          <cell r="J1400" t="str">
            <v>REPUESTO</v>
          </cell>
          <cell r="K1400" t="str">
            <v>PARCHE RACK 10</v>
          </cell>
          <cell r="L1400">
            <v>1</v>
          </cell>
          <cell r="M1400" t="str">
            <v>UNID.</v>
          </cell>
          <cell r="N1400" t="str">
            <v>CISTERNA</v>
          </cell>
          <cell r="O1400">
            <v>0</v>
          </cell>
          <cell r="P1400" t="str">
            <v>N1</v>
          </cell>
          <cell r="Q1400" t="str">
            <v>J3</v>
          </cell>
          <cell r="R1400" t="str">
            <v>J6</v>
          </cell>
          <cell r="S1400" t="str">
            <v>ENTREGADO</v>
          </cell>
          <cell r="T1400">
            <v>42696</v>
          </cell>
          <cell r="U1400" t="str">
            <v>AGUILAR CCANTUTA WILLY</v>
          </cell>
          <cell r="V1400" t="str">
            <v>CHURA PIZARRO ALBERTO</v>
          </cell>
        </row>
        <row r="1401">
          <cell r="A1401">
            <v>1293</v>
          </cell>
          <cell r="B1401">
            <v>42696</v>
          </cell>
          <cell r="C1401" t="str">
            <v>NOVIEMBRE</v>
          </cell>
          <cell r="D1401" t="str">
            <v>2016</v>
          </cell>
          <cell r="E1401">
            <v>386</v>
          </cell>
          <cell r="F1401" t="str">
            <v>D7N-755</v>
          </cell>
          <cell r="G1401" t="str">
            <v>F7L-983</v>
          </cell>
          <cell r="H1401" t="str">
            <v>LAS BAMBAS</v>
          </cell>
          <cell r="I1401">
            <v>47366</v>
          </cell>
          <cell r="J1401" t="str">
            <v>REPUESTO</v>
          </cell>
          <cell r="K1401" t="str">
            <v>PARCHE RACK 12</v>
          </cell>
          <cell r="L1401">
            <v>1</v>
          </cell>
          <cell r="M1401" t="str">
            <v>UNID.</v>
          </cell>
          <cell r="N1401" t="str">
            <v>CISTERNA</v>
          </cell>
          <cell r="O1401">
            <v>0</v>
          </cell>
          <cell r="P1401" t="str">
            <v>N1</v>
          </cell>
          <cell r="Q1401" t="str">
            <v>J3</v>
          </cell>
          <cell r="R1401" t="str">
            <v>J6</v>
          </cell>
          <cell r="S1401" t="str">
            <v>ENTREGADO</v>
          </cell>
          <cell r="T1401">
            <v>42696</v>
          </cell>
          <cell r="U1401" t="str">
            <v>AGUILAR CCANTUTA WILLY</v>
          </cell>
          <cell r="V1401" t="str">
            <v>CHURA PIZARRO ALBERTO</v>
          </cell>
        </row>
        <row r="1402">
          <cell r="A1402">
            <v>1333</v>
          </cell>
          <cell r="B1402">
            <v>42696</v>
          </cell>
          <cell r="C1402" t="str">
            <v>NOVIEMBRE</v>
          </cell>
          <cell r="D1402" t="str">
            <v>2016</v>
          </cell>
          <cell r="E1402">
            <v>386</v>
          </cell>
          <cell r="F1402" t="str">
            <v>D7N-755</v>
          </cell>
          <cell r="G1402" t="str">
            <v>F7L-983</v>
          </cell>
          <cell r="H1402" t="str">
            <v>LAS BAMBAS</v>
          </cell>
          <cell r="I1402">
            <v>47366</v>
          </cell>
          <cell r="J1402" t="str">
            <v>REPUESTO</v>
          </cell>
          <cell r="K1402" t="str">
            <v>FOCOS R5W</v>
          </cell>
          <cell r="L1402">
            <v>2</v>
          </cell>
          <cell r="M1402" t="str">
            <v>UNID.</v>
          </cell>
          <cell r="N1402" t="str">
            <v>TRACTO</v>
          </cell>
          <cell r="O1402">
            <v>0</v>
          </cell>
          <cell r="P1402" t="str">
            <v>E1</v>
          </cell>
          <cell r="Q1402" t="str">
            <v>J1</v>
          </cell>
          <cell r="R1402" t="str">
            <v>J6</v>
          </cell>
          <cell r="S1402" t="str">
            <v>ENTREGADO</v>
          </cell>
          <cell r="T1402">
            <v>42696</v>
          </cell>
          <cell r="U1402" t="str">
            <v>PALOMINO CARDENAS JUAN CARLOS</v>
          </cell>
          <cell r="V1402" t="str">
            <v>FLOREZ CONDORI  JOSE WILLIANS</v>
          </cell>
        </row>
        <row r="1403">
          <cell r="A1403">
            <v>1334</v>
          </cell>
          <cell r="B1403">
            <v>42696</v>
          </cell>
          <cell r="C1403" t="str">
            <v>NOVIEMBRE</v>
          </cell>
          <cell r="D1403" t="str">
            <v>2016</v>
          </cell>
          <cell r="E1403">
            <v>386</v>
          </cell>
          <cell r="F1403" t="str">
            <v>D7N-755</v>
          </cell>
          <cell r="G1403" t="str">
            <v>F7L-983</v>
          </cell>
          <cell r="H1403" t="str">
            <v>LAS BAMBAS</v>
          </cell>
          <cell r="I1403">
            <v>47366</v>
          </cell>
          <cell r="J1403" t="str">
            <v>REPUESTO</v>
          </cell>
          <cell r="K1403" t="str">
            <v>FOCOS DE 1 CONTACTO</v>
          </cell>
          <cell r="L1403">
            <v>2</v>
          </cell>
          <cell r="M1403" t="str">
            <v>UNID.</v>
          </cell>
          <cell r="N1403" t="str">
            <v>TRACTO</v>
          </cell>
          <cell r="O1403">
            <v>0</v>
          </cell>
          <cell r="P1403" t="str">
            <v>E1</v>
          </cell>
          <cell r="Q1403" t="str">
            <v>J1</v>
          </cell>
          <cell r="R1403" t="str">
            <v>J6</v>
          </cell>
          <cell r="S1403" t="str">
            <v>ENTREGADO</v>
          </cell>
          <cell r="T1403">
            <v>42696</v>
          </cell>
          <cell r="U1403" t="str">
            <v>PALOMINO CARDENAS JUAN CARLOS</v>
          </cell>
          <cell r="V1403" t="str">
            <v>FLOREZ CONDORI  JOSE WILLIANS</v>
          </cell>
        </row>
        <row r="1404">
          <cell r="A1404">
            <v>1312</v>
          </cell>
          <cell r="B1404">
            <v>42696</v>
          </cell>
          <cell r="C1404" t="str">
            <v>NOVIEMBRE</v>
          </cell>
          <cell r="D1404" t="str">
            <v>2016</v>
          </cell>
          <cell r="E1404">
            <v>200</v>
          </cell>
          <cell r="F1404" t="str">
            <v>TALLER</v>
          </cell>
          <cell r="G1404" t="str">
            <v>TALLER</v>
          </cell>
          <cell r="H1404" t="str">
            <v>TALLER</v>
          </cell>
          <cell r="I1404" t="str">
            <v>TALLER</v>
          </cell>
          <cell r="J1404" t="str">
            <v>INSUMO TALLER</v>
          </cell>
          <cell r="K1404" t="str">
            <v>TRAPOS SUELTOS</v>
          </cell>
          <cell r="L1404">
            <v>1</v>
          </cell>
          <cell r="M1404" t="str">
            <v>KG.</v>
          </cell>
          <cell r="N1404" t="str">
            <v>TALLER</v>
          </cell>
          <cell r="O1404">
            <v>0</v>
          </cell>
          <cell r="P1404" t="str">
            <v>J6</v>
          </cell>
          <cell r="Q1404" t="str">
            <v>J1</v>
          </cell>
          <cell r="R1404" t="str">
            <v>J6</v>
          </cell>
          <cell r="S1404" t="str">
            <v>ENTREGADO</v>
          </cell>
          <cell r="T1404">
            <v>42696</v>
          </cell>
          <cell r="U1404" t="str">
            <v>VILLANUEVA BEJAR  YHORDAN MICHEL</v>
          </cell>
          <cell r="V1404" t="str">
            <v>FLOREZ CONDORI  JOSE WILLIANS</v>
          </cell>
        </row>
        <row r="1405">
          <cell r="A1405">
            <v>1315</v>
          </cell>
          <cell r="B1405">
            <v>42696</v>
          </cell>
          <cell r="C1405" t="str">
            <v>NOVIEMBRE</v>
          </cell>
          <cell r="D1405" t="str">
            <v>2016</v>
          </cell>
          <cell r="E1405">
            <v>200</v>
          </cell>
          <cell r="F1405" t="str">
            <v>TALLER</v>
          </cell>
          <cell r="G1405" t="str">
            <v>TALLER</v>
          </cell>
          <cell r="H1405" t="str">
            <v>TALLER</v>
          </cell>
          <cell r="I1405" t="str">
            <v>TALLER</v>
          </cell>
          <cell r="J1405" t="str">
            <v>INSUMO TALLER</v>
          </cell>
          <cell r="K1405" t="str">
            <v>LIMPIA CONTACTOS</v>
          </cell>
          <cell r="L1405">
            <v>1</v>
          </cell>
          <cell r="M1405" t="str">
            <v>UNID.</v>
          </cell>
          <cell r="N1405" t="str">
            <v>TALLER</v>
          </cell>
          <cell r="O1405">
            <v>0</v>
          </cell>
          <cell r="P1405" t="str">
            <v>E1</v>
          </cell>
          <cell r="Q1405" t="str">
            <v>J1</v>
          </cell>
          <cell r="R1405" t="str">
            <v>J6</v>
          </cell>
          <cell r="S1405" t="str">
            <v>ENTREGADO</v>
          </cell>
          <cell r="T1405">
            <v>42696</v>
          </cell>
          <cell r="U1405" t="str">
            <v>PALOMINO CARDENAS JUAN CARLOS</v>
          </cell>
          <cell r="V1405" t="str">
            <v>FLOREZ CONDORI  JOSE WILLIANS</v>
          </cell>
        </row>
        <row r="1406">
          <cell r="A1406">
            <v>1337</v>
          </cell>
          <cell r="B1406">
            <v>42696</v>
          </cell>
          <cell r="C1406" t="str">
            <v>NOVIEMBRE</v>
          </cell>
          <cell r="D1406" t="str">
            <v>2016</v>
          </cell>
          <cell r="E1406">
            <v>200</v>
          </cell>
          <cell r="F1406" t="str">
            <v>TALLER</v>
          </cell>
          <cell r="G1406" t="str">
            <v>TALLER</v>
          </cell>
          <cell r="H1406" t="str">
            <v>TALLER</v>
          </cell>
          <cell r="I1406" t="str">
            <v>TALLER</v>
          </cell>
          <cell r="J1406" t="str">
            <v>INSUMO TALLER</v>
          </cell>
          <cell r="K1406" t="str">
            <v>BOTELLA DE OXIGENO DE 10 M3</v>
          </cell>
          <cell r="L1406">
            <v>2</v>
          </cell>
          <cell r="M1406" t="str">
            <v>UNID.</v>
          </cell>
          <cell r="N1406" t="str">
            <v>TALLER</v>
          </cell>
          <cell r="O1406">
            <v>94</v>
          </cell>
          <cell r="P1406" t="str">
            <v>S2</v>
          </cell>
          <cell r="Q1406" t="str">
            <v>J1</v>
          </cell>
          <cell r="R1406" t="str">
            <v>J6</v>
          </cell>
          <cell r="S1406" t="str">
            <v>ENTREGADO</v>
          </cell>
          <cell r="T1406">
            <v>0</v>
          </cell>
          <cell r="U1406" t="str">
            <v>PALOMINO ESTRADA  MICHEL</v>
          </cell>
          <cell r="V1406" t="str">
            <v>FLOREZ CONDORI  JOSE WILLIANS</v>
          </cell>
        </row>
        <row r="1407">
          <cell r="A1407">
            <v>1344</v>
          </cell>
          <cell r="B1407">
            <v>42696</v>
          </cell>
          <cell r="C1407" t="str">
            <v>NOVIEMBRE</v>
          </cell>
          <cell r="D1407" t="str">
            <v>2016</v>
          </cell>
          <cell r="E1407">
            <v>200</v>
          </cell>
          <cell r="F1407" t="str">
            <v>TALLER</v>
          </cell>
          <cell r="G1407" t="str">
            <v>TALLER</v>
          </cell>
          <cell r="H1407" t="str">
            <v>TALLER</v>
          </cell>
          <cell r="I1407" t="str">
            <v>TALLER</v>
          </cell>
          <cell r="J1407" t="str">
            <v>INSUMO TALLER</v>
          </cell>
          <cell r="K1407" t="str">
            <v>CINTA AISLANTE NEGRO</v>
          </cell>
          <cell r="L1407">
            <v>1</v>
          </cell>
          <cell r="M1407" t="str">
            <v>UNID.</v>
          </cell>
          <cell r="N1407" t="str">
            <v>TALLER</v>
          </cell>
          <cell r="O1407">
            <v>94</v>
          </cell>
          <cell r="P1407" t="str">
            <v>E1</v>
          </cell>
          <cell r="Q1407" t="str">
            <v>J1</v>
          </cell>
          <cell r="R1407" t="str">
            <v>J6</v>
          </cell>
          <cell r="S1407" t="str">
            <v>ENTREGADO</v>
          </cell>
          <cell r="T1407">
            <v>0</v>
          </cell>
          <cell r="U1407" t="str">
            <v>PALOMINO CARDENAS JUAN CARLOS</v>
          </cell>
          <cell r="V1407" t="str">
            <v>FLOREZ CONDORI  JOSE WILLIANS</v>
          </cell>
        </row>
        <row r="1408">
          <cell r="A1408">
            <v>1366</v>
          </cell>
          <cell r="B1408">
            <v>42696</v>
          </cell>
          <cell r="C1408" t="str">
            <v>NOVIEMBRE</v>
          </cell>
          <cell r="D1408" t="str">
            <v>2016</v>
          </cell>
          <cell r="E1408">
            <v>200</v>
          </cell>
          <cell r="F1408" t="str">
            <v>TALLER</v>
          </cell>
          <cell r="G1408" t="str">
            <v>TALLER</v>
          </cell>
          <cell r="H1408" t="str">
            <v>TALLER</v>
          </cell>
          <cell r="I1408" t="str">
            <v>TALLER</v>
          </cell>
          <cell r="J1408" t="str">
            <v>EPPS</v>
          </cell>
          <cell r="K1408" t="str">
            <v>CARETA DE SOLDADURA</v>
          </cell>
          <cell r="L1408">
            <v>3</v>
          </cell>
          <cell r="M1408" t="str">
            <v>UNID.</v>
          </cell>
          <cell r="N1408" t="str">
            <v>TALLER</v>
          </cell>
          <cell r="O1408">
            <v>0</v>
          </cell>
          <cell r="P1408" t="str">
            <v>S3</v>
          </cell>
          <cell r="Q1408" t="str">
            <v>J1</v>
          </cell>
          <cell r="R1408" t="str">
            <v>J6</v>
          </cell>
          <cell r="S1408" t="str">
            <v>ENTREGADO</v>
          </cell>
          <cell r="T1408">
            <v>42696</v>
          </cell>
          <cell r="U1408" t="str">
            <v>JIMENEZ MACHACA JAVIER</v>
          </cell>
          <cell r="V1408" t="str">
            <v>FLOREZ CONDORI  JOSE WILLIANS</v>
          </cell>
        </row>
        <row r="1409">
          <cell r="A1409">
            <v>1367</v>
          </cell>
          <cell r="B1409">
            <v>42696</v>
          </cell>
          <cell r="C1409" t="str">
            <v>NOVIEMBRE</v>
          </cell>
          <cell r="D1409" t="str">
            <v>2016</v>
          </cell>
          <cell r="E1409">
            <v>200</v>
          </cell>
          <cell r="F1409" t="str">
            <v>TALLER</v>
          </cell>
          <cell r="G1409" t="str">
            <v>TALLER</v>
          </cell>
          <cell r="H1409" t="str">
            <v>TALLER</v>
          </cell>
          <cell r="I1409" t="str">
            <v>TALLER</v>
          </cell>
          <cell r="J1409" t="str">
            <v>REPUESTO</v>
          </cell>
          <cell r="K1409" t="str">
            <v>GRASERA RECTA 1/8</v>
          </cell>
          <cell r="L1409">
            <v>1</v>
          </cell>
          <cell r="M1409" t="str">
            <v>UNID.</v>
          </cell>
          <cell r="N1409" t="str">
            <v>TALLER</v>
          </cell>
          <cell r="O1409">
            <v>0</v>
          </cell>
          <cell r="P1409" t="str">
            <v>N1</v>
          </cell>
          <cell r="Q1409" t="str">
            <v>J2</v>
          </cell>
          <cell r="R1409" t="str">
            <v>J6</v>
          </cell>
          <cell r="S1409" t="str">
            <v>ENTREGADO</v>
          </cell>
          <cell r="T1409">
            <v>42696</v>
          </cell>
          <cell r="U1409" t="str">
            <v>AGUILAR CCANTUTA WILLY</v>
          </cell>
          <cell r="V1409" t="str">
            <v>CORIHUAMAN SURCO  ERICK ROBERT</v>
          </cell>
        </row>
        <row r="1410">
          <cell r="A1410">
            <v>1368</v>
          </cell>
          <cell r="B1410">
            <v>42696</v>
          </cell>
          <cell r="C1410" t="str">
            <v>NOVIEMBRE</v>
          </cell>
          <cell r="D1410" t="str">
            <v>2016</v>
          </cell>
          <cell r="E1410">
            <v>200</v>
          </cell>
          <cell r="F1410" t="str">
            <v>TALLER</v>
          </cell>
          <cell r="G1410" t="str">
            <v>TALLER</v>
          </cell>
          <cell r="H1410" t="str">
            <v>TALLER</v>
          </cell>
          <cell r="I1410" t="str">
            <v>TALLER</v>
          </cell>
          <cell r="J1410" t="str">
            <v>REPUESTO</v>
          </cell>
          <cell r="K1410" t="str">
            <v>GUARDAFANGO COLOR BLANCO LADO IZQUIERDO</v>
          </cell>
          <cell r="L1410">
            <v>1</v>
          </cell>
          <cell r="M1410" t="str">
            <v>UNID.</v>
          </cell>
          <cell r="N1410" t="str">
            <v>TRACTO</v>
          </cell>
          <cell r="O1410">
            <v>0</v>
          </cell>
          <cell r="P1410" t="str">
            <v>M5</v>
          </cell>
          <cell r="Q1410" t="str">
            <v>J1</v>
          </cell>
          <cell r="R1410" t="str">
            <v>J1</v>
          </cell>
          <cell r="S1410" t="str">
            <v>ENTREGADO</v>
          </cell>
          <cell r="T1410">
            <v>42696</v>
          </cell>
          <cell r="U1410" t="str">
            <v>LOPEZ RUIZ WILBERTO</v>
          </cell>
          <cell r="V1410" t="str">
            <v>FLOREZ CONDORI  JOSE WILLIANS</v>
          </cell>
        </row>
        <row r="1411">
          <cell r="A1411">
            <v>1369</v>
          </cell>
          <cell r="B1411">
            <v>42696</v>
          </cell>
          <cell r="C1411" t="str">
            <v>NOVIEMBRE</v>
          </cell>
          <cell r="D1411" t="str">
            <v>2016</v>
          </cell>
          <cell r="E1411">
            <v>200</v>
          </cell>
          <cell r="F1411" t="str">
            <v>TALLER</v>
          </cell>
          <cell r="G1411" t="str">
            <v>TALLER</v>
          </cell>
          <cell r="H1411" t="str">
            <v>TALLER</v>
          </cell>
          <cell r="I1411" t="str">
            <v>TALLER</v>
          </cell>
          <cell r="J1411" t="str">
            <v>REPUESTO</v>
          </cell>
          <cell r="K1411" t="str">
            <v>FILTRO COMBUSTIBLE VALVULA</v>
          </cell>
          <cell r="L1411">
            <v>1</v>
          </cell>
          <cell r="M1411" t="str">
            <v>UNID.</v>
          </cell>
          <cell r="N1411" t="str">
            <v>TRACTO</v>
          </cell>
          <cell r="O1411">
            <v>0</v>
          </cell>
          <cell r="P1411" t="str">
            <v>M5</v>
          </cell>
          <cell r="Q1411" t="str">
            <v>J1</v>
          </cell>
          <cell r="R1411" t="str">
            <v>J1</v>
          </cell>
          <cell r="S1411" t="str">
            <v>ENTREGADO</v>
          </cell>
          <cell r="T1411">
            <v>42696</v>
          </cell>
          <cell r="U1411" t="str">
            <v>LOPEZ RUIZ WILBERTO</v>
          </cell>
          <cell r="V1411" t="str">
            <v>FLOREZ CONDORI  JOSE WILLIANS</v>
          </cell>
        </row>
        <row r="1412">
          <cell r="A1412">
            <v>1370</v>
          </cell>
          <cell r="B1412">
            <v>42696</v>
          </cell>
          <cell r="C1412" t="str">
            <v>NOVIEMBRE</v>
          </cell>
          <cell r="D1412" t="str">
            <v>2016</v>
          </cell>
          <cell r="E1412">
            <v>200</v>
          </cell>
          <cell r="F1412" t="str">
            <v>TALLER</v>
          </cell>
          <cell r="G1412" t="str">
            <v>TALLER</v>
          </cell>
          <cell r="H1412" t="str">
            <v>TALLER</v>
          </cell>
          <cell r="I1412" t="str">
            <v>TALLER</v>
          </cell>
          <cell r="J1412" t="str">
            <v>REPUESTO</v>
          </cell>
          <cell r="K1412" t="str">
            <v>FILTRO DE COMBUSTIBLE MEDIANO</v>
          </cell>
          <cell r="L1412">
            <v>1</v>
          </cell>
          <cell r="M1412" t="str">
            <v>UNID.</v>
          </cell>
          <cell r="N1412" t="str">
            <v>TALLER</v>
          </cell>
          <cell r="O1412">
            <v>0</v>
          </cell>
          <cell r="P1412" t="str">
            <v>M5</v>
          </cell>
          <cell r="Q1412" t="str">
            <v>J1</v>
          </cell>
          <cell r="R1412" t="str">
            <v>J1</v>
          </cell>
          <cell r="S1412" t="str">
            <v>ENTREGADO</v>
          </cell>
          <cell r="T1412">
            <v>42696</v>
          </cell>
          <cell r="U1412" t="str">
            <v>LOPEZ RUIZ WILBERTO</v>
          </cell>
          <cell r="V1412" t="str">
            <v>FLOREZ CONDORI  JOSE WILLIANS</v>
          </cell>
        </row>
        <row r="1413">
          <cell r="A1413">
            <v>1377</v>
          </cell>
          <cell r="B1413">
            <v>42696</v>
          </cell>
          <cell r="C1413" t="str">
            <v>NOVIEMBRE</v>
          </cell>
          <cell r="D1413" t="str">
            <v>2016</v>
          </cell>
          <cell r="E1413">
            <v>200</v>
          </cell>
          <cell r="F1413" t="str">
            <v>TALLER</v>
          </cell>
          <cell r="G1413" t="str">
            <v>TALLER</v>
          </cell>
          <cell r="H1413" t="str">
            <v>TALLER</v>
          </cell>
          <cell r="I1413" t="str">
            <v>TALLER</v>
          </cell>
          <cell r="J1413" t="str">
            <v>REPUESTO</v>
          </cell>
          <cell r="K1413" t="str">
            <v>BOQUILLA DE ENGRASE</v>
          </cell>
          <cell r="L1413">
            <v>1</v>
          </cell>
          <cell r="M1413" t="str">
            <v>UNID.</v>
          </cell>
          <cell r="N1413" t="str">
            <v>TALLER</v>
          </cell>
          <cell r="O1413">
            <v>0</v>
          </cell>
          <cell r="P1413" t="str">
            <v>M4</v>
          </cell>
          <cell r="Q1413" t="str">
            <v>J1</v>
          </cell>
          <cell r="R1413" t="str">
            <v>J1</v>
          </cell>
          <cell r="S1413" t="str">
            <v>ENTREGADO</v>
          </cell>
          <cell r="T1413">
            <v>42696</v>
          </cell>
          <cell r="U1413" t="str">
            <v>JULLIRI APAZA UBALDO</v>
          </cell>
          <cell r="V1413" t="str">
            <v>FLOREZ CONDORI  JOSE WILLIANS</v>
          </cell>
        </row>
        <row r="1414">
          <cell r="A1414">
            <v>1392</v>
          </cell>
          <cell r="B1414">
            <v>42697</v>
          </cell>
          <cell r="C1414" t="str">
            <v>NOVIEMBRE</v>
          </cell>
          <cell r="D1414" t="str">
            <v>2016</v>
          </cell>
          <cell r="E1414">
            <v>308</v>
          </cell>
          <cell r="F1414" t="str">
            <v>A9H-889</v>
          </cell>
          <cell r="G1414" t="str">
            <v>CAMION</v>
          </cell>
          <cell r="H1414" t="str">
            <v>TAMBOMAYO</v>
          </cell>
          <cell r="I1414">
            <v>120654</v>
          </cell>
          <cell r="J1414" t="str">
            <v>SERVICIO</v>
          </cell>
          <cell r="K1414" t="str">
            <v>SERVICIO DE REPARACION DE RADIADOR</v>
          </cell>
          <cell r="L1414">
            <v>1</v>
          </cell>
          <cell r="M1414" t="str">
            <v>UNID.</v>
          </cell>
          <cell r="N1414" t="str">
            <v>CAMION</v>
          </cell>
          <cell r="O1414">
            <v>93</v>
          </cell>
          <cell r="P1414" t="str">
            <v>M5</v>
          </cell>
          <cell r="Q1414" t="str">
            <v>J2</v>
          </cell>
          <cell r="R1414" t="str">
            <v>J6</v>
          </cell>
          <cell r="S1414" t="str">
            <v>ENTREGADO</v>
          </cell>
          <cell r="T1414">
            <v>0</v>
          </cell>
          <cell r="U1414" t="str">
            <v>LOPEZ RUIZ WILBERTO</v>
          </cell>
          <cell r="V1414" t="str">
            <v>CORIHUAMAN SURCO  ERICK ROBERT</v>
          </cell>
        </row>
        <row r="1415">
          <cell r="A1415">
            <v>1468</v>
          </cell>
          <cell r="B1415">
            <v>42697</v>
          </cell>
          <cell r="C1415" t="str">
            <v>NOVIEMBRE</v>
          </cell>
          <cell r="D1415" t="str">
            <v>2016</v>
          </cell>
          <cell r="E1415">
            <v>308</v>
          </cell>
          <cell r="F1415" t="str">
            <v>A9H-889</v>
          </cell>
          <cell r="G1415" t="str">
            <v>CAMION</v>
          </cell>
          <cell r="H1415" t="str">
            <v>TAMBOMAYO</v>
          </cell>
          <cell r="I1415">
            <v>120654</v>
          </cell>
          <cell r="J1415" t="str">
            <v>REPUESTO</v>
          </cell>
          <cell r="K1415" t="str">
            <v>JUEGO DE PLUMILLAS LIMPIAPARABRISAS COMPLETO</v>
          </cell>
          <cell r="L1415">
            <v>1</v>
          </cell>
          <cell r="M1415" t="str">
            <v>JUEGO</v>
          </cell>
          <cell r="N1415" t="str">
            <v>CAMION</v>
          </cell>
          <cell r="O1415">
            <v>93</v>
          </cell>
          <cell r="P1415" t="str">
            <v>E1</v>
          </cell>
          <cell r="Q1415" t="str">
            <v>J2</v>
          </cell>
          <cell r="R1415" t="str">
            <v>J6</v>
          </cell>
          <cell r="S1415" t="str">
            <v>ENTREGADO</v>
          </cell>
          <cell r="T1415">
            <v>0</v>
          </cell>
          <cell r="U1415" t="str">
            <v>PALOMINO CARDENAS JUAN CARLOS</v>
          </cell>
          <cell r="V1415" t="str">
            <v>CORIHUAMAN SURCO  ERICK ROBERT</v>
          </cell>
        </row>
        <row r="1416">
          <cell r="A1416">
            <v>1447</v>
          </cell>
          <cell r="B1416">
            <v>42697</v>
          </cell>
          <cell r="C1416" t="str">
            <v>NOVIEMBRE</v>
          </cell>
          <cell r="D1416" t="str">
            <v>2016</v>
          </cell>
          <cell r="E1416">
            <v>396</v>
          </cell>
          <cell r="F1416" t="str">
            <v>ABQ-780</v>
          </cell>
          <cell r="G1416" t="str">
            <v>C9S-990</v>
          </cell>
          <cell r="H1416" t="str">
            <v>LAS BAMBAS</v>
          </cell>
          <cell r="I1416">
            <v>113997</v>
          </cell>
          <cell r="J1416" t="str">
            <v>REPUESTO</v>
          </cell>
          <cell r="K1416" t="str">
            <v>FILTRO DE AIRE DE CALEFACCION</v>
          </cell>
          <cell r="L1416">
            <v>1</v>
          </cell>
          <cell r="M1416" t="str">
            <v>UNID.</v>
          </cell>
          <cell r="N1416" t="str">
            <v>TRACTO</v>
          </cell>
          <cell r="O1416">
            <v>93</v>
          </cell>
          <cell r="P1416" t="str">
            <v>M5</v>
          </cell>
          <cell r="Q1416" t="str">
            <v>J2</v>
          </cell>
          <cell r="R1416" t="str">
            <v>J6</v>
          </cell>
          <cell r="S1416" t="str">
            <v>ENTREGADO</v>
          </cell>
          <cell r="T1416">
            <v>0</v>
          </cell>
          <cell r="U1416" t="str">
            <v>LOPEZ RUIZ WILBERTO</v>
          </cell>
          <cell r="V1416" t="str">
            <v>CORIHUAMAN SURCO  ERICK ROBERT</v>
          </cell>
        </row>
        <row r="1417">
          <cell r="A1417">
            <v>1389</v>
          </cell>
          <cell r="B1417">
            <v>42697</v>
          </cell>
          <cell r="C1417" t="str">
            <v>NOVIEMBRE</v>
          </cell>
          <cell r="D1417" t="str">
            <v>2016</v>
          </cell>
          <cell r="E1417">
            <v>401</v>
          </cell>
          <cell r="F1417" t="str">
            <v>AKX-767</v>
          </cell>
          <cell r="G1417" t="str">
            <v>TCR-993</v>
          </cell>
          <cell r="H1417" t="str">
            <v>LAS BAMBAS CONC.</v>
          </cell>
          <cell r="I1417">
            <v>19512</v>
          </cell>
          <cell r="J1417" t="str">
            <v>REPUESTO</v>
          </cell>
          <cell r="K1417" t="str">
            <v>MATACHISPA</v>
          </cell>
          <cell r="L1417">
            <v>1</v>
          </cell>
          <cell r="M1417" t="str">
            <v>UNID.</v>
          </cell>
          <cell r="N1417" t="str">
            <v>TRACTO</v>
          </cell>
          <cell r="O1417">
            <v>93</v>
          </cell>
          <cell r="P1417" t="str">
            <v>M6</v>
          </cell>
          <cell r="Q1417" t="str">
            <v>J2</v>
          </cell>
          <cell r="R1417" t="str">
            <v>J6</v>
          </cell>
          <cell r="S1417" t="str">
            <v>ENTREGADO</v>
          </cell>
          <cell r="T1417">
            <v>0</v>
          </cell>
          <cell r="U1417" t="str">
            <v>PARI VENTURA  EDSON ORLANDO</v>
          </cell>
          <cell r="V1417" t="str">
            <v>CORIHUAMAN SURCO  ERICK ROBERT</v>
          </cell>
        </row>
        <row r="1418">
          <cell r="A1418">
            <v>1390</v>
          </cell>
          <cell r="B1418">
            <v>42697</v>
          </cell>
          <cell r="C1418" t="str">
            <v>NOVIEMBRE</v>
          </cell>
          <cell r="D1418" t="str">
            <v>2016</v>
          </cell>
          <cell r="E1418">
            <v>401</v>
          </cell>
          <cell r="F1418" t="str">
            <v>AKX-767</v>
          </cell>
          <cell r="G1418" t="str">
            <v>TCR-993</v>
          </cell>
          <cell r="H1418" t="str">
            <v>LAS BAMBAS CONC.</v>
          </cell>
          <cell r="I1418">
            <v>19512</v>
          </cell>
          <cell r="J1418" t="str">
            <v>REPUESTO</v>
          </cell>
          <cell r="K1418" t="str">
            <v>ACCESORIOS DE CARTUCHO DE PULPO</v>
          </cell>
          <cell r="L1418">
            <v>1</v>
          </cell>
          <cell r="M1418" t="str">
            <v>UNID.</v>
          </cell>
          <cell r="N1418" t="str">
            <v>TOLVA</v>
          </cell>
          <cell r="O1418">
            <v>93</v>
          </cell>
          <cell r="P1418" t="str">
            <v>M6</v>
          </cell>
          <cell r="Q1418" t="str">
            <v>J2</v>
          </cell>
          <cell r="R1418" t="str">
            <v>J6</v>
          </cell>
          <cell r="S1418" t="str">
            <v>ENTREGADO</v>
          </cell>
          <cell r="T1418">
            <v>0</v>
          </cell>
          <cell r="U1418" t="str">
            <v>PARI VENTURA  EDSON ORLANDO</v>
          </cell>
          <cell r="V1418" t="str">
            <v>CORIHUAMAN SURCO  ERICK ROBERT</v>
          </cell>
        </row>
        <row r="1419">
          <cell r="A1419">
            <v>1391</v>
          </cell>
          <cell r="B1419">
            <v>42697</v>
          </cell>
          <cell r="C1419" t="str">
            <v>NOVIEMBRE</v>
          </cell>
          <cell r="D1419" t="str">
            <v>2016</v>
          </cell>
          <cell r="E1419">
            <v>401</v>
          </cell>
          <cell r="F1419" t="str">
            <v>AKX-767</v>
          </cell>
          <cell r="G1419" t="str">
            <v>TCR-993</v>
          </cell>
          <cell r="H1419" t="str">
            <v>LAS BAMBAS CONC.</v>
          </cell>
          <cell r="I1419">
            <v>19512</v>
          </cell>
          <cell r="J1419" t="str">
            <v>REPUESTO</v>
          </cell>
          <cell r="K1419" t="str">
            <v>RESORTES DE MAXIBRAKE</v>
          </cell>
          <cell r="L1419">
            <v>2</v>
          </cell>
          <cell r="M1419" t="str">
            <v>UNID.</v>
          </cell>
          <cell r="N1419" t="str">
            <v>TOLVA</v>
          </cell>
          <cell r="O1419">
            <v>93</v>
          </cell>
          <cell r="P1419" t="str">
            <v>M6</v>
          </cell>
          <cell r="Q1419" t="str">
            <v>J2</v>
          </cell>
          <cell r="R1419" t="str">
            <v>J6</v>
          </cell>
          <cell r="S1419" t="str">
            <v>ENTREGADO</v>
          </cell>
          <cell r="T1419">
            <v>0</v>
          </cell>
          <cell r="U1419" t="str">
            <v>PARI VENTURA  EDSON ORLANDO</v>
          </cell>
          <cell r="V1419" t="str">
            <v>CORIHUAMAN SURCO  ERICK ROBERT</v>
          </cell>
        </row>
        <row r="1420">
          <cell r="A1420">
            <v>1407</v>
          </cell>
          <cell r="B1420">
            <v>42697</v>
          </cell>
          <cell r="C1420" t="str">
            <v>NOVIEMBRE</v>
          </cell>
          <cell r="D1420" t="str">
            <v>2016</v>
          </cell>
          <cell r="E1420">
            <v>401</v>
          </cell>
          <cell r="F1420" t="str">
            <v>AKX-767</v>
          </cell>
          <cell r="G1420" t="str">
            <v>TCR-993</v>
          </cell>
          <cell r="H1420" t="str">
            <v>LAS BAMBAS CONC.</v>
          </cell>
          <cell r="I1420">
            <v>19512</v>
          </cell>
          <cell r="J1420" t="str">
            <v>REPUESTO</v>
          </cell>
          <cell r="K1420" t="str">
            <v>PERNO 5/16 X 1</v>
          </cell>
          <cell r="L1420">
            <v>3</v>
          </cell>
          <cell r="M1420" t="str">
            <v>UNID.</v>
          </cell>
          <cell r="N1420" t="str">
            <v>TRACTO</v>
          </cell>
          <cell r="O1420">
            <v>93</v>
          </cell>
          <cell r="P1420" t="str">
            <v>M6</v>
          </cell>
          <cell r="Q1420" t="str">
            <v>J2</v>
          </cell>
          <cell r="R1420" t="str">
            <v>J6</v>
          </cell>
          <cell r="S1420" t="str">
            <v>ENTREGADO</v>
          </cell>
          <cell r="T1420">
            <v>0</v>
          </cell>
          <cell r="U1420" t="str">
            <v>PARI VENTURA  EDSON ORLANDO</v>
          </cell>
          <cell r="V1420" t="str">
            <v>CORIHUAMAN SURCO  ERICK ROBERT</v>
          </cell>
        </row>
        <row r="1421">
          <cell r="A1421">
            <v>1408</v>
          </cell>
          <cell r="B1421">
            <v>42697</v>
          </cell>
          <cell r="C1421" t="str">
            <v>NOVIEMBRE</v>
          </cell>
          <cell r="D1421" t="str">
            <v>2016</v>
          </cell>
          <cell r="E1421">
            <v>401</v>
          </cell>
          <cell r="F1421" t="str">
            <v>AKX-767</v>
          </cell>
          <cell r="G1421" t="str">
            <v>TCR-993</v>
          </cell>
          <cell r="H1421" t="str">
            <v>LAS BAMBAS CONC.</v>
          </cell>
          <cell r="I1421">
            <v>19512</v>
          </cell>
          <cell r="J1421" t="str">
            <v>REPUESTO</v>
          </cell>
          <cell r="K1421" t="str">
            <v>ARANDELA 5/16</v>
          </cell>
          <cell r="L1421">
            <v>6</v>
          </cell>
          <cell r="M1421" t="str">
            <v>UNID.</v>
          </cell>
          <cell r="N1421" t="str">
            <v>TRACTO</v>
          </cell>
          <cell r="O1421">
            <v>93</v>
          </cell>
          <cell r="P1421" t="str">
            <v>M6</v>
          </cell>
          <cell r="Q1421" t="str">
            <v>J2</v>
          </cell>
          <cell r="R1421" t="str">
            <v>J6</v>
          </cell>
          <cell r="S1421" t="str">
            <v>ENTREGADO</v>
          </cell>
          <cell r="T1421">
            <v>0</v>
          </cell>
          <cell r="U1421" t="str">
            <v>PARI VENTURA  EDSON ORLANDO</v>
          </cell>
          <cell r="V1421" t="str">
            <v>CORIHUAMAN SURCO  ERICK ROBERT</v>
          </cell>
        </row>
        <row r="1422">
          <cell r="A1422">
            <v>1409</v>
          </cell>
          <cell r="B1422">
            <v>42697</v>
          </cell>
          <cell r="C1422" t="str">
            <v>NOVIEMBRE</v>
          </cell>
          <cell r="D1422" t="str">
            <v>2016</v>
          </cell>
          <cell r="E1422">
            <v>401</v>
          </cell>
          <cell r="F1422" t="str">
            <v>AKX-767</v>
          </cell>
          <cell r="G1422" t="str">
            <v>TCR-993</v>
          </cell>
          <cell r="H1422" t="str">
            <v>LAS BAMBAS CONC.</v>
          </cell>
          <cell r="I1422">
            <v>19512</v>
          </cell>
          <cell r="J1422" t="str">
            <v>REPUESTO</v>
          </cell>
          <cell r="K1422" t="str">
            <v>TUERCA SEGURO 5/16</v>
          </cell>
          <cell r="L1422">
            <v>3</v>
          </cell>
          <cell r="M1422" t="str">
            <v>UNID.</v>
          </cell>
          <cell r="N1422" t="str">
            <v>TRACTO</v>
          </cell>
          <cell r="O1422">
            <v>93</v>
          </cell>
          <cell r="P1422" t="str">
            <v>M6</v>
          </cell>
          <cell r="Q1422" t="str">
            <v>J2</v>
          </cell>
          <cell r="R1422" t="str">
            <v>J6</v>
          </cell>
          <cell r="S1422" t="str">
            <v>ENTREGADO</v>
          </cell>
          <cell r="T1422">
            <v>0</v>
          </cell>
          <cell r="U1422" t="str">
            <v>PARI VENTURA  EDSON ORLANDO</v>
          </cell>
          <cell r="V1422" t="str">
            <v>CORIHUAMAN SURCO  ERICK ROBERT</v>
          </cell>
        </row>
        <row r="1423">
          <cell r="A1423">
            <v>1410</v>
          </cell>
          <cell r="B1423">
            <v>42697</v>
          </cell>
          <cell r="C1423" t="str">
            <v>NOVIEMBRE</v>
          </cell>
          <cell r="D1423" t="str">
            <v>2016</v>
          </cell>
          <cell r="E1423">
            <v>401</v>
          </cell>
          <cell r="F1423" t="str">
            <v>AKX-767</v>
          </cell>
          <cell r="G1423" t="str">
            <v>TCR-993</v>
          </cell>
          <cell r="H1423" t="str">
            <v>LAS BAMBAS CONC.</v>
          </cell>
          <cell r="I1423">
            <v>19512</v>
          </cell>
          <cell r="J1423" t="str">
            <v>REPUESTO</v>
          </cell>
          <cell r="K1423" t="str">
            <v>LIQUIDO LIMPIAPARABRISAS</v>
          </cell>
          <cell r="L1423">
            <v>1</v>
          </cell>
          <cell r="M1423" t="str">
            <v>GLNS.</v>
          </cell>
          <cell r="N1423" t="str">
            <v>TRACTO</v>
          </cell>
          <cell r="O1423">
            <v>93</v>
          </cell>
          <cell r="P1423" t="str">
            <v>M6</v>
          </cell>
          <cell r="Q1423" t="str">
            <v>J2</v>
          </cell>
          <cell r="R1423" t="str">
            <v>J6</v>
          </cell>
          <cell r="S1423" t="str">
            <v>ENTREGADO</v>
          </cell>
          <cell r="T1423">
            <v>0</v>
          </cell>
          <cell r="U1423" t="str">
            <v>PARI VENTURA  EDSON ORLANDO</v>
          </cell>
          <cell r="V1423" t="str">
            <v>CORIHUAMAN SURCO  ERICK ROBERT</v>
          </cell>
        </row>
        <row r="1424">
          <cell r="A1424">
            <v>1445</v>
          </cell>
          <cell r="B1424">
            <v>42697</v>
          </cell>
          <cell r="C1424" t="str">
            <v>NOVIEMBRE</v>
          </cell>
          <cell r="D1424" t="str">
            <v>2016</v>
          </cell>
          <cell r="E1424">
            <v>401</v>
          </cell>
          <cell r="F1424" t="str">
            <v>AKX-767</v>
          </cell>
          <cell r="G1424" t="str">
            <v>TCR-993</v>
          </cell>
          <cell r="H1424" t="str">
            <v>LAS BAMBAS CONC.</v>
          </cell>
          <cell r="I1424">
            <v>19512</v>
          </cell>
          <cell r="J1424" t="str">
            <v>REPUESTO</v>
          </cell>
          <cell r="K1424" t="str">
            <v>SILICONA GRIS</v>
          </cell>
          <cell r="L1424">
            <v>1</v>
          </cell>
          <cell r="M1424" t="str">
            <v>UNID.</v>
          </cell>
          <cell r="N1424" t="str">
            <v>TRACTO</v>
          </cell>
          <cell r="O1424">
            <v>93</v>
          </cell>
          <cell r="P1424" t="str">
            <v>E1</v>
          </cell>
          <cell r="Q1424" t="str">
            <v>J1</v>
          </cell>
          <cell r="R1424" t="str">
            <v>J1</v>
          </cell>
          <cell r="S1424" t="str">
            <v>ENTREGADO</v>
          </cell>
          <cell r="T1424">
            <v>0</v>
          </cell>
          <cell r="U1424" t="str">
            <v>PALOMINO CARDENAS JUAN CARLOS</v>
          </cell>
          <cell r="V1424" t="str">
            <v>FLOREZ CONDORI  JOSE WILLIANS</v>
          </cell>
        </row>
        <row r="1425">
          <cell r="A1425">
            <v>1466</v>
          </cell>
          <cell r="B1425">
            <v>42697</v>
          </cell>
          <cell r="C1425" t="str">
            <v>NOVIEMBRE</v>
          </cell>
          <cell r="D1425" t="str">
            <v>2016</v>
          </cell>
          <cell r="E1425">
            <v>367</v>
          </cell>
          <cell r="F1425" t="str">
            <v>B2L-889</v>
          </cell>
          <cell r="G1425" t="str">
            <v>CAMION</v>
          </cell>
          <cell r="H1425" t="str">
            <v>TAMBOMAYO</v>
          </cell>
          <cell r="I1425">
            <v>120679</v>
          </cell>
          <cell r="J1425" t="str">
            <v>REPUESTO</v>
          </cell>
          <cell r="K1425" t="str">
            <v>BORNES POSITIVOS</v>
          </cell>
          <cell r="L1425">
            <v>2</v>
          </cell>
          <cell r="M1425" t="str">
            <v>UNID.</v>
          </cell>
          <cell r="N1425" t="str">
            <v>CAMION</v>
          </cell>
          <cell r="O1425">
            <v>93</v>
          </cell>
          <cell r="P1425" t="str">
            <v>E2</v>
          </cell>
          <cell r="Q1425" t="str">
            <v>J1</v>
          </cell>
          <cell r="R1425" t="str">
            <v>J6</v>
          </cell>
          <cell r="S1425" t="str">
            <v>ENTREGADO</v>
          </cell>
          <cell r="T1425">
            <v>0</v>
          </cell>
          <cell r="U1425" t="str">
            <v>YUCA BELLIDO BORIS YERSY</v>
          </cell>
          <cell r="V1425" t="str">
            <v>FLOREZ CONDORI  JOSE WILLIANS</v>
          </cell>
        </row>
        <row r="1426">
          <cell r="A1426">
            <v>1467</v>
          </cell>
          <cell r="B1426">
            <v>42697</v>
          </cell>
          <cell r="C1426" t="str">
            <v>NOVIEMBRE</v>
          </cell>
          <cell r="D1426" t="str">
            <v>2016</v>
          </cell>
          <cell r="E1426">
            <v>367</v>
          </cell>
          <cell r="F1426" t="str">
            <v>B2L-889</v>
          </cell>
          <cell r="G1426" t="str">
            <v>CAMION</v>
          </cell>
          <cell r="H1426" t="str">
            <v>TAMBOMAYO</v>
          </cell>
          <cell r="I1426">
            <v>120679</v>
          </cell>
          <cell r="J1426" t="str">
            <v>REPUESTO</v>
          </cell>
          <cell r="K1426" t="str">
            <v>BORNES NEGATIVOS</v>
          </cell>
          <cell r="L1426">
            <v>2</v>
          </cell>
          <cell r="M1426" t="str">
            <v>UNID.</v>
          </cell>
          <cell r="N1426" t="str">
            <v>CAMION</v>
          </cell>
          <cell r="O1426">
            <v>93</v>
          </cell>
          <cell r="P1426" t="str">
            <v>E2</v>
          </cell>
          <cell r="Q1426" t="str">
            <v>J1</v>
          </cell>
          <cell r="R1426" t="str">
            <v>J6</v>
          </cell>
          <cell r="S1426" t="str">
            <v>ENTREGADO</v>
          </cell>
          <cell r="T1426">
            <v>0</v>
          </cell>
          <cell r="U1426" t="str">
            <v>YUCA BELLIDO BORIS YERSY</v>
          </cell>
          <cell r="V1426" t="str">
            <v>FLOREZ CONDORI  JOSE WILLIANS</v>
          </cell>
        </row>
        <row r="1427">
          <cell r="A1427">
            <v>1471</v>
          </cell>
          <cell r="B1427">
            <v>42697</v>
          </cell>
          <cell r="C1427" t="str">
            <v>NOVIEMBRE</v>
          </cell>
          <cell r="D1427" t="str">
            <v>2016</v>
          </cell>
          <cell r="E1427">
            <v>367</v>
          </cell>
          <cell r="F1427" t="str">
            <v>B2L-889</v>
          </cell>
          <cell r="G1427" t="str">
            <v>CAMION</v>
          </cell>
          <cell r="H1427" t="str">
            <v>TAMBOMAYO</v>
          </cell>
          <cell r="I1427">
            <v>120679</v>
          </cell>
          <cell r="J1427" t="str">
            <v>REPUESTO</v>
          </cell>
          <cell r="K1427" t="str">
            <v>BATERIAS</v>
          </cell>
          <cell r="L1427">
            <v>2</v>
          </cell>
          <cell r="M1427" t="str">
            <v>UNID.</v>
          </cell>
          <cell r="N1427" t="str">
            <v>CAMION</v>
          </cell>
          <cell r="O1427">
            <v>93</v>
          </cell>
          <cell r="P1427" t="str">
            <v>E1</v>
          </cell>
          <cell r="Q1427" t="str">
            <v>J1</v>
          </cell>
          <cell r="R1427" t="str">
            <v>J6</v>
          </cell>
          <cell r="S1427" t="str">
            <v>ENTREGADO</v>
          </cell>
          <cell r="T1427">
            <v>0</v>
          </cell>
          <cell r="U1427" t="str">
            <v>PALOMINO CARDENAS JUAN CARLOS</v>
          </cell>
          <cell r="V1427" t="str">
            <v>FLOREZ CONDORI  JOSE WILLIANS</v>
          </cell>
        </row>
        <row r="1428">
          <cell r="A1428">
            <v>1437</v>
          </cell>
          <cell r="B1428">
            <v>42697</v>
          </cell>
          <cell r="C1428" t="str">
            <v>NOVIEMBRE</v>
          </cell>
          <cell r="D1428" t="str">
            <v>2016</v>
          </cell>
          <cell r="E1428">
            <v>400</v>
          </cell>
          <cell r="F1428" t="str">
            <v>B2M-948</v>
          </cell>
          <cell r="G1428" t="str">
            <v>CAMION</v>
          </cell>
          <cell r="H1428" t="str">
            <v>TAMBOMAYO</v>
          </cell>
          <cell r="I1428">
            <v>113240</v>
          </cell>
          <cell r="J1428" t="str">
            <v>REPUESTO</v>
          </cell>
          <cell r="K1428" t="str">
            <v>PLATINA 3/16" X 2" X 6 M</v>
          </cell>
          <cell r="L1428">
            <v>1</v>
          </cell>
          <cell r="M1428" t="str">
            <v>UNID.</v>
          </cell>
          <cell r="N1428" t="str">
            <v>CAMION</v>
          </cell>
          <cell r="O1428">
            <v>0</v>
          </cell>
          <cell r="P1428" t="str">
            <v>S2</v>
          </cell>
          <cell r="Q1428" t="str">
            <v>J2</v>
          </cell>
          <cell r="R1428" t="str">
            <v>J6</v>
          </cell>
          <cell r="S1428" t="str">
            <v>ENTREGADO</v>
          </cell>
          <cell r="T1428">
            <v>42697</v>
          </cell>
          <cell r="U1428" t="str">
            <v>PALOMINO ESTRADA  MICHEL</v>
          </cell>
          <cell r="V1428" t="str">
            <v>CORIHUAMAN SURCO  ERICK ROBERT</v>
          </cell>
        </row>
        <row r="1429">
          <cell r="A1429">
            <v>1457</v>
          </cell>
          <cell r="B1429">
            <v>42697</v>
          </cell>
          <cell r="C1429" t="str">
            <v>NOVIEMBRE</v>
          </cell>
          <cell r="D1429" t="str">
            <v>2016</v>
          </cell>
          <cell r="E1429">
            <v>400</v>
          </cell>
          <cell r="F1429" t="str">
            <v>B2M-948</v>
          </cell>
          <cell r="G1429" t="str">
            <v>CAMION</v>
          </cell>
          <cell r="H1429" t="str">
            <v>TAMBOMAYO</v>
          </cell>
          <cell r="I1429">
            <v>113240</v>
          </cell>
          <cell r="J1429" t="str">
            <v>REPUESTO</v>
          </cell>
          <cell r="K1429" t="str">
            <v>AGUA REFRIGERANTE</v>
          </cell>
          <cell r="L1429">
            <v>2</v>
          </cell>
          <cell r="M1429" t="str">
            <v>GLNS.</v>
          </cell>
          <cell r="N1429" t="str">
            <v>CAMION</v>
          </cell>
          <cell r="O1429">
            <v>0</v>
          </cell>
          <cell r="P1429" t="str">
            <v>M5</v>
          </cell>
          <cell r="Q1429" t="str">
            <v>J1</v>
          </cell>
          <cell r="R1429" t="str">
            <v>J6</v>
          </cell>
          <cell r="S1429" t="str">
            <v>ENTREGADO</v>
          </cell>
          <cell r="T1429">
            <v>42697</v>
          </cell>
          <cell r="U1429" t="str">
            <v>LOPEZ RUIZ WILBERTO</v>
          </cell>
          <cell r="V1429" t="str">
            <v>FLOREZ CONDORI  JOSE WILLIANS</v>
          </cell>
        </row>
        <row r="1430">
          <cell r="A1430">
            <v>1458</v>
          </cell>
          <cell r="B1430">
            <v>42697</v>
          </cell>
          <cell r="C1430" t="str">
            <v>NOVIEMBRE</v>
          </cell>
          <cell r="D1430" t="str">
            <v>2016</v>
          </cell>
          <cell r="E1430">
            <v>400</v>
          </cell>
          <cell r="F1430" t="str">
            <v>B2M-948</v>
          </cell>
          <cell r="G1430" t="str">
            <v>CAMION</v>
          </cell>
          <cell r="H1430" t="str">
            <v>TAMBOMAYO</v>
          </cell>
          <cell r="I1430">
            <v>113240</v>
          </cell>
          <cell r="J1430" t="str">
            <v>REPUESTO</v>
          </cell>
          <cell r="K1430" t="str">
            <v>EMPAQUE DE CULATA</v>
          </cell>
          <cell r="L1430">
            <v>1</v>
          </cell>
          <cell r="M1430" t="str">
            <v>UNID.</v>
          </cell>
          <cell r="N1430" t="str">
            <v>CAMION</v>
          </cell>
          <cell r="O1430">
            <v>93</v>
          </cell>
          <cell r="P1430" t="str">
            <v>M5</v>
          </cell>
          <cell r="Q1430" t="str">
            <v>J2</v>
          </cell>
          <cell r="R1430" t="str">
            <v>J6</v>
          </cell>
          <cell r="S1430" t="str">
            <v>ENTREGADO</v>
          </cell>
          <cell r="T1430">
            <v>0</v>
          </cell>
          <cell r="U1430" t="str">
            <v>LOPEZ RUIZ WILBERTO</v>
          </cell>
          <cell r="V1430" t="str">
            <v>CORIHUAMAN SURCO  ERICK ROBERT</v>
          </cell>
        </row>
        <row r="1431">
          <cell r="A1431">
            <v>1459</v>
          </cell>
          <cell r="B1431">
            <v>42697</v>
          </cell>
          <cell r="C1431" t="str">
            <v>NOVIEMBRE</v>
          </cell>
          <cell r="D1431" t="str">
            <v>2016</v>
          </cell>
          <cell r="E1431">
            <v>400</v>
          </cell>
          <cell r="F1431" t="str">
            <v>B2M-948</v>
          </cell>
          <cell r="G1431" t="str">
            <v>CAMION</v>
          </cell>
          <cell r="H1431" t="str">
            <v>TAMBOMAYO</v>
          </cell>
          <cell r="I1431">
            <v>113240</v>
          </cell>
          <cell r="J1431" t="str">
            <v>REPUESTO</v>
          </cell>
          <cell r="K1431" t="str">
            <v>EMPAQUE DE MULTIPLE DE ESCAPE</v>
          </cell>
          <cell r="L1431">
            <v>1</v>
          </cell>
          <cell r="M1431" t="str">
            <v>UNID.</v>
          </cell>
          <cell r="N1431" t="str">
            <v>CAMION</v>
          </cell>
          <cell r="O1431">
            <v>93</v>
          </cell>
          <cell r="P1431" t="str">
            <v>M5</v>
          </cell>
          <cell r="Q1431" t="str">
            <v>J2</v>
          </cell>
          <cell r="R1431" t="str">
            <v>J6</v>
          </cell>
          <cell r="S1431" t="str">
            <v>ENTREGADO</v>
          </cell>
          <cell r="T1431">
            <v>0</v>
          </cell>
          <cell r="U1431" t="str">
            <v>LOPEZ RUIZ WILBERTO</v>
          </cell>
          <cell r="V1431" t="str">
            <v>CORIHUAMAN SURCO  ERICK ROBERT</v>
          </cell>
        </row>
        <row r="1432">
          <cell r="A1432">
            <v>1394</v>
          </cell>
          <cell r="B1432">
            <v>42697</v>
          </cell>
          <cell r="C1432" t="str">
            <v>NOVIEMBRE</v>
          </cell>
          <cell r="D1432" t="str">
            <v>2016</v>
          </cell>
          <cell r="E1432">
            <v>372</v>
          </cell>
          <cell r="F1432" t="str">
            <v>C5R-892</v>
          </cell>
          <cell r="G1432" t="str">
            <v>A0T-983</v>
          </cell>
          <cell r="H1432" t="str">
            <v>LAS BAMBAS</v>
          </cell>
          <cell r="I1432">
            <v>225360</v>
          </cell>
          <cell r="J1432" t="str">
            <v>REPUESTO</v>
          </cell>
          <cell r="K1432" t="str">
            <v>RETEN DE CIGÜEÑAL</v>
          </cell>
          <cell r="L1432">
            <v>1</v>
          </cell>
          <cell r="M1432" t="str">
            <v>UNID.</v>
          </cell>
          <cell r="N1432" t="str">
            <v>TRACTO</v>
          </cell>
          <cell r="O1432">
            <v>93</v>
          </cell>
          <cell r="P1432" t="str">
            <v>M2</v>
          </cell>
          <cell r="Q1432" t="str">
            <v>J1</v>
          </cell>
          <cell r="R1432" t="str">
            <v>J6</v>
          </cell>
          <cell r="S1432" t="str">
            <v>ENTREGADO</v>
          </cell>
          <cell r="T1432">
            <v>0</v>
          </cell>
          <cell r="U1432" t="str">
            <v>CHUMPITAZ GAGO JULIO ENRIQUE</v>
          </cell>
          <cell r="V1432" t="str">
            <v>FLOREZ CONDORI  JOSE WILLIANS</v>
          </cell>
        </row>
        <row r="1433">
          <cell r="A1433">
            <v>1395</v>
          </cell>
          <cell r="B1433">
            <v>42697</v>
          </cell>
          <cell r="C1433" t="str">
            <v>NOVIEMBRE</v>
          </cell>
          <cell r="D1433" t="str">
            <v>2016</v>
          </cell>
          <cell r="E1433">
            <v>372</v>
          </cell>
          <cell r="F1433" t="str">
            <v>C5R-892</v>
          </cell>
          <cell r="G1433" t="str">
            <v>A0T-983</v>
          </cell>
          <cell r="H1433" t="str">
            <v>LAS BAMBAS</v>
          </cell>
          <cell r="I1433">
            <v>225360</v>
          </cell>
          <cell r="J1433" t="str">
            <v>REPUESTO</v>
          </cell>
          <cell r="K1433" t="str">
            <v>PERNOS SOPORTE DE CAMPANA DE MOTOR</v>
          </cell>
          <cell r="L1433">
            <v>3</v>
          </cell>
          <cell r="M1433" t="str">
            <v>UNID.</v>
          </cell>
          <cell r="N1433" t="str">
            <v>TRACTO</v>
          </cell>
          <cell r="O1433">
            <v>93</v>
          </cell>
          <cell r="P1433" t="str">
            <v>M2</v>
          </cell>
          <cell r="Q1433" t="str">
            <v>J1</v>
          </cell>
          <cell r="R1433" t="str">
            <v>J6</v>
          </cell>
          <cell r="S1433" t="str">
            <v>ENTREGADO</v>
          </cell>
          <cell r="T1433">
            <v>0</v>
          </cell>
          <cell r="U1433" t="str">
            <v>CHUMPITAZ GAGO JULIO ENRIQUE</v>
          </cell>
          <cell r="V1433" t="str">
            <v>FLOREZ CONDORI  JOSE WILLIANS</v>
          </cell>
        </row>
        <row r="1434">
          <cell r="A1434">
            <v>1396</v>
          </cell>
          <cell r="B1434">
            <v>42697</v>
          </cell>
          <cell r="C1434" t="str">
            <v>NOVIEMBRE</v>
          </cell>
          <cell r="D1434" t="str">
            <v>2016</v>
          </cell>
          <cell r="E1434">
            <v>372</v>
          </cell>
          <cell r="F1434" t="str">
            <v>C5R-892</v>
          </cell>
          <cell r="G1434" t="str">
            <v>A0T-983</v>
          </cell>
          <cell r="H1434" t="str">
            <v>LAS BAMBAS</v>
          </cell>
          <cell r="I1434">
            <v>225360</v>
          </cell>
          <cell r="J1434" t="str">
            <v>REPUESTO</v>
          </cell>
          <cell r="K1434" t="str">
            <v>SILICONA SLP</v>
          </cell>
          <cell r="L1434">
            <v>1</v>
          </cell>
          <cell r="M1434" t="str">
            <v>UNID.</v>
          </cell>
          <cell r="N1434" t="str">
            <v>TRACTO</v>
          </cell>
          <cell r="O1434">
            <v>93</v>
          </cell>
          <cell r="P1434" t="str">
            <v>M2</v>
          </cell>
          <cell r="Q1434" t="str">
            <v>J1</v>
          </cell>
          <cell r="R1434" t="str">
            <v>J6</v>
          </cell>
          <cell r="S1434" t="str">
            <v>ENTREGADO</v>
          </cell>
          <cell r="T1434">
            <v>0</v>
          </cell>
          <cell r="U1434" t="str">
            <v>CHUMPITAZ GAGO JULIO ENRIQUE</v>
          </cell>
          <cell r="V1434" t="str">
            <v>FLOREZ CONDORI  JOSE WILLIANS</v>
          </cell>
        </row>
        <row r="1435">
          <cell r="A1435">
            <v>1481</v>
          </cell>
          <cell r="B1435">
            <v>42697</v>
          </cell>
          <cell r="C1435" t="str">
            <v>NOVIEMBRE</v>
          </cell>
          <cell r="D1435" t="str">
            <v>2016</v>
          </cell>
          <cell r="E1435">
            <v>372</v>
          </cell>
          <cell r="F1435" t="str">
            <v>C5R-892</v>
          </cell>
          <cell r="G1435" t="str">
            <v>A0T-983</v>
          </cell>
          <cell r="H1435" t="str">
            <v>LAS BAMBAS</v>
          </cell>
          <cell r="I1435">
            <v>225360</v>
          </cell>
          <cell r="J1435" t="str">
            <v>REPUESTO</v>
          </cell>
          <cell r="K1435" t="str">
            <v>SOPORTE DE MOTOR POSTERIOR</v>
          </cell>
          <cell r="L1435">
            <v>2</v>
          </cell>
          <cell r="M1435" t="str">
            <v>UNID.</v>
          </cell>
          <cell r="N1435" t="str">
            <v>TRACTO</v>
          </cell>
          <cell r="O1435">
            <v>93</v>
          </cell>
          <cell r="P1435" t="str">
            <v>M2</v>
          </cell>
          <cell r="Q1435" t="str">
            <v>J1</v>
          </cell>
          <cell r="R1435" t="str">
            <v>J1</v>
          </cell>
          <cell r="S1435" t="str">
            <v>ENTREGADO</v>
          </cell>
          <cell r="T1435">
            <v>0</v>
          </cell>
          <cell r="U1435" t="str">
            <v>CHUMPITAZ GAGO JULIO ENRIQUE</v>
          </cell>
          <cell r="V1435" t="str">
            <v>FLOREZ CONDORI  JOSE WILLIANS</v>
          </cell>
        </row>
        <row r="1436">
          <cell r="A1436">
            <v>1482</v>
          </cell>
          <cell r="B1436">
            <v>42697</v>
          </cell>
          <cell r="C1436" t="str">
            <v>NOVIEMBRE</v>
          </cell>
          <cell r="D1436" t="str">
            <v>2016</v>
          </cell>
          <cell r="E1436">
            <v>372</v>
          </cell>
          <cell r="F1436" t="str">
            <v>C5R-892</v>
          </cell>
          <cell r="G1436" t="str">
            <v>A0T-983</v>
          </cell>
          <cell r="H1436" t="str">
            <v>LAS BAMBAS</v>
          </cell>
          <cell r="I1436">
            <v>225360</v>
          </cell>
          <cell r="J1436" t="str">
            <v>REPUESTO</v>
          </cell>
          <cell r="K1436" t="str">
            <v>EMBRAGUE COMPLETO</v>
          </cell>
          <cell r="L1436">
            <v>1</v>
          </cell>
          <cell r="M1436" t="str">
            <v>UNID.</v>
          </cell>
          <cell r="N1436" t="str">
            <v>TRACTO</v>
          </cell>
          <cell r="O1436">
            <v>93</v>
          </cell>
          <cell r="P1436" t="str">
            <v>M2</v>
          </cell>
          <cell r="Q1436" t="str">
            <v>J1</v>
          </cell>
          <cell r="R1436" t="str">
            <v>J1</v>
          </cell>
          <cell r="S1436" t="str">
            <v>ENTREGADO</v>
          </cell>
          <cell r="T1436">
            <v>0</v>
          </cell>
          <cell r="U1436" t="str">
            <v>CHUMPITAZ GAGO JULIO ENRIQUE</v>
          </cell>
          <cell r="V1436" t="str">
            <v>FLOREZ CONDORI  JOSE WILLIANS</v>
          </cell>
        </row>
        <row r="1437">
          <cell r="A1437">
            <v>1421</v>
          </cell>
          <cell r="B1437">
            <v>42697</v>
          </cell>
          <cell r="C1437" t="str">
            <v>NOVIEMBRE</v>
          </cell>
          <cell r="D1437" t="str">
            <v>2016</v>
          </cell>
          <cell r="E1437">
            <v>383</v>
          </cell>
          <cell r="F1437" t="str">
            <v>C5R-895</v>
          </cell>
          <cell r="G1437" t="str">
            <v>TBL-976</v>
          </cell>
          <cell r="H1437" t="str">
            <v>LAS BAMBAS</v>
          </cell>
          <cell r="I1437">
            <v>167570</v>
          </cell>
          <cell r="J1437" t="str">
            <v>REPUESTO</v>
          </cell>
          <cell r="K1437" t="str">
            <v>SOPORTE DE CARDAN</v>
          </cell>
          <cell r="L1437">
            <v>1</v>
          </cell>
          <cell r="M1437" t="str">
            <v>UNID.</v>
          </cell>
          <cell r="N1437" t="str">
            <v>CISTERNA</v>
          </cell>
          <cell r="O1437">
            <v>93</v>
          </cell>
          <cell r="P1437" t="str">
            <v>M1</v>
          </cell>
          <cell r="Q1437" t="str">
            <v>J1</v>
          </cell>
          <cell r="R1437" t="str">
            <v>J6</v>
          </cell>
          <cell r="S1437" t="str">
            <v>ENTREGADO</v>
          </cell>
          <cell r="T1437">
            <v>0</v>
          </cell>
          <cell r="U1437" t="str">
            <v>CABEZAS SANCHEZ JEAN JHONATAN</v>
          </cell>
          <cell r="V1437" t="str">
            <v>FLOREZ CONDORI  JOSE WILLIANS</v>
          </cell>
        </row>
        <row r="1438">
          <cell r="A1438">
            <v>1430</v>
          </cell>
          <cell r="B1438">
            <v>42697</v>
          </cell>
          <cell r="C1438" t="str">
            <v>NOVIEMBRE</v>
          </cell>
          <cell r="D1438" t="str">
            <v>2016</v>
          </cell>
          <cell r="E1438">
            <v>383</v>
          </cell>
          <cell r="F1438" t="str">
            <v>C5R-895</v>
          </cell>
          <cell r="G1438" t="str">
            <v>TBL-976</v>
          </cell>
          <cell r="H1438" t="str">
            <v>LAS BAMBAS</v>
          </cell>
          <cell r="I1438">
            <v>167570</v>
          </cell>
          <cell r="J1438" t="str">
            <v>REPUESTO</v>
          </cell>
          <cell r="K1438" t="str">
            <v>PITONES RECTOS</v>
          </cell>
          <cell r="L1438">
            <v>8</v>
          </cell>
          <cell r="M1438" t="str">
            <v>UNID.</v>
          </cell>
          <cell r="N1438" t="str">
            <v>TRACTO</v>
          </cell>
          <cell r="O1438">
            <v>93</v>
          </cell>
          <cell r="P1438" t="str">
            <v>N1</v>
          </cell>
          <cell r="Q1438" t="str">
            <v>J3</v>
          </cell>
          <cell r="R1438" t="str">
            <v>J6</v>
          </cell>
          <cell r="S1438" t="str">
            <v>ENTREGADO</v>
          </cell>
          <cell r="T1438">
            <v>0</v>
          </cell>
          <cell r="U1438" t="str">
            <v>AGUILAR CCANTUTA WILLY</v>
          </cell>
          <cell r="V1438" t="str">
            <v>CHURA PIZARRO ALBERTO</v>
          </cell>
        </row>
        <row r="1439">
          <cell r="A1439">
            <v>1431</v>
          </cell>
          <cell r="B1439">
            <v>42697</v>
          </cell>
          <cell r="C1439" t="str">
            <v>NOVIEMBRE</v>
          </cell>
          <cell r="D1439" t="str">
            <v>2016</v>
          </cell>
          <cell r="E1439">
            <v>383</v>
          </cell>
          <cell r="F1439" t="str">
            <v>C5R-895</v>
          </cell>
          <cell r="G1439" t="str">
            <v>TBL-976</v>
          </cell>
          <cell r="H1439" t="str">
            <v>LAS BAMBAS</v>
          </cell>
          <cell r="I1439">
            <v>167570</v>
          </cell>
          <cell r="J1439" t="str">
            <v>REPUESTO</v>
          </cell>
          <cell r="K1439" t="str">
            <v>AGUJAS DE PITON</v>
          </cell>
          <cell r="L1439">
            <v>8</v>
          </cell>
          <cell r="M1439" t="str">
            <v>UNID.</v>
          </cell>
          <cell r="N1439" t="str">
            <v>TRACTO</v>
          </cell>
          <cell r="O1439">
            <v>93</v>
          </cell>
          <cell r="P1439" t="str">
            <v>N1</v>
          </cell>
          <cell r="Q1439" t="str">
            <v>J3</v>
          </cell>
          <cell r="R1439" t="str">
            <v>J6</v>
          </cell>
          <cell r="S1439" t="str">
            <v>ENTREGADO</v>
          </cell>
          <cell r="T1439">
            <v>0</v>
          </cell>
          <cell r="U1439" t="str">
            <v>AGUILAR CCANTUTA WILLY</v>
          </cell>
          <cell r="V1439" t="str">
            <v>CHURA PIZARRO ALBERTO</v>
          </cell>
        </row>
        <row r="1440">
          <cell r="A1440">
            <v>1432</v>
          </cell>
          <cell r="B1440">
            <v>42697</v>
          </cell>
          <cell r="C1440" t="str">
            <v>NOVIEMBRE</v>
          </cell>
          <cell r="D1440" t="str">
            <v>2016</v>
          </cell>
          <cell r="E1440">
            <v>383</v>
          </cell>
          <cell r="F1440" t="str">
            <v>C5R-895</v>
          </cell>
          <cell r="G1440" t="str">
            <v>TBL-976</v>
          </cell>
          <cell r="H1440" t="str">
            <v>LAS BAMBAS</v>
          </cell>
          <cell r="I1440">
            <v>167570</v>
          </cell>
          <cell r="J1440" t="str">
            <v>REPUESTO</v>
          </cell>
          <cell r="K1440" t="str">
            <v>FILTRO DE ACEITE</v>
          </cell>
          <cell r="L1440">
            <v>2</v>
          </cell>
          <cell r="M1440" t="str">
            <v>UNID.</v>
          </cell>
          <cell r="N1440" t="str">
            <v>TRACTO</v>
          </cell>
          <cell r="O1440">
            <v>93</v>
          </cell>
          <cell r="P1440" t="str">
            <v>M1</v>
          </cell>
          <cell r="Q1440" t="str">
            <v>J2</v>
          </cell>
          <cell r="R1440" t="str">
            <v>J6</v>
          </cell>
          <cell r="S1440" t="str">
            <v>ENTREGADO</v>
          </cell>
          <cell r="T1440">
            <v>0</v>
          </cell>
          <cell r="U1440" t="str">
            <v>CABEZAS SANCHEZ JEAN JHONATAN</v>
          </cell>
          <cell r="V1440" t="str">
            <v>CORIHUAMAN SURCO  ERICK ROBERT</v>
          </cell>
        </row>
        <row r="1441">
          <cell r="A1441">
            <v>1433</v>
          </cell>
          <cell r="B1441">
            <v>42697</v>
          </cell>
          <cell r="C1441" t="str">
            <v>NOVIEMBRE</v>
          </cell>
          <cell r="D1441" t="str">
            <v>2016</v>
          </cell>
          <cell r="E1441">
            <v>383</v>
          </cell>
          <cell r="F1441" t="str">
            <v>C5R-895</v>
          </cell>
          <cell r="G1441" t="str">
            <v>TBL-976</v>
          </cell>
          <cell r="H1441" t="str">
            <v>LAS BAMBAS</v>
          </cell>
          <cell r="I1441">
            <v>167570</v>
          </cell>
          <cell r="J1441" t="str">
            <v>REPUESTO</v>
          </cell>
          <cell r="K1441" t="str">
            <v>FILTRO DE AIRE PRIMARIO</v>
          </cell>
          <cell r="L1441">
            <v>1</v>
          </cell>
          <cell r="M1441" t="str">
            <v>UNID.</v>
          </cell>
          <cell r="N1441" t="str">
            <v>TRACTO</v>
          </cell>
          <cell r="O1441">
            <v>93</v>
          </cell>
          <cell r="P1441" t="str">
            <v>M1</v>
          </cell>
          <cell r="Q1441" t="str">
            <v>J2</v>
          </cell>
          <cell r="R1441" t="str">
            <v>J6</v>
          </cell>
          <cell r="S1441" t="str">
            <v>ENTREGADO</v>
          </cell>
          <cell r="T1441">
            <v>0</v>
          </cell>
          <cell r="U1441" t="str">
            <v>CABEZAS SANCHEZ JEAN JHONATAN</v>
          </cell>
          <cell r="V1441" t="str">
            <v>CORIHUAMAN SURCO  ERICK ROBERT</v>
          </cell>
        </row>
        <row r="1442">
          <cell r="A1442">
            <v>1434</v>
          </cell>
          <cell r="B1442">
            <v>42697</v>
          </cell>
          <cell r="C1442" t="str">
            <v>NOVIEMBRE</v>
          </cell>
          <cell r="D1442" t="str">
            <v>2016</v>
          </cell>
          <cell r="E1442">
            <v>383</v>
          </cell>
          <cell r="F1442" t="str">
            <v>C5R-895</v>
          </cell>
          <cell r="G1442" t="str">
            <v>TBL-976</v>
          </cell>
          <cell r="H1442" t="str">
            <v>LAS BAMBAS</v>
          </cell>
          <cell r="I1442">
            <v>167570</v>
          </cell>
          <cell r="J1442" t="str">
            <v>REPUESTO</v>
          </cell>
          <cell r="K1442" t="str">
            <v>FILTRO DE COMBUSTIBLE CHICP</v>
          </cell>
          <cell r="L1442">
            <v>1</v>
          </cell>
          <cell r="M1442" t="str">
            <v>UNID.</v>
          </cell>
          <cell r="N1442" t="str">
            <v>TRACTO</v>
          </cell>
          <cell r="O1442">
            <v>93</v>
          </cell>
          <cell r="P1442" t="str">
            <v>M1</v>
          </cell>
          <cell r="Q1442" t="str">
            <v>J2</v>
          </cell>
          <cell r="R1442" t="str">
            <v>J6</v>
          </cell>
          <cell r="S1442" t="str">
            <v>ENTREGADO</v>
          </cell>
          <cell r="T1442">
            <v>0</v>
          </cell>
          <cell r="U1442" t="str">
            <v>CABEZAS SANCHEZ JEAN JHONATAN</v>
          </cell>
          <cell r="V1442" t="str">
            <v>CORIHUAMAN SURCO  ERICK ROBERT</v>
          </cell>
        </row>
        <row r="1443">
          <cell r="A1443">
            <v>1435</v>
          </cell>
          <cell r="B1443">
            <v>42697</v>
          </cell>
          <cell r="C1443" t="str">
            <v>NOVIEMBRE</v>
          </cell>
          <cell r="D1443" t="str">
            <v>2016</v>
          </cell>
          <cell r="E1443">
            <v>383</v>
          </cell>
          <cell r="F1443" t="str">
            <v>C5R-895</v>
          </cell>
          <cell r="G1443" t="str">
            <v>TBL-976</v>
          </cell>
          <cell r="H1443" t="str">
            <v>LAS BAMBAS</v>
          </cell>
          <cell r="I1443">
            <v>167570</v>
          </cell>
          <cell r="J1443" t="str">
            <v>REPUESTO</v>
          </cell>
          <cell r="K1443" t="str">
            <v>FILTRO DE COMBUSTIBLE VALVULA</v>
          </cell>
          <cell r="L1443">
            <v>1</v>
          </cell>
          <cell r="M1443" t="str">
            <v>UNID.</v>
          </cell>
          <cell r="N1443" t="str">
            <v>TRACTO</v>
          </cell>
          <cell r="O1443">
            <v>93</v>
          </cell>
          <cell r="P1443" t="str">
            <v>M1</v>
          </cell>
          <cell r="Q1443" t="str">
            <v>J2</v>
          </cell>
          <cell r="R1443" t="str">
            <v>J6</v>
          </cell>
          <cell r="S1443" t="str">
            <v>ENTREGADO</v>
          </cell>
          <cell r="T1443">
            <v>0</v>
          </cell>
          <cell r="U1443" t="str">
            <v>CABEZAS SANCHEZ JEAN JHONATAN</v>
          </cell>
          <cell r="V1443" t="str">
            <v>CORIHUAMAN SURCO  ERICK ROBERT</v>
          </cell>
        </row>
        <row r="1444">
          <cell r="A1444">
            <v>1436</v>
          </cell>
          <cell r="B1444">
            <v>42697</v>
          </cell>
          <cell r="C1444" t="str">
            <v>NOVIEMBRE</v>
          </cell>
          <cell r="D1444" t="str">
            <v>2016</v>
          </cell>
          <cell r="E1444">
            <v>383</v>
          </cell>
          <cell r="F1444" t="str">
            <v>C5R-895</v>
          </cell>
          <cell r="G1444" t="str">
            <v>TBL-976</v>
          </cell>
          <cell r="H1444" t="str">
            <v>LAS BAMBAS</v>
          </cell>
          <cell r="I1444">
            <v>167570</v>
          </cell>
          <cell r="J1444" t="str">
            <v>REPUESTO</v>
          </cell>
          <cell r="K1444" t="str">
            <v>ACEITE 15W40</v>
          </cell>
          <cell r="L1444">
            <v>10</v>
          </cell>
          <cell r="M1444" t="str">
            <v>UNID.</v>
          </cell>
          <cell r="N1444" t="str">
            <v>TRACTO</v>
          </cell>
          <cell r="O1444">
            <v>93</v>
          </cell>
          <cell r="P1444" t="str">
            <v>M1</v>
          </cell>
          <cell r="Q1444" t="str">
            <v>J2</v>
          </cell>
          <cell r="R1444" t="str">
            <v>J6</v>
          </cell>
          <cell r="S1444" t="str">
            <v>ENTREGADO</v>
          </cell>
          <cell r="T1444">
            <v>0</v>
          </cell>
          <cell r="U1444" t="str">
            <v>CABEZAS SANCHEZ JEAN JHONATAN</v>
          </cell>
          <cell r="V1444" t="str">
            <v>CORIHUAMAN SURCO  ERICK ROBERT</v>
          </cell>
        </row>
        <row r="1445">
          <cell r="A1445">
            <v>1472</v>
          </cell>
          <cell r="B1445">
            <v>42697</v>
          </cell>
          <cell r="C1445" t="str">
            <v>NOVIEMBRE</v>
          </cell>
          <cell r="D1445" t="str">
            <v>2016</v>
          </cell>
          <cell r="E1445">
            <v>383</v>
          </cell>
          <cell r="F1445" t="str">
            <v>C5R-895</v>
          </cell>
          <cell r="G1445" t="str">
            <v>TBL-976</v>
          </cell>
          <cell r="H1445" t="str">
            <v>LAS BAMBAS</v>
          </cell>
          <cell r="I1445">
            <v>167570</v>
          </cell>
          <cell r="J1445" t="str">
            <v>REPUESTO</v>
          </cell>
          <cell r="K1445" t="str">
            <v>ACCESORIOS DE PULPO</v>
          </cell>
          <cell r="L1445">
            <v>1</v>
          </cell>
          <cell r="M1445" t="str">
            <v>UNID.</v>
          </cell>
          <cell r="N1445" t="str">
            <v>CISTERNA</v>
          </cell>
          <cell r="O1445">
            <v>93</v>
          </cell>
          <cell r="P1445" t="str">
            <v>M1</v>
          </cell>
          <cell r="Q1445" t="str">
            <v>J1</v>
          </cell>
          <cell r="R1445" t="str">
            <v>J1</v>
          </cell>
          <cell r="S1445" t="str">
            <v>ENTREGADO</v>
          </cell>
          <cell r="T1445">
            <v>0</v>
          </cell>
          <cell r="U1445" t="str">
            <v>CABEZAS SANCHEZ JEAN JHONATAN</v>
          </cell>
          <cell r="V1445" t="str">
            <v>FLOREZ CONDORI  JOSE WILLIANS</v>
          </cell>
        </row>
        <row r="1446">
          <cell r="A1446">
            <v>1429</v>
          </cell>
          <cell r="B1446">
            <v>42697</v>
          </cell>
          <cell r="C1446" t="str">
            <v>NOVIEMBRE</v>
          </cell>
          <cell r="D1446" t="str">
            <v>2016</v>
          </cell>
          <cell r="E1446">
            <v>383</v>
          </cell>
          <cell r="F1446" t="str">
            <v>C5R-895</v>
          </cell>
          <cell r="G1446" t="str">
            <v>TBL-976</v>
          </cell>
          <cell r="H1446" t="str">
            <v>LAS BAMBAS</v>
          </cell>
          <cell r="I1446">
            <v>167570</v>
          </cell>
          <cell r="J1446" t="str">
            <v>REPUESTO</v>
          </cell>
          <cell r="K1446" t="str">
            <v>LLANTAS DE TRACCION</v>
          </cell>
          <cell r="L1446">
            <v>8</v>
          </cell>
          <cell r="M1446" t="str">
            <v>UNID.</v>
          </cell>
          <cell r="N1446" t="str">
            <v>TRACTO</v>
          </cell>
          <cell r="O1446">
            <v>93</v>
          </cell>
          <cell r="P1446" t="str">
            <v>N1</v>
          </cell>
          <cell r="Q1446" t="str">
            <v>J3</v>
          </cell>
          <cell r="R1446" t="str">
            <v>J6</v>
          </cell>
          <cell r="S1446" t="str">
            <v>ENTREGADO</v>
          </cell>
          <cell r="T1446">
            <v>0</v>
          </cell>
          <cell r="U1446" t="str">
            <v>AGUILAR CCANTUTA WILLY</v>
          </cell>
          <cell r="V1446" t="str">
            <v>CHURA PIZARRO ALBERTO</v>
          </cell>
        </row>
        <row r="1447">
          <cell r="A1447">
            <v>1402</v>
          </cell>
          <cell r="B1447">
            <v>42697</v>
          </cell>
          <cell r="C1447" t="str">
            <v>NOVIEMBRE</v>
          </cell>
          <cell r="D1447" t="str">
            <v>2016</v>
          </cell>
          <cell r="E1447">
            <v>377</v>
          </cell>
          <cell r="F1447" t="str">
            <v>C9M-902</v>
          </cell>
          <cell r="G1447" t="str">
            <v>B8L-970</v>
          </cell>
          <cell r="H1447" t="str">
            <v>LAS BAMBAS</v>
          </cell>
          <cell r="I1447">
            <v>208513</v>
          </cell>
          <cell r="J1447" t="str">
            <v>REPUESTO</v>
          </cell>
          <cell r="K1447" t="str">
            <v>DISCO DE TORNAMESA C/ SEGURO</v>
          </cell>
          <cell r="L1447">
            <v>1</v>
          </cell>
          <cell r="M1447" t="str">
            <v>UNID.</v>
          </cell>
          <cell r="N1447" t="str">
            <v>TRACTO</v>
          </cell>
          <cell r="O1447">
            <v>93</v>
          </cell>
          <cell r="P1447" t="str">
            <v>M1</v>
          </cell>
          <cell r="Q1447" t="str">
            <v>J1</v>
          </cell>
          <cell r="R1447" t="str">
            <v>J5</v>
          </cell>
          <cell r="S1447" t="str">
            <v>ENTREGADO</v>
          </cell>
          <cell r="T1447">
            <v>0</v>
          </cell>
          <cell r="U1447" t="str">
            <v>CABEZAS SANCHEZ JEAN JHONATAN</v>
          </cell>
          <cell r="V1447" t="str">
            <v>FLOREZ CONDORI  JOSE WILLIANS</v>
          </cell>
        </row>
        <row r="1448">
          <cell r="A1448">
            <v>1454</v>
          </cell>
          <cell r="B1448">
            <v>42697</v>
          </cell>
          <cell r="C1448" t="str">
            <v>NOVIEMBRE</v>
          </cell>
          <cell r="D1448" t="str">
            <v>2016</v>
          </cell>
          <cell r="E1448">
            <v>377</v>
          </cell>
          <cell r="F1448" t="str">
            <v>C9M-902</v>
          </cell>
          <cell r="G1448" t="str">
            <v>B8L-970</v>
          </cell>
          <cell r="H1448" t="str">
            <v>LAS BAMBAS</v>
          </cell>
          <cell r="I1448">
            <v>208513</v>
          </cell>
          <cell r="J1448" t="str">
            <v>REPUESTO</v>
          </cell>
          <cell r="K1448" t="str">
            <v>TAPA DE ESCULLI</v>
          </cell>
          <cell r="L1448">
            <v>1</v>
          </cell>
          <cell r="M1448" t="str">
            <v>UNID.</v>
          </cell>
          <cell r="N1448" t="str">
            <v>CISTERNA</v>
          </cell>
          <cell r="O1448">
            <v>0</v>
          </cell>
          <cell r="P1448" t="str">
            <v>M5</v>
          </cell>
          <cell r="Q1448" t="str">
            <v>J1</v>
          </cell>
          <cell r="R1448" t="str">
            <v>J6</v>
          </cell>
          <cell r="S1448" t="str">
            <v>ENTREGADO</v>
          </cell>
          <cell r="T1448">
            <v>42697</v>
          </cell>
          <cell r="U1448" t="str">
            <v>LOPEZ RUIZ WILBERTO</v>
          </cell>
          <cell r="V1448" t="str">
            <v>FLOREZ CONDORI  JOSE WILLIANS</v>
          </cell>
        </row>
        <row r="1449">
          <cell r="A1449">
            <v>1419</v>
          </cell>
          <cell r="B1449">
            <v>42697</v>
          </cell>
          <cell r="C1449" t="str">
            <v>NOVIEMBRE</v>
          </cell>
          <cell r="D1449" t="str">
            <v>2016</v>
          </cell>
          <cell r="E1449">
            <v>377</v>
          </cell>
          <cell r="F1449" t="str">
            <v>C9M-902</v>
          </cell>
          <cell r="G1449" t="str">
            <v>B8L-970</v>
          </cell>
          <cell r="H1449" t="str">
            <v>LAS BAMBAS</v>
          </cell>
          <cell r="I1449">
            <v>208513</v>
          </cell>
          <cell r="J1449" t="str">
            <v>REPUESTO</v>
          </cell>
          <cell r="K1449" t="str">
            <v>LLANTAS REENCAUCHADAS</v>
          </cell>
          <cell r="L1449">
            <v>4</v>
          </cell>
          <cell r="M1449" t="str">
            <v>UNID.</v>
          </cell>
          <cell r="N1449" t="str">
            <v>CISTERNA</v>
          </cell>
          <cell r="O1449">
            <v>93</v>
          </cell>
          <cell r="P1449" t="str">
            <v>N2</v>
          </cell>
          <cell r="Q1449" t="str">
            <v>J3</v>
          </cell>
          <cell r="R1449" t="str">
            <v>J6</v>
          </cell>
          <cell r="S1449" t="str">
            <v>ENTREGADO</v>
          </cell>
          <cell r="T1449">
            <v>0</v>
          </cell>
          <cell r="U1449" t="str">
            <v>MAMANI LARICO  EDUARDO ALVARO</v>
          </cell>
          <cell r="V1449" t="str">
            <v>CHURA PIZARRO ALBERTO</v>
          </cell>
        </row>
        <row r="1450">
          <cell r="A1450">
            <v>1483</v>
          </cell>
          <cell r="B1450">
            <v>42697</v>
          </cell>
          <cell r="C1450" t="str">
            <v>NOVIEMBRE</v>
          </cell>
          <cell r="D1450" t="str">
            <v>2016</v>
          </cell>
          <cell r="E1450">
            <v>380</v>
          </cell>
          <cell r="F1450" t="str">
            <v>C9N-807</v>
          </cell>
          <cell r="G1450" t="str">
            <v>B4O-994</v>
          </cell>
          <cell r="H1450" t="str">
            <v>LAS BAMBAS</v>
          </cell>
          <cell r="I1450">
            <v>208922</v>
          </cell>
          <cell r="J1450" t="str">
            <v>REPUESTO</v>
          </cell>
          <cell r="K1450" t="str">
            <v xml:space="preserve">CHAPA DE PUERTA </v>
          </cell>
          <cell r="L1450">
            <v>1</v>
          </cell>
          <cell r="M1450" t="str">
            <v>UNID.</v>
          </cell>
          <cell r="N1450" t="str">
            <v>TRACTO</v>
          </cell>
          <cell r="O1450">
            <v>93</v>
          </cell>
          <cell r="P1450" t="str">
            <v>M7</v>
          </cell>
          <cell r="Q1450" t="str">
            <v>J1</v>
          </cell>
          <cell r="R1450" t="str">
            <v>J1</v>
          </cell>
          <cell r="S1450" t="str">
            <v>ENTREGADO</v>
          </cell>
          <cell r="T1450">
            <v>0</v>
          </cell>
          <cell r="U1450" t="str">
            <v>ROBLES ROJAS  JOSE MIGUEL</v>
          </cell>
          <cell r="V1450" t="str">
            <v>FLOREZ CONDORI  JOSE WILLIANS</v>
          </cell>
        </row>
        <row r="1451">
          <cell r="A1451">
            <v>1400</v>
          </cell>
          <cell r="B1451">
            <v>42697</v>
          </cell>
          <cell r="C1451" t="str">
            <v>NOVIEMBRE</v>
          </cell>
          <cell r="D1451" t="str">
            <v>2016</v>
          </cell>
          <cell r="E1451">
            <v>204</v>
          </cell>
          <cell r="F1451" t="str">
            <v>C9P-948</v>
          </cell>
          <cell r="G1451" t="str">
            <v>B4O-995</v>
          </cell>
          <cell r="H1451" t="str">
            <v>LAS BAMBAS</v>
          </cell>
          <cell r="I1451">
            <v>156586</v>
          </cell>
          <cell r="J1451" t="str">
            <v>INSUMO TALLER</v>
          </cell>
          <cell r="K1451" t="str">
            <v>DISCO DE CORTE 4"</v>
          </cell>
          <cell r="L1451">
            <v>2</v>
          </cell>
          <cell r="M1451" t="str">
            <v>UNID.</v>
          </cell>
          <cell r="N1451" t="str">
            <v>CISTERNA</v>
          </cell>
          <cell r="O1451">
            <v>93</v>
          </cell>
          <cell r="P1451" t="str">
            <v>S3</v>
          </cell>
          <cell r="Q1451" t="str">
            <v>J1</v>
          </cell>
          <cell r="R1451" t="str">
            <v>J5</v>
          </cell>
          <cell r="S1451" t="str">
            <v>ENTREGADO</v>
          </cell>
          <cell r="T1451">
            <v>0</v>
          </cell>
          <cell r="U1451" t="str">
            <v>JIMENEZ MACHACA JAVIER</v>
          </cell>
          <cell r="V1451" t="str">
            <v>FLOREZ CONDORI  JOSE WILLIANS</v>
          </cell>
        </row>
        <row r="1452">
          <cell r="A1452">
            <v>1401</v>
          </cell>
          <cell r="B1452">
            <v>42697</v>
          </cell>
          <cell r="C1452" t="str">
            <v>NOVIEMBRE</v>
          </cell>
          <cell r="D1452" t="str">
            <v>2016</v>
          </cell>
          <cell r="E1452">
            <v>204</v>
          </cell>
          <cell r="F1452" t="str">
            <v>C9P-948</v>
          </cell>
          <cell r="G1452" t="str">
            <v>B4O-995</v>
          </cell>
          <cell r="H1452" t="str">
            <v>LAS BAMBAS</v>
          </cell>
          <cell r="I1452">
            <v>156586</v>
          </cell>
          <cell r="J1452" t="str">
            <v>INSUMO TALLER</v>
          </cell>
          <cell r="K1452" t="str">
            <v>VARILLAS INOX</v>
          </cell>
          <cell r="L1452">
            <v>2</v>
          </cell>
          <cell r="M1452" t="str">
            <v>UNID.</v>
          </cell>
          <cell r="N1452" t="str">
            <v>CISTERNA</v>
          </cell>
          <cell r="O1452">
            <v>93</v>
          </cell>
          <cell r="P1452" t="str">
            <v>S3</v>
          </cell>
          <cell r="Q1452" t="str">
            <v>J1</v>
          </cell>
          <cell r="R1452" t="str">
            <v>J5</v>
          </cell>
          <cell r="S1452" t="str">
            <v>ENTREGADO</v>
          </cell>
          <cell r="T1452">
            <v>0</v>
          </cell>
          <cell r="U1452" t="str">
            <v>JIMENEZ MACHACA JAVIER</v>
          </cell>
          <cell r="V1452" t="str">
            <v>FLOREZ CONDORI  JOSE WILLIANS</v>
          </cell>
        </row>
        <row r="1453">
          <cell r="A1453">
            <v>1403</v>
          </cell>
          <cell r="B1453">
            <v>42697</v>
          </cell>
          <cell r="C1453" t="str">
            <v>NOVIEMBRE</v>
          </cell>
          <cell r="D1453" t="str">
            <v>2016</v>
          </cell>
          <cell r="E1453">
            <v>204</v>
          </cell>
          <cell r="F1453" t="str">
            <v>C9P-948</v>
          </cell>
          <cell r="G1453" t="str">
            <v>B4O-995</v>
          </cell>
          <cell r="H1453" t="str">
            <v>LAS BAMBAS</v>
          </cell>
          <cell r="I1453">
            <v>156586</v>
          </cell>
          <cell r="J1453" t="str">
            <v>REPUESTO</v>
          </cell>
          <cell r="K1453" t="str">
            <v>TUERCAS SEGURO C/ VOLANDAS 3/8"</v>
          </cell>
          <cell r="L1453">
            <v>2</v>
          </cell>
          <cell r="M1453" t="str">
            <v>UNID.</v>
          </cell>
          <cell r="N1453" t="str">
            <v>TRACTO</v>
          </cell>
          <cell r="O1453">
            <v>93</v>
          </cell>
          <cell r="P1453" t="str">
            <v>E1</v>
          </cell>
          <cell r="Q1453" t="str">
            <v>J1</v>
          </cell>
          <cell r="R1453" t="str">
            <v>J5</v>
          </cell>
          <cell r="S1453" t="str">
            <v>ENTREGADO</v>
          </cell>
          <cell r="T1453">
            <v>0</v>
          </cell>
          <cell r="U1453" t="str">
            <v>PALOMINO CARDENAS JUAN CARLOS</v>
          </cell>
          <cell r="V1453" t="str">
            <v>FLOREZ CONDORI  JOSE WILLIANS</v>
          </cell>
        </row>
        <row r="1454">
          <cell r="A1454">
            <v>1404</v>
          </cell>
          <cell r="B1454">
            <v>42697</v>
          </cell>
          <cell r="C1454" t="str">
            <v>NOVIEMBRE</v>
          </cell>
          <cell r="D1454" t="str">
            <v>2016</v>
          </cell>
          <cell r="E1454">
            <v>204</v>
          </cell>
          <cell r="F1454" t="str">
            <v>C9P-948</v>
          </cell>
          <cell r="G1454" t="str">
            <v>B4O-995</v>
          </cell>
          <cell r="H1454" t="str">
            <v>LAS BAMBAS</v>
          </cell>
          <cell r="I1454">
            <v>156586</v>
          </cell>
          <cell r="J1454" t="str">
            <v>REPUESTO</v>
          </cell>
          <cell r="K1454" t="str">
            <v xml:space="preserve">PERNOS 3/8 x 7 " </v>
          </cell>
          <cell r="L1454">
            <v>3</v>
          </cell>
          <cell r="M1454" t="str">
            <v>UNID.</v>
          </cell>
          <cell r="N1454" t="str">
            <v>TRACTO</v>
          </cell>
          <cell r="O1454">
            <v>93</v>
          </cell>
          <cell r="P1454" t="str">
            <v>E1</v>
          </cell>
          <cell r="Q1454" t="str">
            <v>J1</v>
          </cell>
          <cell r="R1454" t="str">
            <v>J5</v>
          </cell>
          <cell r="S1454" t="str">
            <v>ENTREGADO</v>
          </cell>
          <cell r="T1454">
            <v>0</v>
          </cell>
          <cell r="U1454" t="str">
            <v>PALOMINO CARDENAS JUAN CARLOS</v>
          </cell>
          <cell r="V1454" t="str">
            <v>FLOREZ CONDORI  JOSE WILLIANS</v>
          </cell>
        </row>
        <row r="1455">
          <cell r="A1455">
            <v>1405</v>
          </cell>
          <cell r="B1455">
            <v>42697</v>
          </cell>
          <cell r="C1455" t="str">
            <v>NOVIEMBRE</v>
          </cell>
          <cell r="D1455" t="str">
            <v>2016</v>
          </cell>
          <cell r="E1455">
            <v>204</v>
          </cell>
          <cell r="F1455" t="str">
            <v>C9P-948</v>
          </cell>
          <cell r="G1455" t="str">
            <v>B4O-995</v>
          </cell>
          <cell r="H1455" t="str">
            <v>LAS BAMBAS</v>
          </cell>
          <cell r="I1455">
            <v>156586</v>
          </cell>
          <cell r="J1455" t="str">
            <v>REPUESTO</v>
          </cell>
          <cell r="K1455" t="str">
            <v>PERNOS 3/8 X 4"</v>
          </cell>
          <cell r="L1455">
            <v>2</v>
          </cell>
          <cell r="M1455" t="str">
            <v>UNID.</v>
          </cell>
          <cell r="N1455" t="str">
            <v>TRACTO</v>
          </cell>
          <cell r="O1455">
            <v>93</v>
          </cell>
          <cell r="P1455" t="str">
            <v>E1</v>
          </cell>
          <cell r="Q1455" t="str">
            <v>J1</v>
          </cell>
          <cell r="R1455" t="str">
            <v>J5</v>
          </cell>
          <cell r="S1455" t="str">
            <v>ENTREGADO</v>
          </cell>
          <cell r="T1455">
            <v>0</v>
          </cell>
          <cell r="U1455" t="str">
            <v>PALOMINO CARDENAS JUAN CARLOS</v>
          </cell>
          <cell r="V1455" t="str">
            <v>FLOREZ CONDORI  JOSE WILLIANS</v>
          </cell>
        </row>
        <row r="1456">
          <cell r="A1456">
            <v>1406</v>
          </cell>
          <cell r="B1456">
            <v>42697</v>
          </cell>
          <cell r="C1456" t="str">
            <v>NOVIEMBRE</v>
          </cell>
          <cell r="D1456" t="str">
            <v>2016</v>
          </cell>
          <cell r="E1456">
            <v>204</v>
          </cell>
          <cell r="F1456" t="str">
            <v>C9P-948</v>
          </cell>
          <cell r="G1456" t="str">
            <v>B4O-995</v>
          </cell>
          <cell r="H1456" t="str">
            <v>LAS BAMBAS</v>
          </cell>
          <cell r="I1456">
            <v>156586</v>
          </cell>
          <cell r="J1456" t="str">
            <v>REPUESTO</v>
          </cell>
          <cell r="K1456" t="str">
            <v>PERNOS 3/8 X 2 1/2 "</v>
          </cell>
          <cell r="L1456">
            <v>1</v>
          </cell>
          <cell r="M1456" t="str">
            <v>UNID.</v>
          </cell>
          <cell r="N1456" t="str">
            <v>TRACTO</v>
          </cell>
          <cell r="O1456">
            <v>93</v>
          </cell>
          <cell r="P1456" t="str">
            <v>E1</v>
          </cell>
          <cell r="Q1456" t="str">
            <v>J1</v>
          </cell>
          <cell r="R1456" t="str">
            <v>J5</v>
          </cell>
          <cell r="S1456" t="str">
            <v>ENTREGADO</v>
          </cell>
          <cell r="T1456">
            <v>0</v>
          </cell>
          <cell r="U1456" t="str">
            <v>PALOMINO CARDENAS JUAN CARLOS</v>
          </cell>
          <cell r="V1456" t="str">
            <v>FLOREZ CONDORI  JOSE WILLIANS</v>
          </cell>
        </row>
        <row r="1457">
          <cell r="A1457">
            <v>1411</v>
          </cell>
          <cell r="B1457">
            <v>42697</v>
          </cell>
          <cell r="C1457" t="str">
            <v>NOVIEMBRE</v>
          </cell>
          <cell r="D1457" t="str">
            <v>2016</v>
          </cell>
          <cell r="E1457">
            <v>204</v>
          </cell>
          <cell r="F1457" t="str">
            <v>C9P-948</v>
          </cell>
          <cell r="G1457" t="str">
            <v>B4O-995</v>
          </cell>
          <cell r="H1457" t="str">
            <v>LAS BAMBAS</v>
          </cell>
          <cell r="I1457">
            <v>156586</v>
          </cell>
          <cell r="J1457" t="str">
            <v>REPUESTO</v>
          </cell>
          <cell r="K1457" t="str">
            <v xml:space="preserve">RADIO COMUNICACIÓN COMPLETA </v>
          </cell>
          <cell r="L1457">
            <v>1</v>
          </cell>
          <cell r="M1457" t="str">
            <v>UNID.</v>
          </cell>
          <cell r="N1457" t="str">
            <v>TRACTO</v>
          </cell>
          <cell r="O1457">
            <v>93</v>
          </cell>
          <cell r="P1457" t="str">
            <v>E1</v>
          </cell>
          <cell r="Q1457" t="str">
            <v>J2</v>
          </cell>
          <cell r="R1457" t="str">
            <v>J6</v>
          </cell>
          <cell r="S1457" t="str">
            <v>ENTREGADO</v>
          </cell>
          <cell r="T1457">
            <v>0</v>
          </cell>
          <cell r="U1457" t="str">
            <v>PALOMINO CARDENAS JUAN CARLOS</v>
          </cell>
          <cell r="V1457" t="str">
            <v>CORIHUAMAN SURCO  ERICK ROBERT</v>
          </cell>
        </row>
        <row r="1458">
          <cell r="A1458">
            <v>1412</v>
          </cell>
          <cell r="B1458">
            <v>42697</v>
          </cell>
          <cell r="C1458" t="str">
            <v>NOVIEMBRE</v>
          </cell>
          <cell r="D1458" t="str">
            <v>2016</v>
          </cell>
          <cell r="E1458">
            <v>204</v>
          </cell>
          <cell r="F1458" t="str">
            <v>C9P-948</v>
          </cell>
          <cell r="G1458" t="str">
            <v>B4O-995</v>
          </cell>
          <cell r="H1458" t="str">
            <v>LAS BAMBAS</v>
          </cell>
          <cell r="I1458">
            <v>156586</v>
          </cell>
          <cell r="J1458" t="str">
            <v>REPUESTO</v>
          </cell>
          <cell r="K1458" t="str">
            <v>ADAPTADOR PARA CABLE DE ANTENA</v>
          </cell>
          <cell r="L1458">
            <v>1</v>
          </cell>
          <cell r="M1458" t="str">
            <v>UNID.</v>
          </cell>
          <cell r="N1458" t="str">
            <v>TRACTO</v>
          </cell>
          <cell r="O1458">
            <v>93</v>
          </cell>
          <cell r="P1458" t="str">
            <v>E1</v>
          </cell>
          <cell r="Q1458" t="str">
            <v>J2</v>
          </cell>
          <cell r="R1458" t="str">
            <v>J6</v>
          </cell>
          <cell r="S1458" t="str">
            <v>ENTREGADO</v>
          </cell>
          <cell r="T1458">
            <v>0</v>
          </cell>
          <cell r="U1458" t="str">
            <v>PALOMINO CARDENAS JUAN CARLOS</v>
          </cell>
          <cell r="V1458" t="str">
            <v>CORIHUAMAN SURCO  ERICK ROBERT</v>
          </cell>
        </row>
        <row r="1459">
          <cell r="A1459">
            <v>1417</v>
          </cell>
          <cell r="B1459">
            <v>42697</v>
          </cell>
          <cell r="C1459" t="str">
            <v>NOVIEMBRE</v>
          </cell>
          <cell r="D1459" t="str">
            <v>2016</v>
          </cell>
          <cell r="E1459">
            <v>204</v>
          </cell>
          <cell r="F1459" t="str">
            <v>C9P-948</v>
          </cell>
          <cell r="G1459" t="str">
            <v>B4O-995</v>
          </cell>
          <cell r="H1459" t="str">
            <v>LAS BAMBAS</v>
          </cell>
          <cell r="I1459">
            <v>156586</v>
          </cell>
          <cell r="J1459" t="str">
            <v>REPUESTO</v>
          </cell>
          <cell r="K1459" t="str">
            <v>TAPA DE FAROS</v>
          </cell>
          <cell r="L1459">
            <v>2</v>
          </cell>
          <cell r="M1459" t="str">
            <v>UNID.</v>
          </cell>
          <cell r="N1459" t="str">
            <v>TRACTO</v>
          </cell>
          <cell r="O1459">
            <v>93</v>
          </cell>
          <cell r="P1459" t="str">
            <v>E1</v>
          </cell>
          <cell r="Q1459" t="str">
            <v>J2</v>
          </cell>
          <cell r="R1459" t="str">
            <v>J6</v>
          </cell>
          <cell r="S1459" t="str">
            <v>ENTREGADO</v>
          </cell>
          <cell r="T1459">
            <v>0</v>
          </cell>
          <cell r="U1459" t="str">
            <v>PALOMINO CARDENAS JUAN CARLOS</v>
          </cell>
          <cell r="V1459" t="str">
            <v>CORIHUAMAN SURCO  ERICK ROBERT</v>
          </cell>
        </row>
        <row r="1460">
          <cell r="A1460">
            <v>1418</v>
          </cell>
          <cell r="B1460">
            <v>42697</v>
          </cell>
          <cell r="C1460" t="str">
            <v>NOVIEMBRE</v>
          </cell>
          <cell r="D1460" t="str">
            <v>2016</v>
          </cell>
          <cell r="E1460">
            <v>204</v>
          </cell>
          <cell r="F1460" t="str">
            <v>C9P-948</v>
          </cell>
          <cell r="G1460" t="str">
            <v>B4O-995</v>
          </cell>
          <cell r="H1460" t="str">
            <v>LAS BAMBAS</v>
          </cell>
          <cell r="I1460">
            <v>156586</v>
          </cell>
          <cell r="J1460" t="str">
            <v>REPUESTO</v>
          </cell>
          <cell r="K1460" t="str">
            <v>FOCO 9006</v>
          </cell>
          <cell r="L1460">
            <v>1</v>
          </cell>
          <cell r="M1460" t="str">
            <v>UNID.</v>
          </cell>
          <cell r="N1460" t="str">
            <v>TRACTO</v>
          </cell>
          <cell r="O1460">
            <v>93</v>
          </cell>
          <cell r="P1460" t="str">
            <v>E1</v>
          </cell>
          <cell r="Q1460" t="str">
            <v>J2</v>
          </cell>
          <cell r="R1460" t="str">
            <v>J6</v>
          </cell>
          <cell r="S1460" t="str">
            <v>ENTREGADO</v>
          </cell>
          <cell r="T1460">
            <v>0</v>
          </cell>
          <cell r="U1460" t="str">
            <v>PALOMINO CARDENAS JUAN CARLOS</v>
          </cell>
          <cell r="V1460" t="str">
            <v>CORIHUAMAN SURCO  ERICK ROBERT</v>
          </cell>
        </row>
        <row r="1461">
          <cell r="A1461">
            <v>1427</v>
          </cell>
          <cell r="B1461">
            <v>42697</v>
          </cell>
          <cell r="C1461" t="str">
            <v>NOVIEMBRE</v>
          </cell>
          <cell r="D1461" t="str">
            <v>2016</v>
          </cell>
          <cell r="E1461">
            <v>204</v>
          </cell>
          <cell r="F1461" t="str">
            <v>C9P-948</v>
          </cell>
          <cell r="G1461" t="str">
            <v>B4O-995</v>
          </cell>
          <cell r="H1461" t="str">
            <v>LAS BAMBAS</v>
          </cell>
          <cell r="I1461">
            <v>156586</v>
          </cell>
          <cell r="J1461" t="str">
            <v>REPUESTO</v>
          </cell>
          <cell r="K1461" t="str">
            <v>ARANDELAS PLANAS 3/16</v>
          </cell>
          <cell r="L1461">
            <v>10</v>
          </cell>
          <cell r="M1461" t="str">
            <v>UNID.</v>
          </cell>
          <cell r="N1461" t="str">
            <v>TRACTO</v>
          </cell>
          <cell r="O1461">
            <v>0</v>
          </cell>
          <cell r="P1461" t="str">
            <v>E1</v>
          </cell>
          <cell r="Q1461" t="str">
            <v>J2</v>
          </cell>
          <cell r="R1461" t="str">
            <v>J6</v>
          </cell>
          <cell r="S1461" t="str">
            <v>ENTREGADO</v>
          </cell>
          <cell r="T1461">
            <v>42697</v>
          </cell>
          <cell r="U1461" t="str">
            <v>PALOMINO CARDENAS JUAN CARLOS</v>
          </cell>
          <cell r="V1461" t="str">
            <v>CORIHUAMAN SURCO  ERICK ROBERT</v>
          </cell>
        </row>
        <row r="1462">
          <cell r="A1462">
            <v>1428</v>
          </cell>
          <cell r="B1462">
            <v>42697</v>
          </cell>
          <cell r="C1462" t="str">
            <v>NOVIEMBRE</v>
          </cell>
          <cell r="D1462" t="str">
            <v>2016</v>
          </cell>
          <cell r="E1462">
            <v>204</v>
          </cell>
          <cell r="F1462" t="str">
            <v>C9P-948</v>
          </cell>
          <cell r="G1462" t="str">
            <v>B4O-995</v>
          </cell>
          <cell r="H1462" t="str">
            <v>LAS BAMBAS</v>
          </cell>
          <cell r="I1462">
            <v>156586</v>
          </cell>
          <cell r="J1462" t="str">
            <v>REPUESTO</v>
          </cell>
          <cell r="K1462" t="str">
            <v>TORNAMESA</v>
          </cell>
          <cell r="L1462">
            <v>1</v>
          </cell>
          <cell r="M1462" t="str">
            <v>UNID.</v>
          </cell>
          <cell r="N1462" t="str">
            <v>TRACTO</v>
          </cell>
          <cell r="O1462">
            <v>93</v>
          </cell>
          <cell r="P1462" t="str">
            <v>M2</v>
          </cell>
          <cell r="Q1462" t="str">
            <v>J2</v>
          </cell>
          <cell r="R1462" t="str">
            <v>J6</v>
          </cell>
          <cell r="S1462" t="str">
            <v>ENTREGADO</v>
          </cell>
          <cell r="T1462">
            <v>0</v>
          </cell>
          <cell r="U1462" t="str">
            <v>CHUMPITAZ GAGO JULIO ENRIQUE</v>
          </cell>
          <cell r="V1462" t="str">
            <v>CORIHUAMAN SURCO  ERICK ROBERT</v>
          </cell>
        </row>
        <row r="1463">
          <cell r="A1463">
            <v>1470</v>
          </cell>
          <cell r="B1463">
            <v>42697</v>
          </cell>
          <cell r="C1463" t="str">
            <v>NOVIEMBRE</v>
          </cell>
          <cell r="D1463" t="str">
            <v>2016</v>
          </cell>
          <cell r="E1463">
            <v>341</v>
          </cell>
          <cell r="F1463" t="str">
            <v>D3P-743</v>
          </cell>
          <cell r="G1463" t="str">
            <v>B8L-972</v>
          </cell>
          <cell r="H1463" t="str">
            <v>LAS BAMBAS</v>
          </cell>
          <cell r="I1463">
            <v>179155</v>
          </cell>
          <cell r="J1463" t="str">
            <v>REPUESTO</v>
          </cell>
          <cell r="K1463" t="str">
            <v>PLANCHA  BASE PARA PLACA</v>
          </cell>
          <cell r="L1463">
            <v>1</v>
          </cell>
          <cell r="M1463" t="str">
            <v>UNID.</v>
          </cell>
          <cell r="N1463" t="str">
            <v>TRACTO</v>
          </cell>
          <cell r="O1463">
            <v>0</v>
          </cell>
          <cell r="P1463" t="str">
            <v>M5</v>
          </cell>
          <cell r="Q1463" t="str">
            <v>J1</v>
          </cell>
          <cell r="R1463" t="str">
            <v>J6</v>
          </cell>
          <cell r="S1463" t="str">
            <v>ENTREGADO</v>
          </cell>
          <cell r="T1463">
            <v>42697</v>
          </cell>
          <cell r="U1463" t="str">
            <v>LOPEZ RUIZ WILBERTO</v>
          </cell>
          <cell r="V1463" t="str">
            <v>FLOREZ CONDORI  JOSE WILLIANS</v>
          </cell>
        </row>
        <row r="1464">
          <cell r="A1464">
            <v>1477</v>
          </cell>
          <cell r="B1464">
            <v>42697</v>
          </cell>
          <cell r="C1464" t="str">
            <v>NOVIEMBRE</v>
          </cell>
          <cell r="D1464" t="str">
            <v>2016</v>
          </cell>
          <cell r="E1464">
            <v>341</v>
          </cell>
          <cell r="F1464" t="str">
            <v>D3P-743</v>
          </cell>
          <cell r="G1464" t="str">
            <v>B8L-972</v>
          </cell>
          <cell r="H1464" t="str">
            <v>LAS BAMBAS</v>
          </cell>
          <cell r="I1464">
            <v>179155</v>
          </cell>
          <cell r="J1464" t="str">
            <v>REPUESTO</v>
          </cell>
          <cell r="K1464" t="str">
            <v>HIDROLINA</v>
          </cell>
          <cell r="L1464">
            <v>0.5</v>
          </cell>
          <cell r="M1464" t="str">
            <v>GLNS.</v>
          </cell>
          <cell r="N1464" t="str">
            <v>TRACTO</v>
          </cell>
          <cell r="O1464">
            <v>93</v>
          </cell>
          <cell r="P1464" t="str">
            <v>M5</v>
          </cell>
          <cell r="Q1464" t="str">
            <v>J2</v>
          </cell>
          <cell r="R1464" t="str">
            <v>J6</v>
          </cell>
          <cell r="S1464" t="str">
            <v>ENTREGADO</v>
          </cell>
          <cell r="T1464">
            <v>0</v>
          </cell>
          <cell r="U1464" t="str">
            <v>LOPEZ RUIZ WILBERTO</v>
          </cell>
          <cell r="V1464" t="str">
            <v>CORIHUAMAN SURCO  ERICK ROBERT</v>
          </cell>
        </row>
        <row r="1465">
          <cell r="A1465">
            <v>1398</v>
          </cell>
          <cell r="B1465">
            <v>42697</v>
          </cell>
          <cell r="C1465" t="str">
            <v>NOVIEMBRE</v>
          </cell>
          <cell r="D1465" t="str">
            <v>2016</v>
          </cell>
          <cell r="E1465">
            <v>390</v>
          </cell>
          <cell r="F1465" t="str">
            <v>D3P-744</v>
          </cell>
          <cell r="G1465" t="str">
            <v>A0F-996</v>
          </cell>
          <cell r="H1465" t="str">
            <v>LAS BAMBAS</v>
          </cell>
          <cell r="I1465">
            <v>153106</v>
          </cell>
          <cell r="J1465" t="str">
            <v>REPUESTO</v>
          </cell>
          <cell r="K1465" t="str">
            <v>TORNAMESA</v>
          </cell>
          <cell r="L1465">
            <v>1</v>
          </cell>
          <cell r="M1465" t="str">
            <v>UNID.</v>
          </cell>
          <cell r="N1465" t="str">
            <v>TRACTO</v>
          </cell>
          <cell r="O1465">
            <v>93</v>
          </cell>
          <cell r="P1465" t="str">
            <v>M4</v>
          </cell>
          <cell r="Q1465" t="str">
            <v>J2</v>
          </cell>
          <cell r="R1465" t="str">
            <v>J6</v>
          </cell>
          <cell r="S1465" t="str">
            <v>ENTREGADO</v>
          </cell>
          <cell r="T1465">
            <v>0</v>
          </cell>
          <cell r="U1465" t="str">
            <v>JULLIRI APAZA UBALDO</v>
          </cell>
          <cell r="V1465" t="str">
            <v>CORIHUAMAN SURCO  ERICK ROBERT</v>
          </cell>
        </row>
        <row r="1466">
          <cell r="A1466">
            <v>1397</v>
          </cell>
          <cell r="B1466">
            <v>42697</v>
          </cell>
          <cell r="C1466" t="str">
            <v>NOVIEMBRE</v>
          </cell>
          <cell r="D1466" t="str">
            <v>2016</v>
          </cell>
          <cell r="E1466">
            <v>207</v>
          </cell>
          <cell r="F1466" t="str">
            <v>D3P-746</v>
          </cell>
          <cell r="G1466" t="str">
            <v>C0T-974</v>
          </cell>
          <cell r="H1466" t="str">
            <v>LAS BAMBAS</v>
          </cell>
          <cell r="I1466">
            <v>128937</v>
          </cell>
          <cell r="J1466" t="str">
            <v>INSUMO TALLER</v>
          </cell>
          <cell r="K1466" t="str">
            <v>CHANFER 1/8</v>
          </cell>
          <cell r="L1466">
            <v>5</v>
          </cell>
          <cell r="M1466" t="str">
            <v>KG.</v>
          </cell>
          <cell r="N1466" t="str">
            <v>CISTERNA</v>
          </cell>
          <cell r="O1466">
            <v>93</v>
          </cell>
          <cell r="P1466" t="str">
            <v>S2</v>
          </cell>
          <cell r="Q1466" t="str">
            <v>J1</v>
          </cell>
          <cell r="R1466" t="str">
            <v>J6</v>
          </cell>
          <cell r="S1466" t="str">
            <v>ENTREGADO</v>
          </cell>
          <cell r="T1466">
            <v>0</v>
          </cell>
          <cell r="U1466" t="str">
            <v>PALOMINO ESTRADA  MICHEL</v>
          </cell>
          <cell r="V1466" t="str">
            <v>FLOREZ CONDORI  JOSE WILLIANS</v>
          </cell>
        </row>
        <row r="1467">
          <cell r="A1467">
            <v>1465</v>
          </cell>
          <cell r="B1467">
            <v>42697</v>
          </cell>
          <cell r="C1467" t="str">
            <v>NOVIEMBRE</v>
          </cell>
          <cell r="D1467" t="str">
            <v>2016</v>
          </cell>
          <cell r="E1467">
            <v>202</v>
          </cell>
          <cell r="F1467" t="str">
            <v>D3P-752</v>
          </cell>
          <cell r="G1467" t="str">
            <v>C5Y-985</v>
          </cell>
          <cell r="H1467" t="str">
            <v>LAS BAMBAS</v>
          </cell>
          <cell r="I1467">
            <v>150504</v>
          </cell>
          <cell r="J1467" t="str">
            <v>REPUESTO</v>
          </cell>
          <cell r="K1467" t="str">
            <v>ARANDELA PLANA 3/8</v>
          </cell>
          <cell r="L1467">
            <v>8</v>
          </cell>
          <cell r="M1467" t="str">
            <v>UNID.</v>
          </cell>
          <cell r="N1467" t="str">
            <v>TRACTO</v>
          </cell>
          <cell r="O1467">
            <v>93</v>
          </cell>
          <cell r="P1467" t="str">
            <v>E1</v>
          </cell>
          <cell r="Q1467" t="str">
            <v>J1</v>
          </cell>
          <cell r="R1467" t="str">
            <v>J6</v>
          </cell>
          <cell r="S1467" t="str">
            <v>ENTREGADO</v>
          </cell>
          <cell r="T1467">
            <v>0</v>
          </cell>
          <cell r="U1467" t="str">
            <v>PALOMINO CARDENAS JUAN CARLOS</v>
          </cell>
          <cell r="V1467" t="str">
            <v>FLOREZ CONDORI  JOSE WILLIANS</v>
          </cell>
        </row>
        <row r="1468">
          <cell r="A1468">
            <v>1446</v>
          </cell>
          <cell r="B1468">
            <v>42697</v>
          </cell>
          <cell r="C1468" t="str">
            <v>NOVIEMBRE</v>
          </cell>
          <cell r="D1468" t="str">
            <v>2016</v>
          </cell>
          <cell r="E1468">
            <v>391</v>
          </cell>
          <cell r="F1468" t="str">
            <v>D3Q-741</v>
          </cell>
          <cell r="G1468" t="str">
            <v>D2E-976</v>
          </cell>
          <cell r="H1468" t="str">
            <v>LAS BAMBAS</v>
          </cell>
          <cell r="I1468">
            <v>162515</v>
          </cell>
          <cell r="J1468" t="str">
            <v>REPUESTO</v>
          </cell>
          <cell r="K1468" t="str">
            <v>TAPABARRO FARO DELANTERO IZQUIERDO</v>
          </cell>
          <cell r="L1468">
            <v>1</v>
          </cell>
          <cell r="M1468" t="str">
            <v>UNID.</v>
          </cell>
          <cell r="N1468" t="str">
            <v>TRACTO</v>
          </cell>
          <cell r="O1468">
            <v>93</v>
          </cell>
          <cell r="P1468" t="str">
            <v>M4</v>
          </cell>
          <cell r="Q1468" t="str">
            <v>J2</v>
          </cell>
          <cell r="R1468" t="str">
            <v>J6</v>
          </cell>
          <cell r="S1468" t="str">
            <v>ENTREGADO</v>
          </cell>
          <cell r="T1468">
            <v>0</v>
          </cell>
          <cell r="U1468" t="str">
            <v>JULLIRI APAZA UBALDO</v>
          </cell>
          <cell r="V1468" t="str">
            <v>CORIHUAMAN SURCO  ERICK ROBERT</v>
          </cell>
        </row>
        <row r="1469">
          <cell r="A1469">
            <v>1420</v>
          </cell>
          <cell r="B1469">
            <v>42697</v>
          </cell>
          <cell r="C1469" t="str">
            <v>NOVIEMBRE</v>
          </cell>
          <cell r="D1469" t="str">
            <v>2016</v>
          </cell>
          <cell r="E1469">
            <v>394</v>
          </cell>
          <cell r="F1469" t="str">
            <v>D3S-767</v>
          </cell>
          <cell r="G1469" t="str">
            <v>B8L-973</v>
          </cell>
          <cell r="H1469" t="str">
            <v>LAS BAMBAS</v>
          </cell>
          <cell r="I1469">
            <v>182881</v>
          </cell>
          <cell r="J1469" t="str">
            <v>REPUESTO</v>
          </cell>
          <cell r="K1469" t="str">
            <v>RETENEDOR DE PUERTA</v>
          </cell>
          <cell r="L1469">
            <v>1</v>
          </cell>
          <cell r="M1469" t="str">
            <v>UNID.</v>
          </cell>
          <cell r="N1469" t="str">
            <v>TRACTO</v>
          </cell>
          <cell r="O1469">
            <v>93</v>
          </cell>
          <cell r="P1469" t="str">
            <v>M2</v>
          </cell>
          <cell r="Q1469" t="str">
            <v>J2</v>
          </cell>
          <cell r="R1469" t="str">
            <v>J6</v>
          </cell>
          <cell r="S1469" t="str">
            <v>ENTREGADO</v>
          </cell>
          <cell r="T1469">
            <v>0</v>
          </cell>
          <cell r="U1469" t="str">
            <v>CHUMPITAZ GAGO JULIO ENRIQUE</v>
          </cell>
          <cell r="V1469" t="str">
            <v>CORIHUAMAN SURCO  ERICK ROBERT</v>
          </cell>
        </row>
        <row r="1470">
          <cell r="A1470">
            <v>1444</v>
          </cell>
          <cell r="B1470">
            <v>42697</v>
          </cell>
          <cell r="C1470" t="str">
            <v>NOVIEMBRE</v>
          </cell>
          <cell r="D1470" t="str">
            <v>2016</v>
          </cell>
          <cell r="E1470">
            <v>394</v>
          </cell>
          <cell r="F1470" t="str">
            <v>D3S-767</v>
          </cell>
          <cell r="G1470" t="str">
            <v>B8L-973</v>
          </cell>
          <cell r="H1470" t="str">
            <v>LAS BAMBAS</v>
          </cell>
          <cell r="I1470">
            <v>182881</v>
          </cell>
          <cell r="J1470" t="str">
            <v>REPUESTO</v>
          </cell>
          <cell r="K1470" t="str">
            <v>ELECTROVALVULA</v>
          </cell>
          <cell r="L1470">
            <v>1</v>
          </cell>
          <cell r="M1470" t="str">
            <v>UNID.</v>
          </cell>
          <cell r="N1470" t="str">
            <v>TRACTO</v>
          </cell>
          <cell r="O1470">
            <v>93</v>
          </cell>
          <cell r="P1470" t="str">
            <v>M2</v>
          </cell>
          <cell r="Q1470" t="str">
            <v>J1</v>
          </cell>
          <cell r="R1470" t="str">
            <v>J6</v>
          </cell>
          <cell r="S1470" t="str">
            <v>ENTREGADO</v>
          </cell>
          <cell r="T1470">
            <v>0</v>
          </cell>
          <cell r="U1470" t="str">
            <v>CHUMPITAZ GAGO JULIO ENRIQUE</v>
          </cell>
          <cell r="V1470" t="str">
            <v>FLOREZ CONDORI  JOSE WILLIANS</v>
          </cell>
        </row>
        <row r="1471">
          <cell r="A1471">
            <v>1480</v>
          </cell>
          <cell r="B1471">
            <v>42697</v>
          </cell>
          <cell r="C1471" t="str">
            <v>NOVIEMBRE</v>
          </cell>
          <cell r="D1471" t="str">
            <v>2016</v>
          </cell>
          <cell r="E1471">
            <v>394</v>
          </cell>
          <cell r="F1471" t="str">
            <v>D3S-767</v>
          </cell>
          <cell r="G1471" t="str">
            <v>B8L-973</v>
          </cell>
          <cell r="H1471" t="str">
            <v>LAS BAMBAS</v>
          </cell>
          <cell r="I1471">
            <v>182881</v>
          </cell>
          <cell r="J1471" t="str">
            <v>SERVICIO</v>
          </cell>
          <cell r="K1471" t="str">
            <v xml:space="preserve">PRENSADO DE BARRA DE DIRECCION </v>
          </cell>
          <cell r="L1471">
            <v>1</v>
          </cell>
          <cell r="M1471" t="str">
            <v>UNID.</v>
          </cell>
          <cell r="N1471" t="str">
            <v>TRACTO</v>
          </cell>
          <cell r="O1471">
            <v>93</v>
          </cell>
          <cell r="P1471" t="str">
            <v>M2</v>
          </cell>
          <cell r="Q1471" t="str">
            <v>J1</v>
          </cell>
          <cell r="R1471" t="str">
            <v>J1</v>
          </cell>
          <cell r="S1471" t="str">
            <v>ENTREGADO</v>
          </cell>
          <cell r="T1471">
            <v>0</v>
          </cell>
          <cell r="U1471" t="str">
            <v>CHUMPITAZ GAGO JULIO ENRIQUE</v>
          </cell>
          <cell r="V1471" t="str">
            <v>FLOREZ CONDORI  JOSE WILLIANS</v>
          </cell>
        </row>
        <row r="1472">
          <cell r="A1472">
            <v>1484</v>
          </cell>
          <cell r="B1472">
            <v>42697</v>
          </cell>
          <cell r="C1472" t="str">
            <v>NOVIEMBRE</v>
          </cell>
          <cell r="D1472" t="str">
            <v>2016</v>
          </cell>
          <cell r="E1472">
            <v>362</v>
          </cell>
          <cell r="F1472" t="str">
            <v>D4X-872</v>
          </cell>
          <cell r="G1472" t="str">
            <v>B4P-976</v>
          </cell>
          <cell r="H1472" t="str">
            <v>LAS BAMBAS</v>
          </cell>
          <cell r="I1472">
            <v>181891</v>
          </cell>
          <cell r="J1472" t="str">
            <v>REPUESTO</v>
          </cell>
          <cell r="K1472" t="str">
            <v xml:space="preserve">TAPON DE 7MM </v>
          </cell>
          <cell r="L1472">
            <v>1</v>
          </cell>
          <cell r="M1472" t="str">
            <v>UNID.</v>
          </cell>
          <cell r="N1472" t="str">
            <v>TRACTO</v>
          </cell>
          <cell r="O1472">
            <v>93</v>
          </cell>
          <cell r="P1472" t="str">
            <v>M4</v>
          </cell>
          <cell r="Q1472" t="str">
            <v>J1</v>
          </cell>
          <cell r="R1472" t="str">
            <v>J1</v>
          </cell>
          <cell r="S1472" t="str">
            <v>ENTREGADO</v>
          </cell>
          <cell r="T1472">
            <v>0</v>
          </cell>
          <cell r="U1472" t="str">
            <v>JULLIRI APAZA UBALDO</v>
          </cell>
          <cell r="V1472" t="str">
            <v>FLOREZ CONDORI  JOSE WILLIANS</v>
          </cell>
        </row>
        <row r="1473">
          <cell r="A1473">
            <v>1422</v>
          </cell>
          <cell r="B1473">
            <v>42697</v>
          </cell>
          <cell r="C1473" t="str">
            <v>NOVIEMBRE</v>
          </cell>
          <cell r="D1473" t="str">
            <v>2016</v>
          </cell>
          <cell r="E1473">
            <v>388</v>
          </cell>
          <cell r="F1473" t="str">
            <v>D6F-898</v>
          </cell>
          <cell r="G1473" t="str">
            <v>T4L-996</v>
          </cell>
          <cell r="H1473" t="str">
            <v>LAS BAMBAS</v>
          </cell>
          <cell r="I1473">
            <v>161323</v>
          </cell>
          <cell r="J1473" t="str">
            <v>SERVICIO</v>
          </cell>
          <cell r="K1473" t="str">
            <v>REPARACION DE CHAPA</v>
          </cell>
          <cell r="L1473">
            <v>1</v>
          </cell>
          <cell r="M1473" t="str">
            <v>UNID.</v>
          </cell>
          <cell r="N1473" t="str">
            <v>TRACTO</v>
          </cell>
          <cell r="O1473">
            <v>93</v>
          </cell>
          <cell r="P1473" t="str">
            <v>M7</v>
          </cell>
          <cell r="Q1473" t="str">
            <v>J1</v>
          </cell>
          <cell r="R1473" t="str">
            <v>J6</v>
          </cell>
          <cell r="S1473" t="str">
            <v>ENTREGADO</v>
          </cell>
          <cell r="T1473">
            <v>0</v>
          </cell>
          <cell r="U1473" t="str">
            <v>ROBLES ROJAS  JOSE MIGUEL</v>
          </cell>
          <cell r="V1473" t="str">
            <v>FLOREZ CONDORI  JOSE WILLIANS</v>
          </cell>
        </row>
        <row r="1474">
          <cell r="A1474">
            <v>1438</v>
          </cell>
          <cell r="B1474">
            <v>42697</v>
          </cell>
          <cell r="C1474" t="str">
            <v>NOVIEMBRE</v>
          </cell>
          <cell r="D1474" t="str">
            <v>2016</v>
          </cell>
          <cell r="E1474">
            <v>388</v>
          </cell>
          <cell r="F1474" t="str">
            <v>D6F-898</v>
          </cell>
          <cell r="G1474" t="str">
            <v>T4L-996</v>
          </cell>
          <cell r="H1474" t="str">
            <v>LAS BAMBAS</v>
          </cell>
          <cell r="I1474">
            <v>161323</v>
          </cell>
          <cell r="J1474" t="str">
            <v>REPUESTO</v>
          </cell>
          <cell r="K1474" t="str">
            <v>PARCHE RACK 14</v>
          </cell>
          <cell r="L1474">
            <v>1</v>
          </cell>
          <cell r="M1474" t="str">
            <v>UNID.</v>
          </cell>
          <cell r="N1474" t="str">
            <v>TRACTO</v>
          </cell>
          <cell r="O1474">
            <v>93</v>
          </cell>
          <cell r="P1474" t="str">
            <v>N1</v>
          </cell>
          <cell r="Q1474" t="str">
            <v>J2</v>
          </cell>
          <cell r="R1474" t="str">
            <v>J6</v>
          </cell>
          <cell r="S1474" t="str">
            <v>ENTREGADO</v>
          </cell>
          <cell r="T1474">
            <v>0</v>
          </cell>
          <cell r="U1474" t="str">
            <v>AGUILAR CCANTUTA WILLY</v>
          </cell>
          <cell r="V1474" t="str">
            <v>CORIHUAMAN SURCO  ERICK ROBERT</v>
          </cell>
        </row>
        <row r="1475">
          <cell r="A1475">
            <v>1439</v>
          </cell>
          <cell r="B1475">
            <v>42697</v>
          </cell>
          <cell r="C1475" t="str">
            <v>NOVIEMBRE</v>
          </cell>
          <cell r="D1475" t="str">
            <v>2016</v>
          </cell>
          <cell r="E1475">
            <v>388</v>
          </cell>
          <cell r="F1475" t="str">
            <v>D6F-898</v>
          </cell>
          <cell r="G1475" t="str">
            <v>T4L-996</v>
          </cell>
          <cell r="H1475" t="str">
            <v>LAS BAMBAS</v>
          </cell>
          <cell r="I1475">
            <v>161323</v>
          </cell>
          <cell r="J1475" t="str">
            <v>REPUESTO</v>
          </cell>
          <cell r="K1475" t="str">
            <v>PARCHE RACK 12</v>
          </cell>
          <cell r="L1475">
            <v>1</v>
          </cell>
          <cell r="M1475" t="str">
            <v>UNID.</v>
          </cell>
          <cell r="N1475" t="str">
            <v>TRACTO</v>
          </cell>
          <cell r="O1475">
            <v>93</v>
          </cell>
          <cell r="P1475" t="str">
            <v>N1</v>
          </cell>
          <cell r="Q1475" t="str">
            <v>J2</v>
          </cell>
          <cell r="R1475" t="str">
            <v>J6</v>
          </cell>
          <cell r="S1475" t="str">
            <v>ENTREGADO</v>
          </cell>
          <cell r="T1475">
            <v>0</v>
          </cell>
          <cell r="U1475" t="str">
            <v>AGUILAR CCANTUTA WILLY</v>
          </cell>
          <cell r="V1475" t="str">
            <v>CORIHUAMAN SURCO  ERICK ROBERT</v>
          </cell>
        </row>
        <row r="1476">
          <cell r="A1476">
            <v>1443</v>
          </cell>
          <cell r="B1476">
            <v>42697</v>
          </cell>
          <cell r="C1476" t="str">
            <v>NOVIEMBRE</v>
          </cell>
          <cell r="D1476" t="str">
            <v>2016</v>
          </cell>
          <cell r="E1476">
            <v>388</v>
          </cell>
          <cell r="F1476" t="str">
            <v>D6F-898</v>
          </cell>
          <cell r="G1476" t="str">
            <v>T4L-996</v>
          </cell>
          <cell r="H1476" t="str">
            <v>LAS BAMBAS</v>
          </cell>
          <cell r="I1476">
            <v>161323</v>
          </cell>
          <cell r="J1476" t="str">
            <v>REPUESTO</v>
          </cell>
          <cell r="K1476" t="str">
            <v>FOCO DE DOBLE CONTACTO</v>
          </cell>
          <cell r="L1476">
            <v>1</v>
          </cell>
          <cell r="M1476" t="str">
            <v>UNID.</v>
          </cell>
          <cell r="N1476" t="str">
            <v>TRACTO</v>
          </cell>
          <cell r="O1476">
            <v>93</v>
          </cell>
          <cell r="P1476" t="str">
            <v>E1</v>
          </cell>
          <cell r="Q1476" t="str">
            <v>J2</v>
          </cell>
          <cell r="R1476" t="str">
            <v>J6</v>
          </cell>
          <cell r="S1476" t="str">
            <v>ENTREGADO</v>
          </cell>
          <cell r="T1476">
            <v>0</v>
          </cell>
          <cell r="U1476" t="str">
            <v>PALOMINO CARDENAS JUAN CARLOS</v>
          </cell>
          <cell r="V1476" t="str">
            <v>CORIHUAMAN SURCO  ERICK ROBERT</v>
          </cell>
        </row>
        <row r="1477">
          <cell r="A1477">
            <v>1451</v>
          </cell>
          <cell r="B1477">
            <v>42697</v>
          </cell>
          <cell r="C1477" t="str">
            <v>NOVIEMBRE</v>
          </cell>
          <cell r="D1477" t="str">
            <v>2016</v>
          </cell>
          <cell r="E1477">
            <v>388</v>
          </cell>
          <cell r="F1477" t="str">
            <v>D6F-898</v>
          </cell>
          <cell r="G1477" t="str">
            <v>T4L-996</v>
          </cell>
          <cell r="H1477" t="str">
            <v>LAS BAMBAS</v>
          </cell>
          <cell r="I1477">
            <v>161323</v>
          </cell>
          <cell r="J1477" t="str">
            <v>REPUESTO</v>
          </cell>
          <cell r="K1477" t="str">
            <v>RETENEDOR DE PUERTA</v>
          </cell>
          <cell r="L1477">
            <v>1</v>
          </cell>
          <cell r="M1477" t="str">
            <v>UNID.</v>
          </cell>
          <cell r="N1477" t="str">
            <v>TRACTO</v>
          </cell>
          <cell r="O1477">
            <v>0</v>
          </cell>
          <cell r="P1477" t="str">
            <v>M2</v>
          </cell>
          <cell r="Q1477" t="str">
            <v>J2</v>
          </cell>
          <cell r="R1477" t="str">
            <v>J6</v>
          </cell>
          <cell r="S1477" t="str">
            <v>ENTREGADO</v>
          </cell>
          <cell r="T1477">
            <v>42697</v>
          </cell>
          <cell r="U1477" t="str">
            <v>CHUMPITAZ GAGO JULIO ENRIQUE</v>
          </cell>
          <cell r="V1477" t="str">
            <v>CORIHUAMAN SURCO  ERICK ROBERT</v>
          </cell>
        </row>
        <row r="1478">
          <cell r="A1478">
            <v>1452</v>
          </cell>
          <cell r="B1478">
            <v>42697</v>
          </cell>
          <cell r="C1478" t="str">
            <v>NOVIEMBRE</v>
          </cell>
          <cell r="D1478" t="str">
            <v>2016</v>
          </cell>
          <cell r="E1478">
            <v>388</v>
          </cell>
          <cell r="F1478" t="str">
            <v>D6F-898</v>
          </cell>
          <cell r="G1478" t="str">
            <v>T4L-996</v>
          </cell>
          <cell r="H1478" t="str">
            <v>LAS BAMBAS</v>
          </cell>
          <cell r="I1478">
            <v>161323</v>
          </cell>
          <cell r="J1478" t="str">
            <v>REPUESTO</v>
          </cell>
          <cell r="K1478" t="str">
            <v>FOCO DE DOBLE CONTACTO 12V</v>
          </cell>
          <cell r="L1478">
            <v>1</v>
          </cell>
          <cell r="M1478" t="str">
            <v>UNID.</v>
          </cell>
          <cell r="N1478" t="str">
            <v>CISTERNA</v>
          </cell>
          <cell r="O1478">
            <v>93</v>
          </cell>
          <cell r="P1478" t="str">
            <v>E1</v>
          </cell>
          <cell r="Q1478" t="str">
            <v>J2</v>
          </cell>
          <cell r="R1478" t="str">
            <v>J6</v>
          </cell>
          <cell r="S1478" t="str">
            <v>ENTREGADO</v>
          </cell>
          <cell r="T1478">
            <v>0</v>
          </cell>
          <cell r="U1478" t="str">
            <v>PALOMINO CARDENAS JUAN CARLOS</v>
          </cell>
          <cell r="V1478" t="str">
            <v>CORIHUAMAN SURCO  ERICK ROBERT</v>
          </cell>
        </row>
        <row r="1479">
          <cell r="A1479">
            <v>1463</v>
          </cell>
          <cell r="B1479">
            <v>42697</v>
          </cell>
          <cell r="C1479" t="str">
            <v>NOVIEMBRE</v>
          </cell>
          <cell r="D1479" t="str">
            <v>2016</v>
          </cell>
          <cell r="E1479">
            <v>388</v>
          </cell>
          <cell r="F1479" t="str">
            <v>D6F-898</v>
          </cell>
          <cell r="G1479" t="str">
            <v>T4L-996</v>
          </cell>
          <cell r="H1479" t="str">
            <v>LAS BAMBAS</v>
          </cell>
          <cell r="I1479">
            <v>161323</v>
          </cell>
          <cell r="J1479" t="str">
            <v>REPUESTO</v>
          </cell>
          <cell r="K1479" t="str">
            <v>PERNO 5/16 X 2</v>
          </cell>
          <cell r="L1479">
            <v>1</v>
          </cell>
          <cell r="M1479" t="str">
            <v>UNID.</v>
          </cell>
          <cell r="N1479" t="str">
            <v>TRACTO</v>
          </cell>
          <cell r="O1479">
            <v>93</v>
          </cell>
          <cell r="P1479" t="str">
            <v>M7</v>
          </cell>
          <cell r="Q1479" t="str">
            <v>J1</v>
          </cell>
          <cell r="R1479" t="str">
            <v>J6</v>
          </cell>
          <cell r="S1479" t="str">
            <v>ENTREGADO</v>
          </cell>
          <cell r="T1479">
            <v>0</v>
          </cell>
          <cell r="U1479" t="str">
            <v>ROBLES ROJAS  JOSE MIGUEL</v>
          </cell>
          <cell r="V1479" t="str">
            <v>FLOREZ CONDORI  JOSE WILLIANS</v>
          </cell>
        </row>
        <row r="1480">
          <cell r="A1480">
            <v>1464</v>
          </cell>
          <cell r="B1480">
            <v>42697</v>
          </cell>
          <cell r="C1480" t="str">
            <v>NOVIEMBRE</v>
          </cell>
          <cell r="D1480" t="str">
            <v>2016</v>
          </cell>
          <cell r="E1480">
            <v>388</v>
          </cell>
          <cell r="F1480" t="str">
            <v>D6F-898</v>
          </cell>
          <cell r="G1480" t="str">
            <v>T4L-996</v>
          </cell>
          <cell r="H1480" t="str">
            <v>LAS BAMBAS</v>
          </cell>
          <cell r="I1480">
            <v>161323</v>
          </cell>
          <cell r="J1480" t="str">
            <v>REPUESTO</v>
          </cell>
          <cell r="K1480" t="str">
            <v>TUERCA SEGURO 5/16</v>
          </cell>
          <cell r="L1480">
            <v>1</v>
          </cell>
          <cell r="M1480" t="str">
            <v>UNID.</v>
          </cell>
          <cell r="N1480" t="str">
            <v>TRACTO</v>
          </cell>
          <cell r="O1480">
            <v>93</v>
          </cell>
          <cell r="P1480" t="str">
            <v>M7</v>
          </cell>
          <cell r="Q1480" t="str">
            <v>J1</v>
          </cell>
          <cell r="R1480" t="str">
            <v>J6</v>
          </cell>
          <cell r="S1480" t="str">
            <v>ENTREGADO</v>
          </cell>
          <cell r="T1480">
            <v>0</v>
          </cell>
          <cell r="U1480" t="str">
            <v>ROBLES ROJAS  JOSE MIGUEL</v>
          </cell>
          <cell r="V1480" t="str">
            <v>FLOREZ CONDORI  JOSE WILLIANS</v>
          </cell>
        </row>
        <row r="1481">
          <cell r="A1481">
            <v>1416</v>
          </cell>
          <cell r="B1481">
            <v>42697</v>
          </cell>
          <cell r="C1481" t="str">
            <v>NOVIEMBRE</v>
          </cell>
          <cell r="D1481" t="str">
            <v>2016</v>
          </cell>
          <cell r="E1481">
            <v>397</v>
          </cell>
          <cell r="F1481" t="str">
            <v>D6F-903</v>
          </cell>
          <cell r="G1481" t="str">
            <v>B8K-997</v>
          </cell>
          <cell r="H1481" t="str">
            <v>LAS BAMBAS</v>
          </cell>
          <cell r="I1481">
            <v>216322</v>
          </cell>
          <cell r="J1481" t="str">
            <v>SERVICIO</v>
          </cell>
          <cell r="K1481" t="str">
            <v>FABRICACION DE JUEGO DE LLAVE</v>
          </cell>
          <cell r="L1481">
            <v>2</v>
          </cell>
          <cell r="M1481" t="str">
            <v>JUEGO</v>
          </cell>
          <cell r="N1481" t="str">
            <v>TRACTO</v>
          </cell>
          <cell r="O1481">
            <v>93</v>
          </cell>
          <cell r="P1481" t="str">
            <v>J2</v>
          </cell>
          <cell r="Q1481" t="str">
            <v>J2</v>
          </cell>
          <cell r="R1481" t="str">
            <v>J6</v>
          </cell>
          <cell r="S1481" t="str">
            <v>ENTREGADO</v>
          </cell>
          <cell r="T1481">
            <v>0</v>
          </cell>
          <cell r="U1481" t="str">
            <v>CORIHUAMAN SURCO  ERICK ROBERT</v>
          </cell>
          <cell r="V1481" t="str">
            <v>CORIHUAMAN SURCO  ERICK ROBERT</v>
          </cell>
        </row>
        <row r="1482">
          <cell r="A1482">
            <v>1425</v>
          </cell>
          <cell r="B1482">
            <v>42697</v>
          </cell>
          <cell r="C1482" t="str">
            <v>NOVIEMBRE</v>
          </cell>
          <cell r="D1482" t="str">
            <v>2016</v>
          </cell>
          <cell r="E1482">
            <v>397</v>
          </cell>
          <cell r="F1482" t="str">
            <v>D6F-903</v>
          </cell>
          <cell r="G1482" t="str">
            <v>B8K-997</v>
          </cell>
          <cell r="H1482" t="str">
            <v>LAS BAMBAS</v>
          </cell>
          <cell r="I1482">
            <v>216322</v>
          </cell>
          <cell r="J1482" t="str">
            <v>REPUESTO</v>
          </cell>
          <cell r="K1482" t="str">
            <v>CONECTOR ELECTRICO</v>
          </cell>
          <cell r="L1482">
            <v>1</v>
          </cell>
          <cell r="M1482" t="str">
            <v>UNID.</v>
          </cell>
          <cell r="N1482" t="str">
            <v>CISTERNA</v>
          </cell>
          <cell r="O1482">
            <v>93</v>
          </cell>
          <cell r="P1482" t="str">
            <v>E2</v>
          </cell>
          <cell r="Q1482" t="str">
            <v>J2</v>
          </cell>
          <cell r="R1482" t="str">
            <v>J6</v>
          </cell>
          <cell r="S1482" t="str">
            <v>ENTREGADO</v>
          </cell>
          <cell r="T1482">
            <v>0</v>
          </cell>
          <cell r="U1482" t="str">
            <v>YUCA BELLIDO BORIS YERSY</v>
          </cell>
          <cell r="V1482" t="str">
            <v>CORIHUAMAN SURCO  ERICK ROBERT</v>
          </cell>
        </row>
        <row r="1483">
          <cell r="A1483">
            <v>1426</v>
          </cell>
          <cell r="B1483">
            <v>42697</v>
          </cell>
          <cell r="C1483" t="str">
            <v>NOVIEMBRE</v>
          </cell>
          <cell r="D1483" t="str">
            <v>2016</v>
          </cell>
          <cell r="E1483">
            <v>397</v>
          </cell>
          <cell r="F1483" t="str">
            <v>D6F-903</v>
          </cell>
          <cell r="G1483" t="str">
            <v>B8K-997</v>
          </cell>
          <cell r="H1483" t="str">
            <v>LAS BAMBAS</v>
          </cell>
          <cell r="I1483">
            <v>216322</v>
          </cell>
          <cell r="J1483" t="str">
            <v>REPUESTO</v>
          </cell>
          <cell r="K1483" t="str">
            <v>FARO PIRATA</v>
          </cell>
          <cell r="L1483">
            <v>1</v>
          </cell>
          <cell r="M1483" t="str">
            <v>UNID.</v>
          </cell>
          <cell r="N1483" t="str">
            <v>CISTERNA</v>
          </cell>
          <cell r="O1483">
            <v>93</v>
          </cell>
          <cell r="P1483" t="str">
            <v>E2</v>
          </cell>
          <cell r="Q1483" t="str">
            <v>J2</v>
          </cell>
          <cell r="R1483" t="str">
            <v>J6</v>
          </cell>
          <cell r="S1483" t="str">
            <v>ENTREGADO</v>
          </cell>
          <cell r="T1483">
            <v>0</v>
          </cell>
          <cell r="U1483" t="str">
            <v>YUCA BELLIDO BORIS YERSY</v>
          </cell>
          <cell r="V1483" t="str">
            <v>CORIHUAMAN SURCO  ERICK ROBERT</v>
          </cell>
        </row>
        <row r="1484">
          <cell r="A1484">
            <v>1440</v>
          </cell>
          <cell r="B1484">
            <v>42697</v>
          </cell>
          <cell r="C1484" t="str">
            <v>NOVIEMBRE</v>
          </cell>
          <cell r="D1484" t="str">
            <v>2016</v>
          </cell>
          <cell r="E1484">
            <v>397</v>
          </cell>
          <cell r="F1484" t="str">
            <v>D6F-903</v>
          </cell>
          <cell r="G1484" t="str">
            <v>B8K-997</v>
          </cell>
          <cell r="H1484" t="str">
            <v>LAS BAMBAS</v>
          </cell>
          <cell r="I1484">
            <v>216322</v>
          </cell>
          <cell r="J1484" t="str">
            <v>REPUESTO</v>
          </cell>
          <cell r="K1484" t="str">
            <v>PARCHE RACK 14</v>
          </cell>
          <cell r="L1484">
            <v>1</v>
          </cell>
          <cell r="M1484" t="str">
            <v>UNID.</v>
          </cell>
          <cell r="N1484" t="str">
            <v>CISTERNA</v>
          </cell>
          <cell r="O1484">
            <v>93</v>
          </cell>
          <cell r="P1484" t="str">
            <v>N1</v>
          </cell>
          <cell r="Q1484" t="str">
            <v>J2</v>
          </cell>
          <cell r="R1484" t="str">
            <v>J6</v>
          </cell>
          <cell r="S1484" t="str">
            <v>ENTREGADO</v>
          </cell>
          <cell r="T1484">
            <v>0</v>
          </cell>
          <cell r="U1484" t="str">
            <v>AGUILAR CCANTUTA WILLY</v>
          </cell>
          <cell r="V1484" t="str">
            <v>CORIHUAMAN SURCO  ERICK ROBERT</v>
          </cell>
        </row>
        <row r="1485">
          <cell r="A1485">
            <v>1441</v>
          </cell>
          <cell r="B1485">
            <v>42697</v>
          </cell>
          <cell r="C1485" t="str">
            <v>NOVIEMBRE</v>
          </cell>
          <cell r="D1485" t="str">
            <v>2016</v>
          </cell>
          <cell r="E1485">
            <v>397</v>
          </cell>
          <cell r="F1485" t="str">
            <v>D6F-903</v>
          </cell>
          <cell r="G1485" t="str">
            <v>B8K-997</v>
          </cell>
          <cell r="H1485" t="str">
            <v>LAS BAMBAS</v>
          </cell>
          <cell r="I1485">
            <v>216322</v>
          </cell>
          <cell r="J1485" t="str">
            <v>REPUESTO</v>
          </cell>
          <cell r="K1485" t="str">
            <v>PITON CURVO</v>
          </cell>
          <cell r="L1485">
            <v>1</v>
          </cell>
          <cell r="M1485" t="str">
            <v>UNID.</v>
          </cell>
          <cell r="N1485" t="str">
            <v>TRACTO</v>
          </cell>
          <cell r="O1485">
            <v>93</v>
          </cell>
          <cell r="P1485" t="str">
            <v>N1</v>
          </cell>
          <cell r="Q1485" t="str">
            <v>J2</v>
          </cell>
          <cell r="R1485" t="str">
            <v>J6</v>
          </cell>
          <cell r="S1485" t="str">
            <v>ENTREGADO</v>
          </cell>
          <cell r="T1485">
            <v>0</v>
          </cell>
          <cell r="U1485" t="str">
            <v>AGUILAR CCANTUTA WILLY</v>
          </cell>
          <cell r="V1485" t="str">
            <v>CORIHUAMAN SURCO  ERICK ROBERT</v>
          </cell>
        </row>
        <row r="1486">
          <cell r="A1486">
            <v>1442</v>
          </cell>
          <cell r="B1486">
            <v>42697</v>
          </cell>
          <cell r="C1486" t="str">
            <v>NOVIEMBRE</v>
          </cell>
          <cell r="D1486" t="str">
            <v>2016</v>
          </cell>
          <cell r="E1486">
            <v>397</v>
          </cell>
          <cell r="F1486" t="str">
            <v>D6F-903</v>
          </cell>
          <cell r="G1486" t="str">
            <v>B8K-997</v>
          </cell>
          <cell r="H1486" t="str">
            <v>LAS BAMBAS</v>
          </cell>
          <cell r="I1486">
            <v>216322</v>
          </cell>
          <cell r="J1486" t="str">
            <v>SERVICIO</v>
          </cell>
          <cell r="K1486" t="str">
            <v>SERVICIO DE REPARACION DE RADIO COMUNICACIÓN PETETE</v>
          </cell>
          <cell r="L1486">
            <v>1</v>
          </cell>
          <cell r="M1486" t="str">
            <v>UNID.</v>
          </cell>
          <cell r="N1486" t="str">
            <v>TRACTO</v>
          </cell>
          <cell r="O1486">
            <v>93</v>
          </cell>
          <cell r="P1486" t="str">
            <v>J1</v>
          </cell>
          <cell r="Q1486" t="str">
            <v>J1</v>
          </cell>
          <cell r="R1486" t="str">
            <v>J6</v>
          </cell>
          <cell r="S1486" t="str">
            <v>ENTREGADO</v>
          </cell>
          <cell r="T1486">
            <v>0</v>
          </cell>
          <cell r="U1486" t="str">
            <v>FLOREZ CONDORI  JOSE WILLIANS</v>
          </cell>
          <cell r="V1486" t="str">
            <v>FLOREZ CONDORI  JOSE WILLIANS</v>
          </cell>
        </row>
        <row r="1487">
          <cell r="A1487">
            <v>1448</v>
          </cell>
          <cell r="B1487">
            <v>42697</v>
          </cell>
          <cell r="C1487" t="str">
            <v>NOVIEMBRE</v>
          </cell>
          <cell r="D1487" t="str">
            <v>2016</v>
          </cell>
          <cell r="E1487">
            <v>397</v>
          </cell>
          <cell r="F1487" t="str">
            <v>D6F-903</v>
          </cell>
          <cell r="G1487" t="str">
            <v>B8K-997</v>
          </cell>
          <cell r="H1487" t="str">
            <v>LAS BAMBAS</v>
          </cell>
          <cell r="I1487">
            <v>216322</v>
          </cell>
          <cell r="J1487" t="str">
            <v>REPUESTO</v>
          </cell>
          <cell r="K1487" t="str">
            <v>CINTURON DE SEGURIDAD</v>
          </cell>
          <cell r="L1487">
            <v>1</v>
          </cell>
          <cell r="M1487" t="str">
            <v>UNID.</v>
          </cell>
          <cell r="N1487" t="str">
            <v>TRACTO</v>
          </cell>
          <cell r="O1487">
            <v>0</v>
          </cell>
          <cell r="P1487" t="str">
            <v>M2</v>
          </cell>
          <cell r="Q1487" t="str">
            <v>J2</v>
          </cell>
          <cell r="R1487" t="str">
            <v>J6</v>
          </cell>
          <cell r="S1487" t="str">
            <v>ENTREGADO</v>
          </cell>
          <cell r="T1487">
            <v>42697</v>
          </cell>
          <cell r="U1487" t="str">
            <v>CHUMPITAZ GAGO JULIO ENRIQUE</v>
          </cell>
          <cell r="V1487" t="str">
            <v>CORIHUAMAN SURCO  ERICK ROBERT</v>
          </cell>
        </row>
        <row r="1488">
          <cell r="A1488">
            <v>1453</v>
          </cell>
          <cell r="B1488">
            <v>42697</v>
          </cell>
          <cell r="C1488" t="str">
            <v>NOVIEMBRE</v>
          </cell>
          <cell r="D1488" t="str">
            <v>2016</v>
          </cell>
          <cell r="E1488">
            <v>397</v>
          </cell>
          <cell r="F1488" t="str">
            <v>D6F-903</v>
          </cell>
          <cell r="G1488" t="str">
            <v>B8K-997</v>
          </cell>
          <cell r="H1488" t="str">
            <v>LAS BAMBAS</v>
          </cell>
          <cell r="I1488">
            <v>216322</v>
          </cell>
          <cell r="J1488" t="str">
            <v>REPUESTO</v>
          </cell>
          <cell r="K1488" t="str">
            <v>BOLSA DE AIRE DE CABINA</v>
          </cell>
          <cell r="L1488">
            <v>1</v>
          </cell>
          <cell r="M1488" t="str">
            <v>UNID.</v>
          </cell>
          <cell r="N1488" t="str">
            <v>TRACTO</v>
          </cell>
          <cell r="O1488">
            <v>0</v>
          </cell>
          <cell r="P1488" t="str">
            <v>J2</v>
          </cell>
          <cell r="Q1488" t="str">
            <v>J1</v>
          </cell>
          <cell r="R1488" t="str">
            <v>J6</v>
          </cell>
          <cell r="S1488" t="str">
            <v>ENTREGADO</v>
          </cell>
          <cell r="T1488">
            <v>42697</v>
          </cell>
          <cell r="U1488" t="str">
            <v>CORIHUAMAN SURCO  ERICK ROBERT</v>
          </cell>
          <cell r="V1488" t="str">
            <v>FLOREZ CONDORI  JOSE WILLIANS</v>
          </cell>
        </row>
        <row r="1489">
          <cell r="A1489">
            <v>1460</v>
          </cell>
          <cell r="B1489">
            <v>42697</v>
          </cell>
          <cell r="C1489" t="str">
            <v>NOVIEMBRE</v>
          </cell>
          <cell r="D1489" t="str">
            <v>2016</v>
          </cell>
          <cell r="E1489">
            <v>397</v>
          </cell>
          <cell r="F1489" t="str">
            <v>D6F-903</v>
          </cell>
          <cell r="G1489" t="str">
            <v>B8K-997</v>
          </cell>
          <cell r="H1489" t="str">
            <v>LAS BAMBAS</v>
          </cell>
          <cell r="I1489">
            <v>216322</v>
          </cell>
          <cell r="J1489" t="str">
            <v>REPUESTO</v>
          </cell>
          <cell r="K1489" t="str">
            <v>PERNOS 5/8 X 6</v>
          </cell>
          <cell r="L1489">
            <v>6</v>
          </cell>
          <cell r="M1489" t="str">
            <v>UNID.</v>
          </cell>
          <cell r="N1489" t="str">
            <v>CISTERNA</v>
          </cell>
          <cell r="O1489">
            <v>93</v>
          </cell>
          <cell r="P1489" t="str">
            <v>S2</v>
          </cell>
          <cell r="Q1489" t="str">
            <v>J2</v>
          </cell>
          <cell r="R1489" t="str">
            <v>J6</v>
          </cell>
          <cell r="S1489" t="str">
            <v>ENTREGADO</v>
          </cell>
          <cell r="T1489">
            <v>0</v>
          </cell>
          <cell r="U1489" t="str">
            <v>PALOMINO ESTRADA  MICHEL</v>
          </cell>
          <cell r="V1489" t="str">
            <v>CORIHUAMAN SURCO  ERICK ROBERT</v>
          </cell>
        </row>
        <row r="1490">
          <cell r="A1490">
            <v>1461</v>
          </cell>
          <cell r="B1490">
            <v>42697</v>
          </cell>
          <cell r="C1490" t="str">
            <v>NOVIEMBRE</v>
          </cell>
          <cell r="D1490" t="str">
            <v>2016</v>
          </cell>
          <cell r="E1490">
            <v>397</v>
          </cell>
          <cell r="F1490" t="str">
            <v>D6F-903</v>
          </cell>
          <cell r="G1490" t="str">
            <v>B8K-997</v>
          </cell>
          <cell r="H1490" t="str">
            <v>LAS BAMBAS</v>
          </cell>
          <cell r="I1490">
            <v>216322</v>
          </cell>
          <cell r="J1490" t="str">
            <v>REPUESTO</v>
          </cell>
          <cell r="K1490" t="str">
            <v>TUERCA SEGURO 5/8</v>
          </cell>
          <cell r="L1490">
            <v>6</v>
          </cell>
          <cell r="M1490" t="str">
            <v>UNID.</v>
          </cell>
          <cell r="N1490" t="str">
            <v>CISTERNA</v>
          </cell>
          <cell r="O1490">
            <v>93</v>
          </cell>
          <cell r="P1490" t="str">
            <v>S2</v>
          </cell>
          <cell r="Q1490" t="str">
            <v>J2</v>
          </cell>
          <cell r="R1490" t="str">
            <v>J6</v>
          </cell>
          <cell r="S1490" t="str">
            <v>ENTREGADO</v>
          </cell>
          <cell r="T1490">
            <v>0</v>
          </cell>
          <cell r="U1490" t="str">
            <v>PALOMINO ESTRADA  MICHEL</v>
          </cell>
          <cell r="V1490" t="str">
            <v>CORIHUAMAN SURCO  ERICK ROBERT</v>
          </cell>
        </row>
        <row r="1491">
          <cell r="A1491">
            <v>1469</v>
          </cell>
          <cell r="B1491">
            <v>42697</v>
          </cell>
          <cell r="C1491" t="str">
            <v>NOVIEMBRE</v>
          </cell>
          <cell r="D1491" t="str">
            <v>2016</v>
          </cell>
          <cell r="E1491">
            <v>397</v>
          </cell>
          <cell r="F1491" t="str">
            <v>D6F-903</v>
          </cell>
          <cell r="G1491" t="str">
            <v>B8K-997</v>
          </cell>
          <cell r="H1491" t="str">
            <v>LAS BAMBAS</v>
          </cell>
          <cell r="I1491">
            <v>216322</v>
          </cell>
          <cell r="J1491" t="str">
            <v>REPUESTO</v>
          </cell>
          <cell r="K1491" t="str">
            <v>FILTRO DE COMBUSTIBLE PRIMARIO</v>
          </cell>
          <cell r="L1491">
            <v>1</v>
          </cell>
          <cell r="M1491" t="str">
            <v>UNID.</v>
          </cell>
          <cell r="N1491" t="str">
            <v>TRACTO</v>
          </cell>
          <cell r="O1491">
            <v>93</v>
          </cell>
          <cell r="P1491" t="str">
            <v>M4</v>
          </cell>
          <cell r="Q1491" t="str">
            <v>J2</v>
          </cell>
          <cell r="R1491" t="str">
            <v>J6</v>
          </cell>
          <cell r="S1491" t="str">
            <v>ENTREGADO</v>
          </cell>
          <cell r="T1491">
            <v>0</v>
          </cell>
          <cell r="U1491" t="str">
            <v>JULLIRI APAZA UBALDO</v>
          </cell>
          <cell r="V1491" t="str">
            <v>CORIHUAMAN SURCO  ERICK ROBERT</v>
          </cell>
        </row>
        <row r="1492">
          <cell r="A1492">
            <v>1473</v>
          </cell>
          <cell r="B1492">
            <v>42697</v>
          </cell>
          <cell r="C1492" t="str">
            <v>NOVIEMBRE</v>
          </cell>
          <cell r="D1492" t="str">
            <v>2016</v>
          </cell>
          <cell r="E1492">
            <v>402</v>
          </cell>
          <cell r="F1492" t="str">
            <v>D6G-806</v>
          </cell>
          <cell r="G1492" t="str">
            <v>B8K-998</v>
          </cell>
          <cell r="H1492" t="str">
            <v>LAS BAMBAS</v>
          </cell>
          <cell r="I1492">
            <v>217127.8</v>
          </cell>
          <cell r="J1492" t="str">
            <v>REPUESTO</v>
          </cell>
          <cell r="K1492" t="str">
            <v>SENSOR DE RETROCESO</v>
          </cell>
          <cell r="L1492">
            <v>1</v>
          </cell>
          <cell r="M1492" t="str">
            <v>UNID.</v>
          </cell>
          <cell r="N1492" t="str">
            <v>CISTERNA</v>
          </cell>
          <cell r="O1492">
            <v>93</v>
          </cell>
          <cell r="P1492" t="str">
            <v>E1</v>
          </cell>
          <cell r="Q1492" t="str">
            <v>J2</v>
          </cell>
          <cell r="R1492" t="str">
            <v>J6</v>
          </cell>
          <cell r="S1492" t="str">
            <v>ENTREGADO</v>
          </cell>
          <cell r="T1492">
            <v>0</v>
          </cell>
          <cell r="U1492" t="str">
            <v>PALOMINO CARDENAS JUAN CARLOS</v>
          </cell>
          <cell r="V1492" t="str">
            <v>CORIHUAMAN SURCO  ERICK ROBERT</v>
          </cell>
        </row>
        <row r="1493">
          <cell r="A1493">
            <v>1474</v>
          </cell>
          <cell r="B1493">
            <v>42697</v>
          </cell>
          <cell r="C1493" t="str">
            <v>NOVIEMBRE</v>
          </cell>
          <cell r="D1493" t="str">
            <v>2016</v>
          </cell>
          <cell r="E1493">
            <v>402</v>
          </cell>
          <cell r="F1493" t="str">
            <v>D6G-806</v>
          </cell>
          <cell r="G1493" t="str">
            <v>B8K-998</v>
          </cell>
          <cell r="H1493" t="str">
            <v>LAS BAMBAS</v>
          </cell>
          <cell r="I1493">
            <v>217127.8</v>
          </cell>
          <cell r="J1493" t="str">
            <v>REPUESTO</v>
          </cell>
          <cell r="K1493" t="str">
            <v>PERNOS 1/4 X 1</v>
          </cell>
          <cell r="L1493">
            <v>6</v>
          </cell>
          <cell r="M1493" t="str">
            <v>UNID.</v>
          </cell>
          <cell r="N1493" t="str">
            <v>TRACTO</v>
          </cell>
          <cell r="O1493">
            <v>93</v>
          </cell>
          <cell r="P1493" t="str">
            <v>M6</v>
          </cell>
          <cell r="Q1493" t="str">
            <v>J2</v>
          </cell>
          <cell r="R1493" t="str">
            <v>J6</v>
          </cell>
          <cell r="S1493" t="str">
            <v>ENTREGADO</v>
          </cell>
          <cell r="T1493">
            <v>0</v>
          </cell>
          <cell r="U1493" t="str">
            <v>PARI VENTURA  EDSON ORLANDO</v>
          </cell>
          <cell r="V1493" t="str">
            <v>CORIHUAMAN SURCO  ERICK ROBERT</v>
          </cell>
        </row>
        <row r="1494">
          <cell r="A1494">
            <v>1475</v>
          </cell>
          <cell r="B1494">
            <v>42697</v>
          </cell>
          <cell r="C1494" t="str">
            <v>NOVIEMBRE</v>
          </cell>
          <cell r="D1494" t="str">
            <v>2016</v>
          </cell>
          <cell r="E1494">
            <v>402</v>
          </cell>
          <cell r="F1494" t="str">
            <v>D6G-806</v>
          </cell>
          <cell r="G1494" t="str">
            <v>B8K-998</v>
          </cell>
          <cell r="H1494" t="str">
            <v>LAS BAMBAS</v>
          </cell>
          <cell r="I1494">
            <v>217127.8</v>
          </cell>
          <cell r="J1494" t="str">
            <v>REPUESTO</v>
          </cell>
          <cell r="K1494" t="str">
            <v>TUERCA 1/4</v>
          </cell>
          <cell r="L1494">
            <v>6</v>
          </cell>
          <cell r="M1494" t="str">
            <v>UNID.</v>
          </cell>
          <cell r="N1494" t="str">
            <v>TRACTO</v>
          </cell>
          <cell r="O1494">
            <v>93</v>
          </cell>
          <cell r="P1494" t="str">
            <v>M6</v>
          </cell>
          <cell r="Q1494" t="str">
            <v>J2</v>
          </cell>
          <cell r="R1494" t="str">
            <v>J6</v>
          </cell>
          <cell r="S1494" t="str">
            <v>ENTREGADO</v>
          </cell>
          <cell r="T1494">
            <v>0</v>
          </cell>
          <cell r="U1494" t="str">
            <v>PARI VENTURA  EDSON ORLANDO</v>
          </cell>
          <cell r="V1494" t="str">
            <v>CORIHUAMAN SURCO  ERICK ROBERT</v>
          </cell>
        </row>
        <row r="1495">
          <cell r="A1495">
            <v>1476</v>
          </cell>
          <cell r="B1495">
            <v>42697</v>
          </cell>
          <cell r="C1495" t="str">
            <v>NOVIEMBRE</v>
          </cell>
          <cell r="D1495" t="str">
            <v>2016</v>
          </cell>
          <cell r="E1495">
            <v>402</v>
          </cell>
          <cell r="F1495" t="str">
            <v>D6G-806</v>
          </cell>
          <cell r="G1495" t="str">
            <v>B8K-998</v>
          </cell>
          <cell r="H1495" t="str">
            <v>LAS BAMBAS</v>
          </cell>
          <cell r="I1495">
            <v>217127.8</v>
          </cell>
          <cell r="J1495" t="str">
            <v>REPUESTO</v>
          </cell>
          <cell r="K1495" t="str">
            <v>ARANDELAS PLANAS</v>
          </cell>
          <cell r="L1495">
            <v>12</v>
          </cell>
          <cell r="M1495" t="str">
            <v>UNID.</v>
          </cell>
          <cell r="N1495" t="str">
            <v>TRACTO</v>
          </cell>
          <cell r="O1495">
            <v>93</v>
          </cell>
          <cell r="P1495" t="str">
            <v>M6</v>
          </cell>
          <cell r="Q1495" t="str">
            <v>J2</v>
          </cell>
          <cell r="R1495" t="str">
            <v>J6</v>
          </cell>
          <cell r="S1495" t="str">
            <v>ENTREGADO</v>
          </cell>
          <cell r="T1495">
            <v>0</v>
          </cell>
          <cell r="U1495" t="str">
            <v>PARI VENTURA  EDSON ORLANDO</v>
          </cell>
          <cell r="V1495" t="str">
            <v>CORIHUAMAN SURCO  ERICK ROBERT</v>
          </cell>
        </row>
        <row r="1496">
          <cell r="A1496">
            <v>1479</v>
          </cell>
          <cell r="B1496">
            <v>42697</v>
          </cell>
          <cell r="C1496" t="str">
            <v>NOVIEMBRE</v>
          </cell>
          <cell r="D1496" t="str">
            <v>2016</v>
          </cell>
          <cell r="E1496">
            <v>402</v>
          </cell>
          <cell r="F1496" t="str">
            <v>D6G-806</v>
          </cell>
          <cell r="G1496" t="str">
            <v>B8K-998</v>
          </cell>
          <cell r="H1496" t="str">
            <v>LAS BAMBAS</v>
          </cell>
          <cell r="I1496">
            <v>217127.8</v>
          </cell>
          <cell r="J1496" t="str">
            <v>REPUESTO</v>
          </cell>
          <cell r="K1496" t="str">
            <v>RELAY DE 12 V</v>
          </cell>
          <cell r="L1496">
            <v>1</v>
          </cell>
          <cell r="M1496" t="str">
            <v>UNID.</v>
          </cell>
          <cell r="N1496" t="str">
            <v>TRACTO</v>
          </cell>
          <cell r="O1496">
            <v>93</v>
          </cell>
          <cell r="P1496" t="str">
            <v>E1</v>
          </cell>
          <cell r="Q1496" t="str">
            <v>J2</v>
          </cell>
          <cell r="R1496" t="str">
            <v>J6</v>
          </cell>
          <cell r="S1496" t="str">
            <v>ENTREGADO</v>
          </cell>
          <cell r="T1496">
            <v>0</v>
          </cell>
          <cell r="U1496" t="str">
            <v>PALOMINO CARDENAS JUAN CARLOS</v>
          </cell>
          <cell r="V1496" t="str">
            <v>CORIHUAMAN SURCO  ERICK ROBERT</v>
          </cell>
        </row>
        <row r="1497">
          <cell r="A1497">
            <v>1399</v>
          </cell>
          <cell r="B1497">
            <v>42697</v>
          </cell>
          <cell r="C1497" t="str">
            <v>NOVIEMBRE</v>
          </cell>
          <cell r="D1497" t="str">
            <v>2016</v>
          </cell>
          <cell r="E1497">
            <v>200</v>
          </cell>
          <cell r="F1497" t="str">
            <v>TALLER</v>
          </cell>
          <cell r="G1497" t="str">
            <v>TALLER</v>
          </cell>
          <cell r="H1497" t="str">
            <v>TALLER</v>
          </cell>
          <cell r="I1497" t="str">
            <v>TALLER</v>
          </cell>
          <cell r="J1497" t="str">
            <v>INSUMO TALLER</v>
          </cell>
          <cell r="K1497" t="str">
            <v>TIZA DE CALDERA</v>
          </cell>
          <cell r="L1497">
            <v>1</v>
          </cell>
          <cell r="M1497" t="str">
            <v>UNID.</v>
          </cell>
          <cell r="N1497" t="str">
            <v>TALLER</v>
          </cell>
          <cell r="O1497">
            <v>93</v>
          </cell>
          <cell r="P1497" t="str">
            <v>S3</v>
          </cell>
          <cell r="Q1497" t="str">
            <v>J1</v>
          </cell>
          <cell r="R1497" t="str">
            <v>J6</v>
          </cell>
          <cell r="S1497" t="str">
            <v>ENTREGADO</v>
          </cell>
          <cell r="T1497">
            <v>0</v>
          </cell>
          <cell r="U1497" t="str">
            <v>JIMENEZ MACHACA JAVIER</v>
          </cell>
          <cell r="V1497" t="str">
            <v>FLOREZ CONDORI  JOSE WILLIANS</v>
          </cell>
        </row>
        <row r="1498">
          <cell r="A1498">
            <v>1413</v>
          </cell>
          <cell r="B1498">
            <v>42697</v>
          </cell>
          <cell r="C1498" t="str">
            <v>NOVIEMBRE</v>
          </cell>
          <cell r="D1498" t="str">
            <v>2016</v>
          </cell>
          <cell r="E1498">
            <v>200</v>
          </cell>
          <cell r="F1498" t="str">
            <v>TALLER</v>
          </cell>
          <cell r="G1498" t="str">
            <v>TALLER</v>
          </cell>
          <cell r="H1498" t="str">
            <v>TALLER</v>
          </cell>
          <cell r="I1498" t="str">
            <v>TALLER</v>
          </cell>
          <cell r="J1498" t="str">
            <v>INSUMO TALLER</v>
          </cell>
          <cell r="K1498" t="str">
            <v>SPRAY COLOR BLANCO</v>
          </cell>
          <cell r="L1498">
            <v>1</v>
          </cell>
          <cell r="M1498" t="str">
            <v>UNID.</v>
          </cell>
          <cell r="N1498" t="str">
            <v>TALLER</v>
          </cell>
          <cell r="O1498">
            <v>93</v>
          </cell>
          <cell r="P1498" t="str">
            <v>N2</v>
          </cell>
          <cell r="Q1498" t="str">
            <v>J3</v>
          </cell>
          <cell r="R1498" t="str">
            <v>J6</v>
          </cell>
          <cell r="S1498" t="str">
            <v>ENTREGADO</v>
          </cell>
          <cell r="T1498">
            <v>0</v>
          </cell>
          <cell r="U1498" t="str">
            <v>MAMANI LARICO  EDUARDO ALVARO</v>
          </cell>
          <cell r="V1498" t="str">
            <v>CHURA PIZARRO ALBERTO</v>
          </cell>
        </row>
        <row r="1499">
          <cell r="A1499">
            <v>1414</v>
          </cell>
          <cell r="B1499">
            <v>42697</v>
          </cell>
          <cell r="C1499" t="str">
            <v>NOVIEMBRE</v>
          </cell>
          <cell r="D1499" t="str">
            <v>2016</v>
          </cell>
          <cell r="E1499">
            <v>200</v>
          </cell>
          <cell r="F1499" t="str">
            <v>TALLER</v>
          </cell>
          <cell r="G1499" t="str">
            <v>TALLER</v>
          </cell>
          <cell r="H1499" t="str">
            <v>TALLER</v>
          </cell>
          <cell r="I1499" t="str">
            <v>TALLER</v>
          </cell>
          <cell r="J1499" t="str">
            <v>INSUMO TALLER</v>
          </cell>
          <cell r="K1499" t="str">
            <v>SPRAY COLOR ALUMINIO</v>
          </cell>
          <cell r="L1499">
            <v>1</v>
          </cell>
          <cell r="M1499" t="str">
            <v>UNID.</v>
          </cell>
          <cell r="N1499" t="str">
            <v>TALLER</v>
          </cell>
          <cell r="O1499">
            <v>93</v>
          </cell>
          <cell r="P1499" t="str">
            <v>N2</v>
          </cell>
          <cell r="Q1499" t="str">
            <v>J3</v>
          </cell>
          <cell r="R1499" t="str">
            <v>J6</v>
          </cell>
          <cell r="S1499" t="str">
            <v>ENTREGADO</v>
          </cell>
          <cell r="T1499">
            <v>0</v>
          </cell>
          <cell r="U1499" t="str">
            <v>MAMANI LARICO  EDUARDO ALVARO</v>
          </cell>
          <cell r="V1499" t="str">
            <v>CHURA PIZARRO ALBERTO</v>
          </cell>
        </row>
        <row r="1500">
          <cell r="A1500">
            <v>1415</v>
          </cell>
          <cell r="B1500">
            <v>42697</v>
          </cell>
          <cell r="C1500" t="str">
            <v>NOVIEMBRE</v>
          </cell>
          <cell r="D1500" t="str">
            <v>2016</v>
          </cell>
          <cell r="E1500">
            <v>200</v>
          </cell>
          <cell r="F1500" t="str">
            <v>TALLER</v>
          </cell>
          <cell r="G1500" t="str">
            <v>TALLER</v>
          </cell>
          <cell r="H1500" t="str">
            <v>TALLER</v>
          </cell>
          <cell r="I1500" t="str">
            <v>TALLER</v>
          </cell>
          <cell r="J1500" t="str">
            <v>INSUMO TALLER</v>
          </cell>
          <cell r="K1500" t="str">
            <v>MARCADOR INDUSRIAL</v>
          </cell>
          <cell r="L1500">
            <v>1</v>
          </cell>
          <cell r="M1500" t="str">
            <v>UNID.</v>
          </cell>
          <cell r="N1500" t="str">
            <v>TALLER</v>
          </cell>
          <cell r="O1500">
            <v>93</v>
          </cell>
          <cell r="P1500" t="str">
            <v>N2</v>
          </cell>
          <cell r="Q1500" t="str">
            <v>J3</v>
          </cell>
          <cell r="R1500" t="str">
            <v>J6</v>
          </cell>
          <cell r="S1500" t="str">
            <v>ENTREGADO</v>
          </cell>
          <cell r="T1500">
            <v>0</v>
          </cell>
          <cell r="U1500" t="str">
            <v>MAMANI LARICO  EDUARDO ALVARO</v>
          </cell>
          <cell r="V1500" t="str">
            <v>CHURA PIZARRO ALBERTO</v>
          </cell>
        </row>
        <row r="1501">
          <cell r="A1501">
            <v>1423</v>
          </cell>
          <cell r="B1501">
            <v>42697</v>
          </cell>
          <cell r="C1501" t="str">
            <v>NOVIEMBRE</v>
          </cell>
          <cell r="D1501" t="str">
            <v>2016</v>
          </cell>
          <cell r="E1501">
            <v>200</v>
          </cell>
          <cell r="F1501" t="str">
            <v>TALLER</v>
          </cell>
          <cell r="G1501" t="str">
            <v>TALLER</v>
          </cell>
          <cell r="H1501" t="str">
            <v>TALLER</v>
          </cell>
          <cell r="I1501" t="str">
            <v>TALLER</v>
          </cell>
          <cell r="J1501" t="str">
            <v>EPPS</v>
          </cell>
          <cell r="K1501" t="str">
            <v>LUNA TRANSPARENTES</v>
          </cell>
          <cell r="L1501">
            <v>3</v>
          </cell>
          <cell r="M1501" t="str">
            <v>UNID.</v>
          </cell>
          <cell r="N1501" t="str">
            <v>TALLER</v>
          </cell>
          <cell r="O1501">
            <v>93</v>
          </cell>
          <cell r="P1501" t="str">
            <v>S2</v>
          </cell>
          <cell r="Q1501" t="str">
            <v>J1</v>
          </cell>
          <cell r="R1501" t="str">
            <v>J6</v>
          </cell>
          <cell r="S1501" t="str">
            <v>ENTREGADO</v>
          </cell>
          <cell r="T1501">
            <v>0</v>
          </cell>
          <cell r="U1501" t="str">
            <v>PALOMINO ESTRADA  MICHEL</v>
          </cell>
          <cell r="V1501" t="str">
            <v>FLOREZ CONDORI  JOSE WILLIANS</v>
          </cell>
        </row>
        <row r="1502">
          <cell r="A1502">
            <v>1424</v>
          </cell>
          <cell r="B1502">
            <v>42697</v>
          </cell>
          <cell r="C1502" t="str">
            <v>NOVIEMBRE</v>
          </cell>
          <cell r="D1502" t="str">
            <v>2016</v>
          </cell>
          <cell r="E1502">
            <v>200</v>
          </cell>
          <cell r="F1502" t="str">
            <v>TALLER</v>
          </cell>
          <cell r="G1502" t="str">
            <v>TALLER</v>
          </cell>
          <cell r="H1502" t="str">
            <v>TALLER</v>
          </cell>
          <cell r="I1502" t="str">
            <v>TALLER</v>
          </cell>
          <cell r="J1502" t="str">
            <v>EPPS</v>
          </cell>
          <cell r="K1502" t="str">
            <v>LUNA OSCURA NRO. 12</v>
          </cell>
          <cell r="L1502">
            <v>1</v>
          </cell>
          <cell r="M1502" t="str">
            <v>UNID.</v>
          </cell>
          <cell r="N1502" t="str">
            <v>TALLER</v>
          </cell>
          <cell r="O1502">
            <v>93</v>
          </cell>
          <cell r="P1502" t="str">
            <v>S2</v>
          </cell>
          <cell r="Q1502" t="str">
            <v>J1</v>
          </cell>
          <cell r="R1502" t="str">
            <v>J6</v>
          </cell>
          <cell r="S1502" t="str">
            <v>ENTREGADO</v>
          </cell>
          <cell r="T1502">
            <v>0</v>
          </cell>
          <cell r="U1502" t="str">
            <v>PALOMINO ESTRADA  MICHEL</v>
          </cell>
          <cell r="V1502" t="str">
            <v>FLOREZ CONDORI  JOSE WILLIANS</v>
          </cell>
        </row>
        <row r="1503">
          <cell r="A1503">
            <v>1462</v>
          </cell>
          <cell r="B1503">
            <v>42697</v>
          </cell>
          <cell r="C1503" t="str">
            <v>NOVIEMBRE</v>
          </cell>
          <cell r="D1503" t="str">
            <v>2016</v>
          </cell>
          <cell r="E1503">
            <v>200</v>
          </cell>
          <cell r="F1503" t="str">
            <v>TALLER</v>
          </cell>
          <cell r="G1503" t="str">
            <v>TALLER</v>
          </cell>
          <cell r="H1503" t="str">
            <v>TALLER</v>
          </cell>
          <cell r="I1503" t="str">
            <v>TALLER</v>
          </cell>
          <cell r="J1503" t="str">
            <v>INSUMO TALLER</v>
          </cell>
          <cell r="K1503" t="str">
            <v>DISCO DE DESBASTE</v>
          </cell>
          <cell r="L1503">
            <v>2</v>
          </cell>
          <cell r="M1503" t="str">
            <v>UNID.</v>
          </cell>
          <cell r="N1503" t="str">
            <v>TALLER</v>
          </cell>
          <cell r="O1503">
            <v>93</v>
          </cell>
          <cell r="P1503" t="str">
            <v>S2</v>
          </cell>
          <cell r="Q1503" t="str">
            <v>J2</v>
          </cell>
          <cell r="R1503" t="str">
            <v>J6</v>
          </cell>
          <cell r="S1503" t="str">
            <v>ENTREGADO</v>
          </cell>
          <cell r="T1503">
            <v>0</v>
          </cell>
          <cell r="U1503" t="str">
            <v>PALOMINO ESTRADA  MICHEL</v>
          </cell>
          <cell r="V1503" t="str">
            <v>CORIHUAMAN SURCO  ERICK ROBERT</v>
          </cell>
        </row>
        <row r="1504">
          <cell r="A1504">
            <v>1478</v>
          </cell>
          <cell r="B1504">
            <v>42697</v>
          </cell>
          <cell r="C1504" t="str">
            <v>NOVIEMBRE</v>
          </cell>
          <cell r="D1504" t="str">
            <v>2016</v>
          </cell>
          <cell r="E1504">
            <v>200</v>
          </cell>
          <cell r="F1504" t="str">
            <v>TALLER</v>
          </cell>
          <cell r="G1504" t="str">
            <v>TALLER</v>
          </cell>
          <cell r="H1504" t="str">
            <v>TALLER</v>
          </cell>
          <cell r="I1504" t="str">
            <v>TALLER</v>
          </cell>
          <cell r="J1504" t="str">
            <v>INSUMO TALLER</v>
          </cell>
          <cell r="K1504" t="str">
            <v>FERROSITO 1/8</v>
          </cell>
          <cell r="L1504">
            <v>1</v>
          </cell>
          <cell r="M1504" t="str">
            <v>KG.</v>
          </cell>
          <cell r="N1504" t="str">
            <v>TALLER</v>
          </cell>
          <cell r="O1504">
            <v>93</v>
          </cell>
          <cell r="P1504" t="str">
            <v>S3</v>
          </cell>
          <cell r="Q1504" t="str">
            <v>J2</v>
          </cell>
          <cell r="R1504" t="str">
            <v>J6</v>
          </cell>
          <cell r="S1504" t="str">
            <v>ENTREGADO</v>
          </cell>
          <cell r="T1504">
            <v>0</v>
          </cell>
          <cell r="U1504" t="str">
            <v>JIMENEZ MACHACA JAVIER</v>
          </cell>
          <cell r="V1504" t="str">
            <v>CORIHUAMAN SURCO  ERICK ROBERT</v>
          </cell>
        </row>
        <row r="1505">
          <cell r="A1505">
            <v>1485</v>
          </cell>
          <cell r="B1505">
            <v>42697</v>
          </cell>
          <cell r="C1505" t="str">
            <v>NOVIEMBRE</v>
          </cell>
          <cell r="D1505" t="str">
            <v>2016</v>
          </cell>
          <cell r="E1505">
            <v>200</v>
          </cell>
          <cell r="F1505" t="str">
            <v>TALLER</v>
          </cell>
          <cell r="G1505" t="str">
            <v>TALLER</v>
          </cell>
          <cell r="H1505" t="str">
            <v>TALLER</v>
          </cell>
          <cell r="I1505" t="str">
            <v>TALLER</v>
          </cell>
          <cell r="J1505" t="str">
            <v>REPUESTO</v>
          </cell>
          <cell r="K1505" t="str">
            <v>DADO 38 MM ENCASTRE DE 1/2</v>
          </cell>
          <cell r="L1505">
            <v>1</v>
          </cell>
          <cell r="M1505" t="str">
            <v>UNID.</v>
          </cell>
          <cell r="N1505" t="str">
            <v>TALLER</v>
          </cell>
          <cell r="O1505">
            <v>93</v>
          </cell>
          <cell r="P1505" t="str">
            <v>M4</v>
          </cell>
          <cell r="Q1505" t="str">
            <v>J1</v>
          </cell>
          <cell r="R1505" t="str">
            <v>J1</v>
          </cell>
          <cell r="S1505" t="str">
            <v>PENDIENTE</v>
          </cell>
          <cell r="T1505">
            <v>0</v>
          </cell>
          <cell r="U1505" t="str">
            <v>JULLIRI APAZA UBALDO</v>
          </cell>
          <cell r="V1505" t="str">
            <v>FLOREZ CONDORI  JOSE WILLIANS</v>
          </cell>
        </row>
        <row r="1506">
          <cell r="A1506">
            <v>1486</v>
          </cell>
          <cell r="B1506">
            <v>42697</v>
          </cell>
          <cell r="C1506" t="str">
            <v>NOVIEMBRE</v>
          </cell>
          <cell r="D1506" t="str">
            <v>2016</v>
          </cell>
          <cell r="E1506">
            <v>200</v>
          </cell>
          <cell r="F1506" t="str">
            <v>TALLER</v>
          </cell>
          <cell r="G1506" t="str">
            <v>TALLER</v>
          </cell>
          <cell r="H1506" t="str">
            <v>TALLER</v>
          </cell>
          <cell r="I1506" t="str">
            <v>TALLER</v>
          </cell>
          <cell r="J1506" t="str">
            <v>REPUESTO</v>
          </cell>
          <cell r="K1506" t="str">
            <v>TORQUIMETRO SNAPO DE 220 Lrs. ENCASTRE DE 1/2"</v>
          </cell>
          <cell r="L1506">
            <v>1</v>
          </cell>
          <cell r="M1506" t="str">
            <v>UNID.</v>
          </cell>
          <cell r="N1506" t="str">
            <v>TALLER</v>
          </cell>
          <cell r="O1506">
            <v>93</v>
          </cell>
          <cell r="P1506" t="str">
            <v>M4</v>
          </cell>
          <cell r="Q1506" t="str">
            <v>J2</v>
          </cell>
          <cell r="R1506" t="str">
            <v>J2</v>
          </cell>
          <cell r="S1506" t="str">
            <v>PENDIENTE</v>
          </cell>
          <cell r="T1506">
            <v>0</v>
          </cell>
          <cell r="U1506" t="str">
            <v>JULLIRI APAZA UBALDO</v>
          </cell>
          <cell r="V1506" t="str">
            <v>CORIHUAMAN SURCO  ERICK ROBERT</v>
          </cell>
        </row>
        <row r="1507">
          <cell r="A1507">
            <v>1449</v>
          </cell>
          <cell r="B1507">
            <v>42697</v>
          </cell>
          <cell r="C1507" t="str">
            <v>NOVIEMBRE</v>
          </cell>
          <cell r="D1507" t="str">
            <v>2016</v>
          </cell>
          <cell r="E1507">
            <v>366</v>
          </cell>
          <cell r="F1507" t="str">
            <v>X2W-760</v>
          </cell>
          <cell r="G1507" t="str">
            <v>C5V-992</v>
          </cell>
          <cell r="H1507" t="str">
            <v>LAS BAMBAS</v>
          </cell>
          <cell r="I1507">
            <v>148037</v>
          </cell>
          <cell r="J1507" t="str">
            <v>REPUESTO</v>
          </cell>
          <cell r="K1507" t="str">
            <v>FILTRO DE AIRE DE MERCEDES BENZ</v>
          </cell>
          <cell r="L1507">
            <v>1</v>
          </cell>
          <cell r="M1507" t="str">
            <v>UNID.</v>
          </cell>
          <cell r="N1507" t="str">
            <v>TRACTO</v>
          </cell>
          <cell r="O1507">
            <v>0</v>
          </cell>
          <cell r="P1507" t="str">
            <v>M7</v>
          </cell>
          <cell r="Q1507" t="str">
            <v>J2</v>
          </cell>
          <cell r="R1507" t="str">
            <v>J6</v>
          </cell>
          <cell r="S1507" t="str">
            <v>ENTREGADO</v>
          </cell>
          <cell r="T1507">
            <v>42697</v>
          </cell>
          <cell r="U1507" t="str">
            <v>ROBLES ROJAS  JOSE MIGUEL</v>
          </cell>
          <cell r="V1507" t="str">
            <v>CORIHUAMAN SURCO  ERICK ROBERT</v>
          </cell>
        </row>
        <row r="1508">
          <cell r="A1508">
            <v>1450</v>
          </cell>
          <cell r="B1508">
            <v>42697</v>
          </cell>
          <cell r="C1508" t="str">
            <v>NOVIEMBRE</v>
          </cell>
          <cell r="D1508" t="str">
            <v>2016</v>
          </cell>
          <cell r="E1508">
            <v>366</v>
          </cell>
          <cell r="F1508" t="str">
            <v>X2W-760</v>
          </cell>
          <cell r="G1508" t="str">
            <v>C5V-992</v>
          </cell>
          <cell r="H1508" t="str">
            <v>LAS BAMBAS</v>
          </cell>
          <cell r="I1508">
            <v>148037</v>
          </cell>
          <cell r="J1508" t="str">
            <v>REPUESTO</v>
          </cell>
          <cell r="K1508" t="str">
            <v>FILTRO DE COMBUSTIBLE</v>
          </cell>
          <cell r="L1508">
            <v>2</v>
          </cell>
          <cell r="M1508" t="str">
            <v>UNID.</v>
          </cell>
          <cell r="N1508" t="str">
            <v>TRACTO</v>
          </cell>
          <cell r="O1508">
            <v>0</v>
          </cell>
          <cell r="P1508" t="str">
            <v>M7</v>
          </cell>
          <cell r="Q1508" t="str">
            <v>J2</v>
          </cell>
          <cell r="R1508" t="str">
            <v>J6</v>
          </cell>
          <cell r="S1508" t="str">
            <v>ENTREGADO</v>
          </cell>
          <cell r="T1508">
            <v>42697</v>
          </cell>
          <cell r="U1508" t="str">
            <v>ROBLES ROJAS  JOSE MIGUEL</v>
          </cell>
          <cell r="V1508" t="str">
            <v>CORIHUAMAN SURCO  ERICK ROBERT</v>
          </cell>
        </row>
        <row r="1509">
          <cell r="A1509">
            <v>1455</v>
          </cell>
          <cell r="B1509">
            <v>42697</v>
          </cell>
          <cell r="C1509" t="str">
            <v>NOVIEMBRE</v>
          </cell>
          <cell r="D1509" t="str">
            <v>2016</v>
          </cell>
          <cell r="E1509">
            <v>366</v>
          </cell>
          <cell r="F1509" t="str">
            <v>X2W-760</v>
          </cell>
          <cell r="G1509" t="str">
            <v>C5V-992</v>
          </cell>
          <cell r="H1509" t="str">
            <v>LAS BAMBAS</v>
          </cell>
          <cell r="I1509">
            <v>148037</v>
          </cell>
          <cell r="J1509" t="str">
            <v>REPUESTO</v>
          </cell>
          <cell r="K1509" t="str">
            <v>PERNO  5/16 X 1</v>
          </cell>
          <cell r="L1509">
            <v>4</v>
          </cell>
          <cell r="M1509" t="str">
            <v>UNID.</v>
          </cell>
          <cell r="N1509" t="str">
            <v>TRACTO</v>
          </cell>
          <cell r="O1509">
            <v>93</v>
          </cell>
          <cell r="P1509" t="str">
            <v>M7</v>
          </cell>
          <cell r="Q1509" t="str">
            <v>J1</v>
          </cell>
          <cell r="R1509" t="str">
            <v>J6</v>
          </cell>
          <cell r="S1509" t="str">
            <v>ENTREGADO</v>
          </cell>
          <cell r="T1509">
            <v>0</v>
          </cell>
          <cell r="U1509" t="str">
            <v>ROBLES ROJAS  JOSE MIGUEL</v>
          </cell>
          <cell r="V1509" t="str">
            <v>FLOREZ CONDORI  JOSE WILLIANS</v>
          </cell>
        </row>
        <row r="1510">
          <cell r="A1510">
            <v>1456</v>
          </cell>
          <cell r="B1510">
            <v>42697</v>
          </cell>
          <cell r="C1510" t="str">
            <v>NOVIEMBRE</v>
          </cell>
          <cell r="D1510" t="str">
            <v>2016</v>
          </cell>
          <cell r="E1510">
            <v>366</v>
          </cell>
          <cell r="F1510" t="str">
            <v>X2W-760</v>
          </cell>
          <cell r="G1510" t="str">
            <v>C5V-992</v>
          </cell>
          <cell r="H1510" t="str">
            <v>LAS BAMBAS</v>
          </cell>
          <cell r="I1510">
            <v>148037</v>
          </cell>
          <cell r="J1510" t="str">
            <v>REPUESTO</v>
          </cell>
          <cell r="K1510" t="str">
            <v>ARANDELAS 5/16</v>
          </cell>
          <cell r="L1510">
            <v>4</v>
          </cell>
          <cell r="M1510" t="str">
            <v>UNID.</v>
          </cell>
          <cell r="N1510" t="str">
            <v>TRACTO</v>
          </cell>
          <cell r="O1510">
            <v>93</v>
          </cell>
          <cell r="P1510" t="str">
            <v>M7</v>
          </cell>
          <cell r="Q1510" t="str">
            <v>J1</v>
          </cell>
          <cell r="R1510" t="str">
            <v>J6</v>
          </cell>
          <cell r="S1510" t="str">
            <v>ENTREGADO</v>
          </cell>
          <cell r="T1510">
            <v>0</v>
          </cell>
          <cell r="U1510" t="str">
            <v>ROBLES ROJAS  JOSE MIGUEL</v>
          </cell>
          <cell r="V1510" t="str">
            <v>FLOREZ CONDORI  JOSE WILLIANS</v>
          </cell>
        </row>
        <row r="1511">
          <cell r="A1511">
            <v>1548</v>
          </cell>
          <cell r="B1511">
            <v>42698</v>
          </cell>
          <cell r="C1511" t="str">
            <v>NOVIEMBRE</v>
          </cell>
          <cell r="D1511" t="str">
            <v>2016</v>
          </cell>
          <cell r="E1511">
            <v>405</v>
          </cell>
          <cell r="F1511" t="str">
            <v>AAN-801</v>
          </cell>
          <cell r="G1511" t="str">
            <v>CAMIONETA</v>
          </cell>
          <cell r="H1511" t="str">
            <v>LAS BAMBAS</v>
          </cell>
          <cell r="I1511">
            <v>111603</v>
          </cell>
          <cell r="J1511" t="str">
            <v>SERVICIO</v>
          </cell>
          <cell r="K1511" t="str">
            <v>2 CRUZETA DE EJE DE CARDAN TOYOTA HILUX</v>
          </cell>
          <cell r="L1511">
            <v>1</v>
          </cell>
          <cell r="M1511" t="str">
            <v>UNID.</v>
          </cell>
          <cell r="N1511" t="str">
            <v>CAMIONETA</v>
          </cell>
          <cell r="O1511">
            <v>0</v>
          </cell>
          <cell r="P1511" t="str">
            <v>M6</v>
          </cell>
          <cell r="Q1511" t="str">
            <v>J1</v>
          </cell>
          <cell r="R1511" t="str">
            <v>J6</v>
          </cell>
          <cell r="S1511" t="str">
            <v>ENTREGADO</v>
          </cell>
          <cell r="T1511">
            <v>42698</v>
          </cell>
          <cell r="U1511" t="str">
            <v>PARI VENTURA  EDSON ORLANDO</v>
          </cell>
          <cell r="V1511" t="str">
            <v>FLOREZ CONDORI  JOSE WILLIANS</v>
          </cell>
        </row>
        <row r="1512">
          <cell r="A1512">
            <v>1488</v>
          </cell>
          <cell r="B1512">
            <v>42698</v>
          </cell>
          <cell r="C1512" t="str">
            <v>NOVIEMBRE</v>
          </cell>
          <cell r="D1512" t="str">
            <v>2016</v>
          </cell>
          <cell r="E1512">
            <v>404</v>
          </cell>
          <cell r="F1512" t="str">
            <v>ABP-729</v>
          </cell>
          <cell r="G1512" t="str">
            <v>D8K-985</v>
          </cell>
          <cell r="H1512" t="str">
            <v>LAS BAMBAS</v>
          </cell>
          <cell r="I1512">
            <v>107443</v>
          </cell>
          <cell r="J1512" t="str">
            <v>REPUESTO</v>
          </cell>
          <cell r="K1512" t="str">
            <v>SENSOR DE TEMPERATURA DE DIFERENCIAL</v>
          </cell>
          <cell r="L1512">
            <v>1</v>
          </cell>
          <cell r="M1512" t="str">
            <v>UNID.</v>
          </cell>
          <cell r="N1512" t="str">
            <v>TRACTO</v>
          </cell>
          <cell r="O1512">
            <v>0</v>
          </cell>
          <cell r="P1512" t="str">
            <v>M6</v>
          </cell>
          <cell r="Q1512" t="str">
            <v>J2</v>
          </cell>
          <cell r="R1512" t="str">
            <v>J6</v>
          </cell>
          <cell r="S1512" t="str">
            <v>ENTREGADO</v>
          </cell>
          <cell r="T1512">
            <v>42698</v>
          </cell>
          <cell r="U1512" t="str">
            <v>PARI VENTURA  EDSON ORLANDO</v>
          </cell>
          <cell r="V1512" t="str">
            <v>CORIHUAMAN SURCO  ERICK ROBERT</v>
          </cell>
        </row>
        <row r="1513">
          <cell r="A1513">
            <v>1527</v>
          </cell>
          <cell r="B1513">
            <v>42698</v>
          </cell>
          <cell r="C1513" t="str">
            <v>NOVIEMBRE</v>
          </cell>
          <cell r="D1513" t="str">
            <v>2016</v>
          </cell>
          <cell r="E1513">
            <v>409</v>
          </cell>
          <cell r="F1513" t="str">
            <v>ABQ-703</v>
          </cell>
          <cell r="G1513" t="str">
            <v>D0Z-994</v>
          </cell>
          <cell r="H1513" t="str">
            <v>LAS BAMBAS</v>
          </cell>
          <cell r="I1513">
            <v>958561</v>
          </cell>
          <cell r="J1513" t="str">
            <v>REPUESTO</v>
          </cell>
          <cell r="K1513" t="str">
            <v>LIQUIDO LIMPIA PARABRISA</v>
          </cell>
          <cell r="L1513">
            <v>1</v>
          </cell>
          <cell r="M1513" t="str">
            <v>GLNS.</v>
          </cell>
          <cell r="N1513" t="str">
            <v>TRACTO</v>
          </cell>
          <cell r="O1513">
            <v>0</v>
          </cell>
          <cell r="P1513" t="str">
            <v>M6</v>
          </cell>
          <cell r="Q1513" t="str">
            <v>J2</v>
          </cell>
          <cell r="R1513" t="str">
            <v>J6</v>
          </cell>
          <cell r="S1513" t="str">
            <v>ENTREGADO</v>
          </cell>
          <cell r="T1513">
            <v>42698</v>
          </cell>
          <cell r="U1513" t="str">
            <v>PARI VENTURA  EDSON ORLANDO</v>
          </cell>
          <cell r="V1513" t="str">
            <v>CORIHUAMAN SURCO  ERICK ROBERT</v>
          </cell>
        </row>
        <row r="1514">
          <cell r="A1514">
            <v>1529</v>
          </cell>
          <cell r="B1514">
            <v>42698</v>
          </cell>
          <cell r="C1514" t="str">
            <v>NOVIEMBRE</v>
          </cell>
          <cell r="D1514" t="str">
            <v>2016</v>
          </cell>
          <cell r="E1514">
            <v>409</v>
          </cell>
          <cell r="F1514" t="str">
            <v>ABQ-703</v>
          </cell>
          <cell r="G1514" t="str">
            <v>D0Z-994</v>
          </cell>
          <cell r="H1514" t="str">
            <v>LAS BAMBAS</v>
          </cell>
          <cell r="I1514">
            <v>958561</v>
          </cell>
          <cell r="J1514" t="str">
            <v>REPUESTO</v>
          </cell>
          <cell r="K1514" t="str">
            <v>PERNOS 5/16 X 1</v>
          </cell>
          <cell r="L1514">
            <v>2</v>
          </cell>
          <cell r="M1514" t="str">
            <v>UNID.</v>
          </cell>
          <cell r="N1514" t="str">
            <v>TRACTO</v>
          </cell>
          <cell r="O1514">
            <v>0</v>
          </cell>
          <cell r="P1514" t="str">
            <v>M6</v>
          </cell>
          <cell r="Q1514" t="str">
            <v>J2</v>
          </cell>
          <cell r="R1514" t="str">
            <v>J6</v>
          </cell>
          <cell r="S1514" t="str">
            <v>ENTREGADO</v>
          </cell>
          <cell r="T1514">
            <v>42698</v>
          </cell>
          <cell r="U1514" t="str">
            <v>PARI VENTURA  EDSON ORLANDO</v>
          </cell>
          <cell r="V1514" t="str">
            <v>CORIHUAMAN SURCO  ERICK ROBERT</v>
          </cell>
        </row>
        <row r="1515">
          <cell r="A1515">
            <v>1530</v>
          </cell>
          <cell r="B1515">
            <v>42698</v>
          </cell>
          <cell r="C1515" t="str">
            <v>NOVIEMBRE</v>
          </cell>
          <cell r="D1515" t="str">
            <v>2016</v>
          </cell>
          <cell r="E1515">
            <v>409</v>
          </cell>
          <cell r="F1515" t="str">
            <v>ABQ-703</v>
          </cell>
          <cell r="G1515" t="str">
            <v>D0Z-994</v>
          </cell>
          <cell r="H1515" t="str">
            <v>LAS BAMBAS</v>
          </cell>
          <cell r="I1515">
            <v>958561</v>
          </cell>
          <cell r="J1515" t="str">
            <v>REPUESTO</v>
          </cell>
          <cell r="K1515" t="str">
            <v>TUERCA SEGURO 5/16</v>
          </cell>
          <cell r="L1515">
            <v>2</v>
          </cell>
          <cell r="M1515" t="str">
            <v>UNID.</v>
          </cell>
          <cell r="N1515" t="str">
            <v>TRACTO</v>
          </cell>
          <cell r="O1515">
            <v>0</v>
          </cell>
          <cell r="P1515" t="str">
            <v>M6</v>
          </cell>
          <cell r="Q1515" t="str">
            <v>J2</v>
          </cell>
          <cell r="R1515" t="str">
            <v>J6</v>
          </cell>
          <cell r="S1515" t="str">
            <v>ENTREGADO</v>
          </cell>
          <cell r="T1515">
            <v>42698</v>
          </cell>
          <cell r="U1515" t="str">
            <v>PARI VENTURA  EDSON ORLANDO</v>
          </cell>
          <cell r="V1515" t="str">
            <v>CORIHUAMAN SURCO  ERICK ROBERT</v>
          </cell>
        </row>
        <row r="1516">
          <cell r="A1516">
            <v>1531</v>
          </cell>
          <cell r="B1516">
            <v>42698</v>
          </cell>
          <cell r="C1516" t="str">
            <v>NOVIEMBRE</v>
          </cell>
          <cell r="D1516" t="str">
            <v>2016</v>
          </cell>
          <cell r="E1516">
            <v>409</v>
          </cell>
          <cell r="F1516" t="str">
            <v>ABQ-703</v>
          </cell>
          <cell r="G1516" t="str">
            <v>D0Z-994</v>
          </cell>
          <cell r="H1516" t="str">
            <v>LAS BAMBAS</v>
          </cell>
          <cell r="I1516">
            <v>958561</v>
          </cell>
          <cell r="J1516" t="str">
            <v>REPUESTO</v>
          </cell>
          <cell r="K1516" t="str">
            <v>ARANDELA  5/16</v>
          </cell>
          <cell r="L1516">
            <v>4</v>
          </cell>
          <cell r="M1516" t="str">
            <v>UNID.</v>
          </cell>
          <cell r="N1516" t="str">
            <v>TRACTO</v>
          </cell>
          <cell r="O1516">
            <v>0</v>
          </cell>
          <cell r="P1516" t="str">
            <v>M6</v>
          </cell>
          <cell r="Q1516" t="str">
            <v>J2</v>
          </cell>
          <cell r="R1516" t="str">
            <v>J6</v>
          </cell>
          <cell r="S1516" t="str">
            <v>ENTREGADO</v>
          </cell>
          <cell r="T1516">
            <v>42698</v>
          </cell>
          <cell r="U1516" t="str">
            <v>PARI VENTURA  EDSON ORLANDO</v>
          </cell>
          <cell r="V1516" t="str">
            <v>CORIHUAMAN SURCO  ERICK ROBERT</v>
          </cell>
        </row>
        <row r="1517">
          <cell r="A1517">
            <v>1532</v>
          </cell>
          <cell r="B1517">
            <v>42698</v>
          </cell>
          <cell r="C1517" t="str">
            <v>NOVIEMBRE</v>
          </cell>
          <cell r="D1517" t="str">
            <v>2016</v>
          </cell>
          <cell r="E1517">
            <v>409</v>
          </cell>
          <cell r="F1517" t="str">
            <v>ABQ-703</v>
          </cell>
          <cell r="G1517" t="str">
            <v>D0Z-994</v>
          </cell>
          <cell r="H1517" t="str">
            <v>LAS BAMBAS</v>
          </cell>
          <cell r="I1517">
            <v>958561</v>
          </cell>
          <cell r="J1517" t="str">
            <v>REPUESTO</v>
          </cell>
          <cell r="K1517" t="str">
            <v>PERNOS 3/8 X 1</v>
          </cell>
          <cell r="L1517">
            <v>2</v>
          </cell>
          <cell r="M1517" t="str">
            <v>UNID.</v>
          </cell>
          <cell r="N1517" t="str">
            <v>TRACTO</v>
          </cell>
          <cell r="O1517">
            <v>0</v>
          </cell>
          <cell r="P1517" t="str">
            <v>M6</v>
          </cell>
          <cell r="Q1517" t="str">
            <v>J2</v>
          </cell>
          <cell r="R1517" t="str">
            <v>J6</v>
          </cell>
          <cell r="S1517" t="str">
            <v>ENTREGADO</v>
          </cell>
          <cell r="T1517">
            <v>42698</v>
          </cell>
          <cell r="U1517" t="str">
            <v>PARI VENTURA  EDSON ORLANDO</v>
          </cell>
          <cell r="V1517" t="str">
            <v>CORIHUAMAN SURCO  ERICK ROBERT</v>
          </cell>
        </row>
        <row r="1518">
          <cell r="A1518">
            <v>1533</v>
          </cell>
          <cell r="B1518">
            <v>42698</v>
          </cell>
          <cell r="C1518" t="str">
            <v>NOVIEMBRE</v>
          </cell>
          <cell r="D1518" t="str">
            <v>2016</v>
          </cell>
          <cell r="E1518">
            <v>409</v>
          </cell>
          <cell r="F1518" t="str">
            <v>ABQ-703</v>
          </cell>
          <cell r="G1518" t="str">
            <v>D0Z-994</v>
          </cell>
          <cell r="H1518" t="str">
            <v>LAS BAMBAS</v>
          </cell>
          <cell r="I1518">
            <v>958561</v>
          </cell>
          <cell r="J1518" t="str">
            <v>REPUESTO</v>
          </cell>
          <cell r="K1518" t="str">
            <v>TUERCA 3/8</v>
          </cell>
          <cell r="L1518">
            <v>2</v>
          </cell>
          <cell r="M1518" t="str">
            <v>UNID.</v>
          </cell>
          <cell r="N1518" t="str">
            <v>TRACTO</v>
          </cell>
          <cell r="O1518">
            <v>0</v>
          </cell>
          <cell r="P1518" t="str">
            <v>M6</v>
          </cell>
          <cell r="Q1518" t="str">
            <v>J2</v>
          </cell>
          <cell r="R1518" t="str">
            <v>J6</v>
          </cell>
          <cell r="S1518" t="str">
            <v>ENTREGADO</v>
          </cell>
          <cell r="T1518">
            <v>42698</v>
          </cell>
          <cell r="U1518" t="str">
            <v>PARI VENTURA  EDSON ORLANDO</v>
          </cell>
          <cell r="V1518" t="str">
            <v>CORIHUAMAN SURCO  ERICK ROBERT</v>
          </cell>
        </row>
        <row r="1519">
          <cell r="A1519">
            <v>1534</v>
          </cell>
          <cell r="B1519">
            <v>42698</v>
          </cell>
          <cell r="C1519" t="str">
            <v>NOVIEMBRE</v>
          </cell>
          <cell r="D1519" t="str">
            <v>2016</v>
          </cell>
          <cell r="E1519">
            <v>409</v>
          </cell>
          <cell r="F1519" t="str">
            <v>ABQ-703</v>
          </cell>
          <cell r="G1519" t="str">
            <v>D0Z-994</v>
          </cell>
          <cell r="H1519" t="str">
            <v>LAS BAMBAS</v>
          </cell>
          <cell r="I1519">
            <v>958561</v>
          </cell>
          <cell r="J1519" t="str">
            <v>REPUESTO</v>
          </cell>
          <cell r="K1519" t="str">
            <v>ARANDELAS PLANAS 3/8</v>
          </cell>
          <cell r="L1519">
            <v>4</v>
          </cell>
          <cell r="M1519" t="str">
            <v>UNID.</v>
          </cell>
          <cell r="N1519" t="str">
            <v>TRACTO</v>
          </cell>
          <cell r="O1519">
            <v>0</v>
          </cell>
          <cell r="P1519" t="str">
            <v>M6</v>
          </cell>
          <cell r="Q1519" t="str">
            <v>J2</v>
          </cell>
          <cell r="R1519" t="str">
            <v>J6</v>
          </cell>
          <cell r="S1519" t="str">
            <v>ENTREGADO</v>
          </cell>
          <cell r="T1519">
            <v>42698</v>
          </cell>
          <cell r="U1519" t="str">
            <v>PARI VENTURA  EDSON ORLANDO</v>
          </cell>
          <cell r="V1519" t="str">
            <v>CORIHUAMAN SURCO  ERICK ROBERT</v>
          </cell>
        </row>
        <row r="1520">
          <cell r="A1520">
            <v>1498</v>
          </cell>
          <cell r="B1520">
            <v>42698</v>
          </cell>
          <cell r="C1520" t="str">
            <v>NOVIEMBRE</v>
          </cell>
          <cell r="D1520" t="str">
            <v>2016</v>
          </cell>
          <cell r="E1520">
            <v>357</v>
          </cell>
          <cell r="F1520" t="str">
            <v>ABR-796</v>
          </cell>
          <cell r="G1520" t="str">
            <v>C9S-994</v>
          </cell>
          <cell r="H1520" t="str">
            <v>LAS BAMBAS</v>
          </cell>
          <cell r="I1520">
            <v>107387</v>
          </cell>
          <cell r="J1520" t="str">
            <v>REPUESTO</v>
          </cell>
          <cell r="K1520" t="str">
            <v>PARCHE RACK 12</v>
          </cell>
          <cell r="L1520">
            <v>1</v>
          </cell>
          <cell r="M1520" t="str">
            <v>UNID.</v>
          </cell>
          <cell r="N1520" t="str">
            <v>TRACTO</v>
          </cell>
          <cell r="O1520">
            <v>0</v>
          </cell>
          <cell r="P1520" t="str">
            <v>N1</v>
          </cell>
          <cell r="Q1520" t="str">
            <v>J3</v>
          </cell>
          <cell r="R1520" t="str">
            <v>J6</v>
          </cell>
          <cell r="S1520" t="str">
            <v>ENTREGADO</v>
          </cell>
          <cell r="T1520">
            <v>42698</v>
          </cell>
          <cell r="U1520" t="str">
            <v>AGUILAR CCANTUTA WILLY</v>
          </cell>
          <cell r="V1520" t="str">
            <v>CHURA PIZARRO ALBERTO</v>
          </cell>
        </row>
        <row r="1521">
          <cell r="A1521">
            <v>1499</v>
          </cell>
          <cell r="B1521">
            <v>42698</v>
          </cell>
          <cell r="C1521" t="str">
            <v>NOVIEMBRE</v>
          </cell>
          <cell r="D1521" t="str">
            <v>2016</v>
          </cell>
          <cell r="E1521">
            <v>357</v>
          </cell>
          <cell r="F1521" t="str">
            <v>ABR-796</v>
          </cell>
          <cell r="G1521" t="str">
            <v>C9S-994</v>
          </cell>
          <cell r="H1521" t="str">
            <v>LAS BAMBAS</v>
          </cell>
          <cell r="I1521">
            <v>107387</v>
          </cell>
          <cell r="J1521" t="str">
            <v>REPUESTO</v>
          </cell>
          <cell r="K1521" t="str">
            <v>PITON RECTO</v>
          </cell>
          <cell r="L1521">
            <v>2</v>
          </cell>
          <cell r="M1521" t="str">
            <v>UNID.</v>
          </cell>
          <cell r="N1521" t="str">
            <v>TRACTO</v>
          </cell>
          <cell r="O1521">
            <v>0</v>
          </cell>
          <cell r="P1521" t="str">
            <v>N1</v>
          </cell>
          <cell r="Q1521" t="str">
            <v>J3</v>
          </cell>
          <cell r="R1521" t="str">
            <v>J6</v>
          </cell>
          <cell r="S1521" t="str">
            <v>ENTREGADO</v>
          </cell>
          <cell r="T1521">
            <v>42698</v>
          </cell>
          <cell r="U1521" t="str">
            <v>AGUILAR CCANTUTA WILLY</v>
          </cell>
          <cell r="V1521" t="str">
            <v>CHURA PIZARRO ALBERTO</v>
          </cell>
        </row>
        <row r="1522">
          <cell r="A1522">
            <v>1500</v>
          </cell>
          <cell r="B1522">
            <v>42698</v>
          </cell>
          <cell r="C1522" t="str">
            <v>NOVIEMBRE</v>
          </cell>
          <cell r="D1522" t="str">
            <v>2016</v>
          </cell>
          <cell r="E1522">
            <v>357</v>
          </cell>
          <cell r="F1522" t="str">
            <v>ABR-796</v>
          </cell>
          <cell r="G1522" t="str">
            <v>C9S-994</v>
          </cell>
          <cell r="H1522" t="str">
            <v>LAS BAMBAS</v>
          </cell>
          <cell r="I1522">
            <v>107387</v>
          </cell>
          <cell r="J1522" t="str">
            <v>REPUESTO</v>
          </cell>
          <cell r="K1522" t="str">
            <v>PARCHE RACK 10</v>
          </cell>
          <cell r="L1522">
            <v>2</v>
          </cell>
          <cell r="M1522" t="str">
            <v>UNID.</v>
          </cell>
          <cell r="N1522" t="str">
            <v>CISTERNA</v>
          </cell>
          <cell r="O1522">
            <v>0</v>
          </cell>
          <cell r="P1522" t="str">
            <v>N1</v>
          </cell>
          <cell r="Q1522" t="str">
            <v>J3</v>
          </cell>
          <cell r="R1522" t="str">
            <v>J6</v>
          </cell>
          <cell r="S1522" t="str">
            <v>ENTREGADO</v>
          </cell>
          <cell r="T1522">
            <v>42698</v>
          </cell>
          <cell r="U1522" t="str">
            <v>AGUILAR CCANTUTA WILLY</v>
          </cell>
          <cell r="V1522" t="str">
            <v>CHURA PIZARRO ALBERTO</v>
          </cell>
        </row>
        <row r="1523">
          <cell r="A1523">
            <v>1557</v>
          </cell>
          <cell r="B1523">
            <v>42698</v>
          </cell>
          <cell r="C1523" t="str">
            <v>NOVIEMBRE</v>
          </cell>
          <cell r="D1523" t="str">
            <v>2016</v>
          </cell>
          <cell r="E1523">
            <v>415</v>
          </cell>
          <cell r="F1523" t="str">
            <v>ABR-796</v>
          </cell>
          <cell r="G1523" t="str">
            <v>C9S-994</v>
          </cell>
          <cell r="H1523" t="str">
            <v>LAS BAMBAS</v>
          </cell>
          <cell r="I1523">
            <v>108448</v>
          </cell>
          <cell r="J1523" t="str">
            <v>REPUESTO</v>
          </cell>
          <cell r="K1523" t="str">
            <v>FAROS NABLINEROS</v>
          </cell>
          <cell r="L1523">
            <v>2</v>
          </cell>
          <cell r="M1523" t="str">
            <v>UNID.</v>
          </cell>
          <cell r="N1523" t="str">
            <v>TRACTO</v>
          </cell>
          <cell r="O1523">
            <v>0</v>
          </cell>
          <cell r="P1523" t="str">
            <v>E1</v>
          </cell>
          <cell r="Q1523" t="str">
            <v>J2</v>
          </cell>
          <cell r="R1523" t="str">
            <v>J6</v>
          </cell>
          <cell r="S1523" t="str">
            <v>ENTREGADO</v>
          </cell>
          <cell r="T1523">
            <v>42698</v>
          </cell>
          <cell r="U1523" t="str">
            <v>PALOMINO CARDENAS JUAN CARLOS</v>
          </cell>
          <cell r="V1523" t="str">
            <v>CORIHUAMAN SURCO  ERICK ROBERT</v>
          </cell>
        </row>
        <row r="1524">
          <cell r="A1524">
            <v>1559</v>
          </cell>
          <cell r="B1524">
            <v>42698</v>
          </cell>
          <cell r="C1524" t="str">
            <v>NOVIEMBRE</v>
          </cell>
          <cell r="D1524" t="str">
            <v>2016</v>
          </cell>
          <cell r="E1524">
            <v>415</v>
          </cell>
          <cell r="F1524" t="str">
            <v>ABR-796</v>
          </cell>
          <cell r="G1524" t="str">
            <v>C9S-994</v>
          </cell>
          <cell r="H1524" t="str">
            <v>LAS BAMBAS</v>
          </cell>
          <cell r="I1524">
            <v>108448</v>
          </cell>
          <cell r="J1524" t="str">
            <v>REPUESTO</v>
          </cell>
          <cell r="K1524" t="str">
            <v>LIQUIDO LIMPIAPARABRISAS</v>
          </cell>
          <cell r="L1524">
            <v>2</v>
          </cell>
          <cell r="M1524" t="str">
            <v>GLNS.</v>
          </cell>
          <cell r="N1524" t="str">
            <v>TRACTO</v>
          </cell>
          <cell r="O1524">
            <v>0</v>
          </cell>
          <cell r="P1524" t="str">
            <v>M1</v>
          </cell>
          <cell r="Q1524" t="str">
            <v>J2</v>
          </cell>
          <cell r="R1524" t="str">
            <v>J6</v>
          </cell>
          <cell r="S1524" t="str">
            <v>ENTREGADO</v>
          </cell>
          <cell r="T1524">
            <v>42698</v>
          </cell>
          <cell r="U1524" t="str">
            <v>CABEZAS SANCHEZ JEAN JHONATAN</v>
          </cell>
          <cell r="V1524" t="str">
            <v>CORIHUAMAN SURCO  ERICK ROBERT</v>
          </cell>
        </row>
        <row r="1525">
          <cell r="A1525">
            <v>1560</v>
          </cell>
          <cell r="B1525">
            <v>42698</v>
          </cell>
          <cell r="C1525" t="str">
            <v>NOVIEMBRE</v>
          </cell>
          <cell r="D1525" t="str">
            <v>2016</v>
          </cell>
          <cell r="E1525">
            <v>415</v>
          </cell>
          <cell r="F1525" t="str">
            <v>ABR-796</v>
          </cell>
          <cell r="G1525" t="str">
            <v>C9S-994</v>
          </cell>
          <cell r="H1525" t="str">
            <v>LAS BAMBAS</v>
          </cell>
          <cell r="I1525">
            <v>108448</v>
          </cell>
          <cell r="J1525" t="str">
            <v>REPUESTO</v>
          </cell>
          <cell r="K1525" t="str">
            <v>LIQUIDO REFRIGERANTE</v>
          </cell>
          <cell r="L1525">
            <v>0.5</v>
          </cell>
          <cell r="M1525" t="str">
            <v>GLNS.</v>
          </cell>
          <cell r="N1525" t="str">
            <v>TRACTO</v>
          </cell>
          <cell r="O1525">
            <v>0</v>
          </cell>
          <cell r="P1525" t="str">
            <v>M1</v>
          </cell>
          <cell r="Q1525" t="str">
            <v>J2</v>
          </cell>
          <cell r="R1525" t="str">
            <v>J6</v>
          </cell>
          <cell r="S1525" t="str">
            <v>ENTREGADO</v>
          </cell>
          <cell r="T1525">
            <v>42698</v>
          </cell>
          <cell r="U1525" t="str">
            <v>CABEZAS SANCHEZ JEAN JHONATAN</v>
          </cell>
          <cell r="V1525" t="str">
            <v>CORIHUAMAN SURCO  ERICK ROBERT</v>
          </cell>
        </row>
        <row r="1526">
          <cell r="A1526">
            <v>1598</v>
          </cell>
          <cell r="B1526">
            <v>42698</v>
          </cell>
          <cell r="C1526" t="str">
            <v>NOVIEMBRE</v>
          </cell>
          <cell r="D1526" t="str">
            <v>2016</v>
          </cell>
          <cell r="E1526">
            <v>422</v>
          </cell>
          <cell r="F1526" t="str">
            <v>AKW-894</v>
          </cell>
          <cell r="G1526" t="str">
            <v>TBN-978</v>
          </cell>
          <cell r="H1526" t="str">
            <v>LAS BAMBAS</v>
          </cell>
          <cell r="I1526">
            <v>37834</v>
          </cell>
          <cell r="J1526" t="str">
            <v>REPUESTO</v>
          </cell>
          <cell r="K1526" t="str">
            <v>MATACHISPA</v>
          </cell>
          <cell r="L1526">
            <v>1</v>
          </cell>
          <cell r="M1526" t="str">
            <v>UNID.</v>
          </cell>
          <cell r="N1526" t="str">
            <v>TRACTO</v>
          </cell>
          <cell r="O1526">
            <v>92</v>
          </cell>
          <cell r="P1526" t="str">
            <v>M1</v>
          </cell>
          <cell r="Q1526" t="str">
            <v>J1</v>
          </cell>
          <cell r="R1526" t="str">
            <v>J6</v>
          </cell>
          <cell r="S1526" t="str">
            <v>ENTREGADO</v>
          </cell>
          <cell r="T1526">
            <v>0</v>
          </cell>
          <cell r="U1526" t="str">
            <v>CABEZAS SANCHEZ JEAN JHONATAN</v>
          </cell>
          <cell r="V1526" t="str">
            <v>FLOREZ CONDORI  JOSE WILLIANS</v>
          </cell>
        </row>
        <row r="1527">
          <cell r="A1527">
            <v>1489</v>
          </cell>
          <cell r="B1527">
            <v>42698</v>
          </cell>
          <cell r="C1527" t="str">
            <v>NOVIEMBRE</v>
          </cell>
          <cell r="D1527" t="str">
            <v>2016</v>
          </cell>
          <cell r="E1527">
            <v>407</v>
          </cell>
          <cell r="F1527" t="str">
            <v>AKX-805</v>
          </cell>
          <cell r="G1527" t="str">
            <v>F5Z-985</v>
          </cell>
          <cell r="H1527" t="str">
            <v>LAS BAMBAS</v>
          </cell>
          <cell r="I1527">
            <v>33445</v>
          </cell>
          <cell r="J1527" t="str">
            <v>REPUESTO</v>
          </cell>
          <cell r="K1527" t="str">
            <v>FAROS NEBLINEROS</v>
          </cell>
          <cell r="L1527">
            <v>2</v>
          </cell>
          <cell r="M1527" t="str">
            <v>UNID.</v>
          </cell>
          <cell r="N1527" t="str">
            <v>TRACTO</v>
          </cell>
          <cell r="O1527">
            <v>0</v>
          </cell>
          <cell r="P1527" t="str">
            <v>E1</v>
          </cell>
          <cell r="Q1527" t="str">
            <v>J2</v>
          </cell>
          <cell r="R1527" t="str">
            <v>J6</v>
          </cell>
          <cell r="S1527" t="str">
            <v>ENTREGADO</v>
          </cell>
          <cell r="T1527">
            <v>42698</v>
          </cell>
          <cell r="U1527" t="str">
            <v>PALOMINO CARDENAS JUAN CARLOS</v>
          </cell>
          <cell r="V1527" t="str">
            <v>CORIHUAMAN SURCO  ERICK ROBERT</v>
          </cell>
        </row>
        <row r="1528">
          <cell r="A1528">
            <v>1490</v>
          </cell>
          <cell r="B1528">
            <v>42698</v>
          </cell>
          <cell r="C1528" t="str">
            <v>NOVIEMBRE</v>
          </cell>
          <cell r="D1528" t="str">
            <v>2016</v>
          </cell>
          <cell r="E1528">
            <v>407</v>
          </cell>
          <cell r="F1528" t="str">
            <v>AKX-805</v>
          </cell>
          <cell r="G1528" t="str">
            <v>F5Z-985</v>
          </cell>
          <cell r="H1528" t="str">
            <v>LAS BAMBAS</v>
          </cell>
          <cell r="I1528">
            <v>33445</v>
          </cell>
          <cell r="J1528" t="str">
            <v>REPUESTO</v>
          </cell>
          <cell r="K1528" t="str">
            <v>PERNO 5/16 X 1 1/2</v>
          </cell>
          <cell r="L1528">
            <v>2</v>
          </cell>
          <cell r="M1528" t="str">
            <v>UNID.</v>
          </cell>
          <cell r="N1528" t="str">
            <v>TRACTO</v>
          </cell>
          <cell r="O1528">
            <v>0</v>
          </cell>
          <cell r="P1528" t="str">
            <v>E1</v>
          </cell>
          <cell r="Q1528" t="str">
            <v>J2</v>
          </cell>
          <cell r="R1528" t="str">
            <v>J6</v>
          </cell>
          <cell r="S1528" t="str">
            <v>ENTREGADO</v>
          </cell>
          <cell r="T1528">
            <v>42698</v>
          </cell>
          <cell r="U1528" t="str">
            <v>PALOMINO CARDENAS JUAN CARLOS</v>
          </cell>
          <cell r="V1528" t="str">
            <v>CORIHUAMAN SURCO  ERICK ROBERT</v>
          </cell>
        </row>
        <row r="1529">
          <cell r="A1529">
            <v>1491</v>
          </cell>
          <cell r="B1529">
            <v>42698</v>
          </cell>
          <cell r="C1529" t="str">
            <v>NOVIEMBRE</v>
          </cell>
          <cell r="D1529" t="str">
            <v>2016</v>
          </cell>
          <cell r="E1529">
            <v>407</v>
          </cell>
          <cell r="F1529" t="str">
            <v>AKX-805</v>
          </cell>
          <cell r="G1529" t="str">
            <v>F5Z-985</v>
          </cell>
          <cell r="H1529" t="str">
            <v>LAS BAMBAS</v>
          </cell>
          <cell r="I1529">
            <v>33445</v>
          </cell>
          <cell r="J1529" t="str">
            <v>REPUESTO</v>
          </cell>
          <cell r="K1529" t="str">
            <v>TUERCA SEGURO 5/16</v>
          </cell>
          <cell r="L1529">
            <v>2</v>
          </cell>
          <cell r="M1529" t="str">
            <v>UNID.</v>
          </cell>
          <cell r="N1529" t="str">
            <v>TRACTO</v>
          </cell>
          <cell r="O1529">
            <v>0</v>
          </cell>
          <cell r="P1529" t="str">
            <v>E1</v>
          </cell>
          <cell r="Q1529" t="str">
            <v>J2</v>
          </cell>
          <cell r="R1529" t="str">
            <v>J6</v>
          </cell>
          <cell r="S1529" t="str">
            <v>ENTREGADO</v>
          </cell>
          <cell r="T1529">
            <v>42698</v>
          </cell>
          <cell r="U1529" t="str">
            <v>PALOMINO CARDENAS JUAN CARLOS</v>
          </cell>
          <cell r="V1529" t="str">
            <v>CORIHUAMAN SURCO  ERICK ROBERT</v>
          </cell>
        </row>
        <row r="1530">
          <cell r="A1530">
            <v>1492</v>
          </cell>
          <cell r="B1530">
            <v>42698</v>
          </cell>
          <cell r="C1530" t="str">
            <v>NOVIEMBRE</v>
          </cell>
          <cell r="D1530" t="str">
            <v>2016</v>
          </cell>
          <cell r="E1530">
            <v>407</v>
          </cell>
          <cell r="F1530" t="str">
            <v>AKX-805</v>
          </cell>
          <cell r="G1530" t="str">
            <v>F5Z-985</v>
          </cell>
          <cell r="H1530" t="str">
            <v>LAS BAMBAS</v>
          </cell>
          <cell r="I1530">
            <v>33445</v>
          </cell>
          <cell r="J1530" t="str">
            <v>REPUESTO</v>
          </cell>
          <cell r="K1530" t="str">
            <v>ARANDELA PLANA 5/16</v>
          </cell>
          <cell r="L1530">
            <v>2</v>
          </cell>
          <cell r="M1530" t="str">
            <v>UNID.</v>
          </cell>
          <cell r="N1530" t="str">
            <v>TRACTO</v>
          </cell>
          <cell r="O1530">
            <v>0</v>
          </cell>
          <cell r="P1530" t="str">
            <v>E1</v>
          </cell>
          <cell r="Q1530" t="str">
            <v>J2</v>
          </cell>
          <cell r="R1530" t="str">
            <v>J6</v>
          </cell>
          <cell r="S1530" t="str">
            <v>ENTREGADO</v>
          </cell>
          <cell r="T1530">
            <v>42698</v>
          </cell>
          <cell r="U1530" t="str">
            <v>PALOMINO CARDENAS JUAN CARLOS</v>
          </cell>
          <cell r="V1530" t="str">
            <v>CORIHUAMAN SURCO  ERICK ROBERT</v>
          </cell>
        </row>
        <row r="1531">
          <cell r="A1531">
            <v>1493</v>
          </cell>
          <cell r="B1531">
            <v>42698</v>
          </cell>
          <cell r="C1531" t="str">
            <v>NOVIEMBRE</v>
          </cell>
          <cell r="D1531" t="str">
            <v>2016</v>
          </cell>
          <cell r="E1531">
            <v>407</v>
          </cell>
          <cell r="F1531" t="str">
            <v>AKX-805</v>
          </cell>
          <cell r="G1531" t="str">
            <v>F5Z-985</v>
          </cell>
          <cell r="H1531" t="str">
            <v>LAS BAMBAS</v>
          </cell>
          <cell r="I1531">
            <v>33445</v>
          </cell>
          <cell r="J1531" t="str">
            <v>REPUESTO</v>
          </cell>
          <cell r="K1531" t="str">
            <v>CABLE NRO. 14</v>
          </cell>
          <cell r="L1531">
            <v>4</v>
          </cell>
          <cell r="M1531" t="str">
            <v>M</v>
          </cell>
          <cell r="N1531" t="str">
            <v>TRACTO</v>
          </cell>
          <cell r="O1531">
            <v>0</v>
          </cell>
          <cell r="P1531" t="str">
            <v>E1</v>
          </cell>
          <cell r="Q1531" t="str">
            <v>J2</v>
          </cell>
          <cell r="R1531" t="str">
            <v>J6</v>
          </cell>
          <cell r="S1531" t="str">
            <v>ENTREGADO</v>
          </cell>
          <cell r="T1531">
            <v>42698</v>
          </cell>
          <cell r="U1531" t="str">
            <v>PALOMINO CARDENAS JUAN CARLOS</v>
          </cell>
          <cell r="V1531" t="str">
            <v>CORIHUAMAN SURCO  ERICK ROBERT</v>
          </cell>
        </row>
        <row r="1532">
          <cell r="A1532">
            <v>1494</v>
          </cell>
          <cell r="B1532">
            <v>42698</v>
          </cell>
          <cell r="C1532" t="str">
            <v>NOVIEMBRE</v>
          </cell>
          <cell r="D1532" t="str">
            <v>2016</v>
          </cell>
          <cell r="E1532">
            <v>407</v>
          </cell>
          <cell r="F1532" t="str">
            <v>AKX-805</v>
          </cell>
          <cell r="G1532" t="str">
            <v>F5Z-985</v>
          </cell>
          <cell r="H1532" t="str">
            <v>LAS BAMBAS</v>
          </cell>
          <cell r="I1532">
            <v>33445</v>
          </cell>
          <cell r="J1532" t="str">
            <v>REPUESTO</v>
          </cell>
          <cell r="K1532" t="str">
            <v>TUBO CORRUGADO 1/4</v>
          </cell>
          <cell r="L1532">
            <v>2</v>
          </cell>
          <cell r="M1532" t="str">
            <v>M</v>
          </cell>
          <cell r="N1532" t="str">
            <v>TRACTO</v>
          </cell>
          <cell r="O1532">
            <v>0</v>
          </cell>
          <cell r="P1532" t="str">
            <v>E1</v>
          </cell>
          <cell r="Q1532" t="str">
            <v>J2</v>
          </cell>
          <cell r="R1532" t="str">
            <v>J6</v>
          </cell>
          <cell r="S1532" t="str">
            <v>ENTREGADO</v>
          </cell>
          <cell r="T1532">
            <v>42698</v>
          </cell>
          <cell r="U1532" t="str">
            <v>PALOMINO CARDENAS JUAN CARLOS</v>
          </cell>
          <cell r="V1532" t="str">
            <v>CORIHUAMAN SURCO  ERICK ROBERT</v>
          </cell>
        </row>
        <row r="1533">
          <cell r="A1533">
            <v>1575</v>
          </cell>
          <cell r="B1533">
            <v>42698</v>
          </cell>
          <cell r="C1533" t="str">
            <v>NOVIEMBRE</v>
          </cell>
          <cell r="D1533" t="str">
            <v>2016</v>
          </cell>
          <cell r="E1533">
            <v>367</v>
          </cell>
          <cell r="F1533" t="str">
            <v>B2L-889</v>
          </cell>
          <cell r="G1533" t="str">
            <v>CAMION</v>
          </cell>
          <cell r="H1533" t="str">
            <v>TAMBOMAYO</v>
          </cell>
          <cell r="I1533">
            <v>120679</v>
          </cell>
          <cell r="J1533" t="str">
            <v>REPUESTO</v>
          </cell>
          <cell r="K1533" t="str">
            <v>FOCOS NEBLINEROS H3 24 V</v>
          </cell>
          <cell r="L1533">
            <v>4</v>
          </cell>
          <cell r="M1533" t="str">
            <v>UNID.</v>
          </cell>
          <cell r="N1533" t="str">
            <v>TRACTO</v>
          </cell>
          <cell r="O1533">
            <v>0</v>
          </cell>
          <cell r="P1533" t="str">
            <v>E2</v>
          </cell>
          <cell r="Q1533" t="str">
            <v>J2</v>
          </cell>
          <cell r="R1533" t="str">
            <v>J6</v>
          </cell>
          <cell r="S1533" t="str">
            <v>ENTREGADO</v>
          </cell>
          <cell r="T1533">
            <v>42698</v>
          </cell>
          <cell r="U1533" t="str">
            <v>YUCA BELLIDO BORIS YERSY</v>
          </cell>
          <cell r="V1533" t="str">
            <v>CORIHUAMAN SURCO  ERICK ROBERT</v>
          </cell>
        </row>
        <row r="1534">
          <cell r="A1534">
            <v>1585</v>
          </cell>
          <cell r="B1534">
            <v>42698</v>
          </cell>
          <cell r="C1534" t="str">
            <v>NOVIEMBRE</v>
          </cell>
          <cell r="D1534" t="str">
            <v>2016</v>
          </cell>
          <cell r="E1534">
            <v>367</v>
          </cell>
          <cell r="F1534" t="str">
            <v>B2L-889</v>
          </cell>
          <cell r="G1534" t="str">
            <v>CAMION</v>
          </cell>
          <cell r="H1534" t="str">
            <v>TAMBOMAYO</v>
          </cell>
          <cell r="I1534">
            <v>120679</v>
          </cell>
          <cell r="J1534" t="str">
            <v>REPUESTO</v>
          </cell>
          <cell r="K1534" t="str">
            <v>PERNO 1/4 X 2</v>
          </cell>
          <cell r="L1534">
            <v>2</v>
          </cell>
          <cell r="M1534" t="str">
            <v>UNID.</v>
          </cell>
          <cell r="N1534" t="str">
            <v>CAMION</v>
          </cell>
          <cell r="O1534">
            <v>0</v>
          </cell>
          <cell r="P1534" t="str">
            <v>E3</v>
          </cell>
          <cell r="Q1534" t="str">
            <v>J2</v>
          </cell>
          <cell r="R1534" t="str">
            <v>J6</v>
          </cell>
          <cell r="S1534" t="str">
            <v>ENTREGADO</v>
          </cell>
          <cell r="T1534">
            <v>42698</v>
          </cell>
          <cell r="U1534" t="str">
            <v>CONDORI CHURATA ALEX</v>
          </cell>
          <cell r="V1534" t="str">
            <v>CORIHUAMAN SURCO  ERICK ROBERT</v>
          </cell>
        </row>
        <row r="1535">
          <cell r="A1535">
            <v>1586</v>
          </cell>
          <cell r="B1535">
            <v>42698</v>
          </cell>
          <cell r="C1535" t="str">
            <v>NOVIEMBRE</v>
          </cell>
          <cell r="D1535" t="str">
            <v>2016</v>
          </cell>
          <cell r="E1535">
            <v>367</v>
          </cell>
          <cell r="F1535" t="str">
            <v>B2L-889</v>
          </cell>
          <cell r="G1535" t="str">
            <v>CAMION</v>
          </cell>
          <cell r="H1535" t="str">
            <v>TAMBOMAYO</v>
          </cell>
          <cell r="I1535">
            <v>120679</v>
          </cell>
          <cell r="J1535" t="str">
            <v>REPUESTO</v>
          </cell>
          <cell r="K1535" t="str">
            <v>TUERCA SEGURO 1/4</v>
          </cell>
          <cell r="L1535">
            <v>2</v>
          </cell>
          <cell r="M1535" t="str">
            <v>UNID.</v>
          </cell>
          <cell r="N1535" t="str">
            <v>CAMION</v>
          </cell>
          <cell r="O1535">
            <v>0</v>
          </cell>
          <cell r="P1535" t="str">
            <v>E3</v>
          </cell>
          <cell r="Q1535" t="str">
            <v>J2</v>
          </cell>
          <cell r="R1535" t="str">
            <v>J6</v>
          </cell>
          <cell r="S1535" t="str">
            <v>ENTREGADO</v>
          </cell>
          <cell r="T1535">
            <v>42698</v>
          </cell>
          <cell r="U1535" t="str">
            <v>CONDORI CHURATA ALEX</v>
          </cell>
          <cell r="V1535" t="str">
            <v>CORIHUAMAN SURCO  ERICK ROBERT</v>
          </cell>
        </row>
        <row r="1536">
          <cell r="A1536">
            <v>1587</v>
          </cell>
          <cell r="B1536">
            <v>42698</v>
          </cell>
          <cell r="C1536" t="str">
            <v>NOVIEMBRE</v>
          </cell>
          <cell r="D1536" t="str">
            <v>2016</v>
          </cell>
          <cell r="E1536">
            <v>367</v>
          </cell>
          <cell r="F1536" t="str">
            <v>B2L-889</v>
          </cell>
          <cell r="G1536" t="str">
            <v>CAMION</v>
          </cell>
          <cell r="H1536" t="str">
            <v>TAMBOMAYO</v>
          </cell>
          <cell r="I1536">
            <v>120679</v>
          </cell>
          <cell r="J1536" t="str">
            <v>REPUESTO</v>
          </cell>
          <cell r="K1536" t="str">
            <v>VOLANDA PLANA 1/4</v>
          </cell>
          <cell r="L1536">
            <v>4</v>
          </cell>
          <cell r="M1536" t="str">
            <v>UNID.</v>
          </cell>
          <cell r="N1536" t="str">
            <v>CAMION</v>
          </cell>
          <cell r="O1536">
            <v>0</v>
          </cell>
          <cell r="P1536" t="str">
            <v>E3</v>
          </cell>
          <cell r="Q1536" t="str">
            <v>J2</v>
          </cell>
          <cell r="R1536" t="str">
            <v>J6</v>
          </cell>
          <cell r="S1536" t="str">
            <v>ENTREGADO</v>
          </cell>
          <cell r="T1536">
            <v>42698</v>
          </cell>
          <cell r="U1536" t="str">
            <v>CONDORI CHURATA ALEX</v>
          </cell>
          <cell r="V1536" t="str">
            <v>CORIHUAMAN SURCO  ERICK ROBERT</v>
          </cell>
        </row>
        <row r="1537">
          <cell r="A1537">
            <v>1569</v>
          </cell>
          <cell r="B1537">
            <v>42698</v>
          </cell>
          <cell r="C1537" t="str">
            <v>NOVIEMBRE</v>
          </cell>
          <cell r="D1537" t="str">
            <v>2016</v>
          </cell>
          <cell r="E1537">
            <v>400</v>
          </cell>
          <cell r="F1537" t="str">
            <v>B2M-948</v>
          </cell>
          <cell r="G1537" t="str">
            <v>CAMION</v>
          </cell>
          <cell r="H1537" t="str">
            <v>TAMBOMAYO</v>
          </cell>
          <cell r="I1537">
            <v>113240</v>
          </cell>
          <cell r="J1537" t="str">
            <v>REPUESTO</v>
          </cell>
          <cell r="K1537" t="str">
            <v>PERNOS  3/8 X 2</v>
          </cell>
          <cell r="L1537">
            <v>2</v>
          </cell>
          <cell r="M1537" t="str">
            <v>UNID.</v>
          </cell>
          <cell r="N1537" t="str">
            <v>CAMION</v>
          </cell>
          <cell r="O1537">
            <v>0</v>
          </cell>
          <cell r="P1537" t="str">
            <v>S3</v>
          </cell>
          <cell r="Q1537" t="str">
            <v>J2</v>
          </cell>
          <cell r="R1537" t="str">
            <v>J6</v>
          </cell>
          <cell r="S1537" t="str">
            <v>ENTREGADO</v>
          </cell>
          <cell r="T1537">
            <v>42698</v>
          </cell>
          <cell r="U1537" t="str">
            <v>JIMENEZ MACHACA JAVIER</v>
          </cell>
          <cell r="V1537" t="str">
            <v>CORIHUAMAN SURCO  ERICK ROBERT</v>
          </cell>
        </row>
        <row r="1538">
          <cell r="A1538">
            <v>1570</v>
          </cell>
          <cell r="B1538">
            <v>42698</v>
          </cell>
          <cell r="C1538" t="str">
            <v>NOVIEMBRE</v>
          </cell>
          <cell r="D1538" t="str">
            <v>2016</v>
          </cell>
          <cell r="E1538">
            <v>400</v>
          </cell>
          <cell r="F1538" t="str">
            <v>B2M-948</v>
          </cell>
          <cell r="G1538" t="str">
            <v>CAMION</v>
          </cell>
          <cell r="H1538" t="str">
            <v>TAMBOMAYO</v>
          </cell>
          <cell r="I1538">
            <v>113240</v>
          </cell>
          <cell r="J1538" t="str">
            <v>REPUESTO</v>
          </cell>
          <cell r="K1538" t="str">
            <v>TUERCA SEGURO 3/8</v>
          </cell>
          <cell r="L1538">
            <v>2</v>
          </cell>
          <cell r="M1538" t="str">
            <v>UNID.</v>
          </cell>
          <cell r="N1538" t="str">
            <v>CAMION</v>
          </cell>
          <cell r="O1538">
            <v>0</v>
          </cell>
          <cell r="P1538" t="str">
            <v>S3</v>
          </cell>
          <cell r="Q1538" t="str">
            <v>J2</v>
          </cell>
          <cell r="R1538" t="str">
            <v>J6</v>
          </cell>
          <cell r="S1538" t="str">
            <v>ENTREGADO</v>
          </cell>
          <cell r="T1538">
            <v>42698</v>
          </cell>
          <cell r="U1538" t="str">
            <v>JIMENEZ MACHACA JAVIER</v>
          </cell>
          <cell r="V1538" t="str">
            <v>CORIHUAMAN SURCO  ERICK ROBERT</v>
          </cell>
        </row>
        <row r="1539">
          <cell r="A1539">
            <v>1571</v>
          </cell>
          <cell r="B1539">
            <v>42698</v>
          </cell>
          <cell r="C1539" t="str">
            <v>NOVIEMBRE</v>
          </cell>
          <cell r="D1539" t="str">
            <v>2016</v>
          </cell>
          <cell r="E1539">
            <v>400</v>
          </cell>
          <cell r="F1539" t="str">
            <v>B2M-948</v>
          </cell>
          <cell r="G1539" t="str">
            <v>CAMION</v>
          </cell>
          <cell r="H1539" t="str">
            <v>TAMBOMAYO</v>
          </cell>
          <cell r="I1539">
            <v>113240</v>
          </cell>
          <cell r="J1539" t="str">
            <v>REPUESTO</v>
          </cell>
          <cell r="K1539" t="str">
            <v>VOLANDA PLANA 3/8</v>
          </cell>
          <cell r="L1539">
            <v>2</v>
          </cell>
          <cell r="M1539" t="str">
            <v>UNID.</v>
          </cell>
          <cell r="N1539" t="str">
            <v>CAMION</v>
          </cell>
          <cell r="O1539">
            <v>0</v>
          </cell>
          <cell r="P1539" t="str">
            <v>S3</v>
          </cell>
          <cell r="Q1539" t="str">
            <v>J2</v>
          </cell>
          <cell r="R1539" t="str">
            <v>J6</v>
          </cell>
          <cell r="S1539" t="str">
            <v>ENTREGADO</v>
          </cell>
          <cell r="T1539">
            <v>42698</v>
          </cell>
          <cell r="U1539" t="str">
            <v>JIMENEZ MACHACA JAVIER</v>
          </cell>
          <cell r="V1539" t="str">
            <v>CORIHUAMAN SURCO  ERICK ROBERT</v>
          </cell>
        </row>
        <row r="1540">
          <cell r="A1540">
            <v>1577</v>
          </cell>
          <cell r="B1540">
            <v>42698</v>
          </cell>
          <cell r="C1540" t="str">
            <v>NOVIEMBRE</v>
          </cell>
          <cell r="D1540" t="str">
            <v>2016</v>
          </cell>
          <cell r="E1540">
            <v>400</v>
          </cell>
          <cell r="F1540" t="str">
            <v>B2M-948</v>
          </cell>
          <cell r="G1540" t="str">
            <v>CAMION</v>
          </cell>
          <cell r="H1540" t="str">
            <v>TAMBOMAYO</v>
          </cell>
          <cell r="I1540">
            <v>113240</v>
          </cell>
          <cell r="J1540" t="str">
            <v>REPUESTO</v>
          </cell>
          <cell r="K1540" t="str">
            <v>TAPA RECUPERADORA DE GASES CON ACOPLE COMPLETO (viene con niple)</v>
          </cell>
          <cell r="L1540">
            <v>1</v>
          </cell>
          <cell r="M1540" t="str">
            <v>UNID.</v>
          </cell>
          <cell r="N1540" t="str">
            <v>CAMION</v>
          </cell>
          <cell r="O1540">
            <v>92</v>
          </cell>
          <cell r="P1540" t="str">
            <v>M5</v>
          </cell>
          <cell r="Q1540" t="str">
            <v>J2</v>
          </cell>
          <cell r="R1540" t="str">
            <v>J6</v>
          </cell>
          <cell r="S1540" t="str">
            <v>ENTREGADO</v>
          </cell>
          <cell r="T1540">
            <v>0</v>
          </cell>
          <cell r="U1540" t="str">
            <v>LOPEZ RUIZ WILBERTO</v>
          </cell>
          <cell r="V1540" t="str">
            <v>CORIHUAMAN SURCO  ERICK ROBERT</v>
          </cell>
        </row>
        <row r="1541">
          <cell r="A1541">
            <v>1578</v>
          </cell>
          <cell r="B1541">
            <v>42698</v>
          </cell>
          <cell r="C1541" t="str">
            <v>NOVIEMBRE</v>
          </cell>
          <cell r="D1541" t="str">
            <v>2016</v>
          </cell>
          <cell r="E1541">
            <v>400</v>
          </cell>
          <cell r="F1541" t="str">
            <v>B2M-948</v>
          </cell>
          <cell r="G1541" t="str">
            <v>CAMION</v>
          </cell>
          <cell r="H1541" t="str">
            <v>TAMBOMAYO</v>
          </cell>
          <cell r="I1541">
            <v>113240</v>
          </cell>
          <cell r="J1541" t="str">
            <v>REPUESTO</v>
          </cell>
          <cell r="K1541" t="str">
            <v>PERNOS  3/8 X 3</v>
          </cell>
          <cell r="L1541">
            <v>1</v>
          </cell>
          <cell r="M1541" t="str">
            <v>UNID.</v>
          </cell>
          <cell r="N1541" t="str">
            <v>CAMION</v>
          </cell>
          <cell r="O1541">
            <v>0</v>
          </cell>
          <cell r="P1541" t="str">
            <v>S3</v>
          </cell>
          <cell r="Q1541" t="str">
            <v>J2</v>
          </cell>
          <cell r="R1541" t="str">
            <v>J6</v>
          </cell>
          <cell r="S1541" t="str">
            <v>ENTREGADO</v>
          </cell>
          <cell r="T1541">
            <v>42698</v>
          </cell>
          <cell r="U1541" t="str">
            <v>JIMENEZ MACHACA JAVIER</v>
          </cell>
          <cell r="V1541" t="str">
            <v>CORIHUAMAN SURCO  ERICK ROBERT</v>
          </cell>
        </row>
        <row r="1542">
          <cell r="A1542">
            <v>1580</v>
          </cell>
          <cell r="B1542">
            <v>42698</v>
          </cell>
          <cell r="C1542" t="str">
            <v>NOVIEMBRE</v>
          </cell>
          <cell r="D1542" t="str">
            <v>2016</v>
          </cell>
          <cell r="E1542">
            <v>400</v>
          </cell>
          <cell r="F1542" t="str">
            <v>B2M-948</v>
          </cell>
          <cell r="G1542" t="str">
            <v>CAMION</v>
          </cell>
          <cell r="H1542" t="str">
            <v>TAMBOMAYO</v>
          </cell>
          <cell r="I1542">
            <v>113240</v>
          </cell>
          <cell r="J1542" t="str">
            <v>REPUESTO</v>
          </cell>
          <cell r="K1542" t="str">
            <v>PERNOS 3/8 X 1</v>
          </cell>
          <cell r="L1542">
            <v>4</v>
          </cell>
          <cell r="M1542" t="str">
            <v>UNID.</v>
          </cell>
          <cell r="N1542" t="str">
            <v>CAMION</v>
          </cell>
          <cell r="O1542">
            <v>0</v>
          </cell>
          <cell r="P1542" t="str">
            <v>S4</v>
          </cell>
          <cell r="Q1542" t="str">
            <v>J2</v>
          </cell>
          <cell r="R1542" t="str">
            <v>J6</v>
          </cell>
          <cell r="S1542" t="str">
            <v>ENTREGADO</v>
          </cell>
          <cell r="T1542">
            <v>42698</v>
          </cell>
          <cell r="U1542" t="str">
            <v>SURCO QUISPE JOHNNY</v>
          </cell>
          <cell r="V1542" t="str">
            <v>CORIHUAMAN SURCO  ERICK ROBERT</v>
          </cell>
        </row>
        <row r="1543">
          <cell r="A1543">
            <v>1581</v>
          </cell>
          <cell r="B1543">
            <v>42698</v>
          </cell>
          <cell r="C1543" t="str">
            <v>NOVIEMBRE</v>
          </cell>
          <cell r="D1543" t="str">
            <v>2016</v>
          </cell>
          <cell r="E1543">
            <v>400</v>
          </cell>
          <cell r="F1543" t="str">
            <v>B2M-948</v>
          </cell>
          <cell r="G1543" t="str">
            <v>CAMION</v>
          </cell>
          <cell r="H1543" t="str">
            <v>TAMBOMAYO</v>
          </cell>
          <cell r="I1543">
            <v>113240</v>
          </cell>
          <cell r="J1543" t="str">
            <v>REPUESTO</v>
          </cell>
          <cell r="K1543" t="str">
            <v>TUERCA SEGURO 3/8</v>
          </cell>
          <cell r="L1543">
            <v>4</v>
          </cell>
          <cell r="M1543" t="str">
            <v>UNID.</v>
          </cell>
          <cell r="N1543" t="str">
            <v>CAMION</v>
          </cell>
          <cell r="O1543">
            <v>0</v>
          </cell>
          <cell r="P1543" t="str">
            <v>S4</v>
          </cell>
          <cell r="Q1543" t="str">
            <v>J2</v>
          </cell>
          <cell r="R1543" t="str">
            <v>J6</v>
          </cell>
          <cell r="S1543" t="str">
            <v>ENTREGADO</v>
          </cell>
          <cell r="T1543">
            <v>42698</v>
          </cell>
          <cell r="U1543" t="str">
            <v>SURCO QUISPE JOHNNY</v>
          </cell>
          <cell r="V1543" t="str">
            <v>CORIHUAMAN SURCO  ERICK ROBERT</v>
          </cell>
        </row>
        <row r="1544">
          <cell r="A1544">
            <v>1582</v>
          </cell>
          <cell r="B1544">
            <v>42698</v>
          </cell>
          <cell r="C1544" t="str">
            <v>NOVIEMBRE</v>
          </cell>
          <cell r="D1544" t="str">
            <v>2016</v>
          </cell>
          <cell r="E1544">
            <v>400</v>
          </cell>
          <cell r="F1544" t="str">
            <v>B2M-948</v>
          </cell>
          <cell r="G1544" t="str">
            <v>CAMION</v>
          </cell>
          <cell r="H1544" t="str">
            <v>TAMBOMAYO</v>
          </cell>
          <cell r="I1544">
            <v>113240</v>
          </cell>
          <cell r="J1544" t="str">
            <v>REPUESTO</v>
          </cell>
          <cell r="K1544" t="str">
            <v>ARANDELA PLANA 3/8</v>
          </cell>
          <cell r="L1544">
            <v>4</v>
          </cell>
          <cell r="M1544" t="str">
            <v>UNID.</v>
          </cell>
          <cell r="N1544" t="str">
            <v>CAMION</v>
          </cell>
          <cell r="O1544">
            <v>0</v>
          </cell>
          <cell r="P1544" t="str">
            <v>S4</v>
          </cell>
          <cell r="Q1544" t="str">
            <v>J2</v>
          </cell>
          <cell r="R1544" t="str">
            <v>J6</v>
          </cell>
          <cell r="S1544" t="str">
            <v>ENTREGADO</v>
          </cell>
          <cell r="T1544">
            <v>42698</v>
          </cell>
          <cell r="U1544" t="str">
            <v>SURCO QUISPE JOHNNY</v>
          </cell>
          <cell r="V1544" t="str">
            <v>CORIHUAMAN SURCO  ERICK ROBERT</v>
          </cell>
        </row>
        <row r="1545">
          <cell r="A1545">
            <v>1583</v>
          </cell>
          <cell r="B1545">
            <v>42698</v>
          </cell>
          <cell r="C1545" t="str">
            <v>NOVIEMBRE</v>
          </cell>
          <cell r="D1545" t="str">
            <v>2016</v>
          </cell>
          <cell r="E1545">
            <v>400</v>
          </cell>
          <cell r="F1545" t="str">
            <v>B2M-948</v>
          </cell>
          <cell r="G1545" t="str">
            <v>CAMION</v>
          </cell>
          <cell r="H1545" t="str">
            <v>TAMBOMAYO</v>
          </cell>
          <cell r="I1545">
            <v>113240</v>
          </cell>
          <cell r="J1545" t="str">
            <v>REPUESTO</v>
          </cell>
          <cell r="K1545" t="str">
            <v>ARANDELA PRESION 3/8</v>
          </cell>
          <cell r="L1545">
            <v>4</v>
          </cell>
          <cell r="M1545" t="str">
            <v>UNID.</v>
          </cell>
          <cell r="N1545" t="str">
            <v>CAMION</v>
          </cell>
          <cell r="O1545">
            <v>0</v>
          </cell>
          <cell r="P1545" t="str">
            <v>S4</v>
          </cell>
          <cell r="Q1545" t="str">
            <v>J2</v>
          </cell>
          <cell r="R1545" t="str">
            <v>J6</v>
          </cell>
          <cell r="S1545" t="str">
            <v>ENTREGADO</v>
          </cell>
          <cell r="T1545">
            <v>42698</v>
          </cell>
          <cell r="U1545" t="str">
            <v>SURCO QUISPE JOHNNY</v>
          </cell>
          <cell r="V1545" t="str">
            <v>CORIHUAMAN SURCO  ERICK ROBERT</v>
          </cell>
        </row>
        <row r="1546">
          <cell r="A1546">
            <v>1579</v>
          </cell>
          <cell r="B1546">
            <v>42698</v>
          </cell>
          <cell r="C1546" t="str">
            <v>NOVIEMBRE</v>
          </cell>
          <cell r="D1546" t="str">
            <v>2016</v>
          </cell>
          <cell r="E1546">
            <v>363</v>
          </cell>
          <cell r="F1546" t="str">
            <v>C5R-896</v>
          </cell>
          <cell r="G1546" t="str">
            <v>A0U-977</v>
          </cell>
          <cell r="H1546" t="str">
            <v>LAS BAMBAS</v>
          </cell>
          <cell r="I1546">
            <v>211020</v>
          </cell>
          <cell r="J1546" t="str">
            <v>REPUESTO</v>
          </cell>
          <cell r="K1546" t="str">
            <v>PERNO MANHOLE 3/8 X 6</v>
          </cell>
          <cell r="L1546">
            <v>1</v>
          </cell>
          <cell r="M1546" t="str">
            <v>UNID.</v>
          </cell>
          <cell r="N1546" t="str">
            <v>CISTERNA</v>
          </cell>
          <cell r="O1546">
            <v>0</v>
          </cell>
          <cell r="P1546" t="str">
            <v>S2</v>
          </cell>
          <cell r="Q1546" t="str">
            <v>J2</v>
          </cell>
          <cell r="R1546" t="str">
            <v>J6</v>
          </cell>
          <cell r="S1546" t="str">
            <v>ENTREGADO</v>
          </cell>
          <cell r="T1546">
            <v>42698</v>
          </cell>
          <cell r="U1546" t="str">
            <v>PALOMINO ESTRADA  MICHEL</v>
          </cell>
          <cell r="V1546" t="str">
            <v>CORIHUAMAN SURCO  ERICK ROBERT</v>
          </cell>
        </row>
        <row r="1547">
          <cell r="A1547">
            <v>1501</v>
          </cell>
          <cell r="B1547">
            <v>42698</v>
          </cell>
          <cell r="C1547" t="str">
            <v>NOVIEMBRE</v>
          </cell>
          <cell r="D1547" t="str">
            <v>2016</v>
          </cell>
          <cell r="E1547">
            <v>353</v>
          </cell>
          <cell r="F1547" t="str">
            <v>C5R-899</v>
          </cell>
          <cell r="G1547" t="str">
            <v>A0U-978</v>
          </cell>
          <cell r="H1547" t="str">
            <v>LAS BAMBAS</v>
          </cell>
          <cell r="I1547">
            <v>249342</v>
          </cell>
          <cell r="J1547" t="str">
            <v>REPUESTO</v>
          </cell>
          <cell r="K1547" t="str">
            <v>ALARMA DE RETROCESO</v>
          </cell>
          <cell r="L1547">
            <v>2</v>
          </cell>
          <cell r="M1547" t="str">
            <v>UNID.</v>
          </cell>
          <cell r="N1547" t="str">
            <v>CISTERNA</v>
          </cell>
          <cell r="O1547">
            <v>0</v>
          </cell>
          <cell r="P1547" t="str">
            <v>E3</v>
          </cell>
          <cell r="Q1547" t="str">
            <v>J2</v>
          </cell>
          <cell r="R1547" t="str">
            <v>J6</v>
          </cell>
          <cell r="S1547" t="str">
            <v>ENTREGADO</v>
          </cell>
          <cell r="T1547">
            <v>42698</v>
          </cell>
          <cell r="U1547" t="str">
            <v>CONDORI CHURATA ALEX</v>
          </cell>
          <cell r="V1547" t="str">
            <v>CORIHUAMAN SURCO  ERICK ROBERT</v>
          </cell>
        </row>
        <row r="1548">
          <cell r="A1548">
            <v>1522</v>
          </cell>
          <cell r="B1548">
            <v>42698</v>
          </cell>
          <cell r="C1548" t="str">
            <v>NOVIEMBRE</v>
          </cell>
          <cell r="D1548" t="str">
            <v>2016</v>
          </cell>
          <cell r="E1548">
            <v>353</v>
          </cell>
          <cell r="F1548" t="str">
            <v>C5R-899</v>
          </cell>
          <cell r="G1548" t="str">
            <v>A0U-978</v>
          </cell>
          <cell r="H1548" t="str">
            <v>LAS BAMBAS</v>
          </cell>
          <cell r="I1548">
            <v>249342</v>
          </cell>
          <cell r="J1548" t="str">
            <v>REPUESTO</v>
          </cell>
          <cell r="K1548" t="str">
            <v>FOCO PIRATA</v>
          </cell>
          <cell r="L1548">
            <v>1</v>
          </cell>
          <cell r="M1548" t="str">
            <v>UNID.</v>
          </cell>
          <cell r="N1548" t="str">
            <v>CISTERNA</v>
          </cell>
          <cell r="O1548">
            <v>0</v>
          </cell>
          <cell r="P1548" t="str">
            <v>E3</v>
          </cell>
          <cell r="Q1548" t="str">
            <v>J2</v>
          </cell>
          <cell r="R1548" t="str">
            <v>J6</v>
          </cell>
          <cell r="S1548" t="str">
            <v>ENTREGADO</v>
          </cell>
          <cell r="T1548">
            <v>42698</v>
          </cell>
          <cell r="U1548" t="str">
            <v>CONDORI CHURATA ALEX</v>
          </cell>
          <cell r="V1548" t="str">
            <v>CORIHUAMAN SURCO  ERICK ROBERT</v>
          </cell>
        </row>
        <row r="1549">
          <cell r="A1549">
            <v>1523</v>
          </cell>
          <cell r="B1549">
            <v>42698</v>
          </cell>
          <cell r="C1549" t="str">
            <v>NOVIEMBRE</v>
          </cell>
          <cell r="D1549" t="str">
            <v>2016</v>
          </cell>
          <cell r="E1549">
            <v>353</v>
          </cell>
          <cell r="F1549" t="str">
            <v>C5R-899</v>
          </cell>
          <cell r="G1549" t="str">
            <v>A0U-978</v>
          </cell>
          <cell r="H1549" t="str">
            <v>LAS BAMBAS</v>
          </cell>
          <cell r="I1549">
            <v>249342</v>
          </cell>
          <cell r="J1549" t="str">
            <v>REPUESTO</v>
          </cell>
          <cell r="K1549" t="str">
            <v>CARCASA DE FOCO PIRATA</v>
          </cell>
          <cell r="L1549">
            <v>1</v>
          </cell>
          <cell r="M1549" t="str">
            <v>UNID.</v>
          </cell>
          <cell r="N1549" t="str">
            <v>CISTERNA</v>
          </cell>
          <cell r="O1549">
            <v>0</v>
          </cell>
          <cell r="P1549" t="str">
            <v>E3</v>
          </cell>
          <cell r="Q1549" t="str">
            <v>J2</v>
          </cell>
          <cell r="R1549" t="str">
            <v>J6</v>
          </cell>
          <cell r="S1549" t="str">
            <v>ENTREGADO</v>
          </cell>
          <cell r="T1549">
            <v>42698</v>
          </cell>
          <cell r="U1549" t="str">
            <v>CONDORI CHURATA ALEX</v>
          </cell>
          <cell r="V1549" t="str">
            <v>CORIHUAMAN SURCO  ERICK ROBERT</v>
          </cell>
        </row>
        <row r="1550">
          <cell r="A1550">
            <v>1537</v>
          </cell>
          <cell r="B1550">
            <v>42698</v>
          </cell>
          <cell r="C1550" t="str">
            <v>NOVIEMBRE</v>
          </cell>
          <cell r="D1550" t="str">
            <v>2016</v>
          </cell>
          <cell r="E1550">
            <v>353</v>
          </cell>
          <cell r="F1550" t="str">
            <v>C5R-899</v>
          </cell>
          <cell r="G1550" t="str">
            <v>A0U-978</v>
          </cell>
          <cell r="H1550" t="str">
            <v>LAS BAMBAS</v>
          </cell>
          <cell r="I1550">
            <v>249342</v>
          </cell>
          <cell r="J1550" t="str">
            <v>REPUESTO</v>
          </cell>
          <cell r="K1550" t="str">
            <v>FARO LATERAL RECTANGULAR</v>
          </cell>
          <cell r="L1550">
            <v>1</v>
          </cell>
          <cell r="M1550" t="str">
            <v>UNID.</v>
          </cell>
          <cell r="N1550" t="str">
            <v>CISTERNA</v>
          </cell>
          <cell r="O1550">
            <v>0</v>
          </cell>
          <cell r="P1550" t="str">
            <v>E3</v>
          </cell>
          <cell r="Q1550" t="str">
            <v>J2</v>
          </cell>
          <cell r="R1550" t="str">
            <v>J6</v>
          </cell>
          <cell r="S1550" t="str">
            <v>ENTREGADO</v>
          </cell>
          <cell r="T1550">
            <v>42698</v>
          </cell>
          <cell r="U1550" t="str">
            <v>CONDORI CHURATA ALEX</v>
          </cell>
          <cell r="V1550" t="str">
            <v>CORIHUAMAN SURCO  ERICK ROBERT</v>
          </cell>
        </row>
        <row r="1551">
          <cell r="A1551">
            <v>1589</v>
          </cell>
          <cell r="B1551">
            <v>42698</v>
          </cell>
          <cell r="C1551" t="str">
            <v>NOVIEMBRE</v>
          </cell>
          <cell r="D1551" t="str">
            <v>2016</v>
          </cell>
          <cell r="E1551">
            <v>423</v>
          </cell>
          <cell r="F1551" t="str">
            <v>C9M-902</v>
          </cell>
          <cell r="G1551" t="str">
            <v>B8L-970</v>
          </cell>
          <cell r="H1551" t="str">
            <v>LAS BAMBAS</v>
          </cell>
          <cell r="I1551">
            <v>208779</v>
          </cell>
          <cell r="J1551" t="str">
            <v>INSUMO TALLER</v>
          </cell>
          <cell r="K1551" t="str">
            <v>LIMPIACONTACTO</v>
          </cell>
          <cell r="L1551">
            <v>1</v>
          </cell>
          <cell r="M1551" t="str">
            <v>UNID.</v>
          </cell>
          <cell r="N1551" t="str">
            <v>TRACTO</v>
          </cell>
          <cell r="O1551">
            <v>0</v>
          </cell>
          <cell r="P1551" t="str">
            <v>M5</v>
          </cell>
          <cell r="Q1551" t="str">
            <v>J2</v>
          </cell>
          <cell r="R1551" t="str">
            <v>J5</v>
          </cell>
          <cell r="S1551" t="str">
            <v>ENTREGADO</v>
          </cell>
          <cell r="T1551">
            <v>42698</v>
          </cell>
          <cell r="U1551" t="str">
            <v>LOPEZ RUIZ WILBERTO</v>
          </cell>
          <cell r="V1551" t="str">
            <v>CORIHUAMAN SURCO  ERICK ROBERT</v>
          </cell>
        </row>
        <row r="1552">
          <cell r="A1552">
            <v>1595</v>
          </cell>
          <cell r="B1552">
            <v>42698</v>
          </cell>
          <cell r="C1552" t="str">
            <v>NOVIEMBRE</v>
          </cell>
          <cell r="D1552" t="str">
            <v>2016</v>
          </cell>
          <cell r="E1552">
            <v>423</v>
          </cell>
          <cell r="F1552" t="str">
            <v>C9M-902</v>
          </cell>
          <cell r="G1552" t="str">
            <v>B8L-970</v>
          </cell>
          <cell r="H1552" t="str">
            <v>LAS BAMBAS</v>
          </cell>
          <cell r="I1552">
            <v>208779</v>
          </cell>
          <cell r="J1552" t="str">
            <v>REPUESTO</v>
          </cell>
          <cell r="K1552" t="str">
            <v>FILTRO DE AIRE PRIMARIO</v>
          </cell>
          <cell r="L1552">
            <v>1</v>
          </cell>
          <cell r="M1552" t="str">
            <v>UNID.</v>
          </cell>
          <cell r="N1552" t="str">
            <v>TRACTO</v>
          </cell>
          <cell r="O1552">
            <v>0</v>
          </cell>
          <cell r="P1552" t="str">
            <v>M5</v>
          </cell>
          <cell r="Q1552" t="str">
            <v>J2</v>
          </cell>
          <cell r="R1552" t="str">
            <v>J6</v>
          </cell>
          <cell r="S1552" t="str">
            <v>ENTREGADO</v>
          </cell>
          <cell r="T1552">
            <v>42698</v>
          </cell>
          <cell r="U1552" t="str">
            <v>LOPEZ RUIZ WILBERTO</v>
          </cell>
          <cell r="V1552" t="str">
            <v>CORIHUAMAN SURCO  ERICK ROBERT</v>
          </cell>
        </row>
        <row r="1553">
          <cell r="A1553">
            <v>1506</v>
          </cell>
          <cell r="B1553">
            <v>42698</v>
          </cell>
          <cell r="C1553" t="str">
            <v>NOVIEMBRE</v>
          </cell>
          <cell r="D1553" t="str">
            <v>2016</v>
          </cell>
          <cell r="E1553">
            <v>315</v>
          </cell>
          <cell r="F1553" t="str">
            <v>D3O-742</v>
          </cell>
          <cell r="G1553" t="str">
            <v>B8L-971</v>
          </cell>
          <cell r="H1553" t="str">
            <v>LAS BAMBAS</v>
          </cell>
          <cell r="I1553">
            <v>182794</v>
          </cell>
          <cell r="J1553" t="str">
            <v>REPUESTO</v>
          </cell>
          <cell r="K1553" t="str">
            <v>NIPLE (según muestra)</v>
          </cell>
          <cell r="L1553">
            <v>1</v>
          </cell>
          <cell r="M1553" t="str">
            <v>UNID.</v>
          </cell>
          <cell r="N1553" t="str">
            <v>TRACTO</v>
          </cell>
          <cell r="O1553">
            <v>0</v>
          </cell>
          <cell r="P1553" t="str">
            <v>M2</v>
          </cell>
          <cell r="Q1553" t="str">
            <v>J2</v>
          </cell>
          <cell r="R1553" t="str">
            <v>J6</v>
          </cell>
          <cell r="S1553" t="str">
            <v>ENTREGADO</v>
          </cell>
          <cell r="T1553">
            <v>42698</v>
          </cell>
          <cell r="U1553" t="str">
            <v>CHUMPITAZ GAGO JULIO ENRIQUE</v>
          </cell>
          <cell r="V1553" t="str">
            <v>CORIHUAMAN SURCO  ERICK ROBERT</v>
          </cell>
        </row>
        <row r="1554">
          <cell r="A1554">
            <v>1507</v>
          </cell>
          <cell r="B1554">
            <v>42698</v>
          </cell>
          <cell r="C1554" t="str">
            <v>NOVIEMBRE</v>
          </cell>
          <cell r="D1554" t="str">
            <v>2016</v>
          </cell>
          <cell r="E1554">
            <v>315</v>
          </cell>
          <cell r="F1554" t="str">
            <v>D3O-742</v>
          </cell>
          <cell r="G1554" t="str">
            <v>B8L-971</v>
          </cell>
          <cell r="H1554" t="str">
            <v>LAS BAMBAS</v>
          </cell>
          <cell r="I1554">
            <v>182794</v>
          </cell>
          <cell r="J1554" t="str">
            <v>REPUESTO</v>
          </cell>
          <cell r="K1554" t="str">
            <v>TUERCAS 5/8</v>
          </cell>
          <cell r="L1554">
            <v>2</v>
          </cell>
          <cell r="M1554" t="str">
            <v>UNID.</v>
          </cell>
          <cell r="N1554" t="str">
            <v>TRACTO</v>
          </cell>
          <cell r="O1554">
            <v>0</v>
          </cell>
          <cell r="P1554" t="str">
            <v>S3</v>
          </cell>
          <cell r="Q1554" t="str">
            <v>J2</v>
          </cell>
          <cell r="R1554" t="str">
            <v>J6</v>
          </cell>
          <cell r="S1554" t="str">
            <v>ENTREGADO</v>
          </cell>
          <cell r="T1554">
            <v>42698</v>
          </cell>
          <cell r="U1554" t="str">
            <v>JIMENEZ MACHACA JAVIER</v>
          </cell>
          <cell r="V1554" t="str">
            <v>CORIHUAMAN SURCO  ERICK ROBERT</v>
          </cell>
        </row>
        <row r="1555">
          <cell r="A1555">
            <v>1508</v>
          </cell>
          <cell r="B1555">
            <v>42698</v>
          </cell>
          <cell r="C1555" t="str">
            <v>NOVIEMBRE</v>
          </cell>
          <cell r="D1555" t="str">
            <v>2016</v>
          </cell>
          <cell r="E1555">
            <v>315</v>
          </cell>
          <cell r="F1555" t="str">
            <v>D3O-742</v>
          </cell>
          <cell r="G1555" t="str">
            <v>B8L-971</v>
          </cell>
          <cell r="H1555" t="str">
            <v>LAS BAMBAS</v>
          </cell>
          <cell r="I1555">
            <v>182794</v>
          </cell>
          <cell r="J1555" t="str">
            <v>REPUESTO</v>
          </cell>
          <cell r="K1555" t="str">
            <v>PERNO 5/8 X 1</v>
          </cell>
          <cell r="L1555">
            <v>2</v>
          </cell>
          <cell r="M1555" t="str">
            <v>UNID.</v>
          </cell>
          <cell r="N1555" t="str">
            <v>TRACTO</v>
          </cell>
          <cell r="O1555">
            <v>0</v>
          </cell>
          <cell r="P1555" t="str">
            <v>S3</v>
          </cell>
          <cell r="Q1555" t="str">
            <v>J2</v>
          </cell>
          <cell r="R1555" t="str">
            <v>J6</v>
          </cell>
          <cell r="S1555" t="str">
            <v>ENTREGADO</v>
          </cell>
          <cell r="T1555">
            <v>42698</v>
          </cell>
          <cell r="U1555" t="str">
            <v>JIMENEZ MACHACA JAVIER</v>
          </cell>
          <cell r="V1555" t="str">
            <v>CORIHUAMAN SURCO  ERICK ROBERT</v>
          </cell>
        </row>
        <row r="1556">
          <cell r="A1556">
            <v>1509</v>
          </cell>
          <cell r="B1556">
            <v>42698</v>
          </cell>
          <cell r="C1556" t="str">
            <v>NOVIEMBRE</v>
          </cell>
          <cell r="D1556" t="str">
            <v>2016</v>
          </cell>
          <cell r="E1556">
            <v>315</v>
          </cell>
          <cell r="F1556" t="str">
            <v>D3O-742</v>
          </cell>
          <cell r="G1556" t="str">
            <v>B8L-971</v>
          </cell>
          <cell r="H1556" t="str">
            <v>LAS BAMBAS</v>
          </cell>
          <cell r="I1556">
            <v>182794</v>
          </cell>
          <cell r="J1556" t="str">
            <v>REPUESTO</v>
          </cell>
          <cell r="K1556" t="str">
            <v>HIDROLINA</v>
          </cell>
          <cell r="L1556">
            <v>1</v>
          </cell>
          <cell r="M1556" t="str">
            <v>GLNS.</v>
          </cell>
          <cell r="N1556" t="str">
            <v>TRACTO</v>
          </cell>
          <cell r="O1556">
            <v>0</v>
          </cell>
          <cell r="P1556" t="str">
            <v>M2</v>
          </cell>
          <cell r="Q1556" t="str">
            <v>J2</v>
          </cell>
          <cell r="R1556" t="str">
            <v>J6</v>
          </cell>
          <cell r="S1556" t="str">
            <v>ENTREGADO</v>
          </cell>
          <cell r="T1556">
            <v>42698</v>
          </cell>
          <cell r="U1556" t="str">
            <v>CHUMPITAZ GAGO JULIO ENRIQUE</v>
          </cell>
          <cell r="V1556" t="str">
            <v>CORIHUAMAN SURCO  ERICK ROBERT</v>
          </cell>
        </row>
        <row r="1557">
          <cell r="A1557">
            <v>1524</v>
          </cell>
          <cell r="B1557">
            <v>42698</v>
          </cell>
          <cell r="C1557" t="str">
            <v>NOVIEMBRE</v>
          </cell>
          <cell r="D1557" t="str">
            <v>2016</v>
          </cell>
          <cell r="E1557">
            <v>315</v>
          </cell>
          <cell r="F1557" t="str">
            <v>D3O-742</v>
          </cell>
          <cell r="G1557" t="str">
            <v>B8L-971</v>
          </cell>
          <cell r="H1557" t="str">
            <v>LAS BAMBAS</v>
          </cell>
          <cell r="I1557">
            <v>182794</v>
          </cell>
          <cell r="J1557" t="str">
            <v>REPUESTO</v>
          </cell>
          <cell r="K1557" t="str">
            <v>PRESINTOS 300</v>
          </cell>
          <cell r="L1557">
            <v>5</v>
          </cell>
          <cell r="M1557" t="str">
            <v>UNID.</v>
          </cell>
          <cell r="N1557" t="str">
            <v>TRACTO</v>
          </cell>
          <cell r="O1557">
            <v>0</v>
          </cell>
          <cell r="P1557" t="str">
            <v>M2</v>
          </cell>
          <cell r="Q1557" t="str">
            <v>J2</v>
          </cell>
          <cell r="R1557" t="str">
            <v>J6</v>
          </cell>
          <cell r="S1557" t="str">
            <v>ENTREGADO</v>
          </cell>
          <cell r="T1557">
            <v>42698</v>
          </cell>
          <cell r="U1557" t="str">
            <v>CHUMPITAZ GAGO JULIO ENRIQUE</v>
          </cell>
          <cell r="V1557" t="str">
            <v>CORIHUAMAN SURCO  ERICK ROBERT</v>
          </cell>
        </row>
        <row r="1558">
          <cell r="A1558">
            <v>1562</v>
          </cell>
          <cell r="B1558">
            <v>42698</v>
          </cell>
          <cell r="C1558" t="str">
            <v>NOVIEMBRE</v>
          </cell>
          <cell r="D1558" t="str">
            <v>2016</v>
          </cell>
          <cell r="E1558">
            <v>385</v>
          </cell>
          <cell r="F1558" t="str">
            <v>D3O-745</v>
          </cell>
          <cell r="G1558" t="str">
            <v>F3L-979</v>
          </cell>
          <cell r="H1558" t="str">
            <v>LAS BAMBAS</v>
          </cell>
          <cell r="I1558">
            <v>156638</v>
          </cell>
          <cell r="J1558" t="str">
            <v>REPUESTO</v>
          </cell>
          <cell r="K1558" t="str">
            <v>FOCO LAGRIMON AMBAR 12 V</v>
          </cell>
          <cell r="L1558">
            <v>1</v>
          </cell>
          <cell r="M1558" t="str">
            <v>UNID.</v>
          </cell>
          <cell r="N1558" t="str">
            <v>TRACTO</v>
          </cell>
          <cell r="O1558">
            <v>0</v>
          </cell>
          <cell r="P1558" t="str">
            <v>E3</v>
          </cell>
          <cell r="Q1558" t="str">
            <v>J2</v>
          </cell>
          <cell r="R1558" t="str">
            <v>J6</v>
          </cell>
          <cell r="S1558" t="str">
            <v>ENTREGADO</v>
          </cell>
          <cell r="T1558">
            <v>42698</v>
          </cell>
          <cell r="U1558" t="str">
            <v>CONDORI CHURATA ALEX</v>
          </cell>
          <cell r="V1558" t="str">
            <v>CORIHUAMAN SURCO  ERICK ROBERT</v>
          </cell>
        </row>
        <row r="1559">
          <cell r="A1559">
            <v>1525</v>
          </cell>
          <cell r="B1559">
            <v>42698</v>
          </cell>
          <cell r="C1559" t="str">
            <v>NOVIEMBRE</v>
          </cell>
          <cell r="D1559" t="str">
            <v>2016</v>
          </cell>
          <cell r="E1559">
            <v>207</v>
          </cell>
          <cell r="F1559" t="str">
            <v>D3P-746</v>
          </cell>
          <cell r="G1559" t="str">
            <v>C0T-974</v>
          </cell>
          <cell r="H1559" t="str">
            <v>LAS BAMBAS</v>
          </cell>
          <cell r="I1559">
            <v>128937</v>
          </cell>
          <cell r="J1559" t="str">
            <v>REPUESTO</v>
          </cell>
          <cell r="K1559" t="str">
            <v>SOMBRERITOS 1 X 5/16 X 1/2</v>
          </cell>
          <cell r="L1559">
            <v>16</v>
          </cell>
          <cell r="M1559" t="str">
            <v>UNID.</v>
          </cell>
          <cell r="N1559" t="str">
            <v>CISTERNA</v>
          </cell>
          <cell r="O1559">
            <v>0</v>
          </cell>
          <cell r="P1559" t="str">
            <v>S2</v>
          </cell>
          <cell r="Q1559" t="str">
            <v>J2</v>
          </cell>
          <cell r="R1559" t="str">
            <v>J6</v>
          </cell>
          <cell r="S1559" t="str">
            <v>ENTREGADO</v>
          </cell>
          <cell r="T1559">
            <v>42698</v>
          </cell>
          <cell r="U1559" t="str">
            <v>PALOMINO ESTRADA  MICHEL</v>
          </cell>
          <cell r="V1559" t="str">
            <v>CORIHUAMAN SURCO  ERICK ROBERT</v>
          </cell>
        </row>
        <row r="1560">
          <cell r="A1560">
            <v>1526</v>
          </cell>
          <cell r="B1560">
            <v>42698</v>
          </cell>
          <cell r="C1560" t="str">
            <v>NOVIEMBRE</v>
          </cell>
          <cell r="D1560" t="str">
            <v>2016</v>
          </cell>
          <cell r="E1560">
            <v>207</v>
          </cell>
          <cell r="F1560" t="str">
            <v>D3P-746</v>
          </cell>
          <cell r="G1560" t="str">
            <v>C0T-974</v>
          </cell>
          <cell r="H1560" t="str">
            <v>LAS BAMBAS</v>
          </cell>
          <cell r="I1560">
            <v>128937</v>
          </cell>
          <cell r="J1560" t="str">
            <v>REPUESTO</v>
          </cell>
          <cell r="K1560" t="str">
            <v>SOMBRERITOS 1 X 5/16 X 1</v>
          </cell>
          <cell r="L1560">
            <v>4</v>
          </cell>
          <cell r="M1560" t="str">
            <v>UNID.</v>
          </cell>
          <cell r="N1560" t="str">
            <v>CISTERNA</v>
          </cell>
          <cell r="O1560">
            <v>0</v>
          </cell>
          <cell r="P1560" t="str">
            <v>S2</v>
          </cell>
          <cell r="Q1560" t="str">
            <v>J2</v>
          </cell>
          <cell r="R1560" t="str">
            <v>J6</v>
          </cell>
          <cell r="S1560" t="str">
            <v>ENTREGADO</v>
          </cell>
          <cell r="T1560">
            <v>42698</v>
          </cell>
          <cell r="U1560" t="str">
            <v>PALOMINO ESTRADA  MICHEL</v>
          </cell>
          <cell r="V1560" t="str">
            <v>CORIHUAMAN SURCO  ERICK ROBERT</v>
          </cell>
        </row>
        <row r="1561">
          <cell r="A1561">
            <v>1594</v>
          </cell>
          <cell r="B1561">
            <v>42698</v>
          </cell>
          <cell r="C1561" t="str">
            <v>NOVIEMBRE</v>
          </cell>
          <cell r="D1561" t="str">
            <v>2016</v>
          </cell>
          <cell r="E1561">
            <v>207</v>
          </cell>
          <cell r="F1561" t="str">
            <v>D3P-746</v>
          </cell>
          <cell r="G1561" t="str">
            <v>C0T-974</v>
          </cell>
          <cell r="H1561" t="str">
            <v>LAS BAMBAS</v>
          </cell>
          <cell r="I1561">
            <v>128937</v>
          </cell>
          <cell r="J1561" t="str">
            <v>SERVICIO</v>
          </cell>
          <cell r="K1561" t="str">
            <v>CORTE Y DOBLEZ DE PLANCHA DE 3/16</v>
          </cell>
          <cell r="L1561">
            <v>2</v>
          </cell>
          <cell r="M1561" t="str">
            <v>UNID.</v>
          </cell>
          <cell r="N1561" t="str">
            <v>CISTERNA</v>
          </cell>
          <cell r="O1561">
            <v>92</v>
          </cell>
          <cell r="P1561" t="str">
            <v>S2</v>
          </cell>
          <cell r="Q1561" t="str">
            <v>J1</v>
          </cell>
          <cell r="R1561" t="str">
            <v>J1</v>
          </cell>
          <cell r="S1561" t="str">
            <v>ENTREGADO</v>
          </cell>
          <cell r="T1561">
            <v>0</v>
          </cell>
          <cell r="U1561" t="str">
            <v>PALOMINO ESTRADA  MICHEL</v>
          </cell>
          <cell r="V1561" t="str">
            <v>FLOREZ CONDORI  JOSE WILLIANS</v>
          </cell>
        </row>
        <row r="1562">
          <cell r="A1562">
            <v>1552</v>
          </cell>
          <cell r="B1562">
            <v>42698</v>
          </cell>
          <cell r="C1562" t="str">
            <v>NOVIEMBRE</v>
          </cell>
          <cell r="D1562" t="str">
            <v>2016</v>
          </cell>
          <cell r="E1562">
            <v>399</v>
          </cell>
          <cell r="F1562" t="str">
            <v>D3R-742</v>
          </cell>
          <cell r="G1562" t="str">
            <v>D2E-975</v>
          </cell>
          <cell r="H1562" t="str">
            <v>LAS BAMBAS</v>
          </cell>
          <cell r="I1562">
            <v>150257</v>
          </cell>
          <cell r="J1562" t="str">
            <v>REPUESTO</v>
          </cell>
          <cell r="K1562" t="str">
            <v>FARO NEBLINERO AAA</v>
          </cell>
          <cell r="L1562">
            <v>2</v>
          </cell>
          <cell r="M1562" t="str">
            <v>UNID.</v>
          </cell>
          <cell r="N1562" t="str">
            <v>TRACTO</v>
          </cell>
          <cell r="O1562">
            <v>0</v>
          </cell>
          <cell r="P1562" t="str">
            <v>E2</v>
          </cell>
          <cell r="Q1562" t="str">
            <v>J1</v>
          </cell>
          <cell r="R1562" t="str">
            <v>J5</v>
          </cell>
          <cell r="S1562" t="str">
            <v>ENTREGADO</v>
          </cell>
          <cell r="T1562">
            <v>42698</v>
          </cell>
          <cell r="U1562" t="str">
            <v>YUCA BELLIDO BORIS YERSY</v>
          </cell>
          <cell r="V1562" t="str">
            <v>FLOREZ CONDORI  JOSE WILLIANS</v>
          </cell>
        </row>
        <row r="1563">
          <cell r="A1563">
            <v>1553</v>
          </cell>
          <cell r="B1563">
            <v>42698</v>
          </cell>
          <cell r="C1563" t="str">
            <v>NOVIEMBRE</v>
          </cell>
          <cell r="D1563" t="str">
            <v>2016</v>
          </cell>
          <cell r="E1563">
            <v>399</v>
          </cell>
          <cell r="F1563" t="str">
            <v>D3R-742</v>
          </cell>
          <cell r="G1563" t="str">
            <v>D2E-975</v>
          </cell>
          <cell r="H1563" t="str">
            <v>LAS BAMBAS</v>
          </cell>
          <cell r="I1563">
            <v>150257</v>
          </cell>
          <cell r="J1563" t="str">
            <v>REPUESTO</v>
          </cell>
          <cell r="K1563" t="str">
            <v>PERNO 5/16 x 2" C/ DOBLE TUERCA Y DOBLE VOLANDA</v>
          </cell>
          <cell r="L1563">
            <v>2</v>
          </cell>
          <cell r="M1563" t="str">
            <v>UNID.</v>
          </cell>
          <cell r="N1563" t="str">
            <v>TRACTO</v>
          </cell>
          <cell r="O1563">
            <v>0</v>
          </cell>
          <cell r="P1563" t="str">
            <v>E2</v>
          </cell>
          <cell r="Q1563" t="str">
            <v>J1</v>
          </cell>
          <cell r="R1563" t="str">
            <v>J5</v>
          </cell>
          <cell r="S1563" t="str">
            <v>ENTREGADO</v>
          </cell>
          <cell r="T1563">
            <v>42698</v>
          </cell>
          <cell r="U1563" t="str">
            <v>YUCA BELLIDO BORIS YERSY</v>
          </cell>
          <cell r="V1563" t="str">
            <v>FLOREZ CONDORI  JOSE WILLIANS</v>
          </cell>
        </row>
        <row r="1564">
          <cell r="A1564">
            <v>1554</v>
          </cell>
          <cell r="B1564">
            <v>42698</v>
          </cell>
          <cell r="C1564" t="str">
            <v>NOVIEMBRE</v>
          </cell>
          <cell r="D1564" t="str">
            <v>2016</v>
          </cell>
          <cell r="E1564">
            <v>399</v>
          </cell>
          <cell r="F1564" t="str">
            <v>D3R-742</v>
          </cell>
          <cell r="G1564" t="str">
            <v>D2E-975</v>
          </cell>
          <cell r="H1564" t="str">
            <v>LAS BAMBAS</v>
          </cell>
          <cell r="I1564">
            <v>150257</v>
          </cell>
          <cell r="J1564" t="str">
            <v>REPUESTO</v>
          </cell>
          <cell r="K1564" t="str">
            <v>CABLE NRO, 14</v>
          </cell>
          <cell r="L1564">
            <v>4</v>
          </cell>
          <cell r="M1564" t="str">
            <v>M</v>
          </cell>
          <cell r="N1564" t="str">
            <v>TRACTO</v>
          </cell>
          <cell r="O1564">
            <v>0</v>
          </cell>
          <cell r="P1564" t="str">
            <v>E2</v>
          </cell>
          <cell r="Q1564" t="str">
            <v>J1</v>
          </cell>
          <cell r="R1564" t="str">
            <v>J5</v>
          </cell>
          <cell r="S1564" t="str">
            <v>ENTREGADO</v>
          </cell>
          <cell r="T1564">
            <v>42698</v>
          </cell>
          <cell r="U1564" t="str">
            <v>YUCA BELLIDO BORIS YERSY</v>
          </cell>
          <cell r="V1564" t="str">
            <v>FLOREZ CONDORI  JOSE WILLIANS</v>
          </cell>
        </row>
        <row r="1565">
          <cell r="A1565">
            <v>1539</v>
          </cell>
          <cell r="B1565">
            <v>42698</v>
          </cell>
          <cell r="C1565" t="str">
            <v>NOVIEMBRE</v>
          </cell>
          <cell r="D1565" t="str">
            <v>2016</v>
          </cell>
          <cell r="E1565">
            <v>408</v>
          </cell>
          <cell r="F1565" t="str">
            <v>D3S-725</v>
          </cell>
          <cell r="G1565" t="str">
            <v>TBL-977</v>
          </cell>
          <cell r="H1565" t="str">
            <v>LAS BAMBAS</v>
          </cell>
          <cell r="I1565">
            <v>147331.1</v>
          </cell>
          <cell r="J1565" t="str">
            <v>REPUESTO</v>
          </cell>
          <cell r="K1565" t="str">
            <v>LIQUIDO LIMPIAPARABRISAS</v>
          </cell>
          <cell r="L1565">
            <v>1</v>
          </cell>
          <cell r="M1565" t="str">
            <v>GLNS.</v>
          </cell>
          <cell r="N1565" t="str">
            <v>TRACTO</v>
          </cell>
          <cell r="O1565">
            <v>0</v>
          </cell>
          <cell r="P1565" t="str">
            <v>M5</v>
          </cell>
          <cell r="Q1565" t="str">
            <v>J2</v>
          </cell>
          <cell r="R1565" t="str">
            <v>J6</v>
          </cell>
          <cell r="S1565" t="str">
            <v>ENTREGADO</v>
          </cell>
          <cell r="T1565">
            <v>42698</v>
          </cell>
          <cell r="U1565" t="str">
            <v>LOPEZ RUIZ WILBERTO</v>
          </cell>
          <cell r="V1565" t="str">
            <v>CORIHUAMAN SURCO  ERICK ROBERT</v>
          </cell>
        </row>
        <row r="1566">
          <cell r="A1566">
            <v>1540</v>
          </cell>
          <cell r="B1566">
            <v>42698</v>
          </cell>
          <cell r="C1566" t="str">
            <v>NOVIEMBRE</v>
          </cell>
          <cell r="D1566" t="str">
            <v>2016</v>
          </cell>
          <cell r="E1566">
            <v>408</v>
          </cell>
          <cell r="F1566" t="str">
            <v>D3S-725</v>
          </cell>
          <cell r="G1566" t="str">
            <v>TBL-977</v>
          </cell>
          <cell r="H1566" t="str">
            <v>LAS BAMBAS</v>
          </cell>
          <cell r="I1566">
            <v>147331.1</v>
          </cell>
          <cell r="J1566" t="str">
            <v>REPUESTO</v>
          </cell>
          <cell r="K1566" t="str">
            <v>LIQUIDO REFRIGERANTE</v>
          </cell>
          <cell r="L1566">
            <v>1</v>
          </cell>
          <cell r="M1566" t="str">
            <v>GLNS.</v>
          </cell>
          <cell r="N1566" t="str">
            <v>TRACTO</v>
          </cell>
          <cell r="O1566">
            <v>0</v>
          </cell>
          <cell r="P1566" t="str">
            <v>M5</v>
          </cell>
          <cell r="Q1566" t="str">
            <v>J2</v>
          </cell>
          <cell r="R1566" t="str">
            <v>J6</v>
          </cell>
          <cell r="S1566" t="str">
            <v>ENTREGADO</v>
          </cell>
          <cell r="T1566">
            <v>42698</v>
          </cell>
          <cell r="U1566" t="str">
            <v>LOPEZ RUIZ WILBERTO</v>
          </cell>
          <cell r="V1566" t="str">
            <v>CORIHUAMAN SURCO  ERICK ROBERT</v>
          </cell>
        </row>
        <row r="1567">
          <cell r="A1567">
            <v>1541</v>
          </cell>
          <cell r="B1567">
            <v>42698</v>
          </cell>
          <cell r="C1567" t="str">
            <v>NOVIEMBRE</v>
          </cell>
          <cell r="D1567" t="str">
            <v>2016</v>
          </cell>
          <cell r="E1567">
            <v>408</v>
          </cell>
          <cell r="F1567" t="str">
            <v>D3S-725</v>
          </cell>
          <cell r="G1567" t="str">
            <v>TBL-977</v>
          </cell>
          <cell r="H1567" t="str">
            <v>LAS BAMBAS</v>
          </cell>
          <cell r="I1567">
            <v>147331.1</v>
          </cell>
          <cell r="J1567" t="str">
            <v>REPUESTO</v>
          </cell>
          <cell r="K1567" t="str">
            <v>MANIJA DE PUERTA LADO IZQUIERDO</v>
          </cell>
          <cell r="L1567">
            <v>1</v>
          </cell>
          <cell r="M1567" t="str">
            <v>UNID.</v>
          </cell>
          <cell r="N1567" t="str">
            <v>TRACTO</v>
          </cell>
          <cell r="O1567">
            <v>0</v>
          </cell>
          <cell r="P1567" t="str">
            <v>M5</v>
          </cell>
          <cell r="Q1567" t="str">
            <v>J2</v>
          </cell>
          <cell r="R1567" t="str">
            <v>J6</v>
          </cell>
          <cell r="S1567" t="str">
            <v>ENTREGADO</v>
          </cell>
          <cell r="T1567">
            <v>42698</v>
          </cell>
          <cell r="U1567" t="str">
            <v>LOPEZ RUIZ WILBERTO</v>
          </cell>
          <cell r="V1567" t="str">
            <v>CORIHUAMAN SURCO  ERICK ROBERT</v>
          </cell>
        </row>
        <row r="1568">
          <cell r="A1568">
            <v>1558</v>
          </cell>
          <cell r="B1568">
            <v>42698</v>
          </cell>
          <cell r="C1568" t="str">
            <v>NOVIEMBRE</v>
          </cell>
          <cell r="D1568" t="str">
            <v>2016</v>
          </cell>
          <cell r="E1568">
            <v>408</v>
          </cell>
          <cell r="F1568" t="str">
            <v>D3S-725</v>
          </cell>
          <cell r="G1568" t="str">
            <v>TBL-977</v>
          </cell>
          <cell r="H1568" t="str">
            <v>LAS BAMBAS</v>
          </cell>
          <cell r="I1568">
            <v>147331.1</v>
          </cell>
          <cell r="J1568" t="str">
            <v>REPUESTO</v>
          </cell>
          <cell r="K1568" t="str">
            <v>VALVULA DE LIBERACION DE GASES</v>
          </cell>
          <cell r="L1568">
            <v>1</v>
          </cell>
          <cell r="M1568" t="str">
            <v>UNID.</v>
          </cell>
          <cell r="N1568" t="str">
            <v>CISTERNA</v>
          </cell>
          <cell r="O1568">
            <v>92</v>
          </cell>
          <cell r="P1568" t="str">
            <v>M5</v>
          </cell>
          <cell r="Q1568" t="str">
            <v>J2</v>
          </cell>
          <cell r="R1568" t="str">
            <v>J6</v>
          </cell>
          <cell r="S1568" t="str">
            <v>ENTREGADO</v>
          </cell>
          <cell r="T1568">
            <v>0</v>
          </cell>
          <cell r="U1568" t="str">
            <v>LOPEZ RUIZ WILBERTO</v>
          </cell>
          <cell r="V1568" t="str">
            <v>CORIHUAMAN SURCO  ERICK ROBERT</v>
          </cell>
        </row>
        <row r="1569">
          <cell r="A1569">
            <v>1538</v>
          </cell>
          <cell r="B1569">
            <v>42698</v>
          </cell>
          <cell r="C1569" t="str">
            <v>NOVIEMBRE</v>
          </cell>
          <cell r="D1569" t="str">
            <v>2016</v>
          </cell>
          <cell r="E1569">
            <v>414</v>
          </cell>
          <cell r="F1569" t="str">
            <v>D3S-764</v>
          </cell>
          <cell r="G1569" t="str">
            <v>TBL-998</v>
          </cell>
          <cell r="H1569" t="str">
            <v>LAS BAMBAS</v>
          </cell>
          <cell r="I1569">
            <v>123791</v>
          </cell>
          <cell r="J1569" t="str">
            <v>REPUESTO</v>
          </cell>
          <cell r="K1569" t="str">
            <v>LIQUIDO LIMPIAPARABRISAS</v>
          </cell>
          <cell r="L1569">
            <v>1</v>
          </cell>
          <cell r="M1569" t="str">
            <v>GLNS.</v>
          </cell>
          <cell r="N1569" t="str">
            <v>TRACTO</v>
          </cell>
          <cell r="O1569">
            <v>0</v>
          </cell>
          <cell r="P1569" t="str">
            <v>M1</v>
          </cell>
          <cell r="Q1569" t="str">
            <v>J2</v>
          </cell>
          <cell r="R1569" t="str">
            <v>J6</v>
          </cell>
          <cell r="S1569" t="str">
            <v>ENTREGADO</v>
          </cell>
          <cell r="T1569">
            <v>42698</v>
          </cell>
          <cell r="U1569" t="str">
            <v>CABEZAS SANCHEZ JEAN JHONATAN</v>
          </cell>
          <cell r="V1569" t="str">
            <v>CORIHUAMAN SURCO  ERICK ROBERT</v>
          </cell>
        </row>
        <row r="1570">
          <cell r="A1570">
            <v>1556</v>
          </cell>
          <cell r="B1570">
            <v>42698</v>
          </cell>
          <cell r="C1570" t="str">
            <v>NOVIEMBRE</v>
          </cell>
          <cell r="D1570" t="str">
            <v>2016</v>
          </cell>
          <cell r="E1570">
            <v>414</v>
          </cell>
          <cell r="F1570" t="str">
            <v>D3S-764</v>
          </cell>
          <cell r="G1570" t="str">
            <v>TBL-998</v>
          </cell>
          <cell r="H1570" t="str">
            <v>LAS BAMBAS</v>
          </cell>
          <cell r="I1570">
            <v>123791</v>
          </cell>
          <cell r="J1570" t="str">
            <v>REPUESTO</v>
          </cell>
          <cell r="K1570" t="str">
            <v>PERNO 3/8 X 14</v>
          </cell>
          <cell r="L1570">
            <v>1</v>
          </cell>
          <cell r="M1570" t="str">
            <v>UNID.</v>
          </cell>
          <cell r="N1570" t="str">
            <v>TRACTO</v>
          </cell>
          <cell r="O1570">
            <v>0</v>
          </cell>
          <cell r="P1570" t="str">
            <v>M1</v>
          </cell>
          <cell r="Q1570" t="str">
            <v>J2</v>
          </cell>
          <cell r="R1570" t="str">
            <v>J6</v>
          </cell>
          <cell r="S1570" t="str">
            <v>ENTREGADO</v>
          </cell>
          <cell r="T1570">
            <v>42698</v>
          </cell>
          <cell r="U1570" t="str">
            <v>CABEZAS SANCHEZ JEAN JHONATAN</v>
          </cell>
          <cell r="V1570" t="str">
            <v>CORIHUAMAN SURCO  ERICK ROBERT</v>
          </cell>
        </row>
        <row r="1571">
          <cell r="A1571">
            <v>1549</v>
          </cell>
          <cell r="B1571">
            <v>42698</v>
          </cell>
          <cell r="C1571" t="str">
            <v>NOVIEMBRE</v>
          </cell>
          <cell r="D1571" t="str">
            <v>2016</v>
          </cell>
          <cell r="E1571">
            <v>394</v>
          </cell>
          <cell r="F1571" t="str">
            <v>D3S-767</v>
          </cell>
          <cell r="G1571" t="str">
            <v>B8L-973</v>
          </cell>
          <cell r="H1571" t="str">
            <v>LAS BAMBAS</v>
          </cell>
          <cell r="I1571">
            <v>182881</v>
          </cell>
          <cell r="J1571" t="str">
            <v>REPUESTO</v>
          </cell>
          <cell r="K1571" t="str">
            <v xml:space="preserve">FOCO H3 DE 12 V </v>
          </cell>
          <cell r="L1571">
            <v>2</v>
          </cell>
          <cell r="M1571" t="str">
            <v>UNID.</v>
          </cell>
          <cell r="N1571" t="str">
            <v>CISTERNA</v>
          </cell>
          <cell r="O1571">
            <v>0</v>
          </cell>
          <cell r="P1571" t="str">
            <v>E1</v>
          </cell>
          <cell r="Q1571" t="str">
            <v>J2</v>
          </cell>
          <cell r="R1571" t="str">
            <v>J6</v>
          </cell>
          <cell r="S1571" t="str">
            <v>ENTREGADO</v>
          </cell>
          <cell r="T1571">
            <v>42698</v>
          </cell>
          <cell r="U1571" t="str">
            <v>PALOMINO CARDENAS JUAN CARLOS</v>
          </cell>
          <cell r="V1571" t="str">
            <v>CORIHUAMAN SURCO  ERICK ROBERT</v>
          </cell>
        </row>
        <row r="1572">
          <cell r="A1572">
            <v>1550</v>
          </cell>
          <cell r="B1572">
            <v>42698</v>
          </cell>
          <cell r="C1572" t="str">
            <v>NOVIEMBRE</v>
          </cell>
          <cell r="D1572" t="str">
            <v>2016</v>
          </cell>
          <cell r="E1572">
            <v>394</v>
          </cell>
          <cell r="F1572" t="str">
            <v>D3S-767</v>
          </cell>
          <cell r="G1572" t="str">
            <v>B8L-973</v>
          </cell>
          <cell r="H1572" t="str">
            <v>LAS BAMBAS</v>
          </cell>
          <cell r="I1572">
            <v>182881</v>
          </cell>
          <cell r="J1572" t="str">
            <v>REPUESTO</v>
          </cell>
          <cell r="K1572" t="str">
            <v>FAROS LED REDONDOS ROJOS DE 4"</v>
          </cell>
          <cell r="L1572">
            <v>2</v>
          </cell>
          <cell r="M1572" t="str">
            <v>UNID.</v>
          </cell>
          <cell r="N1572" t="str">
            <v>CISTERNA</v>
          </cell>
          <cell r="O1572">
            <v>0</v>
          </cell>
          <cell r="P1572" t="str">
            <v>E1</v>
          </cell>
          <cell r="Q1572" t="str">
            <v>J2</v>
          </cell>
          <cell r="R1572" t="str">
            <v>J6</v>
          </cell>
          <cell r="S1572" t="str">
            <v>ENTREGADO</v>
          </cell>
          <cell r="T1572">
            <v>42698</v>
          </cell>
          <cell r="U1572" t="str">
            <v>PALOMINO CARDENAS JUAN CARLOS</v>
          </cell>
          <cell r="V1572" t="str">
            <v>CORIHUAMAN SURCO  ERICK ROBERT</v>
          </cell>
        </row>
        <row r="1573">
          <cell r="A1573">
            <v>1551</v>
          </cell>
          <cell r="B1573">
            <v>42698</v>
          </cell>
          <cell r="C1573" t="str">
            <v>NOVIEMBRE</v>
          </cell>
          <cell r="D1573" t="str">
            <v>2016</v>
          </cell>
          <cell r="E1573">
            <v>394</v>
          </cell>
          <cell r="F1573" t="str">
            <v>D3S-767</v>
          </cell>
          <cell r="G1573" t="str">
            <v>B8L-973</v>
          </cell>
          <cell r="H1573" t="str">
            <v>LAS BAMBAS</v>
          </cell>
          <cell r="I1573">
            <v>182881</v>
          </cell>
          <cell r="J1573" t="str">
            <v>REPUESTO</v>
          </cell>
          <cell r="K1573" t="str">
            <v>TERMINALES OJO 1/4</v>
          </cell>
          <cell r="L1573">
            <v>2</v>
          </cell>
          <cell r="M1573" t="str">
            <v>UNID.</v>
          </cell>
          <cell r="N1573" t="str">
            <v>CISTERNA</v>
          </cell>
          <cell r="O1573">
            <v>0</v>
          </cell>
          <cell r="P1573" t="str">
            <v>E1</v>
          </cell>
          <cell r="Q1573" t="str">
            <v>J2</v>
          </cell>
          <cell r="R1573" t="str">
            <v>J6</v>
          </cell>
          <cell r="S1573" t="str">
            <v>ENTREGADO</v>
          </cell>
          <cell r="T1573">
            <v>42698</v>
          </cell>
          <cell r="U1573" t="str">
            <v>PALOMINO CARDENAS JUAN CARLOS</v>
          </cell>
          <cell r="V1573" t="str">
            <v>CORIHUAMAN SURCO  ERICK ROBERT</v>
          </cell>
        </row>
        <row r="1574">
          <cell r="A1574">
            <v>1503</v>
          </cell>
          <cell r="B1574">
            <v>42698</v>
          </cell>
          <cell r="C1574" t="str">
            <v>NOVIEMBRE</v>
          </cell>
          <cell r="D1574" t="str">
            <v>2016</v>
          </cell>
          <cell r="E1574">
            <v>354</v>
          </cell>
          <cell r="F1574" t="str">
            <v>D6F-825</v>
          </cell>
          <cell r="G1574" t="str">
            <v>T2Y-992</v>
          </cell>
          <cell r="H1574" t="str">
            <v>LAS BAMBAS</v>
          </cell>
          <cell r="I1574">
            <v>182729</v>
          </cell>
          <cell r="J1574" t="str">
            <v>REPUESTO</v>
          </cell>
          <cell r="K1574" t="str">
            <v>PERNO 1/2 X 4</v>
          </cell>
          <cell r="L1574">
            <v>1</v>
          </cell>
          <cell r="M1574" t="str">
            <v>UNID.</v>
          </cell>
          <cell r="N1574" t="str">
            <v>TRACTO</v>
          </cell>
          <cell r="O1574">
            <v>0</v>
          </cell>
          <cell r="P1574" t="str">
            <v>M7</v>
          </cell>
          <cell r="Q1574" t="str">
            <v>J2</v>
          </cell>
          <cell r="R1574" t="str">
            <v>J6</v>
          </cell>
          <cell r="S1574" t="str">
            <v>ENTREGADO</v>
          </cell>
          <cell r="T1574">
            <v>42698</v>
          </cell>
          <cell r="U1574" t="str">
            <v>ROBLES ROJAS  JOSE MIGUEL</v>
          </cell>
          <cell r="V1574" t="str">
            <v>CORIHUAMAN SURCO  ERICK ROBERT</v>
          </cell>
        </row>
        <row r="1575">
          <cell r="A1575">
            <v>1504</v>
          </cell>
          <cell r="B1575">
            <v>42698</v>
          </cell>
          <cell r="C1575" t="str">
            <v>NOVIEMBRE</v>
          </cell>
          <cell r="D1575" t="str">
            <v>2016</v>
          </cell>
          <cell r="E1575">
            <v>354</v>
          </cell>
          <cell r="F1575" t="str">
            <v>D6F-825</v>
          </cell>
          <cell r="G1575" t="str">
            <v>T2Y-992</v>
          </cell>
          <cell r="H1575" t="str">
            <v>LAS BAMBAS</v>
          </cell>
          <cell r="I1575">
            <v>182729</v>
          </cell>
          <cell r="J1575" t="str">
            <v>REPUESTO</v>
          </cell>
          <cell r="K1575" t="str">
            <v>ARANDELAS PLANAS 1/2</v>
          </cell>
          <cell r="L1575">
            <v>8</v>
          </cell>
          <cell r="M1575" t="str">
            <v>UNID.</v>
          </cell>
          <cell r="N1575" t="str">
            <v>TRACTO</v>
          </cell>
          <cell r="O1575">
            <v>0</v>
          </cell>
          <cell r="P1575" t="str">
            <v>M7</v>
          </cell>
          <cell r="Q1575" t="str">
            <v>J2</v>
          </cell>
          <cell r="R1575" t="str">
            <v>J6</v>
          </cell>
          <cell r="S1575" t="str">
            <v>ENTREGADO</v>
          </cell>
          <cell r="T1575">
            <v>42698</v>
          </cell>
          <cell r="U1575" t="str">
            <v>ROBLES ROJAS  JOSE MIGUEL</v>
          </cell>
          <cell r="V1575" t="str">
            <v>CORIHUAMAN SURCO  ERICK ROBERT</v>
          </cell>
        </row>
        <row r="1576">
          <cell r="A1576">
            <v>1505</v>
          </cell>
          <cell r="B1576">
            <v>42698</v>
          </cell>
          <cell r="C1576" t="str">
            <v>NOVIEMBRE</v>
          </cell>
          <cell r="D1576" t="str">
            <v>2016</v>
          </cell>
          <cell r="E1576">
            <v>354</v>
          </cell>
          <cell r="F1576" t="str">
            <v>D6F-825</v>
          </cell>
          <cell r="G1576" t="str">
            <v>T2Y-992</v>
          </cell>
          <cell r="H1576" t="str">
            <v>LAS BAMBAS</v>
          </cell>
          <cell r="I1576">
            <v>182729</v>
          </cell>
          <cell r="J1576" t="str">
            <v>REPUESTO</v>
          </cell>
          <cell r="K1576" t="str">
            <v>TUERCA SEGURO 1/2</v>
          </cell>
          <cell r="L1576">
            <v>1</v>
          </cell>
          <cell r="M1576" t="str">
            <v>UNID.</v>
          </cell>
          <cell r="N1576" t="str">
            <v>TRACTO</v>
          </cell>
          <cell r="O1576">
            <v>0</v>
          </cell>
          <cell r="P1576" t="str">
            <v>M7</v>
          </cell>
          <cell r="Q1576" t="str">
            <v>J2</v>
          </cell>
          <cell r="R1576" t="str">
            <v>J6</v>
          </cell>
          <cell r="S1576" t="str">
            <v>ENTREGADO</v>
          </cell>
          <cell r="T1576">
            <v>42698</v>
          </cell>
          <cell r="U1576" t="str">
            <v>ROBLES ROJAS  JOSE MIGUEL</v>
          </cell>
          <cell r="V1576" t="str">
            <v>CORIHUAMAN SURCO  ERICK ROBERT</v>
          </cell>
        </row>
        <row r="1577">
          <cell r="A1577">
            <v>1514</v>
          </cell>
          <cell r="B1577">
            <v>42698</v>
          </cell>
          <cell r="C1577" t="str">
            <v>NOVIEMBRE</v>
          </cell>
          <cell r="D1577" t="str">
            <v>2016</v>
          </cell>
          <cell r="E1577">
            <v>354</v>
          </cell>
          <cell r="F1577" t="str">
            <v>D6F-825</v>
          </cell>
          <cell r="G1577" t="str">
            <v>T2Y-992</v>
          </cell>
          <cell r="H1577" t="str">
            <v>LAS BAMBAS</v>
          </cell>
          <cell r="I1577">
            <v>182729</v>
          </cell>
          <cell r="J1577" t="str">
            <v>REPUESTO</v>
          </cell>
          <cell r="K1577" t="str">
            <v>PERNOS 5/16 X 1 1/2</v>
          </cell>
          <cell r="L1577">
            <v>4</v>
          </cell>
          <cell r="M1577" t="str">
            <v>UNID.</v>
          </cell>
          <cell r="N1577" t="str">
            <v>TRACTO</v>
          </cell>
          <cell r="O1577">
            <v>0</v>
          </cell>
          <cell r="P1577" t="str">
            <v>M7</v>
          </cell>
          <cell r="Q1577" t="str">
            <v>J2</v>
          </cell>
          <cell r="R1577" t="str">
            <v>J6</v>
          </cell>
          <cell r="S1577" t="str">
            <v>ENTREGADO</v>
          </cell>
          <cell r="T1577">
            <v>42698</v>
          </cell>
          <cell r="U1577" t="str">
            <v>ROBLES ROJAS  JOSE MIGUEL</v>
          </cell>
          <cell r="V1577" t="str">
            <v>CORIHUAMAN SURCO  ERICK ROBERT</v>
          </cell>
        </row>
        <row r="1578">
          <cell r="A1578">
            <v>1515</v>
          </cell>
          <cell r="B1578">
            <v>42698</v>
          </cell>
          <cell r="C1578" t="str">
            <v>NOVIEMBRE</v>
          </cell>
          <cell r="D1578" t="str">
            <v>2016</v>
          </cell>
          <cell r="E1578">
            <v>354</v>
          </cell>
          <cell r="F1578" t="str">
            <v>D6F-825</v>
          </cell>
          <cell r="G1578" t="str">
            <v>T2Y-992</v>
          </cell>
          <cell r="H1578" t="str">
            <v>LAS BAMBAS</v>
          </cell>
          <cell r="I1578">
            <v>182729</v>
          </cell>
          <cell r="J1578" t="str">
            <v>REPUESTO</v>
          </cell>
          <cell r="K1578" t="str">
            <v>TUERCA SEGURO 5/16</v>
          </cell>
          <cell r="L1578">
            <v>4</v>
          </cell>
          <cell r="M1578" t="str">
            <v>UNID.</v>
          </cell>
          <cell r="N1578" t="str">
            <v>TRACTO</v>
          </cell>
          <cell r="O1578">
            <v>0</v>
          </cell>
          <cell r="P1578" t="str">
            <v>M7</v>
          </cell>
          <cell r="Q1578" t="str">
            <v>J2</v>
          </cell>
          <cell r="R1578" t="str">
            <v>J6</v>
          </cell>
          <cell r="S1578" t="str">
            <v>ENTREGADO</v>
          </cell>
          <cell r="T1578">
            <v>42698</v>
          </cell>
          <cell r="U1578" t="str">
            <v>ROBLES ROJAS  JOSE MIGUEL</v>
          </cell>
          <cell r="V1578" t="str">
            <v>CORIHUAMAN SURCO  ERICK ROBERT</v>
          </cell>
        </row>
        <row r="1579">
          <cell r="A1579">
            <v>1516</v>
          </cell>
          <cell r="B1579">
            <v>42698</v>
          </cell>
          <cell r="C1579" t="str">
            <v>NOVIEMBRE</v>
          </cell>
          <cell r="D1579" t="str">
            <v>2016</v>
          </cell>
          <cell r="E1579">
            <v>354</v>
          </cell>
          <cell r="F1579" t="str">
            <v>D6F-825</v>
          </cell>
          <cell r="G1579" t="str">
            <v>T2Y-992</v>
          </cell>
          <cell r="H1579" t="str">
            <v>LAS BAMBAS</v>
          </cell>
          <cell r="I1579">
            <v>182729</v>
          </cell>
          <cell r="J1579" t="str">
            <v>REPUESTO</v>
          </cell>
          <cell r="K1579" t="str">
            <v>ARANDELA PLANA 5/16</v>
          </cell>
          <cell r="L1579">
            <v>8</v>
          </cell>
          <cell r="M1579" t="str">
            <v>UNID.</v>
          </cell>
          <cell r="N1579" t="str">
            <v>TRACTO</v>
          </cell>
          <cell r="O1579">
            <v>0</v>
          </cell>
          <cell r="P1579" t="str">
            <v>M7</v>
          </cell>
          <cell r="Q1579" t="str">
            <v>J2</v>
          </cell>
          <cell r="R1579" t="str">
            <v>J6</v>
          </cell>
          <cell r="S1579" t="str">
            <v>ENTREGADO</v>
          </cell>
          <cell r="T1579">
            <v>42698</v>
          </cell>
          <cell r="U1579" t="str">
            <v>ROBLES ROJAS  JOSE MIGUEL</v>
          </cell>
          <cell r="V1579" t="str">
            <v>CORIHUAMAN SURCO  ERICK ROBERT</v>
          </cell>
        </row>
        <row r="1580">
          <cell r="A1580">
            <v>1536</v>
          </cell>
          <cell r="B1580">
            <v>42698</v>
          </cell>
          <cell r="C1580" t="str">
            <v>NOVIEMBRE</v>
          </cell>
          <cell r="D1580" t="str">
            <v>2016</v>
          </cell>
          <cell r="E1580">
            <v>412</v>
          </cell>
          <cell r="F1580" t="str">
            <v>D6F-825</v>
          </cell>
          <cell r="G1580" t="str">
            <v>T2Y-992</v>
          </cell>
          <cell r="H1580" t="str">
            <v>LAS BAMBAS</v>
          </cell>
          <cell r="I1580">
            <v>183790</v>
          </cell>
          <cell r="J1580" t="str">
            <v>REPUESTO</v>
          </cell>
          <cell r="K1580" t="str">
            <v>BOMBA DE COMBUSTIBLE</v>
          </cell>
          <cell r="L1580">
            <v>1</v>
          </cell>
          <cell r="M1580" t="str">
            <v>UNID.</v>
          </cell>
          <cell r="N1580" t="str">
            <v>TRACTO</v>
          </cell>
          <cell r="O1580">
            <v>0</v>
          </cell>
          <cell r="P1580" t="str">
            <v>M7</v>
          </cell>
          <cell r="Q1580" t="str">
            <v>J2</v>
          </cell>
          <cell r="R1580" t="str">
            <v>J6</v>
          </cell>
          <cell r="S1580" t="str">
            <v>ENTREGADO</v>
          </cell>
          <cell r="T1580">
            <v>42698</v>
          </cell>
          <cell r="U1580" t="str">
            <v>ROBLES ROJAS  JOSE MIGUEL</v>
          </cell>
          <cell r="V1580" t="str">
            <v>CORIHUAMAN SURCO  ERICK ROBERT</v>
          </cell>
        </row>
        <row r="1581">
          <cell r="A1581">
            <v>1545</v>
          </cell>
          <cell r="B1581">
            <v>42698</v>
          </cell>
          <cell r="C1581" t="str">
            <v>NOVIEMBRE</v>
          </cell>
          <cell r="D1581" t="str">
            <v>2016</v>
          </cell>
          <cell r="E1581">
            <v>412</v>
          </cell>
          <cell r="F1581" t="str">
            <v>D6F-825</v>
          </cell>
          <cell r="G1581" t="str">
            <v>T2Y-992</v>
          </cell>
          <cell r="H1581" t="str">
            <v>LAS BAMBAS</v>
          </cell>
          <cell r="I1581">
            <v>183790</v>
          </cell>
          <cell r="J1581" t="str">
            <v>REPUESTO</v>
          </cell>
          <cell r="K1581" t="str">
            <v>LIQUIDO REFRIGERANTE</v>
          </cell>
          <cell r="L1581">
            <v>1</v>
          </cell>
          <cell r="M1581" t="str">
            <v>GLNS.</v>
          </cell>
          <cell r="N1581" t="str">
            <v>TRACTO</v>
          </cell>
          <cell r="O1581">
            <v>0</v>
          </cell>
          <cell r="P1581" t="str">
            <v>M7</v>
          </cell>
          <cell r="Q1581" t="str">
            <v>J2</v>
          </cell>
          <cell r="R1581" t="str">
            <v>J6</v>
          </cell>
          <cell r="S1581" t="str">
            <v>ENTREGADO</v>
          </cell>
          <cell r="T1581">
            <v>42698</v>
          </cell>
          <cell r="U1581" t="str">
            <v>ROBLES ROJAS  JOSE MIGUEL</v>
          </cell>
          <cell r="V1581" t="str">
            <v>CORIHUAMAN SURCO  ERICK ROBERT</v>
          </cell>
        </row>
        <row r="1582">
          <cell r="A1582">
            <v>1546</v>
          </cell>
          <cell r="B1582">
            <v>42698</v>
          </cell>
          <cell r="C1582" t="str">
            <v>NOVIEMBRE</v>
          </cell>
          <cell r="D1582" t="str">
            <v>2016</v>
          </cell>
          <cell r="E1582">
            <v>412</v>
          </cell>
          <cell r="F1582" t="str">
            <v>D6F-825</v>
          </cell>
          <cell r="G1582" t="str">
            <v>T2Y-992</v>
          </cell>
          <cell r="H1582" t="str">
            <v>LAS BAMBAS</v>
          </cell>
          <cell r="I1582">
            <v>183790</v>
          </cell>
          <cell r="J1582" t="str">
            <v>REPUESTO</v>
          </cell>
          <cell r="K1582" t="str">
            <v>SOPORTE DE CAPOT LADO IZQUIERDO</v>
          </cell>
          <cell r="L1582">
            <v>1</v>
          </cell>
          <cell r="M1582" t="str">
            <v>UNID.</v>
          </cell>
          <cell r="N1582" t="str">
            <v>TRACTO</v>
          </cell>
          <cell r="O1582">
            <v>0</v>
          </cell>
          <cell r="P1582" t="str">
            <v>M7</v>
          </cell>
          <cell r="Q1582" t="str">
            <v>J2</v>
          </cell>
          <cell r="R1582" t="str">
            <v>J6</v>
          </cell>
          <cell r="S1582" t="str">
            <v>ENTREGADO</v>
          </cell>
          <cell r="T1582">
            <v>42698</v>
          </cell>
          <cell r="U1582" t="str">
            <v>ROBLES ROJAS  JOSE MIGUEL</v>
          </cell>
          <cell r="V1582" t="str">
            <v>CORIHUAMAN SURCO  ERICK ROBERT</v>
          </cell>
        </row>
        <row r="1583">
          <cell r="A1583">
            <v>1563</v>
          </cell>
          <cell r="B1583">
            <v>42698</v>
          </cell>
          <cell r="C1583" t="str">
            <v>NOVIEMBRE</v>
          </cell>
          <cell r="D1583" t="str">
            <v>2016</v>
          </cell>
          <cell r="E1583">
            <v>412</v>
          </cell>
          <cell r="F1583" t="str">
            <v>D6F-825</v>
          </cell>
          <cell r="G1583" t="str">
            <v>T2Y-992</v>
          </cell>
          <cell r="H1583" t="str">
            <v>LAS BAMBAS</v>
          </cell>
          <cell r="I1583">
            <v>183790</v>
          </cell>
          <cell r="J1583" t="str">
            <v>REPUESTO</v>
          </cell>
          <cell r="K1583" t="str">
            <v>ACEITE 15W40</v>
          </cell>
          <cell r="L1583">
            <v>2</v>
          </cell>
          <cell r="M1583" t="str">
            <v>GLNS.</v>
          </cell>
          <cell r="N1583" t="str">
            <v>TRACTO</v>
          </cell>
          <cell r="O1583">
            <v>0</v>
          </cell>
          <cell r="P1583" t="str">
            <v>M7</v>
          </cell>
          <cell r="Q1583" t="str">
            <v>J2</v>
          </cell>
          <cell r="R1583" t="str">
            <v>J6</v>
          </cell>
          <cell r="S1583" t="str">
            <v>ENTREGADO</v>
          </cell>
          <cell r="T1583">
            <v>42698</v>
          </cell>
          <cell r="U1583" t="str">
            <v>ROBLES ROJAS  JOSE MIGUEL</v>
          </cell>
          <cell r="V1583" t="str">
            <v>CORIHUAMAN SURCO  ERICK ROBERT</v>
          </cell>
        </row>
        <row r="1584">
          <cell r="A1584">
            <v>1576</v>
          </cell>
          <cell r="B1584">
            <v>42698</v>
          </cell>
          <cell r="C1584" t="str">
            <v>NOVIEMBRE</v>
          </cell>
          <cell r="D1584" t="str">
            <v>2016</v>
          </cell>
          <cell r="E1584">
            <v>388</v>
          </cell>
          <cell r="F1584" t="str">
            <v>D6F-898</v>
          </cell>
          <cell r="G1584" t="str">
            <v>T4L-996</v>
          </cell>
          <cell r="H1584" t="str">
            <v>LAS BAMBAS</v>
          </cell>
          <cell r="I1584">
            <v>161323</v>
          </cell>
          <cell r="J1584" t="str">
            <v>REPUESTO</v>
          </cell>
          <cell r="K1584" t="str">
            <v>KIT DE REPARACION DE CAJA DE DIRECCION</v>
          </cell>
          <cell r="L1584">
            <v>1</v>
          </cell>
          <cell r="M1584" t="str">
            <v>UNID.</v>
          </cell>
          <cell r="N1584" t="str">
            <v>TRACTO</v>
          </cell>
          <cell r="O1584">
            <v>92</v>
          </cell>
          <cell r="P1584" t="str">
            <v>M1</v>
          </cell>
          <cell r="Q1584" t="str">
            <v>J2</v>
          </cell>
          <cell r="R1584" t="str">
            <v>J6</v>
          </cell>
          <cell r="S1584" t="str">
            <v>ENTREGADO</v>
          </cell>
          <cell r="T1584">
            <v>0</v>
          </cell>
          <cell r="U1584" t="str">
            <v>CABEZAS SANCHEZ JEAN JHONATAN</v>
          </cell>
          <cell r="V1584" t="str">
            <v>CORIHUAMAN SURCO  ERICK ROBERT</v>
          </cell>
        </row>
        <row r="1585">
          <cell r="A1585">
            <v>1584</v>
          </cell>
          <cell r="B1585">
            <v>42698</v>
          </cell>
          <cell r="C1585" t="str">
            <v>NOVIEMBRE</v>
          </cell>
          <cell r="D1585" t="str">
            <v>2016</v>
          </cell>
          <cell r="E1585">
            <v>388</v>
          </cell>
          <cell r="F1585" t="str">
            <v>D6F-898</v>
          </cell>
          <cell r="G1585" t="str">
            <v>T4L-996</v>
          </cell>
          <cell r="H1585" t="str">
            <v>LAS BAMBAS</v>
          </cell>
          <cell r="I1585">
            <v>161323</v>
          </cell>
          <cell r="J1585" t="str">
            <v>REPUESTO</v>
          </cell>
          <cell r="K1585" t="str">
            <v>SERVO DE DIRECCION</v>
          </cell>
          <cell r="L1585">
            <v>1</v>
          </cell>
          <cell r="M1585" t="str">
            <v>UNID.</v>
          </cell>
          <cell r="N1585" t="str">
            <v>TRACTO</v>
          </cell>
          <cell r="O1585">
            <v>92</v>
          </cell>
          <cell r="P1585" t="str">
            <v>M1</v>
          </cell>
          <cell r="Q1585" t="str">
            <v>J2</v>
          </cell>
          <cell r="R1585" t="str">
            <v>J6</v>
          </cell>
          <cell r="S1585" t="str">
            <v>ENTREGADO</v>
          </cell>
          <cell r="T1585">
            <v>0</v>
          </cell>
          <cell r="U1585" t="str">
            <v>CABEZAS SANCHEZ JEAN JHONATAN</v>
          </cell>
          <cell r="V1585" t="str">
            <v>CORIHUAMAN SURCO  ERICK ROBERT</v>
          </cell>
        </row>
        <row r="1586">
          <cell r="A1586">
            <v>1597</v>
          </cell>
          <cell r="B1586">
            <v>42698</v>
          </cell>
          <cell r="C1586" t="str">
            <v>NOVIEMBRE</v>
          </cell>
          <cell r="D1586" t="str">
            <v>2016</v>
          </cell>
          <cell r="E1586">
            <v>424</v>
          </cell>
          <cell r="F1586" t="str">
            <v>D6F-898</v>
          </cell>
          <cell r="G1586" t="str">
            <v>T4L-996</v>
          </cell>
          <cell r="H1586" t="str">
            <v>LAS BAMBAS</v>
          </cell>
          <cell r="I1586">
            <v>161808</v>
          </cell>
          <cell r="J1586" t="str">
            <v>REPUESTO</v>
          </cell>
          <cell r="K1586" t="str">
            <v>HIDROLINA</v>
          </cell>
          <cell r="L1586">
            <v>1</v>
          </cell>
          <cell r="M1586" t="str">
            <v>GLNS.</v>
          </cell>
          <cell r="N1586" t="str">
            <v>TRACTO</v>
          </cell>
          <cell r="O1586">
            <v>0</v>
          </cell>
          <cell r="P1586" t="str">
            <v>M1</v>
          </cell>
          <cell r="Q1586" t="str">
            <v>J2</v>
          </cell>
          <cell r="R1586" t="str">
            <v>J6</v>
          </cell>
          <cell r="S1586" t="str">
            <v>ENTREGADO</v>
          </cell>
          <cell r="T1586">
            <v>42698</v>
          </cell>
          <cell r="U1586" t="str">
            <v>CABEZAS SANCHEZ JEAN JHONATAN</v>
          </cell>
          <cell r="V1586" t="str">
            <v>CORIHUAMAN SURCO  ERICK ROBERT</v>
          </cell>
        </row>
        <row r="1587">
          <cell r="A1587">
            <v>1599</v>
          </cell>
          <cell r="B1587">
            <v>42698</v>
          </cell>
          <cell r="C1587" t="str">
            <v>NOVIEMBRE</v>
          </cell>
          <cell r="D1587" t="str">
            <v>2016</v>
          </cell>
          <cell r="E1587">
            <v>397</v>
          </cell>
          <cell r="F1587" t="str">
            <v>D6F-903</v>
          </cell>
          <cell r="G1587" t="str">
            <v>B8K-997</v>
          </cell>
          <cell r="H1587" t="str">
            <v>LAS BAMBAS</v>
          </cell>
          <cell r="I1587">
            <v>216322</v>
          </cell>
          <cell r="J1587" t="str">
            <v>REPUESTO</v>
          </cell>
          <cell r="K1587" t="str">
            <v>ANTENA DE RADIO</v>
          </cell>
          <cell r="L1587">
            <v>1</v>
          </cell>
          <cell r="M1587" t="str">
            <v>UNID.</v>
          </cell>
          <cell r="N1587" t="str">
            <v>TRACTO</v>
          </cell>
          <cell r="O1587">
            <v>92</v>
          </cell>
          <cell r="P1587" t="str">
            <v>M2</v>
          </cell>
          <cell r="Q1587" t="str">
            <v>J1</v>
          </cell>
          <cell r="R1587" t="str">
            <v>J6</v>
          </cell>
          <cell r="S1587" t="str">
            <v>ENTREGADO</v>
          </cell>
          <cell r="T1587">
            <v>0</v>
          </cell>
          <cell r="U1587" t="str">
            <v>CHUMPITAZ GAGO JULIO ENRIQUE</v>
          </cell>
          <cell r="V1587" t="str">
            <v>FLOREZ CONDORI  JOSE WILLIANS</v>
          </cell>
        </row>
        <row r="1588">
          <cell r="A1588">
            <v>1502</v>
          </cell>
          <cell r="B1588">
            <v>42698</v>
          </cell>
          <cell r="C1588" t="str">
            <v>NOVIEMBRE</v>
          </cell>
          <cell r="D1588" t="str">
            <v>2016</v>
          </cell>
          <cell r="E1588">
            <v>350</v>
          </cell>
          <cell r="F1588" t="str">
            <v>D7V-714</v>
          </cell>
          <cell r="G1588" t="str">
            <v>F7M-971</v>
          </cell>
          <cell r="H1588" t="str">
            <v>LAS BAMBAS</v>
          </cell>
          <cell r="I1588">
            <v>45671</v>
          </cell>
          <cell r="J1588" t="str">
            <v>REPUESTO</v>
          </cell>
          <cell r="K1588" t="str">
            <v>LLANTA REENCAUCHADA</v>
          </cell>
          <cell r="L1588">
            <v>1</v>
          </cell>
          <cell r="M1588" t="str">
            <v>UNID.</v>
          </cell>
          <cell r="N1588" t="str">
            <v>CISTERNA</v>
          </cell>
          <cell r="O1588">
            <v>0</v>
          </cell>
          <cell r="P1588" t="str">
            <v>N1</v>
          </cell>
          <cell r="Q1588" t="str">
            <v>J2</v>
          </cell>
          <cell r="R1588" t="str">
            <v>J6</v>
          </cell>
          <cell r="S1588" t="str">
            <v>ENTREGADO</v>
          </cell>
          <cell r="T1588">
            <v>42698</v>
          </cell>
          <cell r="U1588" t="str">
            <v>AGUILAR CCANTUTA WILLY</v>
          </cell>
          <cell r="V1588" t="str">
            <v>CORIHUAMAN SURCO  ERICK ROBERT</v>
          </cell>
        </row>
        <row r="1589">
          <cell r="A1589">
            <v>1487</v>
          </cell>
          <cell r="B1589">
            <v>42698</v>
          </cell>
          <cell r="C1589" t="str">
            <v>NOVIEMBRE</v>
          </cell>
          <cell r="D1589" t="str">
            <v>2016</v>
          </cell>
          <cell r="E1589">
            <v>200</v>
          </cell>
          <cell r="F1589" t="str">
            <v>TALLER</v>
          </cell>
          <cell r="G1589" t="str">
            <v>TALLER</v>
          </cell>
          <cell r="H1589" t="str">
            <v>TALLER</v>
          </cell>
          <cell r="I1589" t="str">
            <v>TALLER</v>
          </cell>
          <cell r="J1589" t="str">
            <v>UNIFORMES</v>
          </cell>
          <cell r="K1589" t="str">
            <v>TAIVEX "M"</v>
          </cell>
          <cell r="L1589">
            <v>1</v>
          </cell>
          <cell r="M1589" t="str">
            <v>UNID.</v>
          </cell>
          <cell r="N1589" t="str">
            <v>TALLER</v>
          </cell>
          <cell r="O1589">
            <v>0</v>
          </cell>
          <cell r="P1589" t="str">
            <v>M5</v>
          </cell>
          <cell r="Q1589" t="str">
            <v>J2</v>
          </cell>
          <cell r="R1589" t="str">
            <v>J6</v>
          </cell>
          <cell r="S1589" t="str">
            <v>ENTREGADO</v>
          </cell>
          <cell r="T1589">
            <v>42698</v>
          </cell>
          <cell r="U1589" t="str">
            <v>LOPEZ RUIZ WILBERTO</v>
          </cell>
          <cell r="V1589" t="str">
            <v>CORIHUAMAN SURCO  ERICK ROBERT</v>
          </cell>
        </row>
        <row r="1590">
          <cell r="A1590">
            <v>1495</v>
          </cell>
          <cell r="B1590">
            <v>42698</v>
          </cell>
          <cell r="C1590" t="str">
            <v>NOVIEMBRE</v>
          </cell>
          <cell r="D1590" t="str">
            <v>2016</v>
          </cell>
          <cell r="E1590">
            <v>200</v>
          </cell>
          <cell r="F1590" t="str">
            <v>TALLER</v>
          </cell>
          <cell r="G1590" t="str">
            <v>TALLER</v>
          </cell>
          <cell r="H1590" t="str">
            <v>TALLER</v>
          </cell>
          <cell r="I1590" t="str">
            <v>TALLER</v>
          </cell>
          <cell r="J1590" t="str">
            <v>INSUMO TALLER</v>
          </cell>
          <cell r="K1590" t="str">
            <v>KIT DE TINTES PENETRANTES PARA SOLDADURA</v>
          </cell>
          <cell r="L1590">
            <v>1</v>
          </cell>
          <cell r="M1590" t="str">
            <v>JUEGO</v>
          </cell>
          <cell r="N1590" t="str">
            <v>TALLER</v>
          </cell>
          <cell r="O1590">
            <v>0</v>
          </cell>
          <cell r="P1590" t="str">
            <v>S2</v>
          </cell>
          <cell r="Q1590" t="str">
            <v>J1</v>
          </cell>
          <cell r="R1590" t="str">
            <v>J6</v>
          </cell>
          <cell r="S1590" t="str">
            <v>ENTREGADO</v>
          </cell>
          <cell r="T1590">
            <v>42698</v>
          </cell>
          <cell r="U1590" t="str">
            <v>PALOMINO ESTRADA  MICHEL</v>
          </cell>
          <cell r="V1590" t="str">
            <v>FLOREZ CONDORI  JOSE WILLIANS</v>
          </cell>
        </row>
        <row r="1591">
          <cell r="A1591">
            <v>1496</v>
          </cell>
          <cell r="B1591">
            <v>42698</v>
          </cell>
          <cell r="C1591" t="str">
            <v>NOVIEMBRE</v>
          </cell>
          <cell r="D1591" t="str">
            <v>2016</v>
          </cell>
          <cell r="E1591">
            <v>200</v>
          </cell>
          <cell r="F1591" t="str">
            <v>TALLER</v>
          </cell>
          <cell r="G1591" t="str">
            <v>TALLER</v>
          </cell>
          <cell r="H1591" t="str">
            <v>TALLER</v>
          </cell>
          <cell r="I1591" t="str">
            <v>TALLER</v>
          </cell>
          <cell r="J1591" t="str">
            <v>REPUESTO</v>
          </cell>
          <cell r="K1591" t="str">
            <v>RATCHET ENCASTRE DE 3/4, LARGO DE 24"</v>
          </cell>
          <cell r="L1591">
            <v>1</v>
          </cell>
          <cell r="M1591" t="str">
            <v>UNID.</v>
          </cell>
          <cell r="N1591" t="str">
            <v>TALLER</v>
          </cell>
          <cell r="O1591">
            <v>0</v>
          </cell>
          <cell r="P1591" t="str">
            <v>S2</v>
          </cell>
          <cell r="Q1591" t="str">
            <v>J2</v>
          </cell>
          <cell r="R1591" t="str">
            <v>J6</v>
          </cell>
          <cell r="S1591" t="str">
            <v>ENTREGADO</v>
          </cell>
          <cell r="T1591">
            <v>42698</v>
          </cell>
          <cell r="U1591" t="str">
            <v>PALOMINO ESTRADA  MICHEL</v>
          </cell>
          <cell r="V1591" t="str">
            <v>CORIHUAMAN SURCO  ERICK ROBERT</v>
          </cell>
        </row>
        <row r="1592">
          <cell r="A1592">
            <v>1497</v>
          </cell>
          <cell r="B1592">
            <v>42698</v>
          </cell>
          <cell r="C1592" t="str">
            <v>NOVIEMBRE</v>
          </cell>
          <cell r="D1592" t="str">
            <v>2016</v>
          </cell>
          <cell r="E1592">
            <v>200</v>
          </cell>
          <cell r="F1592" t="str">
            <v>TALLER</v>
          </cell>
          <cell r="G1592" t="str">
            <v>TALLER</v>
          </cell>
          <cell r="H1592" t="str">
            <v>TALLER</v>
          </cell>
          <cell r="I1592" t="str">
            <v>TALLER</v>
          </cell>
          <cell r="J1592" t="str">
            <v>REPUESTO</v>
          </cell>
          <cell r="K1592" t="str">
            <v>DADO 38 MM ENCASTRE DE 3/4</v>
          </cell>
          <cell r="L1592">
            <v>1</v>
          </cell>
          <cell r="M1592" t="str">
            <v>UNID.</v>
          </cell>
          <cell r="N1592" t="str">
            <v>TALLER</v>
          </cell>
          <cell r="O1592">
            <v>92</v>
          </cell>
          <cell r="P1592" t="str">
            <v>S2</v>
          </cell>
          <cell r="Q1592" t="str">
            <v>J2</v>
          </cell>
          <cell r="R1592" t="str">
            <v>J6</v>
          </cell>
          <cell r="S1592" t="str">
            <v>ENTREGADO</v>
          </cell>
          <cell r="T1592">
            <v>0</v>
          </cell>
          <cell r="U1592" t="str">
            <v>PALOMINO ESTRADA  MICHEL</v>
          </cell>
          <cell r="V1592" t="str">
            <v>CORIHUAMAN SURCO  ERICK ROBERT</v>
          </cell>
        </row>
        <row r="1593">
          <cell r="A1593">
            <v>1510</v>
          </cell>
          <cell r="B1593">
            <v>42698</v>
          </cell>
          <cell r="C1593" t="str">
            <v>NOVIEMBRE</v>
          </cell>
          <cell r="D1593" t="str">
            <v>2016</v>
          </cell>
          <cell r="E1593">
            <v>200</v>
          </cell>
          <cell r="F1593" t="str">
            <v>TALLER</v>
          </cell>
          <cell r="G1593" t="str">
            <v>TALLER</v>
          </cell>
          <cell r="H1593" t="str">
            <v>TALLER</v>
          </cell>
          <cell r="I1593" t="str">
            <v>TALLER</v>
          </cell>
          <cell r="J1593" t="str">
            <v>IMPLEMENTACION</v>
          </cell>
          <cell r="K1593" t="str">
            <v>CONTENEDOR DE BASURA 60 LT (80 x 20 x 40 cm)</v>
          </cell>
          <cell r="L1593">
            <v>1</v>
          </cell>
          <cell r="M1593" t="str">
            <v>UNID.</v>
          </cell>
          <cell r="N1593" t="str">
            <v>TALLER</v>
          </cell>
          <cell r="O1593">
            <v>92</v>
          </cell>
          <cell r="P1593" t="str">
            <v>J1</v>
          </cell>
          <cell r="Q1593" t="str">
            <v>J1</v>
          </cell>
          <cell r="R1593" t="str">
            <v>J6</v>
          </cell>
          <cell r="S1593" t="str">
            <v>ENTREGADO</v>
          </cell>
          <cell r="T1593">
            <v>0</v>
          </cell>
          <cell r="U1593" t="str">
            <v>FLOREZ CONDORI  JOSE WILLIANS</v>
          </cell>
          <cell r="V1593" t="str">
            <v>FLOREZ CONDORI  JOSE WILLIANS</v>
          </cell>
        </row>
        <row r="1594">
          <cell r="A1594">
            <v>1511</v>
          </cell>
          <cell r="B1594">
            <v>42698</v>
          </cell>
          <cell r="C1594" t="str">
            <v>NOVIEMBRE</v>
          </cell>
          <cell r="D1594" t="str">
            <v>2016</v>
          </cell>
          <cell r="E1594">
            <v>200</v>
          </cell>
          <cell r="F1594" t="str">
            <v>TALLER</v>
          </cell>
          <cell r="G1594" t="str">
            <v>TALLER</v>
          </cell>
          <cell r="H1594" t="str">
            <v>TALLER</v>
          </cell>
          <cell r="I1594" t="str">
            <v>TALLER</v>
          </cell>
          <cell r="J1594" t="str">
            <v>INSUMO TALLER</v>
          </cell>
          <cell r="K1594" t="str">
            <v>SPRAY COLOR BLANCO</v>
          </cell>
          <cell r="L1594">
            <v>1</v>
          </cell>
          <cell r="M1594" t="str">
            <v>UNID.</v>
          </cell>
          <cell r="N1594" t="str">
            <v>TALLER</v>
          </cell>
          <cell r="O1594">
            <v>0</v>
          </cell>
          <cell r="P1594" t="str">
            <v>N2</v>
          </cell>
          <cell r="Q1594" t="str">
            <v>J3</v>
          </cell>
          <cell r="R1594" t="str">
            <v>J6</v>
          </cell>
          <cell r="S1594" t="str">
            <v>ENTREGADO</v>
          </cell>
          <cell r="T1594">
            <v>42698</v>
          </cell>
          <cell r="U1594" t="str">
            <v>MAMANI LARICO  EDUARDO ALVARO</v>
          </cell>
          <cell r="V1594" t="str">
            <v>CHURA PIZARRO ALBERTO</v>
          </cell>
        </row>
        <row r="1595">
          <cell r="A1595">
            <v>1512</v>
          </cell>
          <cell r="B1595">
            <v>42698</v>
          </cell>
          <cell r="C1595" t="str">
            <v>NOVIEMBRE</v>
          </cell>
          <cell r="D1595" t="str">
            <v>2016</v>
          </cell>
          <cell r="E1595">
            <v>200</v>
          </cell>
          <cell r="F1595" t="str">
            <v>TALLER</v>
          </cell>
          <cell r="G1595" t="str">
            <v>TALLER</v>
          </cell>
          <cell r="H1595" t="str">
            <v>TALLER</v>
          </cell>
          <cell r="I1595" t="str">
            <v>TALLER</v>
          </cell>
          <cell r="J1595" t="str">
            <v>INSUMO TALLER</v>
          </cell>
          <cell r="K1595" t="str">
            <v>SPRAY COLOR ALUMINIO</v>
          </cell>
          <cell r="L1595">
            <v>1</v>
          </cell>
          <cell r="M1595" t="str">
            <v>UNID.</v>
          </cell>
          <cell r="N1595" t="str">
            <v>TALLER</v>
          </cell>
          <cell r="O1595">
            <v>0</v>
          </cell>
          <cell r="P1595" t="str">
            <v>N2</v>
          </cell>
          <cell r="Q1595" t="str">
            <v>J3</v>
          </cell>
          <cell r="R1595" t="str">
            <v>J6</v>
          </cell>
          <cell r="S1595" t="str">
            <v>ENTREGADO</v>
          </cell>
          <cell r="T1595">
            <v>42698</v>
          </cell>
          <cell r="U1595" t="str">
            <v>MAMANI LARICO  EDUARDO ALVARO</v>
          </cell>
          <cell r="V1595" t="str">
            <v>CHURA PIZARRO ALBERTO</v>
          </cell>
        </row>
        <row r="1596">
          <cell r="A1596">
            <v>1513</v>
          </cell>
          <cell r="B1596">
            <v>42698</v>
          </cell>
          <cell r="C1596" t="str">
            <v>NOVIEMBRE</v>
          </cell>
          <cell r="D1596" t="str">
            <v>2016</v>
          </cell>
          <cell r="E1596">
            <v>200</v>
          </cell>
          <cell r="F1596" t="str">
            <v>TALLER</v>
          </cell>
          <cell r="G1596" t="str">
            <v>TALLER</v>
          </cell>
          <cell r="H1596" t="str">
            <v>TALLER</v>
          </cell>
          <cell r="I1596" t="str">
            <v>TALLER</v>
          </cell>
          <cell r="J1596" t="str">
            <v>INSUMO TALLER</v>
          </cell>
          <cell r="K1596" t="str">
            <v>GRASA PARA NEUMATICO</v>
          </cell>
          <cell r="L1596">
            <v>1</v>
          </cell>
          <cell r="M1596" t="str">
            <v>UNID.</v>
          </cell>
          <cell r="N1596" t="str">
            <v>TALLER</v>
          </cell>
          <cell r="O1596">
            <v>0</v>
          </cell>
          <cell r="P1596" t="str">
            <v>N2</v>
          </cell>
          <cell r="Q1596" t="str">
            <v>J3</v>
          </cell>
          <cell r="R1596" t="str">
            <v>J6</v>
          </cell>
          <cell r="S1596" t="str">
            <v>ENTREGADO</v>
          </cell>
          <cell r="T1596">
            <v>42698</v>
          </cell>
          <cell r="U1596" t="str">
            <v>MAMANI LARICO  EDUARDO ALVARO</v>
          </cell>
          <cell r="V1596" t="str">
            <v>CHURA PIZARRO ALBERTO</v>
          </cell>
        </row>
        <row r="1597">
          <cell r="A1597">
            <v>1517</v>
          </cell>
          <cell r="B1597">
            <v>42698</v>
          </cell>
          <cell r="C1597" t="str">
            <v>NOVIEMBRE</v>
          </cell>
          <cell r="D1597" t="str">
            <v>2016</v>
          </cell>
          <cell r="E1597">
            <v>200</v>
          </cell>
          <cell r="F1597" t="str">
            <v>TALLER</v>
          </cell>
          <cell r="G1597" t="str">
            <v>TALLER</v>
          </cell>
          <cell r="H1597" t="str">
            <v>TALLER</v>
          </cell>
          <cell r="I1597" t="str">
            <v>TALLER</v>
          </cell>
          <cell r="J1597" t="str">
            <v>REPUESTO</v>
          </cell>
          <cell r="K1597" t="str">
            <v>CINTA AISLANTE NEGRO 3M</v>
          </cell>
          <cell r="L1597">
            <v>1</v>
          </cell>
          <cell r="M1597" t="str">
            <v>UNID.</v>
          </cell>
          <cell r="N1597" t="str">
            <v>TALLER</v>
          </cell>
          <cell r="O1597">
            <v>0</v>
          </cell>
          <cell r="P1597" t="str">
            <v>E3</v>
          </cell>
          <cell r="Q1597" t="str">
            <v>J2</v>
          </cell>
          <cell r="R1597" t="str">
            <v>J6</v>
          </cell>
          <cell r="S1597" t="str">
            <v>ENTREGADO</v>
          </cell>
          <cell r="T1597">
            <v>42698</v>
          </cell>
          <cell r="U1597" t="str">
            <v>CONDORI CHURATA ALEX</v>
          </cell>
          <cell r="V1597" t="str">
            <v>CORIHUAMAN SURCO  ERICK ROBERT</v>
          </cell>
        </row>
        <row r="1598">
          <cell r="A1598">
            <v>1521</v>
          </cell>
          <cell r="B1598">
            <v>42698</v>
          </cell>
          <cell r="C1598" t="str">
            <v>NOVIEMBRE</v>
          </cell>
          <cell r="D1598" t="str">
            <v>2016</v>
          </cell>
          <cell r="E1598">
            <v>200</v>
          </cell>
          <cell r="F1598" t="str">
            <v>TALLER</v>
          </cell>
          <cell r="G1598" t="str">
            <v>TALLER</v>
          </cell>
          <cell r="H1598" t="str">
            <v>TALLER</v>
          </cell>
          <cell r="I1598" t="str">
            <v>TALLER</v>
          </cell>
          <cell r="J1598" t="str">
            <v>UNIFORMES</v>
          </cell>
          <cell r="K1598" t="str">
            <v>TAIVEX "L"</v>
          </cell>
          <cell r="L1598">
            <v>1</v>
          </cell>
          <cell r="M1598" t="str">
            <v>UNID.</v>
          </cell>
          <cell r="N1598" t="str">
            <v>TALLER</v>
          </cell>
          <cell r="O1598">
            <v>0</v>
          </cell>
          <cell r="P1598" t="str">
            <v>M3</v>
          </cell>
          <cell r="Q1598" t="str">
            <v>J2</v>
          </cell>
          <cell r="R1598" t="str">
            <v>J6</v>
          </cell>
          <cell r="S1598" t="str">
            <v>ENTREGADO</v>
          </cell>
          <cell r="T1598">
            <v>42698</v>
          </cell>
          <cell r="U1598" t="str">
            <v>GARCIA PASQUEL  JOSE LUIS</v>
          </cell>
          <cell r="V1598" t="str">
            <v>CORIHUAMAN SURCO  ERICK ROBERT</v>
          </cell>
        </row>
        <row r="1599">
          <cell r="A1599">
            <v>1535</v>
          </cell>
          <cell r="B1599">
            <v>42698</v>
          </cell>
          <cell r="C1599" t="str">
            <v>NOVIEMBRE</v>
          </cell>
          <cell r="D1599" t="str">
            <v>2016</v>
          </cell>
          <cell r="E1599">
            <v>200</v>
          </cell>
          <cell r="F1599" t="str">
            <v>TALLER</v>
          </cell>
          <cell r="G1599" t="str">
            <v>TALLER</v>
          </cell>
          <cell r="H1599" t="str">
            <v>TALLER</v>
          </cell>
          <cell r="I1599" t="str">
            <v>TALLER</v>
          </cell>
          <cell r="J1599" t="str">
            <v>INSUMO TALLER</v>
          </cell>
          <cell r="K1599" t="str">
            <v>SUPERCITO 5/32</v>
          </cell>
          <cell r="L1599">
            <v>1</v>
          </cell>
          <cell r="M1599" t="str">
            <v>KG.</v>
          </cell>
          <cell r="N1599" t="str">
            <v>CISTERNA</v>
          </cell>
          <cell r="O1599">
            <v>0</v>
          </cell>
          <cell r="P1599" t="str">
            <v>S3</v>
          </cell>
          <cell r="Q1599" t="str">
            <v>J2</v>
          </cell>
          <cell r="R1599" t="str">
            <v>J6</v>
          </cell>
          <cell r="S1599" t="str">
            <v>ENTREGADO</v>
          </cell>
          <cell r="T1599">
            <v>42698</v>
          </cell>
          <cell r="U1599" t="str">
            <v>JIMENEZ MACHACA JAVIER</v>
          </cell>
          <cell r="V1599" t="str">
            <v>CORIHUAMAN SURCO  ERICK ROBERT</v>
          </cell>
        </row>
        <row r="1600">
          <cell r="A1600">
            <v>1542</v>
          </cell>
          <cell r="B1600">
            <v>42698</v>
          </cell>
          <cell r="C1600" t="str">
            <v>NOVIEMBRE</v>
          </cell>
          <cell r="D1600" t="str">
            <v>2016</v>
          </cell>
          <cell r="E1600">
            <v>200</v>
          </cell>
          <cell r="F1600" t="str">
            <v>TALLER</v>
          </cell>
          <cell r="G1600" t="str">
            <v>TALLER</v>
          </cell>
          <cell r="H1600" t="str">
            <v>TALLER</v>
          </cell>
          <cell r="I1600" t="str">
            <v>TALLER</v>
          </cell>
          <cell r="J1600" t="str">
            <v>INSUMO TALLER</v>
          </cell>
          <cell r="K1600" t="str">
            <v>DETERGENTE</v>
          </cell>
          <cell r="L1600">
            <v>1</v>
          </cell>
          <cell r="M1600" t="str">
            <v>UNID.</v>
          </cell>
          <cell r="N1600" t="str">
            <v>TALLER</v>
          </cell>
          <cell r="O1600">
            <v>0</v>
          </cell>
          <cell r="P1600" t="str">
            <v>M5</v>
          </cell>
          <cell r="Q1600" t="str">
            <v>J2</v>
          </cell>
          <cell r="R1600" t="str">
            <v>J6</v>
          </cell>
          <cell r="S1600" t="str">
            <v>ENTREGADO</v>
          </cell>
          <cell r="T1600">
            <v>42698</v>
          </cell>
          <cell r="U1600" t="str">
            <v>LOPEZ RUIZ WILBERTO</v>
          </cell>
          <cell r="V1600" t="str">
            <v>CORIHUAMAN SURCO  ERICK ROBERT</v>
          </cell>
        </row>
        <row r="1601">
          <cell r="A1601">
            <v>1561</v>
          </cell>
          <cell r="B1601">
            <v>42698</v>
          </cell>
          <cell r="C1601" t="str">
            <v>NOVIEMBRE</v>
          </cell>
          <cell r="D1601" t="str">
            <v>2016</v>
          </cell>
          <cell r="E1601">
            <v>200</v>
          </cell>
          <cell r="F1601" t="str">
            <v>TALLER</v>
          </cell>
          <cell r="G1601" t="str">
            <v>TALLER</v>
          </cell>
          <cell r="H1601" t="str">
            <v>TALLER</v>
          </cell>
          <cell r="I1601" t="str">
            <v>TALLER</v>
          </cell>
          <cell r="J1601" t="str">
            <v>INSUMO TALLER</v>
          </cell>
          <cell r="K1601" t="str">
            <v>DISCO DE DESBASTE 7"</v>
          </cell>
          <cell r="L1601">
            <v>1</v>
          </cell>
          <cell r="M1601" t="str">
            <v>UNID.</v>
          </cell>
          <cell r="N1601" t="str">
            <v>TALLER</v>
          </cell>
          <cell r="O1601">
            <v>0</v>
          </cell>
          <cell r="P1601" t="str">
            <v>S3</v>
          </cell>
          <cell r="Q1601" t="str">
            <v>J2</v>
          </cell>
          <cell r="R1601" t="str">
            <v>J6</v>
          </cell>
          <cell r="S1601" t="str">
            <v>ENTREGADO</v>
          </cell>
          <cell r="T1601">
            <v>42698</v>
          </cell>
          <cell r="U1601" t="str">
            <v>JIMENEZ MACHACA JAVIER</v>
          </cell>
          <cell r="V1601" t="str">
            <v>CORIHUAMAN SURCO  ERICK ROBERT</v>
          </cell>
        </row>
        <row r="1602">
          <cell r="A1602">
            <v>1564</v>
          </cell>
          <cell r="B1602">
            <v>42698</v>
          </cell>
          <cell r="C1602" t="str">
            <v>NOVIEMBRE</v>
          </cell>
          <cell r="D1602" t="str">
            <v>2016</v>
          </cell>
          <cell r="E1602">
            <v>200</v>
          </cell>
          <cell r="F1602" t="str">
            <v>TALLER</v>
          </cell>
          <cell r="G1602" t="str">
            <v>TALLER</v>
          </cell>
          <cell r="H1602" t="str">
            <v>TALLER</v>
          </cell>
          <cell r="I1602" t="str">
            <v>TALLER</v>
          </cell>
          <cell r="J1602" t="str">
            <v>IMPLEMENTACION</v>
          </cell>
          <cell r="K1602" t="str">
            <v>CASILLERO DE 9 GABINETES</v>
          </cell>
          <cell r="L1602">
            <v>1</v>
          </cell>
          <cell r="M1602" t="str">
            <v>UNID.</v>
          </cell>
          <cell r="N1602" t="str">
            <v>TALLER</v>
          </cell>
          <cell r="O1602">
            <v>92</v>
          </cell>
          <cell r="P1602" t="str">
            <v>J1</v>
          </cell>
          <cell r="Q1602" t="str">
            <v>J1</v>
          </cell>
          <cell r="R1602" t="str">
            <v>J6</v>
          </cell>
          <cell r="S1602" t="str">
            <v>PENDIENTE</v>
          </cell>
          <cell r="T1602">
            <v>0</v>
          </cell>
          <cell r="U1602" t="str">
            <v>FLOREZ CONDORI  JOSE WILLIANS</v>
          </cell>
          <cell r="V1602" t="str">
            <v>FLOREZ CONDORI  JOSE WILLIANS</v>
          </cell>
        </row>
        <row r="1603">
          <cell r="A1603">
            <v>1565</v>
          </cell>
          <cell r="B1603">
            <v>42698</v>
          </cell>
          <cell r="C1603" t="str">
            <v>NOVIEMBRE</v>
          </cell>
          <cell r="D1603" t="str">
            <v>2016</v>
          </cell>
          <cell r="E1603">
            <v>200</v>
          </cell>
          <cell r="F1603" t="str">
            <v>TALLER</v>
          </cell>
          <cell r="G1603" t="str">
            <v>TALLER</v>
          </cell>
          <cell r="H1603" t="str">
            <v>TALLER</v>
          </cell>
          <cell r="I1603" t="str">
            <v>TALLER</v>
          </cell>
          <cell r="J1603" t="str">
            <v>IMPLEMENTACION</v>
          </cell>
          <cell r="K1603" t="str">
            <v>REFRELECTORES DE LUZ DE 500 W TRIPO</v>
          </cell>
          <cell r="L1603">
            <v>3</v>
          </cell>
          <cell r="M1603" t="str">
            <v>UNID.</v>
          </cell>
          <cell r="N1603" t="str">
            <v>TALLER</v>
          </cell>
          <cell r="O1603">
            <v>92</v>
          </cell>
          <cell r="P1603" t="str">
            <v>J1</v>
          </cell>
          <cell r="Q1603" t="str">
            <v>J1</v>
          </cell>
          <cell r="R1603" t="str">
            <v>J6</v>
          </cell>
          <cell r="S1603" t="str">
            <v>PENDIENTE</v>
          </cell>
          <cell r="T1603">
            <v>0</v>
          </cell>
          <cell r="U1603" t="str">
            <v>FLOREZ CONDORI  JOSE WILLIANS</v>
          </cell>
          <cell r="V1603" t="str">
            <v>FLOREZ CONDORI  JOSE WILLIANS</v>
          </cell>
        </row>
        <row r="1604">
          <cell r="A1604">
            <v>1566</v>
          </cell>
          <cell r="B1604">
            <v>42698</v>
          </cell>
          <cell r="C1604" t="str">
            <v>NOVIEMBRE</v>
          </cell>
          <cell r="D1604" t="str">
            <v>2016</v>
          </cell>
          <cell r="E1604">
            <v>200</v>
          </cell>
          <cell r="F1604" t="str">
            <v>TALLER</v>
          </cell>
          <cell r="G1604" t="str">
            <v>TALLER</v>
          </cell>
          <cell r="H1604" t="str">
            <v>TALLER</v>
          </cell>
          <cell r="I1604" t="str">
            <v>TALLER</v>
          </cell>
          <cell r="J1604" t="str">
            <v>IMPLEMENTACION</v>
          </cell>
          <cell r="K1604" t="str">
            <v>LINTERNA LED PARA CASCO</v>
          </cell>
          <cell r="L1604">
            <v>3</v>
          </cell>
          <cell r="M1604" t="str">
            <v>UNID.</v>
          </cell>
          <cell r="N1604" t="str">
            <v>TALLER</v>
          </cell>
          <cell r="O1604">
            <v>0</v>
          </cell>
          <cell r="P1604" t="str">
            <v>J1</v>
          </cell>
          <cell r="Q1604" t="str">
            <v>J1</v>
          </cell>
          <cell r="R1604" t="str">
            <v>J6</v>
          </cell>
          <cell r="S1604" t="str">
            <v>ENTREGADO</v>
          </cell>
          <cell r="T1604">
            <v>42698</v>
          </cell>
          <cell r="U1604" t="str">
            <v>FLOREZ CONDORI  JOSE WILLIANS</v>
          </cell>
          <cell r="V1604" t="str">
            <v>FLOREZ CONDORI  JOSE WILLIANS</v>
          </cell>
        </row>
        <row r="1605">
          <cell r="A1605">
            <v>1568</v>
          </cell>
          <cell r="B1605">
            <v>42698</v>
          </cell>
          <cell r="C1605" t="str">
            <v>NOVIEMBRE</v>
          </cell>
          <cell r="D1605" t="str">
            <v>2016</v>
          </cell>
          <cell r="E1605">
            <v>200</v>
          </cell>
          <cell r="F1605" t="str">
            <v>TALLER</v>
          </cell>
          <cell r="G1605" t="str">
            <v>TALLER</v>
          </cell>
          <cell r="H1605" t="str">
            <v>TALLER</v>
          </cell>
          <cell r="I1605" t="str">
            <v>TALLER</v>
          </cell>
          <cell r="J1605" t="str">
            <v>INSUMO TALLER</v>
          </cell>
          <cell r="K1605" t="str">
            <v>CABLE REFORZADO MELLISO</v>
          </cell>
          <cell r="L1605">
            <v>20</v>
          </cell>
          <cell r="M1605" t="str">
            <v>M</v>
          </cell>
          <cell r="N1605" t="str">
            <v>TALLER</v>
          </cell>
          <cell r="O1605">
            <v>0</v>
          </cell>
          <cell r="P1605" t="str">
            <v>J3</v>
          </cell>
          <cell r="Q1605" t="str">
            <v>J3</v>
          </cell>
          <cell r="R1605" t="str">
            <v>J6</v>
          </cell>
          <cell r="S1605" t="str">
            <v>ENTREGADO</v>
          </cell>
          <cell r="T1605">
            <v>42698</v>
          </cell>
          <cell r="U1605" t="str">
            <v>CHURA PIZARRO ALBERTO</v>
          </cell>
          <cell r="V1605" t="str">
            <v>CHURA PIZARRO ALBERTO</v>
          </cell>
        </row>
        <row r="1606">
          <cell r="A1606">
            <v>1596</v>
          </cell>
          <cell r="B1606">
            <v>42698</v>
          </cell>
          <cell r="C1606" t="str">
            <v>NOVIEMBRE</v>
          </cell>
          <cell r="D1606" t="str">
            <v>2016</v>
          </cell>
          <cell r="E1606">
            <v>200</v>
          </cell>
          <cell r="F1606" t="str">
            <v>TALLER</v>
          </cell>
          <cell r="G1606" t="str">
            <v>TALLER</v>
          </cell>
          <cell r="H1606" t="str">
            <v>TALLER</v>
          </cell>
          <cell r="I1606" t="str">
            <v>TALLER</v>
          </cell>
          <cell r="J1606" t="str">
            <v>INSUMO TALLER</v>
          </cell>
          <cell r="K1606" t="str">
            <v>LIJA NRO. 60</v>
          </cell>
          <cell r="L1606">
            <v>1</v>
          </cell>
          <cell r="M1606" t="str">
            <v>UNID.</v>
          </cell>
          <cell r="N1606" t="str">
            <v>TALLER</v>
          </cell>
          <cell r="O1606">
            <v>0</v>
          </cell>
          <cell r="P1606" t="str">
            <v>M2</v>
          </cell>
          <cell r="Q1606" t="str">
            <v>J2</v>
          </cell>
          <cell r="R1606" t="str">
            <v>J6</v>
          </cell>
          <cell r="S1606" t="str">
            <v>ENTREGADO</v>
          </cell>
          <cell r="T1606">
            <v>42698</v>
          </cell>
          <cell r="U1606" t="str">
            <v>CHUMPITAZ GAGO JULIO ENRIQUE</v>
          </cell>
          <cell r="V1606" t="str">
            <v>CORIHUAMAN SURCO  ERICK ROBERT</v>
          </cell>
        </row>
        <row r="1607">
          <cell r="A1607">
            <v>1567</v>
          </cell>
          <cell r="B1607">
            <v>42698</v>
          </cell>
          <cell r="C1607" t="str">
            <v>NOVIEMBRE</v>
          </cell>
          <cell r="D1607" t="str">
            <v>2016</v>
          </cell>
          <cell r="E1607">
            <v>366</v>
          </cell>
          <cell r="F1607" t="str">
            <v>X2W-760</v>
          </cell>
          <cell r="G1607" t="str">
            <v>C5V-992</v>
          </cell>
          <cell r="H1607" t="str">
            <v>LAS BAMBAS</v>
          </cell>
          <cell r="I1607">
            <v>148037</v>
          </cell>
          <cell r="J1607" t="str">
            <v>REPUESTO</v>
          </cell>
          <cell r="K1607" t="str">
            <v>PARCHE RACK 10</v>
          </cell>
          <cell r="L1607">
            <v>2</v>
          </cell>
          <cell r="M1607" t="str">
            <v>UNID.</v>
          </cell>
          <cell r="N1607" t="str">
            <v>CISTERNA</v>
          </cell>
          <cell r="O1607">
            <v>0</v>
          </cell>
          <cell r="P1607" t="str">
            <v>N2</v>
          </cell>
          <cell r="Q1607" t="str">
            <v>J3</v>
          </cell>
          <cell r="R1607" t="str">
            <v>J6</v>
          </cell>
          <cell r="S1607" t="str">
            <v>ENTREGADO</v>
          </cell>
          <cell r="T1607">
            <v>42698</v>
          </cell>
          <cell r="U1607" t="str">
            <v>MAMANI LARICO  EDUARDO ALVARO</v>
          </cell>
          <cell r="V1607" t="str">
            <v>CHURA PIZARRO ALBERTO</v>
          </cell>
        </row>
        <row r="1608">
          <cell r="A1608">
            <v>1572</v>
          </cell>
          <cell r="B1608">
            <v>42698</v>
          </cell>
          <cell r="C1608" t="str">
            <v>NOVIEMBRE</v>
          </cell>
          <cell r="D1608" t="str">
            <v>2016</v>
          </cell>
          <cell r="E1608">
            <v>366</v>
          </cell>
          <cell r="F1608" t="str">
            <v>X2W-760</v>
          </cell>
          <cell r="G1608" t="str">
            <v>C5V-992</v>
          </cell>
          <cell r="H1608" t="str">
            <v>LAS BAMBAS</v>
          </cell>
          <cell r="I1608">
            <v>148037</v>
          </cell>
          <cell r="J1608" t="str">
            <v>REPUESTO</v>
          </cell>
          <cell r="K1608" t="str">
            <v>PERNO 5/16 X 1 1/2</v>
          </cell>
          <cell r="L1608">
            <v>10</v>
          </cell>
          <cell r="M1608" t="str">
            <v>UNID.</v>
          </cell>
          <cell r="N1608" t="str">
            <v>CISTERNA</v>
          </cell>
          <cell r="O1608">
            <v>0</v>
          </cell>
          <cell r="P1608" t="str">
            <v>M7</v>
          </cell>
          <cell r="Q1608" t="str">
            <v>J2</v>
          </cell>
          <cell r="R1608" t="str">
            <v>J6</v>
          </cell>
          <cell r="S1608" t="str">
            <v>ENTREGADO</v>
          </cell>
          <cell r="T1608">
            <v>42698</v>
          </cell>
          <cell r="U1608" t="str">
            <v>ROBLES ROJAS  JOSE MIGUEL</v>
          </cell>
          <cell r="V1608" t="str">
            <v>CORIHUAMAN SURCO  ERICK ROBERT</v>
          </cell>
        </row>
        <row r="1609">
          <cell r="A1609">
            <v>1573</v>
          </cell>
          <cell r="B1609">
            <v>42698</v>
          </cell>
          <cell r="C1609" t="str">
            <v>NOVIEMBRE</v>
          </cell>
          <cell r="D1609" t="str">
            <v>2016</v>
          </cell>
          <cell r="E1609">
            <v>366</v>
          </cell>
          <cell r="F1609" t="str">
            <v>X2W-760</v>
          </cell>
          <cell r="G1609" t="str">
            <v>C5V-992</v>
          </cell>
          <cell r="H1609" t="str">
            <v>LAS BAMBAS</v>
          </cell>
          <cell r="I1609">
            <v>148037</v>
          </cell>
          <cell r="J1609" t="str">
            <v>REPUESTO</v>
          </cell>
          <cell r="K1609" t="str">
            <v>TUERCA SEGURO 5/16</v>
          </cell>
          <cell r="L1609">
            <v>10</v>
          </cell>
          <cell r="M1609" t="str">
            <v>UNID.</v>
          </cell>
          <cell r="N1609" t="str">
            <v>CISTERNA</v>
          </cell>
          <cell r="O1609">
            <v>0</v>
          </cell>
          <cell r="P1609" t="str">
            <v>M7</v>
          </cell>
          <cell r="Q1609" t="str">
            <v>J2</v>
          </cell>
          <cell r="R1609" t="str">
            <v>J6</v>
          </cell>
          <cell r="S1609" t="str">
            <v>ENTREGADO</v>
          </cell>
          <cell r="T1609">
            <v>42698</v>
          </cell>
          <cell r="U1609" t="str">
            <v>ROBLES ROJAS  JOSE MIGUEL</v>
          </cell>
          <cell r="V1609" t="str">
            <v>CORIHUAMAN SURCO  ERICK ROBERT</v>
          </cell>
        </row>
        <row r="1610">
          <cell r="A1610">
            <v>1574</v>
          </cell>
          <cell r="B1610">
            <v>42698</v>
          </cell>
          <cell r="C1610" t="str">
            <v>NOVIEMBRE</v>
          </cell>
          <cell r="D1610" t="str">
            <v>2016</v>
          </cell>
          <cell r="E1610">
            <v>366</v>
          </cell>
          <cell r="F1610" t="str">
            <v>X2W-760</v>
          </cell>
          <cell r="G1610" t="str">
            <v>C5V-992</v>
          </cell>
          <cell r="H1610" t="str">
            <v>LAS BAMBAS</v>
          </cell>
          <cell r="I1610">
            <v>148037</v>
          </cell>
          <cell r="J1610" t="str">
            <v>REPUESTO</v>
          </cell>
          <cell r="K1610" t="str">
            <v>VOLANDA PLANA 5/16</v>
          </cell>
          <cell r="L1610">
            <v>10</v>
          </cell>
          <cell r="M1610" t="str">
            <v>UNID.</v>
          </cell>
          <cell r="N1610" t="str">
            <v>CISTERNA</v>
          </cell>
          <cell r="O1610">
            <v>0</v>
          </cell>
          <cell r="P1610" t="str">
            <v>M7</v>
          </cell>
          <cell r="Q1610" t="str">
            <v>J2</v>
          </cell>
          <cell r="R1610" t="str">
            <v>J6</v>
          </cell>
          <cell r="S1610" t="str">
            <v>ENTREGADO</v>
          </cell>
          <cell r="T1610">
            <v>42698</v>
          </cell>
          <cell r="U1610" t="str">
            <v>ROBLES ROJAS  JOSE MIGUEL</v>
          </cell>
          <cell r="V1610" t="str">
            <v>CORIHUAMAN SURCO  ERICK ROBERT</v>
          </cell>
        </row>
        <row r="1611">
          <cell r="A1611">
            <v>1593</v>
          </cell>
          <cell r="B1611">
            <v>42698</v>
          </cell>
          <cell r="C1611" t="str">
            <v>NOVIEMBRE</v>
          </cell>
          <cell r="D1611" t="str">
            <v>2016</v>
          </cell>
          <cell r="E1611">
            <v>366</v>
          </cell>
          <cell r="F1611" t="str">
            <v>X2W-760</v>
          </cell>
          <cell r="G1611" t="str">
            <v>C5V-992</v>
          </cell>
          <cell r="H1611" t="str">
            <v>LAS BAMBAS</v>
          </cell>
          <cell r="I1611">
            <v>148037</v>
          </cell>
          <cell r="J1611" t="str">
            <v>REPUESTO</v>
          </cell>
          <cell r="K1611" t="str">
            <v>JEBE DE TAPA MANHOLE CHICO</v>
          </cell>
          <cell r="L1611">
            <v>1</v>
          </cell>
          <cell r="M1611" t="str">
            <v>UNID.</v>
          </cell>
          <cell r="N1611" t="str">
            <v>CISTERNA</v>
          </cell>
          <cell r="O1611">
            <v>0</v>
          </cell>
          <cell r="P1611" t="str">
            <v>M7</v>
          </cell>
          <cell r="Q1611" t="str">
            <v>J2</v>
          </cell>
          <cell r="R1611" t="str">
            <v>J6</v>
          </cell>
          <cell r="S1611" t="str">
            <v>ENTREGADO</v>
          </cell>
          <cell r="T1611">
            <v>42698</v>
          </cell>
          <cell r="U1611" t="str">
            <v>ROBLES ROJAS  JOSE MIGUEL</v>
          </cell>
          <cell r="V1611" t="str">
            <v>CORIHUAMAN SURCO  ERICK ROBERT</v>
          </cell>
        </row>
        <row r="1612">
          <cell r="A1612">
            <v>1519</v>
          </cell>
          <cell r="B1612">
            <v>42698</v>
          </cell>
          <cell r="C1612" t="str">
            <v>NOVIEMBRE</v>
          </cell>
          <cell r="D1612" t="str">
            <v>2016</v>
          </cell>
          <cell r="E1612">
            <v>349</v>
          </cell>
          <cell r="F1612" t="str">
            <v>X2W-762</v>
          </cell>
          <cell r="G1612" t="str">
            <v>C5V-998</v>
          </cell>
          <cell r="H1612" t="str">
            <v>LAS BAMBAS</v>
          </cell>
          <cell r="I1612">
            <v>153818</v>
          </cell>
          <cell r="J1612" t="str">
            <v>REPUESTO</v>
          </cell>
          <cell r="K1612" t="str">
            <v>PITONES RECTOS</v>
          </cell>
          <cell r="L1612">
            <v>8</v>
          </cell>
          <cell r="M1612" t="str">
            <v>UNID.</v>
          </cell>
          <cell r="N1612" t="str">
            <v>TRACTO</v>
          </cell>
          <cell r="O1612">
            <v>0</v>
          </cell>
          <cell r="P1612" t="str">
            <v>N1</v>
          </cell>
          <cell r="Q1612" t="str">
            <v>J3</v>
          </cell>
          <cell r="R1612" t="str">
            <v>J6</v>
          </cell>
          <cell r="S1612" t="str">
            <v>ENTREGADO</v>
          </cell>
          <cell r="T1612">
            <v>42698</v>
          </cell>
          <cell r="U1612" t="str">
            <v>AGUILAR CCANTUTA WILLY</v>
          </cell>
          <cell r="V1612" t="str">
            <v>CHURA PIZARRO ALBERTO</v>
          </cell>
        </row>
        <row r="1613">
          <cell r="A1613">
            <v>1520</v>
          </cell>
          <cell r="B1613">
            <v>42698</v>
          </cell>
          <cell r="C1613" t="str">
            <v>NOVIEMBRE</v>
          </cell>
          <cell r="D1613" t="str">
            <v>2016</v>
          </cell>
          <cell r="E1613">
            <v>349</v>
          </cell>
          <cell r="F1613" t="str">
            <v>X2W-762</v>
          </cell>
          <cell r="G1613" t="str">
            <v>C5V-998</v>
          </cell>
          <cell r="H1613" t="str">
            <v>LAS BAMBAS</v>
          </cell>
          <cell r="I1613">
            <v>153818</v>
          </cell>
          <cell r="J1613" t="str">
            <v>REPUESTO</v>
          </cell>
          <cell r="K1613" t="str">
            <v>AGUJAS DE PITON</v>
          </cell>
          <cell r="L1613">
            <v>8</v>
          </cell>
          <cell r="M1613" t="str">
            <v>UNID.</v>
          </cell>
          <cell r="N1613" t="str">
            <v>TRACTO</v>
          </cell>
          <cell r="O1613">
            <v>0</v>
          </cell>
          <cell r="P1613" t="str">
            <v>N1</v>
          </cell>
          <cell r="Q1613" t="str">
            <v>J3</v>
          </cell>
          <cell r="R1613" t="str">
            <v>J6</v>
          </cell>
          <cell r="S1613" t="str">
            <v>ENTREGADO</v>
          </cell>
          <cell r="T1613">
            <v>42698</v>
          </cell>
          <cell r="U1613" t="str">
            <v>AGUILAR CCANTUTA WILLY</v>
          </cell>
          <cell r="V1613" t="str">
            <v>CHURA PIZARRO ALBERTO</v>
          </cell>
        </row>
        <row r="1614">
          <cell r="A1614">
            <v>1528</v>
          </cell>
          <cell r="B1614">
            <v>42698</v>
          </cell>
          <cell r="C1614" t="str">
            <v>NOVIEMBRE</v>
          </cell>
          <cell r="D1614" t="str">
            <v>2016</v>
          </cell>
          <cell r="E1614">
            <v>411</v>
          </cell>
          <cell r="F1614" t="str">
            <v>X2W-762</v>
          </cell>
          <cell r="G1614" t="str">
            <v>C5V-998</v>
          </cell>
          <cell r="H1614" t="str">
            <v>LAS BAMBAS</v>
          </cell>
          <cell r="I1614">
            <v>155145.29999999999</v>
          </cell>
          <cell r="J1614" t="str">
            <v>REPUESTO</v>
          </cell>
          <cell r="K1614" t="str">
            <v>ABRAZADERA DE TUBO DE ESCAPE SUPERIOR (silenciador)</v>
          </cell>
          <cell r="L1614">
            <v>1</v>
          </cell>
          <cell r="M1614" t="str">
            <v>UNID.</v>
          </cell>
          <cell r="N1614" t="str">
            <v>TRACTO</v>
          </cell>
          <cell r="O1614">
            <v>0</v>
          </cell>
          <cell r="P1614" t="str">
            <v>M3</v>
          </cell>
          <cell r="Q1614" t="str">
            <v>J2</v>
          </cell>
          <cell r="R1614" t="str">
            <v>J6</v>
          </cell>
          <cell r="S1614" t="str">
            <v>ENTREGADO</v>
          </cell>
          <cell r="T1614">
            <v>42698</v>
          </cell>
          <cell r="U1614" t="str">
            <v>GARCIA PASQUEL  JOSE LUIS</v>
          </cell>
          <cell r="V1614" t="str">
            <v>CORIHUAMAN SURCO  ERICK ROBERT</v>
          </cell>
        </row>
        <row r="1615">
          <cell r="A1615">
            <v>1543</v>
          </cell>
          <cell r="B1615">
            <v>42698</v>
          </cell>
          <cell r="C1615" t="str">
            <v>NOVIEMBRE</v>
          </cell>
          <cell r="D1615" t="str">
            <v>2016</v>
          </cell>
          <cell r="E1615">
            <v>349</v>
          </cell>
          <cell r="F1615" t="str">
            <v>X2W-762</v>
          </cell>
          <cell r="G1615" t="str">
            <v>C5V-998</v>
          </cell>
          <cell r="H1615" t="str">
            <v>LAS BAMBAS</v>
          </cell>
          <cell r="I1615">
            <v>153818</v>
          </cell>
          <cell r="J1615" t="str">
            <v>REPUESTO</v>
          </cell>
          <cell r="K1615" t="str">
            <v>FOCO DE DOBLE CONTACTO 12 V</v>
          </cell>
          <cell r="L1615">
            <v>2</v>
          </cell>
          <cell r="M1615" t="str">
            <v>UNID.</v>
          </cell>
          <cell r="N1615" t="str">
            <v>TRACTO</v>
          </cell>
          <cell r="O1615">
            <v>0</v>
          </cell>
          <cell r="P1615" t="str">
            <v>E2</v>
          </cell>
          <cell r="Q1615" t="str">
            <v>J2</v>
          </cell>
          <cell r="R1615" t="str">
            <v>J6</v>
          </cell>
          <cell r="S1615" t="str">
            <v>ENTREGADO</v>
          </cell>
          <cell r="T1615">
            <v>42698</v>
          </cell>
          <cell r="U1615" t="str">
            <v>YUCA BELLIDO BORIS YERSY</v>
          </cell>
          <cell r="V1615" t="str">
            <v>CORIHUAMAN SURCO  ERICK ROBERT</v>
          </cell>
        </row>
        <row r="1616">
          <cell r="A1616">
            <v>1544</v>
          </cell>
          <cell r="B1616">
            <v>42698</v>
          </cell>
          <cell r="C1616" t="str">
            <v>NOVIEMBRE</v>
          </cell>
          <cell r="D1616" t="str">
            <v>2016</v>
          </cell>
          <cell r="E1616">
            <v>349</v>
          </cell>
          <cell r="F1616" t="str">
            <v>X2W-762</v>
          </cell>
          <cell r="G1616" t="str">
            <v>C5V-998</v>
          </cell>
          <cell r="H1616" t="str">
            <v>LAS BAMBAS</v>
          </cell>
          <cell r="I1616">
            <v>153818</v>
          </cell>
          <cell r="J1616" t="str">
            <v>REPUESTO</v>
          </cell>
          <cell r="K1616" t="str">
            <v>PRESINTOS 200</v>
          </cell>
          <cell r="L1616">
            <v>15</v>
          </cell>
          <cell r="M1616" t="str">
            <v>UNID.</v>
          </cell>
          <cell r="N1616" t="str">
            <v>TRACTO</v>
          </cell>
          <cell r="O1616">
            <v>0</v>
          </cell>
          <cell r="P1616" t="str">
            <v>E2</v>
          </cell>
          <cell r="Q1616" t="str">
            <v>J2</v>
          </cell>
          <cell r="R1616" t="str">
            <v>J6</v>
          </cell>
          <cell r="S1616" t="str">
            <v>ENTREGADO</v>
          </cell>
          <cell r="T1616">
            <v>42698</v>
          </cell>
          <cell r="U1616" t="str">
            <v>YUCA BELLIDO BORIS YERSY</v>
          </cell>
          <cell r="V1616" t="str">
            <v>CORIHUAMAN SURCO  ERICK ROBERT</v>
          </cell>
        </row>
        <row r="1617">
          <cell r="A1617">
            <v>1547</v>
          </cell>
          <cell r="B1617">
            <v>42698</v>
          </cell>
          <cell r="C1617" t="str">
            <v>NOVIEMBRE</v>
          </cell>
          <cell r="D1617" t="str">
            <v>2016</v>
          </cell>
          <cell r="E1617">
            <v>349</v>
          </cell>
          <cell r="F1617" t="str">
            <v>X2W-762</v>
          </cell>
          <cell r="G1617" t="str">
            <v>C5V-998</v>
          </cell>
          <cell r="H1617" t="str">
            <v>LAS BAMBAS</v>
          </cell>
          <cell r="I1617">
            <v>153818</v>
          </cell>
          <cell r="J1617" t="str">
            <v>REPUESTO</v>
          </cell>
          <cell r="K1617" t="str">
            <v>LUZ DE PLACA LED</v>
          </cell>
          <cell r="L1617">
            <v>1</v>
          </cell>
          <cell r="M1617" t="str">
            <v>UNID.</v>
          </cell>
          <cell r="N1617" t="str">
            <v>CISTERNA</v>
          </cell>
          <cell r="O1617">
            <v>0</v>
          </cell>
          <cell r="P1617" t="str">
            <v>E2</v>
          </cell>
          <cell r="Q1617" t="str">
            <v>J2</v>
          </cell>
          <cell r="R1617" t="str">
            <v>J6</v>
          </cell>
          <cell r="S1617" t="str">
            <v>ENTREGADO</v>
          </cell>
          <cell r="T1617">
            <v>42698</v>
          </cell>
          <cell r="U1617" t="str">
            <v>YUCA BELLIDO BORIS YERSY</v>
          </cell>
          <cell r="V1617" t="str">
            <v>CORIHUAMAN SURCO  ERICK ROBERT</v>
          </cell>
        </row>
        <row r="1618">
          <cell r="A1618">
            <v>1555</v>
          </cell>
          <cell r="B1618">
            <v>42698</v>
          </cell>
          <cell r="C1618" t="str">
            <v>NOVIEMBRE</v>
          </cell>
          <cell r="D1618" t="str">
            <v>2016</v>
          </cell>
          <cell r="E1618">
            <v>411</v>
          </cell>
          <cell r="F1618" t="str">
            <v>X2W-762</v>
          </cell>
          <cell r="G1618" t="str">
            <v>C5V-998</v>
          </cell>
          <cell r="H1618" t="str">
            <v>LAS BAMBAS</v>
          </cell>
          <cell r="I1618">
            <v>155145.29999999999</v>
          </cell>
          <cell r="J1618" t="str">
            <v>REPUESTO</v>
          </cell>
          <cell r="K1618" t="str">
            <v>NIPLE DE 3/8</v>
          </cell>
          <cell r="L1618">
            <v>1</v>
          </cell>
          <cell r="M1618" t="str">
            <v>UNID.</v>
          </cell>
          <cell r="N1618" t="str">
            <v>CISTERNA</v>
          </cell>
          <cell r="O1618">
            <v>0</v>
          </cell>
          <cell r="P1618" t="str">
            <v>M3</v>
          </cell>
          <cell r="Q1618" t="str">
            <v>J2</v>
          </cell>
          <cell r="R1618" t="str">
            <v>J6</v>
          </cell>
          <cell r="S1618" t="str">
            <v>ENTREGADO</v>
          </cell>
          <cell r="T1618">
            <v>42698</v>
          </cell>
          <cell r="U1618" t="str">
            <v>GARCIA PASQUEL  JOSE LUIS</v>
          </cell>
          <cell r="V1618" t="str">
            <v>CORIHUAMAN SURCO  ERICK ROBERT</v>
          </cell>
        </row>
        <row r="1619">
          <cell r="A1619">
            <v>1518</v>
          </cell>
          <cell r="B1619">
            <v>42698</v>
          </cell>
          <cell r="C1619" t="str">
            <v>NOVIEMBRE</v>
          </cell>
          <cell r="D1619" t="str">
            <v>2016</v>
          </cell>
          <cell r="E1619">
            <v>349</v>
          </cell>
          <cell r="F1619" t="str">
            <v>X2W-762</v>
          </cell>
          <cell r="G1619" t="str">
            <v>C5V-998</v>
          </cell>
          <cell r="H1619" t="str">
            <v>LAS BAMBAS</v>
          </cell>
          <cell r="I1619">
            <v>153818</v>
          </cell>
          <cell r="J1619" t="str">
            <v>REPUESTO</v>
          </cell>
          <cell r="K1619" t="str">
            <v>LLANTAS REENCAUCHADA IDY</v>
          </cell>
          <cell r="L1619">
            <v>8</v>
          </cell>
          <cell r="M1619" t="str">
            <v>UNID.</v>
          </cell>
          <cell r="N1619" t="str">
            <v>TRACTO</v>
          </cell>
          <cell r="O1619">
            <v>0</v>
          </cell>
          <cell r="P1619" t="str">
            <v>N1</v>
          </cell>
          <cell r="Q1619" t="str">
            <v>J3</v>
          </cell>
          <cell r="R1619" t="str">
            <v>J6</v>
          </cell>
          <cell r="S1619" t="str">
            <v>ENTREGADO</v>
          </cell>
          <cell r="T1619">
            <v>42698</v>
          </cell>
          <cell r="U1619" t="str">
            <v>AGUILAR CCANTUTA WILLY</v>
          </cell>
          <cell r="V1619" t="str">
            <v>CHURA PIZARRO ALBERTO</v>
          </cell>
        </row>
        <row r="1620">
          <cell r="A1620">
            <v>1590</v>
          </cell>
          <cell r="B1620">
            <v>42698</v>
          </cell>
          <cell r="C1620" t="str">
            <v>NOVIEMBRE</v>
          </cell>
          <cell r="D1620" t="str">
            <v>2016</v>
          </cell>
          <cell r="E1620">
            <v>419</v>
          </cell>
          <cell r="F1620" t="str">
            <v>X2W-788</v>
          </cell>
          <cell r="G1620" t="str">
            <v>C5V-994</v>
          </cell>
          <cell r="H1620" t="str">
            <v>LAS BAMBAS</v>
          </cell>
          <cell r="I1620">
            <v>138993</v>
          </cell>
          <cell r="J1620" t="str">
            <v>REPUESTO</v>
          </cell>
          <cell r="K1620" t="str">
            <v xml:space="preserve">PERNO DE 1/2 x 5" </v>
          </cell>
          <cell r="L1620">
            <v>1</v>
          </cell>
          <cell r="M1620" t="str">
            <v>UNID.</v>
          </cell>
          <cell r="N1620" t="str">
            <v>CISTERNA</v>
          </cell>
          <cell r="O1620">
            <v>0</v>
          </cell>
          <cell r="P1620" t="str">
            <v>M3</v>
          </cell>
          <cell r="Q1620" t="str">
            <v>J2</v>
          </cell>
          <cell r="R1620" t="str">
            <v>J5</v>
          </cell>
          <cell r="S1620" t="str">
            <v>ENTREGADO</v>
          </cell>
          <cell r="T1620">
            <v>42698</v>
          </cell>
          <cell r="U1620" t="str">
            <v>GARCIA PASQUEL  JOSE LUIS</v>
          </cell>
          <cell r="V1620" t="str">
            <v>CORIHUAMAN SURCO  ERICK ROBERT</v>
          </cell>
        </row>
        <row r="1621">
          <cell r="A1621">
            <v>1591</v>
          </cell>
          <cell r="B1621">
            <v>42698</v>
          </cell>
          <cell r="C1621" t="str">
            <v>NOVIEMBRE</v>
          </cell>
          <cell r="D1621" t="str">
            <v>2016</v>
          </cell>
          <cell r="E1621">
            <v>419</v>
          </cell>
          <cell r="F1621" t="str">
            <v>X2W-788</v>
          </cell>
          <cell r="G1621" t="str">
            <v>C5V-994</v>
          </cell>
          <cell r="H1621" t="str">
            <v>LAS BAMBAS</v>
          </cell>
          <cell r="I1621">
            <v>138993</v>
          </cell>
          <cell r="J1621" t="str">
            <v>REPUESTO</v>
          </cell>
          <cell r="K1621" t="str">
            <v>ARANDELAS 1/2</v>
          </cell>
          <cell r="L1621">
            <v>2</v>
          </cell>
          <cell r="M1621" t="str">
            <v>UNID.</v>
          </cell>
          <cell r="N1621" t="str">
            <v>CISTERNA</v>
          </cell>
          <cell r="O1621">
            <v>0</v>
          </cell>
          <cell r="P1621" t="str">
            <v>M3</v>
          </cell>
          <cell r="Q1621" t="str">
            <v>J2</v>
          </cell>
          <cell r="R1621" t="str">
            <v>J5</v>
          </cell>
          <cell r="S1621" t="str">
            <v>ENTREGADO</v>
          </cell>
          <cell r="T1621">
            <v>42698</v>
          </cell>
          <cell r="U1621" t="str">
            <v>GARCIA PASQUEL  JOSE LUIS</v>
          </cell>
          <cell r="V1621" t="str">
            <v>CORIHUAMAN SURCO  ERICK ROBERT</v>
          </cell>
        </row>
        <row r="1622">
          <cell r="A1622">
            <v>1592</v>
          </cell>
          <cell r="B1622">
            <v>42698</v>
          </cell>
          <cell r="C1622" t="str">
            <v>NOVIEMBRE</v>
          </cell>
          <cell r="D1622" t="str">
            <v>2016</v>
          </cell>
          <cell r="E1622">
            <v>419</v>
          </cell>
          <cell r="F1622" t="str">
            <v>X2W-788</v>
          </cell>
          <cell r="G1622" t="str">
            <v>C5V-994</v>
          </cell>
          <cell r="H1622" t="str">
            <v>LAS BAMBAS</v>
          </cell>
          <cell r="I1622">
            <v>138993</v>
          </cell>
          <cell r="J1622" t="str">
            <v>REPUESTO</v>
          </cell>
          <cell r="K1622" t="str">
            <v>RTUERCA SEGURO 1/2</v>
          </cell>
          <cell r="L1622">
            <v>2</v>
          </cell>
          <cell r="M1622" t="str">
            <v>UNID.</v>
          </cell>
          <cell r="N1622" t="str">
            <v>CISTERNA</v>
          </cell>
          <cell r="O1622">
            <v>0</v>
          </cell>
          <cell r="P1622" t="str">
            <v>M3</v>
          </cell>
          <cell r="Q1622" t="str">
            <v>J2</v>
          </cell>
          <cell r="R1622" t="str">
            <v>J5</v>
          </cell>
          <cell r="S1622" t="str">
            <v>ENTREGADO</v>
          </cell>
          <cell r="T1622">
            <v>42698</v>
          </cell>
          <cell r="U1622" t="str">
            <v>GARCIA PASQUEL  JOSE LUIS</v>
          </cell>
          <cell r="V1622" t="str">
            <v>CORIHUAMAN SURCO  ERICK ROBERT</v>
          </cell>
        </row>
        <row r="1623">
          <cell r="A1623">
            <v>1615</v>
          </cell>
          <cell r="B1623">
            <v>42699</v>
          </cell>
          <cell r="C1623" t="str">
            <v>NOVIEMBRE</v>
          </cell>
          <cell r="D1623" t="str">
            <v>2016</v>
          </cell>
          <cell r="E1623">
            <v>430</v>
          </cell>
          <cell r="F1623" t="str">
            <v>ABP-783</v>
          </cell>
          <cell r="G1623" t="str">
            <v>C9S-988</v>
          </cell>
          <cell r="H1623" t="str">
            <v>LAS BAMBAS</v>
          </cell>
          <cell r="I1623">
            <v>124282</v>
          </cell>
          <cell r="J1623" t="str">
            <v>REPUESTO</v>
          </cell>
          <cell r="K1623" t="str">
            <v>RETENEDOR DE PUERTA</v>
          </cell>
          <cell r="L1623">
            <v>1</v>
          </cell>
          <cell r="M1623" t="str">
            <v>UNID.</v>
          </cell>
          <cell r="N1623" t="str">
            <v>TRACTO</v>
          </cell>
          <cell r="O1623">
            <v>91</v>
          </cell>
          <cell r="P1623" t="str">
            <v>M5</v>
          </cell>
          <cell r="Q1623" t="str">
            <v>J2</v>
          </cell>
          <cell r="R1623" t="str">
            <v>J6</v>
          </cell>
          <cell r="S1623" t="str">
            <v>ENTREGADO</v>
          </cell>
          <cell r="T1623">
            <v>0</v>
          </cell>
          <cell r="U1623" t="str">
            <v>LOPEZ RUIZ WILBERTO</v>
          </cell>
          <cell r="V1623" t="str">
            <v>CORIHUAMAN SURCO  ERICK ROBERT</v>
          </cell>
        </row>
        <row r="1624">
          <cell r="A1624">
            <v>1621</v>
          </cell>
          <cell r="B1624">
            <v>42699</v>
          </cell>
          <cell r="C1624" t="str">
            <v>NOVIEMBRE</v>
          </cell>
          <cell r="D1624" t="str">
            <v>2016</v>
          </cell>
          <cell r="E1624">
            <v>430</v>
          </cell>
          <cell r="F1624" t="str">
            <v>ABP-783</v>
          </cell>
          <cell r="G1624" t="str">
            <v>C9S-988</v>
          </cell>
          <cell r="H1624" t="str">
            <v>LAS BAMBAS</v>
          </cell>
          <cell r="I1624">
            <v>124282</v>
          </cell>
          <cell r="J1624" t="str">
            <v>REPUESTO</v>
          </cell>
          <cell r="K1624" t="str">
            <v>RETENEDOR DE PUERTA</v>
          </cell>
          <cell r="L1624">
            <v>1</v>
          </cell>
          <cell r="M1624" t="str">
            <v>UNID.</v>
          </cell>
          <cell r="N1624" t="str">
            <v>TRACTO</v>
          </cell>
          <cell r="O1624">
            <v>91</v>
          </cell>
          <cell r="P1624" t="str">
            <v>M5</v>
          </cell>
          <cell r="Q1624" t="str">
            <v>J2</v>
          </cell>
          <cell r="R1624" t="str">
            <v>J6</v>
          </cell>
          <cell r="S1624" t="str">
            <v>ENTREGADO</v>
          </cell>
          <cell r="T1624">
            <v>0</v>
          </cell>
          <cell r="U1624" t="str">
            <v>LOPEZ RUIZ WILBERTO</v>
          </cell>
          <cell r="V1624" t="str">
            <v>CORIHUAMAN SURCO  ERICK ROBERT</v>
          </cell>
        </row>
        <row r="1625">
          <cell r="A1625">
            <v>1622</v>
          </cell>
          <cell r="B1625">
            <v>42699</v>
          </cell>
          <cell r="C1625" t="str">
            <v>NOVIEMBRE</v>
          </cell>
          <cell r="D1625" t="str">
            <v>2016</v>
          </cell>
          <cell r="E1625">
            <v>430</v>
          </cell>
          <cell r="F1625" t="str">
            <v>ABP-783</v>
          </cell>
          <cell r="G1625" t="str">
            <v>C9S-988</v>
          </cell>
          <cell r="H1625" t="str">
            <v>LAS BAMBAS</v>
          </cell>
          <cell r="I1625">
            <v>124282</v>
          </cell>
          <cell r="J1625" t="str">
            <v>REPUESTO</v>
          </cell>
          <cell r="K1625" t="str">
            <v>RESORTES DE RACHE A LA BASE DE MACHINBREIK</v>
          </cell>
          <cell r="L1625">
            <v>12</v>
          </cell>
          <cell r="M1625" t="str">
            <v>UNID.</v>
          </cell>
          <cell r="N1625" t="str">
            <v>CISTERNA</v>
          </cell>
          <cell r="O1625">
            <v>91</v>
          </cell>
          <cell r="P1625" t="str">
            <v>M5</v>
          </cell>
          <cell r="Q1625" t="str">
            <v>J2</v>
          </cell>
          <cell r="R1625" t="str">
            <v>J6</v>
          </cell>
          <cell r="S1625" t="str">
            <v>ENTREGADO</v>
          </cell>
          <cell r="T1625">
            <v>0</v>
          </cell>
          <cell r="U1625" t="str">
            <v>LOPEZ RUIZ WILBERTO</v>
          </cell>
          <cell r="V1625" t="str">
            <v>CORIHUAMAN SURCO  ERICK ROBERT</v>
          </cell>
        </row>
        <row r="1626">
          <cell r="A1626">
            <v>1638</v>
          </cell>
          <cell r="B1626">
            <v>42699</v>
          </cell>
          <cell r="C1626" t="str">
            <v>NOVIEMBRE</v>
          </cell>
          <cell r="D1626" t="str">
            <v>2016</v>
          </cell>
          <cell r="E1626">
            <v>430</v>
          </cell>
          <cell r="F1626" t="str">
            <v>ABP-783</v>
          </cell>
          <cell r="G1626" t="str">
            <v>C9S-988</v>
          </cell>
          <cell r="H1626" t="str">
            <v>LAS BAMBAS</v>
          </cell>
          <cell r="I1626">
            <v>124282</v>
          </cell>
          <cell r="J1626" t="str">
            <v>REPUESTO</v>
          </cell>
          <cell r="K1626" t="str">
            <v>UNION PARA MANGUERA DE 1/2</v>
          </cell>
          <cell r="L1626">
            <v>1</v>
          </cell>
          <cell r="M1626" t="str">
            <v>UNID.</v>
          </cell>
          <cell r="N1626" t="str">
            <v>TRACTO</v>
          </cell>
          <cell r="O1626">
            <v>91</v>
          </cell>
          <cell r="P1626" t="str">
            <v>M5</v>
          </cell>
          <cell r="Q1626" t="str">
            <v>J2</v>
          </cell>
          <cell r="R1626" t="str">
            <v>J6</v>
          </cell>
          <cell r="S1626" t="str">
            <v>ENTREGADO</v>
          </cell>
          <cell r="T1626">
            <v>0</v>
          </cell>
          <cell r="U1626" t="str">
            <v>LOPEZ RUIZ WILBERTO</v>
          </cell>
          <cell r="V1626" t="str">
            <v>CORIHUAMAN SURCO  ERICK ROBERT</v>
          </cell>
        </row>
        <row r="1627">
          <cell r="A1627">
            <v>1639</v>
          </cell>
          <cell r="B1627">
            <v>42699</v>
          </cell>
          <cell r="C1627" t="str">
            <v>NOVIEMBRE</v>
          </cell>
          <cell r="D1627" t="str">
            <v>2016</v>
          </cell>
          <cell r="E1627">
            <v>430</v>
          </cell>
          <cell r="F1627" t="str">
            <v>ABP-783</v>
          </cell>
          <cell r="G1627" t="str">
            <v>C9S-988</v>
          </cell>
          <cell r="H1627" t="str">
            <v>LAS BAMBAS</v>
          </cell>
          <cell r="I1627">
            <v>124282</v>
          </cell>
          <cell r="J1627" t="str">
            <v>REPUESTO</v>
          </cell>
          <cell r="K1627" t="str">
            <v>TUERCA 1/2</v>
          </cell>
          <cell r="L1627">
            <v>2</v>
          </cell>
          <cell r="M1627" t="str">
            <v>UNID.</v>
          </cell>
          <cell r="N1627" t="str">
            <v>TRACTO</v>
          </cell>
          <cell r="O1627">
            <v>91</v>
          </cell>
          <cell r="P1627" t="str">
            <v>M5</v>
          </cell>
          <cell r="Q1627" t="str">
            <v>J2</v>
          </cell>
          <cell r="R1627" t="str">
            <v>J6</v>
          </cell>
          <cell r="S1627" t="str">
            <v>ENTREGADO</v>
          </cell>
          <cell r="T1627">
            <v>0</v>
          </cell>
          <cell r="U1627" t="str">
            <v>LOPEZ RUIZ WILBERTO</v>
          </cell>
          <cell r="V1627" t="str">
            <v>CORIHUAMAN SURCO  ERICK ROBERT</v>
          </cell>
        </row>
        <row r="1628">
          <cell r="A1628">
            <v>1640</v>
          </cell>
          <cell r="B1628">
            <v>42699</v>
          </cell>
          <cell r="C1628" t="str">
            <v>NOVIEMBRE</v>
          </cell>
          <cell r="D1628" t="str">
            <v>2016</v>
          </cell>
          <cell r="E1628">
            <v>430</v>
          </cell>
          <cell r="F1628" t="str">
            <v>ABP-783</v>
          </cell>
          <cell r="G1628" t="str">
            <v>C9S-988</v>
          </cell>
          <cell r="H1628" t="str">
            <v>LAS BAMBAS</v>
          </cell>
          <cell r="I1628">
            <v>124282</v>
          </cell>
          <cell r="J1628" t="str">
            <v>REPUESTO</v>
          </cell>
          <cell r="K1628" t="str">
            <v>CONO 1/2</v>
          </cell>
          <cell r="L1628">
            <v>2</v>
          </cell>
          <cell r="M1628" t="str">
            <v>UNID.</v>
          </cell>
          <cell r="N1628" t="str">
            <v>TRACTO</v>
          </cell>
          <cell r="O1628">
            <v>91</v>
          </cell>
          <cell r="P1628" t="str">
            <v>M5</v>
          </cell>
          <cell r="Q1628" t="str">
            <v>J2</v>
          </cell>
          <cell r="R1628" t="str">
            <v>J6</v>
          </cell>
          <cell r="S1628" t="str">
            <v>ENTREGADO</v>
          </cell>
          <cell r="T1628">
            <v>0</v>
          </cell>
          <cell r="U1628" t="str">
            <v>LOPEZ RUIZ WILBERTO</v>
          </cell>
          <cell r="V1628" t="str">
            <v>CORIHUAMAN SURCO  ERICK ROBERT</v>
          </cell>
        </row>
        <row r="1629">
          <cell r="A1629">
            <v>1641</v>
          </cell>
          <cell r="B1629">
            <v>42699</v>
          </cell>
          <cell r="C1629" t="str">
            <v>NOVIEMBRE</v>
          </cell>
          <cell r="D1629" t="str">
            <v>2016</v>
          </cell>
          <cell r="E1629">
            <v>430</v>
          </cell>
          <cell r="F1629" t="str">
            <v>ABP-783</v>
          </cell>
          <cell r="G1629" t="str">
            <v>C9S-988</v>
          </cell>
          <cell r="H1629" t="str">
            <v>LAS BAMBAS</v>
          </cell>
          <cell r="I1629">
            <v>124282</v>
          </cell>
          <cell r="J1629" t="str">
            <v>REPUESTO</v>
          </cell>
          <cell r="K1629" t="str">
            <v>GUIAS 1/2</v>
          </cell>
          <cell r="L1629">
            <v>2</v>
          </cell>
          <cell r="M1629" t="str">
            <v>UNID.</v>
          </cell>
          <cell r="N1629" t="str">
            <v>TRACTO</v>
          </cell>
          <cell r="O1629">
            <v>91</v>
          </cell>
          <cell r="P1629" t="str">
            <v>M5</v>
          </cell>
          <cell r="Q1629" t="str">
            <v>J2</v>
          </cell>
          <cell r="R1629" t="str">
            <v>J6</v>
          </cell>
          <cell r="S1629" t="str">
            <v>ENTREGADO</v>
          </cell>
          <cell r="T1629">
            <v>0</v>
          </cell>
          <cell r="U1629" t="str">
            <v>LOPEZ RUIZ WILBERTO</v>
          </cell>
          <cell r="V1629" t="str">
            <v>CORIHUAMAN SURCO  ERICK ROBERT</v>
          </cell>
        </row>
        <row r="1630">
          <cell r="A1630">
            <v>1634</v>
          </cell>
          <cell r="B1630">
            <v>42699</v>
          </cell>
          <cell r="C1630" t="str">
            <v>NOVIEMBRE</v>
          </cell>
          <cell r="D1630" t="str">
            <v>2016</v>
          </cell>
          <cell r="E1630">
            <v>431</v>
          </cell>
          <cell r="F1630" t="str">
            <v>ABR-798</v>
          </cell>
          <cell r="G1630" t="str">
            <v>TBM-980</v>
          </cell>
          <cell r="H1630" t="str">
            <v>LAS BAMBAS</v>
          </cell>
          <cell r="I1630">
            <v>123087</v>
          </cell>
          <cell r="J1630" t="str">
            <v>REPUESTO</v>
          </cell>
          <cell r="K1630" t="str">
            <v>PERNO MANHOLE 3/8 X 6</v>
          </cell>
          <cell r="L1630">
            <v>1</v>
          </cell>
          <cell r="M1630" t="str">
            <v>UNID.</v>
          </cell>
          <cell r="N1630" t="str">
            <v>CISTERNA</v>
          </cell>
          <cell r="O1630">
            <v>91</v>
          </cell>
          <cell r="P1630" t="str">
            <v>S2</v>
          </cell>
          <cell r="Q1630" t="str">
            <v>J2</v>
          </cell>
          <cell r="R1630" t="str">
            <v>J6</v>
          </cell>
          <cell r="S1630" t="str">
            <v>ENTREGADO</v>
          </cell>
          <cell r="T1630">
            <v>0</v>
          </cell>
          <cell r="U1630" t="str">
            <v>PALOMINO ESTRADA  MICHEL</v>
          </cell>
          <cell r="V1630" t="str">
            <v>CORIHUAMAN SURCO  ERICK ROBERT</v>
          </cell>
        </row>
        <row r="1631">
          <cell r="A1631">
            <v>1635</v>
          </cell>
          <cell r="B1631">
            <v>42699</v>
          </cell>
          <cell r="C1631" t="str">
            <v>NOVIEMBRE</v>
          </cell>
          <cell r="D1631" t="str">
            <v>2016</v>
          </cell>
          <cell r="E1631">
            <v>431</v>
          </cell>
          <cell r="F1631" t="str">
            <v>ABR-798</v>
          </cell>
          <cell r="G1631" t="str">
            <v>TBM-980</v>
          </cell>
          <cell r="H1631" t="str">
            <v>LAS BAMBAS</v>
          </cell>
          <cell r="I1631">
            <v>123087</v>
          </cell>
          <cell r="J1631" t="str">
            <v>REPUESTO</v>
          </cell>
          <cell r="K1631" t="str">
            <v>TUERCA 3/8</v>
          </cell>
          <cell r="L1631">
            <v>2</v>
          </cell>
          <cell r="M1631" t="str">
            <v>UNID.</v>
          </cell>
          <cell r="N1631" t="str">
            <v>CISTERNA</v>
          </cell>
          <cell r="O1631">
            <v>91</v>
          </cell>
          <cell r="P1631" t="str">
            <v>S2</v>
          </cell>
          <cell r="Q1631" t="str">
            <v>J2</v>
          </cell>
          <cell r="R1631" t="str">
            <v>J6</v>
          </cell>
          <cell r="S1631" t="str">
            <v>ENTREGADO</v>
          </cell>
          <cell r="T1631">
            <v>0</v>
          </cell>
          <cell r="U1631" t="str">
            <v>PALOMINO ESTRADA  MICHEL</v>
          </cell>
          <cell r="V1631" t="str">
            <v>CORIHUAMAN SURCO  ERICK ROBERT</v>
          </cell>
        </row>
        <row r="1632">
          <cell r="A1632">
            <v>1631</v>
          </cell>
          <cell r="B1632">
            <v>42699</v>
          </cell>
          <cell r="C1632" t="str">
            <v>NOVIEMBRE</v>
          </cell>
          <cell r="D1632" t="str">
            <v>2016</v>
          </cell>
          <cell r="E1632">
            <v>433</v>
          </cell>
          <cell r="F1632" t="str">
            <v>AEH-920</v>
          </cell>
          <cell r="G1632" t="str">
            <v>CAMIONETA</v>
          </cell>
          <cell r="H1632" t="str">
            <v>LAS BAMBAS</v>
          </cell>
          <cell r="I1632">
            <v>87997</v>
          </cell>
          <cell r="J1632" t="str">
            <v>REPUESTO</v>
          </cell>
          <cell r="K1632" t="str">
            <v>PERNO 1/2 X 1/2</v>
          </cell>
          <cell r="L1632">
            <v>4</v>
          </cell>
          <cell r="M1632" t="str">
            <v>UNID.</v>
          </cell>
          <cell r="N1632" t="str">
            <v>TRACTO</v>
          </cell>
          <cell r="O1632">
            <v>91</v>
          </cell>
          <cell r="P1632" t="str">
            <v>M6</v>
          </cell>
          <cell r="Q1632" t="str">
            <v>J2</v>
          </cell>
          <cell r="R1632" t="str">
            <v>J6</v>
          </cell>
          <cell r="S1632" t="str">
            <v>ENTREGADO</v>
          </cell>
          <cell r="T1632">
            <v>0</v>
          </cell>
          <cell r="U1632" t="str">
            <v>PARI VENTURA  EDSON ORLANDO</v>
          </cell>
          <cell r="V1632" t="str">
            <v>CORIHUAMAN SURCO  ERICK ROBERT</v>
          </cell>
        </row>
        <row r="1633">
          <cell r="A1633">
            <v>1632</v>
          </cell>
          <cell r="B1633">
            <v>42699</v>
          </cell>
          <cell r="C1633" t="str">
            <v>NOVIEMBRE</v>
          </cell>
          <cell r="D1633" t="str">
            <v>2016</v>
          </cell>
          <cell r="E1633">
            <v>433</v>
          </cell>
          <cell r="F1633" t="str">
            <v>AEH-920</v>
          </cell>
          <cell r="G1633" t="str">
            <v>CAMIONETA</v>
          </cell>
          <cell r="H1633" t="str">
            <v>LAS BAMBAS</v>
          </cell>
          <cell r="I1633">
            <v>87997</v>
          </cell>
          <cell r="J1633" t="str">
            <v>REPUESTO</v>
          </cell>
          <cell r="K1633" t="str">
            <v>TUERCA SEGURO 1/2</v>
          </cell>
          <cell r="L1633">
            <v>4</v>
          </cell>
          <cell r="M1633" t="str">
            <v>UNID.</v>
          </cell>
          <cell r="N1633" t="str">
            <v>TRACTO</v>
          </cell>
          <cell r="O1633">
            <v>91</v>
          </cell>
          <cell r="P1633" t="str">
            <v>M6</v>
          </cell>
          <cell r="Q1633" t="str">
            <v>J2</v>
          </cell>
          <cell r="R1633" t="str">
            <v>J6</v>
          </cell>
          <cell r="S1633" t="str">
            <v>ENTREGADO</v>
          </cell>
          <cell r="T1633">
            <v>0</v>
          </cell>
          <cell r="U1633" t="str">
            <v>PARI VENTURA  EDSON ORLANDO</v>
          </cell>
          <cell r="V1633" t="str">
            <v>CORIHUAMAN SURCO  ERICK ROBERT</v>
          </cell>
        </row>
        <row r="1634">
          <cell r="A1634">
            <v>1633</v>
          </cell>
          <cell r="B1634">
            <v>42699</v>
          </cell>
          <cell r="C1634" t="str">
            <v>NOVIEMBRE</v>
          </cell>
          <cell r="D1634" t="str">
            <v>2016</v>
          </cell>
          <cell r="E1634">
            <v>433</v>
          </cell>
          <cell r="F1634" t="str">
            <v>AEH-920</v>
          </cell>
          <cell r="G1634" t="str">
            <v>CAMIONETA</v>
          </cell>
          <cell r="H1634" t="str">
            <v>LAS BAMBAS</v>
          </cell>
          <cell r="I1634">
            <v>87997</v>
          </cell>
          <cell r="J1634" t="str">
            <v>REPUESTO</v>
          </cell>
          <cell r="K1634" t="str">
            <v>ARANDELAS PLANAS 1/2</v>
          </cell>
          <cell r="L1634">
            <v>8</v>
          </cell>
          <cell r="M1634" t="str">
            <v>UNID.</v>
          </cell>
          <cell r="N1634" t="str">
            <v>TRACTO</v>
          </cell>
          <cell r="O1634">
            <v>91</v>
          </cell>
          <cell r="P1634" t="str">
            <v>M6</v>
          </cell>
          <cell r="Q1634" t="str">
            <v>J2</v>
          </cell>
          <cell r="R1634" t="str">
            <v>J6</v>
          </cell>
          <cell r="S1634" t="str">
            <v>ENTREGADO</v>
          </cell>
          <cell r="T1634">
            <v>0</v>
          </cell>
          <cell r="U1634" t="str">
            <v>PARI VENTURA  EDSON ORLANDO</v>
          </cell>
          <cell r="V1634" t="str">
            <v>CORIHUAMAN SURCO  ERICK ROBERT</v>
          </cell>
        </row>
        <row r="1635">
          <cell r="A1635">
            <v>1643</v>
          </cell>
          <cell r="B1635">
            <v>42699</v>
          </cell>
          <cell r="C1635" t="str">
            <v>NOVIEMBRE</v>
          </cell>
          <cell r="D1635" t="str">
            <v>2016</v>
          </cell>
          <cell r="E1635">
            <v>433</v>
          </cell>
          <cell r="F1635" t="str">
            <v>AEH-920</v>
          </cell>
          <cell r="G1635" t="str">
            <v>CAMIONETA</v>
          </cell>
          <cell r="H1635" t="str">
            <v>LAS BAMBAS</v>
          </cell>
          <cell r="I1635">
            <v>87997</v>
          </cell>
          <cell r="J1635" t="str">
            <v>REPUESTO</v>
          </cell>
          <cell r="K1635" t="str">
            <v>SPRAY COLOR NEGRO</v>
          </cell>
          <cell r="L1635">
            <v>1</v>
          </cell>
          <cell r="M1635" t="str">
            <v>UNID.</v>
          </cell>
          <cell r="N1635" t="str">
            <v>CAMIONETA</v>
          </cell>
          <cell r="O1635">
            <v>91</v>
          </cell>
          <cell r="P1635" t="str">
            <v>M7</v>
          </cell>
          <cell r="Q1635" t="str">
            <v>J2</v>
          </cell>
          <cell r="R1635" t="str">
            <v>J6</v>
          </cell>
          <cell r="S1635" t="str">
            <v>ENTREGADO</v>
          </cell>
          <cell r="T1635">
            <v>0</v>
          </cell>
          <cell r="U1635" t="str">
            <v>ROBLES ROJAS  JOSE MIGUEL</v>
          </cell>
          <cell r="V1635" t="str">
            <v>CORIHUAMAN SURCO  ERICK ROBERT</v>
          </cell>
        </row>
        <row r="1636">
          <cell r="A1636">
            <v>1627</v>
          </cell>
          <cell r="B1636">
            <v>42699</v>
          </cell>
          <cell r="C1636" t="str">
            <v>NOVIEMBRE</v>
          </cell>
          <cell r="D1636" t="str">
            <v>2016</v>
          </cell>
          <cell r="E1636">
            <v>264</v>
          </cell>
          <cell r="F1636" t="str">
            <v>AEJ-949</v>
          </cell>
          <cell r="G1636" t="str">
            <v>CAMIONETA</v>
          </cell>
          <cell r="H1636" t="str">
            <v>LAS BAMBAS</v>
          </cell>
          <cell r="I1636">
            <v>85037</v>
          </cell>
          <cell r="J1636" t="str">
            <v>REPUESTO</v>
          </cell>
          <cell r="K1636" t="str">
            <v>SPRAY COLOR BLANCO</v>
          </cell>
          <cell r="L1636">
            <v>1</v>
          </cell>
          <cell r="M1636" t="str">
            <v>UNID.</v>
          </cell>
          <cell r="N1636" t="str">
            <v>CAMIONETA</v>
          </cell>
          <cell r="O1636">
            <v>91</v>
          </cell>
          <cell r="P1636" t="str">
            <v>M1</v>
          </cell>
          <cell r="Q1636" t="str">
            <v>J2</v>
          </cell>
          <cell r="R1636" t="str">
            <v>J6</v>
          </cell>
          <cell r="S1636" t="str">
            <v>ENTREGADO</v>
          </cell>
          <cell r="T1636">
            <v>0</v>
          </cell>
          <cell r="U1636" t="str">
            <v>CABEZAS SANCHEZ JEAN JHONATAN</v>
          </cell>
          <cell r="V1636" t="str">
            <v>CORIHUAMAN SURCO  ERICK ROBERT</v>
          </cell>
        </row>
        <row r="1637">
          <cell r="A1637">
            <v>1628</v>
          </cell>
          <cell r="B1637">
            <v>42699</v>
          </cell>
          <cell r="C1637" t="str">
            <v>NOVIEMBRE</v>
          </cell>
          <cell r="D1637" t="str">
            <v>2016</v>
          </cell>
          <cell r="E1637">
            <v>264</v>
          </cell>
          <cell r="F1637" t="str">
            <v>AEJ-949</v>
          </cell>
          <cell r="G1637" t="str">
            <v>CAMIONETA</v>
          </cell>
          <cell r="H1637" t="str">
            <v>LAS BAMBAS</v>
          </cell>
          <cell r="I1637">
            <v>85037</v>
          </cell>
          <cell r="J1637" t="str">
            <v>REPUESTO</v>
          </cell>
          <cell r="K1637" t="str">
            <v>PERNO 1/4 X 1</v>
          </cell>
          <cell r="L1637">
            <v>2</v>
          </cell>
          <cell r="M1637" t="str">
            <v>UNID.</v>
          </cell>
          <cell r="N1637" t="str">
            <v>CAMIONETA</v>
          </cell>
          <cell r="O1637">
            <v>91</v>
          </cell>
          <cell r="P1637" t="str">
            <v>M1</v>
          </cell>
          <cell r="Q1637" t="str">
            <v>J2</v>
          </cell>
          <cell r="R1637" t="str">
            <v>J6</v>
          </cell>
          <cell r="S1637" t="str">
            <v>ENTREGADO</v>
          </cell>
          <cell r="T1637">
            <v>0</v>
          </cell>
          <cell r="U1637" t="str">
            <v>CABEZAS SANCHEZ JEAN JHONATAN</v>
          </cell>
          <cell r="V1637" t="str">
            <v>CORIHUAMAN SURCO  ERICK ROBERT</v>
          </cell>
        </row>
        <row r="1638">
          <cell r="A1638">
            <v>1629</v>
          </cell>
          <cell r="B1638">
            <v>42699</v>
          </cell>
          <cell r="C1638" t="str">
            <v>NOVIEMBRE</v>
          </cell>
          <cell r="D1638" t="str">
            <v>2016</v>
          </cell>
          <cell r="E1638">
            <v>264</v>
          </cell>
          <cell r="F1638" t="str">
            <v>AEJ-949</v>
          </cell>
          <cell r="G1638" t="str">
            <v>CAMIONETA</v>
          </cell>
          <cell r="H1638" t="str">
            <v>LAS BAMBAS</v>
          </cell>
          <cell r="I1638">
            <v>85037</v>
          </cell>
          <cell r="J1638" t="str">
            <v>REPUESTO</v>
          </cell>
          <cell r="K1638" t="str">
            <v>TUERCA SEGURO 1/4</v>
          </cell>
          <cell r="L1638">
            <v>2</v>
          </cell>
          <cell r="M1638" t="str">
            <v>UNID.</v>
          </cell>
          <cell r="N1638" t="str">
            <v>CAMIONETA</v>
          </cell>
          <cell r="O1638">
            <v>91</v>
          </cell>
          <cell r="P1638" t="str">
            <v>M1</v>
          </cell>
          <cell r="Q1638" t="str">
            <v>J2</v>
          </cell>
          <cell r="R1638" t="str">
            <v>J6</v>
          </cell>
          <cell r="S1638" t="str">
            <v>ENTREGADO</v>
          </cell>
          <cell r="T1638">
            <v>0</v>
          </cell>
          <cell r="U1638" t="str">
            <v>CABEZAS SANCHEZ JEAN JHONATAN</v>
          </cell>
          <cell r="V1638" t="str">
            <v>CORIHUAMAN SURCO  ERICK ROBERT</v>
          </cell>
        </row>
        <row r="1639">
          <cell r="A1639">
            <v>1630</v>
          </cell>
          <cell r="B1639">
            <v>42699</v>
          </cell>
          <cell r="C1639" t="str">
            <v>NOVIEMBRE</v>
          </cell>
          <cell r="D1639" t="str">
            <v>2016</v>
          </cell>
          <cell r="E1639">
            <v>264</v>
          </cell>
          <cell r="F1639" t="str">
            <v>AEJ-949</v>
          </cell>
          <cell r="G1639" t="str">
            <v>CAMIONETA</v>
          </cell>
          <cell r="H1639" t="str">
            <v>LAS BAMBAS</v>
          </cell>
          <cell r="I1639">
            <v>85037</v>
          </cell>
          <cell r="J1639" t="str">
            <v>REPUESTO</v>
          </cell>
          <cell r="K1639" t="str">
            <v>VOLANDA PLANA 1/4</v>
          </cell>
          <cell r="L1639">
            <v>2</v>
          </cell>
          <cell r="M1639" t="str">
            <v>UNID.</v>
          </cell>
          <cell r="N1639" t="str">
            <v>CAMIONETA</v>
          </cell>
          <cell r="O1639">
            <v>91</v>
          </cell>
          <cell r="P1639" t="str">
            <v>M1</v>
          </cell>
          <cell r="Q1639" t="str">
            <v>J2</v>
          </cell>
          <cell r="R1639" t="str">
            <v>J6</v>
          </cell>
          <cell r="S1639" t="str">
            <v>ENTREGADO</v>
          </cell>
          <cell r="T1639">
            <v>0</v>
          </cell>
          <cell r="U1639" t="str">
            <v>CABEZAS SANCHEZ JEAN JHONATAN</v>
          </cell>
          <cell r="V1639" t="str">
            <v>CORIHUAMAN SURCO  ERICK ROBERT</v>
          </cell>
        </row>
        <row r="1640">
          <cell r="A1640">
            <v>1600</v>
          </cell>
          <cell r="B1640">
            <v>42699</v>
          </cell>
          <cell r="C1640" t="str">
            <v>NOVIEMBRE</v>
          </cell>
          <cell r="D1640" t="str">
            <v>2016</v>
          </cell>
          <cell r="E1640">
            <v>422</v>
          </cell>
          <cell r="F1640" t="str">
            <v>AKW-894</v>
          </cell>
          <cell r="G1640" t="str">
            <v>TBN-978</v>
          </cell>
          <cell r="H1640" t="str">
            <v>LAS BAMBAS</v>
          </cell>
          <cell r="I1640">
            <v>37834</v>
          </cell>
          <cell r="J1640" t="str">
            <v>REPUESTO</v>
          </cell>
          <cell r="K1640" t="str">
            <v>MATACHISPA</v>
          </cell>
          <cell r="L1640">
            <v>1</v>
          </cell>
          <cell r="M1640" t="str">
            <v>UNID.</v>
          </cell>
          <cell r="N1640" t="str">
            <v>TRACTO</v>
          </cell>
          <cell r="O1640">
            <v>91</v>
          </cell>
          <cell r="P1640" t="str">
            <v>M1</v>
          </cell>
          <cell r="Q1640" t="str">
            <v>J2</v>
          </cell>
          <cell r="R1640" t="str">
            <v>J6</v>
          </cell>
          <cell r="S1640" t="str">
            <v>ENTREGADO</v>
          </cell>
          <cell r="T1640">
            <v>0</v>
          </cell>
          <cell r="U1640" t="str">
            <v>CABEZAS SANCHEZ JEAN JHONATAN</v>
          </cell>
          <cell r="V1640" t="str">
            <v>CORIHUAMAN SURCO  ERICK ROBERT</v>
          </cell>
        </row>
        <row r="1641">
          <cell r="A1641">
            <v>1649</v>
          </cell>
          <cell r="B1641">
            <v>42699</v>
          </cell>
          <cell r="C1641" t="str">
            <v>NOVIEMBRE</v>
          </cell>
          <cell r="D1641" t="str">
            <v>2016</v>
          </cell>
          <cell r="E1641">
            <v>401</v>
          </cell>
          <cell r="F1641" t="str">
            <v>AKX-767</v>
          </cell>
          <cell r="G1641" t="str">
            <v>TCR-993</v>
          </cell>
          <cell r="H1641" t="str">
            <v>LAS BAMBAS CONC.</v>
          </cell>
          <cell r="I1641">
            <v>19512</v>
          </cell>
          <cell r="J1641" t="str">
            <v>REPUESTO</v>
          </cell>
          <cell r="K1641" t="str">
            <v>CRUZETA DE CARDAN DE TRACCION</v>
          </cell>
          <cell r="L1641">
            <v>1</v>
          </cell>
          <cell r="M1641" t="str">
            <v>UNID.</v>
          </cell>
          <cell r="N1641" t="str">
            <v>TRACTO</v>
          </cell>
          <cell r="O1641">
            <v>91</v>
          </cell>
          <cell r="P1641" t="str">
            <v>M5</v>
          </cell>
          <cell r="Q1641" t="str">
            <v>J2</v>
          </cell>
          <cell r="R1641" t="str">
            <v>J6</v>
          </cell>
          <cell r="S1641" t="str">
            <v>ENTREGADO</v>
          </cell>
          <cell r="T1641">
            <v>0</v>
          </cell>
          <cell r="U1641" t="str">
            <v>LOPEZ RUIZ WILBERTO</v>
          </cell>
          <cell r="V1641" t="str">
            <v>CORIHUAMAN SURCO  ERICK ROBERT</v>
          </cell>
        </row>
        <row r="1642">
          <cell r="A1642">
            <v>1626</v>
          </cell>
          <cell r="B1642">
            <v>42699</v>
          </cell>
          <cell r="C1642" t="str">
            <v>NOVIEMBRE</v>
          </cell>
          <cell r="D1642" t="str">
            <v>2016</v>
          </cell>
          <cell r="E1642">
            <v>363</v>
          </cell>
          <cell r="F1642" t="str">
            <v>C5R-896</v>
          </cell>
          <cell r="G1642" t="str">
            <v>A0U-977</v>
          </cell>
          <cell r="H1642" t="str">
            <v>LAS BAMBAS</v>
          </cell>
          <cell r="I1642">
            <v>211020</v>
          </cell>
          <cell r="J1642" t="str">
            <v>REPUESTO</v>
          </cell>
          <cell r="K1642" t="str">
            <v>PARHE RACK 12</v>
          </cell>
          <cell r="L1642">
            <v>2</v>
          </cell>
          <cell r="M1642" t="str">
            <v>UNID.</v>
          </cell>
          <cell r="N1642" t="str">
            <v>TRACTO</v>
          </cell>
          <cell r="O1642">
            <v>91</v>
          </cell>
          <cell r="P1642" t="str">
            <v>N1</v>
          </cell>
          <cell r="Q1642" t="str">
            <v>J3</v>
          </cell>
          <cell r="R1642" t="str">
            <v>J6</v>
          </cell>
          <cell r="S1642" t="str">
            <v>ENTREGADO</v>
          </cell>
          <cell r="T1642">
            <v>0</v>
          </cell>
          <cell r="U1642" t="str">
            <v>AGUILAR CCANTUTA WILLY</v>
          </cell>
          <cell r="V1642" t="str">
            <v>CHURA PIZARRO ALBERTO</v>
          </cell>
        </row>
        <row r="1643">
          <cell r="A1643">
            <v>1648</v>
          </cell>
          <cell r="B1643">
            <v>42699</v>
          </cell>
          <cell r="C1643" t="str">
            <v>NOVIEMBRE</v>
          </cell>
          <cell r="D1643" t="str">
            <v>2016</v>
          </cell>
          <cell r="E1643">
            <v>423</v>
          </cell>
          <cell r="F1643" t="str">
            <v>C9M-902</v>
          </cell>
          <cell r="G1643" t="str">
            <v>B8L-970</v>
          </cell>
          <cell r="H1643" t="str">
            <v>LAS BAMBAS</v>
          </cell>
          <cell r="I1643">
            <v>208779</v>
          </cell>
          <cell r="J1643" t="str">
            <v>REPUESTO</v>
          </cell>
          <cell r="K1643" t="str">
            <v>TURBO</v>
          </cell>
          <cell r="L1643">
            <v>1</v>
          </cell>
          <cell r="M1643" t="str">
            <v>UNID.</v>
          </cell>
          <cell r="N1643" t="str">
            <v>TRACTO</v>
          </cell>
          <cell r="O1643">
            <v>91</v>
          </cell>
          <cell r="P1643" t="str">
            <v>M5</v>
          </cell>
          <cell r="Q1643" t="str">
            <v>J2</v>
          </cell>
          <cell r="R1643" t="str">
            <v>J6</v>
          </cell>
          <cell r="S1643" t="str">
            <v>ENTREGADO</v>
          </cell>
          <cell r="T1643">
            <v>0</v>
          </cell>
          <cell r="U1643" t="str">
            <v>LOPEZ RUIZ WILBERTO</v>
          </cell>
          <cell r="V1643" t="str">
            <v>CORIHUAMAN SURCO  ERICK ROBERT</v>
          </cell>
        </row>
        <row r="1644">
          <cell r="A1644">
            <v>1620</v>
          </cell>
          <cell r="B1644">
            <v>42699</v>
          </cell>
          <cell r="C1644" t="str">
            <v>NOVIEMBRE</v>
          </cell>
          <cell r="D1644" t="str">
            <v>2016</v>
          </cell>
          <cell r="E1644">
            <v>380</v>
          </cell>
          <cell r="F1644" t="str">
            <v>C9N-807</v>
          </cell>
          <cell r="G1644" t="str">
            <v>B4O-994</v>
          </cell>
          <cell r="H1644" t="str">
            <v>LAS BAMBAS</v>
          </cell>
          <cell r="I1644">
            <v>208922</v>
          </cell>
          <cell r="J1644" t="str">
            <v>REPUESTO</v>
          </cell>
          <cell r="K1644" t="str">
            <v>RACHE DE 10 DIENTES</v>
          </cell>
          <cell r="L1644">
            <v>1</v>
          </cell>
          <cell r="M1644" t="str">
            <v>UNID.</v>
          </cell>
          <cell r="N1644" t="str">
            <v>CISTERNA</v>
          </cell>
          <cell r="O1644">
            <v>91</v>
          </cell>
          <cell r="P1644" t="str">
            <v>M7</v>
          </cell>
          <cell r="Q1644" t="str">
            <v>J2</v>
          </cell>
          <cell r="R1644" t="str">
            <v>J6</v>
          </cell>
          <cell r="S1644" t="str">
            <v>ENTREGADO</v>
          </cell>
          <cell r="T1644">
            <v>0</v>
          </cell>
          <cell r="U1644" t="str">
            <v>ROBLES ROJAS  JOSE MIGUEL</v>
          </cell>
          <cell r="V1644" t="str">
            <v>CORIHUAMAN SURCO  ERICK ROBERT</v>
          </cell>
        </row>
        <row r="1645">
          <cell r="A1645">
            <v>1603</v>
          </cell>
          <cell r="B1645">
            <v>42699</v>
          </cell>
          <cell r="C1645" t="str">
            <v>NOVIEMBRE</v>
          </cell>
          <cell r="D1645" t="str">
            <v>2016</v>
          </cell>
          <cell r="E1645">
            <v>426</v>
          </cell>
          <cell r="F1645" t="str">
            <v>D3P-747</v>
          </cell>
          <cell r="G1645" t="str">
            <v>A0T-985</v>
          </cell>
          <cell r="H1645" t="str">
            <v>LAS BAMBAS</v>
          </cell>
          <cell r="I1645">
            <v>182544</v>
          </cell>
          <cell r="J1645" t="str">
            <v>REPUESTO</v>
          </cell>
          <cell r="K1645" t="str">
            <v>MAXIBRAKE</v>
          </cell>
          <cell r="L1645">
            <v>1</v>
          </cell>
          <cell r="M1645" t="str">
            <v>UNID.</v>
          </cell>
          <cell r="N1645" t="str">
            <v>TRACTO</v>
          </cell>
          <cell r="O1645">
            <v>91</v>
          </cell>
          <cell r="P1645" t="str">
            <v>M2</v>
          </cell>
          <cell r="Q1645" t="str">
            <v>J2</v>
          </cell>
          <cell r="R1645" t="str">
            <v>J6</v>
          </cell>
          <cell r="S1645" t="str">
            <v>ENTREGADO</v>
          </cell>
          <cell r="T1645">
            <v>0</v>
          </cell>
          <cell r="U1645" t="str">
            <v>CHUMPITAZ GAGO JULIO ENRIQUE</v>
          </cell>
          <cell r="V1645" t="str">
            <v>CORIHUAMAN SURCO  ERICK ROBERT</v>
          </cell>
        </row>
        <row r="1646">
          <cell r="A1646">
            <v>1614</v>
          </cell>
          <cell r="B1646">
            <v>42699</v>
          </cell>
          <cell r="C1646" t="str">
            <v>NOVIEMBRE</v>
          </cell>
          <cell r="D1646" t="str">
            <v>2016</v>
          </cell>
          <cell r="E1646">
            <v>426</v>
          </cell>
          <cell r="F1646" t="str">
            <v>D3P-747</v>
          </cell>
          <cell r="G1646" t="str">
            <v>A0T-985</v>
          </cell>
          <cell r="H1646" t="str">
            <v>LAS BAMBAS</v>
          </cell>
          <cell r="I1646">
            <v>182544</v>
          </cell>
          <cell r="J1646" t="str">
            <v>REPUESTO</v>
          </cell>
          <cell r="K1646" t="str">
            <v>FARO LATERAL RECTANGULAR</v>
          </cell>
          <cell r="L1646">
            <v>1</v>
          </cell>
          <cell r="M1646" t="str">
            <v>UNID.</v>
          </cell>
          <cell r="N1646" t="str">
            <v>CISTERNA</v>
          </cell>
          <cell r="O1646">
            <v>91</v>
          </cell>
          <cell r="P1646" t="str">
            <v>E3</v>
          </cell>
          <cell r="Q1646" t="str">
            <v>J2</v>
          </cell>
          <cell r="R1646" t="str">
            <v>J6</v>
          </cell>
          <cell r="S1646" t="str">
            <v>ENTREGADO</v>
          </cell>
          <cell r="T1646">
            <v>0</v>
          </cell>
          <cell r="U1646" t="str">
            <v>CONDORI CHURATA ALEX</v>
          </cell>
          <cell r="V1646" t="str">
            <v>CORIHUAMAN SURCO  ERICK ROBERT</v>
          </cell>
        </row>
        <row r="1647">
          <cell r="A1647">
            <v>1645</v>
          </cell>
          <cell r="B1647">
            <v>42699</v>
          </cell>
          <cell r="C1647" t="str">
            <v>NOVIEMBRE</v>
          </cell>
          <cell r="D1647" t="str">
            <v>2016</v>
          </cell>
          <cell r="E1647">
            <v>408</v>
          </cell>
          <cell r="F1647" t="str">
            <v>D3S-725</v>
          </cell>
          <cell r="G1647" t="str">
            <v>TBL-977</v>
          </cell>
          <cell r="H1647" t="str">
            <v>LAS BAMBAS</v>
          </cell>
          <cell r="I1647">
            <v>147331.1</v>
          </cell>
          <cell r="J1647" t="str">
            <v>REPUESTO</v>
          </cell>
          <cell r="K1647" t="str">
            <v>PERNOS MANHOLE 3/8 X 6</v>
          </cell>
          <cell r="L1647">
            <v>1</v>
          </cell>
          <cell r="M1647" t="str">
            <v>UNID.</v>
          </cell>
          <cell r="N1647" t="str">
            <v>CISTERNA</v>
          </cell>
          <cell r="O1647">
            <v>91</v>
          </cell>
          <cell r="P1647" t="str">
            <v>S3</v>
          </cell>
          <cell r="Q1647" t="str">
            <v>J2</v>
          </cell>
          <cell r="R1647" t="str">
            <v>J6</v>
          </cell>
          <cell r="S1647" t="str">
            <v>ENTREGADO</v>
          </cell>
          <cell r="T1647">
            <v>0</v>
          </cell>
          <cell r="U1647" t="str">
            <v>JIMENEZ MACHACA JAVIER</v>
          </cell>
          <cell r="V1647" t="str">
            <v>CORIHUAMAN SURCO  ERICK ROBERT</v>
          </cell>
        </row>
        <row r="1648">
          <cell r="A1648">
            <v>1646</v>
          </cell>
          <cell r="B1648">
            <v>42699</v>
          </cell>
          <cell r="C1648" t="str">
            <v>NOVIEMBRE</v>
          </cell>
          <cell r="D1648" t="str">
            <v>2016</v>
          </cell>
          <cell r="E1648">
            <v>408</v>
          </cell>
          <cell r="F1648" t="str">
            <v>D3S-725</v>
          </cell>
          <cell r="G1648" t="str">
            <v>TBL-977</v>
          </cell>
          <cell r="H1648" t="str">
            <v>LAS BAMBAS</v>
          </cell>
          <cell r="I1648">
            <v>147331.1</v>
          </cell>
          <cell r="J1648" t="str">
            <v>REPUESTO</v>
          </cell>
          <cell r="K1648" t="str">
            <v>TUERCA 3/8</v>
          </cell>
          <cell r="L1648">
            <v>2</v>
          </cell>
          <cell r="M1648" t="str">
            <v>UNID.</v>
          </cell>
          <cell r="N1648" t="str">
            <v>CISTERNA</v>
          </cell>
          <cell r="O1648">
            <v>91</v>
          </cell>
          <cell r="P1648" t="str">
            <v>S3</v>
          </cell>
          <cell r="Q1648" t="str">
            <v>J2</v>
          </cell>
          <cell r="R1648" t="str">
            <v>J6</v>
          </cell>
          <cell r="S1648" t="str">
            <v>ENTREGADO</v>
          </cell>
          <cell r="T1648">
            <v>0</v>
          </cell>
          <cell r="U1648" t="str">
            <v>JIMENEZ MACHACA JAVIER</v>
          </cell>
          <cell r="V1648" t="str">
            <v>CORIHUAMAN SURCO  ERICK ROBERT</v>
          </cell>
        </row>
        <row r="1649">
          <cell r="A1649">
            <v>1647</v>
          </cell>
          <cell r="B1649">
            <v>42699</v>
          </cell>
          <cell r="C1649" t="str">
            <v>NOVIEMBRE</v>
          </cell>
          <cell r="D1649" t="str">
            <v>2016</v>
          </cell>
          <cell r="E1649">
            <v>408</v>
          </cell>
          <cell r="F1649" t="str">
            <v>D3S-725</v>
          </cell>
          <cell r="G1649" t="str">
            <v>TBL-977</v>
          </cell>
          <cell r="H1649" t="str">
            <v>LAS BAMBAS</v>
          </cell>
          <cell r="I1649">
            <v>147331.1</v>
          </cell>
          <cell r="J1649" t="str">
            <v>REPUESTO</v>
          </cell>
          <cell r="K1649" t="str">
            <v>TUERCA 5/8</v>
          </cell>
          <cell r="L1649">
            <v>2</v>
          </cell>
          <cell r="M1649" t="str">
            <v>UNID.</v>
          </cell>
          <cell r="N1649" t="str">
            <v>CISTERNA</v>
          </cell>
          <cell r="O1649">
            <v>91</v>
          </cell>
          <cell r="P1649" t="str">
            <v>S3</v>
          </cell>
          <cell r="Q1649" t="str">
            <v>J2</v>
          </cell>
          <cell r="R1649" t="str">
            <v>J6</v>
          </cell>
          <cell r="S1649" t="str">
            <v>ENTREGADO</v>
          </cell>
          <cell r="T1649">
            <v>0</v>
          </cell>
          <cell r="U1649" t="str">
            <v>JIMENEZ MACHACA JAVIER</v>
          </cell>
          <cell r="V1649" t="str">
            <v>CORIHUAMAN SURCO  ERICK ROBERT</v>
          </cell>
        </row>
        <row r="1650">
          <cell r="A1650">
            <v>1601</v>
          </cell>
          <cell r="B1650">
            <v>42699</v>
          </cell>
          <cell r="C1650" t="str">
            <v>NOVIEMBRE</v>
          </cell>
          <cell r="D1650" t="str">
            <v>2016</v>
          </cell>
          <cell r="E1650">
            <v>397</v>
          </cell>
          <cell r="F1650" t="str">
            <v>D6F-903</v>
          </cell>
          <cell r="G1650" t="str">
            <v>B8K-997</v>
          </cell>
          <cell r="H1650" t="str">
            <v>LAS BAMBAS</v>
          </cell>
          <cell r="I1650">
            <v>216322</v>
          </cell>
          <cell r="J1650" t="str">
            <v>REPUESTO</v>
          </cell>
          <cell r="K1650" t="str">
            <v>ANTENA DE RADIO</v>
          </cell>
          <cell r="L1650">
            <v>1</v>
          </cell>
          <cell r="M1650" t="str">
            <v>UNID.</v>
          </cell>
          <cell r="N1650" t="str">
            <v>TRACTO</v>
          </cell>
          <cell r="O1650">
            <v>91</v>
          </cell>
          <cell r="P1650" t="str">
            <v>M2</v>
          </cell>
          <cell r="Q1650" t="str">
            <v>J2</v>
          </cell>
          <cell r="R1650" t="str">
            <v>J6</v>
          </cell>
          <cell r="S1650" t="str">
            <v>ENTREGADO</v>
          </cell>
          <cell r="T1650">
            <v>0</v>
          </cell>
          <cell r="U1650" t="str">
            <v>CHUMPITAZ GAGO JULIO ENRIQUE</v>
          </cell>
          <cell r="V1650" t="str">
            <v>CORIHUAMAN SURCO  ERICK ROBERT</v>
          </cell>
        </row>
        <row r="1651">
          <cell r="A1651">
            <v>1607</v>
          </cell>
          <cell r="B1651">
            <v>42699</v>
          </cell>
          <cell r="C1651" t="str">
            <v>NOVIEMBRE</v>
          </cell>
          <cell r="D1651" t="str">
            <v>2016</v>
          </cell>
          <cell r="E1651">
            <v>373</v>
          </cell>
          <cell r="F1651" t="str">
            <v>D6F-907</v>
          </cell>
          <cell r="G1651" t="str">
            <v>T2Y-979</v>
          </cell>
          <cell r="H1651" t="str">
            <v>LAS BAMBAS</v>
          </cell>
          <cell r="I1651">
            <v>197090</v>
          </cell>
          <cell r="J1651" t="str">
            <v>REPUESTO</v>
          </cell>
          <cell r="K1651" t="str">
            <v>FILTRO DE COMBUSTIBLE SECUNDARIO</v>
          </cell>
          <cell r="L1651">
            <v>1</v>
          </cell>
          <cell r="M1651" t="str">
            <v>UNID.</v>
          </cell>
          <cell r="N1651" t="str">
            <v>TRACTO</v>
          </cell>
          <cell r="O1651">
            <v>91</v>
          </cell>
          <cell r="P1651" t="str">
            <v>M6</v>
          </cell>
          <cell r="Q1651" t="str">
            <v>J1</v>
          </cell>
          <cell r="R1651" t="str">
            <v>J6</v>
          </cell>
          <cell r="S1651" t="str">
            <v>ENTREGADO</v>
          </cell>
          <cell r="T1651">
            <v>0</v>
          </cell>
          <cell r="U1651" t="str">
            <v>PARI VENTURA  EDSON ORLANDO</v>
          </cell>
          <cell r="V1651" t="str">
            <v>FLOREZ CONDORI  JOSE WILLIANS</v>
          </cell>
        </row>
        <row r="1652">
          <cell r="A1652">
            <v>1608</v>
          </cell>
          <cell r="B1652">
            <v>42699</v>
          </cell>
          <cell r="C1652" t="str">
            <v>NOVIEMBRE</v>
          </cell>
          <cell r="D1652" t="str">
            <v>2016</v>
          </cell>
          <cell r="E1652">
            <v>373</v>
          </cell>
          <cell r="F1652" t="str">
            <v>D6F-907</v>
          </cell>
          <cell r="G1652" t="str">
            <v>T2Y-979</v>
          </cell>
          <cell r="H1652" t="str">
            <v>LAS BAMBAS</v>
          </cell>
          <cell r="I1652">
            <v>197090</v>
          </cell>
          <cell r="J1652" t="str">
            <v>REPUESTO</v>
          </cell>
          <cell r="K1652" t="str">
            <v>FILTRO DE COMBUSTIBLE VALVULA</v>
          </cell>
          <cell r="L1652">
            <v>1</v>
          </cell>
          <cell r="M1652" t="str">
            <v>UNID.</v>
          </cell>
          <cell r="N1652" t="str">
            <v>TRACTO</v>
          </cell>
          <cell r="O1652">
            <v>91</v>
          </cell>
          <cell r="P1652" t="str">
            <v>M6</v>
          </cell>
          <cell r="Q1652" t="str">
            <v>J1</v>
          </cell>
          <cell r="R1652" t="str">
            <v>J6</v>
          </cell>
          <cell r="S1652" t="str">
            <v>ENTREGADO</v>
          </cell>
          <cell r="T1652">
            <v>0</v>
          </cell>
          <cell r="U1652" t="str">
            <v>PARI VENTURA  EDSON ORLANDO</v>
          </cell>
          <cell r="V1652" t="str">
            <v>FLOREZ CONDORI  JOSE WILLIANS</v>
          </cell>
        </row>
        <row r="1653">
          <cell r="A1653">
            <v>1624</v>
          </cell>
          <cell r="B1653">
            <v>42699</v>
          </cell>
          <cell r="C1653" t="str">
            <v>NOVIEMBRE</v>
          </cell>
          <cell r="D1653" t="str">
            <v>2016</v>
          </cell>
          <cell r="E1653">
            <v>410</v>
          </cell>
          <cell r="F1653" t="str">
            <v>D7V-714</v>
          </cell>
          <cell r="G1653" t="str">
            <v>F7M-971</v>
          </cell>
          <cell r="H1653" t="str">
            <v>LAS BAMBAS</v>
          </cell>
          <cell r="I1653">
            <v>47017.4</v>
          </cell>
          <cell r="J1653" t="str">
            <v>REPUESTO</v>
          </cell>
          <cell r="K1653" t="str">
            <v>ACCESORIOS DE BOMBIN DE EMBRAGUE DE BAJA</v>
          </cell>
          <cell r="L1653">
            <v>1</v>
          </cell>
          <cell r="M1653" t="str">
            <v>UNID.</v>
          </cell>
          <cell r="N1653" t="str">
            <v>TRACTO</v>
          </cell>
          <cell r="O1653">
            <v>91</v>
          </cell>
          <cell r="P1653" t="str">
            <v>M7</v>
          </cell>
          <cell r="Q1653" t="str">
            <v>J1</v>
          </cell>
          <cell r="R1653" t="str">
            <v>J6</v>
          </cell>
          <cell r="S1653" t="str">
            <v>ENTREGADO</v>
          </cell>
          <cell r="T1653">
            <v>0</v>
          </cell>
          <cell r="U1653" t="str">
            <v>ROBLES ROJAS  JOSE MIGUEL</v>
          </cell>
          <cell r="V1653" t="str">
            <v>FLOREZ CONDORI  JOSE WILLIANS</v>
          </cell>
        </row>
        <row r="1654">
          <cell r="A1654">
            <v>1625</v>
          </cell>
          <cell r="B1654">
            <v>42699</v>
          </cell>
          <cell r="C1654" t="str">
            <v>NOVIEMBRE</v>
          </cell>
          <cell r="D1654" t="str">
            <v>2016</v>
          </cell>
          <cell r="E1654">
            <v>410</v>
          </cell>
          <cell r="F1654" t="str">
            <v>D7V-714</v>
          </cell>
          <cell r="G1654" t="str">
            <v>F7M-971</v>
          </cell>
          <cell r="H1654" t="str">
            <v>LAS BAMBAS</v>
          </cell>
          <cell r="I1654">
            <v>47017.4</v>
          </cell>
          <cell r="J1654" t="str">
            <v>REPUESTO</v>
          </cell>
          <cell r="K1654" t="str">
            <v>BOMBIN DE EMBRAGUE DE ALTA</v>
          </cell>
          <cell r="L1654">
            <v>1</v>
          </cell>
          <cell r="M1654" t="str">
            <v>UNID.</v>
          </cell>
          <cell r="N1654" t="str">
            <v>TRACTO</v>
          </cell>
          <cell r="O1654">
            <v>91</v>
          </cell>
          <cell r="P1654" t="str">
            <v>M7</v>
          </cell>
          <cell r="Q1654" t="str">
            <v>J1</v>
          </cell>
          <cell r="R1654" t="str">
            <v>J6</v>
          </cell>
          <cell r="S1654" t="str">
            <v>ENTREGADO</v>
          </cell>
          <cell r="T1654">
            <v>0</v>
          </cell>
          <cell r="U1654" t="str">
            <v>ROBLES ROJAS  JOSE MIGUEL</v>
          </cell>
          <cell r="V1654" t="str">
            <v>FLOREZ CONDORI  JOSE WILLIANS</v>
          </cell>
        </row>
        <row r="1655">
          <cell r="A1655">
            <v>1650</v>
          </cell>
          <cell r="B1655">
            <v>42699</v>
          </cell>
          <cell r="C1655" t="str">
            <v>NOVIEMBRE</v>
          </cell>
          <cell r="D1655" t="str">
            <v>2016</v>
          </cell>
          <cell r="E1655">
            <v>410</v>
          </cell>
          <cell r="F1655" t="str">
            <v>D7V-714</v>
          </cell>
          <cell r="G1655" t="str">
            <v>F7M-971</v>
          </cell>
          <cell r="H1655" t="str">
            <v>LAS BAMBAS</v>
          </cell>
          <cell r="I1655">
            <v>47017.4</v>
          </cell>
          <cell r="J1655" t="str">
            <v>REPUESTO</v>
          </cell>
          <cell r="K1655" t="str">
            <v xml:space="preserve">ACCESORIOS DE BOMBIN DE EMBRAGUE </v>
          </cell>
          <cell r="L1655">
            <v>1</v>
          </cell>
          <cell r="M1655" t="str">
            <v>UND</v>
          </cell>
          <cell r="N1655" t="str">
            <v>TRACTO</v>
          </cell>
          <cell r="O1655">
            <v>91</v>
          </cell>
          <cell r="P1655" t="str">
            <v>M2</v>
          </cell>
          <cell r="Q1655" t="str">
            <v>J1</v>
          </cell>
          <cell r="R1655" t="str">
            <v>J6</v>
          </cell>
          <cell r="S1655" t="str">
            <v>ENTREGADO</v>
          </cell>
          <cell r="T1655">
            <v>0</v>
          </cell>
          <cell r="U1655" t="str">
            <v>CHUMPITAZ GAGO JULIO ENRIQUE</v>
          </cell>
          <cell r="V1655" t="str">
            <v>FLOREZ CONDORI  JOSE WILLIANS</v>
          </cell>
        </row>
        <row r="1656">
          <cell r="A1656">
            <v>1651</v>
          </cell>
          <cell r="B1656">
            <v>42699</v>
          </cell>
          <cell r="C1656" t="str">
            <v>NOVIEMBRE</v>
          </cell>
          <cell r="D1656" t="str">
            <v>2016</v>
          </cell>
          <cell r="E1656">
            <v>410</v>
          </cell>
          <cell r="F1656" t="str">
            <v>D7V-714</v>
          </cell>
          <cell r="G1656" t="str">
            <v>F7M-971</v>
          </cell>
          <cell r="H1656" t="str">
            <v>LAS BAMBAS</v>
          </cell>
          <cell r="I1656">
            <v>47017.4</v>
          </cell>
          <cell r="J1656" t="str">
            <v>REPUESTO</v>
          </cell>
          <cell r="K1656" t="str">
            <v>BOMBA COMPLETA DE PEDAL DE EMBRAGUE</v>
          </cell>
          <cell r="L1656">
            <v>1</v>
          </cell>
          <cell r="M1656" t="str">
            <v>UND</v>
          </cell>
          <cell r="N1656" t="str">
            <v>TRACTO</v>
          </cell>
          <cell r="O1656">
            <v>91</v>
          </cell>
          <cell r="P1656" t="str">
            <v>M2</v>
          </cell>
          <cell r="Q1656" t="str">
            <v>J1</v>
          </cell>
          <cell r="R1656" t="str">
            <v>J6</v>
          </cell>
          <cell r="S1656" t="str">
            <v>ENTREGADO</v>
          </cell>
          <cell r="T1656">
            <v>0</v>
          </cell>
          <cell r="U1656" t="str">
            <v>CHUMPITAZ GAGO JULIO ENRIQUE</v>
          </cell>
          <cell r="V1656" t="str">
            <v>FLOREZ CONDORI  JOSE WILLIANS</v>
          </cell>
        </row>
        <row r="1657">
          <cell r="A1657">
            <v>1652</v>
          </cell>
          <cell r="B1657">
            <v>42699</v>
          </cell>
          <cell r="C1657" t="str">
            <v>NOVIEMBRE</v>
          </cell>
          <cell r="D1657" t="str">
            <v>2016</v>
          </cell>
          <cell r="E1657">
            <v>410</v>
          </cell>
          <cell r="F1657" t="str">
            <v>D7V-714</v>
          </cell>
          <cell r="G1657" t="str">
            <v>F7M-971</v>
          </cell>
          <cell r="H1657" t="str">
            <v>LAS BAMBAS</v>
          </cell>
          <cell r="I1657">
            <v>47017.4</v>
          </cell>
          <cell r="J1657" t="str">
            <v>REPUESTO</v>
          </cell>
          <cell r="K1657" t="str">
            <v xml:space="preserve">BAQUELITA ORQUILLA DE EMBRAGUE </v>
          </cell>
          <cell r="L1657">
            <v>1</v>
          </cell>
          <cell r="M1657" t="str">
            <v>UND</v>
          </cell>
          <cell r="N1657" t="str">
            <v>TRACTO</v>
          </cell>
          <cell r="O1657">
            <v>91</v>
          </cell>
          <cell r="P1657" t="str">
            <v>M2</v>
          </cell>
          <cell r="Q1657" t="str">
            <v>J1</v>
          </cell>
          <cell r="R1657" t="str">
            <v>J6</v>
          </cell>
          <cell r="S1657" t="str">
            <v>ENTREGADO</v>
          </cell>
          <cell r="T1657">
            <v>0</v>
          </cell>
          <cell r="U1657" t="str">
            <v>CHUMPITAZ GAGO JULIO ENRIQUE</v>
          </cell>
          <cell r="V1657" t="str">
            <v>FLOREZ CONDORI  JOSE WILLIANS</v>
          </cell>
        </row>
        <row r="1658">
          <cell r="A1658">
            <v>1602</v>
          </cell>
          <cell r="B1658">
            <v>42699</v>
          </cell>
          <cell r="C1658" t="str">
            <v>NOVIEMBRE</v>
          </cell>
          <cell r="D1658" t="str">
            <v>2016</v>
          </cell>
          <cell r="E1658">
            <v>200</v>
          </cell>
          <cell r="F1658" t="str">
            <v>TALLER</v>
          </cell>
          <cell r="G1658" t="str">
            <v>TALLER</v>
          </cell>
          <cell r="H1658" t="str">
            <v>TALLER</v>
          </cell>
          <cell r="I1658" t="str">
            <v>TALLER</v>
          </cell>
          <cell r="J1658" t="str">
            <v>INSUMO TALLER</v>
          </cell>
          <cell r="K1658" t="str">
            <v>LIMPIA CONTACTOS</v>
          </cell>
          <cell r="L1658">
            <v>1</v>
          </cell>
          <cell r="M1658" t="str">
            <v>UNID.</v>
          </cell>
          <cell r="N1658" t="str">
            <v>TALLER</v>
          </cell>
          <cell r="O1658">
            <v>91</v>
          </cell>
          <cell r="P1658" t="str">
            <v>E2</v>
          </cell>
          <cell r="Q1658" t="str">
            <v>J2</v>
          </cell>
          <cell r="R1658" t="str">
            <v>J6</v>
          </cell>
          <cell r="S1658" t="str">
            <v>ENTREGADO</v>
          </cell>
          <cell r="T1658">
            <v>0</v>
          </cell>
          <cell r="U1658" t="str">
            <v>YUCA BELLIDO BORIS YERSY</v>
          </cell>
          <cell r="V1658" t="str">
            <v>CORIHUAMAN SURCO  ERICK ROBERT</v>
          </cell>
        </row>
        <row r="1659">
          <cell r="A1659">
            <v>1606</v>
          </cell>
          <cell r="B1659">
            <v>42699</v>
          </cell>
          <cell r="C1659" t="str">
            <v>NOVIEMBRE</v>
          </cell>
          <cell r="D1659" t="str">
            <v>2016</v>
          </cell>
          <cell r="E1659">
            <v>200</v>
          </cell>
          <cell r="F1659" t="str">
            <v>TALLER</v>
          </cell>
          <cell r="G1659" t="str">
            <v>TALLER</v>
          </cell>
          <cell r="H1659" t="str">
            <v>TALLER</v>
          </cell>
          <cell r="I1659" t="str">
            <v>TALLER</v>
          </cell>
          <cell r="J1659" t="str">
            <v>INSUMO TALLER</v>
          </cell>
          <cell r="K1659" t="str">
            <v>CILINDRO DE GRASA PARA CHASIS</v>
          </cell>
          <cell r="L1659">
            <v>1</v>
          </cell>
          <cell r="M1659" t="str">
            <v>UNID.</v>
          </cell>
          <cell r="N1659" t="str">
            <v>TALLER</v>
          </cell>
          <cell r="O1659">
            <v>91</v>
          </cell>
          <cell r="P1659" t="str">
            <v>J1</v>
          </cell>
          <cell r="Q1659" t="str">
            <v>J1</v>
          </cell>
          <cell r="R1659" t="str">
            <v>J6</v>
          </cell>
          <cell r="S1659" t="str">
            <v>ENTREGADO</v>
          </cell>
          <cell r="T1659">
            <v>0</v>
          </cell>
          <cell r="U1659" t="str">
            <v>FLOREZ CONDORI  JOSE WILLIANS</v>
          </cell>
          <cell r="V1659" t="str">
            <v>FLOREZ CONDORI  JOSE WILLIANS</v>
          </cell>
        </row>
        <row r="1660">
          <cell r="A1660">
            <v>1612</v>
          </cell>
          <cell r="B1660">
            <v>42699</v>
          </cell>
          <cell r="C1660" t="str">
            <v>NOVIEMBRE</v>
          </cell>
          <cell r="D1660" t="str">
            <v>2016</v>
          </cell>
          <cell r="E1660">
            <v>200</v>
          </cell>
          <cell r="F1660" t="str">
            <v>TALLER</v>
          </cell>
          <cell r="G1660" t="str">
            <v>TALLER</v>
          </cell>
          <cell r="H1660" t="str">
            <v>TALLER</v>
          </cell>
          <cell r="I1660" t="str">
            <v>TALLER</v>
          </cell>
          <cell r="J1660" t="str">
            <v>INSUMO TALLER</v>
          </cell>
          <cell r="K1660" t="str">
            <v>LUNA OSCURA NRO. 12</v>
          </cell>
          <cell r="L1660">
            <v>1</v>
          </cell>
          <cell r="M1660" t="str">
            <v>UNID.</v>
          </cell>
          <cell r="N1660" t="str">
            <v>TALLER</v>
          </cell>
          <cell r="O1660">
            <v>91</v>
          </cell>
          <cell r="P1660" t="str">
            <v>S3</v>
          </cell>
          <cell r="Q1660" t="str">
            <v>J2</v>
          </cell>
          <cell r="R1660" t="str">
            <v>J6</v>
          </cell>
          <cell r="S1660" t="str">
            <v>ENTREGADO</v>
          </cell>
          <cell r="T1660">
            <v>0</v>
          </cell>
          <cell r="U1660" t="str">
            <v>JIMENEZ MACHACA JAVIER</v>
          </cell>
          <cell r="V1660" t="str">
            <v>CORIHUAMAN SURCO  ERICK ROBERT</v>
          </cell>
        </row>
        <row r="1661">
          <cell r="A1661">
            <v>1613</v>
          </cell>
          <cell r="B1661">
            <v>42699</v>
          </cell>
          <cell r="C1661" t="str">
            <v>NOVIEMBRE</v>
          </cell>
          <cell r="D1661" t="str">
            <v>2016</v>
          </cell>
          <cell r="E1661">
            <v>200</v>
          </cell>
          <cell r="F1661" t="str">
            <v>TALLER</v>
          </cell>
          <cell r="G1661" t="str">
            <v>TALLER</v>
          </cell>
          <cell r="H1661" t="str">
            <v>TALLER</v>
          </cell>
          <cell r="I1661" t="str">
            <v>TALLER</v>
          </cell>
          <cell r="J1661" t="str">
            <v>INSUMO TALLER</v>
          </cell>
          <cell r="K1661" t="str">
            <v>LUNA TRANSPARENTES</v>
          </cell>
          <cell r="L1661">
            <v>2</v>
          </cell>
          <cell r="M1661" t="str">
            <v>UNID.</v>
          </cell>
          <cell r="N1661" t="str">
            <v>TALLER</v>
          </cell>
          <cell r="O1661">
            <v>91</v>
          </cell>
          <cell r="P1661" t="str">
            <v>S3</v>
          </cell>
          <cell r="Q1661" t="str">
            <v>J2</v>
          </cell>
          <cell r="R1661" t="str">
            <v>J6</v>
          </cell>
          <cell r="S1661" t="str">
            <v>ENTREGADO</v>
          </cell>
          <cell r="T1661">
            <v>0</v>
          </cell>
          <cell r="U1661" t="str">
            <v>JIMENEZ MACHACA JAVIER</v>
          </cell>
          <cell r="V1661" t="str">
            <v>CORIHUAMAN SURCO  ERICK ROBERT</v>
          </cell>
        </row>
        <row r="1662">
          <cell r="A1662">
            <v>1636</v>
          </cell>
          <cell r="B1662">
            <v>42699</v>
          </cell>
          <cell r="C1662" t="str">
            <v>NOVIEMBRE</v>
          </cell>
          <cell r="D1662" t="str">
            <v>2016</v>
          </cell>
          <cell r="E1662">
            <v>200</v>
          </cell>
          <cell r="F1662" t="str">
            <v>TALLER</v>
          </cell>
          <cell r="G1662" t="str">
            <v>TALLER</v>
          </cell>
          <cell r="H1662" t="str">
            <v>TALLER</v>
          </cell>
          <cell r="I1662" t="str">
            <v>TALLER</v>
          </cell>
          <cell r="J1662" t="str">
            <v>INSUMO TALLER</v>
          </cell>
          <cell r="K1662" t="str">
            <v>PRESINTOS 200</v>
          </cell>
          <cell r="L1662">
            <v>10</v>
          </cell>
          <cell r="M1662" t="str">
            <v>UNID.</v>
          </cell>
          <cell r="N1662" t="str">
            <v>TALLER</v>
          </cell>
          <cell r="O1662">
            <v>91</v>
          </cell>
          <cell r="P1662" t="str">
            <v>E3</v>
          </cell>
          <cell r="Q1662" t="str">
            <v>J2</v>
          </cell>
          <cell r="R1662" t="str">
            <v>J6</v>
          </cell>
          <cell r="S1662" t="str">
            <v>ENTREGADO</v>
          </cell>
          <cell r="T1662">
            <v>0</v>
          </cell>
          <cell r="U1662" t="str">
            <v>CONDORI CHURATA ALEX</v>
          </cell>
          <cell r="V1662" t="str">
            <v>CORIHUAMAN SURCO  ERICK ROBERT</v>
          </cell>
        </row>
        <row r="1663">
          <cell r="A1663">
            <v>1653</v>
          </cell>
          <cell r="B1663">
            <v>42699</v>
          </cell>
          <cell r="C1663" t="str">
            <v>NOVIEMBRE</v>
          </cell>
          <cell r="D1663" t="str">
            <v>2016</v>
          </cell>
          <cell r="E1663">
            <v>200</v>
          </cell>
          <cell r="F1663" t="str">
            <v>TALLER</v>
          </cell>
          <cell r="G1663" t="str">
            <v>TALLER</v>
          </cell>
          <cell r="H1663" t="str">
            <v>TALLER</v>
          </cell>
          <cell r="I1663" t="str">
            <v>TALLER</v>
          </cell>
          <cell r="J1663" t="str">
            <v>REPUESTO</v>
          </cell>
          <cell r="K1663" t="str">
            <v>TAIVEX "M"</v>
          </cell>
          <cell r="L1663">
            <v>1</v>
          </cell>
          <cell r="M1663" t="str">
            <v>UNID.</v>
          </cell>
          <cell r="N1663" t="str">
            <v>TALLER</v>
          </cell>
          <cell r="O1663">
            <v>91</v>
          </cell>
          <cell r="P1663" t="str">
            <v>M5</v>
          </cell>
          <cell r="Q1663" t="str">
            <v>J2</v>
          </cell>
          <cell r="R1663" t="str">
            <v>J6</v>
          </cell>
          <cell r="S1663" t="str">
            <v>ENTREGADO</v>
          </cell>
          <cell r="T1663">
            <v>0</v>
          </cell>
          <cell r="U1663" t="str">
            <v>LOPEZ RUIZ WILBERTO</v>
          </cell>
          <cell r="V1663" t="str">
            <v>CORIHUAMAN SURCO  ERICK ROBERT</v>
          </cell>
        </row>
        <row r="1664">
          <cell r="A1664">
            <v>1642</v>
          </cell>
          <cell r="B1664">
            <v>42699</v>
          </cell>
          <cell r="C1664" t="str">
            <v>NOVIEMBRE</v>
          </cell>
          <cell r="D1664" t="str">
            <v>2016</v>
          </cell>
          <cell r="E1664">
            <v>427</v>
          </cell>
          <cell r="F1664" t="str">
            <v>X2W-759</v>
          </cell>
          <cell r="G1664" t="str">
            <v>C5V-999</v>
          </cell>
          <cell r="H1664" t="str">
            <v>LAS BAMBAS</v>
          </cell>
          <cell r="I1664">
            <v>153388</v>
          </cell>
          <cell r="J1664" t="str">
            <v>REPUESTO</v>
          </cell>
          <cell r="K1664" t="str">
            <v>PARCHE RACK 14</v>
          </cell>
          <cell r="L1664">
            <v>1</v>
          </cell>
          <cell r="M1664" t="str">
            <v>UNID.</v>
          </cell>
          <cell r="N1664" t="str">
            <v>CISTERNA</v>
          </cell>
          <cell r="O1664">
            <v>91</v>
          </cell>
          <cell r="P1664" t="str">
            <v>N2</v>
          </cell>
          <cell r="Q1664" t="str">
            <v>J3</v>
          </cell>
          <cell r="R1664" t="str">
            <v>J6</v>
          </cell>
          <cell r="S1664" t="str">
            <v>ENTREGADO</v>
          </cell>
          <cell r="T1664">
            <v>0</v>
          </cell>
          <cell r="U1664" t="str">
            <v>MAMANI LARICO  EDUARDO ALVARO</v>
          </cell>
          <cell r="V1664" t="str">
            <v>CHURA PIZARRO ALBERTO</v>
          </cell>
        </row>
        <row r="1665">
          <cell r="A1665">
            <v>1658</v>
          </cell>
          <cell r="B1665">
            <v>42699</v>
          </cell>
          <cell r="C1665" t="str">
            <v>NOVIEMBRE</v>
          </cell>
          <cell r="D1665" t="str">
            <v>2016</v>
          </cell>
          <cell r="E1665">
            <v>427</v>
          </cell>
          <cell r="F1665" t="str">
            <v>X2W-759</v>
          </cell>
          <cell r="G1665" t="str">
            <v>C5V-999</v>
          </cell>
          <cell r="H1665" t="str">
            <v>LAS BAMBAS</v>
          </cell>
          <cell r="I1665">
            <v>153388</v>
          </cell>
          <cell r="J1665" t="str">
            <v>REPUESTO</v>
          </cell>
          <cell r="K1665" t="str">
            <v>KIT DE EMPAQUE</v>
          </cell>
          <cell r="L1665">
            <v>1</v>
          </cell>
          <cell r="M1665" t="str">
            <v>UNID.</v>
          </cell>
          <cell r="N1665" t="str">
            <v>TRACTO</v>
          </cell>
          <cell r="O1665">
            <v>91</v>
          </cell>
          <cell r="P1665" t="str">
            <v>M5</v>
          </cell>
          <cell r="Q1665" t="str">
            <v>J2</v>
          </cell>
          <cell r="R1665" t="str">
            <v>J5</v>
          </cell>
          <cell r="S1665" t="str">
            <v>ENTREGADO</v>
          </cell>
          <cell r="T1665">
            <v>0</v>
          </cell>
          <cell r="U1665" t="str">
            <v>LOPEZ RUIZ WILBERTO</v>
          </cell>
          <cell r="V1665" t="str">
            <v>CORIHUAMAN SURCO  ERICK ROBERT</v>
          </cell>
        </row>
        <row r="1666">
          <cell r="A1666">
            <v>1659</v>
          </cell>
          <cell r="B1666">
            <v>42699</v>
          </cell>
          <cell r="C1666" t="str">
            <v>NOVIEMBRE</v>
          </cell>
          <cell r="D1666" t="str">
            <v>2016</v>
          </cell>
          <cell r="E1666">
            <v>427</v>
          </cell>
          <cell r="F1666" t="str">
            <v>X2W-759</v>
          </cell>
          <cell r="G1666" t="str">
            <v>C5V-999</v>
          </cell>
          <cell r="H1666" t="str">
            <v>LAS BAMBAS</v>
          </cell>
          <cell r="I1666">
            <v>153388</v>
          </cell>
          <cell r="J1666" t="str">
            <v>REPUESTO</v>
          </cell>
          <cell r="K1666" t="str">
            <v>TURBO COMPLETO CON CARACOL</v>
          </cell>
          <cell r="L1666">
            <v>1</v>
          </cell>
          <cell r="M1666" t="str">
            <v>UNID.</v>
          </cell>
          <cell r="N1666" t="str">
            <v>TRACTO</v>
          </cell>
          <cell r="O1666">
            <v>91</v>
          </cell>
          <cell r="P1666" t="str">
            <v>M5</v>
          </cell>
          <cell r="Q1666" t="str">
            <v>J2</v>
          </cell>
          <cell r="R1666" t="str">
            <v>J5</v>
          </cell>
          <cell r="S1666" t="str">
            <v>ENTREGADO</v>
          </cell>
          <cell r="T1666">
            <v>0</v>
          </cell>
          <cell r="U1666" t="str">
            <v>LOPEZ RUIZ WILBERTO</v>
          </cell>
          <cell r="V1666" t="str">
            <v>CORIHUAMAN SURCO  ERICK ROBERT</v>
          </cell>
        </row>
        <row r="1667">
          <cell r="A1667">
            <v>1660</v>
          </cell>
          <cell r="B1667">
            <v>42699</v>
          </cell>
          <cell r="C1667" t="str">
            <v>NOVIEMBRE</v>
          </cell>
          <cell r="D1667" t="str">
            <v>2016</v>
          </cell>
          <cell r="E1667">
            <v>427</v>
          </cell>
          <cell r="F1667" t="str">
            <v>X2W-759</v>
          </cell>
          <cell r="G1667" t="str">
            <v>C5V-999</v>
          </cell>
          <cell r="H1667" t="str">
            <v>LAS BAMBAS</v>
          </cell>
          <cell r="I1667">
            <v>153388</v>
          </cell>
          <cell r="J1667" t="str">
            <v>REPUESTO</v>
          </cell>
          <cell r="K1667" t="str">
            <v>ABRAZADARAS DE TUBO ACORDION</v>
          </cell>
          <cell r="L1667">
            <v>2</v>
          </cell>
          <cell r="M1667" t="str">
            <v>UNID.</v>
          </cell>
          <cell r="N1667" t="str">
            <v>TRACTO</v>
          </cell>
          <cell r="O1667">
            <v>91</v>
          </cell>
          <cell r="P1667" t="str">
            <v>M5</v>
          </cell>
          <cell r="Q1667" t="str">
            <v>J2</v>
          </cell>
          <cell r="R1667" t="str">
            <v>J5</v>
          </cell>
          <cell r="S1667" t="str">
            <v>ENTREGADO</v>
          </cell>
          <cell r="T1667">
            <v>0</v>
          </cell>
          <cell r="U1667" t="str">
            <v>LOPEZ RUIZ WILBERTO</v>
          </cell>
          <cell r="V1667" t="str">
            <v>CORIHUAMAN SURCO  ERICK ROBERT</v>
          </cell>
        </row>
        <row r="1668">
          <cell r="A1668">
            <v>1619</v>
          </cell>
          <cell r="B1668">
            <v>42699</v>
          </cell>
          <cell r="C1668" t="str">
            <v>NOVIEMBRE</v>
          </cell>
          <cell r="D1668" t="str">
            <v>2016</v>
          </cell>
          <cell r="E1668">
            <v>366</v>
          </cell>
          <cell r="F1668" t="str">
            <v>X2W-760</v>
          </cell>
          <cell r="G1668" t="str">
            <v>C5V-992</v>
          </cell>
          <cell r="H1668" t="str">
            <v>LAS BAMBAS</v>
          </cell>
          <cell r="I1668">
            <v>148037</v>
          </cell>
          <cell r="J1668" t="str">
            <v>REPUESTO</v>
          </cell>
          <cell r="K1668" t="str">
            <v>RACHE DE 10 DIENTES</v>
          </cell>
          <cell r="L1668">
            <v>1</v>
          </cell>
          <cell r="M1668" t="str">
            <v>UNID.</v>
          </cell>
          <cell r="N1668" t="str">
            <v>CISTERNA</v>
          </cell>
          <cell r="O1668">
            <v>91</v>
          </cell>
          <cell r="P1668" t="str">
            <v>M7</v>
          </cell>
          <cell r="Q1668" t="str">
            <v>J2</v>
          </cell>
          <cell r="R1668" t="str">
            <v>J6</v>
          </cell>
          <cell r="S1668" t="str">
            <v>ENTREGADO</v>
          </cell>
          <cell r="T1668">
            <v>0</v>
          </cell>
          <cell r="U1668" t="str">
            <v>ROBLES ROJAS  JOSE MIGUEL</v>
          </cell>
          <cell r="V1668" t="str">
            <v>CORIHUAMAN SURCO  ERICK ROBERT</v>
          </cell>
        </row>
        <row r="1669">
          <cell r="A1669">
            <v>1644</v>
          </cell>
          <cell r="B1669">
            <v>42699</v>
          </cell>
          <cell r="C1669" t="str">
            <v>NOVIEMBRE</v>
          </cell>
          <cell r="D1669" t="str">
            <v>2016</v>
          </cell>
          <cell r="E1669">
            <v>411</v>
          </cell>
          <cell r="F1669" t="str">
            <v>X2W-762</v>
          </cell>
          <cell r="G1669" t="str">
            <v>C5V-998</v>
          </cell>
          <cell r="H1669" t="str">
            <v>LAS BAMBAS</v>
          </cell>
          <cell r="I1669">
            <v>155145.29999999999</v>
          </cell>
          <cell r="J1669" t="str">
            <v>REPUESTO</v>
          </cell>
          <cell r="K1669" t="str">
            <v>FILTRO DE AIRE PRIMARIO</v>
          </cell>
          <cell r="L1669">
            <v>1</v>
          </cell>
          <cell r="M1669" t="str">
            <v>UNID.</v>
          </cell>
          <cell r="N1669" t="str">
            <v>TRACTO</v>
          </cell>
          <cell r="O1669">
            <v>91</v>
          </cell>
          <cell r="P1669" t="str">
            <v>M1</v>
          </cell>
          <cell r="Q1669" t="str">
            <v>J2</v>
          </cell>
          <cell r="R1669" t="str">
            <v>J6</v>
          </cell>
          <cell r="S1669" t="str">
            <v>ENTREGADO</v>
          </cell>
          <cell r="T1669">
            <v>0</v>
          </cell>
          <cell r="U1669" t="str">
            <v>CABEZAS SANCHEZ JEAN JHONATAN</v>
          </cell>
          <cell r="V1669" t="str">
            <v>CORIHUAMAN SURCO  ERICK ROBERT</v>
          </cell>
        </row>
        <row r="1670">
          <cell r="A1670">
            <v>1654</v>
          </cell>
          <cell r="B1670">
            <v>42699</v>
          </cell>
          <cell r="C1670" t="str">
            <v>NOVIEMBRE</v>
          </cell>
          <cell r="D1670" t="str">
            <v>2016</v>
          </cell>
          <cell r="E1670">
            <v>411</v>
          </cell>
          <cell r="F1670" t="str">
            <v>X2W-762</v>
          </cell>
          <cell r="G1670" t="str">
            <v>C5V-998</v>
          </cell>
          <cell r="H1670" t="str">
            <v>LAS BAMBAS</v>
          </cell>
          <cell r="I1670">
            <v>155145.29999999999</v>
          </cell>
          <cell r="J1670" t="str">
            <v>REPUESTO</v>
          </cell>
          <cell r="K1670" t="str">
            <v>PERNO ESTOBOL 1/2</v>
          </cell>
          <cell r="L1670">
            <v>1</v>
          </cell>
          <cell r="M1670" t="str">
            <v>UNID.</v>
          </cell>
          <cell r="N1670" t="str">
            <v>TRACTO</v>
          </cell>
          <cell r="O1670">
            <v>91</v>
          </cell>
          <cell r="P1670" t="str">
            <v>E2</v>
          </cell>
          <cell r="Q1670" t="str">
            <v>J2</v>
          </cell>
          <cell r="R1670" t="str">
            <v>J5</v>
          </cell>
          <cell r="S1670" t="str">
            <v>ENTREGADO</v>
          </cell>
          <cell r="T1670">
            <v>0</v>
          </cell>
          <cell r="U1670" t="str">
            <v>YUCA BELLIDO BORIS YERSY</v>
          </cell>
          <cell r="V1670" t="str">
            <v>CORIHUAMAN SURCO  ERICK ROBERT</v>
          </cell>
        </row>
        <row r="1671">
          <cell r="A1671">
            <v>1655</v>
          </cell>
          <cell r="B1671">
            <v>42699</v>
          </cell>
          <cell r="C1671" t="str">
            <v>NOVIEMBRE</v>
          </cell>
          <cell r="D1671" t="str">
            <v>2016</v>
          </cell>
          <cell r="E1671">
            <v>411</v>
          </cell>
          <cell r="F1671" t="str">
            <v>X2W-762</v>
          </cell>
          <cell r="G1671" t="str">
            <v>C5V-998</v>
          </cell>
          <cell r="H1671" t="str">
            <v>LAS BAMBAS</v>
          </cell>
          <cell r="I1671">
            <v>155145.29999999999</v>
          </cell>
          <cell r="J1671" t="str">
            <v>REPUESTO</v>
          </cell>
          <cell r="K1671" t="str">
            <v xml:space="preserve">TERMINALES MACHO </v>
          </cell>
          <cell r="L1671">
            <v>2</v>
          </cell>
          <cell r="M1671" t="str">
            <v>UNID.</v>
          </cell>
          <cell r="N1671" t="str">
            <v>TRACTO</v>
          </cell>
          <cell r="O1671">
            <v>91</v>
          </cell>
          <cell r="P1671" t="str">
            <v>E2</v>
          </cell>
          <cell r="Q1671" t="str">
            <v>J2</v>
          </cell>
          <cell r="R1671" t="str">
            <v>J5</v>
          </cell>
          <cell r="S1671" t="str">
            <v>ENTREGADO</v>
          </cell>
          <cell r="T1671">
            <v>0</v>
          </cell>
          <cell r="U1671" t="str">
            <v>YUCA BELLIDO BORIS YERSY</v>
          </cell>
          <cell r="V1671" t="str">
            <v>CORIHUAMAN SURCO  ERICK ROBERT</v>
          </cell>
        </row>
        <row r="1672">
          <cell r="A1672">
            <v>1618</v>
          </cell>
          <cell r="B1672">
            <v>42699</v>
          </cell>
          <cell r="C1672" t="str">
            <v>NOVIEMBRE</v>
          </cell>
          <cell r="D1672" t="str">
            <v>2016</v>
          </cell>
          <cell r="E1672">
            <v>420</v>
          </cell>
          <cell r="F1672" t="str">
            <v>X2W-763</v>
          </cell>
          <cell r="G1672" t="str">
            <v>C5V-997</v>
          </cell>
          <cell r="H1672" t="str">
            <v>LAS BAMBAS</v>
          </cell>
          <cell r="I1672">
            <v>154933</v>
          </cell>
          <cell r="J1672" t="str">
            <v>REPUESTO</v>
          </cell>
          <cell r="K1672" t="str">
            <v>SOPORTE DE TRAVESAÑO POSTERIOR</v>
          </cell>
          <cell r="L1672">
            <v>1</v>
          </cell>
          <cell r="M1672" t="str">
            <v>UNID.</v>
          </cell>
          <cell r="N1672" t="str">
            <v>TRACTO</v>
          </cell>
          <cell r="O1672">
            <v>91</v>
          </cell>
          <cell r="P1672" t="str">
            <v>M7</v>
          </cell>
          <cell r="Q1672" t="str">
            <v>J1</v>
          </cell>
          <cell r="R1672" t="str">
            <v>J6</v>
          </cell>
          <cell r="S1672" t="str">
            <v>ENTREGADO</v>
          </cell>
          <cell r="T1672">
            <v>0</v>
          </cell>
          <cell r="U1672" t="str">
            <v>ROBLES ROJAS  JOSE MIGUEL</v>
          </cell>
          <cell r="V1672" t="str">
            <v>FLOREZ CONDORI  JOSE WILLIANS</v>
          </cell>
        </row>
        <row r="1673">
          <cell r="A1673">
            <v>1637</v>
          </cell>
          <cell r="B1673">
            <v>42699</v>
          </cell>
          <cell r="C1673" t="str">
            <v>NOVIEMBRE</v>
          </cell>
          <cell r="D1673" t="str">
            <v>2016</v>
          </cell>
          <cell r="E1673">
            <v>420</v>
          </cell>
          <cell r="F1673" t="str">
            <v>X2W-763</v>
          </cell>
          <cell r="G1673" t="str">
            <v>C5V-997</v>
          </cell>
          <cell r="H1673" t="str">
            <v>LAS BAMBAS</v>
          </cell>
          <cell r="I1673">
            <v>154933</v>
          </cell>
          <cell r="J1673" t="str">
            <v>REPUESTO</v>
          </cell>
          <cell r="K1673" t="str">
            <v>ACEITE 15W40</v>
          </cell>
          <cell r="L1673">
            <v>1</v>
          </cell>
          <cell r="M1673" t="str">
            <v>GLNS.</v>
          </cell>
          <cell r="N1673" t="str">
            <v>TRACTO</v>
          </cell>
          <cell r="O1673">
            <v>91</v>
          </cell>
          <cell r="P1673" t="str">
            <v>M7</v>
          </cell>
          <cell r="Q1673" t="str">
            <v>J2</v>
          </cell>
          <cell r="R1673" t="str">
            <v>J6</v>
          </cell>
          <cell r="S1673" t="str">
            <v>ENTREGADO</v>
          </cell>
          <cell r="T1673">
            <v>0</v>
          </cell>
          <cell r="U1673" t="str">
            <v>ROBLES ROJAS  JOSE MIGUEL</v>
          </cell>
          <cell r="V1673" t="str">
            <v>CORIHUAMAN SURCO  ERICK ROBERT</v>
          </cell>
        </row>
        <row r="1674">
          <cell r="A1674">
            <v>1661</v>
          </cell>
          <cell r="B1674">
            <v>42699</v>
          </cell>
          <cell r="C1674" t="str">
            <v>NOVIEMBRE</v>
          </cell>
          <cell r="D1674" t="str">
            <v>2016</v>
          </cell>
          <cell r="E1674">
            <v>420</v>
          </cell>
          <cell r="F1674" t="str">
            <v>X2W-763</v>
          </cell>
          <cell r="G1674" t="str">
            <v>C5V-997</v>
          </cell>
          <cell r="H1674" t="str">
            <v>LAS BAMBAS</v>
          </cell>
          <cell r="I1674">
            <v>154933</v>
          </cell>
          <cell r="J1674" t="str">
            <v>REPUESTO</v>
          </cell>
          <cell r="K1674" t="str">
            <v>CELLOCOR 5/32</v>
          </cell>
          <cell r="L1674">
            <v>5</v>
          </cell>
          <cell r="M1674" t="str">
            <v>KG.</v>
          </cell>
          <cell r="N1674" t="str">
            <v>TRACTO</v>
          </cell>
          <cell r="O1674">
            <v>91</v>
          </cell>
          <cell r="P1674" t="str">
            <v>S2</v>
          </cell>
          <cell r="Q1674" t="str">
            <v>J2</v>
          </cell>
          <cell r="R1674" t="str">
            <v>J2</v>
          </cell>
          <cell r="S1674" t="str">
            <v>ENTREGADO</v>
          </cell>
          <cell r="T1674">
            <v>0</v>
          </cell>
          <cell r="U1674" t="str">
            <v>PALOMINO ESTRADA  MICHEL</v>
          </cell>
          <cell r="V1674" t="str">
            <v>CORIHUAMAN SURCO  ERICK ROBERT</v>
          </cell>
        </row>
        <row r="1675">
          <cell r="A1675">
            <v>1662</v>
          </cell>
          <cell r="B1675">
            <v>42699</v>
          </cell>
          <cell r="C1675" t="str">
            <v>NOVIEMBRE</v>
          </cell>
          <cell r="D1675" t="str">
            <v>2016</v>
          </cell>
          <cell r="E1675">
            <v>420</v>
          </cell>
          <cell r="F1675" t="str">
            <v>X2W-763</v>
          </cell>
          <cell r="G1675" t="str">
            <v>C5V-997</v>
          </cell>
          <cell r="H1675" t="str">
            <v>LAS BAMBAS</v>
          </cell>
          <cell r="I1675">
            <v>154933</v>
          </cell>
          <cell r="J1675" t="str">
            <v>REPUESTO</v>
          </cell>
          <cell r="K1675" t="str">
            <v>FERROSITO 1/8</v>
          </cell>
          <cell r="L1675">
            <v>1</v>
          </cell>
          <cell r="M1675" t="str">
            <v>KG.</v>
          </cell>
          <cell r="N1675" t="str">
            <v>TRACTO</v>
          </cell>
          <cell r="O1675">
            <v>91</v>
          </cell>
          <cell r="P1675" t="str">
            <v>S2</v>
          </cell>
          <cell r="Q1675" t="str">
            <v>J2</v>
          </cell>
          <cell r="R1675" t="str">
            <v>J2</v>
          </cell>
          <cell r="S1675" t="str">
            <v>ENTREGADO</v>
          </cell>
          <cell r="T1675">
            <v>0</v>
          </cell>
          <cell r="U1675" t="str">
            <v>PALOMINO ESTRADA  MICHEL</v>
          </cell>
          <cell r="V1675" t="str">
            <v>CORIHUAMAN SURCO  ERICK ROBERT</v>
          </cell>
        </row>
        <row r="1676">
          <cell r="A1676">
            <v>1663</v>
          </cell>
          <cell r="B1676">
            <v>42699</v>
          </cell>
          <cell r="C1676" t="str">
            <v>NOVIEMBRE</v>
          </cell>
          <cell r="D1676" t="str">
            <v>2016</v>
          </cell>
          <cell r="E1676">
            <v>420</v>
          </cell>
          <cell r="F1676" t="str">
            <v>X2W-763</v>
          </cell>
          <cell r="G1676" t="str">
            <v>C5V-997</v>
          </cell>
          <cell r="H1676" t="str">
            <v>LAS BAMBAS</v>
          </cell>
          <cell r="I1676">
            <v>154933</v>
          </cell>
          <cell r="J1676" t="str">
            <v>REPUESTO</v>
          </cell>
          <cell r="K1676" t="str">
            <v>PERNO MANHOLE 3/8 X 6</v>
          </cell>
          <cell r="L1676">
            <v>1</v>
          </cell>
          <cell r="M1676" t="str">
            <v>UNID.</v>
          </cell>
          <cell r="N1676" t="str">
            <v>TRACTO</v>
          </cell>
          <cell r="O1676">
            <v>91</v>
          </cell>
          <cell r="P1676" t="str">
            <v>S2</v>
          </cell>
          <cell r="Q1676" t="str">
            <v>J2</v>
          </cell>
          <cell r="R1676" t="str">
            <v>J2</v>
          </cell>
          <cell r="S1676" t="str">
            <v>ENTREGADO</v>
          </cell>
          <cell r="T1676">
            <v>0</v>
          </cell>
          <cell r="U1676" t="str">
            <v>PALOMINO ESTRADA  MICHEL</v>
          </cell>
          <cell r="V1676" t="str">
            <v>CORIHUAMAN SURCO  ERICK ROBERT</v>
          </cell>
        </row>
        <row r="1677">
          <cell r="A1677">
            <v>1616</v>
          </cell>
          <cell r="B1677">
            <v>42699</v>
          </cell>
          <cell r="C1677" t="str">
            <v>NOVIEMBRE</v>
          </cell>
          <cell r="D1677" t="str">
            <v>2016</v>
          </cell>
          <cell r="E1677">
            <v>432</v>
          </cell>
          <cell r="F1677" t="str">
            <v>X2W-765</v>
          </cell>
          <cell r="G1677" t="str">
            <v>C5V-993</v>
          </cell>
          <cell r="H1677" t="str">
            <v>LAS BAMBAS</v>
          </cell>
          <cell r="I1677">
            <v>156374</v>
          </cell>
          <cell r="J1677" t="str">
            <v>REPUESTO</v>
          </cell>
          <cell r="K1677" t="str">
            <v>PARCHE RACK NRO. 14</v>
          </cell>
          <cell r="L1677">
            <v>1</v>
          </cell>
          <cell r="M1677" t="str">
            <v>UNID.</v>
          </cell>
          <cell r="N1677" t="str">
            <v>TRACTO</v>
          </cell>
          <cell r="O1677">
            <v>91</v>
          </cell>
          <cell r="P1677" t="str">
            <v>N1</v>
          </cell>
          <cell r="Q1677" t="str">
            <v>J2</v>
          </cell>
          <cell r="R1677" t="str">
            <v>J6</v>
          </cell>
          <cell r="S1677" t="str">
            <v>ENTREGADO</v>
          </cell>
          <cell r="T1677">
            <v>0</v>
          </cell>
          <cell r="U1677" t="str">
            <v>AGUILAR CCANTUTA WILLY</v>
          </cell>
          <cell r="V1677" t="str">
            <v>CORIHUAMAN SURCO  ERICK ROBERT</v>
          </cell>
        </row>
        <row r="1678">
          <cell r="A1678">
            <v>1656</v>
          </cell>
          <cell r="B1678">
            <v>42699</v>
          </cell>
          <cell r="C1678" t="str">
            <v>NOVIEMBRE</v>
          </cell>
          <cell r="D1678" t="str">
            <v>2016</v>
          </cell>
          <cell r="E1678">
            <v>432</v>
          </cell>
          <cell r="F1678" t="str">
            <v>X2W-765</v>
          </cell>
          <cell r="G1678" t="str">
            <v>C5V-993</v>
          </cell>
          <cell r="H1678" t="str">
            <v>LAS BAMBAS</v>
          </cell>
          <cell r="I1678">
            <v>156374</v>
          </cell>
          <cell r="J1678" t="str">
            <v>REPUESTO</v>
          </cell>
          <cell r="K1678" t="str">
            <v>PERNO 1 X 8" C/ TUERCA</v>
          </cell>
          <cell r="L1678">
            <v>1</v>
          </cell>
          <cell r="M1678" t="str">
            <v>UNID.</v>
          </cell>
          <cell r="N1678" t="str">
            <v>TRACTO</v>
          </cell>
          <cell r="O1678">
            <v>91</v>
          </cell>
          <cell r="P1678" t="str">
            <v>M1</v>
          </cell>
          <cell r="Q1678" t="str">
            <v>J2</v>
          </cell>
          <cell r="R1678" t="str">
            <v>J5</v>
          </cell>
          <cell r="S1678" t="str">
            <v>ENTREGADO</v>
          </cell>
          <cell r="T1678">
            <v>0</v>
          </cell>
          <cell r="U1678" t="str">
            <v>CABEZAS SANCHEZ JEAN JHONATAN</v>
          </cell>
          <cell r="V1678" t="str">
            <v>CORIHUAMAN SURCO  ERICK ROBERT</v>
          </cell>
        </row>
        <row r="1679">
          <cell r="A1679">
            <v>1657</v>
          </cell>
          <cell r="B1679">
            <v>42699</v>
          </cell>
          <cell r="C1679" t="str">
            <v>NOVIEMBRE</v>
          </cell>
          <cell r="D1679" t="str">
            <v>2016</v>
          </cell>
          <cell r="E1679">
            <v>432</v>
          </cell>
          <cell r="F1679" t="str">
            <v>X2W-765</v>
          </cell>
          <cell r="G1679" t="str">
            <v>C5V-993</v>
          </cell>
          <cell r="H1679" t="str">
            <v>LAS BAMBAS</v>
          </cell>
          <cell r="I1679">
            <v>156374</v>
          </cell>
          <cell r="J1679" t="str">
            <v>REPUESTO</v>
          </cell>
          <cell r="K1679" t="str">
            <v>TUERCA 1"</v>
          </cell>
          <cell r="L1679">
            <v>1</v>
          </cell>
          <cell r="M1679" t="str">
            <v>UNID.</v>
          </cell>
          <cell r="N1679" t="str">
            <v>TRACTO</v>
          </cell>
          <cell r="O1679">
            <v>91</v>
          </cell>
          <cell r="P1679" t="str">
            <v>M1</v>
          </cell>
          <cell r="Q1679" t="str">
            <v>J2</v>
          </cell>
          <cell r="R1679" t="str">
            <v>J5</v>
          </cell>
          <cell r="S1679" t="str">
            <v>ENTREGADO</v>
          </cell>
          <cell r="T1679">
            <v>0</v>
          </cell>
          <cell r="U1679" t="str">
            <v>CABEZAS SANCHEZ JEAN JHONATAN</v>
          </cell>
          <cell r="V1679" t="str">
            <v>CORIHUAMAN SURCO  ERICK ROBERT</v>
          </cell>
        </row>
        <row r="1680">
          <cell r="A1680">
            <v>1664</v>
          </cell>
          <cell r="B1680">
            <v>42699</v>
          </cell>
          <cell r="C1680" t="str">
            <v>NOVIEMBRE</v>
          </cell>
          <cell r="D1680" t="str">
            <v>2016</v>
          </cell>
          <cell r="E1680">
            <v>432</v>
          </cell>
          <cell r="F1680" t="str">
            <v>X2W-765</v>
          </cell>
          <cell r="G1680" t="str">
            <v>C5V-993</v>
          </cell>
          <cell r="H1680" t="str">
            <v>LAS BAMBAS</v>
          </cell>
          <cell r="I1680">
            <v>156374</v>
          </cell>
          <cell r="J1680" t="str">
            <v>REPUESTO</v>
          </cell>
          <cell r="K1680" t="str">
            <v>PERNO 1/2 X 6</v>
          </cell>
          <cell r="L1680">
            <v>1</v>
          </cell>
          <cell r="M1680" t="str">
            <v>UNID.</v>
          </cell>
          <cell r="N1680" t="str">
            <v>TRACTO</v>
          </cell>
          <cell r="O1680">
            <v>91</v>
          </cell>
          <cell r="P1680" t="str">
            <v>M1</v>
          </cell>
          <cell r="Q1680" t="str">
            <v>J2</v>
          </cell>
          <cell r="R1680" t="str">
            <v>J2</v>
          </cell>
          <cell r="S1680" t="str">
            <v>ENTREGADO</v>
          </cell>
          <cell r="T1680">
            <v>0</v>
          </cell>
          <cell r="U1680" t="str">
            <v>CABEZAS SANCHEZ JEAN JHONATAN</v>
          </cell>
          <cell r="V1680" t="str">
            <v>CORIHUAMAN SURCO  ERICK ROBERT</v>
          </cell>
        </row>
        <row r="1681">
          <cell r="A1681">
            <v>1665</v>
          </cell>
          <cell r="B1681">
            <v>42699</v>
          </cell>
          <cell r="C1681" t="str">
            <v>NOVIEMBRE</v>
          </cell>
          <cell r="D1681" t="str">
            <v>2016</v>
          </cell>
          <cell r="E1681">
            <v>432</v>
          </cell>
          <cell r="F1681" t="str">
            <v>X2W-765</v>
          </cell>
          <cell r="G1681" t="str">
            <v>C5V-993</v>
          </cell>
          <cell r="H1681" t="str">
            <v>LAS BAMBAS</v>
          </cell>
          <cell r="I1681">
            <v>156374</v>
          </cell>
          <cell r="J1681" t="str">
            <v>REPUESTO</v>
          </cell>
          <cell r="K1681" t="str">
            <v>TUERCA SEGURO 1/2</v>
          </cell>
          <cell r="L1681">
            <v>1</v>
          </cell>
          <cell r="M1681" t="str">
            <v>UNID.</v>
          </cell>
          <cell r="N1681" t="str">
            <v>TRACTO</v>
          </cell>
          <cell r="O1681">
            <v>91</v>
          </cell>
          <cell r="P1681" t="str">
            <v>M1</v>
          </cell>
          <cell r="Q1681" t="str">
            <v>J2</v>
          </cell>
          <cell r="R1681" t="str">
            <v>J2</v>
          </cell>
          <cell r="S1681" t="str">
            <v>ENTREGADO</v>
          </cell>
          <cell r="T1681">
            <v>0</v>
          </cell>
          <cell r="U1681" t="str">
            <v>CABEZAS SANCHEZ JEAN JHONATAN</v>
          </cell>
          <cell r="V1681" t="str">
            <v>CORIHUAMAN SURCO  ERICK ROBERT</v>
          </cell>
        </row>
        <row r="1682">
          <cell r="A1682">
            <v>1604</v>
          </cell>
          <cell r="B1682">
            <v>42699</v>
          </cell>
          <cell r="C1682" t="str">
            <v>NOVIEMBRE</v>
          </cell>
          <cell r="D1682" t="str">
            <v>2016</v>
          </cell>
          <cell r="E1682">
            <v>419</v>
          </cell>
          <cell r="F1682" t="str">
            <v>X2W-788</v>
          </cell>
          <cell r="G1682" t="str">
            <v>C5V-994</v>
          </cell>
          <cell r="H1682" t="str">
            <v>LAS BAMBAS</v>
          </cell>
          <cell r="I1682">
            <v>138993</v>
          </cell>
          <cell r="J1682" t="str">
            <v>REPUESTO</v>
          </cell>
          <cell r="K1682" t="str">
            <v>PERNOS MANHOLE 3/8 X 6</v>
          </cell>
          <cell r="L1682">
            <v>1</v>
          </cell>
          <cell r="M1682" t="str">
            <v>UNID.</v>
          </cell>
          <cell r="N1682" t="str">
            <v>CISTERNA</v>
          </cell>
          <cell r="O1682">
            <v>91</v>
          </cell>
          <cell r="P1682" t="str">
            <v>S2</v>
          </cell>
          <cell r="Q1682" t="str">
            <v>J2</v>
          </cell>
          <cell r="R1682" t="str">
            <v>J6</v>
          </cell>
          <cell r="S1682" t="str">
            <v>ENTREGADO</v>
          </cell>
          <cell r="T1682">
            <v>0</v>
          </cell>
          <cell r="U1682" t="str">
            <v>PALOMINO ESTRADA  MICHEL</v>
          </cell>
          <cell r="V1682" t="str">
            <v>CORIHUAMAN SURCO  ERICK ROBERT</v>
          </cell>
        </row>
        <row r="1683">
          <cell r="A1683">
            <v>1605</v>
          </cell>
          <cell r="B1683">
            <v>42699</v>
          </cell>
          <cell r="C1683" t="str">
            <v>NOVIEMBRE</v>
          </cell>
          <cell r="D1683" t="str">
            <v>2016</v>
          </cell>
          <cell r="E1683">
            <v>419</v>
          </cell>
          <cell r="F1683" t="str">
            <v>X2W-788</v>
          </cell>
          <cell r="G1683" t="str">
            <v>C5V-994</v>
          </cell>
          <cell r="H1683" t="str">
            <v>LAS BAMBAS</v>
          </cell>
          <cell r="I1683">
            <v>138993</v>
          </cell>
          <cell r="J1683" t="str">
            <v>REPUESTO</v>
          </cell>
          <cell r="K1683" t="str">
            <v>TUERCA 3/8</v>
          </cell>
          <cell r="L1683">
            <v>2</v>
          </cell>
          <cell r="M1683" t="str">
            <v>UNID.</v>
          </cell>
          <cell r="N1683" t="str">
            <v>CISTERNA</v>
          </cell>
          <cell r="O1683">
            <v>91</v>
          </cell>
          <cell r="P1683" t="str">
            <v>S2</v>
          </cell>
          <cell r="Q1683" t="str">
            <v>J2</v>
          </cell>
          <cell r="R1683" t="str">
            <v>J6</v>
          </cell>
          <cell r="S1683" t="str">
            <v>ENTREGADO</v>
          </cell>
          <cell r="T1683">
            <v>0</v>
          </cell>
          <cell r="U1683" t="str">
            <v>PALOMINO ESTRADA  MICHEL</v>
          </cell>
          <cell r="V1683" t="str">
            <v>CORIHUAMAN SURCO  ERICK ROBERT</v>
          </cell>
        </row>
        <row r="1684">
          <cell r="A1684">
            <v>1609</v>
          </cell>
          <cell r="B1684">
            <v>42699</v>
          </cell>
          <cell r="C1684" t="str">
            <v>NOVIEMBRE</v>
          </cell>
          <cell r="D1684" t="str">
            <v>2016</v>
          </cell>
          <cell r="E1684">
            <v>419</v>
          </cell>
          <cell r="F1684" t="str">
            <v>X2W-788</v>
          </cell>
          <cell r="G1684" t="str">
            <v>C5V-994</v>
          </cell>
          <cell r="H1684" t="str">
            <v>LAS BAMBAS</v>
          </cell>
          <cell r="I1684">
            <v>138993</v>
          </cell>
          <cell r="J1684" t="str">
            <v>REPUESTO</v>
          </cell>
          <cell r="K1684" t="str">
            <v>PERNO 7/16 X 5</v>
          </cell>
          <cell r="L1684">
            <v>1</v>
          </cell>
          <cell r="M1684" t="str">
            <v>UNID.</v>
          </cell>
          <cell r="N1684" t="str">
            <v>CISTERNA</v>
          </cell>
          <cell r="O1684">
            <v>91</v>
          </cell>
          <cell r="P1684" t="str">
            <v>M3</v>
          </cell>
          <cell r="Q1684" t="str">
            <v>J2</v>
          </cell>
          <cell r="R1684" t="str">
            <v>J6</v>
          </cell>
          <cell r="S1684" t="str">
            <v>ENTREGADO</v>
          </cell>
          <cell r="T1684">
            <v>0</v>
          </cell>
          <cell r="U1684" t="str">
            <v>GARCIA PASQUEL  JOSE LUIS</v>
          </cell>
          <cell r="V1684" t="str">
            <v>CORIHUAMAN SURCO  ERICK ROBERT</v>
          </cell>
        </row>
        <row r="1685">
          <cell r="A1685">
            <v>1610</v>
          </cell>
          <cell r="B1685">
            <v>42699</v>
          </cell>
          <cell r="C1685" t="str">
            <v>NOVIEMBRE</v>
          </cell>
          <cell r="D1685" t="str">
            <v>2016</v>
          </cell>
          <cell r="E1685">
            <v>419</v>
          </cell>
          <cell r="F1685" t="str">
            <v>X2W-788</v>
          </cell>
          <cell r="G1685" t="str">
            <v>C5V-994</v>
          </cell>
          <cell r="H1685" t="str">
            <v>LAS BAMBAS</v>
          </cell>
          <cell r="I1685">
            <v>138993</v>
          </cell>
          <cell r="J1685" t="str">
            <v>REPUESTO</v>
          </cell>
          <cell r="K1685" t="str">
            <v>TUERCA SEGURO 7/16</v>
          </cell>
          <cell r="L1685">
            <v>1</v>
          </cell>
          <cell r="M1685" t="str">
            <v>UNID.</v>
          </cell>
          <cell r="N1685" t="str">
            <v>CISTERNA</v>
          </cell>
          <cell r="O1685">
            <v>91</v>
          </cell>
          <cell r="P1685" t="str">
            <v>M3</v>
          </cell>
          <cell r="Q1685" t="str">
            <v>J2</v>
          </cell>
          <cell r="R1685" t="str">
            <v>J6</v>
          </cell>
          <cell r="S1685" t="str">
            <v>ENTREGADO</v>
          </cell>
          <cell r="T1685">
            <v>0</v>
          </cell>
          <cell r="U1685" t="str">
            <v>GARCIA PASQUEL  JOSE LUIS</v>
          </cell>
          <cell r="V1685" t="str">
            <v>CORIHUAMAN SURCO  ERICK ROBERT</v>
          </cell>
        </row>
        <row r="1686">
          <cell r="A1686">
            <v>1611</v>
          </cell>
          <cell r="B1686">
            <v>42699</v>
          </cell>
          <cell r="C1686" t="str">
            <v>NOVIEMBRE</v>
          </cell>
          <cell r="D1686" t="str">
            <v>2016</v>
          </cell>
          <cell r="E1686">
            <v>419</v>
          </cell>
          <cell r="F1686" t="str">
            <v>X2W-788</v>
          </cell>
          <cell r="G1686" t="str">
            <v>C5V-994</v>
          </cell>
          <cell r="H1686" t="str">
            <v>LAS BAMBAS</v>
          </cell>
          <cell r="I1686">
            <v>138993</v>
          </cell>
          <cell r="J1686" t="str">
            <v>REPUESTO</v>
          </cell>
          <cell r="K1686" t="str">
            <v>ARANDELA PLANA 7/16</v>
          </cell>
          <cell r="L1686">
            <v>2</v>
          </cell>
          <cell r="M1686" t="str">
            <v>UNID.</v>
          </cell>
          <cell r="N1686" t="str">
            <v>CISTERNA</v>
          </cell>
          <cell r="O1686">
            <v>91</v>
          </cell>
          <cell r="P1686" t="str">
            <v>M3</v>
          </cell>
          <cell r="Q1686" t="str">
            <v>J2</v>
          </cell>
          <cell r="R1686" t="str">
            <v>J6</v>
          </cell>
          <cell r="S1686" t="str">
            <v>ENTREGADO</v>
          </cell>
          <cell r="T1686">
            <v>0</v>
          </cell>
          <cell r="U1686" t="str">
            <v>GARCIA PASQUEL  JOSE LUIS</v>
          </cell>
          <cell r="V1686" t="str">
            <v>CORIHUAMAN SURCO  ERICK ROBERT</v>
          </cell>
        </row>
        <row r="1687">
          <cell r="A1687">
            <v>1617</v>
          </cell>
          <cell r="B1687">
            <v>42699</v>
          </cell>
          <cell r="C1687" t="str">
            <v>NOVIEMBRE</v>
          </cell>
          <cell r="D1687" t="str">
            <v>2016</v>
          </cell>
          <cell r="E1687">
            <v>419</v>
          </cell>
          <cell r="F1687" t="str">
            <v>X2W-788</v>
          </cell>
          <cell r="G1687" t="str">
            <v>C5V-994</v>
          </cell>
          <cell r="H1687" t="str">
            <v>LAS BAMBAS</v>
          </cell>
          <cell r="I1687">
            <v>138993</v>
          </cell>
          <cell r="J1687" t="str">
            <v>REPUESTO</v>
          </cell>
          <cell r="K1687" t="str">
            <v>REFRIGERANTE</v>
          </cell>
          <cell r="L1687">
            <v>0.5</v>
          </cell>
          <cell r="M1687" t="str">
            <v>GLNS.</v>
          </cell>
          <cell r="N1687" t="str">
            <v>TRACTO</v>
          </cell>
          <cell r="O1687">
            <v>91</v>
          </cell>
          <cell r="P1687" t="str">
            <v>M3</v>
          </cell>
          <cell r="Q1687" t="str">
            <v>J2</v>
          </cell>
          <cell r="R1687" t="str">
            <v>J6</v>
          </cell>
          <cell r="S1687" t="str">
            <v>ENTREGADO</v>
          </cell>
          <cell r="T1687">
            <v>0</v>
          </cell>
          <cell r="U1687" t="str">
            <v>GARCIA PASQUEL  JOSE LUIS</v>
          </cell>
          <cell r="V1687" t="str">
            <v>CORIHUAMAN SURCO  ERICK ROBERT</v>
          </cell>
        </row>
        <row r="1688">
          <cell r="A1688">
            <v>1623</v>
          </cell>
          <cell r="B1688">
            <v>42699</v>
          </cell>
          <cell r="C1688" t="str">
            <v>NOVIEMBRE</v>
          </cell>
          <cell r="D1688" t="str">
            <v>2016</v>
          </cell>
          <cell r="E1688">
            <v>419</v>
          </cell>
          <cell r="F1688" t="str">
            <v>X2W-788</v>
          </cell>
          <cell r="G1688" t="str">
            <v>C5V-994</v>
          </cell>
          <cell r="H1688" t="str">
            <v>LAS BAMBAS</v>
          </cell>
          <cell r="I1688">
            <v>138993</v>
          </cell>
          <cell r="J1688" t="str">
            <v>REPUESTO</v>
          </cell>
          <cell r="K1688" t="str">
            <v>PALANCA DE LUCES</v>
          </cell>
          <cell r="L1688">
            <v>1</v>
          </cell>
          <cell r="M1688" t="str">
            <v>UNID.</v>
          </cell>
          <cell r="N1688" t="str">
            <v>TRACTO</v>
          </cell>
          <cell r="O1688">
            <v>91</v>
          </cell>
          <cell r="P1688" t="str">
            <v>E1</v>
          </cell>
          <cell r="Q1688" t="str">
            <v>J2</v>
          </cell>
          <cell r="R1688" t="str">
            <v>J6</v>
          </cell>
          <cell r="S1688" t="str">
            <v>ENTREGADO</v>
          </cell>
          <cell r="T1688">
            <v>0</v>
          </cell>
          <cell r="U1688" t="str">
            <v>PALOMINO CARDENAS JUAN CARLOS</v>
          </cell>
          <cell r="V1688" t="str">
            <v>CORIHUAMAN SURCO  ERICK ROBERT</v>
          </cell>
        </row>
        <row r="1689">
          <cell r="A1689">
            <v>1672</v>
          </cell>
          <cell r="B1689">
            <v>42700</v>
          </cell>
          <cell r="C1689" t="str">
            <v>NOVIEMBRE</v>
          </cell>
          <cell r="D1689" t="str">
            <v>2016</v>
          </cell>
          <cell r="E1689">
            <v>437</v>
          </cell>
          <cell r="F1689" t="str">
            <v>ABR-727</v>
          </cell>
          <cell r="G1689" t="str">
            <v>C9S-989</v>
          </cell>
          <cell r="H1689" t="str">
            <v>LAS BAMBAS</v>
          </cell>
          <cell r="I1689">
            <v>99993</v>
          </cell>
          <cell r="J1689" t="str">
            <v>REPUESTO</v>
          </cell>
          <cell r="K1689" t="str">
            <v>LLANTA REENCAUCHADA IZY2</v>
          </cell>
          <cell r="L1689">
            <v>4</v>
          </cell>
          <cell r="M1689" t="str">
            <v>UNID.</v>
          </cell>
          <cell r="N1689" t="str">
            <v>CISTERNA</v>
          </cell>
          <cell r="O1689">
            <v>90</v>
          </cell>
          <cell r="P1689" t="str">
            <v>N2</v>
          </cell>
          <cell r="Q1689" t="str">
            <v>J3</v>
          </cell>
          <cell r="R1689" t="str">
            <v>J5</v>
          </cell>
          <cell r="S1689" t="str">
            <v>ENTREGADO</v>
          </cell>
          <cell r="T1689">
            <v>0</v>
          </cell>
          <cell r="U1689" t="str">
            <v>MAMANI LARICO  EDUARDO ALVARO</v>
          </cell>
          <cell r="V1689" t="str">
            <v>CHURA PIZARRO ALBERTO</v>
          </cell>
        </row>
        <row r="1690">
          <cell r="A1690">
            <v>1669</v>
          </cell>
          <cell r="B1690">
            <v>42700</v>
          </cell>
          <cell r="C1690" t="str">
            <v>NOVIEMBRE</v>
          </cell>
          <cell r="D1690" t="str">
            <v>2016</v>
          </cell>
          <cell r="E1690">
            <v>437</v>
          </cell>
          <cell r="F1690" t="str">
            <v>ABR-727</v>
          </cell>
          <cell r="G1690" t="str">
            <v>C9S-989</v>
          </cell>
          <cell r="H1690" t="str">
            <v>LAS BAMBAS</v>
          </cell>
          <cell r="I1690">
            <v>99993</v>
          </cell>
          <cell r="J1690" t="str">
            <v>REPUESTO</v>
          </cell>
          <cell r="K1690" t="str">
            <v>TAPABARRO FARO DELANTERO IZQUIERDO</v>
          </cell>
          <cell r="L1690">
            <v>1</v>
          </cell>
          <cell r="M1690" t="str">
            <v>UNID.</v>
          </cell>
          <cell r="N1690" t="str">
            <v>TRACTO</v>
          </cell>
          <cell r="O1690">
            <v>90</v>
          </cell>
          <cell r="P1690" t="str">
            <v>M3</v>
          </cell>
          <cell r="Q1690" t="str">
            <v>J2</v>
          </cell>
          <cell r="R1690" t="str">
            <v>J5</v>
          </cell>
          <cell r="S1690" t="str">
            <v>ENTREGADO</v>
          </cell>
          <cell r="T1690">
            <v>0</v>
          </cell>
          <cell r="U1690" t="str">
            <v>GARCIA PASQUEL  JOSE LUIS</v>
          </cell>
          <cell r="V1690" t="str">
            <v>CORIHUAMAN SURCO  ERICK ROBERT</v>
          </cell>
        </row>
        <row r="1691">
          <cell r="A1691">
            <v>1668</v>
          </cell>
          <cell r="B1691">
            <v>42700</v>
          </cell>
          <cell r="C1691" t="str">
            <v>NOVIEMBRE</v>
          </cell>
          <cell r="D1691" t="str">
            <v>2016</v>
          </cell>
          <cell r="E1691">
            <v>436</v>
          </cell>
          <cell r="F1691" t="str">
            <v>ABS-700</v>
          </cell>
          <cell r="G1691" t="str">
            <v>TBC-971</v>
          </cell>
          <cell r="H1691" t="str">
            <v>LAS BAMBAS</v>
          </cell>
          <cell r="I1691">
            <v>98502</v>
          </cell>
          <cell r="J1691" t="str">
            <v>REPUESTO</v>
          </cell>
          <cell r="K1691" t="str">
            <v>VARILLAS INOX</v>
          </cell>
          <cell r="L1691">
            <v>2</v>
          </cell>
          <cell r="M1691" t="str">
            <v>UNID.</v>
          </cell>
          <cell r="N1691" t="str">
            <v>CISTERNA</v>
          </cell>
          <cell r="O1691">
            <v>90</v>
          </cell>
          <cell r="P1691" t="str">
            <v>S3</v>
          </cell>
          <cell r="Q1691" t="str">
            <v>J2</v>
          </cell>
          <cell r="R1691" t="str">
            <v>J5</v>
          </cell>
          <cell r="S1691" t="str">
            <v>ENTREGADO</v>
          </cell>
          <cell r="T1691">
            <v>0</v>
          </cell>
          <cell r="U1691" t="str">
            <v>JIMENEZ MACHACA JAVIER</v>
          </cell>
          <cell r="V1691" t="str">
            <v>CORIHUAMAN SURCO  ERICK ROBERT</v>
          </cell>
        </row>
        <row r="1692">
          <cell r="A1692">
            <v>1689</v>
          </cell>
          <cell r="B1692">
            <v>42700</v>
          </cell>
          <cell r="C1692" t="str">
            <v>NOVIEMBRE</v>
          </cell>
          <cell r="D1692" t="str">
            <v>2016</v>
          </cell>
          <cell r="E1692">
            <v>436</v>
          </cell>
          <cell r="F1692" t="str">
            <v>ABS-700</v>
          </cell>
          <cell r="G1692" t="str">
            <v>TBC-971</v>
          </cell>
          <cell r="H1692" t="str">
            <v>LAS BAMBAS</v>
          </cell>
          <cell r="I1692">
            <v>98502</v>
          </cell>
          <cell r="J1692" t="str">
            <v>REPUESTO</v>
          </cell>
          <cell r="K1692" t="str">
            <v>VARILLAS INOX</v>
          </cell>
          <cell r="L1692">
            <v>2</v>
          </cell>
          <cell r="M1692" t="str">
            <v>UNID.</v>
          </cell>
          <cell r="N1692" t="str">
            <v>CISTERNA</v>
          </cell>
          <cell r="O1692">
            <v>90</v>
          </cell>
          <cell r="P1692" t="str">
            <v>S3</v>
          </cell>
          <cell r="Q1692" t="str">
            <v>J2</v>
          </cell>
          <cell r="R1692" t="str">
            <v>J5</v>
          </cell>
          <cell r="S1692" t="str">
            <v>ENTREGADO</v>
          </cell>
          <cell r="T1692">
            <v>0</v>
          </cell>
          <cell r="U1692" t="str">
            <v>JIMENEZ MACHACA JAVIER</v>
          </cell>
          <cell r="V1692" t="str">
            <v>CORIHUAMAN SURCO  ERICK ROBERT</v>
          </cell>
        </row>
        <row r="1693">
          <cell r="A1693">
            <v>1692</v>
          </cell>
          <cell r="B1693">
            <v>42700</v>
          </cell>
          <cell r="C1693" t="str">
            <v>NOVIEMBRE</v>
          </cell>
          <cell r="D1693" t="str">
            <v>2016</v>
          </cell>
          <cell r="E1693">
            <v>436</v>
          </cell>
          <cell r="F1693" t="str">
            <v>ABS-700</v>
          </cell>
          <cell r="G1693" t="str">
            <v>TBC-971</v>
          </cell>
          <cell r="H1693" t="str">
            <v>LAS BAMBAS</v>
          </cell>
          <cell r="I1693">
            <v>98502</v>
          </cell>
          <cell r="J1693" t="str">
            <v>REPUESTO</v>
          </cell>
          <cell r="K1693" t="str">
            <v>1/2 GLN LIQUIDO REFRIGERANTE</v>
          </cell>
          <cell r="L1693">
            <v>1</v>
          </cell>
          <cell r="M1693" t="str">
            <v>UNID.</v>
          </cell>
          <cell r="N1693" t="str">
            <v>TRACTO</v>
          </cell>
          <cell r="O1693">
            <v>90</v>
          </cell>
          <cell r="P1693" t="str">
            <v>M6</v>
          </cell>
          <cell r="Q1693" t="str">
            <v>J2</v>
          </cell>
          <cell r="R1693" t="str">
            <v>J5</v>
          </cell>
          <cell r="S1693" t="str">
            <v>ENTREGADO</v>
          </cell>
          <cell r="T1693">
            <v>0</v>
          </cell>
          <cell r="U1693" t="str">
            <v>PARI VENTURA  EDSON ORLANDO</v>
          </cell>
          <cell r="V1693" t="str">
            <v>CORIHUAMAN SURCO  ERICK ROBERT</v>
          </cell>
        </row>
        <row r="1694">
          <cell r="A1694">
            <v>1680</v>
          </cell>
          <cell r="B1694">
            <v>42700</v>
          </cell>
          <cell r="C1694" t="str">
            <v>NOVIEMBRE</v>
          </cell>
          <cell r="D1694" t="str">
            <v>2016</v>
          </cell>
          <cell r="E1694">
            <v>438</v>
          </cell>
          <cell r="F1694" t="str">
            <v>AMV-781</v>
          </cell>
          <cell r="G1694" t="str">
            <v>CAMIONETA</v>
          </cell>
          <cell r="H1694" t="str">
            <v>LAS BAMBAS</v>
          </cell>
          <cell r="I1694">
            <v>23786</v>
          </cell>
          <cell r="J1694" t="str">
            <v>REPUESTO</v>
          </cell>
          <cell r="K1694" t="str">
            <v xml:space="preserve">LLANTAS LP 26570R17 </v>
          </cell>
          <cell r="L1694">
            <v>5</v>
          </cell>
          <cell r="M1694" t="str">
            <v>UNID.</v>
          </cell>
          <cell r="N1694" t="str">
            <v>CAMIONETA</v>
          </cell>
          <cell r="O1694">
            <v>90</v>
          </cell>
          <cell r="P1694" t="str">
            <v>J3</v>
          </cell>
          <cell r="Q1694" t="str">
            <v>J3</v>
          </cell>
          <cell r="R1694" t="str">
            <v>J5</v>
          </cell>
          <cell r="S1694" t="str">
            <v>ENTREGADO</v>
          </cell>
          <cell r="T1694">
            <v>0</v>
          </cell>
          <cell r="U1694" t="str">
            <v>CHURA PIZARRO ALBERTO</v>
          </cell>
          <cell r="V1694" t="str">
            <v>CHURA PIZARRO ALBERTO</v>
          </cell>
        </row>
        <row r="1695">
          <cell r="A1695">
            <v>1667</v>
          </cell>
          <cell r="B1695">
            <v>42700</v>
          </cell>
          <cell r="C1695" t="str">
            <v>NOVIEMBRE</v>
          </cell>
          <cell r="D1695" t="str">
            <v>2016</v>
          </cell>
          <cell r="E1695">
            <v>207</v>
          </cell>
          <cell r="F1695" t="str">
            <v>D3P-746</v>
          </cell>
          <cell r="G1695" t="str">
            <v>C0T-974</v>
          </cell>
          <cell r="H1695" t="str">
            <v>LAS BAMBAS</v>
          </cell>
          <cell r="I1695">
            <v>128937</v>
          </cell>
          <cell r="J1695" t="str">
            <v>REPUESTO</v>
          </cell>
          <cell r="K1695" t="str">
            <v>SUPERCITO 5/32</v>
          </cell>
          <cell r="L1695">
            <v>5</v>
          </cell>
          <cell r="M1695" t="str">
            <v>KG.</v>
          </cell>
          <cell r="N1695" t="str">
            <v>CISTERNA</v>
          </cell>
          <cell r="O1695">
            <v>90</v>
          </cell>
          <cell r="P1695" t="str">
            <v>S3</v>
          </cell>
          <cell r="Q1695" t="str">
            <v>J2</v>
          </cell>
          <cell r="R1695" t="str">
            <v>J2</v>
          </cell>
          <cell r="S1695" t="str">
            <v>ENTREGADO</v>
          </cell>
          <cell r="T1695">
            <v>0</v>
          </cell>
          <cell r="U1695" t="str">
            <v>JIMENEZ MACHACA JAVIER</v>
          </cell>
          <cell r="V1695" t="str">
            <v>CORIHUAMAN SURCO  ERICK ROBERT</v>
          </cell>
        </row>
        <row r="1696">
          <cell r="A1696">
            <v>1675</v>
          </cell>
          <cell r="B1696">
            <v>42700</v>
          </cell>
          <cell r="C1696" t="str">
            <v>NOVIEMBRE</v>
          </cell>
          <cell r="D1696" t="str">
            <v>2016</v>
          </cell>
          <cell r="E1696">
            <v>207</v>
          </cell>
          <cell r="F1696" t="str">
            <v>D3P-746</v>
          </cell>
          <cell r="G1696" t="str">
            <v>C0T-974</v>
          </cell>
          <cell r="H1696" t="str">
            <v>LAS BAMBAS</v>
          </cell>
          <cell r="I1696">
            <v>128937</v>
          </cell>
          <cell r="J1696" t="str">
            <v>REPUESTO</v>
          </cell>
          <cell r="K1696" t="str">
            <v>PINES 1 X 6"</v>
          </cell>
          <cell r="L1696">
            <v>8</v>
          </cell>
          <cell r="M1696" t="str">
            <v>UNID.</v>
          </cell>
          <cell r="N1696" t="str">
            <v>CISTERNA</v>
          </cell>
          <cell r="O1696">
            <v>90</v>
          </cell>
          <cell r="P1696" t="str">
            <v>S2</v>
          </cell>
          <cell r="Q1696" t="str">
            <v>J2</v>
          </cell>
          <cell r="R1696" t="str">
            <v>J5</v>
          </cell>
          <cell r="S1696" t="str">
            <v>ENTREGADO</v>
          </cell>
          <cell r="T1696">
            <v>0</v>
          </cell>
          <cell r="U1696" t="str">
            <v>PALOMINO ESTRADA  MICHEL</v>
          </cell>
          <cell r="V1696" t="str">
            <v>CORIHUAMAN SURCO  ERICK ROBERT</v>
          </cell>
        </row>
        <row r="1697">
          <cell r="A1697">
            <v>1676</v>
          </cell>
          <cell r="B1697">
            <v>42700</v>
          </cell>
          <cell r="C1697" t="str">
            <v>NOVIEMBRE</v>
          </cell>
          <cell r="D1697" t="str">
            <v>2016</v>
          </cell>
          <cell r="E1697">
            <v>207</v>
          </cell>
          <cell r="F1697" t="str">
            <v>D3P-746</v>
          </cell>
          <cell r="G1697" t="str">
            <v>C0T-974</v>
          </cell>
          <cell r="H1697" t="str">
            <v>LAS BAMBAS</v>
          </cell>
          <cell r="I1697">
            <v>128937</v>
          </cell>
          <cell r="J1697" t="str">
            <v>REPUESTO</v>
          </cell>
          <cell r="K1697" t="str">
            <v>PINES 1 X 7"</v>
          </cell>
          <cell r="L1697">
            <v>4</v>
          </cell>
          <cell r="M1697" t="str">
            <v>UNID.</v>
          </cell>
          <cell r="N1697" t="str">
            <v>CISTERNA</v>
          </cell>
          <cell r="O1697">
            <v>90</v>
          </cell>
          <cell r="P1697" t="str">
            <v>S2</v>
          </cell>
          <cell r="Q1697" t="str">
            <v>J2</v>
          </cell>
          <cell r="R1697" t="str">
            <v>J5</v>
          </cell>
          <cell r="S1697" t="str">
            <v>ENTREGADO</v>
          </cell>
          <cell r="T1697">
            <v>0</v>
          </cell>
          <cell r="U1697" t="str">
            <v>PALOMINO ESTRADA  MICHEL</v>
          </cell>
          <cell r="V1697" t="str">
            <v>CORIHUAMAN SURCO  ERICK ROBERT</v>
          </cell>
        </row>
        <row r="1698">
          <cell r="A1698">
            <v>1677</v>
          </cell>
          <cell r="B1698">
            <v>42700</v>
          </cell>
          <cell r="C1698" t="str">
            <v>NOVIEMBRE</v>
          </cell>
          <cell r="D1698" t="str">
            <v>2016</v>
          </cell>
          <cell r="E1698">
            <v>207</v>
          </cell>
          <cell r="F1698" t="str">
            <v>D3P-746</v>
          </cell>
          <cell r="G1698" t="str">
            <v>C0T-974</v>
          </cell>
          <cell r="H1698" t="str">
            <v>LAS BAMBAS</v>
          </cell>
          <cell r="I1698">
            <v>128937</v>
          </cell>
          <cell r="J1698" t="str">
            <v>REPUESTO</v>
          </cell>
          <cell r="K1698" t="str">
            <v xml:space="preserve">TUERCAS SEGURO </v>
          </cell>
          <cell r="L1698">
            <v>12</v>
          </cell>
          <cell r="M1698" t="str">
            <v>UNID.</v>
          </cell>
          <cell r="N1698" t="str">
            <v>CISTERNA</v>
          </cell>
          <cell r="O1698">
            <v>90</v>
          </cell>
          <cell r="P1698" t="str">
            <v>S2</v>
          </cell>
          <cell r="Q1698" t="str">
            <v>J2</v>
          </cell>
          <cell r="R1698" t="str">
            <v>J5</v>
          </cell>
          <cell r="S1698" t="str">
            <v>ENTREGADO</v>
          </cell>
          <cell r="T1698">
            <v>0</v>
          </cell>
          <cell r="U1698" t="str">
            <v>PALOMINO ESTRADA  MICHEL</v>
          </cell>
          <cell r="V1698" t="str">
            <v>CORIHUAMAN SURCO  ERICK ROBERT</v>
          </cell>
        </row>
        <row r="1699">
          <cell r="A1699">
            <v>1678</v>
          </cell>
          <cell r="B1699">
            <v>42700</v>
          </cell>
          <cell r="C1699" t="str">
            <v>NOVIEMBRE</v>
          </cell>
          <cell r="D1699" t="str">
            <v>2016</v>
          </cell>
          <cell r="E1699">
            <v>207</v>
          </cell>
          <cell r="F1699" t="str">
            <v>D3P-746</v>
          </cell>
          <cell r="G1699" t="str">
            <v>C0T-974</v>
          </cell>
          <cell r="H1699" t="str">
            <v>LAS BAMBAS</v>
          </cell>
          <cell r="I1699">
            <v>128937</v>
          </cell>
          <cell r="J1699" t="str">
            <v>REPUESTO</v>
          </cell>
          <cell r="K1699" t="str">
            <v>PERNOS 5/8 X 6</v>
          </cell>
          <cell r="L1699">
            <v>10</v>
          </cell>
          <cell r="M1699" t="str">
            <v>UNID.</v>
          </cell>
          <cell r="N1699" t="str">
            <v>CISTERNA</v>
          </cell>
          <cell r="O1699">
            <v>90</v>
          </cell>
          <cell r="P1699" t="str">
            <v>S2</v>
          </cell>
          <cell r="Q1699" t="str">
            <v>J2</v>
          </cell>
          <cell r="R1699" t="str">
            <v>J5</v>
          </cell>
          <cell r="S1699" t="str">
            <v>ENTREGADO</v>
          </cell>
          <cell r="T1699">
            <v>0</v>
          </cell>
          <cell r="U1699" t="str">
            <v>PALOMINO ESTRADA  MICHEL</v>
          </cell>
          <cell r="V1699" t="str">
            <v>CORIHUAMAN SURCO  ERICK ROBERT</v>
          </cell>
        </row>
        <row r="1700">
          <cell r="A1700">
            <v>1679</v>
          </cell>
          <cell r="B1700">
            <v>42700</v>
          </cell>
          <cell r="C1700" t="str">
            <v>NOVIEMBRE</v>
          </cell>
          <cell r="D1700" t="str">
            <v>2016</v>
          </cell>
          <cell r="E1700">
            <v>207</v>
          </cell>
          <cell r="F1700" t="str">
            <v>D3P-746</v>
          </cell>
          <cell r="G1700" t="str">
            <v>C0T-974</v>
          </cell>
          <cell r="H1700" t="str">
            <v>LAS BAMBAS</v>
          </cell>
          <cell r="I1700">
            <v>128937</v>
          </cell>
          <cell r="J1700" t="str">
            <v>REPUESTO</v>
          </cell>
          <cell r="K1700" t="str">
            <v>TUERCA SEGURO 5/16</v>
          </cell>
          <cell r="L1700">
            <v>10</v>
          </cell>
          <cell r="M1700" t="str">
            <v>UNID.</v>
          </cell>
          <cell r="N1700" t="str">
            <v>CISTERNA</v>
          </cell>
          <cell r="O1700">
            <v>90</v>
          </cell>
          <cell r="P1700" t="str">
            <v>S2</v>
          </cell>
          <cell r="Q1700" t="str">
            <v>J2</v>
          </cell>
          <cell r="R1700" t="str">
            <v>J5</v>
          </cell>
          <cell r="S1700" t="str">
            <v>ENTREGADO</v>
          </cell>
          <cell r="T1700">
            <v>0</v>
          </cell>
          <cell r="U1700" t="str">
            <v>PALOMINO ESTRADA  MICHEL</v>
          </cell>
          <cell r="V1700" t="str">
            <v>CORIHUAMAN SURCO  ERICK ROBERT</v>
          </cell>
        </row>
        <row r="1701">
          <cell r="A1701">
            <v>1681</v>
          </cell>
          <cell r="B1701">
            <v>42700</v>
          </cell>
          <cell r="C1701" t="str">
            <v>NOVIEMBRE</v>
          </cell>
          <cell r="D1701" t="str">
            <v>2016</v>
          </cell>
          <cell r="E1701">
            <v>207</v>
          </cell>
          <cell r="F1701" t="str">
            <v>D3P-746</v>
          </cell>
          <cell r="G1701" t="str">
            <v>C0T-974</v>
          </cell>
          <cell r="H1701" t="str">
            <v>LAS BAMBAS</v>
          </cell>
          <cell r="I1701">
            <v>128937</v>
          </cell>
          <cell r="J1701" t="str">
            <v>REPUESTO</v>
          </cell>
          <cell r="K1701" t="str">
            <v>PERNOCENTRO 1/2 X 6"</v>
          </cell>
          <cell r="L1701">
            <v>4</v>
          </cell>
          <cell r="M1701" t="str">
            <v>UNID.</v>
          </cell>
          <cell r="N1701" t="str">
            <v>CISTERNA</v>
          </cell>
          <cell r="O1701">
            <v>90</v>
          </cell>
          <cell r="P1701" t="str">
            <v>S2</v>
          </cell>
          <cell r="Q1701" t="str">
            <v>J2</v>
          </cell>
          <cell r="R1701" t="str">
            <v>J5</v>
          </cell>
          <cell r="S1701" t="str">
            <v>ENTREGADO</v>
          </cell>
          <cell r="T1701">
            <v>0</v>
          </cell>
          <cell r="U1701" t="str">
            <v>PALOMINO ESTRADA  MICHEL</v>
          </cell>
          <cell r="V1701" t="str">
            <v>CORIHUAMAN SURCO  ERICK ROBERT</v>
          </cell>
        </row>
        <row r="1702">
          <cell r="A1702">
            <v>1682</v>
          </cell>
          <cell r="B1702">
            <v>42700</v>
          </cell>
          <cell r="C1702" t="str">
            <v>NOVIEMBRE</v>
          </cell>
          <cell r="D1702" t="str">
            <v>2016</v>
          </cell>
          <cell r="E1702">
            <v>207</v>
          </cell>
          <cell r="F1702" t="str">
            <v>D3P-746</v>
          </cell>
          <cell r="G1702" t="str">
            <v>C0T-974</v>
          </cell>
          <cell r="H1702" t="str">
            <v>LAS BAMBAS</v>
          </cell>
          <cell r="I1702">
            <v>128937</v>
          </cell>
          <cell r="J1702" t="str">
            <v>REPUESTO</v>
          </cell>
          <cell r="K1702" t="str">
            <v xml:space="preserve">GRASERA 45°  1/8 NPT </v>
          </cell>
          <cell r="L1702">
            <v>2</v>
          </cell>
          <cell r="M1702" t="str">
            <v>UNID.</v>
          </cell>
          <cell r="N1702" t="str">
            <v>CISTERNA</v>
          </cell>
          <cell r="O1702">
            <v>90</v>
          </cell>
          <cell r="P1702" t="str">
            <v>S2</v>
          </cell>
          <cell r="Q1702" t="str">
            <v>J2</v>
          </cell>
          <cell r="R1702" t="str">
            <v>J5</v>
          </cell>
          <cell r="S1702" t="str">
            <v>ENTREGADO</v>
          </cell>
          <cell r="T1702">
            <v>0</v>
          </cell>
          <cell r="U1702" t="str">
            <v>PALOMINO ESTRADA  MICHEL</v>
          </cell>
          <cell r="V1702" t="str">
            <v>CORIHUAMAN SURCO  ERICK ROBERT</v>
          </cell>
        </row>
        <row r="1703">
          <cell r="A1703">
            <v>1683</v>
          </cell>
          <cell r="B1703">
            <v>42700</v>
          </cell>
          <cell r="C1703" t="str">
            <v>NOVIEMBRE</v>
          </cell>
          <cell r="D1703" t="str">
            <v>2016</v>
          </cell>
          <cell r="E1703">
            <v>207</v>
          </cell>
          <cell r="F1703" t="str">
            <v>D3P-746</v>
          </cell>
          <cell r="G1703" t="str">
            <v>C0T-974</v>
          </cell>
          <cell r="H1703" t="str">
            <v>LAS BAMBAS</v>
          </cell>
          <cell r="I1703">
            <v>128937</v>
          </cell>
          <cell r="J1703" t="str">
            <v>REPUESTO</v>
          </cell>
          <cell r="K1703" t="str">
            <v>GRASERA 90° 1/8 NPT</v>
          </cell>
          <cell r="L1703">
            <v>6</v>
          </cell>
          <cell r="M1703" t="str">
            <v>UNID.</v>
          </cell>
          <cell r="N1703" t="str">
            <v>CISTERNA</v>
          </cell>
          <cell r="O1703">
            <v>90</v>
          </cell>
          <cell r="P1703" t="str">
            <v>S2</v>
          </cell>
          <cell r="Q1703" t="str">
            <v>J2</v>
          </cell>
          <cell r="R1703" t="str">
            <v>J5</v>
          </cell>
          <cell r="S1703" t="str">
            <v>ENTREGADO</v>
          </cell>
          <cell r="T1703">
            <v>0</v>
          </cell>
          <cell r="U1703" t="str">
            <v>PALOMINO ESTRADA  MICHEL</v>
          </cell>
          <cell r="V1703" t="str">
            <v>CORIHUAMAN SURCO  ERICK ROBERT</v>
          </cell>
        </row>
        <row r="1704">
          <cell r="A1704">
            <v>1684</v>
          </cell>
          <cell r="B1704">
            <v>42700</v>
          </cell>
          <cell r="C1704" t="str">
            <v>NOVIEMBRE</v>
          </cell>
          <cell r="D1704" t="str">
            <v>2016</v>
          </cell>
          <cell r="E1704">
            <v>207</v>
          </cell>
          <cell r="F1704" t="str">
            <v>D3P-746</v>
          </cell>
          <cell r="G1704" t="str">
            <v>C0T-974</v>
          </cell>
          <cell r="H1704" t="str">
            <v>LAS BAMBAS</v>
          </cell>
          <cell r="I1704">
            <v>128937</v>
          </cell>
          <cell r="J1704" t="str">
            <v>REPUESTO</v>
          </cell>
          <cell r="K1704" t="str">
            <v>GRASERA RECTA 1/8 NPT</v>
          </cell>
          <cell r="L1704">
            <v>6</v>
          </cell>
          <cell r="M1704" t="str">
            <v>UNID.</v>
          </cell>
          <cell r="N1704" t="str">
            <v>CISTERNA</v>
          </cell>
          <cell r="O1704">
            <v>90</v>
          </cell>
          <cell r="P1704" t="str">
            <v>S2</v>
          </cell>
          <cell r="Q1704" t="str">
            <v>J2</v>
          </cell>
          <cell r="R1704" t="str">
            <v>J5</v>
          </cell>
          <cell r="S1704" t="str">
            <v>ENTREGADO</v>
          </cell>
          <cell r="T1704">
            <v>0</v>
          </cell>
          <cell r="U1704" t="str">
            <v>PALOMINO ESTRADA  MICHEL</v>
          </cell>
          <cell r="V1704" t="str">
            <v>CORIHUAMAN SURCO  ERICK ROBERT</v>
          </cell>
        </row>
        <row r="1705">
          <cell r="A1705">
            <v>1671</v>
          </cell>
          <cell r="B1705">
            <v>42700</v>
          </cell>
          <cell r="C1705" t="str">
            <v>NOVIEMBRE</v>
          </cell>
          <cell r="D1705" t="str">
            <v>2016</v>
          </cell>
          <cell r="E1705">
            <v>434</v>
          </cell>
          <cell r="F1705" t="str">
            <v>D3P-754</v>
          </cell>
          <cell r="G1705" t="str">
            <v>C0V-971</v>
          </cell>
          <cell r="H1705" t="str">
            <v>LAS BAMBAS</v>
          </cell>
          <cell r="I1705">
            <v>162164</v>
          </cell>
          <cell r="J1705" t="str">
            <v>REPUESTO</v>
          </cell>
          <cell r="K1705" t="str">
            <v>KIT DE ACCESORIO DE VALVULA RELAY</v>
          </cell>
          <cell r="L1705">
            <v>1</v>
          </cell>
          <cell r="M1705" t="str">
            <v>UNID.</v>
          </cell>
          <cell r="N1705" t="str">
            <v>TRACTO</v>
          </cell>
          <cell r="O1705">
            <v>90</v>
          </cell>
          <cell r="P1705" t="str">
            <v>M5</v>
          </cell>
          <cell r="Q1705" t="str">
            <v>J2</v>
          </cell>
          <cell r="R1705" t="str">
            <v>J5</v>
          </cell>
          <cell r="S1705" t="str">
            <v>ENTREGADO</v>
          </cell>
          <cell r="T1705">
            <v>0</v>
          </cell>
          <cell r="U1705" t="str">
            <v>LOPEZ RUIZ WILBERTO</v>
          </cell>
          <cell r="V1705" t="str">
            <v>CORIHUAMAN SURCO  ERICK ROBERT</v>
          </cell>
        </row>
        <row r="1706">
          <cell r="A1706">
            <v>1673</v>
          </cell>
          <cell r="B1706">
            <v>42700</v>
          </cell>
          <cell r="C1706" t="str">
            <v>NOVIEMBRE</v>
          </cell>
          <cell r="D1706" t="str">
            <v>2016</v>
          </cell>
          <cell r="E1706">
            <v>434</v>
          </cell>
          <cell r="F1706" t="str">
            <v>D3P-754</v>
          </cell>
          <cell r="G1706" t="str">
            <v>C0V-971</v>
          </cell>
          <cell r="H1706" t="str">
            <v>LAS BAMBAS</v>
          </cell>
          <cell r="I1706">
            <v>162164</v>
          </cell>
          <cell r="J1706" t="str">
            <v>REPUESTO</v>
          </cell>
          <cell r="K1706" t="str">
            <v>ESPRAY BLANCO</v>
          </cell>
          <cell r="L1706">
            <v>1</v>
          </cell>
          <cell r="M1706" t="str">
            <v>UNID.</v>
          </cell>
          <cell r="N1706" t="str">
            <v>CISTERNA</v>
          </cell>
          <cell r="O1706">
            <v>90</v>
          </cell>
          <cell r="P1706" t="str">
            <v>M5</v>
          </cell>
          <cell r="Q1706" t="str">
            <v>J2</v>
          </cell>
          <cell r="R1706" t="str">
            <v>J2</v>
          </cell>
          <cell r="S1706" t="str">
            <v>ENTREGADO</v>
          </cell>
          <cell r="T1706">
            <v>0</v>
          </cell>
          <cell r="U1706" t="str">
            <v>LOPEZ RUIZ WILBERTO</v>
          </cell>
          <cell r="V1706" t="str">
            <v>CORIHUAMAN SURCO  ERICK ROBERT</v>
          </cell>
        </row>
        <row r="1707">
          <cell r="A1707">
            <v>1674</v>
          </cell>
          <cell r="B1707">
            <v>42700</v>
          </cell>
          <cell r="C1707" t="str">
            <v>NOVIEMBRE</v>
          </cell>
          <cell r="D1707" t="str">
            <v>2016</v>
          </cell>
          <cell r="E1707">
            <v>434</v>
          </cell>
          <cell r="F1707" t="str">
            <v>D3P-754</v>
          </cell>
          <cell r="G1707" t="str">
            <v>C0V-971</v>
          </cell>
          <cell r="H1707" t="str">
            <v>LAS BAMBAS</v>
          </cell>
          <cell r="I1707">
            <v>162164</v>
          </cell>
          <cell r="J1707" t="str">
            <v>REPUESTO</v>
          </cell>
          <cell r="K1707" t="str">
            <v>FOCO LAGRIMON AMBAR 12 V</v>
          </cell>
          <cell r="L1707">
            <v>1</v>
          </cell>
          <cell r="M1707" t="str">
            <v>UNID.</v>
          </cell>
          <cell r="N1707" t="str">
            <v>TALLER</v>
          </cell>
          <cell r="O1707">
            <v>90</v>
          </cell>
          <cell r="P1707" t="str">
            <v>E2</v>
          </cell>
          <cell r="Q1707" t="str">
            <v>J2</v>
          </cell>
          <cell r="R1707" t="str">
            <v>J5</v>
          </cell>
          <cell r="S1707" t="str">
            <v>ENTREGADO</v>
          </cell>
          <cell r="T1707">
            <v>0</v>
          </cell>
          <cell r="U1707" t="str">
            <v>YUCA BELLIDO BORIS YERSY</v>
          </cell>
          <cell r="V1707" t="str">
            <v>CORIHUAMAN SURCO  ERICK ROBERT</v>
          </cell>
        </row>
        <row r="1708">
          <cell r="A1708">
            <v>1687</v>
          </cell>
          <cell r="B1708">
            <v>42700</v>
          </cell>
          <cell r="C1708" t="str">
            <v>NOVIEMBRE</v>
          </cell>
          <cell r="D1708" t="str">
            <v>2016</v>
          </cell>
          <cell r="E1708">
            <v>435</v>
          </cell>
          <cell r="F1708" t="str">
            <v>D3R-791</v>
          </cell>
          <cell r="G1708" t="str">
            <v>B1M-993</v>
          </cell>
          <cell r="H1708" t="str">
            <v>LAS BAMBAS</v>
          </cell>
          <cell r="I1708">
            <v>138254</v>
          </cell>
          <cell r="J1708" t="str">
            <v>REPUESTO</v>
          </cell>
          <cell r="K1708" t="str">
            <v>LLAVE DE PASO DE COMBUSTIBLE ( IZQUIERDA Y DERECHA)</v>
          </cell>
          <cell r="L1708">
            <v>2</v>
          </cell>
          <cell r="M1708" t="str">
            <v>UNID.</v>
          </cell>
          <cell r="N1708" t="str">
            <v>TRACTO</v>
          </cell>
          <cell r="O1708">
            <v>90</v>
          </cell>
          <cell r="P1708" t="str">
            <v>M4</v>
          </cell>
          <cell r="Q1708" t="str">
            <v>J2</v>
          </cell>
          <cell r="R1708" t="str">
            <v>J5</v>
          </cell>
          <cell r="S1708" t="str">
            <v>ENTREGADO</v>
          </cell>
          <cell r="T1708">
            <v>0</v>
          </cell>
          <cell r="U1708" t="str">
            <v>JULLIRI APAZA UBALDO</v>
          </cell>
          <cell r="V1708" t="str">
            <v>CORIHUAMAN SURCO  ERICK ROBERT</v>
          </cell>
        </row>
        <row r="1709">
          <cell r="A1709">
            <v>1688</v>
          </cell>
          <cell r="B1709">
            <v>42700</v>
          </cell>
          <cell r="C1709" t="str">
            <v>NOVIEMBRE</v>
          </cell>
          <cell r="D1709" t="str">
            <v>2016</v>
          </cell>
          <cell r="E1709">
            <v>435</v>
          </cell>
          <cell r="F1709" t="str">
            <v>D3R-791</v>
          </cell>
          <cell r="G1709" t="str">
            <v>B1M-993</v>
          </cell>
          <cell r="H1709" t="str">
            <v>LAS BAMBAS</v>
          </cell>
          <cell r="I1709">
            <v>138254</v>
          </cell>
          <cell r="J1709" t="str">
            <v>REPUESTO</v>
          </cell>
          <cell r="K1709" t="str">
            <v>SUJETADOR DE CAPOT (LADO DERECHO)</v>
          </cell>
          <cell r="L1709">
            <v>1</v>
          </cell>
          <cell r="M1709" t="str">
            <v>UNID.</v>
          </cell>
          <cell r="N1709" t="str">
            <v>TRACTO</v>
          </cell>
          <cell r="O1709">
            <v>90</v>
          </cell>
          <cell r="P1709" t="str">
            <v>M4</v>
          </cell>
          <cell r="Q1709" t="str">
            <v>J2</v>
          </cell>
          <cell r="R1709" t="str">
            <v>J5</v>
          </cell>
          <cell r="S1709" t="str">
            <v>ENTREGADO</v>
          </cell>
          <cell r="T1709">
            <v>0</v>
          </cell>
          <cell r="U1709" t="str">
            <v>JULLIRI APAZA UBALDO</v>
          </cell>
          <cell r="V1709" t="str">
            <v>CORIHUAMAN SURCO  ERICK ROBERT</v>
          </cell>
        </row>
        <row r="1710">
          <cell r="A1710">
            <v>1691</v>
          </cell>
          <cell r="B1710">
            <v>42700</v>
          </cell>
          <cell r="C1710" t="str">
            <v>NOVIEMBRE</v>
          </cell>
          <cell r="D1710" t="str">
            <v>2016</v>
          </cell>
          <cell r="E1710">
            <v>435</v>
          </cell>
          <cell r="F1710" t="str">
            <v>D3R-791</v>
          </cell>
          <cell r="G1710" t="str">
            <v>B1M-993</v>
          </cell>
          <cell r="H1710" t="str">
            <v>LAS BAMBAS</v>
          </cell>
          <cell r="I1710">
            <v>138254</v>
          </cell>
          <cell r="J1710" t="str">
            <v>REPUESTO</v>
          </cell>
          <cell r="K1710" t="str">
            <v>PERNO MANHOLE 3/8 X 6 C/ DOBLE TUERCA</v>
          </cell>
          <cell r="L1710">
            <v>1</v>
          </cell>
          <cell r="M1710" t="str">
            <v>UNID.</v>
          </cell>
          <cell r="N1710" t="str">
            <v>CISTERNA</v>
          </cell>
          <cell r="O1710">
            <v>90</v>
          </cell>
          <cell r="P1710" t="str">
            <v>M2</v>
          </cell>
          <cell r="Q1710" t="str">
            <v>J2</v>
          </cell>
          <cell r="R1710" t="str">
            <v>J5</v>
          </cell>
          <cell r="S1710" t="str">
            <v>ENTREGADO</v>
          </cell>
          <cell r="T1710">
            <v>0</v>
          </cell>
          <cell r="U1710" t="str">
            <v>CHUMPITAZ GAGO JULIO ENRIQUE</v>
          </cell>
          <cell r="V1710" t="str">
            <v>CORIHUAMAN SURCO  ERICK ROBERT</v>
          </cell>
        </row>
        <row r="1711">
          <cell r="A1711">
            <v>1670</v>
          </cell>
          <cell r="B1711">
            <v>42700</v>
          </cell>
          <cell r="C1711" t="str">
            <v>NOVIEMBRE</v>
          </cell>
          <cell r="D1711" t="str">
            <v>2016</v>
          </cell>
          <cell r="E1711">
            <v>200</v>
          </cell>
          <cell r="F1711" t="str">
            <v>TALLER</v>
          </cell>
          <cell r="G1711" t="str">
            <v>TALLER</v>
          </cell>
          <cell r="H1711" t="str">
            <v>TALLER</v>
          </cell>
          <cell r="I1711" t="str">
            <v>TALLER</v>
          </cell>
          <cell r="J1711" t="str">
            <v>INSUMO TALLER</v>
          </cell>
          <cell r="K1711" t="str">
            <v>CINTA TEFLON</v>
          </cell>
          <cell r="L1711">
            <v>1</v>
          </cell>
          <cell r="M1711" t="str">
            <v>UNID.</v>
          </cell>
          <cell r="N1711" t="str">
            <v>TALLER</v>
          </cell>
          <cell r="O1711">
            <v>90</v>
          </cell>
          <cell r="P1711" t="str">
            <v>M5</v>
          </cell>
          <cell r="Q1711" t="str">
            <v>J2</v>
          </cell>
          <cell r="R1711" t="str">
            <v>J5</v>
          </cell>
          <cell r="S1711" t="str">
            <v>ENTREGADO</v>
          </cell>
          <cell r="T1711">
            <v>0</v>
          </cell>
          <cell r="U1711" t="str">
            <v>LOPEZ RUIZ WILBERTO</v>
          </cell>
          <cell r="V1711" t="str">
            <v>CORIHUAMAN SURCO  ERICK ROBERT</v>
          </cell>
        </row>
        <row r="1712">
          <cell r="A1712">
            <v>1685</v>
          </cell>
          <cell r="B1712">
            <v>42700</v>
          </cell>
          <cell r="C1712" t="str">
            <v>NOVIEMBRE</v>
          </cell>
          <cell r="D1712" t="str">
            <v>2016</v>
          </cell>
          <cell r="E1712">
            <v>200</v>
          </cell>
          <cell r="F1712" t="str">
            <v>TALLER</v>
          </cell>
          <cell r="G1712" t="str">
            <v>TALLER</v>
          </cell>
          <cell r="H1712" t="str">
            <v>TALLER</v>
          </cell>
          <cell r="I1712" t="str">
            <v>TALLER</v>
          </cell>
          <cell r="J1712" t="str">
            <v>INSUMO TALLER</v>
          </cell>
          <cell r="K1712" t="str">
            <v>PRECINTOS 200</v>
          </cell>
          <cell r="L1712">
            <v>15</v>
          </cell>
          <cell r="M1712" t="str">
            <v>UNID.</v>
          </cell>
          <cell r="N1712" t="str">
            <v>TALLER</v>
          </cell>
          <cell r="O1712">
            <v>90</v>
          </cell>
          <cell r="P1712" t="str">
            <v>E2</v>
          </cell>
          <cell r="Q1712" t="str">
            <v>J2</v>
          </cell>
          <cell r="R1712" t="str">
            <v>J5</v>
          </cell>
          <cell r="S1712" t="str">
            <v>ENTREGADO</v>
          </cell>
          <cell r="T1712">
            <v>0</v>
          </cell>
          <cell r="U1712" t="str">
            <v>YUCA BELLIDO BORIS YERSY</v>
          </cell>
          <cell r="V1712" t="str">
            <v>CORIHUAMAN SURCO  ERICK ROBERT</v>
          </cell>
        </row>
        <row r="1713">
          <cell r="A1713">
            <v>1686</v>
          </cell>
          <cell r="B1713">
            <v>42700</v>
          </cell>
          <cell r="C1713" t="str">
            <v>NOVIEMBRE</v>
          </cell>
          <cell r="D1713" t="str">
            <v>2016</v>
          </cell>
          <cell r="E1713">
            <v>200</v>
          </cell>
          <cell r="F1713" t="str">
            <v>TALLER</v>
          </cell>
          <cell r="G1713" t="str">
            <v>TALLER</v>
          </cell>
          <cell r="H1713" t="str">
            <v>TALLER</v>
          </cell>
          <cell r="I1713" t="str">
            <v>TALLER</v>
          </cell>
          <cell r="J1713" t="str">
            <v>INSUMO TALLER</v>
          </cell>
          <cell r="K1713" t="str">
            <v xml:space="preserve">SILICONA </v>
          </cell>
          <cell r="L1713">
            <v>1</v>
          </cell>
          <cell r="M1713" t="str">
            <v>UNID.</v>
          </cell>
          <cell r="N1713" t="str">
            <v>TALLER</v>
          </cell>
          <cell r="O1713">
            <v>90</v>
          </cell>
          <cell r="P1713" t="str">
            <v>E2</v>
          </cell>
          <cell r="Q1713" t="str">
            <v>J2</v>
          </cell>
          <cell r="R1713" t="str">
            <v>J5</v>
          </cell>
          <cell r="S1713" t="str">
            <v>ENTREGADO</v>
          </cell>
          <cell r="T1713">
            <v>0</v>
          </cell>
          <cell r="U1713" t="str">
            <v>YUCA BELLIDO BORIS YERSY</v>
          </cell>
          <cell r="V1713" t="str">
            <v>CORIHUAMAN SURCO  ERICK ROBERT</v>
          </cell>
        </row>
        <row r="1714">
          <cell r="A1714">
            <v>1666</v>
          </cell>
          <cell r="B1714">
            <v>42700</v>
          </cell>
          <cell r="C1714" t="str">
            <v>NOVIEMBRE</v>
          </cell>
          <cell r="D1714" t="str">
            <v>2016</v>
          </cell>
          <cell r="E1714">
            <v>432</v>
          </cell>
          <cell r="F1714" t="str">
            <v>X2W-765</v>
          </cell>
          <cell r="G1714" t="str">
            <v>C5V-993</v>
          </cell>
          <cell r="H1714" t="str">
            <v>LAS BAMBAS</v>
          </cell>
          <cell r="I1714">
            <v>156374</v>
          </cell>
          <cell r="J1714" t="str">
            <v>REPUESTO</v>
          </cell>
          <cell r="K1714" t="str">
            <v>FILTRO DE AIRE</v>
          </cell>
          <cell r="L1714">
            <v>1</v>
          </cell>
          <cell r="M1714" t="str">
            <v>UNID.</v>
          </cell>
          <cell r="N1714" t="str">
            <v>TRACTO</v>
          </cell>
          <cell r="O1714">
            <v>90</v>
          </cell>
          <cell r="P1714" t="str">
            <v>M1</v>
          </cell>
          <cell r="Q1714" t="str">
            <v>J2</v>
          </cell>
          <cell r="R1714" t="str">
            <v>J2</v>
          </cell>
          <cell r="S1714" t="str">
            <v>ENTREGADO</v>
          </cell>
          <cell r="T1714">
            <v>0</v>
          </cell>
          <cell r="U1714" t="str">
            <v>CABEZAS SANCHEZ JEAN JHONATAN</v>
          </cell>
          <cell r="V1714" t="str">
            <v>CORIHUAMAN SURCO  ERICK ROBERT</v>
          </cell>
        </row>
        <row r="1715">
          <cell r="A1715">
            <v>1690</v>
          </cell>
          <cell r="B1715">
            <v>42700</v>
          </cell>
          <cell r="C1715" t="str">
            <v>NOVIEMBRE</v>
          </cell>
          <cell r="D1715" t="str">
            <v>2016</v>
          </cell>
          <cell r="E1715">
            <v>432</v>
          </cell>
          <cell r="F1715" t="str">
            <v>X2W-765</v>
          </cell>
          <cell r="G1715" t="str">
            <v>C5V-993</v>
          </cell>
          <cell r="H1715" t="str">
            <v>LAS BAMBAS</v>
          </cell>
          <cell r="I1715">
            <v>156374</v>
          </cell>
          <cell r="J1715" t="str">
            <v>REPUESTO</v>
          </cell>
          <cell r="K1715" t="str">
            <v>KIT DE REPARACION DE COMPRESORA</v>
          </cell>
          <cell r="L1715">
            <v>1</v>
          </cell>
          <cell r="M1715" t="str">
            <v>UNID.</v>
          </cell>
          <cell r="N1715" t="str">
            <v>TRACTO</v>
          </cell>
          <cell r="O1715">
            <v>90</v>
          </cell>
          <cell r="P1715" t="str">
            <v>M4</v>
          </cell>
          <cell r="Q1715" t="str">
            <v>J2</v>
          </cell>
          <cell r="R1715" t="str">
            <v>J5</v>
          </cell>
          <cell r="S1715" t="str">
            <v>ENTREGADO</v>
          </cell>
          <cell r="T1715">
            <v>0</v>
          </cell>
          <cell r="U1715" t="str">
            <v>JULLIRI APAZA UBALDO</v>
          </cell>
          <cell r="V1715" t="str">
            <v>CORIHUAMAN SURCO  ERICK ROBERT</v>
          </cell>
        </row>
        <row r="1716">
          <cell r="A1716">
            <v>1693</v>
          </cell>
          <cell r="B1716">
            <v>42701</v>
          </cell>
          <cell r="C1716" t="str">
            <v>NOVIEMBRE</v>
          </cell>
          <cell r="D1716" t="str">
            <v>2016</v>
          </cell>
          <cell r="E1716">
            <v>372</v>
          </cell>
          <cell r="F1716" t="str">
            <v>C5R-892</v>
          </cell>
          <cell r="G1716" t="str">
            <v>A0T-983</v>
          </cell>
          <cell r="H1716" t="str">
            <v>LAS BAMBAS</v>
          </cell>
          <cell r="I1716">
            <v>225360</v>
          </cell>
          <cell r="J1716" t="str">
            <v>REPUESTO</v>
          </cell>
          <cell r="K1716" t="str">
            <v xml:space="preserve">PERNO 5/16X2" </v>
          </cell>
          <cell r="L1716">
            <v>12</v>
          </cell>
          <cell r="M1716" t="str">
            <v>UNID.</v>
          </cell>
          <cell r="N1716" t="str">
            <v>TRACTO</v>
          </cell>
          <cell r="O1716">
            <v>89</v>
          </cell>
          <cell r="P1716" t="str">
            <v>M2</v>
          </cell>
          <cell r="Q1716" t="str">
            <v>J1</v>
          </cell>
          <cell r="R1716" t="str">
            <v>J1</v>
          </cell>
          <cell r="S1716" t="str">
            <v>ENTREGADO</v>
          </cell>
          <cell r="T1716">
            <v>0</v>
          </cell>
          <cell r="U1716" t="str">
            <v>CHUMPITAZ GAGO JULIO ENRIQUE</v>
          </cell>
          <cell r="V1716" t="str">
            <v>FLOREZ CONDORI  JOSE WILLIANS</v>
          </cell>
        </row>
        <row r="1717">
          <cell r="A1717">
            <v>1694</v>
          </cell>
          <cell r="B1717">
            <v>42701</v>
          </cell>
          <cell r="C1717" t="str">
            <v>NOVIEMBRE</v>
          </cell>
          <cell r="D1717" t="str">
            <v>2016</v>
          </cell>
          <cell r="E1717">
            <v>372</v>
          </cell>
          <cell r="F1717" t="str">
            <v>C5R-892</v>
          </cell>
          <cell r="G1717" t="str">
            <v>A0T-983</v>
          </cell>
          <cell r="H1717" t="str">
            <v>LAS BAMBAS</v>
          </cell>
          <cell r="I1717">
            <v>225360</v>
          </cell>
          <cell r="J1717" t="str">
            <v>REPUESTO</v>
          </cell>
          <cell r="K1717" t="str">
            <v>ARANDELA PLANA</v>
          </cell>
          <cell r="L1717">
            <v>12</v>
          </cell>
          <cell r="M1717" t="str">
            <v>UNID.</v>
          </cell>
          <cell r="N1717" t="str">
            <v>TRACTO</v>
          </cell>
          <cell r="O1717">
            <v>89</v>
          </cell>
          <cell r="P1717" t="str">
            <v>M2</v>
          </cell>
          <cell r="Q1717" t="str">
            <v>J1</v>
          </cell>
          <cell r="R1717" t="str">
            <v>J1</v>
          </cell>
          <cell r="S1717" t="str">
            <v>ENTREGADO</v>
          </cell>
          <cell r="T1717">
            <v>0</v>
          </cell>
          <cell r="U1717" t="str">
            <v>CHUMPITAZ GAGO JULIO ENRIQUE</v>
          </cell>
          <cell r="V1717" t="str">
            <v>FLOREZ CONDORI  JOSE WILLIANS</v>
          </cell>
        </row>
        <row r="1718">
          <cell r="A1718">
            <v>1695</v>
          </cell>
          <cell r="B1718">
            <v>42701</v>
          </cell>
          <cell r="C1718" t="str">
            <v>NOVIEMBRE</v>
          </cell>
          <cell r="D1718" t="str">
            <v>2016</v>
          </cell>
          <cell r="E1718">
            <v>372</v>
          </cell>
          <cell r="F1718" t="str">
            <v>C5R-892</v>
          </cell>
          <cell r="G1718" t="str">
            <v>A0T-983</v>
          </cell>
          <cell r="H1718" t="str">
            <v>LAS BAMBAS</v>
          </cell>
          <cell r="I1718">
            <v>225360</v>
          </cell>
          <cell r="J1718" t="str">
            <v>REPUESTO</v>
          </cell>
          <cell r="K1718" t="str">
            <v>ARANDELA A PRESION</v>
          </cell>
          <cell r="L1718">
            <v>12</v>
          </cell>
          <cell r="M1718" t="str">
            <v>UNID.</v>
          </cell>
          <cell r="N1718" t="str">
            <v>TRACTO</v>
          </cell>
          <cell r="O1718">
            <v>89</v>
          </cell>
          <cell r="P1718" t="str">
            <v>M2</v>
          </cell>
          <cell r="Q1718" t="str">
            <v>J1</v>
          </cell>
          <cell r="R1718" t="str">
            <v>J1</v>
          </cell>
          <cell r="S1718" t="str">
            <v>ENTREGADO</v>
          </cell>
          <cell r="T1718">
            <v>0</v>
          </cell>
          <cell r="U1718" t="str">
            <v>CHUMPITAZ GAGO JULIO ENRIQUE</v>
          </cell>
          <cell r="V1718" t="str">
            <v>FLOREZ CONDORI  JOSE WILLIANS</v>
          </cell>
        </row>
        <row r="1719">
          <cell r="A1719">
            <v>1706</v>
          </cell>
          <cell r="B1719">
            <v>42701</v>
          </cell>
          <cell r="C1719" t="str">
            <v>NOVIEMBRE</v>
          </cell>
          <cell r="D1719" t="str">
            <v>2016</v>
          </cell>
          <cell r="E1719">
            <v>202</v>
          </cell>
          <cell r="F1719" t="str">
            <v>D3P-752</v>
          </cell>
          <cell r="G1719" t="str">
            <v>C5Y-985</v>
          </cell>
          <cell r="H1719" t="str">
            <v>LAS BAMBAS</v>
          </cell>
          <cell r="I1719">
            <v>150504</v>
          </cell>
          <cell r="J1719" t="str">
            <v>REPUESTO</v>
          </cell>
          <cell r="K1719" t="str">
            <v>ORIN DE BOMBA DE AGUA</v>
          </cell>
          <cell r="L1719">
            <v>1</v>
          </cell>
          <cell r="M1719" t="str">
            <v>UNID.</v>
          </cell>
          <cell r="N1719" t="str">
            <v>TRACTO</v>
          </cell>
          <cell r="O1719">
            <v>89</v>
          </cell>
          <cell r="P1719" t="str">
            <v>M2</v>
          </cell>
          <cell r="Q1719" t="str">
            <v>J1</v>
          </cell>
          <cell r="R1719" t="str">
            <v>J1</v>
          </cell>
          <cell r="S1719" t="str">
            <v>ENTREGADO</v>
          </cell>
          <cell r="T1719">
            <v>0</v>
          </cell>
          <cell r="U1719" t="str">
            <v>CHUMPITAZ GAGO JULIO ENRIQUE</v>
          </cell>
          <cell r="V1719" t="str">
            <v>FLOREZ CONDORI  JOSE WILLIANS</v>
          </cell>
        </row>
        <row r="1720">
          <cell r="A1720">
            <v>1707</v>
          </cell>
          <cell r="B1720">
            <v>42701</v>
          </cell>
          <cell r="C1720" t="str">
            <v>NOVIEMBRE</v>
          </cell>
          <cell r="D1720" t="str">
            <v>2016</v>
          </cell>
          <cell r="E1720">
            <v>202</v>
          </cell>
          <cell r="F1720" t="str">
            <v>D3P-752</v>
          </cell>
          <cell r="G1720" t="str">
            <v>C5Y-985</v>
          </cell>
          <cell r="H1720" t="str">
            <v>LAS BAMBAS</v>
          </cell>
          <cell r="I1720">
            <v>150504</v>
          </cell>
          <cell r="J1720" t="str">
            <v>REPUESTO</v>
          </cell>
          <cell r="K1720" t="str">
            <v>SEGURO DE BOMBA DE AGUA</v>
          </cell>
          <cell r="L1720">
            <v>1</v>
          </cell>
          <cell r="M1720" t="str">
            <v>UNID.</v>
          </cell>
          <cell r="N1720" t="str">
            <v>TRACTO</v>
          </cell>
          <cell r="O1720">
            <v>89</v>
          </cell>
          <cell r="P1720" t="str">
            <v>M2</v>
          </cell>
          <cell r="Q1720" t="str">
            <v>J1</v>
          </cell>
          <cell r="R1720" t="str">
            <v>J1</v>
          </cell>
          <cell r="S1720" t="str">
            <v>ENTREGADO</v>
          </cell>
          <cell r="T1720">
            <v>0</v>
          </cell>
          <cell r="U1720" t="str">
            <v>CHUMPITAZ GAGO JULIO ENRIQUE</v>
          </cell>
          <cell r="V1720" t="str">
            <v>FLOREZ CONDORI  JOSE WILLIANS</v>
          </cell>
        </row>
        <row r="1721">
          <cell r="A1721">
            <v>1696</v>
          </cell>
          <cell r="B1721">
            <v>42701</v>
          </cell>
          <cell r="C1721" t="str">
            <v>NOVIEMBRE</v>
          </cell>
          <cell r="D1721" t="str">
            <v>2016</v>
          </cell>
          <cell r="E1721">
            <v>435</v>
          </cell>
          <cell r="F1721" t="str">
            <v>D3R-791</v>
          </cell>
          <cell r="G1721" t="str">
            <v>B1M-993</v>
          </cell>
          <cell r="H1721" t="str">
            <v>LAS BAMBAS</v>
          </cell>
          <cell r="I1721">
            <v>138254</v>
          </cell>
          <cell r="J1721" t="str">
            <v>SERVICIO</v>
          </cell>
          <cell r="K1721" t="str">
            <v>RE PARARCION ESPEJO PANORAMICO PEQUEÑO RH</v>
          </cell>
          <cell r="L1721">
            <v>1</v>
          </cell>
          <cell r="M1721" t="str">
            <v>UNID.</v>
          </cell>
          <cell r="N1721" t="str">
            <v>TRACTO</v>
          </cell>
          <cell r="O1721">
            <v>89</v>
          </cell>
          <cell r="P1721" t="str">
            <v>M2</v>
          </cell>
          <cell r="Q1721" t="str">
            <v>J1</v>
          </cell>
          <cell r="R1721" t="str">
            <v>J1</v>
          </cell>
          <cell r="S1721" t="str">
            <v>ENTREGADO</v>
          </cell>
          <cell r="T1721">
            <v>0</v>
          </cell>
          <cell r="U1721" t="str">
            <v>CHUMPITAZ GAGO JULIO ENRIQUE</v>
          </cell>
          <cell r="V1721" t="str">
            <v>FLOREZ CONDORI  JOSE WILLIANS</v>
          </cell>
        </row>
        <row r="1722">
          <cell r="A1722">
            <v>1697</v>
          </cell>
          <cell r="B1722">
            <v>42701</v>
          </cell>
          <cell r="C1722" t="str">
            <v>NOVIEMBRE</v>
          </cell>
          <cell r="D1722" t="str">
            <v>2016</v>
          </cell>
          <cell r="E1722">
            <v>435</v>
          </cell>
          <cell r="F1722" t="str">
            <v>D3R-791</v>
          </cell>
          <cell r="G1722" t="str">
            <v>B1M-993</v>
          </cell>
          <cell r="H1722" t="str">
            <v>LAS BAMBAS</v>
          </cell>
          <cell r="I1722">
            <v>138254</v>
          </cell>
          <cell r="J1722" t="str">
            <v>REPUESTO</v>
          </cell>
          <cell r="K1722" t="str">
            <v xml:space="preserve">VALVULA DE RETENCION DE COMBUSTIBLE </v>
          </cell>
          <cell r="L1722">
            <v>1</v>
          </cell>
          <cell r="M1722" t="str">
            <v>UNID.</v>
          </cell>
          <cell r="N1722" t="str">
            <v>TRACTO</v>
          </cell>
          <cell r="O1722">
            <v>89</v>
          </cell>
          <cell r="P1722" t="str">
            <v>M2</v>
          </cell>
          <cell r="Q1722" t="str">
            <v>J1</v>
          </cell>
          <cell r="R1722" t="str">
            <v>J1</v>
          </cell>
          <cell r="S1722" t="str">
            <v>ENTREGADO</v>
          </cell>
          <cell r="T1722">
            <v>0</v>
          </cell>
          <cell r="U1722" t="str">
            <v>CHUMPITAZ GAGO JULIO ENRIQUE</v>
          </cell>
          <cell r="V1722" t="str">
            <v>FLOREZ CONDORI  JOSE WILLIANS</v>
          </cell>
        </row>
        <row r="1723">
          <cell r="A1723">
            <v>1698</v>
          </cell>
          <cell r="B1723">
            <v>42701</v>
          </cell>
          <cell r="C1723" t="str">
            <v>NOVIEMBRE</v>
          </cell>
          <cell r="D1723" t="str">
            <v>2016</v>
          </cell>
          <cell r="E1723">
            <v>435</v>
          </cell>
          <cell r="F1723" t="str">
            <v>D3R-791</v>
          </cell>
          <cell r="G1723" t="str">
            <v>B1M-993</v>
          </cell>
          <cell r="H1723" t="str">
            <v>LAS BAMBAS</v>
          </cell>
          <cell r="I1723">
            <v>138254</v>
          </cell>
          <cell r="J1723" t="str">
            <v>REPUESTO</v>
          </cell>
          <cell r="K1723" t="str">
            <v>VALVULA  DE PASO DE COMBUSTIBLE</v>
          </cell>
          <cell r="L1723">
            <v>1</v>
          </cell>
          <cell r="M1723" t="str">
            <v>UNID.</v>
          </cell>
          <cell r="N1723" t="str">
            <v>TRACTO</v>
          </cell>
          <cell r="O1723">
            <v>89</v>
          </cell>
          <cell r="P1723" t="str">
            <v>M2</v>
          </cell>
          <cell r="Q1723" t="str">
            <v>J1</v>
          </cell>
          <cell r="R1723" t="str">
            <v>J1</v>
          </cell>
          <cell r="S1723" t="str">
            <v>ENTREGADO</v>
          </cell>
          <cell r="T1723">
            <v>0</v>
          </cell>
          <cell r="U1723" t="str">
            <v>CHUMPITAZ GAGO JULIO ENRIQUE</v>
          </cell>
          <cell r="V1723" t="str">
            <v>FLOREZ CONDORI  JOSE WILLIANS</v>
          </cell>
        </row>
        <row r="1724">
          <cell r="A1724">
            <v>1699</v>
          </cell>
          <cell r="B1724">
            <v>42701</v>
          </cell>
          <cell r="C1724" t="str">
            <v>NOVIEMBRE</v>
          </cell>
          <cell r="D1724" t="str">
            <v>2016</v>
          </cell>
          <cell r="E1724">
            <v>442</v>
          </cell>
          <cell r="F1724" t="str">
            <v>D6G-805</v>
          </cell>
          <cell r="G1724" t="str">
            <v>T4Z-996</v>
          </cell>
          <cell r="H1724" t="str">
            <v>LAS BAMBAS</v>
          </cell>
          <cell r="I1724">
            <v>222123</v>
          </cell>
          <cell r="J1724" t="str">
            <v>REPUESTO</v>
          </cell>
          <cell r="K1724" t="str">
            <v>PERNOCENTRO 1/2 X 6"</v>
          </cell>
          <cell r="L1724">
            <v>1</v>
          </cell>
          <cell r="M1724" t="str">
            <v>UNID.</v>
          </cell>
          <cell r="N1724" t="str">
            <v>CISTERNA</v>
          </cell>
          <cell r="O1724">
            <v>89</v>
          </cell>
          <cell r="P1724" t="str">
            <v>M3</v>
          </cell>
          <cell r="Q1724" t="str">
            <v>J1</v>
          </cell>
          <cell r="R1724" t="str">
            <v>J1</v>
          </cell>
          <cell r="S1724" t="str">
            <v>ENTREGADO</v>
          </cell>
          <cell r="T1724">
            <v>0</v>
          </cell>
          <cell r="U1724" t="str">
            <v>GARCIA PASQUEL  JOSE LUIS</v>
          </cell>
          <cell r="V1724" t="str">
            <v>FLOREZ CONDORI  JOSE WILLIANS</v>
          </cell>
        </row>
        <row r="1725">
          <cell r="A1725">
            <v>1700</v>
          </cell>
          <cell r="B1725">
            <v>42701</v>
          </cell>
          <cell r="C1725" t="str">
            <v>NOVIEMBRE</v>
          </cell>
          <cell r="D1725" t="str">
            <v>2016</v>
          </cell>
          <cell r="E1725">
            <v>442</v>
          </cell>
          <cell r="F1725" t="str">
            <v>D6G-805</v>
          </cell>
          <cell r="G1725" t="str">
            <v>T4Z-996</v>
          </cell>
          <cell r="H1725" t="str">
            <v>LAS BAMBAS</v>
          </cell>
          <cell r="I1725">
            <v>222123</v>
          </cell>
          <cell r="J1725" t="str">
            <v>REPUESTO</v>
          </cell>
          <cell r="K1725" t="str">
            <v>TUERCA DE 1/2</v>
          </cell>
          <cell r="L1725">
            <v>1</v>
          </cell>
          <cell r="M1725" t="str">
            <v>UNID.</v>
          </cell>
          <cell r="N1725" t="str">
            <v>CISTERNA</v>
          </cell>
          <cell r="O1725">
            <v>89</v>
          </cell>
          <cell r="P1725" t="str">
            <v>M3</v>
          </cell>
          <cell r="Q1725" t="str">
            <v>J1</v>
          </cell>
          <cell r="R1725" t="str">
            <v>J1</v>
          </cell>
          <cell r="S1725" t="str">
            <v>ENTREGADO</v>
          </cell>
          <cell r="T1725">
            <v>0</v>
          </cell>
          <cell r="U1725" t="str">
            <v>GARCIA PASQUEL  JOSE LUIS</v>
          </cell>
          <cell r="V1725" t="str">
            <v>FLOREZ CONDORI  JOSE WILLIANS</v>
          </cell>
        </row>
        <row r="1726">
          <cell r="A1726">
            <v>1701</v>
          </cell>
          <cell r="B1726">
            <v>42701</v>
          </cell>
          <cell r="C1726" t="str">
            <v>NOVIEMBRE</v>
          </cell>
          <cell r="D1726" t="str">
            <v>2016</v>
          </cell>
          <cell r="E1726">
            <v>442</v>
          </cell>
          <cell r="F1726" t="str">
            <v>D6G-805</v>
          </cell>
          <cell r="G1726" t="str">
            <v>T4Z-996</v>
          </cell>
          <cell r="H1726" t="str">
            <v>LAS BAMBAS</v>
          </cell>
          <cell r="I1726">
            <v>222123</v>
          </cell>
          <cell r="J1726" t="str">
            <v>REPUESTO</v>
          </cell>
          <cell r="K1726" t="str">
            <v>PERNO 5/8 X6</v>
          </cell>
          <cell r="L1726">
            <v>1</v>
          </cell>
          <cell r="M1726" t="str">
            <v>UNID.</v>
          </cell>
          <cell r="N1726" t="str">
            <v>CISTERNA</v>
          </cell>
          <cell r="O1726">
            <v>89</v>
          </cell>
          <cell r="P1726" t="str">
            <v>M3</v>
          </cell>
          <cell r="Q1726" t="str">
            <v>J1</v>
          </cell>
          <cell r="R1726" t="str">
            <v>J1</v>
          </cell>
          <cell r="S1726" t="str">
            <v>ENTREGADO</v>
          </cell>
          <cell r="T1726">
            <v>0</v>
          </cell>
          <cell r="U1726" t="str">
            <v>GARCIA PASQUEL  JOSE LUIS</v>
          </cell>
          <cell r="V1726" t="str">
            <v>FLOREZ CONDORI  JOSE WILLIANS</v>
          </cell>
        </row>
        <row r="1727">
          <cell r="A1727">
            <v>1702</v>
          </cell>
          <cell r="B1727">
            <v>42701</v>
          </cell>
          <cell r="C1727" t="str">
            <v>NOVIEMBRE</v>
          </cell>
          <cell r="D1727" t="str">
            <v>2016</v>
          </cell>
          <cell r="E1727">
            <v>442</v>
          </cell>
          <cell r="F1727" t="str">
            <v>D6G-805</v>
          </cell>
          <cell r="G1727" t="str">
            <v>T4Z-996</v>
          </cell>
          <cell r="H1727" t="str">
            <v>LAS BAMBAS</v>
          </cell>
          <cell r="I1727">
            <v>222123</v>
          </cell>
          <cell r="J1727" t="str">
            <v>REPUESTO</v>
          </cell>
          <cell r="K1727" t="str">
            <v>ARANDELA 5/8</v>
          </cell>
          <cell r="L1727">
            <v>2</v>
          </cell>
          <cell r="M1727" t="str">
            <v>UNID.</v>
          </cell>
          <cell r="N1727" t="str">
            <v>CISTERNA</v>
          </cell>
          <cell r="O1727">
            <v>89</v>
          </cell>
          <cell r="P1727" t="str">
            <v>M3</v>
          </cell>
          <cell r="Q1727" t="str">
            <v>J1</v>
          </cell>
          <cell r="R1727" t="str">
            <v>J1</v>
          </cell>
          <cell r="S1727" t="str">
            <v>ENTREGADO</v>
          </cell>
          <cell r="T1727">
            <v>0</v>
          </cell>
          <cell r="U1727" t="str">
            <v>GARCIA PASQUEL  JOSE LUIS</v>
          </cell>
          <cell r="V1727" t="str">
            <v>FLOREZ CONDORI  JOSE WILLIANS</v>
          </cell>
        </row>
        <row r="1728">
          <cell r="A1728">
            <v>1703</v>
          </cell>
          <cell r="B1728">
            <v>42701</v>
          </cell>
          <cell r="C1728" t="str">
            <v>NOVIEMBRE</v>
          </cell>
          <cell r="D1728" t="str">
            <v>2016</v>
          </cell>
          <cell r="E1728">
            <v>442</v>
          </cell>
          <cell r="F1728" t="str">
            <v>D6G-805</v>
          </cell>
          <cell r="G1728" t="str">
            <v>T4Z-996</v>
          </cell>
          <cell r="H1728" t="str">
            <v>LAS BAMBAS</v>
          </cell>
          <cell r="I1728">
            <v>222123</v>
          </cell>
          <cell r="J1728" t="str">
            <v>REPUESTO</v>
          </cell>
          <cell r="K1728" t="str">
            <v>TUERCA SEGURA 5/8</v>
          </cell>
          <cell r="L1728">
            <v>1</v>
          </cell>
          <cell r="M1728" t="str">
            <v>UNID.</v>
          </cell>
          <cell r="N1728" t="str">
            <v>CISTERNA</v>
          </cell>
          <cell r="O1728">
            <v>89</v>
          </cell>
          <cell r="P1728" t="str">
            <v>M3</v>
          </cell>
          <cell r="Q1728" t="str">
            <v>J1</v>
          </cell>
          <cell r="R1728" t="str">
            <v>J1</v>
          </cell>
          <cell r="S1728" t="str">
            <v>ENTREGADO</v>
          </cell>
          <cell r="T1728">
            <v>0</v>
          </cell>
          <cell r="U1728" t="str">
            <v>GARCIA PASQUEL  JOSE LUIS</v>
          </cell>
          <cell r="V1728" t="str">
            <v>FLOREZ CONDORI  JOSE WILLIANS</v>
          </cell>
        </row>
        <row r="1729">
          <cell r="A1729">
            <v>1704</v>
          </cell>
          <cell r="B1729">
            <v>42701</v>
          </cell>
          <cell r="C1729" t="str">
            <v>NOVIEMBRE</v>
          </cell>
          <cell r="D1729" t="str">
            <v>2016</v>
          </cell>
          <cell r="E1729">
            <v>420</v>
          </cell>
          <cell r="F1729" t="str">
            <v>X2W-763</v>
          </cell>
          <cell r="G1729" t="str">
            <v>C5V-997</v>
          </cell>
          <cell r="H1729" t="str">
            <v>LAS BAMBAS</v>
          </cell>
          <cell r="I1729">
            <v>154933</v>
          </cell>
          <cell r="J1729" t="str">
            <v>REPUESTO</v>
          </cell>
          <cell r="K1729" t="str">
            <v>RE PARARCION ESPEJO PANORAMICO PEQUEÑO RH</v>
          </cell>
          <cell r="L1729">
            <v>1</v>
          </cell>
          <cell r="M1729" t="str">
            <v>UNID.</v>
          </cell>
          <cell r="N1729" t="str">
            <v>TRACTO</v>
          </cell>
          <cell r="O1729">
            <v>89</v>
          </cell>
          <cell r="P1729" t="str">
            <v>M3</v>
          </cell>
          <cell r="Q1729" t="str">
            <v>J1</v>
          </cell>
          <cell r="R1729" t="str">
            <v>J1</v>
          </cell>
          <cell r="S1729" t="str">
            <v>ENTREGADO</v>
          </cell>
          <cell r="T1729">
            <v>0</v>
          </cell>
          <cell r="U1729" t="str">
            <v>GARCIA PASQUEL  JOSE LUIS</v>
          </cell>
          <cell r="V1729" t="str">
            <v>FLOREZ CONDORI  JOSE WILLIANS</v>
          </cell>
        </row>
        <row r="1730">
          <cell r="A1730">
            <v>1705</v>
          </cell>
          <cell r="B1730">
            <v>42701</v>
          </cell>
          <cell r="C1730" t="str">
            <v>NOVIEMBRE</v>
          </cell>
          <cell r="D1730" t="str">
            <v>2016</v>
          </cell>
          <cell r="E1730">
            <v>432</v>
          </cell>
          <cell r="F1730" t="str">
            <v>X2W-765</v>
          </cell>
          <cell r="G1730" t="str">
            <v>C5V-993</v>
          </cell>
          <cell r="H1730" t="str">
            <v>LAS BAMBAS</v>
          </cell>
          <cell r="I1730">
            <v>156374</v>
          </cell>
          <cell r="J1730" t="str">
            <v>REPUESTO</v>
          </cell>
          <cell r="K1730" t="str">
            <v xml:space="preserve">NIPLE DE COMPRESORA </v>
          </cell>
          <cell r="L1730">
            <v>1</v>
          </cell>
          <cell r="M1730" t="str">
            <v>UNID.</v>
          </cell>
          <cell r="N1730" t="str">
            <v>TRACTO</v>
          </cell>
          <cell r="O1730">
            <v>89</v>
          </cell>
          <cell r="P1730" t="str">
            <v>M1</v>
          </cell>
          <cell r="Q1730" t="str">
            <v>J1</v>
          </cell>
          <cell r="R1730" t="str">
            <v>J1</v>
          </cell>
          <cell r="S1730" t="str">
            <v>ENTREGADO</v>
          </cell>
          <cell r="T1730">
            <v>0</v>
          </cell>
          <cell r="U1730" t="str">
            <v>CABEZAS SANCHEZ JEAN JHONATAN</v>
          </cell>
          <cell r="V1730" t="str">
            <v>FLOREZ CONDORI  JOSE WILLIANS</v>
          </cell>
        </row>
        <row r="1731">
          <cell r="A1731">
            <v>1725</v>
          </cell>
          <cell r="B1731">
            <v>42702</v>
          </cell>
          <cell r="C1731" t="str">
            <v>NOVIEMBRE</v>
          </cell>
          <cell r="D1731" t="str">
            <v>2016</v>
          </cell>
          <cell r="E1731">
            <v>446</v>
          </cell>
          <cell r="F1731" t="str">
            <v>A5O-859</v>
          </cell>
          <cell r="G1731" t="str">
            <v>B6Y-971</v>
          </cell>
          <cell r="H1731" t="str">
            <v>LAS BAMBAS</v>
          </cell>
          <cell r="I1731">
            <v>115729</v>
          </cell>
          <cell r="J1731" t="str">
            <v>REPUESTO</v>
          </cell>
          <cell r="K1731" t="str">
            <v>FOCO DOBLE CONTACTO 12 V</v>
          </cell>
          <cell r="L1731">
            <v>2</v>
          </cell>
          <cell r="M1731" t="str">
            <v>UNID.</v>
          </cell>
          <cell r="N1731" t="str">
            <v>TRACTO</v>
          </cell>
          <cell r="O1731">
            <v>88</v>
          </cell>
          <cell r="P1731" t="str">
            <v>E2</v>
          </cell>
          <cell r="Q1731" t="str">
            <v>J2</v>
          </cell>
          <cell r="R1731" t="str">
            <v>J5</v>
          </cell>
          <cell r="S1731" t="str">
            <v>ENTREGADO</v>
          </cell>
          <cell r="T1731">
            <v>0</v>
          </cell>
          <cell r="U1731" t="str">
            <v>YUCA BELLIDO BORIS YERSY</v>
          </cell>
          <cell r="V1731" t="str">
            <v>CORIHUAMAN SURCO  ERICK ROBERT</v>
          </cell>
        </row>
        <row r="1732">
          <cell r="A1732">
            <v>1732</v>
          </cell>
          <cell r="B1732">
            <v>42702</v>
          </cell>
          <cell r="C1732" t="str">
            <v>NOVIEMBRE</v>
          </cell>
          <cell r="D1732" t="str">
            <v>2016</v>
          </cell>
          <cell r="E1732">
            <v>446</v>
          </cell>
          <cell r="F1732" t="str">
            <v>A5O-859</v>
          </cell>
          <cell r="G1732" t="str">
            <v>B6Y-971</v>
          </cell>
          <cell r="H1732" t="str">
            <v>LAS BAMBAS</v>
          </cell>
          <cell r="I1732">
            <v>115729</v>
          </cell>
          <cell r="J1732" t="str">
            <v>REPUESTO</v>
          </cell>
          <cell r="K1732" t="str">
            <v>FARO PIRATA</v>
          </cell>
          <cell r="L1732">
            <v>1</v>
          </cell>
          <cell r="M1732" t="str">
            <v>UNID.</v>
          </cell>
          <cell r="N1732" t="str">
            <v>TRACTO</v>
          </cell>
          <cell r="O1732">
            <v>88</v>
          </cell>
          <cell r="P1732" t="str">
            <v>E3</v>
          </cell>
          <cell r="Q1732" t="str">
            <v>J2</v>
          </cell>
          <cell r="R1732" t="str">
            <v>J5</v>
          </cell>
          <cell r="S1732" t="str">
            <v>ENTREGADO</v>
          </cell>
          <cell r="T1732">
            <v>0</v>
          </cell>
          <cell r="U1732" t="str">
            <v>CONDORI CHURATA ALEX</v>
          </cell>
          <cell r="V1732" t="str">
            <v>CORIHUAMAN SURCO  ERICK ROBERT</v>
          </cell>
        </row>
        <row r="1733">
          <cell r="A1733">
            <v>1774</v>
          </cell>
          <cell r="B1733">
            <v>42702</v>
          </cell>
          <cell r="C1733" t="str">
            <v>NOVIEMBRE</v>
          </cell>
          <cell r="D1733" t="str">
            <v>2016</v>
          </cell>
          <cell r="E1733">
            <v>452</v>
          </cell>
          <cell r="F1733" t="str">
            <v>AAM-837</v>
          </cell>
          <cell r="G1733" t="str">
            <v>CAMIONETA</v>
          </cell>
          <cell r="H1733" t="str">
            <v>LAS BAMBAS</v>
          </cell>
          <cell r="I1733">
            <v>114325</v>
          </cell>
          <cell r="J1733" t="str">
            <v>REPUESTO</v>
          </cell>
          <cell r="K1733" t="str">
            <v>PASTILLAS DE FRENO</v>
          </cell>
          <cell r="L1733">
            <v>1</v>
          </cell>
          <cell r="M1733" t="str">
            <v>JUEGO</v>
          </cell>
          <cell r="N1733" t="str">
            <v>CAMIONETA</v>
          </cell>
          <cell r="O1733">
            <v>88</v>
          </cell>
          <cell r="P1733" t="str">
            <v>M6</v>
          </cell>
          <cell r="Q1733" t="str">
            <v>J2</v>
          </cell>
          <cell r="R1733" t="str">
            <v>J5</v>
          </cell>
          <cell r="S1733" t="str">
            <v>ENTREGADO</v>
          </cell>
          <cell r="T1733">
            <v>0</v>
          </cell>
          <cell r="U1733" t="str">
            <v>PARI VENTURA  EDSON ORLANDO</v>
          </cell>
          <cell r="V1733" t="str">
            <v>CORIHUAMAN SURCO  ERICK ROBERT</v>
          </cell>
        </row>
        <row r="1734">
          <cell r="A1734">
            <v>1715</v>
          </cell>
          <cell r="B1734">
            <v>42702</v>
          </cell>
          <cell r="C1734" t="str">
            <v>NOVIEMBRE</v>
          </cell>
          <cell r="D1734" t="str">
            <v>2016</v>
          </cell>
          <cell r="E1734">
            <v>421</v>
          </cell>
          <cell r="F1734" t="str">
            <v>AKW-860</v>
          </cell>
          <cell r="G1734" t="str">
            <v>F5Z-991</v>
          </cell>
          <cell r="H1734" t="str">
            <v>LAS BAMBAS</v>
          </cell>
          <cell r="I1734">
            <v>37840</v>
          </cell>
          <cell r="J1734" t="str">
            <v>SERVICIO</v>
          </cell>
          <cell r="K1734" t="str">
            <v>REPARACION DE COMPRESORA</v>
          </cell>
          <cell r="L1734">
            <v>1</v>
          </cell>
          <cell r="M1734" t="str">
            <v>UNID.</v>
          </cell>
          <cell r="N1734" t="str">
            <v>TALLER</v>
          </cell>
          <cell r="O1734">
            <v>88</v>
          </cell>
          <cell r="P1734" t="str">
            <v>S1</v>
          </cell>
          <cell r="Q1734" t="str">
            <v>J1</v>
          </cell>
          <cell r="R1734" t="str">
            <v>J5</v>
          </cell>
          <cell r="S1734" t="str">
            <v>ENTREGADO</v>
          </cell>
          <cell r="T1734">
            <v>0</v>
          </cell>
          <cell r="U1734" t="str">
            <v>BAYONA CRUZ CRISTIAN ARMANDO</v>
          </cell>
          <cell r="V1734" t="str">
            <v>FLOREZ CONDORI  JOSE WILLIANS</v>
          </cell>
        </row>
        <row r="1735">
          <cell r="A1735">
            <v>1716</v>
          </cell>
          <cell r="B1735">
            <v>42702</v>
          </cell>
          <cell r="C1735" t="str">
            <v>NOVIEMBRE</v>
          </cell>
          <cell r="D1735" t="str">
            <v>2016</v>
          </cell>
          <cell r="E1735">
            <v>421</v>
          </cell>
          <cell r="F1735" t="str">
            <v>AKW-860</v>
          </cell>
          <cell r="G1735" t="str">
            <v>F5Z-991</v>
          </cell>
          <cell r="H1735" t="str">
            <v>LAS BAMBAS</v>
          </cell>
          <cell r="I1735">
            <v>37840</v>
          </cell>
          <cell r="J1735" t="str">
            <v>REPUESTO</v>
          </cell>
          <cell r="K1735" t="str">
            <v>SUPERCITO 1/8</v>
          </cell>
          <cell r="L1735">
            <v>2</v>
          </cell>
          <cell r="M1735" t="str">
            <v>KG.</v>
          </cell>
          <cell r="N1735" t="str">
            <v>CISTERNA</v>
          </cell>
          <cell r="O1735">
            <v>88</v>
          </cell>
          <cell r="P1735" t="str">
            <v>S1</v>
          </cell>
          <cell r="Q1735" t="str">
            <v>J1</v>
          </cell>
          <cell r="R1735" t="str">
            <v>J5</v>
          </cell>
          <cell r="S1735" t="str">
            <v>ENTREGADO</v>
          </cell>
          <cell r="T1735">
            <v>0</v>
          </cell>
          <cell r="U1735" t="str">
            <v>BAYONA CRUZ CRISTIAN ARMANDO</v>
          </cell>
          <cell r="V1735" t="str">
            <v>FLOREZ CONDORI  JOSE WILLIANS</v>
          </cell>
        </row>
        <row r="1736">
          <cell r="A1736">
            <v>1717</v>
          </cell>
          <cell r="B1736">
            <v>42702</v>
          </cell>
          <cell r="C1736" t="str">
            <v>NOVIEMBRE</v>
          </cell>
          <cell r="D1736" t="str">
            <v>2016</v>
          </cell>
          <cell r="E1736">
            <v>421</v>
          </cell>
          <cell r="F1736" t="str">
            <v>AKW-860</v>
          </cell>
          <cell r="G1736" t="str">
            <v>F5Z-991</v>
          </cell>
          <cell r="H1736" t="str">
            <v>LAS BAMBAS</v>
          </cell>
          <cell r="I1736">
            <v>37840</v>
          </cell>
          <cell r="J1736" t="str">
            <v>REPUESTO</v>
          </cell>
          <cell r="K1736" t="str">
            <v>CELLOCORD 1/8</v>
          </cell>
          <cell r="L1736">
            <v>1</v>
          </cell>
          <cell r="M1736" t="str">
            <v>KG.</v>
          </cell>
          <cell r="N1736" t="str">
            <v>CISTERNA</v>
          </cell>
          <cell r="O1736">
            <v>88</v>
          </cell>
          <cell r="P1736" t="str">
            <v>S1</v>
          </cell>
          <cell r="Q1736" t="str">
            <v>J1</v>
          </cell>
          <cell r="R1736" t="str">
            <v>J5</v>
          </cell>
          <cell r="S1736" t="str">
            <v>ENTREGADO</v>
          </cell>
          <cell r="T1736">
            <v>0</v>
          </cell>
          <cell r="U1736" t="str">
            <v>BAYONA CRUZ CRISTIAN ARMANDO</v>
          </cell>
          <cell r="V1736" t="str">
            <v>FLOREZ CONDORI  JOSE WILLIANS</v>
          </cell>
        </row>
        <row r="1737">
          <cell r="A1737">
            <v>1718</v>
          </cell>
          <cell r="B1737">
            <v>42702</v>
          </cell>
          <cell r="C1737" t="str">
            <v>NOVIEMBRE</v>
          </cell>
          <cell r="D1737" t="str">
            <v>2016</v>
          </cell>
          <cell r="E1737">
            <v>421</v>
          </cell>
          <cell r="F1737" t="str">
            <v>AKW-860</v>
          </cell>
          <cell r="G1737" t="str">
            <v>F5Z-991</v>
          </cell>
          <cell r="H1737" t="str">
            <v>LAS BAMBAS</v>
          </cell>
          <cell r="I1737">
            <v>37840</v>
          </cell>
          <cell r="J1737" t="str">
            <v>REPUESTO</v>
          </cell>
          <cell r="K1737" t="str">
            <v>CHANFER 1/8</v>
          </cell>
          <cell r="L1737">
            <v>2</v>
          </cell>
          <cell r="M1737" t="str">
            <v>KG.</v>
          </cell>
          <cell r="N1737" t="str">
            <v>CISTERNA</v>
          </cell>
          <cell r="O1737">
            <v>88</v>
          </cell>
          <cell r="P1737" t="str">
            <v>S1</v>
          </cell>
          <cell r="Q1737" t="str">
            <v>J1</v>
          </cell>
          <cell r="R1737" t="str">
            <v>J5</v>
          </cell>
          <cell r="S1737" t="str">
            <v>ENTREGADO</v>
          </cell>
          <cell r="T1737">
            <v>0</v>
          </cell>
          <cell r="U1737" t="str">
            <v>BAYONA CRUZ CRISTIAN ARMANDO</v>
          </cell>
          <cell r="V1737" t="str">
            <v>FLOREZ CONDORI  JOSE WILLIANS</v>
          </cell>
        </row>
        <row r="1738">
          <cell r="A1738">
            <v>1719</v>
          </cell>
          <cell r="B1738">
            <v>42702</v>
          </cell>
          <cell r="C1738" t="str">
            <v>NOVIEMBRE</v>
          </cell>
          <cell r="D1738" t="str">
            <v>2016</v>
          </cell>
          <cell r="E1738">
            <v>421</v>
          </cell>
          <cell r="F1738" t="str">
            <v>AKW-860</v>
          </cell>
          <cell r="G1738" t="str">
            <v>F5Z-991</v>
          </cell>
          <cell r="H1738" t="str">
            <v>LAS BAMBAS</v>
          </cell>
          <cell r="I1738">
            <v>37840</v>
          </cell>
          <cell r="J1738" t="str">
            <v>INSUMO TALLER</v>
          </cell>
          <cell r="K1738" t="str">
            <v>DISCO DE CORTE 7"</v>
          </cell>
          <cell r="L1738">
            <v>2</v>
          </cell>
          <cell r="M1738" t="str">
            <v>UNID.</v>
          </cell>
          <cell r="N1738" t="str">
            <v>CISTERNA</v>
          </cell>
          <cell r="O1738">
            <v>88</v>
          </cell>
          <cell r="P1738" t="str">
            <v>S1</v>
          </cell>
          <cell r="Q1738" t="str">
            <v>J1</v>
          </cell>
          <cell r="R1738" t="str">
            <v>J5</v>
          </cell>
          <cell r="S1738" t="str">
            <v>ENTREGADO</v>
          </cell>
          <cell r="T1738">
            <v>0</v>
          </cell>
          <cell r="U1738" t="str">
            <v>BAYONA CRUZ CRISTIAN ARMANDO</v>
          </cell>
          <cell r="V1738" t="str">
            <v>FLOREZ CONDORI  JOSE WILLIANS</v>
          </cell>
        </row>
        <row r="1739">
          <cell r="A1739">
            <v>1720</v>
          </cell>
          <cell r="B1739">
            <v>42702</v>
          </cell>
          <cell r="C1739" t="str">
            <v>NOVIEMBRE</v>
          </cell>
          <cell r="D1739" t="str">
            <v>2016</v>
          </cell>
          <cell r="E1739">
            <v>421</v>
          </cell>
          <cell r="F1739" t="str">
            <v>AKW-860</v>
          </cell>
          <cell r="G1739" t="str">
            <v>F5Z-991</v>
          </cell>
          <cell r="H1739" t="str">
            <v>LAS BAMBAS</v>
          </cell>
          <cell r="I1739">
            <v>37840</v>
          </cell>
          <cell r="J1739" t="str">
            <v>INSUMO TALLER</v>
          </cell>
          <cell r="K1739" t="str">
            <v>DISCO DE CORTE 4"</v>
          </cell>
          <cell r="L1739">
            <v>2</v>
          </cell>
          <cell r="M1739" t="str">
            <v>UNID.</v>
          </cell>
          <cell r="N1739" t="str">
            <v>CISTERNA</v>
          </cell>
          <cell r="O1739">
            <v>88</v>
          </cell>
          <cell r="P1739" t="str">
            <v>S1</v>
          </cell>
          <cell r="Q1739" t="str">
            <v>J1</v>
          </cell>
          <cell r="R1739" t="str">
            <v>J5</v>
          </cell>
          <cell r="S1739" t="str">
            <v>ENTREGADO</v>
          </cell>
          <cell r="T1739">
            <v>0</v>
          </cell>
          <cell r="U1739" t="str">
            <v>BAYONA CRUZ CRISTIAN ARMANDO</v>
          </cell>
          <cell r="V1739" t="str">
            <v>FLOREZ CONDORI  JOSE WILLIANS</v>
          </cell>
        </row>
        <row r="1740">
          <cell r="A1740">
            <v>1773</v>
          </cell>
          <cell r="B1740">
            <v>42702</v>
          </cell>
          <cell r="C1740" t="str">
            <v>NOVIEMBRE</v>
          </cell>
          <cell r="D1740" t="str">
            <v>2016</v>
          </cell>
          <cell r="E1740">
            <v>421</v>
          </cell>
          <cell r="F1740" t="str">
            <v>AKW-860</v>
          </cell>
          <cell r="G1740" t="str">
            <v>F5Z-991</v>
          </cell>
          <cell r="H1740" t="str">
            <v>LAS BAMBAS</v>
          </cell>
          <cell r="I1740">
            <v>37840</v>
          </cell>
          <cell r="J1740" t="str">
            <v>REPUESTO</v>
          </cell>
          <cell r="K1740" t="str">
            <v xml:space="preserve">SUPERCITO </v>
          </cell>
          <cell r="L1740">
            <v>5</v>
          </cell>
          <cell r="M1740" t="str">
            <v>KG.</v>
          </cell>
          <cell r="N1740" t="str">
            <v>CISTERNA</v>
          </cell>
          <cell r="O1740">
            <v>88</v>
          </cell>
          <cell r="P1740" t="str">
            <v>S1</v>
          </cell>
          <cell r="Q1740" t="str">
            <v>J2</v>
          </cell>
          <cell r="R1740" t="str">
            <v>J5</v>
          </cell>
          <cell r="S1740" t="str">
            <v>ENTREGADO</v>
          </cell>
          <cell r="T1740">
            <v>0</v>
          </cell>
          <cell r="U1740" t="str">
            <v>BAYONA CRUZ CRISTIAN ARMANDO</v>
          </cell>
          <cell r="V1740" t="str">
            <v>CORIHUAMAN SURCO  ERICK ROBERT</v>
          </cell>
        </row>
        <row r="1741">
          <cell r="A1741">
            <v>1781</v>
          </cell>
          <cell r="B1741">
            <v>42702</v>
          </cell>
          <cell r="C1741" t="str">
            <v>NOVIEMBRE</v>
          </cell>
          <cell r="D1741" t="str">
            <v>2016</v>
          </cell>
          <cell r="E1741">
            <v>421</v>
          </cell>
          <cell r="F1741" t="str">
            <v>AKW-860</v>
          </cell>
          <cell r="G1741" t="str">
            <v>F5Z-991</v>
          </cell>
          <cell r="H1741" t="str">
            <v>LAS BAMBAS</v>
          </cell>
          <cell r="I1741">
            <v>37840</v>
          </cell>
          <cell r="J1741" t="str">
            <v>INSUMO TALLER</v>
          </cell>
          <cell r="K1741" t="str">
            <v>CELLOCORD 5/32</v>
          </cell>
          <cell r="L1741">
            <v>1</v>
          </cell>
          <cell r="M1741" t="str">
            <v>KG.</v>
          </cell>
          <cell r="N1741" t="str">
            <v>CISTERNA</v>
          </cell>
          <cell r="O1741">
            <v>88</v>
          </cell>
          <cell r="P1741" t="str">
            <v>S1</v>
          </cell>
          <cell r="Q1741" t="str">
            <v>J2</v>
          </cell>
          <cell r="R1741" t="str">
            <v>J5</v>
          </cell>
          <cell r="S1741" t="str">
            <v>ENTREGADO</v>
          </cell>
          <cell r="T1741">
            <v>0</v>
          </cell>
          <cell r="U1741" t="str">
            <v>BAYONA CRUZ CRISTIAN ARMANDO</v>
          </cell>
          <cell r="V1741" t="str">
            <v>CORIHUAMAN SURCO  ERICK ROBERT</v>
          </cell>
        </row>
        <row r="1742">
          <cell r="A1742">
            <v>1733</v>
          </cell>
          <cell r="B1742">
            <v>42702</v>
          </cell>
          <cell r="C1742" t="str">
            <v>NOVIEMBRE</v>
          </cell>
          <cell r="D1742" t="str">
            <v>2016</v>
          </cell>
          <cell r="E1742">
            <v>448</v>
          </cell>
          <cell r="F1742" t="str">
            <v>AKX-767</v>
          </cell>
          <cell r="G1742" t="str">
            <v>TCR-993</v>
          </cell>
          <cell r="H1742" t="str">
            <v>LAS BAMBAS CONC.</v>
          </cell>
          <cell r="I1742">
            <v>20876</v>
          </cell>
          <cell r="J1742" t="str">
            <v>REPUESTO</v>
          </cell>
          <cell r="K1742" t="str">
            <v>PARCHE RACK 12</v>
          </cell>
          <cell r="L1742">
            <v>1</v>
          </cell>
          <cell r="M1742" t="str">
            <v>UNID.</v>
          </cell>
          <cell r="N1742" t="str">
            <v>TRACTO</v>
          </cell>
          <cell r="O1742">
            <v>88</v>
          </cell>
          <cell r="P1742" t="str">
            <v>N1</v>
          </cell>
          <cell r="Q1742" t="str">
            <v>J3</v>
          </cell>
          <cell r="R1742" t="str">
            <v>J5</v>
          </cell>
          <cell r="S1742" t="str">
            <v>ENTREGADO</v>
          </cell>
          <cell r="T1742">
            <v>0</v>
          </cell>
          <cell r="U1742" t="str">
            <v>AGUILAR CCANTUTA WILLY</v>
          </cell>
          <cell r="V1742" t="str">
            <v>CHURA PIZARRO ALBERTO</v>
          </cell>
        </row>
        <row r="1743">
          <cell r="A1743">
            <v>1766</v>
          </cell>
          <cell r="B1743">
            <v>42702</v>
          </cell>
          <cell r="C1743" t="str">
            <v>NOVIEMBRE</v>
          </cell>
          <cell r="D1743" t="str">
            <v>2016</v>
          </cell>
          <cell r="E1743">
            <v>372</v>
          </cell>
          <cell r="F1743" t="str">
            <v>C5R-892</v>
          </cell>
          <cell r="G1743" t="str">
            <v>A0T-983</v>
          </cell>
          <cell r="H1743" t="str">
            <v>LAS BAMBAS</v>
          </cell>
          <cell r="I1743">
            <v>225360</v>
          </cell>
          <cell r="J1743" t="str">
            <v>REPUESTO</v>
          </cell>
          <cell r="K1743" t="str">
            <v>PERNO MANHOLE C/ DOBLE TUERCA</v>
          </cell>
          <cell r="L1743">
            <v>1</v>
          </cell>
          <cell r="M1743" t="str">
            <v>UNID.</v>
          </cell>
          <cell r="N1743" t="str">
            <v>CISTERNA</v>
          </cell>
          <cell r="O1743">
            <v>88</v>
          </cell>
          <cell r="P1743" t="str">
            <v>S2</v>
          </cell>
          <cell r="Q1743" t="str">
            <v>J2</v>
          </cell>
          <cell r="R1743" t="str">
            <v>J5</v>
          </cell>
          <cell r="S1743" t="str">
            <v>ENTREGADO</v>
          </cell>
          <cell r="T1743">
            <v>0</v>
          </cell>
          <cell r="U1743" t="str">
            <v>PALOMINO ESTRADA  MICHEL</v>
          </cell>
          <cell r="V1743" t="str">
            <v>CORIHUAMAN SURCO  ERICK ROBERT</v>
          </cell>
        </row>
        <row r="1744">
          <cell r="A1744">
            <v>1723</v>
          </cell>
          <cell r="B1744">
            <v>42702</v>
          </cell>
          <cell r="C1744" t="str">
            <v>NOVIEMBRE</v>
          </cell>
          <cell r="D1744" t="str">
            <v>2016</v>
          </cell>
          <cell r="E1744">
            <v>447</v>
          </cell>
          <cell r="F1744" t="str">
            <v>C6X-739</v>
          </cell>
          <cell r="G1744" t="str">
            <v>TCS-988</v>
          </cell>
          <cell r="H1744" t="str">
            <v>LAS BAMBAS CONC.</v>
          </cell>
          <cell r="I1744">
            <v>227424</v>
          </cell>
          <cell r="J1744" t="str">
            <v>REPUESTO</v>
          </cell>
          <cell r="K1744" t="str">
            <v>SERVO DE DIRECCION</v>
          </cell>
          <cell r="L1744">
            <v>1</v>
          </cell>
          <cell r="M1744" t="str">
            <v>UNID.</v>
          </cell>
          <cell r="N1744" t="str">
            <v>TRACTO</v>
          </cell>
          <cell r="O1744">
            <v>88</v>
          </cell>
          <cell r="P1744" t="str">
            <v>J2</v>
          </cell>
          <cell r="Q1744" t="str">
            <v>J1</v>
          </cell>
          <cell r="R1744" t="str">
            <v>J5</v>
          </cell>
          <cell r="S1744" t="str">
            <v>ENTREGADO</v>
          </cell>
          <cell r="T1744">
            <v>0</v>
          </cell>
          <cell r="U1744" t="str">
            <v>CORIHUAMAN SURCO  ERICK ROBERT</v>
          </cell>
          <cell r="V1744" t="str">
            <v>FLOREZ CONDORI  JOSE WILLIANS</v>
          </cell>
        </row>
        <row r="1745">
          <cell r="A1745">
            <v>1778</v>
          </cell>
          <cell r="B1745">
            <v>42702</v>
          </cell>
          <cell r="C1745" t="str">
            <v>NOVIEMBRE</v>
          </cell>
          <cell r="D1745" t="str">
            <v>2016</v>
          </cell>
          <cell r="E1745">
            <v>453</v>
          </cell>
          <cell r="F1745" t="str">
            <v>C9N-807</v>
          </cell>
          <cell r="G1745" t="str">
            <v>B4O-994</v>
          </cell>
          <cell r="H1745" t="str">
            <v>LAS BAMBAS</v>
          </cell>
          <cell r="I1745">
            <v>210225</v>
          </cell>
          <cell r="J1745" t="str">
            <v>REPUESTO</v>
          </cell>
          <cell r="K1745" t="str">
            <v>FOCO DOBLE CONTACTO 12 V</v>
          </cell>
          <cell r="L1745">
            <v>2</v>
          </cell>
          <cell r="M1745" t="str">
            <v>UNID.</v>
          </cell>
          <cell r="N1745" t="str">
            <v>TRACTO</v>
          </cell>
          <cell r="O1745">
            <v>88</v>
          </cell>
          <cell r="P1745" t="str">
            <v>E2</v>
          </cell>
          <cell r="Q1745" t="str">
            <v>J2</v>
          </cell>
          <cell r="R1745" t="str">
            <v>J5</v>
          </cell>
          <cell r="S1745" t="str">
            <v>ENTREGADO</v>
          </cell>
          <cell r="T1745">
            <v>0</v>
          </cell>
          <cell r="U1745" t="str">
            <v>YUCA BELLIDO BORIS YERSY</v>
          </cell>
          <cell r="V1745" t="str">
            <v>CORIHUAMAN SURCO  ERICK ROBERT</v>
          </cell>
        </row>
        <row r="1746">
          <cell r="A1746">
            <v>1779</v>
          </cell>
          <cell r="B1746">
            <v>42702</v>
          </cell>
          <cell r="C1746" t="str">
            <v>NOVIEMBRE</v>
          </cell>
          <cell r="D1746" t="str">
            <v>2016</v>
          </cell>
          <cell r="E1746">
            <v>453</v>
          </cell>
          <cell r="F1746" t="str">
            <v>C9N-807</v>
          </cell>
          <cell r="G1746" t="str">
            <v>B4O-994</v>
          </cell>
          <cell r="H1746" t="str">
            <v>LAS BAMBAS</v>
          </cell>
          <cell r="I1746">
            <v>210225</v>
          </cell>
          <cell r="J1746" t="str">
            <v>REPUESTO</v>
          </cell>
          <cell r="K1746" t="str">
            <v>FOCO LAGRIMON AMBAR 12 V</v>
          </cell>
          <cell r="L1746">
            <v>1</v>
          </cell>
          <cell r="M1746" t="str">
            <v>UNID.</v>
          </cell>
          <cell r="N1746" t="str">
            <v>TRACTO</v>
          </cell>
          <cell r="O1746">
            <v>88</v>
          </cell>
          <cell r="P1746" t="str">
            <v>E2</v>
          </cell>
          <cell r="Q1746" t="str">
            <v>J2</v>
          </cell>
          <cell r="R1746" t="str">
            <v>J5</v>
          </cell>
          <cell r="S1746" t="str">
            <v>ENTREGADO</v>
          </cell>
          <cell r="T1746">
            <v>0</v>
          </cell>
          <cell r="U1746" t="str">
            <v>YUCA BELLIDO BORIS YERSY</v>
          </cell>
          <cell r="V1746" t="str">
            <v>CORIHUAMAN SURCO  ERICK ROBERT</v>
          </cell>
        </row>
        <row r="1747">
          <cell r="A1747">
            <v>1780</v>
          </cell>
          <cell r="B1747">
            <v>42702</v>
          </cell>
          <cell r="C1747" t="str">
            <v>NOVIEMBRE</v>
          </cell>
          <cell r="D1747" t="str">
            <v>2016</v>
          </cell>
          <cell r="E1747">
            <v>453</v>
          </cell>
          <cell r="F1747" t="str">
            <v>C9N-807</v>
          </cell>
          <cell r="G1747" t="str">
            <v>B4O-994</v>
          </cell>
          <cell r="H1747" t="str">
            <v>LAS BAMBAS</v>
          </cell>
          <cell r="I1747">
            <v>210225</v>
          </cell>
          <cell r="J1747" t="str">
            <v>REPUESTO</v>
          </cell>
          <cell r="K1747" t="str">
            <v>TERMINALES OJO 3/16</v>
          </cell>
          <cell r="L1747">
            <v>3</v>
          </cell>
          <cell r="M1747" t="str">
            <v>UNID.</v>
          </cell>
          <cell r="N1747" t="str">
            <v>TRACTO</v>
          </cell>
          <cell r="O1747">
            <v>88</v>
          </cell>
          <cell r="P1747" t="str">
            <v>E2</v>
          </cell>
          <cell r="Q1747" t="str">
            <v>J2</v>
          </cell>
          <cell r="R1747" t="str">
            <v>J5</v>
          </cell>
          <cell r="S1747" t="str">
            <v>ENTREGADO</v>
          </cell>
          <cell r="T1747">
            <v>0</v>
          </cell>
          <cell r="U1747" t="str">
            <v>YUCA BELLIDO BORIS YERSY</v>
          </cell>
          <cell r="V1747" t="str">
            <v>CORIHUAMAN SURCO  ERICK ROBERT</v>
          </cell>
        </row>
        <row r="1748">
          <cell r="A1748">
            <v>1782</v>
          </cell>
          <cell r="B1748">
            <v>42702</v>
          </cell>
          <cell r="C1748" t="str">
            <v>NOVIEMBRE</v>
          </cell>
          <cell r="D1748" t="str">
            <v>2016</v>
          </cell>
          <cell r="E1748">
            <v>453</v>
          </cell>
          <cell r="F1748" t="str">
            <v>C9N-807</v>
          </cell>
          <cell r="G1748" t="str">
            <v>B4O-994</v>
          </cell>
          <cell r="H1748" t="str">
            <v>LAS BAMBAS</v>
          </cell>
          <cell r="I1748">
            <v>210225</v>
          </cell>
          <cell r="J1748" t="str">
            <v>REPUESTO</v>
          </cell>
          <cell r="K1748" t="str">
            <v>RETENEDOR DE PUERTA</v>
          </cell>
          <cell r="L1748">
            <v>1</v>
          </cell>
          <cell r="M1748" t="str">
            <v>UNID.</v>
          </cell>
          <cell r="N1748" t="str">
            <v>TRACTO</v>
          </cell>
          <cell r="O1748">
            <v>88</v>
          </cell>
          <cell r="P1748" t="str">
            <v>M3</v>
          </cell>
          <cell r="Q1748" t="str">
            <v>J2</v>
          </cell>
          <cell r="R1748" t="str">
            <v>J5</v>
          </cell>
          <cell r="S1748" t="str">
            <v>ENTREGADO</v>
          </cell>
          <cell r="T1748">
            <v>0</v>
          </cell>
          <cell r="U1748" t="str">
            <v>GARCIA PASQUEL  JOSE LUIS</v>
          </cell>
          <cell r="V1748" t="str">
            <v>CORIHUAMAN SURCO  ERICK ROBERT</v>
          </cell>
        </row>
        <row r="1749">
          <cell r="A1749">
            <v>1769</v>
          </cell>
          <cell r="B1749">
            <v>42702</v>
          </cell>
          <cell r="C1749" t="str">
            <v>NOVIEMBRE</v>
          </cell>
          <cell r="D1749" t="str">
            <v>2016</v>
          </cell>
          <cell r="E1749">
            <v>455</v>
          </cell>
          <cell r="F1749" t="str">
            <v>C9P-948</v>
          </cell>
          <cell r="G1749" t="str">
            <v>B4O-995</v>
          </cell>
          <cell r="H1749" t="str">
            <v>LAS BAMBAS</v>
          </cell>
          <cell r="I1749">
            <v>156586</v>
          </cell>
          <cell r="J1749" t="str">
            <v>REPUESTO</v>
          </cell>
          <cell r="K1749" t="str">
            <v>TORNAMESA</v>
          </cell>
          <cell r="L1749">
            <v>1</v>
          </cell>
          <cell r="M1749" t="str">
            <v>UNID.</v>
          </cell>
          <cell r="N1749" t="str">
            <v>TRACTO</v>
          </cell>
          <cell r="O1749">
            <v>88</v>
          </cell>
          <cell r="P1749" t="str">
            <v>M3</v>
          </cell>
          <cell r="Q1749" t="str">
            <v>J2</v>
          </cell>
          <cell r="R1749" t="str">
            <v>J5</v>
          </cell>
          <cell r="S1749" t="str">
            <v>ENTREGADO</v>
          </cell>
          <cell r="T1749">
            <v>0</v>
          </cell>
          <cell r="U1749" t="str">
            <v>GARCIA PASQUEL  JOSE LUIS</v>
          </cell>
          <cell r="V1749" t="str">
            <v>CORIHUAMAN SURCO  ERICK ROBERT</v>
          </cell>
        </row>
        <row r="1750">
          <cell r="A1750">
            <v>1752</v>
          </cell>
          <cell r="B1750">
            <v>42702</v>
          </cell>
          <cell r="C1750" t="str">
            <v>NOVIEMBRE</v>
          </cell>
          <cell r="D1750" t="str">
            <v>2016</v>
          </cell>
          <cell r="E1750">
            <v>403</v>
          </cell>
          <cell r="F1750" t="str">
            <v>D3N-721</v>
          </cell>
          <cell r="G1750" t="str">
            <v>C4S-979</v>
          </cell>
          <cell r="H1750" t="str">
            <v>LAS BAMBAS</v>
          </cell>
          <cell r="I1750">
            <v>133179.79999999999</v>
          </cell>
          <cell r="J1750" t="str">
            <v>REPUESTO</v>
          </cell>
          <cell r="K1750" t="str">
            <v>SEGURO DE PUERTA LADO IZQUIERDO</v>
          </cell>
          <cell r="L1750">
            <v>1</v>
          </cell>
          <cell r="M1750" t="str">
            <v>UNID.</v>
          </cell>
          <cell r="N1750" t="str">
            <v>TRACTO</v>
          </cell>
          <cell r="O1750">
            <v>88</v>
          </cell>
          <cell r="P1750" t="str">
            <v>J2</v>
          </cell>
          <cell r="Q1750" t="str">
            <v>E1</v>
          </cell>
          <cell r="R1750" t="str">
            <v>J2</v>
          </cell>
          <cell r="S1750" t="str">
            <v>ENTREGADO</v>
          </cell>
          <cell r="T1750">
            <v>0</v>
          </cell>
          <cell r="U1750" t="str">
            <v>CORIHUAMAN SURCO  ERICK ROBERT</v>
          </cell>
          <cell r="V1750" t="str">
            <v>PALOMINO CARDENAS JUAN CARLOS</v>
          </cell>
        </row>
        <row r="1751">
          <cell r="A1751">
            <v>1765</v>
          </cell>
          <cell r="B1751">
            <v>42702</v>
          </cell>
          <cell r="C1751" t="str">
            <v>NOVIEMBRE</v>
          </cell>
          <cell r="D1751" t="str">
            <v>2016</v>
          </cell>
          <cell r="E1751">
            <v>451</v>
          </cell>
          <cell r="F1751" t="str">
            <v>D3N-721</v>
          </cell>
          <cell r="G1751" t="str">
            <v>C4S-979</v>
          </cell>
          <cell r="H1751">
            <v>0</v>
          </cell>
          <cell r="I1751">
            <v>0</v>
          </cell>
          <cell r="J1751" t="str">
            <v>REPUESTO</v>
          </cell>
          <cell r="K1751" t="str">
            <v>PERNO 5/8 x 6" C/ TUERCA SEGURO</v>
          </cell>
          <cell r="L1751">
            <v>2</v>
          </cell>
          <cell r="M1751" t="str">
            <v>UNID.</v>
          </cell>
          <cell r="N1751" t="str">
            <v>TRACTO</v>
          </cell>
          <cell r="O1751">
            <v>88</v>
          </cell>
          <cell r="P1751" t="str">
            <v>M6</v>
          </cell>
          <cell r="Q1751" t="str">
            <v>J2</v>
          </cell>
          <cell r="R1751" t="str">
            <v>J5</v>
          </cell>
          <cell r="S1751" t="str">
            <v>ENTREGADO</v>
          </cell>
          <cell r="T1751">
            <v>0</v>
          </cell>
          <cell r="U1751" t="str">
            <v>PARI VENTURA  EDSON ORLANDO</v>
          </cell>
          <cell r="V1751" t="str">
            <v>CORIHUAMAN SURCO  ERICK ROBERT</v>
          </cell>
        </row>
        <row r="1752">
          <cell r="A1752">
            <v>1737</v>
          </cell>
          <cell r="B1752">
            <v>42702</v>
          </cell>
          <cell r="C1752" t="str">
            <v>NOVIEMBRE</v>
          </cell>
          <cell r="D1752" t="str">
            <v>2016</v>
          </cell>
          <cell r="E1752">
            <v>207</v>
          </cell>
          <cell r="F1752" t="str">
            <v>D3P-746</v>
          </cell>
          <cell r="G1752" t="str">
            <v>C0T-974</v>
          </cell>
          <cell r="H1752" t="str">
            <v>LAS BAMBAS</v>
          </cell>
          <cell r="I1752">
            <v>128937</v>
          </cell>
          <cell r="J1752" t="str">
            <v>REPUESTO</v>
          </cell>
          <cell r="K1752" t="str">
            <v>FAROS NEBLINEROS AAA</v>
          </cell>
          <cell r="L1752">
            <v>2</v>
          </cell>
          <cell r="M1752" t="str">
            <v>UNID.</v>
          </cell>
          <cell r="N1752" t="str">
            <v>TRACTO</v>
          </cell>
          <cell r="O1752">
            <v>88</v>
          </cell>
          <cell r="P1752" t="str">
            <v>E2</v>
          </cell>
          <cell r="Q1752" t="str">
            <v>J2</v>
          </cell>
          <cell r="R1752" t="str">
            <v>J5</v>
          </cell>
          <cell r="S1752" t="str">
            <v>ENTREGADO</v>
          </cell>
          <cell r="T1752">
            <v>0</v>
          </cell>
          <cell r="U1752" t="str">
            <v>YUCA BELLIDO BORIS YERSY</v>
          </cell>
          <cell r="V1752" t="str">
            <v>CORIHUAMAN SURCO  ERICK ROBERT</v>
          </cell>
        </row>
        <row r="1753">
          <cell r="A1753">
            <v>1758</v>
          </cell>
          <cell r="B1753">
            <v>42702</v>
          </cell>
          <cell r="C1753" t="str">
            <v>NOVIEMBRE</v>
          </cell>
          <cell r="D1753" t="str">
            <v>2016</v>
          </cell>
          <cell r="E1753">
            <v>207</v>
          </cell>
          <cell r="F1753" t="str">
            <v>D3P-746</v>
          </cell>
          <cell r="G1753" t="str">
            <v>C0T-974</v>
          </cell>
          <cell r="H1753" t="str">
            <v>LAS BAMBAS</v>
          </cell>
          <cell r="I1753">
            <v>128937</v>
          </cell>
          <cell r="J1753" t="str">
            <v>REPUESTO</v>
          </cell>
          <cell r="K1753" t="str">
            <v>NIPLES 3/8 C/ CONECTOR 3/8</v>
          </cell>
          <cell r="L1753">
            <v>3</v>
          </cell>
          <cell r="M1753" t="str">
            <v>UNID.</v>
          </cell>
          <cell r="N1753" t="str">
            <v>CISTERNA</v>
          </cell>
          <cell r="O1753">
            <v>88</v>
          </cell>
          <cell r="P1753" t="str">
            <v>S2</v>
          </cell>
          <cell r="Q1753" t="str">
            <v>J2</v>
          </cell>
          <cell r="R1753" t="str">
            <v>J5</v>
          </cell>
          <cell r="S1753" t="str">
            <v>ENTREGADO</v>
          </cell>
          <cell r="T1753">
            <v>0</v>
          </cell>
          <cell r="U1753" t="str">
            <v>PALOMINO ESTRADA  MICHEL</v>
          </cell>
          <cell r="V1753" t="str">
            <v>CORIHUAMAN SURCO  ERICK ROBERT</v>
          </cell>
        </row>
        <row r="1754">
          <cell r="A1754">
            <v>1759</v>
          </cell>
          <cell r="B1754">
            <v>42702</v>
          </cell>
          <cell r="C1754" t="str">
            <v>NOVIEMBRE</v>
          </cell>
          <cell r="D1754" t="str">
            <v>2016</v>
          </cell>
          <cell r="E1754">
            <v>207</v>
          </cell>
          <cell r="F1754" t="str">
            <v>D3P-746</v>
          </cell>
          <cell r="G1754" t="str">
            <v>C0T-974</v>
          </cell>
          <cell r="H1754" t="str">
            <v>LAS BAMBAS</v>
          </cell>
          <cell r="I1754">
            <v>128937</v>
          </cell>
          <cell r="J1754" t="str">
            <v>REPUESTO</v>
          </cell>
          <cell r="K1754" t="str">
            <v>CAÑERIA 3/8</v>
          </cell>
          <cell r="L1754">
            <v>3</v>
          </cell>
          <cell r="M1754" t="str">
            <v>M</v>
          </cell>
          <cell r="N1754" t="str">
            <v>CISTERNA</v>
          </cell>
          <cell r="O1754">
            <v>88</v>
          </cell>
          <cell r="P1754" t="str">
            <v>S2</v>
          </cell>
          <cell r="Q1754" t="str">
            <v>J2</v>
          </cell>
          <cell r="R1754" t="str">
            <v>J5</v>
          </cell>
          <cell r="S1754" t="str">
            <v>ENTREGADO</v>
          </cell>
          <cell r="T1754">
            <v>0</v>
          </cell>
          <cell r="U1754" t="str">
            <v>PALOMINO ESTRADA  MICHEL</v>
          </cell>
          <cell r="V1754" t="str">
            <v>CORIHUAMAN SURCO  ERICK ROBERT</v>
          </cell>
        </row>
        <row r="1755">
          <cell r="A1755">
            <v>1760</v>
          </cell>
          <cell r="B1755">
            <v>42702</v>
          </cell>
          <cell r="C1755" t="str">
            <v>NOVIEMBRE</v>
          </cell>
          <cell r="D1755" t="str">
            <v>2016</v>
          </cell>
          <cell r="E1755">
            <v>207</v>
          </cell>
          <cell r="F1755" t="str">
            <v>D3P-746</v>
          </cell>
          <cell r="G1755" t="str">
            <v>C0T-974</v>
          </cell>
          <cell r="H1755" t="str">
            <v>LAS BAMBAS</v>
          </cell>
          <cell r="I1755">
            <v>128937</v>
          </cell>
          <cell r="J1755" t="str">
            <v>REPUESTO</v>
          </cell>
          <cell r="K1755" t="str">
            <v>UNION 3/8 C/ CONO Y GUIA</v>
          </cell>
          <cell r="L1755">
            <v>2</v>
          </cell>
          <cell r="M1755" t="str">
            <v>UNID.</v>
          </cell>
          <cell r="N1755" t="str">
            <v>CISTERNA</v>
          </cell>
          <cell r="O1755">
            <v>88</v>
          </cell>
          <cell r="P1755" t="str">
            <v>S2</v>
          </cell>
          <cell r="Q1755" t="str">
            <v>J2</v>
          </cell>
          <cell r="R1755" t="str">
            <v>J5</v>
          </cell>
          <cell r="S1755" t="str">
            <v>ENTREGADO</v>
          </cell>
          <cell r="T1755">
            <v>0</v>
          </cell>
          <cell r="U1755" t="str">
            <v>PALOMINO ESTRADA  MICHEL</v>
          </cell>
          <cell r="V1755" t="str">
            <v>CORIHUAMAN SURCO  ERICK ROBERT</v>
          </cell>
        </row>
        <row r="1756">
          <cell r="A1756">
            <v>1761</v>
          </cell>
          <cell r="B1756">
            <v>42702</v>
          </cell>
          <cell r="C1756" t="str">
            <v>NOVIEMBRE</v>
          </cell>
          <cell r="D1756" t="str">
            <v>2016</v>
          </cell>
          <cell r="E1756">
            <v>207</v>
          </cell>
          <cell r="F1756" t="str">
            <v>D3P-746</v>
          </cell>
          <cell r="G1756" t="str">
            <v>C0T-974</v>
          </cell>
          <cell r="H1756" t="str">
            <v>LAS BAMBAS</v>
          </cell>
          <cell r="I1756">
            <v>128937</v>
          </cell>
          <cell r="J1756" t="str">
            <v>REPUESTO</v>
          </cell>
          <cell r="K1756" t="str">
            <v>CONO Y GUIA 3/8</v>
          </cell>
          <cell r="L1756">
            <v>2</v>
          </cell>
          <cell r="M1756" t="str">
            <v>UNID.</v>
          </cell>
          <cell r="N1756" t="str">
            <v>CISTERNA</v>
          </cell>
          <cell r="O1756">
            <v>88</v>
          </cell>
          <cell r="P1756" t="str">
            <v>S2</v>
          </cell>
          <cell r="Q1756" t="str">
            <v>J2</v>
          </cell>
          <cell r="R1756" t="str">
            <v>J5</v>
          </cell>
          <cell r="S1756" t="str">
            <v>ENTREGADO</v>
          </cell>
          <cell r="T1756">
            <v>0</v>
          </cell>
          <cell r="U1756" t="str">
            <v>PALOMINO ESTRADA  MICHEL</v>
          </cell>
          <cell r="V1756" t="str">
            <v>CORIHUAMAN SURCO  ERICK ROBERT</v>
          </cell>
        </row>
        <row r="1757">
          <cell r="A1757">
            <v>1762</v>
          </cell>
          <cell r="B1757">
            <v>42702</v>
          </cell>
          <cell r="C1757" t="str">
            <v>NOVIEMBRE</v>
          </cell>
          <cell r="D1757" t="str">
            <v>2016</v>
          </cell>
          <cell r="E1757">
            <v>207</v>
          </cell>
          <cell r="F1757" t="str">
            <v>D3P-746</v>
          </cell>
          <cell r="G1757" t="str">
            <v>C0T-974</v>
          </cell>
          <cell r="H1757" t="str">
            <v>LAS BAMBAS</v>
          </cell>
          <cell r="I1757">
            <v>128937</v>
          </cell>
          <cell r="J1757" t="str">
            <v>REPUESTO</v>
          </cell>
          <cell r="K1757" t="str">
            <v>T DE 1/4 CON CONECTOR 3/8</v>
          </cell>
          <cell r="L1757">
            <v>1</v>
          </cell>
          <cell r="M1757" t="str">
            <v>UNID.</v>
          </cell>
          <cell r="N1757" t="str">
            <v>CISTERNA</v>
          </cell>
          <cell r="O1757">
            <v>88</v>
          </cell>
          <cell r="P1757" t="str">
            <v>S2</v>
          </cell>
          <cell r="Q1757" t="str">
            <v>J2</v>
          </cell>
          <cell r="R1757" t="str">
            <v>J5</v>
          </cell>
          <cell r="S1757" t="str">
            <v>ENTREGADO</v>
          </cell>
          <cell r="T1757">
            <v>0</v>
          </cell>
          <cell r="U1757" t="str">
            <v>PALOMINO ESTRADA  MICHEL</v>
          </cell>
          <cell r="V1757" t="str">
            <v>CORIHUAMAN SURCO  ERICK ROBERT</v>
          </cell>
        </row>
        <row r="1758">
          <cell r="A1758">
            <v>1763</v>
          </cell>
          <cell r="B1758">
            <v>42702</v>
          </cell>
          <cell r="C1758" t="str">
            <v>NOVIEMBRE</v>
          </cell>
          <cell r="D1758" t="str">
            <v>2016</v>
          </cell>
          <cell r="E1758">
            <v>207</v>
          </cell>
          <cell r="F1758" t="str">
            <v>D3P-746</v>
          </cell>
          <cell r="G1758" t="str">
            <v>C0T-974</v>
          </cell>
          <cell r="H1758" t="str">
            <v>LAS BAMBAS</v>
          </cell>
          <cell r="I1758">
            <v>128937</v>
          </cell>
          <cell r="J1758" t="str">
            <v>REPUESTO</v>
          </cell>
          <cell r="K1758" t="str">
            <v>CONO Y GUIA 3/8</v>
          </cell>
          <cell r="L1758">
            <v>2</v>
          </cell>
          <cell r="M1758" t="str">
            <v>UNID.</v>
          </cell>
          <cell r="N1758" t="str">
            <v>CISTERNA</v>
          </cell>
          <cell r="O1758">
            <v>88</v>
          </cell>
          <cell r="P1758" t="str">
            <v>S2</v>
          </cell>
          <cell r="Q1758" t="str">
            <v>J2</v>
          </cell>
          <cell r="R1758" t="str">
            <v>J5</v>
          </cell>
          <cell r="S1758" t="str">
            <v>ENTREGADO</v>
          </cell>
          <cell r="T1758">
            <v>0</v>
          </cell>
          <cell r="U1758" t="str">
            <v>PALOMINO ESTRADA  MICHEL</v>
          </cell>
          <cell r="V1758" t="str">
            <v>CORIHUAMAN SURCO  ERICK ROBERT</v>
          </cell>
        </row>
        <row r="1759">
          <cell r="A1759">
            <v>1770</v>
          </cell>
          <cell r="B1759">
            <v>42702</v>
          </cell>
          <cell r="C1759" t="str">
            <v>NOVIEMBRE</v>
          </cell>
          <cell r="D1759" t="str">
            <v>2016</v>
          </cell>
          <cell r="E1759">
            <v>207</v>
          </cell>
          <cell r="F1759" t="str">
            <v>D3P-746</v>
          </cell>
          <cell r="G1759" t="str">
            <v>C0T-974</v>
          </cell>
          <cell r="H1759" t="str">
            <v>LAS BAMBAS</v>
          </cell>
          <cell r="I1759">
            <v>128937</v>
          </cell>
          <cell r="J1759" t="str">
            <v>REPUESTO</v>
          </cell>
          <cell r="K1759" t="str">
            <v>VALVULA DE PITON</v>
          </cell>
          <cell r="L1759">
            <v>12</v>
          </cell>
          <cell r="M1759" t="str">
            <v>UNID.</v>
          </cell>
          <cell r="N1759" t="str">
            <v>CISTERNA</v>
          </cell>
          <cell r="O1759">
            <v>88</v>
          </cell>
          <cell r="P1759" t="str">
            <v>N1</v>
          </cell>
          <cell r="Q1759" t="str">
            <v>J2</v>
          </cell>
          <cell r="R1759" t="str">
            <v>J5</v>
          </cell>
          <cell r="S1759" t="str">
            <v>ENTREGADO</v>
          </cell>
          <cell r="T1759">
            <v>0</v>
          </cell>
          <cell r="U1759" t="str">
            <v>AGUILAR CCANTUTA WILLY</v>
          </cell>
          <cell r="V1759" t="str">
            <v>CORIHUAMAN SURCO  ERICK ROBERT</v>
          </cell>
        </row>
        <row r="1760">
          <cell r="A1760">
            <v>1771</v>
          </cell>
          <cell r="B1760">
            <v>42702</v>
          </cell>
          <cell r="C1760" t="str">
            <v>NOVIEMBRE</v>
          </cell>
          <cell r="D1760" t="str">
            <v>2016</v>
          </cell>
          <cell r="E1760">
            <v>207</v>
          </cell>
          <cell r="F1760" t="str">
            <v>D3P-746</v>
          </cell>
          <cell r="G1760" t="str">
            <v>C0T-974</v>
          </cell>
          <cell r="H1760" t="str">
            <v>LAS BAMBAS</v>
          </cell>
          <cell r="I1760">
            <v>128937</v>
          </cell>
          <cell r="J1760" t="str">
            <v>REPUESTO</v>
          </cell>
          <cell r="K1760" t="str">
            <v>PITON RECTO</v>
          </cell>
          <cell r="L1760">
            <v>6</v>
          </cell>
          <cell r="M1760" t="str">
            <v>UNID.</v>
          </cell>
          <cell r="N1760" t="str">
            <v>CISTERNA</v>
          </cell>
          <cell r="O1760">
            <v>88</v>
          </cell>
          <cell r="P1760" t="str">
            <v>N1</v>
          </cell>
          <cell r="Q1760" t="str">
            <v>J2</v>
          </cell>
          <cell r="R1760" t="str">
            <v>J5</v>
          </cell>
          <cell r="S1760" t="str">
            <v>ENTREGADO</v>
          </cell>
          <cell r="T1760">
            <v>0</v>
          </cell>
          <cell r="U1760" t="str">
            <v>AGUILAR CCANTUTA WILLY</v>
          </cell>
          <cell r="V1760" t="str">
            <v>CORIHUAMAN SURCO  ERICK ROBERT</v>
          </cell>
        </row>
        <row r="1761">
          <cell r="A1761">
            <v>1772</v>
          </cell>
          <cell r="B1761">
            <v>42702</v>
          </cell>
          <cell r="C1761" t="str">
            <v>NOVIEMBRE</v>
          </cell>
          <cell r="D1761" t="str">
            <v>2016</v>
          </cell>
          <cell r="E1761">
            <v>207</v>
          </cell>
          <cell r="F1761" t="str">
            <v>D3P-746</v>
          </cell>
          <cell r="G1761" t="str">
            <v>C0T-974</v>
          </cell>
          <cell r="H1761" t="str">
            <v>LAS BAMBAS</v>
          </cell>
          <cell r="I1761">
            <v>128937</v>
          </cell>
          <cell r="J1761" t="str">
            <v>REPUESTO</v>
          </cell>
          <cell r="K1761" t="str">
            <v>PERNO MANHOLE C/ DOBLE TUERCA</v>
          </cell>
          <cell r="L1761">
            <v>1</v>
          </cell>
          <cell r="M1761" t="str">
            <v>UNID.</v>
          </cell>
          <cell r="N1761" t="str">
            <v>CISTERNA</v>
          </cell>
          <cell r="O1761">
            <v>88</v>
          </cell>
          <cell r="P1761" t="str">
            <v>S2</v>
          </cell>
          <cell r="Q1761" t="str">
            <v>J2</v>
          </cell>
          <cell r="R1761" t="str">
            <v>J5</v>
          </cell>
          <cell r="S1761" t="str">
            <v>ENTREGADO</v>
          </cell>
          <cell r="T1761">
            <v>0</v>
          </cell>
          <cell r="U1761" t="str">
            <v>PALOMINO ESTRADA  MICHEL</v>
          </cell>
          <cell r="V1761" t="str">
            <v>CORIHUAMAN SURCO  ERICK ROBERT</v>
          </cell>
        </row>
        <row r="1762">
          <cell r="A1762">
            <v>1785</v>
          </cell>
          <cell r="B1762">
            <v>42702</v>
          </cell>
          <cell r="C1762" t="str">
            <v>NOVIEMBRE</v>
          </cell>
          <cell r="D1762" t="str">
            <v>2016</v>
          </cell>
          <cell r="E1762">
            <v>207</v>
          </cell>
          <cell r="F1762" t="str">
            <v>D3P-746</v>
          </cell>
          <cell r="G1762" t="str">
            <v>C0T-974</v>
          </cell>
          <cell r="H1762" t="str">
            <v>LAS BAMBAS</v>
          </cell>
          <cell r="I1762">
            <v>128937</v>
          </cell>
          <cell r="J1762" t="str">
            <v>SERVICIO</v>
          </cell>
          <cell r="K1762" t="str">
            <v>LAVADO DE CISTERNA</v>
          </cell>
          <cell r="L1762">
            <v>1</v>
          </cell>
          <cell r="M1762" t="str">
            <v>UNID.</v>
          </cell>
          <cell r="N1762" t="str">
            <v>CISTERNA</v>
          </cell>
          <cell r="O1762">
            <v>88</v>
          </cell>
          <cell r="P1762" t="str">
            <v>J1</v>
          </cell>
          <cell r="Q1762" t="str">
            <v>J1</v>
          </cell>
          <cell r="R1762" t="str">
            <v>J5</v>
          </cell>
          <cell r="S1762" t="str">
            <v>ENTREGADO</v>
          </cell>
          <cell r="T1762">
            <v>0</v>
          </cell>
          <cell r="U1762" t="str">
            <v>FLOREZ CONDORI  JOSE WILLIANS</v>
          </cell>
          <cell r="V1762" t="str">
            <v>FLOREZ CONDORI  JOSE WILLIANS</v>
          </cell>
        </row>
        <row r="1763">
          <cell r="A1763">
            <v>1731</v>
          </cell>
          <cell r="B1763">
            <v>42702</v>
          </cell>
          <cell r="C1763" t="str">
            <v>NOVIEMBRE</v>
          </cell>
          <cell r="D1763" t="str">
            <v>2016</v>
          </cell>
          <cell r="E1763">
            <v>207</v>
          </cell>
          <cell r="F1763" t="str">
            <v>D3P-746</v>
          </cell>
          <cell r="G1763" t="str">
            <v>C0T-974</v>
          </cell>
          <cell r="H1763" t="str">
            <v>LAS BAMBAS</v>
          </cell>
          <cell r="I1763">
            <v>128937</v>
          </cell>
          <cell r="J1763" t="str">
            <v>REPUESTO</v>
          </cell>
          <cell r="K1763" t="str">
            <v>LLANTA REENCAUCHADA IZY2</v>
          </cell>
          <cell r="L1763">
            <v>12</v>
          </cell>
          <cell r="M1763" t="str">
            <v>UNID.</v>
          </cell>
          <cell r="N1763" t="str">
            <v>CISTERNA</v>
          </cell>
          <cell r="O1763">
            <v>88</v>
          </cell>
          <cell r="P1763" t="str">
            <v>N1</v>
          </cell>
          <cell r="Q1763" t="str">
            <v>J3</v>
          </cell>
          <cell r="R1763" t="str">
            <v>J5</v>
          </cell>
          <cell r="S1763" t="str">
            <v>ENTREGADO</v>
          </cell>
          <cell r="T1763">
            <v>0</v>
          </cell>
          <cell r="U1763" t="str">
            <v>AGUILAR CCANTUTA WILLY</v>
          </cell>
          <cell r="V1763" t="str">
            <v>CHURA PIZARRO ALBERTO</v>
          </cell>
        </row>
        <row r="1764">
          <cell r="A1764">
            <v>1764</v>
          </cell>
          <cell r="B1764">
            <v>42702</v>
          </cell>
          <cell r="C1764" t="str">
            <v>NOVIEMBRE</v>
          </cell>
          <cell r="D1764" t="str">
            <v>2016</v>
          </cell>
          <cell r="E1764">
            <v>408</v>
          </cell>
          <cell r="F1764" t="str">
            <v>D3S-725</v>
          </cell>
          <cell r="G1764" t="str">
            <v>TBL-977</v>
          </cell>
          <cell r="H1764" t="str">
            <v>LAS BAMBAS</v>
          </cell>
          <cell r="I1764">
            <v>147331.1</v>
          </cell>
          <cell r="J1764" t="str">
            <v>REPUESTO</v>
          </cell>
          <cell r="K1764" t="str">
            <v xml:space="preserve">FAROS NEBLINEROS </v>
          </cell>
          <cell r="L1764">
            <v>2</v>
          </cell>
          <cell r="M1764" t="str">
            <v>UNID.</v>
          </cell>
          <cell r="N1764" t="str">
            <v>TRACTO</v>
          </cell>
          <cell r="O1764">
            <v>88</v>
          </cell>
          <cell r="P1764" t="str">
            <v>E2</v>
          </cell>
          <cell r="Q1764" t="str">
            <v>J2</v>
          </cell>
          <cell r="R1764" t="str">
            <v>J5</v>
          </cell>
          <cell r="S1764" t="str">
            <v>ENTREGADO</v>
          </cell>
          <cell r="T1764">
            <v>0</v>
          </cell>
          <cell r="U1764" t="str">
            <v>YUCA BELLIDO BORIS YERSY</v>
          </cell>
          <cell r="V1764" t="str">
            <v>CORIHUAMAN SURCO  ERICK ROBERT</v>
          </cell>
        </row>
        <row r="1765">
          <cell r="A1765">
            <v>1730</v>
          </cell>
          <cell r="B1765">
            <v>42702</v>
          </cell>
          <cell r="C1765" t="str">
            <v>NOVIEMBRE</v>
          </cell>
          <cell r="D1765" t="str">
            <v>2016</v>
          </cell>
          <cell r="E1765">
            <v>469</v>
          </cell>
          <cell r="F1765" t="str">
            <v>D3S-764</v>
          </cell>
          <cell r="G1765" t="str">
            <v>TBL-998</v>
          </cell>
          <cell r="H1765" t="str">
            <v>LAS BAMBAS</v>
          </cell>
          <cell r="I1765">
            <v>124955</v>
          </cell>
          <cell r="J1765" t="str">
            <v>REPUESTO</v>
          </cell>
          <cell r="K1765" t="str">
            <v>ESPEJO RETROVISOR LADO IZQUIERDO (COMPLETO)</v>
          </cell>
          <cell r="L1765">
            <v>1</v>
          </cell>
          <cell r="M1765" t="str">
            <v>UNID.</v>
          </cell>
          <cell r="N1765" t="str">
            <v>TRACTO</v>
          </cell>
          <cell r="O1765">
            <v>88</v>
          </cell>
          <cell r="P1765" t="str">
            <v>M3</v>
          </cell>
          <cell r="Q1765" t="str">
            <v>J2</v>
          </cell>
          <cell r="R1765" t="str">
            <v>J5</v>
          </cell>
          <cell r="S1765" t="str">
            <v>ENTREGADO</v>
          </cell>
          <cell r="T1765">
            <v>0</v>
          </cell>
          <cell r="U1765" t="str">
            <v>GARCIA PASQUEL  JOSE LUIS</v>
          </cell>
          <cell r="V1765" t="str">
            <v>CORIHUAMAN SURCO  ERICK ROBERT</v>
          </cell>
        </row>
        <row r="1766">
          <cell r="A1766">
            <v>1726</v>
          </cell>
          <cell r="B1766">
            <v>42702</v>
          </cell>
          <cell r="C1766" t="str">
            <v>NOVIEMBRE</v>
          </cell>
          <cell r="D1766" t="str">
            <v>2016</v>
          </cell>
          <cell r="E1766">
            <v>445</v>
          </cell>
          <cell r="F1766" t="str">
            <v>D4T-927</v>
          </cell>
          <cell r="G1766" t="str">
            <v>B4Q-976</v>
          </cell>
          <cell r="H1766" t="str">
            <v>LAS BAMBAS</v>
          </cell>
          <cell r="I1766">
            <v>189132</v>
          </cell>
          <cell r="J1766" t="str">
            <v>REPUESTO</v>
          </cell>
          <cell r="K1766" t="str">
            <v>PERNOS 5/8 X 6</v>
          </cell>
          <cell r="L1766">
            <v>2</v>
          </cell>
          <cell r="M1766" t="str">
            <v>UNID.</v>
          </cell>
          <cell r="N1766" t="str">
            <v>TRACTO</v>
          </cell>
          <cell r="O1766">
            <v>0</v>
          </cell>
          <cell r="P1766" t="str">
            <v>M6</v>
          </cell>
          <cell r="Q1766" t="str">
            <v>J2</v>
          </cell>
          <cell r="R1766" t="str">
            <v>J5</v>
          </cell>
          <cell r="S1766" t="str">
            <v>ENTREGADO</v>
          </cell>
          <cell r="T1766">
            <v>42702</v>
          </cell>
          <cell r="U1766" t="str">
            <v>PARI VENTURA  EDSON ORLANDO</v>
          </cell>
          <cell r="V1766" t="str">
            <v>CORIHUAMAN SURCO  ERICK ROBERT</v>
          </cell>
        </row>
        <row r="1767">
          <cell r="A1767">
            <v>1727</v>
          </cell>
          <cell r="B1767">
            <v>42702</v>
          </cell>
          <cell r="C1767" t="str">
            <v>NOVIEMBRE</v>
          </cell>
          <cell r="D1767" t="str">
            <v>2016</v>
          </cell>
          <cell r="E1767">
            <v>445</v>
          </cell>
          <cell r="F1767" t="str">
            <v>D4T-927</v>
          </cell>
          <cell r="G1767" t="str">
            <v>B4Q-976</v>
          </cell>
          <cell r="H1767" t="str">
            <v>LAS BAMBAS</v>
          </cell>
          <cell r="I1767">
            <v>189132</v>
          </cell>
          <cell r="J1767" t="str">
            <v>REPUESTO</v>
          </cell>
          <cell r="K1767" t="str">
            <v xml:space="preserve">TUERCAS SEGURO </v>
          </cell>
          <cell r="L1767">
            <v>2</v>
          </cell>
          <cell r="M1767" t="str">
            <v>UNID.</v>
          </cell>
          <cell r="N1767" t="str">
            <v>TRACTO</v>
          </cell>
          <cell r="O1767">
            <v>0</v>
          </cell>
          <cell r="P1767" t="str">
            <v>M6</v>
          </cell>
          <cell r="Q1767" t="str">
            <v>J2</v>
          </cell>
          <cell r="R1767" t="str">
            <v>J5</v>
          </cell>
          <cell r="S1767" t="str">
            <v>ENTREGADO</v>
          </cell>
          <cell r="T1767">
            <v>42702</v>
          </cell>
          <cell r="U1767" t="str">
            <v>PARI VENTURA  EDSON ORLANDO</v>
          </cell>
          <cell r="V1767" t="str">
            <v>CORIHUAMAN SURCO  ERICK ROBERT</v>
          </cell>
        </row>
        <row r="1768">
          <cell r="A1768">
            <v>1728</v>
          </cell>
          <cell r="B1768">
            <v>42702</v>
          </cell>
          <cell r="C1768" t="str">
            <v>NOVIEMBRE</v>
          </cell>
          <cell r="D1768" t="str">
            <v>2016</v>
          </cell>
          <cell r="E1768">
            <v>445</v>
          </cell>
          <cell r="F1768" t="str">
            <v>D4T-927</v>
          </cell>
          <cell r="G1768" t="str">
            <v>B4Q-976</v>
          </cell>
          <cell r="H1768" t="str">
            <v>LAS BAMBAS</v>
          </cell>
          <cell r="I1768">
            <v>189132</v>
          </cell>
          <cell r="J1768" t="str">
            <v>REPUESTO</v>
          </cell>
          <cell r="K1768" t="str">
            <v>ARANDELAS 5/8</v>
          </cell>
          <cell r="L1768">
            <v>4</v>
          </cell>
          <cell r="M1768" t="str">
            <v>UNID.</v>
          </cell>
          <cell r="N1768" t="str">
            <v>TRACTO</v>
          </cell>
          <cell r="O1768">
            <v>0</v>
          </cell>
          <cell r="P1768" t="str">
            <v>M6</v>
          </cell>
          <cell r="Q1768" t="str">
            <v>J2</v>
          </cell>
          <cell r="R1768" t="str">
            <v>J5</v>
          </cell>
          <cell r="S1768" t="str">
            <v>ENTREGADO</v>
          </cell>
          <cell r="T1768">
            <v>42702</v>
          </cell>
          <cell r="U1768" t="str">
            <v>PARI VENTURA  EDSON ORLANDO</v>
          </cell>
          <cell r="V1768" t="str">
            <v>CORIHUAMAN SURCO  ERICK ROBERT</v>
          </cell>
        </row>
        <row r="1769">
          <cell r="A1769">
            <v>1729</v>
          </cell>
          <cell r="B1769">
            <v>42702</v>
          </cell>
          <cell r="C1769" t="str">
            <v>NOVIEMBRE</v>
          </cell>
          <cell r="D1769" t="str">
            <v>2016</v>
          </cell>
          <cell r="E1769">
            <v>445</v>
          </cell>
          <cell r="F1769" t="str">
            <v>D4T-927</v>
          </cell>
          <cell r="G1769" t="str">
            <v>B4Q-976</v>
          </cell>
          <cell r="H1769" t="str">
            <v>LAS BAMBAS</v>
          </cell>
          <cell r="I1769">
            <v>189132</v>
          </cell>
          <cell r="J1769" t="str">
            <v>REPUESTO</v>
          </cell>
          <cell r="K1769" t="str">
            <v>LIQUIDO LIMPIAPARABRISAS</v>
          </cell>
          <cell r="L1769">
            <v>0.5</v>
          </cell>
          <cell r="M1769" t="str">
            <v>GLNS.</v>
          </cell>
          <cell r="N1769" t="str">
            <v>TRACTO</v>
          </cell>
          <cell r="O1769">
            <v>0</v>
          </cell>
          <cell r="P1769" t="str">
            <v>M6</v>
          </cell>
          <cell r="Q1769" t="str">
            <v>J2</v>
          </cell>
          <cell r="R1769" t="str">
            <v>J5</v>
          </cell>
          <cell r="S1769" t="str">
            <v>ENTREGADO</v>
          </cell>
          <cell r="T1769">
            <v>42702</v>
          </cell>
          <cell r="U1769" t="str">
            <v>PARI VENTURA  EDSON ORLANDO</v>
          </cell>
          <cell r="V1769" t="str">
            <v>CORIHUAMAN SURCO  ERICK ROBERT</v>
          </cell>
        </row>
        <row r="1770">
          <cell r="A1770">
            <v>1744</v>
          </cell>
          <cell r="B1770">
            <v>42702</v>
          </cell>
          <cell r="C1770" t="str">
            <v>NOVIEMBRE</v>
          </cell>
          <cell r="D1770" t="str">
            <v>2016</v>
          </cell>
          <cell r="E1770">
            <v>445</v>
          </cell>
          <cell r="F1770" t="str">
            <v>D4T-927</v>
          </cell>
          <cell r="G1770" t="str">
            <v>B4Q-976</v>
          </cell>
          <cell r="H1770" t="str">
            <v>LAS BAMBAS</v>
          </cell>
          <cell r="I1770">
            <v>189132</v>
          </cell>
          <cell r="J1770" t="str">
            <v>REPUESTO</v>
          </cell>
          <cell r="K1770" t="str">
            <v>SEGURO DE PUERTA LADO IZQUIERDO</v>
          </cell>
          <cell r="L1770">
            <v>1</v>
          </cell>
          <cell r="M1770" t="str">
            <v>UNID.</v>
          </cell>
          <cell r="N1770" t="str">
            <v>TRACTO</v>
          </cell>
          <cell r="O1770">
            <v>88</v>
          </cell>
          <cell r="P1770" t="str">
            <v>J2</v>
          </cell>
          <cell r="Q1770" t="str">
            <v>E1</v>
          </cell>
          <cell r="R1770" t="str">
            <v>J2</v>
          </cell>
          <cell r="S1770" t="str">
            <v>ENTREGADO</v>
          </cell>
          <cell r="T1770">
            <v>0</v>
          </cell>
          <cell r="U1770" t="str">
            <v>CORIHUAMAN SURCO  ERICK ROBERT</v>
          </cell>
          <cell r="V1770" t="str">
            <v>PALOMINO CARDENAS JUAN CARLOS</v>
          </cell>
        </row>
        <row r="1771">
          <cell r="A1771">
            <v>1745</v>
          </cell>
          <cell r="B1771">
            <v>42702</v>
          </cell>
          <cell r="C1771" t="str">
            <v>NOVIEMBRE</v>
          </cell>
          <cell r="D1771" t="str">
            <v>2016</v>
          </cell>
          <cell r="E1771">
            <v>445</v>
          </cell>
          <cell r="F1771" t="str">
            <v>D4T-927</v>
          </cell>
          <cell r="G1771" t="str">
            <v>B4Q-976</v>
          </cell>
          <cell r="H1771" t="str">
            <v>LAS BAMBAS</v>
          </cell>
          <cell r="I1771">
            <v>189132</v>
          </cell>
          <cell r="J1771" t="str">
            <v>REPUESTO</v>
          </cell>
          <cell r="K1771" t="str">
            <v>SEÑALETICA PELIGRO COMBUSTIBLE</v>
          </cell>
          <cell r="L1771">
            <v>1</v>
          </cell>
          <cell r="M1771" t="str">
            <v>UNID.</v>
          </cell>
          <cell r="N1771" t="str">
            <v>TRACTO</v>
          </cell>
          <cell r="O1771">
            <v>0</v>
          </cell>
          <cell r="P1771" t="str">
            <v>J2</v>
          </cell>
          <cell r="Q1771" t="str">
            <v>J2</v>
          </cell>
          <cell r="R1771" t="str">
            <v>J2</v>
          </cell>
          <cell r="S1771" t="str">
            <v>ENTREGADO</v>
          </cell>
          <cell r="T1771">
            <v>42702</v>
          </cell>
          <cell r="U1771" t="str">
            <v>CORIHUAMAN SURCO  ERICK ROBERT</v>
          </cell>
          <cell r="V1771" t="str">
            <v>CORIHUAMAN SURCO  ERICK ROBERT</v>
          </cell>
        </row>
        <row r="1772">
          <cell r="A1772">
            <v>1746</v>
          </cell>
          <cell r="B1772">
            <v>42702</v>
          </cell>
          <cell r="C1772" t="str">
            <v>NOVIEMBRE</v>
          </cell>
          <cell r="D1772" t="str">
            <v>2016</v>
          </cell>
          <cell r="E1772">
            <v>445</v>
          </cell>
          <cell r="F1772" t="str">
            <v>D4T-927</v>
          </cell>
          <cell r="G1772" t="str">
            <v>B4Q-976</v>
          </cell>
          <cell r="H1772" t="str">
            <v>LAS BAMBAS</v>
          </cell>
          <cell r="I1772">
            <v>189132</v>
          </cell>
          <cell r="J1772" t="str">
            <v>REPUESTO</v>
          </cell>
          <cell r="K1772" t="str">
            <v>SEÑALETICA LIQUIDO INFLAMABLE</v>
          </cell>
          <cell r="L1772">
            <v>1</v>
          </cell>
          <cell r="M1772" t="str">
            <v>UNID.</v>
          </cell>
          <cell r="N1772" t="str">
            <v>CISTERNA</v>
          </cell>
          <cell r="O1772">
            <v>0</v>
          </cell>
          <cell r="P1772" t="str">
            <v>J2</v>
          </cell>
          <cell r="Q1772" t="str">
            <v>J2</v>
          </cell>
          <cell r="R1772" t="str">
            <v>J2</v>
          </cell>
          <cell r="S1772" t="str">
            <v>ENTREGADO</v>
          </cell>
          <cell r="T1772">
            <v>42702</v>
          </cell>
          <cell r="U1772" t="str">
            <v>CORIHUAMAN SURCO  ERICK ROBERT</v>
          </cell>
          <cell r="V1772" t="str">
            <v>CORIHUAMAN SURCO  ERICK ROBERT</v>
          </cell>
        </row>
        <row r="1773">
          <cell r="A1773">
            <v>1747</v>
          </cell>
          <cell r="B1773">
            <v>42702</v>
          </cell>
          <cell r="C1773" t="str">
            <v>NOVIEMBRE</v>
          </cell>
          <cell r="D1773" t="str">
            <v>2016</v>
          </cell>
          <cell r="E1773">
            <v>445</v>
          </cell>
          <cell r="F1773" t="str">
            <v>D4T-927</v>
          </cell>
          <cell r="G1773" t="str">
            <v>B4Q-976</v>
          </cell>
          <cell r="H1773" t="str">
            <v>LAS BAMBAS</v>
          </cell>
          <cell r="I1773">
            <v>189132</v>
          </cell>
          <cell r="J1773" t="str">
            <v>REPUESTO</v>
          </cell>
          <cell r="K1773" t="str">
            <v>SEÑALETICA ROMBO NFPA</v>
          </cell>
          <cell r="L1773">
            <v>1</v>
          </cell>
          <cell r="M1773" t="str">
            <v>UNID.</v>
          </cell>
          <cell r="N1773" t="str">
            <v>CISTERNA</v>
          </cell>
          <cell r="O1773">
            <v>0</v>
          </cell>
          <cell r="P1773" t="str">
            <v>J2</v>
          </cell>
          <cell r="Q1773" t="str">
            <v>J2</v>
          </cell>
          <cell r="R1773" t="str">
            <v>J2</v>
          </cell>
          <cell r="S1773" t="str">
            <v>ENTREGADO</v>
          </cell>
          <cell r="T1773">
            <v>42702</v>
          </cell>
          <cell r="U1773" t="str">
            <v>CORIHUAMAN SURCO  ERICK ROBERT</v>
          </cell>
          <cell r="V1773" t="str">
            <v>CORIHUAMAN SURCO  ERICK ROBERT</v>
          </cell>
        </row>
        <row r="1774">
          <cell r="A1774">
            <v>1748</v>
          </cell>
          <cell r="B1774">
            <v>42702</v>
          </cell>
          <cell r="C1774" t="str">
            <v>NOVIEMBRE</v>
          </cell>
          <cell r="D1774" t="str">
            <v>2016</v>
          </cell>
          <cell r="E1774">
            <v>445</v>
          </cell>
          <cell r="F1774" t="str">
            <v>D4T-927</v>
          </cell>
          <cell r="G1774" t="str">
            <v>B4Q-976</v>
          </cell>
          <cell r="H1774" t="str">
            <v>LAS BAMBAS</v>
          </cell>
          <cell r="I1774">
            <v>189132</v>
          </cell>
          <cell r="J1774" t="str">
            <v>REPUESTO</v>
          </cell>
          <cell r="K1774" t="str">
            <v>SEÑALETICA UN</v>
          </cell>
          <cell r="L1774">
            <v>1</v>
          </cell>
          <cell r="M1774" t="str">
            <v>UNID.</v>
          </cell>
          <cell r="N1774" t="str">
            <v>CISTERNA</v>
          </cell>
          <cell r="O1774">
            <v>0</v>
          </cell>
          <cell r="P1774" t="str">
            <v>J2</v>
          </cell>
          <cell r="Q1774" t="str">
            <v>J2</v>
          </cell>
          <cell r="R1774" t="str">
            <v>J2</v>
          </cell>
          <cell r="S1774" t="str">
            <v>ENTREGADO</v>
          </cell>
          <cell r="T1774">
            <v>42702</v>
          </cell>
          <cell r="U1774" t="str">
            <v>CORIHUAMAN SURCO  ERICK ROBERT</v>
          </cell>
          <cell r="V1774" t="str">
            <v>CORIHUAMAN SURCO  ERICK ROBERT</v>
          </cell>
        </row>
        <row r="1775">
          <cell r="A1775">
            <v>1749</v>
          </cell>
          <cell r="B1775">
            <v>42702</v>
          </cell>
          <cell r="C1775" t="str">
            <v>NOVIEMBRE</v>
          </cell>
          <cell r="D1775" t="str">
            <v>2016</v>
          </cell>
          <cell r="E1775">
            <v>445</v>
          </cell>
          <cell r="F1775" t="str">
            <v>D4T-927</v>
          </cell>
          <cell r="G1775" t="str">
            <v>B4Q-976</v>
          </cell>
          <cell r="H1775" t="str">
            <v>LAS BAMBAS</v>
          </cell>
          <cell r="I1775">
            <v>189132</v>
          </cell>
          <cell r="J1775" t="str">
            <v>REPUESTO</v>
          </cell>
          <cell r="K1775" t="str">
            <v>CINTA REFLECTIVA AMARILLA</v>
          </cell>
          <cell r="L1775">
            <v>2</v>
          </cell>
          <cell r="M1775" t="str">
            <v>M</v>
          </cell>
          <cell r="N1775" t="str">
            <v>CISTERNA</v>
          </cell>
          <cell r="O1775">
            <v>0</v>
          </cell>
          <cell r="P1775" t="str">
            <v>J2</v>
          </cell>
          <cell r="Q1775" t="str">
            <v>J2</v>
          </cell>
          <cell r="R1775" t="str">
            <v>J2</v>
          </cell>
          <cell r="S1775" t="str">
            <v>ENTREGADO</v>
          </cell>
          <cell r="T1775">
            <v>42702</v>
          </cell>
          <cell r="U1775" t="str">
            <v>CORIHUAMAN SURCO  ERICK ROBERT</v>
          </cell>
          <cell r="V1775" t="str">
            <v>CORIHUAMAN SURCO  ERICK ROBERT</v>
          </cell>
        </row>
        <row r="1776">
          <cell r="A1776">
            <v>1750</v>
          </cell>
          <cell r="B1776">
            <v>42702</v>
          </cell>
          <cell r="C1776" t="str">
            <v>NOVIEMBRE</v>
          </cell>
          <cell r="D1776" t="str">
            <v>2016</v>
          </cell>
          <cell r="E1776">
            <v>445</v>
          </cell>
          <cell r="F1776" t="str">
            <v>D4T-927</v>
          </cell>
          <cell r="G1776" t="str">
            <v>B4Q-976</v>
          </cell>
          <cell r="H1776" t="str">
            <v>LAS BAMBAS</v>
          </cell>
          <cell r="I1776">
            <v>189132</v>
          </cell>
          <cell r="J1776" t="str">
            <v>REPUESTO</v>
          </cell>
          <cell r="K1776" t="str">
            <v>CINTA REFLECTIVA ROJO Y BLANCO</v>
          </cell>
          <cell r="L1776">
            <v>3</v>
          </cell>
          <cell r="M1776" t="str">
            <v>M</v>
          </cell>
          <cell r="N1776" t="str">
            <v>CISTERNA</v>
          </cell>
          <cell r="O1776">
            <v>0</v>
          </cell>
          <cell r="P1776" t="str">
            <v>J2</v>
          </cell>
          <cell r="Q1776" t="str">
            <v>J2</v>
          </cell>
          <cell r="R1776" t="str">
            <v>J2</v>
          </cell>
          <cell r="S1776" t="str">
            <v>ENTREGADO</v>
          </cell>
          <cell r="T1776">
            <v>42702</v>
          </cell>
          <cell r="U1776" t="str">
            <v>CORIHUAMAN SURCO  ERICK ROBERT</v>
          </cell>
          <cell r="V1776" t="str">
            <v>CORIHUAMAN SURCO  ERICK ROBERT</v>
          </cell>
        </row>
        <row r="1777">
          <cell r="A1777">
            <v>1751</v>
          </cell>
          <cell r="B1777">
            <v>42702</v>
          </cell>
          <cell r="C1777" t="str">
            <v>NOVIEMBRE</v>
          </cell>
          <cell r="D1777" t="str">
            <v>2016</v>
          </cell>
          <cell r="E1777">
            <v>445</v>
          </cell>
          <cell r="F1777" t="str">
            <v>D4T-927</v>
          </cell>
          <cell r="G1777" t="str">
            <v>B4Q-976</v>
          </cell>
          <cell r="H1777" t="str">
            <v>LAS BAMBAS</v>
          </cell>
          <cell r="I1777">
            <v>189132</v>
          </cell>
          <cell r="J1777" t="str">
            <v>REPUESTO</v>
          </cell>
          <cell r="K1777" t="str">
            <v>LINTERNA CON PILAS</v>
          </cell>
          <cell r="L1777">
            <v>1</v>
          </cell>
          <cell r="M1777" t="str">
            <v>UNID.</v>
          </cell>
          <cell r="N1777" t="str">
            <v>TALLER</v>
          </cell>
          <cell r="O1777">
            <v>0</v>
          </cell>
          <cell r="P1777" t="str">
            <v>J2</v>
          </cell>
          <cell r="Q1777" t="str">
            <v>J2</v>
          </cell>
          <cell r="R1777" t="str">
            <v>J2</v>
          </cell>
          <cell r="S1777" t="str">
            <v>ENTREGADO</v>
          </cell>
          <cell r="T1777">
            <v>42702</v>
          </cell>
          <cell r="U1777" t="str">
            <v>CORIHUAMAN SURCO  ERICK ROBERT</v>
          </cell>
          <cell r="V1777" t="str">
            <v>CORIHUAMAN SURCO  ERICK ROBERT</v>
          </cell>
        </row>
        <row r="1778">
          <cell r="A1778">
            <v>1753</v>
          </cell>
          <cell r="B1778">
            <v>42702</v>
          </cell>
          <cell r="C1778" t="str">
            <v>NOVIEMBRE</v>
          </cell>
          <cell r="D1778" t="str">
            <v>2016</v>
          </cell>
          <cell r="E1778">
            <v>445</v>
          </cell>
          <cell r="F1778" t="str">
            <v>D4T-927</v>
          </cell>
          <cell r="G1778" t="str">
            <v>B4Q-976</v>
          </cell>
          <cell r="H1778" t="str">
            <v>LAS BAMBAS</v>
          </cell>
          <cell r="I1778">
            <v>189132</v>
          </cell>
          <cell r="J1778" t="str">
            <v>REPUESTO</v>
          </cell>
          <cell r="K1778" t="str">
            <v>PERNO 5/8 X 6 "C/ TUERCA SEGURO</v>
          </cell>
          <cell r="L1778">
            <v>1</v>
          </cell>
          <cell r="M1778" t="str">
            <v>UNID.</v>
          </cell>
          <cell r="N1778" t="str">
            <v>TRACTO</v>
          </cell>
          <cell r="O1778">
            <v>0</v>
          </cell>
          <cell r="P1778" t="str">
            <v>M6</v>
          </cell>
          <cell r="Q1778" t="str">
            <v>J1</v>
          </cell>
          <cell r="R1778" t="str">
            <v>J5</v>
          </cell>
          <cell r="S1778" t="str">
            <v>ENTREGADO</v>
          </cell>
          <cell r="T1778">
            <v>42702</v>
          </cell>
          <cell r="U1778" t="str">
            <v>PARI VENTURA  EDSON ORLANDO</v>
          </cell>
          <cell r="V1778" t="str">
            <v>FLOREZ CONDORI  JOSE WILLIANS</v>
          </cell>
        </row>
        <row r="1779">
          <cell r="A1779">
            <v>1721</v>
          </cell>
          <cell r="B1779">
            <v>42702</v>
          </cell>
          <cell r="C1779" t="str">
            <v>NOVIEMBRE</v>
          </cell>
          <cell r="D1779" t="str">
            <v>2016</v>
          </cell>
          <cell r="E1779">
            <v>442</v>
          </cell>
          <cell r="F1779" t="str">
            <v>D6G-805</v>
          </cell>
          <cell r="G1779" t="str">
            <v>T4Z-996</v>
          </cell>
          <cell r="H1779" t="str">
            <v>LAS BAMBAS</v>
          </cell>
          <cell r="I1779">
            <v>222123</v>
          </cell>
          <cell r="J1779" t="str">
            <v>REPUESTO</v>
          </cell>
          <cell r="K1779" t="str">
            <v>FARO LED ROJO GRANDE</v>
          </cell>
          <cell r="L1779">
            <v>1</v>
          </cell>
          <cell r="M1779" t="str">
            <v>UNID.</v>
          </cell>
          <cell r="N1779" t="str">
            <v>CISTERNA</v>
          </cell>
          <cell r="O1779">
            <v>88</v>
          </cell>
          <cell r="P1779" t="str">
            <v>E2</v>
          </cell>
          <cell r="Q1779" t="str">
            <v>J1</v>
          </cell>
          <cell r="R1779" t="str">
            <v>J5</v>
          </cell>
          <cell r="S1779" t="str">
            <v>ENTREGADO</v>
          </cell>
          <cell r="T1779">
            <v>0</v>
          </cell>
          <cell r="U1779" t="str">
            <v>YUCA BELLIDO BORIS YERSY</v>
          </cell>
          <cell r="V1779" t="str">
            <v>FLOREZ CONDORI  JOSE WILLIANS</v>
          </cell>
        </row>
        <row r="1780">
          <cell r="A1780">
            <v>1783</v>
          </cell>
          <cell r="B1780">
            <v>42702</v>
          </cell>
          <cell r="C1780" t="str">
            <v>NOVIEMBRE</v>
          </cell>
          <cell r="D1780" t="str">
            <v>2016</v>
          </cell>
          <cell r="E1780">
            <v>442</v>
          </cell>
          <cell r="F1780" t="str">
            <v>D6G-805</v>
          </cell>
          <cell r="G1780" t="str">
            <v>T4Z-996</v>
          </cell>
          <cell r="H1780" t="str">
            <v>LAS BAMBAS</v>
          </cell>
          <cell r="I1780">
            <v>222123</v>
          </cell>
          <cell r="J1780" t="str">
            <v>INSUMO TALLER</v>
          </cell>
          <cell r="K1780" t="str">
            <v>CELLOCORD 5/32</v>
          </cell>
          <cell r="L1780">
            <v>5</v>
          </cell>
          <cell r="M1780" t="str">
            <v>KG.</v>
          </cell>
          <cell r="N1780" t="str">
            <v>CISTERNA</v>
          </cell>
          <cell r="O1780">
            <v>88</v>
          </cell>
          <cell r="P1780" t="str">
            <v>S3</v>
          </cell>
          <cell r="Q1780" t="str">
            <v>J2</v>
          </cell>
          <cell r="R1780" t="str">
            <v>J5</v>
          </cell>
          <cell r="S1780" t="str">
            <v>ENTREGADO</v>
          </cell>
          <cell r="T1780">
            <v>0</v>
          </cell>
          <cell r="U1780" t="str">
            <v>JIMENEZ MACHACA JAVIER</v>
          </cell>
          <cell r="V1780" t="str">
            <v>CORIHUAMAN SURCO  ERICK ROBERT</v>
          </cell>
        </row>
        <row r="1781">
          <cell r="A1781">
            <v>1784</v>
          </cell>
          <cell r="B1781">
            <v>42702</v>
          </cell>
          <cell r="C1781" t="str">
            <v>NOVIEMBRE</v>
          </cell>
          <cell r="D1781" t="str">
            <v>2016</v>
          </cell>
          <cell r="E1781">
            <v>442</v>
          </cell>
          <cell r="F1781" t="str">
            <v>D6G-805</v>
          </cell>
          <cell r="G1781" t="str">
            <v>T4Z-996</v>
          </cell>
          <cell r="H1781" t="str">
            <v>LAS BAMBAS</v>
          </cell>
          <cell r="I1781">
            <v>222123</v>
          </cell>
          <cell r="J1781" t="str">
            <v>REPUESTO</v>
          </cell>
          <cell r="K1781" t="str">
            <v>PERNO MANHOLE C/ DOBLE TUERCA</v>
          </cell>
          <cell r="L1781">
            <v>1</v>
          </cell>
          <cell r="M1781" t="str">
            <v>UNID.</v>
          </cell>
          <cell r="N1781" t="str">
            <v>TRACTO</v>
          </cell>
          <cell r="O1781">
            <v>88</v>
          </cell>
          <cell r="P1781" t="str">
            <v>S3</v>
          </cell>
          <cell r="Q1781" t="str">
            <v>J2</v>
          </cell>
          <cell r="R1781" t="str">
            <v>J5</v>
          </cell>
          <cell r="S1781" t="str">
            <v>ENTREGADO</v>
          </cell>
          <cell r="T1781">
            <v>0</v>
          </cell>
          <cell r="U1781" t="str">
            <v>JIMENEZ MACHACA JAVIER</v>
          </cell>
          <cell r="V1781" t="str">
            <v>CORIHUAMAN SURCO  ERICK ROBERT</v>
          </cell>
        </row>
        <row r="1782">
          <cell r="A1782">
            <v>1755</v>
          </cell>
          <cell r="B1782">
            <v>42702</v>
          </cell>
          <cell r="C1782" t="str">
            <v>NOVIEMBRE</v>
          </cell>
          <cell r="D1782" t="str">
            <v>2016</v>
          </cell>
          <cell r="E1782">
            <v>450</v>
          </cell>
          <cell r="F1782" t="str">
            <v>D7N-755</v>
          </cell>
          <cell r="G1782" t="str">
            <v>F7L-983</v>
          </cell>
          <cell r="H1782" t="str">
            <v>LAS BAMBAS</v>
          </cell>
          <cell r="I1782">
            <v>48711</v>
          </cell>
          <cell r="J1782" t="str">
            <v>REPUESTO</v>
          </cell>
          <cell r="K1782" t="str">
            <v>PRECINTOS 200</v>
          </cell>
          <cell r="L1782">
            <v>10</v>
          </cell>
          <cell r="M1782" t="str">
            <v>UNID.</v>
          </cell>
          <cell r="N1782" t="str">
            <v>TRACTO</v>
          </cell>
          <cell r="O1782">
            <v>88</v>
          </cell>
          <cell r="P1782" t="str">
            <v>E2</v>
          </cell>
          <cell r="Q1782" t="str">
            <v>J2</v>
          </cell>
          <cell r="R1782" t="str">
            <v>J5</v>
          </cell>
          <cell r="S1782" t="str">
            <v>ENTREGADO</v>
          </cell>
          <cell r="T1782">
            <v>0</v>
          </cell>
          <cell r="U1782" t="str">
            <v>YUCA BELLIDO BORIS YERSY</v>
          </cell>
          <cell r="V1782" t="str">
            <v>CORIHUAMAN SURCO  ERICK ROBERT</v>
          </cell>
        </row>
        <row r="1783">
          <cell r="A1783">
            <v>1756</v>
          </cell>
          <cell r="B1783">
            <v>42702</v>
          </cell>
          <cell r="C1783" t="str">
            <v>NOVIEMBRE</v>
          </cell>
          <cell r="D1783" t="str">
            <v>2016</v>
          </cell>
          <cell r="E1783">
            <v>450</v>
          </cell>
          <cell r="F1783" t="str">
            <v>D7N-755</v>
          </cell>
          <cell r="G1783" t="str">
            <v>F7L-983</v>
          </cell>
          <cell r="H1783" t="str">
            <v>LAS BAMBAS</v>
          </cell>
          <cell r="I1783">
            <v>48711</v>
          </cell>
          <cell r="J1783" t="str">
            <v>REPUESTO</v>
          </cell>
          <cell r="K1783" t="str">
            <v>PERNOS MARIPOSA 1/2 X 1"</v>
          </cell>
          <cell r="L1783">
            <v>2</v>
          </cell>
          <cell r="M1783" t="str">
            <v>UNID.</v>
          </cell>
          <cell r="N1783" t="str">
            <v>TRACTO</v>
          </cell>
          <cell r="O1783">
            <v>88</v>
          </cell>
          <cell r="P1783" t="str">
            <v>J2</v>
          </cell>
          <cell r="Q1783" t="str">
            <v>J2</v>
          </cell>
          <cell r="R1783" t="str">
            <v>J5</v>
          </cell>
          <cell r="S1783" t="str">
            <v>ENTREGADO</v>
          </cell>
          <cell r="T1783">
            <v>0</v>
          </cell>
          <cell r="U1783" t="str">
            <v>CORIHUAMAN SURCO  ERICK ROBERT</v>
          </cell>
          <cell r="V1783" t="str">
            <v>CORIHUAMAN SURCO  ERICK ROBERT</v>
          </cell>
        </row>
        <row r="1784">
          <cell r="A1784">
            <v>1757</v>
          </cell>
          <cell r="B1784">
            <v>42702</v>
          </cell>
          <cell r="C1784" t="str">
            <v>NOVIEMBRE</v>
          </cell>
          <cell r="D1784" t="str">
            <v>2016</v>
          </cell>
          <cell r="E1784">
            <v>450</v>
          </cell>
          <cell r="F1784" t="str">
            <v>D7N-755</v>
          </cell>
          <cell r="G1784" t="str">
            <v>F7L-983</v>
          </cell>
          <cell r="H1784" t="str">
            <v>LAS BAMBAS</v>
          </cell>
          <cell r="I1784">
            <v>48711</v>
          </cell>
          <cell r="J1784" t="str">
            <v>REPUESTO</v>
          </cell>
          <cell r="K1784" t="str">
            <v>PERNOS 1/4 X 1</v>
          </cell>
          <cell r="L1784">
            <v>2</v>
          </cell>
          <cell r="M1784" t="str">
            <v>UNID.</v>
          </cell>
          <cell r="N1784" t="str">
            <v>TRACTO</v>
          </cell>
          <cell r="O1784">
            <v>88</v>
          </cell>
          <cell r="P1784" t="str">
            <v>J2</v>
          </cell>
          <cell r="Q1784" t="str">
            <v>J2</v>
          </cell>
          <cell r="R1784" t="str">
            <v>J5</v>
          </cell>
          <cell r="S1784" t="str">
            <v>ENTREGADO</v>
          </cell>
          <cell r="T1784">
            <v>0</v>
          </cell>
          <cell r="U1784" t="str">
            <v>CORIHUAMAN SURCO  ERICK ROBERT</v>
          </cell>
          <cell r="V1784" t="str">
            <v>CORIHUAMAN SURCO  ERICK ROBERT</v>
          </cell>
        </row>
        <row r="1785">
          <cell r="A1785">
            <v>1708</v>
          </cell>
          <cell r="B1785">
            <v>42702</v>
          </cell>
          <cell r="C1785" t="str">
            <v>NOVIEMBRE</v>
          </cell>
          <cell r="D1785" t="str">
            <v>2016</v>
          </cell>
          <cell r="E1785">
            <v>200</v>
          </cell>
          <cell r="F1785" t="str">
            <v>TALLER</v>
          </cell>
          <cell r="G1785" t="str">
            <v>TALLER</v>
          </cell>
          <cell r="H1785" t="str">
            <v>TALLER</v>
          </cell>
          <cell r="I1785" t="str">
            <v>TALLER</v>
          </cell>
          <cell r="J1785" t="str">
            <v>HERRAMIENTAS</v>
          </cell>
          <cell r="K1785" t="str">
            <v>MANGUERA PARA EQUIPO DE OXICORTE</v>
          </cell>
          <cell r="L1785">
            <v>15</v>
          </cell>
          <cell r="M1785" t="str">
            <v>M</v>
          </cell>
          <cell r="N1785" t="str">
            <v>TALLER</v>
          </cell>
          <cell r="O1785">
            <v>88</v>
          </cell>
          <cell r="P1785" t="str">
            <v>J1</v>
          </cell>
          <cell r="Q1785" t="str">
            <v>J1</v>
          </cell>
          <cell r="R1785" t="str">
            <v>J5</v>
          </cell>
          <cell r="S1785" t="str">
            <v>PENDIENTE</v>
          </cell>
          <cell r="T1785">
            <v>0</v>
          </cell>
          <cell r="U1785" t="str">
            <v>FLOREZ CONDORI  JOSE WILLIANS</v>
          </cell>
          <cell r="V1785" t="str">
            <v>FLOREZ CONDORI  JOSE WILLIANS</v>
          </cell>
        </row>
        <row r="1786">
          <cell r="A1786">
            <v>1709</v>
          </cell>
          <cell r="B1786">
            <v>42702</v>
          </cell>
          <cell r="C1786" t="str">
            <v>NOVIEMBRE</v>
          </cell>
          <cell r="D1786" t="str">
            <v>2016</v>
          </cell>
          <cell r="E1786">
            <v>200</v>
          </cell>
          <cell r="F1786" t="str">
            <v>TALLER</v>
          </cell>
          <cell r="G1786" t="str">
            <v>TALLER</v>
          </cell>
          <cell r="H1786" t="str">
            <v>TALLER</v>
          </cell>
          <cell r="I1786" t="str">
            <v>TALLER</v>
          </cell>
          <cell r="J1786" t="str">
            <v>HERRAMIENTAS</v>
          </cell>
          <cell r="K1786" t="str">
            <v>MANOMETRO DE GAS</v>
          </cell>
          <cell r="L1786">
            <v>1</v>
          </cell>
          <cell r="M1786" t="str">
            <v>UNID.</v>
          </cell>
          <cell r="N1786" t="str">
            <v>TALLER</v>
          </cell>
          <cell r="O1786">
            <v>88</v>
          </cell>
          <cell r="P1786" t="str">
            <v>J1</v>
          </cell>
          <cell r="Q1786" t="str">
            <v>J1</v>
          </cell>
          <cell r="R1786" t="str">
            <v>J5</v>
          </cell>
          <cell r="S1786" t="str">
            <v>ENTREGADO</v>
          </cell>
          <cell r="T1786">
            <v>0</v>
          </cell>
          <cell r="U1786" t="str">
            <v>FLOREZ CONDORI  JOSE WILLIANS</v>
          </cell>
          <cell r="V1786" t="str">
            <v>FLOREZ CONDORI  JOSE WILLIANS</v>
          </cell>
        </row>
        <row r="1787">
          <cell r="A1787">
            <v>1710</v>
          </cell>
          <cell r="B1787">
            <v>42702</v>
          </cell>
          <cell r="C1787" t="str">
            <v>NOVIEMBRE</v>
          </cell>
          <cell r="D1787" t="str">
            <v>2016</v>
          </cell>
          <cell r="E1787">
            <v>200</v>
          </cell>
          <cell r="F1787" t="str">
            <v>TALLER</v>
          </cell>
          <cell r="G1787" t="str">
            <v>TALLER</v>
          </cell>
          <cell r="H1787" t="str">
            <v>TALLER</v>
          </cell>
          <cell r="I1787" t="str">
            <v>TALLER</v>
          </cell>
          <cell r="J1787" t="str">
            <v>HERRAMIENTAS</v>
          </cell>
          <cell r="K1787" t="str">
            <v>MANOMETRO DE OXIGENO</v>
          </cell>
          <cell r="L1787">
            <v>1</v>
          </cell>
          <cell r="M1787" t="str">
            <v>UNID.</v>
          </cell>
          <cell r="N1787" t="str">
            <v>TALLER</v>
          </cell>
          <cell r="O1787">
            <v>88</v>
          </cell>
          <cell r="P1787" t="str">
            <v>J1</v>
          </cell>
          <cell r="Q1787" t="str">
            <v>J1</v>
          </cell>
          <cell r="R1787" t="str">
            <v>J5</v>
          </cell>
          <cell r="S1787" t="str">
            <v>ENTREGADO</v>
          </cell>
          <cell r="T1787">
            <v>0</v>
          </cell>
          <cell r="U1787" t="str">
            <v>FLOREZ CONDORI  JOSE WILLIANS</v>
          </cell>
          <cell r="V1787" t="str">
            <v>FLOREZ CONDORI  JOSE WILLIANS</v>
          </cell>
        </row>
        <row r="1788">
          <cell r="A1788">
            <v>1711</v>
          </cell>
          <cell r="B1788">
            <v>42702</v>
          </cell>
          <cell r="C1788" t="str">
            <v>NOVIEMBRE</v>
          </cell>
          <cell r="D1788" t="str">
            <v>2016</v>
          </cell>
          <cell r="E1788">
            <v>200</v>
          </cell>
          <cell r="F1788" t="str">
            <v>TALLER</v>
          </cell>
          <cell r="G1788" t="str">
            <v>TALLER</v>
          </cell>
          <cell r="H1788" t="str">
            <v>TALLER</v>
          </cell>
          <cell r="I1788" t="str">
            <v>TALLER</v>
          </cell>
          <cell r="J1788" t="str">
            <v>HERRAMIENTAS</v>
          </cell>
          <cell r="K1788" t="str">
            <v>CAÑA DE OXICORTE DE PROPANO C/ VALVULAS DE ANTIRETORNO</v>
          </cell>
          <cell r="L1788">
            <v>1</v>
          </cell>
          <cell r="M1788" t="str">
            <v>UNID.</v>
          </cell>
          <cell r="N1788" t="str">
            <v>TALLER</v>
          </cell>
          <cell r="O1788">
            <v>88</v>
          </cell>
          <cell r="P1788" t="str">
            <v>J1</v>
          </cell>
          <cell r="Q1788" t="str">
            <v>J1</v>
          </cell>
          <cell r="R1788" t="str">
            <v>J5</v>
          </cell>
          <cell r="S1788" t="str">
            <v>PENDIENTE</v>
          </cell>
          <cell r="T1788">
            <v>0</v>
          </cell>
          <cell r="U1788" t="str">
            <v>FLOREZ CONDORI  JOSE WILLIANS</v>
          </cell>
          <cell r="V1788" t="str">
            <v>FLOREZ CONDORI  JOSE WILLIANS</v>
          </cell>
        </row>
        <row r="1789">
          <cell r="A1789">
            <v>1712</v>
          </cell>
          <cell r="B1789">
            <v>42702</v>
          </cell>
          <cell r="C1789" t="str">
            <v>NOVIEMBRE</v>
          </cell>
          <cell r="D1789" t="str">
            <v>2016</v>
          </cell>
          <cell r="E1789">
            <v>200</v>
          </cell>
          <cell r="F1789" t="str">
            <v>TALLER</v>
          </cell>
          <cell r="G1789" t="str">
            <v>TALLER</v>
          </cell>
          <cell r="H1789" t="str">
            <v>TALLER</v>
          </cell>
          <cell r="I1789" t="str">
            <v>TALLER</v>
          </cell>
          <cell r="J1789" t="str">
            <v>SERVICIO</v>
          </cell>
          <cell r="K1789" t="str">
            <v xml:space="preserve">REPARACION DE MAQUINA DE SOLDAR </v>
          </cell>
          <cell r="L1789">
            <v>1</v>
          </cell>
          <cell r="M1789" t="str">
            <v>UNID.</v>
          </cell>
          <cell r="N1789" t="str">
            <v>TALLER</v>
          </cell>
          <cell r="O1789">
            <v>88</v>
          </cell>
          <cell r="P1789" t="str">
            <v>J1</v>
          </cell>
          <cell r="Q1789" t="str">
            <v>J1</v>
          </cell>
          <cell r="R1789" t="str">
            <v>J5</v>
          </cell>
          <cell r="S1789" t="str">
            <v>ENTREGADO</v>
          </cell>
          <cell r="T1789">
            <v>0</v>
          </cell>
          <cell r="U1789" t="str">
            <v>FLOREZ CONDORI  JOSE WILLIANS</v>
          </cell>
          <cell r="V1789" t="str">
            <v>FLOREZ CONDORI  JOSE WILLIANS</v>
          </cell>
        </row>
        <row r="1790">
          <cell r="A1790">
            <v>1713</v>
          </cell>
          <cell r="B1790">
            <v>42702</v>
          </cell>
          <cell r="C1790" t="str">
            <v>NOVIEMBRE</v>
          </cell>
          <cell r="D1790" t="str">
            <v>2016</v>
          </cell>
          <cell r="E1790">
            <v>200</v>
          </cell>
          <cell r="F1790" t="str">
            <v>TALLER</v>
          </cell>
          <cell r="G1790" t="str">
            <v>TALLER</v>
          </cell>
          <cell r="H1790" t="str">
            <v>TALLER</v>
          </cell>
          <cell r="I1790" t="str">
            <v>TALLER</v>
          </cell>
          <cell r="J1790" t="str">
            <v>HERRAMIENTAS</v>
          </cell>
          <cell r="K1790" t="str">
            <v>REDUCTOR 3/4 A 1/2</v>
          </cell>
          <cell r="L1790">
            <v>1</v>
          </cell>
          <cell r="M1790" t="str">
            <v>UNID.</v>
          </cell>
          <cell r="N1790" t="str">
            <v>TALLER</v>
          </cell>
          <cell r="O1790">
            <v>88</v>
          </cell>
          <cell r="P1790" t="str">
            <v>M5</v>
          </cell>
          <cell r="Q1790" t="str">
            <v>J1</v>
          </cell>
          <cell r="R1790" t="str">
            <v>J5</v>
          </cell>
          <cell r="S1790" t="str">
            <v>ENTREGADO</v>
          </cell>
          <cell r="T1790">
            <v>0</v>
          </cell>
          <cell r="U1790" t="str">
            <v>LOPEZ RUIZ WILBERTO</v>
          </cell>
          <cell r="V1790" t="str">
            <v>FLOREZ CONDORI  JOSE WILLIANS</v>
          </cell>
        </row>
        <row r="1791">
          <cell r="A1791">
            <v>1714</v>
          </cell>
          <cell r="B1791">
            <v>42702</v>
          </cell>
          <cell r="C1791" t="str">
            <v>NOVIEMBRE</v>
          </cell>
          <cell r="D1791" t="str">
            <v>2016</v>
          </cell>
          <cell r="E1791">
            <v>200</v>
          </cell>
          <cell r="F1791" t="str">
            <v>TALLER</v>
          </cell>
          <cell r="G1791" t="str">
            <v>TALLER</v>
          </cell>
          <cell r="H1791" t="str">
            <v>TALLER</v>
          </cell>
          <cell r="I1791" t="str">
            <v>TALLER</v>
          </cell>
          <cell r="J1791" t="str">
            <v>EPPS</v>
          </cell>
          <cell r="K1791" t="str">
            <v>TYBEK M</v>
          </cell>
          <cell r="L1791">
            <v>1</v>
          </cell>
          <cell r="M1791" t="str">
            <v>UNID.</v>
          </cell>
          <cell r="N1791" t="str">
            <v>TALLER</v>
          </cell>
          <cell r="O1791">
            <v>88</v>
          </cell>
          <cell r="P1791" t="str">
            <v>M5</v>
          </cell>
          <cell r="Q1791" t="str">
            <v>J1</v>
          </cell>
          <cell r="R1791" t="str">
            <v>J5</v>
          </cell>
          <cell r="S1791" t="str">
            <v>ENTREGADO</v>
          </cell>
          <cell r="T1791">
            <v>0</v>
          </cell>
          <cell r="U1791" t="str">
            <v>LOPEZ RUIZ WILBERTO</v>
          </cell>
          <cell r="V1791" t="str">
            <v>FLOREZ CONDORI  JOSE WILLIANS</v>
          </cell>
        </row>
        <row r="1792">
          <cell r="A1792">
            <v>1722</v>
          </cell>
          <cell r="B1792">
            <v>42702</v>
          </cell>
          <cell r="C1792" t="str">
            <v>NOVIEMBRE</v>
          </cell>
          <cell r="D1792" t="str">
            <v>2016</v>
          </cell>
          <cell r="E1792">
            <v>200</v>
          </cell>
          <cell r="F1792" t="str">
            <v>TALLER</v>
          </cell>
          <cell r="G1792" t="str">
            <v>TALLER</v>
          </cell>
          <cell r="H1792" t="str">
            <v>TALLER</v>
          </cell>
          <cell r="I1792" t="str">
            <v>TALLER</v>
          </cell>
          <cell r="J1792" t="str">
            <v>EPPS</v>
          </cell>
          <cell r="K1792" t="str">
            <v>TYBEK M</v>
          </cell>
          <cell r="L1792">
            <v>1</v>
          </cell>
          <cell r="M1792" t="str">
            <v>UNID.</v>
          </cell>
          <cell r="N1792" t="str">
            <v>TALLER</v>
          </cell>
          <cell r="O1792">
            <v>88</v>
          </cell>
          <cell r="P1792" t="str">
            <v>M4</v>
          </cell>
          <cell r="Q1792" t="str">
            <v>J1</v>
          </cell>
          <cell r="R1792" t="str">
            <v>J5</v>
          </cell>
          <cell r="S1792" t="str">
            <v>ENTREGADO</v>
          </cell>
          <cell r="T1792">
            <v>0</v>
          </cell>
          <cell r="U1792" t="str">
            <v>JULLIRI APAZA UBALDO</v>
          </cell>
          <cell r="V1792" t="str">
            <v>FLOREZ CONDORI  JOSE WILLIANS</v>
          </cell>
        </row>
        <row r="1793">
          <cell r="A1793">
            <v>1734</v>
          </cell>
          <cell r="B1793">
            <v>42702</v>
          </cell>
          <cell r="C1793" t="str">
            <v>NOVIEMBRE</v>
          </cell>
          <cell r="D1793" t="str">
            <v>2016</v>
          </cell>
          <cell r="E1793">
            <v>200</v>
          </cell>
          <cell r="F1793" t="str">
            <v>TALLER</v>
          </cell>
          <cell r="G1793" t="str">
            <v>TALLER</v>
          </cell>
          <cell r="H1793" t="str">
            <v>TALLER</v>
          </cell>
          <cell r="I1793" t="str">
            <v>TALLER</v>
          </cell>
          <cell r="J1793" t="str">
            <v>HERRAMIENTAS</v>
          </cell>
          <cell r="K1793" t="str">
            <v>MARCADOR INDUSRIAL</v>
          </cell>
          <cell r="L1793">
            <v>1</v>
          </cell>
          <cell r="M1793" t="str">
            <v>UNID.</v>
          </cell>
          <cell r="N1793" t="str">
            <v>TRACTO</v>
          </cell>
          <cell r="O1793">
            <v>88</v>
          </cell>
          <cell r="P1793" t="str">
            <v>N1</v>
          </cell>
          <cell r="Q1793" t="str">
            <v>J3</v>
          </cell>
          <cell r="R1793" t="str">
            <v>J5</v>
          </cell>
          <cell r="S1793" t="str">
            <v>ENTREGADO</v>
          </cell>
          <cell r="T1793">
            <v>0</v>
          </cell>
          <cell r="U1793" t="str">
            <v>AGUILAR CCANTUTA WILLY</v>
          </cell>
          <cell r="V1793" t="str">
            <v>CHURA PIZARRO ALBERTO</v>
          </cell>
        </row>
        <row r="1794">
          <cell r="A1794">
            <v>1740</v>
          </cell>
          <cell r="B1794">
            <v>42702</v>
          </cell>
          <cell r="C1794" t="str">
            <v>NOVIEMBRE</v>
          </cell>
          <cell r="D1794" t="str">
            <v>2016</v>
          </cell>
          <cell r="E1794">
            <v>200</v>
          </cell>
          <cell r="F1794" t="str">
            <v>TALLER</v>
          </cell>
          <cell r="G1794" t="str">
            <v>TALLER</v>
          </cell>
          <cell r="H1794" t="str">
            <v>TALLER</v>
          </cell>
          <cell r="I1794" t="str">
            <v>TALLER</v>
          </cell>
          <cell r="J1794" t="str">
            <v>INSUMO TALLER</v>
          </cell>
          <cell r="K1794" t="str">
            <v>SPRAY BLANCO</v>
          </cell>
          <cell r="L1794">
            <v>1</v>
          </cell>
          <cell r="M1794" t="str">
            <v>UNID.</v>
          </cell>
          <cell r="N1794" t="str">
            <v>TALLER</v>
          </cell>
          <cell r="O1794">
            <v>88</v>
          </cell>
          <cell r="P1794" t="str">
            <v>N1</v>
          </cell>
          <cell r="Q1794" t="str">
            <v>J3</v>
          </cell>
          <cell r="R1794" t="str">
            <v>J5</v>
          </cell>
          <cell r="S1794" t="str">
            <v>ENTREGADO</v>
          </cell>
          <cell r="T1794">
            <v>0</v>
          </cell>
          <cell r="U1794" t="str">
            <v>AGUILAR CCANTUTA WILLY</v>
          </cell>
          <cell r="V1794" t="str">
            <v>CHURA PIZARRO ALBERTO</v>
          </cell>
        </row>
        <row r="1795">
          <cell r="A1795">
            <v>1741</v>
          </cell>
          <cell r="B1795">
            <v>42702</v>
          </cell>
          <cell r="C1795" t="str">
            <v>NOVIEMBRE</v>
          </cell>
          <cell r="D1795" t="str">
            <v>2016</v>
          </cell>
          <cell r="E1795">
            <v>200</v>
          </cell>
          <cell r="F1795" t="str">
            <v>TALLER</v>
          </cell>
          <cell r="G1795" t="str">
            <v>TALLER</v>
          </cell>
          <cell r="H1795" t="str">
            <v>TALLER</v>
          </cell>
          <cell r="I1795" t="str">
            <v>TALLER</v>
          </cell>
          <cell r="J1795" t="str">
            <v>INSUMO TALLER</v>
          </cell>
          <cell r="K1795" t="str">
            <v>SPRAY ALUMINIO</v>
          </cell>
          <cell r="L1795">
            <v>1</v>
          </cell>
          <cell r="M1795" t="str">
            <v>UNID.</v>
          </cell>
          <cell r="N1795" t="str">
            <v>TALLER</v>
          </cell>
          <cell r="O1795">
            <v>88</v>
          </cell>
          <cell r="P1795" t="str">
            <v>N1</v>
          </cell>
          <cell r="Q1795" t="str">
            <v>J3</v>
          </cell>
          <cell r="R1795" t="str">
            <v>J5</v>
          </cell>
          <cell r="S1795" t="str">
            <v>ENTREGADO</v>
          </cell>
          <cell r="T1795">
            <v>0</v>
          </cell>
          <cell r="U1795" t="str">
            <v>AGUILAR CCANTUTA WILLY</v>
          </cell>
          <cell r="V1795" t="str">
            <v>CHURA PIZARRO ALBERTO</v>
          </cell>
        </row>
        <row r="1796">
          <cell r="A1796">
            <v>1743</v>
          </cell>
          <cell r="B1796">
            <v>42702</v>
          </cell>
          <cell r="C1796" t="str">
            <v>NOVIEMBRE</v>
          </cell>
          <cell r="D1796" t="str">
            <v>2016</v>
          </cell>
          <cell r="E1796">
            <v>200</v>
          </cell>
          <cell r="F1796" t="str">
            <v>TALLER</v>
          </cell>
          <cell r="G1796" t="str">
            <v>TALLER</v>
          </cell>
          <cell r="H1796" t="str">
            <v>TALLER</v>
          </cell>
          <cell r="I1796" t="str">
            <v>TALLER</v>
          </cell>
          <cell r="J1796" t="str">
            <v>INSUMO TALLER</v>
          </cell>
          <cell r="K1796" t="str">
            <v xml:space="preserve">TIZA PARA CALDERO </v>
          </cell>
          <cell r="L1796">
            <v>1</v>
          </cell>
          <cell r="M1796" t="str">
            <v>UNID.</v>
          </cell>
          <cell r="N1796" t="str">
            <v>TALLER</v>
          </cell>
          <cell r="O1796">
            <v>88</v>
          </cell>
          <cell r="P1796" t="str">
            <v>S1</v>
          </cell>
          <cell r="Q1796" t="str">
            <v>J2</v>
          </cell>
          <cell r="R1796" t="str">
            <v>J5</v>
          </cell>
          <cell r="S1796" t="str">
            <v>ENTREGADO</v>
          </cell>
          <cell r="T1796">
            <v>0</v>
          </cell>
          <cell r="U1796" t="str">
            <v>BAYONA CRUZ CRISTIAN ARMANDO</v>
          </cell>
          <cell r="V1796" t="str">
            <v>CORIHUAMAN SURCO  ERICK ROBERT</v>
          </cell>
        </row>
        <row r="1797">
          <cell r="A1797">
            <v>1767</v>
          </cell>
          <cell r="B1797">
            <v>42702</v>
          </cell>
          <cell r="C1797" t="str">
            <v>NOVIEMBRE</v>
          </cell>
          <cell r="D1797" t="str">
            <v>2016</v>
          </cell>
          <cell r="E1797">
            <v>200</v>
          </cell>
          <cell r="F1797" t="str">
            <v>TALLER</v>
          </cell>
          <cell r="G1797" t="str">
            <v>TALLER</v>
          </cell>
          <cell r="H1797" t="str">
            <v>TALLER</v>
          </cell>
          <cell r="I1797" t="str">
            <v>TALLER</v>
          </cell>
          <cell r="J1797" t="str">
            <v>HERRAMIENTAS</v>
          </cell>
          <cell r="K1797" t="str">
            <v xml:space="preserve">LUNA TRANSPARENTE </v>
          </cell>
          <cell r="L1797">
            <v>2</v>
          </cell>
          <cell r="M1797" t="str">
            <v>UNID.</v>
          </cell>
          <cell r="N1797" t="str">
            <v>TALLER</v>
          </cell>
          <cell r="O1797">
            <v>88</v>
          </cell>
          <cell r="P1797" t="str">
            <v>S4</v>
          </cell>
          <cell r="Q1797" t="str">
            <v>J2</v>
          </cell>
          <cell r="R1797" t="str">
            <v>J5</v>
          </cell>
          <cell r="S1797" t="str">
            <v>ENTREGADO</v>
          </cell>
          <cell r="T1797">
            <v>0</v>
          </cell>
          <cell r="U1797" t="str">
            <v>SURCO QUISPE JOHNNY</v>
          </cell>
          <cell r="V1797" t="str">
            <v>CORIHUAMAN SURCO  ERICK ROBERT</v>
          </cell>
        </row>
        <row r="1798">
          <cell r="A1798">
            <v>1768</v>
          </cell>
          <cell r="B1798">
            <v>42702</v>
          </cell>
          <cell r="C1798" t="str">
            <v>NOVIEMBRE</v>
          </cell>
          <cell r="D1798" t="str">
            <v>2016</v>
          </cell>
          <cell r="E1798">
            <v>200</v>
          </cell>
          <cell r="F1798" t="str">
            <v>TALLER</v>
          </cell>
          <cell r="G1798" t="str">
            <v>TALLER</v>
          </cell>
          <cell r="H1798" t="str">
            <v>TALLER</v>
          </cell>
          <cell r="I1798" t="str">
            <v>TALLER</v>
          </cell>
          <cell r="J1798" t="str">
            <v>HERRAMIENTAS</v>
          </cell>
          <cell r="K1798" t="str">
            <v>LUNA OSCURA NRO. 12</v>
          </cell>
          <cell r="L1798">
            <v>1</v>
          </cell>
          <cell r="M1798" t="str">
            <v>UNID.</v>
          </cell>
          <cell r="N1798" t="str">
            <v>TALLER</v>
          </cell>
          <cell r="O1798">
            <v>88</v>
          </cell>
          <cell r="P1798" t="str">
            <v>S4</v>
          </cell>
          <cell r="Q1798" t="str">
            <v>J2</v>
          </cell>
          <cell r="R1798" t="str">
            <v>J5</v>
          </cell>
          <cell r="S1798" t="str">
            <v>ENTREGADO</v>
          </cell>
          <cell r="T1798">
            <v>0</v>
          </cell>
          <cell r="U1798" t="str">
            <v>SURCO QUISPE JOHNNY</v>
          </cell>
          <cell r="V1798" t="str">
            <v>CORIHUAMAN SURCO  ERICK ROBERT</v>
          </cell>
        </row>
        <row r="1799">
          <cell r="A1799">
            <v>1775</v>
          </cell>
          <cell r="B1799">
            <v>42702</v>
          </cell>
          <cell r="C1799" t="str">
            <v>NOVIEMBRE</v>
          </cell>
          <cell r="D1799" t="str">
            <v>2016</v>
          </cell>
          <cell r="E1799">
            <v>200</v>
          </cell>
          <cell r="F1799" t="str">
            <v>TALLER</v>
          </cell>
          <cell r="G1799" t="str">
            <v>TALLER</v>
          </cell>
          <cell r="H1799" t="str">
            <v>TALLER</v>
          </cell>
          <cell r="I1799" t="str">
            <v>TALLER</v>
          </cell>
          <cell r="J1799" t="str">
            <v>EPPS</v>
          </cell>
          <cell r="K1799" t="str">
            <v>TYBEK M</v>
          </cell>
          <cell r="L1799">
            <v>1</v>
          </cell>
          <cell r="M1799" t="str">
            <v>UNID.</v>
          </cell>
          <cell r="N1799" t="str">
            <v>TALLER</v>
          </cell>
          <cell r="O1799">
            <v>88</v>
          </cell>
          <cell r="P1799" t="str">
            <v>E3</v>
          </cell>
          <cell r="Q1799" t="str">
            <v>J2</v>
          </cell>
          <cell r="R1799" t="str">
            <v>J5</v>
          </cell>
          <cell r="S1799" t="str">
            <v>ENTREGADO</v>
          </cell>
          <cell r="T1799">
            <v>0</v>
          </cell>
          <cell r="U1799" t="str">
            <v>CONDORI CHURATA ALEX</v>
          </cell>
          <cell r="V1799" t="str">
            <v>CORIHUAMAN SURCO  ERICK ROBERT</v>
          </cell>
        </row>
        <row r="1800">
          <cell r="A1800">
            <v>1776</v>
          </cell>
          <cell r="B1800">
            <v>42702</v>
          </cell>
          <cell r="C1800" t="str">
            <v>NOVIEMBRE</v>
          </cell>
          <cell r="D1800" t="str">
            <v>2016</v>
          </cell>
          <cell r="E1800">
            <v>200</v>
          </cell>
          <cell r="F1800" t="str">
            <v>TALLER</v>
          </cell>
          <cell r="G1800" t="str">
            <v>TALLER</v>
          </cell>
          <cell r="H1800" t="str">
            <v>TALLER</v>
          </cell>
          <cell r="I1800" t="str">
            <v>TALLER</v>
          </cell>
          <cell r="J1800" t="str">
            <v>EPPS</v>
          </cell>
          <cell r="K1800" t="str">
            <v>MASCARILLA</v>
          </cell>
          <cell r="L1800">
            <v>1</v>
          </cell>
          <cell r="M1800" t="str">
            <v>UNID.</v>
          </cell>
          <cell r="N1800" t="str">
            <v>TALLER</v>
          </cell>
          <cell r="O1800">
            <v>88</v>
          </cell>
          <cell r="P1800" t="str">
            <v>E3</v>
          </cell>
          <cell r="Q1800" t="str">
            <v>J2</v>
          </cell>
          <cell r="R1800" t="str">
            <v>J5</v>
          </cell>
          <cell r="S1800" t="str">
            <v>ENTREGADO</v>
          </cell>
          <cell r="T1800">
            <v>0</v>
          </cell>
          <cell r="U1800" t="str">
            <v>CONDORI CHURATA ALEX</v>
          </cell>
          <cell r="V1800" t="str">
            <v>CORIHUAMAN SURCO  ERICK ROBERT</v>
          </cell>
        </row>
        <row r="1801">
          <cell r="A1801">
            <v>1777</v>
          </cell>
          <cell r="B1801">
            <v>42702</v>
          </cell>
          <cell r="C1801" t="str">
            <v>NOVIEMBRE</v>
          </cell>
          <cell r="D1801" t="str">
            <v>2016</v>
          </cell>
          <cell r="E1801">
            <v>200</v>
          </cell>
          <cell r="F1801" t="str">
            <v>TALLER</v>
          </cell>
          <cell r="G1801" t="str">
            <v>TALLER</v>
          </cell>
          <cell r="H1801" t="str">
            <v>TALLER</v>
          </cell>
          <cell r="I1801" t="str">
            <v>TALLER</v>
          </cell>
          <cell r="J1801" t="str">
            <v>EPPS</v>
          </cell>
          <cell r="K1801" t="str">
            <v>GUANTES DE JEBE</v>
          </cell>
          <cell r="L1801">
            <v>1</v>
          </cell>
          <cell r="M1801" t="str">
            <v>UNID.</v>
          </cell>
          <cell r="N1801" t="str">
            <v>TALLER</v>
          </cell>
          <cell r="O1801">
            <v>88</v>
          </cell>
          <cell r="P1801" t="str">
            <v>E3</v>
          </cell>
          <cell r="Q1801" t="str">
            <v>J2</v>
          </cell>
          <cell r="R1801" t="str">
            <v>J5</v>
          </cell>
          <cell r="S1801" t="str">
            <v>ENTREGADO</v>
          </cell>
          <cell r="T1801">
            <v>0</v>
          </cell>
          <cell r="U1801" t="str">
            <v>CONDORI CHURATA ALEX</v>
          </cell>
          <cell r="V1801" t="str">
            <v>CORIHUAMAN SURCO  ERICK ROBERT</v>
          </cell>
        </row>
        <row r="1802">
          <cell r="A1802">
            <v>1742</v>
          </cell>
          <cell r="B1802">
            <v>42702</v>
          </cell>
          <cell r="C1802" t="str">
            <v>NOVIEMBRE</v>
          </cell>
          <cell r="D1802" t="str">
            <v>2016</v>
          </cell>
          <cell r="E1802">
            <v>420</v>
          </cell>
          <cell r="F1802" t="str">
            <v>X2W-763</v>
          </cell>
          <cell r="G1802" t="str">
            <v>C5V-997</v>
          </cell>
          <cell r="H1802" t="str">
            <v>LAS BAMBAS</v>
          </cell>
          <cell r="I1802">
            <v>154933</v>
          </cell>
          <cell r="J1802" t="str">
            <v>REPUESTO</v>
          </cell>
          <cell r="K1802" t="str">
            <v>LIQUIDO LIMPIAPARABRISAS</v>
          </cell>
          <cell r="L1802">
            <v>1</v>
          </cell>
          <cell r="M1802" t="str">
            <v>UNID.</v>
          </cell>
          <cell r="N1802" t="str">
            <v>TALLER</v>
          </cell>
          <cell r="O1802">
            <v>88</v>
          </cell>
          <cell r="P1802" t="str">
            <v>M1</v>
          </cell>
          <cell r="Q1802" t="str">
            <v>J2</v>
          </cell>
          <cell r="R1802" t="str">
            <v>J5</v>
          </cell>
          <cell r="S1802" t="str">
            <v>ENTREGADO</v>
          </cell>
          <cell r="T1802">
            <v>0</v>
          </cell>
          <cell r="U1802" t="str">
            <v>CABEZAS SANCHEZ JEAN JHONATAN</v>
          </cell>
          <cell r="V1802" t="str">
            <v>CORIHUAMAN SURCO  ERICK ROBERT</v>
          </cell>
        </row>
        <row r="1803">
          <cell r="A1803">
            <v>1724</v>
          </cell>
          <cell r="B1803">
            <v>42702</v>
          </cell>
          <cell r="C1803" t="str">
            <v>NOVIEMBRE</v>
          </cell>
          <cell r="D1803" t="str">
            <v>2016</v>
          </cell>
          <cell r="E1803">
            <v>444</v>
          </cell>
          <cell r="F1803" t="str">
            <v>X2W-791</v>
          </cell>
          <cell r="G1803" t="str">
            <v>C5V-989</v>
          </cell>
          <cell r="H1803" t="str">
            <v>LAS BAMBAS</v>
          </cell>
          <cell r="I1803">
            <v>145997</v>
          </cell>
          <cell r="J1803" t="str">
            <v>REPUESTO</v>
          </cell>
          <cell r="K1803" t="str">
            <v>LIQUIDO REFRIGERANTE</v>
          </cell>
          <cell r="L1803">
            <v>0.5</v>
          </cell>
          <cell r="M1803" t="str">
            <v>GLNS.</v>
          </cell>
          <cell r="N1803" t="str">
            <v>TRACTO</v>
          </cell>
          <cell r="O1803">
            <v>88</v>
          </cell>
          <cell r="P1803" t="str">
            <v>M3</v>
          </cell>
          <cell r="Q1803" t="str">
            <v>J2</v>
          </cell>
          <cell r="R1803" t="str">
            <v>J5</v>
          </cell>
          <cell r="S1803" t="str">
            <v>ENTREGADO</v>
          </cell>
          <cell r="T1803">
            <v>0</v>
          </cell>
          <cell r="U1803" t="str">
            <v>GARCIA PASQUEL  JOSE LUIS</v>
          </cell>
          <cell r="V1803" t="str">
            <v>CORIHUAMAN SURCO  ERICK ROBERT</v>
          </cell>
        </row>
        <row r="1804">
          <cell r="A1804">
            <v>1736</v>
          </cell>
          <cell r="B1804">
            <v>42702</v>
          </cell>
          <cell r="C1804" t="str">
            <v>NOVIEMBRE</v>
          </cell>
          <cell r="D1804" t="str">
            <v>2016</v>
          </cell>
          <cell r="E1804">
            <v>444</v>
          </cell>
          <cell r="F1804" t="str">
            <v>X2W-791</v>
          </cell>
          <cell r="G1804" t="str">
            <v>C5V-989</v>
          </cell>
          <cell r="H1804" t="str">
            <v>LAS BAMBAS</v>
          </cell>
          <cell r="I1804">
            <v>145997</v>
          </cell>
          <cell r="J1804" t="str">
            <v>REPUESTO</v>
          </cell>
          <cell r="K1804" t="str">
            <v>CORTADOR DE CORRIENTE</v>
          </cell>
          <cell r="L1804">
            <v>1</v>
          </cell>
          <cell r="M1804" t="str">
            <v>UNID.</v>
          </cell>
          <cell r="N1804" t="str">
            <v>TRACTO</v>
          </cell>
          <cell r="O1804">
            <v>88</v>
          </cell>
          <cell r="P1804" t="str">
            <v>E2</v>
          </cell>
          <cell r="Q1804" t="str">
            <v>J2</v>
          </cell>
          <cell r="R1804" t="str">
            <v>J5</v>
          </cell>
          <cell r="S1804" t="str">
            <v>PENDIENTE</v>
          </cell>
          <cell r="T1804">
            <v>0</v>
          </cell>
          <cell r="U1804" t="str">
            <v>YUCA BELLIDO BORIS YERSY</v>
          </cell>
          <cell r="V1804" t="str">
            <v>CORIHUAMAN SURCO  ERICK ROBERT</v>
          </cell>
        </row>
        <row r="1805">
          <cell r="A1805">
            <v>1738</v>
          </cell>
          <cell r="B1805">
            <v>42702</v>
          </cell>
          <cell r="C1805" t="str">
            <v>NOVIEMBRE</v>
          </cell>
          <cell r="D1805" t="str">
            <v>2016</v>
          </cell>
          <cell r="E1805">
            <v>444</v>
          </cell>
          <cell r="F1805" t="str">
            <v>X2W-791</v>
          </cell>
          <cell r="G1805" t="str">
            <v>C5V-989</v>
          </cell>
          <cell r="H1805" t="str">
            <v>LAS BAMBAS</v>
          </cell>
          <cell r="I1805">
            <v>145997</v>
          </cell>
          <cell r="J1805" t="str">
            <v>REPUESTO</v>
          </cell>
          <cell r="K1805" t="str">
            <v>PERNO TAPA MANHOLE C/ DOBLE TUERCA</v>
          </cell>
          <cell r="L1805">
            <v>1</v>
          </cell>
          <cell r="M1805" t="str">
            <v>UNID.</v>
          </cell>
          <cell r="N1805" t="str">
            <v>CISTERNA</v>
          </cell>
          <cell r="O1805">
            <v>88</v>
          </cell>
          <cell r="P1805" t="str">
            <v>M3</v>
          </cell>
          <cell r="Q1805" t="str">
            <v>J2</v>
          </cell>
          <cell r="R1805" t="str">
            <v>J5</v>
          </cell>
          <cell r="S1805" t="str">
            <v>ENTREGADO</v>
          </cell>
          <cell r="T1805">
            <v>0</v>
          </cell>
          <cell r="U1805" t="str">
            <v>GARCIA PASQUEL  JOSE LUIS</v>
          </cell>
          <cell r="V1805" t="str">
            <v>CORIHUAMAN SURCO  ERICK ROBERT</v>
          </cell>
        </row>
        <row r="1806">
          <cell r="A1806">
            <v>1754</v>
          </cell>
          <cell r="B1806">
            <v>42702</v>
          </cell>
          <cell r="C1806" t="str">
            <v>NOVIEMBRE</v>
          </cell>
          <cell r="D1806" t="str">
            <v>2016</v>
          </cell>
          <cell r="E1806">
            <v>444</v>
          </cell>
          <cell r="F1806" t="str">
            <v>X2W-791</v>
          </cell>
          <cell r="G1806" t="str">
            <v>C5V-989</v>
          </cell>
          <cell r="H1806" t="str">
            <v>LAS BAMBAS</v>
          </cell>
          <cell r="I1806">
            <v>145997</v>
          </cell>
          <cell r="J1806" t="str">
            <v>REPUESTO</v>
          </cell>
          <cell r="K1806" t="str">
            <v xml:space="preserve">BORNER DE BATERIA </v>
          </cell>
          <cell r="L1806">
            <v>1</v>
          </cell>
          <cell r="M1806" t="str">
            <v>UNID.</v>
          </cell>
          <cell r="N1806" t="str">
            <v>TRACTO</v>
          </cell>
          <cell r="O1806">
            <v>88</v>
          </cell>
          <cell r="P1806" t="str">
            <v>E2</v>
          </cell>
          <cell r="Q1806" t="str">
            <v>J1</v>
          </cell>
          <cell r="R1806" t="str">
            <v>J5</v>
          </cell>
          <cell r="S1806" t="str">
            <v>ENTREGADO</v>
          </cell>
          <cell r="T1806">
            <v>0</v>
          </cell>
          <cell r="U1806" t="str">
            <v>YUCA BELLIDO BORIS YERSY</v>
          </cell>
          <cell r="V1806" t="str">
            <v>FLOREZ CONDORI  JOSE WILLIANS</v>
          </cell>
        </row>
        <row r="1807">
          <cell r="A1807">
            <v>1739</v>
          </cell>
          <cell r="B1807">
            <v>42702</v>
          </cell>
          <cell r="C1807" t="str">
            <v>NOVIEMBRE</v>
          </cell>
          <cell r="D1807" t="str">
            <v>2016</v>
          </cell>
          <cell r="E1807">
            <v>444</v>
          </cell>
          <cell r="F1807" t="str">
            <v>X2W-791</v>
          </cell>
          <cell r="G1807" t="str">
            <v>C5V-989</v>
          </cell>
          <cell r="H1807" t="str">
            <v>LAS BAMBAS</v>
          </cell>
          <cell r="I1807">
            <v>145997</v>
          </cell>
          <cell r="J1807" t="str">
            <v>REPUESTO</v>
          </cell>
          <cell r="K1807" t="str">
            <v xml:space="preserve">LLANTA REENCAUCHADA IDY </v>
          </cell>
          <cell r="L1807">
            <v>4</v>
          </cell>
          <cell r="M1807" t="str">
            <v>UNID.</v>
          </cell>
          <cell r="N1807" t="str">
            <v>TRACTO</v>
          </cell>
          <cell r="O1807">
            <v>88</v>
          </cell>
          <cell r="P1807" t="str">
            <v>N1</v>
          </cell>
          <cell r="Q1807" t="str">
            <v>J3</v>
          </cell>
          <cell r="R1807" t="str">
            <v>J5</v>
          </cell>
          <cell r="S1807" t="str">
            <v>ENTREGADO</v>
          </cell>
          <cell r="T1807">
            <v>0</v>
          </cell>
          <cell r="U1807" t="str">
            <v>AGUILAR CCANTUTA WILLY</v>
          </cell>
          <cell r="V1807" t="str">
            <v>CHURA PIZARRO ALBERTO</v>
          </cell>
        </row>
        <row r="1808">
          <cell r="A1808">
            <v>1793</v>
          </cell>
          <cell r="B1808">
            <v>42703</v>
          </cell>
          <cell r="C1808" t="str">
            <v>NOVIEMBRE</v>
          </cell>
          <cell r="D1808" t="str">
            <v>2016</v>
          </cell>
          <cell r="E1808">
            <v>339</v>
          </cell>
          <cell r="F1808" t="str">
            <v>A9H-889</v>
          </cell>
          <cell r="G1808" t="str">
            <v>CAMION</v>
          </cell>
          <cell r="H1808" t="str">
            <v>TAMBOMAYO</v>
          </cell>
          <cell r="I1808">
            <v>0</v>
          </cell>
          <cell r="J1808" t="str">
            <v>REPUESTO</v>
          </cell>
          <cell r="K1808" t="str">
            <v xml:space="preserve">REFRIGERANTE </v>
          </cell>
          <cell r="L1808">
            <v>9</v>
          </cell>
          <cell r="M1808" t="str">
            <v>GLNS.</v>
          </cell>
          <cell r="N1808" t="str">
            <v>CAMION</v>
          </cell>
          <cell r="O1808">
            <v>87</v>
          </cell>
          <cell r="P1808" t="str">
            <v>M1</v>
          </cell>
          <cell r="Q1808" t="str">
            <v>J2</v>
          </cell>
          <cell r="R1808" t="str">
            <v>J6</v>
          </cell>
          <cell r="S1808" t="str">
            <v>ENTREGADO</v>
          </cell>
          <cell r="T1808">
            <v>0</v>
          </cell>
          <cell r="U1808" t="str">
            <v>CABEZAS SANCHEZ JEAN JHONATAN</v>
          </cell>
          <cell r="V1808" t="str">
            <v>CORIHUAMAN SURCO  ERICK ROBERT</v>
          </cell>
        </row>
        <row r="1809">
          <cell r="A1809">
            <v>1835</v>
          </cell>
          <cell r="B1809">
            <v>42703</v>
          </cell>
          <cell r="C1809" t="str">
            <v>NOVIEMBRE</v>
          </cell>
          <cell r="D1809" t="str">
            <v>2016</v>
          </cell>
          <cell r="E1809">
            <v>308</v>
          </cell>
          <cell r="F1809" t="str">
            <v>A9H-889</v>
          </cell>
          <cell r="G1809" t="str">
            <v>CAMION</v>
          </cell>
          <cell r="H1809" t="str">
            <v>TAMBOMAYO</v>
          </cell>
          <cell r="I1809">
            <v>120654</v>
          </cell>
          <cell r="J1809" t="str">
            <v>REPUESTO</v>
          </cell>
          <cell r="K1809" t="str">
            <v>ABRAZADERA DE 4"</v>
          </cell>
          <cell r="L1809">
            <v>1</v>
          </cell>
          <cell r="M1809" t="str">
            <v>UNID.</v>
          </cell>
          <cell r="N1809" t="str">
            <v>CAMION</v>
          </cell>
          <cell r="O1809">
            <v>87</v>
          </cell>
          <cell r="P1809" t="str">
            <v>M1</v>
          </cell>
          <cell r="Q1809" t="str">
            <v>J1</v>
          </cell>
          <cell r="R1809" t="str">
            <v>J6</v>
          </cell>
          <cell r="S1809" t="str">
            <v>ENTREGADO</v>
          </cell>
          <cell r="T1809">
            <v>0</v>
          </cell>
          <cell r="U1809" t="str">
            <v>CABEZAS SANCHEZ JEAN JHONATAN</v>
          </cell>
          <cell r="V1809" t="str">
            <v>FLOREZ CONDORI  JOSE WILLIANS</v>
          </cell>
        </row>
        <row r="1810">
          <cell r="A1810">
            <v>1852</v>
          </cell>
          <cell r="B1810">
            <v>42703</v>
          </cell>
          <cell r="C1810" t="str">
            <v>NOVIEMBRE</v>
          </cell>
          <cell r="D1810" t="str">
            <v>2016</v>
          </cell>
          <cell r="E1810">
            <v>405</v>
          </cell>
          <cell r="F1810" t="str">
            <v>AAN-801</v>
          </cell>
          <cell r="G1810" t="str">
            <v>CAMIONETA</v>
          </cell>
          <cell r="H1810" t="str">
            <v>LAS BAMBAS</v>
          </cell>
          <cell r="I1810">
            <v>111603</v>
          </cell>
          <cell r="J1810" t="str">
            <v>REPUESTO</v>
          </cell>
          <cell r="K1810" t="str">
            <v>FILTRO DE ACEITE</v>
          </cell>
          <cell r="L1810">
            <v>1</v>
          </cell>
          <cell r="M1810" t="str">
            <v>UNID.</v>
          </cell>
          <cell r="N1810" t="str">
            <v>CAMIONETA</v>
          </cell>
          <cell r="O1810">
            <v>87</v>
          </cell>
          <cell r="P1810" t="str">
            <v>M6</v>
          </cell>
          <cell r="Q1810" t="str">
            <v>J2</v>
          </cell>
          <cell r="R1810" t="str">
            <v>J6</v>
          </cell>
          <cell r="S1810" t="str">
            <v>ENTREGADO</v>
          </cell>
          <cell r="T1810">
            <v>0</v>
          </cell>
          <cell r="U1810" t="str">
            <v>PARI VENTURA  EDSON ORLANDO</v>
          </cell>
          <cell r="V1810" t="str">
            <v>CORIHUAMAN SURCO  ERICK ROBERT</v>
          </cell>
        </row>
        <row r="1811">
          <cell r="A1811">
            <v>1853</v>
          </cell>
          <cell r="B1811">
            <v>42703</v>
          </cell>
          <cell r="C1811" t="str">
            <v>NOVIEMBRE</v>
          </cell>
          <cell r="D1811" t="str">
            <v>2016</v>
          </cell>
          <cell r="E1811">
            <v>405</v>
          </cell>
          <cell r="F1811" t="str">
            <v>AAN-801</v>
          </cell>
          <cell r="G1811" t="str">
            <v>CAMIONETA</v>
          </cell>
          <cell r="H1811" t="str">
            <v>LAS BAMBAS</v>
          </cell>
          <cell r="I1811">
            <v>111603</v>
          </cell>
          <cell r="J1811" t="str">
            <v>REPUESTO</v>
          </cell>
          <cell r="K1811" t="str">
            <v>FILTRO DE COMBUSTIBLE</v>
          </cell>
          <cell r="L1811">
            <v>1</v>
          </cell>
          <cell r="M1811" t="str">
            <v>UNID.</v>
          </cell>
          <cell r="N1811" t="str">
            <v>CAMIONETA</v>
          </cell>
          <cell r="O1811">
            <v>87</v>
          </cell>
          <cell r="P1811" t="str">
            <v>M6</v>
          </cell>
          <cell r="Q1811" t="str">
            <v>J2</v>
          </cell>
          <cell r="R1811" t="str">
            <v>J6</v>
          </cell>
          <cell r="S1811" t="str">
            <v>ENTREGADO</v>
          </cell>
          <cell r="T1811">
            <v>0</v>
          </cell>
          <cell r="U1811" t="str">
            <v>PARI VENTURA  EDSON ORLANDO</v>
          </cell>
          <cell r="V1811" t="str">
            <v>CORIHUAMAN SURCO  ERICK ROBERT</v>
          </cell>
        </row>
        <row r="1812">
          <cell r="A1812">
            <v>1854</v>
          </cell>
          <cell r="B1812">
            <v>42703</v>
          </cell>
          <cell r="C1812" t="str">
            <v>NOVIEMBRE</v>
          </cell>
          <cell r="D1812" t="str">
            <v>2016</v>
          </cell>
          <cell r="E1812">
            <v>405</v>
          </cell>
          <cell r="F1812" t="str">
            <v>AAN-801</v>
          </cell>
          <cell r="G1812" t="str">
            <v>CAMIONETA</v>
          </cell>
          <cell r="H1812" t="str">
            <v>LAS BAMBAS</v>
          </cell>
          <cell r="I1812">
            <v>111603</v>
          </cell>
          <cell r="J1812" t="str">
            <v>REPUESTO</v>
          </cell>
          <cell r="K1812" t="str">
            <v>FILTRO DE AIRE</v>
          </cell>
          <cell r="L1812">
            <v>1</v>
          </cell>
          <cell r="M1812" t="str">
            <v>UNID.</v>
          </cell>
          <cell r="N1812" t="str">
            <v>CAMIONETA</v>
          </cell>
          <cell r="O1812">
            <v>87</v>
          </cell>
          <cell r="P1812" t="str">
            <v>M6</v>
          </cell>
          <cell r="Q1812" t="str">
            <v>J2</v>
          </cell>
          <cell r="R1812" t="str">
            <v>J6</v>
          </cell>
          <cell r="S1812" t="str">
            <v>ENTREGADO</v>
          </cell>
          <cell r="T1812">
            <v>0</v>
          </cell>
          <cell r="U1812" t="str">
            <v>PARI VENTURA  EDSON ORLANDO</v>
          </cell>
          <cell r="V1812" t="str">
            <v>CORIHUAMAN SURCO  ERICK ROBERT</v>
          </cell>
        </row>
        <row r="1813">
          <cell r="A1813">
            <v>1855</v>
          </cell>
          <cell r="B1813">
            <v>42703</v>
          </cell>
          <cell r="C1813" t="str">
            <v>NOVIEMBRE</v>
          </cell>
          <cell r="D1813" t="str">
            <v>2016</v>
          </cell>
          <cell r="E1813">
            <v>405</v>
          </cell>
          <cell r="F1813" t="str">
            <v>AAN-801</v>
          </cell>
          <cell r="G1813" t="str">
            <v>CAMIONETA</v>
          </cell>
          <cell r="H1813" t="str">
            <v>LAS BAMBAS</v>
          </cell>
          <cell r="I1813">
            <v>111603</v>
          </cell>
          <cell r="J1813" t="str">
            <v>REPUESTO</v>
          </cell>
          <cell r="K1813" t="str">
            <v>ACEITE 15W40</v>
          </cell>
          <cell r="L1813">
            <v>2</v>
          </cell>
          <cell r="M1813" t="str">
            <v>GLNS.</v>
          </cell>
          <cell r="N1813" t="str">
            <v>CAMIONETA</v>
          </cell>
          <cell r="O1813">
            <v>87</v>
          </cell>
          <cell r="P1813" t="str">
            <v>M6</v>
          </cell>
          <cell r="Q1813" t="str">
            <v>J2</v>
          </cell>
          <cell r="R1813" t="str">
            <v>J6</v>
          </cell>
          <cell r="S1813" t="str">
            <v>ENTREGADO</v>
          </cell>
          <cell r="T1813">
            <v>0</v>
          </cell>
          <cell r="U1813" t="str">
            <v>PARI VENTURA  EDSON ORLANDO</v>
          </cell>
          <cell r="V1813" t="str">
            <v>CORIHUAMAN SURCO  ERICK ROBERT</v>
          </cell>
        </row>
        <row r="1814">
          <cell r="A1814">
            <v>1807</v>
          </cell>
          <cell r="B1814">
            <v>42703</v>
          </cell>
          <cell r="C1814" t="str">
            <v>NOVIEMBRE</v>
          </cell>
          <cell r="D1814" t="str">
            <v>2016</v>
          </cell>
          <cell r="E1814">
            <v>404</v>
          </cell>
          <cell r="F1814" t="str">
            <v>ABP-729</v>
          </cell>
          <cell r="G1814" t="str">
            <v>D8K-985</v>
          </cell>
          <cell r="H1814" t="str">
            <v>LAS BAMBAS</v>
          </cell>
          <cell r="I1814">
            <v>107443</v>
          </cell>
          <cell r="J1814" t="str">
            <v>REPUESTO</v>
          </cell>
          <cell r="K1814" t="str">
            <v>PERNO 5/16 X 1</v>
          </cell>
          <cell r="L1814">
            <v>2</v>
          </cell>
          <cell r="M1814" t="str">
            <v>UNID.</v>
          </cell>
          <cell r="N1814" t="str">
            <v>TRACTO</v>
          </cell>
          <cell r="O1814">
            <v>87</v>
          </cell>
          <cell r="P1814" t="str">
            <v>M2</v>
          </cell>
          <cell r="Q1814" t="str">
            <v>J2</v>
          </cell>
          <cell r="R1814" t="str">
            <v>J6</v>
          </cell>
          <cell r="S1814" t="str">
            <v>ENTREGADO</v>
          </cell>
          <cell r="T1814">
            <v>0</v>
          </cell>
          <cell r="U1814" t="str">
            <v>CHUMPITAZ GAGO JULIO ENRIQUE</v>
          </cell>
          <cell r="V1814" t="str">
            <v>CORIHUAMAN SURCO  ERICK ROBERT</v>
          </cell>
        </row>
        <row r="1815">
          <cell r="A1815">
            <v>1808</v>
          </cell>
          <cell r="B1815">
            <v>42703</v>
          </cell>
          <cell r="C1815" t="str">
            <v>NOVIEMBRE</v>
          </cell>
          <cell r="D1815" t="str">
            <v>2016</v>
          </cell>
          <cell r="E1815">
            <v>404</v>
          </cell>
          <cell r="F1815" t="str">
            <v>ABP-729</v>
          </cell>
          <cell r="G1815" t="str">
            <v>D8K-985</v>
          </cell>
          <cell r="H1815" t="str">
            <v>LAS BAMBAS</v>
          </cell>
          <cell r="I1815">
            <v>107443</v>
          </cell>
          <cell r="J1815" t="str">
            <v>REPUESTO</v>
          </cell>
          <cell r="K1815" t="str">
            <v>TUERCA 5/16</v>
          </cell>
          <cell r="L1815">
            <v>2</v>
          </cell>
          <cell r="M1815" t="str">
            <v>UNID.</v>
          </cell>
          <cell r="N1815" t="str">
            <v>TRACTO</v>
          </cell>
          <cell r="O1815">
            <v>87</v>
          </cell>
          <cell r="P1815" t="str">
            <v>M2</v>
          </cell>
          <cell r="Q1815" t="str">
            <v>J2</v>
          </cell>
          <cell r="R1815" t="str">
            <v>J6</v>
          </cell>
          <cell r="S1815" t="str">
            <v>ENTREGADO</v>
          </cell>
          <cell r="T1815">
            <v>0</v>
          </cell>
          <cell r="U1815" t="str">
            <v>CHUMPITAZ GAGO JULIO ENRIQUE</v>
          </cell>
          <cell r="V1815" t="str">
            <v>CORIHUAMAN SURCO  ERICK ROBERT</v>
          </cell>
        </row>
        <row r="1816">
          <cell r="A1816">
            <v>1809</v>
          </cell>
          <cell r="B1816">
            <v>42703</v>
          </cell>
          <cell r="C1816" t="str">
            <v>NOVIEMBRE</v>
          </cell>
          <cell r="D1816" t="str">
            <v>2016</v>
          </cell>
          <cell r="E1816">
            <v>404</v>
          </cell>
          <cell r="F1816" t="str">
            <v>ABP-729</v>
          </cell>
          <cell r="G1816" t="str">
            <v>D8K-985</v>
          </cell>
          <cell r="H1816" t="str">
            <v>LAS BAMBAS</v>
          </cell>
          <cell r="I1816">
            <v>107443</v>
          </cell>
          <cell r="J1816" t="str">
            <v>REPUESTO</v>
          </cell>
          <cell r="K1816" t="str">
            <v>VOLANDA PLANA 5/16</v>
          </cell>
          <cell r="L1816">
            <v>2</v>
          </cell>
          <cell r="M1816" t="str">
            <v>UNID.</v>
          </cell>
          <cell r="N1816" t="str">
            <v>TRACTO</v>
          </cell>
          <cell r="O1816">
            <v>87</v>
          </cell>
          <cell r="P1816" t="str">
            <v>M2</v>
          </cell>
          <cell r="Q1816" t="str">
            <v>J2</v>
          </cell>
          <cell r="R1816" t="str">
            <v>J6</v>
          </cell>
          <cell r="S1816" t="str">
            <v>ENTREGADO</v>
          </cell>
          <cell r="T1816">
            <v>0</v>
          </cell>
          <cell r="U1816" t="str">
            <v>CHUMPITAZ GAGO JULIO ENRIQUE</v>
          </cell>
          <cell r="V1816" t="str">
            <v>CORIHUAMAN SURCO  ERICK ROBERT</v>
          </cell>
        </row>
        <row r="1817">
          <cell r="A1817">
            <v>1810</v>
          </cell>
          <cell r="B1817">
            <v>42703</v>
          </cell>
          <cell r="C1817" t="str">
            <v>NOVIEMBRE</v>
          </cell>
          <cell r="D1817" t="str">
            <v>2016</v>
          </cell>
          <cell r="E1817">
            <v>404</v>
          </cell>
          <cell r="F1817" t="str">
            <v>ABP-729</v>
          </cell>
          <cell r="G1817" t="str">
            <v>D8K-985</v>
          </cell>
          <cell r="H1817" t="str">
            <v>LAS BAMBAS</v>
          </cell>
          <cell r="I1817">
            <v>107443</v>
          </cell>
          <cell r="J1817" t="str">
            <v>REPUESTO</v>
          </cell>
          <cell r="K1817" t="str">
            <v>PERNO 1/4 X 1</v>
          </cell>
          <cell r="L1817">
            <v>2</v>
          </cell>
          <cell r="M1817" t="str">
            <v>UNID.</v>
          </cell>
          <cell r="N1817" t="str">
            <v>TRACTO</v>
          </cell>
          <cell r="O1817">
            <v>87</v>
          </cell>
          <cell r="P1817" t="str">
            <v>M2</v>
          </cell>
          <cell r="Q1817" t="str">
            <v>J2</v>
          </cell>
          <cell r="R1817" t="str">
            <v>J6</v>
          </cell>
          <cell r="S1817" t="str">
            <v>ENTREGADO</v>
          </cell>
          <cell r="T1817">
            <v>0</v>
          </cell>
          <cell r="U1817" t="str">
            <v>CHUMPITAZ GAGO JULIO ENRIQUE</v>
          </cell>
          <cell r="V1817" t="str">
            <v>CORIHUAMAN SURCO  ERICK ROBERT</v>
          </cell>
        </row>
        <row r="1818">
          <cell r="A1818">
            <v>1811</v>
          </cell>
          <cell r="B1818">
            <v>42703</v>
          </cell>
          <cell r="C1818" t="str">
            <v>NOVIEMBRE</v>
          </cell>
          <cell r="D1818" t="str">
            <v>2016</v>
          </cell>
          <cell r="E1818">
            <v>404</v>
          </cell>
          <cell r="F1818" t="str">
            <v>ABP-729</v>
          </cell>
          <cell r="G1818" t="str">
            <v>D8K-985</v>
          </cell>
          <cell r="H1818" t="str">
            <v>LAS BAMBAS</v>
          </cell>
          <cell r="I1818">
            <v>107443</v>
          </cell>
          <cell r="J1818" t="str">
            <v>REPUESTO</v>
          </cell>
          <cell r="K1818" t="str">
            <v>TUERCA 1/4</v>
          </cell>
          <cell r="L1818">
            <v>2</v>
          </cell>
          <cell r="M1818" t="str">
            <v>UNID.</v>
          </cell>
          <cell r="N1818" t="str">
            <v>TRACTO</v>
          </cell>
          <cell r="O1818">
            <v>87</v>
          </cell>
          <cell r="P1818" t="str">
            <v>M2</v>
          </cell>
          <cell r="Q1818" t="str">
            <v>J2</v>
          </cell>
          <cell r="R1818" t="str">
            <v>J6</v>
          </cell>
          <cell r="S1818" t="str">
            <v>ENTREGADO</v>
          </cell>
          <cell r="T1818">
            <v>0</v>
          </cell>
          <cell r="U1818" t="str">
            <v>CHUMPITAZ GAGO JULIO ENRIQUE</v>
          </cell>
          <cell r="V1818" t="str">
            <v>CORIHUAMAN SURCO  ERICK ROBERT</v>
          </cell>
        </row>
        <row r="1819">
          <cell r="A1819">
            <v>1812</v>
          </cell>
          <cell r="B1819">
            <v>42703</v>
          </cell>
          <cell r="C1819" t="str">
            <v>NOVIEMBRE</v>
          </cell>
          <cell r="D1819" t="str">
            <v>2016</v>
          </cell>
          <cell r="E1819">
            <v>404</v>
          </cell>
          <cell r="F1819" t="str">
            <v>ABP-729</v>
          </cell>
          <cell r="G1819" t="str">
            <v>D8K-985</v>
          </cell>
          <cell r="H1819" t="str">
            <v>LAS BAMBAS</v>
          </cell>
          <cell r="I1819">
            <v>107443</v>
          </cell>
          <cell r="J1819" t="str">
            <v>REPUESTO</v>
          </cell>
          <cell r="K1819" t="str">
            <v>VOLANDA PLANA 1/4</v>
          </cell>
          <cell r="L1819">
            <v>2</v>
          </cell>
          <cell r="M1819" t="str">
            <v>UNID.</v>
          </cell>
          <cell r="N1819" t="str">
            <v>TRACTO</v>
          </cell>
          <cell r="O1819">
            <v>87</v>
          </cell>
          <cell r="P1819" t="str">
            <v>M2</v>
          </cell>
          <cell r="Q1819" t="str">
            <v>J2</v>
          </cell>
          <cell r="R1819" t="str">
            <v>J6</v>
          </cell>
          <cell r="S1819" t="str">
            <v>ENTREGADO</v>
          </cell>
          <cell r="T1819">
            <v>0</v>
          </cell>
          <cell r="U1819" t="str">
            <v>CHUMPITAZ GAGO JULIO ENRIQUE</v>
          </cell>
          <cell r="V1819" t="str">
            <v>CORIHUAMAN SURCO  ERICK ROBERT</v>
          </cell>
        </row>
        <row r="1820">
          <cell r="A1820">
            <v>1813</v>
          </cell>
          <cell r="B1820">
            <v>42703</v>
          </cell>
          <cell r="C1820" t="str">
            <v>NOVIEMBRE</v>
          </cell>
          <cell r="D1820" t="str">
            <v>2016</v>
          </cell>
          <cell r="E1820">
            <v>461</v>
          </cell>
          <cell r="F1820" t="str">
            <v>ABQ-705</v>
          </cell>
          <cell r="G1820" t="str">
            <v>D0Z-996</v>
          </cell>
          <cell r="H1820" t="str">
            <v>LAS BAMBAS</v>
          </cell>
          <cell r="I1820">
            <v>108174</v>
          </cell>
          <cell r="J1820" t="str">
            <v>REPUESTO</v>
          </cell>
          <cell r="K1820" t="str">
            <v>FOCO LED PARA PLACA</v>
          </cell>
          <cell r="L1820">
            <v>1</v>
          </cell>
          <cell r="M1820" t="str">
            <v>UNID.</v>
          </cell>
          <cell r="N1820" t="str">
            <v>CISTERNA</v>
          </cell>
          <cell r="O1820">
            <v>87</v>
          </cell>
          <cell r="P1820" t="str">
            <v>E3</v>
          </cell>
          <cell r="Q1820" t="str">
            <v>J1</v>
          </cell>
          <cell r="R1820" t="str">
            <v>J6</v>
          </cell>
          <cell r="S1820" t="str">
            <v>ENTREGADO</v>
          </cell>
          <cell r="T1820">
            <v>0</v>
          </cell>
          <cell r="U1820" t="str">
            <v>CONDORI CHURATA ALEX</v>
          </cell>
          <cell r="V1820" t="str">
            <v>FLOREZ CONDORI  JOSE WILLIANS</v>
          </cell>
        </row>
        <row r="1821">
          <cell r="A1821">
            <v>1818</v>
          </cell>
          <cell r="B1821">
            <v>42703</v>
          </cell>
          <cell r="C1821" t="str">
            <v>NOVIEMBRE</v>
          </cell>
          <cell r="D1821" t="str">
            <v>2016</v>
          </cell>
          <cell r="E1821">
            <v>457</v>
          </cell>
          <cell r="F1821" t="str">
            <v>ABR-741</v>
          </cell>
          <cell r="G1821" t="str">
            <v>T3N-974</v>
          </cell>
          <cell r="H1821" t="str">
            <v>LAS BAMBAS</v>
          </cell>
          <cell r="I1821">
            <v>107227</v>
          </cell>
          <cell r="J1821" t="str">
            <v>REPUESTO</v>
          </cell>
          <cell r="K1821" t="str">
            <v>FOCO LAGRIMON AMBAR 12 V</v>
          </cell>
          <cell r="L1821">
            <v>1</v>
          </cell>
          <cell r="M1821" t="str">
            <v>UNID.</v>
          </cell>
          <cell r="N1821" t="str">
            <v>TRACTO</v>
          </cell>
          <cell r="O1821">
            <v>87</v>
          </cell>
          <cell r="P1821" t="str">
            <v>E2</v>
          </cell>
          <cell r="Q1821" t="str">
            <v>J1</v>
          </cell>
          <cell r="R1821" t="str">
            <v>J6</v>
          </cell>
          <cell r="S1821" t="str">
            <v>ENTREGADO</v>
          </cell>
          <cell r="T1821">
            <v>0</v>
          </cell>
          <cell r="U1821" t="str">
            <v>YUCA BELLIDO BORIS YERSY</v>
          </cell>
          <cell r="V1821" t="str">
            <v>FLOREZ CONDORI  JOSE WILLIANS</v>
          </cell>
        </row>
        <row r="1822">
          <cell r="A1822">
            <v>1801</v>
          </cell>
          <cell r="B1822">
            <v>42703</v>
          </cell>
          <cell r="C1822" t="str">
            <v>NOVIEMBRE</v>
          </cell>
          <cell r="D1822" t="str">
            <v>2016</v>
          </cell>
          <cell r="E1822">
            <v>460</v>
          </cell>
          <cell r="F1822" t="str">
            <v>ABR-759</v>
          </cell>
          <cell r="G1822" t="str">
            <v>D0Z-995</v>
          </cell>
          <cell r="H1822" t="str">
            <v>LAS BAMBAS</v>
          </cell>
          <cell r="I1822">
            <v>110412</v>
          </cell>
          <cell r="J1822" t="str">
            <v>REPUESTO</v>
          </cell>
          <cell r="K1822" t="str">
            <v>REPARACION DE CARTUCHO DE PULPO</v>
          </cell>
          <cell r="L1822">
            <v>1</v>
          </cell>
          <cell r="M1822" t="str">
            <v>UNID.</v>
          </cell>
          <cell r="N1822" t="str">
            <v>CISTERNA</v>
          </cell>
          <cell r="O1822">
            <v>87</v>
          </cell>
          <cell r="P1822" t="str">
            <v>M3</v>
          </cell>
          <cell r="Q1822" t="str">
            <v>J2</v>
          </cell>
          <cell r="R1822" t="str">
            <v>J6</v>
          </cell>
          <cell r="S1822" t="str">
            <v>ENTREGADO</v>
          </cell>
          <cell r="T1822">
            <v>0</v>
          </cell>
          <cell r="U1822" t="str">
            <v>GARCIA PASQUEL  JOSE LUIS</v>
          </cell>
          <cell r="V1822" t="str">
            <v>CORIHUAMAN SURCO  ERICK ROBERT</v>
          </cell>
        </row>
        <row r="1823">
          <cell r="A1823">
            <v>1817</v>
          </cell>
          <cell r="B1823">
            <v>42703</v>
          </cell>
          <cell r="C1823" t="str">
            <v>NOVIEMBRE</v>
          </cell>
          <cell r="D1823" t="str">
            <v>2016</v>
          </cell>
          <cell r="E1823">
            <v>460</v>
          </cell>
          <cell r="F1823" t="str">
            <v>ABR-759</v>
          </cell>
          <cell r="G1823" t="str">
            <v>D0Z-995</v>
          </cell>
          <cell r="H1823" t="str">
            <v>LAS BAMBAS</v>
          </cell>
          <cell r="I1823">
            <v>110412</v>
          </cell>
          <cell r="J1823" t="str">
            <v>REPUESTO</v>
          </cell>
          <cell r="K1823" t="str">
            <v>NIPLE DE 3/8</v>
          </cell>
          <cell r="L1823">
            <v>1</v>
          </cell>
          <cell r="M1823" t="str">
            <v>UNID.</v>
          </cell>
          <cell r="N1823" t="str">
            <v>CISTERNA</v>
          </cell>
          <cell r="O1823">
            <v>87</v>
          </cell>
          <cell r="P1823" t="str">
            <v>M3</v>
          </cell>
          <cell r="Q1823" t="str">
            <v>J1</v>
          </cell>
          <cell r="R1823" t="str">
            <v>J5</v>
          </cell>
          <cell r="S1823" t="str">
            <v>ENTREGADO</v>
          </cell>
          <cell r="T1823">
            <v>0</v>
          </cell>
          <cell r="U1823" t="str">
            <v>GARCIA PASQUEL  JOSE LUIS</v>
          </cell>
          <cell r="V1823" t="str">
            <v>FLOREZ CONDORI  JOSE WILLIANS</v>
          </cell>
        </row>
        <row r="1824">
          <cell r="A1824">
            <v>1865</v>
          </cell>
          <cell r="B1824">
            <v>42703</v>
          </cell>
          <cell r="C1824" t="str">
            <v>NOVIEMBRE</v>
          </cell>
          <cell r="D1824" t="str">
            <v>2016</v>
          </cell>
          <cell r="E1824">
            <v>433</v>
          </cell>
          <cell r="F1824" t="str">
            <v>AEH-920</v>
          </cell>
          <cell r="G1824" t="str">
            <v>CAMIONETA</v>
          </cell>
          <cell r="H1824" t="str">
            <v>LAS BAMBAS</v>
          </cell>
          <cell r="I1824">
            <v>87997</v>
          </cell>
          <cell r="J1824" t="str">
            <v>REPUESTO</v>
          </cell>
          <cell r="K1824" t="str">
            <v>LLANTA DE CAMIONETA</v>
          </cell>
          <cell r="L1824">
            <v>5</v>
          </cell>
          <cell r="M1824" t="str">
            <v>UNID.</v>
          </cell>
          <cell r="N1824" t="str">
            <v>CAMIONETA</v>
          </cell>
          <cell r="O1824">
            <v>87</v>
          </cell>
          <cell r="P1824" t="str">
            <v>J3</v>
          </cell>
          <cell r="Q1824" t="str">
            <v>J3</v>
          </cell>
          <cell r="R1824" t="str">
            <v>J6</v>
          </cell>
          <cell r="S1824" t="str">
            <v>ENTREGADO</v>
          </cell>
          <cell r="T1824">
            <v>0</v>
          </cell>
          <cell r="U1824" t="str">
            <v>CHURA PIZARRO ALBERTO</v>
          </cell>
          <cell r="V1824" t="str">
            <v>CHURA PIZARRO ALBERTO</v>
          </cell>
        </row>
        <row r="1825">
          <cell r="A1825">
            <v>1858</v>
          </cell>
          <cell r="B1825">
            <v>42703</v>
          </cell>
          <cell r="C1825" t="str">
            <v>NOVIEMBRE</v>
          </cell>
          <cell r="D1825" t="str">
            <v>2016</v>
          </cell>
          <cell r="E1825">
            <v>425</v>
          </cell>
          <cell r="F1825" t="str">
            <v>AKW-731</v>
          </cell>
          <cell r="G1825" t="str">
            <v>TCR-989</v>
          </cell>
          <cell r="H1825" t="str">
            <v>LAS BAMBAS CONC.</v>
          </cell>
          <cell r="I1825">
            <v>219562</v>
          </cell>
          <cell r="J1825" t="str">
            <v>REPUESTO</v>
          </cell>
          <cell r="K1825" t="str">
            <v>FARO CIRCULAR STOP</v>
          </cell>
          <cell r="L1825">
            <v>1</v>
          </cell>
          <cell r="M1825" t="str">
            <v>UNID.</v>
          </cell>
          <cell r="N1825" t="str">
            <v>TOLVA</v>
          </cell>
          <cell r="O1825">
            <v>87</v>
          </cell>
          <cell r="P1825" t="str">
            <v>E3</v>
          </cell>
          <cell r="Q1825" t="str">
            <v>J1</v>
          </cell>
          <cell r="R1825" t="str">
            <v>J6</v>
          </cell>
          <cell r="S1825" t="str">
            <v>ENTREGADO</v>
          </cell>
          <cell r="T1825">
            <v>0</v>
          </cell>
          <cell r="U1825" t="str">
            <v>CONDORI CHURATA ALEX</v>
          </cell>
          <cell r="V1825" t="str">
            <v>FLOREZ CONDORI  JOSE WILLIANS</v>
          </cell>
        </row>
        <row r="1826">
          <cell r="A1826">
            <v>1856</v>
          </cell>
          <cell r="B1826">
            <v>42703</v>
          </cell>
          <cell r="C1826">
            <v>0</v>
          </cell>
          <cell r="D1826">
            <v>0</v>
          </cell>
          <cell r="E1826">
            <v>421</v>
          </cell>
          <cell r="F1826" t="str">
            <v>AKW-860</v>
          </cell>
          <cell r="G1826" t="str">
            <v>F5Z-991</v>
          </cell>
          <cell r="H1826" t="str">
            <v>LAS BAMBAS</v>
          </cell>
          <cell r="I1826">
            <v>37840</v>
          </cell>
          <cell r="J1826" t="str">
            <v>REPUESTO</v>
          </cell>
          <cell r="K1826" t="str">
            <v>LLANTAS NUEVAS</v>
          </cell>
          <cell r="L1826">
            <v>12</v>
          </cell>
          <cell r="M1826" t="str">
            <v>UNID.</v>
          </cell>
          <cell r="N1826" t="str">
            <v>CISTERNA</v>
          </cell>
          <cell r="O1826">
            <v>87</v>
          </cell>
          <cell r="P1826" t="str">
            <v>N2</v>
          </cell>
          <cell r="Q1826" t="str">
            <v>J3</v>
          </cell>
          <cell r="R1826" t="str">
            <v>J6</v>
          </cell>
          <cell r="S1826" t="str">
            <v>ENTREGADO</v>
          </cell>
          <cell r="T1826">
            <v>0</v>
          </cell>
          <cell r="U1826" t="str">
            <v>MAMANI LARICO  EDUARDO ALVARO</v>
          </cell>
          <cell r="V1826" t="str">
            <v>CHURA PIZARRO ALBERTO</v>
          </cell>
        </row>
        <row r="1827">
          <cell r="A1827">
            <v>1829</v>
          </cell>
          <cell r="B1827">
            <v>42703</v>
          </cell>
          <cell r="C1827" t="str">
            <v>NOVIEMBRE</v>
          </cell>
          <cell r="D1827" t="str">
            <v>2016</v>
          </cell>
          <cell r="E1827">
            <v>421</v>
          </cell>
          <cell r="F1827" t="str">
            <v>AKW-860</v>
          </cell>
          <cell r="G1827" t="str">
            <v>F5Z-991</v>
          </cell>
          <cell r="H1827" t="str">
            <v>LAS BAMBAS</v>
          </cell>
          <cell r="I1827">
            <v>37840</v>
          </cell>
          <cell r="J1827" t="str">
            <v>REPUESTO</v>
          </cell>
          <cell r="K1827" t="str">
            <v>SUPERCITO 1/8</v>
          </cell>
          <cell r="L1827">
            <v>5</v>
          </cell>
          <cell r="M1827" t="str">
            <v>KG.</v>
          </cell>
          <cell r="N1827" t="str">
            <v>CISTERNA</v>
          </cell>
          <cell r="O1827">
            <v>87</v>
          </cell>
          <cell r="P1827" t="str">
            <v>S4</v>
          </cell>
          <cell r="Q1827" t="str">
            <v>J1</v>
          </cell>
          <cell r="R1827" t="str">
            <v>J6</v>
          </cell>
          <cell r="S1827" t="str">
            <v>ENTREGADO</v>
          </cell>
          <cell r="T1827">
            <v>0</v>
          </cell>
          <cell r="U1827" t="str">
            <v>SURCO QUISPE JOHNNY</v>
          </cell>
          <cell r="V1827" t="str">
            <v>FLOREZ CONDORI  JOSE WILLIANS</v>
          </cell>
        </row>
        <row r="1828">
          <cell r="A1828">
            <v>1821</v>
          </cell>
          <cell r="B1828">
            <v>42703</v>
          </cell>
          <cell r="C1828" t="str">
            <v>NOVIEMBRE</v>
          </cell>
          <cell r="D1828" t="str">
            <v>2016</v>
          </cell>
          <cell r="E1828">
            <v>465</v>
          </cell>
          <cell r="F1828" t="str">
            <v>AKX-805</v>
          </cell>
          <cell r="G1828" t="str">
            <v>F5Z-985</v>
          </cell>
          <cell r="H1828" t="str">
            <v>LAS BAMBAS</v>
          </cell>
          <cell r="I1828">
            <v>34550</v>
          </cell>
          <cell r="J1828" t="str">
            <v>REPUESTO</v>
          </cell>
          <cell r="K1828" t="str">
            <v>CONO Y GUIA 1/4 C/ TUERCA</v>
          </cell>
          <cell r="L1828">
            <v>1</v>
          </cell>
          <cell r="M1828" t="str">
            <v>UNID.</v>
          </cell>
          <cell r="N1828" t="str">
            <v>CISTERNA</v>
          </cell>
          <cell r="O1828">
            <v>87</v>
          </cell>
          <cell r="P1828" t="str">
            <v>S2</v>
          </cell>
          <cell r="Q1828" t="str">
            <v>J1</v>
          </cell>
          <cell r="R1828" t="str">
            <v>J5</v>
          </cell>
          <cell r="S1828" t="str">
            <v>ENTREGADO</v>
          </cell>
          <cell r="T1828">
            <v>0</v>
          </cell>
          <cell r="U1828" t="str">
            <v>PALOMINO ESTRADA  MICHEL</v>
          </cell>
          <cell r="V1828" t="str">
            <v>FLOREZ CONDORI  JOSE WILLIANS</v>
          </cell>
        </row>
        <row r="1829">
          <cell r="A1829">
            <v>1822</v>
          </cell>
          <cell r="B1829">
            <v>42703</v>
          </cell>
          <cell r="C1829" t="str">
            <v>NOVIEMBRE</v>
          </cell>
          <cell r="D1829" t="str">
            <v>2016</v>
          </cell>
          <cell r="E1829">
            <v>465</v>
          </cell>
          <cell r="F1829" t="str">
            <v>AKX-805</v>
          </cell>
          <cell r="G1829" t="str">
            <v>F5Z-985</v>
          </cell>
          <cell r="H1829" t="str">
            <v>LAS BAMBAS</v>
          </cell>
          <cell r="I1829">
            <v>34550</v>
          </cell>
          <cell r="J1829" t="str">
            <v>REPUESTO</v>
          </cell>
          <cell r="K1829" t="str">
            <v xml:space="preserve">UNION RAPIDA 1/4 </v>
          </cell>
          <cell r="L1829">
            <v>1</v>
          </cell>
          <cell r="M1829" t="str">
            <v>UNID.</v>
          </cell>
          <cell r="N1829" t="str">
            <v>CISTERNA</v>
          </cell>
          <cell r="O1829">
            <v>87</v>
          </cell>
          <cell r="P1829" t="str">
            <v>S2</v>
          </cell>
          <cell r="Q1829" t="str">
            <v>J1</v>
          </cell>
          <cell r="R1829" t="str">
            <v>J5</v>
          </cell>
          <cell r="S1829" t="str">
            <v>ENTREGADO</v>
          </cell>
          <cell r="T1829">
            <v>0</v>
          </cell>
          <cell r="U1829" t="str">
            <v>PALOMINO ESTRADA  MICHEL</v>
          </cell>
          <cell r="V1829" t="str">
            <v>FLOREZ CONDORI  JOSE WILLIANS</v>
          </cell>
        </row>
        <row r="1830">
          <cell r="A1830">
            <v>1786</v>
          </cell>
          <cell r="B1830">
            <v>42703</v>
          </cell>
          <cell r="C1830" t="str">
            <v>NOVIEMBRE</v>
          </cell>
          <cell r="D1830" t="str">
            <v>2016</v>
          </cell>
          <cell r="E1830">
            <v>400</v>
          </cell>
          <cell r="F1830" t="str">
            <v>B2M-948</v>
          </cell>
          <cell r="G1830" t="str">
            <v>CAMION</v>
          </cell>
          <cell r="H1830" t="str">
            <v>TAMBOMAYO</v>
          </cell>
          <cell r="I1830">
            <v>113240</v>
          </cell>
          <cell r="J1830" t="str">
            <v>REPUESTO</v>
          </cell>
          <cell r="K1830" t="str">
            <v>PERNO RACOR</v>
          </cell>
          <cell r="L1830">
            <v>1</v>
          </cell>
          <cell r="M1830" t="str">
            <v>UNID.</v>
          </cell>
          <cell r="N1830" t="str">
            <v>CAMION</v>
          </cell>
          <cell r="O1830">
            <v>87</v>
          </cell>
          <cell r="P1830" t="str">
            <v>M5</v>
          </cell>
          <cell r="Q1830" t="str">
            <v>J2</v>
          </cell>
          <cell r="R1830" t="str">
            <v>J6</v>
          </cell>
          <cell r="S1830" t="str">
            <v>ENTREGADO</v>
          </cell>
          <cell r="T1830">
            <v>0</v>
          </cell>
          <cell r="U1830" t="str">
            <v>LOPEZ RUIZ WILBERTO</v>
          </cell>
          <cell r="V1830" t="str">
            <v>CORIHUAMAN SURCO  ERICK ROBERT</v>
          </cell>
        </row>
        <row r="1831">
          <cell r="A1831">
            <v>1787</v>
          </cell>
          <cell r="B1831">
            <v>42703</v>
          </cell>
          <cell r="C1831" t="str">
            <v>NOVIEMBRE</v>
          </cell>
          <cell r="D1831" t="str">
            <v>2016</v>
          </cell>
          <cell r="E1831">
            <v>400</v>
          </cell>
          <cell r="F1831" t="str">
            <v>B2M-948</v>
          </cell>
          <cell r="G1831" t="str">
            <v>CAMION</v>
          </cell>
          <cell r="H1831" t="str">
            <v>TAMBOMAYO</v>
          </cell>
          <cell r="I1831">
            <v>113240</v>
          </cell>
          <cell r="J1831" t="str">
            <v>REPUESTO</v>
          </cell>
          <cell r="K1831" t="str">
            <v>PERNO 1/4 X 1</v>
          </cell>
          <cell r="L1831">
            <v>4</v>
          </cell>
          <cell r="M1831" t="str">
            <v>UNID.</v>
          </cell>
          <cell r="N1831" t="str">
            <v>CAMION</v>
          </cell>
          <cell r="O1831">
            <v>87</v>
          </cell>
          <cell r="P1831" t="str">
            <v>M5</v>
          </cell>
          <cell r="Q1831" t="str">
            <v>J2</v>
          </cell>
          <cell r="R1831" t="str">
            <v>J6</v>
          </cell>
          <cell r="S1831" t="str">
            <v>ENTREGADO</v>
          </cell>
          <cell r="T1831">
            <v>0</v>
          </cell>
          <cell r="U1831" t="str">
            <v>LOPEZ RUIZ WILBERTO</v>
          </cell>
          <cell r="V1831" t="str">
            <v>CORIHUAMAN SURCO  ERICK ROBERT</v>
          </cell>
        </row>
        <row r="1832">
          <cell r="A1832">
            <v>1788</v>
          </cell>
          <cell r="B1832">
            <v>42703</v>
          </cell>
          <cell r="C1832" t="str">
            <v>NOVIEMBRE</v>
          </cell>
          <cell r="D1832" t="str">
            <v>2016</v>
          </cell>
          <cell r="E1832">
            <v>400</v>
          </cell>
          <cell r="F1832" t="str">
            <v>B2M-948</v>
          </cell>
          <cell r="G1832" t="str">
            <v>CAMION</v>
          </cell>
          <cell r="H1832" t="str">
            <v>TAMBOMAYO</v>
          </cell>
          <cell r="I1832">
            <v>113240</v>
          </cell>
          <cell r="J1832" t="str">
            <v>REPUESTO</v>
          </cell>
          <cell r="K1832" t="str">
            <v>VOLANDA PLANAS 1/4</v>
          </cell>
          <cell r="L1832">
            <v>4</v>
          </cell>
          <cell r="M1832" t="str">
            <v>UNID.</v>
          </cell>
          <cell r="N1832" t="str">
            <v>CAMION</v>
          </cell>
          <cell r="O1832">
            <v>87</v>
          </cell>
          <cell r="P1832" t="str">
            <v>M5</v>
          </cell>
          <cell r="Q1832" t="str">
            <v>J2</v>
          </cell>
          <cell r="R1832" t="str">
            <v>J6</v>
          </cell>
          <cell r="S1832" t="str">
            <v>ENTREGADO</v>
          </cell>
          <cell r="T1832">
            <v>0</v>
          </cell>
          <cell r="U1832" t="str">
            <v>LOPEZ RUIZ WILBERTO</v>
          </cell>
          <cell r="V1832" t="str">
            <v>CORIHUAMAN SURCO  ERICK ROBERT</v>
          </cell>
        </row>
        <row r="1833">
          <cell r="A1833">
            <v>1789</v>
          </cell>
          <cell r="B1833">
            <v>42703</v>
          </cell>
          <cell r="C1833" t="str">
            <v>NOVIEMBRE</v>
          </cell>
          <cell r="D1833" t="str">
            <v>2016</v>
          </cell>
          <cell r="E1833">
            <v>400</v>
          </cell>
          <cell r="F1833" t="str">
            <v>B2M-948</v>
          </cell>
          <cell r="G1833" t="str">
            <v>CAMION</v>
          </cell>
          <cell r="H1833" t="str">
            <v>TAMBOMAYO</v>
          </cell>
          <cell r="I1833">
            <v>113240</v>
          </cell>
          <cell r="J1833" t="str">
            <v>REPUESTO</v>
          </cell>
          <cell r="K1833" t="str">
            <v>TUERCA 1/4</v>
          </cell>
          <cell r="L1833">
            <v>4</v>
          </cell>
          <cell r="M1833" t="str">
            <v>UNID.</v>
          </cell>
          <cell r="N1833" t="str">
            <v>CAMION</v>
          </cell>
          <cell r="O1833">
            <v>87</v>
          </cell>
          <cell r="P1833" t="str">
            <v>M5</v>
          </cell>
          <cell r="Q1833" t="str">
            <v>J2</v>
          </cell>
          <cell r="R1833" t="str">
            <v>J6</v>
          </cell>
          <cell r="S1833" t="str">
            <v>ENTREGADO</v>
          </cell>
          <cell r="T1833">
            <v>0</v>
          </cell>
          <cell r="U1833" t="str">
            <v>LOPEZ RUIZ WILBERTO</v>
          </cell>
          <cell r="V1833" t="str">
            <v>CORIHUAMAN SURCO  ERICK ROBERT</v>
          </cell>
        </row>
        <row r="1834">
          <cell r="A1834">
            <v>1790</v>
          </cell>
          <cell r="B1834">
            <v>42703</v>
          </cell>
          <cell r="C1834" t="str">
            <v>NOVIEMBRE</v>
          </cell>
          <cell r="D1834" t="str">
            <v>2016</v>
          </cell>
          <cell r="E1834">
            <v>400</v>
          </cell>
          <cell r="F1834" t="str">
            <v>B2M-948</v>
          </cell>
          <cell r="G1834" t="str">
            <v>CAMION</v>
          </cell>
          <cell r="H1834" t="str">
            <v>TAMBOMAYO</v>
          </cell>
          <cell r="I1834">
            <v>113240</v>
          </cell>
          <cell r="J1834" t="str">
            <v>REPUESTO</v>
          </cell>
          <cell r="K1834" t="str">
            <v>AGUA REFRIGERANTE</v>
          </cell>
          <cell r="L1834">
            <v>4</v>
          </cell>
          <cell r="M1834" t="str">
            <v>GLNS.</v>
          </cell>
          <cell r="N1834" t="str">
            <v>CAMION</v>
          </cell>
          <cell r="O1834">
            <v>87</v>
          </cell>
          <cell r="P1834" t="str">
            <v>M5</v>
          </cell>
          <cell r="Q1834" t="str">
            <v>J2</v>
          </cell>
          <cell r="R1834" t="str">
            <v>J6</v>
          </cell>
          <cell r="S1834" t="str">
            <v>ENTREGADO</v>
          </cell>
          <cell r="T1834">
            <v>0</v>
          </cell>
          <cell r="U1834" t="str">
            <v>LOPEZ RUIZ WILBERTO</v>
          </cell>
          <cell r="V1834" t="str">
            <v>CORIHUAMAN SURCO  ERICK ROBERT</v>
          </cell>
        </row>
        <row r="1835">
          <cell r="A1835">
            <v>1791</v>
          </cell>
          <cell r="B1835">
            <v>42703</v>
          </cell>
          <cell r="C1835" t="str">
            <v>NOVIEMBRE</v>
          </cell>
          <cell r="D1835" t="str">
            <v>2016</v>
          </cell>
          <cell r="E1835">
            <v>400</v>
          </cell>
          <cell r="F1835" t="str">
            <v>B2M-948</v>
          </cell>
          <cell r="G1835" t="str">
            <v>CAMION</v>
          </cell>
          <cell r="H1835" t="str">
            <v>TAMBOMAYO</v>
          </cell>
          <cell r="I1835">
            <v>113240</v>
          </cell>
          <cell r="J1835" t="str">
            <v>UNIFORMES</v>
          </cell>
          <cell r="K1835" t="str">
            <v>TAIVEX "M"</v>
          </cell>
          <cell r="L1835">
            <v>1</v>
          </cell>
          <cell r="M1835" t="str">
            <v>UNID.</v>
          </cell>
          <cell r="N1835" t="str">
            <v>TALLER</v>
          </cell>
          <cell r="O1835">
            <v>87</v>
          </cell>
          <cell r="P1835" t="str">
            <v>M5</v>
          </cell>
          <cell r="Q1835" t="str">
            <v>J2</v>
          </cell>
          <cell r="R1835" t="str">
            <v>J6</v>
          </cell>
          <cell r="S1835" t="str">
            <v>ENTREGADO</v>
          </cell>
          <cell r="T1835">
            <v>0</v>
          </cell>
          <cell r="U1835" t="str">
            <v>LOPEZ RUIZ WILBERTO</v>
          </cell>
          <cell r="V1835" t="str">
            <v>CORIHUAMAN SURCO  ERICK ROBERT</v>
          </cell>
        </row>
        <row r="1836">
          <cell r="A1836">
            <v>1877</v>
          </cell>
          <cell r="B1836">
            <v>42703</v>
          </cell>
          <cell r="C1836" t="str">
            <v>NOVIEMBRE</v>
          </cell>
          <cell r="D1836" t="str">
            <v>2016</v>
          </cell>
          <cell r="E1836">
            <v>400</v>
          </cell>
          <cell r="F1836" t="str">
            <v>B2M-948</v>
          </cell>
          <cell r="G1836" t="str">
            <v>CAMION</v>
          </cell>
          <cell r="H1836" t="str">
            <v>TAMBOMAYO</v>
          </cell>
          <cell r="I1836">
            <v>113240</v>
          </cell>
          <cell r="J1836" t="str">
            <v>REPUESTO</v>
          </cell>
          <cell r="K1836" t="str">
            <v>SOPORTE DE CARDAN</v>
          </cell>
          <cell r="L1836">
            <v>1</v>
          </cell>
          <cell r="M1836" t="str">
            <v>UNID.</v>
          </cell>
          <cell r="N1836" t="str">
            <v>TRACTO</v>
          </cell>
          <cell r="O1836">
            <v>87</v>
          </cell>
          <cell r="P1836" t="str">
            <v>M5</v>
          </cell>
          <cell r="Q1836" t="str">
            <v>J2</v>
          </cell>
          <cell r="R1836" t="str">
            <v>J6</v>
          </cell>
          <cell r="S1836" t="str">
            <v>ENTREGADO</v>
          </cell>
          <cell r="T1836">
            <v>0</v>
          </cell>
          <cell r="U1836" t="str">
            <v>LOPEZ RUIZ WILBERTO</v>
          </cell>
          <cell r="V1836" t="str">
            <v>CORIHUAMAN SURCO  ERICK ROBERT</v>
          </cell>
        </row>
        <row r="1837">
          <cell r="A1837">
            <v>1799</v>
          </cell>
          <cell r="B1837">
            <v>42703</v>
          </cell>
          <cell r="C1837" t="str">
            <v>NOVIEMBRE</v>
          </cell>
          <cell r="D1837" t="str">
            <v>2016</v>
          </cell>
          <cell r="E1837">
            <v>372</v>
          </cell>
          <cell r="F1837" t="str">
            <v>C5R-892</v>
          </cell>
          <cell r="G1837" t="str">
            <v>A0T-983</v>
          </cell>
          <cell r="H1837" t="str">
            <v>LAS BAMBAS</v>
          </cell>
          <cell r="I1837">
            <v>225360</v>
          </cell>
          <cell r="J1837" t="str">
            <v>REPUESTO</v>
          </cell>
          <cell r="K1837" t="str">
            <v>FOCO LAGRIMA 12V</v>
          </cell>
          <cell r="L1837">
            <v>1</v>
          </cell>
          <cell r="M1837" t="str">
            <v>UNID.</v>
          </cell>
          <cell r="N1837" t="str">
            <v>TRACTO</v>
          </cell>
          <cell r="O1837">
            <v>87</v>
          </cell>
          <cell r="P1837" t="str">
            <v>E3</v>
          </cell>
          <cell r="Q1837" t="str">
            <v>J2</v>
          </cell>
          <cell r="R1837" t="str">
            <v>J6</v>
          </cell>
          <cell r="S1837" t="str">
            <v>ENTREGADO</v>
          </cell>
          <cell r="T1837">
            <v>0</v>
          </cell>
          <cell r="U1837" t="str">
            <v>CONDORI CHURATA ALEX</v>
          </cell>
          <cell r="V1837" t="str">
            <v>CORIHUAMAN SURCO  ERICK ROBERT</v>
          </cell>
        </row>
        <row r="1838">
          <cell r="A1838">
            <v>1871</v>
          </cell>
          <cell r="B1838">
            <v>42703</v>
          </cell>
          <cell r="C1838" t="str">
            <v>NOVIEMBRE</v>
          </cell>
          <cell r="D1838" t="str">
            <v>2016</v>
          </cell>
          <cell r="E1838">
            <v>383</v>
          </cell>
          <cell r="F1838" t="str">
            <v>C5R-895</v>
          </cell>
          <cell r="G1838" t="str">
            <v>TBL-976</v>
          </cell>
          <cell r="H1838" t="str">
            <v>LAS BAMBAS</v>
          </cell>
          <cell r="I1838">
            <v>167570</v>
          </cell>
          <cell r="J1838" t="str">
            <v>REPUESTO</v>
          </cell>
          <cell r="K1838" t="str">
            <v>QUINTA RUEDA</v>
          </cell>
          <cell r="L1838">
            <v>1</v>
          </cell>
          <cell r="M1838" t="str">
            <v>UNID.</v>
          </cell>
          <cell r="N1838" t="str">
            <v>TRACTO</v>
          </cell>
          <cell r="O1838">
            <v>87</v>
          </cell>
          <cell r="P1838" t="str">
            <v>J1</v>
          </cell>
          <cell r="Q1838" t="str">
            <v>J1</v>
          </cell>
          <cell r="R1838" t="str">
            <v>J5</v>
          </cell>
          <cell r="S1838" t="str">
            <v>ENTREGADO</v>
          </cell>
          <cell r="T1838">
            <v>0</v>
          </cell>
          <cell r="U1838" t="str">
            <v>FLOREZ CONDORI  JOSE WILLIANS</v>
          </cell>
          <cell r="V1838" t="str">
            <v>FLOREZ CONDORI  JOSE WILLIANS</v>
          </cell>
        </row>
        <row r="1839">
          <cell r="A1839">
            <v>1873</v>
          </cell>
          <cell r="B1839">
            <v>42703</v>
          </cell>
          <cell r="C1839" t="str">
            <v>NOVIEMBRE</v>
          </cell>
          <cell r="D1839" t="str">
            <v>2016</v>
          </cell>
          <cell r="E1839">
            <v>383</v>
          </cell>
          <cell r="F1839" t="str">
            <v>C5R-895</v>
          </cell>
          <cell r="G1839" t="str">
            <v>TBL-976</v>
          </cell>
          <cell r="H1839" t="str">
            <v>LAS BAMBAS</v>
          </cell>
          <cell r="I1839">
            <v>167570</v>
          </cell>
          <cell r="J1839" t="str">
            <v>REPUESTO</v>
          </cell>
          <cell r="K1839" t="str">
            <v>PERNO 5/8X 3" C/ TUERCA Y VOLANDA PLANA</v>
          </cell>
          <cell r="L1839">
            <v>1</v>
          </cell>
          <cell r="M1839" t="str">
            <v>UNID.</v>
          </cell>
          <cell r="N1839" t="str">
            <v>TRACTO</v>
          </cell>
          <cell r="O1839">
            <v>87</v>
          </cell>
          <cell r="P1839" t="str">
            <v>M2</v>
          </cell>
          <cell r="Q1839" t="str">
            <v>J1</v>
          </cell>
          <cell r="R1839" t="str">
            <v>J5</v>
          </cell>
          <cell r="S1839" t="str">
            <v>ENTREGADO</v>
          </cell>
          <cell r="T1839">
            <v>0</v>
          </cell>
          <cell r="U1839" t="str">
            <v>CHUMPITAZ GAGO JULIO ENRIQUE</v>
          </cell>
          <cell r="V1839" t="str">
            <v>FLOREZ CONDORI  JOSE WILLIANS</v>
          </cell>
        </row>
        <row r="1840">
          <cell r="A1840">
            <v>1878</v>
          </cell>
          <cell r="B1840">
            <v>42703</v>
          </cell>
          <cell r="C1840" t="str">
            <v>NOVIEMBRE</v>
          </cell>
          <cell r="D1840" t="str">
            <v>2016</v>
          </cell>
          <cell r="E1840">
            <v>383</v>
          </cell>
          <cell r="F1840" t="str">
            <v>C5R-895</v>
          </cell>
          <cell r="G1840" t="str">
            <v>TBL-976</v>
          </cell>
          <cell r="H1840" t="str">
            <v>LAS BAMBAS</v>
          </cell>
          <cell r="I1840">
            <v>167570</v>
          </cell>
          <cell r="J1840" t="str">
            <v>REPUESTO</v>
          </cell>
          <cell r="K1840" t="str">
            <v>VARILLAS INOX</v>
          </cell>
          <cell r="L1840">
            <v>5</v>
          </cell>
          <cell r="M1840" t="str">
            <v>UNID.</v>
          </cell>
          <cell r="N1840" t="str">
            <v>TRACTO</v>
          </cell>
          <cell r="O1840">
            <v>87</v>
          </cell>
          <cell r="P1840" t="str">
            <v>S2</v>
          </cell>
          <cell r="Q1840" t="str">
            <v>J2</v>
          </cell>
          <cell r="R1840" t="str">
            <v>J6</v>
          </cell>
          <cell r="S1840" t="str">
            <v>ENTREGADO</v>
          </cell>
          <cell r="T1840">
            <v>0</v>
          </cell>
          <cell r="U1840" t="str">
            <v>PALOMINO ESTRADA  MICHEL</v>
          </cell>
          <cell r="V1840" t="str">
            <v>CORIHUAMAN SURCO  ERICK ROBERT</v>
          </cell>
        </row>
        <row r="1841">
          <cell r="A1841">
            <v>1884</v>
          </cell>
          <cell r="B1841">
            <v>42703</v>
          </cell>
          <cell r="C1841" t="str">
            <v>NOVIEMBRE</v>
          </cell>
          <cell r="D1841" t="str">
            <v>2016</v>
          </cell>
          <cell r="E1841">
            <v>443</v>
          </cell>
          <cell r="F1841" t="str">
            <v>C5R-896</v>
          </cell>
          <cell r="G1841" t="str">
            <v>A0U-977</v>
          </cell>
          <cell r="H1841" t="str">
            <v>LAS BAMBAS</v>
          </cell>
          <cell r="I1841">
            <v>211020</v>
          </cell>
          <cell r="J1841" t="str">
            <v>REPUESTO</v>
          </cell>
          <cell r="K1841" t="str">
            <v>LIQUIDO LIMPIAPARABRISAS</v>
          </cell>
          <cell r="L1841">
            <v>2</v>
          </cell>
          <cell r="M1841" t="str">
            <v>GLNS.</v>
          </cell>
          <cell r="N1841" t="str">
            <v>TRACTO</v>
          </cell>
          <cell r="O1841">
            <v>87</v>
          </cell>
          <cell r="P1841" t="str">
            <v>J2</v>
          </cell>
          <cell r="Q1841" t="str">
            <v>J2</v>
          </cell>
          <cell r="R1841" t="str">
            <v>J6</v>
          </cell>
          <cell r="S1841" t="str">
            <v>ENTREGADO</v>
          </cell>
          <cell r="T1841">
            <v>0</v>
          </cell>
          <cell r="U1841" t="str">
            <v>CORIHUAMAN SURCO  ERICK ROBERT</v>
          </cell>
          <cell r="V1841" t="str">
            <v>CORIHUAMAN SURCO  ERICK ROBERT</v>
          </cell>
        </row>
        <row r="1842">
          <cell r="A1842">
            <v>1792</v>
          </cell>
          <cell r="B1842">
            <v>42703</v>
          </cell>
          <cell r="C1842" t="str">
            <v>NOVIEMBRE</v>
          </cell>
          <cell r="D1842" t="str">
            <v>2016</v>
          </cell>
          <cell r="E1842">
            <v>447</v>
          </cell>
          <cell r="F1842" t="str">
            <v>C6X-739</v>
          </cell>
          <cell r="G1842" t="str">
            <v>TCS-988</v>
          </cell>
          <cell r="H1842" t="str">
            <v>LAS BAMBAS CONC.</v>
          </cell>
          <cell r="I1842">
            <v>227424</v>
          </cell>
          <cell r="J1842" t="str">
            <v>REPUESTO</v>
          </cell>
          <cell r="K1842" t="str">
            <v>GASOLINA</v>
          </cell>
          <cell r="L1842">
            <v>1</v>
          </cell>
          <cell r="M1842" t="str">
            <v>GLNS.</v>
          </cell>
          <cell r="N1842" t="str">
            <v>TRACTO</v>
          </cell>
          <cell r="O1842">
            <v>87</v>
          </cell>
          <cell r="P1842" t="str">
            <v>M2</v>
          </cell>
          <cell r="Q1842" t="str">
            <v>J2</v>
          </cell>
          <cell r="R1842" t="str">
            <v>J6</v>
          </cell>
          <cell r="S1842" t="str">
            <v>ENTREGADO</v>
          </cell>
          <cell r="T1842">
            <v>0</v>
          </cell>
          <cell r="U1842" t="str">
            <v>CHUMPITAZ GAGO JULIO ENRIQUE</v>
          </cell>
          <cell r="V1842" t="str">
            <v>CORIHUAMAN SURCO  ERICK ROBERT</v>
          </cell>
        </row>
        <row r="1843">
          <cell r="A1843">
            <v>1805</v>
          </cell>
          <cell r="B1843">
            <v>42703</v>
          </cell>
          <cell r="C1843" t="str">
            <v>NOVIEMBRE</v>
          </cell>
          <cell r="D1843" t="str">
            <v>2016</v>
          </cell>
          <cell r="E1843">
            <v>447</v>
          </cell>
          <cell r="F1843" t="str">
            <v>C6X-739</v>
          </cell>
          <cell r="G1843" t="str">
            <v>TCS-988</v>
          </cell>
          <cell r="H1843" t="str">
            <v>LAS BAMBAS CONC.</v>
          </cell>
          <cell r="I1843">
            <v>227424</v>
          </cell>
          <cell r="J1843" t="str">
            <v>REPUESTO</v>
          </cell>
          <cell r="K1843" t="str">
            <v>FILTRO DE HIDROLINA</v>
          </cell>
          <cell r="L1843">
            <v>1</v>
          </cell>
          <cell r="M1843" t="str">
            <v>UNID.</v>
          </cell>
          <cell r="N1843" t="str">
            <v>TRACTO</v>
          </cell>
          <cell r="O1843">
            <v>87</v>
          </cell>
          <cell r="P1843" t="str">
            <v>M2</v>
          </cell>
          <cell r="Q1843" t="str">
            <v>J2</v>
          </cell>
          <cell r="R1843" t="str">
            <v>J6</v>
          </cell>
          <cell r="S1843" t="str">
            <v>ENTREGADO</v>
          </cell>
          <cell r="T1843">
            <v>0</v>
          </cell>
          <cell r="U1843" t="str">
            <v>CHUMPITAZ GAGO JULIO ENRIQUE</v>
          </cell>
          <cell r="V1843" t="str">
            <v>CORIHUAMAN SURCO  ERICK ROBERT</v>
          </cell>
        </row>
        <row r="1844">
          <cell r="A1844">
            <v>1806</v>
          </cell>
          <cell r="B1844">
            <v>42703</v>
          </cell>
          <cell r="C1844" t="str">
            <v>NOVIEMBRE</v>
          </cell>
          <cell r="D1844" t="str">
            <v>2016</v>
          </cell>
          <cell r="E1844">
            <v>447</v>
          </cell>
          <cell r="F1844" t="str">
            <v>C6X-739</v>
          </cell>
          <cell r="G1844" t="str">
            <v>TCS-988</v>
          </cell>
          <cell r="H1844" t="str">
            <v>LAS BAMBAS CONC.</v>
          </cell>
          <cell r="I1844">
            <v>227424</v>
          </cell>
          <cell r="J1844" t="str">
            <v>REPUESTO</v>
          </cell>
          <cell r="K1844" t="str">
            <v>HIDROLINA</v>
          </cell>
          <cell r="L1844">
            <v>1</v>
          </cell>
          <cell r="M1844" t="str">
            <v>GLNS.</v>
          </cell>
          <cell r="N1844" t="str">
            <v>TRACTO</v>
          </cell>
          <cell r="O1844">
            <v>87</v>
          </cell>
          <cell r="P1844" t="str">
            <v>M2</v>
          </cell>
          <cell r="Q1844" t="str">
            <v>J2</v>
          </cell>
          <cell r="R1844" t="str">
            <v>J6</v>
          </cell>
          <cell r="S1844" t="str">
            <v>ENTREGADO</v>
          </cell>
          <cell r="T1844">
            <v>0</v>
          </cell>
          <cell r="U1844" t="str">
            <v>CHUMPITAZ GAGO JULIO ENRIQUE</v>
          </cell>
          <cell r="V1844" t="str">
            <v>CORIHUAMAN SURCO  ERICK ROBERT</v>
          </cell>
        </row>
        <row r="1845">
          <cell r="A1845">
            <v>1840</v>
          </cell>
          <cell r="B1845">
            <v>42703</v>
          </cell>
          <cell r="C1845" t="str">
            <v>NOVIEMBRE</v>
          </cell>
          <cell r="D1845" t="str">
            <v>2016</v>
          </cell>
          <cell r="E1845">
            <v>447</v>
          </cell>
          <cell r="F1845" t="str">
            <v>C6X-739</v>
          </cell>
          <cell r="G1845" t="str">
            <v>TCS-988</v>
          </cell>
          <cell r="H1845" t="str">
            <v>LAS BAMBAS CONC.</v>
          </cell>
          <cell r="I1845">
            <v>227424</v>
          </cell>
          <cell r="J1845" t="str">
            <v>INSUMO TALLER</v>
          </cell>
          <cell r="K1845" t="str">
            <v>VARILLAS INOX</v>
          </cell>
          <cell r="L1845">
            <v>1</v>
          </cell>
          <cell r="M1845" t="str">
            <v>UNID.</v>
          </cell>
          <cell r="N1845" t="str">
            <v>TOLVA</v>
          </cell>
          <cell r="O1845">
            <v>87</v>
          </cell>
          <cell r="P1845" t="str">
            <v>M2</v>
          </cell>
          <cell r="Q1845" t="str">
            <v>J1</v>
          </cell>
          <cell r="R1845" t="str">
            <v>J6</v>
          </cell>
          <cell r="S1845" t="str">
            <v>ENTREGADO</v>
          </cell>
          <cell r="T1845">
            <v>0</v>
          </cell>
          <cell r="U1845" t="str">
            <v>CHUMPITAZ GAGO JULIO ENRIQUE</v>
          </cell>
          <cell r="V1845" t="str">
            <v>FLOREZ CONDORI  JOSE WILLIANS</v>
          </cell>
        </row>
        <row r="1846">
          <cell r="A1846">
            <v>1794</v>
          </cell>
          <cell r="B1846">
            <v>42703</v>
          </cell>
          <cell r="C1846" t="str">
            <v>NOVIEMBRE</v>
          </cell>
          <cell r="D1846" t="str">
            <v>2016</v>
          </cell>
          <cell r="E1846">
            <v>453</v>
          </cell>
          <cell r="F1846" t="str">
            <v>C9N-807</v>
          </cell>
          <cell r="G1846" t="str">
            <v>B4O-994</v>
          </cell>
          <cell r="H1846" t="str">
            <v>LAS BAMBAS</v>
          </cell>
          <cell r="I1846">
            <v>210225</v>
          </cell>
          <cell r="J1846" t="str">
            <v>REPUESTO</v>
          </cell>
          <cell r="K1846" t="str">
            <v>LUZ DE PLACA LED</v>
          </cell>
          <cell r="L1846">
            <v>1</v>
          </cell>
          <cell r="M1846" t="str">
            <v>UNID.</v>
          </cell>
          <cell r="N1846" t="str">
            <v>TRACTO</v>
          </cell>
          <cell r="O1846">
            <v>87</v>
          </cell>
          <cell r="P1846" t="str">
            <v>E2</v>
          </cell>
          <cell r="Q1846" t="str">
            <v>J2</v>
          </cell>
          <cell r="R1846" t="str">
            <v>J6</v>
          </cell>
          <cell r="S1846" t="str">
            <v>ENTREGADO</v>
          </cell>
          <cell r="T1846">
            <v>0</v>
          </cell>
          <cell r="U1846" t="str">
            <v>YUCA BELLIDO BORIS YERSY</v>
          </cell>
          <cell r="V1846" t="str">
            <v>CORIHUAMAN SURCO  ERICK ROBERT</v>
          </cell>
        </row>
        <row r="1847">
          <cell r="A1847">
            <v>1795</v>
          </cell>
          <cell r="B1847">
            <v>42703</v>
          </cell>
          <cell r="C1847" t="str">
            <v>NOVIEMBRE</v>
          </cell>
          <cell r="D1847" t="str">
            <v>2016</v>
          </cell>
          <cell r="E1847">
            <v>453</v>
          </cell>
          <cell r="F1847" t="str">
            <v>C9N-807</v>
          </cell>
          <cell r="G1847" t="str">
            <v>B4O-994</v>
          </cell>
          <cell r="H1847" t="str">
            <v>LAS BAMBAS</v>
          </cell>
          <cell r="I1847">
            <v>210225</v>
          </cell>
          <cell r="J1847" t="str">
            <v>REPUESTO</v>
          </cell>
          <cell r="K1847" t="str">
            <v>SOLDIMIX</v>
          </cell>
          <cell r="L1847">
            <v>1</v>
          </cell>
          <cell r="M1847" t="str">
            <v>UNID.</v>
          </cell>
          <cell r="N1847" t="str">
            <v>TRACTO</v>
          </cell>
          <cell r="O1847">
            <v>87</v>
          </cell>
          <cell r="P1847" t="str">
            <v>E2</v>
          </cell>
          <cell r="Q1847" t="str">
            <v>J2</v>
          </cell>
          <cell r="R1847" t="str">
            <v>J6</v>
          </cell>
          <cell r="S1847" t="str">
            <v>ENTREGADO</v>
          </cell>
          <cell r="T1847">
            <v>0</v>
          </cell>
          <cell r="U1847" t="str">
            <v>YUCA BELLIDO BORIS YERSY</v>
          </cell>
          <cell r="V1847" t="str">
            <v>CORIHUAMAN SURCO  ERICK ROBERT</v>
          </cell>
        </row>
        <row r="1848">
          <cell r="A1848">
            <v>1796</v>
          </cell>
          <cell r="B1848">
            <v>42703</v>
          </cell>
          <cell r="C1848" t="str">
            <v>NOVIEMBRE</v>
          </cell>
          <cell r="D1848" t="str">
            <v>2016</v>
          </cell>
          <cell r="E1848">
            <v>453</v>
          </cell>
          <cell r="F1848" t="str">
            <v>C9N-807</v>
          </cell>
          <cell r="G1848" t="str">
            <v>B4O-994</v>
          </cell>
          <cell r="H1848" t="str">
            <v>LAS BAMBAS</v>
          </cell>
          <cell r="I1848">
            <v>210225</v>
          </cell>
          <cell r="J1848" t="str">
            <v>REPUESTO</v>
          </cell>
          <cell r="K1848" t="str">
            <v>PERNOS 3/16 X 1</v>
          </cell>
          <cell r="L1848">
            <v>2</v>
          </cell>
          <cell r="M1848" t="str">
            <v>UNID.</v>
          </cell>
          <cell r="N1848" t="str">
            <v>TRACTO</v>
          </cell>
          <cell r="O1848">
            <v>87</v>
          </cell>
          <cell r="P1848" t="str">
            <v>E2</v>
          </cell>
          <cell r="Q1848" t="str">
            <v>J2</v>
          </cell>
          <cell r="R1848" t="str">
            <v>J6</v>
          </cell>
          <cell r="S1848" t="str">
            <v>ENTREGADO</v>
          </cell>
          <cell r="T1848">
            <v>0</v>
          </cell>
          <cell r="U1848" t="str">
            <v>YUCA BELLIDO BORIS YERSY</v>
          </cell>
          <cell r="V1848" t="str">
            <v>CORIHUAMAN SURCO  ERICK ROBERT</v>
          </cell>
        </row>
        <row r="1849">
          <cell r="A1849">
            <v>1797</v>
          </cell>
          <cell r="B1849">
            <v>42703</v>
          </cell>
          <cell r="C1849" t="str">
            <v>NOVIEMBRE</v>
          </cell>
          <cell r="D1849" t="str">
            <v>2016</v>
          </cell>
          <cell r="E1849">
            <v>453</v>
          </cell>
          <cell r="F1849" t="str">
            <v>C9N-807</v>
          </cell>
          <cell r="G1849" t="str">
            <v>B4O-994</v>
          </cell>
          <cell r="H1849" t="str">
            <v>LAS BAMBAS</v>
          </cell>
          <cell r="I1849">
            <v>210225</v>
          </cell>
          <cell r="J1849" t="str">
            <v>REPUESTO</v>
          </cell>
          <cell r="K1849" t="str">
            <v>TUERCA 3/16</v>
          </cell>
          <cell r="L1849">
            <v>2</v>
          </cell>
          <cell r="M1849" t="str">
            <v>UNID.</v>
          </cell>
          <cell r="N1849" t="str">
            <v>TRACTO</v>
          </cell>
          <cell r="O1849">
            <v>87</v>
          </cell>
          <cell r="P1849" t="str">
            <v>E2</v>
          </cell>
          <cell r="Q1849" t="str">
            <v>J2</v>
          </cell>
          <cell r="R1849" t="str">
            <v>J6</v>
          </cell>
          <cell r="S1849" t="str">
            <v>ENTREGADO</v>
          </cell>
          <cell r="T1849">
            <v>0</v>
          </cell>
          <cell r="U1849" t="str">
            <v>YUCA BELLIDO BORIS YERSY</v>
          </cell>
          <cell r="V1849" t="str">
            <v>CORIHUAMAN SURCO  ERICK ROBERT</v>
          </cell>
        </row>
        <row r="1850">
          <cell r="A1850">
            <v>1798</v>
          </cell>
          <cell r="B1850">
            <v>42703</v>
          </cell>
          <cell r="C1850" t="str">
            <v>NOVIEMBRE</v>
          </cell>
          <cell r="D1850" t="str">
            <v>2016</v>
          </cell>
          <cell r="E1850">
            <v>453</v>
          </cell>
          <cell r="F1850" t="str">
            <v>C9N-807</v>
          </cell>
          <cell r="G1850" t="str">
            <v>B4O-994</v>
          </cell>
          <cell r="H1850" t="str">
            <v>LAS BAMBAS</v>
          </cell>
          <cell r="I1850">
            <v>210225</v>
          </cell>
          <cell r="J1850" t="str">
            <v>REPUESTO</v>
          </cell>
          <cell r="K1850" t="str">
            <v>VOLANDA PLANA 3/16</v>
          </cell>
          <cell r="L1850">
            <v>2</v>
          </cell>
          <cell r="M1850" t="str">
            <v>UNID.</v>
          </cell>
          <cell r="N1850" t="str">
            <v>TRACTO</v>
          </cell>
          <cell r="O1850">
            <v>87</v>
          </cell>
          <cell r="P1850" t="str">
            <v>E2</v>
          </cell>
          <cell r="Q1850" t="str">
            <v>J2</v>
          </cell>
          <cell r="R1850" t="str">
            <v>J6</v>
          </cell>
          <cell r="S1850" t="str">
            <v>ENTREGADO</v>
          </cell>
          <cell r="T1850">
            <v>0</v>
          </cell>
          <cell r="U1850" t="str">
            <v>YUCA BELLIDO BORIS YERSY</v>
          </cell>
          <cell r="V1850" t="str">
            <v>CORIHUAMAN SURCO  ERICK ROBERT</v>
          </cell>
        </row>
        <row r="1851">
          <cell r="A1851">
            <v>1800</v>
          </cell>
          <cell r="B1851">
            <v>42703</v>
          </cell>
          <cell r="C1851" t="str">
            <v>NOVIEMBRE</v>
          </cell>
          <cell r="D1851" t="str">
            <v>2016</v>
          </cell>
          <cell r="E1851">
            <v>453</v>
          </cell>
          <cell r="F1851" t="str">
            <v>C9N-807</v>
          </cell>
          <cell r="G1851" t="str">
            <v>B4O-994</v>
          </cell>
          <cell r="H1851" t="str">
            <v>LAS BAMBAS</v>
          </cell>
          <cell r="I1851">
            <v>210225</v>
          </cell>
          <cell r="J1851" t="str">
            <v>REPUESTO</v>
          </cell>
          <cell r="K1851" t="str">
            <v>DISCO DE CORTE 7"</v>
          </cell>
          <cell r="L1851">
            <v>2</v>
          </cell>
          <cell r="M1851" t="str">
            <v>UNID.</v>
          </cell>
          <cell r="N1851" t="str">
            <v>CISTERNA</v>
          </cell>
          <cell r="O1851">
            <v>87</v>
          </cell>
          <cell r="P1851" t="str">
            <v>S2</v>
          </cell>
          <cell r="Q1851" t="str">
            <v>J2</v>
          </cell>
          <cell r="R1851" t="str">
            <v>J6</v>
          </cell>
          <cell r="S1851" t="str">
            <v>ENTREGADO</v>
          </cell>
          <cell r="T1851">
            <v>0</v>
          </cell>
          <cell r="U1851" t="str">
            <v>PALOMINO ESTRADA  MICHEL</v>
          </cell>
          <cell r="V1851" t="str">
            <v>CORIHUAMAN SURCO  ERICK ROBERT</v>
          </cell>
        </row>
        <row r="1852">
          <cell r="A1852">
            <v>1814</v>
          </cell>
          <cell r="B1852">
            <v>42703</v>
          </cell>
          <cell r="C1852" t="str">
            <v>NOVIEMBRE</v>
          </cell>
          <cell r="D1852" t="str">
            <v>2016</v>
          </cell>
          <cell r="E1852">
            <v>453</v>
          </cell>
          <cell r="F1852" t="str">
            <v>C9N-807</v>
          </cell>
          <cell r="G1852" t="str">
            <v>B4O-994</v>
          </cell>
          <cell r="H1852" t="str">
            <v>LAS BAMBAS</v>
          </cell>
          <cell r="I1852">
            <v>210225</v>
          </cell>
          <cell r="J1852" t="str">
            <v>REPUESTO</v>
          </cell>
          <cell r="K1852" t="str">
            <v>CELLOCORD 1/8</v>
          </cell>
          <cell r="L1852">
            <v>2</v>
          </cell>
          <cell r="M1852" t="str">
            <v>KG.</v>
          </cell>
          <cell r="N1852" t="str">
            <v>CISTERNA</v>
          </cell>
          <cell r="O1852">
            <v>87</v>
          </cell>
          <cell r="P1852" t="str">
            <v>S2</v>
          </cell>
          <cell r="Q1852" t="str">
            <v>J2</v>
          </cell>
          <cell r="R1852" t="str">
            <v>J6</v>
          </cell>
          <cell r="S1852" t="str">
            <v>ENTREGADO</v>
          </cell>
          <cell r="T1852">
            <v>0</v>
          </cell>
          <cell r="U1852" t="str">
            <v>PALOMINO ESTRADA  MICHEL</v>
          </cell>
          <cell r="V1852" t="str">
            <v>CORIHUAMAN SURCO  ERICK ROBERT</v>
          </cell>
        </row>
        <row r="1853">
          <cell r="A1853">
            <v>1820</v>
          </cell>
          <cell r="B1853">
            <v>42703</v>
          </cell>
          <cell r="C1853" t="str">
            <v>NOVIEMBRE</v>
          </cell>
          <cell r="D1853" t="str">
            <v>2016</v>
          </cell>
          <cell r="E1853">
            <v>453</v>
          </cell>
          <cell r="F1853" t="str">
            <v>C9N-807</v>
          </cell>
          <cell r="G1853" t="str">
            <v>B4O-994</v>
          </cell>
          <cell r="H1853" t="str">
            <v>LAS BAMBAS</v>
          </cell>
          <cell r="I1853">
            <v>210225</v>
          </cell>
          <cell r="J1853" t="str">
            <v>REPUESTO</v>
          </cell>
          <cell r="K1853" t="str">
            <v>SPRAY BLANCO</v>
          </cell>
          <cell r="L1853">
            <v>2</v>
          </cell>
          <cell r="M1853" t="str">
            <v>UNID.</v>
          </cell>
          <cell r="N1853" t="str">
            <v>CISTERNA</v>
          </cell>
          <cell r="O1853">
            <v>87</v>
          </cell>
          <cell r="P1853" t="str">
            <v>S3</v>
          </cell>
          <cell r="Q1853" t="str">
            <v>J1</v>
          </cell>
          <cell r="R1853" t="str">
            <v>J5</v>
          </cell>
          <cell r="S1853" t="str">
            <v>ENTREGADO</v>
          </cell>
          <cell r="T1853">
            <v>0</v>
          </cell>
          <cell r="U1853" t="str">
            <v>JIMENEZ MACHACA JAVIER</v>
          </cell>
          <cell r="V1853" t="str">
            <v>FLOREZ CONDORI  JOSE WILLIANS</v>
          </cell>
        </row>
        <row r="1854">
          <cell r="A1854">
            <v>1824</v>
          </cell>
          <cell r="B1854">
            <v>42703</v>
          </cell>
          <cell r="C1854" t="str">
            <v>NOVIEMBRE</v>
          </cell>
          <cell r="D1854" t="str">
            <v>2016</v>
          </cell>
          <cell r="E1854">
            <v>453</v>
          </cell>
          <cell r="F1854" t="str">
            <v>C9N-807</v>
          </cell>
          <cell r="G1854" t="str">
            <v>B4O-994</v>
          </cell>
          <cell r="H1854" t="str">
            <v>LAS BAMBAS</v>
          </cell>
          <cell r="I1854">
            <v>210225</v>
          </cell>
          <cell r="J1854" t="str">
            <v>REPUESTO</v>
          </cell>
          <cell r="K1854" t="str">
            <v>TAPA DE VALVULA DE RECUPERADOR DE VAPORES</v>
          </cell>
          <cell r="L1854">
            <v>1</v>
          </cell>
          <cell r="M1854" t="str">
            <v>UNID.</v>
          </cell>
          <cell r="N1854" t="str">
            <v>CISTERNA</v>
          </cell>
          <cell r="O1854">
            <v>87</v>
          </cell>
          <cell r="P1854" t="str">
            <v>S2</v>
          </cell>
          <cell r="Q1854" t="str">
            <v>J1</v>
          </cell>
          <cell r="R1854" t="str">
            <v>J5</v>
          </cell>
          <cell r="S1854" t="str">
            <v>ENTREGADO</v>
          </cell>
          <cell r="T1854">
            <v>0</v>
          </cell>
          <cell r="U1854" t="str">
            <v>PALOMINO ESTRADA  MICHEL</v>
          </cell>
          <cell r="V1854" t="str">
            <v>FLOREZ CONDORI  JOSE WILLIANS</v>
          </cell>
        </row>
        <row r="1855">
          <cell r="A1855">
            <v>1819</v>
          </cell>
          <cell r="B1855">
            <v>42703</v>
          </cell>
          <cell r="C1855" t="str">
            <v>NOVIEMBRE</v>
          </cell>
          <cell r="D1855" t="str">
            <v>2016</v>
          </cell>
          <cell r="E1855">
            <v>463</v>
          </cell>
          <cell r="F1855" t="str">
            <v>D3O-745</v>
          </cell>
          <cell r="G1855" t="str">
            <v>F3L-979</v>
          </cell>
          <cell r="H1855" t="str">
            <v>LAS BAMBAS</v>
          </cell>
          <cell r="I1855">
            <v>157942</v>
          </cell>
          <cell r="J1855" t="str">
            <v>REPUESTO</v>
          </cell>
          <cell r="K1855" t="str">
            <v>FARO LATERAL REDONDO</v>
          </cell>
          <cell r="L1855">
            <v>1</v>
          </cell>
          <cell r="M1855" t="str">
            <v>UNID.</v>
          </cell>
          <cell r="N1855" t="str">
            <v>TRACTO</v>
          </cell>
          <cell r="O1855">
            <v>87</v>
          </cell>
          <cell r="P1855" t="str">
            <v>E3</v>
          </cell>
          <cell r="Q1855" t="str">
            <v>J1</v>
          </cell>
          <cell r="R1855" t="str">
            <v>J5</v>
          </cell>
          <cell r="S1855" t="str">
            <v>ENTREGADO</v>
          </cell>
          <cell r="T1855">
            <v>0</v>
          </cell>
          <cell r="U1855" t="str">
            <v>CONDORI CHURATA ALEX</v>
          </cell>
          <cell r="V1855" t="str">
            <v>FLOREZ CONDORI  JOSE WILLIANS</v>
          </cell>
        </row>
        <row r="1856">
          <cell r="A1856">
            <v>1882</v>
          </cell>
          <cell r="B1856">
            <v>42703</v>
          </cell>
          <cell r="C1856" t="str">
            <v>NOVIEMBRE</v>
          </cell>
          <cell r="D1856" t="str">
            <v>2016</v>
          </cell>
          <cell r="E1856">
            <v>463</v>
          </cell>
          <cell r="F1856" t="str">
            <v>D3O-745</v>
          </cell>
          <cell r="G1856" t="str">
            <v>F3L-979</v>
          </cell>
          <cell r="H1856" t="str">
            <v>LAS BAMBAS</v>
          </cell>
          <cell r="I1856">
            <v>157942</v>
          </cell>
          <cell r="J1856" t="str">
            <v>REPUESTO</v>
          </cell>
          <cell r="K1856" t="str">
            <v>FILTRO REFRIGERANTE</v>
          </cell>
          <cell r="L1856">
            <v>1</v>
          </cell>
          <cell r="M1856" t="str">
            <v>UNID.</v>
          </cell>
          <cell r="N1856" t="str">
            <v>TRACTO</v>
          </cell>
          <cell r="O1856">
            <v>87</v>
          </cell>
          <cell r="P1856" t="str">
            <v>M1</v>
          </cell>
          <cell r="Q1856" t="str">
            <v>J2</v>
          </cell>
          <cell r="R1856" t="str">
            <v>J6</v>
          </cell>
          <cell r="S1856" t="str">
            <v>ENTREGADO</v>
          </cell>
          <cell r="T1856">
            <v>0</v>
          </cell>
          <cell r="U1856" t="str">
            <v>CABEZAS SANCHEZ JEAN JHONATAN</v>
          </cell>
          <cell r="V1856" t="str">
            <v>CORIHUAMAN SURCO  ERICK ROBERT</v>
          </cell>
        </row>
        <row r="1857">
          <cell r="A1857">
            <v>1825</v>
          </cell>
          <cell r="B1857">
            <v>42703</v>
          </cell>
          <cell r="C1857" t="str">
            <v>NOVIEMBRE</v>
          </cell>
          <cell r="D1857" t="str">
            <v>2016</v>
          </cell>
          <cell r="E1857">
            <v>467</v>
          </cell>
          <cell r="F1857" t="str">
            <v>D3P-743</v>
          </cell>
          <cell r="G1857" t="str">
            <v>B8L-972</v>
          </cell>
          <cell r="H1857" t="str">
            <v>LAS BAMBAS</v>
          </cell>
          <cell r="I1857">
            <v>181789</v>
          </cell>
          <cell r="J1857" t="str">
            <v>REPUESTO</v>
          </cell>
          <cell r="K1857" t="str">
            <v>TANQUE DE EXPANSION DE REFRIGERANTE</v>
          </cell>
          <cell r="L1857">
            <v>1</v>
          </cell>
          <cell r="M1857" t="str">
            <v>UNID.</v>
          </cell>
          <cell r="N1857" t="str">
            <v>TRACTO</v>
          </cell>
          <cell r="O1857">
            <v>87</v>
          </cell>
          <cell r="P1857" t="str">
            <v>M7</v>
          </cell>
          <cell r="Q1857" t="str">
            <v>J1</v>
          </cell>
          <cell r="R1857" t="str">
            <v>J6</v>
          </cell>
          <cell r="S1857" t="str">
            <v>ENTREGADO</v>
          </cell>
          <cell r="T1857">
            <v>0</v>
          </cell>
          <cell r="U1857" t="str">
            <v>ROBLES ROJAS  JOSE MIGUEL</v>
          </cell>
          <cell r="V1857" t="str">
            <v>FLOREZ CONDORI  JOSE WILLIANS</v>
          </cell>
        </row>
        <row r="1858">
          <cell r="A1858">
            <v>1826</v>
          </cell>
          <cell r="B1858">
            <v>42703</v>
          </cell>
          <cell r="C1858" t="str">
            <v>NOVIEMBRE</v>
          </cell>
          <cell r="D1858" t="str">
            <v>2016</v>
          </cell>
          <cell r="E1858">
            <v>467</v>
          </cell>
          <cell r="F1858" t="str">
            <v>D3P-743</v>
          </cell>
          <cell r="G1858" t="str">
            <v>B8L-972</v>
          </cell>
          <cell r="H1858" t="str">
            <v>LAS BAMBAS</v>
          </cell>
          <cell r="I1858">
            <v>181789</v>
          </cell>
          <cell r="J1858" t="str">
            <v>REPUESTO</v>
          </cell>
          <cell r="K1858" t="str">
            <v>AMORTIGUADOR DELANTERO</v>
          </cell>
          <cell r="L1858">
            <v>1</v>
          </cell>
          <cell r="M1858" t="str">
            <v>UNID.</v>
          </cell>
          <cell r="N1858" t="str">
            <v>TRACTO</v>
          </cell>
          <cell r="O1858">
            <v>87</v>
          </cell>
          <cell r="P1858" t="str">
            <v>M7</v>
          </cell>
          <cell r="Q1858" t="str">
            <v>J1</v>
          </cell>
          <cell r="R1858" t="str">
            <v>J6</v>
          </cell>
          <cell r="S1858" t="str">
            <v>ENTREGADO</v>
          </cell>
          <cell r="T1858">
            <v>0</v>
          </cell>
          <cell r="U1858" t="str">
            <v>ROBLES ROJAS  JOSE MIGUEL</v>
          </cell>
          <cell r="V1858" t="str">
            <v>FLOREZ CONDORI  JOSE WILLIANS</v>
          </cell>
        </row>
        <row r="1859">
          <cell r="A1859">
            <v>1875</v>
          </cell>
          <cell r="B1859">
            <v>42703</v>
          </cell>
          <cell r="C1859" t="str">
            <v>NOVIEMBRE</v>
          </cell>
          <cell r="D1859" t="str">
            <v>2016</v>
          </cell>
          <cell r="E1859">
            <v>467</v>
          </cell>
          <cell r="F1859" t="str">
            <v>D3P-743</v>
          </cell>
          <cell r="G1859" t="str">
            <v>B8L-972</v>
          </cell>
          <cell r="H1859" t="str">
            <v>LAS BAMBAS</v>
          </cell>
          <cell r="I1859">
            <v>181789</v>
          </cell>
          <cell r="J1859" t="str">
            <v>REPUESTO</v>
          </cell>
          <cell r="K1859" t="str">
            <v>FILTRO DE COMBUSTIBLE</v>
          </cell>
          <cell r="L1859">
            <v>1</v>
          </cell>
          <cell r="M1859" t="str">
            <v>UNID.</v>
          </cell>
          <cell r="N1859" t="str">
            <v>TRACTO</v>
          </cell>
          <cell r="O1859">
            <v>87</v>
          </cell>
          <cell r="P1859" t="str">
            <v>M7</v>
          </cell>
          <cell r="Q1859" t="str">
            <v>J1</v>
          </cell>
          <cell r="R1859" t="str">
            <v>J6</v>
          </cell>
          <cell r="S1859" t="str">
            <v>ENTREGADO</v>
          </cell>
          <cell r="T1859">
            <v>0</v>
          </cell>
          <cell r="U1859" t="str">
            <v>ROBLES ROJAS  JOSE MIGUEL</v>
          </cell>
          <cell r="V1859" t="str">
            <v>FLOREZ CONDORI  JOSE WILLIANS</v>
          </cell>
        </row>
        <row r="1860">
          <cell r="A1860">
            <v>1876</v>
          </cell>
          <cell r="B1860">
            <v>42703</v>
          </cell>
          <cell r="C1860" t="str">
            <v>NOVIEMBRE</v>
          </cell>
          <cell r="D1860" t="str">
            <v>2016</v>
          </cell>
          <cell r="E1860">
            <v>467</v>
          </cell>
          <cell r="F1860" t="str">
            <v>D3P-743</v>
          </cell>
          <cell r="G1860" t="str">
            <v>B8L-972</v>
          </cell>
          <cell r="H1860" t="str">
            <v>LAS BAMBAS</v>
          </cell>
          <cell r="I1860">
            <v>181789</v>
          </cell>
          <cell r="J1860" t="str">
            <v>REPUESTO</v>
          </cell>
          <cell r="K1860" t="str">
            <v>FILTRO DE ELEMENTO COMBUSTIBLE</v>
          </cell>
          <cell r="L1860">
            <v>1</v>
          </cell>
          <cell r="M1860" t="str">
            <v>UNID.</v>
          </cell>
          <cell r="N1860" t="str">
            <v>TRACTO</v>
          </cell>
          <cell r="O1860">
            <v>87</v>
          </cell>
          <cell r="P1860" t="str">
            <v>M7</v>
          </cell>
          <cell r="Q1860" t="str">
            <v>J1</v>
          </cell>
          <cell r="R1860" t="str">
            <v>J6</v>
          </cell>
          <cell r="S1860" t="str">
            <v>ENTREGADO</v>
          </cell>
          <cell r="T1860">
            <v>0</v>
          </cell>
          <cell r="U1860" t="str">
            <v>ROBLES ROJAS  JOSE MIGUEL</v>
          </cell>
          <cell r="V1860" t="str">
            <v>FLOREZ CONDORI  JOSE WILLIANS</v>
          </cell>
        </row>
        <row r="1861">
          <cell r="A1861">
            <v>1837</v>
          </cell>
          <cell r="B1861">
            <v>42703</v>
          </cell>
          <cell r="C1861" t="str">
            <v>NOVIEMBRE</v>
          </cell>
          <cell r="D1861" t="str">
            <v>2016</v>
          </cell>
          <cell r="E1861">
            <v>207</v>
          </cell>
          <cell r="F1861" t="str">
            <v>D3P-746</v>
          </cell>
          <cell r="G1861" t="str">
            <v>C0T-974</v>
          </cell>
          <cell r="H1861" t="str">
            <v>LAS BAMBAS</v>
          </cell>
          <cell r="I1861">
            <v>128937</v>
          </cell>
          <cell r="J1861" t="str">
            <v>REPUESTO</v>
          </cell>
          <cell r="K1861" t="str">
            <v>FAROS NEBLINEROS AAA</v>
          </cell>
          <cell r="L1861">
            <v>2</v>
          </cell>
          <cell r="M1861" t="str">
            <v>UNID.</v>
          </cell>
          <cell r="N1861" t="str">
            <v>TRACTO</v>
          </cell>
          <cell r="O1861">
            <v>87</v>
          </cell>
          <cell r="P1861" t="str">
            <v>E2</v>
          </cell>
          <cell r="Q1861" t="str">
            <v>J1</v>
          </cell>
          <cell r="R1861" t="str">
            <v>J5</v>
          </cell>
          <cell r="S1861" t="str">
            <v>ENTREGADO</v>
          </cell>
          <cell r="T1861">
            <v>0</v>
          </cell>
          <cell r="U1861" t="str">
            <v>YUCA BELLIDO BORIS YERSY</v>
          </cell>
          <cell r="V1861" t="str">
            <v>FLOREZ CONDORI  JOSE WILLIANS</v>
          </cell>
        </row>
        <row r="1862">
          <cell r="A1862">
            <v>1838</v>
          </cell>
          <cell r="B1862">
            <v>42703</v>
          </cell>
          <cell r="C1862" t="str">
            <v>NOVIEMBRE</v>
          </cell>
          <cell r="D1862" t="str">
            <v>2016</v>
          </cell>
          <cell r="E1862">
            <v>207</v>
          </cell>
          <cell r="F1862" t="str">
            <v>D3P-746</v>
          </cell>
          <cell r="G1862" t="str">
            <v>C0T-974</v>
          </cell>
          <cell r="H1862" t="str">
            <v>LAS BAMBAS</v>
          </cell>
          <cell r="I1862">
            <v>128937</v>
          </cell>
          <cell r="J1862" t="str">
            <v>REPUESTO</v>
          </cell>
          <cell r="K1862" t="str">
            <v>RELAY DE 12 V</v>
          </cell>
          <cell r="L1862">
            <v>1</v>
          </cell>
          <cell r="M1862" t="str">
            <v>UNID.</v>
          </cell>
          <cell r="N1862" t="str">
            <v>TRACTO</v>
          </cell>
          <cell r="O1862">
            <v>87</v>
          </cell>
          <cell r="P1862" t="str">
            <v>E2</v>
          </cell>
          <cell r="Q1862" t="str">
            <v>J1</v>
          </cell>
          <cell r="R1862" t="str">
            <v>J5</v>
          </cell>
          <cell r="S1862" t="str">
            <v>ENTREGADO</v>
          </cell>
          <cell r="T1862">
            <v>0</v>
          </cell>
          <cell r="U1862" t="str">
            <v>YUCA BELLIDO BORIS YERSY</v>
          </cell>
          <cell r="V1862" t="str">
            <v>FLOREZ CONDORI  JOSE WILLIANS</v>
          </cell>
        </row>
        <row r="1863">
          <cell r="A1863">
            <v>1839</v>
          </cell>
          <cell r="B1863">
            <v>42703</v>
          </cell>
          <cell r="C1863" t="str">
            <v>NOVIEMBRE</v>
          </cell>
          <cell r="D1863" t="str">
            <v>2016</v>
          </cell>
          <cell r="E1863">
            <v>207</v>
          </cell>
          <cell r="F1863" t="str">
            <v>D3P-746</v>
          </cell>
          <cell r="G1863" t="str">
            <v>C0T-974</v>
          </cell>
          <cell r="H1863" t="str">
            <v>LAS BAMBAS</v>
          </cell>
          <cell r="I1863">
            <v>128937</v>
          </cell>
          <cell r="J1863" t="str">
            <v>REPUESTO</v>
          </cell>
          <cell r="K1863" t="str">
            <v>FOCO LAGRIMON AMBAR 12 V</v>
          </cell>
          <cell r="L1863">
            <v>2</v>
          </cell>
          <cell r="M1863" t="str">
            <v>UNID.</v>
          </cell>
          <cell r="N1863" t="str">
            <v>TRACTO</v>
          </cell>
          <cell r="O1863">
            <v>87</v>
          </cell>
          <cell r="P1863" t="str">
            <v>E2</v>
          </cell>
          <cell r="Q1863" t="str">
            <v>J1</v>
          </cell>
          <cell r="R1863" t="str">
            <v>J5</v>
          </cell>
          <cell r="S1863" t="str">
            <v>ENTREGADO</v>
          </cell>
          <cell r="T1863">
            <v>0</v>
          </cell>
          <cell r="U1863" t="str">
            <v>YUCA BELLIDO BORIS YERSY</v>
          </cell>
          <cell r="V1863" t="str">
            <v>FLOREZ CONDORI  JOSE WILLIANS</v>
          </cell>
        </row>
        <row r="1864">
          <cell r="A1864">
            <v>1841</v>
          </cell>
          <cell r="B1864">
            <v>42703</v>
          </cell>
          <cell r="C1864">
            <v>0</v>
          </cell>
          <cell r="D1864">
            <v>0</v>
          </cell>
          <cell r="E1864">
            <v>207</v>
          </cell>
          <cell r="F1864" t="str">
            <v>D3P-746</v>
          </cell>
          <cell r="G1864" t="str">
            <v>C0T-974</v>
          </cell>
          <cell r="H1864" t="str">
            <v>LAS BAMBAS</v>
          </cell>
          <cell r="I1864">
            <v>128937</v>
          </cell>
          <cell r="J1864" t="str">
            <v>REPUESTO</v>
          </cell>
          <cell r="K1864" t="str">
            <v>PERNO MANHOLE 3/8 X 6</v>
          </cell>
          <cell r="L1864">
            <v>1</v>
          </cell>
          <cell r="M1864" t="str">
            <v>UNID.</v>
          </cell>
          <cell r="N1864" t="str">
            <v>CISTERNA</v>
          </cell>
          <cell r="O1864">
            <v>87</v>
          </cell>
          <cell r="P1864" t="str">
            <v>S2</v>
          </cell>
          <cell r="Q1864" t="str">
            <v>J1</v>
          </cell>
          <cell r="R1864" t="str">
            <v>J6</v>
          </cell>
          <cell r="S1864" t="str">
            <v>ENTREGADO</v>
          </cell>
          <cell r="T1864">
            <v>0</v>
          </cell>
          <cell r="U1864" t="str">
            <v>PALOMINO ESTRADA  MICHEL</v>
          </cell>
          <cell r="V1864" t="str">
            <v>FLOREZ CONDORI  JOSE WILLIANS</v>
          </cell>
        </row>
        <row r="1865">
          <cell r="A1865">
            <v>1842</v>
          </cell>
          <cell r="B1865">
            <v>42703</v>
          </cell>
          <cell r="C1865" t="str">
            <v>NOVIEMBRE</v>
          </cell>
          <cell r="D1865" t="str">
            <v>2016</v>
          </cell>
          <cell r="E1865">
            <v>207</v>
          </cell>
          <cell r="F1865" t="str">
            <v>D3P-746</v>
          </cell>
          <cell r="G1865" t="str">
            <v>C0T-974</v>
          </cell>
          <cell r="H1865" t="str">
            <v>LAS BAMBAS</v>
          </cell>
          <cell r="I1865">
            <v>128937</v>
          </cell>
          <cell r="J1865" t="str">
            <v>REPUESTO</v>
          </cell>
          <cell r="K1865" t="str">
            <v>TUERCA 3/8</v>
          </cell>
          <cell r="L1865">
            <v>2</v>
          </cell>
          <cell r="M1865" t="str">
            <v>UNID.</v>
          </cell>
          <cell r="N1865" t="str">
            <v>CISTERNA</v>
          </cell>
          <cell r="O1865">
            <v>87</v>
          </cell>
          <cell r="P1865" t="str">
            <v>S2</v>
          </cell>
          <cell r="Q1865" t="str">
            <v>J1</v>
          </cell>
          <cell r="R1865" t="str">
            <v>J6</v>
          </cell>
          <cell r="S1865" t="str">
            <v>ENTREGADO</v>
          </cell>
          <cell r="T1865">
            <v>0</v>
          </cell>
          <cell r="U1865" t="str">
            <v>PALOMINO ESTRADA  MICHEL</v>
          </cell>
          <cell r="V1865" t="str">
            <v>FLOREZ CONDORI  JOSE WILLIANS</v>
          </cell>
        </row>
        <row r="1866">
          <cell r="A1866">
            <v>1874</v>
          </cell>
          <cell r="B1866">
            <v>42703</v>
          </cell>
          <cell r="C1866" t="str">
            <v>NOVIEMBRE</v>
          </cell>
          <cell r="D1866" t="str">
            <v>2016</v>
          </cell>
          <cell r="E1866">
            <v>207</v>
          </cell>
          <cell r="F1866" t="str">
            <v>D3P-746</v>
          </cell>
          <cell r="G1866" t="str">
            <v>C0T-974</v>
          </cell>
          <cell r="H1866" t="str">
            <v>LAS BAMBAS</v>
          </cell>
          <cell r="I1866">
            <v>128937</v>
          </cell>
          <cell r="J1866" t="str">
            <v>REPUESTO</v>
          </cell>
          <cell r="K1866" t="str">
            <v>CARCASA DE TABLERO</v>
          </cell>
          <cell r="L1866">
            <v>1</v>
          </cell>
          <cell r="M1866" t="str">
            <v>UNID.</v>
          </cell>
          <cell r="N1866" t="str">
            <v>TRACTO</v>
          </cell>
          <cell r="O1866">
            <v>87</v>
          </cell>
          <cell r="P1866" t="str">
            <v>J7</v>
          </cell>
          <cell r="Q1866" t="str">
            <v>J1</v>
          </cell>
          <cell r="R1866" t="str">
            <v>J5</v>
          </cell>
          <cell r="S1866" t="str">
            <v>ENTREGADO</v>
          </cell>
          <cell r="T1866">
            <v>0</v>
          </cell>
          <cell r="U1866" t="str">
            <v>DONAYRE INGA PEDRO</v>
          </cell>
          <cell r="V1866" t="str">
            <v>FLOREZ CONDORI  JOSE WILLIANS</v>
          </cell>
        </row>
        <row r="1867">
          <cell r="A1867">
            <v>1802</v>
          </cell>
          <cell r="B1867">
            <v>42703</v>
          </cell>
          <cell r="C1867" t="str">
            <v>NOVIEMBRE</v>
          </cell>
          <cell r="D1867" t="str">
            <v>2016</v>
          </cell>
          <cell r="E1867">
            <v>399</v>
          </cell>
          <cell r="F1867" t="str">
            <v>D3R-742</v>
          </cell>
          <cell r="G1867" t="str">
            <v>D2E-975</v>
          </cell>
          <cell r="H1867" t="str">
            <v>LAS BAMBAS</v>
          </cell>
          <cell r="I1867">
            <v>150257</v>
          </cell>
          <cell r="J1867" t="str">
            <v>REPUESTO</v>
          </cell>
          <cell r="K1867" t="str">
            <v>PERNOS 5/16 X 1 1/2</v>
          </cell>
          <cell r="L1867">
            <v>2</v>
          </cell>
          <cell r="M1867" t="str">
            <v>UNID.</v>
          </cell>
          <cell r="N1867" t="str">
            <v>TRACTO</v>
          </cell>
          <cell r="O1867">
            <v>87</v>
          </cell>
          <cell r="P1867" t="str">
            <v>E2</v>
          </cell>
          <cell r="Q1867" t="str">
            <v>J2</v>
          </cell>
          <cell r="R1867" t="str">
            <v>J6</v>
          </cell>
          <cell r="S1867" t="str">
            <v>ENTREGADO</v>
          </cell>
          <cell r="T1867">
            <v>0</v>
          </cell>
          <cell r="U1867" t="str">
            <v>YUCA BELLIDO BORIS YERSY</v>
          </cell>
          <cell r="V1867" t="str">
            <v>CORIHUAMAN SURCO  ERICK ROBERT</v>
          </cell>
        </row>
        <row r="1868">
          <cell r="A1868">
            <v>1803</v>
          </cell>
          <cell r="B1868">
            <v>42703</v>
          </cell>
          <cell r="C1868" t="str">
            <v>NOVIEMBRE</v>
          </cell>
          <cell r="D1868" t="str">
            <v>2016</v>
          </cell>
          <cell r="E1868">
            <v>399</v>
          </cell>
          <cell r="F1868" t="str">
            <v>D3R-742</v>
          </cell>
          <cell r="G1868" t="str">
            <v>D2E-975</v>
          </cell>
          <cell r="H1868" t="str">
            <v>LAS BAMBAS</v>
          </cell>
          <cell r="I1868">
            <v>150257</v>
          </cell>
          <cell r="J1868" t="str">
            <v>REPUESTO</v>
          </cell>
          <cell r="K1868" t="str">
            <v>TUERCAS 5/16</v>
          </cell>
          <cell r="L1868">
            <v>2</v>
          </cell>
          <cell r="M1868" t="str">
            <v>UNID.</v>
          </cell>
          <cell r="N1868" t="str">
            <v>TRACTO</v>
          </cell>
          <cell r="O1868">
            <v>87</v>
          </cell>
          <cell r="P1868" t="str">
            <v>E2</v>
          </cell>
          <cell r="Q1868" t="str">
            <v>J2</v>
          </cell>
          <cell r="R1868" t="str">
            <v>J6</v>
          </cell>
          <cell r="S1868" t="str">
            <v>ENTREGADO</v>
          </cell>
          <cell r="T1868">
            <v>0</v>
          </cell>
          <cell r="U1868" t="str">
            <v>YUCA BELLIDO BORIS YERSY</v>
          </cell>
          <cell r="V1868" t="str">
            <v>CORIHUAMAN SURCO  ERICK ROBERT</v>
          </cell>
        </row>
        <row r="1869">
          <cell r="A1869">
            <v>1804</v>
          </cell>
          <cell r="B1869">
            <v>42703</v>
          </cell>
          <cell r="C1869" t="str">
            <v>NOVIEMBRE</v>
          </cell>
          <cell r="D1869" t="str">
            <v>2016</v>
          </cell>
          <cell r="E1869">
            <v>399</v>
          </cell>
          <cell r="F1869" t="str">
            <v>D3R-742</v>
          </cell>
          <cell r="G1869" t="str">
            <v>D2E-975</v>
          </cell>
          <cell r="H1869" t="str">
            <v>LAS BAMBAS</v>
          </cell>
          <cell r="I1869">
            <v>150257</v>
          </cell>
          <cell r="J1869" t="str">
            <v>REPUESTO</v>
          </cell>
          <cell r="K1869" t="str">
            <v>VOLANDA PLANA 5/16</v>
          </cell>
          <cell r="L1869">
            <v>2</v>
          </cell>
          <cell r="M1869" t="str">
            <v>UNID.</v>
          </cell>
          <cell r="N1869" t="str">
            <v>TRACTO</v>
          </cell>
          <cell r="O1869">
            <v>87</v>
          </cell>
          <cell r="P1869" t="str">
            <v>E2</v>
          </cell>
          <cell r="Q1869" t="str">
            <v>J2</v>
          </cell>
          <cell r="R1869" t="str">
            <v>J6</v>
          </cell>
          <cell r="S1869" t="str">
            <v>ENTREGADO</v>
          </cell>
          <cell r="T1869">
            <v>0</v>
          </cell>
          <cell r="U1869" t="str">
            <v>YUCA BELLIDO BORIS YERSY</v>
          </cell>
          <cell r="V1869" t="str">
            <v>CORIHUAMAN SURCO  ERICK ROBERT</v>
          </cell>
        </row>
        <row r="1870">
          <cell r="A1870">
            <v>1815</v>
          </cell>
          <cell r="B1870">
            <v>42703</v>
          </cell>
          <cell r="C1870" t="str">
            <v>NOVIEMBRE</v>
          </cell>
          <cell r="D1870" t="str">
            <v>2016</v>
          </cell>
          <cell r="E1870">
            <v>464</v>
          </cell>
          <cell r="F1870" t="str">
            <v>D3R-742</v>
          </cell>
          <cell r="G1870" t="str">
            <v>D2E-975</v>
          </cell>
          <cell r="H1870" t="str">
            <v>LAS BAMBAS</v>
          </cell>
          <cell r="I1870">
            <v>151555</v>
          </cell>
          <cell r="J1870" t="str">
            <v>REPUESTO</v>
          </cell>
          <cell r="K1870" t="str">
            <v>SOPORTE DE CABINA DERECHO</v>
          </cell>
          <cell r="L1870">
            <v>1</v>
          </cell>
          <cell r="M1870" t="str">
            <v>UNID.</v>
          </cell>
          <cell r="N1870" t="str">
            <v>TRACTO</v>
          </cell>
          <cell r="O1870">
            <v>87</v>
          </cell>
          <cell r="P1870" t="str">
            <v>M7</v>
          </cell>
          <cell r="Q1870" t="str">
            <v>J1</v>
          </cell>
          <cell r="R1870" t="str">
            <v>J6</v>
          </cell>
          <cell r="S1870" t="str">
            <v>ENTREGADO</v>
          </cell>
          <cell r="T1870">
            <v>0</v>
          </cell>
          <cell r="U1870" t="str">
            <v>ROBLES ROJAS  JOSE MIGUEL</v>
          </cell>
          <cell r="V1870" t="str">
            <v>FLOREZ CONDORI  JOSE WILLIANS</v>
          </cell>
        </row>
        <row r="1871">
          <cell r="A1871">
            <v>1816</v>
          </cell>
          <cell r="B1871">
            <v>42703</v>
          </cell>
          <cell r="C1871" t="str">
            <v>NOVIEMBRE</v>
          </cell>
          <cell r="D1871" t="str">
            <v>2016</v>
          </cell>
          <cell r="E1871">
            <v>464</v>
          </cell>
          <cell r="F1871" t="str">
            <v>D3R-742</v>
          </cell>
          <cell r="G1871" t="str">
            <v>D2E-975</v>
          </cell>
          <cell r="H1871" t="str">
            <v>LAS BAMBAS</v>
          </cell>
          <cell r="I1871">
            <v>151555</v>
          </cell>
          <cell r="J1871" t="str">
            <v>REPUESTO</v>
          </cell>
          <cell r="K1871" t="str">
            <v>SOPORTE DE CABINA IZQUIERDO</v>
          </cell>
          <cell r="L1871">
            <v>1</v>
          </cell>
          <cell r="M1871" t="str">
            <v>UNID.</v>
          </cell>
          <cell r="N1871" t="str">
            <v>TRACTO</v>
          </cell>
          <cell r="O1871">
            <v>87</v>
          </cell>
          <cell r="P1871" t="str">
            <v>M7</v>
          </cell>
          <cell r="Q1871" t="str">
            <v>J1</v>
          </cell>
          <cell r="R1871" t="str">
            <v>J6</v>
          </cell>
          <cell r="S1871" t="str">
            <v>ENTREGADO</v>
          </cell>
          <cell r="T1871">
            <v>0</v>
          </cell>
          <cell r="U1871" t="str">
            <v>ROBLES ROJAS  JOSE MIGUEL</v>
          </cell>
          <cell r="V1871" t="str">
            <v>FLOREZ CONDORI  JOSE WILLIANS</v>
          </cell>
        </row>
        <row r="1872">
          <cell r="A1872">
            <v>1847</v>
          </cell>
          <cell r="B1872">
            <v>42703</v>
          </cell>
          <cell r="C1872" t="str">
            <v>NOVIEMBRE</v>
          </cell>
          <cell r="D1872" t="str">
            <v>2016</v>
          </cell>
          <cell r="E1872">
            <v>414</v>
          </cell>
          <cell r="F1872" t="str">
            <v>D3S-764</v>
          </cell>
          <cell r="G1872" t="str">
            <v>TBL-998</v>
          </cell>
          <cell r="H1872" t="str">
            <v>LAS BAMBAS</v>
          </cell>
          <cell r="I1872">
            <v>123791</v>
          </cell>
          <cell r="J1872" t="str">
            <v>REPUESTO</v>
          </cell>
          <cell r="K1872" t="str">
            <v>TAPA RECUPERADORA DE VAPORES</v>
          </cell>
          <cell r="L1872">
            <v>1</v>
          </cell>
          <cell r="M1872" t="str">
            <v>UNID.</v>
          </cell>
          <cell r="N1872" t="str">
            <v>CISTERNA</v>
          </cell>
          <cell r="O1872">
            <v>87</v>
          </cell>
          <cell r="P1872" t="str">
            <v>J1</v>
          </cell>
          <cell r="Q1872" t="str">
            <v>J1</v>
          </cell>
          <cell r="R1872" t="str">
            <v>J6</v>
          </cell>
          <cell r="S1872" t="str">
            <v>ENTREGADO</v>
          </cell>
          <cell r="T1872">
            <v>0</v>
          </cell>
          <cell r="U1872" t="str">
            <v>FLOREZ CONDORI  JOSE WILLIANS</v>
          </cell>
          <cell r="V1872" t="str">
            <v>FLOREZ CONDORI  JOSE WILLIANS</v>
          </cell>
        </row>
        <row r="1873">
          <cell r="A1873">
            <v>1848</v>
          </cell>
          <cell r="B1873">
            <v>42703</v>
          </cell>
          <cell r="C1873" t="str">
            <v>NOVIEMBRE</v>
          </cell>
          <cell r="D1873" t="str">
            <v>2016</v>
          </cell>
          <cell r="E1873">
            <v>414</v>
          </cell>
          <cell r="F1873" t="str">
            <v>D3S-764</v>
          </cell>
          <cell r="G1873" t="str">
            <v>TBL-998</v>
          </cell>
          <cell r="H1873" t="str">
            <v>LAS BAMBAS</v>
          </cell>
          <cell r="I1873">
            <v>123791</v>
          </cell>
          <cell r="J1873" t="str">
            <v>REPUESTO</v>
          </cell>
          <cell r="K1873" t="str">
            <v>RETENEDORES DE PUERTA</v>
          </cell>
          <cell r="L1873">
            <v>2</v>
          </cell>
          <cell r="M1873" t="str">
            <v>UNID.</v>
          </cell>
          <cell r="N1873" t="str">
            <v>TRACTO</v>
          </cell>
          <cell r="O1873">
            <v>87</v>
          </cell>
          <cell r="P1873" t="str">
            <v>M3</v>
          </cell>
          <cell r="Q1873" t="str">
            <v>J1</v>
          </cell>
          <cell r="R1873" t="str">
            <v>J6</v>
          </cell>
          <cell r="S1873" t="str">
            <v>ENTREGADO</v>
          </cell>
          <cell r="T1873">
            <v>0</v>
          </cell>
          <cell r="U1873" t="str">
            <v>GARCIA PASQUEL  JOSE LUIS</v>
          </cell>
          <cell r="V1873" t="str">
            <v>FLOREZ CONDORI  JOSE WILLIANS</v>
          </cell>
        </row>
        <row r="1874">
          <cell r="A1874">
            <v>1849</v>
          </cell>
          <cell r="B1874">
            <v>42703</v>
          </cell>
          <cell r="C1874" t="str">
            <v>NOVIEMBRE</v>
          </cell>
          <cell r="D1874" t="str">
            <v>2016</v>
          </cell>
          <cell r="E1874">
            <v>414</v>
          </cell>
          <cell r="F1874" t="str">
            <v>D3S-764</v>
          </cell>
          <cell r="G1874" t="str">
            <v>TBL-998</v>
          </cell>
          <cell r="H1874" t="str">
            <v>LAS BAMBAS</v>
          </cell>
          <cell r="I1874">
            <v>123791</v>
          </cell>
          <cell r="J1874" t="str">
            <v>REPUESTO</v>
          </cell>
          <cell r="K1874" t="str">
            <v>PERNO 5/16 X 1</v>
          </cell>
          <cell r="L1874">
            <v>2</v>
          </cell>
          <cell r="M1874" t="str">
            <v>UNID.</v>
          </cell>
          <cell r="N1874" t="str">
            <v>TRACTO</v>
          </cell>
          <cell r="O1874">
            <v>87</v>
          </cell>
          <cell r="P1874" t="str">
            <v>M3</v>
          </cell>
          <cell r="Q1874" t="str">
            <v>J1</v>
          </cell>
          <cell r="R1874" t="str">
            <v>J6</v>
          </cell>
          <cell r="S1874" t="str">
            <v>ENTREGADO</v>
          </cell>
          <cell r="T1874">
            <v>0</v>
          </cell>
          <cell r="U1874" t="str">
            <v>GARCIA PASQUEL  JOSE LUIS</v>
          </cell>
          <cell r="V1874" t="str">
            <v>FLOREZ CONDORI  JOSE WILLIANS</v>
          </cell>
        </row>
        <row r="1875">
          <cell r="A1875">
            <v>1850</v>
          </cell>
          <cell r="B1875">
            <v>42703</v>
          </cell>
          <cell r="C1875" t="str">
            <v>NOVIEMBRE</v>
          </cell>
          <cell r="D1875" t="str">
            <v>2016</v>
          </cell>
          <cell r="E1875">
            <v>414</v>
          </cell>
          <cell r="F1875" t="str">
            <v>D3S-764</v>
          </cell>
          <cell r="G1875" t="str">
            <v>TBL-998</v>
          </cell>
          <cell r="H1875" t="str">
            <v>LAS BAMBAS</v>
          </cell>
          <cell r="I1875">
            <v>123791</v>
          </cell>
          <cell r="J1875" t="str">
            <v>REPUESTO</v>
          </cell>
          <cell r="K1875" t="str">
            <v>ARANDELAS PLANAS 5/16</v>
          </cell>
          <cell r="L1875">
            <v>4</v>
          </cell>
          <cell r="M1875" t="str">
            <v>UNID.</v>
          </cell>
          <cell r="N1875" t="str">
            <v>TRACTO</v>
          </cell>
          <cell r="O1875">
            <v>87</v>
          </cell>
          <cell r="P1875" t="str">
            <v>M3</v>
          </cell>
          <cell r="Q1875" t="str">
            <v>J1</v>
          </cell>
          <cell r="R1875" t="str">
            <v>J6</v>
          </cell>
          <cell r="S1875" t="str">
            <v>ENTREGADO</v>
          </cell>
          <cell r="T1875">
            <v>0</v>
          </cell>
          <cell r="U1875" t="str">
            <v>GARCIA PASQUEL  JOSE LUIS</v>
          </cell>
          <cell r="V1875" t="str">
            <v>FLOREZ CONDORI  JOSE WILLIANS</v>
          </cell>
        </row>
        <row r="1876">
          <cell r="A1876">
            <v>1851</v>
          </cell>
          <cell r="B1876">
            <v>42703</v>
          </cell>
          <cell r="C1876" t="str">
            <v>NOVIEMBRE</v>
          </cell>
          <cell r="D1876" t="str">
            <v>2016</v>
          </cell>
          <cell r="E1876">
            <v>414</v>
          </cell>
          <cell r="F1876" t="str">
            <v>D3S-764</v>
          </cell>
          <cell r="G1876" t="str">
            <v>TBL-998</v>
          </cell>
          <cell r="H1876" t="str">
            <v>LAS BAMBAS</v>
          </cell>
          <cell r="I1876">
            <v>123791</v>
          </cell>
          <cell r="J1876" t="str">
            <v>REPUESTO</v>
          </cell>
          <cell r="K1876" t="str">
            <v>TUERCA 5/16</v>
          </cell>
          <cell r="L1876">
            <v>2</v>
          </cell>
          <cell r="M1876" t="str">
            <v>UNID.</v>
          </cell>
          <cell r="N1876" t="str">
            <v>TRACTO</v>
          </cell>
          <cell r="O1876">
            <v>87</v>
          </cell>
          <cell r="P1876" t="str">
            <v>M3</v>
          </cell>
          <cell r="Q1876" t="str">
            <v>J1</v>
          </cell>
          <cell r="R1876" t="str">
            <v>J6</v>
          </cell>
          <cell r="S1876" t="str">
            <v>ENTREGADO</v>
          </cell>
          <cell r="T1876">
            <v>0</v>
          </cell>
          <cell r="U1876" t="str">
            <v>GARCIA PASQUEL  JOSE LUIS</v>
          </cell>
          <cell r="V1876" t="str">
            <v>FLOREZ CONDORI  JOSE WILLIANS</v>
          </cell>
        </row>
        <row r="1877">
          <cell r="A1877">
            <v>1857</v>
          </cell>
          <cell r="B1877">
            <v>42703</v>
          </cell>
          <cell r="C1877" t="str">
            <v>NOVIEMBRE</v>
          </cell>
          <cell r="D1877" t="str">
            <v>2016</v>
          </cell>
          <cell r="E1877">
            <v>414</v>
          </cell>
          <cell r="F1877" t="str">
            <v>D3S-764</v>
          </cell>
          <cell r="G1877" t="str">
            <v>TBL-998</v>
          </cell>
          <cell r="H1877" t="str">
            <v>LAS BAMBAS</v>
          </cell>
          <cell r="I1877">
            <v>123791</v>
          </cell>
          <cell r="J1877" t="str">
            <v>REPUESTO</v>
          </cell>
          <cell r="K1877" t="str">
            <v>AMORTIGUADOR DE TRACCION 2° EJE</v>
          </cell>
          <cell r="L1877">
            <v>1</v>
          </cell>
          <cell r="M1877" t="str">
            <v>UNID.</v>
          </cell>
          <cell r="N1877" t="str">
            <v>TRACTO</v>
          </cell>
          <cell r="O1877">
            <v>87</v>
          </cell>
          <cell r="P1877" t="str">
            <v>M3</v>
          </cell>
          <cell r="Q1877" t="str">
            <v>J1</v>
          </cell>
          <cell r="R1877" t="str">
            <v>J6</v>
          </cell>
          <cell r="S1877" t="str">
            <v>ENTREGADO</v>
          </cell>
          <cell r="T1877">
            <v>0</v>
          </cell>
          <cell r="U1877" t="str">
            <v>GARCIA PASQUEL  JOSE LUIS</v>
          </cell>
          <cell r="V1877" t="str">
            <v>FLOREZ CONDORI  JOSE WILLIANS</v>
          </cell>
        </row>
        <row r="1878">
          <cell r="A1878">
            <v>1862</v>
          </cell>
          <cell r="B1878">
            <v>42703</v>
          </cell>
          <cell r="C1878" t="str">
            <v>NOVIEMBRE</v>
          </cell>
          <cell r="D1878" t="str">
            <v>2016</v>
          </cell>
          <cell r="E1878">
            <v>414</v>
          </cell>
          <cell r="F1878" t="str">
            <v>D3S-764</v>
          </cell>
          <cell r="G1878" t="str">
            <v>TBL-998</v>
          </cell>
          <cell r="H1878" t="str">
            <v>LAS BAMBAS</v>
          </cell>
          <cell r="I1878">
            <v>123791</v>
          </cell>
          <cell r="J1878" t="str">
            <v>REPUESTO</v>
          </cell>
          <cell r="K1878" t="str">
            <v>PERNO 1/4 X 1</v>
          </cell>
          <cell r="L1878">
            <v>4</v>
          </cell>
          <cell r="M1878" t="str">
            <v>UNID.</v>
          </cell>
          <cell r="N1878" t="str">
            <v>TRACTO</v>
          </cell>
          <cell r="O1878">
            <v>87</v>
          </cell>
          <cell r="P1878" t="str">
            <v>M3</v>
          </cell>
          <cell r="Q1878" t="str">
            <v>J1</v>
          </cell>
          <cell r="R1878" t="str">
            <v>J6</v>
          </cell>
          <cell r="S1878" t="str">
            <v>ENTREGADO</v>
          </cell>
          <cell r="T1878">
            <v>0</v>
          </cell>
          <cell r="U1878" t="str">
            <v>GARCIA PASQUEL  JOSE LUIS</v>
          </cell>
          <cell r="V1878" t="str">
            <v>FLOREZ CONDORI  JOSE WILLIANS</v>
          </cell>
        </row>
        <row r="1879">
          <cell r="A1879">
            <v>1863</v>
          </cell>
          <cell r="B1879">
            <v>42703</v>
          </cell>
          <cell r="C1879" t="str">
            <v>NOVIEMBRE</v>
          </cell>
          <cell r="D1879" t="str">
            <v>2016</v>
          </cell>
          <cell r="E1879">
            <v>414</v>
          </cell>
          <cell r="F1879" t="str">
            <v>D3S-764</v>
          </cell>
          <cell r="G1879" t="str">
            <v>TBL-998</v>
          </cell>
          <cell r="H1879" t="str">
            <v>LAS BAMBAS</v>
          </cell>
          <cell r="I1879">
            <v>123791</v>
          </cell>
          <cell r="J1879" t="str">
            <v>REPUESTO</v>
          </cell>
          <cell r="K1879" t="str">
            <v>TUERCA 1/4</v>
          </cell>
          <cell r="L1879">
            <v>4</v>
          </cell>
          <cell r="M1879" t="str">
            <v>UNID.</v>
          </cell>
          <cell r="N1879" t="str">
            <v>TRACTO</v>
          </cell>
          <cell r="O1879">
            <v>87</v>
          </cell>
          <cell r="P1879" t="str">
            <v>M3</v>
          </cell>
          <cell r="Q1879" t="str">
            <v>J1</v>
          </cell>
          <cell r="R1879" t="str">
            <v>J6</v>
          </cell>
          <cell r="S1879" t="str">
            <v>ENTREGADO</v>
          </cell>
          <cell r="T1879">
            <v>0</v>
          </cell>
          <cell r="U1879" t="str">
            <v>GARCIA PASQUEL  JOSE LUIS</v>
          </cell>
          <cell r="V1879" t="str">
            <v>FLOREZ CONDORI  JOSE WILLIANS</v>
          </cell>
        </row>
        <row r="1880">
          <cell r="A1880">
            <v>1864</v>
          </cell>
          <cell r="B1880">
            <v>42703</v>
          </cell>
          <cell r="C1880" t="str">
            <v>NOVIEMBRE</v>
          </cell>
          <cell r="D1880" t="str">
            <v>2016</v>
          </cell>
          <cell r="E1880">
            <v>414</v>
          </cell>
          <cell r="F1880" t="str">
            <v>D3S-764</v>
          </cell>
          <cell r="G1880" t="str">
            <v>TBL-998</v>
          </cell>
          <cell r="H1880" t="str">
            <v>LAS BAMBAS</v>
          </cell>
          <cell r="I1880">
            <v>123791</v>
          </cell>
          <cell r="J1880" t="str">
            <v>REPUESTO</v>
          </cell>
          <cell r="K1880" t="str">
            <v>ARANDELAS PLANAS 1/4</v>
          </cell>
          <cell r="L1880">
            <v>8</v>
          </cell>
          <cell r="M1880" t="str">
            <v>UNID.</v>
          </cell>
          <cell r="N1880" t="str">
            <v>TRACTO</v>
          </cell>
          <cell r="O1880">
            <v>87</v>
          </cell>
          <cell r="P1880" t="str">
            <v>M3</v>
          </cell>
          <cell r="Q1880" t="str">
            <v>J1</v>
          </cell>
          <cell r="R1880" t="str">
            <v>J6</v>
          </cell>
          <cell r="S1880" t="str">
            <v>ENTREGADO</v>
          </cell>
          <cell r="T1880">
            <v>0</v>
          </cell>
          <cell r="U1880" t="str">
            <v>GARCIA PASQUEL  JOSE LUIS</v>
          </cell>
          <cell r="V1880" t="str">
            <v>FLOREZ CONDORI  JOSE WILLIANS</v>
          </cell>
        </row>
        <row r="1881">
          <cell r="A1881">
            <v>1867</v>
          </cell>
          <cell r="B1881">
            <v>42703</v>
          </cell>
          <cell r="C1881" t="str">
            <v>NOVIEMBRE</v>
          </cell>
          <cell r="D1881" t="str">
            <v>2016</v>
          </cell>
          <cell r="E1881">
            <v>414</v>
          </cell>
          <cell r="F1881" t="str">
            <v>D3S-764</v>
          </cell>
          <cell r="G1881" t="str">
            <v>TBL-998</v>
          </cell>
          <cell r="H1881" t="str">
            <v>LAS BAMBAS</v>
          </cell>
          <cell r="I1881">
            <v>123791</v>
          </cell>
          <cell r="J1881" t="str">
            <v>REPUESTO</v>
          </cell>
          <cell r="K1881" t="str">
            <v>CERROJO DE PUERTA LADO IZQUIERDO</v>
          </cell>
          <cell r="L1881">
            <v>1</v>
          </cell>
          <cell r="M1881" t="str">
            <v>UNID.</v>
          </cell>
          <cell r="N1881" t="str">
            <v>TRACTO</v>
          </cell>
          <cell r="O1881">
            <v>87</v>
          </cell>
          <cell r="P1881" t="str">
            <v>J1</v>
          </cell>
          <cell r="Q1881" t="str">
            <v>J1</v>
          </cell>
          <cell r="R1881" t="str">
            <v>J6</v>
          </cell>
          <cell r="S1881" t="str">
            <v>ENTREGADO</v>
          </cell>
          <cell r="T1881">
            <v>0</v>
          </cell>
          <cell r="U1881" t="str">
            <v>FLOREZ CONDORI  JOSE WILLIANS</v>
          </cell>
          <cell r="V1881" t="str">
            <v>FLOREZ CONDORI  JOSE WILLIANS</v>
          </cell>
        </row>
        <row r="1882">
          <cell r="A1882">
            <v>1859</v>
          </cell>
          <cell r="B1882">
            <v>42703</v>
          </cell>
          <cell r="C1882" t="str">
            <v>NOVIEMBRE</v>
          </cell>
          <cell r="D1882" t="str">
            <v>2016</v>
          </cell>
          <cell r="E1882">
            <v>454</v>
          </cell>
          <cell r="F1882" t="str">
            <v>D6G-806</v>
          </cell>
          <cell r="G1882" t="str">
            <v>B8K-998</v>
          </cell>
          <cell r="H1882" t="str">
            <v>LAS BAMBAS</v>
          </cell>
          <cell r="I1882">
            <v>218209</v>
          </cell>
          <cell r="J1882" t="str">
            <v>REPUESTO</v>
          </cell>
          <cell r="K1882" t="str">
            <v>MANGUERA CODO DE TUBO DE AGUA</v>
          </cell>
          <cell r="L1882">
            <v>1</v>
          </cell>
          <cell r="M1882" t="str">
            <v>UNID.</v>
          </cell>
          <cell r="N1882" t="str">
            <v>TRACTO</v>
          </cell>
          <cell r="O1882">
            <v>87</v>
          </cell>
          <cell r="P1882" t="str">
            <v>M5</v>
          </cell>
          <cell r="Q1882" t="str">
            <v>J1</v>
          </cell>
          <cell r="R1882" t="str">
            <v>J6</v>
          </cell>
          <cell r="S1882" t="str">
            <v>ENTREGADO</v>
          </cell>
          <cell r="T1882">
            <v>0</v>
          </cell>
          <cell r="U1882" t="str">
            <v>LOPEZ RUIZ WILBERTO</v>
          </cell>
          <cell r="V1882" t="str">
            <v>FLOREZ CONDORI  JOSE WILLIANS</v>
          </cell>
        </row>
        <row r="1883">
          <cell r="A1883">
            <v>1860</v>
          </cell>
          <cell r="B1883">
            <v>42703</v>
          </cell>
          <cell r="C1883" t="str">
            <v>NOVIEMBRE</v>
          </cell>
          <cell r="D1883" t="str">
            <v>2016</v>
          </cell>
          <cell r="E1883">
            <v>454</v>
          </cell>
          <cell r="F1883" t="str">
            <v>D6G-806</v>
          </cell>
          <cell r="G1883" t="str">
            <v>B8K-998</v>
          </cell>
          <cell r="H1883" t="str">
            <v>LAS BAMBAS</v>
          </cell>
          <cell r="I1883">
            <v>218209</v>
          </cell>
          <cell r="J1883" t="str">
            <v>REPUESTO</v>
          </cell>
          <cell r="K1883" t="str">
            <v>RESORTES DE RACHE A LA BASE DE MACHINBREIK</v>
          </cell>
          <cell r="L1883">
            <v>10</v>
          </cell>
          <cell r="M1883" t="str">
            <v>UNID.</v>
          </cell>
          <cell r="N1883" t="str">
            <v>CISTERNA</v>
          </cell>
          <cell r="O1883">
            <v>87</v>
          </cell>
          <cell r="P1883" t="str">
            <v>M5</v>
          </cell>
          <cell r="Q1883" t="str">
            <v>J1</v>
          </cell>
          <cell r="R1883" t="str">
            <v>J6</v>
          </cell>
          <cell r="S1883" t="str">
            <v>ENTREGADO</v>
          </cell>
          <cell r="T1883">
            <v>0</v>
          </cell>
          <cell r="U1883" t="str">
            <v>LOPEZ RUIZ WILBERTO</v>
          </cell>
          <cell r="V1883" t="str">
            <v>FLOREZ CONDORI  JOSE WILLIANS</v>
          </cell>
        </row>
        <row r="1884">
          <cell r="A1884">
            <v>1866</v>
          </cell>
          <cell r="B1884">
            <v>42703</v>
          </cell>
          <cell r="C1884" t="str">
            <v>NOVIEMBRE</v>
          </cell>
          <cell r="D1884" t="str">
            <v>2016</v>
          </cell>
          <cell r="E1884">
            <v>454</v>
          </cell>
          <cell r="F1884" t="str">
            <v>D6G-806</v>
          </cell>
          <cell r="G1884" t="str">
            <v>B8K-998</v>
          </cell>
          <cell r="H1884" t="str">
            <v>LAS BAMBAS</v>
          </cell>
          <cell r="I1884">
            <v>218209</v>
          </cell>
          <cell r="J1884" t="str">
            <v>REPUESTO</v>
          </cell>
          <cell r="K1884" t="str">
            <v>NIPLE DE REEDUCTOR DE VAPORES 4" A 3" CON ROSCA DE DIAMETRO A 4"</v>
          </cell>
          <cell r="L1884">
            <v>1</v>
          </cell>
          <cell r="M1884" t="str">
            <v>UNID.</v>
          </cell>
          <cell r="N1884" t="str">
            <v>CISTERNA</v>
          </cell>
          <cell r="O1884">
            <v>87</v>
          </cell>
          <cell r="P1884" t="str">
            <v>J7</v>
          </cell>
          <cell r="Q1884" t="str">
            <v>J7</v>
          </cell>
          <cell r="R1884" t="str">
            <v>J6</v>
          </cell>
          <cell r="S1884" t="str">
            <v>ENTREGADO</v>
          </cell>
          <cell r="T1884">
            <v>0</v>
          </cell>
          <cell r="U1884" t="str">
            <v>DONAYRE INGA PEDRO</v>
          </cell>
          <cell r="V1884" t="str">
            <v>DONAYRE INGA PEDRO</v>
          </cell>
        </row>
        <row r="1885">
          <cell r="A1885">
            <v>1879</v>
          </cell>
          <cell r="B1885">
            <v>42703</v>
          </cell>
          <cell r="C1885" t="str">
            <v>NOVIEMBRE</v>
          </cell>
          <cell r="D1885" t="str">
            <v>2016</v>
          </cell>
          <cell r="E1885">
            <v>454</v>
          </cell>
          <cell r="F1885" t="str">
            <v>D6G-806</v>
          </cell>
          <cell r="G1885" t="str">
            <v>B8K-998</v>
          </cell>
          <cell r="H1885" t="str">
            <v>LAS BAMBAS</v>
          </cell>
          <cell r="I1885">
            <v>218209</v>
          </cell>
          <cell r="J1885" t="str">
            <v>REPUESTO</v>
          </cell>
          <cell r="K1885" t="str">
            <v>JUEGO DE ZAPATAS</v>
          </cell>
          <cell r="L1885">
            <v>0.5</v>
          </cell>
          <cell r="M1885" t="str">
            <v>JUEGO</v>
          </cell>
          <cell r="N1885" t="str">
            <v>CISTERNA</v>
          </cell>
          <cell r="O1885">
            <v>87</v>
          </cell>
          <cell r="P1885" t="str">
            <v>M5</v>
          </cell>
          <cell r="Q1885" t="str">
            <v>J2</v>
          </cell>
          <cell r="R1885" t="str">
            <v>J6</v>
          </cell>
          <cell r="S1885" t="str">
            <v>ENTREGADO</v>
          </cell>
          <cell r="T1885">
            <v>0</v>
          </cell>
          <cell r="U1885" t="str">
            <v>LOPEZ RUIZ WILBERTO</v>
          </cell>
          <cell r="V1885" t="str">
            <v>CORIHUAMAN SURCO  ERICK ROBERT</v>
          </cell>
        </row>
        <row r="1886">
          <cell r="A1886">
            <v>1880</v>
          </cell>
          <cell r="B1886">
            <v>42703</v>
          </cell>
          <cell r="C1886" t="str">
            <v>NOVIEMBRE</v>
          </cell>
          <cell r="D1886" t="str">
            <v>2016</v>
          </cell>
          <cell r="E1886">
            <v>454</v>
          </cell>
          <cell r="F1886" t="str">
            <v>D6G-806</v>
          </cell>
          <cell r="G1886" t="str">
            <v>B8K-998</v>
          </cell>
          <cell r="H1886" t="str">
            <v>LAS BAMBAS</v>
          </cell>
          <cell r="I1886">
            <v>218209</v>
          </cell>
          <cell r="J1886" t="str">
            <v>REPUESTO</v>
          </cell>
          <cell r="K1886" t="str">
            <v>RESORTES GRANDES PARA ZAPATAS</v>
          </cell>
          <cell r="L1886">
            <v>1</v>
          </cell>
          <cell r="M1886" t="str">
            <v>UNID.</v>
          </cell>
          <cell r="N1886" t="str">
            <v>CISTERNA</v>
          </cell>
          <cell r="O1886">
            <v>87</v>
          </cell>
          <cell r="P1886" t="str">
            <v>M5</v>
          </cell>
          <cell r="Q1886" t="str">
            <v>J2</v>
          </cell>
          <cell r="R1886" t="str">
            <v>J6</v>
          </cell>
          <cell r="S1886" t="str">
            <v>ENTREGADO</v>
          </cell>
          <cell r="T1886">
            <v>0</v>
          </cell>
          <cell r="U1886" t="str">
            <v>LOPEZ RUIZ WILBERTO</v>
          </cell>
          <cell r="V1886" t="str">
            <v>CORIHUAMAN SURCO  ERICK ROBERT</v>
          </cell>
        </row>
        <row r="1887">
          <cell r="A1887">
            <v>1881</v>
          </cell>
          <cell r="B1887">
            <v>42703</v>
          </cell>
          <cell r="C1887" t="str">
            <v>NOVIEMBRE</v>
          </cell>
          <cell r="D1887" t="str">
            <v>2016</v>
          </cell>
          <cell r="E1887">
            <v>454</v>
          </cell>
          <cell r="F1887" t="str">
            <v>D6G-806</v>
          </cell>
          <cell r="G1887" t="str">
            <v>B8K-998</v>
          </cell>
          <cell r="H1887" t="str">
            <v>LAS BAMBAS</v>
          </cell>
          <cell r="I1887">
            <v>218209</v>
          </cell>
          <cell r="J1887" t="str">
            <v>REPUESTO</v>
          </cell>
          <cell r="K1887" t="str">
            <v>RESORTES CHICOS PARA ZAPATA</v>
          </cell>
          <cell r="L1887">
            <v>2</v>
          </cell>
          <cell r="M1887" t="str">
            <v>UNID.</v>
          </cell>
          <cell r="N1887" t="str">
            <v>CISTERNA</v>
          </cell>
          <cell r="O1887">
            <v>87</v>
          </cell>
          <cell r="P1887" t="str">
            <v>M5</v>
          </cell>
          <cell r="Q1887" t="str">
            <v>J2</v>
          </cell>
          <cell r="R1887" t="str">
            <v>J6</v>
          </cell>
          <cell r="S1887" t="str">
            <v>ENTREGADO</v>
          </cell>
          <cell r="T1887">
            <v>0</v>
          </cell>
          <cell r="U1887" t="str">
            <v>LOPEZ RUIZ WILBERTO</v>
          </cell>
          <cell r="V1887" t="str">
            <v>CORIHUAMAN SURCO  ERICK ROBERT</v>
          </cell>
        </row>
        <row r="1888">
          <cell r="A1888">
            <v>1823</v>
          </cell>
          <cell r="B1888">
            <v>42703</v>
          </cell>
          <cell r="C1888" t="str">
            <v>NOVIEMBRE</v>
          </cell>
          <cell r="D1888" t="str">
            <v>2016</v>
          </cell>
          <cell r="E1888">
            <v>200</v>
          </cell>
          <cell r="F1888" t="str">
            <v>TALLER</v>
          </cell>
          <cell r="G1888" t="str">
            <v>TALLER</v>
          </cell>
          <cell r="H1888" t="str">
            <v>TALLER</v>
          </cell>
          <cell r="I1888" t="str">
            <v>TALLER</v>
          </cell>
          <cell r="J1888" t="str">
            <v>INSUMO TALLER</v>
          </cell>
          <cell r="K1888" t="str">
            <v>PLUMON COLOR NEGRO</v>
          </cell>
          <cell r="L1888">
            <v>1</v>
          </cell>
          <cell r="M1888" t="str">
            <v>UNID.</v>
          </cell>
          <cell r="N1888" t="str">
            <v>TALLER</v>
          </cell>
          <cell r="O1888">
            <v>87</v>
          </cell>
          <cell r="P1888" t="str">
            <v>N1</v>
          </cell>
          <cell r="Q1888" t="str">
            <v>J1</v>
          </cell>
          <cell r="R1888" t="str">
            <v>J5</v>
          </cell>
          <cell r="S1888" t="str">
            <v>ENTREGADO</v>
          </cell>
          <cell r="T1888">
            <v>0</v>
          </cell>
          <cell r="U1888" t="str">
            <v>AGUILAR CCANTUTA WILLY</v>
          </cell>
          <cell r="V1888" t="str">
            <v>FLOREZ CONDORI  JOSE WILLIANS</v>
          </cell>
        </row>
        <row r="1889">
          <cell r="A1889">
            <v>1827</v>
          </cell>
          <cell r="B1889">
            <v>42703</v>
          </cell>
          <cell r="C1889" t="str">
            <v>NOVIEMBRE</v>
          </cell>
          <cell r="D1889" t="str">
            <v>2016</v>
          </cell>
          <cell r="E1889">
            <v>200</v>
          </cell>
          <cell r="F1889" t="str">
            <v>TALLER</v>
          </cell>
          <cell r="G1889" t="str">
            <v>TALLER</v>
          </cell>
          <cell r="H1889" t="str">
            <v>TALLER</v>
          </cell>
          <cell r="I1889" t="str">
            <v>TALLER</v>
          </cell>
          <cell r="J1889" t="str">
            <v>INSUMO TALLER</v>
          </cell>
          <cell r="K1889" t="str">
            <v>SUPERCITO 1/8</v>
          </cell>
          <cell r="L1889">
            <v>2.5</v>
          </cell>
          <cell r="M1889" t="str">
            <v>KG.</v>
          </cell>
          <cell r="N1889" t="str">
            <v>TALLER</v>
          </cell>
          <cell r="O1889">
            <v>87</v>
          </cell>
          <cell r="P1889" t="str">
            <v>S3</v>
          </cell>
          <cell r="Q1889" t="str">
            <v>J1</v>
          </cell>
          <cell r="R1889" t="str">
            <v>J6</v>
          </cell>
          <cell r="S1889" t="str">
            <v>ENTREGADO</v>
          </cell>
          <cell r="T1889">
            <v>0</v>
          </cell>
          <cell r="U1889" t="str">
            <v>JIMENEZ MACHACA JAVIER</v>
          </cell>
          <cell r="V1889" t="str">
            <v>FLOREZ CONDORI  JOSE WILLIANS</v>
          </cell>
        </row>
        <row r="1890">
          <cell r="A1890">
            <v>1828</v>
          </cell>
          <cell r="B1890">
            <v>42703</v>
          </cell>
          <cell r="C1890" t="str">
            <v>NOVIEMBRE</v>
          </cell>
          <cell r="D1890" t="str">
            <v>2016</v>
          </cell>
          <cell r="E1890">
            <v>200</v>
          </cell>
          <cell r="F1890" t="str">
            <v>TALLER</v>
          </cell>
          <cell r="G1890" t="str">
            <v>TALLER</v>
          </cell>
          <cell r="H1890" t="str">
            <v>TALLER</v>
          </cell>
          <cell r="I1890" t="str">
            <v>TALLER</v>
          </cell>
          <cell r="J1890" t="str">
            <v>INSUMO TALLER</v>
          </cell>
          <cell r="K1890" t="str">
            <v>CELLORCOD 1/8</v>
          </cell>
          <cell r="L1890">
            <v>2.5</v>
          </cell>
          <cell r="M1890" t="str">
            <v>KG.</v>
          </cell>
          <cell r="N1890" t="str">
            <v>TALLER</v>
          </cell>
          <cell r="O1890">
            <v>87</v>
          </cell>
          <cell r="P1890" t="str">
            <v>S3</v>
          </cell>
          <cell r="Q1890" t="str">
            <v>J1</v>
          </cell>
          <cell r="R1890" t="str">
            <v>J6</v>
          </cell>
          <cell r="S1890" t="str">
            <v>ENTREGADO</v>
          </cell>
          <cell r="T1890">
            <v>0</v>
          </cell>
          <cell r="U1890" t="str">
            <v>JIMENEZ MACHACA JAVIER</v>
          </cell>
          <cell r="V1890" t="str">
            <v>FLOREZ CONDORI  JOSE WILLIANS</v>
          </cell>
        </row>
        <row r="1891">
          <cell r="A1891">
            <v>1830</v>
          </cell>
          <cell r="B1891">
            <v>42703</v>
          </cell>
          <cell r="C1891" t="str">
            <v>NOVIEMBRE</v>
          </cell>
          <cell r="D1891" t="str">
            <v>2016</v>
          </cell>
          <cell r="E1891">
            <v>200</v>
          </cell>
          <cell r="F1891" t="str">
            <v>TALLER</v>
          </cell>
          <cell r="G1891" t="str">
            <v>TALLER</v>
          </cell>
          <cell r="H1891" t="str">
            <v>TALLER</v>
          </cell>
          <cell r="I1891" t="str">
            <v>TALLER</v>
          </cell>
          <cell r="J1891" t="str">
            <v>INSUMO TALLER</v>
          </cell>
          <cell r="K1891" t="str">
            <v>AFLOJATODO</v>
          </cell>
          <cell r="L1891">
            <v>1</v>
          </cell>
          <cell r="M1891" t="str">
            <v>UNID.</v>
          </cell>
          <cell r="N1891" t="str">
            <v>TALLER</v>
          </cell>
          <cell r="O1891">
            <v>87</v>
          </cell>
          <cell r="P1891" t="str">
            <v>N2</v>
          </cell>
          <cell r="Q1891" t="str">
            <v>J3</v>
          </cell>
          <cell r="R1891" t="str">
            <v>J6</v>
          </cell>
          <cell r="S1891" t="str">
            <v>ENTREGADO</v>
          </cell>
          <cell r="T1891">
            <v>0</v>
          </cell>
          <cell r="U1891" t="str">
            <v>MAMANI LARICO  EDUARDO ALVARO</v>
          </cell>
          <cell r="V1891" t="str">
            <v>CHURA PIZARRO ALBERTO</v>
          </cell>
        </row>
        <row r="1892">
          <cell r="A1892">
            <v>1831</v>
          </cell>
          <cell r="B1892">
            <v>42703</v>
          </cell>
          <cell r="C1892" t="str">
            <v>NOVIEMBRE</v>
          </cell>
          <cell r="D1892" t="str">
            <v>2016</v>
          </cell>
          <cell r="E1892">
            <v>200</v>
          </cell>
          <cell r="F1892" t="str">
            <v>TALLER</v>
          </cell>
          <cell r="G1892" t="str">
            <v>TALLER</v>
          </cell>
          <cell r="H1892" t="str">
            <v>TALLER</v>
          </cell>
          <cell r="I1892" t="str">
            <v>TALLER</v>
          </cell>
          <cell r="J1892" t="str">
            <v>MATERIALES</v>
          </cell>
          <cell r="K1892" t="str">
            <v>LUNAS CLARAS</v>
          </cell>
          <cell r="L1892">
            <v>2</v>
          </cell>
          <cell r="M1892" t="str">
            <v>UNID.</v>
          </cell>
          <cell r="N1892" t="str">
            <v>TALLER</v>
          </cell>
          <cell r="O1892">
            <v>87</v>
          </cell>
          <cell r="P1892" t="str">
            <v>S4</v>
          </cell>
          <cell r="Q1892" t="str">
            <v>J1</v>
          </cell>
          <cell r="R1892" t="str">
            <v>J6</v>
          </cell>
          <cell r="S1892" t="str">
            <v>ENTREGADO</v>
          </cell>
          <cell r="T1892">
            <v>0</v>
          </cell>
          <cell r="U1892" t="str">
            <v>SURCO QUISPE JOHNNY</v>
          </cell>
          <cell r="V1892" t="str">
            <v>FLOREZ CONDORI  JOSE WILLIANS</v>
          </cell>
        </row>
        <row r="1893">
          <cell r="A1893">
            <v>1832</v>
          </cell>
          <cell r="B1893">
            <v>42703</v>
          </cell>
          <cell r="C1893" t="str">
            <v>NOVIEMBRE</v>
          </cell>
          <cell r="D1893" t="str">
            <v>2016</v>
          </cell>
          <cell r="E1893">
            <v>200</v>
          </cell>
          <cell r="F1893" t="str">
            <v>TALLER</v>
          </cell>
          <cell r="G1893" t="str">
            <v>TALLER</v>
          </cell>
          <cell r="H1893" t="str">
            <v>TALLER</v>
          </cell>
          <cell r="I1893" t="str">
            <v>TALLER</v>
          </cell>
          <cell r="J1893" t="str">
            <v>MATERIALES</v>
          </cell>
          <cell r="K1893" t="str">
            <v>LUNAS CLARAS</v>
          </cell>
          <cell r="L1893">
            <v>2</v>
          </cell>
          <cell r="M1893" t="str">
            <v>UNID.</v>
          </cell>
          <cell r="N1893" t="str">
            <v>TALLER</v>
          </cell>
          <cell r="O1893">
            <v>87</v>
          </cell>
          <cell r="P1893" t="str">
            <v>S3</v>
          </cell>
          <cell r="Q1893" t="str">
            <v>J1</v>
          </cell>
          <cell r="R1893" t="str">
            <v>J6</v>
          </cell>
          <cell r="S1893" t="str">
            <v>ENTREGADO</v>
          </cell>
          <cell r="T1893">
            <v>0</v>
          </cell>
          <cell r="U1893" t="str">
            <v>JIMENEZ MACHACA JAVIER</v>
          </cell>
          <cell r="V1893" t="str">
            <v>FLOREZ CONDORI  JOSE WILLIANS</v>
          </cell>
        </row>
        <row r="1894">
          <cell r="A1894">
            <v>1833</v>
          </cell>
          <cell r="B1894">
            <v>42703</v>
          </cell>
          <cell r="C1894" t="str">
            <v>NOVIEMBRE</v>
          </cell>
          <cell r="D1894" t="str">
            <v>2016</v>
          </cell>
          <cell r="E1894">
            <v>200</v>
          </cell>
          <cell r="F1894" t="str">
            <v>TALLER</v>
          </cell>
          <cell r="G1894" t="str">
            <v>TALLER</v>
          </cell>
          <cell r="H1894" t="str">
            <v>TALLER</v>
          </cell>
          <cell r="I1894" t="str">
            <v>TALLER</v>
          </cell>
          <cell r="J1894" t="str">
            <v>MATERIALES</v>
          </cell>
          <cell r="K1894" t="str">
            <v>LUNAS OSCURAS NRO. 12</v>
          </cell>
          <cell r="L1894">
            <v>1</v>
          </cell>
          <cell r="M1894" t="str">
            <v>UNID.</v>
          </cell>
          <cell r="N1894" t="str">
            <v>TALLER</v>
          </cell>
          <cell r="O1894">
            <v>87</v>
          </cell>
          <cell r="P1894" t="str">
            <v>S3</v>
          </cell>
          <cell r="Q1894" t="str">
            <v>J1</v>
          </cell>
          <cell r="R1894" t="str">
            <v>J6</v>
          </cell>
          <cell r="S1894" t="str">
            <v>ENTREGADO</v>
          </cell>
          <cell r="T1894">
            <v>0</v>
          </cell>
          <cell r="U1894" t="str">
            <v>JIMENEZ MACHACA JAVIER</v>
          </cell>
          <cell r="V1894" t="str">
            <v>FLOREZ CONDORI  JOSE WILLIANS</v>
          </cell>
        </row>
        <row r="1895">
          <cell r="A1895">
            <v>1834</v>
          </cell>
          <cell r="B1895">
            <v>42703</v>
          </cell>
          <cell r="C1895" t="str">
            <v>NOVIEMBRE</v>
          </cell>
          <cell r="D1895" t="str">
            <v>2016</v>
          </cell>
          <cell r="E1895">
            <v>200</v>
          </cell>
          <cell r="F1895" t="str">
            <v>TALLER</v>
          </cell>
          <cell r="G1895" t="str">
            <v>TALLER</v>
          </cell>
          <cell r="H1895" t="str">
            <v>TALLER</v>
          </cell>
          <cell r="I1895" t="str">
            <v>TALLER</v>
          </cell>
          <cell r="J1895" t="str">
            <v>INSUMO TALLER</v>
          </cell>
          <cell r="K1895" t="str">
            <v>AFLOJATODO</v>
          </cell>
          <cell r="L1895">
            <v>1</v>
          </cell>
          <cell r="M1895" t="str">
            <v>UNID.</v>
          </cell>
          <cell r="N1895" t="str">
            <v>TALLER</v>
          </cell>
          <cell r="O1895">
            <v>87</v>
          </cell>
          <cell r="P1895" t="str">
            <v>M7</v>
          </cell>
          <cell r="Q1895" t="str">
            <v>J1</v>
          </cell>
          <cell r="R1895" t="str">
            <v>J6</v>
          </cell>
          <cell r="S1895" t="str">
            <v>ENTREGADO</v>
          </cell>
          <cell r="T1895">
            <v>0</v>
          </cell>
          <cell r="U1895" t="str">
            <v>ROBLES ROJAS  JOSE MIGUEL</v>
          </cell>
          <cell r="V1895" t="str">
            <v>FLOREZ CONDORI  JOSE WILLIANS</v>
          </cell>
        </row>
        <row r="1896">
          <cell r="A1896">
            <v>1836</v>
          </cell>
          <cell r="B1896">
            <v>42703</v>
          </cell>
          <cell r="C1896" t="str">
            <v>NOVIEMBRE</v>
          </cell>
          <cell r="D1896" t="str">
            <v>2016</v>
          </cell>
          <cell r="E1896">
            <v>200</v>
          </cell>
          <cell r="F1896" t="str">
            <v>TALLER</v>
          </cell>
          <cell r="G1896" t="str">
            <v>TALLER</v>
          </cell>
          <cell r="H1896" t="str">
            <v>TALLER</v>
          </cell>
          <cell r="I1896" t="str">
            <v>TALLER</v>
          </cell>
          <cell r="J1896" t="str">
            <v>INSUMO TALLER</v>
          </cell>
          <cell r="K1896" t="str">
            <v>PLANCHA 5/16 X 4 X 8</v>
          </cell>
          <cell r="L1896">
            <v>1</v>
          </cell>
          <cell r="M1896" t="str">
            <v>UNID.</v>
          </cell>
          <cell r="N1896" t="str">
            <v>TALLER</v>
          </cell>
          <cell r="O1896">
            <v>87</v>
          </cell>
          <cell r="P1896" t="str">
            <v>S2</v>
          </cell>
          <cell r="Q1896" t="str">
            <v>J1</v>
          </cell>
          <cell r="R1896" t="str">
            <v>J5</v>
          </cell>
          <cell r="S1896" t="str">
            <v>PENDIENTE</v>
          </cell>
          <cell r="T1896">
            <v>0</v>
          </cell>
          <cell r="U1896" t="str">
            <v>PALOMINO ESTRADA  MICHEL</v>
          </cell>
          <cell r="V1896" t="str">
            <v>FLOREZ CONDORI  JOSE WILLIANS</v>
          </cell>
        </row>
        <row r="1897">
          <cell r="A1897">
            <v>1843</v>
          </cell>
          <cell r="B1897">
            <v>42703</v>
          </cell>
          <cell r="C1897" t="str">
            <v>NOVIEMBRE</v>
          </cell>
          <cell r="D1897" t="str">
            <v>2016</v>
          </cell>
          <cell r="E1897">
            <v>200</v>
          </cell>
          <cell r="F1897" t="str">
            <v>TALLER</v>
          </cell>
          <cell r="G1897" t="str">
            <v>TALLER</v>
          </cell>
          <cell r="H1897" t="str">
            <v>TALLER</v>
          </cell>
          <cell r="I1897" t="str">
            <v>TALLER</v>
          </cell>
          <cell r="J1897" t="str">
            <v>INSUMO TALLER</v>
          </cell>
          <cell r="K1897" t="str">
            <v>CINTA NEGRA</v>
          </cell>
          <cell r="L1897">
            <v>1</v>
          </cell>
          <cell r="M1897" t="str">
            <v>UNID.</v>
          </cell>
          <cell r="N1897" t="str">
            <v>TALLER</v>
          </cell>
          <cell r="O1897">
            <v>87</v>
          </cell>
          <cell r="P1897" t="str">
            <v>E2</v>
          </cell>
          <cell r="Q1897" t="str">
            <v>J1</v>
          </cell>
          <cell r="R1897" t="str">
            <v>J6</v>
          </cell>
          <cell r="S1897" t="str">
            <v>ENTREGADO</v>
          </cell>
          <cell r="T1897">
            <v>0</v>
          </cell>
          <cell r="U1897" t="str">
            <v>YUCA BELLIDO BORIS YERSY</v>
          </cell>
          <cell r="V1897" t="str">
            <v>FLOREZ CONDORI  JOSE WILLIANS</v>
          </cell>
        </row>
        <row r="1898">
          <cell r="A1898">
            <v>1844</v>
          </cell>
          <cell r="B1898">
            <v>42703</v>
          </cell>
          <cell r="C1898" t="str">
            <v>NOVIEMBRE</v>
          </cell>
          <cell r="D1898" t="str">
            <v>2016</v>
          </cell>
          <cell r="E1898">
            <v>200</v>
          </cell>
          <cell r="F1898" t="str">
            <v>TALLER</v>
          </cell>
          <cell r="G1898" t="str">
            <v>TALLER</v>
          </cell>
          <cell r="H1898" t="str">
            <v>TALLER</v>
          </cell>
          <cell r="I1898" t="str">
            <v>TALLER</v>
          </cell>
          <cell r="J1898" t="str">
            <v>INSUMO TALLER</v>
          </cell>
          <cell r="K1898" t="str">
            <v>PRESINTOS 300</v>
          </cell>
          <cell r="L1898">
            <v>10</v>
          </cell>
          <cell r="M1898" t="str">
            <v>UNID.</v>
          </cell>
          <cell r="N1898" t="str">
            <v>CISTERNA</v>
          </cell>
          <cell r="O1898">
            <v>87</v>
          </cell>
          <cell r="P1898" t="str">
            <v>E2</v>
          </cell>
          <cell r="Q1898" t="str">
            <v>J1</v>
          </cell>
          <cell r="R1898" t="str">
            <v>J6</v>
          </cell>
          <cell r="S1898" t="str">
            <v>ENTREGADO</v>
          </cell>
          <cell r="T1898">
            <v>0</v>
          </cell>
          <cell r="U1898" t="str">
            <v>YUCA BELLIDO BORIS YERSY</v>
          </cell>
          <cell r="V1898" t="str">
            <v>FLOREZ CONDORI  JOSE WILLIANS</v>
          </cell>
        </row>
        <row r="1899">
          <cell r="A1899">
            <v>1845</v>
          </cell>
          <cell r="B1899">
            <v>42703</v>
          </cell>
          <cell r="C1899" t="str">
            <v>NOVIEMBRE</v>
          </cell>
          <cell r="D1899" t="str">
            <v>2016</v>
          </cell>
          <cell r="E1899">
            <v>200</v>
          </cell>
          <cell r="F1899" t="str">
            <v>TALLER</v>
          </cell>
          <cell r="G1899" t="str">
            <v>TALLER</v>
          </cell>
          <cell r="H1899" t="str">
            <v>TALLER</v>
          </cell>
          <cell r="I1899" t="str">
            <v>TALLER</v>
          </cell>
          <cell r="J1899" t="str">
            <v>INSUMO TALLER</v>
          </cell>
          <cell r="K1899" t="str">
            <v>TUBO CORRUGDADO 3/8</v>
          </cell>
          <cell r="L1899">
            <v>2</v>
          </cell>
          <cell r="M1899" t="str">
            <v>M</v>
          </cell>
          <cell r="N1899" t="str">
            <v>CISTERNA</v>
          </cell>
          <cell r="O1899">
            <v>87</v>
          </cell>
          <cell r="P1899" t="str">
            <v>E2</v>
          </cell>
          <cell r="Q1899" t="str">
            <v>J1</v>
          </cell>
          <cell r="R1899" t="str">
            <v>J6</v>
          </cell>
          <cell r="S1899" t="str">
            <v>ENTREGADO</v>
          </cell>
          <cell r="T1899">
            <v>0</v>
          </cell>
          <cell r="U1899" t="str">
            <v>YUCA BELLIDO BORIS YERSY</v>
          </cell>
          <cell r="V1899" t="str">
            <v>FLOREZ CONDORI  JOSE WILLIANS</v>
          </cell>
        </row>
        <row r="1900">
          <cell r="A1900">
            <v>1846</v>
          </cell>
          <cell r="B1900">
            <v>42703</v>
          </cell>
          <cell r="C1900" t="str">
            <v>NOVIEMBRE</v>
          </cell>
          <cell r="D1900" t="str">
            <v>2016</v>
          </cell>
          <cell r="E1900">
            <v>200</v>
          </cell>
          <cell r="F1900" t="str">
            <v>TALLER</v>
          </cell>
          <cell r="G1900" t="str">
            <v>TALLER</v>
          </cell>
          <cell r="H1900" t="str">
            <v>TALLER</v>
          </cell>
          <cell r="I1900" t="str">
            <v>TALLER</v>
          </cell>
          <cell r="J1900" t="str">
            <v>INSUMO TALLER</v>
          </cell>
          <cell r="K1900" t="str">
            <v>FUSIBLE DE 10 AMP GRANDE</v>
          </cell>
          <cell r="L1900">
            <v>1</v>
          </cell>
          <cell r="M1900" t="str">
            <v>UNID.</v>
          </cell>
          <cell r="N1900" t="str">
            <v>TRACTO</v>
          </cell>
          <cell r="O1900">
            <v>87</v>
          </cell>
          <cell r="P1900" t="str">
            <v>E2</v>
          </cell>
          <cell r="Q1900" t="str">
            <v>J1</v>
          </cell>
          <cell r="R1900" t="str">
            <v>J6</v>
          </cell>
          <cell r="S1900" t="str">
            <v>ENTREGADO</v>
          </cell>
          <cell r="T1900">
            <v>0</v>
          </cell>
          <cell r="U1900" t="str">
            <v>YUCA BELLIDO BORIS YERSY</v>
          </cell>
          <cell r="V1900" t="str">
            <v>FLOREZ CONDORI  JOSE WILLIANS</v>
          </cell>
        </row>
        <row r="1901">
          <cell r="A1901">
            <v>1861</v>
          </cell>
          <cell r="B1901">
            <v>42703</v>
          </cell>
          <cell r="C1901" t="str">
            <v>NOVIEMBRE</v>
          </cell>
          <cell r="D1901" t="str">
            <v>2016</v>
          </cell>
          <cell r="E1901">
            <v>200</v>
          </cell>
          <cell r="F1901" t="str">
            <v>TALLER</v>
          </cell>
          <cell r="G1901" t="str">
            <v>TALLER</v>
          </cell>
          <cell r="H1901" t="str">
            <v>TALLER</v>
          </cell>
          <cell r="I1901" t="str">
            <v>TALLER</v>
          </cell>
          <cell r="J1901" t="str">
            <v>REPUESTO</v>
          </cell>
          <cell r="K1901" t="str">
            <v>PINZAS PORTAELECTRODOS (TENAZAS)</v>
          </cell>
          <cell r="L1901">
            <v>2</v>
          </cell>
          <cell r="M1901" t="str">
            <v>UNID.</v>
          </cell>
          <cell r="N1901" t="str">
            <v>TALLER</v>
          </cell>
          <cell r="O1901">
            <v>87</v>
          </cell>
          <cell r="P1901" t="str">
            <v>j0</v>
          </cell>
          <cell r="Q1901" t="str">
            <v>j0</v>
          </cell>
          <cell r="R1901" t="str">
            <v>j6</v>
          </cell>
          <cell r="S1901" t="str">
            <v>PENDIENTE</v>
          </cell>
          <cell r="T1901">
            <v>0</v>
          </cell>
          <cell r="U1901" t="e">
            <v>#N/A</v>
          </cell>
          <cell r="V1901" t="e">
            <v>#N/A</v>
          </cell>
        </row>
        <row r="1902">
          <cell r="A1902">
            <v>1869</v>
          </cell>
          <cell r="B1902">
            <v>42703</v>
          </cell>
          <cell r="C1902" t="str">
            <v>NOVIEMBRE</v>
          </cell>
          <cell r="D1902" t="str">
            <v>2016</v>
          </cell>
          <cell r="E1902">
            <v>200</v>
          </cell>
          <cell r="F1902" t="str">
            <v>TALLER</v>
          </cell>
          <cell r="G1902" t="str">
            <v>TALLER</v>
          </cell>
          <cell r="H1902" t="str">
            <v>TALLER</v>
          </cell>
          <cell r="I1902" t="str">
            <v>TALLER</v>
          </cell>
          <cell r="J1902" t="str">
            <v>REPUESTO</v>
          </cell>
          <cell r="K1902" t="str">
            <v>CINTA AISLANTE NEGRA</v>
          </cell>
          <cell r="L1902">
            <v>1</v>
          </cell>
          <cell r="M1902" t="str">
            <v>UNID.</v>
          </cell>
          <cell r="N1902" t="str">
            <v>TRACTO</v>
          </cell>
          <cell r="O1902">
            <v>87</v>
          </cell>
          <cell r="P1902" t="str">
            <v>J1</v>
          </cell>
          <cell r="Q1902" t="str">
            <v>J1</v>
          </cell>
          <cell r="R1902" t="str">
            <v>J6</v>
          </cell>
          <cell r="S1902" t="str">
            <v>ENTREGADO</v>
          </cell>
          <cell r="T1902">
            <v>0</v>
          </cell>
          <cell r="U1902" t="str">
            <v>FLOREZ CONDORI  JOSE WILLIANS</v>
          </cell>
          <cell r="V1902" t="str">
            <v>FLOREZ CONDORI  JOSE WILLIANS</v>
          </cell>
        </row>
        <row r="1903">
          <cell r="A1903">
            <v>1920</v>
          </cell>
          <cell r="B1903">
            <v>42704</v>
          </cell>
          <cell r="C1903" t="str">
            <v>NOVIEMBRE</v>
          </cell>
          <cell r="D1903" t="str">
            <v>2016</v>
          </cell>
          <cell r="E1903">
            <v>446</v>
          </cell>
          <cell r="F1903" t="str">
            <v>A5O-859</v>
          </cell>
          <cell r="G1903" t="str">
            <v>B6Y-971</v>
          </cell>
          <cell r="H1903" t="str">
            <v>LAS BAMBAS</v>
          </cell>
          <cell r="I1903">
            <v>115729</v>
          </cell>
          <cell r="J1903" t="str">
            <v>REPUESTO</v>
          </cell>
          <cell r="K1903" t="str">
            <v>MATACHISPA</v>
          </cell>
          <cell r="L1903">
            <v>1</v>
          </cell>
          <cell r="M1903" t="str">
            <v>UNID.</v>
          </cell>
          <cell r="N1903" t="str">
            <v>TRACTO</v>
          </cell>
          <cell r="O1903">
            <v>0</v>
          </cell>
          <cell r="P1903" t="str">
            <v>J2</v>
          </cell>
          <cell r="Q1903" t="str">
            <v>J2</v>
          </cell>
          <cell r="R1903" t="str">
            <v>J6</v>
          </cell>
          <cell r="S1903" t="str">
            <v>ENTREGADO</v>
          </cell>
          <cell r="T1903">
            <v>42704</v>
          </cell>
          <cell r="U1903" t="str">
            <v>CORIHUAMAN SURCO  ERICK ROBERT</v>
          </cell>
          <cell r="V1903" t="str">
            <v>CORIHUAMAN SURCO  ERICK ROBERT</v>
          </cell>
        </row>
        <row r="1904">
          <cell r="A1904">
            <v>1921</v>
          </cell>
          <cell r="B1904">
            <v>42704</v>
          </cell>
          <cell r="C1904" t="str">
            <v>NOVIEMBRE</v>
          </cell>
          <cell r="D1904" t="str">
            <v>2016</v>
          </cell>
          <cell r="E1904">
            <v>482</v>
          </cell>
          <cell r="F1904" t="str">
            <v>ABQ-703</v>
          </cell>
          <cell r="G1904" t="str">
            <v>D0Z-994</v>
          </cell>
          <cell r="H1904" t="str">
            <v>LAS BAMBAS</v>
          </cell>
          <cell r="I1904">
            <v>99880</v>
          </cell>
          <cell r="J1904" t="str">
            <v>REPUESTO</v>
          </cell>
          <cell r="K1904" t="str">
            <v>LLANTAS NUEVAS</v>
          </cell>
          <cell r="L1904">
            <v>12</v>
          </cell>
          <cell r="M1904" t="str">
            <v>UNID.</v>
          </cell>
          <cell r="N1904" t="str">
            <v>CISTERNA</v>
          </cell>
          <cell r="O1904">
            <v>0</v>
          </cell>
          <cell r="P1904" t="str">
            <v>J3</v>
          </cell>
          <cell r="Q1904" t="str">
            <v>J3</v>
          </cell>
          <cell r="R1904" t="str">
            <v>J6</v>
          </cell>
          <cell r="S1904" t="str">
            <v>ENTREGADO</v>
          </cell>
          <cell r="T1904">
            <v>42704</v>
          </cell>
          <cell r="U1904" t="str">
            <v>CHURA PIZARRO ALBERTO</v>
          </cell>
          <cell r="V1904" t="str">
            <v>CHURA PIZARRO ALBERTO</v>
          </cell>
        </row>
        <row r="1905">
          <cell r="A1905">
            <v>1919</v>
          </cell>
          <cell r="B1905">
            <v>42704</v>
          </cell>
          <cell r="C1905" t="str">
            <v>NOVIEMBRE</v>
          </cell>
          <cell r="D1905" t="str">
            <v>2016</v>
          </cell>
          <cell r="E1905">
            <v>457</v>
          </cell>
          <cell r="F1905" t="str">
            <v>ABR-741</v>
          </cell>
          <cell r="G1905" t="str">
            <v>T3N-974</v>
          </cell>
          <cell r="H1905" t="str">
            <v>LAS BAMBAS</v>
          </cell>
          <cell r="I1905">
            <v>107227</v>
          </cell>
          <cell r="J1905" t="str">
            <v>REPUESTO</v>
          </cell>
          <cell r="K1905" t="str">
            <v>SOPORTE DE CARDAN</v>
          </cell>
          <cell r="L1905">
            <v>1</v>
          </cell>
          <cell r="M1905" t="str">
            <v>UNID.</v>
          </cell>
          <cell r="N1905" t="str">
            <v>TRACTO</v>
          </cell>
          <cell r="O1905">
            <v>0</v>
          </cell>
          <cell r="P1905" t="str">
            <v>J2</v>
          </cell>
          <cell r="Q1905" t="str">
            <v>J2</v>
          </cell>
          <cell r="R1905" t="str">
            <v>J6</v>
          </cell>
          <cell r="S1905" t="str">
            <v>ENTREGADO</v>
          </cell>
          <cell r="T1905">
            <v>42704</v>
          </cell>
          <cell r="U1905" t="str">
            <v>CORIHUAMAN SURCO  ERICK ROBERT</v>
          </cell>
          <cell r="V1905" t="str">
            <v>CORIHUAMAN SURCO  ERICK ROBERT</v>
          </cell>
        </row>
        <row r="1906">
          <cell r="A1906">
            <v>1957</v>
          </cell>
          <cell r="B1906">
            <v>42704</v>
          </cell>
          <cell r="C1906" t="str">
            <v>NOVIEMBRE</v>
          </cell>
          <cell r="D1906" t="str">
            <v>2016</v>
          </cell>
          <cell r="E1906">
            <v>375</v>
          </cell>
          <cell r="F1906" t="str">
            <v>AEH-862</v>
          </cell>
          <cell r="G1906" t="str">
            <v>CAMIONETA</v>
          </cell>
          <cell r="H1906" t="str">
            <v>LAS BAMBAS</v>
          </cell>
          <cell r="I1906">
            <v>95175</v>
          </cell>
          <cell r="J1906" t="str">
            <v>REPUESTO</v>
          </cell>
          <cell r="K1906" t="str">
            <v>CRUZETA DEEJE DE CARDAN</v>
          </cell>
          <cell r="L1906">
            <v>2</v>
          </cell>
          <cell r="M1906" t="str">
            <v>UNID.</v>
          </cell>
          <cell r="N1906" t="str">
            <v>CAMIONETA</v>
          </cell>
          <cell r="O1906">
            <v>86</v>
          </cell>
          <cell r="P1906" t="str">
            <v>M6</v>
          </cell>
          <cell r="Q1906" t="str">
            <v>J1</v>
          </cell>
          <cell r="R1906" t="str">
            <v>J6</v>
          </cell>
          <cell r="S1906" t="str">
            <v>ENTREGADO</v>
          </cell>
          <cell r="T1906">
            <v>0</v>
          </cell>
          <cell r="U1906" t="str">
            <v>PARI VENTURA  EDSON ORLANDO</v>
          </cell>
          <cell r="V1906" t="str">
            <v>FLOREZ CONDORI  JOSE WILLIANS</v>
          </cell>
        </row>
        <row r="1907">
          <cell r="A1907">
            <v>1926</v>
          </cell>
          <cell r="B1907">
            <v>42704</v>
          </cell>
          <cell r="C1907" t="str">
            <v>NOVIEMBRE</v>
          </cell>
          <cell r="D1907" t="str">
            <v>2016</v>
          </cell>
          <cell r="E1907">
            <v>484</v>
          </cell>
          <cell r="F1907" t="str">
            <v>AEJ-949</v>
          </cell>
          <cell r="G1907" t="str">
            <v>CAMIONETA</v>
          </cell>
          <cell r="H1907" t="str">
            <v>LAS BAMBAS</v>
          </cell>
          <cell r="I1907">
            <v>89106</v>
          </cell>
          <cell r="J1907" t="str">
            <v>REPUESTO</v>
          </cell>
          <cell r="K1907" t="str">
            <v>FILTRO DE ACEITE</v>
          </cell>
          <cell r="L1907">
            <v>1</v>
          </cell>
          <cell r="M1907" t="str">
            <v>UNID.</v>
          </cell>
          <cell r="N1907" t="str">
            <v>CAMIONETA</v>
          </cell>
          <cell r="O1907">
            <v>86</v>
          </cell>
          <cell r="P1907" t="str">
            <v>M6</v>
          </cell>
          <cell r="Q1907" t="str">
            <v>J2</v>
          </cell>
          <cell r="R1907" t="str">
            <v>J6</v>
          </cell>
          <cell r="S1907" t="str">
            <v>ENTREGADO</v>
          </cell>
          <cell r="T1907">
            <v>0</v>
          </cell>
          <cell r="U1907" t="str">
            <v>PARI VENTURA  EDSON ORLANDO</v>
          </cell>
          <cell r="V1907" t="str">
            <v>CORIHUAMAN SURCO  ERICK ROBERT</v>
          </cell>
        </row>
        <row r="1908">
          <cell r="A1908">
            <v>1927</v>
          </cell>
          <cell r="B1908">
            <v>42704</v>
          </cell>
          <cell r="C1908" t="str">
            <v>NOVIEMBRE</v>
          </cell>
          <cell r="D1908" t="str">
            <v>2016</v>
          </cell>
          <cell r="E1908">
            <v>484</v>
          </cell>
          <cell r="F1908" t="str">
            <v>AEJ-949</v>
          </cell>
          <cell r="G1908" t="str">
            <v>CAMIONETA</v>
          </cell>
          <cell r="H1908" t="str">
            <v>LAS BAMBAS</v>
          </cell>
          <cell r="I1908">
            <v>89106</v>
          </cell>
          <cell r="J1908" t="str">
            <v>REPUESTO</v>
          </cell>
          <cell r="K1908" t="str">
            <v>FILTRO DE COMBUSTIBLE</v>
          </cell>
          <cell r="L1908">
            <v>1</v>
          </cell>
          <cell r="M1908" t="str">
            <v>UNID.</v>
          </cell>
          <cell r="N1908" t="str">
            <v>CAMIONETA</v>
          </cell>
          <cell r="O1908">
            <v>86</v>
          </cell>
          <cell r="P1908" t="str">
            <v>M6</v>
          </cell>
          <cell r="Q1908" t="str">
            <v>J2</v>
          </cell>
          <cell r="R1908" t="str">
            <v>J6</v>
          </cell>
          <cell r="S1908" t="str">
            <v>ENTREGADO</v>
          </cell>
          <cell r="T1908">
            <v>0</v>
          </cell>
          <cell r="U1908" t="str">
            <v>PARI VENTURA  EDSON ORLANDO</v>
          </cell>
          <cell r="V1908" t="str">
            <v>CORIHUAMAN SURCO  ERICK ROBERT</v>
          </cell>
        </row>
        <row r="1909">
          <cell r="A1909">
            <v>1928</v>
          </cell>
          <cell r="B1909">
            <v>42704</v>
          </cell>
          <cell r="C1909" t="str">
            <v>NOVIEMBRE</v>
          </cell>
          <cell r="D1909" t="str">
            <v>2016</v>
          </cell>
          <cell r="E1909">
            <v>484</v>
          </cell>
          <cell r="F1909" t="str">
            <v>AEJ-949</v>
          </cell>
          <cell r="G1909" t="str">
            <v>CAMIONETA</v>
          </cell>
          <cell r="H1909" t="str">
            <v>LAS BAMBAS</v>
          </cell>
          <cell r="I1909">
            <v>89106</v>
          </cell>
          <cell r="J1909" t="str">
            <v>REPUESTO</v>
          </cell>
          <cell r="K1909" t="str">
            <v>FILTRO DE AIRE</v>
          </cell>
          <cell r="L1909">
            <v>1</v>
          </cell>
          <cell r="M1909" t="str">
            <v>UNID.</v>
          </cell>
          <cell r="N1909" t="str">
            <v>CAMIONETA</v>
          </cell>
          <cell r="O1909">
            <v>86</v>
          </cell>
          <cell r="P1909" t="str">
            <v>M6</v>
          </cell>
          <cell r="Q1909" t="str">
            <v>J2</v>
          </cell>
          <cell r="R1909" t="str">
            <v>J6</v>
          </cell>
          <cell r="S1909" t="str">
            <v>ENTREGADO</v>
          </cell>
          <cell r="T1909">
            <v>0</v>
          </cell>
          <cell r="U1909" t="str">
            <v>PARI VENTURA  EDSON ORLANDO</v>
          </cell>
          <cell r="V1909" t="str">
            <v>CORIHUAMAN SURCO  ERICK ROBERT</v>
          </cell>
        </row>
        <row r="1910">
          <cell r="A1910">
            <v>1929</v>
          </cell>
          <cell r="B1910">
            <v>42704</v>
          </cell>
          <cell r="C1910" t="str">
            <v>NOVIEMBRE</v>
          </cell>
          <cell r="D1910" t="str">
            <v>2016</v>
          </cell>
          <cell r="E1910">
            <v>484</v>
          </cell>
          <cell r="F1910" t="str">
            <v>AEJ-949</v>
          </cell>
          <cell r="G1910" t="str">
            <v>CAMIONETA</v>
          </cell>
          <cell r="H1910" t="str">
            <v>LAS BAMBAS</v>
          </cell>
          <cell r="I1910">
            <v>89106</v>
          </cell>
          <cell r="J1910" t="str">
            <v>REPUESTO</v>
          </cell>
          <cell r="K1910" t="str">
            <v>ACEITE 15W40</v>
          </cell>
          <cell r="L1910">
            <v>2</v>
          </cell>
          <cell r="M1910" t="str">
            <v>GLNS.</v>
          </cell>
          <cell r="N1910" t="str">
            <v>CAMIONETA</v>
          </cell>
          <cell r="O1910">
            <v>0</v>
          </cell>
          <cell r="P1910" t="str">
            <v>M6</v>
          </cell>
          <cell r="Q1910" t="str">
            <v>J2</v>
          </cell>
          <cell r="R1910" t="str">
            <v>J6</v>
          </cell>
          <cell r="S1910" t="str">
            <v>ENTREGADO</v>
          </cell>
          <cell r="T1910">
            <v>42704</v>
          </cell>
          <cell r="U1910" t="str">
            <v>PARI VENTURA  EDSON ORLANDO</v>
          </cell>
          <cell r="V1910" t="str">
            <v>CORIHUAMAN SURCO  ERICK ROBERT</v>
          </cell>
        </row>
        <row r="1911">
          <cell r="A1911">
            <v>1903</v>
          </cell>
          <cell r="B1911">
            <v>42704</v>
          </cell>
          <cell r="C1911" t="str">
            <v>NOVIEMBRE</v>
          </cell>
          <cell r="D1911" t="str">
            <v>2016</v>
          </cell>
          <cell r="E1911">
            <v>475</v>
          </cell>
          <cell r="F1911" t="str">
            <v>AKW-731</v>
          </cell>
          <cell r="G1911" t="str">
            <v>TCR-989</v>
          </cell>
          <cell r="H1911" t="str">
            <v>LAS BAMBAS CONC.</v>
          </cell>
          <cell r="I1911">
            <v>23294</v>
          </cell>
          <cell r="J1911" t="str">
            <v>REPUESTO</v>
          </cell>
          <cell r="K1911" t="str">
            <v>FOCO DE RETROCESO DE 1 CONTACTO</v>
          </cell>
          <cell r="L1911">
            <v>1</v>
          </cell>
          <cell r="M1911" t="str">
            <v>UNID.</v>
          </cell>
          <cell r="N1911" t="str">
            <v>TRACTO</v>
          </cell>
          <cell r="O1911">
            <v>0</v>
          </cell>
          <cell r="P1911" t="str">
            <v>E3</v>
          </cell>
          <cell r="Q1911" t="str">
            <v>J2</v>
          </cell>
          <cell r="R1911" t="str">
            <v>J6</v>
          </cell>
          <cell r="S1911" t="str">
            <v>ENTREGADO</v>
          </cell>
          <cell r="T1911">
            <v>42704</v>
          </cell>
          <cell r="U1911" t="str">
            <v>CONDORI CHURATA ALEX</v>
          </cell>
          <cell r="V1911" t="str">
            <v>CORIHUAMAN SURCO  ERICK ROBERT</v>
          </cell>
        </row>
        <row r="1912">
          <cell r="A1912">
            <v>1889</v>
          </cell>
          <cell r="B1912">
            <v>42704</v>
          </cell>
          <cell r="C1912" t="str">
            <v>NOVIEMBRE</v>
          </cell>
          <cell r="D1912" t="str">
            <v>2016</v>
          </cell>
          <cell r="E1912">
            <v>421</v>
          </cell>
          <cell r="F1912" t="str">
            <v>AKW-860</v>
          </cell>
          <cell r="G1912" t="str">
            <v>F5Z-991</v>
          </cell>
          <cell r="H1912" t="str">
            <v>LAS BAMBAS</v>
          </cell>
          <cell r="I1912">
            <v>37840</v>
          </cell>
          <cell r="J1912" t="str">
            <v>SERVICIO</v>
          </cell>
          <cell r="K1912" t="str">
            <v>SERVICIO DE PINTADO DE CISTERNA</v>
          </cell>
          <cell r="L1912">
            <v>1</v>
          </cell>
          <cell r="M1912" t="str">
            <v>UNID.</v>
          </cell>
          <cell r="N1912" t="str">
            <v>CISTERNA</v>
          </cell>
          <cell r="O1912">
            <v>86</v>
          </cell>
          <cell r="P1912" t="str">
            <v>J5</v>
          </cell>
          <cell r="Q1912" t="str">
            <v>J1</v>
          </cell>
          <cell r="R1912" t="str">
            <v>J6</v>
          </cell>
          <cell r="S1912" t="str">
            <v>ENTREGADO</v>
          </cell>
          <cell r="T1912">
            <v>0</v>
          </cell>
          <cell r="U1912" t="str">
            <v>CONZA HUALLA NOELIA</v>
          </cell>
          <cell r="V1912" t="str">
            <v>FLOREZ CONDORI  JOSE WILLIANS</v>
          </cell>
        </row>
        <row r="1913">
          <cell r="A1913">
            <v>1897</v>
          </cell>
          <cell r="B1913">
            <v>42704</v>
          </cell>
          <cell r="C1913" t="str">
            <v>NOVIEMBRE</v>
          </cell>
          <cell r="D1913" t="str">
            <v>2016</v>
          </cell>
          <cell r="E1913">
            <v>421</v>
          </cell>
          <cell r="F1913" t="str">
            <v>AKW-860</v>
          </cell>
          <cell r="G1913" t="str">
            <v>F5Z-991</v>
          </cell>
          <cell r="H1913" t="str">
            <v>LAS BAMBAS</v>
          </cell>
          <cell r="I1913">
            <v>37840</v>
          </cell>
          <cell r="J1913" t="str">
            <v>REPUESTO</v>
          </cell>
          <cell r="K1913" t="str">
            <v>VALVULAS DE PITON</v>
          </cell>
          <cell r="L1913">
            <v>12</v>
          </cell>
          <cell r="M1913" t="str">
            <v>UNID.</v>
          </cell>
          <cell r="N1913" t="str">
            <v>CISTERNA</v>
          </cell>
          <cell r="O1913">
            <v>0</v>
          </cell>
          <cell r="P1913" t="str">
            <v>N1</v>
          </cell>
          <cell r="Q1913" t="str">
            <v>J3</v>
          </cell>
          <cell r="R1913" t="str">
            <v>J6</v>
          </cell>
          <cell r="S1913" t="str">
            <v>ENTREGADO</v>
          </cell>
          <cell r="T1913">
            <v>42704</v>
          </cell>
          <cell r="U1913" t="str">
            <v>AGUILAR CCANTUTA WILLY</v>
          </cell>
          <cell r="V1913" t="str">
            <v>CHURA PIZARRO ALBERTO</v>
          </cell>
        </row>
        <row r="1914">
          <cell r="A1914">
            <v>1909</v>
          </cell>
          <cell r="B1914">
            <v>42704</v>
          </cell>
          <cell r="C1914" t="str">
            <v>NOVIEMBRE</v>
          </cell>
          <cell r="D1914" t="str">
            <v>2016</v>
          </cell>
          <cell r="E1914">
            <v>448</v>
          </cell>
          <cell r="F1914" t="str">
            <v>AKX-767</v>
          </cell>
          <cell r="G1914" t="str">
            <v>TCR-993</v>
          </cell>
          <cell r="H1914" t="str">
            <v>LAS BAMBAS CONC.</v>
          </cell>
          <cell r="I1914">
            <v>20876</v>
          </cell>
          <cell r="J1914" t="str">
            <v>REPUESTO</v>
          </cell>
          <cell r="K1914" t="str">
            <v>FAROS CIRCULAR LATERAL</v>
          </cell>
          <cell r="L1914">
            <v>1</v>
          </cell>
          <cell r="M1914" t="str">
            <v>UNID.</v>
          </cell>
          <cell r="N1914" t="str">
            <v>TOLVA</v>
          </cell>
          <cell r="O1914">
            <v>0</v>
          </cell>
          <cell r="P1914" t="str">
            <v>E3</v>
          </cell>
          <cell r="Q1914" t="str">
            <v>J2</v>
          </cell>
          <cell r="R1914" t="str">
            <v>J6</v>
          </cell>
          <cell r="S1914" t="str">
            <v>ENTREGADO</v>
          </cell>
          <cell r="T1914">
            <v>42704</v>
          </cell>
          <cell r="U1914" t="str">
            <v>CONDORI CHURATA ALEX</v>
          </cell>
          <cell r="V1914" t="str">
            <v>CORIHUAMAN SURCO  ERICK ROBERT</v>
          </cell>
        </row>
        <row r="1915">
          <cell r="A1915">
            <v>1910</v>
          </cell>
          <cell r="B1915">
            <v>42704</v>
          </cell>
          <cell r="C1915" t="str">
            <v>NOVIEMBRE</v>
          </cell>
          <cell r="D1915" t="str">
            <v>2016</v>
          </cell>
          <cell r="E1915">
            <v>448</v>
          </cell>
          <cell r="F1915" t="str">
            <v>AKX-767</v>
          </cell>
          <cell r="G1915" t="str">
            <v>TCR-993</v>
          </cell>
          <cell r="H1915" t="str">
            <v>LAS BAMBAS CONC.</v>
          </cell>
          <cell r="I1915">
            <v>20876</v>
          </cell>
          <cell r="J1915" t="str">
            <v>REPUESTO</v>
          </cell>
          <cell r="K1915" t="str">
            <v>FAROS NEBLINEROS AAA</v>
          </cell>
          <cell r="L1915">
            <v>2</v>
          </cell>
          <cell r="M1915" t="str">
            <v>UNID.</v>
          </cell>
          <cell r="N1915" t="str">
            <v>TRACTO</v>
          </cell>
          <cell r="O1915">
            <v>86</v>
          </cell>
          <cell r="P1915" t="str">
            <v>E3</v>
          </cell>
          <cell r="Q1915" t="str">
            <v>J2</v>
          </cell>
          <cell r="R1915" t="str">
            <v>J6</v>
          </cell>
          <cell r="S1915" t="str">
            <v>ENTREGADO</v>
          </cell>
          <cell r="T1915">
            <v>0</v>
          </cell>
          <cell r="U1915" t="str">
            <v>CONDORI CHURATA ALEX</v>
          </cell>
          <cell r="V1915" t="str">
            <v>CORIHUAMAN SURCO  ERICK ROBERT</v>
          </cell>
        </row>
        <row r="1916">
          <cell r="A1916">
            <v>1915</v>
          </cell>
          <cell r="B1916">
            <v>42704</v>
          </cell>
          <cell r="C1916" t="str">
            <v>NOVIEMBRE</v>
          </cell>
          <cell r="D1916" t="str">
            <v>2016</v>
          </cell>
          <cell r="E1916">
            <v>448</v>
          </cell>
          <cell r="F1916" t="str">
            <v>AKX-767</v>
          </cell>
          <cell r="G1916" t="str">
            <v>TCR-993</v>
          </cell>
          <cell r="H1916" t="str">
            <v>LAS BAMBAS CONC.</v>
          </cell>
          <cell r="I1916">
            <v>20876</v>
          </cell>
          <cell r="J1916" t="str">
            <v>REPUESTO</v>
          </cell>
          <cell r="K1916" t="str">
            <v>PERNO 5/16 X 1</v>
          </cell>
          <cell r="L1916">
            <v>1</v>
          </cell>
          <cell r="M1916" t="str">
            <v>UNID.</v>
          </cell>
          <cell r="N1916" t="str">
            <v>TRACTO</v>
          </cell>
          <cell r="O1916">
            <v>0</v>
          </cell>
          <cell r="P1916" t="str">
            <v>M6</v>
          </cell>
          <cell r="Q1916" t="str">
            <v>J2</v>
          </cell>
          <cell r="R1916" t="str">
            <v>J6</v>
          </cell>
          <cell r="S1916" t="str">
            <v>ENTREGADO</v>
          </cell>
          <cell r="T1916">
            <v>42704</v>
          </cell>
          <cell r="U1916" t="str">
            <v>PARI VENTURA  EDSON ORLANDO</v>
          </cell>
          <cell r="V1916" t="str">
            <v>CORIHUAMAN SURCO  ERICK ROBERT</v>
          </cell>
        </row>
        <row r="1917">
          <cell r="A1917">
            <v>1916</v>
          </cell>
          <cell r="B1917">
            <v>42704</v>
          </cell>
          <cell r="C1917" t="str">
            <v>NOVIEMBRE</v>
          </cell>
          <cell r="D1917" t="str">
            <v>2016</v>
          </cell>
          <cell r="E1917">
            <v>448</v>
          </cell>
          <cell r="F1917" t="str">
            <v>AKX-767</v>
          </cell>
          <cell r="G1917" t="str">
            <v>TCR-993</v>
          </cell>
          <cell r="H1917" t="str">
            <v>LAS BAMBAS CONC.</v>
          </cell>
          <cell r="I1917">
            <v>20876</v>
          </cell>
          <cell r="J1917" t="str">
            <v>REPUESTO</v>
          </cell>
          <cell r="K1917" t="str">
            <v>TUERCA 5/16</v>
          </cell>
          <cell r="L1917">
            <v>1</v>
          </cell>
          <cell r="M1917" t="str">
            <v>UNID.</v>
          </cell>
          <cell r="N1917" t="str">
            <v>TRACTO</v>
          </cell>
          <cell r="O1917">
            <v>0</v>
          </cell>
          <cell r="P1917" t="str">
            <v>M6</v>
          </cell>
          <cell r="Q1917" t="str">
            <v>J2</v>
          </cell>
          <cell r="R1917" t="str">
            <v>J6</v>
          </cell>
          <cell r="S1917" t="str">
            <v>ENTREGADO</v>
          </cell>
          <cell r="T1917">
            <v>42704</v>
          </cell>
          <cell r="U1917" t="str">
            <v>PARI VENTURA  EDSON ORLANDO</v>
          </cell>
          <cell r="V1917" t="str">
            <v>CORIHUAMAN SURCO  ERICK ROBERT</v>
          </cell>
        </row>
        <row r="1918">
          <cell r="A1918">
            <v>1917</v>
          </cell>
          <cell r="B1918">
            <v>42704</v>
          </cell>
          <cell r="C1918" t="str">
            <v>NOVIEMBRE</v>
          </cell>
          <cell r="D1918" t="str">
            <v>2016</v>
          </cell>
          <cell r="E1918">
            <v>448</v>
          </cell>
          <cell r="F1918" t="str">
            <v>AKX-767</v>
          </cell>
          <cell r="G1918" t="str">
            <v>TCR-993</v>
          </cell>
          <cell r="H1918" t="str">
            <v>LAS BAMBAS CONC.</v>
          </cell>
          <cell r="I1918">
            <v>20876</v>
          </cell>
          <cell r="J1918" t="str">
            <v>REPUESTO</v>
          </cell>
          <cell r="K1918" t="str">
            <v>ARANDELA PLANA 5/16</v>
          </cell>
          <cell r="L1918">
            <v>1</v>
          </cell>
          <cell r="M1918" t="str">
            <v>UNID.</v>
          </cell>
          <cell r="N1918" t="str">
            <v>TRACTO</v>
          </cell>
          <cell r="O1918">
            <v>0</v>
          </cell>
          <cell r="P1918" t="str">
            <v>M6</v>
          </cell>
          <cell r="Q1918" t="str">
            <v>J2</v>
          </cell>
          <cell r="R1918" t="str">
            <v>J6</v>
          </cell>
          <cell r="S1918" t="str">
            <v>ENTREGADO</v>
          </cell>
          <cell r="T1918">
            <v>42704</v>
          </cell>
          <cell r="U1918" t="str">
            <v>PARI VENTURA  EDSON ORLANDO</v>
          </cell>
          <cell r="V1918" t="str">
            <v>CORIHUAMAN SURCO  ERICK ROBERT</v>
          </cell>
        </row>
        <row r="1919">
          <cell r="A1919">
            <v>1918</v>
          </cell>
          <cell r="B1919">
            <v>42704</v>
          </cell>
          <cell r="C1919" t="str">
            <v>NOVIEMBRE</v>
          </cell>
          <cell r="D1919" t="str">
            <v>2016</v>
          </cell>
          <cell r="E1919">
            <v>448</v>
          </cell>
          <cell r="F1919" t="str">
            <v>AKX-767</v>
          </cell>
          <cell r="G1919" t="str">
            <v>TCR-993</v>
          </cell>
          <cell r="H1919" t="str">
            <v>LAS BAMBAS CONC.</v>
          </cell>
          <cell r="I1919">
            <v>20876</v>
          </cell>
          <cell r="J1919" t="str">
            <v>REPUESTO</v>
          </cell>
          <cell r="K1919" t="str">
            <v>ARANDELA PRESION 5/16</v>
          </cell>
          <cell r="L1919">
            <v>1</v>
          </cell>
          <cell r="M1919" t="str">
            <v>UNID.</v>
          </cell>
          <cell r="N1919" t="str">
            <v>TRACTO</v>
          </cell>
          <cell r="O1919">
            <v>0</v>
          </cell>
          <cell r="P1919" t="str">
            <v>M6</v>
          </cell>
          <cell r="Q1919" t="str">
            <v>J2</v>
          </cell>
          <cell r="R1919" t="str">
            <v>J6</v>
          </cell>
          <cell r="S1919" t="str">
            <v>ENTREGADO</v>
          </cell>
          <cell r="T1919">
            <v>42704</v>
          </cell>
          <cell r="U1919" t="str">
            <v>PARI VENTURA  EDSON ORLANDO</v>
          </cell>
          <cell r="V1919" t="str">
            <v>CORIHUAMAN SURCO  ERICK ROBERT</v>
          </cell>
        </row>
        <row r="1920">
          <cell r="A1920">
            <v>1868</v>
          </cell>
          <cell r="B1920">
            <v>42704</v>
          </cell>
          <cell r="C1920" t="str">
            <v>NOVIEMBRE</v>
          </cell>
          <cell r="D1920" t="str">
            <v>2016</v>
          </cell>
          <cell r="E1920">
            <v>449</v>
          </cell>
          <cell r="F1920" t="str">
            <v>B2L-889</v>
          </cell>
          <cell r="G1920" t="str">
            <v>CAMION</v>
          </cell>
          <cell r="H1920" t="str">
            <v>TAMBOMAYO</v>
          </cell>
          <cell r="I1920">
            <v>121547</v>
          </cell>
          <cell r="J1920" t="str">
            <v>SERVICIO</v>
          </cell>
          <cell r="K1920" t="str">
            <v>PRENSADO DE BARRAS DE DIRECCION (2)</v>
          </cell>
          <cell r="L1920">
            <v>1</v>
          </cell>
          <cell r="M1920" t="str">
            <v>UNID.</v>
          </cell>
          <cell r="N1920" t="str">
            <v>TRACTO</v>
          </cell>
          <cell r="O1920">
            <v>0</v>
          </cell>
          <cell r="P1920" t="str">
            <v>J1</v>
          </cell>
          <cell r="Q1920" t="str">
            <v>J1</v>
          </cell>
          <cell r="R1920" t="str">
            <v>J6</v>
          </cell>
          <cell r="S1920" t="str">
            <v>ENTREGADO</v>
          </cell>
          <cell r="T1920">
            <v>42704</v>
          </cell>
          <cell r="U1920" t="str">
            <v>FLOREZ CONDORI  JOSE WILLIANS</v>
          </cell>
          <cell r="V1920" t="str">
            <v>FLOREZ CONDORI  JOSE WILLIANS</v>
          </cell>
        </row>
        <row r="1921">
          <cell r="A1921">
            <v>1870</v>
          </cell>
          <cell r="B1921">
            <v>42704</v>
          </cell>
          <cell r="C1921" t="str">
            <v>NOVIEMBRE</v>
          </cell>
          <cell r="D1921" t="str">
            <v>2016</v>
          </cell>
          <cell r="E1921">
            <v>383</v>
          </cell>
          <cell r="F1921" t="str">
            <v>C5R-895</v>
          </cell>
          <cell r="G1921" t="str">
            <v>TBL-976</v>
          </cell>
          <cell r="H1921" t="str">
            <v>LAS BAMBAS</v>
          </cell>
          <cell r="I1921">
            <v>167570</v>
          </cell>
          <cell r="J1921" t="str">
            <v>SERVICIO</v>
          </cell>
          <cell r="K1921" t="str">
            <v>TAPIZADO DE ASIENTO DE PILOTO</v>
          </cell>
          <cell r="L1921">
            <v>1</v>
          </cell>
          <cell r="M1921" t="str">
            <v>UNID.</v>
          </cell>
          <cell r="N1921" t="str">
            <v>TRACTO</v>
          </cell>
          <cell r="O1921">
            <v>0</v>
          </cell>
          <cell r="P1921" t="str">
            <v>J1</v>
          </cell>
          <cell r="Q1921" t="str">
            <v>J1</v>
          </cell>
          <cell r="R1921" t="str">
            <v>J6</v>
          </cell>
          <cell r="S1921" t="str">
            <v>ENTREGADO</v>
          </cell>
          <cell r="T1921">
            <v>42704</v>
          </cell>
          <cell r="U1921" t="str">
            <v>FLOREZ CONDORI  JOSE WILLIANS</v>
          </cell>
          <cell r="V1921" t="str">
            <v>FLOREZ CONDORI  JOSE WILLIANS</v>
          </cell>
        </row>
        <row r="1922">
          <cell r="A1922">
            <v>1930</v>
          </cell>
          <cell r="B1922">
            <v>42704</v>
          </cell>
          <cell r="C1922" t="str">
            <v>NOVIEMBRE</v>
          </cell>
          <cell r="D1922" t="str">
            <v>2016</v>
          </cell>
          <cell r="E1922">
            <v>474</v>
          </cell>
          <cell r="F1922" t="str">
            <v>C5R-895</v>
          </cell>
          <cell r="G1922" t="str">
            <v>TBL-976</v>
          </cell>
          <cell r="H1922" t="str">
            <v>LAS BAMBAS</v>
          </cell>
          <cell r="I1922">
            <v>168888</v>
          </cell>
          <cell r="J1922" t="str">
            <v>REPUESTO</v>
          </cell>
          <cell r="K1922" t="str">
            <v>LIQUIDO LIMPIA PARABRISA</v>
          </cell>
          <cell r="L1922">
            <v>1</v>
          </cell>
          <cell r="M1922" t="str">
            <v>GLNS.</v>
          </cell>
          <cell r="N1922" t="str">
            <v>TRACTO</v>
          </cell>
          <cell r="O1922">
            <v>0</v>
          </cell>
          <cell r="P1922" t="str">
            <v>M6</v>
          </cell>
          <cell r="Q1922" t="str">
            <v>J2</v>
          </cell>
          <cell r="R1922" t="str">
            <v>J6</v>
          </cell>
          <cell r="S1922" t="str">
            <v>ENTREGADO</v>
          </cell>
          <cell r="T1922">
            <v>42704</v>
          </cell>
          <cell r="U1922" t="str">
            <v>PARI VENTURA  EDSON ORLANDO</v>
          </cell>
          <cell r="V1922" t="str">
            <v>CORIHUAMAN SURCO  ERICK ROBERT</v>
          </cell>
        </row>
        <row r="1923">
          <cell r="A1923">
            <v>1883</v>
          </cell>
          <cell r="B1923">
            <v>42704</v>
          </cell>
          <cell r="C1923" t="str">
            <v>NOVIEMBRE</v>
          </cell>
          <cell r="D1923" t="str">
            <v>2016</v>
          </cell>
          <cell r="E1923">
            <v>443</v>
          </cell>
          <cell r="F1923" t="str">
            <v>C5R-896</v>
          </cell>
          <cell r="G1923" t="str">
            <v>A0U-977</v>
          </cell>
          <cell r="H1923" t="str">
            <v>LAS BAMBAS</v>
          </cell>
          <cell r="I1923">
            <v>211020</v>
          </cell>
          <cell r="J1923" t="str">
            <v>SERVICIO</v>
          </cell>
          <cell r="K1923" t="str">
            <v>SERVICIO DE COLOCACION DE JEBE DEL TAPABARRO LADO IZQUIERDO</v>
          </cell>
          <cell r="L1923">
            <v>1</v>
          </cell>
          <cell r="M1923" t="str">
            <v>UNID.</v>
          </cell>
          <cell r="N1923" t="str">
            <v>CISTERNA</v>
          </cell>
          <cell r="O1923">
            <v>0</v>
          </cell>
          <cell r="P1923" t="str">
            <v>J2</v>
          </cell>
          <cell r="Q1923" t="str">
            <v>J2</v>
          </cell>
          <cell r="R1923" t="str">
            <v>J6</v>
          </cell>
          <cell r="S1923" t="str">
            <v>ENTREGADO</v>
          </cell>
          <cell r="T1923">
            <v>42704</v>
          </cell>
          <cell r="U1923" t="str">
            <v>CORIHUAMAN SURCO  ERICK ROBERT</v>
          </cell>
          <cell r="V1923" t="str">
            <v>CORIHUAMAN SURCO  ERICK ROBERT</v>
          </cell>
        </row>
        <row r="1924">
          <cell r="A1924">
            <v>1885</v>
          </cell>
          <cell r="B1924">
            <v>42704</v>
          </cell>
          <cell r="C1924" t="str">
            <v>NOVIEMBRE</v>
          </cell>
          <cell r="D1924" t="str">
            <v>2016</v>
          </cell>
          <cell r="E1924">
            <v>443</v>
          </cell>
          <cell r="F1924" t="str">
            <v>C5R-896</v>
          </cell>
          <cell r="G1924" t="str">
            <v>A0U-977</v>
          </cell>
          <cell r="H1924" t="str">
            <v>LAS BAMBAS</v>
          </cell>
          <cell r="I1924">
            <v>211020</v>
          </cell>
          <cell r="J1924" t="str">
            <v>REPUESTO</v>
          </cell>
          <cell r="K1924" t="str">
            <v>HIDROLINA</v>
          </cell>
          <cell r="L1924">
            <v>0.25</v>
          </cell>
          <cell r="M1924" t="str">
            <v>GLNS.</v>
          </cell>
          <cell r="N1924" t="str">
            <v>TRACTO</v>
          </cell>
          <cell r="O1924">
            <v>0</v>
          </cell>
          <cell r="P1924" t="str">
            <v>J2</v>
          </cell>
          <cell r="Q1924" t="str">
            <v>J2</v>
          </cell>
          <cell r="R1924" t="str">
            <v>J6</v>
          </cell>
          <cell r="S1924" t="str">
            <v>ENTREGADO</v>
          </cell>
          <cell r="T1924">
            <v>42704</v>
          </cell>
          <cell r="U1924" t="str">
            <v>CORIHUAMAN SURCO  ERICK ROBERT</v>
          </cell>
          <cell r="V1924" t="str">
            <v>CORIHUAMAN SURCO  ERICK ROBERT</v>
          </cell>
        </row>
        <row r="1925">
          <cell r="A1925">
            <v>1914</v>
          </cell>
          <cell r="B1925">
            <v>42704</v>
          </cell>
          <cell r="C1925" t="str">
            <v>NOVIEMBRE</v>
          </cell>
          <cell r="D1925" t="str">
            <v>2016</v>
          </cell>
          <cell r="E1925">
            <v>481</v>
          </cell>
          <cell r="F1925" t="str">
            <v>C5R-899</v>
          </cell>
          <cell r="G1925" t="str">
            <v>A0U-978</v>
          </cell>
          <cell r="H1925" t="str">
            <v>LAS BAMBAS</v>
          </cell>
          <cell r="I1925">
            <v>252006</v>
          </cell>
          <cell r="J1925" t="str">
            <v>REPUESTO</v>
          </cell>
          <cell r="K1925" t="str">
            <v>FOCO DE DOBLE CONTACTO</v>
          </cell>
          <cell r="L1925">
            <v>1</v>
          </cell>
          <cell r="M1925" t="str">
            <v>UNID.</v>
          </cell>
          <cell r="N1925" t="str">
            <v>TRACTO</v>
          </cell>
          <cell r="O1925">
            <v>0</v>
          </cell>
          <cell r="P1925" t="str">
            <v>E2</v>
          </cell>
          <cell r="Q1925" t="str">
            <v>J2</v>
          </cell>
          <cell r="R1925" t="str">
            <v>J6</v>
          </cell>
          <cell r="S1925" t="str">
            <v>ENTREGADO</v>
          </cell>
          <cell r="T1925">
            <v>42704</v>
          </cell>
          <cell r="U1925" t="str">
            <v>YUCA BELLIDO BORIS YERSY</v>
          </cell>
          <cell r="V1925" t="str">
            <v>CORIHUAMAN SURCO  ERICK ROBERT</v>
          </cell>
        </row>
        <row r="1926">
          <cell r="A1926">
            <v>1959</v>
          </cell>
          <cell r="B1926">
            <v>42704</v>
          </cell>
          <cell r="C1926" t="str">
            <v>NOVIEMBRE</v>
          </cell>
          <cell r="D1926" t="str">
            <v>2016</v>
          </cell>
          <cell r="E1926">
            <v>423</v>
          </cell>
          <cell r="F1926" t="str">
            <v>C9M-902</v>
          </cell>
          <cell r="G1926" t="str">
            <v>B8L-970</v>
          </cell>
          <cell r="H1926" t="str">
            <v>LAS BAMBAS</v>
          </cell>
          <cell r="I1926">
            <v>208779</v>
          </cell>
          <cell r="J1926" t="str">
            <v>REPUESTO</v>
          </cell>
          <cell r="K1926" t="str">
            <v>PRESINTOS 200</v>
          </cell>
          <cell r="L1926">
            <v>10</v>
          </cell>
          <cell r="M1926" t="str">
            <v>UNID.</v>
          </cell>
          <cell r="N1926" t="str">
            <v>TRACTO</v>
          </cell>
          <cell r="O1926">
            <v>0</v>
          </cell>
          <cell r="P1926" t="str">
            <v>E3</v>
          </cell>
          <cell r="Q1926" t="str">
            <v>J2</v>
          </cell>
          <cell r="R1926" t="str">
            <v>J6</v>
          </cell>
          <cell r="S1926" t="str">
            <v>ENTREGADO</v>
          </cell>
          <cell r="T1926">
            <v>42704</v>
          </cell>
          <cell r="U1926" t="str">
            <v>CONDORI CHURATA ALEX</v>
          </cell>
          <cell r="V1926" t="str">
            <v>CORIHUAMAN SURCO  ERICK ROBERT</v>
          </cell>
        </row>
        <row r="1927">
          <cell r="A1927">
            <v>1960</v>
          </cell>
          <cell r="B1927">
            <v>42704</v>
          </cell>
          <cell r="C1927" t="str">
            <v>NOVIEMBRE</v>
          </cell>
          <cell r="D1927" t="str">
            <v>2016</v>
          </cell>
          <cell r="E1927">
            <v>423</v>
          </cell>
          <cell r="F1927" t="str">
            <v>C9M-902</v>
          </cell>
          <cell r="G1927" t="str">
            <v>B8L-970</v>
          </cell>
          <cell r="H1927" t="str">
            <v>LAS BAMBAS</v>
          </cell>
          <cell r="I1927">
            <v>208779</v>
          </cell>
          <cell r="J1927" t="str">
            <v>REPUESTO</v>
          </cell>
          <cell r="K1927" t="str">
            <v>TUBO CORRUGDADO 1/4</v>
          </cell>
          <cell r="L1927">
            <v>1</v>
          </cell>
          <cell r="M1927" t="str">
            <v>M</v>
          </cell>
          <cell r="N1927" t="str">
            <v>TRACTO</v>
          </cell>
          <cell r="O1927">
            <v>86</v>
          </cell>
          <cell r="P1927" t="str">
            <v>E3</v>
          </cell>
          <cell r="Q1927" t="str">
            <v>J2</v>
          </cell>
          <cell r="R1927" t="str">
            <v>J6</v>
          </cell>
          <cell r="S1927" t="str">
            <v>ENTREGADO</v>
          </cell>
          <cell r="T1927">
            <v>0</v>
          </cell>
          <cell r="U1927" t="str">
            <v>CONDORI CHURATA ALEX</v>
          </cell>
          <cell r="V1927" t="str">
            <v>CORIHUAMAN SURCO  ERICK ROBERT</v>
          </cell>
        </row>
        <row r="1928">
          <cell r="A1928">
            <v>1890</v>
          </cell>
          <cell r="B1928">
            <v>42704</v>
          </cell>
          <cell r="C1928" t="str">
            <v>NOVIEMBRE</v>
          </cell>
          <cell r="D1928" t="str">
            <v>2016</v>
          </cell>
          <cell r="E1928">
            <v>455</v>
          </cell>
          <cell r="F1928" t="str">
            <v>C9P-948</v>
          </cell>
          <cell r="G1928" t="str">
            <v>B4O-995</v>
          </cell>
          <cell r="H1928" t="str">
            <v>LAS BAMBAS</v>
          </cell>
          <cell r="I1928">
            <v>156586</v>
          </cell>
          <cell r="J1928" t="str">
            <v>SERVICIO</v>
          </cell>
          <cell r="K1928" t="str">
            <v>SERVICIO DE PINTADO DE CISTERNA</v>
          </cell>
          <cell r="L1928">
            <v>1</v>
          </cell>
          <cell r="M1928" t="str">
            <v>UNID.</v>
          </cell>
          <cell r="N1928" t="str">
            <v>CISTERNA</v>
          </cell>
          <cell r="O1928">
            <v>86</v>
          </cell>
          <cell r="P1928" t="str">
            <v>J5</v>
          </cell>
          <cell r="Q1928" t="str">
            <v>J1</v>
          </cell>
          <cell r="R1928" t="str">
            <v>J6</v>
          </cell>
          <cell r="S1928" t="str">
            <v>ENTREGADO</v>
          </cell>
          <cell r="T1928">
            <v>0</v>
          </cell>
          <cell r="U1928" t="str">
            <v>CONZA HUALLA NOELIA</v>
          </cell>
          <cell r="V1928" t="str">
            <v>FLOREZ CONDORI  JOSE WILLIANS</v>
          </cell>
        </row>
        <row r="1929">
          <cell r="A1929">
            <v>1931</v>
          </cell>
          <cell r="B1929">
            <v>42704</v>
          </cell>
          <cell r="C1929" t="str">
            <v>NOVIEMBRE</v>
          </cell>
          <cell r="D1929" t="str">
            <v>2016</v>
          </cell>
          <cell r="E1929">
            <v>455</v>
          </cell>
          <cell r="F1929" t="str">
            <v>C9P-948</v>
          </cell>
          <cell r="G1929" t="str">
            <v>B4O-995</v>
          </cell>
          <cell r="H1929" t="str">
            <v>LAS BAMBAS</v>
          </cell>
          <cell r="I1929">
            <v>156586</v>
          </cell>
          <cell r="J1929" t="str">
            <v>REPUESTO</v>
          </cell>
          <cell r="K1929" t="str">
            <v>DISCO DESBASTE 4"</v>
          </cell>
          <cell r="L1929">
            <v>1</v>
          </cell>
          <cell r="M1929" t="str">
            <v>UNID.</v>
          </cell>
          <cell r="N1929" t="str">
            <v>TRACTO</v>
          </cell>
          <cell r="O1929">
            <v>0</v>
          </cell>
          <cell r="P1929" t="str">
            <v>S1</v>
          </cell>
          <cell r="Q1929" t="str">
            <v>J2</v>
          </cell>
          <cell r="R1929" t="str">
            <v>J6</v>
          </cell>
          <cell r="S1929" t="str">
            <v>ENTREGADO</v>
          </cell>
          <cell r="T1929">
            <v>42704</v>
          </cell>
          <cell r="U1929" t="str">
            <v>BAYONA CRUZ CRISTIAN ARMANDO</v>
          </cell>
          <cell r="V1929" t="str">
            <v>CORIHUAMAN SURCO  ERICK ROBERT</v>
          </cell>
        </row>
        <row r="1930">
          <cell r="A1930">
            <v>1932</v>
          </cell>
          <cell r="B1930">
            <v>42704</v>
          </cell>
          <cell r="C1930" t="str">
            <v>NOVIEMBRE</v>
          </cell>
          <cell r="D1930" t="str">
            <v>2016</v>
          </cell>
          <cell r="E1930">
            <v>455</v>
          </cell>
          <cell r="F1930" t="str">
            <v>C9P-948</v>
          </cell>
          <cell r="G1930" t="str">
            <v>B4O-995</v>
          </cell>
          <cell r="H1930" t="str">
            <v>LAS BAMBAS</v>
          </cell>
          <cell r="I1930">
            <v>156586</v>
          </cell>
          <cell r="J1930" t="str">
            <v>REPUESTO</v>
          </cell>
          <cell r="K1930" t="str">
            <v>PERNO 5/8 X 2 1/2</v>
          </cell>
          <cell r="L1930">
            <v>10</v>
          </cell>
          <cell r="M1930" t="str">
            <v>UNID.</v>
          </cell>
          <cell r="N1930" t="str">
            <v>TRACTO</v>
          </cell>
          <cell r="O1930">
            <v>0</v>
          </cell>
          <cell r="P1930" t="str">
            <v>S1</v>
          </cell>
          <cell r="Q1930" t="str">
            <v>J2</v>
          </cell>
          <cell r="R1930" t="str">
            <v>J6</v>
          </cell>
          <cell r="S1930" t="str">
            <v>ENTREGADO</v>
          </cell>
          <cell r="T1930">
            <v>42704</v>
          </cell>
          <cell r="U1930" t="str">
            <v>BAYONA CRUZ CRISTIAN ARMANDO</v>
          </cell>
          <cell r="V1930" t="str">
            <v>CORIHUAMAN SURCO  ERICK ROBERT</v>
          </cell>
        </row>
        <row r="1931">
          <cell r="A1931">
            <v>1933</v>
          </cell>
          <cell r="B1931">
            <v>42704</v>
          </cell>
          <cell r="C1931" t="str">
            <v>NOVIEMBRE</v>
          </cell>
          <cell r="D1931" t="str">
            <v>2016</v>
          </cell>
          <cell r="E1931">
            <v>455</v>
          </cell>
          <cell r="F1931" t="str">
            <v>C9P-948</v>
          </cell>
          <cell r="G1931" t="str">
            <v>B4O-995</v>
          </cell>
          <cell r="H1931" t="str">
            <v>LAS BAMBAS</v>
          </cell>
          <cell r="I1931">
            <v>156586</v>
          </cell>
          <cell r="J1931" t="str">
            <v>REPUESTO</v>
          </cell>
          <cell r="K1931" t="str">
            <v>TUERCA  DE GRADO 12. 5/8</v>
          </cell>
          <cell r="L1931">
            <v>10</v>
          </cell>
          <cell r="M1931" t="str">
            <v>UNID.</v>
          </cell>
          <cell r="N1931" t="str">
            <v>TRACTO</v>
          </cell>
          <cell r="O1931">
            <v>0</v>
          </cell>
          <cell r="P1931" t="str">
            <v>S1</v>
          </cell>
          <cell r="Q1931" t="str">
            <v>J2</v>
          </cell>
          <cell r="R1931" t="str">
            <v>J6</v>
          </cell>
          <cell r="S1931" t="str">
            <v>ENTREGADO</v>
          </cell>
          <cell r="T1931">
            <v>42704</v>
          </cell>
          <cell r="U1931" t="str">
            <v>BAYONA CRUZ CRISTIAN ARMANDO</v>
          </cell>
          <cell r="V1931" t="str">
            <v>CORIHUAMAN SURCO  ERICK ROBERT</v>
          </cell>
        </row>
        <row r="1932">
          <cell r="A1932">
            <v>1934</v>
          </cell>
          <cell r="B1932">
            <v>42704</v>
          </cell>
          <cell r="C1932" t="str">
            <v>NOVIEMBRE</v>
          </cell>
          <cell r="D1932" t="str">
            <v>2016</v>
          </cell>
          <cell r="E1932">
            <v>455</v>
          </cell>
          <cell r="F1932" t="str">
            <v>C9P-948</v>
          </cell>
          <cell r="G1932" t="str">
            <v>B4O-995</v>
          </cell>
          <cell r="H1932" t="str">
            <v>LAS BAMBAS</v>
          </cell>
          <cell r="I1932">
            <v>156586</v>
          </cell>
          <cell r="J1932" t="str">
            <v>REPUESTO</v>
          </cell>
          <cell r="K1932" t="str">
            <v>ARANDELA PLANA 5/8</v>
          </cell>
          <cell r="L1932">
            <v>20</v>
          </cell>
          <cell r="M1932" t="str">
            <v>UNID.</v>
          </cell>
          <cell r="N1932" t="str">
            <v>TRACTO</v>
          </cell>
          <cell r="O1932">
            <v>0</v>
          </cell>
          <cell r="P1932" t="str">
            <v>S1</v>
          </cell>
          <cell r="Q1932" t="str">
            <v>J2</v>
          </cell>
          <cell r="R1932" t="str">
            <v>J6</v>
          </cell>
          <cell r="S1932" t="str">
            <v>ENTREGADO</v>
          </cell>
          <cell r="T1932">
            <v>42704</v>
          </cell>
          <cell r="U1932" t="str">
            <v>BAYONA CRUZ CRISTIAN ARMANDO</v>
          </cell>
          <cell r="V1932" t="str">
            <v>CORIHUAMAN SURCO  ERICK ROBERT</v>
          </cell>
        </row>
        <row r="1933">
          <cell r="A1933">
            <v>1935</v>
          </cell>
          <cell r="B1933">
            <v>42704</v>
          </cell>
          <cell r="C1933" t="str">
            <v>NOVIEMBRE</v>
          </cell>
          <cell r="D1933" t="str">
            <v>2016</v>
          </cell>
          <cell r="E1933">
            <v>455</v>
          </cell>
          <cell r="F1933" t="str">
            <v>C9P-948</v>
          </cell>
          <cell r="G1933" t="str">
            <v>B4O-995</v>
          </cell>
          <cell r="H1933" t="str">
            <v>LAS BAMBAS</v>
          </cell>
          <cell r="I1933">
            <v>156586</v>
          </cell>
          <cell r="J1933" t="str">
            <v>REPUESTO</v>
          </cell>
          <cell r="K1933" t="str">
            <v>TUERCA 5/8</v>
          </cell>
          <cell r="L1933">
            <v>10</v>
          </cell>
          <cell r="M1933" t="str">
            <v>UNID.</v>
          </cell>
          <cell r="N1933" t="str">
            <v>TRACTO</v>
          </cell>
          <cell r="O1933">
            <v>0</v>
          </cell>
          <cell r="P1933" t="str">
            <v>S1</v>
          </cell>
          <cell r="Q1933" t="str">
            <v>J2</v>
          </cell>
          <cell r="R1933" t="str">
            <v>J6</v>
          </cell>
          <cell r="S1933" t="str">
            <v>ENTREGADO</v>
          </cell>
          <cell r="T1933">
            <v>42704</v>
          </cell>
          <cell r="U1933" t="str">
            <v>BAYONA CRUZ CRISTIAN ARMANDO</v>
          </cell>
          <cell r="V1933" t="str">
            <v>CORIHUAMAN SURCO  ERICK ROBERT</v>
          </cell>
        </row>
        <row r="1934">
          <cell r="A1934">
            <v>1936</v>
          </cell>
          <cell r="B1934">
            <v>42704</v>
          </cell>
          <cell r="C1934" t="str">
            <v>NOVIEMBRE</v>
          </cell>
          <cell r="D1934" t="str">
            <v>2016</v>
          </cell>
          <cell r="E1934">
            <v>455</v>
          </cell>
          <cell r="F1934" t="str">
            <v>C9P-948</v>
          </cell>
          <cell r="G1934" t="str">
            <v>B4O-995</v>
          </cell>
          <cell r="H1934" t="str">
            <v>LAS BAMBAS</v>
          </cell>
          <cell r="I1934">
            <v>156586</v>
          </cell>
          <cell r="J1934" t="str">
            <v>REPUESTO</v>
          </cell>
          <cell r="K1934" t="str">
            <v>CELLOCORD</v>
          </cell>
          <cell r="L1934">
            <v>0.5</v>
          </cell>
          <cell r="M1934" t="str">
            <v>KG.</v>
          </cell>
          <cell r="N1934" t="str">
            <v>TRACTO</v>
          </cell>
          <cell r="O1934">
            <v>0</v>
          </cell>
          <cell r="P1934" t="str">
            <v>S1</v>
          </cell>
          <cell r="Q1934" t="str">
            <v>J2</v>
          </cell>
          <cell r="R1934" t="str">
            <v>J6</v>
          </cell>
          <cell r="S1934" t="str">
            <v>ENTREGADO</v>
          </cell>
          <cell r="T1934">
            <v>42704</v>
          </cell>
          <cell r="U1934" t="str">
            <v>BAYONA CRUZ CRISTIAN ARMANDO</v>
          </cell>
          <cell r="V1934" t="str">
            <v>CORIHUAMAN SURCO  ERICK ROBERT</v>
          </cell>
        </row>
        <row r="1935">
          <cell r="A1935">
            <v>1937</v>
          </cell>
          <cell r="B1935">
            <v>42704</v>
          </cell>
          <cell r="C1935" t="str">
            <v>NOVIEMBRE</v>
          </cell>
          <cell r="D1935" t="str">
            <v>2016</v>
          </cell>
          <cell r="E1935">
            <v>455</v>
          </cell>
          <cell r="F1935" t="str">
            <v>C9P-948</v>
          </cell>
          <cell r="G1935" t="str">
            <v>B4O-995</v>
          </cell>
          <cell r="H1935" t="str">
            <v>LAS BAMBAS</v>
          </cell>
          <cell r="I1935">
            <v>156586</v>
          </cell>
          <cell r="J1935" t="str">
            <v>REPUESTO</v>
          </cell>
          <cell r="K1935" t="str">
            <v>SUPERCITO 1/8</v>
          </cell>
          <cell r="L1935">
            <v>2</v>
          </cell>
          <cell r="M1935" t="str">
            <v>KG.</v>
          </cell>
          <cell r="N1935" t="str">
            <v>TRACTO</v>
          </cell>
          <cell r="O1935">
            <v>0</v>
          </cell>
          <cell r="P1935" t="str">
            <v>S1</v>
          </cell>
          <cell r="Q1935" t="str">
            <v>J2</v>
          </cell>
          <cell r="R1935" t="str">
            <v>J6</v>
          </cell>
          <cell r="S1935" t="str">
            <v>ENTREGADO</v>
          </cell>
          <cell r="T1935">
            <v>42704</v>
          </cell>
          <cell r="U1935" t="str">
            <v>BAYONA CRUZ CRISTIAN ARMANDO</v>
          </cell>
          <cell r="V1935" t="str">
            <v>CORIHUAMAN SURCO  ERICK ROBERT</v>
          </cell>
        </row>
        <row r="1936">
          <cell r="A1936">
            <v>1950</v>
          </cell>
          <cell r="B1936">
            <v>42704</v>
          </cell>
          <cell r="C1936" t="str">
            <v>NOVIEMBRE</v>
          </cell>
          <cell r="D1936" t="str">
            <v>2016</v>
          </cell>
          <cell r="E1936">
            <v>455</v>
          </cell>
          <cell r="F1936" t="str">
            <v>C9P-948</v>
          </cell>
          <cell r="G1936" t="str">
            <v>B4O-995</v>
          </cell>
          <cell r="H1936" t="str">
            <v>LAS BAMBAS</v>
          </cell>
          <cell r="I1936">
            <v>156586</v>
          </cell>
          <cell r="J1936" t="str">
            <v>REPUESTO</v>
          </cell>
          <cell r="K1936" t="str">
            <v>DISCO DE DESBASTE 7"</v>
          </cell>
          <cell r="L1936">
            <v>1</v>
          </cell>
          <cell r="M1936" t="str">
            <v>UNID.</v>
          </cell>
          <cell r="N1936" t="str">
            <v>CISTERNA</v>
          </cell>
          <cell r="O1936">
            <v>0</v>
          </cell>
          <cell r="P1936" t="str">
            <v>S1</v>
          </cell>
          <cell r="Q1936" t="str">
            <v>J2</v>
          </cell>
          <cell r="R1936" t="str">
            <v>J6</v>
          </cell>
          <cell r="S1936" t="str">
            <v>ENTREGADO</v>
          </cell>
          <cell r="T1936">
            <v>42704</v>
          </cell>
          <cell r="U1936" t="str">
            <v>BAYONA CRUZ CRISTIAN ARMANDO</v>
          </cell>
          <cell r="V1936" t="str">
            <v>CORIHUAMAN SURCO  ERICK ROBERT</v>
          </cell>
        </row>
        <row r="1937">
          <cell r="A1937">
            <v>1955</v>
          </cell>
          <cell r="B1937">
            <v>42704</v>
          </cell>
          <cell r="C1937" t="str">
            <v>NOVIEMBRE</v>
          </cell>
          <cell r="D1937" t="str">
            <v>2016</v>
          </cell>
          <cell r="E1937">
            <v>455</v>
          </cell>
          <cell r="F1937" t="str">
            <v>C9P-948</v>
          </cell>
          <cell r="G1937" t="str">
            <v>B4O-995</v>
          </cell>
          <cell r="H1937" t="str">
            <v>LAS BAMBAS</v>
          </cell>
          <cell r="I1937">
            <v>156586</v>
          </cell>
          <cell r="J1937" t="str">
            <v>REPUESTO</v>
          </cell>
          <cell r="K1937" t="str">
            <v>DISCO DE DESBASTE 4"</v>
          </cell>
          <cell r="L1937">
            <v>1</v>
          </cell>
          <cell r="M1937" t="str">
            <v>UNID.</v>
          </cell>
          <cell r="N1937" t="str">
            <v>CISTERNA</v>
          </cell>
          <cell r="O1937">
            <v>0</v>
          </cell>
          <cell r="P1937" t="str">
            <v>S1</v>
          </cell>
          <cell r="Q1937" t="str">
            <v>J2</v>
          </cell>
          <cell r="R1937" t="str">
            <v>J6</v>
          </cell>
          <cell r="S1937" t="str">
            <v>ENTREGADO</v>
          </cell>
          <cell r="T1937">
            <v>42704</v>
          </cell>
          <cell r="U1937" t="str">
            <v>BAYONA CRUZ CRISTIAN ARMANDO</v>
          </cell>
          <cell r="V1937" t="str">
            <v>CORIHUAMAN SURCO  ERICK ROBERT</v>
          </cell>
        </row>
        <row r="1938">
          <cell r="A1938">
            <v>1958</v>
          </cell>
          <cell r="B1938">
            <v>42704</v>
          </cell>
          <cell r="C1938" t="str">
            <v>NOVIEMBRE</v>
          </cell>
          <cell r="D1938" t="str">
            <v>2016</v>
          </cell>
          <cell r="E1938">
            <v>455</v>
          </cell>
          <cell r="F1938" t="str">
            <v>C9P-948</v>
          </cell>
          <cell r="G1938" t="str">
            <v>B4O-995</v>
          </cell>
          <cell r="H1938" t="str">
            <v>LAS BAMBAS</v>
          </cell>
          <cell r="I1938">
            <v>156586</v>
          </cell>
          <cell r="J1938" t="str">
            <v>INSUMO TALLER</v>
          </cell>
          <cell r="K1938" t="str">
            <v>SPRAY COLOR NEGRO</v>
          </cell>
          <cell r="L1938">
            <v>1</v>
          </cell>
          <cell r="M1938" t="str">
            <v>UNID.</v>
          </cell>
          <cell r="N1938" t="str">
            <v>TALLER</v>
          </cell>
          <cell r="O1938">
            <v>0</v>
          </cell>
          <cell r="P1938" t="str">
            <v>S1</v>
          </cell>
          <cell r="Q1938" t="str">
            <v>J2</v>
          </cell>
          <cell r="R1938" t="str">
            <v>J6</v>
          </cell>
          <cell r="S1938" t="str">
            <v>ENTREGADO</v>
          </cell>
          <cell r="T1938">
            <v>42704</v>
          </cell>
          <cell r="U1938" t="str">
            <v>BAYONA CRUZ CRISTIAN ARMANDO</v>
          </cell>
          <cell r="V1938" t="str">
            <v>CORIHUAMAN SURCO  ERICK ROBERT</v>
          </cell>
        </row>
        <row r="1939">
          <cell r="A1939">
            <v>1896</v>
          </cell>
          <cell r="B1939">
            <v>42704</v>
          </cell>
          <cell r="C1939" t="str">
            <v>NOVIEMBRE</v>
          </cell>
          <cell r="D1939" t="str">
            <v>2016</v>
          </cell>
          <cell r="E1939">
            <v>479</v>
          </cell>
          <cell r="F1939" t="str">
            <v>D3O-742</v>
          </cell>
          <cell r="G1939" t="str">
            <v>B8L-971</v>
          </cell>
          <cell r="H1939" t="str">
            <v>LAS BAMBAS</v>
          </cell>
          <cell r="I1939">
            <v>185466</v>
          </cell>
          <cell r="J1939" t="str">
            <v>REPUESTO</v>
          </cell>
          <cell r="K1939" t="str">
            <v>LIMPIA PARABRISA</v>
          </cell>
          <cell r="L1939">
            <v>0.5</v>
          </cell>
          <cell r="M1939" t="str">
            <v>GLNS.</v>
          </cell>
          <cell r="N1939" t="str">
            <v>TRACTO</v>
          </cell>
          <cell r="O1939">
            <v>0</v>
          </cell>
          <cell r="P1939" t="str">
            <v>M6</v>
          </cell>
          <cell r="Q1939" t="str">
            <v>J2</v>
          </cell>
          <cell r="R1939" t="str">
            <v>J6</v>
          </cell>
          <cell r="S1939" t="str">
            <v>ENTREGADO</v>
          </cell>
          <cell r="T1939">
            <v>42704</v>
          </cell>
          <cell r="U1939" t="str">
            <v>PARI VENTURA  EDSON ORLANDO</v>
          </cell>
          <cell r="V1939" t="str">
            <v>CORIHUAMAN SURCO  ERICK ROBERT</v>
          </cell>
        </row>
        <row r="1940">
          <cell r="A1940">
            <v>1902</v>
          </cell>
          <cell r="B1940">
            <v>42704</v>
          </cell>
          <cell r="C1940" t="str">
            <v>NOVIEMBRE</v>
          </cell>
          <cell r="D1940" t="str">
            <v>2016</v>
          </cell>
          <cell r="E1940">
            <v>479</v>
          </cell>
          <cell r="F1940" t="str">
            <v>D3O-742</v>
          </cell>
          <cell r="G1940" t="str">
            <v>B8L-971</v>
          </cell>
          <cell r="H1940" t="str">
            <v>LAS BAMBAS</v>
          </cell>
          <cell r="I1940">
            <v>185466</v>
          </cell>
          <cell r="J1940" t="str">
            <v>REPUESTO</v>
          </cell>
          <cell r="K1940" t="str">
            <v>HIDROLINA</v>
          </cell>
          <cell r="L1940">
            <v>0.5</v>
          </cell>
          <cell r="M1940" t="str">
            <v>GLNS.</v>
          </cell>
          <cell r="N1940" t="str">
            <v>TRACTO</v>
          </cell>
          <cell r="O1940">
            <v>0</v>
          </cell>
          <cell r="P1940" t="str">
            <v>M6</v>
          </cell>
          <cell r="Q1940" t="str">
            <v>J2</v>
          </cell>
          <cell r="R1940" t="str">
            <v>J6</v>
          </cell>
          <cell r="S1940" t="str">
            <v>ENTREGADO</v>
          </cell>
          <cell r="T1940">
            <v>42704</v>
          </cell>
          <cell r="U1940" t="str">
            <v>PARI VENTURA  EDSON ORLANDO</v>
          </cell>
          <cell r="V1940" t="str">
            <v>CORIHUAMAN SURCO  ERICK ROBERT</v>
          </cell>
        </row>
        <row r="1941">
          <cell r="A1941">
            <v>1904</v>
          </cell>
          <cell r="B1941">
            <v>42704</v>
          </cell>
          <cell r="C1941" t="str">
            <v>NOVIEMBRE</v>
          </cell>
          <cell r="D1941" t="str">
            <v>2016</v>
          </cell>
          <cell r="E1941">
            <v>463</v>
          </cell>
          <cell r="F1941" t="str">
            <v>D3O-745</v>
          </cell>
          <cell r="G1941" t="str">
            <v>F3L-979</v>
          </cell>
          <cell r="H1941" t="str">
            <v>LAS BAMBAS</v>
          </cell>
          <cell r="I1941">
            <v>157942</v>
          </cell>
          <cell r="J1941" t="str">
            <v>REPUESTO</v>
          </cell>
          <cell r="K1941" t="str">
            <v>PERNO MANHOLE 3/8 X 8</v>
          </cell>
          <cell r="L1941">
            <v>1</v>
          </cell>
          <cell r="M1941" t="str">
            <v>UNID.</v>
          </cell>
          <cell r="N1941" t="str">
            <v>CISTERNA</v>
          </cell>
          <cell r="O1941">
            <v>0</v>
          </cell>
          <cell r="P1941" t="str">
            <v>S3</v>
          </cell>
          <cell r="Q1941" t="str">
            <v>J2</v>
          </cell>
          <cell r="R1941" t="str">
            <v>J6</v>
          </cell>
          <cell r="S1941" t="str">
            <v>ENTREGADO</v>
          </cell>
          <cell r="T1941">
            <v>42704</v>
          </cell>
          <cell r="U1941" t="str">
            <v>JIMENEZ MACHACA JAVIER</v>
          </cell>
          <cell r="V1941" t="str">
            <v>CORIHUAMAN SURCO  ERICK ROBERT</v>
          </cell>
        </row>
        <row r="1942">
          <cell r="A1942">
            <v>1905</v>
          </cell>
          <cell r="B1942">
            <v>42704</v>
          </cell>
          <cell r="C1942" t="str">
            <v>NOVIEMBRE</v>
          </cell>
          <cell r="D1942" t="str">
            <v>2016</v>
          </cell>
          <cell r="E1942">
            <v>463</v>
          </cell>
          <cell r="F1942" t="str">
            <v>D3O-745</v>
          </cell>
          <cell r="G1942" t="str">
            <v>F3L-979</v>
          </cell>
          <cell r="H1942" t="str">
            <v>LAS BAMBAS</v>
          </cell>
          <cell r="I1942">
            <v>157942</v>
          </cell>
          <cell r="J1942" t="str">
            <v>REPUESTO</v>
          </cell>
          <cell r="K1942" t="str">
            <v>TUERCA 3/8</v>
          </cell>
          <cell r="L1942">
            <v>2</v>
          </cell>
          <cell r="M1942" t="str">
            <v>UNID.</v>
          </cell>
          <cell r="N1942" t="str">
            <v>CISTERNA</v>
          </cell>
          <cell r="O1942">
            <v>0</v>
          </cell>
          <cell r="P1942" t="str">
            <v>S3</v>
          </cell>
          <cell r="Q1942" t="str">
            <v>J2</v>
          </cell>
          <cell r="R1942" t="str">
            <v>J6</v>
          </cell>
          <cell r="S1942" t="str">
            <v>ENTREGADO</v>
          </cell>
          <cell r="T1942">
            <v>42704</v>
          </cell>
          <cell r="U1942" t="str">
            <v>JIMENEZ MACHACA JAVIER</v>
          </cell>
          <cell r="V1942" t="str">
            <v>CORIHUAMAN SURCO  ERICK ROBERT</v>
          </cell>
        </row>
        <row r="1943">
          <cell r="A1943">
            <v>1956</v>
          </cell>
          <cell r="B1943">
            <v>42704</v>
          </cell>
          <cell r="C1943" t="str">
            <v>NOVIEMBRE</v>
          </cell>
          <cell r="D1943" t="str">
            <v>2016</v>
          </cell>
          <cell r="E1943">
            <v>463</v>
          </cell>
          <cell r="F1943" t="str">
            <v>D3O-745</v>
          </cell>
          <cell r="G1943" t="str">
            <v>F3L-979</v>
          </cell>
          <cell r="H1943" t="str">
            <v>LAS BAMBAS</v>
          </cell>
          <cell r="I1943">
            <v>157942</v>
          </cell>
          <cell r="J1943" t="str">
            <v>REPUESTO</v>
          </cell>
          <cell r="K1943" t="str">
            <v>LIQUIDO REFRIGERANTE</v>
          </cell>
          <cell r="L1943">
            <v>1</v>
          </cell>
          <cell r="M1943" t="str">
            <v>GLNS.</v>
          </cell>
          <cell r="N1943" t="str">
            <v>TRACTO</v>
          </cell>
          <cell r="O1943">
            <v>0</v>
          </cell>
          <cell r="P1943" t="str">
            <v>M1</v>
          </cell>
          <cell r="Q1943" t="str">
            <v>J2</v>
          </cell>
          <cell r="R1943" t="str">
            <v>J5</v>
          </cell>
          <cell r="S1943" t="str">
            <v>ENTREGADO</v>
          </cell>
          <cell r="T1943">
            <v>42704</v>
          </cell>
          <cell r="U1943" t="str">
            <v>CABEZAS SANCHEZ JEAN JHONATAN</v>
          </cell>
          <cell r="V1943" t="str">
            <v>CORIHUAMAN SURCO  ERICK ROBERT</v>
          </cell>
        </row>
        <row r="1944">
          <cell r="A1944">
            <v>1891</v>
          </cell>
          <cell r="B1944">
            <v>42704</v>
          </cell>
          <cell r="C1944" t="str">
            <v>NOVIEMBRE</v>
          </cell>
          <cell r="D1944" t="str">
            <v>2016</v>
          </cell>
          <cell r="E1944">
            <v>467</v>
          </cell>
          <cell r="F1944" t="str">
            <v>D3P-743</v>
          </cell>
          <cell r="G1944" t="str">
            <v>B8L-972</v>
          </cell>
          <cell r="H1944" t="str">
            <v>LAS BAMBAS</v>
          </cell>
          <cell r="I1944">
            <v>181789</v>
          </cell>
          <cell r="J1944" t="str">
            <v>REPUESTO</v>
          </cell>
          <cell r="K1944" t="str">
            <v>SOBRERITO 1 X 5/16 X 1/2</v>
          </cell>
          <cell r="L1944">
            <v>2</v>
          </cell>
          <cell r="M1944" t="str">
            <v>UNID.</v>
          </cell>
          <cell r="N1944" t="str">
            <v>CISTERNA</v>
          </cell>
          <cell r="O1944">
            <v>86</v>
          </cell>
          <cell r="P1944" t="str">
            <v>S2</v>
          </cell>
          <cell r="Q1944" t="str">
            <v>J2</v>
          </cell>
          <cell r="R1944" t="str">
            <v>J6</v>
          </cell>
          <cell r="S1944" t="str">
            <v>PENDIENTE</v>
          </cell>
          <cell r="T1944">
            <v>0</v>
          </cell>
          <cell r="U1944" t="str">
            <v>PALOMINO ESTRADA  MICHEL</v>
          </cell>
          <cell r="V1944" t="str">
            <v>CORIHUAMAN SURCO  ERICK ROBERT</v>
          </cell>
        </row>
        <row r="1945">
          <cell r="A1945">
            <v>1899</v>
          </cell>
          <cell r="B1945">
            <v>42704</v>
          </cell>
          <cell r="C1945" t="str">
            <v>NOVIEMBRE</v>
          </cell>
          <cell r="D1945" t="str">
            <v>2016</v>
          </cell>
          <cell r="E1945">
            <v>467</v>
          </cell>
          <cell r="F1945" t="str">
            <v>D3P-743</v>
          </cell>
          <cell r="G1945" t="str">
            <v>B8L-972</v>
          </cell>
          <cell r="H1945" t="str">
            <v>LAS BAMBAS</v>
          </cell>
          <cell r="I1945">
            <v>181789</v>
          </cell>
          <cell r="J1945" t="str">
            <v>REPUESTO</v>
          </cell>
          <cell r="K1945" t="str">
            <v>PERNO CENTRO 1/2 X 6</v>
          </cell>
          <cell r="L1945">
            <v>1</v>
          </cell>
          <cell r="M1945" t="str">
            <v>UNID.</v>
          </cell>
          <cell r="N1945" t="str">
            <v>TRACTO</v>
          </cell>
          <cell r="O1945">
            <v>0</v>
          </cell>
          <cell r="P1945" t="str">
            <v>M7</v>
          </cell>
          <cell r="Q1945" t="str">
            <v>J2</v>
          </cell>
          <cell r="R1945" t="str">
            <v>J6</v>
          </cell>
          <cell r="S1945" t="str">
            <v>ENTREGADO</v>
          </cell>
          <cell r="T1945">
            <v>42704</v>
          </cell>
          <cell r="U1945" t="str">
            <v>ROBLES ROJAS  JOSE MIGUEL</v>
          </cell>
          <cell r="V1945" t="str">
            <v>CORIHUAMAN SURCO  ERICK ROBERT</v>
          </cell>
        </row>
        <row r="1946">
          <cell r="A1946">
            <v>1900</v>
          </cell>
          <cell r="B1946">
            <v>42704</v>
          </cell>
          <cell r="C1946" t="str">
            <v>NOVIEMBRE</v>
          </cell>
          <cell r="D1946" t="str">
            <v>2016</v>
          </cell>
          <cell r="E1946">
            <v>467</v>
          </cell>
          <cell r="F1946" t="str">
            <v>D3P-743</v>
          </cell>
          <cell r="G1946" t="str">
            <v>B8L-972</v>
          </cell>
          <cell r="H1946" t="str">
            <v>LAS BAMBAS</v>
          </cell>
          <cell r="I1946">
            <v>181789</v>
          </cell>
          <cell r="J1946" t="str">
            <v>REPUESTO</v>
          </cell>
          <cell r="K1946" t="str">
            <v>TUERCA 1/2</v>
          </cell>
          <cell r="L1946">
            <v>1</v>
          </cell>
          <cell r="M1946" t="str">
            <v>UNID.</v>
          </cell>
          <cell r="N1946" t="str">
            <v>TRACTO</v>
          </cell>
          <cell r="O1946">
            <v>0</v>
          </cell>
          <cell r="P1946" t="str">
            <v>M7</v>
          </cell>
          <cell r="Q1946" t="str">
            <v>J2</v>
          </cell>
          <cell r="R1946" t="str">
            <v>J6</v>
          </cell>
          <cell r="S1946" t="str">
            <v>ENTREGADO</v>
          </cell>
          <cell r="T1946">
            <v>42704</v>
          </cell>
          <cell r="U1946" t="str">
            <v>ROBLES ROJAS  JOSE MIGUEL</v>
          </cell>
          <cell r="V1946" t="str">
            <v>CORIHUAMAN SURCO  ERICK ROBERT</v>
          </cell>
        </row>
        <row r="1947">
          <cell r="A1947">
            <v>1901</v>
          </cell>
          <cell r="B1947">
            <v>42704</v>
          </cell>
          <cell r="C1947" t="str">
            <v>NOVIEMBRE</v>
          </cell>
          <cell r="D1947" t="str">
            <v>2016</v>
          </cell>
          <cell r="E1947">
            <v>467</v>
          </cell>
          <cell r="F1947" t="str">
            <v>D3P-743</v>
          </cell>
          <cell r="G1947" t="str">
            <v>B8L-972</v>
          </cell>
          <cell r="H1947" t="str">
            <v>LAS BAMBAS</v>
          </cell>
          <cell r="I1947">
            <v>181789</v>
          </cell>
          <cell r="J1947" t="str">
            <v>REPUESTO</v>
          </cell>
          <cell r="K1947" t="str">
            <v>ARANDELA PLANA 1/2</v>
          </cell>
          <cell r="L1947">
            <v>2</v>
          </cell>
          <cell r="M1947" t="str">
            <v>UNID.</v>
          </cell>
          <cell r="N1947" t="str">
            <v>TRACTO</v>
          </cell>
          <cell r="O1947">
            <v>0</v>
          </cell>
          <cell r="P1947" t="str">
            <v>M7</v>
          </cell>
          <cell r="Q1947" t="str">
            <v>J2</v>
          </cell>
          <cell r="R1947" t="str">
            <v>J6</v>
          </cell>
          <cell r="S1947" t="str">
            <v>ENTREGADO</v>
          </cell>
          <cell r="T1947">
            <v>42704</v>
          </cell>
          <cell r="U1947" t="str">
            <v>ROBLES ROJAS  JOSE MIGUEL</v>
          </cell>
          <cell r="V1947" t="str">
            <v>CORIHUAMAN SURCO  ERICK ROBERT</v>
          </cell>
        </row>
        <row r="1948">
          <cell r="A1948">
            <v>1922</v>
          </cell>
          <cell r="B1948">
            <v>42704</v>
          </cell>
          <cell r="C1948" t="str">
            <v>NOVIEMBRE</v>
          </cell>
          <cell r="D1948" t="str">
            <v>2016</v>
          </cell>
          <cell r="E1948">
            <v>467</v>
          </cell>
          <cell r="F1948" t="str">
            <v>D3P-743</v>
          </cell>
          <cell r="G1948" t="str">
            <v>B8L-972</v>
          </cell>
          <cell r="H1948" t="str">
            <v>LAS BAMBAS</v>
          </cell>
          <cell r="I1948">
            <v>181789</v>
          </cell>
          <cell r="J1948" t="str">
            <v>REPUESTO</v>
          </cell>
          <cell r="K1948" t="str">
            <v>LIQUIDO REFRIGERANTE</v>
          </cell>
          <cell r="L1948">
            <v>1</v>
          </cell>
          <cell r="M1948" t="str">
            <v>GLNS.</v>
          </cell>
          <cell r="N1948" t="str">
            <v>TRACTO</v>
          </cell>
          <cell r="O1948">
            <v>0</v>
          </cell>
          <cell r="P1948" t="str">
            <v>M5</v>
          </cell>
          <cell r="Q1948" t="str">
            <v>J2</v>
          </cell>
          <cell r="R1948" t="str">
            <v>J6</v>
          </cell>
          <cell r="S1948" t="str">
            <v>ENTREGADO</v>
          </cell>
          <cell r="T1948">
            <v>42704</v>
          </cell>
          <cell r="U1948" t="str">
            <v>LOPEZ RUIZ WILBERTO</v>
          </cell>
          <cell r="V1948" t="str">
            <v>CORIHUAMAN SURCO  ERICK ROBERT</v>
          </cell>
        </row>
        <row r="1949">
          <cell r="A1949">
            <v>1951</v>
          </cell>
          <cell r="B1949">
            <v>42704</v>
          </cell>
          <cell r="C1949" t="str">
            <v>NOVIEMBRE</v>
          </cell>
          <cell r="D1949" t="str">
            <v>2016</v>
          </cell>
          <cell r="E1949">
            <v>467</v>
          </cell>
          <cell r="F1949" t="str">
            <v>D3P-743</v>
          </cell>
          <cell r="G1949" t="str">
            <v>B8L-972</v>
          </cell>
          <cell r="H1949" t="str">
            <v>LAS BAMBAS</v>
          </cell>
          <cell r="I1949">
            <v>181789</v>
          </cell>
          <cell r="J1949" t="str">
            <v>REPUESTO</v>
          </cell>
          <cell r="K1949" t="str">
            <v>PERNO 9/16 X 3</v>
          </cell>
          <cell r="L1949">
            <v>2</v>
          </cell>
          <cell r="M1949" t="str">
            <v>UNID.</v>
          </cell>
          <cell r="N1949" t="str">
            <v>TRACTO</v>
          </cell>
          <cell r="O1949">
            <v>0</v>
          </cell>
          <cell r="P1949" t="str">
            <v>M7</v>
          </cell>
          <cell r="Q1949" t="str">
            <v>J2</v>
          </cell>
          <cell r="R1949" t="str">
            <v>J6</v>
          </cell>
          <cell r="S1949" t="str">
            <v>ENTREGADO</v>
          </cell>
          <cell r="T1949">
            <v>42704</v>
          </cell>
          <cell r="U1949" t="str">
            <v>ROBLES ROJAS  JOSE MIGUEL</v>
          </cell>
          <cell r="V1949" t="str">
            <v>CORIHUAMAN SURCO  ERICK ROBERT</v>
          </cell>
        </row>
        <row r="1950">
          <cell r="A1950">
            <v>1952</v>
          </cell>
          <cell r="B1950">
            <v>42704</v>
          </cell>
          <cell r="C1950" t="str">
            <v>NOVIEMBRE</v>
          </cell>
          <cell r="D1950" t="str">
            <v>2016</v>
          </cell>
          <cell r="E1950">
            <v>467</v>
          </cell>
          <cell r="F1950" t="str">
            <v>D3P-743</v>
          </cell>
          <cell r="G1950" t="str">
            <v>B8L-972</v>
          </cell>
          <cell r="H1950" t="str">
            <v>LAS BAMBAS</v>
          </cell>
          <cell r="I1950">
            <v>181789</v>
          </cell>
          <cell r="J1950" t="str">
            <v>REPUESTO</v>
          </cell>
          <cell r="K1950" t="str">
            <v>TUERCA SEGURO 9/16</v>
          </cell>
          <cell r="L1950">
            <v>2</v>
          </cell>
          <cell r="M1950" t="str">
            <v>UNID.</v>
          </cell>
          <cell r="N1950" t="str">
            <v>TRACTO</v>
          </cell>
          <cell r="O1950">
            <v>0</v>
          </cell>
          <cell r="P1950" t="str">
            <v>M7</v>
          </cell>
          <cell r="Q1950" t="str">
            <v>J2</v>
          </cell>
          <cell r="R1950" t="str">
            <v>J6</v>
          </cell>
          <cell r="S1950" t="str">
            <v>ENTREGADO</v>
          </cell>
          <cell r="T1950">
            <v>42704</v>
          </cell>
          <cell r="U1950" t="str">
            <v>ROBLES ROJAS  JOSE MIGUEL</v>
          </cell>
          <cell r="V1950" t="str">
            <v>CORIHUAMAN SURCO  ERICK ROBERT</v>
          </cell>
        </row>
        <row r="1951">
          <cell r="A1951">
            <v>1953</v>
          </cell>
          <cell r="B1951">
            <v>42704</v>
          </cell>
          <cell r="C1951" t="str">
            <v>NOVIEMBRE</v>
          </cell>
          <cell r="D1951" t="str">
            <v>2016</v>
          </cell>
          <cell r="E1951">
            <v>467</v>
          </cell>
          <cell r="F1951" t="str">
            <v>D3P-743</v>
          </cell>
          <cell r="G1951" t="str">
            <v>B8L-972</v>
          </cell>
          <cell r="H1951" t="str">
            <v>LAS BAMBAS</v>
          </cell>
          <cell r="I1951">
            <v>181789</v>
          </cell>
          <cell r="J1951" t="str">
            <v>REPUESTO</v>
          </cell>
          <cell r="K1951" t="str">
            <v>ARANDELA PLANA  9/16</v>
          </cell>
          <cell r="L1951">
            <v>4</v>
          </cell>
          <cell r="M1951" t="str">
            <v>UNID.</v>
          </cell>
          <cell r="N1951" t="str">
            <v>TRACTO</v>
          </cell>
          <cell r="O1951">
            <v>0</v>
          </cell>
          <cell r="P1951" t="str">
            <v>M7</v>
          </cell>
          <cell r="Q1951" t="str">
            <v>J2</v>
          </cell>
          <cell r="R1951" t="str">
            <v>J6</v>
          </cell>
          <cell r="S1951" t="str">
            <v>ENTREGADO</v>
          </cell>
          <cell r="T1951">
            <v>42704</v>
          </cell>
          <cell r="U1951" t="str">
            <v>ROBLES ROJAS  JOSE MIGUEL</v>
          </cell>
          <cell r="V1951" t="str">
            <v>CORIHUAMAN SURCO  ERICK ROBERT</v>
          </cell>
        </row>
        <row r="1952">
          <cell r="A1952">
            <v>1913</v>
          </cell>
          <cell r="B1952">
            <v>42704</v>
          </cell>
          <cell r="C1952" t="str">
            <v>NOVIEMBRE</v>
          </cell>
          <cell r="D1952" t="str">
            <v>2016</v>
          </cell>
          <cell r="E1952">
            <v>207</v>
          </cell>
          <cell r="F1952" t="str">
            <v>D3P-746</v>
          </cell>
          <cell r="G1952" t="str">
            <v>C0T-974</v>
          </cell>
          <cell r="H1952" t="str">
            <v>LAS BAMBAS</v>
          </cell>
          <cell r="I1952">
            <v>128937</v>
          </cell>
          <cell r="J1952" t="str">
            <v>REPUESTO</v>
          </cell>
          <cell r="K1952" t="str">
            <v>AGUA REFRIGERANTE</v>
          </cell>
          <cell r="L1952">
            <v>1</v>
          </cell>
          <cell r="M1952" t="str">
            <v>GLNS.</v>
          </cell>
          <cell r="N1952" t="str">
            <v>TRACTO</v>
          </cell>
          <cell r="O1952">
            <v>0</v>
          </cell>
          <cell r="P1952" t="str">
            <v>M5</v>
          </cell>
          <cell r="Q1952" t="str">
            <v>J2</v>
          </cell>
          <cell r="R1952" t="str">
            <v>J6</v>
          </cell>
          <cell r="S1952" t="str">
            <v>ENTREGADO</v>
          </cell>
          <cell r="T1952">
            <v>42704</v>
          </cell>
          <cell r="U1952" t="str">
            <v>LOPEZ RUIZ WILBERTO</v>
          </cell>
          <cell r="V1952" t="str">
            <v>CORIHUAMAN SURCO  ERICK ROBERT</v>
          </cell>
        </row>
        <row r="1953">
          <cell r="A1953">
            <v>1961</v>
          </cell>
          <cell r="B1953">
            <v>42704</v>
          </cell>
          <cell r="C1953" t="str">
            <v>NOVIEMBRE</v>
          </cell>
          <cell r="D1953" t="str">
            <v>2016</v>
          </cell>
          <cell r="E1953">
            <v>426</v>
          </cell>
          <cell r="F1953" t="str">
            <v>D3P-747</v>
          </cell>
          <cell r="G1953" t="str">
            <v>A0T-985</v>
          </cell>
          <cell r="H1953" t="str">
            <v>LAS BAMBAS</v>
          </cell>
          <cell r="I1953">
            <v>182544</v>
          </cell>
          <cell r="J1953" t="str">
            <v>REPUESTO</v>
          </cell>
          <cell r="K1953" t="str">
            <v>ACCESORIOS DE SECADOR DE AIRE</v>
          </cell>
          <cell r="L1953">
            <v>1</v>
          </cell>
          <cell r="M1953" t="str">
            <v>UNID.</v>
          </cell>
          <cell r="N1953" t="str">
            <v>TRACTO</v>
          </cell>
          <cell r="O1953">
            <v>0</v>
          </cell>
          <cell r="P1953" t="str">
            <v>M5</v>
          </cell>
          <cell r="Q1953" t="str">
            <v>J2</v>
          </cell>
          <cell r="R1953" t="str">
            <v>J6</v>
          </cell>
          <cell r="S1953" t="str">
            <v>ENTREGADO</v>
          </cell>
          <cell r="T1953">
            <v>42704</v>
          </cell>
          <cell r="U1953" t="str">
            <v>LOPEZ RUIZ WILBERTO</v>
          </cell>
          <cell r="V1953" t="str">
            <v>CORIHUAMAN SURCO  ERICK ROBERT</v>
          </cell>
        </row>
        <row r="1954">
          <cell r="A1954">
            <v>1962</v>
          </cell>
          <cell r="B1954">
            <v>42704</v>
          </cell>
          <cell r="C1954" t="str">
            <v>NOVIEMBRE</v>
          </cell>
          <cell r="D1954" t="str">
            <v>2016</v>
          </cell>
          <cell r="E1954">
            <v>426</v>
          </cell>
          <cell r="F1954" t="str">
            <v>D3P-747</v>
          </cell>
          <cell r="G1954" t="str">
            <v>A0T-985</v>
          </cell>
          <cell r="H1954" t="str">
            <v>LAS BAMBAS</v>
          </cell>
          <cell r="I1954">
            <v>182544</v>
          </cell>
          <cell r="J1954" t="str">
            <v>REPUESTO</v>
          </cell>
          <cell r="K1954" t="str">
            <v>FILTRO DE SECADOR DE AIRE</v>
          </cell>
          <cell r="L1954">
            <v>1</v>
          </cell>
          <cell r="M1954" t="str">
            <v>UNID.</v>
          </cell>
          <cell r="N1954" t="str">
            <v>TRACTO</v>
          </cell>
          <cell r="O1954">
            <v>0</v>
          </cell>
          <cell r="P1954" t="str">
            <v>M5</v>
          </cell>
          <cell r="Q1954" t="str">
            <v>J2</v>
          </cell>
          <cell r="R1954" t="str">
            <v>J6</v>
          </cell>
          <cell r="S1954" t="str">
            <v>ENTREGADO</v>
          </cell>
          <cell r="T1954">
            <v>42704</v>
          </cell>
          <cell r="U1954" t="str">
            <v>LOPEZ RUIZ WILBERTO</v>
          </cell>
          <cell r="V1954" t="str">
            <v>CORIHUAMAN SURCO  ERICK ROBERT</v>
          </cell>
        </row>
        <row r="1955">
          <cell r="A1955">
            <v>1963</v>
          </cell>
          <cell r="B1955">
            <v>42704</v>
          </cell>
          <cell r="C1955" t="str">
            <v>NOVIEMBRE</v>
          </cell>
          <cell r="D1955" t="str">
            <v>2016</v>
          </cell>
          <cell r="E1955">
            <v>426</v>
          </cell>
          <cell r="F1955" t="str">
            <v>D3P-747</v>
          </cell>
          <cell r="G1955" t="str">
            <v>A0T-985</v>
          </cell>
          <cell r="H1955" t="str">
            <v>LAS BAMBAS</v>
          </cell>
          <cell r="I1955">
            <v>182544</v>
          </cell>
          <cell r="J1955" t="str">
            <v>REPUESTO</v>
          </cell>
          <cell r="K1955" t="str">
            <v>LIQUIDO REFRIGERANTE</v>
          </cell>
          <cell r="L1955">
            <v>2</v>
          </cell>
          <cell r="M1955" t="str">
            <v>GLNS.</v>
          </cell>
          <cell r="N1955" t="str">
            <v>TRACTO</v>
          </cell>
          <cell r="O1955">
            <v>0</v>
          </cell>
          <cell r="P1955" t="str">
            <v>M5</v>
          </cell>
          <cell r="Q1955" t="str">
            <v>J2</v>
          </cell>
          <cell r="R1955" t="str">
            <v>J6</v>
          </cell>
          <cell r="S1955" t="str">
            <v>ENTREGADO</v>
          </cell>
          <cell r="T1955">
            <v>42704</v>
          </cell>
          <cell r="U1955" t="str">
            <v>LOPEZ RUIZ WILBERTO</v>
          </cell>
          <cell r="V1955" t="str">
            <v>CORIHUAMAN SURCO  ERICK ROBERT</v>
          </cell>
        </row>
        <row r="1956">
          <cell r="A1956">
            <v>1923</v>
          </cell>
          <cell r="B1956">
            <v>42704</v>
          </cell>
          <cell r="C1956" t="str">
            <v>NOVIEMBRE</v>
          </cell>
          <cell r="D1956" t="str">
            <v>2016</v>
          </cell>
          <cell r="E1956">
            <v>202</v>
          </cell>
          <cell r="F1956" t="str">
            <v>D3P-752</v>
          </cell>
          <cell r="G1956" t="str">
            <v>C5Y-985</v>
          </cell>
          <cell r="H1956" t="str">
            <v>LAS BAMBAS</v>
          </cell>
          <cell r="I1956">
            <v>150504</v>
          </cell>
          <cell r="J1956" t="str">
            <v>REPUESTO</v>
          </cell>
          <cell r="K1956" t="str">
            <v>PERNO 5/16 X 1 1/2</v>
          </cell>
          <cell r="L1956">
            <v>1</v>
          </cell>
          <cell r="M1956" t="str">
            <v>UNID.</v>
          </cell>
          <cell r="N1956" t="str">
            <v>TRACTO</v>
          </cell>
          <cell r="O1956">
            <v>0</v>
          </cell>
          <cell r="P1956" t="str">
            <v>M2</v>
          </cell>
          <cell r="Q1956" t="str">
            <v>J2</v>
          </cell>
          <cell r="R1956" t="str">
            <v>J6</v>
          </cell>
          <cell r="S1956" t="str">
            <v>ENTREGADO</v>
          </cell>
          <cell r="T1956">
            <v>42704</v>
          </cell>
          <cell r="U1956" t="str">
            <v>CHUMPITAZ GAGO JULIO ENRIQUE</v>
          </cell>
          <cell r="V1956" t="str">
            <v>CORIHUAMAN SURCO  ERICK ROBERT</v>
          </cell>
        </row>
        <row r="1957">
          <cell r="A1957">
            <v>1924</v>
          </cell>
          <cell r="B1957">
            <v>42704</v>
          </cell>
          <cell r="C1957" t="str">
            <v>NOVIEMBRE</v>
          </cell>
          <cell r="D1957" t="str">
            <v>2016</v>
          </cell>
          <cell r="E1957">
            <v>202</v>
          </cell>
          <cell r="F1957" t="str">
            <v>D3P-752</v>
          </cell>
          <cell r="G1957" t="str">
            <v>C5Y-985</v>
          </cell>
          <cell r="H1957" t="str">
            <v>LAS BAMBAS</v>
          </cell>
          <cell r="I1957">
            <v>150504</v>
          </cell>
          <cell r="J1957" t="str">
            <v>REPUESTO</v>
          </cell>
          <cell r="K1957" t="str">
            <v>TUERCA  5/16</v>
          </cell>
          <cell r="L1957">
            <v>1</v>
          </cell>
          <cell r="M1957" t="str">
            <v>UNID.</v>
          </cell>
          <cell r="N1957" t="str">
            <v>TRACTO</v>
          </cell>
          <cell r="O1957">
            <v>0</v>
          </cell>
          <cell r="P1957" t="str">
            <v>M2</v>
          </cell>
          <cell r="Q1957" t="str">
            <v>J2</v>
          </cell>
          <cell r="R1957" t="str">
            <v>J6</v>
          </cell>
          <cell r="S1957" t="str">
            <v>ENTREGADO</v>
          </cell>
          <cell r="T1957">
            <v>42704</v>
          </cell>
          <cell r="U1957" t="str">
            <v>CHUMPITAZ GAGO JULIO ENRIQUE</v>
          </cell>
          <cell r="V1957" t="str">
            <v>CORIHUAMAN SURCO  ERICK ROBERT</v>
          </cell>
        </row>
        <row r="1958">
          <cell r="A1958">
            <v>1925</v>
          </cell>
          <cell r="B1958">
            <v>42704</v>
          </cell>
          <cell r="C1958" t="str">
            <v>NOVIEMBRE</v>
          </cell>
          <cell r="D1958" t="str">
            <v>2016</v>
          </cell>
          <cell r="E1958">
            <v>202</v>
          </cell>
          <cell r="F1958" t="str">
            <v>D3P-752</v>
          </cell>
          <cell r="G1958" t="str">
            <v>C5Y-985</v>
          </cell>
          <cell r="H1958" t="str">
            <v>LAS BAMBAS</v>
          </cell>
          <cell r="I1958">
            <v>150504</v>
          </cell>
          <cell r="J1958" t="str">
            <v>REPUESTO</v>
          </cell>
          <cell r="K1958" t="str">
            <v>ARANDELA PLANA 5/16</v>
          </cell>
          <cell r="L1958">
            <v>2</v>
          </cell>
          <cell r="M1958" t="str">
            <v>UNID.</v>
          </cell>
          <cell r="N1958" t="str">
            <v>TRACTO</v>
          </cell>
          <cell r="O1958">
            <v>0</v>
          </cell>
          <cell r="P1958" t="str">
            <v>M2</v>
          </cell>
          <cell r="Q1958" t="str">
            <v>J2</v>
          </cell>
          <cell r="R1958" t="str">
            <v>J6</v>
          </cell>
          <cell r="S1958" t="str">
            <v>ENTREGADO</v>
          </cell>
          <cell r="T1958">
            <v>42704</v>
          </cell>
          <cell r="U1958" t="str">
            <v>CHUMPITAZ GAGO JULIO ENRIQUE</v>
          </cell>
          <cell r="V1958" t="str">
            <v>CORIHUAMAN SURCO  ERICK ROBERT</v>
          </cell>
        </row>
        <row r="1959">
          <cell r="A1959">
            <v>1945</v>
          </cell>
          <cell r="B1959">
            <v>42704</v>
          </cell>
          <cell r="C1959" t="str">
            <v>NOVIEMBRE</v>
          </cell>
          <cell r="D1959" t="str">
            <v>2016</v>
          </cell>
          <cell r="E1959">
            <v>202</v>
          </cell>
          <cell r="F1959" t="str">
            <v>D3P-752</v>
          </cell>
          <cell r="G1959" t="str">
            <v>C5Y-985</v>
          </cell>
          <cell r="H1959" t="str">
            <v>LAS BAMBAS</v>
          </cell>
          <cell r="I1959">
            <v>150504</v>
          </cell>
          <cell r="J1959" t="str">
            <v>REPUESTO</v>
          </cell>
          <cell r="K1959" t="str">
            <v>PERNOS 5/16 X 1</v>
          </cell>
          <cell r="L1959">
            <v>4</v>
          </cell>
          <cell r="M1959" t="str">
            <v>UNID.</v>
          </cell>
          <cell r="N1959" t="str">
            <v>TRACTO</v>
          </cell>
          <cell r="O1959">
            <v>0</v>
          </cell>
          <cell r="P1959" t="str">
            <v>M2</v>
          </cell>
          <cell r="Q1959" t="str">
            <v>J2</v>
          </cell>
          <cell r="R1959" t="str">
            <v>J6</v>
          </cell>
          <cell r="S1959" t="str">
            <v>ENTREGADO</v>
          </cell>
          <cell r="T1959">
            <v>42704</v>
          </cell>
          <cell r="U1959" t="str">
            <v>CHUMPITAZ GAGO JULIO ENRIQUE</v>
          </cell>
          <cell r="V1959" t="str">
            <v>CORIHUAMAN SURCO  ERICK ROBERT</v>
          </cell>
        </row>
        <row r="1960">
          <cell r="A1960">
            <v>1946</v>
          </cell>
          <cell r="B1960">
            <v>42704</v>
          </cell>
          <cell r="C1960" t="str">
            <v>NOVIEMBRE</v>
          </cell>
          <cell r="D1960" t="str">
            <v>2016</v>
          </cell>
          <cell r="E1960">
            <v>202</v>
          </cell>
          <cell r="F1960" t="str">
            <v>D3P-752</v>
          </cell>
          <cell r="G1960" t="str">
            <v>C5Y-985</v>
          </cell>
          <cell r="H1960" t="str">
            <v>LAS BAMBAS</v>
          </cell>
          <cell r="I1960">
            <v>150504</v>
          </cell>
          <cell r="J1960" t="str">
            <v>REPUESTO</v>
          </cell>
          <cell r="K1960" t="str">
            <v>ARANDELA PLANA 5/16</v>
          </cell>
          <cell r="L1960">
            <v>8</v>
          </cell>
          <cell r="M1960" t="str">
            <v>UNID.</v>
          </cell>
          <cell r="N1960" t="str">
            <v>TRACTO</v>
          </cell>
          <cell r="O1960">
            <v>0</v>
          </cell>
          <cell r="P1960" t="str">
            <v>M2</v>
          </cell>
          <cell r="Q1960" t="str">
            <v>J2</v>
          </cell>
          <cell r="R1960" t="str">
            <v>J6</v>
          </cell>
          <cell r="S1960" t="str">
            <v>ENTREGADO</v>
          </cell>
          <cell r="T1960">
            <v>42704</v>
          </cell>
          <cell r="U1960" t="str">
            <v>CHUMPITAZ GAGO JULIO ENRIQUE</v>
          </cell>
          <cell r="V1960" t="str">
            <v>CORIHUAMAN SURCO  ERICK ROBERT</v>
          </cell>
        </row>
        <row r="1961">
          <cell r="A1961">
            <v>1947</v>
          </cell>
          <cell r="B1961">
            <v>42704</v>
          </cell>
          <cell r="C1961" t="str">
            <v>NOVIEMBRE</v>
          </cell>
          <cell r="D1961" t="str">
            <v>2016</v>
          </cell>
          <cell r="E1961">
            <v>202</v>
          </cell>
          <cell r="F1961" t="str">
            <v>D3P-752</v>
          </cell>
          <cell r="G1961" t="str">
            <v>C5Y-985</v>
          </cell>
          <cell r="H1961" t="str">
            <v>LAS BAMBAS</v>
          </cell>
          <cell r="I1961">
            <v>150504</v>
          </cell>
          <cell r="J1961" t="str">
            <v>REPUESTO</v>
          </cell>
          <cell r="K1961" t="str">
            <v>TUERCA 5/16</v>
          </cell>
          <cell r="L1961">
            <v>4</v>
          </cell>
          <cell r="M1961" t="str">
            <v>UNID.</v>
          </cell>
          <cell r="N1961" t="str">
            <v>TRACTO</v>
          </cell>
          <cell r="O1961">
            <v>0</v>
          </cell>
          <cell r="P1961" t="str">
            <v>M2</v>
          </cell>
          <cell r="Q1961" t="str">
            <v>J2</v>
          </cell>
          <cell r="R1961" t="str">
            <v>J6</v>
          </cell>
          <cell r="S1961" t="str">
            <v>ENTREGADO</v>
          </cell>
          <cell r="T1961">
            <v>42704</v>
          </cell>
          <cell r="U1961" t="str">
            <v>CHUMPITAZ GAGO JULIO ENRIQUE</v>
          </cell>
          <cell r="V1961" t="str">
            <v>CORIHUAMAN SURCO  ERICK ROBERT</v>
          </cell>
        </row>
        <row r="1962">
          <cell r="A1962">
            <v>1939</v>
          </cell>
          <cell r="B1962">
            <v>42704</v>
          </cell>
          <cell r="C1962" t="str">
            <v>NOVIEMBRE</v>
          </cell>
          <cell r="D1962" t="str">
            <v>2016</v>
          </cell>
          <cell r="E1962">
            <v>473</v>
          </cell>
          <cell r="F1962" t="str">
            <v>D4X-872</v>
          </cell>
          <cell r="G1962" t="str">
            <v>B4P-976</v>
          </cell>
          <cell r="H1962" t="str">
            <v>LAS BAMBAS</v>
          </cell>
          <cell r="I1962">
            <v>183272</v>
          </cell>
          <cell r="J1962" t="str">
            <v>REPUESTO</v>
          </cell>
          <cell r="K1962" t="str">
            <v>ACEITE 15W40</v>
          </cell>
          <cell r="L1962">
            <v>10</v>
          </cell>
          <cell r="M1962" t="str">
            <v>GLNS.</v>
          </cell>
          <cell r="N1962" t="str">
            <v>TRACTO</v>
          </cell>
          <cell r="O1962">
            <v>0</v>
          </cell>
          <cell r="P1962" t="str">
            <v>M1</v>
          </cell>
          <cell r="Q1962" t="str">
            <v>J1</v>
          </cell>
          <cell r="R1962" t="str">
            <v>J6</v>
          </cell>
          <cell r="S1962" t="str">
            <v>ENTREGADO</v>
          </cell>
          <cell r="T1962">
            <v>42704</v>
          </cell>
          <cell r="U1962" t="str">
            <v>CABEZAS SANCHEZ JEAN JHONATAN</v>
          </cell>
          <cell r="V1962" t="str">
            <v>FLOREZ CONDORI  JOSE WILLIANS</v>
          </cell>
        </row>
        <row r="1963">
          <cell r="A1963">
            <v>1940</v>
          </cell>
          <cell r="B1963">
            <v>42704</v>
          </cell>
          <cell r="C1963" t="str">
            <v>NOVIEMBRE</v>
          </cell>
          <cell r="D1963" t="str">
            <v>2016</v>
          </cell>
          <cell r="E1963">
            <v>473</v>
          </cell>
          <cell r="F1963" t="str">
            <v>D4X-872</v>
          </cell>
          <cell r="G1963" t="str">
            <v>B4P-976</v>
          </cell>
          <cell r="H1963" t="str">
            <v>LAS BAMBAS</v>
          </cell>
          <cell r="I1963">
            <v>183272</v>
          </cell>
          <cell r="J1963" t="str">
            <v>REPUESTO</v>
          </cell>
          <cell r="K1963" t="str">
            <v>FILTRO DE ACEITE</v>
          </cell>
          <cell r="L1963">
            <v>2</v>
          </cell>
          <cell r="M1963" t="str">
            <v>UNID.</v>
          </cell>
          <cell r="N1963" t="str">
            <v>TRACTO</v>
          </cell>
          <cell r="O1963">
            <v>0</v>
          </cell>
          <cell r="P1963" t="str">
            <v>M1</v>
          </cell>
          <cell r="Q1963" t="str">
            <v>J1</v>
          </cell>
          <cell r="R1963" t="str">
            <v>J6</v>
          </cell>
          <cell r="S1963" t="str">
            <v>ENTREGADO</v>
          </cell>
          <cell r="T1963">
            <v>42704</v>
          </cell>
          <cell r="U1963" t="str">
            <v>CABEZAS SANCHEZ JEAN JHONATAN</v>
          </cell>
          <cell r="V1963" t="str">
            <v>FLOREZ CONDORI  JOSE WILLIANS</v>
          </cell>
        </row>
        <row r="1964">
          <cell r="A1964">
            <v>1941</v>
          </cell>
          <cell r="B1964">
            <v>42704</v>
          </cell>
          <cell r="C1964" t="str">
            <v>NOVIEMBRE</v>
          </cell>
          <cell r="D1964" t="str">
            <v>2016</v>
          </cell>
          <cell r="E1964">
            <v>473</v>
          </cell>
          <cell r="F1964" t="str">
            <v>D4X-872</v>
          </cell>
          <cell r="G1964" t="str">
            <v>B4P-976</v>
          </cell>
          <cell r="H1964" t="str">
            <v>LAS BAMBAS</v>
          </cell>
          <cell r="I1964">
            <v>183272</v>
          </cell>
          <cell r="J1964" t="str">
            <v>REPUESTO</v>
          </cell>
          <cell r="K1964" t="str">
            <v>FILTRO PETROLEO VALVULA</v>
          </cell>
          <cell r="L1964">
            <v>1</v>
          </cell>
          <cell r="M1964" t="str">
            <v>UNID.</v>
          </cell>
          <cell r="N1964" t="str">
            <v>TRACTO</v>
          </cell>
          <cell r="O1964">
            <v>0</v>
          </cell>
          <cell r="P1964" t="str">
            <v>M1</v>
          </cell>
          <cell r="Q1964" t="str">
            <v>J1</v>
          </cell>
          <cell r="R1964" t="str">
            <v>J6</v>
          </cell>
          <cell r="S1964" t="str">
            <v>ENTREGADO</v>
          </cell>
          <cell r="T1964">
            <v>42704</v>
          </cell>
          <cell r="U1964" t="str">
            <v>CABEZAS SANCHEZ JEAN JHONATAN</v>
          </cell>
          <cell r="V1964" t="str">
            <v>FLOREZ CONDORI  JOSE WILLIANS</v>
          </cell>
        </row>
        <row r="1965">
          <cell r="A1965">
            <v>1942</v>
          </cell>
          <cell r="B1965">
            <v>42704</v>
          </cell>
          <cell r="C1965" t="str">
            <v>NOVIEMBRE</v>
          </cell>
          <cell r="D1965" t="str">
            <v>2016</v>
          </cell>
          <cell r="E1965">
            <v>473</v>
          </cell>
          <cell r="F1965" t="str">
            <v>D4X-872</v>
          </cell>
          <cell r="G1965" t="str">
            <v>B4P-976</v>
          </cell>
          <cell r="H1965" t="str">
            <v>LAS BAMBAS</v>
          </cell>
          <cell r="I1965">
            <v>183272</v>
          </cell>
          <cell r="J1965" t="str">
            <v>REPUESTO</v>
          </cell>
          <cell r="K1965" t="str">
            <v>FILTRO PETROLEO</v>
          </cell>
          <cell r="L1965">
            <v>1</v>
          </cell>
          <cell r="M1965" t="str">
            <v>UNID.</v>
          </cell>
          <cell r="N1965" t="str">
            <v>TRACTO</v>
          </cell>
          <cell r="O1965">
            <v>0</v>
          </cell>
          <cell r="P1965" t="str">
            <v>M1</v>
          </cell>
          <cell r="Q1965" t="str">
            <v>J1</v>
          </cell>
          <cell r="R1965" t="str">
            <v>J6</v>
          </cell>
          <cell r="S1965" t="str">
            <v>ENTREGADO</v>
          </cell>
          <cell r="T1965">
            <v>42704</v>
          </cell>
          <cell r="U1965" t="str">
            <v>CABEZAS SANCHEZ JEAN JHONATAN</v>
          </cell>
          <cell r="V1965" t="str">
            <v>FLOREZ CONDORI  JOSE WILLIANS</v>
          </cell>
        </row>
        <row r="1966">
          <cell r="A1966">
            <v>1943</v>
          </cell>
          <cell r="B1966">
            <v>42704</v>
          </cell>
          <cell r="C1966" t="str">
            <v>NOVIEMBRE</v>
          </cell>
          <cell r="D1966" t="str">
            <v>2016</v>
          </cell>
          <cell r="E1966">
            <v>473</v>
          </cell>
          <cell r="F1966" t="str">
            <v>D4X-872</v>
          </cell>
          <cell r="G1966" t="str">
            <v>B4P-976</v>
          </cell>
          <cell r="H1966" t="str">
            <v>LAS BAMBAS</v>
          </cell>
          <cell r="I1966">
            <v>183272</v>
          </cell>
          <cell r="J1966" t="str">
            <v>REPUESTO</v>
          </cell>
          <cell r="K1966" t="str">
            <v>FILTRO AIRE PRIMARIO</v>
          </cell>
          <cell r="L1966">
            <v>1</v>
          </cell>
          <cell r="M1966" t="str">
            <v>UNID.</v>
          </cell>
          <cell r="N1966" t="str">
            <v>TRACTO</v>
          </cell>
          <cell r="O1966">
            <v>0</v>
          </cell>
          <cell r="P1966" t="str">
            <v>M1</v>
          </cell>
          <cell r="Q1966" t="str">
            <v>J1</v>
          </cell>
          <cell r="R1966" t="str">
            <v>J6</v>
          </cell>
          <cell r="S1966" t="str">
            <v>ENTREGADO</v>
          </cell>
          <cell r="T1966">
            <v>42704</v>
          </cell>
          <cell r="U1966" t="str">
            <v>CABEZAS SANCHEZ JEAN JHONATAN</v>
          </cell>
          <cell r="V1966" t="str">
            <v>FLOREZ CONDORI  JOSE WILLIANS</v>
          </cell>
        </row>
        <row r="1967">
          <cell r="A1967">
            <v>1944</v>
          </cell>
          <cell r="B1967">
            <v>42704</v>
          </cell>
          <cell r="C1967" t="str">
            <v>NOVIEMBRE</v>
          </cell>
          <cell r="D1967" t="str">
            <v>2016</v>
          </cell>
          <cell r="E1967">
            <v>473</v>
          </cell>
          <cell r="F1967" t="str">
            <v>D4X-872</v>
          </cell>
          <cell r="G1967" t="str">
            <v>B4P-976</v>
          </cell>
          <cell r="H1967" t="str">
            <v>LAS BAMBAS</v>
          </cell>
          <cell r="I1967">
            <v>183272</v>
          </cell>
          <cell r="J1967" t="str">
            <v>REPUESTO</v>
          </cell>
          <cell r="K1967" t="str">
            <v>LIMPIA PARABRISA</v>
          </cell>
          <cell r="L1967">
            <v>1</v>
          </cell>
          <cell r="M1967" t="str">
            <v>GLNS.</v>
          </cell>
          <cell r="N1967" t="str">
            <v>TRACTO</v>
          </cell>
          <cell r="O1967">
            <v>0</v>
          </cell>
          <cell r="P1967" t="str">
            <v>M1</v>
          </cell>
          <cell r="Q1967" t="str">
            <v>J1</v>
          </cell>
          <cell r="R1967" t="str">
            <v>J6</v>
          </cell>
          <cell r="S1967" t="str">
            <v>ENTREGADO</v>
          </cell>
          <cell r="T1967">
            <v>42704</v>
          </cell>
          <cell r="U1967" t="str">
            <v>CABEZAS SANCHEZ JEAN JHONATAN</v>
          </cell>
          <cell r="V1967" t="str">
            <v>FLOREZ CONDORI  JOSE WILLIANS</v>
          </cell>
        </row>
        <row r="1968">
          <cell r="A1968">
            <v>1886</v>
          </cell>
          <cell r="B1968">
            <v>42704</v>
          </cell>
          <cell r="C1968" t="str">
            <v>NOVIEMBRE</v>
          </cell>
          <cell r="D1968" t="str">
            <v>2016</v>
          </cell>
          <cell r="E1968">
            <v>424</v>
          </cell>
          <cell r="F1968" t="str">
            <v>D6F-898</v>
          </cell>
          <cell r="G1968" t="str">
            <v>T4L-996</v>
          </cell>
          <cell r="H1968" t="str">
            <v>LAS BAMBAS</v>
          </cell>
          <cell r="I1968">
            <v>161808</v>
          </cell>
          <cell r="J1968" t="str">
            <v>REPUESTO</v>
          </cell>
          <cell r="K1968" t="str">
            <v>SERVO DE DIRECCION</v>
          </cell>
          <cell r="L1968">
            <v>1</v>
          </cell>
          <cell r="M1968" t="str">
            <v>UNID.</v>
          </cell>
          <cell r="N1968" t="str">
            <v>TRACTO</v>
          </cell>
          <cell r="O1968">
            <v>86</v>
          </cell>
          <cell r="P1968" t="str">
            <v>M1</v>
          </cell>
          <cell r="Q1968" t="str">
            <v>J2</v>
          </cell>
          <cell r="R1968" t="str">
            <v>J6</v>
          </cell>
          <cell r="S1968" t="str">
            <v>ENTREGADO</v>
          </cell>
          <cell r="T1968">
            <v>0</v>
          </cell>
          <cell r="U1968" t="str">
            <v>CABEZAS SANCHEZ JEAN JHONATAN</v>
          </cell>
          <cell r="V1968" t="str">
            <v>CORIHUAMAN SURCO  ERICK ROBERT</v>
          </cell>
        </row>
        <row r="1969">
          <cell r="A1969">
            <v>1892</v>
          </cell>
          <cell r="B1969">
            <v>42704</v>
          </cell>
          <cell r="C1969" t="str">
            <v>NOVIEMBRE</v>
          </cell>
          <cell r="D1969" t="str">
            <v>2016</v>
          </cell>
          <cell r="E1969">
            <v>454</v>
          </cell>
          <cell r="F1969" t="str">
            <v>D6G-806</v>
          </cell>
          <cell r="G1969" t="str">
            <v>B8K-998</v>
          </cell>
          <cell r="H1969" t="str">
            <v>LAS BAMBAS</v>
          </cell>
          <cell r="I1969">
            <v>218209</v>
          </cell>
          <cell r="J1969" t="str">
            <v>REPUESTO</v>
          </cell>
          <cell r="K1969" t="str">
            <v>DISCO DE DESBASTE 4"</v>
          </cell>
          <cell r="L1969">
            <v>1</v>
          </cell>
          <cell r="M1969" t="str">
            <v>UNID.</v>
          </cell>
          <cell r="N1969" t="str">
            <v>CISTERNA</v>
          </cell>
          <cell r="O1969">
            <v>0</v>
          </cell>
          <cell r="P1969" t="str">
            <v>S3</v>
          </cell>
          <cell r="Q1969" t="str">
            <v>J2</v>
          </cell>
          <cell r="R1969" t="str">
            <v>J6</v>
          </cell>
          <cell r="S1969" t="str">
            <v>ENTREGADO</v>
          </cell>
          <cell r="T1969">
            <v>42704</v>
          </cell>
          <cell r="U1969" t="str">
            <v>JIMENEZ MACHACA JAVIER</v>
          </cell>
          <cell r="V1969" t="str">
            <v>CORIHUAMAN SURCO  ERICK ROBERT</v>
          </cell>
        </row>
        <row r="1970">
          <cell r="A1970">
            <v>1893</v>
          </cell>
          <cell r="B1970">
            <v>42704</v>
          </cell>
          <cell r="C1970" t="str">
            <v>NOVIEMBRE</v>
          </cell>
          <cell r="D1970" t="str">
            <v>2016</v>
          </cell>
          <cell r="E1970">
            <v>454</v>
          </cell>
          <cell r="F1970" t="str">
            <v>D6G-806</v>
          </cell>
          <cell r="G1970" t="str">
            <v>B8K-998</v>
          </cell>
          <cell r="H1970" t="str">
            <v>LAS BAMBAS</v>
          </cell>
          <cell r="I1970">
            <v>218209</v>
          </cell>
          <cell r="J1970" t="str">
            <v>REPUESTO</v>
          </cell>
          <cell r="K1970" t="str">
            <v>SUPERCITO 5/32</v>
          </cell>
          <cell r="L1970">
            <v>2</v>
          </cell>
          <cell r="M1970" t="str">
            <v>KG.</v>
          </cell>
          <cell r="N1970" t="str">
            <v>CISTERNA</v>
          </cell>
          <cell r="O1970">
            <v>0</v>
          </cell>
          <cell r="P1970" t="str">
            <v>S3</v>
          </cell>
          <cell r="Q1970" t="str">
            <v>J2</v>
          </cell>
          <cell r="R1970" t="str">
            <v>J6</v>
          </cell>
          <cell r="S1970" t="str">
            <v>ENTREGADO</v>
          </cell>
          <cell r="T1970">
            <v>42704</v>
          </cell>
          <cell r="U1970" t="str">
            <v>JIMENEZ MACHACA JAVIER</v>
          </cell>
          <cell r="V1970" t="str">
            <v>CORIHUAMAN SURCO  ERICK ROBERT</v>
          </cell>
        </row>
        <row r="1971">
          <cell r="A1971">
            <v>1887</v>
          </cell>
          <cell r="B1971">
            <v>42704</v>
          </cell>
          <cell r="C1971" t="str">
            <v>NOVIEMBRE</v>
          </cell>
          <cell r="D1971" t="str">
            <v>2016</v>
          </cell>
          <cell r="E1971">
            <v>200</v>
          </cell>
          <cell r="F1971" t="str">
            <v>TALLER</v>
          </cell>
          <cell r="G1971" t="str">
            <v>TALLER</v>
          </cell>
          <cell r="H1971" t="str">
            <v>TALLER</v>
          </cell>
          <cell r="I1971" t="str">
            <v>TALLER</v>
          </cell>
          <cell r="J1971" t="str">
            <v>INSUMO TALLER</v>
          </cell>
          <cell r="K1971" t="str">
            <v>DISCO DE DESBASTE 7"</v>
          </cell>
          <cell r="L1971">
            <v>1</v>
          </cell>
          <cell r="M1971" t="str">
            <v>UNID.</v>
          </cell>
          <cell r="N1971" t="str">
            <v>TALLER</v>
          </cell>
          <cell r="O1971">
            <v>86</v>
          </cell>
          <cell r="P1971" t="str">
            <v>S2</v>
          </cell>
          <cell r="Q1971" t="str">
            <v>J1</v>
          </cell>
          <cell r="R1971" t="str">
            <v>J6</v>
          </cell>
          <cell r="S1971" t="str">
            <v>ENTREGADO</v>
          </cell>
          <cell r="T1971">
            <v>0</v>
          </cell>
          <cell r="U1971" t="str">
            <v>PALOMINO ESTRADA  MICHEL</v>
          </cell>
          <cell r="V1971" t="str">
            <v>FLOREZ CONDORI  JOSE WILLIANS</v>
          </cell>
        </row>
        <row r="1972">
          <cell r="A1972">
            <v>1888</v>
          </cell>
          <cell r="B1972">
            <v>42704</v>
          </cell>
          <cell r="C1972" t="str">
            <v>NOVIEMBRE</v>
          </cell>
          <cell r="D1972" t="str">
            <v>2016</v>
          </cell>
          <cell r="E1972">
            <v>200</v>
          </cell>
          <cell r="F1972" t="str">
            <v>TALLER</v>
          </cell>
          <cell r="G1972" t="str">
            <v>TALLER</v>
          </cell>
          <cell r="H1972" t="str">
            <v>TALLER</v>
          </cell>
          <cell r="I1972" t="str">
            <v>TALLER</v>
          </cell>
          <cell r="J1972" t="str">
            <v>UNIFORMES</v>
          </cell>
          <cell r="K1972" t="str">
            <v>TAIVEX "L"</v>
          </cell>
          <cell r="L1972">
            <v>1</v>
          </cell>
          <cell r="M1972" t="str">
            <v>UNID.</v>
          </cell>
          <cell r="N1972" t="str">
            <v>TALLER</v>
          </cell>
          <cell r="O1972">
            <v>0</v>
          </cell>
          <cell r="P1972" t="str">
            <v>M3</v>
          </cell>
          <cell r="Q1972" t="str">
            <v>J1</v>
          </cell>
          <cell r="R1972" t="str">
            <v>J6</v>
          </cell>
          <cell r="S1972" t="str">
            <v>ENTREGADO</v>
          </cell>
          <cell r="T1972">
            <v>42704</v>
          </cell>
          <cell r="U1972" t="str">
            <v>GARCIA PASQUEL  JOSE LUIS</v>
          </cell>
          <cell r="V1972" t="str">
            <v>FLOREZ CONDORI  JOSE WILLIANS</v>
          </cell>
        </row>
        <row r="1973">
          <cell r="A1973">
            <v>1898</v>
          </cell>
          <cell r="B1973">
            <v>42704</v>
          </cell>
          <cell r="C1973" t="str">
            <v>NOVIEMBRE</v>
          </cell>
          <cell r="D1973" t="str">
            <v>2016</v>
          </cell>
          <cell r="E1973">
            <v>200</v>
          </cell>
          <cell r="F1973" t="str">
            <v>TALLER</v>
          </cell>
          <cell r="G1973" t="str">
            <v>TALLER</v>
          </cell>
          <cell r="H1973" t="str">
            <v>TALLER</v>
          </cell>
          <cell r="I1973" t="str">
            <v>TALLER</v>
          </cell>
          <cell r="J1973" t="str">
            <v>UNIFORMES</v>
          </cell>
          <cell r="K1973" t="str">
            <v>TAIVEX "L"</v>
          </cell>
          <cell r="L1973">
            <v>1</v>
          </cell>
          <cell r="M1973" t="str">
            <v>UNID.</v>
          </cell>
          <cell r="N1973" t="str">
            <v>TALLER</v>
          </cell>
          <cell r="O1973">
            <v>0</v>
          </cell>
          <cell r="P1973" t="str">
            <v>N1</v>
          </cell>
          <cell r="Q1973" t="str">
            <v>J3</v>
          </cell>
          <cell r="R1973" t="str">
            <v>J6</v>
          </cell>
          <cell r="S1973" t="str">
            <v>ENTREGADO</v>
          </cell>
          <cell r="T1973">
            <v>42704</v>
          </cell>
          <cell r="U1973" t="str">
            <v>AGUILAR CCANTUTA WILLY</v>
          </cell>
          <cell r="V1973" t="str">
            <v>CHURA PIZARRO ALBERTO</v>
          </cell>
        </row>
        <row r="1974">
          <cell r="A1974">
            <v>1906</v>
          </cell>
          <cell r="B1974">
            <v>42704</v>
          </cell>
          <cell r="C1974" t="str">
            <v>NOVIEMBRE</v>
          </cell>
          <cell r="D1974" t="str">
            <v>2016</v>
          </cell>
          <cell r="E1974">
            <v>200</v>
          </cell>
          <cell r="F1974" t="str">
            <v>TALLER</v>
          </cell>
          <cell r="G1974" t="str">
            <v>TALLER</v>
          </cell>
          <cell r="H1974" t="str">
            <v>TALLER</v>
          </cell>
          <cell r="I1974" t="str">
            <v>TALLER</v>
          </cell>
          <cell r="J1974" t="str">
            <v>INSUMO TALLER</v>
          </cell>
          <cell r="K1974" t="str">
            <v>SILICONA SIKA</v>
          </cell>
          <cell r="L1974">
            <v>1</v>
          </cell>
          <cell r="M1974" t="str">
            <v>UNID.</v>
          </cell>
          <cell r="N1974" t="str">
            <v>TALLER</v>
          </cell>
          <cell r="O1974">
            <v>0</v>
          </cell>
          <cell r="P1974" t="str">
            <v>E2</v>
          </cell>
          <cell r="Q1974" t="str">
            <v>J2</v>
          </cell>
          <cell r="R1974" t="str">
            <v>J6</v>
          </cell>
          <cell r="S1974" t="str">
            <v>ENTREGADO</v>
          </cell>
          <cell r="T1974">
            <v>42704</v>
          </cell>
          <cell r="U1974" t="str">
            <v>YUCA BELLIDO BORIS YERSY</v>
          </cell>
          <cell r="V1974" t="str">
            <v>CORIHUAMAN SURCO  ERICK ROBERT</v>
          </cell>
        </row>
        <row r="1975">
          <cell r="A1975">
            <v>1907</v>
          </cell>
          <cell r="B1975">
            <v>42704</v>
          </cell>
          <cell r="C1975" t="str">
            <v>NOVIEMBRE</v>
          </cell>
          <cell r="D1975" t="str">
            <v>2016</v>
          </cell>
          <cell r="E1975">
            <v>200</v>
          </cell>
          <cell r="F1975" t="str">
            <v>TALLER</v>
          </cell>
          <cell r="G1975" t="str">
            <v>TALLER</v>
          </cell>
          <cell r="H1975" t="str">
            <v>TALLER</v>
          </cell>
          <cell r="I1975" t="str">
            <v>TALLER</v>
          </cell>
          <cell r="J1975" t="str">
            <v>INSUMO TALLER</v>
          </cell>
          <cell r="K1975" t="str">
            <v>PRESINTOS 200</v>
          </cell>
          <cell r="L1975">
            <v>20</v>
          </cell>
          <cell r="M1975" t="str">
            <v>UNID.</v>
          </cell>
          <cell r="N1975" t="str">
            <v>TALLER</v>
          </cell>
          <cell r="O1975">
            <v>0</v>
          </cell>
          <cell r="P1975" t="str">
            <v>E2</v>
          </cell>
          <cell r="Q1975" t="str">
            <v>J2</v>
          </cell>
          <cell r="R1975" t="str">
            <v>J6</v>
          </cell>
          <cell r="S1975" t="str">
            <v>ENTREGADO</v>
          </cell>
          <cell r="T1975">
            <v>42704</v>
          </cell>
          <cell r="U1975" t="str">
            <v>YUCA BELLIDO BORIS YERSY</v>
          </cell>
          <cell r="V1975" t="str">
            <v>CORIHUAMAN SURCO  ERICK ROBERT</v>
          </cell>
        </row>
        <row r="1976">
          <cell r="A1976">
            <v>1908</v>
          </cell>
          <cell r="B1976">
            <v>42704</v>
          </cell>
          <cell r="C1976" t="str">
            <v>NOVIEMBRE</v>
          </cell>
          <cell r="D1976" t="str">
            <v>2016</v>
          </cell>
          <cell r="E1976">
            <v>200</v>
          </cell>
          <cell r="F1976" t="str">
            <v>TALLER</v>
          </cell>
          <cell r="G1976" t="str">
            <v>TALLER</v>
          </cell>
          <cell r="H1976" t="str">
            <v>TALLER</v>
          </cell>
          <cell r="I1976" t="str">
            <v>TALLER</v>
          </cell>
          <cell r="J1976" t="str">
            <v>INSUMO TALLER</v>
          </cell>
          <cell r="K1976" t="str">
            <v>VARILLAS FIERRO CUADRADO 5/8</v>
          </cell>
          <cell r="L1976">
            <v>2</v>
          </cell>
          <cell r="M1976" t="str">
            <v>UNID.</v>
          </cell>
          <cell r="N1976" t="str">
            <v>TALLER</v>
          </cell>
          <cell r="O1976">
            <v>86</v>
          </cell>
          <cell r="P1976" t="str">
            <v>S2</v>
          </cell>
          <cell r="Q1976" t="str">
            <v>J2</v>
          </cell>
          <cell r="R1976" t="str">
            <v>J6</v>
          </cell>
          <cell r="S1976" t="str">
            <v>PENDIENTE</v>
          </cell>
          <cell r="T1976">
            <v>0</v>
          </cell>
          <cell r="U1976" t="str">
            <v>PALOMINO ESTRADA  MICHEL</v>
          </cell>
          <cell r="V1976" t="str">
            <v>CORIHUAMAN SURCO  ERICK ROBERT</v>
          </cell>
        </row>
        <row r="1977">
          <cell r="A1977">
            <v>1938</v>
          </cell>
          <cell r="B1977">
            <v>42704</v>
          </cell>
          <cell r="C1977" t="str">
            <v>NOVIEMBRE</v>
          </cell>
          <cell r="D1977" t="str">
            <v>2016</v>
          </cell>
          <cell r="E1977">
            <v>200</v>
          </cell>
          <cell r="F1977" t="str">
            <v>TALLER</v>
          </cell>
          <cell r="G1977" t="str">
            <v>TALLER</v>
          </cell>
          <cell r="H1977" t="str">
            <v>TALLER</v>
          </cell>
          <cell r="I1977" t="str">
            <v>TALLER</v>
          </cell>
          <cell r="J1977" t="str">
            <v>INSUMO TALLER</v>
          </cell>
          <cell r="K1977" t="str">
            <v>TIZA DE CALDERA</v>
          </cell>
          <cell r="L1977">
            <v>1</v>
          </cell>
          <cell r="M1977" t="str">
            <v>UNID.</v>
          </cell>
          <cell r="N1977" t="str">
            <v>TALLER</v>
          </cell>
          <cell r="O1977">
            <v>0</v>
          </cell>
          <cell r="P1977" t="str">
            <v>S3</v>
          </cell>
          <cell r="Q1977" t="str">
            <v>J2</v>
          </cell>
          <cell r="R1977" t="str">
            <v>J6</v>
          </cell>
          <cell r="S1977" t="str">
            <v>ENTREGADO</v>
          </cell>
          <cell r="T1977">
            <v>42704</v>
          </cell>
          <cell r="U1977" t="str">
            <v>JIMENEZ MACHACA JAVIER</v>
          </cell>
          <cell r="V1977" t="str">
            <v>CORIHUAMAN SURCO  ERICK ROBERT</v>
          </cell>
        </row>
        <row r="1978">
          <cell r="A1978">
            <v>1948</v>
          </cell>
          <cell r="B1978">
            <v>42704</v>
          </cell>
          <cell r="C1978" t="str">
            <v>NOVIEMBRE</v>
          </cell>
          <cell r="D1978" t="str">
            <v>2016</v>
          </cell>
          <cell r="E1978">
            <v>200</v>
          </cell>
          <cell r="F1978" t="str">
            <v>TALLER</v>
          </cell>
          <cell r="G1978" t="str">
            <v>TALLER</v>
          </cell>
          <cell r="H1978" t="str">
            <v>TALLER</v>
          </cell>
          <cell r="I1978" t="str">
            <v>TALLER</v>
          </cell>
          <cell r="J1978" t="str">
            <v>INSUMO TALLER</v>
          </cell>
          <cell r="K1978" t="str">
            <v>SPRAY COLOR BLANCO</v>
          </cell>
          <cell r="L1978">
            <v>1</v>
          </cell>
          <cell r="M1978" t="str">
            <v>UNID.</v>
          </cell>
          <cell r="N1978" t="str">
            <v>TALLER</v>
          </cell>
          <cell r="O1978">
            <v>0</v>
          </cell>
          <cell r="P1978" t="str">
            <v>N1</v>
          </cell>
          <cell r="Q1978" t="str">
            <v>J3</v>
          </cell>
          <cell r="R1978" t="str">
            <v>J6</v>
          </cell>
          <cell r="S1978" t="str">
            <v>ENTREGADO</v>
          </cell>
          <cell r="T1978">
            <v>42704</v>
          </cell>
          <cell r="U1978" t="str">
            <v>AGUILAR CCANTUTA WILLY</v>
          </cell>
          <cell r="V1978" t="str">
            <v>CHURA PIZARRO ALBERTO</v>
          </cell>
        </row>
        <row r="1979">
          <cell r="A1979">
            <v>1949</v>
          </cell>
          <cell r="B1979">
            <v>42704</v>
          </cell>
          <cell r="C1979" t="str">
            <v>NOVIEMBRE</v>
          </cell>
          <cell r="D1979" t="str">
            <v>2016</v>
          </cell>
          <cell r="E1979">
            <v>200</v>
          </cell>
          <cell r="F1979" t="str">
            <v>TALLER</v>
          </cell>
          <cell r="G1979" t="str">
            <v>TALLER</v>
          </cell>
          <cell r="H1979" t="str">
            <v>TALLER</v>
          </cell>
          <cell r="I1979" t="str">
            <v>TALLER</v>
          </cell>
          <cell r="J1979" t="str">
            <v>INSUMO TALLER</v>
          </cell>
          <cell r="K1979" t="str">
            <v>SPRAY COLOR ALUMINIO</v>
          </cell>
          <cell r="L1979">
            <v>1</v>
          </cell>
          <cell r="M1979" t="str">
            <v>UNID.</v>
          </cell>
          <cell r="N1979" t="str">
            <v>TALLER</v>
          </cell>
          <cell r="O1979">
            <v>0</v>
          </cell>
          <cell r="P1979" t="str">
            <v>N1</v>
          </cell>
          <cell r="Q1979" t="str">
            <v>J3</v>
          </cell>
          <cell r="R1979" t="str">
            <v>J6</v>
          </cell>
          <cell r="S1979" t="str">
            <v>ENTREGADO</v>
          </cell>
          <cell r="T1979">
            <v>42704</v>
          </cell>
          <cell r="U1979" t="str">
            <v>AGUILAR CCANTUTA WILLY</v>
          </cell>
          <cell r="V1979" t="str">
            <v>CHURA PIZARRO ALBERTO</v>
          </cell>
        </row>
        <row r="1980">
          <cell r="A1980">
            <v>1954</v>
          </cell>
          <cell r="B1980">
            <v>42704</v>
          </cell>
          <cell r="C1980" t="str">
            <v>NOVIEMBRE</v>
          </cell>
          <cell r="D1980" t="str">
            <v>2016</v>
          </cell>
          <cell r="E1980">
            <v>200</v>
          </cell>
          <cell r="F1980" t="str">
            <v>TALLER</v>
          </cell>
          <cell r="G1980" t="str">
            <v>TALLER</v>
          </cell>
          <cell r="H1980" t="str">
            <v>TALLER</v>
          </cell>
          <cell r="I1980" t="str">
            <v>TALLER</v>
          </cell>
          <cell r="J1980" t="str">
            <v>INSUMO TALLER</v>
          </cell>
          <cell r="K1980" t="str">
            <v>SOLDIMIX</v>
          </cell>
          <cell r="L1980">
            <v>1</v>
          </cell>
          <cell r="M1980" t="str">
            <v>UNID.</v>
          </cell>
          <cell r="N1980" t="str">
            <v>TALLER</v>
          </cell>
          <cell r="O1980">
            <v>0</v>
          </cell>
          <cell r="P1980" t="str">
            <v>M7</v>
          </cell>
          <cell r="Q1980" t="str">
            <v>J2</v>
          </cell>
          <cell r="R1980" t="str">
            <v>J6</v>
          </cell>
          <cell r="S1980" t="str">
            <v>ENTREGADO</v>
          </cell>
          <cell r="T1980">
            <v>42704</v>
          </cell>
          <cell r="U1980" t="str">
            <v>ROBLES ROJAS  JOSE MIGUEL</v>
          </cell>
          <cell r="V1980" t="str">
            <v>CORIHUAMAN SURCO  ERICK ROBERT</v>
          </cell>
        </row>
        <row r="1981">
          <cell r="A1981">
            <v>1911</v>
          </cell>
          <cell r="B1981">
            <v>42704</v>
          </cell>
          <cell r="C1981" t="str">
            <v>NOVIEMBRE</v>
          </cell>
          <cell r="D1981" t="str">
            <v>2016</v>
          </cell>
          <cell r="E1981">
            <v>200</v>
          </cell>
          <cell r="F1981" t="str">
            <v>TALLER</v>
          </cell>
          <cell r="G1981" t="str">
            <v>TALLER</v>
          </cell>
          <cell r="H1981" t="str">
            <v>TALLER</v>
          </cell>
          <cell r="I1981" t="str">
            <v>TALLER</v>
          </cell>
          <cell r="J1981" t="str">
            <v>HERRAMIENTAS</v>
          </cell>
          <cell r="K1981" t="str">
            <v>MEDIDOR DE PRESION RECTO PARA LLANTAS</v>
          </cell>
          <cell r="L1981">
            <v>2</v>
          </cell>
          <cell r="M1981" t="str">
            <v>UNID.</v>
          </cell>
          <cell r="N1981" t="str">
            <v>TALLER</v>
          </cell>
          <cell r="O1981">
            <v>86</v>
          </cell>
          <cell r="P1981" t="str">
            <v>J3</v>
          </cell>
          <cell r="Q1981" t="str">
            <v>J3</v>
          </cell>
          <cell r="R1981" t="str">
            <v>J6</v>
          </cell>
          <cell r="S1981" t="str">
            <v>PENDIENTE</v>
          </cell>
          <cell r="T1981">
            <v>0</v>
          </cell>
          <cell r="U1981" t="str">
            <v>CHURA PIZARRO ALBERTO</v>
          </cell>
          <cell r="V1981" t="str">
            <v>CHURA PIZARRO ALBERTO</v>
          </cell>
        </row>
        <row r="1982">
          <cell r="A1982">
            <v>1872</v>
          </cell>
          <cell r="B1982">
            <v>42704</v>
          </cell>
          <cell r="C1982" t="str">
            <v>NOVIEMBRE</v>
          </cell>
          <cell r="D1982" t="str">
            <v>2016</v>
          </cell>
          <cell r="E1982">
            <v>439</v>
          </cell>
          <cell r="F1982" t="str">
            <v>X2W-761</v>
          </cell>
          <cell r="G1982" t="str">
            <v>C5V-996</v>
          </cell>
          <cell r="H1982" t="str">
            <v>LAS BAMBAS</v>
          </cell>
          <cell r="I1982">
            <v>142336</v>
          </cell>
          <cell r="J1982" t="str">
            <v>SERVICIO</v>
          </cell>
          <cell r="K1982" t="str">
            <v>PRENSADO DE MANGUERA (SEGÚN MUESTRA)</v>
          </cell>
          <cell r="L1982">
            <v>1</v>
          </cell>
          <cell r="M1982" t="str">
            <v>UNID.</v>
          </cell>
          <cell r="N1982" t="str">
            <v>TRACTO</v>
          </cell>
          <cell r="O1982">
            <v>0</v>
          </cell>
          <cell r="P1982" t="str">
            <v>J1</v>
          </cell>
          <cell r="Q1982" t="str">
            <v>J1</v>
          </cell>
          <cell r="R1982" t="str">
            <v>J5</v>
          </cell>
          <cell r="S1982" t="str">
            <v>ENTREGADO</v>
          </cell>
          <cell r="T1982">
            <v>42704</v>
          </cell>
          <cell r="U1982" t="str">
            <v>FLOREZ CONDORI  JOSE WILLIANS</v>
          </cell>
          <cell r="V1982" t="str">
            <v>FLOREZ CONDORI  JOSE WILLIANS</v>
          </cell>
        </row>
        <row r="1983">
          <cell r="A1983">
            <v>1894</v>
          </cell>
          <cell r="B1983">
            <v>42704</v>
          </cell>
          <cell r="C1983" t="str">
            <v>NOVIEMBRE</v>
          </cell>
          <cell r="D1983" t="str">
            <v>2016</v>
          </cell>
          <cell r="E1983">
            <v>477</v>
          </cell>
          <cell r="F1983" t="str">
            <v>X2W-761</v>
          </cell>
          <cell r="G1983" t="str">
            <v>C5V-996</v>
          </cell>
          <cell r="H1983" t="str">
            <v>LAS BAMBAS</v>
          </cell>
          <cell r="I1983">
            <v>142597</v>
          </cell>
          <cell r="J1983" t="str">
            <v>REPUESTO</v>
          </cell>
          <cell r="K1983" t="str">
            <v>MANGUERA 1/4</v>
          </cell>
          <cell r="L1983">
            <v>0.1</v>
          </cell>
          <cell r="M1983" t="str">
            <v>M</v>
          </cell>
          <cell r="N1983" t="str">
            <v>TRACTO</v>
          </cell>
          <cell r="O1983">
            <v>0</v>
          </cell>
          <cell r="P1983" t="str">
            <v>M3</v>
          </cell>
          <cell r="Q1983" t="str">
            <v>J2</v>
          </cell>
          <cell r="R1983" t="str">
            <v>J6</v>
          </cell>
          <cell r="S1983" t="str">
            <v>ENTREGADO</v>
          </cell>
          <cell r="T1983">
            <v>42704</v>
          </cell>
          <cell r="U1983" t="str">
            <v>GARCIA PASQUEL  JOSE LUIS</v>
          </cell>
          <cell r="V1983" t="str">
            <v>CORIHUAMAN SURCO  ERICK ROBERT</v>
          </cell>
        </row>
        <row r="1984">
          <cell r="A1984">
            <v>1895</v>
          </cell>
          <cell r="B1984">
            <v>42704</v>
          </cell>
          <cell r="C1984" t="str">
            <v>NOVIEMBRE</v>
          </cell>
          <cell r="D1984" t="str">
            <v>2016</v>
          </cell>
          <cell r="E1984">
            <v>477</v>
          </cell>
          <cell r="F1984" t="str">
            <v>X2W-761</v>
          </cell>
          <cell r="G1984" t="str">
            <v>C5V-996</v>
          </cell>
          <cell r="H1984" t="str">
            <v>LAS BAMBAS</v>
          </cell>
          <cell r="I1984">
            <v>142597</v>
          </cell>
          <cell r="J1984" t="str">
            <v>REPUESTO</v>
          </cell>
          <cell r="K1984" t="str">
            <v>UNION DE 1/4</v>
          </cell>
          <cell r="L1984">
            <v>1</v>
          </cell>
          <cell r="M1984" t="str">
            <v>UNID.</v>
          </cell>
          <cell r="N1984" t="str">
            <v>TRACTO</v>
          </cell>
          <cell r="O1984">
            <v>0</v>
          </cell>
          <cell r="P1984" t="str">
            <v>M3</v>
          </cell>
          <cell r="Q1984" t="str">
            <v>J2</v>
          </cell>
          <cell r="R1984" t="str">
            <v>J6</v>
          </cell>
          <cell r="S1984" t="str">
            <v>ENTREGADO</v>
          </cell>
          <cell r="T1984">
            <v>42704</v>
          </cell>
          <cell r="U1984" t="str">
            <v>GARCIA PASQUEL  JOSE LUIS</v>
          </cell>
          <cell r="V1984" t="str">
            <v>CORIHUAMAN SURCO  ERICK ROBERT</v>
          </cell>
        </row>
        <row r="1985">
          <cell r="A1985">
            <v>1912</v>
          </cell>
          <cell r="B1985">
            <v>42704</v>
          </cell>
          <cell r="C1985" t="str">
            <v>NOVIEMBRE</v>
          </cell>
          <cell r="D1985" t="str">
            <v>2016</v>
          </cell>
          <cell r="E1985">
            <v>480</v>
          </cell>
          <cell r="F1985" t="str">
            <v>X2W-762</v>
          </cell>
          <cell r="G1985" t="str">
            <v>C5V-998</v>
          </cell>
          <cell r="H1985" t="str">
            <v>LAS BAMBAS</v>
          </cell>
          <cell r="I1985">
            <v>156442</v>
          </cell>
          <cell r="J1985" t="str">
            <v>REPUESTO</v>
          </cell>
          <cell r="K1985" t="str">
            <v>LIQUIDO LIMPIAPARABRISAS</v>
          </cell>
          <cell r="L1985">
            <v>1</v>
          </cell>
          <cell r="M1985" t="str">
            <v>GLNS.</v>
          </cell>
          <cell r="N1985" t="str">
            <v>TRACTO</v>
          </cell>
          <cell r="O1985">
            <v>0</v>
          </cell>
          <cell r="P1985" t="str">
            <v>M5</v>
          </cell>
          <cell r="Q1985" t="str">
            <v>J2</v>
          </cell>
          <cell r="R1985" t="str">
            <v>J6</v>
          </cell>
          <cell r="S1985" t="str">
            <v>ENTREGADO</v>
          </cell>
          <cell r="T1985">
            <v>42704</v>
          </cell>
          <cell r="U1985" t="str">
            <v>LOPEZ RUIZ WILBERTO</v>
          </cell>
          <cell r="V1985" t="str">
            <v>CORIHUAMAN SURCO  ERICK ROBERT</v>
          </cell>
        </row>
        <row r="1986">
          <cell r="A1986">
            <v>1967</v>
          </cell>
          <cell r="B1986">
            <v>42705</v>
          </cell>
          <cell r="C1986" t="str">
            <v>DICIEMBRE</v>
          </cell>
          <cell r="D1986" t="str">
            <v>2016</v>
          </cell>
          <cell r="E1986">
            <v>308</v>
          </cell>
          <cell r="F1986" t="str">
            <v>A9H-889</v>
          </cell>
          <cell r="G1986" t="str">
            <v>CAMION</v>
          </cell>
          <cell r="H1986" t="str">
            <v>TAMBOMAYO</v>
          </cell>
          <cell r="I1986">
            <v>120654</v>
          </cell>
          <cell r="J1986" t="str">
            <v>REPUESTO</v>
          </cell>
          <cell r="K1986" t="str">
            <v>PLATINA 1/2 DE ANCHO, ESPESOR 1/8</v>
          </cell>
          <cell r="L1986">
            <v>1</v>
          </cell>
          <cell r="M1986" t="str">
            <v>UNID.</v>
          </cell>
          <cell r="N1986" t="str">
            <v>CAMION</v>
          </cell>
          <cell r="O1986">
            <v>0</v>
          </cell>
          <cell r="P1986" t="str">
            <v>J7</v>
          </cell>
          <cell r="Q1986" t="str">
            <v>J7</v>
          </cell>
          <cell r="R1986" t="str">
            <v>J5</v>
          </cell>
          <cell r="S1986" t="str">
            <v>ENTREGADO</v>
          </cell>
          <cell r="T1986">
            <v>42705</v>
          </cell>
          <cell r="U1986" t="str">
            <v>DONAYRE INGA PEDRO</v>
          </cell>
          <cell r="V1986" t="str">
            <v>DONAYRE INGA PEDRO</v>
          </cell>
        </row>
        <row r="1987">
          <cell r="A1987">
            <v>2045</v>
          </cell>
          <cell r="B1987">
            <v>42705</v>
          </cell>
          <cell r="C1987" t="str">
            <v>DICIEMBRE</v>
          </cell>
          <cell r="D1987" t="str">
            <v>2016</v>
          </cell>
          <cell r="E1987">
            <v>503</v>
          </cell>
          <cell r="F1987" t="str">
            <v>AAN-801</v>
          </cell>
          <cell r="G1987" t="str">
            <v>CAMIONETA</v>
          </cell>
          <cell r="H1987" t="str">
            <v>LAS BAMBAS</v>
          </cell>
          <cell r="I1987">
            <v>113370</v>
          </cell>
          <cell r="J1987" t="str">
            <v>REPUESTO</v>
          </cell>
          <cell r="K1987" t="str">
            <v>MICA DE FARO DE PERTIGA</v>
          </cell>
          <cell r="L1987">
            <v>1</v>
          </cell>
          <cell r="M1987" t="str">
            <v>UNID.</v>
          </cell>
          <cell r="N1987" t="str">
            <v>CAMIONETA</v>
          </cell>
          <cell r="O1987">
            <v>0</v>
          </cell>
          <cell r="P1987" t="str">
            <v>J2</v>
          </cell>
          <cell r="Q1987" t="str">
            <v>J2</v>
          </cell>
          <cell r="R1987" t="str">
            <v>J6</v>
          </cell>
          <cell r="S1987" t="str">
            <v>ENTREGADO</v>
          </cell>
          <cell r="T1987">
            <v>42705</v>
          </cell>
          <cell r="U1987" t="str">
            <v>CORIHUAMAN SURCO  ERICK ROBERT</v>
          </cell>
          <cell r="V1987" t="str">
            <v>CORIHUAMAN SURCO  ERICK ROBERT</v>
          </cell>
        </row>
        <row r="1988">
          <cell r="A1988">
            <v>2031</v>
          </cell>
          <cell r="B1988">
            <v>42705</v>
          </cell>
          <cell r="C1988" t="str">
            <v>DICIEMBRE</v>
          </cell>
          <cell r="D1988" t="str">
            <v>2016</v>
          </cell>
          <cell r="E1988">
            <v>498</v>
          </cell>
          <cell r="F1988" t="str">
            <v>ABP-729</v>
          </cell>
          <cell r="G1988" t="str">
            <v>D8K-985</v>
          </cell>
          <cell r="H1988" t="str">
            <v>LAS BAMBAS</v>
          </cell>
          <cell r="I1988">
            <v>109024</v>
          </cell>
          <cell r="J1988" t="str">
            <v>REPUESTO</v>
          </cell>
          <cell r="K1988" t="str">
            <v>FILTRO DE ACEITE</v>
          </cell>
          <cell r="L1988">
            <v>2</v>
          </cell>
          <cell r="M1988" t="str">
            <v>UNID.</v>
          </cell>
          <cell r="N1988" t="str">
            <v>TRACTO</v>
          </cell>
          <cell r="O1988">
            <v>0</v>
          </cell>
          <cell r="P1988" t="str">
            <v>M8</v>
          </cell>
          <cell r="Q1988" t="str">
            <v>J2</v>
          </cell>
          <cell r="R1988" t="str">
            <v>J6</v>
          </cell>
          <cell r="S1988" t="str">
            <v>ENTREGADO</v>
          </cell>
          <cell r="T1988">
            <v>42705</v>
          </cell>
          <cell r="U1988" t="str">
            <v>VARILLAS GAGO  OSCAR ALBERTO</v>
          </cell>
          <cell r="V1988" t="str">
            <v>CORIHUAMAN SURCO  ERICK ROBERT</v>
          </cell>
        </row>
        <row r="1989">
          <cell r="A1989">
            <v>2032</v>
          </cell>
          <cell r="B1989">
            <v>42705</v>
          </cell>
          <cell r="C1989" t="str">
            <v>DICIEMBRE</v>
          </cell>
          <cell r="D1989" t="str">
            <v>2016</v>
          </cell>
          <cell r="E1989">
            <v>498</v>
          </cell>
          <cell r="F1989" t="str">
            <v>ABP-729</v>
          </cell>
          <cell r="G1989" t="str">
            <v>D8K-985</v>
          </cell>
          <cell r="H1989" t="str">
            <v>LAS BAMBAS</v>
          </cell>
          <cell r="I1989">
            <v>109024</v>
          </cell>
          <cell r="J1989" t="str">
            <v>REPUESTO</v>
          </cell>
          <cell r="K1989" t="str">
            <v>FILTRO DE COMBUSTIBLE</v>
          </cell>
          <cell r="L1989">
            <v>1</v>
          </cell>
          <cell r="M1989" t="str">
            <v>UNID.</v>
          </cell>
          <cell r="N1989" t="str">
            <v>TRACTO</v>
          </cell>
          <cell r="O1989">
            <v>0</v>
          </cell>
          <cell r="P1989" t="str">
            <v>M8</v>
          </cell>
          <cell r="Q1989" t="str">
            <v>J2</v>
          </cell>
          <cell r="R1989" t="str">
            <v>J6</v>
          </cell>
          <cell r="S1989" t="str">
            <v>ENTREGADO</v>
          </cell>
          <cell r="T1989">
            <v>42705</v>
          </cell>
          <cell r="U1989" t="str">
            <v>VARILLAS GAGO  OSCAR ALBERTO</v>
          </cell>
          <cell r="V1989" t="str">
            <v>CORIHUAMAN SURCO  ERICK ROBERT</v>
          </cell>
        </row>
        <row r="1990">
          <cell r="A1990">
            <v>2033</v>
          </cell>
          <cell r="B1990">
            <v>42705</v>
          </cell>
          <cell r="C1990" t="str">
            <v>DICIEMBRE</v>
          </cell>
          <cell r="D1990" t="str">
            <v>2016</v>
          </cell>
          <cell r="E1990">
            <v>498</v>
          </cell>
          <cell r="F1990" t="str">
            <v>ABP-729</v>
          </cell>
          <cell r="G1990" t="str">
            <v>D8K-985</v>
          </cell>
          <cell r="H1990" t="str">
            <v>LAS BAMBAS</v>
          </cell>
          <cell r="I1990">
            <v>109024</v>
          </cell>
          <cell r="J1990" t="str">
            <v>REPUESTO</v>
          </cell>
          <cell r="K1990" t="str">
            <v>FILTRO SEPARADOR DE AGUA CON VALVULA</v>
          </cell>
          <cell r="L1990">
            <v>1</v>
          </cell>
          <cell r="M1990" t="str">
            <v>UNID.</v>
          </cell>
          <cell r="N1990" t="str">
            <v>TRACTO</v>
          </cell>
          <cell r="O1990">
            <v>0</v>
          </cell>
          <cell r="P1990" t="str">
            <v>M8</v>
          </cell>
          <cell r="Q1990" t="str">
            <v>J2</v>
          </cell>
          <cell r="R1990" t="str">
            <v>J6</v>
          </cell>
          <cell r="S1990" t="str">
            <v>ENTREGADO</v>
          </cell>
          <cell r="T1990">
            <v>42705</v>
          </cell>
          <cell r="U1990" t="str">
            <v>VARILLAS GAGO  OSCAR ALBERTO</v>
          </cell>
          <cell r="V1990" t="str">
            <v>CORIHUAMAN SURCO  ERICK ROBERT</v>
          </cell>
        </row>
        <row r="1991">
          <cell r="A1991">
            <v>2034</v>
          </cell>
          <cell r="B1991">
            <v>42705</v>
          </cell>
          <cell r="C1991" t="str">
            <v>DICIEMBRE</v>
          </cell>
          <cell r="D1991" t="str">
            <v>2016</v>
          </cell>
          <cell r="E1991">
            <v>498</v>
          </cell>
          <cell r="F1991" t="str">
            <v>ABP-729</v>
          </cell>
          <cell r="G1991" t="str">
            <v>D8K-985</v>
          </cell>
          <cell r="H1991" t="str">
            <v>LAS BAMBAS</v>
          </cell>
          <cell r="I1991">
            <v>109024</v>
          </cell>
          <cell r="J1991" t="str">
            <v>REPUESTO</v>
          </cell>
          <cell r="K1991" t="str">
            <v>ACEITE 15W40</v>
          </cell>
          <cell r="L1991">
            <v>10</v>
          </cell>
          <cell r="M1991" t="str">
            <v>GLNS.</v>
          </cell>
          <cell r="N1991" t="str">
            <v>TRACTO</v>
          </cell>
          <cell r="O1991">
            <v>0</v>
          </cell>
          <cell r="P1991" t="str">
            <v>M8</v>
          </cell>
          <cell r="Q1991" t="str">
            <v>J2</v>
          </cell>
          <cell r="R1991" t="str">
            <v>J6</v>
          </cell>
          <cell r="S1991" t="str">
            <v>ENTREGADO</v>
          </cell>
          <cell r="T1991">
            <v>42705</v>
          </cell>
          <cell r="U1991" t="str">
            <v>VARILLAS GAGO  OSCAR ALBERTO</v>
          </cell>
          <cell r="V1991" t="str">
            <v>CORIHUAMAN SURCO  ERICK ROBERT</v>
          </cell>
        </row>
        <row r="1992">
          <cell r="A1992">
            <v>2035</v>
          </cell>
          <cell r="B1992">
            <v>42705</v>
          </cell>
          <cell r="C1992" t="str">
            <v>DICIEMBRE</v>
          </cell>
          <cell r="D1992" t="str">
            <v>2016</v>
          </cell>
          <cell r="E1992">
            <v>498</v>
          </cell>
          <cell r="F1992" t="str">
            <v>ABP-729</v>
          </cell>
          <cell r="G1992" t="str">
            <v>D8K-985</v>
          </cell>
          <cell r="H1992" t="str">
            <v>LAS BAMBAS</v>
          </cell>
          <cell r="I1992">
            <v>109024</v>
          </cell>
          <cell r="J1992" t="str">
            <v>REPUESTO</v>
          </cell>
          <cell r="K1992" t="str">
            <v>REFRIGERANTE</v>
          </cell>
          <cell r="L1992">
            <v>0.5</v>
          </cell>
          <cell r="M1992" t="str">
            <v>GLNS.</v>
          </cell>
          <cell r="N1992" t="str">
            <v>TRACTO</v>
          </cell>
          <cell r="O1992">
            <v>0</v>
          </cell>
          <cell r="P1992" t="str">
            <v>M8</v>
          </cell>
          <cell r="Q1992" t="str">
            <v>J2</v>
          </cell>
          <cell r="R1992" t="str">
            <v>J6</v>
          </cell>
          <cell r="S1992" t="str">
            <v>ENTREGADO</v>
          </cell>
          <cell r="T1992">
            <v>42705</v>
          </cell>
          <cell r="U1992" t="str">
            <v>VARILLAS GAGO  OSCAR ALBERTO</v>
          </cell>
          <cell r="V1992" t="str">
            <v>CORIHUAMAN SURCO  ERICK ROBERT</v>
          </cell>
        </row>
        <row r="1993">
          <cell r="A1993">
            <v>2013</v>
          </cell>
          <cell r="B1993">
            <v>42705</v>
          </cell>
          <cell r="C1993" t="str">
            <v>DICIEMBRE</v>
          </cell>
          <cell r="D1993" t="str">
            <v>2016</v>
          </cell>
          <cell r="E1993">
            <v>493</v>
          </cell>
          <cell r="F1993" t="str">
            <v>ABP-783</v>
          </cell>
          <cell r="G1993" t="str">
            <v>C9S-988</v>
          </cell>
          <cell r="H1993" t="str">
            <v>LAS BAMBAS</v>
          </cell>
          <cell r="I1993">
            <v>125600</v>
          </cell>
          <cell r="J1993" t="str">
            <v>INSUMO TALLER</v>
          </cell>
          <cell r="K1993" t="str">
            <v>SPRAY COLOR VERDE</v>
          </cell>
          <cell r="L1993">
            <v>1</v>
          </cell>
          <cell r="M1993" t="str">
            <v>UNID.</v>
          </cell>
          <cell r="N1993" t="str">
            <v>CISTERNA</v>
          </cell>
          <cell r="O1993">
            <v>0</v>
          </cell>
          <cell r="P1993" t="str">
            <v>S1</v>
          </cell>
          <cell r="Q1993" t="str">
            <v>J2</v>
          </cell>
          <cell r="R1993" t="str">
            <v>J6</v>
          </cell>
          <cell r="S1993" t="str">
            <v>ENTREGADO</v>
          </cell>
          <cell r="T1993">
            <v>42705</v>
          </cell>
          <cell r="U1993" t="str">
            <v>BAYONA CRUZ CRISTIAN ARMANDO</v>
          </cell>
          <cell r="V1993" t="str">
            <v>CORIHUAMAN SURCO  ERICK ROBERT</v>
          </cell>
        </row>
        <row r="1994">
          <cell r="A1994">
            <v>2014</v>
          </cell>
          <cell r="B1994">
            <v>42705</v>
          </cell>
          <cell r="C1994" t="str">
            <v>DICIEMBRE</v>
          </cell>
          <cell r="D1994" t="str">
            <v>2016</v>
          </cell>
          <cell r="E1994">
            <v>493</v>
          </cell>
          <cell r="F1994" t="str">
            <v>ABP-783</v>
          </cell>
          <cell r="G1994" t="str">
            <v>C9S-988</v>
          </cell>
          <cell r="H1994" t="str">
            <v>LAS BAMBAS</v>
          </cell>
          <cell r="I1994">
            <v>125600</v>
          </cell>
          <cell r="J1994" t="str">
            <v>INSUMO TALLER</v>
          </cell>
          <cell r="K1994" t="str">
            <v>CELLOCORD 1/8</v>
          </cell>
          <cell r="L1994">
            <v>1</v>
          </cell>
          <cell r="M1994" t="str">
            <v>KG.</v>
          </cell>
          <cell r="N1994" t="str">
            <v>CISTERNA</v>
          </cell>
          <cell r="O1994">
            <v>0</v>
          </cell>
          <cell r="P1994" t="str">
            <v>S1</v>
          </cell>
          <cell r="Q1994" t="str">
            <v>J2</v>
          </cell>
          <cell r="R1994" t="str">
            <v>J6</v>
          </cell>
          <cell r="S1994" t="str">
            <v>ENTREGADO</v>
          </cell>
          <cell r="T1994">
            <v>42705</v>
          </cell>
          <cell r="U1994" t="str">
            <v>BAYONA CRUZ CRISTIAN ARMANDO</v>
          </cell>
          <cell r="V1994" t="str">
            <v>CORIHUAMAN SURCO  ERICK ROBERT</v>
          </cell>
        </row>
        <row r="1995">
          <cell r="A1995">
            <v>1966</v>
          </cell>
          <cell r="B1995">
            <v>42705</v>
          </cell>
          <cell r="C1995" t="str">
            <v>DICIEMBRE</v>
          </cell>
          <cell r="D1995" t="str">
            <v>2016</v>
          </cell>
          <cell r="E1995">
            <v>396</v>
          </cell>
          <cell r="F1995" t="str">
            <v>ABQ-780</v>
          </cell>
          <cell r="G1995" t="str">
            <v>C9S-990</v>
          </cell>
          <cell r="H1995" t="str">
            <v>LAS BAMBAS</v>
          </cell>
          <cell r="I1995">
            <v>113997</v>
          </cell>
          <cell r="J1995" t="str">
            <v>REPUESTO</v>
          </cell>
          <cell r="K1995" t="str">
            <v>VARILLAS DE INOX</v>
          </cell>
          <cell r="L1995">
            <v>5</v>
          </cell>
          <cell r="M1995" t="str">
            <v>UNID.</v>
          </cell>
          <cell r="N1995" t="str">
            <v>CISTERNA</v>
          </cell>
          <cell r="O1995">
            <v>0</v>
          </cell>
          <cell r="P1995" t="str">
            <v>S3</v>
          </cell>
          <cell r="Q1995" t="str">
            <v>J2</v>
          </cell>
          <cell r="R1995" t="str">
            <v>J6</v>
          </cell>
          <cell r="S1995" t="str">
            <v>ENTREGADO</v>
          </cell>
          <cell r="T1995">
            <v>42705</v>
          </cell>
          <cell r="U1995" t="str">
            <v>JIMENEZ MACHACA JAVIER</v>
          </cell>
          <cell r="V1995" t="str">
            <v>CORIHUAMAN SURCO  ERICK ROBERT</v>
          </cell>
        </row>
        <row r="1996">
          <cell r="A1996">
            <v>2022</v>
          </cell>
          <cell r="B1996">
            <v>42705</v>
          </cell>
          <cell r="C1996" t="str">
            <v>DICIEMBRE</v>
          </cell>
          <cell r="D1996" t="str">
            <v>2016</v>
          </cell>
          <cell r="E1996">
            <v>483</v>
          </cell>
          <cell r="F1996" t="str">
            <v>ABR-796</v>
          </cell>
          <cell r="G1996" t="str">
            <v>C9S-994</v>
          </cell>
          <cell r="H1996" t="str">
            <v>LAS BAMBAS</v>
          </cell>
          <cell r="I1996">
            <v>109770</v>
          </cell>
          <cell r="J1996" t="str">
            <v>REPUESTO</v>
          </cell>
          <cell r="K1996" t="str">
            <v xml:space="preserve">LLANTAS REENCACUCHADAS </v>
          </cell>
          <cell r="L1996">
            <v>2</v>
          </cell>
          <cell r="M1996" t="str">
            <v>UNID.</v>
          </cell>
          <cell r="N1996" t="str">
            <v>CISTERNA</v>
          </cell>
          <cell r="O1996">
            <v>0</v>
          </cell>
          <cell r="P1996" t="str">
            <v>N1</v>
          </cell>
          <cell r="Q1996" t="str">
            <v>J3</v>
          </cell>
          <cell r="R1996" t="str">
            <v>J6</v>
          </cell>
          <cell r="S1996" t="str">
            <v>ENTREGADO</v>
          </cell>
          <cell r="T1996">
            <v>42705</v>
          </cell>
          <cell r="U1996" t="str">
            <v>AGUILAR CCANTUTA WILLY</v>
          </cell>
          <cell r="V1996" t="str">
            <v>CHURA PIZARRO ALBERTO</v>
          </cell>
        </row>
        <row r="1997">
          <cell r="A1997">
            <v>2026</v>
          </cell>
          <cell r="B1997">
            <v>42705</v>
          </cell>
          <cell r="C1997" t="str">
            <v>DICIEMBRE</v>
          </cell>
          <cell r="D1997" t="str">
            <v>2016</v>
          </cell>
          <cell r="E1997">
            <v>500</v>
          </cell>
          <cell r="F1997" t="str">
            <v>ABR-796</v>
          </cell>
          <cell r="G1997" t="str">
            <v>C9S-994</v>
          </cell>
          <cell r="H1997" t="str">
            <v>LAS BAMBAS</v>
          </cell>
          <cell r="I1997">
            <v>110035</v>
          </cell>
          <cell r="J1997" t="str">
            <v>REPUESTO</v>
          </cell>
          <cell r="K1997" t="str">
            <v>FILTRO DE ACEITE</v>
          </cell>
          <cell r="L1997">
            <v>2</v>
          </cell>
          <cell r="M1997" t="str">
            <v>UNID.</v>
          </cell>
          <cell r="N1997" t="str">
            <v>TRACTO</v>
          </cell>
          <cell r="O1997">
            <v>0</v>
          </cell>
          <cell r="P1997" t="str">
            <v>M1</v>
          </cell>
          <cell r="Q1997" t="str">
            <v>J2</v>
          </cell>
          <cell r="R1997" t="str">
            <v>J6</v>
          </cell>
          <cell r="S1997" t="str">
            <v>ENTREGADO</v>
          </cell>
          <cell r="T1997">
            <v>42705</v>
          </cell>
          <cell r="U1997" t="str">
            <v>CABEZAS SANCHEZ JEAN JHONATAN</v>
          </cell>
          <cell r="V1997" t="str">
            <v>CORIHUAMAN SURCO  ERICK ROBERT</v>
          </cell>
        </row>
        <row r="1998">
          <cell r="A1998">
            <v>2027</v>
          </cell>
          <cell r="B1998">
            <v>42705</v>
          </cell>
          <cell r="C1998" t="str">
            <v>DICIEMBRE</v>
          </cell>
          <cell r="D1998" t="str">
            <v>2016</v>
          </cell>
          <cell r="E1998">
            <v>500</v>
          </cell>
          <cell r="F1998" t="str">
            <v>ABR-796</v>
          </cell>
          <cell r="G1998" t="str">
            <v>C9S-994</v>
          </cell>
          <cell r="H1998" t="str">
            <v>LAS BAMBAS</v>
          </cell>
          <cell r="I1998">
            <v>110035</v>
          </cell>
          <cell r="J1998" t="str">
            <v>REPUESTO</v>
          </cell>
          <cell r="K1998" t="str">
            <v>FILTRO COMBUSTIBLE</v>
          </cell>
          <cell r="L1998">
            <v>2</v>
          </cell>
          <cell r="M1998" t="str">
            <v>UNID.</v>
          </cell>
          <cell r="N1998" t="str">
            <v>TRACTO</v>
          </cell>
          <cell r="O1998">
            <v>0</v>
          </cell>
          <cell r="P1998" t="str">
            <v>M1</v>
          </cell>
          <cell r="Q1998" t="str">
            <v>J2</v>
          </cell>
          <cell r="R1998" t="str">
            <v>J6</v>
          </cell>
          <cell r="S1998" t="str">
            <v>ENTREGADO</v>
          </cell>
          <cell r="T1998">
            <v>42705</v>
          </cell>
          <cell r="U1998" t="str">
            <v>CABEZAS SANCHEZ JEAN JHONATAN</v>
          </cell>
          <cell r="V1998" t="str">
            <v>CORIHUAMAN SURCO  ERICK ROBERT</v>
          </cell>
        </row>
        <row r="1999">
          <cell r="A1999">
            <v>2028</v>
          </cell>
          <cell r="B1999">
            <v>42705</v>
          </cell>
          <cell r="C1999" t="str">
            <v>DICIEMBRE</v>
          </cell>
          <cell r="D1999" t="str">
            <v>2016</v>
          </cell>
          <cell r="E1999">
            <v>500</v>
          </cell>
          <cell r="F1999" t="str">
            <v>ABR-796</v>
          </cell>
          <cell r="G1999" t="str">
            <v>C9S-994</v>
          </cell>
          <cell r="H1999" t="str">
            <v>LAS BAMBAS</v>
          </cell>
          <cell r="I1999">
            <v>110035</v>
          </cell>
          <cell r="J1999" t="str">
            <v>REPUESTO</v>
          </cell>
          <cell r="K1999" t="str">
            <v>ACEITE 15W40</v>
          </cell>
          <cell r="L1999">
            <v>10</v>
          </cell>
          <cell r="M1999" t="str">
            <v>GLNS.</v>
          </cell>
          <cell r="N1999" t="str">
            <v>TRACTO</v>
          </cell>
          <cell r="O1999">
            <v>0</v>
          </cell>
          <cell r="P1999" t="str">
            <v>M1</v>
          </cell>
          <cell r="Q1999" t="str">
            <v>J2</v>
          </cell>
          <cell r="R1999" t="str">
            <v>J6</v>
          </cell>
          <cell r="S1999" t="str">
            <v>ENTREGADO</v>
          </cell>
          <cell r="T1999">
            <v>42705</v>
          </cell>
          <cell r="U1999" t="str">
            <v>CABEZAS SANCHEZ JEAN JHONATAN</v>
          </cell>
          <cell r="V1999" t="str">
            <v>CORIHUAMAN SURCO  ERICK ROBERT</v>
          </cell>
        </row>
        <row r="2000">
          <cell r="A2000">
            <v>2029</v>
          </cell>
          <cell r="B2000">
            <v>42705</v>
          </cell>
          <cell r="C2000" t="str">
            <v>DICIEMBRE</v>
          </cell>
          <cell r="D2000" t="str">
            <v>2016</v>
          </cell>
          <cell r="E2000">
            <v>500</v>
          </cell>
          <cell r="F2000" t="str">
            <v>ABR-796</v>
          </cell>
          <cell r="G2000" t="str">
            <v>C9S-994</v>
          </cell>
          <cell r="H2000" t="str">
            <v>LAS BAMBAS</v>
          </cell>
          <cell r="I2000">
            <v>110035</v>
          </cell>
          <cell r="J2000" t="str">
            <v>REPUESTO</v>
          </cell>
          <cell r="K2000" t="str">
            <v>FILTRO DE AIRE PRIMARIO</v>
          </cell>
          <cell r="L2000">
            <v>1</v>
          </cell>
          <cell r="M2000" t="str">
            <v>UNID.</v>
          </cell>
          <cell r="N2000" t="str">
            <v>TRACTO</v>
          </cell>
          <cell r="O2000">
            <v>0</v>
          </cell>
          <cell r="P2000" t="str">
            <v>M1</v>
          </cell>
          <cell r="Q2000" t="str">
            <v>J2</v>
          </cell>
          <cell r="R2000" t="str">
            <v>J6</v>
          </cell>
          <cell r="S2000" t="str">
            <v>ENTREGADO</v>
          </cell>
          <cell r="T2000">
            <v>42705</v>
          </cell>
          <cell r="U2000" t="str">
            <v>CABEZAS SANCHEZ JEAN JHONATAN</v>
          </cell>
          <cell r="V2000" t="str">
            <v>CORIHUAMAN SURCO  ERICK ROBERT</v>
          </cell>
        </row>
        <row r="2001">
          <cell r="A2001">
            <v>2052</v>
          </cell>
          <cell r="B2001">
            <v>42705</v>
          </cell>
          <cell r="C2001" t="str">
            <v>DICIEMBRE</v>
          </cell>
          <cell r="D2001" t="str">
            <v>2016</v>
          </cell>
          <cell r="E2001">
            <v>468</v>
          </cell>
          <cell r="F2001" t="str">
            <v>AEH-888</v>
          </cell>
          <cell r="G2001" t="str">
            <v>CAMIONETA</v>
          </cell>
          <cell r="H2001" t="str">
            <v>LAS BAMBAS</v>
          </cell>
          <cell r="I2001">
            <v>91368</v>
          </cell>
          <cell r="J2001" t="str">
            <v>REPUESTO</v>
          </cell>
          <cell r="K2001" t="str">
            <v>AMORTIGUADOR  MACPHERSON</v>
          </cell>
          <cell r="L2001">
            <v>1</v>
          </cell>
          <cell r="M2001" t="str">
            <v>UNID.</v>
          </cell>
          <cell r="N2001" t="str">
            <v>TRACTO</v>
          </cell>
          <cell r="O2001">
            <v>0</v>
          </cell>
          <cell r="P2001" t="str">
            <v>M6</v>
          </cell>
          <cell r="Q2001" t="str">
            <v>J1</v>
          </cell>
          <cell r="R2001" t="str">
            <v>J6</v>
          </cell>
          <cell r="S2001" t="str">
            <v>ENTREGADO</v>
          </cell>
          <cell r="T2001">
            <v>42705</v>
          </cell>
          <cell r="U2001" t="str">
            <v>PARI VENTURA  EDSON ORLANDO</v>
          </cell>
          <cell r="V2001" t="str">
            <v>FLOREZ CONDORI  JOSE WILLIANS</v>
          </cell>
        </row>
        <row r="2002">
          <cell r="A2002">
            <v>1986</v>
          </cell>
          <cell r="B2002">
            <v>42705</v>
          </cell>
          <cell r="C2002" t="str">
            <v>DICIEMBRE</v>
          </cell>
          <cell r="D2002" t="str">
            <v>2016</v>
          </cell>
          <cell r="E2002">
            <v>489</v>
          </cell>
          <cell r="F2002" t="str">
            <v>AKW-894</v>
          </cell>
          <cell r="G2002" t="str">
            <v>TBN-978</v>
          </cell>
          <cell r="H2002" t="str">
            <v>LAS BAMBAS</v>
          </cell>
          <cell r="I2002">
            <v>39130</v>
          </cell>
          <cell r="J2002" t="str">
            <v>REPUESTO</v>
          </cell>
          <cell r="K2002" t="str">
            <v>PARCHE RACK 14</v>
          </cell>
          <cell r="L2002">
            <v>1</v>
          </cell>
          <cell r="M2002" t="str">
            <v>UNID.</v>
          </cell>
          <cell r="N2002" t="str">
            <v>TRACTO</v>
          </cell>
          <cell r="O2002">
            <v>0</v>
          </cell>
          <cell r="P2002" t="str">
            <v>N1</v>
          </cell>
          <cell r="Q2002" t="str">
            <v>J2</v>
          </cell>
          <cell r="R2002" t="str">
            <v>J5</v>
          </cell>
          <cell r="S2002" t="str">
            <v>ENTREGADO</v>
          </cell>
          <cell r="T2002">
            <v>42705</v>
          </cell>
          <cell r="U2002" t="str">
            <v>AGUILAR CCANTUTA WILLY</v>
          </cell>
          <cell r="V2002" t="str">
            <v>CORIHUAMAN SURCO  ERICK ROBERT</v>
          </cell>
        </row>
        <row r="2003">
          <cell r="A2003">
            <v>1990</v>
          </cell>
          <cell r="B2003">
            <v>42705</v>
          </cell>
          <cell r="C2003" t="str">
            <v>DICIEMBRE</v>
          </cell>
          <cell r="D2003" t="str">
            <v>2016</v>
          </cell>
          <cell r="E2003">
            <v>489</v>
          </cell>
          <cell r="F2003" t="str">
            <v>AKW-894</v>
          </cell>
          <cell r="G2003" t="str">
            <v>TBN-978</v>
          </cell>
          <cell r="H2003" t="str">
            <v>LAS BAMBAS</v>
          </cell>
          <cell r="I2003">
            <v>39130</v>
          </cell>
          <cell r="J2003" t="str">
            <v>REPUESTO</v>
          </cell>
          <cell r="K2003" t="str">
            <v>PERNO 5/16 X 1 1/2</v>
          </cell>
          <cell r="L2003">
            <v>2</v>
          </cell>
          <cell r="M2003" t="str">
            <v>UNID.</v>
          </cell>
          <cell r="N2003" t="str">
            <v>TRACTO</v>
          </cell>
          <cell r="O2003">
            <v>0</v>
          </cell>
          <cell r="P2003" t="str">
            <v>E2</v>
          </cell>
          <cell r="Q2003" t="str">
            <v>J2</v>
          </cell>
          <cell r="R2003" t="str">
            <v>J6</v>
          </cell>
          <cell r="S2003" t="str">
            <v>ENTREGADO</v>
          </cell>
          <cell r="T2003">
            <v>42705</v>
          </cell>
          <cell r="U2003" t="str">
            <v>YUCA BELLIDO BORIS YERSY</v>
          </cell>
          <cell r="V2003" t="str">
            <v>CORIHUAMAN SURCO  ERICK ROBERT</v>
          </cell>
        </row>
        <row r="2004">
          <cell r="A2004">
            <v>1991</v>
          </cell>
          <cell r="B2004">
            <v>42705</v>
          </cell>
          <cell r="C2004" t="str">
            <v>DICIEMBRE</v>
          </cell>
          <cell r="D2004" t="str">
            <v>2016</v>
          </cell>
          <cell r="E2004">
            <v>489</v>
          </cell>
          <cell r="F2004" t="str">
            <v>AKW-894</v>
          </cell>
          <cell r="G2004" t="str">
            <v>TBN-978</v>
          </cell>
          <cell r="H2004" t="str">
            <v>LAS BAMBAS</v>
          </cell>
          <cell r="I2004">
            <v>39130</v>
          </cell>
          <cell r="J2004" t="str">
            <v>REPUESTO</v>
          </cell>
          <cell r="K2004" t="str">
            <v>TUERCA 5/16</v>
          </cell>
          <cell r="L2004">
            <v>4</v>
          </cell>
          <cell r="M2004" t="str">
            <v>UNID.</v>
          </cell>
          <cell r="N2004" t="str">
            <v>TRACTO</v>
          </cell>
          <cell r="O2004">
            <v>0</v>
          </cell>
          <cell r="P2004" t="str">
            <v>E2</v>
          </cell>
          <cell r="Q2004" t="str">
            <v>J2</v>
          </cell>
          <cell r="R2004" t="str">
            <v>J6</v>
          </cell>
          <cell r="S2004" t="str">
            <v>ENTREGADO</v>
          </cell>
          <cell r="T2004">
            <v>42705</v>
          </cell>
          <cell r="U2004" t="str">
            <v>YUCA BELLIDO BORIS YERSY</v>
          </cell>
          <cell r="V2004" t="str">
            <v>CORIHUAMAN SURCO  ERICK ROBERT</v>
          </cell>
        </row>
        <row r="2005">
          <cell r="A2005">
            <v>1992</v>
          </cell>
          <cell r="B2005">
            <v>42705</v>
          </cell>
          <cell r="C2005" t="str">
            <v>DICIEMBRE</v>
          </cell>
          <cell r="D2005" t="str">
            <v>2016</v>
          </cell>
          <cell r="E2005">
            <v>489</v>
          </cell>
          <cell r="F2005" t="str">
            <v>AKW-894</v>
          </cell>
          <cell r="G2005" t="str">
            <v>TBN-978</v>
          </cell>
          <cell r="H2005" t="str">
            <v>LAS BAMBAS</v>
          </cell>
          <cell r="I2005">
            <v>39130</v>
          </cell>
          <cell r="J2005" t="str">
            <v>REPUESTO</v>
          </cell>
          <cell r="K2005" t="str">
            <v>ARANDELA PLANA 5/16</v>
          </cell>
          <cell r="L2005">
            <v>4</v>
          </cell>
          <cell r="M2005" t="str">
            <v>UNID.</v>
          </cell>
          <cell r="N2005" t="str">
            <v>TRACTO</v>
          </cell>
          <cell r="O2005">
            <v>0</v>
          </cell>
          <cell r="P2005" t="str">
            <v>E2</v>
          </cell>
          <cell r="Q2005" t="str">
            <v>J2</v>
          </cell>
          <cell r="R2005" t="str">
            <v>J6</v>
          </cell>
          <cell r="S2005" t="str">
            <v>ENTREGADO</v>
          </cell>
          <cell r="T2005">
            <v>42705</v>
          </cell>
          <cell r="U2005" t="str">
            <v>YUCA BELLIDO BORIS YERSY</v>
          </cell>
          <cell r="V2005" t="str">
            <v>CORIHUAMAN SURCO  ERICK ROBERT</v>
          </cell>
        </row>
        <row r="2006">
          <cell r="A2006">
            <v>2003</v>
          </cell>
          <cell r="B2006">
            <v>42705</v>
          </cell>
          <cell r="C2006" t="str">
            <v>DICIEMBRE</v>
          </cell>
          <cell r="D2006" t="str">
            <v>2016</v>
          </cell>
          <cell r="E2006">
            <v>489</v>
          </cell>
          <cell r="F2006" t="str">
            <v>AKW-894</v>
          </cell>
          <cell r="G2006" t="str">
            <v>TBN-978</v>
          </cell>
          <cell r="H2006" t="str">
            <v>LAS BAMBAS</v>
          </cell>
          <cell r="I2006">
            <v>39130</v>
          </cell>
          <cell r="J2006" t="str">
            <v>REPUESTO</v>
          </cell>
          <cell r="K2006" t="str">
            <v>SPRAY VERDE</v>
          </cell>
          <cell r="L2006">
            <v>1</v>
          </cell>
          <cell r="M2006" t="str">
            <v>UNID.</v>
          </cell>
          <cell r="N2006" t="str">
            <v>CISTERNA</v>
          </cell>
          <cell r="O2006">
            <v>0</v>
          </cell>
          <cell r="P2006" t="str">
            <v>S1</v>
          </cell>
          <cell r="Q2006" t="str">
            <v>J2</v>
          </cell>
          <cell r="R2006" t="str">
            <v>J5</v>
          </cell>
          <cell r="S2006" t="str">
            <v>ENTREGADO</v>
          </cell>
          <cell r="T2006">
            <v>42705</v>
          </cell>
          <cell r="U2006" t="str">
            <v>BAYONA CRUZ CRISTIAN ARMANDO</v>
          </cell>
          <cell r="V2006" t="str">
            <v>CORIHUAMAN SURCO  ERICK ROBERT</v>
          </cell>
        </row>
        <row r="2007">
          <cell r="A2007">
            <v>2043</v>
          </cell>
          <cell r="B2007">
            <v>42705</v>
          </cell>
          <cell r="C2007" t="str">
            <v>DICIEMBRE</v>
          </cell>
          <cell r="D2007" t="str">
            <v>2016</v>
          </cell>
          <cell r="E2007">
            <v>499</v>
          </cell>
          <cell r="F2007" t="str">
            <v>C5R-895</v>
          </cell>
          <cell r="G2007" t="str">
            <v>TBL-976</v>
          </cell>
          <cell r="H2007" t="str">
            <v>LAS BAMBAS</v>
          </cell>
          <cell r="I2007">
            <v>169151</v>
          </cell>
          <cell r="J2007" t="str">
            <v>REPUESTO</v>
          </cell>
          <cell r="K2007" t="str">
            <v>RADIADOR</v>
          </cell>
          <cell r="L2007">
            <v>1</v>
          </cell>
          <cell r="M2007" t="str">
            <v>UNID.</v>
          </cell>
          <cell r="N2007" t="str">
            <v>TRACTO</v>
          </cell>
          <cell r="O2007">
            <v>0</v>
          </cell>
          <cell r="P2007" t="str">
            <v>M2</v>
          </cell>
          <cell r="Q2007" t="str">
            <v>J2</v>
          </cell>
          <cell r="R2007" t="str">
            <v>J6</v>
          </cell>
          <cell r="S2007" t="str">
            <v>ENTREGADO</v>
          </cell>
          <cell r="T2007">
            <v>42705</v>
          </cell>
          <cell r="U2007" t="str">
            <v>CHUMPITAZ GAGO JULIO ENRIQUE</v>
          </cell>
          <cell r="V2007" t="str">
            <v>CORIHUAMAN SURCO  ERICK ROBERT</v>
          </cell>
        </row>
        <row r="2008">
          <cell r="A2008">
            <v>2049</v>
          </cell>
          <cell r="B2008">
            <v>42705</v>
          </cell>
          <cell r="C2008" t="str">
            <v>DICIEMBRE</v>
          </cell>
          <cell r="D2008" t="str">
            <v>2016</v>
          </cell>
          <cell r="E2008">
            <v>499</v>
          </cell>
          <cell r="F2008" t="str">
            <v>C5R-895</v>
          </cell>
          <cell r="G2008" t="str">
            <v>TBL-976</v>
          </cell>
          <cell r="H2008" t="str">
            <v>LAS BAMBAS</v>
          </cell>
          <cell r="I2008">
            <v>169151</v>
          </cell>
          <cell r="J2008" t="str">
            <v>REPUESTO</v>
          </cell>
          <cell r="K2008" t="str">
            <v>PERNO 3/8 X 4</v>
          </cell>
          <cell r="L2008">
            <v>1</v>
          </cell>
          <cell r="M2008" t="str">
            <v>UNID.</v>
          </cell>
          <cell r="N2008" t="str">
            <v>TRACTO</v>
          </cell>
          <cell r="O2008">
            <v>0</v>
          </cell>
          <cell r="P2008" t="str">
            <v>M2</v>
          </cell>
          <cell r="Q2008" t="str">
            <v>J2</v>
          </cell>
          <cell r="R2008" t="str">
            <v>J6</v>
          </cell>
          <cell r="S2008" t="str">
            <v>ENTREGADO</v>
          </cell>
          <cell r="T2008">
            <v>42705</v>
          </cell>
          <cell r="U2008" t="str">
            <v>CHUMPITAZ GAGO JULIO ENRIQUE</v>
          </cell>
          <cell r="V2008" t="str">
            <v>CORIHUAMAN SURCO  ERICK ROBERT</v>
          </cell>
        </row>
        <row r="2009">
          <cell r="A2009">
            <v>2050</v>
          </cell>
          <cell r="B2009">
            <v>42705</v>
          </cell>
          <cell r="C2009" t="str">
            <v>DICIEMBRE</v>
          </cell>
          <cell r="D2009" t="str">
            <v>2016</v>
          </cell>
          <cell r="E2009">
            <v>499</v>
          </cell>
          <cell r="F2009" t="str">
            <v>C5R-895</v>
          </cell>
          <cell r="G2009" t="str">
            <v>TBL-976</v>
          </cell>
          <cell r="H2009" t="str">
            <v>LAS BAMBAS</v>
          </cell>
          <cell r="I2009">
            <v>169151</v>
          </cell>
          <cell r="J2009" t="str">
            <v>REPUESTO</v>
          </cell>
          <cell r="K2009" t="str">
            <v>TUERCA 3/8</v>
          </cell>
          <cell r="L2009">
            <v>1</v>
          </cell>
          <cell r="M2009" t="str">
            <v>UNID.</v>
          </cell>
          <cell r="N2009" t="str">
            <v>TRACTO</v>
          </cell>
          <cell r="O2009">
            <v>0</v>
          </cell>
          <cell r="P2009" t="str">
            <v>M2</v>
          </cell>
          <cell r="Q2009" t="str">
            <v>J2</v>
          </cell>
          <cell r="R2009" t="str">
            <v>J6</v>
          </cell>
          <cell r="S2009" t="str">
            <v>ENTREGADO</v>
          </cell>
          <cell r="T2009">
            <v>42705</v>
          </cell>
          <cell r="U2009" t="str">
            <v>CHUMPITAZ GAGO JULIO ENRIQUE</v>
          </cell>
          <cell r="V2009" t="str">
            <v>CORIHUAMAN SURCO  ERICK ROBERT</v>
          </cell>
        </row>
        <row r="2010">
          <cell r="A2010">
            <v>2051</v>
          </cell>
          <cell r="B2010">
            <v>42705</v>
          </cell>
          <cell r="C2010" t="str">
            <v>DICIEMBRE</v>
          </cell>
          <cell r="D2010" t="str">
            <v>2016</v>
          </cell>
          <cell r="E2010">
            <v>499</v>
          </cell>
          <cell r="F2010" t="str">
            <v>C5R-895</v>
          </cell>
          <cell r="G2010" t="str">
            <v>TBL-976</v>
          </cell>
          <cell r="H2010" t="str">
            <v>LAS BAMBAS</v>
          </cell>
          <cell r="I2010">
            <v>169151</v>
          </cell>
          <cell r="J2010" t="str">
            <v>REPUESTO</v>
          </cell>
          <cell r="K2010" t="str">
            <v>ARANDELA PLANA 3/8</v>
          </cell>
          <cell r="L2010">
            <v>2</v>
          </cell>
          <cell r="M2010" t="str">
            <v>UNID.</v>
          </cell>
          <cell r="N2010" t="str">
            <v>TRACTO</v>
          </cell>
          <cell r="O2010">
            <v>0</v>
          </cell>
          <cell r="P2010" t="str">
            <v>M2</v>
          </cell>
          <cell r="Q2010" t="str">
            <v>J2</v>
          </cell>
          <cell r="R2010" t="str">
            <v>J6</v>
          </cell>
          <cell r="S2010" t="str">
            <v>ENTREGADO</v>
          </cell>
          <cell r="T2010">
            <v>42705</v>
          </cell>
          <cell r="U2010" t="str">
            <v>CHUMPITAZ GAGO JULIO ENRIQUE</v>
          </cell>
          <cell r="V2010" t="str">
            <v>CORIHUAMAN SURCO  ERICK ROBERT</v>
          </cell>
        </row>
        <row r="2011">
          <cell r="A2011">
            <v>2012</v>
          </cell>
          <cell r="B2011">
            <v>42705</v>
          </cell>
          <cell r="C2011" t="str">
            <v>DICIEMBRE</v>
          </cell>
          <cell r="D2011" t="str">
            <v>2016</v>
          </cell>
          <cell r="E2011">
            <v>453</v>
          </cell>
          <cell r="F2011" t="str">
            <v>C9N-807</v>
          </cell>
          <cell r="G2011" t="str">
            <v>B4O-994</v>
          </cell>
          <cell r="H2011" t="str">
            <v>LAS BAMBAS</v>
          </cell>
          <cell r="I2011">
            <v>210225</v>
          </cell>
          <cell r="J2011" t="str">
            <v>REPUESTO</v>
          </cell>
          <cell r="K2011" t="str">
            <v>FARO LATERAL RECTANGULAR AMBAR</v>
          </cell>
          <cell r="L2011">
            <v>1</v>
          </cell>
          <cell r="M2011" t="str">
            <v>UNID.</v>
          </cell>
          <cell r="N2011" t="str">
            <v>TRACTO</v>
          </cell>
          <cell r="O2011">
            <v>0</v>
          </cell>
          <cell r="P2011" t="str">
            <v>E2</v>
          </cell>
          <cell r="Q2011" t="str">
            <v>J2</v>
          </cell>
          <cell r="R2011" t="str">
            <v>J6</v>
          </cell>
          <cell r="S2011" t="str">
            <v>ENTREGADO</v>
          </cell>
          <cell r="T2011">
            <v>42705</v>
          </cell>
          <cell r="U2011" t="str">
            <v>YUCA BELLIDO BORIS YERSY</v>
          </cell>
          <cell r="V2011" t="str">
            <v>CORIHUAMAN SURCO  ERICK ROBERT</v>
          </cell>
        </row>
        <row r="2012">
          <cell r="A2012">
            <v>2048</v>
          </cell>
          <cell r="B2012">
            <v>42705</v>
          </cell>
          <cell r="C2012" t="str">
            <v>DICIEMBRE</v>
          </cell>
          <cell r="D2012" t="str">
            <v>2016</v>
          </cell>
          <cell r="E2012">
            <v>207</v>
          </cell>
          <cell r="F2012" t="str">
            <v>D3P-746</v>
          </cell>
          <cell r="G2012" t="str">
            <v>C0T-974</v>
          </cell>
          <cell r="H2012" t="str">
            <v>LAS BAMBAS</v>
          </cell>
          <cell r="I2012">
            <v>128937</v>
          </cell>
          <cell r="J2012" t="str">
            <v>REPUESTO</v>
          </cell>
          <cell r="K2012" t="str">
            <v>RESTRICTOR DE AIRE</v>
          </cell>
          <cell r="L2012">
            <v>1</v>
          </cell>
          <cell r="M2012" t="str">
            <v>UNID.</v>
          </cell>
          <cell r="N2012" t="str">
            <v>TRACTO</v>
          </cell>
          <cell r="O2012">
            <v>85</v>
          </cell>
          <cell r="P2012" t="str">
            <v>E2</v>
          </cell>
          <cell r="Q2012" t="str">
            <v>J2</v>
          </cell>
          <cell r="R2012" t="str">
            <v>J6</v>
          </cell>
          <cell r="S2012" t="str">
            <v>PENDIENTE</v>
          </cell>
          <cell r="T2012">
            <v>0</v>
          </cell>
          <cell r="U2012" t="str">
            <v>YUCA BELLIDO BORIS YERSY</v>
          </cell>
          <cell r="V2012" t="str">
            <v>CORIHUAMAN SURCO  ERICK ROBERT</v>
          </cell>
        </row>
        <row r="2013">
          <cell r="A2013">
            <v>2030</v>
          </cell>
          <cell r="B2013">
            <v>42705</v>
          </cell>
          <cell r="C2013" t="str">
            <v>DICIEMBRE</v>
          </cell>
          <cell r="D2013" t="str">
            <v>2016</v>
          </cell>
          <cell r="E2013">
            <v>207</v>
          </cell>
          <cell r="F2013" t="str">
            <v>D3P-746</v>
          </cell>
          <cell r="G2013" t="str">
            <v>C0T-974</v>
          </cell>
          <cell r="H2013" t="str">
            <v>LAS BAMBAS</v>
          </cell>
          <cell r="I2013">
            <v>128937</v>
          </cell>
          <cell r="J2013" t="str">
            <v>REPUESTO</v>
          </cell>
          <cell r="K2013" t="str">
            <v>LLANTA DE TRACCION</v>
          </cell>
          <cell r="L2013">
            <v>1</v>
          </cell>
          <cell r="M2013" t="str">
            <v>UNID.</v>
          </cell>
          <cell r="N2013" t="str">
            <v>TRACTO</v>
          </cell>
          <cell r="O2013">
            <v>0</v>
          </cell>
          <cell r="P2013" t="str">
            <v>N1</v>
          </cell>
          <cell r="Q2013" t="str">
            <v>J3</v>
          </cell>
          <cell r="R2013" t="str">
            <v>J6</v>
          </cell>
          <cell r="S2013" t="str">
            <v>ENTREGADO</v>
          </cell>
          <cell r="T2013">
            <v>42705</v>
          </cell>
          <cell r="U2013" t="str">
            <v>AGUILAR CCANTUTA WILLY</v>
          </cell>
          <cell r="V2013" t="str">
            <v>CHURA PIZARRO ALBERTO</v>
          </cell>
        </row>
        <row r="2014">
          <cell r="A2014">
            <v>1970</v>
          </cell>
          <cell r="B2014">
            <v>42705</v>
          </cell>
          <cell r="C2014" t="str">
            <v>DICIEMBRE</v>
          </cell>
          <cell r="D2014" t="str">
            <v>2016</v>
          </cell>
          <cell r="E2014">
            <v>488</v>
          </cell>
          <cell r="F2014" t="str">
            <v>D3P-747</v>
          </cell>
          <cell r="G2014" t="str">
            <v>A0T-985</v>
          </cell>
          <cell r="H2014" t="str">
            <v>LAS BAMBAS</v>
          </cell>
          <cell r="I2014">
            <v>183899</v>
          </cell>
          <cell r="J2014" t="str">
            <v>INSUMO TALLER</v>
          </cell>
          <cell r="K2014" t="str">
            <v>DETERGENTE 1/2 KG</v>
          </cell>
          <cell r="L2014">
            <v>1</v>
          </cell>
          <cell r="M2014" t="str">
            <v>UNID.</v>
          </cell>
          <cell r="N2014" t="str">
            <v>TRACTO</v>
          </cell>
          <cell r="O2014">
            <v>0</v>
          </cell>
          <cell r="P2014" t="str">
            <v>M5</v>
          </cell>
          <cell r="Q2014" t="str">
            <v>J2</v>
          </cell>
          <cell r="R2014" t="str">
            <v>J5</v>
          </cell>
          <cell r="S2014" t="str">
            <v>ENTREGADO</v>
          </cell>
          <cell r="T2014">
            <v>42705</v>
          </cell>
          <cell r="U2014" t="str">
            <v>LOPEZ RUIZ WILBERTO</v>
          </cell>
          <cell r="V2014" t="str">
            <v>CORIHUAMAN SURCO  ERICK ROBERT</v>
          </cell>
        </row>
        <row r="2015">
          <cell r="A2015">
            <v>1973</v>
          </cell>
          <cell r="B2015">
            <v>42705</v>
          </cell>
          <cell r="C2015" t="str">
            <v>DICIEMBRE</v>
          </cell>
          <cell r="D2015" t="str">
            <v>2016</v>
          </cell>
          <cell r="E2015">
            <v>488</v>
          </cell>
          <cell r="F2015" t="str">
            <v>D3P-747</v>
          </cell>
          <cell r="G2015" t="str">
            <v>A0T-985</v>
          </cell>
          <cell r="H2015" t="str">
            <v>LAS BAMBAS</v>
          </cell>
          <cell r="I2015">
            <v>183899</v>
          </cell>
          <cell r="J2015" t="str">
            <v>REPUESTO</v>
          </cell>
          <cell r="K2015" t="str">
            <v>FARO NEBLINERO AAA</v>
          </cell>
          <cell r="L2015">
            <v>2</v>
          </cell>
          <cell r="M2015" t="str">
            <v>UNID.</v>
          </cell>
          <cell r="N2015" t="str">
            <v>TRACTO</v>
          </cell>
          <cell r="O2015">
            <v>85</v>
          </cell>
          <cell r="P2015" t="str">
            <v>E2</v>
          </cell>
          <cell r="Q2015" t="str">
            <v>J2</v>
          </cell>
          <cell r="R2015" t="str">
            <v>J5</v>
          </cell>
          <cell r="S2015" t="str">
            <v>PENDIENTE</v>
          </cell>
          <cell r="T2015">
            <v>0</v>
          </cell>
          <cell r="U2015" t="str">
            <v>YUCA BELLIDO BORIS YERSY</v>
          </cell>
          <cell r="V2015" t="str">
            <v>CORIHUAMAN SURCO  ERICK ROBERT</v>
          </cell>
        </row>
        <row r="2016">
          <cell r="A2016">
            <v>1974</v>
          </cell>
          <cell r="B2016">
            <v>42705</v>
          </cell>
          <cell r="C2016" t="str">
            <v>DICIEMBRE</v>
          </cell>
          <cell r="D2016" t="str">
            <v>2016</v>
          </cell>
          <cell r="E2016">
            <v>488</v>
          </cell>
          <cell r="F2016" t="str">
            <v>D3P-747</v>
          </cell>
          <cell r="G2016" t="str">
            <v>A0T-985</v>
          </cell>
          <cell r="H2016" t="str">
            <v>LAS BAMBAS</v>
          </cell>
          <cell r="I2016">
            <v>183899</v>
          </cell>
          <cell r="J2016" t="str">
            <v>REPUESTO</v>
          </cell>
          <cell r="K2016" t="str">
            <v>FOCO 9006</v>
          </cell>
          <cell r="L2016">
            <v>1</v>
          </cell>
          <cell r="M2016" t="str">
            <v>UNID.</v>
          </cell>
          <cell r="N2016" t="str">
            <v>TRACTO</v>
          </cell>
          <cell r="O2016">
            <v>0</v>
          </cell>
          <cell r="P2016" t="str">
            <v>E2</v>
          </cell>
          <cell r="Q2016" t="str">
            <v>J2</v>
          </cell>
          <cell r="R2016" t="str">
            <v>J5</v>
          </cell>
          <cell r="S2016" t="str">
            <v>ENTREGADO</v>
          </cell>
          <cell r="T2016">
            <v>42705</v>
          </cell>
          <cell r="U2016" t="str">
            <v>YUCA BELLIDO BORIS YERSY</v>
          </cell>
          <cell r="V2016" t="str">
            <v>CORIHUAMAN SURCO  ERICK ROBERT</v>
          </cell>
        </row>
        <row r="2017">
          <cell r="A2017">
            <v>1975</v>
          </cell>
          <cell r="B2017">
            <v>42705</v>
          </cell>
          <cell r="C2017" t="str">
            <v>DICIEMBRE</v>
          </cell>
          <cell r="D2017" t="str">
            <v>2016</v>
          </cell>
          <cell r="E2017">
            <v>488</v>
          </cell>
          <cell r="F2017" t="str">
            <v>D3P-747</v>
          </cell>
          <cell r="G2017" t="str">
            <v>A0T-985</v>
          </cell>
          <cell r="H2017" t="str">
            <v>LAS BAMBAS</v>
          </cell>
          <cell r="I2017">
            <v>183899</v>
          </cell>
          <cell r="J2017" t="str">
            <v>REPUESTO</v>
          </cell>
          <cell r="K2017" t="str">
            <v>FOCO DE UN CONTACTO DE 12V</v>
          </cell>
          <cell r="L2017">
            <v>1</v>
          </cell>
          <cell r="M2017" t="str">
            <v>UNID.</v>
          </cell>
          <cell r="N2017" t="str">
            <v>TRACTO</v>
          </cell>
          <cell r="O2017">
            <v>0</v>
          </cell>
          <cell r="P2017" t="str">
            <v>E2</v>
          </cell>
          <cell r="Q2017" t="str">
            <v>J2</v>
          </cell>
          <cell r="R2017" t="str">
            <v>J5</v>
          </cell>
          <cell r="S2017" t="str">
            <v>ENTREGADO</v>
          </cell>
          <cell r="T2017">
            <v>42705</v>
          </cell>
          <cell r="U2017" t="str">
            <v>YUCA BELLIDO BORIS YERSY</v>
          </cell>
          <cell r="V2017" t="str">
            <v>CORIHUAMAN SURCO  ERICK ROBERT</v>
          </cell>
        </row>
        <row r="2018">
          <cell r="A2018">
            <v>1993</v>
          </cell>
          <cell r="B2018">
            <v>42705</v>
          </cell>
          <cell r="C2018" t="str">
            <v>DICIEMBRE</v>
          </cell>
          <cell r="D2018" t="str">
            <v>2016</v>
          </cell>
          <cell r="E2018">
            <v>488</v>
          </cell>
          <cell r="F2018" t="str">
            <v>D3P-747</v>
          </cell>
          <cell r="G2018" t="str">
            <v>A0T-985</v>
          </cell>
          <cell r="H2018" t="str">
            <v>LAS BAMBAS</v>
          </cell>
          <cell r="I2018">
            <v>183899</v>
          </cell>
          <cell r="J2018" t="str">
            <v>REPUESTO</v>
          </cell>
          <cell r="K2018" t="str">
            <v>LIQUIDO REFRIGERANTE</v>
          </cell>
          <cell r="L2018">
            <v>1</v>
          </cell>
          <cell r="M2018" t="str">
            <v>GLNS.</v>
          </cell>
          <cell r="N2018" t="str">
            <v>TRACTO</v>
          </cell>
          <cell r="O2018">
            <v>0</v>
          </cell>
          <cell r="P2018" t="str">
            <v>M5</v>
          </cell>
          <cell r="Q2018" t="str">
            <v>J2</v>
          </cell>
          <cell r="R2018" t="str">
            <v>J6</v>
          </cell>
          <cell r="S2018" t="str">
            <v>ENTREGADO</v>
          </cell>
          <cell r="T2018">
            <v>42705</v>
          </cell>
          <cell r="U2018" t="str">
            <v>LOPEZ RUIZ WILBERTO</v>
          </cell>
          <cell r="V2018" t="str">
            <v>CORIHUAMAN SURCO  ERICK ROBERT</v>
          </cell>
        </row>
        <row r="2019">
          <cell r="A2019">
            <v>1994</v>
          </cell>
          <cell r="B2019">
            <v>42705</v>
          </cell>
          <cell r="C2019" t="str">
            <v>DICIEMBRE</v>
          </cell>
          <cell r="D2019" t="str">
            <v>2016</v>
          </cell>
          <cell r="E2019">
            <v>488</v>
          </cell>
          <cell r="F2019" t="str">
            <v>D3P-747</v>
          </cell>
          <cell r="G2019" t="str">
            <v>A0T-985</v>
          </cell>
          <cell r="H2019" t="str">
            <v>LAS BAMBAS</v>
          </cell>
          <cell r="I2019">
            <v>183899</v>
          </cell>
          <cell r="J2019" t="str">
            <v>REPUESTO</v>
          </cell>
          <cell r="K2019" t="str">
            <v>HIDROLINA</v>
          </cell>
          <cell r="L2019">
            <v>0.25</v>
          </cell>
          <cell r="M2019" t="str">
            <v>GLNS.</v>
          </cell>
          <cell r="N2019" t="str">
            <v>TRACTO</v>
          </cell>
          <cell r="O2019">
            <v>0</v>
          </cell>
          <cell r="P2019" t="str">
            <v>M5</v>
          </cell>
          <cell r="Q2019" t="str">
            <v>J2</v>
          </cell>
          <cell r="R2019" t="str">
            <v>J6</v>
          </cell>
          <cell r="S2019" t="str">
            <v>ENTREGADO</v>
          </cell>
          <cell r="T2019">
            <v>42705</v>
          </cell>
          <cell r="U2019" t="str">
            <v>LOPEZ RUIZ WILBERTO</v>
          </cell>
          <cell r="V2019" t="str">
            <v>CORIHUAMAN SURCO  ERICK ROBERT</v>
          </cell>
        </row>
        <row r="2020">
          <cell r="A2020">
            <v>2046</v>
          </cell>
          <cell r="B2020">
            <v>42705</v>
          </cell>
          <cell r="C2020" t="str">
            <v>DICIEMBRE</v>
          </cell>
          <cell r="D2020" t="str">
            <v>2016</v>
          </cell>
          <cell r="E2020">
            <v>505</v>
          </cell>
          <cell r="F2020" t="str">
            <v>D3S-764</v>
          </cell>
          <cell r="G2020" t="str">
            <v>TBL-998</v>
          </cell>
          <cell r="H2020" t="str">
            <v>LAS BAMBAS</v>
          </cell>
          <cell r="I2020">
            <v>125186</v>
          </cell>
          <cell r="J2020" t="str">
            <v>REPUESTO</v>
          </cell>
          <cell r="K2020" t="str">
            <v>RETENEDOR DE PUERTA</v>
          </cell>
          <cell r="L2020">
            <v>1</v>
          </cell>
          <cell r="M2020" t="str">
            <v>UNID.</v>
          </cell>
          <cell r="N2020" t="str">
            <v>TRACTO</v>
          </cell>
          <cell r="O2020">
            <v>85</v>
          </cell>
          <cell r="P2020" t="str">
            <v>M8</v>
          </cell>
          <cell r="Q2020" t="str">
            <v>J2</v>
          </cell>
          <cell r="R2020" t="str">
            <v>J6</v>
          </cell>
          <cell r="S2020" t="str">
            <v>PENDIENTE</v>
          </cell>
          <cell r="T2020">
            <v>0</v>
          </cell>
          <cell r="U2020" t="str">
            <v>VARILLAS GAGO  OSCAR ALBERTO</v>
          </cell>
          <cell r="V2020" t="str">
            <v>CORIHUAMAN SURCO  ERICK ROBERT</v>
          </cell>
        </row>
        <row r="2021">
          <cell r="A2021">
            <v>2047</v>
          </cell>
          <cell r="B2021">
            <v>42705</v>
          </cell>
          <cell r="C2021" t="str">
            <v>DICIEMBRE</v>
          </cell>
          <cell r="D2021" t="str">
            <v>2016</v>
          </cell>
          <cell r="E2021">
            <v>505</v>
          </cell>
          <cell r="F2021" t="str">
            <v>D3S-764</v>
          </cell>
          <cell r="G2021" t="str">
            <v>TBL-998</v>
          </cell>
          <cell r="H2021" t="str">
            <v>LAS BAMBAS</v>
          </cell>
          <cell r="I2021">
            <v>125186</v>
          </cell>
          <cell r="J2021" t="str">
            <v>REPUESTO</v>
          </cell>
          <cell r="K2021" t="str">
            <v>CERROJO DE PUERTA LH</v>
          </cell>
          <cell r="L2021">
            <v>1</v>
          </cell>
          <cell r="M2021" t="str">
            <v>UNID.</v>
          </cell>
          <cell r="N2021" t="str">
            <v>TRACTO</v>
          </cell>
          <cell r="O2021">
            <v>0</v>
          </cell>
          <cell r="P2021" t="str">
            <v>M8</v>
          </cell>
          <cell r="Q2021" t="str">
            <v>J2</v>
          </cell>
          <cell r="R2021" t="str">
            <v>J6</v>
          </cell>
          <cell r="S2021" t="str">
            <v>ENTREGADO</v>
          </cell>
          <cell r="T2021">
            <v>42705</v>
          </cell>
          <cell r="U2021" t="str">
            <v>VARILLAS GAGO  OSCAR ALBERTO</v>
          </cell>
          <cell r="V2021" t="str">
            <v>CORIHUAMAN SURCO  ERICK ROBERT</v>
          </cell>
        </row>
        <row r="2022">
          <cell r="A2022">
            <v>2044</v>
          </cell>
          <cell r="B2022">
            <v>42705</v>
          </cell>
          <cell r="C2022" t="str">
            <v>DICIEMBRE</v>
          </cell>
          <cell r="D2022" t="str">
            <v>2016</v>
          </cell>
          <cell r="E2022">
            <v>502</v>
          </cell>
          <cell r="F2022" t="str">
            <v>D3S-767</v>
          </cell>
          <cell r="G2022" t="str">
            <v>B8L-973</v>
          </cell>
          <cell r="H2022" t="str">
            <v>LAS BAMBAS</v>
          </cell>
          <cell r="I2022">
            <v>184458</v>
          </cell>
          <cell r="J2022" t="str">
            <v>REPUESTO</v>
          </cell>
          <cell r="K2022" t="str">
            <v>MANGUERA ADORDEON  TRACTO COLOR AZUL</v>
          </cell>
          <cell r="L2022">
            <v>1</v>
          </cell>
          <cell r="M2022" t="str">
            <v>UNID.</v>
          </cell>
          <cell r="N2022" t="str">
            <v>TRACTO</v>
          </cell>
          <cell r="O2022">
            <v>0</v>
          </cell>
          <cell r="P2022" t="str">
            <v>M5</v>
          </cell>
          <cell r="Q2022" t="str">
            <v>J2</v>
          </cell>
          <cell r="R2022" t="str">
            <v>J6</v>
          </cell>
          <cell r="S2022" t="str">
            <v>ENTREGADO</v>
          </cell>
          <cell r="T2022">
            <v>42705</v>
          </cell>
          <cell r="U2022" t="str">
            <v>LOPEZ RUIZ WILBERTO</v>
          </cell>
          <cell r="V2022" t="str">
            <v>CORIHUAMAN SURCO  ERICK ROBERT</v>
          </cell>
        </row>
        <row r="2023">
          <cell r="A2023">
            <v>1977</v>
          </cell>
          <cell r="B2023">
            <v>42705</v>
          </cell>
          <cell r="C2023" t="str">
            <v>DICIEMBRE</v>
          </cell>
          <cell r="D2023" t="str">
            <v>2016</v>
          </cell>
          <cell r="E2023">
            <v>487</v>
          </cell>
          <cell r="F2023" t="str">
            <v>D6F-825</v>
          </cell>
          <cell r="G2023" t="str">
            <v>T2Y-992</v>
          </cell>
          <cell r="H2023" t="str">
            <v>LAS BAMBAS</v>
          </cell>
          <cell r="I2023">
            <v>184778</v>
          </cell>
          <cell r="J2023" t="str">
            <v>REPUESTO</v>
          </cell>
          <cell r="K2023" t="str">
            <v>FILTRO DE ACEITE</v>
          </cell>
          <cell r="L2023">
            <v>2</v>
          </cell>
          <cell r="M2023" t="str">
            <v>UNID.</v>
          </cell>
          <cell r="N2023" t="str">
            <v>TRACTO</v>
          </cell>
          <cell r="O2023">
            <v>0</v>
          </cell>
          <cell r="P2023" t="str">
            <v>M2</v>
          </cell>
          <cell r="Q2023" t="str">
            <v>J2</v>
          </cell>
          <cell r="R2023" t="str">
            <v>J5</v>
          </cell>
          <cell r="S2023" t="str">
            <v>ENTREGADO</v>
          </cell>
          <cell r="T2023">
            <v>42705</v>
          </cell>
          <cell r="U2023" t="str">
            <v>CHUMPITAZ GAGO JULIO ENRIQUE</v>
          </cell>
          <cell r="V2023" t="str">
            <v>CORIHUAMAN SURCO  ERICK ROBERT</v>
          </cell>
        </row>
        <row r="2024">
          <cell r="A2024">
            <v>1978</v>
          </cell>
          <cell r="B2024">
            <v>42705</v>
          </cell>
          <cell r="C2024" t="str">
            <v>DICIEMBRE</v>
          </cell>
          <cell r="D2024" t="str">
            <v>2016</v>
          </cell>
          <cell r="E2024">
            <v>487</v>
          </cell>
          <cell r="F2024" t="str">
            <v>D6F-825</v>
          </cell>
          <cell r="G2024" t="str">
            <v>T2Y-992</v>
          </cell>
          <cell r="H2024" t="str">
            <v>LAS BAMBAS</v>
          </cell>
          <cell r="I2024">
            <v>184778</v>
          </cell>
          <cell r="J2024" t="str">
            <v>REPUESTO</v>
          </cell>
          <cell r="K2024" t="str">
            <v>FILTRO SEPARADOR DE AGUA</v>
          </cell>
          <cell r="L2024">
            <v>1</v>
          </cell>
          <cell r="M2024" t="str">
            <v>UNID.</v>
          </cell>
          <cell r="N2024" t="str">
            <v>TRACTO</v>
          </cell>
          <cell r="O2024">
            <v>0</v>
          </cell>
          <cell r="P2024" t="str">
            <v>M2</v>
          </cell>
          <cell r="Q2024" t="str">
            <v>J2</v>
          </cell>
          <cell r="R2024" t="str">
            <v>J5</v>
          </cell>
          <cell r="S2024" t="str">
            <v>ENTREGADO</v>
          </cell>
          <cell r="T2024">
            <v>42705</v>
          </cell>
          <cell r="U2024" t="str">
            <v>CHUMPITAZ GAGO JULIO ENRIQUE</v>
          </cell>
          <cell r="V2024" t="str">
            <v>CORIHUAMAN SURCO  ERICK ROBERT</v>
          </cell>
        </row>
        <row r="2025">
          <cell r="A2025">
            <v>1979</v>
          </cell>
          <cell r="B2025">
            <v>42705</v>
          </cell>
          <cell r="C2025" t="str">
            <v>DICIEMBRE</v>
          </cell>
          <cell r="D2025" t="str">
            <v>2016</v>
          </cell>
          <cell r="E2025">
            <v>487</v>
          </cell>
          <cell r="F2025" t="str">
            <v>D6F-825</v>
          </cell>
          <cell r="G2025" t="str">
            <v>T2Y-992</v>
          </cell>
          <cell r="H2025" t="str">
            <v>LAS BAMBAS</v>
          </cell>
          <cell r="I2025">
            <v>184778</v>
          </cell>
          <cell r="J2025" t="str">
            <v>REPUESTO</v>
          </cell>
          <cell r="K2025" t="str">
            <v xml:space="preserve">FILTRO DE PETROLEO </v>
          </cell>
          <cell r="L2025">
            <v>1</v>
          </cell>
          <cell r="M2025" t="str">
            <v>UNID.</v>
          </cell>
          <cell r="N2025" t="str">
            <v>TRACTO</v>
          </cell>
          <cell r="O2025">
            <v>0</v>
          </cell>
          <cell r="P2025" t="str">
            <v>M2</v>
          </cell>
          <cell r="Q2025" t="str">
            <v>J2</v>
          </cell>
          <cell r="R2025" t="str">
            <v>J5</v>
          </cell>
          <cell r="S2025" t="str">
            <v>ENTREGADO</v>
          </cell>
          <cell r="T2025">
            <v>42705</v>
          </cell>
          <cell r="U2025" t="str">
            <v>CHUMPITAZ GAGO JULIO ENRIQUE</v>
          </cell>
          <cell r="V2025" t="str">
            <v>CORIHUAMAN SURCO  ERICK ROBERT</v>
          </cell>
        </row>
        <row r="2026">
          <cell r="A2026">
            <v>1980</v>
          </cell>
          <cell r="B2026">
            <v>42705</v>
          </cell>
          <cell r="C2026" t="str">
            <v>DICIEMBRE</v>
          </cell>
          <cell r="D2026" t="str">
            <v>2016</v>
          </cell>
          <cell r="E2026">
            <v>487</v>
          </cell>
          <cell r="F2026" t="str">
            <v>D6F-825</v>
          </cell>
          <cell r="G2026" t="str">
            <v>T2Y-992</v>
          </cell>
          <cell r="H2026" t="str">
            <v>LAS BAMBAS</v>
          </cell>
          <cell r="I2026">
            <v>184778</v>
          </cell>
          <cell r="J2026" t="str">
            <v>REPUESTO</v>
          </cell>
          <cell r="K2026" t="str">
            <v>ACEITE 15W40</v>
          </cell>
          <cell r="L2026">
            <v>10</v>
          </cell>
          <cell r="M2026" t="str">
            <v>GLNS.</v>
          </cell>
          <cell r="N2026" t="str">
            <v>TRACTO</v>
          </cell>
          <cell r="O2026">
            <v>0</v>
          </cell>
          <cell r="P2026" t="str">
            <v>M2</v>
          </cell>
          <cell r="Q2026" t="str">
            <v>J2</v>
          </cell>
          <cell r="R2026" t="str">
            <v>J5</v>
          </cell>
          <cell r="S2026" t="str">
            <v>ENTREGADO</v>
          </cell>
          <cell r="T2026">
            <v>42705</v>
          </cell>
          <cell r="U2026" t="str">
            <v>CHUMPITAZ GAGO JULIO ENRIQUE</v>
          </cell>
          <cell r="V2026" t="str">
            <v>CORIHUAMAN SURCO  ERICK ROBERT</v>
          </cell>
        </row>
        <row r="2027">
          <cell r="A2027">
            <v>1987</v>
          </cell>
          <cell r="B2027">
            <v>42705</v>
          </cell>
          <cell r="C2027" t="str">
            <v>DICIEMBRE</v>
          </cell>
          <cell r="D2027" t="str">
            <v>2016</v>
          </cell>
          <cell r="E2027">
            <v>487</v>
          </cell>
          <cell r="F2027" t="str">
            <v>D6F-825</v>
          </cell>
          <cell r="G2027" t="str">
            <v>T2Y-992</v>
          </cell>
          <cell r="H2027" t="str">
            <v>LAS BAMBAS</v>
          </cell>
          <cell r="I2027">
            <v>184778</v>
          </cell>
          <cell r="J2027" t="str">
            <v>REPUESTO</v>
          </cell>
          <cell r="K2027" t="str">
            <v>FOCO TIPO BALA 12V</v>
          </cell>
          <cell r="L2027">
            <v>2</v>
          </cell>
          <cell r="M2027" t="str">
            <v>UNID.</v>
          </cell>
          <cell r="N2027" t="str">
            <v>TRACTO</v>
          </cell>
          <cell r="O2027">
            <v>0</v>
          </cell>
          <cell r="P2027" t="str">
            <v>E2</v>
          </cell>
          <cell r="Q2027" t="str">
            <v>J2</v>
          </cell>
          <cell r="R2027" t="str">
            <v>J5</v>
          </cell>
          <cell r="S2027" t="str">
            <v>ENTREGADO</v>
          </cell>
          <cell r="T2027">
            <v>42705</v>
          </cell>
          <cell r="U2027" t="str">
            <v>YUCA BELLIDO BORIS YERSY</v>
          </cell>
          <cell r="V2027" t="str">
            <v>CORIHUAMAN SURCO  ERICK ROBERT</v>
          </cell>
        </row>
        <row r="2028">
          <cell r="A2028">
            <v>1988</v>
          </cell>
          <cell r="B2028">
            <v>42705</v>
          </cell>
          <cell r="C2028" t="str">
            <v>DICIEMBRE</v>
          </cell>
          <cell r="D2028" t="str">
            <v>2016</v>
          </cell>
          <cell r="E2028">
            <v>487</v>
          </cell>
          <cell r="F2028" t="str">
            <v>D6F-825</v>
          </cell>
          <cell r="G2028" t="str">
            <v>T2Y-992</v>
          </cell>
          <cell r="H2028" t="str">
            <v>LAS BAMBAS</v>
          </cell>
          <cell r="I2028">
            <v>184778</v>
          </cell>
          <cell r="J2028" t="str">
            <v>REPUESTO</v>
          </cell>
          <cell r="K2028" t="str">
            <v>FOCO LAGRIMA 12V</v>
          </cell>
          <cell r="L2028">
            <v>3</v>
          </cell>
          <cell r="M2028" t="str">
            <v>UNID.</v>
          </cell>
          <cell r="N2028" t="str">
            <v>TRACTO</v>
          </cell>
          <cell r="O2028">
            <v>0</v>
          </cell>
          <cell r="P2028" t="str">
            <v>E2</v>
          </cell>
          <cell r="Q2028" t="str">
            <v>J2</v>
          </cell>
          <cell r="R2028" t="str">
            <v>J5</v>
          </cell>
          <cell r="S2028" t="str">
            <v>ENTREGADO</v>
          </cell>
          <cell r="T2028">
            <v>42705</v>
          </cell>
          <cell r="U2028" t="str">
            <v>YUCA BELLIDO BORIS YERSY</v>
          </cell>
          <cell r="V2028" t="str">
            <v>CORIHUAMAN SURCO  ERICK ROBERT</v>
          </cell>
        </row>
        <row r="2029">
          <cell r="A2029">
            <v>1989</v>
          </cell>
          <cell r="B2029">
            <v>42705</v>
          </cell>
          <cell r="C2029" t="str">
            <v>DICIEMBRE</v>
          </cell>
          <cell r="D2029" t="str">
            <v>2016</v>
          </cell>
          <cell r="E2029">
            <v>487</v>
          </cell>
          <cell r="F2029" t="str">
            <v>D6F-825</v>
          </cell>
          <cell r="G2029" t="str">
            <v>T2Y-992</v>
          </cell>
          <cell r="H2029" t="str">
            <v>LAS BAMBAS</v>
          </cell>
          <cell r="I2029">
            <v>184778</v>
          </cell>
          <cell r="J2029" t="str">
            <v>REPUESTO</v>
          </cell>
          <cell r="K2029" t="str">
            <v>FOCO LAGRIMON AMBAR 12 V</v>
          </cell>
          <cell r="L2029">
            <v>1</v>
          </cell>
          <cell r="M2029" t="str">
            <v>UNID.</v>
          </cell>
          <cell r="N2029" t="str">
            <v>TRACTO</v>
          </cell>
          <cell r="O2029">
            <v>0</v>
          </cell>
          <cell r="P2029" t="str">
            <v>E2</v>
          </cell>
          <cell r="Q2029" t="str">
            <v>J2</v>
          </cell>
          <cell r="R2029" t="str">
            <v>J5</v>
          </cell>
          <cell r="S2029" t="str">
            <v>ENTREGADO</v>
          </cell>
          <cell r="T2029">
            <v>42705</v>
          </cell>
          <cell r="U2029" t="str">
            <v>YUCA BELLIDO BORIS YERSY</v>
          </cell>
          <cell r="V2029" t="str">
            <v>CORIHUAMAN SURCO  ERICK ROBERT</v>
          </cell>
        </row>
        <row r="2030">
          <cell r="A2030">
            <v>1995</v>
          </cell>
          <cell r="B2030">
            <v>42705</v>
          </cell>
          <cell r="C2030" t="str">
            <v>DICIEMBRE</v>
          </cell>
          <cell r="D2030" t="str">
            <v>2016</v>
          </cell>
          <cell r="E2030">
            <v>487</v>
          </cell>
          <cell r="F2030" t="str">
            <v>D6F-825</v>
          </cell>
          <cell r="G2030" t="str">
            <v>T2Y-992</v>
          </cell>
          <cell r="H2030" t="str">
            <v>LAS BAMBAS</v>
          </cell>
          <cell r="I2030">
            <v>184778</v>
          </cell>
          <cell r="J2030" t="str">
            <v>REPUESTO</v>
          </cell>
          <cell r="K2030" t="str">
            <v>FILTRO AIRE PRIMARIO</v>
          </cell>
          <cell r="L2030">
            <v>1</v>
          </cell>
          <cell r="M2030" t="str">
            <v>UNID.</v>
          </cell>
          <cell r="N2030" t="str">
            <v>TRACTO</v>
          </cell>
          <cell r="O2030">
            <v>0</v>
          </cell>
          <cell r="P2030" t="str">
            <v>M2</v>
          </cell>
          <cell r="Q2030" t="str">
            <v>J2</v>
          </cell>
          <cell r="R2030" t="str">
            <v>J6</v>
          </cell>
          <cell r="S2030" t="str">
            <v>ENTREGADO</v>
          </cell>
          <cell r="T2030">
            <v>42705</v>
          </cell>
          <cell r="U2030" t="str">
            <v>CHUMPITAZ GAGO JULIO ENRIQUE</v>
          </cell>
          <cell r="V2030" t="str">
            <v>CORIHUAMAN SURCO  ERICK ROBERT</v>
          </cell>
        </row>
        <row r="2031">
          <cell r="A2031">
            <v>1996</v>
          </cell>
          <cell r="B2031">
            <v>42705</v>
          </cell>
          <cell r="C2031" t="str">
            <v>DICIEMBRE</v>
          </cell>
          <cell r="D2031" t="str">
            <v>2016</v>
          </cell>
          <cell r="E2031">
            <v>487</v>
          </cell>
          <cell r="F2031" t="str">
            <v>D6F-825</v>
          </cell>
          <cell r="G2031" t="str">
            <v>T2Y-992</v>
          </cell>
          <cell r="H2031" t="str">
            <v>LAS BAMBAS</v>
          </cell>
          <cell r="I2031">
            <v>184778</v>
          </cell>
          <cell r="J2031" t="str">
            <v>REPUESTO</v>
          </cell>
          <cell r="K2031" t="str">
            <v>FILTRO DE AIRE SECUNDARIO</v>
          </cell>
          <cell r="L2031">
            <v>1</v>
          </cell>
          <cell r="M2031" t="str">
            <v>UNID.</v>
          </cell>
          <cell r="N2031" t="str">
            <v>TRACTO</v>
          </cell>
          <cell r="O2031">
            <v>0</v>
          </cell>
          <cell r="P2031" t="str">
            <v>M2</v>
          </cell>
          <cell r="Q2031" t="str">
            <v>J2</v>
          </cell>
          <cell r="R2031" t="str">
            <v>J6</v>
          </cell>
          <cell r="S2031" t="str">
            <v>ENTREGADO</v>
          </cell>
          <cell r="T2031">
            <v>42705</v>
          </cell>
          <cell r="U2031" t="str">
            <v>CHUMPITAZ GAGO JULIO ENRIQUE</v>
          </cell>
          <cell r="V2031" t="str">
            <v>CORIHUAMAN SURCO  ERICK ROBERT</v>
          </cell>
        </row>
        <row r="2032">
          <cell r="A2032">
            <v>2004</v>
          </cell>
          <cell r="B2032">
            <v>42705</v>
          </cell>
          <cell r="C2032" t="str">
            <v>DICIEMBRE</v>
          </cell>
          <cell r="D2032" t="str">
            <v>2016</v>
          </cell>
          <cell r="E2032">
            <v>487</v>
          </cell>
          <cell r="F2032" t="str">
            <v>D6F-825</v>
          </cell>
          <cell r="G2032" t="str">
            <v>T2Y-992</v>
          </cell>
          <cell r="H2032" t="str">
            <v>LAS BAMBAS</v>
          </cell>
          <cell r="I2032">
            <v>184778</v>
          </cell>
          <cell r="J2032" t="str">
            <v>REPUESTO</v>
          </cell>
          <cell r="K2032" t="str">
            <v>PERNOS  SEGÚN MUESTRA</v>
          </cell>
          <cell r="L2032">
            <v>3</v>
          </cell>
          <cell r="M2032" t="str">
            <v>UNID.</v>
          </cell>
          <cell r="N2032" t="str">
            <v>TRACTO</v>
          </cell>
          <cell r="O2032">
            <v>0</v>
          </cell>
          <cell r="P2032" t="str">
            <v>M2</v>
          </cell>
          <cell r="Q2032" t="str">
            <v>J2</v>
          </cell>
          <cell r="R2032" t="str">
            <v>J5</v>
          </cell>
          <cell r="S2032" t="str">
            <v>ENTREGADO</v>
          </cell>
          <cell r="T2032">
            <v>42705</v>
          </cell>
          <cell r="U2032" t="str">
            <v>CHUMPITAZ GAGO JULIO ENRIQUE</v>
          </cell>
          <cell r="V2032" t="str">
            <v>CORIHUAMAN SURCO  ERICK ROBERT</v>
          </cell>
        </row>
        <row r="2033">
          <cell r="A2033">
            <v>2015</v>
          </cell>
          <cell r="B2033">
            <v>42705</v>
          </cell>
          <cell r="C2033" t="str">
            <v>DICIEMBRE</v>
          </cell>
          <cell r="D2033" t="str">
            <v>2016</v>
          </cell>
          <cell r="E2033">
            <v>487</v>
          </cell>
          <cell r="F2033" t="str">
            <v>D6F-825</v>
          </cell>
          <cell r="G2033" t="str">
            <v>T2Y-992</v>
          </cell>
          <cell r="H2033" t="str">
            <v>LAS BAMBAS</v>
          </cell>
          <cell r="I2033">
            <v>184778</v>
          </cell>
          <cell r="J2033" t="str">
            <v>REPUESTO</v>
          </cell>
          <cell r="K2033" t="str">
            <v>RETENEDORES DE PUERTA</v>
          </cell>
          <cell r="L2033">
            <v>2</v>
          </cell>
          <cell r="M2033" t="str">
            <v>UNID.</v>
          </cell>
          <cell r="N2033" t="str">
            <v>TRACTO</v>
          </cell>
          <cell r="O2033">
            <v>0</v>
          </cell>
          <cell r="P2033" t="str">
            <v>M2</v>
          </cell>
          <cell r="Q2033" t="str">
            <v>J2</v>
          </cell>
          <cell r="R2033" t="str">
            <v>J6</v>
          </cell>
          <cell r="S2033" t="str">
            <v>ENTREGADO</v>
          </cell>
          <cell r="T2033">
            <v>42705</v>
          </cell>
          <cell r="U2033" t="str">
            <v>CHUMPITAZ GAGO JULIO ENRIQUE</v>
          </cell>
          <cell r="V2033" t="str">
            <v>CORIHUAMAN SURCO  ERICK ROBERT</v>
          </cell>
        </row>
        <row r="2034">
          <cell r="A2034">
            <v>2002</v>
          </cell>
          <cell r="B2034">
            <v>42705</v>
          </cell>
          <cell r="C2034" t="str">
            <v>DICIEMBRE</v>
          </cell>
          <cell r="D2034" t="str">
            <v>2016</v>
          </cell>
          <cell r="E2034">
            <v>442</v>
          </cell>
          <cell r="F2034" t="str">
            <v>D6G-805</v>
          </cell>
          <cell r="G2034" t="str">
            <v>T4Z-996</v>
          </cell>
          <cell r="H2034" t="str">
            <v>LAS BAMBAS</v>
          </cell>
          <cell r="I2034">
            <v>222123</v>
          </cell>
          <cell r="J2034" t="str">
            <v>INSUMO TALLER</v>
          </cell>
          <cell r="K2034" t="str">
            <v>DETERGENTE 1/2 KG</v>
          </cell>
          <cell r="L2034">
            <v>2</v>
          </cell>
          <cell r="M2034" t="str">
            <v>UNID.</v>
          </cell>
          <cell r="N2034" t="str">
            <v>TRACTO</v>
          </cell>
          <cell r="O2034">
            <v>0</v>
          </cell>
          <cell r="P2034" t="str">
            <v>S2</v>
          </cell>
          <cell r="Q2034" t="str">
            <v>J2</v>
          </cell>
          <cell r="R2034" t="str">
            <v>J5</v>
          </cell>
          <cell r="S2034" t="str">
            <v>ENTREGADO</v>
          </cell>
          <cell r="T2034">
            <v>42705</v>
          </cell>
          <cell r="U2034" t="str">
            <v>PALOMINO ESTRADA  MICHEL</v>
          </cell>
          <cell r="V2034" t="str">
            <v>CORIHUAMAN SURCO  ERICK ROBERT</v>
          </cell>
        </row>
        <row r="2035">
          <cell r="A2035">
            <v>1999</v>
          </cell>
          <cell r="B2035">
            <v>42705</v>
          </cell>
          <cell r="C2035" t="str">
            <v>DICIEMBRE</v>
          </cell>
          <cell r="D2035" t="str">
            <v>2016</v>
          </cell>
          <cell r="E2035">
            <v>454</v>
          </cell>
          <cell r="F2035" t="str">
            <v>D6G-806</v>
          </cell>
          <cell r="G2035" t="str">
            <v>B8K-998</v>
          </cell>
          <cell r="H2035" t="str">
            <v>LAS BAMBAS</v>
          </cell>
          <cell r="I2035">
            <v>218209</v>
          </cell>
          <cell r="J2035" t="str">
            <v>REPUESTO</v>
          </cell>
          <cell r="K2035" t="str">
            <v>LIQUIDO REFRIGERANTE</v>
          </cell>
          <cell r="L2035">
            <v>11</v>
          </cell>
          <cell r="M2035" t="str">
            <v>GLNS.</v>
          </cell>
          <cell r="N2035" t="str">
            <v>TRACTO</v>
          </cell>
          <cell r="O2035">
            <v>0</v>
          </cell>
          <cell r="P2035" t="str">
            <v>M5</v>
          </cell>
          <cell r="Q2035" t="str">
            <v>J2</v>
          </cell>
          <cell r="R2035" t="str">
            <v>J5</v>
          </cell>
          <cell r="S2035" t="str">
            <v>ENTREGADO</v>
          </cell>
          <cell r="T2035">
            <v>42705</v>
          </cell>
          <cell r="U2035" t="str">
            <v>LOPEZ RUIZ WILBERTO</v>
          </cell>
          <cell r="V2035" t="str">
            <v>CORIHUAMAN SURCO  ERICK ROBERT</v>
          </cell>
        </row>
        <row r="2036">
          <cell r="A2036">
            <v>2000</v>
          </cell>
          <cell r="B2036">
            <v>42705</v>
          </cell>
          <cell r="C2036" t="str">
            <v>DICIEMBRE</v>
          </cell>
          <cell r="D2036" t="str">
            <v>2016</v>
          </cell>
          <cell r="E2036">
            <v>454</v>
          </cell>
          <cell r="F2036" t="str">
            <v>D6G-806</v>
          </cell>
          <cell r="G2036" t="str">
            <v>B8K-998</v>
          </cell>
          <cell r="H2036" t="str">
            <v>LAS BAMBAS</v>
          </cell>
          <cell r="I2036">
            <v>218209</v>
          </cell>
          <cell r="J2036" t="str">
            <v>REPUESTO</v>
          </cell>
          <cell r="K2036" t="str">
            <v>ABRAZADERA DE 2"</v>
          </cell>
          <cell r="L2036">
            <v>2</v>
          </cell>
          <cell r="M2036" t="str">
            <v>UNID.</v>
          </cell>
          <cell r="N2036" t="str">
            <v>TRACTO</v>
          </cell>
          <cell r="O2036">
            <v>0</v>
          </cell>
          <cell r="P2036" t="str">
            <v>M5</v>
          </cell>
          <cell r="Q2036" t="str">
            <v>J2</v>
          </cell>
          <cell r="R2036" t="str">
            <v>J5</v>
          </cell>
          <cell r="S2036" t="str">
            <v>ENTREGADO</v>
          </cell>
          <cell r="T2036">
            <v>42705</v>
          </cell>
          <cell r="U2036" t="str">
            <v>LOPEZ RUIZ WILBERTO</v>
          </cell>
          <cell r="V2036" t="str">
            <v>CORIHUAMAN SURCO  ERICK ROBERT</v>
          </cell>
        </row>
        <row r="2037">
          <cell r="A2037">
            <v>2001</v>
          </cell>
          <cell r="B2037">
            <v>42705</v>
          </cell>
          <cell r="C2037" t="str">
            <v>DICIEMBRE</v>
          </cell>
          <cell r="D2037" t="str">
            <v>2016</v>
          </cell>
          <cell r="E2037">
            <v>454</v>
          </cell>
          <cell r="F2037" t="str">
            <v>D6G-806</v>
          </cell>
          <cell r="G2037" t="str">
            <v>B8K-998</v>
          </cell>
          <cell r="H2037" t="str">
            <v>LAS BAMBAS</v>
          </cell>
          <cell r="I2037">
            <v>218209</v>
          </cell>
          <cell r="J2037" t="str">
            <v>REPUESTO</v>
          </cell>
          <cell r="K2037" t="str">
            <v xml:space="preserve">UNION RAPIDA 1/4 </v>
          </cell>
          <cell r="L2037">
            <v>2</v>
          </cell>
          <cell r="M2037" t="str">
            <v>UNID.</v>
          </cell>
          <cell r="N2037" t="str">
            <v>TRACTO</v>
          </cell>
          <cell r="O2037">
            <v>0</v>
          </cell>
          <cell r="P2037" t="str">
            <v>M5</v>
          </cell>
          <cell r="Q2037" t="str">
            <v>J2</v>
          </cell>
          <cell r="R2037" t="str">
            <v>J5</v>
          </cell>
          <cell r="S2037" t="str">
            <v>ENTREGADO</v>
          </cell>
          <cell r="T2037">
            <v>42705</v>
          </cell>
          <cell r="U2037" t="str">
            <v>LOPEZ RUIZ WILBERTO</v>
          </cell>
          <cell r="V2037" t="str">
            <v>CORIHUAMAN SURCO  ERICK ROBERT</v>
          </cell>
        </row>
        <row r="2038">
          <cell r="A2038">
            <v>2016</v>
          </cell>
          <cell r="B2038">
            <v>42705</v>
          </cell>
          <cell r="C2038" t="str">
            <v>DICIEMBRE</v>
          </cell>
          <cell r="D2038" t="str">
            <v>2016</v>
          </cell>
          <cell r="E2038">
            <v>454</v>
          </cell>
          <cell r="F2038" t="str">
            <v>D6G-806</v>
          </cell>
          <cell r="G2038" t="str">
            <v>B8K-998</v>
          </cell>
          <cell r="H2038" t="str">
            <v>LAS BAMBAS</v>
          </cell>
          <cell r="I2038">
            <v>218209</v>
          </cell>
          <cell r="J2038" t="str">
            <v>REPUESTO</v>
          </cell>
          <cell r="K2038" t="str">
            <v>JUEGO DE ZAPATAS COMPLETAS</v>
          </cell>
          <cell r="L2038">
            <v>3</v>
          </cell>
          <cell r="M2038" t="str">
            <v>JUEGO</v>
          </cell>
          <cell r="N2038" t="str">
            <v>CISTERNA</v>
          </cell>
          <cell r="O2038">
            <v>0</v>
          </cell>
          <cell r="P2038" t="str">
            <v>M5</v>
          </cell>
          <cell r="Q2038" t="str">
            <v>J2</v>
          </cell>
          <cell r="R2038" t="str">
            <v>J6</v>
          </cell>
          <cell r="S2038" t="str">
            <v>ENTREGADO</v>
          </cell>
          <cell r="T2038">
            <v>42705</v>
          </cell>
          <cell r="U2038" t="str">
            <v>LOPEZ RUIZ WILBERTO</v>
          </cell>
          <cell r="V2038" t="str">
            <v>CORIHUAMAN SURCO  ERICK ROBERT</v>
          </cell>
        </row>
        <row r="2039">
          <cell r="A2039">
            <v>2017</v>
          </cell>
          <cell r="B2039">
            <v>42705</v>
          </cell>
          <cell r="C2039" t="str">
            <v>DICIEMBRE</v>
          </cell>
          <cell r="D2039" t="str">
            <v>2016</v>
          </cell>
          <cell r="E2039">
            <v>454</v>
          </cell>
          <cell r="F2039" t="str">
            <v>D6G-806</v>
          </cell>
          <cell r="G2039" t="str">
            <v>B8K-998</v>
          </cell>
          <cell r="H2039" t="str">
            <v>LAS BAMBAS</v>
          </cell>
          <cell r="I2039">
            <v>218209</v>
          </cell>
          <cell r="J2039" t="str">
            <v>REPUESTO</v>
          </cell>
          <cell r="K2039" t="str">
            <v>RESORTES GRANDES PARA ZAPATAS</v>
          </cell>
          <cell r="L2039">
            <v>6</v>
          </cell>
          <cell r="M2039" t="str">
            <v>UNID.</v>
          </cell>
          <cell r="N2039" t="str">
            <v>CISTERNA</v>
          </cell>
          <cell r="O2039">
            <v>0</v>
          </cell>
          <cell r="P2039" t="str">
            <v>M5</v>
          </cell>
          <cell r="Q2039" t="str">
            <v>J2</v>
          </cell>
          <cell r="R2039" t="str">
            <v>J6</v>
          </cell>
          <cell r="S2039" t="str">
            <v>ENTREGADO</v>
          </cell>
          <cell r="T2039">
            <v>42705</v>
          </cell>
          <cell r="U2039" t="str">
            <v>LOPEZ RUIZ WILBERTO</v>
          </cell>
          <cell r="V2039" t="str">
            <v>CORIHUAMAN SURCO  ERICK ROBERT</v>
          </cell>
        </row>
        <row r="2040">
          <cell r="A2040">
            <v>2018</v>
          </cell>
          <cell r="B2040">
            <v>42705</v>
          </cell>
          <cell r="C2040" t="str">
            <v>DICIEMBRE</v>
          </cell>
          <cell r="D2040" t="str">
            <v>2016</v>
          </cell>
          <cell r="E2040">
            <v>454</v>
          </cell>
          <cell r="F2040" t="str">
            <v>D6G-806</v>
          </cell>
          <cell r="G2040" t="str">
            <v>B8K-998</v>
          </cell>
          <cell r="H2040" t="str">
            <v>LAS BAMBAS</v>
          </cell>
          <cell r="I2040">
            <v>218209</v>
          </cell>
          <cell r="J2040" t="str">
            <v>REPUESTO</v>
          </cell>
          <cell r="K2040" t="str">
            <v>RESORTES CHICOS PARA ZAPATA</v>
          </cell>
          <cell r="L2040">
            <v>12</v>
          </cell>
          <cell r="M2040" t="str">
            <v>UNID.</v>
          </cell>
          <cell r="N2040" t="str">
            <v>CISTERNA</v>
          </cell>
          <cell r="O2040">
            <v>0</v>
          </cell>
          <cell r="P2040" t="str">
            <v>M5</v>
          </cell>
          <cell r="Q2040" t="str">
            <v>J2</v>
          </cell>
          <cell r="R2040" t="str">
            <v>J6</v>
          </cell>
          <cell r="S2040" t="str">
            <v>ENTREGADO</v>
          </cell>
          <cell r="T2040">
            <v>42705</v>
          </cell>
          <cell r="U2040" t="str">
            <v>LOPEZ RUIZ WILBERTO</v>
          </cell>
          <cell r="V2040" t="str">
            <v>CORIHUAMAN SURCO  ERICK ROBERT</v>
          </cell>
        </row>
        <row r="2041">
          <cell r="A2041">
            <v>2019</v>
          </cell>
          <cell r="B2041">
            <v>42705</v>
          </cell>
          <cell r="C2041" t="str">
            <v>DICIEMBRE</v>
          </cell>
          <cell r="D2041" t="str">
            <v>2016</v>
          </cell>
          <cell r="E2041">
            <v>454</v>
          </cell>
          <cell r="F2041" t="str">
            <v>D6G-806</v>
          </cell>
          <cell r="G2041" t="str">
            <v>B8K-998</v>
          </cell>
          <cell r="H2041" t="str">
            <v>LAS BAMBAS</v>
          </cell>
          <cell r="I2041">
            <v>218209</v>
          </cell>
          <cell r="J2041" t="str">
            <v>REPUESTO</v>
          </cell>
          <cell r="K2041" t="str">
            <v>BUJES DE EJE LEVAS</v>
          </cell>
          <cell r="L2041">
            <v>6</v>
          </cell>
          <cell r="M2041" t="str">
            <v>UNID.</v>
          </cell>
          <cell r="N2041" t="str">
            <v>CISTERNA</v>
          </cell>
          <cell r="O2041">
            <v>85</v>
          </cell>
          <cell r="P2041" t="str">
            <v>M5</v>
          </cell>
          <cell r="Q2041" t="str">
            <v>J2</v>
          </cell>
          <cell r="R2041" t="str">
            <v>J6</v>
          </cell>
          <cell r="S2041" t="str">
            <v>PENDIENTE</v>
          </cell>
          <cell r="T2041">
            <v>0</v>
          </cell>
          <cell r="U2041" t="str">
            <v>LOPEZ RUIZ WILBERTO</v>
          </cell>
          <cell r="V2041" t="str">
            <v>CORIHUAMAN SURCO  ERICK ROBERT</v>
          </cell>
        </row>
        <row r="2042">
          <cell r="A2042">
            <v>2042</v>
          </cell>
          <cell r="B2042">
            <v>42705</v>
          </cell>
          <cell r="C2042" t="str">
            <v>DICIEMBRE</v>
          </cell>
          <cell r="D2042" t="str">
            <v>2016</v>
          </cell>
          <cell r="E2042">
            <v>454</v>
          </cell>
          <cell r="F2042" t="str">
            <v>D6G-806</v>
          </cell>
          <cell r="G2042" t="str">
            <v>B8K-998</v>
          </cell>
          <cell r="H2042" t="str">
            <v>LAS BAMBAS</v>
          </cell>
          <cell r="I2042">
            <v>218209</v>
          </cell>
          <cell r="J2042" t="str">
            <v>REPUESTO</v>
          </cell>
          <cell r="K2042" t="str">
            <v>FAJAS BALATAS (PATINES)</v>
          </cell>
          <cell r="L2042">
            <v>3</v>
          </cell>
          <cell r="M2042" t="str">
            <v>JUEGO</v>
          </cell>
          <cell r="N2042" t="str">
            <v>TRACTO</v>
          </cell>
          <cell r="O2042">
            <v>0</v>
          </cell>
          <cell r="P2042" t="str">
            <v>M5</v>
          </cell>
          <cell r="Q2042" t="str">
            <v>J2</v>
          </cell>
          <cell r="R2042" t="str">
            <v>J6</v>
          </cell>
          <cell r="S2042" t="str">
            <v>ENTREGADO</v>
          </cell>
          <cell r="T2042">
            <v>42705</v>
          </cell>
          <cell r="U2042" t="str">
            <v>LOPEZ RUIZ WILBERTO</v>
          </cell>
          <cell r="V2042" t="str">
            <v>CORIHUAMAN SURCO  ERICK ROBERT</v>
          </cell>
        </row>
        <row r="2043">
          <cell r="A2043">
            <v>1976</v>
          </cell>
          <cell r="B2043">
            <v>42705</v>
          </cell>
          <cell r="C2043" t="str">
            <v>DICIEMBRE</v>
          </cell>
          <cell r="D2043" t="str">
            <v>2016</v>
          </cell>
          <cell r="E2043">
            <v>454</v>
          </cell>
          <cell r="F2043" t="str">
            <v>D6G-806</v>
          </cell>
          <cell r="G2043" t="str">
            <v>B8K-998</v>
          </cell>
          <cell r="H2043" t="str">
            <v>LAS BAMBAS</v>
          </cell>
          <cell r="I2043">
            <v>218209</v>
          </cell>
          <cell r="J2043" t="str">
            <v>REPUESTO</v>
          </cell>
          <cell r="K2043" t="str">
            <v>LLANTAS REENCAUCHADAS IDY</v>
          </cell>
          <cell r="L2043">
            <v>4</v>
          </cell>
          <cell r="M2043" t="str">
            <v>UNID.</v>
          </cell>
          <cell r="N2043" t="str">
            <v>TRACTO</v>
          </cell>
          <cell r="O2043">
            <v>0</v>
          </cell>
          <cell r="P2043" t="str">
            <v>N1</v>
          </cell>
          <cell r="Q2043" t="str">
            <v>J2</v>
          </cell>
          <cell r="R2043" t="str">
            <v>J5</v>
          </cell>
          <cell r="S2043" t="str">
            <v>ENTREGADO</v>
          </cell>
          <cell r="T2043">
            <v>42705</v>
          </cell>
          <cell r="U2043" t="str">
            <v>AGUILAR CCANTUTA WILLY</v>
          </cell>
          <cell r="V2043" t="str">
            <v>CORIHUAMAN SURCO  ERICK ROBERT</v>
          </cell>
        </row>
        <row r="2044">
          <cell r="A2044">
            <v>2020</v>
          </cell>
          <cell r="B2044">
            <v>42705</v>
          </cell>
          <cell r="C2044" t="str">
            <v>DICIEMBRE</v>
          </cell>
          <cell r="D2044" t="str">
            <v>2016</v>
          </cell>
          <cell r="E2044">
            <v>454</v>
          </cell>
          <cell r="F2044" t="str">
            <v>D6G-806</v>
          </cell>
          <cell r="G2044" t="str">
            <v>B8K-998</v>
          </cell>
          <cell r="H2044" t="str">
            <v>LAS BAMBAS</v>
          </cell>
          <cell r="I2044">
            <v>218209</v>
          </cell>
          <cell r="J2044" t="str">
            <v>REPUESTO</v>
          </cell>
          <cell r="K2044" t="str">
            <v>LLANTAS REENCAUCHADAS IZY2</v>
          </cell>
          <cell r="L2044">
            <v>2</v>
          </cell>
          <cell r="M2044" t="str">
            <v>UNID.</v>
          </cell>
          <cell r="N2044" t="str">
            <v>CISTERNA</v>
          </cell>
          <cell r="O2044">
            <v>0</v>
          </cell>
          <cell r="P2044" t="str">
            <v>N1</v>
          </cell>
          <cell r="Q2044" t="str">
            <v>J2</v>
          </cell>
          <cell r="R2044" t="str">
            <v>J5</v>
          </cell>
          <cell r="S2044" t="str">
            <v>ENTREGADO</v>
          </cell>
          <cell r="T2044">
            <v>42705</v>
          </cell>
          <cell r="U2044" t="str">
            <v>AGUILAR CCANTUTA WILLY</v>
          </cell>
          <cell r="V2044" t="str">
            <v>CORIHUAMAN SURCO  ERICK ROBERT</v>
          </cell>
        </row>
        <row r="2045">
          <cell r="A2045">
            <v>1964</v>
          </cell>
          <cell r="B2045">
            <v>42705</v>
          </cell>
          <cell r="C2045" t="str">
            <v>DICIEMBRE</v>
          </cell>
          <cell r="D2045" t="str">
            <v>2016</v>
          </cell>
          <cell r="E2045">
            <v>200</v>
          </cell>
          <cell r="F2045" t="str">
            <v>TALLER</v>
          </cell>
          <cell r="G2045" t="str">
            <v>TALLER</v>
          </cell>
          <cell r="H2045" t="str">
            <v>TALLER</v>
          </cell>
          <cell r="I2045" t="str">
            <v>TALLER</v>
          </cell>
          <cell r="J2045" t="str">
            <v>INSUMO TALLER</v>
          </cell>
          <cell r="K2045" t="str">
            <v>DETERGENTE 1/2 KG</v>
          </cell>
          <cell r="L2045">
            <v>1</v>
          </cell>
          <cell r="M2045" t="str">
            <v>UNID.</v>
          </cell>
          <cell r="N2045" t="str">
            <v>TALLER</v>
          </cell>
          <cell r="O2045">
            <v>0</v>
          </cell>
          <cell r="P2045" t="str">
            <v>E3</v>
          </cell>
          <cell r="Q2045" t="str">
            <v>J2</v>
          </cell>
          <cell r="R2045" t="str">
            <v>J6</v>
          </cell>
          <cell r="S2045" t="str">
            <v>ENTREGADO</v>
          </cell>
          <cell r="T2045">
            <v>42705</v>
          </cell>
          <cell r="U2045" t="str">
            <v>CONDORI CHURATA ALEX</v>
          </cell>
          <cell r="V2045" t="str">
            <v>CORIHUAMAN SURCO  ERICK ROBERT</v>
          </cell>
        </row>
        <row r="2046">
          <cell r="A2046">
            <v>1965</v>
          </cell>
          <cell r="B2046">
            <v>42705</v>
          </cell>
          <cell r="C2046" t="str">
            <v>DICIEMBRE</v>
          </cell>
          <cell r="D2046" t="str">
            <v>2016</v>
          </cell>
          <cell r="E2046">
            <v>200</v>
          </cell>
          <cell r="F2046" t="str">
            <v>TALLER</v>
          </cell>
          <cell r="G2046" t="str">
            <v>TALLER</v>
          </cell>
          <cell r="H2046" t="str">
            <v>TALLER</v>
          </cell>
          <cell r="I2046" t="str">
            <v>TALLER</v>
          </cell>
          <cell r="J2046" t="str">
            <v>INSUMO TALLER</v>
          </cell>
          <cell r="K2046" t="str">
            <v>DISCO DE CORTE DE 4"</v>
          </cell>
          <cell r="L2046">
            <v>2</v>
          </cell>
          <cell r="M2046" t="str">
            <v>UNID.</v>
          </cell>
          <cell r="N2046" t="str">
            <v>TALLER</v>
          </cell>
          <cell r="O2046">
            <v>0</v>
          </cell>
          <cell r="P2046" t="str">
            <v>S4</v>
          </cell>
          <cell r="Q2046" t="str">
            <v>J2</v>
          </cell>
          <cell r="R2046" t="str">
            <v>J6</v>
          </cell>
          <cell r="S2046" t="str">
            <v>ENTREGADO</v>
          </cell>
          <cell r="T2046">
            <v>42705</v>
          </cell>
          <cell r="U2046" t="str">
            <v>SURCO QUISPE JOHNNY</v>
          </cell>
          <cell r="V2046" t="str">
            <v>CORIHUAMAN SURCO  ERICK ROBERT</v>
          </cell>
        </row>
        <row r="2047">
          <cell r="A2047">
            <v>1971</v>
          </cell>
          <cell r="B2047">
            <v>42705</v>
          </cell>
          <cell r="C2047" t="str">
            <v>DICIEMBRE</v>
          </cell>
          <cell r="D2047" t="str">
            <v>2016</v>
          </cell>
          <cell r="E2047">
            <v>200</v>
          </cell>
          <cell r="F2047" t="str">
            <v>TALLER</v>
          </cell>
          <cell r="G2047" t="str">
            <v>TALLER</v>
          </cell>
          <cell r="H2047" t="str">
            <v>TALLER</v>
          </cell>
          <cell r="I2047" t="str">
            <v>TALLER</v>
          </cell>
          <cell r="J2047" t="str">
            <v>INSUMO TALLER</v>
          </cell>
          <cell r="K2047" t="str">
            <v>LIJAR GRUESO #80</v>
          </cell>
          <cell r="L2047">
            <v>2</v>
          </cell>
          <cell r="M2047" t="str">
            <v>UNID.</v>
          </cell>
          <cell r="N2047" t="str">
            <v>TALLER</v>
          </cell>
          <cell r="O2047">
            <v>0</v>
          </cell>
          <cell r="P2047" t="str">
            <v>E3</v>
          </cell>
          <cell r="Q2047" t="str">
            <v>J2</v>
          </cell>
          <cell r="R2047" t="str">
            <v>J5</v>
          </cell>
          <cell r="S2047" t="str">
            <v>ENTREGADO</v>
          </cell>
          <cell r="T2047">
            <v>42705</v>
          </cell>
          <cell r="U2047" t="str">
            <v>CONDORI CHURATA ALEX</v>
          </cell>
          <cell r="V2047" t="str">
            <v>CORIHUAMAN SURCO  ERICK ROBERT</v>
          </cell>
        </row>
        <row r="2048">
          <cell r="A2048">
            <v>1997</v>
          </cell>
          <cell r="B2048">
            <v>42705</v>
          </cell>
          <cell r="C2048" t="str">
            <v>DICIEMBRE</v>
          </cell>
          <cell r="D2048" t="str">
            <v>2016</v>
          </cell>
          <cell r="E2048">
            <v>200</v>
          </cell>
          <cell r="F2048" t="str">
            <v>TALLER</v>
          </cell>
          <cell r="G2048" t="str">
            <v>TALLER</v>
          </cell>
          <cell r="H2048" t="str">
            <v>TALLER</v>
          </cell>
          <cell r="I2048" t="str">
            <v>TALLER</v>
          </cell>
          <cell r="J2048" t="str">
            <v>INSUMO TALLER</v>
          </cell>
          <cell r="K2048" t="str">
            <v xml:space="preserve">ACOPLE DE 3/8 PARA PISTOLA DE AIRE </v>
          </cell>
          <cell r="L2048">
            <v>1</v>
          </cell>
          <cell r="M2048" t="str">
            <v>UNID.</v>
          </cell>
          <cell r="N2048" t="str">
            <v>TALLER</v>
          </cell>
          <cell r="O2048">
            <v>85</v>
          </cell>
          <cell r="P2048" t="str">
            <v>E3</v>
          </cell>
          <cell r="Q2048" t="str">
            <v>J2</v>
          </cell>
          <cell r="R2048" t="str">
            <v>J6</v>
          </cell>
          <cell r="S2048" t="str">
            <v>PENDIENTE</v>
          </cell>
          <cell r="T2048">
            <v>0</v>
          </cell>
          <cell r="U2048" t="str">
            <v>CONDORI CHURATA ALEX</v>
          </cell>
          <cell r="V2048" t="str">
            <v>CORIHUAMAN SURCO  ERICK ROBERT</v>
          </cell>
        </row>
        <row r="2049">
          <cell r="A2049">
            <v>1998</v>
          </cell>
          <cell r="B2049">
            <v>42705</v>
          </cell>
          <cell r="C2049" t="str">
            <v>DICIEMBRE</v>
          </cell>
          <cell r="D2049" t="str">
            <v>2016</v>
          </cell>
          <cell r="E2049">
            <v>200</v>
          </cell>
          <cell r="F2049" t="str">
            <v>TALLER</v>
          </cell>
          <cell r="G2049" t="str">
            <v>TALLER</v>
          </cell>
          <cell r="H2049" t="str">
            <v>TALLER</v>
          </cell>
          <cell r="I2049" t="str">
            <v>TALLER</v>
          </cell>
          <cell r="J2049" t="str">
            <v>HERRAMIENTAS</v>
          </cell>
          <cell r="K2049" t="str">
            <v>ESPATULA MEDIANA</v>
          </cell>
          <cell r="L2049">
            <v>1</v>
          </cell>
          <cell r="M2049" t="str">
            <v>UNID.</v>
          </cell>
          <cell r="N2049" t="str">
            <v>TALLER</v>
          </cell>
          <cell r="O2049">
            <v>85</v>
          </cell>
          <cell r="P2049" t="str">
            <v>M2</v>
          </cell>
          <cell r="Q2049" t="str">
            <v>J2</v>
          </cell>
          <cell r="R2049" t="str">
            <v>J5</v>
          </cell>
          <cell r="S2049" t="str">
            <v>PENDIENTE</v>
          </cell>
          <cell r="T2049">
            <v>0</v>
          </cell>
          <cell r="U2049" t="str">
            <v>CHUMPITAZ GAGO JULIO ENRIQUE</v>
          </cell>
          <cell r="V2049" t="str">
            <v>CORIHUAMAN SURCO  ERICK ROBERT</v>
          </cell>
        </row>
        <row r="2050">
          <cell r="A2050">
            <v>2005</v>
          </cell>
          <cell r="B2050">
            <v>42705</v>
          </cell>
          <cell r="C2050" t="str">
            <v>DICIEMBRE</v>
          </cell>
          <cell r="D2050" t="str">
            <v>2016</v>
          </cell>
          <cell r="E2050">
            <v>200</v>
          </cell>
          <cell r="F2050" t="str">
            <v>TALLER</v>
          </cell>
          <cell r="G2050" t="str">
            <v>TALLER</v>
          </cell>
          <cell r="H2050" t="str">
            <v>TALLER</v>
          </cell>
          <cell r="I2050" t="str">
            <v>TALLER</v>
          </cell>
          <cell r="J2050" t="str">
            <v>MATERIALES</v>
          </cell>
          <cell r="K2050" t="str">
            <v>ARCHIVADORES PEQUEÑOS</v>
          </cell>
          <cell r="L2050">
            <v>4</v>
          </cell>
          <cell r="M2050" t="str">
            <v>UNID.</v>
          </cell>
          <cell r="N2050" t="str">
            <v>TALLER</v>
          </cell>
          <cell r="O2050">
            <v>85</v>
          </cell>
          <cell r="P2050" t="str">
            <v>J4</v>
          </cell>
          <cell r="Q2050" t="str">
            <v>J4</v>
          </cell>
          <cell r="R2050" t="str">
            <v>J6</v>
          </cell>
          <cell r="S2050" t="str">
            <v>PENDIENTE</v>
          </cell>
          <cell r="T2050">
            <v>0</v>
          </cell>
          <cell r="U2050" t="str">
            <v>CHIAN MANRIQUE PEDRO ANTONIO</v>
          </cell>
          <cell r="V2050" t="str">
            <v>CHIAN MANRIQUE PEDRO ANTONIO</v>
          </cell>
        </row>
        <row r="2051">
          <cell r="A2051">
            <v>2006</v>
          </cell>
          <cell r="B2051">
            <v>42705</v>
          </cell>
          <cell r="C2051" t="str">
            <v>DICIEMBRE</v>
          </cell>
          <cell r="D2051" t="str">
            <v>2016</v>
          </cell>
          <cell r="E2051">
            <v>200</v>
          </cell>
          <cell r="F2051" t="str">
            <v>TALLER</v>
          </cell>
          <cell r="G2051" t="str">
            <v>TALLER</v>
          </cell>
          <cell r="H2051" t="str">
            <v>TALLER</v>
          </cell>
          <cell r="I2051" t="str">
            <v>TALLER</v>
          </cell>
          <cell r="J2051" t="str">
            <v>MATERIALES</v>
          </cell>
          <cell r="K2051" t="str">
            <v>PAPEL LUSTRE</v>
          </cell>
          <cell r="L2051">
            <v>8</v>
          </cell>
          <cell r="M2051" t="str">
            <v>UNID.</v>
          </cell>
          <cell r="N2051" t="str">
            <v>TALLER</v>
          </cell>
          <cell r="O2051">
            <v>85</v>
          </cell>
          <cell r="P2051" t="str">
            <v>J4</v>
          </cell>
          <cell r="Q2051" t="str">
            <v>J4</v>
          </cell>
          <cell r="R2051" t="str">
            <v>J6</v>
          </cell>
          <cell r="S2051" t="str">
            <v>PENDIENTE</v>
          </cell>
          <cell r="T2051">
            <v>0</v>
          </cell>
          <cell r="U2051" t="str">
            <v>CHIAN MANRIQUE PEDRO ANTONIO</v>
          </cell>
          <cell r="V2051" t="str">
            <v>CHIAN MANRIQUE PEDRO ANTONIO</v>
          </cell>
        </row>
        <row r="2052">
          <cell r="A2052">
            <v>2007</v>
          </cell>
          <cell r="B2052">
            <v>42705</v>
          </cell>
          <cell r="C2052" t="str">
            <v>DICIEMBRE</v>
          </cell>
          <cell r="D2052" t="str">
            <v>2016</v>
          </cell>
          <cell r="E2052">
            <v>200</v>
          </cell>
          <cell r="F2052" t="str">
            <v>TALLER</v>
          </cell>
          <cell r="G2052" t="str">
            <v>TALLER</v>
          </cell>
          <cell r="H2052" t="str">
            <v>TALLER</v>
          </cell>
          <cell r="I2052" t="str">
            <v>TALLER</v>
          </cell>
          <cell r="J2052" t="str">
            <v>MATERIALES</v>
          </cell>
          <cell r="K2052" t="str">
            <v>FUNDA PARA LAPTOP</v>
          </cell>
          <cell r="L2052">
            <v>1</v>
          </cell>
          <cell r="M2052" t="str">
            <v>UNID.</v>
          </cell>
          <cell r="N2052" t="str">
            <v>TALLER</v>
          </cell>
          <cell r="O2052">
            <v>85</v>
          </cell>
          <cell r="P2052" t="str">
            <v>J4</v>
          </cell>
          <cell r="Q2052" t="str">
            <v>J4</v>
          </cell>
          <cell r="R2052" t="str">
            <v>J6</v>
          </cell>
          <cell r="S2052" t="str">
            <v>PENDIENTE</v>
          </cell>
          <cell r="T2052">
            <v>0</v>
          </cell>
          <cell r="U2052" t="str">
            <v>CHIAN MANRIQUE PEDRO ANTONIO</v>
          </cell>
          <cell r="V2052" t="str">
            <v>CHIAN MANRIQUE PEDRO ANTONIO</v>
          </cell>
        </row>
        <row r="2053">
          <cell r="A2053">
            <v>2008</v>
          </cell>
          <cell r="B2053">
            <v>42705</v>
          </cell>
          <cell r="C2053" t="str">
            <v>DICIEMBRE</v>
          </cell>
          <cell r="D2053" t="str">
            <v>2016</v>
          </cell>
          <cell r="E2053">
            <v>200</v>
          </cell>
          <cell r="F2053" t="str">
            <v>TALLER</v>
          </cell>
          <cell r="G2053" t="str">
            <v>TALLER</v>
          </cell>
          <cell r="H2053" t="str">
            <v>TALLER</v>
          </cell>
          <cell r="I2053" t="str">
            <v>TALLER</v>
          </cell>
          <cell r="J2053" t="str">
            <v>MATERIALES</v>
          </cell>
          <cell r="K2053" t="str">
            <v>USB 2 GB</v>
          </cell>
          <cell r="L2053">
            <v>1</v>
          </cell>
          <cell r="M2053" t="str">
            <v>UNID.</v>
          </cell>
          <cell r="N2053" t="str">
            <v>TALLER</v>
          </cell>
          <cell r="O2053">
            <v>85</v>
          </cell>
          <cell r="P2053" t="str">
            <v>J4</v>
          </cell>
          <cell r="Q2053" t="str">
            <v>J4</v>
          </cell>
          <cell r="R2053" t="str">
            <v>J6</v>
          </cell>
          <cell r="S2053" t="str">
            <v>PENDIENTE</v>
          </cell>
          <cell r="T2053">
            <v>0</v>
          </cell>
          <cell r="U2053" t="str">
            <v>CHIAN MANRIQUE PEDRO ANTONIO</v>
          </cell>
          <cell r="V2053" t="str">
            <v>CHIAN MANRIQUE PEDRO ANTONIO</v>
          </cell>
        </row>
        <row r="2054">
          <cell r="A2054">
            <v>2009</v>
          </cell>
          <cell r="B2054">
            <v>42705</v>
          </cell>
          <cell r="C2054" t="str">
            <v>DICIEMBRE</v>
          </cell>
          <cell r="D2054" t="str">
            <v>2016</v>
          </cell>
          <cell r="E2054">
            <v>200</v>
          </cell>
          <cell r="F2054" t="str">
            <v>TALLER</v>
          </cell>
          <cell r="G2054" t="str">
            <v>TALLER</v>
          </cell>
          <cell r="H2054" t="str">
            <v>TALLER</v>
          </cell>
          <cell r="I2054" t="str">
            <v>TALLER</v>
          </cell>
          <cell r="J2054" t="str">
            <v>INSUMO TALLER</v>
          </cell>
          <cell r="K2054" t="str">
            <v>SPRAY COLOR VERDE</v>
          </cell>
          <cell r="L2054">
            <v>1</v>
          </cell>
          <cell r="M2054" t="str">
            <v>UNID.</v>
          </cell>
          <cell r="N2054" t="str">
            <v>TALLER</v>
          </cell>
          <cell r="O2054">
            <v>0</v>
          </cell>
          <cell r="P2054" t="str">
            <v>M1</v>
          </cell>
          <cell r="Q2054" t="str">
            <v>J2</v>
          </cell>
          <cell r="R2054" t="str">
            <v>J6</v>
          </cell>
          <cell r="S2054" t="str">
            <v>ENTREGADO</v>
          </cell>
          <cell r="T2054">
            <v>42705</v>
          </cell>
          <cell r="U2054" t="str">
            <v>CABEZAS SANCHEZ JEAN JHONATAN</v>
          </cell>
          <cell r="V2054" t="str">
            <v>CORIHUAMAN SURCO  ERICK ROBERT</v>
          </cell>
        </row>
        <row r="2055">
          <cell r="A2055">
            <v>2011</v>
          </cell>
          <cell r="B2055">
            <v>42705</v>
          </cell>
          <cell r="C2055" t="str">
            <v>DICIEMBRE</v>
          </cell>
          <cell r="D2055" t="str">
            <v>2016</v>
          </cell>
          <cell r="E2055">
            <v>200</v>
          </cell>
          <cell r="F2055" t="str">
            <v>TALLER</v>
          </cell>
          <cell r="G2055" t="str">
            <v>TALLER</v>
          </cell>
          <cell r="H2055" t="str">
            <v>TALLER</v>
          </cell>
          <cell r="I2055" t="str">
            <v>TALLER</v>
          </cell>
          <cell r="J2055" t="str">
            <v>INSUMO TALLER</v>
          </cell>
          <cell r="K2055" t="str">
            <v>CADENA 1/8</v>
          </cell>
          <cell r="L2055">
            <v>5</v>
          </cell>
          <cell r="M2055" t="str">
            <v>M</v>
          </cell>
          <cell r="N2055" t="str">
            <v>TALLER</v>
          </cell>
          <cell r="O2055">
            <v>0</v>
          </cell>
          <cell r="P2055" t="str">
            <v>S2</v>
          </cell>
          <cell r="Q2055" t="str">
            <v>J2</v>
          </cell>
          <cell r="R2055" t="str">
            <v>J6</v>
          </cell>
          <cell r="S2055" t="str">
            <v>ENTREGADO</v>
          </cell>
          <cell r="T2055">
            <v>42705</v>
          </cell>
          <cell r="U2055" t="str">
            <v>PALOMINO ESTRADA  MICHEL</v>
          </cell>
          <cell r="V2055" t="str">
            <v>CORIHUAMAN SURCO  ERICK ROBERT</v>
          </cell>
        </row>
        <row r="2056">
          <cell r="A2056">
            <v>2021</v>
          </cell>
          <cell r="B2056">
            <v>42705</v>
          </cell>
          <cell r="C2056" t="str">
            <v>DICIEMBRE</v>
          </cell>
          <cell r="D2056" t="str">
            <v>2016</v>
          </cell>
          <cell r="E2056">
            <v>200</v>
          </cell>
          <cell r="F2056" t="str">
            <v>TALLER</v>
          </cell>
          <cell r="G2056" t="str">
            <v>TALLER</v>
          </cell>
          <cell r="H2056" t="str">
            <v>TALLER</v>
          </cell>
          <cell r="I2056" t="str">
            <v>TALLER</v>
          </cell>
          <cell r="J2056" t="str">
            <v>REPUESTO</v>
          </cell>
          <cell r="K2056" t="str">
            <v>DISCO DE CORTE DE 7"</v>
          </cell>
          <cell r="L2056">
            <v>1</v>
          </cell>
          <cell r="M2056" t="str">
            <v>UNID.</v>
          </cell>
          <cell r="N2056" t="str">
            <v>TALLER</v>
          </cell>
          <cell r="O2056">
            <v>0</v>
          </cell>
          <cell r="P2056" t="str">
            <v>S2</v>
          </cell>
          <cell r="Q2056" t="str">
            <v>J2</v>
          </cell>
          <cell r="R2056" t="str">
            <v>J5</v>
          </cell>
          <cell r="S2056" t="str">
            <v>ENTREGADO</v>
          </cell>
          <cell r="T2056">
            <v>42705</v>
          </cell>
          <cell r="U2056" t="str">
            <v>PALOMINO ESTRADA  MICHEL</v>
          </cell>
          <cell r="V2056" t="str">
            <v>CORIHUAMAN SURCO  ERICK ROBERT</v>
          </cell>
        </row>
        <row r="2057">
          <cell r="A2057">
            <v>2023</v>
          </cell>
          <cell r="B2057">
            <v>42705</v>
          </cell>
          <cell r="C2057" t="str">
            <v>DICIEMBRE</v>
          </cell>
          <cell r="D2057" t="str">
            <v>2016</v>
          </cell>
          <cell r="E2057">
            <v>200</v>
          </cell>
          <cell r="F2057" t="str">
            <v>TALLER</v>
          </cell>
          <cell r="G2057" t="str">
            <v>TALLER</v>
          </cell>
          <cell r="H2057" t="str">
            <v>TALLER</v>
          </cell>
          <cell r="I2057" t="str">
            <v>TALLER</v>
          </cell>
          <cell r="J2057" t="str">
            <v>REPUESTO</v>
          </cell>
          <cell r="K2057" t="str">
            <v>CELLOCORD 1/8</v>
          </cell>
          <cell r="L2057">
            <v>2</v>
          </cell>
          <cell r="M2057" t="str">
            <v>KG.</v>
          </cell>
          <cell r="N2057" t="str">
            <v>TALLER</v>
          </cell>
          <cell r="O2057">
            <v>0</v>
          </cell>
          <cell r="P2057" t="str">
            <v>S1</v>
          </cell>
          <cell r="Q2057" t="str">
            <v>J2</v>
          </cell>
          <cell r="R2057" t="str">
            <v>J6</v>
          </cell>
          <cell r="S2057" t="str">
            <v>ENTREGADO</v>
          </cell>
          <cell r="T2057">
            <v>42705</v>
          </cell>
          <cell r="U2057" t="str">
            <v>BAYONA CRUZ CRISTIAN ARMANDO</v>
          </cell>
          <cell r="V2057" t="str">
            <v>CORIHUAMAN SURCO  ERICK ROBERT</v>
          </cell>
        </row>
        <row r="2058">
          <cell r="A2058">
            <v>2024</v>
          </cell>
          <cell r="B2058">
            <v>42705</v>
          </cell>
          <cell r="C2058" t="str">
            <v>DICIEMBRE</v>
          </cell>
          <cell r="D2058" t="str">
            <v>2016</v>
          </cell>
          <cell r="E2058">
            <v>200</v>
          </cell>
          <cell r="F2058" t="str">
            <v>TALLER</v>
          </cell>
          <cell r="G2058" t="str">
            <v>TALLER</v>
          </cell>
          <cell r="H2058" t="str">
            <v>TALLER</v>
          </cell>
          <cell r="I2058" t="str">
            <v>TALLER</v>
          </cell>
          <cell r="J2058" t="str">
            <v>REPUESTO</v>
          </cell>
          <cell r="K2058" t="str">
            <v>DISCO DE DESBASTE 4"</v>
          </cell>
          <cell r="L2058">
            <v>1</v>
          </cell>
          <cell r="M2058" t="str">
            <v>UNID.</v>
          </cell>
          <cell r="N2058" t="str">
            <v>TALLER</v>
          </cell>
          <cell r="O2058">
            <v>0</v>
          </cell>
          <cell r="P2058" t="str">
            <v>S1</v>
          </cell>
          <cell r="Q2058" t="str">
            <v>J2</v>
          </cell>
          <cell r="R2058" t="str">
            <v>J6</v>
          </cell>
          <cell r="S2058" t="str">
            <v>ENTREGADO</v>
          </cell>
          <cell r="T2058">
            <v>42705</v>
          </cell>
          <cell r="U2058" t="str">
            <v>BAYONA CRUZ CRISTIAN ARMANDO</v>
          </cell>
          <cell r="V2058" t="str">
            <v>CORIHUAMAN SURCO  ERICK ROBERT</v>
          </cell>
        </row>
        <row r="2059">
          <cell r="A2059">
            <v>2025</v>
          </cell>
          <cell r="B2059">
            <v>42705</v>
          </cell>
          <cell r="C2059" t="str">
            <v>DICIEMBRE</v>
          </cell>
          <cell r="D2059" t="str">
            <v>2016</v>
          </cell>
          <cell r="E2059">
            <v>200</v>
          </cell>
          <cell r="F2059" t="str">
            <v>TALLER</v>
          </cell>
          <cell r="G2059" t="str">
            <v>TALLER</v>
          </cell>
          <cell r="H2059" t="str">
            <v>TALLER</v>
          </cell>
          <cell r="I2059" t="str">
            <v>TALLER</v>
          </cell>
          <cell r="J2059" t="str">
            <v>UNIFORMES</v>
          </cell>
          <cell r="K2059" t="str">
            <v>TAIVEX "L"</v>
          </cell>
          <cell r="L2059">
            <v>1</v>
          </cell>
          <cell r="M2059" t="str">
            <v>UNID.</v>
          </cell>
          <cell r="N2059" t="str">
            <v>TALLER</v>
          </cell>
          <cell r="O2059">
            <v>0</v>
          </cell>
          <cell r="P2059" t="str">
            <v>M8</v>
          </cell>
          <cell r="Q2059" t="str">
            <v>J2</v>
          </cell>
          <cell r="R2059" t="str">
            <v>J6</v>
          </cell>
          <cell r="S2059" t="str">
            <v>ENTREGADO</v>
          </cell>
          <cell r="T2059">
            <v>42705</v>
          </cell>
          <cell r="U2059" t="str">
            <v>VARILLAS GAGO  OSCAR ALBERTO</v>
          </cell>
          <cell r="V2059" t="str">
            <v>CORIHUAMAN SURCO  ERICK ROBERT</v>
          </cell>
        </row>
        <row r="2060">
          <cell r="A2060">
            <v>2036</v>
          </cell>
          <cell r="B2060">
            <v>42705</v>
          </cell>
          <cell r="C2060" t="str">
            <v>DICIEMBRE</v>
          </cell>
          <cell r="D2060" t="str">
            <v>2016</v>
          </cell>
          <cell r="E2060">
            <v>200</v>
          </cell>
          <cell r="F2060" t="str">
            <v>TALLER</v>
          </cell>
          <cell r="G2060" t="str">
            <v>TALLER</v>
          </cell>
          <cell r="H2060" t="str">
            <v>TALLER</v>
          </cell>
          <cell r="I2060" t="str">
            <v>TALLER</v>
          </cell>
          <cell r="J2060" t="str">
            <v>HERRAMIENTAS</v>
          </cell>
          <cell r="K2060" t="str">
            <v>HOJA DE SIERRA</v>
          </cell>
          <cell r="L2060">
            <v>1</v>
          </cell>
          <cell r="M2060" t="str">
            <v>UNID.</v>
          </cell>
          <cell r="N2060" t="str">
            <v>TALLER</v>
          </cell>
          <cell r="O2060">
            <v>0</v>
          </cell>
          <cell r="P2060" t="str">
            <v>M2</v>
          </cell>
          <cell r="Q2060" t="str">
            <v>J1</v>
          </cell>
          <cell r="R2060" t="str">
            <v>J5</v>
          </cell>
          <cell r="S2060" t="str">
            <v>ENTREGADO</v>
          </cell>
          <cell r="T2060">
            <v>42705</v>
          </cell>
          <cell r="U2060" t="str">
            <v>CHUMPITAZ GAGO JULIO ENRIQUE</v>
          </cell>
          <cell r="V2060" t="str">
            <v>FLOREZ CONDORI  JOSE WILLIANS</v>
          </cell>
        </row>
        <row r="2061">
          <cell r="A2061">
            <v>2053</v>
          </cell>
          <cell r="B2061">
            <v>42705</v>
          </cell>
          <cell r="C2061" t="str">
            <v>DICIEMBRE</v>
          </cell>
          <cell r="D2061" t="str">
            <v>2016</v>
          </cell>
          <cell r="E2061">
            <v>200</v>
          </cell>
          <cell r="F2061" t="str">
            <v>TALLER</v>
          </cell>
          <cell r="G2061" t="str">
            <v>TALLER</v>
          </cell>
          <cell r="H2061" t="str">
            <v>TALLER</v>
          </cell>
          <cell r="I2061" t="str">
            <v>TALLER</v>
          </cell>
          <cell r="J2061" t="str">
            <v>INSUMO TALLER</v>
          </cell>
          <cell r="K2061" t="str">
            <v>CINTA NEGRA AISLANTE</v>
          </cell>
          <cell r="L2061">
            <v>1</v>
          </cell>
          <cell r="M2061" t="str">
            <v>UNID.</v>
          </cell>
          <cell r="N2061" t="str">
            <v>TALLER</v>
          </cell>
          <cell r="O2061">
            <v>0</v>
          </cell>
          <cell r="P2061" t="str">
            <v>E3</v>
          </cell>
          <cell r="Q2061" t="str">
            <v>J2</v>
          </cell>
          <cell r="R2061" t="str">
            <v>J6</v>
          </cell>
          <cell r="S2061" t="str">
            <v>ENTREGADO</v>
          </cell>
          <cell r="T2061">
            <v>42705</v>
          </cell>
          <cell r="U2061" t="str">
            <v>CONDORI CHURATA ALEX</v>
          </cell>
          <cell r="V2061" t="str">
            <v>CORIHUAMAN SURCO  ERICK ROBERT</v>
          </cell>
        </row>
        <row r="2062">
          <cell r="A2062">
            <v>2054</v>
          </cell>
          <cell r="B2062">
            <v>42705</v>
          </cell>
          <cell r="C2062" t="str">
            <v>DICIEMBRE</v>
          </cell>
          <cell r="D2062" t="str">
            <v>2016</v>
          </cell>
          <cell r="E2062">
            <v>200</v>
          </cell>
          <cell r="F2062" t="str">
            <v>TALLER</v>
          </cell>
          <cell r="G2062" t="str">
            <v>TALLER</v>
          </cell>
          <cell r="H2062" t="str">
            <v>TALLER</v>
          </cell>
          <cell r="I2062" t="str">
            <v>TALLER</v>
          </cell>
          <cell r="J2062" t="str">
            <v>INSUMO TALLER</v>
          </cell>
          <cell r="K2062" t="str">
            <v>PRESINTOS 200</v>
          </cell>
          <cell r="L2062">
            <v>10</v>
          </cell>
          <cell r="M2062" t="str">
            <v>UNID.</v>
          </cell>
          <cell r="N2062" t="str">
            <v>TALLER</v>
          </cell>
          <cell r="O2062">
            <v>0</v>
          </cell>
          <cell r="P2062" t="str">
            <v>E3</v>
          </cell>
          <cell r="Q2062" t="str">
            <v>J2</v>
          </cell>
          <cell r="R2062" t="str">
            <v>J6</v>
          </cell>
          <cell r="S2062" t="str">
            <v>ENTREGADO</v>
          </cell>
          <cell r="T2062">
            <v>42705</v>
          </cell>
          <cell r="U2062" t="str">
            <v>CONDORI CHURATA ALEX</v>
          </cell>
          <cell r="V2062" t="str">
            <v>CORIHUAMAN SURCO  ERICK ROBERT</v>
          </cell>
        </row>
        <row r="2063">
          <cell r="A2063">
            <v>1968</v>
          </cell>
          <cell r="B2063">
            <v>42705</v>
          </cell>
          <cell r="C2063" t="str">
            <v>DICIEMBRE</v>
          </cell>
          <cell r="D2063" t="str">
            <v>2016</v>
          </cell>
          <cell r="E2063">
            <v>490</v>
          </cell>
          <cell r="F2063" t="str">
            <v>X2W-760</v>
          </cell>
          <cell r="G2063" t="str">
            <v>C5V-992</v>
          </cell>
          <cell r="H2063" t="str">
            <v>LAS BAMBAS</v>
          </cell>
          <cell r="I2063">
            <v>149343</v>
          </cell>
          <cell r="J2063" t="str">
            <v>REPUESTO</v>
          </cell>
          <cell r="K2063" t="str">
            <v>PERNO 3/4 X 6" C/ TUERCA Y VOLANDA</v>
          </cell>
          <cell r="L2063">
            <v>1</v>
          </cell>
          <cell r="M2063" t="str">
            <v>UNID.</v>
          </cell>
          <cell r="N2063" t="str">
            <v>TRACTO</v>
          </cell>
          <cell r="O2063">
            <v>0</v>
          </cell>
          <cell r="P2063" t="str">
            <v>S3</v>
          </cell>
          <cell r="Q2063" t="str">
            <v>J2</v>
          </cell>
          <cell r="R2063" t="str">
            <v>J5</v>
          </cell>
          <cell r="S2063" t="str">
            <v>ENTREGADO</v>
          </cell>
          <cell r="T2063">
            <v>42705</v>
          </cell>
          <cell r="U2063" t="str">
            <v>JIMENEZ MACHACA JAVIER</v>
          </cell>
          <cell r="V2063" t="str">
            <v>CORIHUAMAN SURCO  ERICK ROBERT</v>
          </cell>
        </row>
        <row r="2064">
          <cell r="A2064">
            <v>1969</v>
          </cell>
          <cell r="B2064">
            <v>42705</v>
          </cell>
          <cell r="C2064" t="str">
            <v>DICIEMBRE</v>
          </cell>
          <cell r="D2064" t="str">
            <v>2016</v>
          </cell>
          <cell r="E2064">
            <v>490</v>
          </cell>
          <cell r="F2064" t="str">
            <v>X2W-760</v>
          </cell>
          <cell r="G2064" t="str">
            <v>C5V-992</v>
          </cell>
          <cell r="H2064" t="str">
            <v>LAS BAMBAS</v>
          </cell>
          <cell r="I2064">
            <v>149343</v>
          </cell>
          <cell r="J2064" t="str">
            <v>REPUESTO</v>
          </cell>
          <cell r="K2064" t="str">
            <v>PERNO 1/4 X 6" C/ TUERCA Y VOLANDA</v>
          </cell>
          <cell r="L2064">
            <v>4</v>
          </cell>
          <cell r="M2064" t="str">
            <v>UNID.</v>
          </cell>
          <cell r="N2064" t="str">
            <v>TRACTO</v>
          </cell>
          <cell r="O2064">
            <v>0</v>
          </cell>
          <cell r="P2064" t="str">
            <v>S3</v>
          </cell>
          <cell r="Q2064" t="str">
            <v>J2</v>
          </cell>
          <cell r="R2064" t="str">
            <v>J5</v>
          </cell>
          <cell r="S2064" t="str">
            <v>ENTREGADO</v>
          </cell>
          <cell r="T2064">
            <v>42705</v>
          </cell>
          <cell r="U2064" t="str">
            <v>JIMENEZ MACHACA JAVIER</v>
          </cell>
          <cell r="V2064" t="str">
            <v>CORIHUAMAN SURCO  ERICK ROBERT</v>
          </cell>
        </row>
        <row r="2065">
          <cell r="A2065">
            <v>1972</v>
          </cell>
          <cell r="B2065">
            <v>42705</v>
          </cell>
          <cell r="C2065" t="str">
            <v>DICIEMBRE</v>
          </cell>
          <cell r="D2065" t="str">
            <v>2016</v>
          </cell>
          <cell r="E2065">
            <v>490</v>
          </cell>
          <cell r="F2065" t="str">
            <v>X2W-760</v>
          </cell>
          <cell r="G2065" t="str">
            <v>C5V-992</v>
          </cell>
          <cell r="H2065" t="str">
            <v>LAS BAMBAS</v>
          </cell>
          <cell r="I2065">
            <v>149343</v>
          </cell>
          <cell r="J2065" t="str">
            <v>REPUESTO</v>
          </cell>
          <cell r="K2065" t="str">
            <v>ALTERNADOR REPARADO</v>
          </cell>
          <cell r="L2065">
            <v>1</v>
          </cell>
          <cell r="M2065" t="str">
            <v>UNID.</v>
          </cell>
          <cell r="N2065" t="str">
            <v>TRACTO</v>
          </cell>
          <cell r="O2065">
            <v>0</v>
          </cell>
          <cell r="P2065" t="str">
            <v>E2</v>
          </cell>
          <cell r="Q2065" t="str">
            <v>J2</v>
          </cell>
          <cell r="R2065" t="str">
            <v>J5</v>
          </cell>
          <cell r="S2065" t="str">
            <v>ENTREGADO</v>
          </cell>
          <cell r="T2065">
            <v>42705</v>
          </cell>
          <cell r="U2065" t="str">
            <v>YUCA BELLIDO BORIS YERSY</v>
          </cell>
          <cell r="V2065" t="str">
            <v>CORIHUAMAN SURCO  ERICK ROBERT</v>
          </cell>
        </row>
        <row r="2066">
          <cell r="A2066">
            <v>1981</v>
          </cell>
          <cell r="B2066">
            <v>42705</v>
          </cell>
          <cell r="C2066" t="str">
            <v>DICIEMBRE</v>
          </cell>
          <cell r="D2066" t="str">
            <v>2016</v>
          </cell>
          <cell r="E2066">
            <v>490</v>
          </cell>
          <cell r="F2066" t="str">
            <v>X2W-760</v>
          </cell>
          <cell r="G2066" t="str">
            <v>C5V-992</v>
          </cell>
          <cell r="H2066" t="str">
            <v>LAS BAMBAS</v>
          </cell>
          <cell r="I2066">
            <v>149343</v>
          </cell>
          <cell r="J2066" t="str">
            <v>REPUESTO</v>
          </cell>
          <cell r="K2066" t="str">
            <v xml:space="preserve">PERNO 3/8 X 1 1/2 </v>
          </cell>
          <cell r="L2066">
            <v>3</v>
          </cell>
          <cell r="M2066" t="str">
            <v>UNID.</v>
          </cell>
          <cell r="N2066" t="str">
            <v>TRACTO</v>
          </cell>
          <cell r="O2066">
            <v>0</v>
          </cell>
          <cell r="P2066" t="str">
            <v>M6</v>
          </cell>
          <cell r="Q2066" t="str">
            <v>J2</v>
          </cell>
          <cell r="R2066" t="str">
            <v>J5</v>
          </cell>
          <cell r="S2066" t="str">
            <v>ENTREGADO</v>
          </cell>
          <cell r="T2066">
            <v>42705</v>
          </cell>
          <cell r="U2066" t="str">
            <v>PARI VENTURA  EDSON ORLANDO</v>
          </cell>
          <cell r="V2066" t="str">
            <v>CORIHUAMAN SURCO  ERICK ROBERT</v>
          </cell>
        </row>
        <row r="2067">
          <cell r="A2067">
            <v>1982</v>
          </cell>
          <cell r="B2067">
            <v>42705</v>
          </cell>
          <cell r="C2067" t="str">
            <v>DICIEMBRE</v>
          </cell>
          <cell r="D2067" t="str">
            <v>2016</v>
          </cell>
          <cell r="E2067">
            <v>490</v>
          </cell>
          <cell r="F2067" t="str">
            <v>X2W-760</v>
          </cell>
          <cell r="G2067" t="str">
            <v>C5V-992</v>
          </cell>
          <cell r="H2067" t="str">
            <v>LAS BAMBAS</v>
          </cell>
          <cell r="I2067">
            <v>149343</v>
          </cell>
          <cell r="J2067" t="str">
            <v>REPUESTO</v>
          </cell>
          <cell r="K2067" t="str">
            <v>ARANDELAS PLANAS 3/8</v>
          </cell>
          <cell r="L2067">
            <v>6</v>
          </cell>
          <cell r="M2067" t="str">
            <v>UNID.</v>
          </cell>
          <cell r="N2067" t="str">
            <v>TRACTO</v>
          </cell>
          <cell r="O2067">
            <v>0</v>
          </cell>
          <cell r="P2067" t="str">
            <v>M6</v>
          </cell>
          <cell r="Q2067" t="str">
            <v>J2</v>
          </cell>
          <cell r="R2067" t="str">
            <v>J5</v>
          </cell>
          <cell r="S2067" t="str">
            <v>ENTREGADO</v>
          </cell>
          <cell r="T2067">
            <v>42705</v>
          </cell>
          <cell r="U2067" t="str">
            <v>PARI VENTURA  EDSON ORLANDO</v>
          </cell>
          <cell r="V2067" t="str">
            <v>CORIHUAMAN SURCO  ERICK ROBERT</v>
          </cell>
        </row>
        <row r="2068">
          <cell r="A2068">
            <v>1983</v>
          </cell>
          <cell r="B2068">
            <v>42705</v>
          </cell>
          <cell r="C2068" t="str">
            <v>DICIEMBRE</v>
          </cell>
          <cell r="D2068" t="str">
            <v>2016</v>
          </cell>
          <cell r="E2068">
            <v>490</v>
          </cell>
          <cell r="F2068" t="str">
            <v>X2W-760</v>
          </cell>
          <cell r="G2068" t="str">
            <v>C5V-992</v>
          </cell>
          <cell r="H2068" t="str">
            <v>LAS BAMBAS</v>
          </cell>
          <cell r="I2068">
            <v>149343</v>
          </cell>
          <cell r="J2068" t="str">
            <v>REPUESTO</v>
          </cell>
          <cell r="K2068" t="str">
            <v>TUERCA SEGURO 3/8</v>
          </cell>
          <cell r="L2068">
            <v>3</v>
          </cell>
          <cell r="M2068" t="str">
            <v>UNID.</v>
          </cell>
          <cell r="N2068" t="str">
            <v>TRACTO</v>
          </cell>
          <cell r="O2068">
            <v>0</v>
          </cell>
          <cell r="P2068" t="str">
            <v>M6</v>
          </cell>
          <cell r="Q2068" t="str">
            <v>J2</v>
          </cell>
          <cell r="R2068" t="str">
            <v>J5</v>
          </cell>
          <cell r="S2068" t="str">
            <v>ENTREGADO</v>
          </cell>
          <cell r="T2068">
            <v>42705</v>
          </cell>
          <cell r="U2068" t="str">
            <v>PARI VENTURA  EDSON ORLANDO</v>
          </cell>
          <cell r="V2068" t="str">
            <v>CORIHUAMAN SURCO  ERICK ROBERT</v>
          </cell>
        </row>
        <row r="2069">
          <cell r="A2069">
            <v>1984</v>
          </cell>
          <cell r="B2069">
            <v>42705</v>
          </cell>
          <cell r="C2069" t="str">
            <v>DICIEMBRE</v>
          </cell>
          <cell r="D2069" t="str">
            <v>2016</v>
          </cell>
          <cell r="E2069">
            <v>490</v>
          </cell>
          <cell r="F2069" t="str">
            <v>X2W-760</v>
          </cell>
          <cell r="G2069" t="str">
            <v>C5V-992</v>
          </cell>
          <cell r="H2069" t="str">
            <v>LAS BAMBAS</v>
          </cell>
          <cell r="I2069">
            <v>149343</v>
          </cell>
          <cell r="J2069" t="str">
            <v>REPUESTO</v>
          </cell>
          <cell r="K2069" t="str">
            <v>ACEITE 15W40</v>
          </cell>
          <cell r="L2069">
            <v>1</v>
          </cell>
          <cell r="M2069" t="str">
            <v>GLNS.</v>
          </cell>
          <cell r="N2069" t="str">
            <v>TRACTO</v>
          </cell>
          <cell r="O2069">
            <v>0</v>
          </cell>
          <cell r="P2069" t="str">
            <v>M6</v>
          </cell>
          <cell r="Q2069" t="str">
            <v>J2</v>
          </cell>
          <cell r="R2069" t="str">
            <v>J5</v>
          </cell>
          <cell r="S2069" t="str">
            <v>ENTREGADO</v>
          </cell>
          <cell r="T2069">
            <v>42705</v>
          </cell>
          <cell r="U2069" t="str">
            <v>PARI VENTURA  EDSON ORLANDO</v>
          </cell>
          <cell r="V2069" t="str">
            <v>CORIHUAMAN SURCO  ERICK ROBERT</v>
          </cell>
        </row>
        <row r="2070">
          <cell r="A2070">
            <v>1985</v>
          </cell>
          <cell r="B2070">
            <v>42705</v>
          </cell>
          <cell r="C2070" t="str">
            <v>DICIEMBRE</v>
          </cell>
          <cell r="D2070" t="str">
            <v>2016</v>
          </cell>
          <cell r="E2070">
            <v>490</v>
          </cell>
          <cell r="F2070" t="str">
            <v>X2W-760</v>
          </cell>
          <cell r="G2070" t="str">
            <v>C5V-992</v>
          </cell>
          <cell r="H2070" t="str">
            <v>LAS BAMBAS</v>
          </cell>
          <cell r="I2070">
            <v>149343</v>
          </cell>
          <cell r="J2070" t="str">
            <v>REPUESTO</v>
          </cell>
          <cell r="K2070" t="str">
            <v>AMORTIGUADOR LADO IZQUIERDO DELANTERO</v>
          </cell>
          <cell r="L2070">
            <v>1</v>
          </cell>
          <cell r="M2070" t="str">
            <v>UNID.</v>
          </cell>
          <cell r="N2070" t="str">
            <v>TRACTO</v>
          </cell>
          <cell r="O2070">
            <v>0</v>
          </cell>
          <cell r="P2070" t="str">
            <v>M6</v>
          </cell>
          <cell r="Q2070" t="str">
            <v>J2</v>
          </cell>
          <cell r="R2070" t="str">
            <v>J5</v>
          </cell>
          <cell r="S2070" t="str">
            <v>ENTREGADO</v>
          </cell>
          <cell r="T2070">
            <v>42705</v>
          </cell>
          <cell r="U2070" t="str">
            <v>PARI VENTURA  EDSON ORLANDO</v>
          </cell>
          <cell r="V2070" t="str">
            <v>CORIHUAMAN SURCO  ERICK ROBERT</v>
          </cell>
        </row>
        <row r="2071">
          <cell r="A2071">
            <v>2010</v>
          </cell>
          <cell r="B2071">
            <v>42705</v>
          </cell>
          <cell r="C2071" t="str">
            <v>DICIEMBRE</v>
          </cell>
          <cell r="D2071" t="str">
            <v>2016</v>
          </cell>
          <cell r="E2071">
            <v>420</v>
          </cell>
          <cell r="F2071" t="str">
            <v>X2W-763</v>
          </cell>
          <cell r="G2071" t="str">
            <v>C5V-997</v>
          </cell>
          <cell r="H2071" t="str">
            <v>LAS BAMBAS</v>
          </cell>
          <cell r="I2071">
            <v>154933</v>
          </cell>
          <cell r="J2071" t="str">
            <v>INSUMO TALLER</v>
          </cell>
          <cell r="K2071" t="str">
            <v>JABON</v>
          </cell>
          <cell r="L2071">
            <v>1</v>
          </cell>
          <cell r="M2071" t="str">
            <v>UNID.</v>
          </cell>
          <cell r="N2071" t="str">
            <v>CISTERNA</v>
          </cell>
          <cell r="O2071">
            <v>85</v>
          </cell>
          <cell r="P2071" t="str">
            <v>S3</v>
          </cell>
          <cell r="Q2071" t="str">
            <v>J2</v>
          </cell>
          <cell r="R2071" t="str">
            <v>J6</v>
          </cell>
          <cell r="S2071" t="str">
            <v>PENDIENTE</v>
          </cell>
          <cell r="T2071">
            <v>0</v>
          </cell>
          <cell r="U2071" t="str">
            <v>JIMENEZ MACHACA JAVIER</v>
          </cell>
          <cell r="V2071" t="str">
            <v>CORIHUAMAN SURCO  ERICK ROBERT</v>
          </cell>
        </row>
        <row r="2072">
          <cell r="A2072">
            <v>2037</v>
          </cell>
          <cell r="B2072">
            <v>42705</v>
          </cell>
          <cell r="C2072" t="str">
            <v>DICIEMBRE</v>
          </cell>
          <cell r="D2072" t="str">
            <v>2016</v>
          </cell>
          <cell r="E2072">
            <v>495</v>
          </cell>
          <cell r="F2072" t="str">
            <v>X2W-763</v>
          </cell>
          <cell r="G2072" t="str">
            <v>C5V-997</v>
          </cell>
          <cell r="H2072" t="str">
            <v>LAS BAMBAS</v>
          </cell>
          <cell r="I2072">
            <v>155321</v>
          </cell>
          <cell r="J2072" t="str">
            <v>REPUESTO</v>
          </cell>
          <cell r="K2072" t="str">
            <v>BOCINAS Y PINES</v>
          </cell>
          <cell r="L2072">
            <v>1</v>
          </cell>
          <cell r="M2072" t="str">
            <v>JUEGO</v>
          </cell>
          <cell r="N2072" t="str">
            <v>CISTERNA</v>
          </cell>
          <cell r="O2072">
            <v>0</v>
          </cell>
          <cell r="P2072" t="str">
            <v>S2</v>
          </cell>
          <cell r="Q2072" t="str">
            <v>J2</v>
          </cell>
          <cell r="R2072" t="str">
            <v>J6</v>
          </cell>
          <cell r="S2072" t="str">
            <v>ENTREGADO</v>
          </cell>
          <cell r="T2072">
            <v>42705</v>
          </cell>
          <cell r="U2072" t="str">
            <v>PALOMINO ESTRADA  MICHEL</v>
          </cell>
          <cell r="V2072" t="str">
            <v>CORIHUAMAN SURCO  ERICK ROBERT</v>
          </cell>
        </row>
        <row r="2073">
          <cell r="A2073">
            <v>2038</v>
          </cell>
          <cell r="B2073">
            <v>42705</v>
          </cell>
          <cell r="C2073" t="str">
            <v>DICIEMBRE</v>
          </cell>
          <cell r="D2073" t="str">
            <v>2016</v>
          </cell>
          <cell r="E2073">
            <v>495</v>
          </cell>
          <cell r="F2073" t="str">
            <v>X2W-763</v>
          </cell>
          <cell r="G2073" t="str">
            <v>C5V-997</v>
          </cell>
          <cell r="H2073" t="str">
            <v>LAS BAMBAS</v>
          </cell>
          <cell r="I2073">
            <v>155321</v>
          </cell>
          <cell r="J2073" t="str">
            <v>REPUESTO</v>
          </cell>
          <cell r="K2073" t="str">
            <v>PERNO 1/2 X 4</v>
          </cell>
          <cell r="L2073">
            <v>2</v>
          </cell>
          <cell r="M2073" t="str">
            <v>UNID.</v>
          </cell>
          <cell r="N2073" t="str">
            <v>CISTERNA</v>
          </cell>
          <cell r="O2073">
            <v>0</v>
          </cell>
          <cell r="P2073" t="str">
            <v>S2</v>
          </cell>
          <cell r="Q2073" t="str">
            <v>J2</v>
          </cell>
          <cell r="R2073" t="str">
            <v>J6</v>
          </cell>
          <cell r="S2073" t="str">
            <v>ENTREGADO</v>
          </cell>
          <cell r="T2073">
            <v>42705</v>
          </cell>
          <cell r="U2073" t="str">
            <v>PALOMINO ESTRADA  MICHEL</v>
          </cell>
          <cell r="V2073" t="str">
            <v>CORIHUAMAN SURCO  ERICK ROBERT</v>
          </cell>
        </row>
        <row r="2074">
          <cell r="A2074">
            <v>2039</v>
          </cell>
          <cell r="B2074">
            <v>42705</v>
          </cell>
          <cell r="C2074" t="str">
            <v>DICIEMBRE</v>
          </cell>
          <cell r="D2074" t="str">
            <v>2016</v>
          </cell>
          <cell r="E2074">
            <v>495</v>
          </cell>
          <cell r="F2074" t="str">
            <v>X2W-763</v>
          </cell>
          <cell r="G2074" t="str">
            <v>C5V-997</v>
          </cell>
          <cell r="H2074" t="str">
            <v>LAS BAMBAS</v>
          </cell>
          <cell r="I2074">
            <v>155321</v>
          </cell>
          <cell r="J2074" t="str">
            <v>REPUESTO</v>
          </cell>
          <cell r="K2074" t="str">
            <v>TUERCA SEGURO 1/2</v>
          </cell>
          <cell r="L2074">
            <v>2</v>
          </cell>
          <cell r="M2074" t="str">
            <v>UNID.</v>
          </cell>
          <cell r="N2074" t="str">
            <v>CISTERNA</v>
          </cell>
          <cell r="O2074">
            <v>0</v>
          </cell>
          <cell r="P2074" t="str">
            <v>S2</v>
          </cell>
          <cell r="Q2074" t="str">
            <v>J2</v>
          </cell>
          <cell r="R2074" t="str">
            <v>J6</v>
          </cell>
          <cell r="S2074" t="str">
            <v>ENTREGADO</v>
          </cell>
          <cell r="T2074">
            <v>42705</v>
          </cell>
          <cell r="U2074" t="str">
            <v>PALOMINO ESTRADA  MICHEL</v>
          </cell>
          <cell r="V2074" t="str">
            <v>CORIHUAMAN SURCO  ERICK ROBERT</v>
          </cell>
        </row>
        <row r="2075">
          <cell r="A2075">
            <v>2040</v>
          </cell>
          <cell r="B2075">
            <v>42705</v>
          </cell>
          <cell r="C2075" t="str">
            <v>DICIEMBRE</v>
          </cell>
          <cell r="D2075" t="str">
            <v>2016</v>
          </cell>
          <cell r="E2075">
            <v>495</v>
          </cell>
          <cell r="F2075" t="str">
            <v>X2W-763</v>
          </cell>
          <cell r="G2075" t="str">
            <v>C5V-997</v>
          </cell>
          <cell r="H2075" t="str">
            <v>LAS BAMBAS</v>
          </cell>
          <cell r="I2075">
            <v>155321</v>
          </cell>
          <cell r="J2075" t="str">
            <v>REPUESTO</v>
          </cell>
          <cell r="K2075" t="str">
            <v>PERNOS 5/8 X 6</v>
          </cell>
          <cell r="L2075">
            <v>2</v>
          </cell>
          <cell r="M2075" t="str">
            <v>UNID.</v>
          </cell>
          <cell r="N2075" t="str">
            <v>CISTERNA</v>
          </cell>
          <cell r="O2075">
            <v>0</v>
          </cell>
          <cell r="P2075" t="str">
            <v>S2</v>
          </cell>
          <cell r="Q2075" t="str">
            <v>J2</v>
          </cell>
          <cell r="R2075" t="str">
            <v>J6</v>
          </cell>
          <cell r="S2075" t="str">
            <v>ENTREGADO</v>
          </cell>
          <cell r="T2075">
            <v>42705</v>
          </cell>
          <cell r="U2075" t="str">
            <v>PALOMINO ESTRADA  MICHEL</v>
          </cell>
          <cell r="V2075" t="str">
            <v>CORIHUAMAN SURCO  ERICK ROBERT</v>
          </cell>
        </row>
        <row r="2076">
          <cell r="A2076">
            <v>2041</v>
          </cell>
          <cell r="B2076">
            <v>42705</v>
          </cell>
          <cell r="C2076" t="str">
            <v>DICIEMBRE</v>
          </cell>
          <cell r="D2076" t="str">
            <v>2016</v>
          </cell>
          <cell r="E2076">
            <v>495</v>
          </cell>
          <cell r="F2076" t="str">
            <v>X2W-763</v>
          </cell>
          <cell r="G2076" t="str">
            <v>C5V-997</v>
          </cell>
          <cell r="H2076" t="str">
            <v>LAS BAMBAS</v>
          </cell>
          <cell r="I2076">
            <v>155321</v>
          </cell>
          <cell r="J2076" t="str">
            <v>REPUESTO</v>
          </cell>
          <cell r="K2076" t="str">
            <v>TUERCA SEGURO 5/8</v>
          </cell>
          <cell r="L2076">
            <v>2</v>
          </cell>
          <cell r="M2076" t="str">
            <v>UNID.</v>
          </cell>
          <cell r="N2076" t="str">
            <v>CISTERNA</v>
          </cell>
          <cell r="O2076">
            <v>0</v>
          </cell>
          <cell r="P2076" t="str">
            <v>S2</v>
          </cell>
          <cell r="Q2076" t="str">
            <v>J2</v>
          </cell>
          <cell r="R2076" t="str">
            <v>J6</v>
          </cell>
          <cell r="S2076" t="str">
            <v>ENTREGADO</v>
          </cell>
          <cell r="T2076">
            <v>42705</v>
          </cell>
          <cell r="U2076" t="str">
            <v>PALOMINO ESTRADA  MICHEL</v>
          </cell>
          <cell r="V2076" t="str">
            <v>CORIHUAMAN SURCO  ERICK ROBERT</v>
          </cell>
        </row>
        <row r="2077">
          <cell r="A2077">
            <v>2073</v>
          </cell>
          <cell r="B2077">
            <v>42706</v>
          </cell>
          <cell r="C2077" t="str">
            <v>DICIEMBRE</v>
          </cell>
          <cell r="D2077" t="str">
            <v>2016</v>
          </cell>
          <cell r="E2077">
            <v>389</v>
          </cell>
          <cell r="F2077" t="str">
            <v>ABQ-704</v>
          </cell>
          <cell r="G2077" t="str">
            <v>TBB-995</v>
          </cell>
          <cell r="H2077" t="str">
            <v>LAS BAMBAS</v>
          </cell>
          <cell r="I2077">
            <v>108737</v>
          </cell>
          <cell r="J2077" t="str">
            <v>REPUESTO</v>
          </cell>
          <cell r="K2077" t="str">
            <v>TECLA ELEVALUNA LADO DERECHO (PILOTO)</v>
          </cell>
          <cell r="L2077">
            <v>1</v>
          </cell>
          <cell r="M2077" t="str">
            <v>UNID.</v>
          </cell>
          <cell r="N2077" t="str">
            <v>TRACTO</v>
          </cell>
          <cell r="O2077">
            <v>0</v>
          </cell>
          <cell r="P2077" t="str">
            <v>E2</v>
          </cell>
          <cell r="Q2077" t="str">
            <v>J2</v>
          </cell>
          <cell r="R2077" t="str">
            <v>J5</v>
          </cell>
          <cell r="S2077" t="str">
            <v>ENTREGADO</v>
          </cell>
          <cell r="T2077">
            <v>42706</v>
          </cell>
          <cell r="U2077" t="str">
            <v>YUCA BELLIDO BORIS YERSY</v>
          </cell>
          <cell r="V2077" t="str">
            <v>CORIHUAMAN SURCO  ERICK ROBERT</v>
          </cell>
        </row>
        <row r="2078">
          <cell r="A2078">
            <v>2074</v>
          </cell>
          <cell r="B2078">
            <v>42706</v>
          </cell>
          <cell r="C2078" t="str">
            <v>DICIEMBRE</v>
          </cell>
          <cell r="D2078" t="str">
            <v>2016</v>
          </cell>
          <cell r="E2078">
            <v>389</v>
          </cell>
          <cell r="F2078" t="str">
            <v>ABQ-704</v>
          </cell>
          <cell r="G2078" t="str">
            <v>TBB-995</v>
          </cell>
          <cell r="H2078" t="str">
            <v>LAS BAMBAS</v>
          </cell>
          <cell r="I2078">
            <v>108737</v>
          </cell>
          <cell r="J2078" t="str">
            <v>REPUESTO</v>
          </cell>
          <cell r="K2078" t="str">
            <v>LIQUIDO LIMPIAPARABRISAS</v>
          </cell>
          <cell r="L2078">
            <v>1</v>
          </cell>
          <cell r="M2078" t="str">
            <v>GLNS.</v>
          </cell>
          <cell r="N2078" t="str">
            <v>TRACTO</v>
          </cell>
          <cell r="O2078">
            <v>0</v>
          </cell>
          <cell r="P2078" t="str">
            <v>M5</v>
          </cell>
          <cell r="Q2078" t="str">
            <v>J2</v>
          </cell>
          <cell r="R2078" t="str">
            <v>J5</v>
          </cell>
          <cell r="S2078" t="str">
            <v>ENTREGADO</v>
          </cell>
          <cell r="T2078">
            <v>42706</v>
          </cell>
          <cell r="U2078" t="str">
            <v>LOPEZ RUIZ WILBERTO</v>
          </cell>
          <cell r="V2078" t="str">
            <v>CORIHUAMAN SURCO  ERICK ROBERT</v>
          </cell>
        </row>
        <row r="2079">
          <cell r="A2079">
            <v>2075</v>
          </cell>
          <cell r="B2079">
            <v>42706</v>
          </cell>
          <cell r="C2079" t="str">
            <v>DICIEMBRE</v>
          </cell>
          <cell r="D2079" t="str">
            <v>2016</v>
          </cell>
          <cell r="E2079">
            <v>389</v>
          </cell>
          <cell r="F2079" t="str">
            <v>ABQ-704</v>
          </cell>
          <cell r="G2079" t="str">
            <v>TBB-995</v>
          </cell>
          <cell r="H2079" t="str">
            <v>LAS BAMBAS</v>
          </cell>
          <cell r="I2079">
            <v>108737</v>
          </cell>
          <cell r="J2079" t="str">
            <v>REPUESTO</v>
          </cell>
          <cell r="K2079" t="str">
            <v>LIQUIDO REFRIGERANTE</v>
          </cell>
          <cell r="L2079">
            <v>1</v>
          </cell>
          <cell r="M2079" t="str">
            <v>GLNS.</v>
          </cell>
          <cell r="N2079" t="str">
            <v>TRACTO</v>
          </cell>
          <cell r="O2079">
            <v>0</v>
          </cell>
          <cell r="P2079" t="str">
            <v>M5</v>
          </cell>
          <cell r="Q2079" t="str">
            <v>J2</v>
          </cell>
          <cell r="R2079" t="str">
            <v>J5</v>
          </cell>
          <cell r="S2079" t="str">
            <v>ENTREGADO</v>
          </cell>
          <cell r="T2079">
            <v>42706</v>
          </cell>
          <cell r="U2079" t="str">
            <v>LOPEZ RUIZ WILBERTO</v>
          </cell>
          <cell r="V2079" t="str">
            <v>CORIHUAMAN SURCO  ERICK ROBERT</v>
          </cell>
        </row>
        <row r="2080">
          <cell r="A2080">
            <v>2086</v>
          </cell>
          <cell r="B2080">
            <v>42706</v>
          </cell>
          <cell r="C2080" t="str">
            <v>DICIEMBRE</v>
          </cell>
          <cell r="D2080" t="str">
            <v>2016</v>
          </cell>
          <cell r="E2080">
            <v>449</v>
          </cell>
          <cell r="F2080" t="str">
            <v>B2L-889</v>
          </cell>
          <cell r="G2080" t="str">
            <v>CAMION</v>
          </cell>
          <cell r="H2080" t="str">
            <v>TAMBOMAYO</v>
          </cell>
          <cell r="I2080">
            <v>121547</v>
          </cell>
          <cell r="J2080" t="str">
            <v>REPUESTO</v>
          </cell>
          <cell r="K2080" t="str">
            <v>FAROS NEBLINEROS BLANCOS</v>
          </cell>
          <cell r="L2080">
            <v>2</v>
          </cell>
          <cell r="M2080" t="str">
            <v>UNID.</v>
          </cell>
          <cell r="N2080" t="str">
            <v>TRACTO</v>
          </cell>
          <cell r="O2080">
            <v>0</v>
          </cell>
          <cell r="P2080" t="str">
            <v>E2</v>
          </cell>
          <cell r="Q2080" t="str">
            <v>J2</v>
          </cell>
          <cell r="R2080" t="str">
            <v>J5</v>
          </cell>
          <cell r="S2080" t="str">
            <v>ENTREGADO</v>
          </cell>
          <cell r="T2080">
            <v>42706</v>
          </cell>
          <cell r="U2080" t="str">
            <v>YUCA BELLIDO BORIS YERSY</v>
          </cell>
          <cell r="V2080" t="str">
            <v>CORIHUAMAN SURCO  ERICK ROBERT</v>
          </cell>
        </row>
        <row r="2081">
          <cell r="A2081">
            <v>2087</v>
          </cell>
          <cell r="B2081">
            <v>42706</v>
          </cell>
          <cell r="C2081" t="str">
            <v>DICIEMBRE</v>
          </cell>
          <cell r="D2081" t="str">
            <v>2016</v>
          </cell>
          <cell r="E2081">
            <v>449</v>
          </cell>
          <cell r="F2081" t="str">
            <v>B2L-889</v>
          </cell>
          <cell r="G2081" t="str">
            <v>CAMION</v>
          </cell>
          <cell r="H2081" t="str">
            <v>TAMBOMAYO</v>
          </cell>
          <cell r="I2081">
            <v>121547</v>
          </cell>
          <cell r="J2081" t="str">
            <v>REPUESTO</v>
          </cell>
          <cell r="K2081" t="str">
            <v>FOCOS H3 24 V</v>
          </cell>
          <cell r="L2081">
            <v>4</v>
          </cell>
          <cell r="M2081" t="str">
            <v>UNID.</v>
          </cell>
          <cell r="N2081" t="str">
            <v>TRACTO</v>
          </cell>
          <cell r="O2081">
            <v>0</v>
          </cell>
          <cell r="P2081" t="str">
            <v>E2</v>
          </cell>
          <cell r="Q2081" t="str">
            <v>J2</v>
          </cell>
          <cell r="R2081" t="str">
            <v>J5</v>
          </cell>
          <cell r="S2081" t="str">
            <v>ENTREGADO</v>
          </cell>
          <cell r="T2081">
            <v>42706</v>
          </cell>
          <cell r="U2081" t="str">
            <v>YUCA BELLIDO BORIS YERSY</v>
          </cell>
          <cell r="V2081" t="str">
            <v>CORIHUAMAN SURCO  ERICK ROBERT</v>
          </cell>
        </row>
        <row r="2082">
          <cell r="A2082">
            <v>2090</v>
          </cell>
          <cell r="B2082">
            <v>42706</v>
          </cell>
          <cell r="C2082" t="str">
            <v>DICIEMBRE</v>
          </cell>
          <cell r="D2082" t="str">
            <v>2016</v>
          </cell>
          <cell r="E2082">
            <v>449</v>
          </cell>
          <cell r="F2082" t="str">
            <v>B2L-889</v>
          </cell>
          <cell r="G2082" t="str">
            <v>CAMION</v>
          </cell>
          <cell r="H2082" t="str">
            <v>TAMBOMAYO</v>
          </cell>
          <cell r="I2082">
            <v>121547</v>
          </cell>
          <cell r="J2082" t="str">
            <v>REPUESTO</v>
          </cell>
          <cell r="K2082" t="str">
            <v>PERNO 1/4 X 11/2</v>
          </cell>
          <cell r="L2082">
            <v>1</v>
          </cell>
          <cell r="M2082" t="str">
            <v>UNID.</v>
          </cell>
          <cell r="N2082" t="str">
            <v>CAMION</v>
          </cell>
          <cell r="O2082">
            <v>0</v>
          </cell>
          <cell r="P2082" t="str">
            <v>E2</v>
          </cell>
          <cell r="Q2082" t="str">
            <v>J2</v>
          </cell>
          <cell r="R2082" t="str">
            <v>J5</v>
          </cell>
          <cell r="S2082" t="str">
            <v>ENTREGADO</v>
          </cell>
          <cell r="T2082">
            <v>42706</v>
          </cell>
          <cell r="U2082" t="str">
            <v>YUCA BELLIDO BORIS YERSY</v>
          </cell>
          <cell r="V2082" t="str">
            <v>CORIHUAMAN SURCO  ERICK ROBERT</v>
          </cell>
        </row>
        <row r="2083">
          <cell r="A2083">
            <v>2091</v>
          </cell>
          <cell r="B2083">
            <v>42706</v>
          </cell>
          <cell r="C2083" t="str">
            <v>DICIEMBRE</v>
          </cell>
          <cell r="D2083" t="str">
            <v>2016</v>
          </cell>
          <cell r="E2083">
            <v>449</v>
          </cell>
          <cell r="F2083" t="str">
            <v>B2L-889</v>
          </cell>
          <cell r="G2083" t="str">
            <v>CAMION</v>
          </cell>
          <cell r="H2083" t="str">
            <v>TAMBOMAYO</v>
          </cell>
          <cell r="I2083">
            <v>121547</v>
          </cell>
          <cell r="J2083" t="str">
            <v>REPUESTO</v>
          </cell>
          <cell r="K2083" t="str">
            <v>TUERCA 1/4</v>
          </cell>
          <cell r="L2083">
            <v>2</v>
          </cell>
          <cell r="M2083" t="str">
            <v>UNID.</v>
          </cell>
          <cell r="N2083" t="str">
            <v>CAMION</v>
          </cell>
          <cell r="O2083">
            <v>0</v>
          </cell>
          <cell r="P2083" t="str">
            <v>E2</v>
          </cell>
          <cell r="Q2083" t="str">
            <v>J2</v>
          </cell>
          <cell r="R2083" t="str">
            <v>J5</v>
          </cell>
          <cell r="S2083" t="str">
            <v>ENTREGADO</v>
          </cell>
          <cell r="T2083">
            <v>42706</v>
          </cell>
          <cell r="U2083" t="str">
            <v>YUCA BELLIDO BORIS YERSY</v>
          </cell>
          <cell r="V2083" t="str">
            <v>CORIHUAMAN SURCO  ERICK ROBERT</v>
          </cell>
        </row>
        <row r="2084">
          <cell r="A2084">
            <v>2092</v>
          </cell>
          <cell r="B2084">
            <v>42706</v>
          </cell>
          <cell r="C2084" t="str">
            <v>DICIEMBRE</v>
          </cell>
          <cell r="D2084" t="str">
            <v>2016</v>
          </cell>
          <cell r="E2084">
            <v>449</v>
          </cell>
          <cell r="F2084" t="str">
            <v>B2L-889</v>
          </cell>
          <cell r="G2084" t="str">
            <v>CAMION</v>
          </cell>
          <cell r="H2084" t="str">
            <v>TAMBOMAYO</v>
          </cell>
          <cell r="I2084">
            <v>121547</v>
          </cell>
          <cell r="J2084" t="str">
            <v>REPUESTO</v>
          </cell>
          <cell r="K2084" t="str">
            <v>ARANDELA PLANA 1/4</v>
          </cell>
          <cell r="L2084">
            <v>2</v>
          </cell>
          <cell r="M2084" t="str">
            <v>UNID.</v>
          </cell>
          <cell r="N2084" t="str">
            <v>CAMION</v>
          </cell>
          <cell r="O2084">
            <v>0</v>
          </cell>
          <cell r="P2084" t="str">
            <v>E2</v>
          </cell>
          <cell r="Q2084" t="str">
            <v>J2</v>
          </cell>
          <cell r="R2084" t="str">
            <v>J5</v>
          </cell>
          <cell r="S2084" t="str">
            <v>ENTREGADO</v>
          </cell>
          <cell r="T2084">
            <v>42706</v>
          </cell>
          <cell r="U2084" t="str">
            <v>YUCA BELLIDO BORIS YERSY</v>
          </cell>
          <cell r="V2084" t="str">
            <v>CORIHUAMAN SURCO  ERICK ROBERT</v>
          </cell>
        </row>
        <row r="2085">
          <cell r="A2085">
            <v>2093</v>
          </cell>
          <cell r="B2085">
            <v>42706</v>
          </cell>
          <cell r="C2085" t="str">
            <v>DICIEMBRE</v>
          </cell>
          <cell r="D2085" t="str">
            <v>2016</v>
          </cell>
          <cell r="E2085">
            <v>449</v>
          </cell>
          <cell r="F2085" t="str">
            <v>B2L-889</v>
          </cell>
          <cell r="G2085" t="str">
            <v>CAMION</v>
          </cell>
          <cell r="H2085" t="str">
            <v>TAMBOMAYO</v>
          </cell>
          <cell r="I2085">
            <v>121547</v>
          </cell>
          <cell r="J2085" t="str">
            <v>REPUESTO</v>
          </cell>
          <cell r="K2085" t="str">
            <v>CABLE NRO. 14</v>
          </cell>
          <cell r="L2085">
            <v>2</v>
          </cell>
          <cell r="M2085" t="str">
            <v>UNID.</v>
          </cell>
          <cell r="N2085" t="str">
            <v>CAMION</v>
          </cell>
          <cell r="O2085">
            <v>0</v>
          </cell>
          <cell r="P2085" t="str">
            <v>E2</v>
          </cell>
          <cell r="Q2085" t="str">
            <v>J2</v>
          </cell>
          <cell r="R2085" t="str">
            <v>J5</v>
          </cell>
          <cell r="S2085" t="str">
            <v>ENTREGADO</v>
          </cell>
          <cell r="T2085">
            <v>42706</v>
          </cell>
          <cell r="U2085" t="str">
            <v>YUCA BELLIDO BORIS YERSY</v>
          </cell>
          <cell r="V2085" t="str">
            <v>CORIHUAMAN SURCO  ERICK ROBERT</v>
          </cell>
        </row>
        <row r="2086">
          <cell r="A2086">
            <v>2067</v>
          </cell>
          <cell r="B2086">
            <v>42706</v>
          </cell>
          <cell r="C2086" t="str">
            <v>DICIEMBRE</v>
          </cell>
          <cell r="D2086" t="str">
            <v>2016</v>
          </cell>
          <cell r="E2086">
            <v>486</v>
          </cell>
          <cell r="F2086" t="str">
            <v>C9M-902</v>
          </cell>
          <cell r="G2086" t="str">
            <v>B8L-970</v>
          </cell>
          <cell r="H2086" t="str">
            <v>LAS BAMBAS</v>
          </cell>
          <cell r="I2086">
            <v>209833</v>
          </cell>
          <cell r="J2086" t="str">
            <v>REPUESTO</v>
          </cell>
          <cell r="K2086" t="str">
            <v>MANGUERA 2 1/2 X 12 CM</v>
          </cell>
          <cell r="L2086">
            <v>1</v>
          </cell>
          <cell r="M2086" t="str">
            <v>M</v>
          </cell>
          <cell r="N2086" t="str">
            <v>TRACTO</v>
          </cell>
          <cell r="O2086">
            <v>0</v>
          </cell>
          <cell r="P2086" t="str">
            <v>M8</v>
          </cell>
          <cell r="Q2086" t="str">
            <v>J2</v>
          </cell>
          <cell r="R2086" t="str">
            <v>J5</v>
          </cell>
          <cell r="S2086" t="str">
            <v>ENTREGADO</v>
          </cell>
          <cell r="T2086">
            <v>42706</v>
          </cell>
          <cell r="U2086" t="str">
            <v>VARILLAS GAGO  OSCAR ALBERTO</v>
          </cell>
          <cell r="V2086" t="str">
            <v>CORIHUAMAN SURCO  ERICK ROBERT</v>
          </cell>
        </row>
        <row r="2087">
          <cell r="A2087">
            <v>2068</v>
          </cell>
          <cell r="B2087">
            <v>42706</v>
          </cell>
          <cell r="C2087" t="str">
            <v>DICIEMBRE</v>
          </cell>
          <cell r="D2087" t="str">
            <v>2016</v>
          </cell>
          <cell r="E2087">
            <v>486</v>
          </cell>
          <cell r="F2087" t="str">
            <v>C9M-902</v>
          </cell>
          <cell r="G2087" t="str">
            <v>B8L-970</v>
          </cell>
          <cell r="H2087" t="str">
            <v>LAS BAMBAS</v>
          </cell>
          <cell r="I2087">
            <v>209833</v>
          </cell>
          <cell r="J2087" t="str">
            <v>REPUESTO</v>
          </cell>
          <cell r="K2087" t="str">
            <v>LIQUIDO REFRIGERANTE</v>
          </cell>
          <cell r="L2087">
            <v>2</v>
          </cell>
          <cell r="M2087" t="str">
            <v>GLNS.</v>
          </cell>
          <cell r="N2087" t="str">
            <v>TRACTO</v>
          </cell>
          <cell r="O2087">
            <v>0</v>
          </cell>
          <cell r="P2087" t="str">
            <v>M8</v>
          </cell>
          <cell r="Q2087" t="str">
            <v>J2</v>
          </cell>
          <cell r="R2087" t="str">
            <v>J5</v>
          </cell>
          <cell r="S2087" t="str">
            <v>ENTREGADO</v>
          </cell>
          <cell r="T2087">
            <v>42706</v>
          </cell>
          <cell r="U2087" t="str">
            <v>VARILLAS GAGO  OSCAR ALBERTO</v>
          </cell>
          <cell r="V2087" t="str">
            <v>CORIHUAMAN SURCO  ERICK ROBERT</v>
          </cell>
        </row>
        <row r="2088">
          <cell r="A2088">
            <v>2081</v>
          </cell>
          <cell r="B2088">
            <v>42706</v>
          </cell>
          <cell r="C2088" t="str">
            <v>DICIEMBRE</v>
          </cell>
          <cell r="D2088" t="str">
            <v>2016</v>
          </cell>
          <cell r="E2088">
            <v>486</v>
          </cell>
          <cell r="F2088" t="str">
            <v>C9M-902</v>
          </cell>
          <cell r="G2088" t="str">
            <v>B8L-970</v>
          </cell>
          <cell r="H2088" t="str">
            <v>LAS BAMBAS</v>
          </cell>
          <cell r="I2088">
            <v>209833</v>
          </cell>
          <cell r="J2088" t="str">
            <v>REPUESTO</v>
          </cell>
          <cell r="K2088" t="str">
            <v>RATCHES DE FRENO DE 10 DIENTES</v>
          </cell>
          <cell r="L2088">
            <v>2</v>
          </cell>
          <cell r="M2088" t="str">
            <v>UNID.</v>
          </cell>
          <cell r="N2088" t="str">
            <v>CISTERNA</v>
          </cell>
          <cell r="O2088">
            <v>0</v>
          </cell>
          <cell r="P2088" t="str">
            <v>M8</v>
          </cell>
          <cell r="Q2088" t="str">
            <v>J2</v>
          </cell>
          <cell r="R2088" t="str">
            <v>J5</v>
          </cell>
          <cell r="S2088" t="str">
            <v>ENTREGADO</v>
          </cell>
          <cell r="T2088">
            <v>42706</v>
          </cell>
          <cell r="U2088" t="str">
            <v>VARILLAS GAGO  OSCAR ALBERTO</v>
          </cell>
          <cell r="V2088" t="str">
            <v>CORIHUAMAN SURCO  ERICK ROBERT</v>
          </cell>
        </row>
        <row r="2089">
          <cell r="A2089">
            <v>2082</v>
          </cell>
          <cell r="B2089">
            <v>42706</v>
          </cell>
          <cell r="C2089" t="str">
            <v>DICIEMBRE</v>
          </cell>
          <cell r="D2089" t="str">
            <v>2016</v>
          </cell>
          <cell r="E2089">
            <v>486</v>
          </cell>
          <cell r="F2089" t="str">
            <v>C9M-902</v>
          </cell>
          <cell r="G2089" t="str">
            <v>B8L-970</v>
          </cell>
          <cell r="H2089" t="str">
            <v>LAS BAMBAS</v>
          </cell>
          <cell r="I2089">
            <v>209833</v>
          </cell>
          <cell r="J2089" t="str">
            <v>REPUESTO</v>
          </cell>
          <cell r="K2089" t="str">
            <v>RETENES DE RUEDA</v>
          </cell>
          <cell r="L2089">
            <v>6</v>
          </cell>
          <cell r="M2089" t="str">
            <v>UNID.</v>
          </cell>
          <cell r="N2089" t="str">
            <v>CISTERNA</v>
          </cell>
          <cell r="O2089">
            <v>0</v>
          </cell>
          <cell r="P2089" t="str">
            <v>M8</v>
          </cell>
          <cell r="Q2089" t="str">
            <v>J2</v>
          </cell>
          <cell r="R2089" t="str">
            <v>J5</v>
          </cell>
          <cell r="S2089" t="str">
            <v>ENTREGADO</v>
          </cell>
          <cell r="T2089">
            <v>42706</v>
          </cell>
          <cell r="U2089" t="str">
            <v>VARILLAS GAGO  OSCAR ALBERTO</v>
          </cell>
          <cell r="V2089" t="str">
            <v>CORIHUAMAN SURCO  ERICK ROBERT</v>
          </cell>
        </row>
        <row r="2090">
          <cell r="A2090">
            <v>2083</v>
          </cell>
          <cell r="B2090">
            <v>42706</v>
          </cell>
          <cell r="C2090" t="str">
            <v>DICIEMBRE</v>
          </cell>
          <cell r="D2090" t="str">
            <v>2016</v>
          </cell>
          <cell r="E2090">
            <v>486</v>
          </cell>
          <cell r="F2090" t="str">
            <v>C9M-902</v>
          </cell>
          <cell r="G2090" t="str">
            <v>B8L-970</v>
          </cell>
          <cell r="H2090" t="str">
            <v>LAS BAMBAS</v>
          </cell>
          <cell r="I2090">
            <v>209833</v>
          </cell>
          <cell r="J2090" t="str">
            <v>REPUESTO</v>
          </cell>
          <cell r="K2090" t="str">
            <v>GRASA EP2</v>
          </cell>
          <cell r="L2090">
            <v>8</v>
          </cell>
          <cell r="M2090" t="str">
            <v>UNID.</v>
          </cell>
          <cell r="N2090" t="str">
            <v>CISTERNA</v>
          </cell>
          <cell r="O2090">
            <v>0</v>
          </cell>
          <cell r="P2090" t="str">
            <v>M8</v>
          </cell>
          <cell r="Q2090" t="str">
            <v>J2</v>
          </cell>
          <cell r="R2090" t="str">
            <v>J5</v>
          </cell>
          <cell r="S2090" t="str">
            <v>ENTREGADO</v>
          </cell>
          <cell r="T2090">
            <v>42706</v>
          </cell>
          <cell r="U2090" t="str">
            <v>VARILLAS GAGO  OSCAR ALBERTO</v>
          </cell>
          <cell r="V2090" t="str">
            <v>CORIHUAMAN SURCO  ERICK ROBERT</v>
          </cell>
        </row>
        <row r="2091">
          <cell r="A2091">
            <v>2094</v>
          </cell>
          <cell r="B2091">
            <v>42706</v>
          </cell>
          <cell r="C2091" t="str">
            <v>DICIEMBRE</v>
          </cell>
          <cell r="D2091" t="str">
            <v>2016</v>
          </cell>
          <cell r="E2091">
            <v>486</v>
          </cell>
          <cell r="F2091" t="str">
            <v>C9M-902</v>
          </cell>
          <cell r="G2091" t="str">
            <v>B8L-970</v>
          </cell>
          <cell r="H2091" t="str">
            <v>LAS BAMBAS</v>
          </cell>
          <cell r="I2091">
            <v>209833</v>
          </cell>
          <cell r="J2091" t="str">
            <v>REPUESTO</v>
          </cell>
          <cell r="K2091" t="str">
            <v>ZAPATAZ PARA CARRETA</v>
          </cell>
          <cell r="L2091">
            <v>1.5</v>
          </cell>
          <cell r="M2091" t="str">
            <v>JUEGO</v>
          </cell>
          <cell r="N2091" t="str">
            <v>CISTERNA</v>
          </cell>
          <cell r="O2091">
            <v>0</v>
          </cell>
          <cell r="P2091" t="str">
            <v>M8</v>
          </cell>
          <cell r="Q2091" t="str">
            <v>J2</v>
          </cell>
          <cell r="R2091" t="str">
            <v>J5</v>
          </cell>
          <cell r="S2091" t="str">
            <v>ENTREGADO</v>
          </cell>
          <cell r="T2091">
            <v>42706</v>
          </cell>
          <cell r="U2091" t="str">
            <v>VARILLAS GAGO  OSCAR ALBERTO</v>
          </cell>
          <cell r="V2091" t="str">
            <v>CORIHUAMAN SURCO  ERICK ROBERT</v>
          </cell>
        </row>
        <row r="2092">
          <cell r="A2092">
            <v>2095</v>
          </cell>
          <cell r="B2092">
            <v>42706</v>
          </cell>
          <cell r="C2092" t="str">
            <v>DICIEMBRE</v>
          </cell>
          <cell r="D2092" t="str">
            <v>2016</v>
          </cell>
          <cell r="E2092">
            <v>486</v>
          </cell>
          <cell r="F2092" t="str">
            <v>C9M-902</v>
          </cell>
          <cell r="G2092" t="str">
            <v>B8L-970</v>
          </cell>
          <cell r="H2092" t="str">
            <v>LAS BAMBAS</v>
          </cell>
          <cell r="I2092">
            <v>209833</v>
          </cell>
          <cell r="J2092" t="str">
            <v>REPUESTO</v>
          </cell>
          <cell r="K2092" t="str">
            <v xml:space="preserve">REMACHES </v>
          </cell>
          <cell r="L2092">
            <v>200</v>
          </cell>
          <cell r="M2092" t="str">
            <v>UNID.</v>
          </cell>
          <cell r="N2092" t="str">
            <v>CISTERNA</v>
          </cell>
          <cell r="O2092">
            <v>0</v>
          </cell>
          <cell r="P2092" t="str">
            <v>M8</v>
          </cell>
          <cell r="Q2092" t="str">
            <v>J2</v>
          </cell>
          <cell r="R2092" t="str">
            <v>J5</v>
          </cell>
          <cell r="S2092" t="str">
            <v>ENTREGADO</v>
          </cell>
          <cell r="T2092">
            <v>42706</v>
          </cell>
          <cell r="U2092" t="str">
            <v>VARILLAS GAGO  OSCAR ALBERTO</v>
          </cell>
          <cell r="V2092" t="str">
            <v>CORIHUAMAN SURCO  ERICK ROBERT</v>
          </cell>
        </row>
        <row r="2093">
          <cell r="A2093">
            <v>2096</v>
          </cell>
          <cell r="B2093">
            <v>42706</v>
          </cell>
          <cell r="C2093" t="str">
            <v>DICIEMBRE</v>
          </cell>
          <cell r="D2093" t="str">
            <v>2016</v>
          </cell>
          <cell r="E2093">
            <v>486</v>
          </cell>
          <cell r="F2093" t="str">
            <v>C9M-902</v>
          </cell>
          <cell r="G2093" t="str">
            <v>B8L-970</v>
          </cell>
          <cell r="H2093" t="str">
            <v>LAS BAMBAS</v>
          </cell>
          <cell r="I2093">
            <v>209833</v>
          </cell>
          <cell r="J2093" t="str">
            <v>REPUESTO</v>
          </cell>
          <cell r="K2093" t="str">
            <v>ARANDELA PRESION 1/4</v>
          </cell>
          <cell r="L2093">
            <v>200</v>
          </cell>
          <cell r="M2093" t="str">
            <v>UNID.</v>
          </cell>
          <cell r="N2093" t="str">
            <v>CISTERNA</v>
          </cell>
          <cell r="O2093">
            <v>0</v>
          </cell>
          <cell r="P2093" t="str">
            <v>M8</v>
          </cell>
          <cell r="Q2093" t="str">
            <v>J2</v>
          </cell>
          <cell r="R2093" t="str">
            <v>J5</v>
          </cell>
          <cell r="S2093" t="str">
            <v>ENTREGADO</v>
          </cell>
          <cell r="T2093">
            <v>42706</v>
          </cell>
          <cell r="U2093" t="str">
            <v>VARILLAS GAGO  OSCAR ALBERTO</v>
          </cell>
          <cell r="V2093" t="str">
            <v>CORIHUAMAN SURCO  ERICK ROBERT</v>
          </cell>
        </row>
        <row r="2094">
          <cell r="A2094">
            <v>2097</v>
          </cell>
          <cell r="B2094">
            <v>42706</v>
          </cell>
          <cell r="C2094" t="str">
            <v>DICIEMBRE</v>
          </cell>
          <cell r="D2094" t="str">
            <v>2016</v>
          </cell>
          <cell r="E2094">
            <v>486</v>
          </cell>
          <cell r="F2094" t="str">
            <v>C9M-902</v>
          </cell>
          <cell r="G2094" t="str">
            <v>B8L-970</v>
          </cell>
          <cell r="H2094" t="str">
            <v>LAS BAMBAS</v>
          </cell>
          <cell r="I2094">
            <v>209833</v>
          </cell>
          <cell r="J2094" t="str">
            <v>REPUESTO</v>
          </cell>
          <cell r="K2094" t="str">
            <v>PERNO CENTRO 1/2 X 6</v>
          </cell>
          <cell r="L2094">
            <v>1</v>
          </cell>
          <cell r="M2094" t="str">
            <v>UNID.</v>
          </cell>
          <cell r="N2094" t="str">
            <v>CISTERNA</v>
          </cell>
          <cell r="O2094">
            <v>0</v>
          </cell>
          <cell r="P2094" t="str">
            <v>M8</v>
          </cell>
          <cell r="Q2094" t="str">
            <v>J2</v>
          </cell>
          <cell r="R2094" t="str">
            <v>J5</v>
          </cell>
          <cell r="S2094" t="str">
            <v>ENTREGADO</v>
          </cell>
          <cell r="T2094">
            <v>42706</v>
          </cell>
          <cell r="U2094" t="str">
            <v>VARILLAS GAGO  OSCAR ALBERTO</v>
          </cell>
          <cell r="V2094" t="str">
            <v>CORIHUAMAN SURCO  ERICK ROBERT</v>
          </cell>
        </row>
        <row r="2095">
          <cell r="A2095">
            <v>2098</v>
          </cell>
          <cell r="B2095">
            <v>42706</v>
          </cell>
          <cell r="C2095" t="str">
            <v>DICIEMBRE</v>
          </cell>
          <cell r="D2095" t="str">
            <v>2016</v>
          </cell>
          <cell r="E2095">
            <v>486</v>
          </cell>
          <cell r="F2095" t="str">
            <v>C9M-902</v>
          </cell>
          <cell r="G2095" t="str">
            <v>B8L-970</v>
          </cell>
          <cell r="H2095" t="str">
            <v>LAS BAMBAS</v>
          </cell>
          <cell r="I2095">
            <v>209833</v>
          </cell>
          <cell r="J2095" t="str">
            <v>REPUESTO</v>
          </cell>
          <cell r="K2095" t="str">
            <v>TUERCA HILO FINO 1/2</v>
          </cell>
          <cell r="L2095">
            <v>1</v>
          </cell>
          <cell r="M2095" t="str">
            <v>UNID.</v>
          </cell>
          <cell r="N2095" t="str">
            <v>CISTERNA</v>
          </cell>
          <cell r="O2095">
            <v>0</v>
          </cell>
          <cell r="P2095" t="str">
            <v>M8</v>
          </cell>
          <cell r="Q2095" t="str">
            <v>J2</v>
          </cell>
          <cell r="R2095" t="str">
            <v>J5</v>
          </cell>
          <cell r="S2095" t="str">
            <v>ENTREGADO</v>
          </cell>
          <cell r="T2095">
            <v>42706</v>
          </cell>
          <cell r="U2095" t="str">
            <v>VARILLAS GAGO  OSCAR ALBERTO</v>
          </cell>
          <cell r="V2095" t="str">
            <v>CORIHUAMAN SURCO  ERICK ROBERT</v>
          </cell>
        </row>
        <row r="2096">
          <cell r="A2096">
            <v>2077</v>
          </cell>
          <cell r="B2096">
            <v>42706</v>
          </cell>
          <cell r="C2096" t="str">
            <v>DICIEMBRE</v>
          </cell>
          <cell r="D2096" t="str">
            <v>2016</v>
          </cell>
          <cell r="E2096">
            <v>204</v>
          </cell>
          <cell r="F2096" t="str">
            <v>C9P-948</v>
          </cell>
          <cell r="G2096" t="str">
            <v>B4O-995</v>
          </cell>
          <cell r="H2096" t="str">
            <v>LAS BAMBAS</v>
          </cell>
          <cell r="I2096">
            <v>156586</v>
          </cell>
          <cell r="J2096" t="str">
            <v>REPUESTO</v>
          </cell>
          <cell r="K2096" t="str">
            <v>CONECTOR 3/8</v>
          </cell>
          <cell r="L2096">
            <v>1</v>
          </cell>
          <cell r="M2096" t="str">
            <v>UNID.</v>
          </cell>
          <cell r="N2096" t="str">
            <v>TRACTO</v>
          </cell>
          <cell r="O2096">
            <v>0</v>
          </cell>
          <cell r="P2096" t="str">
            <v>M1</v>
          </cell>
          <cell r="Q2096" t="str">
            <v>J2</v>
          </cell>
          <cell r="R2096" t="str">
            <v>J5</v>
          </cell>
          <cell r="S2096" t="str">
            <v>ENTREGADO</v>
          </cell>
          <cell r="T2096">
            <v>42706</v>
          </cell>
          <cell r="U2096" t="str">
            <v>CABEZAS SANCHEZ JEAN JHONATAN</v>
          </cell>
          <cell r="V2096" t="str">
            <v>CORIHUAMAN SURCO  ERICK ROBERT</v>
          </cell>
        </row>
        <row r="2097">
          <cell r="A2097">
            <v>2078</v>
          </cell>
          <cell r="B2097">
            <v>42706</v>
          </cell>
          <cell r="C2097" t="str">
            <v>DICIEMBRE</v>
          </cell>
          <cell r="D2097" t="str">
            <v>2016</v>
          </cell>
          <cell r="E2097">
            <v>204</v>
          </cell>
          <cell r="F2097" t="str">
            <v>C9P-948</v>
          </cell>
          <cell r="G2097" t="str">
            <v>B4O-995</v>
          </cell>
          <cell r="H2097" t="str">
            <v>LAS BAMBAS</v>
          </cell>
          <cell r="I2097">
            <v>156586</v>
          </cell>
          <cell r="J2097" t="str">
            <v>REPUESTO</v>
          </cell>
          <cell r="K2097" t="str">
            <v>CONECTOR 3/4</v>
          </cell>
          <cell r="L2097">
            <v>1</v>
          </cell>
          <cell r="M2097" t="str">
            <v>UNID.</v>
          </cell>
          <cell r="N2097" t="str">
            <v>TRACTO</v>
          </cell>
          <cell r="O2097">
            <v>0</v>
          </cell>
          <cell r="P2097" t="str">
            <v>M1</v>
          </cell>
          <cell r="Q2097" t="str">
            <v>J2</v>
          </cell>
          <cell r="R2097" t="str">
            <v>J5</v>
          </cell>
          <cell r="S2097" t="str">
            <v>ENTREGADO</v>
          </cell>
          <cell r="T2097">
            <v>42706</v>
          </cell>
          <cell r="U2097" t="str">
            <v>CABEZAS SANCHEZ JEAN JHONATAN</v>
          </cell>
          <cell r="V2097" t="str">
            <v>CORIHUAMAN SURCO  ERICK ROBERT</v>
          </cell>
        </row>
        <row r="2098">
          <cell r="A2098">
            <v>2099</v>
          </cell>
          <cell r="B2098">
            <v>42706</v>
          </cell>
          <cell r="C2098" t="str">
            <v>DICIEMBRE</v>
          </cell>
          <cell r="D2098" t="str">
            <v>2016</v>
          </cell>
          <cell r="E2098">
            <v>455</v>
          </cell>
          <cell r="F2098" t="str">
            <v>C9P-948</v>
          </cell>
          <cell r="G2098" t="str">
            <v>B4O-995</v>
          </cell>
          <cell r="H2098" t="str">
            <v>LAS BAMBAS</v>
          </cell>
          <cell r="I2098">
            <v>156586</v>
          </cell>
          <cell r="J2098" t="str">
            <v>REPUESTO</v>
          </cell>
          <cell r="K2098" t="str">
            <v>PERNO 1/2 X 1 1/2</v>
          </cell>
          <cell r="L2098">
            <v>3</v>
          </cell>
          <cell r="M2098" t="str">
            <v>UNID.</v>
          </cell>
          <cell r="N2098" t="str">
            <v>CISTERNA</v>
          </cell>
          <cell r="O2098">
            <v>0</v>
          </cell>
          <cell r="P2098" t="str">
            <v>M1</v>
          </cell>
          <cell r="Q2098" t="str">
            <v>J2</v>
          </cell>
          <cell r="R2098" t="str">
            <v>J6</v>
          </cell>
          <cell r="S2098" t="str">
            <v>ENTREGADO</v>
          </cell>
          <cell r="T2098">
            <v>42706</v>
          </cell>
          <cell r="U2098" t="str">
            <v>CABEZAS SANCHEZ JEAN JHONATAN</v>
          </cell>
          <cell r="V2098" t="str">
            <v>CORIHUAMAN SURCO  ERICK ROBERT</v>
          </cell>
        </row>
        <row r="2099">
          <cell r="A2099">
            <v>2100</v>
          </cell>
          <cell r="B2099">
            <v>42706</v>
          </cell>
          <cell r="C2099" t="str">
            <v>DICIEMBRE</v>
          </cell>
          <cell r="D2099" t="str">
            <v>2016</v>
          </cell>
          <cell r="E2099">
            <v>455</v>
          </cell>
          <cell r="F2099" t="str">
            <v>C9P-948</v>
          </cell>
          <cell r="G2099" t="str">
            <v>B4O-995</v>
          </cell>
          <cell r="H2099" t="str">
            <v>LAS BAMBAS</v>
          </cell>
          <cell r="I2099">
            <v>156586</v>
          </cell>
          <cell r="J2099" t="str">
            <v>REPUESTO</v>
          </cell>
          <cell r="K2099" t="str">
            <v>TUERCA SEGURO 1/2</v>
          </cell>
          <cell r="L2099">
            <v>3</v>
          </cell>
          <cell r="M2099" t="str">
            <v>UNID.</v>
          </cell>
          <cell r="N2099" t="str">
            <v>CISTERNA</v>
          </cell>
          <cell r="O2099">
            <v>0</v>
          </cell>
          <cell r="P2099" t="str">
            <v>M1</v>
          </cell>
          <cell r="Q2099" t="str">
            <v>J2</v>
          </cell>
          <cell r="R2099" t="str">
            <v>J6</v>
          </cell>
          <cell r="S2099" t="str">
            <v>ENTREGADO</v>
          </cell>
          <cell r="T2099">
            <v>42706</v>
          </cell>
          <cell r="U2099" t="str">
            <v>CABEZAS SANCHEZ JEAN JHONATAN</v>
          </cell>
          <cell r="V2099" t="str">
            <v>CORIHUAMAN SURCO  ERICK ROBERT</v>
          </cell>
        </row>
        <row r="2100">
          <cell r="A2100">
            <v>2101</v>
          </cell>
          <cell r="B2100">
            <v>42706</v>
          </cell>
          <cell r="C2100" t="str">
            <v>DICIEMBRE</v>
          </cell>
          <cell r="D2100" t="str">
            <v>2016</v>
          </cell>
          <cell r="E2100">
            <v>455</v>
          </cell>
          <cell r="F2100" t="str">
            <v>C9P-948</v>
          </cell>
          <cell r="G2100" t="str">
            <v>B4O-995</v>
          </cell>
          <cell r="H2100" t="str">
            <v>LAS BAMBAS</v>
          </cell>
          <cell r="I2100">
            <v>156586</v>
          </cell>
          <cell r="J2100" t="str">
            <v>REPUESTO</v>
          </cell>
          <cell r="K2100" t="str">
            <v>ARANDELA PLANAS 1/2</v>
          </cell>
          <cell r="L2100">
            <v>3</v>
          </cell>
          <cell r="M2100" t="str">
            <v>UNID.</v>
          </cell>
          <cell r="N2100" t="str">
            <v>CISTERNA</v>
          </cell>
          <cell r="O2100">
            <v>0</v>
          </cell>
          <cell r="P2100" t="str">
            <v>M1</v>
          </cell>
          <cell r="Q2100" t="str">
            <v>J2</v>
          </cell>
          <cell r="R2100" t="str">
            <v>J6</v>
          </cell>
          <cell r="S2100" t="str">
            <v>ENTREGADO</v>
          </cell>
          <cell r="T2100">
            <v>42706</v>
          </cell>
          <cell r="U2100" t="str">
            <v>CABEZAS SANCHEZ JEAN JHONATAN</v>
          </cell>
          <cell r="V2100" t="str">
            <v>CORIHUAMAN SURCO  ERICK ROBERT</v>
          </cell>
        </row>
        <row r="2101">
          <cell r="A2101">
            <v>2102</v>
          </cell>
          <cell r="B2101">
            <v>42706</v>
          </cell>
          <cell r="C2101" t="str">
            <v>DICIEMBRE</v>
          </cell>
          <cell r="D2101" t="str">
            <v>2016</v>
          </cell>
          <cell r="E2101">
            <v>455</v>
          </cell>
          <cell r="F2101" t="str">
            <v>C9P-948</v>
          </cell>
          <cell r="G2101" t="str">
            <v>B4O-995</v>
          </cell>
          <cell r="H2101" t="str">
            <v>LAS BAMBAS</v>
          </cell>
          <cell r="I2101">
            <v>156586</v>
          </cell>
          <cell r="J2101" t="str">
            <v>REPUESTO</v>
          </cell>
          <cell r="K2101" t="str">
            <v>PRESINTOS 200</v>
          </cell>
          <cell r="L2101">
            <v>10</v>
          </cell>
          <cell r="M2101" t="str">
            <v>UNID.</v>
          </cell>
          <cell r="N2101" t="str">
            <v>CISTERNA</v>
          </cell>
          <cell r="O2101">
            <v>0</v>
          </cell>
          <cell r="P2101" t="str">
            <v>E3</v>
          </cell>
          <cell r="Q2101" t="str">
            <v>J2</v>
          </cell>
          <cell r="R2101" t="str">
            <v>J5</v>
          </cell>
          <cell r="S2101" t="str">
            <v>ENTREGADO</v>
          </cell>
          <cell r="T2101">
            <v>42706</v>
          </cell>
          <cell r="U2101" t="str">
            <v>CONDORI CHURATA ALEX</v>
          </cell>
          <cell r="V2101" t="str">
            <v>CORIHUAMAN SURCO  ERICK ROBERT</v>
          </cell>
        </row>
        <row r="2102">
          <cell r="A2102">
            <v>2088</v>
          </cell>
          <cell r="B2102">
            <v>42706</v>
          </cell>
          <cell r="C2102" t="str">
            <v>DICIEMBRE</v>
          </cell>
          <cell r="D2102" t="str">
            <v>2016</v>
          </cell>
          <cell r="E2102">
            <v>207</v>
          </cell>
          <cell r="F2102" t="str">
            <v>D3P-746</v>
          </cell>
          <cell r="G2102" t="str">
            <v>C0T-974</v>
          </cell>
          <cell r="H2102" t="str">
            <v>LAS BAMBAS</v>
          </cell>
          <cell r="I2102">
            <v>128937</v>
          </cell>
          <cell r="J2102" t="str">
            <v>REPUESTO</v>
          </cell>
          <cell r="K2102" t="str">
            <v>MINIFUSIBLES DE 10 A</v>
          </cell>
          <cell r="L2102">
            <v>2</v>
          </cell>
          <cell r="M2102" t="str">
            <v>UNID.</v>
          </cell>
          <cell r="N2102" t="str">
            <v>TRACTO</v>
          </cell>
          <cell r="O2102">
            <v>0</v>
          </cell>
          <cell r="P2102" t="str">
            <v>E2</v>
          </cell>
          <cell r="Q2102" t="str">
            <v>J2</v>
          </cell>
          <cell r="R2102" t="str">
            <v>J5</v>
          </cell>
          <cell r="S2102" t="str">
            <v>ENTREGADO</v>
          </cell>
          <cell r="T2102">
            <v>42706</v>
          </cell>
          <cell r="U2102" t="str">
            <v>YUCA BELLIDO BORIS YERSY</v>
          </cell>
          <cell r="V2102" t="str">
            <v>CORIHUAMAN SURCO  ERICK ROBERT</v>
          </cell>
        </row>
        <row r="2103">
          <cell r="A2103">
            <v>2103</v>
          </cell>
          <cell r="B2103">
            <v>42706</v>
          </cell>
          <cell r="C2103" t="str">
            <v>DICIEMBRE</v>
          </cell>
          <cell r="D2103" t="str">
            <v>2016</v>
          </cell>
          <cell r="E2103">
            <v>506</v>
          </cell>
          <cell r="F2103" t="str">
            <v>D3P-754</v>
          </cell>
          <cell r="G2103" t="str">
            <v>C0V-971</v>
          </cell>
          <cell r="H2103" t="str">
            <v>LAS BAMBAS</v>
          </cell>
          <cell r="I2103">
            <v>163530</v>
          </cell>
          <cell r="J2103" t="str">
            <v>REPUESTO</v>
          </cell>
          <cell r="K2103" t="str">
            <v>FOCO DE UN CONTACTO DE 12V</v>
          </cell>
          <cell r="L2103">
            <v>1</v>
          </cell>
          <cell r="M2103" t="str">
            <v>UNID.</v>
          </cell>
          <cell r="N2103" t="str">
            <v>TRACTO</v>
          </cell>
          <cell r="O2103">
            <v>0</v>
          </cell>
          <cell r="P2103" t="str">
            <v>E2</v>
          </cell>
          <cell r="Q2103" t="str">
            <v>J2</v>
          </cell>
          <cell r="R2103" t="str">
            <v>J5</v>
          </cell>
          <cell r="S2103" t="str">
            <v>ENTREGADO</v>
          </cell>
          <cell r="T2103">
            <v>42706</v>
          </cell>
          <cell r="U2103" t="str">
            <v>YUCA BELLIDO BORIS YERSY</v>
          </cell>
          <cell r="V2103" t="str">
            <v>CORIHUAMAN SURCO  ERICK ROBERT</v>
          </cell>
        </row>
        <row r="2104">
          <cell r="A2104">
            <v>2104</v>
          </cell>
          <cell r="B2104">
            <v>42706</v>
          </cell>
          <cell r="C2104" t="str">
            <v>DICIEMBRE</v>
          </cell>
          <cell r="D2104" t="str">
            <v>2016</v>
          </cell>
          <cell r="E2104">
            <v>506</v>
          </cell>
          <cell r="F2104" t="str">
            <v>D3P-754</v>
          </cell>
          <cell r="G2104" t="str">
            <v>C0V-971</v>
          </cell>
          <cell r="H2104" t="str">
            <v>LAS BAMBAS</v>
          </cell>
          <cell r="I2104">
            <v>163530</v>
          </cell>
          <cell r="J2104" t="str">
            <v>REPUESTO</v>
          </cell>
          <cell r="K2104" t="str">
            <v>FOCO LAGRIMON AMBAR 12 V</v>
          </cell>
          <cell r="L2104">
            <v>1</v>
          </cell>
          <cell r="M2104" t="str">
            <v>UNID.</v>
          </cell>
          <cell r="N2104" t="str">
            <v>TRACTO</v>
          </cell>
          <cell r="O2104">
            <v>0</v>
          </cell>
          <cell r="P2104" t="str">
            <v>E2</v>
          </cell>
          <cell r="Q2104" t="str">
            <v>J2</v>
          </cell>
          <cell r="R2104" t="str">
            <v>J5</v>
          </cell>
          <cell r="S2104" t="str">
            <v>ENTREGADO</v>
          </cell>
          <cell r="T2104">
            <v>42706</v>
          </cell>
          <cell r="U2104" t="str">
            <v>YUCA BELLIDO BORIS YERSY</v>
          </cell>
          <cell r="V2104" t="str">
            <v>CORIHUAMAN SURCO  ERICK ROBERT</v>
          </cell>
        </row>
        <row r="2105">
          <cell r="A2105">
            <v>2084</v>
          </cell>
          <cell r="B2105">
            <v>42706</v>
          </cell>
          <cell r="C2105" t="str">
            <v>DICIEMBRE</v>
          </cell>
          <cell r="D2105" t="str">
            <v>2016</v>
          </cell>
          <cell r="E2105">
            <v>391</v>
          </cell>
          <cell r="F2105" t="str">
            <v>D3Q-741</v>
          </cell>
          <cell r="G2105" t="str">
            <v>D2E-976</v>
          </cell>
          <cell r="H2105" t="str">
            <v>LAS BAMBAS</v>
          </cell>
          <cell r="I2105">
            <v>162515</v>
          </cell>
          <cell r="J2105" t="str">
            <v>REPUESTO</v>
          </cell>
          <cell r="K2105" t="str">
            <v>CERROJO DE PUERTA LH</v>
          </cell>
          <cell r="L2105">
            <v>1</v>
          </cell>
          <cell r="M2105" t="str">
            <v>UNID.</v>
          </cell>
          <cell r="N2105" t="str">
            <v>TRACTO</v>
          </cell>
          <cell r="O2105">
            <v>0</v>
          </cell>
          <cell r="P2105" t="str">
            <v>J2</v>
          </cell>
          <cell r="Q2105" t="str">
            <v>J2</v>
          </cell>
          <cell r="R2105" t="str">
            <v>J5</v>
          </cell>
          <cell r="S2105" t="str">
            <v>ENTREGADO</v>
          </cell>
          <cell r="T2105">
            <v>42706</v>
          </cell>
          <cell r="U2105" t="str">
            <v>CORIHUAMAN SURCO  ERICK ROBERT</v>
          </cell>
          <cell r="V2105" t="str">
            <v>CORIHUAMAN SURCO  ERICK ROBERT</v>
          </cell>
        </row>
        <row r="2106">
          <cell r="A2106">
            <v>2061</v>
          </cell>
          <cell r="B2106">
            <v>42706</v>
          </cell>
          <cell r="C2106" t="str">
            <v>DICIEMBRE</v>
          </cell>
          <cell r="D2106" t="str">
            <v>2016</v>
          </cell>
          <cell r="E2106">
            <v>487</v>
          </cell>
          <cell r="F2106" t="str">
            <v>D6F-825</v>
          </cell>
          <cell r="G2106" t="str">
            <v>T2Y-992</v>
          </cell>
          <cell r="H2106" t="str">
            <v>LAS BAMBAS</v>
          </cell>
          <cell r="I2106">
            <v>184778</v>
          </cell>
          <cell r="J2106" t="str">
            <v>MATERIALES</v>
          </cell>
          <cell r="K2106" t="str">
            <v>SPRAY PLOMO</v>
          </cell>
          <cell r="L2106">
            <v>1</v>
          </cell>
          <cell r="M2106" t="str">
            <v>UNID.</v>
          </cell>
          <cell r="N2106" t="str">
            <v>CISTERNA</v>
          </cell>
          <cell r="O2106">
            <v>0</v>
          </cell>
          <cell r="P2106" t="str">
            <v>N1</v>
          </cell>
          <cell r="Q2106" t="str">
            <v>J3</v>
          </cell>
          <cell r="R2106" t="str">
            <v>J5</v>
          </cell>
          <cell r="S2106" t="str">
            <v>ENTREGADO</v>
          </cell>
          <cell r="T2106">
            <v>42706</v>
          </cell>
          <cell r="U2106" t="str">
            <v>AGUILAR CCANTUTA WILLY</v>
          </cell>
          <cell r="V2106" t="str">
            <v>CHURA PIZARRO ALBERTO</v>
          </cell>
        </row>
        <row r="2107">
          <cell r="A2107">
            <v>2062</v>
          </cell>
          <cell r="B2107">
            <v>42706</v>
          </cell>
          <cell r="C2107" t="str">
            <v>DICIEMBRE</v>
          </cell>
          <cell r="D2107" t="str">
            <v>2016</v>
          </cell>
          <cell r="E2107">
            <v>487</v>
          </cell>
          <cell r="F2107" t="str">
            <v>D6F-825</v>
          </cell>
          <cell r="G2107" t="str">
            <v>T2Y-992</v>
          </cell>
          <cell r="H2107" t="str">
            <v>LAS BAMBAS</v>
          </cell>
          <cell r="I2107">
            <v>184778</v>
          </cell>
          <cell r="J2107" t="str">
            <v>MATERIALES</v>
          </cell>
          <cell r="K2107" t="str">
            <v>SPRAY BLANCO</v>
          </cell>
          <cell r="L2107">
            <v>1</v>
          </cell>
          <cell r="M2107" t="str">
            <v>UNID.</v>
          </cell>
          <cell r="N2107" t="str">
            <v>CISTERNA</v>
          </cell>
          <cell r="O2107">
            <v>0</v>
          </cell>
          <cell r="P2107" t="str">
            <v>N1</v>
          </cell>
          <cell r="Q2107" t="str">
            <v>J3</v>
          </cell>
          <cell r="R2107" t="str">
            <v>J5</v>
          </cell>
          <cell r="S2107" t="str">
            <v>ENTREGADO</v>
          </cell>
          <cell r="T2107">
            <v>42706</v>
          </cell>
          <cell r="U2107" t="str">
            <v>AGUILAR CCANTUTA WILLY</v>
          </cell>
          <cell r="V2107" t="str">
            <v>CHURA PIZARRO ALBERTO</v>
          </cell>
        </row>
        <row r="2108">
          <cell r="A2108">
            <v>2069</v>
          </cell>
          <cell r="B2108">
            <v>42706</v>
          </cell>
          <cell r="C2108" t="str">
            <v>DICIEMBRE</v>
          </cell>
          <cell r="D2108" t="str">
            <v>2016</v>
          </cell>
          <cell r="E2108">
            <v>487</v>
          </cell>
          <cell r="F2108" t="str">
            <v>D6F-825</v>
          </cell>
          <cell r="G2108" t="str">
            <v>T2Y-992</v>
          </cell>
          <cell r="H2108" t="str">
            <v>LAS BAMBAS</v>
          </cell>
          <cell r="I2108">
            <v>184778</v>
          </cell>
          <cell r="J2108" t="str">
            <v>REPUESTO</v>
          </cell>
          <cell r="K2108" t="str">
            <v>FOCO LAGRIMON AMBAR 12 V</v>
          </cell>
          <cell r="L2108">
            <v>1</v>
          </cell>
          <cell r="M2108" t="str">
            <v>UNID.</v>
          </cell>
          <cell r="N2108" t="str">
            <v>TRACTO</v>
          </cell>
          <cell r="O2108">
            <v>0</v>
          </cell>
          <cell r="P2108" t="str">
            <v>E2</v>
          </cell>
          <cell r="Q2108" t="str">
            <v>J2</v>
          </cell>
          <cell r="R2108" t="str">
            <v>J5</v>
          </cell>
          <cell r="S2108" t="str">
            <v>ENTREGADO</v>
          </cell>
          <cell r="T2108">
            <v>42706</v>
          </cell>
          <cell r="U2108" t="str">
            <v>YUCA BELLIDO BORIS YERSY</v>
          </cell>
          <cell r="V2108" t="str">
            <v>CORIHUAMAN SURCO  ERICK ROBERT</v>
          </cell>
        </row>
        <row r="2109">
          <cell r="A2109">
            <v>2070</v>
          </cell>
          <cell r="B2109">
            <v>42706</v>
          </cell>
          <cell r="C2109" t="str">
            <v>DICIEMBRE</v>
          </cell>
          <cell r="D2109" t="str">
            <v>2016</v>
          </cell>
          <cell r="E2109">
            <v>487</v>
          </cell>
          <cell r="F2109" t="str">
            <v>D6F-825</v>
          </cell>
          <cell r="G2109" t="str">
            <v>T2Y-992</v>
          </cell>
          <cell r="H2109" t="str">
            <v>LAS BAMBAS</v>
          </cell>
          <cell r="I2109">
            <v>184778</v>
          </cell>
          <cell r="J2109" t="str">
            <v>REPUESTO</v>
          </cell>
          <cell r="K2109" t="str">
            <v>FOCO 9006</v>
          </cell>
          <cell r="L2109">
            <v>1</v>
          </cell>
          <cell r="M2109" t="str">
            <v>UNID.</v>
          </cell>
          <cell r="N2109" t="str">
            <v>TRACTO</v>
          </cell>
          <cell r="O2109">
            <v>0</v>
          </cell>
          <cell r="P2109" t="str">
            <v>E2</v>
          </cell>
          <cell r="Q2109" t="str">
            <v>J2</v>
          </cell>
          <cell r="R2109" t="str">
            <v>J5</v>
          </cell>
          <cell r="S2109" t="str">
            <v>ENTREGADO</v>
          </cell>
          <cell r="T2109">
            <v>42706</v>
          </cell>
          <cell r="U2109" t="str">
            <v>YUCA BELLIDO BORIS YERSY</v>
          </cell>
          <cell r="V2109" t="str">
            <v>CORIHUAMAN SURCO  ERICK ROBERT</v>
          </cell>
        </row>
        <row r="2110">
          <cell r="A2110">
            <v>2071</v>
          </cell>
          <cell r="B2110">
            <v>42706</v>
          </cell>
          <cell r="C2110" t="str">
            <v>DICIEMBRE</v>
          </cell>
          <cell r="D2110" t="str">
            <v>2016</v>
          </cell>
          <cell r="E2110">
            <v>487</v>
          </cell>
          <cell r="F2110" t="str">
            <v>D6F-825</v>
          </cell>
          <cell r="G2110" t="str">
            <v>T2Y-992</v>
          </cell>
          <cell r="H2110" t="str">
            <v>LAS BAMBAS</v>
          </cell>
          <cell r="I2110">
            <v>184778</v>
          </cell>
          <cell r="J2110" t="str">
            <v>REPUESTO</v>
          </cell>
          <cell r="K2110" t="str">
            <v>FOCO DE DOBLE CONTACTO</v>
          </cell>
          <cell r="L2110">
            <v>1</v>
          </cell>
          <cell r="M2110" t="str">
            <v>UNID.</v>
          </cell>
          <cell r="N2110" t="str">
            <v>TRACTO</v>
          </cell>
          <cell r="O2110">
            <v>0</v>
          </cell>
          <cell r="P2110" t="str">
            <v>E2</v>
          </cell>
          <cell r="Q2110" t="str">
            <v>J2</v>
          </cell>
          <cell r="R2110" t="str">
            <v>J5</v>
          </cell>
          <cell r="S2110" t="str">
            <v>ENTREGADO</v>
          </cell>
          <cell r="T2110">
            <v>42706</v>
          </cell>
          <cell r="U2110" t="str">
            <v>YUCA BELLIDO BORIS YERSY</v>
          </cell>
          <cell r="V2110" t="str">
            <v>CORIHUAMAN SURCO  ERICK ROBERT</v>
          </cell>
        </row>
        <row r="2111">
          <cell r="A2111">
            <v>2060</v>
          </cell>
          <cell r="B2111">
            <v>42706</v>
          </cell>
          <cell r="C2111" t="str">
            <v>DICIEMBRE</v>
          </cell>
          <cell r="D2111" t="str">
            <v>2016</v>
          </cell>
          <cell r="E2111">
            <v>487</v>
          </cell>
          <cell r="F2111" t="str">
            <v>D6F-825</v>
          </cell>
          <cell r="G2111" t="str">
            <v>T2Y-992</v>
          </cell>
          <cell r="H2111" t="str">
            <v>LAS BAMBAS</v>
          </cell>
          <cell r="I2111">
            <v>184778</v>
          </cell>
          <cell r="J2111" t="str">
            <v>REPUESTO</v>
          </cell>
          <cell r="K2111" t="str">
            <v>LLANTA REENCAUCHADAS IZY2</v>
          </cell>
          <cell r="L2111">
            <v>2</v>
          </cell>
          <cell r="M2111" t="str">
            <v>UNID.</v>
          </cell>
          <cell r="N2111" t="str">
            <v>CISTERNA</v>
          </cell>
          <cell r="O2111">
            <v>0</v>
          </cell>
          <cell r="P2111" t="str">
            <v>N1</v>
          </cell>
          <cell r="Q2111" t="str">
            <v>J3</v>
          </cell>
          <cell r="R2111" t="str">
            <v>J5</v>
          </cell>
          <cell r="S2111" t="str">
            <v>ENTREGADO</v>
          </cell>
          <cell r="T2111">
            <v>42706</v>
          </cell>
          <cell r="U2111" t="str">
            <v>AGUILAR CCANTUTA WILLY</v>
          </cell>
          <cell r="V2111" t="str">
            <v>CHURA PIZARRO ALBERTO</v>
          </cell>
        </row>
        <row r="2112">
          <cell r="A2112">
            <v>2080</v>
          </cell>
          <cell r="B2112">
            <v>42706</v>
          </cell>
          <cell r="C2112" t="str">
            <v>DICIEMBRE</v>
          </cell>
          <cell r="D2112" t="str">
            <v>2016</v>
          </cell>
          <cell r="E2112">
            <v>487</v>
          </cell>
          <cell r="F2112" t="str">
            <v>D6F-825</v>
          </cell>
          <cell r="G2112" t="str">
            <v>T2Y-992</v>
          </cell>
          <cell r="H2112" t="str">
            <v>LAS BAMBAS</v>
          </cell>
          <cell r="I2112">
            <v>184778</v>
          </cell>
          <cell r="J2112" t="str">
            <v>REPUESTO</v>
          </cell>
          <cell r="K2112" t="str">
            <v>LLANTA REENCAUCHADAS IZY2</v>
          </cell>
          <cell r="L2112">
            <v>1</v>
          </cell>
          <cell r="M2112" t="str">
            <v>UNID.</v>
          </cell>
          <cell r="N2112" t="str">
            <v>CISTERNA</v>
          </cell>
          <cell r="O2112">
            <v>0</v>
          </cell>
          <cell r="P2112" t="str">
            <v>N1</v>
          </cell>
          <cell r="Q2112" t="str">
            <v>J2</v>
          </cell>
          <cell r="R2112" t="str">
            <v>J5</v>
          </cell>
          <cell r="S2112" t="str">
            <v>ENTREGADO</v>
          </cell>
          <cell r="T2112">
            <v>42706</v>
          </cell>
          <cell r="U2112" t="str">
            <v>AGUILAR CCANTUTA WILLY</v>
          </cell>
          <cell r="V2112" t="str">
            <v>CORIHUAMAN SURCO  ERICK ROBERT</v>
          </cell>
        </row>
        <row r="2113">
          <cell r="A2113">
            <v>2063</v>
          </cell>
          <cell r="B2113">
            <v>42706</v>
          </cell>
          <cell r="C2113" t="str">
            <v>DICIEMBRE</v>
          </cell>
          <cell r="D2113" t="str">
            <v>2016</v>
          </cell>
          <cell r="E2113">
            <v>491</v>
          </cell>
          <cell r="F2113" t="str">
            <v>D6F-898</v>
          </cell>
          <cell r="G2113" t="str">
            <v>T4L-996</v>
          </cell>
          <cell r="H2113" t="str">
            <v>LAS BAMBAS</v>
          </cell>
          <cell r="I2113">
            <v>162871</v>
          </cell>
          <cell r="J2113" t="str">
            <v>REPUESTO</v>
          </cell>
          <cell r="K2113" t="str">
            <v>TORNAMESA</v>
          </cell>
          <cell r="L2113">
            <v>1</v>
          </cell>
          <cell r="M2113" t="str">
            <v>UNID.</v>
          </cell>
          <cell r="N2113" t="str">
            <v>TRACTO</v>
          </cell>
          <cell r="O2113">
            <v>0</v>
          </cell>
          <cell r="P2113" t="str">
            <v>J2</v>
          </cell>
          <cell r="Q2113" t="str">
            <v>J2</v>
          </cell>
          <cell r="R2113" t="str">
            <v>J5</v>
          </cell>
          <cell r="S2113" t="str">
            <v>ENTREGADO</v>
          </cell>
          <cell r="T2113">
            <v>42706</v>
          </cell>
          <cell r="U2113" t="str">
            <v>CORIHUAMAN SURCO  ERICK ROBERT</v>
          </cell>
          <cell r="V2113" t="str">
            <v>CORIHUAMAN SURCO  ERICK ROBERT</v>
          </cell>
        </row>
        <row r="2114">
          <cell r="A2114">
            <v>2064</v>
          </cell>
          <cell r="B2114">
            <v>42706</v>
          </cell>
          <cell r="C2114" t="str">
            <v>DICIEMBRE</v>
          </cell>
          <cell r="D2114" t="str">
            <v>2016</v>
          </cell>
          <cell r="E2114">
            <v>491</v>
          </cell>
          <cell r="F2114" t="str">
            <v>D6F-898</v>
          </cell>
          <cell r="G2114" t="str">
            <v>T4L-996</v>
          </cell>
          <cell r="H2114" t="str">
            <v>LAS BAMBAS</v>
          </cell>
          <cell r="I2114">
            <v>162871</v>
          </cell>
          <cell r="J2114" t="str">
            <v>REPUESTO</v>
          </cell>
          <cell r="K2114" t="str">
            <v>PERNOS 3/8 X 1" C/ ARANDELA PLANA Y TUERCA SEGURO</v>
          </cell>
          <cell r="L2114">
            <v>6</v>
          </cell>
          <cell r="M2114" t="str">
            <v>UNID.</v>
          </cell>
          <cell r="N2114" t="str">
            <v>CISTERNA</v>
          </cell>
          <cell r="O2114">
            <v>0</v>
          </cell>
          <cell r="P2114" t="str">
            <v>S1</v>
          </cell>
          <cell r="Q2114" t="str">
            <v>J2</v>
          </cell>
          <cell r="R2114" t="str">
            <v>J5</v>
          </cell>
          <cell r="S2114" t="str">
            <v>ENTREGADO</v>
          </cell>
          <cell r="T2114">
            <v>42706</v>
          </cell>
          <cell r="U2114" t="str">
            <v>BAYONA CRUZ CRISTIAN ARMANDO</v>
          </cell>
          <cell r="V2114" t="str">
            <v>CORIHUAMAN SURCO  ERICK ROBERT</v>
          </cell>
        </row>
        <row r="2115">
          <cell r="A2115">
            <v>2065</v>
          </cell>
          <cell r="B2115">
            <v>42706</v>
          </cell>
          <cell r="C2115" t="str">
            <v>DICIEMBRE</v>
          </cell>
          <cell r="D2115" t="str">
            <v>2016</v>
          </cell>
          <cell r="E2115">
            <v>491</v>
          </cell>
          <cell r="F2115" t="str">
            <v>D6F-898</v>
          </cell>
          <cell r="G2115" t="str">
            <v>T4L-996</v>
          </cell>
          <cell r="H2115" t="str">
            <v>LAS BAMBAS</v>
          </cell>
          <cell r="I2115">
            <v>162871</v>
          </cell>
          <cell r="J2115" t="str">
            <v>REPUESTO</v>
          </cell>
          <cell r="K2115" t="str">
            <v>PERNO 1/2 X 2" C/ DOBLE ARANDELA PLANA Y TUERCA SEGURO</v>
          </cell>
          <cell r="L2115">
            <v>2</v>
          </cell>
          <cell r="M2115" t="str">
            <v>UNID.</v>
          </cell>
          <cell r="N2115" t="str">
            <v>CISTERNA</v>
          </cell>
          <cell r="O2115">
            <v>0</v>
          </cell>
          <cell r="P2115" t="str">
            <v>S1</v>
          </cell>
          <cell r="Q2115" t="str">
            <v>J2</v>
          </cell>
          <cell r="R2115" t="str">
            <v>J5</v>
          </cell>
          <cell r="S2115" t="str">
            <v>ENTREGADO</v>
          </cell>
          <cell r="T2115">
            <v>42706</v>
          </cell>
          <cell r="U2115" t="str">
            <v>BAYONA CRUZ CRISTIAN ARMANDO</v>
          </cell>
          <cell r="V2115" t="str">
            <v>CORIHUAMAN SURCO  ERICK ROBERT</v>
          </cell>
        </row>
        <row r="2116">
          <cell r="A2116">
            <v>2066</v>
          </cell>
          <cell r="B2116">
            <v>42706</v>
          </cell>
          <cell r="C2116" t="str">
            <v>DICIEMBRE</v>
          </cell>
          <cell r="D2116" t="str">
            <v>2016</v>
          </cell>
          <cell r="E2116">
            <v>491</v>
          </cell>
          <cell r="F2116" t="str">
            <v>D6F-898</v>
          </cell>
          <cell r="G2116" t="str">
            <v>T4L-996</v>
          </cell>
          <cell r="H2116" t="str">
            <v>LAS BAMBAS</v>
          </cell>
          <cell r="I2116">
            <v>162871</v>
          </cell>
          <cell r="J2116" t="str">
            <v>REPUESTO</v>
          </cell>
          <cell r="K2116" t="str">
            <v>ARANDELAS PLANAS 5/8</v>
          </cell>
          <cell r="L2116">
            <v>2</v>
          </cell>
          <cell r="M2116" t="str">
            <v>UNID.</v>
          </cell>
          <cell r="N2116" t="str">
            <v>CISTERNA</v>
          </cell>
          <cell r="O2116">
            <v>0</v>
          </cell>
          <cell r="P2116" t="str">
            <v>S1</v>
          </cell>
          <cell r="Q2116" t="str">
            <v>J2</v>
          </cell>
          <cell r="R2116" t="str">
            <v>J5</v>
          </cell>
          <cell r="S2116" t="str">
            <v>ENTREGADO</v>
          </cell>
          <cell r="T2116">
            <v>42706</v>
          </cell>
          <cell r="U2116" t="str">
            <v>BAYONA CRUZ CRISTIAN ARMANDO</v>
          </cell>
          <cell r="V2116" t="str">
            <v>CORIHUAMAN SURCO  ERICK ROBERT</v>
          </cell>
        </row>
        <row r="2117">
          <cell r="A2117">
            <v>2085</v>
          </cell>
          <cell r="B2117">
            <v>42706</v>
          </cell>
          <cell r="C2117" t="str">
            <v>DICIEMBRE</v>
          </cell>
          <cell r="D2117" t="str">
            <v>2016</v>
          </cell>
          <cell r="E2117">
            <v>454</v>
          </cell>
          <cell r="F2117" t="str">
            <v>D6G-806</v>
          </cell>
          <cell r="G2117" t="str">
            <v>B8K-998</v>
          </cell>
          <cell r="H2117" t="str">
            <v>LAS BAMBAS</v>
          </cell>
          <cell r="I2117">
            <v>218209</v>
          </cell>
          <cell r="J2117" t="str">
            <v>REPUESTO</v>
          </cell>
          <cell r="K2117" t="str">
            <v xml:space="preserve">REMACHES </v>
          </cell>
          <cell r="L2117">
            <v>300</v>
          </cell>
          <cell r="M2117" t="str">
            <v>UNID.</v>
          </cell>
          <cell r="N2117" t="str">
            <v>CISTERNA</v>
          </cell>
          <cell r="O2117">
            <v>0</v>
          </cell>
          <cell r="P2117" t="str">
            <v>M3</v>
          </cell>
          <cell r="Q2117" t="str">
            <v>J2</v>
          </cell>
          <cell r="R2117" t="str">
            <v>J5</v>
          </cell>
          <cell r="S2117" t="str">
            <v>ENTREGADO</v>
          </cell>
          <cell r="T2117">
            <v>42706</v>
          </cell>
          <cell r="U2117" t="str">
            <v>GARCIA PASQUEL  JOSE LUIS</v>
          </cell>
          <cell r="V2117" t="str">
            <v>CORIHUAMAN SURCO  ERICK ROBERT</v>
          </cell>
        </row>
        <row r="2118">
          <cell r="A2118">
            <v>2055</v>
          </cell>
          <cell r="B2118">
            <v>42706</v>
          </cell>
          <cell r="C2118" t="str">
            <v>DICIEMBRE</v>
          </cell>
          <cell r="D2118" t="str">
            <v>2016</v>
          </cell>
          <cell r="E2118">
            <v>200</v>
          </cell>
          <cell r="F2118" t="str">
            <v>TALLER</v>
          </cell>
          <cell r="G2118" t="str">
            <v>TALLER</v>
          </cell>
          <cell r="H2118" t="str">
            <v>TALLER</v>
          </cell>
          <cell r="I2118" t="str">
            <v>TALLER</v>
          </cell>
          <cell r="J2118" t="str">
            <v>INSUMO TALLER</v>
          </cell>
          <cell r="K2118" t="str">
            <v>ANGULO DE1 X 1/8 X 6M</v>
          </cell>
          <cell r="L2118">
            <v>3</v>
          </cell>
          <cell r="M2118" t="str">
            <v>UNID.</v>
          </cell>
          <cell r="N2118" t="str">
            <v>TALLER</v>
          </cell>
          <cell r="O2118">
            <v>84</v>
          </cell>
          <cell r="P2118" t="str">
            <v>S1</v>
          </cell>
          <cell r="Q2118" t="str">
            <v>J2</v>
          </cell>
          <cell r="R2118" t="str">
            <v>J6</v>
          </cell>
          <cell r="S2118" t="str">
            <v>PENDIENTE</v>
          </cell>
          <cell r="T2118">
            <v>0</v>
          </cell>
          <cell r="U2118" t="str">
            <v>BAYONA CRUZ CRISTIAN ARMANDO</v>
          </cell>
          <cell r="V2118" t="str">
            <v>CORIHUAMAN SURCO  ERICK ROBERT</v>
          </cell>
        </row>
        <row r="2119">
          <cell r="A2119">
            <v>2056</v>
          </cell>
          <cell r="B2119">
            <v>42706</v>
          </cell>
          <cell r="C2119" t="str">
            <v>DICIEMBRE</v>
          </cell>
          <cell r="D2119" t="str">
            <v>2016</v>
          </cell>
          <cell r="E2119">
            <v>200</v>
          </cell>
          <cell r="F2119" t="str">
            <v>TALLER</v>
          </cell>
          <cell r="G2119" t="str">
            <v>TALLER</v>
          </cell>
          <cell r="H2119" t="str">
            <v>TALLER</v>
          </cell>
          <cell r="I2119" t="str">
            <v>TALLER</v>
          </cell>
          <cell r="J2119" t="str">
            <v>INSUMO TALLER</v>
          </cell>
          <cell r="K2119" t="str">
            <v>TUBO DE 1" X 6M ESTANDAR</v>
          </cell>
          <cell r="L2119">
            <v>2</v>
          </cell>
          <cell r="M2119" t="str">
            <v>UNID.</v>
          </cell>
          <cell r="N2119" t="str">
            <v>TALLER</v>
          </cell>
          <cell r="O2119">
            <v>84</v>
          </cell>
          <cell r="P2119" t="str">
            <v>S1</v>
          </cell>
          <cell r="Q2119" t="str">
            <v>J2</v>
          </cell>
          <cell r="R2119" t="str">
            <v>J6</v>
          </cell>
          <cell r="S2119" t="str">
            <v>PENDIENTE</v>
          </cell>
          <cell r="T2119">
            <v>0</v>
          </cell>
          <cell r="U2119" t="str">
            <v>BAYONA CRUZ CRISTIAN ARMANDO</v>
          </cell>
          <cell r="V2119" t="str">
            <v>CORIHUAMAN SURCO  ERICK ROBERT</v>
          </cell>
        </row>
        <row r="2120">
          <cell r="A2120">
            <v>2057</v>
          </cell>
          <cell r="B2120">
            <v>42706</v>
          </cell>
          <cell r="C2120" t="str">
            <v>DICIEMBRE</v>
          </cell>
          <cell r="D2120" t="str">
            <v>2016</v>
          </cell>
          <cell r="E2120">
            <v>200</v>
          </cell>
          <cell r="F2120" t="str">
            <v>TALLER</v>
          </cell>
          <cell r="G2120" t="str">
            <v>TALLER</v>
          </cell>
          <cell r="H2120" t="str">
            <v>TALLER</v>
          </cell>
          <cell r="I2120" t="str">
            <v>TALLER</v>
          </cell>
          <cell r="J2120" t="str">
            <v>INSUMO TALLER</v>
          </cell>
          <cell r="K2120" t="str">
            <v>TUBO 1 1/2 X 6M ESTANDAR</v>
          </cell>
          <cell r="L2120">
            <v>1</v>
          </cell>
          <cell r="M2120" t="str">
            <v>UNID.</v>
          </cell>
          <cell r="N2120" t="str">
            <v>TALLER</v>
          </cell>
          <cell r="O2120">
            <v>84</v>
          </cell>
          <cell r="P2120" t="str">
            <v>S1</v>
          </cell>
          <cell r="Q2120" t="str">
            <v>J2</v>
          </cell>
          <cell r="R2120" t="str">
            <v>J6</v>
          </cell>
          <cell r="S2120" t="str">
            <v>PENDIENTE</v>
          </cell>
          <cell r="T2120">
            <v>0</v>
          </cell>
          <cell r="U2120" t="str">
            <v>BAYONA CRUZ CRISTIAN ARMANDO</v>
          </cell>
          <cell r="V2120" t="str">
            <v>CORIHUAMAN SURCO  ERICK ROBERT</v>
          </cell>
        </row>
        <row r="2121">
          <cell r="A2121">
            <v>2058</v>
          </cell>
          <cell r="B2121">
            <v>42706</v>
          </cell>
          <cell r="C2121" t="str">
            <v>DICIEMBRE</v>
          </cell>
          <cell r="D2121" t="str">
            <v>2016</v>
          </cell>
          <cell r="E2121">
            <v>200</v>
          </cell>
          <cell r="F2121" t="str">
            <v>TALLER</v>
          </cell>
          <cell r="G2121" t="str">
            <v>TALLER</v>
          </cell>
          <cell r="H2121" t="str">
            <v>TALLER</v>
          </cell>
          <cell r="I2121" t="str">
            <v>TALLER</v>
          </cell>
          <cell r="J2121" t="str">
            <v>INSUMO TALLER</v>
          </cell>
          <cell r="K2121" t="str">
            <v>MALLA PARA CARTEL CONWOY 6 M2</v>
          </cell>
          <cell r="L2121">
            <v>1</v>
          </cell>
          <cell r="M2121" t="str">
            <v>UNID.</v>
          </cell>
          <cell r="N2121" t="str">
            <v>TALLER</v>
          </cell>
          <cell r="O2121">
            <v>84</v>
          </cell>
          <cell r="P2121" t="str">
            <v>S1</v>
          </cell>
          <cell r="Q2121" t="str">
            <v>J2</v>
          </cell>
          <cell r="R2121" t="str">
            <v>J6</v>
          </cell>
          <cell r="S2121" t="str">
            <v>PENDIENTE</v>
          </cell>
          <cell r="T2121">
            <v>0</v>
          </cell>
          <cell r="U2121" t="str">
            <v>BAYONA CRUZ CRISTIAN ARMANDO</v>
          </cell>
          <cell r="V2121" t="str">
            <v>CORIHUAMAN SURCO  ERICK ROBERT</v>
          </cell>
        </row>
        <row r="2122">
          <cell r="A2122">
            <v>2059</v>
          </cell>
          <cell r="B2122">
            <v>42706</v>
          </cell>
          <cell r="C2122" t="str">
            <v>DICIEMBRE</v>
          </cell>
          <cell r="D2122" t="str">
            <v>2016</v>
          </cell>
          <cell r="E2122">
            <v>200</v>
          </cell>
          <cell r="F2122" t="str">
            <v>TALLER</v>
          </cell>
          <cell r="G2122" t="str">
            <v>TALLER</v>
          </cell>
          <cell r="H2122" t="str">
            <v>TALLER</v>
          </cell>
          <cell r="I2122" t="str">
            <v>TALLER</v>
          </cell>
          <cell r="J2122" t="str">
            <v>MATERIALES</v>
          </cell>
          <cell r="K2122" t="str">
            <v>AFLOJATODO</v>
          </cell>
          <cell r="L2122">
            <v>1</v>
          </cell>
          <cell r="M2122" t="str">
            <v>UNID.</v>
          </cell>
          <cell r="N2122" t="str">
            <v>TALLER</v>
          </cell>
          <cell r="O2122">
            <v>0</v>
          </cell>
          <cell r="P2122" t="str">
            <v>M5</v>
          </cell>
          <cell r="Q2122" t="str">
            <v>J2</v>
          </cell>
          <cell r="R2122" t="str">
            <v>J5</v>
          </cell>
          <cell r="S2122" t="str">
            <v>ENTREGADO</v>
          </cell>
          <cell r="T2122">
            <v>42706</v>
          </cell>
          <cell r="U2122" t="str">
            <v>LOPEZ RUIZ WILBERTO</v>
          </cell>
          <cell r="V2122" t="str">
            <v>CORIHUAMAN SURCO  ERICK ROBERT</v>
          </cell>
        </row>
        <row r="2123">
          <cell r="A2123">
            <v>2072</v>
          </cell>
          <cell r="B2123">
            <v>42706</v>
          </cell>
          <cell r="C2123" t="str">
            <v>DICIEMBRE</v>
          </cell>
          <cell r="D2123" t="str">
            <v>2016</v>
          </cell>
          <cell r="E2123">
            <v>200</v>
          </cell>
          <cell r="F2123" t="str">
            <v>TALLER</v>
          </cell>
          <cell r="G2123" t="str">
            <v>TALLER</v>
          </cell>
          <cell r="H2123" t="str">
            <v>TALLER</v>
          </cell>
          <cell r="I2123" t="str">
            <v>TALLER</v>
          </cell>
          <cell r="J2123" t="str">
            <v>REPUESTO</v>
          </cell>
          <cell r="K2123" t="str">
            <v>1/4 ACEITE DE MOTOR 15W40</v>
          </cell>
          <cell r="L2123">
            <v>1</v>
          </cell>
          <cell r="M2123" t="str">
            <v>GLNS.</v>
          </cell>
          <cell r="N2123" t="str">
            <v>TRACTO</v>
          </cell>
          <cell r="O2123">
            <v>0</v>
          </cell>
          <cell r="P2123" t="str">
            <v>E3</v>
          </cell>
          <cell r="Q2123" t="str">
            <v>J2</v>
          </cell>
          <cell r="R2123" t="str">
            <v>J5</v>
          </cell>
          <cell r="S2123" t="str">
            <v>ENTREGADO</v>
          </cell>
          <cell r="T2123">
            <v>42706</v>
          </cell>
          <cell r="U2123" t="str">
            <v>CONDORI CHURATA ALEX</v>
          </cell>
          <cell r="V2123" t="str">
            <v>CORIHUAMAN SURCO  ERICK ROBERT</v>
          </cell>
        </row>
        <row r="2124">
          <cell r="A2124">
            <v>2076</v>
          </cell>
          <cell r="B2124">
            <v>42706</v>
          </cell>
          <cell r="C2124" t="str">
            <v>DICIEMBRE</v>
          </cell>
          <cell r="D2124" t="str">
            <v>2016</v>
          </cell>
          <cell r="E2124">
            <v>200</v>
          </cell>
          <cell r="F2124" t="str">
            <v>TALLER</v>
          </cell>
          <cell r="G2124" t="str">
            <v>TALLER</v>
          </cell>
          <cell r="H2124" t="str">
            <v>TALLER</v>
          </cell>
          <cell r="I2124" t="str">
            <v>TALLER</v>
          </cell>
          <cell r="J2124" t="str">
            <v>EPPS</v>
          </cell>
          <cell r="K2124" t="str">
            <v>TYBEK L</v>
          </cell>
          <cell r="L2124">
            <v>1</v>
          </cell>
          <cell r="M2124" t="str">
            <v>UNID.</v>
          </cell>
          <cell r="N2124" t="str">
            <v>TALLER</v>
          </cell>
          <cell r="O2124">
            <v>0</v>
          </cell>
          <cell r="P2124" t="str">
            <v>N1</v>
          </cell>
          <cell r="Q2124" t="str">
            <v>J2</v>
          </cell>
          <cell r="R2124" t="str">
            <v>J5</v>
          </cell>
          <cell r="S2124" t="str">
            <v>ENTREGADO</v>
          </cell>
          <cell r="T2124">
            <v>42706</v>
          </cell>
          <cell r="U2124" t="str">
            <v>AGUILAR CCANTUTA WILLY</v>
          </cell>
          <cell r="V2124" t="str">
            <v>CORIHUAMAN SURCO  ERICK ROBERT</v>
          </cell>
        </row>
        <row r="2125">
          <cell r="A2125">
            <v>2079</v>
          </cell>
          <cell r="B2125">
            <v>42706</v>
          </cell>
          <cell r="C2125" t="str">
            <v>DICIEMBRE</v>
          </cell>
          <cell r="D2125" t="str">
            <v>2016</v>
          </cell>
          <cell r="E2125">
            <v>200</v>
          </cell>
          <cell r="F2125" t="str">
            <v>TALLER</v>
          </cell>
          <cell r="G2125" t="str">
            <v>TALLER</v>
          </cell>
          <cell r="H2125" t="str">
            <v>TALLER</v>
          </cell>
          <cell r="I2125" t="str">
            <v>TALLER</v>
          </cell>
          <cell r="J2125" t="str">
            <v>HERRAMIENTAS</v>
          </cell>
          <cell r="K2125" t="str">
            <v>CUTTER</v>
          </cell>
          <cell r="L2125">
            <v>1</v>
          </cell>
          <cell r="M2125" t="str">
            <v>UNID.</v>
          </cell>
          <cell r="N2125" t="str">
            <v>TALLER</v>
          </cell>
          <cell r="O2125">
            <v>84</v>
          </cell>
          <cell r="P2125" t="str">
            <v>M1</v>
          </cell>
          <cell r="Q2125" t="str">
            <v>J2</v>
          </cell>
          <cell r="R2125" t="str">
            <v>J5</v>
          </cell>
          <cell r="S2125" t="str">
            <v>ENTREGADO</v>
          </cell>
          <cell r="T2125">
            <v>0</v>
          </cell>
          <cell r="U2125" t="str">
            <v>CABEZAS SANCHEZ JEAN JHONATAN</v>
          </cell>
          <cell r="V2125" t="str">
            <v>CORIHUAMAN SURCO  ERICK ROBERT</v>
          </cell>
        </row>
        <row r="2126">
          <cell r="A2126">
            <v>2089</v>
          </cell>
          <cell r="B2126">
            <v>42706</v>
          </cell>
          <cell r="C2126" t="str">
            <v>DICIEMBRE</v>
          </cell>
          <cell r="D2126" t="str">
            <v>2016</v>
          </cell>
          <cell r="E2126">
            <v>200</v>
          </cell>
          <cell r="F2126" t="str">
            <v>TALLER</v>
          </cell>
          <cell r="G2126" t="str">
            <v>TALLER</v>
          </cell>
          <cell r="H2126" t="str">
            <v>TALLER</v>
          </cell>
          <cell r="I2126" t="str">
            <v>TALLER</v>
          </cell>
          <cell r="J2126" t="str">
            <v>REPUESTO</v>
          </cell>
          <cell r="K2126" t="str">
            <v>TUBO CORRUGADO 3/8</v>
          </cell>
          <cell r="L2126">
            <v>20</v>
          </cell>
          <cell r="M2126" t="str">
            <v>M</v>
          </cell>
          <cell r="N2126" t="str">
            <v>TRACTO</v>
          </cell>
          <cell r="O2126">
            <v>0</v>
          </cell>
          <cell r="P2126" t="str">
            <v>E3</v>
          </cell>
          <cell r="Q2126" t="str">
            <v>J2</v>
          </cell>
          <cell r="R2126" t="str">
            <v>J5</v>
          </cell>
          <cell r="S2126" t="str">
            <v>ENTREGADO</v>
          </cell>
          <cell r="T2126">
            <v>42706</v>
          </cell>
          <cell r="U2126" t="str">
            <v>CONDORI CHURATA ALEX</v>
          </cell>
          <cell r="V2126" t="str">
            <v>CORIHUAMAN SURCO  ERICK ROBERT</v>
          </cell>
        </row>
        <row r="2127">
          <cell r="A2127">
            <v>2115</v>
          </cell>
          <cell r="B2127">
            <v>42707</v>
          </cell>
          <cell r="C2127" t="str">
            <v>DICIEMBRE</v>
          </cell>
          <cell r="D2127" t="str">
            <v>2016</v>
          </cell>
          <cell r="E2127">
            <v>308</v>
          </cell>
          <cell r="F2127" t="str">
            <v>A9H-889</v>
          </cell>
          <cell r="G2127" t="str">
            <v>CAMION</v>
          </cell>
          <cell r="H2127" t="str">
            <v>TAMBOMAYO</v>
          </cell>
          <cell r="I2127">
            <v>120654</v>
          </cell>
          <cell r="J2127" t="str">
            <v>REPUESTO</v>
          </cell>
          <cell r="K2127" t="str">
            <v>PERNOS 3/8 X 1" C/ ARANDELA PLANA Y TUERCA SEGURO</v>
          </cell>
          <cell r="L2127">
            <v>6</v>
          </cell>
          <cell r="M2127" t="str">
            <v>UNID.</v>
          </cell>
          <cell r="N2127" t="str">
            <v>CISTERNA</v>
          </cell>
          <cell r="O2127">
            <v>0</v>
          </cell>
          <cell r="P2127" t="str">
            <v>S3</v>
          </cell>
          <cell r="Q2127" t="str">
            <v>J2</v>
          </cell>
          <cell r="R2127" t="str">
            <v>J5</v>
          </cell>
          <cell r="S2127" t="str">
            <v>ENTREGADO</v>
          </cell>
          <cell r="T2127">
            <v>42707</v>
          </cell>
          <cell r="U2127" t="str">
            <v>JIMENEZ MACHACA JAVIER</v>
          </cell>
          <cell r="V2127" t="str">
            <v>CORIHUAMAN SURCO  ERICK ROBERT</v>
          </cell>
        </row>
        <row r="2128">
          <cell r="A2128">
            <v>2116</v>
          </cell>
          <cell r="B2128">
            <v>42707</v>
          </cell>
          <cell r="C2128" t="str">
            <v>DICIEMBRE</v>
          </cell>
          <cell r="D2128" t="str">
            <v>2016</v>
          </cell>
          <cell r="E2128">
            <v>308</v>
          </cell>
          <cell r="F2128" t="str">
            <v>A9H-889</v>
          </cell>
          <cell r="G2128" t="str">
            <v>CAMION</v>
          </cell>
          <cell r="H2128" t="str">
            <v>TAMBOMAYO</v>
          </cell>
          <cell r="I2128">
            <v>120654</v>
          </cell>
          <cell r="J2128" t="str">
            <v>REPUESTO</v>
          </cell>
          <cell r="K2128" t="str">
            <v>PERNO MANHOLE 3/8 X 6 C/ DOBLE TUERCA</v>
          </cell>
          <cell r="L2128">
            <v>2</v>
          </cell>
          <cell r="M2128" t="str">
            <v>UNID.</v>
          </cell>
          <cell r="N2128" t="str">
            <v>CISTERNA</v>
          </cell>
          <cell r="O2128">
            <v>0</v>
          </cell>
          <cell r="P2128" t="str">
            <v>S3</v>
          </cell>
          <cell r="Q2128" t="str">
            <v>J2</v>
          </cell>
          <cell r="R2128" t="str">
            <v>J5</v>
          </cell>
          <cell r="S2128" t="str">
            <v>ENTREGADO</v>
          </cell>
          <cell r="T2128">
            <v>42707</v>
          </cell>
          <cell r="U2128" t="str">
            <v>JIMENEZ MACHACA JAVIER</v>
          </cell>
          <cell r="V2128" t="str">
            <v>CORIHUAMAN SURCO  ERICK ROBERT</v>
          </cell>
        </row>
        <row r="2129">
          <cell r="A2129">
            <v>2117</v>
          </cell>
          <cell r="B2129">
            <v>42707</v>
          </cell>
          <cell r="C2129" t="str">
            <v>DICIEMBRE</v>
          </cell>
          <cell r="D2129" t="str">
            <v>2016</v>
          </cell>
          <cell r="E2129">
            <v>308</v>
          </cell>
          <cell r="F2129" t="str">
            <v>A9H-889</v>
          </cell>
          <cell r="G2129" t="str">
            <v>CAMION</v>
          </cell>
          <cell r="H2129" t="str">
            <v>TAMBOMAYO</v>
          </cell>
          <cell r="I2129">
            <v>120654</v>
          </cell>
          <cell r="J2129" t="str">
            <v>REPUESTO</v>
          </cell>
          <cell r="K2129" t="str">
            <v>BISAGRAS</v>
          </cell>
          <cell r="L2129">
            <v>2</v>
          </cell>
          <cell r="M2129" t="str">
            <v>UNID.</v>
          </cell>
          <cell r="N2129" t="str">
            <v>CISTERNA</v>
          </cell>
          <cell r="O2129">
            <v>0</v>
          </cell>
          <cell r="P2129" t="str">
            <v>S3</v>
          </cell>
          <cell r="Q2129" t="str">
            <v>J2</v>
          </cell>
          <cell r="R2129" t="str">
            <v>J5</v>
          </cell>
          <cell r="S2129" t="str">
            <v>ENTREGADO</v>
          </cell>
          <cell r="T2129">
            <v>42707</v>
          </cell>
          <cell r="U2129" t="str">
            <v>JIMENEZ MACHACA JAVIER</v>
          </cell>
          <cell r="V2129" t="str">
            <v>CORIHUAMAN SURCO  ERICK ROBERT</v>
          </cell>
        </row>
        <row r="2130">
          <cell r="A2130">
            <v>2151</v>
          </cell>
          <cell r="B2130">
            <v>42707</v>
          </cell>
          <cell r="C2130" t="str">
            <v>DICIEMBRE</v>
          </cell>
          <cell r="D2130" t="str">
            <v>2016</v>
          </cell>
          <cell r="E2130">
            <v>308</v>
          </cell>
          <cell r="F2130" t="str">
            <v>A9H-889</v>
          </cell>
          <cell r="G2130" t="str">
            <v>CAMION</v>
          </cell>
          <cell r="H2130" t="str">
            <v>TAMBOMAYO</v>
          </cell>
          <cell r="I2130">
            <v>120654</v>
          </cell>
          <cell r="J2130" t="str">
            <v>REPUESTO</v>
          </cell>
          <cell r="K2130" t="str">
            <v>BISAGRAS</v>
          </cell>
          <cell r="L2130">
            <v>4</v>
          </cell>
          <cell r="M2130" t="str">
            <v>UNID.</v>
          </cell>
          <cell r="N2130" t="str">
            <v>CISTERNA</v>
          </cell>
          <cell r="O2130">
            <v>83</v>
          </cell>
          <cell r="P2130" t="str">
            <v>S4</v>
          </cell>
          <cell r="Q2130" t="str">
            <v>J1</v>
          </cell>
          <cell r="R2130" t="str">
            <v>J5</v>
          </cell>
          <cell r="S2130" t="str">
            <v>PENDIENTE</v>
          </cell>
          <cell r="T2130">
            <v>0</v>
          </cell>
          <cell r="U2130" t="str">
            <v>SURCO QUISPE JOHNNY</v>
          </cell>
          <cell r="V2130" t="str">
            <v>FLOREZ CONDORI  JOSE WILLIANS</v>
          </cell>
        </row>
        <row r="2131">
          <cell r="A2131">
            <v>2138</v>
          </cell>
          <cell r="B2131">
            <v>42707</v>
          </cell>
          <cell r="C2131" t="str">
            <v>DICIEMBRE</v>
          </cell>
          <cell r="D2131" t="str">
            <v>2016</v>
          </cell>
          <cell r="E2131">
            <v>511</v>
          </cell>
          <cell r="F2131" t="str">
            <v>ABS-700</v>
          </cell>
          <cell r="G2131" t="str">
            <v>TBC-971</v>
          </cell>
          <cell r="H2131" t="str">
            <v>LAS BAMBAS</v>
          </cell>
          <cell r="I2131">
            <v>99862</v>
          </cell>
          <cell r="J2131" t="str">
            <v>REPUESTO</v>
          </cell>
          <cell r="K2131" t="str">
            <v>LIQUIDO REFRIGERANTE</v>
          </cell>
          <cell r="L2131">
            <v>1</v>
          </cell>
          <cell r="M2131" t="str">
            <v>GLNS.</v>
          </cell>
          <cell r="N2131" t="str">
            <v>TRACTO</v>
          </cell>
          <cell r="O2131">
            <v>0</v>
          </cell>
          <cell r="P2131" t="str">
            <v>M8</v>
          </cell>
          <cell r="Q2131" t="str">
            <v>J1</v>
          </cell>
          <cell r="R2131" t="str">
            <v>J5</v>
          </cell>
          <cell r="S2131" t="str">
            <v>ENTREGADO</v>
          </cell>
          <cell r="T2131">
            <v>42707</v>
          </cell>
          <cell r="U2131" t="str">
            <v>VARILLAS GAGO  OSCAR ALBERTO</v>
          </cell>
          <cell r="V2131" t="str">
            <v>FLOREZ CONDORI  JOSE WILLIANS</v>
          </cell>
        </row>
        <row r="2132">
          <cell r="A2132">
            <v>2125</v>
          </cell>
          <cell r="B2132">
            <v>42707</v>
          </cell>
          <cell r="C2132" t="str">
            <v>DICIEMBRE</v>
          </cell>
          <cell r="D2132" t="str">
            <v>2016</v>
          </cell>
          <cell r="E2132">
            <v>421</v>
          </cell>
          <cell r="F2132" t="str">
            <v>AKW-860</v>
          </cell>
          <cell r="G2132" t="str">
            <v>F5Z-991</v>
          </cell>
          <cell r="H2132" t="str">
            <v>LAS BAMBAS</v>
          </cell>
          <cell r="I2132">
            <v>37840</v>
          </cell>
          <cell r="J2132" t="str">
            <v>REPUESTO</v>
          </cell>
          <cell r="K2132" t="str">
            <v>TAPON DE DEPOSITO DE HIDROLINA</v>
          </cell>
          <cell r="L2132">
            <v>1</v>
          </cell>
          <cell r="M2132" t="str">
            <v>UNID.</v>
          </cell>
          <cell r="N2132" t="str">
            <v>TRACTO</v>
          </cell>
          <cell r="O2132">
            <v>0</v>
          </cell>
          <cell r="P2132" t="str">
            <v>M6</v>
          </cell>
          <cell r="Q2132" t="str">
            <v>J1</v>
          </cell>
          <cell r="R2132" t="str">
            <v>J5</v>
          </cell>
          <cell r="S2132" t="str">
            <v>ENTREGADO</v>
          </cell>
          <cell r="T2132">
            <v>42707</v>
          </cell>
          <cell r="U2132" t="str">
            <v>PARI VENTURA  EDSON ORLANDO</v>
          </cell>
          <cell r="V2132" t="str">
            <v>FLOREZ CONDORI  JOSE WILLIANS</v>
          </cell>
        </row>
        <row r="2133">
          <cell r="A2133">
            <v>2121</v>
          </cell>
          <cell r="B2133">
            <v>42707</v>
          </cell>
          <cell r="C2133" t="str">
            <v>DICIEMBRE</v>
          </cell>
          <cell r="D2133" t="str">
            <v>2016</v>
          </cell>
          <cell r="E2133">
            <v>508</v>
          </cell>
          <cell r="F2133" t="str">
            <v>AKX-731</v>
          </cell>
          <cell r="G2133" t="str">
            <v>TCD-980</v>
          </cell>
          <cell r="H2133" t="str">
            <v>LAS BAMBAS</v>
          </cell>
          <cell r="I2133">
            <v>33896</v>
          </cell>
          <cell r="J2133" t="str">
            <v>REPUESTO</v>
          </cell>
          <cell r="K2133" t="str">
            <v>FUSIBLES 20V</v>
          </cell>
          <cell r="L2133">
            <v>3</v>
          </cell>
          <cell r="M2133" t="str">
            <v>UNID.</v>
          </cell>
          <cell r="N2133" t="str">
            <v>TRACTO</v>
          </cell>
          <cell r="O2133">
            <v>0</v>
          </cell>
          <cell r="P2133" t="str">
            <v>E3</v>
          </cell>
          <cell r="Q2133" t="str">
            <v>J2</v>
          </cell>
          <cell r="R2133" t="str">
            <v>J5</v>
          </cell>
          <cell r="S2133" t="str">
            <v>ENTREGADO</v>
          </cell>
          <cell r="T2133">
            <v>42707</v>
          </cell>
          <cell r="U2133" t="str">
            <v>CONDORI CHURATA ALEX</v>
          </cell>
          <cell r="V2133" t="str">
            <v>CORIHUAMAN SURCO  ERICK ROBERT</v>
          </cell>
        </row>
        <row r="2134">
          <cell r="A2134">
            <v>2123</v>
          </cell>
          <cell r="B2134">
            <v>42707</v>
          </cell>
          <cell r="C2134" t="str">
            <v>DICIEMBRE</v>
          </cell>
          <cell r="D2134" t="str">
            <v>2016</v>
          </cell>
          <cell r="E2134">
            <v>508</v>
          </cell>
          <cell r="F2134" t="str">
            <v>AKX-731</v>
          </cell>
          <cell r="G2134" t="str">
            <v>TCD-980</v>
          </cell>
          <cell r="H2134" t="str">
            <v>LAS BAMBAS</v>
          </cell>
          <cell r="I2134">
            <v>33896</v>
          </cell>
          <cell r="J2134" t="str">
            <v>REPUESTO</v>
          </cell>
          <cell r="K2134" t="str">
            <v>CABLE NRO. 14</v>
          </cell>
          <cell r="L2134">
            <v>1</v>
          </cell>
          <cell r="M2134" t="str">
            <v>M</v>
          </cell>
          <cell r="N2134" t="str">
            <v>TRACTO</v>
          </cell>
          <cell r="O2134">
            <v>0</v>
          </cell>
          <cell r="P2134" t="str">
            <v>E3</v>
          </cell>
          <cell r="Q2134" t="str">
            <v>J1</v>
          </cell>
          <cell r="R2134" t="str">
            <v>J5</v>
          </cell>
          <cell r="S2134" t="str">
            <v>ENTREGADO</v>
          </cell>
          <cell r="T2134">
            <v>42707</v>
          </cell>
          <cell r="U2134" t="str">
            <v>CONDORI CHURATA ALEX</v>
          </cell>
          <cell r="V2134" t="str">
            <v>FLOREZ CONDORI  JOSE WILLIANS</v>
          </cell>
        </row>
        <row r="2135">
          <cell r="A2135">
            <v>2124</v>
          </cell>
          <cell r="B2135">
            <v>42707</v>
          </cell>
          <cell r="C2135" t="str">
            <v>DICIEMBRE</v>
          </cell>
          <cell r="D2135" t="str">
            <v>2016</v>
          </cell>
          <cell r="E2135">
            <v>508</v>
          </cell>
          <cell r="F2135" t="str">
            <v>AKX-731</v>
          </cell>
          <cell r="G2135" t="str">
            <v>TCD-980</v>
          </cell>
          <cell r="H2135" t="str">
            <v>LAS BAMBAS</v>
          </cell>
          <cell r="I2135">
            <v>33896</v>
          </cell>
          <cell r="J2135" t="str">
            <v>REPUESTO</v>
          </cell>
          <cell r="K2135" t="str">
            <v>TUBO CORRUGADO 3/8</v>
          </cell>
          <cell r="L2135">
            <v>0.5</v>
          </cell>
          <cell r="M2135" t="str">
            <v>M</v>
          </cell>
          <cell r="N2135" t="str">
            <v>TRACTO</v>
          </cell>
          <cell r="O2135">
            <v>0</v>
          </cell>
          <cell r="P2135" t="str">
            <v>E3</v>
          </cell>
          <cell r="Q2135" t="str">
            <v>J1</v>
          </cell>
          <cell r="R2135" t="str">
            <v>J5</v>
          </cell>
          <cell r="S2135" t="str">
            <v>ENTREGADO</v>
          </cell>
          <cell r="T2135">
            <v>42707</v>
          </cell>
          <cell r="U2135" t="str">
            <v>CONDORI CHURATA ALEX</v>
          </cell>
          <cell r="V2135" t="str">
            <v>FLOREZ CONDORI  JOSE WILLIANS</v>
          </cell>
        </row>
        <row r="2136">
          <cell r="A2136">
            <v>2118</v>
          </cell>
          <cell r="B2136">
            <v>42707</v>
          </cell>
          <cell r="C2136" t="str">
            <v>DICIEMBRE</v>
          </cell>
          <cell r="D2136" t="str">
            <v>2016</v>
          </cell>
          <cell r="E2136">
            <v>507</v>
          </cell>
          <cell r="F2136" t="str">
            <v>APF-776</v>
          </cell>
          <cell r="G2136" t="str">
            <v>CAMIONETA</v>
          </cell>
          <cell r="H2136" t="str">
            <v>LAS BAMBAS</v>
          </cell>
          <cell r="I2136">
            <v>0</v>
          </cell>
          <cell r="J2136" t="str">
            <v>REPUESTO</v>
          </cell>
          <cell r="K2136" t="str">
            <v>PERNO 5/16X2"</v>
          </cell>
          <cell r="L2136">
            <v>1</v>
          </cell>
          <cell r="M2136" t="str">
            <v>UNID.</v>
          </cell>
          <cell r="N2136" t="str">
            <v>CISTERNA</v>
          </cell>
          <cell r="O2136">
            <v>0</v>
          </cell>
          <cell r="P2136" t="str">
            <v>S2</v>
          </cell>
          <cell r="Q2136" t="str">
            <v>J2</v>
          </cell>
          <cell r="R2136" t="str">
            <v>J5</v>
          </cell>
          <cell r="S2136" t="str">
            <v>ENTREGADO</v>
          </cell>
          <cell r="T2136">
            <v>42707</v>
          </cell>
          <cell r="U2136" t="str">
            <v>PALOMINO ESTRADA  MICHEL</v>
          </cell>
          <cell r="V2136" t="str">
            <v>CORIHUAMAN SURCO  ERICK ROBERT</v>
          </cell>
        </row>
        <row r="2137">
          <cell r="A2137">
            <v>2119</v>
          </cell>
          <cell r="B2137">
            <v>42707</v>
          </cell>
          <cell r="C2137" t="str">
            <v>DICIEMBRE</v>
          </cell>
          <cell r="D2137" t="str">
            <v>2016</v>
          </cell>
          <cell r="E2137">
            <v>507</v>
          </cell>
          <cell r="F2137" t="str">
            <v>APF-776</v>
          </cell>
          <cell r="G2137" t="str">
            <v>CAMIONETA</v>
          </cell>
          <cell r="H2137" t="str">
            <v>LAS BAMBAS</v>
          </cell>
          <cell r="I2137">
            <v>0</v>
          </cell>
          <cell r="J2137" t="str">
            <v>REPUESTO</v>
          </cell>
          <cell r="K2137" t="str">
            <v>VOLANDA PLANA 1/2</v>
          </cell>
          <cell r="L2137">
            <v>1</v>
          </cell>
          <cell r="M2137" t="str">
            <v>UNID.</v>
          </cell>
          <cell r="N2137" t="str">
            <v>CISTERNA</v>
          </cell>
          <cell r="O2137">
            <v>0</v>
          </cell>
          <cell r="P2137" t="str">
            <v>S2</v>
          </cell>
          <cell r="Q2137" t="str">
            <v>J2</v>
          </cell>
          <cell r="R2137" t="str">
            <v>J5</v>
          </cell>
          <cell r="S2137" t="str">
            <v>ENTREGADO</v>
          </cell>
          <cell r="T2137">
            <v>42707</v>
          </cell>
          <cell r="U2137" t="str">
            <v>PALOMINO ESTRADA  MICHEL</v>
          </cell>
          <cell r="V2137" t="str">
            <v>CORIHUAMAN SURCO  ERICK ROBERT</v>
          </cell>
        </row>
        <row r="2138">
          <cell r="A2138">
            <v>2120</v>
          </cell>
          <cell r="B2138">
            <v>42707</v>
          </cell>
          <cell r="C2138" t="str">
            <v>DICIEMBRE</v>
          </cell>
          <cell r="D2138" t="str">
            <v>2016</v>
          </cell>
          <cell r="E2138">
            <v>507</v>
          </cell>
          <cell r="F2138" t="str">
            <v>APF-776</v>
          </cell>
          <cell r="G2138" t="str">
            <v>CAMIONETA</v>
          </cell>
          <cell r="H2138" t="str">
            <v>LAS BAMBAS</v>
          </cell>
          <cell r="I2138">
            <v>0</v>
          </cell>
          <cell r="J2138" t="str">
            <v>REPUESTO</v>
          </cell>
          <cell r="K2138" t="str">
            <v>SPRAY BLANCO</v>
          </cell>
          <cell r="L2138">
            <v>1</v>
          </cell>
          <cell r="M2138" t="str">
            <v>UNID.</v>
          </cell>
          <cell r="N2138" t="str">
            <v>CISTERNA</v>
          </cell>
          <cell r="O2138">
            <v>0</v>
          </cell>
          <cell r="P2138" t="str">
            <v>S2</v>
          </cell>
          <cell r="Q2138" t="str">
            <v>J2</v>
          </cell>
          <cell r="R2138" t="str">
            <v>J5</v>
          </cell>
          <cell r="S2138" t="str">
            <v>ENTREGADO</v>
          </cell>
          <cell r="T2138">
            <v>42707</v>
          </cell>
          <cell r="U2138" t="str">
            <v>PALOMINO ESTRADA  MICHEL</v>
          </cell>
          <cell r="V2138" t="str">
            <v>CORIHUAMAN SURCO  ERICK ROBERT</v>
          </cell>
        </row>
        <row r="2139">
          <cell r="A2139">
            <v>2126</v>
          </cell>
          <cell r="B2139">
            <v>42707</v>
          </cell>
          <cell r="C2139" t="str">
            <v>DICIEMBRE</v>
          </cell>
          <cell r="D2139" t="str">
            <v>2016</v>
          </cell>
          <cell r="E2139">
            <v>507</v>
          </cell>
          <cell r="F2139" t="str">
            <v>APF-776</v>
          </cell>
          <cell r="G2139" t="str">
            <v>CAMIONETA</v>
          </cell>
          <cell r="H2139" t="str">
            <v>LAS BAMBAS</v>
          </cell>
          <cell r="I2139">
            <v>0</v>
          </cell>
          <cell r="J2139" t="str">
            <v>REPUESTO</v>
          </cell>
          <cell r="K2139" t="str">
            <v>CABLE NRO. 14</v>
          </cell>
          <cell r="L2139">
            <v>2</v>
          </cell>
          <cell r="M2139" t="str">
            <v>M</v>
          </cell>
          <cell r="N2139" t="str">
            <v>TRACTO</v>
          </cell>
          <cell r="O2139">
            <v>0</v>
          </cell>
          <cell r="P2139" t="str">
            <v>E2</v>
          </cell>
          <cell r="Q2139" t="str">
            <v>J1</v>
          </cell>
          <cell r="R2139" t="str">
            <v>J5</v>
          </cell>
          <cell r="S2139" t="str">
            <v>ENTREGADO</v>
          </cell>
          <cell r="T2139">
            <v>42707</v>
          </cell>
          <cell r="U2139" t="str">
            <v>YUCA BELLIDO BORIS YERSY</v>
          </cell>
          <cell r="V2139" t="str">
            <v>FLOREZ CONDORI  JOSE WILLIANS</v>
          </cell>
        </row>
        <row r="2140">
          <cell r="A2140">
            <v>2127</v>
          </cell>
          <cell r="B2140">
            <v>42707</v>
          </cell>
          <cell r="C2140" t="str">
            <v>DICIEMBRE</v>
          </cell>
          <cell r="D2140" t="str">
            <v>2016</v>
          </cell>
          <cell r="E2140">
            <v>507</v>
          </cell>
          <cell r="F2140" t="str">
            <v>APF-776</v>
          </cell>
          <cell r="G2140" t="str">
            <v>CAMIONETA</v>
          </cell>
          <cell r="H2140" t="str">
            <v>LAS BAMBAS</v>
          </cell>
          <cell r="I2140">
            <v>0</v>
          </cell>
          <cell r="J2140" t="str">
            <v>REPUESTO</v>
          </cell>
          <cell r="K2140" t="str">
            <v>PERNO 3/16 X 1 1/2" C/ TUERCA Y VOLANDA</v>
          </cell>
          <cell r="L2140">
            <v>1</v>
          </cell>
          <cell r="M2140" t="str">
            <v>UNID.</v>
          </cell>
          <cell r="N2140" t="str">
            <v>TRACTO</v>
          </cell>
          <cell r="O2140">
            <v>0</v>
          </cell>
          <cell r="P2140" t="str">
            <v>E2</v>
          </cell>
          <cell r="Q2140" t="str">
            <v>J1</v>
          </cell>
          <cell r="R2140" t="str">
            <v>J5</v>
          </cell>
          <cell r="S2140" t="str">
            <v>ENTREGADO</v>
          </cell>
          <cell r="T2140">
            <v>42707</v>
          </cell>
          <cell r="U2140" t="str">
            <v>YUCA BELLIDO BORIS YERSY</v>
          </cell>
          <cell r="V2140" t="str">
            <v>FLOREZ CONDORI  JOSE WILLIANS</v>
          </cell>
        </row>
        <row r="2141">
          <cell r="A2141">
            <v>2134</v>
          </cell>
          <cell r="B2141">
            <v>42707</v>
          </cell>
          <cell r="C2141" t="str">
            <v>DICIEMBRE</v>
          </cell>
          <cell r="D2141" t="str">
            <v>2016</v>
          </cell>
          <cell r="E2141">
            <v>507</v>
          </cell>
          <cell r="F2141" t="str">
            <v>APF-776</v>
          </cell>
          <cell r="G2141" t="str">
            <v>CAMIONETA</v>
          </cell>
          <cell r="H2141" t="str">
            <v>LAS BAMBAS</v>
          </cell>
          <cell r="I2141">
            <v>0</v>
          </cell>
          <cell r="J2141" t="str">
            <v>REPUESTO</v>
          </cell>
          <cell r="K2141" t="str">
            <v>PERNO 5/16 X 1 1/2" C/ TUERCA Y VOLANDA</v>
          </cell>
          <cell r="L2141">
            <v>1</v>
          </cell>
          <cell r="M2141" t="str">
            <v>UNID.</v>
          </cell>
          <cell r="N2141" t="str">
            <v>TRACTO</v>
          </cell>
          <cell r="O2141">
            <v>0</v>
          </cell>
          <cell r="P2141" t="str">
            <v>E2</v>
          </cell>
          <cell r="Q2141" t="str">
            <v>J1</v>
          </cell>
          <cell r="R2141" t="str">
            <v>J5</v>
          </cell>
          <cell r="S2141" t="str">
            <v>ENTREGADO</v>
          </cell>
          <cell r="T2141">
            <v>42707</v>
          </cell>
          <cell r="U2141" t="str">
            <v>YUCA BELLIDO BORIS YERSY</v>
          </cell>
          <cell r="V2141" t="str">
            <v>FLOREZ CONDORI  JOSE WILLIANS</v>
          </cell>
        </row>
        <row r="2142">
          <cell r="A2142">
            <v>2135</v>
          </cell>
          <cell r="B2142">
            <v>42707</v>
          </cell>
          <cell r="C2142" t="str">
            <v>DICIEMBRE</v>
          </cell>
          <cell r="D2142" t="str">
            <v>2016</v>
          </cell>
          <cell r="E2142">
            <v>507</v>
          </cell>
          <cell r="F2142" t="str">
            <v>APF-776</v>
          </cell>
          <cell r="G2142" t="str">
            <v>CAMIONETA</v>
          </cell>
          <cell r="H2142" t="str">
            <v>LAS BAMBAS</v>
          </cell>
          <cell r="I2142">
            <v>0</v>
          </cell>
          <cell r="J2142" t="str">
            <v>REPUESTO</v>
          </cell>
          <cell r="K2142" t="str">
            <v>TERMINAL OJO BATERIA 3/8</v>
          </cell>
          <cell r="L2142">
            <v>1</v>
          </cell>
          <cell r="M2142" t="str">
            <v>UNID.</v>
          </cell>
          <cell r="N2142" t="str">
            <v>TRACTO</v>
          </cell>
          <cell r="O2142">
            <v>0</v>
          </cell>
          <cell r="P2142" t="str">
            <v>E2</v>
          </cell>
          <cell r="Q2142" t="str">
            <v>J1</v>
          </cell>
          <cell r="R2142" t="str">
            <v>J5</v>
          </cell>
          <cell r="S2142" t="str">
            <v>ENTREGADO</v>
          </cell>
          <cell r="T2142">
            <v>42707</v>
          </cell>
          <cell r="U2142" t="str">
            <v>YUCA BELLIDO BORIS YERSY</v>
          </cell>
          <cell r="V2142" t="str">
            <v>FLOREZ CONDORI  JOSE WILLIANS</v>
          </cell>
        </row>
        <row r="2143">
          <cell r="A2143">
            <v>2136</v>
          </cell>
          <cell r="B2143">
            <v>42707</v>
          </cell>
          <cell r="C2143" t="str">
            <v>DICIEMBRE</v>
          </cell>
          <cell r="D2143" t="str">
            <v>2016</v>
          </cell>
          <cell r="E2143">
            <v>507</v>
          </cell>
          <cell r="F2143" t="str">
            <v>APF-776</v>
          </cell>
          <cell r="G2143" t="str">
            <v>CAMIONETA</v>
          </cell>
          <cell r="H2143" t="str">
            <v>LAS BAMBAS</v>
          </cell>
          <cell r="I2143">
            <v>0</v>
          </cell>
          <cell r="J2143" t="str">
            <v>REPUESTO</v>
          </cell>
          <cell r="K2143" t="str">
            <v>TERMINAL OJO 3/16</v>
          </cell>
          <cell r="L2143">
            <v>1</v>
          </cell>
          <cell r="M2143" t="str">
            <v>UNID.</v>
          </cell>
          <cell r="N2143" t="str">
            <v>TRACTO</v>
          </cell>
          <cell r="O2143">
            <v>0</v>
          </cell>
          <cell r="P2143" t="str">
            <v>E2</v>
          </cell>
          <cell r="Q2143" t="str">
            <v>J1</v>
          </cell>
          <cell r="R2143" t="str">
            <v>J5</v>
          </cell>
          <cell r="S2143" t="str">
            <v>ENTREGADO</v>
          </cell>
          <cell r="T2143">
            <v>42707</v>
          </cell>
          <cell r="U2143" t="str">
            <v>YUCA BELLIDO BORIS YERSY</v>
          </cell>
          <cell r="V2143" t="str">
            <v>FLOREZ CONDORI  JOSE WILLIANS</v>
          </cell>
        </row>
        <row r="2144">
          <cell r="A2144">
            <v>2140</v>
          </cell>
          <cell r="B2144">
            <v>42707</v>
          </cell>
          <cell r="C2144" t="str">
            <v>DICIEMBRE</v>
          </cell>
          <cell r="D2144" t="str">
            <v>2016</v>
          </cell>
          <cell r="E2144">
            <v>449</v>
          </cell>
          <cell r="F2144" t="str">
            <v>B2L-889</v>
          </cell>
          <cell r="G2144" t="str">
            <v>CAMION</v>
          </cell>
          <cell r="H2144" t="str">
            <v>TAMBOMAYO</v>
          </cell>
          <cell r="I2144">
            <v>121547</v>
          </cell>
          <cell r="J2144" t="str">
            <v>REPUESTO</v>
          </cell>
          <cell r="K2144" t="str">
            <v>TAPA DE RECUPERADOR DE VAPORES</v>
          </cell>
          <cell r="L2144">
            <v>1</v>
          </cell>
          <cell r="M2144" t="str">
            <v>UNID.</v>
          </cell>
          <cell r="N2144" t="str">
            <v>CISTERNA</v>
          </cell>
          <cell r="O2144">
            <v>0</v>
          </cell>
          <cell r="P2144" t="str">
            <v>S2</v>
          </cell>
          <cell r="Q2144" t="str">
            <v>J1</v>
          </cell>
          <cell r="R2144" t="str">
            <v>J5</v>
          </cell>
          <cell r="S2144" t="str">
            <v>ENTREGADO</v>
          </cell>
          <cell r="T2144">
            <v>42707</v>
          </cell>
          <cell r="U2144" t="str">
            <v>PALOMINO ESTRADA  MICHEL</v>
          </cell>
          <cell r="V2144" t="str">
            <v>FLOREZ CONDORI  JOSE WILLIANS</v>
          </cell>
        </row>
        <row r="2145">
          <cell r="A2145">
            <v>2141</v>
          </cell>
          <cell r="B2145">
            <v>42707</v>
          </cell>
          <cell r="C2145" t="str">
            <v>DICIEMBRE</v>
          </cell>
          <cell r="D2145" t="str">
            <v>2016</v>
          </cell>
          <cell r="E2145">
            <v>449</v>
          </cell>
          <cell r="F2145" t="str">
            <v>B2L-889</v>
          </cell>
          <cell r="G2145" t="str">
            <v>CAMION</v>
          </cell>
          <cell r="H2145" t="str">
            <v>TAMBOMAYO</v>
          </cell>
          <cell r="I2145">
            <v>121547</v>
          </cell>
          <cell r="J2145" t="str">
            <v>REPUESTO</v>
          </cell>
          <cell r="K2145" t="str">
            <v>PARCHE RACK 10</v>
          </cell>
          <cell r="L2145">
            <v>1</v>
          </cell>
          <cell r="M2145" t="str">
            <v>UNID.</v>
          </cell>
          <cell r="N2145" t="str">
            <v>CISTERNA</v>
          </cell>
          <cell r="O2145">
            <v>0</v>
          </cell>
          <cell r="P2145" t="str">
            <v>N1</v>
          </cell>
          <cell r="Q2145" t="str">
            <v>J1</v>
          </cell>
          <cell r="R2145" t="str">
            <v>J5</v>
          </cell>
          <cell r="S2145" t="str">
            <v>ENTREGADO</v>
          </cell>
          <cell r="T2145">
            <v>42707</v>
          </cell>
          <cell r="U2145" t="str">
            <v>AGUILAR CCANTUTA WILLY</v>
          </cell>
          <cell r="V2145" t="str">
            <v>FLOREZ CONDORI  JOSE WILLIANS</v>
          </cell>
        </row>
        <row r="2146">
          <cell r="A2146">
            <v>2142</v>
          </cell>
          <cell r="B2146">
            <v>42707</v>
          </cell>
          <cell r="C2146" t="str">
            <v>DICIEMBRE</v>
          </cell>
          <cell r="D2146" t="str">
            <v>2016</v>
          </cell>
          <cell r="E2146">
            <v>449</v>
          </cell>
          <cell r="F2146" t="str">
            <v>B2L-889</v>
          </cell>
          <cell r="G2146" t="str">
            <v>CAMION</v>
          </cell>
          <cell r="H2146" t="str">
            <v>TAMBOMAYO</v>
          </cell>
          <cell r="I2146">
            <v>121547</v>
          </cell>
          <cell r="J2146" t="str">
            <v>REPUESTO</v>
          </cell>
          <cell r="K2146" t="str">
            <v>PARCHE RACK 12</v>
          </cell>
          <cell r="L2146">
            <v>1</v>
          </cell>
          <cell r="M2146" t="str">
            <v>UNID.</v>
          </cell>
          <cell r="N2146" t="str">
            <v>CISTERNA</v>
          </cell>
          <cell r="O2146">
            <v>0</v>
          </cell>
          <cell r="P2146" t="str">
            <v>N1</v>
          </cell>
          <cell r="Q2146" t="str">
            <v>J1</v>
          </cell>
          <cell r="R2146" t="str">
            <v>J5</v>
          </cell>
          <cell r="S2146" t="str">
            <v>ENTREGADO</v>
          </cell>
          <cell r="T2146">
            <v>42707</v>
          </cell>
          <cell r="U2146" t="str">
            <v>AGUILAR CCANTUTA WILLY</v>
          </cell>
          <cell r="V2146" t="str">
            <v>FLOREZ CONDORI  JOSE WILLIANS</v>
          </cell>
        </row>
        <row r="2147">
          <cell r="A2147">
            <v>2144</v>
          </cell>
          <cell r="B2147">
            <v>42707</v>
          </cell>
          <cell r="C2147" t="str">
            <v>DICIEMBRE</v>
          </cell>
          <cell r="D2147" t="str">
            <v>2016</v>
          </cell>
          <cell r="E2147">
            <v>449</v>
          </cell>
          <cell r="F2147" t="str">
            <v>B2L-889</v>
          </cell>
          <cell r="G2147" t="str">
            <v>CAMION</v>
          </cell>
          <cell r="H2147" t="str">
            <v>TAMBOMAYO</v>
          </cell>
          <cell r="I2147">
            <v>121547</v>
          </cell>
          <cell r="J2147" t="str">
            <v>REPUESTO</v>
          </cell>
          <cell r="K2147" t="str">
            <v>SPRAY NEGRO</v>
          </cell>
          <cell r="L2147">
            <v>1</v>
          </cell>
          <cell r="M2147" t="str">
            <v>UNID.</v>
          </cell>
          <cell r="N2147" t="str">
            <v>CISTERNA</v>
          </cell>
          <cell r="O2147">
            <v>0</v>
          </cell>
          <cell r="P2147" t="str">
            <v>S1</v>
          </cell>
          <cell r="Q2147" t="str">
            <v>J1</v>
          </cell>
          <cell r="R2147" t="str">
            <v>J5</v>
          </cell>
          <cell r="S2147" t="str">
            <v>ENTREGADO</v>
          </cell>
          <cell r="T2147">
            <v>42707</v>
          </cell>
          <cell r="U2147" t="str">
            <v>BAYONA CRUZ CRISTIAN ARMANDO</v>
          </cell>
          <cell r="V2147" t="str">
            <v>FLOREZ CONDORI  JOSE WILLIANS</v>
          </cell>
        </row>
        <row r="2148">
          <cell r="A2148">
            <v>2150</v>
          </cell>
          <cell r="B2148">
            <v>42707</v>
          </cell>
          <cell r="C2148" t="str">
            <v>DICIEMBRE</v>
          </cell>
          <cell r="D2148" t="str">
            <v>2016</v>
          </cell>
          <cell r="E2148">
            <v>449</v>
          </cell>
          <cell r="F2148" t="str">
            <v>B2L-889</v>
          </cell>
          <cell r="G2148" t="str">
            <v>CAMION</v>
          </cell>
          <cell r="H2148" t="str">
            <v>TAMBOMAYO</v>
          </cell>
          <cell r="I2148">
            <v>121547</v>
          </cell>
          <cell r="J2148" t="str">
            <v>REPUESTO</v>
          </cell>
          <cell r="K2148" t="str">
            <v>PERNOS 5/16 X 2" C/ DOBLE  ARANDELA PLANA Y TUERCA SEGURO</v>
          </cell>
          <cell r="L2148">
            <v>3</v>
          </cell>
          <cell r="M2148" t="str">
            <v>UNID.</v>
          </cell>
          <cell r="N2148" t="str">
            <v>TRACTO</v>
          </cell>
          <cell r="O2148">
            <v>0</v>
          </cell>
          <cell r="P2148" t="str">
            <v>S2</v>
          </cell>
          <cell r="Q2148" t="str">
            <v>J1</v>
          </cell>
          <cell r="R2148" t="str">
            <v>J5</v>
          </cell>
          <cell r="S2148" t="str">
            <v>ENTREGADO</v>
          </cell>
          <cell r="T2148">
            <v>42707</v>
          </cell>
          <cell r="U2148" t="str">
            <v>PALOMINO ESTRADA  MICHEL</v>
          </cell>
          <cell r="V2148" t="str">
            <v>FLOREZ CONDORI  JOSE WILLIANS</v>
          </cell>
        </row>
        <row r="2149">
          <cell r="A2149">
            <v>2110</v>
          </cell>
          <cell r="B2149">
            <v>42707</v>
          </cell>
          <cell r="C2149" t="str">
            <v>DICIEMBRE</v>
          </cell>
          <cell r="D2149" t="str">
            <v>2016</v>
          </cell>
          <cell r="E2149">
            <v>486</v>
          </cell>
          <cell r="F2149" t="str">
            <v>C9M-902</v>
          </cell>
          <cell r="G2149" t="str">
            <v>B8L-970</v>
          </cell>
          <cell r="H2149" t="str">
            <v>LAS BAMBAS</v>
          </cell>
          <cell r="I2149">
            <v>209833</v>
          </cell>
          <cell r="J2149" t="str">
            <v>HERRAMIENTAS</v>
          </cell>
          <cell r="K2149" t="str">
            <v>DISCO DE CORTE 4 1/2"</v>
          </cell>
          <cell r="L2149">
            <v>1</v>
          </cell>
          <cell r="M2149" t="str">
            <v>UNID.</v>
          </cell>
          <cell r="N2149" t="str">
            <v>CISTERNA</v>
          </cell>
          <cell r="O2149">
            <v>0</v>
          </cell>
          <cell r="P2149" t="str">
            <v>S2</v>
          </cell>
          <cell r="Q2149" t="str">
            <v>J2</v>
          </cell>
          <cell r="R2149" t="str">
            <v>J5</v>
          </cell>
          <cell r="S2149" t="str">
            <v>ENTREGADO</v>
          </cell>
          <cell r="T2149">
            <v>42707</v>
          </cell>
          <cell r="U2149" t="str">
            <v>PALOMINO ESTRADA  MICHEL</v>
          </cell>
          <cell r="V2149" t="str">
            <v>CORIHUAMAN SURCO  ERICK ROBERT</v>
          </cell>
        </row>
        <row r="2150">
          <cell r="A2150">
            <v>2111</v>
          </cell>
          <cell r="B2150">
            <v>42707</v>
          </cell>
          <cell r="C2150" t="str">
            <v>DICIEMBRE</v>
          </cell>
          <cell r="D2150" t="str">
            <v>2016</v>
          </cell>
          <cell r="E2150">
            <v>486</v>
          </cell>
          <cell r="F2150" t="str">
            <v>C9M-902</v>
          </cell>
          <cell r="G2150" t="str">
            <v>B8L-970</v>
          </cell>
          <cell r="H2150" t="str">
            <v>LAS BAMBAS</v>
          </cell>
          <cell r="I2150">
            <v>209833</v>
          </cell>
          <cell r="J2150" t="str">
            <v>REPUESTO</v>
          </cell>
          <cell r="K2150" t="str">
            <v>PERNOS 1/4 X 2"</v>
          </cell>
          <cell r="L2150">
            <v>2</v>
          </cell>
          <cell r="M2150" t="str">
            <v>UNID.</v>
          </cell>
          <cell r="N2150" t="str">
            <v>CISTERNA</v>
          </cell>
          <cell r="O2150">
            <v>0</v>
          </cell>
          <cell r="P2150" t="str">
            <v>S2</v>
          </cell>
          <cell r="Q2150" t="str">
            <v>J2</v>
          </cell>
          <cell r="R2150" t="str">
            <v>J5</v>
          </cell>
          <cell r="S2150" t="str">
            <v>ENTREGADO</v>
          </cell>
          <cell r="T2150">
            <v>42707</v>
          </cell>
          <cell r="U2150" t="str">
            <v>PALOMINO ESTRADA  MICHEL</v>
          </cell>
          <cell r="V2150" t="str">
            <v>CORIHUAMAN SURCO  ERICK ROBERT</v>
          </cell>
        </row>
        <row r="2151">
          <cell r="A2151">
            <v>2112</v>
          </cell>
          <cell r="B2151">
            <v>42707</v>
          </cell>
          <cell r="C2151" t="str">
            <v>DICIEMBRE</v>
          </cell>
          <cell r="D2151" t="str">
            <v>2016</v>
          </cell>
          <cell r="E2151">
            <v>486</v>
          </cell>
          <cell r="F2151" t="str">
            <v>C9M-902</v>
          </cell>
          <cell r="G2151" t="str">
            <v>B8L-970</v>
          </cell>
          <cell r="H2151" t="str">
            <v>LAS BAMBAS</v>
          </cell>
          <cell r="I2151">
            <v>209833</v>
          </cell>
          <cell r="J2151" t="str">
            <v>REPUESTO</v>
          </cell>
          <cell r="K2151" t="str">
            <v>SPRAY BLANCO</v>
          </cell>
          <cell r="L2151">
            <v>1</v>
          </cell>
          <cell r="M2151" t="str">
            <v>UNID.</v>
          </cell>
          <cell r="N2151" t="str">
            <v>CISTERNA</v>
          </cell>
          <cell r="O2151">
            <v>0</v>
          </cell>
          <cell r="P2151" t="str">
            <v>S2</v>
          </cell>
          <cell r="Q2151" t="str">
            <v>J2</v>
          </cell>
          <cell r="R2151" t="str">
            <v>J5</v>
          </cell>
          <cell r="S2151" t="str">
            <v>ENTREGADO</v>
          </cell>
          <cell r="T2151">
            <v>42707</v>
          </cell>
          <cell r="U2151" t="str">
            <v>PALOMINO ESTRADA  MICHEL</v>
          </cell>
          <cell r="V2151" t="str">
            <v>CORIHUAMAN SURCO  ERICK ROBERT</v>
          </cell>
        </row>
        <row r="2152">
          <cell r="A2152">
            <v>2113</v>
          </cell>
          <cell r="B2152">
            <v>42707</v>
          </cell>
          <cell r="C2152" t="str">
            <v>DICIEMBRE</v>
          </cell>
          <cell r="D2152" t="str">
            <v>2016</v>
          </cell>
          <cell r="E2152">
            <v>486</v>
          </cell>
          <cell r="F2152" t="str">
            <v>C9M-902</v>
          </cell>
          <cell r="G2152" t="str">
            <v>B8L-970</v>
          </cell>
          <cell r="H2152" t="str">
            <v>LAS BAMBAS</v>
          </cell>
          <cell r="I2152">
            <v>209833</v>
          </cell>
          <cell r="J2152" t="str">
            <v>REPUESTO</v>
          </cell>
          <cell r="K2152" t="str">
            <v>ABRAZADERA DE MUELLE 7/8  X 3 1/2 X 15</v>
          </cell>
          <cell r="L2152">
            <v>2</v>
          </cell>
          <cell r="M2152" t="str">
            <v>UNID.</v>
          </cell>
          <cell r="N2152" t="str">
            <v>CISTERNA</v>
          </cell>
          <cell r="O2152">
            <v>0</v>
          </cell>
          <cell r="P2152" t="str">
            <v>M8</v>
          </cell>
          <cell r="Q2152" t="str">
            <v>J2</v>
          </cell>
          <cell r="R2152" t="str">
            <v>J5</v>
          </cell>
          <cell r="S2152" t="str">
            <v>ENTREGADO</v>
          </cell>
          <cell r="T2152">
            <v>42707</v>
          </cell>
          <cell r="U2152" t="str">
            <v>VARILLAS GAGO  OSCAR ALBERTO</v>
          </cell>
          <cell r="V2152" t="str">
            <v>CORIHUAMAN SURCO  ERICK ROBERT</v>
          </cell>
        </row>
        <row r="2153">
          <cell r="A2153">
            <v>2114</v>
          </cell>
          <cell r="B2153">
            <v>42707</v>
          </cell>
          <cell r="C2153" t="str">
            <v>DICIEMBRE</v>
          </cell>
          <cell r="D2153" t="str">
            <v>2016</v>
          </cell>
          <cell r="E2153">
            <v>486</v>
          </cell>
          <cell r="F2153" t="str">
            <v>C9M-902</v>
          </cell>
          <cell r="G2153" t="str">
            <v>B8L-970</v>
          </cell>
          <cell r="H2153" t="str">
            <v>LAS BAMBAS</v>
          </cell>
          <cell r="I2153">
            <v>209833</v>
          </cell>
          <cell r="J2153" t="str">
            <v>REPUESTO</v>
          </cell>
          <cell r="K2153" t="str">
            <v>TUERCAS ALTAS 7/8</v>
          </cell>
          <cell r="L2153">
            <v>4</v>
          </cell>
          <cell r="M2153" t="str">
            <v>UNID.</v>
          </cell>
          <cell r="N2153" t="str">
            <v>CISTERNA</v>
          </cell>
          <cell r="O2153">
            <v>0</v>
          </cell>
          <cell r="P2153" t="str">
            <v>M8</v>
          </cell>
          <cell r="Q2153" t="str">
            <v>J2</v>
          </cell>
          <cell r="R2153" t="str">
            <v>J5</v>
          </cell>
          <cell r="S2153" t="str">
            <v>ENTREGADO</v>
          </cell>
          <cell r="T2153">
            <v>42707</v>
          </cell>
          <cell r="U2153" t="str">
            <v>VARILLAS GAGO  OSCAR ALBERTO</v>
          </cell>
          <cell r="V2153" t="str">
            <v>CORIHUAMAN SURCO  ERICK ROBERT</v>
          </cell>
        </row>
        <row r="2154">
          <cell r="A2154">
            <v>2139</v>
          </cell>
          <cell r="B2154">
            <v>42707</v>
          </cell>
          <cell r="C2154" t="str">
            <v>DICIEMBRE</v>
          </cell>
          <cell r="D2154" t="str">
            <v>2016</v>
          </cell>
          <cell r="E2154">
            <v>486</v>
          </cell>
          <cell r="F2154" t="str">
            <v>C9M-902</v>
          </cell>
          <cell r="G2154" t="str">
            <v>B8L-970</v>
          </cell>
          <cell r="H2154" t="str">
            <v>LAS BAMBAS</v>
          </cell>
          <cell r="I2154">
            <v>209833</v>
          </cell>
          <cell r="J2154" t="str">
            <v>REPUESTO</v>
          </cell>
          <cell r="K2154" t="str">
            <v>BOCINAS PARA EJE EXCENTRICO</v>
          </cell>
          <cell r="L2154">
            <v>6</v>
          </cell>
          <cell r="M2154" t="str">
            <v>UNID.</v>
          </cell>
          <cell r="N2154" t="str">
            <v>CISTERNA</v>
          </cell>
          <cell r="O2154">
            <v>0</v>
          </cell>
          <cell r="P2154" t="str">
            <v>M8</v>
          </cell>
          <cell r="Q2154" t="str">
            <v>J1</v>
          </cell>
          <cell r="R2154" t="str">
            <v>J5</v>
          </cell>
          <cell r="S2154" t="str">
            <v>ENTREGADO</v>
          </cell>
          <cell r="T2154">
            <v>42707</v>
          </cell>
          <cell r="U2154" t="str">
            <v>VARILLAS GAGO  OSCAR ALBERTO</v>
          </cell>
          <cell r="V2154" t="str">
            <v>FLOREZ CONDORI  JOSE WILLIANS</v>
          </cell>
        </row>
        <row r="2155">
          <cell r="A2155">
            <v>2109</v>
          </cell>
          <cell r="B2155">
            <v>42707</v>
          </cell>
          <cell r="C2155" t="str">
            <v>DICIEMBRE</v>
          </cell>
          <cell r="D2155" t="str">
            <v>2016</v>
          </cell>
          <cell r="E2155">
            <v>488</v>
          </cell>
          <cell r="F2155" t="str">
            <v>D3P-747</v>
          </cell>
          <cell r="G2155" t="str">
            <v>A0T-985</v>
          </cell>
          <cell r="H2155" t="str">
            <v>LAS BAMBAS</v>
          </cell>
          <cell r="I2155">
            <v>183899</v>
          </cell>
          <cell r="J2155" t="str">
            <v>REPUESTO</v>
          </cell>
          <cell r="K2155" t="str">
            <v>LIQUIDO REFRIGERANTE</v>
          </cell>
          <cell r="L2155">
            <v>5</v>
          </cell>
          <cell r="M2155" t="str">
            <v>UNID.</v>
          </cell>
          <cell r="N2155" t="str">
            <v>TRACTO</v>
          </cell>
          <cell r="O2155">
            <v>0</v>
          </cell>
          <cell r="P2155" t="str">
            <v>M6</v>
          </cell>
          <cell r="Q2155" t="str">
            <v>J2</v>
          </cell>
          <cell r="R2155" t="str">
            <v>J5</v>
          </cell>
          <cell r="S2155" t="str">
            <v>ENTREGADO</v>
          </cell>
          <cell r="T2155">
            <v>42707</v>
          </cell>
          <cell r="U2155" t="str">
            <v>PARI VENTURA  EDSON ORLANDO</v>
          </cell>
          <cell r="V2155" t="str">
            <v>CORIHUAMAN SURCO  ERICK ROBERT</v>
          </cell>
        </row>
        <row r="2156">
          <cell r="A2156">
            <v>2152</v>
          </cell>
          <cell r="B2156">
            <v>42707</v>
          </cell>
          <cell r="C2156" t="str">
            <v>DICIEMBRE</v>
          </cell>
          <cell r="D2156" t="str">
            <v>2016</v>
          </cell>
          <cell r="E2156">
            <v>202</v>
          </cell>
          <cell r="F2156" t="str">
            <v>D3P-752</v>
          </cell>
          <cell r="G2156" t="str">
            <v>C5Y-985</v>
          </cell>
          <cell r="H2156" t="str">
            <v>LAS BAMBAS</v>
          </cell>
          <cell r="I2156">
            <v>150504</v>
          </cell>
          <cell r="J2156" t="str">
            <v>SERVICIO</v>
          </cell>
          <cell r="K2156" t="str">
            <v>SONDEO DE RADIADOR</v>
          </cell>
          <cell r="L2156">
            <v>1</v>
          </cell>
          <cell r="M2156" t="str">
            <v>UNID.</v>
          </cell>
          <cell r="N2156" t="str">
            <v>CISTERNA</v>
          </cell>
          <cell r="O2156">
            <v>0</v>
          </cell>
          <cell r="P2156" t="str">
            <v>J2</v>
          </cell>
          <cell r="Q2156" t="str">
            <v>J1</v>
          </cell>
          <cell r="R2156" t="str">
            <v>J5</v>
          </cell>
          <cell r="S2156" t="str">
            <v>ENTREGADO</v>
          </cell>
          <cell r="T2156">
            <v>42707</v>
          </cell>
          <cell r="U2156" t="str">
            <v>CORIHUAMAN SURCO  ERICK ROBERT</v>
          </cell>
          <cell r="V2156" t="str">
            <v>FLOREZ CONDORI  JOSE WILLIANS</v>
          </cell>
        </row>
        <row r="2157">
          <cell r="A2157">
            <v>2153</v>
          </cell>
          <cell r="B2157">
            <v>42707</v>
          </cell>
          <cell r="C2157" t="str">
            <v>DICIEMBRE</v>
          </cell>
          <cell r="D2157" t="str">
            <v>2016</v>
          </cell>
          <cell r="E2157">
            <v>391</v>
          </cell>
          <cell r="F2157" t="str">
            <v>D3Q-741</v>
          </cell>
          <cell r="G2157" t="str">
            <v>D2E-976</v>
          </cell>
          <cell r="H2157" t="str">
            <v>LAS BAMBAS</v>
          </cell>
          <cell r="I2157">
            <v>162515</v>
          </cell>
          <cell r="J2157" t="str">
            <v>SERVICIO</v>
          </cell>
          <cell r="K2157" t="str">
            <v>ENFIBRADO DE GUARDAFANDO LADO DERECHO (TRACTO)</v>
          </cell>
          <cell r="L2157">
            <v>1</v>
          </cell>
          <cell r="M2157" t="str">
            <v>UNID.</v>
          </cell>
          <cell r="N2157" t="str">
            <v>TRACTO</v>
          </cell>
          <cell r="O2157">
            <v>0</v>
          </cell>
          <cell r="P2157" t="str">
            <v>J2</v>
          </cell>
          <cell r="Q2157" t="str">
            <v>J1</v>
          </cell>
          <cell r="R2157" t="str">
            <v>J5</v>
          </cell>
          <cell r="S2157" t="str">
            <v>ENTREGADO</v>
          </cell>
          <cell r="T2157">
            <v>42707</v>
          </cell>
          <cell r="U2157" t="str">
            <v>CORIHUAMAN SURCO  ERICK ROBERT</v>
          </cell>
          <cell r="V2157" t="str">
            <v>FLOREZ CONDORI  JOSE WILLIANS</v>
          </cell>
        </row>
        <row r="2158">
          <cell r="A2158">
            <v>2145</v>
          </cell>
          <cell r="B2158">
            <v>42707</v>
          </cell>
          <cell r="C2158" t="str">
            <v>DICIEMBRE</v>
          </cell>
          <cell r="D2158" t="str">
            <v>2016</v>
          </cell>
          <cell r="E2158">
            <v>510</v>
          </cell>
          <cell r="F2158" t="str">
            <v>D6F-907</v>
          </cell>
          <cell r="G2158" t="str">
            <v>T2Y-979</v>
          </cell>
          <cell r="H2158" t="str">
            <v>LAS BAMBAS</v>
          </cell>
          <cell r="I2158">
            <v>199465</v>
          </cell>
          <cell r="J2158" t="str">
            <v>REPUESTO</v>
          </cell>
          <cell r="K2158" t="str">
            <v>CRUCETA DE CARDAN CHICO</v>
          </cell>
          <cell r="L2158">
            <v>1</v>
          </cell>
          <cell r="M2158" t="str">
            <v>UNID.</v>
          </cell>
          <cell r="N2158" t="str">
            <v>TRACTO</v>
          </cell>
          <cell r="O2158">
            <v>0</v>
          </cell>
          <cell r="P2158" t="str">
            <v>M2</v>
          </cell>
          <cell r="Q2158" t="str">
            <v>J1</v>
          </cell>
          <cell r="R2158" t="str">
            <v>J5</v>
          </cell>
          <cell r="S2158" t="str">
            <v>ENTREGADO</v>
          </cell>
          <cell r="T2158">
            <v>42707</v>
          </cell>
          <cell r="U2158" t="str">
            <v>CHUMPITAZ GAGO JULIO ENRIQUE</v>
          </cell>
          <cell r="V2158" t="str">
            <v>FLOREZ CONDORI  JOSE WILLIANS</v>
          </cell>
        </row>
        <row r="2159">
          <cell r="A2159">
            <v>2146</v>
          </cell>
          <cell r="B2159">
            <v>42707</v>
          </cell>
          <cell r="C2159" t="str">
            <v>DICIEMBRE</v>
          </cell>
          <cell r="D2159" t="str">
            <v>2016</v>
          </cell>
          <cell r="E2159">
            <v>510</v>
          </cell>
          <cell r="F2159" t="str">
            <v>D6F-907</v>
          </cell>
          <cell r="G2159" t="str">
            <v>T2Y-979</v>
          </cell>
          <cell r="H2159" t="str">
            <v>LAS BAMBAS</v>
          </cell>
          <cell r="I2159">
            <v>199465</v>
          </cell>
          <cell r="J2159" t="str">
            <v>REPUESTO</v>
          </cell>
          <cell r="K2159" t="str">
            <v>FAJA DE TEMPLADOR</v>
          </cell>
          <cell r="L2159">
            <v>1</v>
          </cell>
          <cell r="M2159" t="str">
            <v>UNID.</v>
          </cell>
          <cell r="N2159" t="str">
            <v>TRACTO</v>
          </cell>
          <cell r="O2159">
            <v>0</v>
          </cell>
          <cell r="P2159" t="str">
            <v>M2</v>
          </cell>
          <cell r="Q2159" t="str">
            <v>J1</v>
          </cell>
          <cell r="R2159" t="str">
            <v>J5</v>
          </cell>
          <cell r="S2159" t="str">
            <v>ENTREGADO</v>
          </cell>
          <cell r="T2159">
            <v>42707</v>
          </cell>
          <cell r="U2159" t="str">
            <v>CHUMPITAZ GAGO JULIO ENRIQUE</v>
          </cell>
          <cell r="V2159" t="str">
            <v>FLOREZ CONDORI  JOSE WILLIANS</v>
          </cell>
        </row>
        <row r="2160">
          <cell r="A2160">
            <v>2147</v>
          </cell>
          <cell r="B2160">
            <v>42707</v>
          </cell>
          <cell r="C2160" t="str">
            <v>DICIEMBRE</v>
          </cell>
          <cell r="D2160" t="str">
            <v>2016</v>
          </cell>
          <cell r="E2160">
            <v>510</v>
          </cell>
          <cell r="F2160" t="str">
            <v>D6F-907</v>
          </cell>
          <cell r="G2160" t="str">
            <v>T2Y-979</v>
          </cell>
          <cell r="H2160" t="str">
            <v>LAS BAMBAS</v>
          </cell>
          <cell r="I2160">
            <v>199465</v>
          </cell>
          <cell r="J2160" t="str">
            <v>REPUESTO</v>
          </cell>
          <cell r="K2160" t="str">
            <v>LIQUIDO LIMPIAPARABRISAS</v>
          </cell>
          <cell r="L2160">
            <v>1</v>
          </cell>
          <cell r="M2160" t="str">
            <v>GLNS.</v>
          </cell>
          <cell r="N2160" t="str">
            <v>TRACTO</v>
          </cell>
          <cell r="O2160">
            <v>0</v>
          </cell>
          <cell r="P2160" t="str">
            <v>M2</v>
          </cell>
          <cell r="Q2160" t="str">
            <v>J1</v>
          </cell>
          <cell r="R2160" t="str">
            <v>J5</v>
          </cell>
          <cell r="S2160" t="str">
            <v>ENTREGADO</v>
          </cell>
          <cell r="T2160">
            <v>42707</v>
          </cell>
          <cell r="U2160" t="str">
            <v>CHUMPITAZ GAGO JULIO ENRIQUE</v>
          </cell>
          <cell r="V2160" t="str">
            <v>FLOREZ CONDORI  JOSE WILLIANS</v>
          </cell>
        </row>
        <row r="2161">
          <cell r="A2161">
            <v>2149</v>
          </cell>
          <cell r="B2161">
            <v>42707</v>
          </cell>
          <cell r="C2161" t="str">
            <v>DICIEMBRE</v>
          </cell>
          <cell r="D2161" t="str">
            <v>2016</v>
          </cell>
          <cell r="E2161">
            <v>510</v>
          </cell>
          <cell r="F2161" t="str">
            <v>D6F-907</v>
          </cell>
          <cell r="G2161" t="str">
            <v>T2Y-979</v>
          </cell>
          <cell r="H2161" t="str">
            <v>LAS BAMBAS</v>
          </cell>
          <cell r="I2161">
            <v>199465</v>
          </cell>
          <cell r="J2161" t="str">
            <v>REPUESTO</v>
          </cell>
          <cell r="K2161" t="str">
            <v>PARCHE RACK 12</v>
          </cell>
          <cell r="L2161">
            <v>1</v>
          </cell>
          <cell r="M2161" t="str">
            <v>UNID.</v>
          </cell>
          <cell r="N2161" t="str">
            <v>TRACTO</v>
          </cell>
          <cell r="O2161">
            <v>0</v>
          </cell>
          <cell r="P2161" t="str">
            <v>M2</v>
          </cell>
          <cell r="Q2161" t="str">
            <v>J1</v>
          </cell>
          <cell r="R2161" t="str">
            <v>J5</v>
          </cell>
          <cell r="S2161" t="str">
            <v>ENTREGADO</v>
          </cell>
          <cell r="T2161">
            <v>42707</v>
          </cell>
          <cell r="U2161" t="str">
            <v>CHUMPITAZ GAGO JULIO ENRIQUE</v>
          </cell>
          <cell r="V2161" t="str">
            <v>FLOREZ CONDORI  JOSE WILLIANS</v>
          </cell>
        </row>
        <row r="2162">
          <cell r="A2162">
            <v>2105</v>
          </cell>
          <cell r="B2162">
            <v>42707</v>
          </cell>
          <cell r="C2162" t="str">
            <v>DICIEMBRE</v>
          </cell>
          <cell r="D2162" t="str">
            <v>2016</v>
          </cell>
          <cell r="E2162">
            <v>200</v>
          </cell>
          <cell r="F2162" t="str">
            <v>TALLER</v>
          </cell>
          <cell r="G2162" t="str">
            <v>TALLER</v>
          </cell>
          <cell r="H2162" t="str">
            <v>TALLER</v>
          </cell>
          <cell r="I2162" t="str">
            <v>TALLER</v>
          </cell>
          <cell r="J2162" t="str">
            <v>INSUMO TALLER</v>
          </cell>
          <cell r="K2162" t="str">
            <v>TUBO RECTANGULAR 2X2.8" X 6M</v>
          </cell>
          <cell r="L2162">
            <v>2</v>
          </cell>
          <cell r="M2162" t="str">
            <v>UNID.</v>
          </cell>
          <cell r="N2162" t="str">
            <v>TALLER</v>
          </cell>
          <cell r="O2162">
            <v>0</v>
          </cell>
          <cell r="P2162" t="str">
            <v>S1</v>
          </cell>
          <cell r="Q2162" t="str">
            <v>J2</v>
          </cell>
          <cell r="R2162" t="str">
            <v>J5</v>
          </cell>
          <cell r="S2162" t="str">
            <v>ENTREGADO</v>
          </cell>
          <cell r="T2162">
            <v>42707</v>
          </cell>
          <cell r="U2162" t="str">
            <v>BAYONA CRUZ CRISTIAN ARMANDO</v>
          </cell>
          <cell r="V2162" t="str">
            <v>CORIHUAMAN SURCO  ERICK ROBERT</v>
          </cell>
        </row>
        <row r="2163">
          <cell r="A2163">
            <v>2106</v>
          </cell>
          <cell r="B2163">
            <v>42707</v>
          </cell>
          <cell r="C2163" t="str">
            <v>DICIEMBRE</v>
          </cell>
          <cell r="D2163" t="str">
            <v>2016</v>
          </cell>
          <cell r="E2163">
            <v>200</v>
          </cell>
          <cell r="F2163" t="str">
            <v>TALLER</v>
          </cell>
          <cell r="G2163" t="str">
            <v>TALLER</v>
          </cell>
          <cell r="H2163" t="str">
            <v>TALLER</v>
          </cell>
          <cell r="I2163" t="str">
            <v>TALLER</v>
          </cell>
          <cell r="J2163" t="str">
            <v>INSUMO TALLER</v>
          </cell>
          <cell r="K2163" t="str">
            <v>PLATINA 2" 1/8 X6M</v>
          </cell>
          <cell r="L2163">
            <v>2</v>
          </cell>
          <cell r="M2163" t="str">
            <v>UNID.</v>
          </cell>
          <cell r="N2163" t="str">
            <v>TALLER</v>
          </cell>
          <cell r="O2163">
            <v>0</v>
          </cell>
          <cell r="P2163" t="str">
            <v>S1</v>
          </cell>
          <cell r="Q2163" t="str">
            <v>J2</v>
          </cell>
          <cell r="R2163" t="str">
            <v>J5</v>
          </cell>
          <cell r="S2163" t="str">
            <v>ENTREGADO</v>
          </cell>
          <cell r="T2163">
            <v>42707</v>
          </cell>
          <cell r="U2163" t="str">
            <v>BAYONA CRUZ CRISTIAN ARMANDO</v>
          </cell>
          <cell r="V2163" t="str">
            <v>CORIHUAMAN SURCO  ERICK ROBERT</v>
          </cell>
        </row>
        <row r="2164">
          <cell r="A2164">
            <v>2107</v>
          </cell>
          <cell r="B2164">
            <v>42707</v>
          </cell>
          <cell r="C2164" t="str">
            <v>DICIEMBRE</v>
          </cell>
          <cell r="D2164" t="str">
            <v>2016</v>
          </cell>
          <cell r="E2164">
            <v>200</v>
          </cell>
          <cell r="F2164" t="str">
            <v>TALLER</v>
          </cell>
          <cell r="G2164" t="str">
            <v>TALLER</v>
          </cell>
          <cell r="H2164" t="str">
            <v>TALLER</v>
          </cell>
          <cell r="I2164" t="str">
            <v>TALLER</v>
          </cell>
          <cell r="J2164" t="str">
            <v>INSUMO TALLER</v>
          </cell>
          <cell r="K2164" t="str">
            <v>ANGULO 1 1/2 X 1/8 X 6M</v>
          </cell>
          <cell r="L2164">
            <v>2</v>
          </cell>
          <cell r="M2164" t="str">
            <v>UNID.</v>
          </cell>
          <cell r="N2164" t="str">
            <v>TALLER</v>
          </cell>
          <cell r="O2164">
            <v>0</v>
          </cell>
          <cell r="P2164" t="str">
            <v>S1</v>
          </cell>
          <cell r="Q2164" t="str">
            <v>J2</v>
          </cell>
          <cell r="R2164" t="str">
            <v>J5</v>
          </cell>
          <cell r="S2164" t="str">
            <v>ENTREGADO</v>
          </cell>
          <cell r="T2164">
            <v>42707</v>
          </cell>
          <cell r="U2164" t="str">
            <v>BAYONA CRUZ CRISTIAN ARMANDO</v>
          </cell>
          <cell r="V2164" t="str">
            <v>CORIHUAMAN SURCO  ERICK ROBERT</v>
          </cell>
        </row>
        <row r="2165">
          <cell r="A2165">
            <v>2108</v>
          </cell>
          <cell r="B2165">
            <v>42707</v>
          </cell>
          <cell r="C2165" t="str">
            <v>DICIEMBRE</v>
          </cell>
          <cell r="D2165" t="str">
            <v>2016</v>
          </cell>
          <cell r="E2165">
            <v>200</v>
          </cell>
          <cell r="F2165" t="str">
            <v>TALLER</v>
          </cell>
          <cell r="G2165" t="str">
            <v>TALLER</v>
          </cell>
          <cell r="H2165" t="str">
            <v>TALLER</v>
          </cell>
          <cell r="I2165" t="str">
            <v>TALLER</v>
          </cell>
          <cell r="J2165" t="str">
            <v>INSUMO TALLER</v>
          </cell>
          <cell r="K2165" t="str">
            <v>TUBO DE 1"X2.8 X 6M</v>
          </cell>
          <cell r="L2165">
            <v>2</v>
          </cell>
          <cell r="M2165" t="str">
            <v>UNID.</v>
          </cell>
          <cell r="N2165" t="str">
            <v>TALLER</v>
          </cell>
          <cell r="O2165">
            <v>0</v>
          </cell>
          <cell r="P2165" t="str">
            <v>S1</v>
          </cell>
          <cell r="Q2165" t="str">
            <v>J2</v>
          </cell>
          <cell r="R2165" t="str">
            <v>J5</v>
          </cell>
          <cell r="S2165" t="str">
            <v>ENTREGADO</v>
          </cell>
          <cell r="T2165">
            <v>42707</v>
          </cell>
          <cell r="U2165" t="str">
            <v>BAYONA CRUZ CRISTIAN ARMANDO</v>
          </cell>
          <cell r="V2165" t="str">
            <v>CORIHUAMAN SURCO  ERICK ROBERT</v>
          </cell>
        </row>
        <row r="2166">
          <cell r="A2166">
            <v>2122</v>
          </cell>
          <cell r="B2166">
            <v>42707</v>
          </cell>
          <cell r="C2166" t="str">
            <v>DICIEMBRE</v>
          </cell>
          <cell r="D2166" t="str">
            <v>2016</v>
          </cell>
          <cell r="E2166">
            <v>200</v>
          </cell>
          <cell r="F2166" t="str">
            <v>TALLER</v>
          </cell>
          <cell r="G2166" t="str">
            <v>TALLER</v>
          </cell>
          <cell r="H2166" t="str">
            <v>TALLER</v>
          </cell>
          <cell r="I2166" t="str">
            <v>TALLER</v>
          </cell>
          <cell r="J2166" t="str">
            <v>EPPS</v>
          </cell>
          <cell r="K2166" t="str">
            <v>TYBEK M</v>
          </cell>
          <cell r="L2166">
            <v>1</v>
          </cell>
          <cell r="M2166" t="str">
            <v>UNID.</v>
          </cell>
          <cell r="N2166" t="str">
            <v>TALLER</v>
          </cell>
          <cell r="O2166">
            <v>0</v>
          </cell>
          <cell r="P2166" t="str">
            <v>E3</v>
          </cell>
          <cell r="Q2166" t="str">
            <v>J2</v>
          </cell>
          <cell r="R2166" t="str">
            <v>J5</v>
          </cell>
          <cell r="S2166" t="str">
            <v>ENTREGADO</v>
          </cell>
          <cell r="T2166">
            <v>42707</v>
          </cell>
          <cell r="U2166" t="str">
            <v>CONDORI CHURATA ALEX</v>
          </cell>
          <cell r="V2166" t="str">
            <v>CORIHUAMAN SURCO  ERICK ROBERT</v>
          </cell>
        </row>
        <row r="2167">
          <cell r="A2167">
            <v>2128</v>
          </cell>
          <cell r="B2167">
            <v>42707</v>
          </cell>
          <cell r="C2167" t="str">
            <v>DICIEMBRE</v>
          </cell>
          <cell r="D2167" t="str">
            <v>2016</v>
          </cell>
          <cell r="E2167">
            <v>200</v>
          </cell>
          <cell r="F2167" t="str">
            <v>TALLER</v>
          </cell>
          <cell r="G2167" t="str">
            <v>TALLER</v>
          </cell>
          <cell r="H2167" t="str">
            <v>TALLER</v>
          </cell>
          <cell r="I2167" t="str">
            <v>TALLER</v>
          </cell>
          <cell r="J2167" t="str">
            <v>HERRAMIENTAS</v>
          </cell>
          <cell r="K2167" t="str">
            <v>LUNA N°11</v>
          </cell>
          <cell r="L2167">
            <v>1</v>
          </cell>
          <cell r="M2167" t="str">
            <v>UNID.</v>
          </cell>
          <cell r="N2167" t="str">
            <v>TALLER</v>
          </cell>
          <cell r="O2167">
            <v>0</v>
          </cell>
          <cell r="P2167" t="str">
            <v>S1</v>
          </cell>
          <cell r="Q2167" t="str">
            <v>J1</v>
          </cell>
          <cell r="R2167" t="str">
            <v>J5</v>
          </cell>
          <cell r="S2167" t="str">
            <v>ENTREGADO</v>
          </cell>
          <cell r="T2167">
            <v>42707</v>
          </cell>
          <cell r="U2167" t="str">
            <v>BAYONA CRUZ CRISTIAN ARMANDO</v>
          </cell>
          <cell r="V2167" t="str">
            <v>FLOREZ CONDORI  JOSE WILLIANS</v>
          </cell>
        </row>
        <row r="2168">
          <cell r="A2168">
            <v>2129</v>
          </cell>
          <cell r="B2168">
            <v>42707</v>
          </cell>
          <cell r="C2168" t="str">
            <v>DICIEMBRE</v>
          </cell>
          <cell r="D2168" t="str">
            <v>2016</v>
          </cell>
          <cell r="E2168">
            <v>200</v>
          </cell>
          <cell r="F2168" t="str">
            <v>TALLER</v>
          </cell>
          <cell r="G2168" t="str">
            <v>TALLER</v>
          </cell>
          <cell r="H2168" t="str">
            <v>TALLER</v>
          </cell>
          <cell r="I2168" t="str">
            <v>TALLER</v>
          </cell>
          <cell r="J2168" t="str">
            <v>HERRAMIENTAS</v>
          </cell>
          <cell r="K2168" t="str">
            <v xml:space="preserve">LUNA TRANSPARENTE </v>
          </cell>
          <cell r="L2168">
            <v>2</v>
          </cell>
          <cell r="M2168" t="str">
            <v>UNID.</v>
          </cell>
          <cell r="N2168" t="str">
            <v>TALLER</v>
          </cell>
          <cell r="O2168">
            <v>0</v>
          </cell>
          <cell r="P2168" t="str">
            <v>S1</v>
          </cell>
          <cell r="Q2168" t="str">
            <v>J1</v>
          </cell>
          <cell r="R2168" t="str">
            <v>J5</v>
          </cell>
          <cell r="S2168" t="str">
            <v>ENTREGADO</v>
          </cell>
          <cell r="T2168">
            <v>42707</v>
          </cell>
          <cell r="U2168" t="str">
            <v>BAYONA CRUZ CRISTIAN ARMANDO</v>
          </cell>
          <cell r="V2168" t="str">
            <v>FLOREZ CONDORI  JOSE WILLIANS</v>
          </cell>
        </row>
        <row r="2169">
          <cell r="A2169">
            <v>2137</v>
          </cell>
          <cell r="B2169">
            <v>42707</v>
          </cell>
          <cell r="C2169" t="str">
            <v>DICIEMBRE</v>
          </cell>
          <cell r="D2169" t="str">
            <v>2016</v>
          </cell>
          <cell r="E2169">
            <v>200</v>
          </cell>
          <cell r="F2169" t="str">
            <v>TALLER</v>
          </cell>
          <cell r="G2169" t="str">
            <v>TALLER</v>
          </cell>
          <cell r="H2169" t="str">
            <v>TALLER</v>
          </cell>
          <cell r="I2169" t="str">
            <v>TALLER</v>
          </cell>
          <cell r="J2169" t="str">
            <v>REPUESTO</v>
          </cell>
          <cell r="K2169" t="str">
            <v>MANGUERA 1/4 (SEGÚN MUESTRA) PARA BOMBA DE TALLER</v>
          </cell>
          <cell r="L2169">
            <v>0.5</v>
          </cell>
          <cell r="M2169" t="str">
            <v>M</v>
          </cell>
          <cell r="N2169" t="str">
            <v>TALLER</v>
          </cell>
          <cell r="O2169">
            <v>0</v>
          </cell>
          <cell r="P2169" t="str">
            <v>M8</v>
          </cell>
          <cell r="Q2169" t="str">
            <v>J1</v>
          </cell>
          <cell r="R2169" t="str">
            <v>J5</v>
          </cell>
          <cell r="S2169" t="str">
            <v>ENTREGADO</v>
          </cell>
          <cell r="T2169">
            <v>42707</v>
          </cell>
          <cell r="U2169" t="str">
            <v>VARILLAS GAGO  OSCAR ALBERTO</v>
          </cell>
          <cell r="V2169" t="str">
            <v>FLOREZ CONDORI  JOSE WILLIANS</v>
          </cell>
        </row>
        <row r="2170">
          <cell r="A2170">
            <v>2143</v>
          </cell>
          <cell r="B2170">
            <v>42707</v>
          </cell>
          <cell r="C2170" t="str">
            <v>DICIEMBRE</v>
          </cell>
          <cell r="D2170" t="str">
            <v>2016</v>
          </cell>
          <cell r="E2170">
            <v>200</v>
          </cell>
          <cell r="F2170" t="str">
            <v>TALLER</v>
          </cell>
          <cell r="G2170" t="str">
            <v>TALLER</v>
          </cell>
          <cell r="H2170" t="str">
            <v>TALLER</v>
          </cell>
          <cell r="I2170" t="str">
            <v>TALLER</v>
          </cell>
          <cell r="J2170" t="str">
            <v>HERRAMIENTAS</v>
          </cell>
          <cell r="K2170" t="str">
            <v>DISCO DE CORTE 4"</v>
          </cell>
          <cell r="L2170">
            <v>2</v>
          </cell>
          <cell r="M2170" t="str">
            <v>UNID.</v>
          </cell>
          <cell r="N2170" t="str">
            <v>CISTERNA</v>
          </cell>
          <cell r="O2170">
            <v>0</v>
          </cell>
          <cell r="P2170" t="str">
            <v>S4</v>
          </cell>
          <cell r="Q2170" t="str">
            <v>J1</v>
          </cell>
          <cell r="R2170" t="str">
            <v>J5</v>
          </cell>
          <cell r="S2170" t="str">
            <v>ENTREGADO</v>
          </cell>
          <cell r="T2170">
            <v>42707</v>
          </cell>
          <cell r="U2170" t="str">
            <v>SURCO QUISPE JOHNNY</v>
          </cell>
          <cell r="V2170" t="str">
            <v>FLOREZ CONDORI  JOSE WILLIANS</v>
          </cell>
        </row>
        <row r="2171">
          <cell r="A2171">
            <v>2130</v>
          </cell>
          <cell r="B2171">
            <v>42707</v>
          </cell>
          <cell r="C2171" t="str">
            <v>DICIEMBRE</v>
          </cell>
          <cell r="D2171" t="str">
            <v>2016</v>
          </cell>
          <cell r="E2171">
            <v>427</v>
          </cell>
          <cell r="F2171" t="str">
            <v>X2W-759</v>
          </cell>
          <cell r="G2171" t="str">
            <v>C5V-999</v>
          </cell>
          <cell r="H2171" t="str">
            <v>LAS BAMBAS</v>
          </cell>
          <cell r="I2171">
            <v>153388</v>
          </cell>
          <cell r="J2171" t="str">
            <v>REPUESTO</v>
          </cell>
          <cell r="K2171" t="str">
            <v>ACEITE 15W40</v>
          </cell>
          <cell r="L2171">
            <v>0.5</v>
          </cell>
          <cell r="M2171" t="str">
            <v>GLNS.</v>
          </cell>
          <cell r="N2171" t="str">
            <v>TRACTO</v>
          </cell>
          <cell r="O2171">
            <v>0</v>
          </cell>
          <cell r="P2171" t="str">
            <v>M5</v>
          </cell>
          <cell r="Q2171" t="str">
            <v>J1</v>
          </cell>
          <cell r="R2171" t="str">
            <v>J5</v>
          </cell>
          <cell r="S2171" t="str">
            <v>ENTREGADO</v>
          </cell>
          <cell r="T2171">
            <v>42707</v>
          </cell>
          <cell r="U2171" t="str">
            <v>LOPEZ RUIZ WILBERTO</v>
          </cell>
          <cell r="V2171" t="str">
            <v>FLOREZ CONDORI  JOSE WILLIANS</v>
          </cell>
        </row>
        <row r="2172">
          <cell r="A2172">
            <v>2131</v>
          </cell>
          <cell r="B2172">
            <v>42707</v>
          </cell>
          <cell r="C2172" t="str">
            <v>DICIEMBRE</v>
          </cell>
          <cell r="D2172" t="str">
            <v>2016</v>
          </cell>
          <cell r="E2172">
            <v>427</v>
          </cell>
          <cell r="F2172" t="str">
            <v>X2W-759</v>
          </cell>
          <cell r="G2172" t="str">
            <v>C5V-999</v>
          </cell>
          <cell r="H2172" t="str">
            <v>LAS BAMBAS</v>
          </cell>
          <cell r="I2172">
            <v>153388</v>
          </cell>
          <cell r="J2172" t="str">
            <v>REPUESTO</v>
          </cell>
          <cell r="K2172" t="str">
            <v>LIQUIDO REFRIGERANTE</v>
          </cell>
          <cell r="L2172">
            <v>1</v>
          </cell>
          <cell r="M2172" t="str">
            <v>GLNS.</v>
          </cell>
          <cell r="N2172" t="str">
            <v>TRACTO</v>
          </cell>
          <cell r="O2172">
            <v>0</v>
          </cell>
          <cell r="P2172" t="str">
            <v>M5</v>
          </cell>
          <cell r="Q2172" t="str">
            <v>J1</v>
          </cell>
          <cell r="R2172" t="str">
            <v>J5</v>
          </cell>
          <cell r="S2172" t="str">
            <v>ENTREGADO</v>
          </cell>
          <cell r="T2172">
            <v>42707</v>
          </cell>
          <cell r="U2172" t="str">
            <v>LOPEZ RUIZ WILBERTO</v>
          </cell>
          <cell r="V2172" t="str">
            <v>FLOREZ CONDORI  JOSE WILLIANS</v>
          </cell>
        </row>
        <row r="2173">
          <cell r="A2173">
            <v>2132</v>
          </cell>
          <cell r="B2173">
            <v>42707</v>
          </cell>
          <cell r="C2173" t="str">
            <v>DICIEMBRE</v>
          </cell>
          <cell r="D2173" t="str">
            <v>2016</v>
          </cell>
          <cell r="E2173">
            <v>427</v>
          </cell>
          <cell r="F2173" t="str">
            <v>X2W-759</v>
          </cell>
          <cell r="G2173" t="str">
            <v>C5V-999</v>
          </cell>
          <cell r="H2173" t="str">
            <v>LAS BAMBAS</v>
          </cell>
          <cell r="I2173">
            <v>153388</v>
          </cell>
          <cell r="J2173" t="str">
            <v>REPUESTO</v>
          </cell>
          <cell r="K2173" t="str">
            <v>LIQUIDO LIMPIAPARABRISAS</v>
          </cell>
          <cell r="L2173">
            <v>1</v>
          </cell>
          <cell r="M2173" t="str">
            <v>GLNS.</v>
          </cell>
          <cell r="N2173" t="str">
            <v>TRACTO</v>
          </cell>
          <cell r="O2173">
            <v>0</v>
          </cell>
          <cell r="P2173" t="str">
            <v>M5</v>
          </cell>
          <cell r="Q2173" t="str">
            <v>J1</v>
          </cell>
          <cell r="R2173" t="str">
            <v>J5</v>
          </cell>
          <cell r="S2173" t="str">
            <v>ENTREGADO</v>
          </cell>
          <cell r="T2173">
            <v>42707</v>
          </cell>
          <cell r="U2173" t="str">
            <v>LOPEZ RUIZ WILBERTO</v>
          </cell>
          <cell r="V2173" t="str">
            <v>FLOREZ CONDORI  JOSE WILLIANS</v>
          </cell>
        </row>
        <row r="2174">
          <cell r="A2174">
            <v>2133</v>
          </cell>
          <cell r="B2174">
            <v>42707</v>
          </cell>
          <cell r="C2174" t="str">
            <v>DICIEMBRE</v>
          </cell>
          <cell r="D2174" t="str">
            <v>2016</v>
          </cell>
          <cell r="E2174">
            <v>427</v>
          </cell>
          <cell r="F2174" t="str">
            <v>X2W-759</v>
          </cell>
          <cell r="G2174" t="str">
            <v>C5V-999</v>
          </cell>
          <cell r="H2174" t="str">
            <v>LAS BAMBAS</v>
          </cell>
          <cell r="I2174">
            <v>153388</v>
          </cell>
          <cell r="J2174" t="str">
            <v>REPUESTO</v>
          </cell>
          <cell r="K2174" t="str">
            <v>FILTRO DE AIRE</v>
          </cell>
          <cell r="L2174">
            <v>1</v>
          </cell>
          <cell r="M2174" t="str">
            <v>UNID.</v>
          </cell>
          <cell r="N2174" t="str">
            <v>TRACTO</v>
          </cell>
          <cell r="O2174">
            <v>0</v>
          </cell>
          <cell r="P2174" t="str">
            <v>M5</v>
          </cell>
          <cell r="Q2174" t="str">
            <v>J1</v>
          </cell>
          <cell r="R2174" t="str">
            <v>J5</v>
          </cell>
          <cell r="S2174" t="str">
            <v>ENTREGADO</v>
          </cell>
          <cell r="T2174">
            <v>42707</v>
          </cell>
          <cell r="U2174" t="str">
            <v>LOPEZ RUIZ WILBERTO</v>
          </cell>
          <cell r="V2174" t="str">
            <v>FLOREZ CONDORI  JOSE WILLIANS</v>
          </cell>
        </row>
        <row r="2175">
          <cell r="A2175">
            <v>2148</v>
          </cell>
          <cell r="B2175">
            <v>42707</v>
          </cell>
          <cell r="C2175" t="str">
            <v>DICIEMBRE</v>
          </cell>
          <cell r="D2175" t="str">
            <v>2016</v>
          </cell>
          <cell r="E2175">
            <v>427</v>
          </cell>
          <cell r="F2175" t="str">
            <v>X2W-759</v>
          </cell>
          <cell r="G2175" t="str">
            <v>C5V-999</v>
          </cell>
          <cell r="H2175" t="str">
            <v>LAS BAMBAS</v>
          </cell>
          <cell r="I2175">
            <v>153388</v>
          </cell>
          <cell r="J2175" t="str">
            <v>REPUESTO</v>
          </cell>
          <cell r="K2175" t="str">
            <v>MINIFUSIBLES DE 20 A</v>
          </cell>
          <cell r="L2175">
            <v>5</v>
          </cell>
          <cell r="M2175" t="str">
            <v>UNID.</v>
          </cell>
          <cell r="N2175" t="str">
            <v>TRACTO</v>
          </cell>
          <cell r="O2175">
            <v>0</v>
          </cell>
          <cell r="P2175" t="str">
            <v>E2</v>
          </cell>
          <cell r="Q2175" t="str">
            <v>J1</v>
          </cell>
          <cell r="R2175" t="str">
            <v>J5</v>
          </cell>
          <cell r="S2175" t="str">
            <v>ENTREGADO</v>
          </cell>
          <cell r="T2175">
            <v>42707</v>
          </cell>
          <cell r="U2175" t="str">
            <v>YUCA BELLIDO BORIS YERSY</v>
          </cell>
          <cell r="V2175" t="str">
            <v>FLOREZ CONDORI  JOSE WILLIANS</v>
          </cell>
        </row>
        <row r="2176">
          <cell r="A2176">
            <v>2155</v>
          </cell>
          <cell r="B2176">
            <v>42708</v>
          </cell>
          <cell r="C2176" t="str">
            <v>DICIEMBRE</v>
          </cell>
          <cell r="D2176" t="str">
            <v>2016</v>
          </cell>
          <cell r="E2176">
            <v>389</v>
          </cell>
          <cell r="F2176" t="str">
            <v>ABQ-704</v>
          </cell>
          <cell r="G2176" t="str">
            <v>TBB-995</v>
          </cell>
          <cell r="H2176" t="str">
            <v>LAS BAMBAS</v>
          </cell>
          <cell r="I2176">
            <v>108737</v>
          </cell>
          <cell r="J2176" t="str">
            <v>REPUESTO</v>
          </cell>
          <cell r="K2176" t="str">
            <v>VALVULA DE LIBERACION RAPIDA</v>
          </cell>
          <cell r="L2176">
            <v>1</v>
          </cell>
          <cell r="M2176" t="str">
            <v>UNID.</v>
          </cell>
          <cell r="N2176" t="str">
            <v>CISTERNA</v>
          </cell>
          <cell r="O2176">
            <v>82</v>
          </cell>
          <cell r="P2176" t="str">
            <v>M8</v>
          </cell>
          <cell r="Q2176" t="str">
            <v>J2</v>
          </cell>
          <cell r="R2176" t="str">
            <v>J1</v>
          </cell>
          <cell r="S2176" t="str">
            <v>PENDIENTE</v>
          </cell>
          <cell r="T2176">
            <v>0</v>
          </cell>
          <cell r="U2176" t="str">
            <v>VARILLAS GAGO  OSCAR ALBERTO</v>
          </cell>
          <cell r="V2176" t="str">
            <v>CORIHUAMAN SURCO  ERICK ROBERT</v>
          </cell>
        </row>
        <row r="2177">
          <cell r="A2177">
            <v>2156</v>
          </cell>
          <cell r="B2177">
            <v>42708</v>
          </cell>
          <cell r="C2177" t="str">
            <v>DICIEMBRE</v>
          </cell>
          <cell r="D2177" t="str">
            <v>2016</v>
          </cell>
          <cell r="E2177">
            <v>389</v>
          </cell>
          <cell r="F2177" t="str">
            <v>ABQ-704</v>
          </cell>
          <cell r="G2177" t="str">
            <v>TBB-995</v>
          </cell>
          <cell r="H2177" t="str">
            <v>LAS BAMBAS</v>
          </cell>
          <cell r="I2177">
            <v>108737</v>
          </cell>
          <cell r="J2177" t="str">
            <v>REPUESTO</v>
          </cell>
          <cell r="K2177" t="str">
            <v>NIPLE DE 1/2 A 3/8</v>
          </cell>
          <cell r="L2177">
            <v>1</v>
          </cell>
          <cell r="M2177" t="str">
            <v>UNID.</v>
          </cell>
          <cell r="N2177" t="str">
            <v>CISTERNA</v>
          </cell>
          <cell r="O2177">
            <v>0</v>
          </cell>
          <cell r="P2177" t="str">
            <v>M8</v>
          </cell>
          <cell r="Q2177" t="str">
            <v>J2</v>
          </cell>
          <cell r="R2177" t="str">
            <v>J1</v>
          </cell>
          <cell r="S2177" t="str">
            <v>ENTREGADO</v>
          </cell>
          <cell r="T2177">
            <v>42708</v>
          </cell>
          <cell r="U2177" t="str">
            <v>VARILLAS GAGO  OSCAR ALBERTO</v>
          </cell>
          <cell r="V2177" t="str">
            <v>CORIHUAMAN SURCO  ERICK ROBERT</v>
          </cell>
        </row>
        <row r="2178">
          <cell r="A2178">
            <v>2157</v>
          </cell>
          <cell r="B2178">
            <v>42708</v>
          </cell>
          <cell r="C2178" t="str">
            <v>DICIEMBRE</v>
          </cell>
          <cell r="D2178" t="str">
            <v>2016</v>
          </cell>
          <cell r="E2178">
            <v>389</v>
          </cell>
          <cell r="F2178" t="str">
            <v>ABQ-704</v>
          </cell>
          <cell r="G2178" t="str">
            <v>TBB-995</v>
          </cell>
          <cell r="H2178" t="str">
            <v>LAS BAMBAS</v>
          </cell>
          <cell r="I2178">
            <v>108737</v>
          </cell>
          <cell r="J2178" t="str">
            <v>REPUESTO</v>
          </cell>
          <cell r="K2178" t="str">
            <v>CONO, GUIA, TUERCA DE 3/8</v>
          </cell>
          <cell r="L2178">
            <v>3</v>
          </cell>
          <cell r="M2178" t="str">
            <v>UNID.</v>
          </cell>
          <cell r="N2178" t="str">
            <v>CISTERNA</v>
          </cell>
          <cell r="O2178">
            <v>0</v>
          </cell>
          <cell r="P2178" t="str">
            <v>M8</v>
          </cell>
          <cell r="Q2178" t="str">
            <v>J2</v>
          </cell>
          <cell r="R2178" t="str">
            <v>J1</v>
          </cell>
          <cell r="S2178" t="str">
            <v>ENTREGADO</v>
          </cell>
          <cell r="T2178">
            <v>42708</v>
          </cell>
          <cell r="U2178" t="str">
            <v>VARILLAS GAGO  OSCAR ALBERTO</v>
          </cell>
          <cell r="V2178" t="str">
            <v>CORIHUAMAN SURCO  ERICK ROBERT</v>
          </cell>
        </row>
        <row r="2179">
          <cell r="A2179">
            <v>2158</v>
          </cell>
          <cell r="B2179">
            <v>42708</v>
          </cell>
          <cell r="C2179" t="str">
            <v>DICIEMBRE</v>
          </cell>
          <cell r="D2179" t="str">
            <v>2016</v>
          </cell>
          <cell r="E2179">
            <v>389</v>
          </cell>
          <cell r="F2179" t="str">
            <v>ABQ-704</v>
          </cell>
          <cell r="G2179" t="str">
            <v>TBB-995</v>
          </cell>
          <cell r="H2179" t="str">
            <v>LAS BAMBAS</v>
          </cell>
          <cell r="I2179">
            <v>108737</v>
          </cell>
          <cell r="J2179" t="str">
            <v>REPUESTO</v>
          </cell>
          <cell r="K2179" t="str">
            <v>PRECINTOS</v>
          </cell>
          <cell r="L2179">
            <v>10</v>
          </cell>
          <cell r="M2179" t="str">
            <v>UNID.</v>
          </cell>
          <cell r="N2179" t="str">
            <v>CISTERNA</v>
          </cell>
          <cell r="O2179">
            <v>0</v>
          </cell>
          <cell r="P2179" t="str">
            <v>M8</v>
          </cell>
          <cell r="Q2179" t="str">
            <v>J2</v>
          </cell>
          <cell r="R2179" t="str">
            <v>J1</v>
          </cell>
          <cell r="S2179" t="str">
            <v>ENTREGADO</v>
          </cell>
          <cell r="T2179">
            <v>42708</v>
          </cell>
          <cell r="U2179" t="str">
            <v>VARILLAS GAGO  OSCAR ALBERTO</v>
          </cell>
          <cell r="V2179" t="str">
            <v>CORIHUAMAN SURCO  ERICK ROBERT</v>
          </cell>
        </row>
        <row r="2180">
          <cell r="A2180">
            <v>2160</v>
          </cell>
          <cell r="B2180">
            <v>42708</v>
          </cell>
          <cell r="C2180" t="str">
            <v>DICIEMBRE</v>
          </cell>
          <cell r="D2180" t="str">
            <v>2016</v>
          </cell>
          <cell r="E2180">
            <v>491</v>
          </cell>
          <cell r="F2180" t="str">
            <v>D6F-898</v>
          </cell>
          <cell r="G2180" t="str">
            <v>T4L-996</v>
          </cell>
          <cell r="H2180" t="str">
            <v>LAS BAMBAS</v>
          </cell>
          <cell r="I2180">
            <v>162871</v>
          </cell>
          <cell r="J2180" t="str">
            <v>REPUESTO</v>
          </cell>
          <cell r="K2180" t="str">
            <v>AGUA LIMPIA PARABRISAS</v>
          </cell>
          <cell r="L2180">
            <v>1</v>
          </cell>
          <cell r="M2180" t="str">
            <v>GLNS.</v>
          </cell>
          <cell r="N2180" t="str">
            <v>TRACTO</v>
          </cell>
          <cell r="O2180">
            <v>0</v>
          </cell>
          <cell r="P2180" t="str">
            <v>M5</v>
          </cell>
          <cell r="Q2180" t="str">
            <v>J2</v>
          </cell>
          <cell r="R2180" t="str">
            <v>J1</v>
          </cell>
          <cell r="S2180" t="str">
            <v>ENTREGADO</v>
          </cell>
          <cell r="T2180">
            <v>42708</v>
          </cell>
          <cell r="U2180" t="str">
            <v>LOPEZ RUIZ WILBERTO</v>
          </cell>
          <cell r="V2180" t="str">
            <v>CORIHUAMAN SURCO  ERICK ROBERT</v>
          </cell>
        </row>
        <row r="2181">
          <cell r="A2181">
            <v>2161</v>
          </cell>
          <cell r="B2181">
            <v>42708</v>
          </cell>
          <cell r="C2181" t="str">
            <v>DICIEMBRE</v>
          </cell>
          <cell r="D2181" t="str">
            <v>2016</v>
          </cell>
          <cell r="E2181">
            <v>509</v>
          </cell>
          <cell r="F2181" t="str">
            <v>D6F-903</v>
          </cell>
          <cell r="G2181" t="str">
            <v>B8K-997</v>
          </cell>
          <cell r="H2181" t="str">
            <v>LAS BAMBAS</v>
          </cell>
          <cell r="I2181">
            <v>217714</v>
          </cell>
          <cell r="J2181" t="str">
            <v>REPUESTO</v>
          </cell>
          <cell r="K2181" t="str">
            <v xml:space="preserve">SOLICITO TURBO </v>
          </cell>
          <cell r="L2181">
            <v>1</v>
          </cell>
          <cell r="M2181" t="str">
            <v>UNID.</v>
          </cell>
          <cell r="N2181" t="str">
            <v>TRACTO</v>
          </cell>
          <cell r="O2181">
            <v>0</v>
          </cell>
          <cell r="P2181" t="str">
            <v>M7</v>
          </cell>
          <cell r="Q2181" t="str">
            <v>J2</v>
          </cell>
          <cell r="R2181" t="str">
            <v>J2</v>
          </cell>
          <cell r="S2181" t="str">
            <v>ENTREGADO</v>
          </cell>
          <cell r="T2181">
            <v>42708</v>
          </cell>
          <cell r="U2181" t="str">
            <v>ROBLES ROJAS  JOSE MIGUEL</v>
          </cell>
          <cell r="V2181" t="str">
            <v>CORIHUAMAN SURCO  ERICK ROBERT</v>
          </cell>
        </row>
        <row r="2182">
          <cell r="A2182">
            <v>2159</v>
          </cell>
          <cell r="B2182">
            <v>42708</v>
          </cell>
          <cell r="C2182" t="str">
            <v>DICIEMBRE</v>
          </cell>
          <cell r="D2182" t="str">
            <v>2016</v>
          </cell>
          <cell r="E2182">
            <v>510</v>
          </cell>
          <cell r="F2182" t="str">
            <v>D6F-907</v>
          </cell>
          <cell r="G2182" t="str">
            <v>T2Y-979</v>
          </cell>
          <cell r="H2182" t="str">
            <v>LAS BAMBAS</v>
          </cell>
          <cell r="I2182">
            <v>199465</v>
          </cell>
          <cell r="J2182" t="str">
            <v>REPUESTO</v>
          </cell>
          <cell r="K2182" t="str">
            <v>BASE PARA FILTRO SEPARADOR DE AGUA</v>
          </cell>
          <cell r="L2182">
            <v>1</v>
          </cell>
          <cell r="M2182" t="str">
            <v>UNID.</v>
          </cell>
          <cell r="N2182" t="str">
            <v>TRACTO</v>
          </cell>
          <cell r="O2182">
            <v>0</v>
          </cell>
          <cell r="P2182" t="str">
            <v>M8</v>
          </cell>
          <cell r="Q2182" t="str">
            <v>J2</v>
          </cell>
          <cell r="R2182" t="str">
            <v>J1</v>
          </cell>
          <cell r="S2182" t="str">
            <v>ENTREGADO</v>
          </cell>
          <cell r="T2182">
            <v>42708</v>
          </cell>
          <cell r="U2182" t="str">
            <v>VARILLAS GAGO  OSCAR ALBERTO</v>
          </cell>
          <cell r="V2182" t="str">
            <v>CORIHUAMAN SURCO  ERICK ROBERT</v>
          </cell>
        </row>
        <row r="2183">
          <cell r="A2183">
            <v>2154</v>
          </cell>
          <cell r="B2183">
            <v>42708</v>
          </cell>
          <cell r="C2183" t="str">
            <v>DICIEMBRE</v>
          </cell>
          <cell r="D2183" t="str">
            <v>2016</v>
          </cell>
          <cell r="E2183">
            <v>512</v>
          </cell>
          <cell r="F2183" t="str">
            <v>X2W-760</v>
          </cell>
          <cell r="G2183" t="str">
            <v>C5V-992</v>
          </cell>
          <cell r="H2183" t="str">
            <v>LAS BAMBAS</v>
          </cell>
          <cell r="I2183">
            <v>149602</v>
          </cell>
          <cell r="J2183" t="str">
            <v>REPUESTO</v>
          </cell>
          <cell r="K2183" t="str">
            <v>PARCHE RACK 10</v>
          </cell>
          <cell r="L2183">
            <v>2</v>
          </cell>
          <cell r="M2183" t="str">
            <v>UNID.</v>
          </cell>
          <cell r="N2183" t="str">
            <v>CISTERNA</v>
          </cell>
          <cell r="O2183">
            <v>0</v>
          </cell>
          <cell r="P2183" t="str">
            <v>N2</v>
          </cell>
          <cell r="Q2183" t="str">
            <v>J2</v>
          </cell>
          <cell r="R2183" t="str">
            <v>J1</v>
          </cell>
          <cell r="S2183" t="str">
            <v>ENTREGADO</v>
          </cell>
          <cell r="T2183">
            <v>42708</v>
          </cell>
          <cell r="U2183" t="str">
            <v>MAMANI LARICO  EDUARDO ALVARO</v>
          </cell>
          <cell r="V2183" t="str">
            <v>CORIHUAMAN SURCO  ERICK ROBERT</v>
          </cell>
        </row>
        <row r="2184">
          <cell r="A2184">
            <v>2182</v>
          </cell>
          <cell r="B2184">
            <v>42709</v>
          </cell>
          <cell r="C2184" t="str">
            <v>DICIEMBRE</v>
          </cell>
          <cell r="D2184" t="str">
            <v>2016</v>
          </cell>
          <cell r="E2184">
            <v>308</v>
          </cell>
          <cell r="F2184" t="str">
            <v>A9H-889</v>
          </cell>
          <cell r="G2184" t="str">
            <v>CAMION</v>
          </cell>
          <cell r="H2184" t="str">
            <v>TAMBOMAYO</v>
          </cell>
          <cell r="I2184">
            <v>120654</v>
          </cell>
          <cell r="J2184" t="str">
            <v>REPUESTO</v>
          </cell>
          <cell r="K2184" t="str">
            <v>SUPERCITO</v>
          </cell>
          <cell r="L2184">
            <v>1</v>
          </cell>
          <cell r="M2184" t="str">
            <v>KG.</v>
          </cell>
          <cell r="N2184" t="str">
            <v>CISTERNA</v>
          </cell>
          <cell r="O2184">
            <v>0</v>
          </cell>
          <cell r="P2184" t="str">
            <v>S4</v>
          </cell>
          <cell r="Q2184" t="str">
            <v>J1</v>
          </cell>
          <cell r="R2184" t="str">
            <v>J6</v>
          </cell>
          <cell r="S2184" t="str">
            <v>ENTREGADO</v>
          </cell>
          <cell r="T2184">
            <v>42709</v>
          </cell>
          <cell r="U2184" t="str">
            <v>SURCO QUISPE JOHNNY</v>
          </cell>
          <cell r="V2184" t="str">
            <v>FLOREZ CONDORI  JOSE WILLIANS</v>
          </cell>
        </row>
        <row r="2185">
          <cell r="A2185">
            <v>2183</v>
          </cell>
          <cell r="B2185">
            <v>42709</v>
          </cell>
          <cell r="C2185" t="str">
            <v>DICIEMBRE</v>
          </cell>
          <cell r="D2185" t="str">
            <v>2016</v>
          </cell>
          <cell r="E2185">
            <v>308</v>
          </cell>
          <cell r="F2185" t="str">
            <v>A9H-889</v>
          </cell>
          <cell r="G2185" t="str">
            <v>CAMION</v>
          </cell>
          <cell r="H2185" t="str">
            <v>TAMBOMAYO</v>
          </cell>
          <cell r="I2185">
            <v>120654</v>
          </cell>
          <cell r="J2185" t="str">
            <v>REPUESTO</v>
          </cell>
          <cell r="K2185" t="str">
            <v>LUNAS CLARAS</v>
          </cell>
          <cell r="L2185">
            <v>2</v>
          </cell>
          <cell r="M2185" t="str">
            <v>UNID.</v>
          </cell>
          <cell r="N2185" t="str">
            <v>TALLER</v>
          </cell>
          <cell r="O2185">
            <v>0</v>
          </cell>
          <cell r="P2185" t="str">
            <v>S4</v>
          </cell>
          <cell r="Q2185" t="str">
            <v>J1</v>
          </cell>
          <cell r="R2185" t="str">
            <v>J6</v>
          </cell>
          <cell r="S2185" t="str">
            <v>ENTREGADO</v>
          </cell>
          <cell r="T2185">
            <v>42709</v>
          </cell>
          <cell r="U2185" t="str">
            <v>SURCO QUISPE JOHNNY</v>
          </cell>
          <cell r="V2185" t="str">
            <v>FLOREZ CONDORI  JOSE WILLIANS</v>
          </cell>
        </row>
        <row r="2186">
          <cell r="A2186">
            <v>2194</v>
          </cell>
          <cell r="B2186">
            <v>42709</v>
          </cell>
          <cell r="C2186" t="str">
            <v>DICIEMBRE</v>
          </cell>
          <cell r="D2186" t="str">
            <v>2016</v>
          </cell>
          <cell r="E2186">
            <v>421</v>
          </cell>
          <cell r="F2186" t="str">
            <v>AKW-860</v>
          </cell>
          <cell r="G2186" t="str">
            <v>F5Z-991</v>
          </cell>
          <cell r="H2186" t="str">
            <v>LAS BAMBAS</v>
          </cell>
          <cell r="I2186">
            <v>37840</v>
          </cell>
          <cell r="J2186" t="str">
            <v>REPUESTO</v>
          </cell>
          <cell r="K2186" t="str">
            <v>ZAPATAZ PARA CARRETA</v>
          </cell>
          <cell r="L2186">
            <v>2</v>
          </cell>
          <cell r="M2186" t="str">
            <v>UNID.</v>
          </cell>
          <cell r="N2186" t="str">
            <v>CISTERNA</v>
          </cell>
          <cell r="O2186">
            <v>0</v>
          </cell>
          <cell r="P2186" t="str">
            <v>M3</v>
          </cell>
          <cell r="Q2186" t="str">
            <v>J1</v>
          </cell>
          <cell r="R2186" t="str">
            <v>J1</v>
          </cell>
          <cell r="S2186" t="str">
            <v>ENTREGADO</v>
          </cell>
          <cell r="T2186">
            <v>42709</v>
          </cell>
          <cell r="U2186" t="str">
            <v>GARCIA PASQUEL  JOSE LUIS</v>
          </cell>
          <cell r="V2186" t="str">
            <v>FLOREZ CONDORI  JOSE WILLIANS</v>
          </cell>
        </row>
        <row r="2187">
          <cell r="A2187">
            <v>2187</v>
          </cell>
          <cell r="B2187">
            <v>42709</v>
          </cell>
          <cell r="C2187" t="str">
            <v>DICIEMBRE</v>
          </cell>
          <cell r="D2187" t="str">
            <v>2016</v>
          </cell>
          <cell r="E2187">
            <v>440</v>
          </cell>
          <cell r="F2187" t="str">
            <v>B9E-813</v>
          </cell>
          <cell r="G2187" t="str">
            <v>CAMIONETA</v>
          </cell>
          <cell r="H2187" t="str">
            <v>LOGISTICA</v>
          </cell>
          <cell r="I2187">
            <v>0</v>
          </cell>
          <cell r="J2187" t="str">
            <v>REPUESTO</v>
          </cell>
          <cell r="K2187" t="str">
            <v>FOCOS LAGRIMAS DE 12 V</v>
          </cell>
          <cell r="L2187">
            <v>2</v>
          </cell>
          <cell r="M2187" t="str">
            <v>UNID.</v>
          </cell>
          <cell r="N2187" t="str">
            <v>CAMIONETA</v>
          </cell>
          <cell r="O2187">
            <v>0</v>
          </cell>
          <cell r="P2187" t="str">
            <v>E3</v>
          </cell>
          <cell r="Q2187" t="str">
            <v>J1</v>
          </cell>
          <cell r="R2187" t="str">
            <v>J6</v>
          </cell>
          <cell r="S2187" t="str">
            <v>ENTREGADO</v>
          </cell>
          <cell r="T2187">
            <v>42709</v>
          </cell>
          <cell r="U2187" t="str">
            <v>CONDORI CHURATA ALEX</v>
          </cell>
          <cell r="V2187" t="str">
            <v>FLOREZ CONDORI  JOSE WILLIANS</v>
          </cell>
        </row>
        <row r="2188">
          <cell r="A2188">
            <v>2190</v>
          </cell>
          <cell r="B2188">
            <v>42709</v>
          </cell>
          <cell r="C2188" t="str">
            <v>DICIEMBRE</v>
          </cell>
          <cell r="D2188" t="str">
            <v>2016</v>
          </cell>
          <cell r="E2188">
            <v>372</v>
          </cell>
          <cell r="F2188" t="str">
            <v>C5R-892</v>
          </cell>
          <cell r="G2188" t="str">
            <v>A0T-983</v>
          </cell>
          <cell r="H2188" t="str">
            <v>LAS BAMBAS</v>
          </cell>
          <cell r="I2188">
            <v>225360</v>
          </cell>
          <cell r="J2188" t="str">
            <v>REPUESTO</v>
          </cell>
          <cell r="K2188" t="str">
            <v>CORREA DE ALTERNADOR</v>
          </cell>
          <cell r="L2188">
            <v>1</v>
          </cell>
          <cell r="M2188" t="str">
            <v>UNID.</v>
          </cell>
          <cell r="N2188" t="str">
            <v>TRACTO</v>
          </cell>
          <cell r="O2188">
            <v>0</v>
          </cell>
          <cell r="P2188" t="str">
            <v>J1</v>
          </cell>
          <cell r="Q2188" t="str">
            <v>J1</v>
          </cell>
          <cell r="R2188" t="str">
            <v>J6</v>
          </cell>
          <cell r="S2188" t="str">
            <v>ENTREGADO</v>
          </cell>
          <cell r="T2188">
            <v>42709</v>
          </cell>
          <cell r="U2188" t="str">
            <v>FLOREZ CONDORI  JOSE WILLIANS</v>
          </cell>
          <cell r="V2188" t="str">
            <v>FLOREZ CONDORI  JOSE WILLIANS</v>
          </cell>
        </row>
        <row r="2189">
          <cell r="A2189">
            <v>2184</v>
          </cell>
          <cell r="B2189">
            <v>42709</v>
          </cell>
          <cell r="C2189" t="str">
            <v>DICIEMBRE</v>
          </cell>
          <cell r="D2189" t="str">
            <v>2016</v>
          </cell>
          <cell r="E2189">
            <v>455</v>
          </cell>
          <cell r="F2189" t="str">
            <v>C9P-948</v>
          </cell>
          <cell r="G2189" t="str">
            <v>B4O-995</v>
          </cell>
          <cell r="H2189" t="str">
            <v>LAS BAMBAS</v>
          </cell>
          <cell r="I2189">
            <v>156586</v>
          </cell>
          <cell r="J2189" t="str">
            <v>REPUESTO</v>
          </cell>
          <cell r="K2189" t="str">
            <v>PERNO 5/16 X 1</v>
          </cell>
          <cell r="L2189">
            <v>4</v>
          </cell>
          <cell r="M2189" t="str">
            <v>UNID.</v>
          </cell>
          <cell r="N2189" t="str">
            <v>CISTERNA</v>
          </cell>
          <cell r="O2189">
            <v>0</v>
          </cell>
          <cell r="P2189" t="str">
            <v>S2</v>
          </cell>
          <cell r="Q2189" t="str">
            <v>J1</v>
          </cell>
          <cell r="R2189" t="str">
            <v>J6</v>
          </cell>
          <cell r="S2189" t="str">
            <v>ENTREGADO</v>
          </cell>
          <cell r="T2189">
            <v>42709</v>
          </cell>
          <cell r="U2189" t="str">
            <v>PALOMINO ESTRADA  MICHEL</v>
          </cell>
          <cell r="V2189" t="str">
            <v>FLOREZ CONDORI  JOSE WILLIANS</v>
          </cell>
        </row>
        <row r="2190">
          <cell r="A2190">
            <v>2185</v>
          </cell>
          <cell r="B2190">
            <v>42709</v>
          </cell>
          <cell r="C2190" t="str">
            <v>DICIEMBRE</v>
          </cell>
          <cell r="D2190" t="str">
            <v>2016</v>
          </cell>
          <cell r="E2190">
            <v>455</v>
          </cell>
          <cell r="F2190" t="str">
            <v>C9P-948</v>
          </cell>
          <cell r="G2190" t="str">
            <v>B4O-995</v>
          </cell>
          <cell r="H2190" t="str">
            <v>LAS BAMBAS</v>
          </cell>
          <cell r="I2190">
            <v>156586</v>
          </cell>
          <cell r="J2190" t="str">
            <v>REPUESTO</v>
          </cell>
          <cell r="K2190" t="str">
            <v>TUERCA SEGURO 5/16</v>
          </cell>
          <cell r="L2190">
            <v>4</v>
          </cell>
          <cell r="M2190" t="str">
            <v>UNID.</v>
          </cell>
          <cell r="N2190" t="str">
            <v>CISTERNA</v>
          </cell>
          <cell r="O2190">
            <v>0</v>
          </cell>
          <cell r="P2190" t="str">
            <v>S2</v>
          </cell>
          <cell r="Q2190" t="str">
            <v>J1</v>
          </cell>
          <cell r="R2190" t="str">
            <v>J6</v>
          </cell>
          <cell r="S2190" t="str">
            <v>ENTREGADO</v>
          </cell>
          <cell r="T2190">
            <v>42709</v>
          </cell>
          <cell r="U2190" t="str">
            <v>PALOMINO ESTRADA  MICHEL</v>
          </cell>
          <cell r="V2190" t="str">
            <v>FLOREZ CONDORI  JOSE WILLIANS</v>
          </cell>
        </row>
        <row r="2191">
          <cell r="A2191">
            <v>2186</v>
          </cell>
          <cell r="B2191">
            <v>42709</v>
          </cell>
          <cell r="C2191" t="str">
            <v>DICIEMBRE</v>
          </cell>
          <cell r="D2191" t="str">
            <v>2016</v>
          </cell>
          <cell r="E2191">
            <v>455</v>
          </cell>
          <cell r="F2191" t="str">
            <v>C9P-948</v>
          </cell>
          <cell r="G2191" t="str">
            <v>B4O-995</v>
          </cell>
          <cell r="H2191" t="str">
            <v>LAS BAMBAS</v>
          </cell>
          <cell r="I2191">
            <v>156586</v>
          </cell>
          <cell r="J2191" t="str">
            <v>REPUESTO</v>
          </cell>
          <cell r="K2191" t="str">
            <v>ARANDELA PLANA 5/16</v>
          </cell>
          <cell r="L2191">
            <v>4</v>
          </cell>
          <cell r="M2191" t="str">
            <v>UNID.</v>
          </cell>
          <cell r="N2191" t="str">
            <v>CISTERNA</v>
          </cell>
          <cell r="O2191">
            <v>0</v>
          </cell>
          <cell r="P2191" t="str">
            <v>S2</v>
          </cell>
          <cell r="Q2191" t="str">
            <v>J1</v>
          </cell>
          <cell r="R2191" t="str">
            <v>J6</v>
          </cell>
          <cell r="S2191" t="str">
            <v>ENTREGADO</v>
          </cell>
          <cell r="T2191">
            <v>42709</v>
          </cell>
          <cell r="U2191" t="str">
            <v>PALOMINO ESTRADA  MICHEL</v>
          </cell>
          <cell r="V2191" t="str">
            <v>FLOREZ CONDORI  JOSE WILLIANS</v>
          </cell>
        </row>
        <row r="2192">
          <cell r="A2192">
            <v>2193</v>
          </cell>
          <cell r="B2192">
            <v>42709</v>
          </cell>
          <cell r="C2192" t="str">
            <v>DICIEMBRE</v>
          </cell>
          <cell r="D2192" t="str">
            <v>2016</v>
          </cell>
          <cell r="E2192">
            <v>455</v>
          </cell>
          <cell r="F2192" t="str">
            <v>C9P-948</v>
          </cell>
          <cell r="G2192" t="str">
            <v>B4O-995</v>
          </cell>
          <cell r="H2192" t="str">
            <v>LAS BAMBAS</v>
          </cell>
          <cell r="I2192">
            <v>156586</v>
          </cell>
          <cell r="J2192" t="str">
            <v>REPUESTO</v>
          </cell>
          <cell r="K2192" t="str">
            <v>BISAGRAS 1/2 X 4</v>
          </cell>
          <cell r="L2192">
            <v>2</v>
          </cell>
          <cell r="M2192" t="str">
            <v>UNID.</v>
          </cell>
          <cell r="N2192" t="str">
            <v>CISTERNA</v>
          </cell>
          <cell r="O2192">
            <v>81</v>
          </cell>
          <cell r="P2192" t="str">
            <v>S2</v>
          </cell>
          <cell r="Q2192" t="str">
            <v>J1</v>
          </cell>
          <cell r="R2192" t="str">
            <v>J6</v>
          </cell>
          <cell r="S2192" t="str">
            <v>PENDIENTE</v>
          </cell>
          <cell r="T2192">
            <v>0</v>
          </cell>
          <cell r="U2192" t="str">
            <v>PALOMINO ESTRADA  MICHEL</v>
          </cell>
          <cell r="V2192" t="str">
            <v>FLOREZ CONDORI  JOSE WILLIANS</v>
          </cell>
        </row>
        <row r="2193">
          <cell r="A2193">
            <v>2168</v>
          </cell>
          <cell r="B2193">
            <v>42709</v>
          </cell>
          <cell r="C2193" t="str">
            <v>DICIEMBRE</v>
          </cell>
          <cell r="D2193" t="str">
            <v>2016</v>
          </cell>
          <cell r="E2193">
            <v>202</v>
          </cell>
          <cell r="F2193" t="str">
            <v>D3P-752</v>
          </cell>
          <cell r="G2193" t="str">
            <v>C5Y-985</v>
          </cell>
          <cell r="H2193" t="str">
            <v>LAS BAMBAS</v>
          </cell>
          <cell r="I2193">
            <v>150504</v>
          </cell>
          <cell r="J2193" t="str">
            <v>REPUESTO</v>
          </cell>
          <cell r="K2193" t="str">
            <v>CABLE 3 X 16</v>
          </cell>
          <cell r="L2193">
            <v>1.5</v>
          </cell>
          <cell r="M2193" t="str">
            <v>M</v>
          </cell>
          <cell r="N2193" t="str">
            <v>TRACTO</v>
          </cell>
          <cell r="O2193">
            <v>0</v>
          </cell>
          <cell r="P2193" t="str">
            <v>E1</v>
          </cell>
          <cell r="Q2193" t="str">
            <v>J1</v>
          </cell>
          <cell r="R2193" t="str">
            <v>J6</v>
          </cell>
          <cell r="S2193" t="str">
            <v>ENTREGADO</v>
          </cell>
          <cell r="T2193">
            <v>42709</v>
          </cell>
          <cell r="U2193" t="str">
            <v>PALOMINO CARDENAS JUAN CARLOS</v>
          </cell>
          <cell r="V2193" t="str">
            <v>FLOREZ CONDORI  JOSE WILLIANS</v>
          </cell>
        </row>
        <row r="2194">
          <cell r="A2194">
            <v>2169</v>
          </cell>
          <cell r="B2194">
            <v>42709</v>
          </cell>
          <cell r="C2194" t="str">
            <v>DICIEMBRE</v>
          </cell>
          <cell r="D2194" t="str">
            <v>2016</v>
          </cell>
          <cell r="E2194">
            <v>202</v>
          </cell>
          <cell r="F2194" t="str">
            <v>D3P-752</v>
          </cell>
          <cell r="G2194" t="str">
            <v>C5Y-985</v>
          </cell>
          <cell r="H2194" t="str">
            <v>LAS BAMBAS</v>
          </cell>
          <cell r="I2194">
            <v>150504</v>
          </cell>
          <cell r="J2194" t="str">
            <v>REPUESTO</v>
          </cell>
          <cell r="K2194" t="str">
            <v>PERNOS 5/16 X 1 1/2</v>
          </cell>
          <cell r="L2194">
            <v>2</v>
          </cell>
          <cell r="M2194" t="str">
            <v>UNID.</v>
          </cell>
          <cell r="N2194" t="str">
            <v>TRACTO</v>
          </cell>
          <cell r="O2194">
            <v>0</v>
          </cell>
          <cell r="P2194" t="str">
            <v>E1</v>
          </cell>
          <cell r="Q2194" t="str">
            <v>J1</v>
          </cell>
          <cell r="R2194" t="str">
            <v>J6</v>
          </cell>
          <cell r="S2194" t="str">
            <v>ENTREGADO</v>
          </cell>
          <cell r="T2194">
            <v>42709</v>
          </cell>
          <cell r="U2194" t="str">
            <v>PALOMINO CARDENAS JUAN CARLOS</v>
          </cell>
          <cell r="V2194" t="str">
            <v>FLOREZ CONDORI  JOSE WILLIANS</v>
          </cell>
        </row>
        <row r="2195">
          <cell r="A2195">
            <v>2170</v>
          </cell>
          <cell r="B2195">
            <v>42709</v>
          </cell>
          <cell r="C2195" t="str">
            <v>DICIEMBRE</v>
          </cell>
          <cell r="D2195" t="str">
            <v>2016</v>
          </cell>
          <cell r="E2195">
            <v>202</v>
          </cell>
          <cell r="F2195" t="str">
            <v>D3P-752</v>
          </cell>
          <cell r="G2195" t="str">
            <v>C5Y-985</v>
          </cell>
          <cell r="H2195" t="str">
            <v>LAS BAMBAS</v>
          </cell>
          <cell r="I2195">
            <v>150504</v>
          </cell>
          <cell r="J2195" t="str">
            <v>REPUESTO</v>
          </cell>
          <cell r="K2195" t="str">
            <v>TUERCA SEGURO 5/16</v>
          </cell>
          <cell r="L2195">
            <v>2</v>
          </cell>
          <cell r="M2195" t="str">
            <v>UNID.</v>
          </cell>
          <cell r="N2195" t="str">
            <v>TRACTO</v>
          </cell>
          <cell r="O2195">
            <v>0</v>
          </cell>
          <cell r="P2195" t="str">
            <v>E1</v>
          </cell>
          <cell r="Q2195" t="str">
            <v>J1</v>
          </cell>
          <cell r="R2195" t="str">
            <v>J6</v>
          </cell>
          <cell r="S2195" t="str">
            <v>ENTREGADO</v>
          </cell>
          <cell r="T2195">
            <v>42709</v>
          </cell>
          <cell r="U2195" t="str">
            <v>PALOMINO CARDENAS JUAN CARLOS</v>
          </cell>
          <cell r="V2195" t="str">
            <v>FLOREZ CONDORI  JOSE WILLIANS</v>
          </cell>
        </row>
        <row r="2196">
          <cell r="A2196">
            <v>2171</v>
          </cell>
          <cell r="B2196">
            <v>42709</v>
          </cell>
          <cell r="C2196" t="str">
            <v>DICIEMBRE</v>
          </cell>
          <cell r="D2196" t="str">
            <v>2016</v>
          </cell>
          <cell r="E2196">
            <v>202</v>
          </cell>
          <cell r="F2196" t="str">
            <v>D3P-752</v>
          </cell>
          <cell r="G2196" t="str">
            <v>C5Y-985</v>
          </cell>
          <cell r="H2196" t="str">
            <v>LAS BAMBAS</v>
          </cell>
          <cell r="I2196">
            <v>150504</v>
          </cell>
          <cell r="J2196" t="str">
            <v>REPUESTO</v>
          </cell>
          <cell r="K2196" t="str">
            <v>ARANDELA PLANA 5/16</v>
          </cell>
          <cell r="L2196">
            <v>12</v>
          </cell>
          <cell r="M2196" t="str">
            <v>UNID.</v>
          </cell>
          <cell r="N2196" t="str">
            <v>TRACTO</v>
          </cell>
          <cell r="O2196">
            <v>0</v>
          </cell>
          <cell r="P2196" t="str">
            <v>E1</v>
          </cell>
          <cell r="Q2196" t="str">
            <v>J1</v>
          </cell>
          <cell r="R2196" t="str">
            <v>J6</v>
          </cell>
          <cell r="S2196" t="str">
            <v>ENTREGADO</v>
          </cell>
          <cell r="T2196">
            <v>42709</v>
          </cell>
          <cell r="U2196" t="str">
            <v>PALOMINO CARDENAS JUAN CARLOS</v>
          </cell>
          <cell r="V2196" t="str">
            <v>FLOREZ CONDORI  JOSE WILLIANS</v>
          </cell>
        </row>
        <row r="2197">
          <cell r="A2197">
            <v>2172</v>
          </cell>
          <cell r="B2197">
            <v>42709</v>
          </cell>
          <cell r="C2197" t="str">
            <v>DICIEMBRE</v>
          </cell>
          <cell r="D2197" t="str">
            <v>2016</v>
          </cell>
          <cell r="E2197">
            <v>202</v>
          </cell>
          <cell r="F2197" t="str">
            <v>D3P-752</v>
          </cell>
          <cell r="G2197" t="str">
            <v>C5Y-985</v>
          </cell>
          <cell r="H2197" t="str">
            <v>LAS BAMBAS</v>
          </cell>
          <cell r="I2197">
            <v>150504</v>
          </cell>
          <cell r="J2197" t="str">
            <v>REPUESTO</v>
          </cell>
          <cell r="K2197" t="str">
            <v>PRESINTO 200</v>
          </cell>
          <cell r="L2197">
            <v>10</v>
          </cell>
          <cell r="M2197" t="str">
            <v>UNID.</v>
          </cell>
          <cell r="N2197" t="str">
            <v>TRACTO</v>
          </cell>
          <cell r="O2197">
            <v>0</v>
          </cell>
          <cell r="P2197" t="str">
            <v>E1</v>
          </cell>
          <cell r="Q2197" t="str">
            <v>J1</v>
          </cell>
          <cell r="R2197" t="str">
            <v>J6</v>
          </cell>
          <cell r="S2197" t="str">
            <v>ENTREGADO</v>
          </cell>
          <cell r="T2197">
            <v>42709</v>
          </cell>
          <cell r="U2197" t="str">
            <v>PALOMINO CARDENAS JUAN CARLOS</v>
          </cell>
          <cell r="V2197" t="str">
            <v>FLOREZ CONDORI  JOSE WILLIANS</v>
          </cell>
        </row>
        <row r="2198">
          <cell r="A2198">
            <v>2163</v>
          </cell>
          <cell r="B2198">
            <v>42709</v>
          </cell>
          <cell r="C2198" t="str">
            <v>DICIEMBRE</v>
          </cell>
          <cell r="D2198" t="str">
            <v>2016</v>
          </cell>
          <cell r="E2198">
            <v>506</v>
          </cell>
          <cell r="F2198" t="str">
            <v>D3P-754</v>
          </cell>
          <cell r="G2198" t="str">
            <v>C0V-971</v>
          </cell>
          <cell r="H2198" t="str">
            <v>LAS BAMBAS</v>
          </cell>
          <cell r="I2198">
            <v>163530</v>
          </cell>
          <cell r="J2198" t="str">
            <v>REPUESTO</v>
          </cell>
          <cell r="K2198" t="str">
            <v>TAPA O MEDIDOR DE HIDROLINA</v>
          </cell>
          <cell r="L2198">
            <v>1</v>
          </cell>
          <cell r="M2198" t="str">
            <v>UNID.</v>
          </cell>
          <cell r="N2198" t="str">
            <v>TRACTO</v>
          </cell>
          <cell r="O2198">
            <v>0</v>
          </cell>
          <cell r="P2198" t="str">
            <v>M2</v>
          </cell>
          <cell r="Q2198" t="str">
            <v>J1</v>
          </cell>
          <cell r="R2198" t="str">
            <v>J6</v>
          </cell>
          <cell r="S2198" t="str">
            <v>ENTREGADO</v>
          </cell>
          <cell r="T2198">
            <v>42709</v>
          </cell>
          <cell r="U2198" t="str">
            <v>CHUMPITAZ GAGO JULIO ENRIQUE</v>
          </cell>
          <cell r="V2198" t="str">
            <v>FLOREZ CONDORI  JOSE WILLIANS</v>
          </cell>
        </row>
        <row r="2199">
          <cell r="A2199">
            <v>2164</v>
          </cell>
          <cell r="B2199">
            <v>42709</v>
          </cell>
          <cell r="C2199" t="str">
            <v>DICIEMBRE</v>
          </cell>
          <cell r="D2199" t="str">
            <v>2016</v>
          </cell>
          <cell r="E2199">
            <v>506</v>
          </cell>
          <cell r="F2199" t="str">
            <v>D3P-754</v>
          </cell>
          <cell r="G2199" t="str">
            <v>C0V-971</v>
          </cell>
          <cell r="H2199" t="str">
            <v>LAS BAMBAS</v>
          </cell>
          <cell r="I2199">
            <v>163530</v>
          </cell>
          <cell r="J2199" t="str">
            <v>REPUESTO</v>
          </cell>
          <cell r="K2199" t="str">
            <v>FAJA DE ALTERNADOR</v>
          </cell>
          <cell r="L2199">
            <v>1</v>
          </cell>
          <cell r="M2199" t="str">
            <v>UNID.</v>
          </cell>
          <cell r="N2199" t="str">
            <v>TRACTO</v>
          </cell>
          <cell r="O2199">
            <v>0</v>
          </cell>
          <cell r="P2199" t="str">
            <v>M2</v>
          </cell>
          <cell r="Q2199" t="str">
            <v>J1</v>
          </cell>
          <cell r="R2199" t="str">
            <v>J6</v>
          </cell>
          <cell r="S2199" t="str">
            <v>ENTREGADO</v>
          </cell>
          <cell r="T2199">
            <v>42709</v>
          </cell>
          <cell r="U2199" t="str">
            <v>CHUMPITAZ GAGO JULIO ENRIQUE</v>
          </cell>
          <cell r="V2199" t="str">
            <v>FLOREZ CONDORI  JOSE WILLIANS</v>
          </cell>
        </row>
        <row r="2200">
          <cell r="A2200">
            <v>2165</v>
          </cell>
          <cell r="B2200">
            <v>42709</v>
          </cell>
          <cell r="C2200" t="str">
            <v>DICIEMBRE</v>
          </cell>
          <cell r="D2200" t="str">
            <v>2016</v>
          </cell>
          <cell r="E2200">
            <v>506</v>
          </cell>
          <cell r="F2200" t="str">
            <v>D3P-754</v>
          </cell>
          <cell r="G2200" t="str">
            <v>C0V-971</v>
          </cell>
          <cell r="H2200" t="str">
            <v>LAS BAMBAS</v>
          </cell>
          <cell r="I2200">
            <v>163530</v>
          </cell>
          <cell r="J2200" t="str">
            <v>SERVICIO</v>
          </cell>
          <cell r="K2200" t="str">
            <v>REPARACION DE RADIADOR CON INTERCOOLER</v>
          </cell>
          <cell r="L2200">
            <v>1</v>
          </cell>
          <cell r="M2200" t="str">
            <v>UNID.</v>
          </cell>
          <cell r="N2200" t="str">
            <v>TRACTO</v>
          </cell>
          <cell r="O2200">
            <v>0</v>
          </cell>
          <cell r="P2200" t="str">
            <v>M2</v>
          </cell>
          <cell r="Q2200" t="str">
            <v>J1</v>
          </cell>
          <cell r="R2200" t="str">
            <v>J6</v>
          </cell>
          <cell r="S2200" t="str">
            <v>ENTREGADO</v>
          </cell>
          <cell r="T2200">
            <v>42709</v>
          </cell>
          <cell r="U2200" t="str">
            <v>CHUMPITAZ GAGO JULIO ENRIQUE</v>
          </cell>
          <cell r="V2200" t="str">
            <v>FLOREZ CONDORI  JOSE WILLIANS</v>
          </cell>
        </row>
        <row r="2201">
          <cell r="A2201">
            <v>2166</v>
          </cell>
          <cell r="B2201">
            <v>42709</v>
          </cell>
          <cell r="C2201" t="str">
            <v>DICIEMBRE</v>
          </cell>
          <cell r="D2201" t="str">
            <v>2016</v>
          </cell>
          <cell r="E2201">
            <v>506</v>
          </cell>
          <cell r="F2201" t="str">
            <v>D3P-754</v>
          </cell>
          <cell r="G2201" t="str">
            <v>C0V-971</v>
          </cell>
          <cell r="H2201" t="str">
            <v>LAS BAMBAS</v>
          </cell>
          <cell r="I2201">
            <v>163530</v>
          </cell>
          <cell r="J2201" t="str">
            <v>REPUESTO</v>
          </cell>
          <cell r="K2201" t="str">
            <v>PLATO DISCO DE EMBRAGUE COMPLETO</v>
          </cell>
          <cell r="L2201">
            <v>1</v>
          </cell>
          <cell r="M2201" t="str">
            <v>UNID.</v>
          </cell>
          <cell r="N2201" t="str">
            <v>TRACTO</v>
          </cell>
          <cell r="O2201">
            <v>0</v>
          </cell>
          <cell r="P2201" t="str">
            <v>M2</v>
          </cell>
          <cell r="Q2201" t="str">
            <v>J1</v>
          </cell>
          <cell r="R2201" t="str">
            <v>J6</v>
          </cell>
          <cell r="S2201" t="str">
            <v>ENTREGADO</v>
          </cell>
          <cell r="T2201">
            <v>42709</v>
          </cell>
          <cell r="U2201" t="str">
            <v>CHUMPITAZ GAGO JULIO ENRIQUE</v>
          </cell>
          <cell r="V2201" t="str">
            <v>FLOREZ CONDORI  JOSE WILLIANS</v>
          </cell>
        </row>
        <row r="2202">
          <cell r="A2202">
            <v>2167</v>
          </cell>
          <cell r="B2202">
            <v>42709</v>
          </cell>
          <cell r="C2202" t="str">
            <v>DICIEMBRE</v>
          </cell>
          <cell r="D2202" t="str">
            <v>2016</v>
          </cell>
          <cell r="E2202">
            <v>506</v>
          </cell>
          <cell r="F2202" t="str">
            <v>D3P-754</v>
          </cell>
          <cell r="G2202" t="str">
            <v>C0V-971</v>
          </cell>
          <cell r="H2202" t="str">
            <v>LAS BAMBAS</v>
          </cell>
          <cell r="I2202">
            <v>163530</v>
          </cell>
          <cell r="J2202" t="str">
            <v>REPUESTO</v>
          </cell>
          <cell r="K2202" t="str">
            <v>EMBRAGUE COMPLETO</v>
          </cell>
          <cell r="L2202">
            <v>1</v>
          </cell>
          <cell r="M2202" t="str">
            <v>UNID.</v>
          </cell>
          <cell r="N2202" t="str">
            <v>TRACTO</v>
          </cell>
          <cell r="O2202">
            <v>0</v>
          </cell>
          <cell r="P2202" t="str">
            <v>M2</v>
          </cell>
          <cell r="Q2202" t="str">
            <v>J1</v>
          </cell>
          <cell r="R2202" t="str">
            <v>J6</v>
          </cell>
          <cell r="S2202" t="str">
            <v>ENTREGADO</v>
          </cell>
          <cell r="T2202">
            <v>42709</v>
          </cell>
          <cell r="U2202" t="str">
            <v>CHUMPITAZ GAGO JULIO ENRIQUE</v>
          </cell>
          <cell r="V2202" t="str">
            <v>FLOREZ CONDORI  JOSE WILLIANS</v>
          </cell>
        </row>
        <row r="2203">
          <cell r="A2203">
            <v>2181</v>
          </cell>
          <cell r="B2203">
            <v>42709</v>
          </cell>
          <cell r="C2203" t="str">
            <v>DICIEMBRE</v>
          </cell>
          <cell r="D2203" t="str">
            <v>2016</v>
          </cell>
          <cell r="E2203">
            <v>491</v>
          </cell>
          <cell r="F2203" t="str">
            <v>D6F-898</v>
          </cell>
          <cell r="G2203" t="str">
            <v>T4L-996</v>
          </cell>
          <cell r="H2203" t="str">
            <v>LAS BAMBAS</v>
          </cell>
          <cell r="I2203">
            <v>162871</v>
          </cell>
          <cell r="J2203" t="str">
            <v>REPUESTO</v>
          </cell>
          <cell r="K2203" t="str">
            <v>FOCO DE DOBLE CONTACTO 12 V</v>
          </cell>
          <cell r="L2203">
            <v>1</v>
          </cell>
          <cell r="M2203" t="str">
            <v>UNID.</v>
          </cell>
          <cell r="N2203" t="str">
            <v>TRACTO</v>
          </cell>
          <cell r="O2203">
            <v>0</v>
          </cell>
          <cell r="P2203" t="str">
            <v>E3</v>
          </cell>
          <cell r="Q2203" t="str">
            <v>J1</v>
          </cell>
          <cell r="R2203" t="str">
            <v>J6</v>
          </cell>
          <cell r="S2203" t="str">
            <v>ENTREGADO</v>
          </cell>
          <cell r="T2203">
            <v>42709</v>
          </cell>
          <cell r="U2203" t="str">
            <v>CONDORI CHURATA ALEX</v>
          </cell>
          <cell r="V2203" t="str">
            <v>FLOREZ CONDORI  JOSE WILLIANS</v>
          </cell>
        </row>
        <row r="2204">
          <cell r="A2204">
            <v>2188</v>
          </cell>
          <cell r="B2204">
            <v>42709</v>
          </cell>
          <cell r="C2204" t="str">
            <v>DICIEMBRE</v>
          </cell>
          <cell r="D2204" t="str">
            <v>2016</v>
          </cell>
          <cell r="E2204">
            <v>491</v>
          </cell>
          <cell r="F2204" t="str">
            <v>D6F-898</v>
          </cell>
          <cell r="G2204" t="str">
            <v>T4L-996</v>
          </cell>
          <cell r="H2204" t="str">
            <v>LAS BAMBAS</v>
          </cell>
          <cell r="I2204">
            <v>162871</v>
          </cell>
          <cell r="J2204" t="str">
            <v>REPUESTO</v>
          </cell>
          <cell r="K2204" t="str">
            <v xml:space="preserve">SOCKET </v>
          </cell>
          <cell r="L2204">
            <v>1</v>
          </cell>
          <cell r="M2204" t="str">
            <v>UNID.</v>
          </cell>
          <cell r="N2204" t="str">
            <v>TRACTO</v>
          </cell>
          <cell r="O2204">
            <v>0</v>
          </cell>
          <cell r="P2204" t="str">
            <v>E3</v>
          </cell>
          <cell r="Q2204" t="str">
            <v>J1</v>
          </cell>
          <cell r="R2204" t="str">
            <v>J6</v>
          </cell>
          <cell r="S2204" t="str">
            <v>ENTREGADO</v>
          </cell>
          <cell r="T2204">
            <v>42709</v>
          </cell>
          <cell r="U2204" t="str">
            <v>CONDORI CHURATA ALEX</v>
          </cell>
          <cell r="V2204" t="str">
            <v>FLOREZ CONDORI  JOSE WILLIANS</v>
          </cell>
        </row>
        <row r="2205">
          <cell r="A2205">
            <v>2189</v>
          </cell>
          <cell r="B2205">
            <v>42709</v>
          </cell>
          <cell r="C2205" t="str">
            <v>DICIEMBRE</v>
          </cell>
          <cell r="D2205" t="str">
            <v>2016</v>
          </cell>
          <cell r="E2205">
            <v>491</v>
          </cell>
          <cell r="F2205" t="str">
            <v>D6F-898</v>
          </cell>
          <cell r="G2205" t="str">
            <v>T4L-996</v>
          </cell>
          <cell r="H2205" t="str">
            <v>LAS BAMBAS</v>
          </cell>
          <cell r="I2205">
            <v>162871</v>
          </cell>
          <cell r="J2205" t="str">
            <v>REPUESTO</v>
          </cell>
          <cell r="K2205" t="str">
            <v>FOCO LAGRIMON 12 V</v>
          </cell>
          <cell r="L2205">
            <v>1</v>
          </cell>
          <cell r="M2205" t="str">
            <v>UNID.</v>
          </cell>
          <cell r="N2205" t="str">
            <v>TRACTO</v>
          </cell>
          <cell r="O2205">
            <v>0</v>
          </cell>
          <cell r="P2205" t="str">
            <v>E3</v>
          </cell>
          <cell r="Q2205" t="str">
            <v>J1</v>
          </cell>
          <cell r="R2205" t="str">
            <v>J6</v>
          </cell>
          <cell r="S2205" t="str">
            <v>ENTREGADO</v>
          </cell>
          <cell r="T2205">
            <v>42709</v>
          </cell>
          <cell r="U2205" t="str">
            <v>CONDORI CHURATA ALEX</v>
          </cell>
          <cell r="V2205" t="str">
            <v>FLOREZ CONDORI  JOSE WILLIANS</v>
          </cell>
        </row>
        <row r="2206">
          <cell r="A2206">
            <v>2177</v>
          </cell>
          <cell r="B2206">
            <v>42709</v>
          </cell>
          <cell r="C2206" t="str">
            <v>DICIEMBRE</v>
          </cell>
          <cell r="D2206" t="str">
            <v>2016</v>
          </cell>
          <cell r="E2206">
            <v>509</v>
          </cell>
          <cell r="F2206" t="str">
            <v>D6F-903</v>
          </cell>
          <cell r="G2206" t="str">
            <v>B8K-997</v>
          </cell>
          <cell r="H2206" t="str">
            <v>LAS BAMBAS</v>
          </cell>
          <cell r="I2206">
            <v>217714</v>
          </cell>
          <cell r="J2206" t="str">
            <v>REPUESTO</v>
          </cell>
          <cell r="K2206" t="str">
            <v>MULTIPLE DE ESCAPE DEL MEDIO</v>
          </cell>
          <cell r="L2206">
            <v>1</v>
          </cell>
          <cell r="M2206" t="str">
            <v>UNID.</v>
          </cell>
          <cell r="N2206" t="str">
            <v>TRACTO</v>
          </cell>
          <cell r="O2206">
            <v>0</v>
          </cell>
          <cell r="P2206" t="str">
            <v>M7</v>
          </cell>
          <cell r="Q2206" t="str">
            <v>J1</v>
          </cell>
          <cell r="R2206" t="str">
            <v>J6</v>
          </cell>
          <cell r="S2206" t="str">
            <v>ENTREGADO</v>
          </cell>
          <cell r="T2206">
            <v>42709</v>
          </cell>
          <cell r="U2206" t="str">
            <v>ROBLES ROJAS  JOSE MIGUEL</v>
          </cell>
          <cell r="V2206" t="str">
            <v>FLOREZ CONDORI  JOSE WILLIANS</v>
          </cell>
        </row>
        <row r="2207">
          <cell r="A2207">
            <v>2178</v>
          </cell>
          <cell r="B2207">
            <v>42709</v>
          </cell>
          <cell r="C2207" t="str">
            <v>DICIEMBRE</v>
          </cell>
          <cell r="D2207" t="str">
            <v>2016</v>
          </cell>
          <cell r="E2207">
            <v>509</v>
          </cell>
          <cell r="F2207" t="str">
            <v>D6F-903</v>
          </cell>
          <cell r="G2207" t="str">
            <v>B8K-997</v>
          </cell>
          <cell r="H2207" t="str">
            <v>LAS BAMBAS</v>
          </cell>
          <cell r="I2207">
            <v>217714</v>
          </cell>
          <cell r="J2207" t="str">
            <v>REPUESTO</v>
          </cell>
          <cell r="K2207" t="str">
            <v>EMPAQUE DEL MULTIPLE DE ESCAPE</v>
          </cell>
          <cell r="L2207">
            <v>1</v>
          </cell>
          <cell r="M2207" t="str">
            <v>UNID.</v>
          </cell>
          <cell r="N2207" t="str">
            <v>TRACTO</v>
          </cell>
          <cell r="O2207">
            <v>0</v>
          </cell>
          <cell r="P2207" t="str">
            <v>M7</v>
          </cell>
          <cell r="Q2207" t="str">
            <v>J1</v>
          </cell>
          <cell r="R2207" t="str">
            <v>J6</v>
          </cell>
          <cell r="S2207" t="str">
            <v>ENTREGADO</v>
          </cell>
          <cell r="T2207">
            <v>42709</v>
          </cell>
          <cell r="U2207" t="str">
            <v>ROBLES ROJAS  JOSE MIGUEL</v>
          </cell>
          <cell r="V2207" t="str">
            <v>FLOREZ CONDORI  JOSE WILLIANS</v>
          </cell>
        </row>
        <row r="2208">
          <cell r="A2208">
            <v>2179</v>
          </cell>
          <cell r="B2208">
            <v>42709</v>
          </cell>
          <cell r="C2208" t="str">
            <v>DICIEMBRE</v>
          </cell>
          <cell r="D2208" t="str">
            <v>2016</v>
          </cell>
          <cell r="E2208">
            <v>509</v>
          </cell>
          <cell r="F2208" t="str">
            <v>D6F-903</v>
          </cell>
          <cell r="G2208" t="str">
            <v>B8K-997</v>
          </cell>
          <cell r="H2208" t="str">
            <v>LAS BAMBAS</v>
          </cell>
          <cell r="I2208">
            <v>217714</v>
          </cell>
          <cell r="J2208" t="str">
            <v>REPUESTO</v>
          </cell>
          <cell r="K2208" t="str">
            <v>PERNOS DEL MULTIPLE DE ESCAPE COMPLETO</v>
          </cell>
          <cell r="L2208">
            <v>12</v>
          </cell>
          <cell r="M2208" t="str">
            <v>UNID.</v>
          </cell>
          <cell r="N2208" t="str">
            <v>TRACTO</v>
          </cell>
          <cell r="O2208">
            <v>0</v>
          </cell>
          <cell r="P2208" t="str">
            <v>M7</v>
          </cell>
          <cell r="Q2208" t="str">
            <v>J1</v>
          </cell>
          <cell r="R2208" t="str">
            <v>J6</v>
          </cell>
          <cell r="S2208" t="str">
            <v>ENTREGADO</v>
          </cell>
          <cell r="T2208">
            <v>42709</v>
          </cell>
          <cell r="U2208" t="str">
            <v>ROBLES ROJAS  JOSE MIGUEL</v>
          </cell>
          <cell r="V2208" t="str">
            <v>FLOREZ CONDORI  JOSE WILLIANS</v>
          </cell>
        </row>
        <row r="2209">
          <cell r="A2209">
            <v>2176</v>
          </cell>
          <cell r="B2209">
            <v>42709</v>
          </cell>
          <cell r="C2209" t="str">
            <v>DICIEMBRE</v>
          </cell>
          <cell r="D2209" t="str">
            <v>2016</v>
          </cell>
          <cell r="E2209">
            <v>510</v>
          </cell>
          <cell r="F2209" t="str">
            <v>D6F-907</v>
          </cell>
          <cell r="G2209" t="str">
            <v>T2Y-979</v>
          </cell>
          <cell r="H2209" t="str">
            <v>LAS BAMBAS</v>
          </cell>
          <cell r="I2209">
            <v>199465</v>
          </cell>
          <cell r="J2209" t="str">
            <v>REPUESTO</v>
          </cell>
          <cell r="K2209" t="str">
            <v>FOCO DE DOBLE CONTACTO 12 V</v>
          </cell>
          <cell r="L2209">
            <v>1</v>
          </cell>
          <cell r="M2209" t="str">
            <v>UNID.</v>
          </cell>
          <cell r="N2209" t="str">
            <v>TRACTO</v>
          </cell>
          <cell r="O2209">
            <v>0</v>
          </cell>
          <cell r="P2209" t="str">
            <v>E2</v>
          </cell>
          <cell r="Q2209" t="str">
            <v>J1</v>
          </cell>
          <cell r="R2209" t="str">
            <v>J6</v>
          </cell>
          <cell r="S2209" t="str">
            <v>ENTREGADO</v>
          </cell>
          <cell r="T2209">
            <v>42709</v>
          </cell>
          <cell r="U2209" t="str">
            <v>YUCA BELLIDO BORIS YERSY</v>
          </cell>
          <cell r="V2209" t="str">
            <v>FLOREZ CONDORI  JOSE WILLIANS</v>
          </cell>
        </row>
        <row r="2210">
          <cell r="A2210">
            <v>2192</v>
          </cell>
          <cell r="B2210">
            <v>42709</v>
          </cell>
          <cell r="C2210" t="str">
            <v>DICIEMBRE</v>
          </cell>
          <cell r="D2210" t="str">
            <v>2016</v>
          </cell>
          <cell r="E2210">
            <v>454</v>
          </cell>
          <cell r="F2210" t="str">
            <v>D6G-806</v>
          </cell>
          <cell r="G2210" t="str">
            <v>B8K-998</v>
          </cell>
          <cell r="H2210" t="str">
            <v>LAS BAMBAS</v>
          </cell>
          <cell r="I2210">
            <v>218209</v>
          </cell>
          <cell r="J2210" t="str">
            <v>REPUESTO</v>
          </cell>
          <cell r="K2210" t="str">
            <v>CARCASA DE TABLERO</v>
          </cell>
          <cell r="L2210">
            <v>1</v>
          </cell>
          <cell r="M2210" t="str">
            <v>UNID.</v>
          </cell>
          <cell r="N2210" t="str">
            <v>TRACTO</v>
          </cell>
          <cell r="O2210">
            <v>0</v>
          </cell>
          <cell r="P2210" t="str">
            <v>E2</v>
          </cell>
          <cell r="Q2210" t="str">
            <v>J1</v>
          </cell>
          <cell r="R2210" t="str">
            <v>J6</v>
          </cell>
          <cell r="S2210" t="str">
            <v>ENTREGADO</v>
          </cell>
          <cell r="T2210">
            <v>42709</v>
          </cell>
          <cell r="U2210" t="str">
            <v>YUCA BELLIDO BORIS YERSY</v>
          </cell>
          <cell r="V2210" t="str">
            <v>FLOREZ CONDORI  JOSE WILLIANS</v>
          </cell>
        </row>
        <row r="2211">
          <cell r="A2211">
            <v>2162</v>
          </cell>
          <cell r="B2211">
            <v>42709</v>
          </cell>
          <cell r="C2211" t="str">
            <v>DICIEMBRE</v>
          </cell>
          <cell r="D2211" t="str">
            <v>2016</v>
          </cell>
          <cell r="E2211">
            <v>200</v>
          </cell>
          <cell r="F2211" t="str">
            <v>TALLER</v>
          </cell>
          <cell r="G2211" t="str">
            <v>TALLER</v>
          </cell>
          <cell r="H2211" t="str">
            <v>TALLER</v>
          </cell>
          <cell r="I2211" t="str">
            <v>TALLER</v>
          </cell>
          <cell r="J2211" t="str">
            <v>UNIFORMES</v>
          </cell>
          <cell r="K2211" t="str">
            <v>TAIVEX "L"</v>
          </cell>
          <cell r="L2211">
            <v>1</v>
          </cell>
          <cell r="M2211" t="str">
            <v>UNID.</v>
          </cell>
          <cell r="N2211" t="str">
            <v>TALLER</v>
          </cell>
          <cell r="O2211">
            <v>0</v>
          </cell>
          <cell r="P2211" t="str">
            <v>M3</v>
          </cell>
          <cell r="Q2211" t="str">
            <v>J1</v>
          </cell>
          <cell r="R2211" t="str">
            <v>J6</v>
          </cell>
          <cell r="S2211" t="str">
            <v>ENTREGADO</v>
          </cell>
          <cell r="T2211">
            <v>42709</v>
          </cell>
          <cell r="U2211" t="str">
            <v>GARCIA PASQUEL  JOSE LUIS</v>
          </cell>
          <cell r="V2211" t="str">
            <v>FLOREZ CONDORI  JOSE WILLIANS</v>
          </cell>
        </row>
        <row r="2212">
          <cell r="A2212">
            <v>2173</v>
          </cell>
          <cell r="B2212">
            <v>42709</v>
          </cell>
          <cell r="C2212" t="str">
            <v>DICIEMBRE</v>
          </cell>
          <cell r="D2212" t="str">
            <v>2016</v>
          </cell>
          <cell r="E2212">
            <v>200</v>
          </cell>
          <cell r="F2212" t="str">
            <v>TALLER</v>
          </cell>
          <cell r="G2212" t="str">
            <v>TALLER</v>
          </cell>
          <cell r="H2212" t="str">
            <v>TALLER</v>
          </cell>
          <cell r="I2212" t="str">
            <v>TALLER</v>
          </cell>
          <cell r="J2212" t="str">
            <v>INSUMO TALLER</v>
          </cell>
          <cell r="K2212" t="str">
            <v>CINTA NEGRA AISLANTE</v>
          </cell>
          <cell r="L2212">
            <v>1</v>
          </cell>
          <cell r="M2212" t="str">
            <v>UNID.</v>
          </cell>
          <cell r="N2212" t="str">
            <v>TALLER</v>
          </cell>
          <cell r="O2212">
            <v>0</v>
          </cell>
          <cell r="P2212" t="str">
            <v>E1</v>
          </cell>
          <cell r="Q2212" t="str">
            <v>J1</v>
          </cell>
          <cell r="R2212" t="str">
            <v>J6</v>
          </cell>
          <cell r="S2212" t="str">
            <v>ENTREGADO</v>
          </cell>
          <cell r="T2212">
            <v>42709</v>
          </cell>
          <cell r="U2212" t="str">
            <v>PALOMINO CARDENAS JUAN CARLOS</v>
          </cell>
          <cell r="V2212" t="str">
            <v>FLOREZ CONDORI  JOSE WILLIANS</v>
          </cell>
        </row>
        <row r="2213">
          <cell r="A2213">
            <v>2174</v>
          </cell>
          <cell r="B2213">
            <v>42709</v>
          </cell>
          <cell r="C2213" t="str">
            <v>DICIEMBRE</v>
          </cell>
          <cell r="D2213" t="str">
            <v>2016</v>
          </cell>
          <cell r="E2213">
            <v>200</v>
          </cell>
          <cell r="F2213" t="str">
            <v>TALLER</v>
          </cell>
          <cell r="G2213" t="str">
            <v>TALLER</v>
          </cell>
          <cell r="H2213" t="str">
            <v>TALLER</v>
          </cell>
          <cell r="I2213" t="str">
            <v>TALLER</v>
          </cell>
          <cell r="J2213" t="str">
            <v>UNIFORMES</v>
          </cell>
          <cell r="K2213" t="str">
            <v>TAIVEX "L"</v>
          </cell>
          <cell r="L2213">
            <v>1</v>
          </cell>
          <cell r="M2213" t="str">
            <v>UNID.</v>
          </cell>
          <cell r="N2213" t="str">
            <v>TALLER</v>
          </cell>
          <cell r="O2213">
            <v>0</v>
          </cell>
          <cell r="P2213" t="str">
            <v>N1</v>
          </cell>
          <cell r="Q2213" t="str">
            <v>J1</v>
          </cell>
          <cell r="R2213" t="str">
            <v>J6</v>
          </cell>
          <cell r="S2213" t="str">
            <v>ENTREGADO</v>
          </cell>
          <cell r="T2213">
            <v>42709</v>
          </cell>
          <cell r="U2213" t="str">
            <v>AGUILAR CCANTUTA WILLY</v>
          </cell>
          <cell r="V2213" t="str">
            <v>FLOREZ CONDORI  JOSE WILLIANS</v>
          </cell>
        </row>
        <row r="2214">
          <cell r="A2214">
            <v>2175</v>
          </cell>
          <cell r="B2214">
            <v>42709</v>
          </cell>
          <cell r="C2214" t="str">
            <v>DICIEMBRE</v>
          </cell>
          <cell r="D2214" t="str">
            <v>2016</v>
          </cell>
          <cell r="E2214">
            <v>200</v>
          </cell>
          <cell r="F2214" t="str">
            <v>TALLER</v>
          </cell>
          <cell r="G2214" t="str">
            <v>TALLER</v>
          </cell>
          <cell r="H2214" t="str">
            <v>TALLER</v>
          </cell>
          <cell r="I2214" t="str">
            <v>TALLER</v>
          </cell>
          <cell r="J2214" t="str">
            <v>UNIFORMES</v>
          </cell>
          <cell r="K2214" t="str">
            <v>TAIVEX "L"</v>
          </cell>
          <cell r="L2214">
            <v>1</v>
          </cell>
          <cell r="M2214" t="str">
            <v>UNID.</v>
          </cell>
          <cell r="N2214" t="str">
            <v>TALLER</v>
          </cell>
          <cell r="O2214">
            <v>0</v>
          </cell>
          <cell r="P2214" t="str">
            <v>N2</v>
          </cell>
          <cell r="Q2214" t="str">
            <v>J1</v>
          </cell>
          <cell r="R2214" t="str">
            <v>J6</v>
          </cell>
          <cell r="S2214" t="str">
            <v>ENTREGADO</v>
          </cell>
          <cell r="T2214">
            <v>42709</v>
          </cell>
          <cell r="U2214" t="str">
            <v>MAMANI LARICO  EDUARDO ALVARO</v>
          </cell>
          <cell r="V2214" t="str">
            <v>FLOREZ CONDORI  JOSE WILLIANS</v>
          </cell>
        </row>
        <row r="2215">
          <cell r="A2215">
            <v>2180</v>
          </cell>
          <cell r="B2215">
            <v>42709</v>
          </cell>
          <cell r="C2215" t="str">
            <v>DICIEMBRE</v>
          </cell>
          <cell r="D2215" t="str">
            <v>2016</v>
          </cell>
          <cell r="E2215">
            <v>200</v>
          </cell>
          <cell r="F2215" t="str">
            <v>TALLER</v>
          </cell>
          <cell r="G2215" t="str">
            <v>TALLER</v>
          </cell>
          <cell r="H2215" t="str">
            <v>TALLER</v>
          </cell>
          <cell r="I2215" t="str">
            <v>TALLER</v>
          </cell>
          <cell r="J2215" t="str">
            <v>INSUMO TALLER</v>
          </cell>
          <cell r="K2215" t="str">
            <v>CINTA AISLANTE NEGRA</v>
          </cell>
          <cell r="L2215">
            <v>1</v>
          </cell>
          <cell r="M2215" t="str">
            <v>UNID.</v>
          </cell>
          <cell r="N2215" t="str">
            <v>TALLER</v>
          </cell>
          <cell r="O2215">
            <v>0</v>
          </cell>
          <cell r="P2215" t="str">
            <v>E3</v>
          </cell>
          <cell r="Q2215" t="str">
            <v>J1</v>
          </cell>
          <cell r="R2215" t="str">
            <v>J6</v>
          </cell>
          <cell r="S2215" t="str">
            <v>ENTREGADO</v>
          </cell>
          <cell r="T2215">
            <v>42709</v>
          </cell>
          <cell r="U2215" t="str">
            <v>CONDORI CHURATA ALEX</v>
          </cell>
          <cell r="V2215" t="str">
            <v>FLOREZ CONDORI  JOSE WILLIANS</v>
          </cell>
        </row>
        <row r="2216">
          <cell r="A2216">
            <v>2191</v>
          </cell>
          <cell r="B2216">
            <v>42709</v>
          </cell>
          <cell r="C2216" t="str">
            <v>DICIEMBRE</v>
          </cell>
          <cell r="D2216" t="str">
            <v>2016</v>
          </cell>
          <cell r="E2216">
            <v>200</v>
          </cell>
          <cell r="F2216" t="str">
            <v>TALLER</v>
          </cell>
          <cell r="G2216" t="str">
            <v>TALLER</v>
          </cell>
          <cell r="H2216" t="str">
            <v>TALLER</v>
          </cell>
          <cell r="I2216" t="str">
            <v>TALLER</v>
          </cell>
          <cell r="J2216" t="str">
            <v>INSUMO TALLER</v>
          </cell>
          <cell r="K2216" t="str">
            <v>CINTA NEGRA AISLANTE</v>
          </cell>
          <cell r="L2216">
            <v>1</v>
          </cell>
          <cell r="M2216" t="str">
            <v>UNID.</v>
          </cell>
          <cell r="N2216" t="str">
            <v>TALLER</v>
          </cell>
          <cell r="O2216">
            <v>0</v>
          </cell>
          <cell r="P2216" t="str">
            <v>E2</v>
          </cell>
          <cell r="Q2216" t="str">
            <v>J1</v>
          </cell>
          <cell r="R2216" t="str">
            <v>J6</v>
          </cell>
          <cell r="S2216" t="str">
            <v>ENTREGADO</v>
          </cell>
          <cell r="T2216">
            <v>42709</v>
          </cell>
          <cell r="U2216" t="str">
            <v>YUCA BELLIDO BORIS YERSY</v>
          </cell>
          <cell r="V2216" t="str">
            <v>FLOREZ CONDORI  JOSE WILLIANS</v>
          </cell>
        </row>
        <row r="2217">
          <cell r="A2217">
            <v>2204</v>
          </cell>
          <cell r="B2217">
            <v>42710</v>
          </cell>
          <cell r="C2217" t="str">
            <v>DICIEMBRE</v>
          </cell>
          <cell r="D2217" t="str">
            <v>2016</v>
          </cell>
          <cell r="E2217">
            <v>308</v>
          </cell>
          <cell r="F2217" t="str">
            <v>A9H-889</v>
          </cell>
          <cell r="G2217" t="str">
            <v>CAMION</v>
          </cell>
          <cell r="H2217" t="str">
            <v>TAMBOMAYO</v>
          </cell>
          <cell r="I2217">
            <v>120654</v>
          </cell>
          <cell r="J2217" t="str">
            <v>REPUESTO</v>
          </cell>
          <cell r="K2217" t="str">
            <v>PERNO 5/16 X 1</v>
          </cell>
          <cell r="L2217">
            <v>2</v>
          </cell>
          <cell r="M2217" t="str">
            <v>UNID.</v>
          </cell>
          <cell r="N2217" t="str">
            <v>CISTERNA</v>
          </cell>
          <cell r="O2217">
            <v>0</v>
          </cell>
          <cell r="P2217" t="str">
            <v>S2</v>
          </cell>
          <cell r="Q2217" t="str">
            <v>J2</v>
          </cell>
          <cell r="R2217" t="str">
            <v>J6</v>
          </cell>
          <cell r="S2217" t="str">
            <v>ENTREGADO</v>
          </cell>
          <cell r="T2217">
            <v>42710</v>
          </cell>
          <cell r="U2217" t="str">
            <v>PALOMINO ESTRADA  MICHEL</v>
          </cell>
          <cell r="V2217" t="str">
            <v>CORIHUAMAN SURCO  ERICK ROBERT</v>
          </cell>
        </row>
        <row r="2218">
          <cell r="A2218">
            <v>2225</v>
          </cell>
          <cell r="B2218">
            <v>42710</v>
          </cell>
          <cell r="C2218" t="str">
            <v>DICIEMBRE</v>
          </cell>
          <cell r="D2218" t="str">
            <v>2016</v>
          </cell>
          <cell r="E2218">
            <v>517</v>
          </cell>
          <cell r="F2218" t="str">
            <v>ABQ-705</v>
          </cell>
          <cell r="G2218" t="str">
            <v>D0Z-996</v>
          </cell>
          <cell r="H2218" t="str">
            <v>LAS BAMBAS</v>
          </cell>
          <cell r="I2218">
            <v>109499</v>
          </cell>
          <cell r="J2218" t="str">
            <v>REPUESTO</v>
          </cell>
          <cell r="K2218" t="str">
            <v>FOCO LAGRIMON DE 12 V</v>
          </cell>
          <cell r="L2218">
            <v>1</v>
          </cell>
          <cell r="M2218" t="str">
            <v>UNID.</v>
          </cell>
          <cell r="N2218" t="str">
            <v>TRACTO</v>
          </cell>
          <cell r="O2218">
            <v>0</v>
          </cell>
          <cell r="P2218" t="str">
            <v>E1</v>
          </cell>
          <cell r="Q2218" t="str">
            <v>J2</v>
          </cell>
          <cell r="R2218" t="str">
            <v>J6</v>
          </cell>
          <cell r="S2218" t="str">
            <v>ENTREGADO</v>
          </cell>
          <cell r="T2218">
            <v>42710</v>
          </cell>
          <cell r="U2218" t="str">
            <v>PALOMINO CARDENAS JUAN CARLOS</v>
          </cell>
          <cell r="V2218" t="str">
            <v>CORIHUAMAN SURCO  ERICK ROBERT</v>
          </cell>
        </row>
        <row r="2219">
          <cell r="A2219">
            <v>2226</v>
          </cell>
          <cell r="B2219">
            <v>42710</v>
          </cell>
          <cell r="C2219" t="str">
            <v>DICIEMBRE</v>
          </cell>
          <cell r="D2219" t="str">
            <v>2016</v>
          </cell>
          <cell r="E2219">
            <v>517</v>
          </cell>
          <cell r="F2219" t="str">
            <v>ABQ-705</v>
          </cell>
          <cell r="G2219" t="str">
            <v>D0Z-996</v>
          </cell>
          <cell r="H2219" t="str">
            <v>LAS BAMBAS</v>
          </cell>
          <cell r="I2219">
            <v>109499</v>
          </cell>
          <cell r="J2219" t="str">
            <v>REPUESTO</v>
          </cell>
          <cell r="K2219" t="str">
            <v>ALARMA DE RETROCESO</v>
          </cell>
          <cell r="L2219">
            <v>1</v>
          </cell>
          <cell r="M2219" t="str">
            <v>UNID.</v>
          </cell>
          <cell r="N2219" t="str">
            <v>CISTERNA</v>
          </cell>
          <cell r="O2219">
            <v>0</v>
          </cell>
          <cell r="P2219" t="str">
            <v>E1</v>
          </cell>
          <cell r="Q2219" t="str">
            <v>J2</v>
          </cell>
          <cell r="R2219" t="str">
            <v>J6</v>
          </cell>
          <cell r="S2219" t="str">
            <v>ENTREGADO</v>
          </cell>
          <cell r="T2219">
            <v>42710</v>
          </cell>
          <cell r="U2219" t="str">
            <v>PALOMINO CARDENAS JUAN CARLOS</v>
          </cell>
          <cell r="V2219" t="str">
            <v>CORIHUAMAN SURCO  ERICK ROBERT</v>
          </cell>
        </row>
        <row r="2220">
          <cell r="A2220">
            <v>2235</v>
          </cell>
          <cell r="B2220">
            <v>42710</v>
          </cell>
          <cell r="C2220" t="str">
            <v>DICIEMBRE</v>
          </cell>
          <cell r="D2220" t="str">
            <v>2016</v>
          </cell>
          <cell r="E2220">
            <v>523</v>
          </cell>
          <cell r="F2220" t="str">
            <v>ABR-741</v>
          </cell>
          <cell r="G2220" t="str">
            <v>T3N-974</v>
          </cell>
          <cell r="H2220" t="str">
            <v>LAS BAMBAS</v>
          </cell>
          <cell r="I2220">
            <v>108547</v>
          </cell>
          <cell r="J2220" t="str">
            <v>REPUESTO</v>
          </cell>
          <cell r="K2220" t="str">
            <v>LIQUIDO LIMPIAPARABRISAS</v>
          </cell>
          <cell r="L2220">
            <v>1</v>
          </cell>
          <cell r="M2220" t="str">
            <v>GLNS.</v>
          </cell>
          <cell r="N2220" t="str">
            <v>TRACTO</v>
          </cell>
          <cell r="O2220">
            <v>0</v>
          </cell>
          <cell r="P2220" t="str">
            <v>M8</v>
          </cell>
          <cell r="Q2220" t="str">
            <v>J2</v>
          </cell>
          <cell r="R2220" t="str">
            <v>J5</v>
          </cell>
          <cell r="S2220" t="str">
            <v>ENTREGADO</v>
          </cell>
          <cell r="T2220">
            <v>42710</v>
          </cell>
          <cell r="U2220" t="str">
            <v>VARILLAS GAGO  OSCAR ALBERTO</v>
          </cell>
          <cell r="V2220" t="str">
            <v>CORIHUAMAN SURCO  ERICK ROBERT</v>
          </cell>
        </row>
        <row r="2221">
          <cell r="A2221">
            <v>2236</v>
          </cell>
          <cell r="B2221">
            <v>42710</v>
          </cell>
          <cell r="C2221" t="str">
            <v>DICIEMBRE</v>
          </cell>
          <cell r="D2221" t="str">
            <v>2016</v>
          </cell>
          <cell r="E2221">
            <v>523</v>
          </cell>
          <cell r="F2221" t="str">
            <v>ABR-741</v>
          </cell>
          <cell r="G2221" t="str">
            <v>T3N-974</v>
          </cell>
          <cell r="H2221" t="str">
            <v>LAS BAMBAS</v>
          </cell>
          <cell r="I2221">
            <v>108547</v>
          </cell>
          <cell r="J2221" t="str">
            <v>REPUESTO</v>
          </cell>
          <cell r="K2221" t="str">
            <v>SOPORTE DE MOTOR SUPERIOR DELANTERO</v>
          </cell>
          <cell r="L2221">
            <v>1</v>
          </cell>
          <cell r="M2221" t="str">
            <v>UNID.</v>
          </cell>
          <cell r="N2221" t="str">
            <v>TRACTO</v>
          </cell>
          <cell r="O2221">
            <v>0</v>
          </cell>
          <cell r="P2221" t="str">
            <v>M8</v>
          </cell>
          <cell r="Q2221" t="str">
            <v>J2</v>
          </cell>
          <cell r="R2221" t="str">
            <v>J5</v>
          </cell>
          <cell r="S2221" t="str">
            <v>ENTREGADO</v>
          </cell>
          <cell r="T2221">
            <v>42710</v>
          </cell>
          <cell r="U2221" t="str">
            <v>VARILLAS GAGO  OSCAR ALBERTO</v>
          </cell>
          <cell r="V2221" t="str">
            <v>CORIHUAMAN SURCO  ERICK ROBERT</v>
          </cell>
        </row>
        <row r="2222">
          <cell r="A2222">
            <v>2237</v>
          </cell>
          <cell r="B2222">
            <v>42710</v>
          </cell>
          <cell r="C2222" t="str">
            <v>DICIEMBRE</v>
          </cell>
          <cell r="D2222" t="str">
            <v>2016</v>
          </cell>
          <cell r="E2222">
            <v>523</v>
          </cell>
          <cell r="F2222" t="str">
            <v>ABR-741</v>
          </cell>
          <cell r="G2222" t="str">
            <v>T3N-974</v>
          </cell>
          <cell r="H2222" t="str">
            <v>LAS BAMBAS</v>
          </cell>
          <cell r="I2222">
            <v>108547</v>
          </cell>
          <cell r="J2222" t="str">
            <v>REPUESTO</v>
          </cell>
          <cell r="K2222" t="str">
            <v>SOPORTE DE MOTOR INFERIOR DELANTERO</v>
          </cell>
          <cell r="L2222">
            <v>1</v>
          </cell>
          <cell r="M2222" t="str">
            <v>UNID.</v>
          </cell>
          <cell r="N2222" t="str">
            <v>TRACTO</v>
          </cell>
          <cell r="O2222">
            <v>0</v>
          </cell>
          <cell r="P2222" t="str">
            <v>M8</v>
          </cell>
          <cell r="Q2222" t="str">
            <v>J2</v>
          </cell>
          <cell r="R2222" t="str">
            <v>J5</v>
          </cell>
          <cell r="S2222" t="str">
            <v>ENTREGADO</v>
          </cell>
          <cell r="T2222">
            <v>42710</v>
          </cell>
          <cell r="U2222" t="str">
            <v>VARILLAS GAGO  OSCAR ALBERTO</v>
          </cell>
          <cell r="V2222" t="str">
            <v>CORIHUAMAN SURCO  ERICK ROBERT</v>
          </cell>
        </row>
        <row r="2223">
          <cell r="A2223">
            <v>2238</v>
          </cell>
          <cell r="B2223">
            <v>42710</v>
          </cell>
          <cell r="C2223" t="str">
            <v>DICIEMBRE</v>
          </cell>
          <cell r="D2223" t="str">
            <v>2016</v>
          </cell>
          <cell r="E2223">
            <v>523</v>
          </cell>
          <cell r="F2223" t="str">
            <v>ABR-741</v>
          </cell>
          <cell r="G2223" t="str">
            <v>T3N-974</v>
          </cell>
          <cell r="H2223" t="str">
            <v>LAS BAMBAS</v>
          </cell>
          <cell r="I2223">
            <v>108547</v>
          </cell>
          <cell r="J2223" t="str">
            <v>REPUESTO</v>
          </cell>
          <cell r="K2223" t="str">
            <v>PERNO 1/2 X 4 "</v>
          </cell>
          <cell r="L2223">
            <v>1</v>
          </cell>
          <cell r="M2223" t="str">
            <v>UNID.</v>
          </cell>
          <cell r="N2223" t="str">
            <v>TRACTO</v>
          </cell>
          <cell r="O2223">
            <v>0</v>
          </cell>
          <cell r="P2223" t="str">
            <v>M8</v>
          </cell>
          <cell r="Q2223" t="str">
            <v>J2</v>
          </cell>
          <cell r="R2223" t="str">
            <v>J5</v>
          </cell>
          <cell r="S2223" t="str">
            <v>ENTREGADO</v>
          </cell>
          <cell r="T2223">
            <v>42710</v>
          </cell>
          <cell r="U2223" t="str">
            <v>VARILLAS GAGO  OSCAR ALBERTO</v>
          </cell>
          <cell r="V2223" t="str">
            <v>CORIHUAMAN SURCO  ERICK ROBERT</v>
          </cell>
        </row>
        <row r="2224">
          <cell r="A2224">
            <v>2239</v>
          </cell>
          <cell r="B2224">
            <v>42710</v>
          </cell>
          <cell r="C2224" t="str">
            <v>DICIEMBRE</v>
          </cell>
          <cell r="D2224" t="str">
            <v>2016</v>
          </cell>
          <cell r="E2224">
            <v>523</v>
          </cell>
          <cell r="F2224" t="str">
            <v>ABR-741</v>
          </cell>
          <cell r="G2224" t="str">
            <v>T3N-974</v>
          </cell>
          <cell r="H2224" t="str">
            <v>LAS BAMBAS</v>
          </cell>
          <cell r="I2224">
            <v>108547</v>
          </cell>
          <cell r="J2224" t="str">
            <v>REPUESTO</v>
          </cell>
          <cell r="K2224" t="str">
            <v>TUERCA SEGURO 1/2</v>
          </cell>
          <cell r="L2224">
            <v>1</v>
          </cell>
          <cell r="M2224" t="str">
            <v>UNID.</v>
          </cell>
          <cell r="N2224" t="str">
            <v>TRACTO</v>
          </cell>
          <cell r="O2224">
            <v>0</v>
          </cell>
          <cell r="P2224" t="str">
            <v>M8</v>
          </cell>
          <cell r="Q2224" t="str">
            <v>J2</v>
          </cell>
          <cell r="R2224" t="str">
            <v>J5</v>
          </cell>
          <cell r="S2224" t="str">
            <v>ENTREGADO</v>
          </cell>
          <cell r="T2224">
            <v>42710</v>
          </cell>
          <cell r="U2224" t="str">
            <v>VARILLAS GAGO  OSCAR ALBERTO</v>
          </cell>
          <cell r="V2224" t="str">
            <v>CORIHUAMAN SURCO  ERICK ROBERT</v>
          </cell>
        </row>
        <row r="2225">
          <cell r="A2225">
            <v>2240</v>
          </cell>
          <cell r="B2225">
            <v>42710</v>
          </cell>
          <cell r="C2225" t="str">
            <v>DICIEMBRE</v>
          </cell>
          <cell r="D2225" t="str">
            <v>2016</v>
          </cell>
          <cell r="E2225">
            <v>523</v>
          </cell>
          <cell r="F2225" t="str">
            <v>ABR-741</v>
          </cell>
          <cell r="G2225" t="str">
            <v>T3N-974</v>
          </cell>
          <cell r="H2225" t="str">
            <v>LAS BAMBAS</v>
          </cell>
          <cell r="I2225">
            <v>108547</v>
          </cell>
          <cell r="J2225" t="str">
            <v>REPUESTO</v>
          </cell>
          <cell r="K2225" t="str">
            <v>NIPLE 3/8 X 5/8   45°</v>
          </cell>
          <cell r="L2225">
            <v>1</v>
          </cell>
          <cell r="M2225" t="str">
            <v>UNID.</v>
          </cell>
          <cell r="N2225" t="str">
            <v>TRACTO</v>
          </cell>
          <cell r="O2225">
            <v>0</v>
          </cell>
          <cell r="P2225" t="str">
            <v>M8</v>
          </cell>
          <cell r="Q2225" t="str">
            <v>J2</v>
          </cell>
          <cell r="R2225" t="str">
            <v>J5</v>
          </cell>
          <cell r="S2225" t="str">
            <v>ENTREGADO</v>
          </cell>
          <cell r="T2225">
            <v>42710</v>
          </cell>
          <cell r="U2225" t="str">
            <v>VARILLAS GAGO  OSCAR ALBERTO</v>
          </cell>
          <cell r="V2225" t="str">
            <v>CORIHUAMAN SURCO  ERICK ROBERT</v>
          </cell>
        </row>
        <row r="2226">
          <cell r="A2226">
            <v>2241</v>
          </cell>
          <cell r="B2226">
            <v>42710</v>
          </cell>
          <cell r="C2226" t="str">
            <v>DICIEMBRE</v>
          </cell>
          <cell r="D2226" t="str">
            <v>2016</v>
          </cell>
          <cell r="E2226">
            <v>523</v>
          </cell>
          <cell r="F2226" t="str">
            <v>ABR-741</v>
          </cell>
          <cell r="G2226" t="str">
            <v>T3N-974</v>
          </cell>
          <cell r="H2226" t="str">
            <v>LAS BAMBAS</v>
          </cell>
          <cell r="I2226">
            <v>108547</v>
          </cell>
          <cell r="J2226" t="str">
            <v>REPUESTO</v>
          </cell>
          <cell r="K2226" t="str">
            <v>CONO, GUIA, TUERCA DE 5/8</v>
          </cell>
          <cell r="L2226">
            <v>1</v>
          </cell>
          <cell r="M2226" t="str">
            <v>UNID.</v>
          </cell>
          <cell r="N2226" t="str">
            <v>TRACTO</v>
          </cell>
          <cell r="O2226">
            <v>0</v>
          </cell>
          <cell r="P2226" t="str">
            <v>M8</v>
          </cell>
          <cell r="Q2226" t="str">
            <v>J2</v>
          </cell>
          <cell r="R2226" t="str">
            <v>J5</v>
          </cell>
          <cell r="S2226" t="str">
            <v>ENTREGADO</v>
          </cell>
          <cell r="T2226">
            <v>42710</v>
          </cell>
          <cell r="U2226" t="str">
            <v>VARILLAS GAGO  OSCAR ALBERTO</v>
          </cell>
          <cell r="V2226" t="str">
            <v>CORIHUAMAN SURCO  ERICK ROBERT</v>
          </cell>
        </row>
        <row r="2227">
          <cell r="A2227">
            <v>2242</v>
          </cell>
          <cell r="B2227">
            <v>42710</v>
          </cell>
          <cell r="C2227" t="str">
            <v>DICIEMBRE</v>
          </cell>
          <cell r="D2227" t="str">
            <v>2016</v>
          </cell>
          <cell r="E2227">
            <v>523</v>
          </cell>
          <cell r="F2227" t="str">
            <v>ABR-741</v>
          </cell>
          <cell r="G2227" t="str">
            <v>T3N-974</v>
          </cell>
          <cell r="H2227" t="str">
            <v>LAS BAMBAS</v>
          </cell>
          <cell r="I2227">
            <v>108547</v>
          </cell>
          <cell r="J2227" t="str">
            <v>REPUESTO</v>
          </cell>
          <cell r="K2227" t="str">
            <v>JUEGO DE ZAPATAS</v>
          </cell>
          <cell r="L2227">
            <v>0.5</v>
          </cell>
          <cell r="M2227" t="str">
            <v>UNID.</v>
          </cell>
          <cell r="N2227" t="str">
            <v>CISTERNA</v>
          </cell>
          <cell r="O2227">
            <v>0</v>
          </cell>
          <cell r="P2227" t="str">
            <v>M8</v>
          </cell>
          <cell r="Q2227" t="str">
            <v>J2</v>
          </cell>
          <cell r="R2227" t="str">
            <v>J5</v>
          </cell>
          <cell r="S2227" t="str">
            <v>ENTREGADO</v>
          </cell>
          <cell r="T2227">
            <v>42710</v>
          </cell>
          <cell r="U2227" t="str">
            <v>VARILLAS GAGO  OSCAR ALBERTO</v>
          </cell>
          <cell r="V2227" t="str">
            <v>CORIHUAMAN SURCO  ERICK ROBERT</v>
          </cell>
        </row>
        <row r="2228">
          <cell r="A2228">
            <v>2248</v>
          </cell>
          <cell r="B2228">
            <v>42710</v>
          </cell>
          <cell r="C2228" t="str">
            <v>DICIEMBRE</v>
          </cell>
          <cell r="D2228" t="str">
            <v>2016</v>
          </cell>
          <cell r="E2228">
            <v>523</v>
          </cell>
          <cell r="F2228" t="str">
            <v>ABR-741</v>
          </cell>
          <cell r="G2228" t="str">
            <v>T3N-974</v>
          </cell>
          <cell r="H2228" t="str">
            <v>LAS BAMBAS</v>
          </cell>
          <cell r="I2228">
            <v>108547</v>
          </cell>
          <cell r="J2228" t="str">
            <v>REPUESTO</v>
          </cell>
          <cell r="K2228" t="str">
            <v>PARCHE RACK 14</v>
          </cell>
          <cell r="L2228">
            <v>1</v>
          </cell>
          <cell r="M2228" t="str">
            <v>UNID.</v>
          </cell>
          <cell r="N2228" t="str">
            <v>TRACTO</v>
          </cell>
          <cell r="O2228">
            <v>0</v>
          </cell>
          <cell r="P2228" t="str">
            <v>N2</v>
          </cell>
          <cell r="Q2228" t="str">
            <v>J2</v>
          </cell>
          <cell r="R2228" t="str">
            <v>J5</v>
          </cell>
          <cell r="S2228" t="str">
            <v>ENTREGADO</v>
          </cell>
          <cell r="T2228">
            <v>42710</v>
          </cell>
          <cell r="U2228" t="str">
            <v>MAMANI LARICO  EDUARDO ALVARO</v>
          </cell>
          <cell r="V2228" t="str">
            <v>CORIHUAMAN SURCO  ERICK ROBERT</v>
          </cell>
        </row>
        <row r="2229">
          <cell r="A2229">
            <v>2249</v>
          </cell>
          <cell r="B2229">
            <v>42710</v>
          </cell>
          <cell r="C2229" t="str">
            <v>DICIEMBRE</v>
          </cell>
          <cell r="D2229" t="str">
            <v>2016</v>
          </cell>
          <cell r="E2229">
            <v>523</v>
          </cell>
          <cell r="F2229" t="str">
            <v>ABR-741</v>
          </cell>
          <cell r="G2229" t="str">
            <v>T3N-974</v>
          </cell>
          <cell r="H2229" t="str">
            <v>LAS BAMBAS</v>
          </cell>
          <cell r="I2229">
            <v>108547</v>
          </cell>
          <cell r="J2229" t="str">
            <v>REPUESTO</v>
          </cell>
          <cell r="K2229" t="str">
            <v>PARCHE RACK 12</v>
          </cell>
          <cell r="L2229">
            <v>2</v>
          </cell>
          <cell r="M2229" t="str">
            <v>UNID.</v>
          </cell>
          <cell r="N2229" t="str">
            <v>TRACTO</v>
          </cell>
          <cell r="O2229">
            <v>0</v>
          </cell>
          <cell r="P2229" t="str">
            <v>N2</v>
          </cell>
          <cell r="Q2229" t="str">
            <v>J2</v>
          </cell>
          <cell r="R2229" t="str">
            <v>J5</v>
          </cell>
          <cell r="S2229" t="str">
            <v>ENTREGADO</v>
          </cell>
          <cell r="T2229">
            <v>42710</v>
          </cell>
          <cell r="U2229" t="str">
            <v>MAMANI LARICO  EDUARDO ALVARO</v>
          </cell>
          <cell r="V2229" t="str">
            <v>CORIHUAMAN SURCO  ERICK ROBERT</v>
          </cell>
        </row>
        <row r="2230">
          <cell r="A2230">
            <v>2251</v>
          </cell>
          <cell r="B2230">
            <v>42710</v>
          </cell>
          <cell r="C2230" t="str">
            <v>DICIEMBRE</v>
          </cell>
          <cell r="D2230" t="str">
            <v>2016</v>
          </cell>
          <cell r="E2230">
            <v>523</v>
          </cell>
          <cell r="F2230" t="str">
            <v>ABR-741</v>
          </cell>
          <cell r="G2230" t="str">
            <v>T3N-974</v>
          </cell>
          <cell r="H2230" t="str">
            <v>LAS BAMBAS</v>
          </cell>
          <cell r="I2230">
            <v>108547</v>
          </cell>
          <cell r="J2230" t="str">
            <v>REPUESTO</v>
          </cell>
          <cell r="K2230" t="str">
            <v>SPRAY AFLOJATODO</v>
          </cell>
          <cell r="L2230">
            <v>1</v>
          </cell>
          <cell r="M2230" t="str">
            <v>UNID.</v>
          </cell>
          <cell r="N2230" t="str">
            <v>TRACTO</v>
          </cell>
          <cell r="O2230">
            <v>0</v>
          </cell>
          <cell r="P2230" t="str">
            <v>M8</v>
          </cell>
          <cell r="Q2230" t="str">
            <v>J2</v>
          </cell>
          <cell r="R2230" t="str">
            <v>J5</v>
          </cell>
          <cell r="S2230" t="str">
            <v>ENTREGADO</v>
          </cell>
          <cell r="T2230">
            <v>42710</v>
          </cell>
          <cell r="U2230" t="str">
            <v>VARILLAS GAGO  OSCAR ALBERTO</v>
          </cell>
          <cell r="V2230" t="str">
            <v>CORIHUAMAN SURCO  ERICK ROBERT</v>
          </cell>
        </row>
        <row r="2231">
          <cell r="A2231">
            <v>2254</v>
          </cell>
          <cell r="B2231">
            <v>42710</v>
          </cell>
          <cell r="C2231" t="str">
            <v>DICIEMBRE</v>
          </cell>
          <cell r="D2231" t="str">
            <v>2016</v>
          </cell>
          <cell r="E2231">
            <v>523</v>
          </cell>
          <cell r="F2231" t="str">
            <v>ABR-741</v>
          </cell>
          <cell r="G2231" t="str">
            <v>T3N-974</v>
          </cell>
          <cell r="H2231" t="str">
            <v>LAS BAMBAS</v>
          </cell>
          <cell r="I2231">
            <v>108547</v>
          </cell>
          <cell r="J2231" t="str">
            <v>REPUESTO</v>
          </cell>
          <cell r="K2231" t="str">
            <v xml:space="preserve">ACCESORIOS CARTUCHO PULPO </v>
          </cell>
          <cell r="L2231">
            <v>1</v>
          </cell>
          <cell r="M2231" t="str">
            <v>UNID.</v>
          </cell>
          <cell r="N2231" t="str">
            <v>CISTERNA</v>
          </cell>
          <cell r="O2231">
            <v>0</v>
          </cell>
          <cell r="P2231" t="str">
            <v>M8</v>
          </cell>
          <cell r="Q2231" t="str">
            <v>J2</v>
          </cell>
          <cell r="R2231" t="str">
            <v>J5</v>
          </cell>
          <cell r="S2231" t="str">
            <v>ENTREGADO</v>
          </cell>
          <cell r="T2231">
            <v>42710</v>
          </cell>
          <cell r="U2231" t="str">
            <v>VARILLAS GAGO  OSCAR ALBERTO</v>
          </cell>
          <cell r="V2231" t="str">
            <v>CORIHUAMAN SURCO  ERICK ROBERT</v>
          </cell>
        </row>
        <row r="2232">
          <cell r="A2232">
            <v>2255</v>
          </cell>
          <cell r="B2232">
            <v>42710</v>
          </cell>
          <cell r="C2232" t="str">
            <v>DICIEMBRE</v>
          </cell>
          <cell r="D2232" t="str">
            <v>2016</v>
          </cell>
          <cell r="E2232">
            <v>523</v>
          </cell>
          <cell r="F2232" t="str">
            <v>ABR-741</v>
          </cell>
          <cell r="G2232" t="str">
            <v>T3N-974</v>
          </cell>
          <cell r="H2232" t="str">
            <v>LAS BAMBAS</v>
          </cell>
          <cell r="I2232">
            <v>108547</v>
          </cell>
          <cell r="J2232" t="str">
            <v>REPUESTO</v>
          </cell>
          <cell r="K2232" t="str">
            <v>RESORTES CHICOS PARA ZAPATA</v>
          </cell>
          <cell r="L2232">
            <v>2</v>
          </cell>
          <cell r="M2232" t="str">
            <v>UNID.</v>
          </cell>
          <cell r="N2232" t="str">
            <v>CISTERNA</v>
          </cell>
          <cell r="O2232">
            <v>0</v>
          </cell>
          <cell r="P2232" t="str">
            <v>M8</v>
          </cell>
          <cell r="Q2232" t="str">
            <v>J2</v>
          </cell>
          <cell r="R2232" t="str">
            <v>J5</v>
          </cell>
          <cell r="S2232" t="str">
            <v>ENTREGADO</v>
          </cell>
          <cell r="T2232">
            <v>42710</v>
          </cell>
          <cell r="U2232" t="str">
            <v>VARILLAS GAGO  OSCAR ALBERTO</v>
          </cell>
          <cell r="V2232" t="str">
            <v>CORIHUAMAN SURCO  ERICK ROBERT</v>
          </cell>
        </row>
        <row r="2233">
          <cell r="A2233">
            <v>2256</v>
          </cell>
          <cell r="B2233">
            <v>42710</v>
          </cell>
          <cell r="C2233" t="str">
            <v>DICIEMBRE</v>
          </cell>
          <cell r="D2233" t="str">
            <v>2016</v>
          </cell>
          <cell r="E2233">
            <v>523</v>
          </cell>
          <cell r="F2233" t="str">
            <v>ABR-741</v>
          </cell>
          <cell r="G2233" t="str">
            <v>T3N-974</v>
          </cell>
          <cell r="H2233" t="str">
            <v>LAS BAMBAS</v>
          </cell>
          <cell r="I2233">
            <v>108547</v>
          </cell>
          <cell r="J2233" t="str">
            <v>REPUESTO</v>
          </cell>
          <cell r="K2233" t="str">
            <v xml:space="preserve">RESORTE GRANDE </v>
          </cell>
          <cell r="L2233">
            <v>1</v>
          </cell>
          <cell r="M2233" t="str">
            <v>UNID.</v>
          </cell>
          <cell r="N2233" t="str">
            <v>CISTERNA</v>
          </cell>
          <cell r="O2233">
            <v>0</v>
          </cell>
          <cell r="P2233" t="str">
            <v>M8</v>
          </cell>
          <cell r="Q2233" t="str">
            <v>J2</v>
          </cell>
          <cell r="R2233" t="str">
            <v>J5</v>
          </cell>
          <cell r="S2233" t="str">
            <v>ENTREGADO</v>
          </cell>
          <cell r="T2233">
            <v>42710</v>
          </cell>
          <cell r="U2233" t="str">
            <v>VARILLAS GAGO  OSCAR ALBERTO</v>
          </cell>
          <cell r="V2233" t="str">
            <v>CORIHUAMAN SURCO  ERICK ROBERT</v>
          </cell>
        </row>
        <row r="2234">
          <cell r="A2234">
            <v>2252</v>
          </cell>
          <cell r="B2234">
            <v>42710</v>
          </cell>
          <cell r="C2234" t="str">
            <v>DICIEMBRE</v>
          </cell>
          <cell r="D2234" t="str">
            <v>2016</v>
          </cell>
          <cell r="E2234">
            <v>520</v>
          </cell>
          <cell r="F2234" t="str">
            <v>AEG-922</v>
          </cell>
          <cell r="G2234" t="str">
            <v>CAMIONETA</v>
          </cell>
          <cell r="H2234" t="str">
            <v>LAS BAMBAS</v>
          </cell>
          <cell r="I2234">
            <v>98089</v>
          </cell>
          <cell r="J2234" t="str">
            <v>REPUESTO</v>
          </cell>
          <cell r="K2234" t="str">
            <v>LIQUIDO LIMPIAPARABRISAS</v>
          </cell>
          <cell r="L2234">
            <v>0.5</v>
          </cell>
          <cell r="M2234" t="str">
            <v>GLNS.</v>
          </cell>
          <cell r="N2234" t="str">
            <v>TRACTO</v>
          </cell>
          <cell r="O2234">
            <v>0</v>
          </cell>
          <cell r="P2234" t="str">
            <v>M6</v>
          </cell>
          <cell r="Q2234" t="str">
            <v>J2</v>
          </cell>
          <cell r="R2234" t="str">
            <v>J5</v>
          </cell>
          <cell r="S2234" t="str">
            <v>ENTREGADO</v>
          </cell>
          <cell r="T2234">
            <v>42710</v>
          </cell>
          <cell r="U2234" t="str">
            <v>PARI VENTURA  EDSON ORLANDO</v>
          </cell>
          <cell r="V2234" t="str">
            <v>CORIHUAMAN SURCO  ERICK ROBERT</v>
          </cell>
        </row>
        <row r="2235">
          <cell r="A2235">
            <v>2207</v>
          </cell>
          <cell r="B2235">
            <v>42710</v>
          </cell>
          <cell r="C2235" t="str">
            <v>DICIEMBRE</v>
          </cell>
          <cell r="D2235" t="str">
            <v>2016</v>
          </cell>
          <cell r="E2235">
            <v>294</v>
          </cell>
          <cell r="F2235" t="str">
            <v>AHX-713</v>
          </cell>
          <cell r="G2235" t="str">
            <v>D9S-976</v>
          </cell>
          <cell r="H2235" t="str">
            <v>LAS BAMBAS</v>
          </cell>
          <cell r="I2235">
            <v>59611</v>
          </cell>
          <cell r="J2235" t="str">
            <v>REPUESTO</v>
          </cell>
          <cell r="K2235" t="str">
            <v>AROS AMERICANOS 8.25 22.25</v>
          </cell>
          <cell r="L2235">
            <v>4</v>
          </cell>
          <cell r="M2235" t="str">
            <v>UNID.</v>
          </cell>
          <cell r="N2235" t="str">
            <v>CISTERNA</v>
          </cell>
          <cell r="O2235">
            <v>0</v>
          </cell>
          <cell r="P2235" t="str">
            <v>N1</v>
          </cell>
          <cell r="Q2235" t="str">
            <v>J2</v>
          </cell>
          <cell r="R2235" t="str">
            <v>J5</v>
          </cell>
          <cell r="S2235" t="str">
            <v>ENTREGADO</v>
          </cell>
          <cell r="T2235">
            <v>42710</v>
          </cell>
          <cell r="U2235" t="str">
            <v>AGUILAR CCANTUTA WILLY</v>
          </cell>
          <cell r="V2235" t="str">
            <v>CORIHUAMAN SURCO  ERICK ROBERT</v>
          </cell>
        </row>
        <row r="2236">
          <cell r="A2236">
            <v>2216</v>
          </cell>
          <cell r="B2236">
            <v>42710</v>
          </cell>
          <cell r="C2236" t="str">
            <v>DICIEMBRE</v>
          </cell>
          <cell r="D2236" t="str">
            <v>2016</v>
          </cell>
          <cell r="E2236">
            <v>421</v>
          </cell>
          <cell r="F2236" t="str">
            <v>AKW-860</v>
          </cell>
          <cell r="G2236" t="str">
            <v>F5Z-991</v>
          </cell>
          <cell r="H2236" t="str">
            <v>LAS BAMBAS</v>
          </cell>
          <cell r="I2236">
            <v>37840</v>
          </cell>
          <cell r="J2236" t="str">
            <v>REPUESTO</v>
          </cell>
          <cell r="K2236" t="str">
            <v>LIQUIDO LIMPIAPARABRISAS</v>
          </cell>
          <cell r="L2236">
            <v>0.5</v>
          </cell>
          <cell r="M2236" t="str">
            <v>GLNS.</v>
          </cell>
          <cell r="N2236" t="str">
            <v>TRACTO</v>
          </cell>
          <cell r="O2236">
            <v>0</v>
          </cell>
          <cell r="P2236" t="str">
            <v>M3</v>
          </cell>
          <cell r="Q2236" t="str">
            <v>J2</v>
          </cell>
          <cell r="R2236" t="str">
            <v>J5</v>
          </cell>
          <cell r="S2236" t="str">
            <v>ENTREGADO</v>
          </cell>
          <cell r="T2236">
            <v>42710</v>
          </cell>
          <cell r="U2236" t="str">
            <v>GARCIA PASQUEL  JOSE LUIS</v>
          </cell>
          <cell r="V2236" t="str">
            <v>CORIHUAMAN SURCO  ERICK ROBERT</v>
          </cell>
        </row>
        <row r="2237">
          <cell r="A2237">
            <v>2230</v>
          </cell>
          <cell r="B2237">
            <v>42710</v>
          </cell>
          <cell r="C2237" t="str">
            <v>DICIEMBRE</v>
          </cell>
          <cell r="D2237" t="str">
            <v>2016</v>
          </cell>
          <cell r="E2237">
            <v>421</v>
          </cell>
          <cell r="F2237" t="str">
            <v>AKW-860</v>
          </cell>
          <cell r="G2237" t="str">
            <v>F5Z-991</v>
          </cell>
          <cell r="H2237" t="str">
            <v>LAS BAMBAS</v>
          </cell>
          <cell r="I2237">
            <v>37840</v>
          </cell>
          <cell r="J2237" t="str">
            <v>REPUESTO</v>
          </cell>
          <cell r="K2237" t="str">
            <v>CATALIZADOR (MASILLA)</v>
          </cell>
          <cell r="L2237">
            <v>1</v>
          </cell>
          <cell r="M2237" t="str">
            <v>UNID.</v>
          </cell>
          <cell r="N2237" t="str">
            <v>TRACTO</v>
          </cell>
          <cell r="O2237">
            <v>0</v>
          </cell>
          <cell r="P2237" t="str">
            <v>M3</v>
          </cell>
          <cell r="Q2237" t="str">
            <v>J2</v>
          </cell>
          <cell r="R2237" t="str">
            <v>J6</v>
          </cell>
          <cell r="S2237" t="str">
            <v>ENTREGADO</v>
          </cell>
          <cell r="T2237">
            <v>42710</v>
          </cell>
          <cell r="U2237" t="str">
            <v>GARCIA PASQUEL  JOSE LUIS</v>
          </cell>
          <cell r="V2237" t="str">
            <v>CORIHUAMAN SURCO  ERICK ROBERT</v>
          </cell>
        </row>
        <row r="2238">
          <cell r="A2238">
            <v>2205</v>
          </cell>
          <cell r="B2238">
            <v>42710</v>
          </cell>
          <cell r="C2238" t="str">
            <v>DICIEMBRE</v>
          </cell>
          <cell r="D2238" t="str">
            <v>2016</v>
          </cell>
          <cell r="E2238">
            <v>449</v>
          </cell>
          <cell r="F2238" t="str">
            <v>B2L-889</v>
          </cell>
          <cell r="G2238" t="str">
            <v>CAMION</v>
          </cell>
          <cell r="H2238" t="str">
            <v>TAMBOMAYO</v>
          </cell>
          <cell r="I2238">
            <v>121547</v>
          </cell>
          <cell r="J2238" t="str">
            <v>REPUESTO</v>
          </cell>
          <cell r="K2238" t="str">
            <v>BLOQUEADOR DE BATERIA</v>
          </cell>
          <cell r="L2238">
            <v>1</v>
          </cell>
          <cell r="M2238" t="str">
            <v>UNID.</v>
          </cell>
          <cell r="N2238" t="str">
            <v>CAMION</v>
          </cell>
          <cell r="O2238">
            <v>80</v>
          </cell>
          <cell r="P2238" t="str">
            <v>E1</v>
          </cell>
          <cell r="Q2238" t="str">
            <v>J2</v>
          </cell>
          <cell r="R2238" t="str">
            <v>J6</v>
          </cell>
          <cell r="S2238" t="str">
            <v>PENDIENTE</v>
          </cell>
          <cell r="T2238">
            <v>0</v>
          </cell>
          <cell r="U2238" t="str">
            <v>PALOMINO CARDENAS JUAN CARLOS</v>
          </cell>
          <cell r="V2238" t="str">
            <v>CORIHUAMAN SURCO  ERICK ROBERT</v>
          </cell>
        </row>
        <row r="2239">
          <cell r="A2239">
            <v>2250</v>
          </cell>
          <cell r="B2239">
            <v>42710</v>
          </cell>
          <cell r="C2239" t="str">
            <v>DICIEMBRE</v>
          </cell>
          <cell r="D2239" t="str">
            <v>2016</v>
          </cell>
          <cell r="E2239">
            <v>519</v>
          </cell>
          <cell r="F2239" t="str">
            <v>B2M-948</v>
          </cell>
          <cell r="G2239" t="str">
            <v>CAMION</v>
          </cell>
          <cell r="H2239" t="str">
            <v>TAMBOMAYO</v>
          </cell>
          <cell r="I2239">
            <v>114099</v>
          </cell>
          <cell r="J2239" t="str">
            <v>REPUESTO</v>
          </cell>
          <cell r="K2239" t="str">
            <v>FOCO H3 24V</v>
          </cell>
          <cell r="L2239">
            <v>2</v>
          </cell>
          <cell r="M2239" t="str">
            <v>UNID.</v>
          </cell>
          <cell r="N2239" t="str">
            <v>CAMION</v>
          </cell>
          <cell r="O2239">
            <v>0</v>
          </cell>
          <cell r="P2239" t="str">
            <v>E3</v>
          </cell>
          <cell r="Q2239" t="str">
            <v>J2</v>
          </cell>
          <cell r="R2239" t="str">
            <v>J5</v>
          </cell>
          <cell r="S2239" t="str">
            <v>ENTREGADO</v>
          </cell>
          <cell r="T2239">
            <v>42710</v>
          </cell>
          <cell r="U2239" t="str">
            <v>CONDORI CHURATA ALEX</v>
          </cell>
          <cell r="V2239" t="str">
            <v>CORIHUAMAN SURCO  ERICK ROBERT</v>
          </cell>
        </row>
        <row r="2240">
          <cell r="A2240">
            <v>2253</v>
          </cell>
          <cell r="B2240">
            <v>42710</v>
          </cell>
          <cell r="C2240" t="str">
            <v>DICIEMBRE</v>
          </cell>
          <cell r="D2240" t="str">
            <v>2016</v>
          </cell>
          <cell r="E2240">
            <v>519</v>
          </cell>
          <cell r="F2240" t="str">
            <v>B2M-948</v>
          </cell>
          <cell r="G2240" t="str">
            <v>CAMION</v>
          </cell>
          <cell r="H2240" t="str">
            <v>TAMBOMAYO</v>
          </cell>
          <cell r="I2240">
            <v>114099</v>
          </cell>
          <cell r="J2240" t="str">
            <v>REPUESTO</v>
          </cell>
          <cell r="K2240" t="str">
            <v>LIQUIDO REFRIGERANTE</v>
          </cell>
          <cell r="L2240">
            <v>1</v>
          </cell>
          <cell r="M2240" t="str">
            <v>GLNS.</v>
          </cell>
          <cell r="N2240" t="str">
            <v>TRACTO</v>
          </cell>
          <cell r="O2240">
            <v>0</v>
          </cell>
          <cell r="P2240" t="str">
            <v>M5</v>
          </cell>
          <cell r="Q2240" t="str">
            <v>J2</v>
          </cell>
          <cell r="R2240" t="str">
            <v>J5</v>
          </cell>
          <cell r="S2240" t="str">
            <v>ENTREGADO</v>
          </cell>
          <cell r="T2240">
            <v>42710</v>
          </cell>
          <cell r="U2240" t="str">
            <v>LOPEZ RUIZ WILBERTO</v>
          </cell>
          <cell r="V2240" t="str">
            <v>CORIHUAMAN SURCO  ERICK ROBERT</v>
          </cell>
        </row>
        <row r="2241">
          <cell r="A2241">
            <v>2228</v>
          </cell>
          <cell r="B2241">
            <v>42710</v>
          </cell>
          <cell r="C2241" t="str">
            <v>DICIEMBRE</v>
          </cell>
          <cell r="D2241" t="str">
            <v>2016</v>
          </cell>
          <cell r="E2241">
            <v>518</v>
          </cell>
          <cell r="F2241" t="str">
            <v>C6X-739</v>
          </cell>
          <cell r="G2241" t="str">
            <v>TCS-988</v>
          </cell>
          <cell r="H2241" t="str">
            <v>LAS BAMBAS CONC.</v>
          </cell>
          <cell r="I2241">
            <v>228731</v>
          </cell>
          <cell r="J2241" t="str">
            <v>REPUESTO</v>
          </cell>
          <cell r="K2241" t="str">
            <v>FOCOS LATERALES</v>
          </cell>
          <cell r="L2241">
            <v>2</v>
          </cell>
          <cell r="M2241" t="str">
            <v>UNID.</v>
          </cell>
          <cell r="N2241" t="str">
            <v>TOLVA</v>
          </cell>
          <cell r="O2241">
            <v>0</v>
          </cell>
          <cell r="P2241" t="str">
            <v>E3</v>
          </cell>
          <cell r="Q2241" t="str">
            <v>J2</v>
          </cell>
          <cell r="R2241" t="str">
            <v>J6</v>
          </cell>
          <cell r="S2241" t="str">
            <v>ENTREGADO</v>
          </cell>
          <cell r="T2241">
            <v>42710</v>
          </cell>
          <cell r="U2241" t="str">
            <v>CONDORI CHURATA ALEX</v>
          </cell>
          <cell r="V2241" t="str">
            <v>CORIHUAMAN SURCO  ERICK ROBERT</v>
          </cell>
        </row>
        <row r="2242">
          <cell r="A2242">
            <v>2195</v>
          </cell>
          <cell r="B2242">
            <v>42710</v>
          </cell>
          <cell r="C2242" t="str">
            <v>DICIEMBRE</v>
          </cell>
          <cell r="D2242" t="str">
            <v>2016</v>
          </cell>
          <cell r="E2242">
            <v>486</v>
          </cell>
          <cell r="F2242" t="str">
            <v>C9M-902</v>
          </cell>
          <cell r="G2242" t="str">
            <v>B8L-970</v>
          </cell>
          <cell r="H2242" t="str">
            <v>LAS BAMBAS</v>
          </cell>
          <cell r="I2242">
            <v>209833</v>
          </cell>
          <cell r="J2242" t="str">
            <v>REPUESTO</v>
          </cell>
          <cell r="K2242" t="str">
            <v>VALVULA RECUPERADORA DE GASES</v>
          </cell>
          <cell r="L2242">
            <v>1</v>
          </cell>
          <cell r="M2242" t="str">
            <v>UNID.</v>
          </cell>
          <cell r="N2242" t="str">
            <v>CISTERNA</v>
          </cell>
          <cell r="O2242">
            <v>0</v>
          </cell>
          <cell r="P2242" t="str">
            <v>S2</v>
          </cell>
          <cell r="Q2242" t="str">
            <v>J1</v>
          </cell>
          <cell r="R2242" t="str">
            <v>J6</v>
          </cell>
          <cell r="S2242" t="str">
            <v>ENTREGADO</v>
          </cell>
          <cell r="T2242">
            <v>42710</v>
          </cell>
          <cell r="U2242" t="str">
            <v>PALOMINO ESTRADA  MICHEL</v>
          </cell>
          <cell r="V2242" t="str">
            <v>FLOREZ CONDORI  JOSE WILLIANS</v>
          </cell>
        </row>
        <row r="2243">
          <cell r="A2243">
            <v>2198</v>
          </cell>
          <cell r="B2243">
            <v>42710</v>
          </cell>
          <cell r="C2243" t="str">
            <v>DICIEMBRE</v>
          </cell>
          <cell r="D2243" t="str">
            <v>2016</v>
          </cell>
          <cell r="E2243">
            <v>455</v>
          </cell>
          <cell r="F2243" t="str">
            <v>C9P-948</v>
          </cell>
          <cell r="G2243" t="str">
            <v>B4O-995</v>
          </cell>
          <cell r="H2243" t="str">
            <v>LAS BAMBAS</v>
          </cell>
          <cell r="I2243">
            <v>156586</v>
          </cell>
          <cell r="J2243" t="str">
            <v>INSUMO TALLER</v>
          </cell>
          <cell r="K2243" t="str">
            <v>CELLOCORD 1/8</v>
          </cell>
          <cell r="L2243">
            <v>2</v>
          </cell>
          <cell r="M2243" t="str">
            <v>KG.</v>
          </cell>
          <cell r="N2243" t="str">
            <v>CISTERNA</v>
          </cell>
          <cell r="O2243">
            <v>0</v>
          </cell>
          <cell r="P2243" t="str">
            <v>S2</v>
          </cell>
          <cell r="Q2243" t="str">
            <v>J2</v>
          </cell>
          <cell r="R2243" t="str">
            <v>J6</v>
          </cell>
          <cell r="S2243" t="str">
            <v>ENTREGADO</v>
          </cell>
          <cell r="T2243">
            <v>42710</v>
          </cell>
          <cell r="U2243" t="str">
            <v>PALOMINO ESTRADA  MICHEL</v>
          </cell>
          <cell r="V2243" t="str">
            <v>CORIHUAMAN SURCO  ERICK ROBERT</v>
          </cell>
        </row>
        <row r="2244">
          <cell r="A2244">
            <v>2199</v>
          </cell>
          <cell r="B2244">
            <v>42710</v>
          </cell>
          <cell r="C2244" t="str">
            <v>DICIEMBRE</v>
          </cell>
          <cell r="D2244" t="str">
            <v>2016</v>
          </cell>
          <cell r="E2244">
            <v>455</v>
          </cell>
          <cell r="F2244" t="str">
            <v>C9P-948</v>
          </cell>
          <cell r="G2244" t="str">
            <v>B4O-995</v>
          </cell>
          <cell r="H2244" t="str">
            <v>LAS BAMBAS</v>
          </cell>
          <cell r="I2244">
            <v>156586</v>
          </cell>
          <cell r="J2244" t="str">
            <v>REPUESTO</v>
          </cell>
          <cell r="K2244" t="str">
            <v xml:space="preserve">FAROS NEBLINEROS </v>
          </cell>
          <cell r="L2244">
            <v>2</v>
          </cell>
          <cell r="M2244" t="str">
            <v>UNID.</v>
          </cell>
          <cell r="N2244" t="str">
            <v>TRACTO</v>
          </cell>
          <cell r="O2244">
            <v>0</v>
          </cell>
          <cell r="P2244" t="str">
            <v>E2</v>
          </cell>
          <cell r="Q2244" t="str">
            <v>J2</v>
          </cell>
          <cell r="R2244" t="str">
            <v>J6</v>
          </cell>
          <cell r="S2244" t="str">
            <v>ENTREGADO</v>
          </cell>
          <cell r="T2244">
            <v>42710</v>
          </cell>
          <cell r="U2244" t="str">
            <v>YUCA BELLIDO BORIS YERSY</v>
          </cell>
          <cell r="V2244" t="str">
            <v>CORIHUAMAN SURCO  ERICK ROBERT</v>
          </cell>
        </row>
        <row r="2245">
          <cell r="A2245">
            <v>2202</v>
          </cell>
          <cell r="B2245">
            <v>42710</v>
          </cell>
          <cell r="C2245" t="str">
            <v>DICIEMBRE</v>
          </cell>
          <cell r="D2245" t="str">
            <v>2016</v>
          </cell>
          <cell r="E2245">
            <v>455</v>
          </cell>
          <cell r="F2245" t="str">
            <v>C9P-948</v>
          </cell>
          <cell r="G2245" t="str">
            <v>B4O-995</v>
          </cell>
          <cell r="H2245" t="str">
            <v>LAS BAMBAS</v>
          </cell>
          <cell r="I2245">
            <v>156586</v>
          </cell>
          <cell r="J2245" t="str">
            <v>REPUESTO</v>
          </cell>
          <cell r="K2245" t="str">
            <v>CADENA 3/16</v>
          </cell>
          <cell r="L2245">
            <v>0.65</v>
          </cell>
          <cell r="M2245" t="str">
            <v>M</v>
          </cell>
          <cell r="N2245" t="str">
            <v>CISTERNA</v>
          </cell>
          <cell r="O2245">
            <v>0</v>
          </cell>
          <cell r="P2245" t="str">
            <v>S2</v>
          </cell>
          <cell r="Q2245" t="str">
            <v>J2</v>
          </cell>
          <cell r="R2245" t="str">
            <v>J6</v>
          </cell>
          <cell r="S2245" t="str">
            <v>ENTREGADO</v>
          </cell>
          <cell r="T2245">
            <v>42710</v>
          </cell>
          <cell r="U2245" t="str">
            <v>PALOMINO ESTRADA  MICHEL</v>
          </cell>
          <cell r="V2245" t="str">
            <v>CORIHUAMAN SURCO  ERICK ROBERT</v>
          </cell>
        </row>
        <row r="2246">
          <cell r="A2246">
            <v>2209</v>
          </cell>
          <cell r="B2246">
            <v>42710</v>
          </cell>
          <cell r="C2246" t="str">
            <v>DICIEMBRE</v>
          </cell>
          <cell r="D2246" t="str">
            <v>2016</v>
          </cell>
          <cell r="E2246">
            <v>455</v>
          </cell>
          <cell r="F2246" t="str">
            <v>C9P-948</v>
          </cell>
          <cell r="G2246" t="str">
            <v>B4O-995</v>
          </cell>
          <cell r="H2246" t="str">
            <v>LAS BAMBAS</v>
          </cell>
          <cell r="I2246">
            <v>156586</v>
          </cell>
          <cell r="J2246" t="str">
            <v>REPUESTO</v>
          </cell>
          <cell r="K2246" t="str">
            <v>CABLE NRO. 14</v>
          </cell>
          <cell r="L2246">
            <v>1</v>
          </cell>
          <cell r="M2246" t="str">
            <v>M</v>
          </cell>
          <cell r="N2246" t="str">
            <v>TRACTO</v>
          </cell>
          <cell r="O2246">
            <v>0</v>
          </cell>
          <cell r="P2246" t="str">
            <v>E2</v>
          </cell>
          <cell r="Q2246" t="str">
            <v>J2</v>
          </cell>
          <cell r="R2246" t="str">
            <v>J6</v>
          </cell>
          <cell r="S2246" t="str">
            <v>ENTREGADO</v>
          </cell>
          <cell r="T2246">
            <v>42710</v>
          </cell>
          <cell r="U2246" t="str">
            <v>YUCA BELLIDO BORIS YERSY</v>
          </cell>
          <cell r="V2246" t="str">
            <v>CORIHUAMAN SURCO  ERICK ROBERT</v>
          </cell>
        </row>
        <row r="2247">
          <cell r="A2247">
            <v>2210</v>
          </cell>
          <cell r="B2247">
            <v>42710</v>
          </cell>
          <cell r="C2247" t="str">
            <v>DICIEMBRE</v>
          </cell>
          <cell r="D2247" t="str">
            <v>2016</v>
          </cell>
          <cell r="E2247">
            <v>455</v>
          </cell>
          <cell r="F2247" t="str">
            <v>C9P-948</v>
          </cell>
          <cell r="G2247" t="str">
            <v>B4O-995</v>
          </cell>
          <cell r="H2247" t="str">
            <v>LAS BAMBAS</v>
          </cell>
          <cell r="I2247">
            <v>156586</v>
          </cell>
          <cell r="J2247" t="str">
            <v>REPUESTO</v>
          </cell>
          <cell r="K2247" t="str">
            <v>TUBO CORRUGADO 1/4</v>
          </cell>
          <cell r="L2247">
            <v>1</v>
          </cell>
          <cell r="M2247" t="str">
            <v>M</v>
          </cell>
          <cell r="N2247" t="str">
            <v>TRACTO</v>
          </cell>
          <cell r="O2247">
            <v>0</v>
          </cell>
          <cell r="P2247" t="str">
            <v>E2</v>
          </cell>
          <cell r="Q2247" t="str">
            <v>J2</v>
          </cell>
          <cell r="R2247" t="str">
            <v>J6</v>
          </cell>
          <cell r="S2247" t="str">
            <v>ENTREGADO</v>
          </cell>
          <cell r="T2247">
            <v>42710</v>
          </cell>
          <cell r="U2247" t="str">
            <v>YUCA BELLIDO BORIS YERSY</v>
          </cell>
          <cell r="V2247" t="str">
            <v>CORIHUAMAN SURCO  ERICK ROBERT</v>
          </cell>
        </row>
        <row r="2248">
          <cell r="A2248">
            <v>2211</v>
          </cell>
          <cell r="B2248">
            <v>42710</v>
          </cell>
          <cell r="C2248" t="str">
            <v>DICIEMBRE</v>
          </cell>
          <cell r="D2248" t="str">
            <v>2016</v>
          </cell>
          <cell r="E2248">
            <v>455</v>
          </cell>
          <cell r="F2248" t="str">
            <v>C9P-948</v>
          </cell>
          <cell r="G2248" t="str">
            <v>B4O-995</v>
          </cell>
          <cell r="H2248" t="str">
            <v>LAS BAMBAS</v>
          </cell>
          <cell r="I2248">
            <v>156586</v>
          </cell>
          <cell r="J2248" t="str">
            <v>REPUESTO</v>
          </cell>
          <cell r="K2248" t="str">
            <v>TERMINALES OJOS 3/16</v>
          </cell>
          <cell r="L2248">
            <v>3</v>
          </cell>
          <cell r="M2248" t="str">
            <v>UNID.</v>
          </cell>
          <cell r="N2248" t="str">
            <v>TRACTO</v>
          </cell>
          <cell r="O2248">
            <v>0</v>
          </cell>
          <cell r="P2248" t="str">
            <v>E2</v>
          </cell>
          <cell r="Q2248" t="str">
            <v>J2</v>
          </cell>
          <cell r="R2248" t="str">
            <v>J6</v>
          </cell>
          <cell r="S2248" t="str">
            <v>ENTREGADO</v>
          </cell>
          <cell r="T2248">
            <v>42710</v>
          </cell>
          <cell r="U2248" t="str">
            <v>YUCA BELLIDO BORIS YERSY</v>
          </cell>
          <cell r="V2248" t="str">
            <v>CORIHUAMAN SURCO  ERICK ROBERT</v>
          </cell>
        </row>
        <row r="2249">
          <cell r="A2249">
            <v>2212</v>
          </cell>
          <cell r="B2249">
            <v>42710</v>
          </cell>
          <cell r="C2249" t="str">
            <v>DICIEMBRE</v>
          </cell>
          <cell r="D2249" t="str">
            <v>2016</v>
          </cell>
          <cell r="E2249">
            <v>455</v>
          </cell>
          <cell r="F2249" t="str">
            <v>C9P-948</v>
          </cell>
          <cell r="G2249" t="str">
            <v>B4O-995</v>
          </cell>
          <cell r="H2249" t="str">
            <v>LAS BAMBAS</v>
          </cell>
          <cell r="I2249">
            <v>156586</v>
          </cell>
          <cell r="J2249" t="str">
            <v>REPUESTO</v>
          </cell>
          <cell r="K2249" t="str">
            <v>FOCOS DOBLE CONTACTO</v>
          </cell>
          <cell r="L2249">
            <v>2</v>
          </cell>
          <cell r="M2249" t="str">
            <v>UNID.</v>
          </cell>
          <cell r="N2249" t="str">
            <v>TRACTO</v>
          </cell>
          <cell r="O2249">
            <v>0</v>
          </cell>
          <cell r="P2249" t="str">
            <v>E2</v>
          </cell>
          <cell r="Q2249" t="str">
            <v>J2</v>
          </cell>
          <cell r="R2249" t="str">
            <v>J6</v>
          </cell>
          <cell r="S2249" t="str">
            <v>ENTREGADO</v>
          </cell>
          <cell r="T2249">
            <v>42710</v>
          </cell>
          <cell r="U2249" t="str">
            <v>YUCA BELLIDO BORIS YERSY</v>
          </cell>
          <cell r="V2249" t="str">
            <v>CORIHUAMAN SURCO  ERICK ROBERT</v>
          </cell>
        </row>
        <row r="2250">
          <cell r="A2250">
            <v>2214</v>
          </cell>
          <cell r="B2250">
            <v>42710</v>
          </cell>
          <cell r="C2250" t="str">
            <v>DICIEMBRE</v>
          </cell>
          <cell r="D2250" t="str">
            <v>2016</v>
          </cell>
          <cell r="E2250">
            <v>455</v>
          </cell>
          <cell r="F2250" t="str">
            <v>C9P-948</v>
          </cell>
          <cell r="G2250" t="str">
            <v>B4O-995</v>
          </cell>
          <cell r="H2250" t="str">
            <v>LAS BAMBAS</v>
          </cell>
          <cell r="I2250">
            <v>156586</v>
          </cell>
          <cell r="J2250" t="str">
            <v>REPUESTO</v>
          </cell>
          <cell r="K2250" t="str">
            <v>TUERCAS 9/16</v>
          </cell>
          <cell r="L2250">
            <v>2</v>
          </cell>
          <cell r="M2250" t="str">
            <v>UNID.</v>
          </cell>
          <cell r="N2250" t="str">
            <v>TRACTO</v>
          </cell>
          <cell r="O2250">
            <v>0</v>
          </cell>
          <cell r="P2250" t="str">
            <v>S2</v>
          </cell>
          <cell r="Q2250" t="str">
            <v>J2</v>
          </cell>
          <cell r="R2250" t="str">
            <v>J6</v>
          </cell>
          <cell r="S2250" t="str">
            <v>ENTREGADO</v>
          </cell>
          <cell r="T2250">
            <v>42710</v>
          </cell>
          <cell r="U2250" t="str">
            <v>PALOMINO ESTRADA  MICHEL</v>
          </cell>
          <cell r="V2250" t="str">
            <v>CORIHUAMAN SURCO  ERICK ROBERT</v>
          </cell>
        </row>
        <row r="2251">
          <cell r="A2251">
            <v>2223</v>
          </cell>
          <cell r="B2251">
            <v>42710</v>
          </cell>
          <cell r="C2251" t="str">
            <v>DICIEMBRE</v>
          </cell>
          <cell r="D2251" t="str">
            <v>2016</v>
          </cell>
          <cell r="E2251">
            <v>506</v>
          </cell>
          <cell r="F2251" t="str">
            <v>D3P-754</v>
          </cell>
          <cell r="G2251" t="str">
            <v>C0V-971</v>
          </cell>
          <cell r="H2251" t="str">
            <v>LAS BAMBAS</v>
          </cell>
          <cell r="I2251">
            <v>163530</v>
          </cell>
          <cell r="J2251" t="str">
            <v>REPUESTO</v>
          </cell>
          <cell r="K2251" t="str">
            <v>CABLE NRO. 14</v>
          </cell>
          <cell r="L2251">
            <v>1</v>
          </cell>
          <cell r="M2251" t="str">
            <v>M</v>
          </cell>
          <cell r="N2251" t="str">
            <v>TRACTO</v>
          </cell>
          <cell r="O2251">
            <v>0</v>
          </cell>
          <cell r="P2251" t="str">
            <v>E3</v>
          </cell>
          <cell r="Q2251" t="str">
            <v>J2</v>
          </cell>
          <cell r="R2251" t="str">
            <v>J6</v>
          </cell>
          <cell r="S2251" t="str">
            <v>ENTREGADO</v>
          </cell>
          <cell r="T2251">
            <v>42710</v>
          </cell>
          <cell r="U2251" t="str">
            <v>CONDORI CHURATA ALEX</v>
          </cell>
          <cell r="V2251" t="str">
            <v>CORIHUAMAN SURCO  ERICK ROBERT</v>
          </cell>
        </row>
        <row r="2252">
          <cell r="A2252">
            <v>2224</v>
          </cell>
          <cell r="B2252">
            <v>42710</v>
          </cell>
          <cell r="C2252" t="str">
            <v>DICIEMBRE</v>
          </cell>
          <cell r="D2252" t="str">
            <v>2016</v>
          </cell>
          <cell r="E2252">
            <v>506</v>
          </cell>
          <cell r="F2252" t="str">
            <v>D3P-754</v>
          </cell>
          <cell r="G2252" t="str">
            <v>C0V-971</v>
          </cell>
          <cell r="H2252" t="str">
            <v>LAS BAMBAS</v>
          </cell>
          <cell r="I2252">
            <v>163530</v>
          </cell>
          <cell r="J2252" t="str">
            <v>REPUESTO</v>
          </cell>
          <cell r="K2252" t="str">
            <v xml:space="preserve">TERMINALES OJOS 3/8 </v>
          </cell>
          <cell r="L2252">
            <v>1</v>
          </cell>
          <cell r="M2252" t="str">
            <v>UNID.</v>
          </cell>
          <cell r="N2252" t="str">
            <v>TRACTO</v>
          </cell>
          <cell r="O2252">
            <v>0</v>
          </cell>
          <cell r="P2252" t="str">
            <v>E3</v>
          </cell>
          <cell r="Q2252" t="str">
            <v>J2</v>
          </cell>
          <cell r="R2252" t="str">
            <v>J6</v>
          </cell>
          <cell r="S2252" t="str">
            <v>ENTREGADO</v>
          </cell>
          <cell r="T2252">
            <v>42710</v>
          </cell>
          <cell r="U2252" t="str">
            <v>CONDORI CHURATA ALEX</v>
          </cell>
          <cell r="V2252" t="str">
            <v>CORIHUAMAN SURCO  ERICK ROBERT</v>
          </cell>
        </row>
        <row r="2253">
          <cell r="A2253">
            <v>2203</v>
          </cell>
          <cell r="B2253">
            <v>42710</v>
          </cell>
          <cell r="C2253" t="str">
            <v>DICIEMBRE</v>
          </cell>
          <cell r="D2253" t="str">
            <v>2016</v>
          </cell>
          <cell r="E2253">
            <v>391</v>
          </cell>
          <cell r="F2253" t="str">
            <v>D3Q-741</v>
          </cell>
          <cell r="G2253" t="str">
            <v>D2E-976</v>
          </cell>
          <cell r="H2253" t="str">
            <v>LAS BAMBAS</v>
          </cell>
          <cell r="I2253">
            <v>162515</v>
          </cell>
          <cell r="J2253" t="str">
            <v>REPUESTO</v>
          </cell>
          <cell r="K2253" t="str">
            <v>MANIJA DE PUERTA LADO IZQUIERDO</v>
          </cell>
          <cell r="L2253">
            <v>1</v>
          </cell>
          <cell r="M2253" t="str">
            <v>UNID.</v>
          </cell>
          <cell r="N2253" t="str">
            <v>TRACTO</v>
          </cell>
          <cell r="O2253">
            <v>80</v>
          </cell>
          <cell r="P2253" t="str">
            <v>J2</v>
          </cell>
          <cell r="Q2253" t="str">
            <v>J2</v>
          </cell>
          <cell r="R2253" t="str">
            <v>J6</v>
          </cell>
          <cell r="S2253" t="str">
            <v>ENTREGADO</v>
          </cell>
          <cell r="T2253">
            <v>0</v>
          </cell>
          <cell r="U2253" t="str">
            <v>CORIHUAMAN SURCO  ERICK ROBERT</v>
          </cell>
          <cell r="V2253" t="str">
            <v>CORIHUAMAN SURCO  ERICK ROBERT</v>
          </cell>
        </row>
        <row r="2254">
          <cell r="A2254">
            <v>2217</v>
          </cell>
          <cell r="B2254">
            <v>42710</v>
          </cell>
          <cell r="C2254" t="str">
            <v>DICIEMBRE</v>
          </cell>
          <cell r="D2254" t="str">
            <v>2016</v>
          </cell>
          <cell r="E2254">
            <v>391</v>
          </cell>
          <cell r="F2254" t="str">
            <v>D3Q-741</v>
          </cell>
          <cell r="G2254" t="str">
            <v>D2E-976</v>
          </cell>
          <cell r="H2254" t="str">
            <v>LAS BAMBAS</v>
          </cell>
          <cell r="I2254">
            <v>162515</v>
          </cell>
          <cell r="J2254" t="str">
            <v>REPUESTO</v>
          </cell>
          <cell r="K2254" t="str">
            <v>FILTRO DE COMBUSTIBLE</v>
          </cell>
          <cell r="L2254">
            <v>1</v>
          </cell>
          <cell r="M2254" t="str">
            <v>UNID.</v>
          </cell>
          <cell r="N2254" t="str">
            <v>TRACTO</v>
          </cell>
          <cell r="O2254">
            <v>0</v>
          </cell>
          <cell r="P2254" t="str">
            <v>M1</v>
          </cell>
          <cell r="Q2254" t="str">
            <v>J2</v>
          </cell>
          <cell r="R2254" t="str">
            <v>J6</v>
          </cell>
          <cell r="S2254" t="str">
            <v>ENTREGADO</v>
          </cell>
          <cell r="T2254">
            <v>42710</v>
          </cell>
          <cell r="U2254" t="str">
            <v>CABEZAS SANCHEZ JEAN JHONATAN</v>
          </cell>
          <cell r="V2254" t="str">
            <v>CORIHUAMAN SURCO  ERICK ROBERT</v>
          </cell>
        </row>
        <row r="2255">
          <cell r="A2255">
            <v>2218</v>
          </cell>
          <cell r="B2255">
            <v>42710</v>
          </cell>
          <cell r="C2255" t="str">
            <v>DICIEMBRE</v>
          </cell>
          <cell r="D2255" t="str">
            <v>2016</v>
          </cell>
          <cell r="E2255">
            <v>391</v>
          </cell>
          <cell r="F2255" t="str">
            <v>D3Q-741</v>
          </cell>
          <cell r="G2255" t="str">
            <v>D2E-976</v>
          </cell>
          <cell r="H2255" t="str">
            <v>LAS BAMBAS</v>
          </cell>
          <cell r="I2255">
            <v>162515</v>
          </cell>
          <cell r="J2255" t="str">
            <v>REPUESTO</v>
          </cell>
          <cell r="K2255" t="str">
            <v>FILTRO DE PETROLEO SEPARADOR DE AGUA</v>
          </cell>
          <cell r="L2255">
            <v>1</v>
          </cell>
          <cell r="M2255" t="str">
            <v>UNID.</v>
          </cell>
          <cell r="N2255" t="str">
            <v>TRACTO</v>
          </cell>
          <cell r="O2255">
            <v>0</v>
          </cell>
          <cell r="P2255" t="str">
            <v>M1</v>
          </cell>
          <cell r="Q2255" t="str">
            <v>J2</v>
          </cell>
          <cell r="R2255" t="str">
            <v>J6</v>
          </cell>
          <cell r="S2255" t="str">
            <v>ENTREGADO</v>
          </cell>
          <cell r="T2255">
            <v>42710</v>
          </cell>
          <cell r="U2255" t="str">
            <v>CABEZAS SANCHEZ JEAN JHONATAN</v>
          </cell>
          <cell r="V2255" t="str">
            <v>CORIHUAMAN SURCO  ERICK ROBERT</v>
          </cell>
        </row>
        <row r="2256">
          <cell r="A2256">
            <v>2219</v>
          </cell>
          <cell r="B2256">
            <v>42710</v>
          </cell>
          <cell r="C2256" t="str">
            <v>DICIEMBRE</v>
          </cell>
          <cell r="D2256" t="str">
            <v>2016</v>
          </cell>
          <cell r="E2256">
            <v>391</v>
          </cell>
          <cell r="F2256" t="str">
            <v>D3Q-741</v>
          </cell>
          <cell r="G2256" t="str">
            <v>D2E-976</v>
          </cell>
          <cell r="H2256" t="str">
            <v>LAS BAMBAS</v>
          </cell>
          <cell r="I2256">
            <v>162515</v>
          </cell>
          <cell r="J2256" t="str">
            <v>REPUESTO</v>
          </cell>
          <cell r="K2256" t="str">
            <v>LIQUIDO REFRIGERANTE</v>
          </cell>
          <cell r="L2256">
            <v>1</v>
          </cell>
          <cell r="M2256" t="str">
            <v>GLNS.</v>
          </cell>
          <cell r="N2256" t="str">
            <v>TRACTO</v>
          </cell>
          <cell r="O2256">
            <v>0</v>
          </cell>
          <cell r="P2256" t="str">
            <v>M1</v>
          </cell>
          <cell r="Q2256" t="str">
            <v>J2</v>
          </cell>
          <cell r="R2256" t="str">
            <v>J6</v>
          </cell>
          <cell r="S2256" t="str">
            <v>ENTREGADO</v>
          </cell>
          <cell r="T2256">
            <v>42710</v>
          </cell>
          <cell r="U2256" t="str">
            <v>CABEZAS SANCHEZ JEAN JHONATAN</v>
          </cell>
          <cell r="V2256" t="str">
            <v>CORIHUAMAN SURCO  ERICK ROBERT</v>
          </cell>
        </row>
        <row r="2257">
          <cell r="A2257">
            <v>2220</v>
          </cell>
          <cell r="B2257">
            <v>42710</v>
          </cell>
          <cell r="C2257" t="str">
            <v>DICIEMBRE</v>
          </cell>
          <cell r="D2257" t="str">
            <v>2016</v>
          </cell>
          <cell r="E2257">
            <v>391</v>
          </cell>
          <cell r="F2257" t="str">
            <v>D3Q-741</v>
          </cell>
          <cell r="G2257" t="str">
            <v>D2E-976</v>
          </cell>
          <cell r="H2257" t="str">
            <v>LAS BAMBAS</v>
          </cell>
          <cell r="I2257">
            <v>162515</v>
          </cell>
          <cell r="J2257" t="str">
            <v>REPUESTO</v>
          </cell>
          <cell r="K2257" t="str">
            <v>PERNOS 7/16 X 1</v>
          </cell>
          <cell r="L2257">
            <v>3</v>
          </cell>
          <cell r="M2257" t="str">
            <v>UNID.</v>
          </cell>
          <cell r="N2257" t="str">
            <v>TRACTO</v>
          </cell>
          <cell r="O2257">
            <v>0</v>
          </cell>
          <cell r="P2257" t="str">
            <v>M1</v>
          </cell>
          <cell r="Q2257" t="str">
            <v>J2</v>
          </cell>
          <cell r="R2257" t="str">
            <v>J6</v>
          </cell>
          <cell r="S2257" t="str">
            <v>ENTREGADO</v>
          </cell>
          <cell r="T2257">
            <v>42710</v>
          </cell>
          <cell r="U2257" t="str">
            <v>CABEZAS SANCHEZ JEAN JHONATAN</v>
          </cell>
          <cell r="V2257" t="str">
            <v>CORIHUAMAN SURCO  ERICK ROBERT</v>
          </cell>
        </row>
        <row r="2258">
          <cell r="A2258">
            <v>2221</v>
          </cell>
          <cell r="B2258">
            <v>42710</v>
          </cell>
          <cell r="C2258" t="str">
            <v>DICIEMBRE</v>
          </cell>
          <cell r="D2258" t="str">
            <v>2016</v>
          </cell>
          <cell r="E2258">
            <v>391</v>
          </cell>
          <cell r="F2258" t="str">
            <v>D3Q-741</v>
          </cell>
          <cell r="G2258" t="str">
            <v>D2E-976</v>
          </cell>
          <cell r="H2258" t="str">
            <v>LAS BAMBAS</v>
          </cell>
          <cell r="I2258">
            <v>162515</v>
          </cell>
          <cell r="J2258" t="str">
            <v>REPUESTO</v>
          </cell>
          <cell r="K2258" t="str">
            <v>TUERCA 7/16</v>
          </cell>
          <cell r="L2258">
            <v>3</v>
          </cell>
          <cell r="M2258" t="str">
            <v>UNID.</v>
          </cell>
          <cell r="N2258" t="str">
            <v>TRACTO</v>
          </cell>
          <cell r="O2258">
            <v>0</v>
          </cell>
          <cell r="P2258" t="str">
            <v>M1</v>
          </cell>
          <cell r="Q2258" t="str">
            <v>J2</v>
          </cell>
          <cell r="R2258" t="str">
            <v>J6</v>
          </cell>
          <cell r="S2258" t="str">
            <v>ENTREGADO</v>
          </cell>
          <cell r="T2258">
            <v>42710</v>
          </cell>
          <cell r="U2258" t="str">
            <v>CABEZAS SANCHEZ JEAN JHONATAN</v>
          </cell>
          <cell r="V2258" t="str">
            <v>CORIHUAMAN SURCO  ERICK ROBERT</v>
          </cell>
        </row>
        <row r="2259">
          <cell r="A2259">
            <v>2222</v>
          </cell>
          <cell r="B2259">
            <v>42710</v>
          </cell>
          <cell r="C2259" t="str">
            <v>DICIEMBRE</v>
          </cell>
          <cell r="D2259" t="str">
            <v>2016</v>
          </cell>
          <cell r="E2259">
            <v>391</v>
          </cell>
          <cell r="F2259" t="str">
            <v>D3Q-741</v>
          </cell>
          <cell r="G2259" t="str">
            <v>D2E-976</v>
          </cell>
          <cell r="H2259" t="str">
            <v>LAS BAMBAS</v>
          </cell>
          <cell r="I2259">
            <v>162515</v>
          </cell>
          <cell r="J2259" t="str">
            <v>REPUESTO</v>
          </cell>
          <cell r="K2259" t="str">
            <v>ARANDELA PLANA 7/16</v>
          </cell>
          <cell r="L2259">
            <v>6</v>
          </cell>
          <cell r="M2259" t="str">
            <v>UNID.</v>
          </cell>
          <cell r="N2259" t="str">
            <v>TRACTO</v>
          </cell>
          <cell r="O2259">
            <v>0</v>
          </cell>
          <cell r="P2259" t="str">
            <v>M1</v>
          </cell>
          <cell r="Q2259" t="str">
            <v>J2</v>
          </cell>
          <cell r="R2259" t="str">
            <v>J6</v>
          </cell>
          <cell r="S2259" t="str">
            <v>ENTREGADO</v>
          </cell>
          <cell r="T2259">
            <v>42710</v>
          </cell>
          <cell r="U2259" t="str">
            <v>CABEZAS SANCHEZ JEAN JHONATAN</v>
          </cell>
          <cell r="V2259" t="str">
            <v>CORIHUAMAN SURCO  ERICK ROBERT</v>
          </cell>
        </row>
        <row r="2260">
          <cell r="A2260">
            <v>2246</v>
          </cell>
          <cell r="B2260">
            <v>42710</v>
          </cell>
          <cell r="C2260" t="str">
            <v>DICIEMBRE</v>
          </cell>
          <cell r="D2260" t="str">
            <v>2016</v>
          </cell>
          <cell r="E2260">
            <v>521</v>
          </cell>
          <cell r="F2260" t="str">
            <v>D4T-927</v>
          </cell>
          <cell r="G2260" t="str">
            <v>B4Q-976</v>
          </cell>
          <cell r="H2260" t="str">
            <v>LAS BAMBAS</v>
          </cell>
          <cell r="I2260">
            <v>197963</v>
          </cell>
          <cell r="J2260" t="str">
            <v>REPUESTO</v>
          </cell>
          <cell r="K2260" t="str">
            <v>LIQUIDO LIMPIAPARABRISAS</v>
          </cell>
          <cell r="L2260">
            <v>1</v>
          </cell>
          <cell r="M2260" t="str">
            <v>GLNS.</v>
          </cell>
          <cell r="N2260" t="str">
            <v>TRACTO</v>
          </cell>
          <cell r="O2260">
            <v>0</v>
          </cell>
          <cell r="P2260" t="str">
            <v>M1</v>
          </cell>
          <cell r="Q2260" t="str">
            <v>J2</v>
          </cell>
          <cell r="R2260" t="str">
            <v>J5</v>
          </cell>
          <cell r="S2260" t="str">
            <v>ENTREGADO</v>
          </cell>
          <cell r="T2260">
            <v>42710</v>
          </cell>
          <cell r="U2260" t="str">
            <v>CABEZAS SANCHEZ JEAN JHONATAN</v>
          </cell>
          <cell r="V2260" t="str">
            <v>CORIHUAMAN SURCO  ERICK ROBERT</v>
          </cell>
        </row>
        <row r="2261">
          <cell r="A2261">
            <v>2247</v>
          </cell>
          <cell r="B2261">
            <v>42710</v>
          </cell>
          <cell r="C2261" t="str">
            <v>DICIEMBRE</v>
          </cell>
          <cell r="D2261" t="str">
            <v>2016</v>
          </cell>
          <cell r="E2261">
            <v>521</v>
          </cell>
          <cell r="F2261" t="str">
            <v>D4T-927</v>
          </cell>
          <cell r="G2261" t="str">
            <v>B4Q-976</v>
          </cell>
          <cell r="H2261" t="str">
            <v>LAS BAMBAS</v>
          </cell>
          <cell r="I2261">
            <v>197963</v>
          </cell>
          <cell r="J2261" t="str">
            <v>REPUESTO</v>
          </cell>
          <cell r="K2261" t="str">
            <v>LIQUIDO REFRIGERANTE</v>
          </cell>
          <cell r="L2261">
            <v>0.5</v>
          </cell>
          <cell r="M2261" t="str">
            <v>GLNS.</v>
          </cell>
          <cell r="N2261" t="str">
            <v>TRACTO</v>
          </cell>
          <cell r="O2261">
            <v>0</v>
          </cell>
          <cell r="P2261" t="str">
            <v>M1</v>
          </cell>
          <cell r="Q2261" t="str">
            <v>J2</v>
          </cell>
          <cell r="R2261" t="str">
            <v>J5</v>
          </cell>
          <cell r="S2261" t="str">
            <v>ENTREGADO</v>
          </cell>
          <cell r="T2261">
            <v>42710</v>
          </cell>
          <cell r="U2261" t="str">
            <v>CABEZAS SANCHEZ JEAN JHONATAN</v>
          </cell>
          <cell r="V2261" t="str">
            <v>CORIHUAMAN SURCO  ERICK ROBERT</v>
          </cell>
        </row>
        <row r="2262">
          <cell r="A2262">
            <v>2197</v>
          </cell>
          <cell r="B2262">
            <v>42710</v>
          </cell>
          <cell r="C2262" t="str">
            <v>DICIEMBRE</v>
          </cell>
          <cell r="D2262" t="str">
            <v>2016</v>
          </cell>
          <cell r="E2262">
            <v>491</v>
          </cell>
          <cell r="F2262" t="str">
            <v>D6F-898</v>
          </cell>
          <cell r="G2262" t="str">
            <v>T4L-996</v>
          </cell>
          <cell r="H2262" t="str">
            <v>LAS BAMBAS</v>
          </cell>
          <cell r="I2262">
            <v>162871</v>
          </cell>
          <cell r="J2262" t="str">
            <v>REPUESTO</v>
          </cell>
          <cell r="K2262" t="str">
            <v>SOPORTE DE LA QUINTA RUEDA</v>
          </cell>
          <cell r="L2262">
            <v>1</v>
          </cell>
          <cell r="M2262" t="str">
            <v>UNID.</v>
          </cell>
          <cell r="N2262" t="str">
            <v>TRACTO</v>
          </cell>
          <cell r="O2262">
            <v>6</v>
          </cell>
          <cell r="P2262" t="str">
            <v>J1</v>
          </cell>
          <cell r="Q2262" t="str">
            <v>J1</v>
          </cell>
          <cell r="R2262" t="str">
            <v>J6</v>
          </cell>
          <cell r="S2262" t="str">
            <v>ENTREGADO</v>
          </cell>
          <cell r="T2262">
            <v>42716</v>
          </cell>
          <cell r="U2262" t="str">
            <v>FLOREZ CONDORI  JOSE WILLIANS</v>
          </cell>
          <cell r="V2262" t="str">
            <v>FLOREZ CONDORI  JOSE WILLIANS</v>
          </cell>
        </row>
        <row r="2263">
          <cell r="A2263">
            <v>2206</v>
          </cell>
          <cell r="B2263">
            <v>42710</v>
          </cell>
          <cell r="C2263" t="str">
            <v>DICIEMBRE</v>
          </cell>
          <cell r="D2263" t="str">
            <v>2016</v>
          </cell>
          <cell r="E2263">
            <v>491</v>
          </cell>
          <cell r="F2263" t="str">
            <v>D6F-898</v>
          </cell>
          <cell r="G2263" t="str">
            <v>T4L-996</v>
          </cell>
          <cell r="H2263" t="str">
            <v>LAS BAMBAS</v>
          </cell>
          <cell r="I2263">
            <v>162871</v>
          </cell>
          <cell r="J2263" t="str">
            <v>REPUESTO</v>
          </cell>
          <cell r="K2263" t="str">
            <v>ZAPATAS</v>
          </cell>
          <cell r="L2263">
            <v>0.5</v>
          </cell>
          <cell r="M2263" t="str">
            <v>JUEGO</v>
          </cell>
          <cell r="N2263" t="str">
            <v>CISTERNA</v>
          </cell>
          <cell r="O2263">
            <v>0</v>
          </cell>
          <cell r="P2263" t="str">
            <v>M5</v>
          </cell>
          <cell r="Q2263" t="str">
            <v>J2</v>
          </cell>
          <cell r="R2263" t="str">
            <v>J5</v>
          </cell>
          <cell r="S2263" t="str">
            <v>ENTREGADO</v>
          </cell>
          <cell r="T2263">
            <v>42710</v>
          </cell>
          <cell r="U2263" t="str">
            <v>LOPEZ RUIZ WILBERTO</v>
          </cell>
          <cell r="V2263" t="str">
            <v>CORIHUAMAN SURCO  ERICK ROBERT</v>
          </cell>
        </row>
        <row r="2264">
          <cell r="A2264">
            <v>2208</v>
          </cell>
          <cell r="B2264">
            <v>42710</v>
          </cell>
          <cell r="C2264" t="str">
            <v>DICIEMBRE</v>
          </cell>
          <cell r="D2264" t="str">
            <v>2016</v>
          </cell>
          <cell r="E2264">
            <v>491</v>
          </cell>
          <cell r="F2264" t="str">
            <v>D6F-898</v>
          </cell>
          <cell r="G2264" t="str">
            <v>T4L-996</v>
          </cell>
          <cell r="H2264" t="str">
            <v>LAS BAMBAS</v>
          </cell>
          <cell r="I2264">
            <v>162871</v>
          </cell>
          <cell r="J2264" t="str">
            <v>REPUESTO</v>
          </cell>
          <cell r="K2264" t="str">
            <v>PUENTE PARA BATERIA</v>
          </cell>
          <cell r="L2264">
            <v>1</v>
          </cell>
          <cell r="M2264" t="str">
            <v>UNID.</v>
          </cell>
          <cell r="N2264" t="str">
            <v>TRACTO</v>
          </cell>
          <cell r="O2264">
            <v>80</v>
          </cell>
          <cell r="P2264" t="str">
            <v>E3</v>
          </cell>
          <cell r="Q2264" t="str">
            <v>J2</v>
          </cell>
          <cell r="R2264" t="str">
            <v>J6</v>
          </cell>
          <cell r="S2264" t="str">
            <v>PENDIENTE</v>
          </cell>
          <cell r="T2264">
            <v>0</v>
          </cell>
          <cell r="U2264" t="str">
            <v>CONDORI CHURATA ALEX</v>
          </cell>
          <cell r="V2264" t="str">
            <v>CORIHUAMAN SURCO  ERICK ROBERT</v>
          </cell>
        </row>
        <row r="2265">
          <cell r="A2265">
            <v>2213</v>
          </cell>
          <cell r="B2265">
            <v>42710</v>
          </cell>
          <cell r="C2265" t="str">
            <v>DICIEMBRE</v>
          </cell>
          <cell r="D2265" t="str">
            <v>2016</v>
          </cell>
          <cell r="E2265">
            <v>491</v>
          </cell>
          <cell r="F2265" t="str">
            <v>D6F-898</v>
          </cell>
          <cell r="G2265" t="str">
            <v>T4L-996</v>
          </cell>
          <cell r="H2265" t="str">
            <v>LAS BAMBAS</v>
          </cell>
          <cell r="I2265">
            <v>162871</v>
          </cell>
          <cell r="J2265" t="str">
            <v>REPUESTO</v>
          </cell>
          <cell r="K2265" t="str">
            <v>PARCHE RACK 12</v>
          </cell>
          <cell r="L2265">
            <v>1</v>
          </cell>
          <cell r="M2265" t="str">
            <v>UNID.</v>
          </cell>
          <cell r="N2265" t="str">
            <v>CISTERNA</v>
          </cell>
          <cell r="O2265">
            <v>0</v>
          </cell>
          <cell r="P2265" t="str">
            <v>N2</v>
          </cell>
          <cell r="Q2265" t="str">
            <v>J3</v>
          </cell>
          <cell r="R2265" t="str">
            <v>J6</v>
          </cell>
          <cell r="S2265" t="str">
            <v>ENTREGADO</v>
          </cell>
          <cell r="T2265">
            <v>42710</v>
          </cell>
          <cell r="U2265" t="str">
            <v>MAMANI LARICO  EDUARDO ALVARO</v>
          </cell>
          <cell r="V2265" t="str">
            <v>CHURA PIZARRO ALBERTO</v>
          </cell>
        </row>
        <row r="2266">
          <cell r="A2266">
            <v>2201</v>
          </cell>
          <cell r="B2266">
            <v>42710</v>
          </cell>
          <cell r="C2266" t="str">
            <v>DICIEMBRE</v>
          </cell>
          <cell r="D2266" t="str">
            <v>2016</v>
          </cell>
          <cell r="E2266">
            <v>509</v>
          </cell>
          <cell r="F2266" t="str">
            <v>D6F-903</v>
          </cell>
          <cell r="G2266" t="str">
            <v>B8K-997</v>
          </cell>
          <cell r="H2266" t="str">
            <v>LAS BAMBAS</v>
          </cell>
          <cell r="I2266">
            <v>217714</v>
          </cell>
          <cell r="J2266" t="str">
            <v>REPUESTO</v>
          </cell>
          <cell r="K2266" t="str">
            <v>TUBO CORRUGADO 1/4</v>
          </cell>
          <cell r="L2266">
            <v>1</v>
          </cell>
          <cell r="M2266" t="str">
            <v>M</v>
          </cell>
          <cell r="N2266" t="str">
            <v>TRACTO</v>
          </cell>
          <cell r="O2266">
            <v>0</v>
          </cell>
          <cell r="P2266" t="str">
            <v>E3</v>
          </cell>
          <cell r="Q2266" t="str">
            <v>J2</v>
          </cell>
          <cell r="R2266" t="str">
            <v>J6</v>
          </cell>
          <cell r="S2266" t="str">
            <v>ENTREGADO</v>
          </cell>
          <cell r="T2266">
            <v>42710</v>
          </cell>
          <cell r="U2266" t="str">
            <v>CONDORI CHURATA ALEX</v>
          </cell>
          <cell r="V2266" t="str">
            <v>CORIHUAMAN SURCO  ERICK ROBERT</v>
          </cell>
        </row>
        <row r="2267">
          <cell r="A2267">
            <v>2215</v>
          </cell>
          <cell r="B2267">
            <v>42710</v>
          </cell>
          <cell r="C2267" t="str">
            <v>DICIEMBRE</v>
          </cell>
          <cell r="D2267" t="str">
            <v>2016</v>
          </cell>
          <cell r="E2267">
            <v>509</v>
          </cell>
          <cell r="F2267" t="str">
            <v>D6F-903</v>
          </cell>
          <cell r="G2267" t="str">
            <v>B8K-997</v>
          </cell>
          <cell r="H2267" t="str">
            <v>LAS BAMBAS</v>
          </cell>
          <cell r="I2267">
            <v>217714</v>
          </cell>
          <cell r="J2267" t="str">
            <v>REPUESTO</v>
          </cell>
          <cell r="K2267" t="str">
            <v>TUERCAS 9/16</v>
          </cell>
          <cell r="L2267">
            <v>2</v>
          </cell>
          <cell r="M2267" t="str">
            <v>UNID.</v>
          </cell>
          <cell r="N2267" t="str">
            <v>TRACTO</v>
          </cell>
          <cell r="O2267">
            <v>0</v>
          </cell>
          <cell r="P2267" t="str">
            <v>S2</v>
          </cell>
          <cell r="Q2267" t="str">
            <v>J2</v>
          </cell>
          <cell r="R2267" t="str">
            <v>J6</v>
          </cell>
          <cell r="S2267" t="str">
            <v>ENTREGADO</v>
          </cell>
          <cell r="T2267">
            <v>42710</v>
          </cell>
          <cell r="U2267" t="str">
            <v>PALOMINO ESTRADA  MICHEL</v>
          </cell>
          <cell r="V2267" t="str">
            <v>CORIHUAMAN SURCO  ERICK ROBERT</v>
          </cell>
        </row>
        <row r="2268">
          <cell r="A2268">
            <v>2234</v>
          </cell>
          <cell r="B2268">
            <v>42710</v>
          </cell>
          <cell r="C2268" t="str">
            <v>DICIEMBRE</v>
          </cell>
          <cell r="D2268" t="str">
            <v>2016</v>
          </cell>
          <cell r="E2268">
            <v>509</v>
          </cell>
          <cell r="F2268" t="str">
            <v>D6F-903</v>
          </cell>
          <cell r="G2268" t="str">
            <v>B8K-997</v>
          </cell>
          <cell r="H2268" t="str">
            <v>LAS BAMBAS</v>
          </cell>
          <cell r="I2268">
            <v>217714</v>
          </cell>
          <cell r="J2268" t="str">
            <v>REPUESTO</v>
          </cell>
          <cell r="K2268" t="str">
            <v>PERNO 9/16 X 4" C/ TUERCA SEGURO Y ARANDELA PLANA</v>
          </cell>
          <cell r="L2268">
            <v>2</v>
          </cell>
          <cell r="M2268" t="str">
            <v>UNID.</v>
          </cell>
          <cell r="N2268" t="str">
            <v>TRACTO</v>
          </cell>
          <cell r="O2268">
            <v>0</v>
          </cell>
          <cell r="P2268" t="str">
            <v>M7</v>
          </cell>
          <cell r="Q2268" t="str">
            <v>J2</v>
          </cell>
          <cell r="R2268" t="str">
            <v>J5</v>
          </cell>
          <cell r="S2268" t="str">
            <v>ENTREGADO</v>
          </cell>
          <cell r="T2268">
            <v>42710</v>
          </cell>
          <cell r="U2268" t="str">
            <v>ROBLES ROJAS  JOSE MIGUEL</v>
          </cell>
          <cell r="V2268" t="str">
            <v>CORIHUAMAN SURCO  ERICK ROBERT</v>
          </cell>
        </row>
        <row r="2269">
          <cell r="A2269">
            <v>2257</v>
          </cell>
          <cell r="B2269">
            <v>42710</v>
          </cell>
          <cell r="C2269" t="str">
            <v>DICIEMBRE</v>
          </cell>
          <cell r="D2269" t="str">
            <v>2016</v>
          </cell>
          <cell r="E2269">
            <v>509</v>
          </cell>
          <cell r="F2269" t="str">
            <v>D6F-903</v>
          </cell>
          <cell r="G2269" t="str">
            <v>B8K-997</v>
          </cell>
          <cell r="H2269" t="str">
            <v>LAS BAMBAS</v>
          </cell>
          <cell r="I2269">
            <v>217714</v>
          </cell>
          <cell r="J2269" t="str">
            <v>REPUESTO</v>
          </cell>
          <cell r="K2269" t="str">
            <v>FILTRO DE AIRE</v>
          </cell>
          <cell r="L2269">
            <v>1</v>
          </cell>
          <cell r="M2269" t="str">
            <v>UNID.</v>
          </cell>
          <cell r="N2269" t="str">
            <v>TRACTO</v>
          </cell>
          <cell r="O2269">
            <v>0</v>
          </cell>
          <cell r="P2269" t="str">
            <v>M7</v>
          </cell>
          <cell r="Q2269" t="str">
            <v>J2</v>
          </cell>
          <cell r="R2269" t="str">
            <v>J5</v>
          </cell>
          <cell r="S2269" t="str">
            <v>ENTREGADO</v>
          </cell>
          <cell r="T2269">
            <v>42710</v>
          </cell>
          <cell r="U2269" t="str">
            <v>ROBLES ROJAS  JOSE MIGUEL</v>
          </cell>
          <cell r="V2269" t="str">
            <v>CORIHUAMAN SURCO  ERICK ROBERT</v>
          </cell>
        </row>
        <row r="2270">
          <cell r="A2270">
            <v>2231</v>
          </cell>
          <cell r="B2270">
            <v>42710</v>
          </cell>
          <cell r="C2270" t="str">
            <v>DICIEMBRE</v>
          </cell>
          <cell r="D2270" t="str">
            <v>2016</v>
          </cell>
          <cell r="E2270">
            <v>454</v>
          </cell>
          <cell r="F2270" t="str">
            <v>D6G-806</v>
          </cell>
          <cell r="G2270" t="str">
            <v>B8K-998</v>
          </cell>
          <cell r="H2270" t="str">
            <v>LAS BAMBAS</v>
          </cell>
          <cell r="I2270">
            <v>218209</v>
          </cell>
          <cell r="J2270" t="str">
            <v>REPUESTO</v>
          </cell>
          <cell r="K2270" t="str">
            <v xml:space="preserve">TERMINAL HEMBRA </v>
          </cell>
          <cell r="L2270">
            <v>2</v>
          </cell>
          <cell r="M2270" t="str">
            <v>UNID.</v>
          </cell>
          <cell r="N2270" t="str">
            <v>TRACTO</v>
          </cell>
          <cell r="O2270">
            <v>0</v>
          </cell>
          <cell r="P2270" t="str">
            <v>E2</v>
          </cell>
          <cell r="Q2270" t="str">
            <v>J2</v>
          </cell>
          <cell r="R2270" t="str">
            <v>J5</v>
          </cell>
          <cell r="S2270" t="str">
            <v>ENTREGADO</v>
          </cell>
          <cell r="T2270">
            <v>42710</v>
          </cell>
          <cell r="U2270" t="str">
            <v>YUCA BELLIDO BORIS YERSY</v>
          </cell>
          <cell r="V2270" t="str">
            <v>CORIHUAMAN SURCO  ERICK ROBERT</v>
          </cell>
        </row>
        <row r="2271">
          <cell r="A2271">
            <v>2232</v>
          </cell>
          <cell r="B2271">
            <v>42710</v>
          </cell>
          <cell r="C2271" t="str">
            <v>DICIEMBRE</v>
          </cell>
          <cell r="D2271" t="str">
            <v>2016</v>
          </cell>
          <cell r="E2271">
            <v>454</v>
          </cell>
          <cell r="F2271" t="str">
            <v>D6G-806</v>
          </cell>
          <cell r="G2271" t="str">
            <v>B8K-998</v>
          </cell>
          <cell r="H2271" t="str">
            <v>LAS BAMBAS</v>
          </cell>
          <cell r="I2271">
            <v>218209</v>
          </cell>
          <cell r="J2271" t="str">
            <v>REPUESTO</v>
          </cell>
          <cell r="K2271" t="str">
            <v>FUSIBLES 20V</v>
          </cell>
          <cell r="L2271">
            <v>2</v>
          </cell>
          <cell r="M2271" t="str">
            <v>UNID.</v>
          </cell>
          <cell r="N2271" t="str">
            <v>TRACTO</v>
          </cell>
          <cell r="O2271">
            <v>0</v>
          </cell>
          <cell r="P2271" t="str">
            <v>E2</v>
          </cell>
          <cell r="Q2271" t="str">
            <v>J2</v>
          </cell>
          <cell r="R2271" t="str">
            <v>J5</v>
          </cell>
          <cell r="S2271" t="str">
            <v>ENTREGADO</v>
          </cell>
          <cell r="T2271">
            <v>42710</v>
          </cell>
          <cell r="U2271" t="str">
            <v>YUCA BELLIDO BORIS YERSY</v>
          </cell>
          <cell r="V2271" t="str">
            <v>CORIHUAMAN SURCO  ERICK ROBERT</v>
          </cell>
        </row>
        <row r="2272">
          <cell r="A2272">
            <v>2233</v>
          </cell>
          <cell r="B2272">
            <v>42710</v>
          </cell>
          <cell r="C2272" t="str">
            <v>DICIEMBRE</v>
          </cell>
          <cell r="D2272" t="str">
            <v>2016</v>
          </cell>
          <cell r="E2272">
            <v>454</v>
          </cell>
          <cell r="F2272" t="str">
            <v>D6G-806</v>
          </cell>
          <cell r="G2272" t="str">
            <v>B8K-998</v>
          </cell>
          <cell r="H2272" t="str">
            <v>LAS BAMBAS</v>
          </cell>
          <cell r="I2272">
            <v>218209</v>
          </cell>
          <cell r="J2272" t="str">
            <v>REPUESTO</v>
          </cell>
          <cell r="K2272" t="str">
            <v>FOCO NEBLINERO H3</v>
          </cell>
          <cell r="L2272">
            <v>1</v>
          </cell>
          <cell r="M2272" t="str">
            <v>UNID.</v>
          </cell>
          <cell r="N2272" t="str">
            <v>TRACTO</v>
          </cell>
          <cell r="O2272">
            <v>0</v>
          </cell>
          <cell r="P2272" t="str">
            <v>E2</v>
          </cell>
          <cell r="Q2272" t="str">
            <v>J2</v>
          </cell>
          <cell r="R2272" t="str">
            <v>J5</v>
          </cell>
          <cell r="S2272" t="str">
            <v>ENTREGADO</v>
          </cell>
          <cell r="T2272">
            <v>42710</v>
          </cell>
          <cell r="U2272" t="str">
            <v>YUCA BELLIDO BORIS YERSY</v>
          </cell>
          <cell r="V2272" t="str">
            <v>CORIHUAMAN SURCO  ERICK ROBERT</v>
          </cell>
        </row>
        <row r="2273">
          <cell r="A2273">
            <v>2196</v>
          </cell>
          <cell r="B2273">
            <v>42710</v>
          </cell>
          <cell r="C2273" t="str">
            <v>DICIEMBRE</v>
          </cell>
          <cell r="D2273" t="str">
            <v>2016</v>
          </cell>
          <cell r="E2273">
            <v>200</v>
          </cell>
          <cell r="F2273" t="str">
            <v>TALLER</v>
          </cell>
          <cell r="G2273" t="str">
            <v>TALLER</v>
          </cell>
          <cell r="H2273" t="str">
            <v>TALLER</v>
          </cell>
          <cell r="I2273" t="str">
            <v>TALLER</v>
          </cell>
          <cell r="J2273" t="str">
            <v>MATERIALES</v>
          </cell>
          <cell r="K2273" t="str">
            <v>CAJA O ESTCUHE DE HERRAMIENTA</v>
          </cell>
          <cell r="L2273">
            <v>3</v>
          </cell>
          <cell r="M2273" t="str">
            <v>UNID.</v>
          </cell>
          <cell r="N2273" t="str">
            <v>TALLER</v>
          </cell>
          <cell r="O2273">
            <v>0</v>
          </cell>
          <cell r="P2273" t="str">
            <v>J2</v>
          </cell>
          <cell r="Q2273" t="str">
            <v>J2</v>
          </cell>
          <cell r="R2273" t="str">
            <v>J6</v>
          </cell>
          <cell r="S2273" t="str">
            <v>ENTREGADO</v>
          </cell>
          <cell r="T2273">
            <v>42710</v>
          </cell>
          <cell r="U2273" t="str">
            <v>CORIHUAMAN SURCO  ERICK ROBERT</v>
          </cell>
          <cell r="V2273" t="str">
            <v>CORIHUAMAN SURCO  ERICK ROBERT</v>
          </cell>
        </row>
        <row r="2274">
          <cell r="A2274">
            <v>2200</v>
          </cell>
          <cell r="B2274">
            <v>42710</v>
          </cell>
          <cell r="C2274" t="str">
            <v>DICIEMBRE</v>
          </cell>
          <cell r="D2274" t="str">
            <v>2016</v>
          </cell>
          <cell r="E2274">
            <v>200</v>
          </cell>
          <cell r="F2274" t="str">
            <v>TALLER</v>
          </cell>
          <cell r="G2274" t="str">
            <v>TALLER</v>
          </cell>
          <cell r="H2274" t="str">
            <v>TALLER</v>
          </cell>
          <cell r="I2274" t="str">
            <v>TALLER</v>
          </cell>
          <cell r="J2274" t="str">
            <v>INSUMO TALLER</v>
          </cell>
          <cell r="K2274" t="str">
            <v>TRAPOS SUELTOS</v>
          </cell>
          <cell r="L2274">
            <v>1</v>
          </cell>
          <cell r="M2274" t="str">
            <v>KG.</v>
          </cell>
          <cell r="N2274" t="str">
            <v>TALLER</v>
          </cell>
          <cell r="O2274">
            <v>0</v>
          </cell>
          <cell r="P2274" t="str">
            <v>J6</v>
          </cell>
          <cell r="Q2274" t="str">
            <v>J2</v>
          </cell>
          <cell r="R2274" t="str">
            <v>J6</v>
          </cell>
          <cell r="S2274" t="str">
            <v>ENTREGADO</v>
          </cell>
          <cell r="T2274">
            <v>42710</v>
          </cell>
          <cell r="U2274" t="str">
            <v>VILLANUEVA BEJAR  YHORDAN MICHEL</v>
          </cell>
          <cell r="V2274" t="str">
            <v>CORIHUAMAN SURCO  ERICK ROBERT</v>
          </cell>
        </row>
        <row r="2275">
          <cell r="A2275">
            <v>2227</v>
          </cell>
          <cell r="B2275">
            <v>42710</v>
          </cell>
          <cell r="C2275" t="str">
            <v>DICIEMBRE</v>
          </cell>
          <cell r="D2275" t="str">
            <v>2016</v>
          </cell>
          <cell r="E2275">
            <v>200</v>
          </cell>
          <cell r="F2275" t="str">
            <v>TALLER</v>
          </cell>
          <cell r="G2275" t="str">
            <v>TALLER</v>
          </cell>
          <cell r="H2275" t="str">
            <v>TALLER</v>
          </cell>
          <cell r="I2275" t="str">
            <v>TALLER</v>
          </cell>
          <cell r="J2275" t="str">
            <v>INSUMO TALLER</v>
          </cell>
          <cell r="K2275" t="str">
            <v>CEMENTO VULCANIZANTE 362 GR</v>
          </cell>
          <cell r="L2275">
            <v>1</v>
          </cell>
          <cell r="M2275" t="str">
            <v>UNID.</v>
          </cell>
          <cell r="N2275" t="str">
            <v>TALLER</v>
          </cell>
          <cell r="O2275">
            <v>0</v>
          </cell>
          <cell r="P2275" t="str">
            <v>N1</v>
          </cell>
          <cell r="Q2275" t="str">
            <v>J2</v>
          </cell>
          <cell r="R2275" t="str">
            <v>J6</v>
          </cell>
          <cell r="S2275" t="str">
            <v>ENTREGADO</v>
          </cell>
          <cell r="T2275">
            <v>42710</v>
          </cell>
          <cell r="U2275" t="str">
            <v>AGUILAR CCANTUTA WILLY</v>
          </cell>
          <cell r="V2275" t="str">
            <v>CORIHUAMAN SURCO  ERICK ROBERT</v>
          </cell>
        </row>
        <row r="2276">
          <cell r="A2276">
            <v>2229</v>
          </cell>
          <cell r="B2276">
            <v>42710</v>
          </cell>
          <cell r="C2276" t="str">
            <v>DICIEMBRE</v>
          </cell>
          <cell r="D2276" t="str">
            <v>2016</v>
          </cell>
          <cell r="E2276">
            <v>200</v>
          </cell>
          <cell r="F2276" t="str">
            <v>TALLER</v>
          </cell>
          <cell r="G2276" t="str">
            <v>TALLER</v>
          </cell>
          <cell r="H2276" t="str">
            <v>TALLER</v>
          </cell>
          <cell r="I2276" t="str">
            <v>TALLER</v>
          </cell>
          <cell r="J2276" t="str">
            <v>INSUMO TALLER</v>
          </cell>
          <cell r="K2276" t="str">
            <v>CINTA NEGRA AISLANTE</v>
          </cell>
          <cell r="L2276">
            <v>1</v>
          </cell>
          <cell r="M2276" t="str">
            <v>UNID.</v>
          </cell>
          <cell r="N2276" t="str">
            <v>TALLER</v>
          </cell>
          <cell r="O2276">
            <v>0</v>
          </cell>
          <cell r="P2276" t="str">
            <v>E3</v>
          </cell>
          <cell r="Q2276" t="str">
            <v>J2</v>
          </cell>
          <cell r="R2276" t="str">
            <v>J6</v>
          </cell>
          <cell r="S2276" t="str">
            <v>ENTREGADO</v>
          </cell>
          <cell r="T2276">
            <v>42710</v>
          </cell>
          <cell r="U2276" t="str">
            <v>CONDORI CHURATA ALEX</v>
          </cell>
          <cell r="V2276" t="str">
            <v>CORIHUAMAN SURCO  ERICK ROBERT</v>
          </cell>
        </row>
        <row r="2277">
          <cell r="A2277">
            <v>2244</v>
          </cell>
          <cell r="B2277">
            <v>42710</v>
          </cell>
          <cell r="C2277" t="str">
            <v>DICIEMBRE</v>
          </cell>
          <cell r="D2277" t="str">
            <v>2016</v>
          </cell>
          <cell r="E2277">
            <v>200</v>
          </cell>
          <cell r="F2277" t="str">
            <v>TALLER</v>
          </cell>
          <cell r="G2277" t="str">
            <v>TALLER</v>
          </cell>
          <cell r="H2277" t="str">
            <v>TALLER</v>
          </cell>
          <cell r="I2277" t="str">
            <v>TALLER</v>
          </cell>
          <cell r="J2277" t="str">
            <v>REPUESTO</v>
          </cell>
          <cell r="K2277" t="str">
            <v>AGUA DESTILADA</v>
          </cell>
          <cell r="L2277">
            <v>15</v>
          </cell>
          <cell r="M2277" t="str">
            <v>UNID.</v>
          </cell>
          <cell r="N2277" t="str">
            <v>TALLER</v>
          </cell>
          <cell r="O2277">
            <v>0</v>
          </cell>
          <cell r="P2277" t="str">
            <v>E2</v>
          </cell>
          <cell r="Q2277" t="str">
            <v>J2</v>
          </cell>
          <cell r="R2277" t="str">
            <v>J5</v>
          </cell>
          <cell r="S2277" t="str">
            <v>ENTREGADO</v>
          </cell>
          <cell r="T2277">
            <v>42710</v>
          </cell>
          <cell r="U2277" t="str">
            <v>YUCA BELLIDO BORIS YERSY</v>
          </cell>
          <cell r="V2277" t="str">
            <v>CORIHUAMAN SURCO  ERICK ROBERT</v>
          </cell>
        </row>
        <row r="2278">
          <cell r="A2278">
            <v>2245</v>
          </cell>
          <cell r="B2278">
            <v>42710</v>
          </cell>
          <cell r="C2278" t="str">
            <v>DICIEMBRE</v>
          </cell>
          <cell r="D2278" t="str">
            <v>2016</v>
          </cell>
          <cell r="E2278">
            <v>200</v>
          </cell>
          <cell r="F2278" t="str">
            <v>TALLER</v>
          </cell>
          <cell r="G2278" t="str">
            <v>TALLER</v>
          </cell>
          <cell r="H2278" t="str">
            <v>TALLER</v>
          </cell>
          <cell r="I2278" t="str">
            <v>TALLER</v>
          </cell>
          <cell r="J2278" t="str">
            <v>REPUESTO</v>
          </cell>
          <cell r="K2278" t="str">
            <v>SOLDIMIX</v>
          </cell>
          <cell r="L2278">
            <v>1</v>
          </cell>
          <cell r="M2278" t="str">
            <v>UNID.</v>
          </cell>
          <cell r="N2278" t="str">
            <v>TALLER</v>
          </cell>
          <cell r="O2278">
            <v>0</v>
          </cell>
          <cell r="P2278" t="str">
            <v>E2</v>
          </cell>
          <cell r="Q2278" t="str">
            <v>J2</v>
          </cell>
          <cell r="R2278" t="str">
            <v>J5</v>
          </cell>
          <cell r="S2278" t="str">
            <v>ENTREGADO</v>
          </cell>
          <cell r="T2278">
            <v>42710</v>
          </cell>
          <cell r="U2278" t="str">
            <v>YUCA BELLIDO BORIS YERSY</v>
          </cell>
          <cell r="V2278" t="str">
            <v>CORIHUAMAN SURCO  ERICK ROBERT</v>
          </cell>
        </row>
        <row r="2279">
          <cell r="A2279">
            <v>2243</v>
          </cell>
          <cell r="B2279">
            <v>42710</v>
          </cell>
          <cell r="C2279" t="str">
            <v>DICIEMBRE</v>
          </cell>
          <cell r="D2279" t="str">
            <v>2016</v>
          </cell>
          <cell r="E2279">
            <v>527</v>
          </cell>
          <cell r="F2279" t="str">
            <v>X2W-765</v>
          </cell>
          <cell r="G2279" t="str">
            <v>C5V-993</v>
          </cell>
          <cell r="H2279" t="str">
            <v>LAS BAMBAS</v>
          </cell>
          <cell r="I2279">
            <v>157711</v>
          </cell>
          <cell r="J2279" t="str">
            <v>REPUESTO</v>
          </cell>
          <cell r="K2279" t="str">
            <v>MOLDIMIX</v>
          </cell>
          <cell r="L2279">
            <v>1</v>
          </cell>
          <cell r="M2279" t="str">
            <v>UNID.</v>
          </cell>
          <cell r="N2279" t="str">
            <v>TRACTO</v>
          </cell>
          <cell r="O2279">
            <v>0</v>
          </cell>
          <cell r="P2279" t="str">
            <v>E2</v>
          </cell>
          <cell r="Q2279" t="str">
            <v>J2</v>
          </cell>
          <cell r="R2279" t="str">
            <v>J5</v>
          </cell>
          <cell r="S2279" t="str">
            <v>ENTREGADO</v>
          </cell>
          <cell r="T2279">
            <v>42710</v>
          </cell>
          <cell r="U2279" t="str">
            <v>YUCA BELLIDO BORIS YERSY</v>
          </cell>
          <cell r="V2279" t="str">
            <v>CORIHUAMAN SURCO  ERICK ROBERT</v>
          </cell>
        </row>
        <row r="2280">
          <cell r="A2280">
            <v>2314</v>
          </cell>
          <cell r="B2280">
            <v>42711</v>
          </cell>
          <cell r="C2280" t="str">
            <v>DICIEMBRE</v>
          </cell>
          <cell r="D2280" t="str">
            <v>2016</v>
          </cell>
          <cell r="E2280">
            <v>538</v>
          </cell>
          <cell r="F2280" t="str">
            <v>A5O-859</v>
          </cell>
          <cell r="G2280" t="str">
            <v>B6Y-971</v>
          </cell>
          <cell r="H2280" t="str">
            <v>LAS BAMBAS</v>
          </cell>
          <cell r="I2280">
            <v>116556</v>
          </cell>
          <cell r="J2280" t="str">
            <v>REPUESTO</v>
          </cell>
          <cell r="K2280" t="str">
            <v>CANDADO N 50</v>
          </cell>
          <cell r="L2280">
            <v>1</v>
          </cell>
          <cell r="M2280" t="str">
            <v>UNID.</v>
          </cell>
          <cell r="N2280" t="str">
            <v>TRACTO</v>
          </cell>
          <cell r="O2280">
            <v>79</v>
          </cell>
          <cell r="P2280" t="str">
            <v>J5</v>
          </cell>
          <cell r="Q2280" t="str">
            <v>J5</v>
          </cell>
          <cell r="R2280" t="str">
            <v>J6</v>
          </cell>
          <cell r="S2280" t="str">
            <v>PENDIENTE</v>
          </cell>
          <cell r="T2280">
            <v>0</v>
          </cell>
          <cell r="U2280" t="str">
            <v>CONZA HUALLA NOELIA</v>
          </cell>
          <cell r="V2280" t="str">
            <v>CONZA HUALLA NOELIA</v>
          </cell>
        </row>
        <row r="2281">
          <cell r="A2281">
            <v>2304</v>
          </cell>
          <cell r="B2281">
            <v>42711</v>
          </cell>
          <cell r="C2281" t="str">
            <v>DICIEMBRE</v>
          </cell>
          <cell r="D2281" t="str">
            <v>2016</v>
          </cell>
          <cell r="E2281">
            <v>547</v>
          </cell>
          <cell r="F2281" t="str">
            <v>AAF-727</v>
          </cell>
          <cell r="G2281" t="str">
            <v>D5I-978</v>
          </cell>
          <cell r="H2281" t="str">
            <v>TPE</v>
          </cell>
          <cell r="I2281">
            <v>336643</v>
          </cell>
          <cell r="J2281" t="str">
            <v>REPUESTO</v>
          </cell>
          <cell r="K2281" t="str">
            <v>FOCO LATERAL NARANJA</v>
          </cell>
          <cell r="L2281">
            <v>1</v>
          </cell>
          <cell r="M2281" t="str">
            <v>UNID.</v>
          </cell>
          <cell r="N2281" t="str">
            <v>TOLVA</v>
          </cell>
          <cell r="O2281">
            <v>0</v>
          </cell>
          <cell r="P2281" t="str">
            <v>E3</v>
          </cell>
          <cell r="Q2281" t="str">
            <v>J2</v>
          </cell>
          <cell r="R2281" t="str">
            <v>J6</v>
          </cell>
          <cell r="S2281" t="str">
            <v>ENTREGADO</v>
          </cell>
          <cell r="T2281">
            <v>42711</v>
          </cell>
          <cell r="U2281" t="str">
            <v>CONDORI CHURATA ALEX</v>
          </cell>
          <cell r="V2281" t="str">
            <v>CORIHUAMAN SURCO  ERICK ROBERT</v>
          </cell>
        </row>
        <row r="2282">
          <cell r="A2282">
            <v>2280</v>
          </cell>
          <cell r="B2282">
            <v>42711</v>
          </cell>
          <cell r="C2282" t="str">
            <v>DICIEMBRE</v>
          </cell>
          <cell r="D2282" t="str">
            <v>2016</v>
          </cell>
          <cell r="E2282">
            <v>543</v>
          </cell>
          <cell r="F2282" t="str">
            <v>AAN-801</v>
          </cell>
          <cell r="G2282" t="str">
            <v>CAMIONETA</v>
          </cell>
          <cell r="H2282" t="str">
            <v>LAS BAMBAS</v>
          </cell>
          <cell r="I2282">
            <v>114596</v>
          </cell>
          <cell r="J2282" t="str">
            <v>REPUESTO</v>
          </cell>
          <cell r="K2282" t="str">
            <v>CABLE DE ANTENA DE RADIO DE COMUNICACIÓN</v>
          </cell>
          <cell r="L2282">
            <v>1</v>
          </cell>
          <cell r="M2282" t="str">
            <v>UNID.</v>
          </cell>
          <cell r="N2282" t="str">
            <v>CAMIONETA</v>
          </cell>
          <cell r="O2282">
            <v>79</v>
          </cell>
          <cell r="P2282" t="str">
            <v>E1</v>
          </cell>
          <cell r="Q2282" t="str">
            <v>J2</v>
          </cell>
          <cell r="R2282" t="str">
            <v>J6</v>
          </cell>
          <cell r="S2282" t="str">
            <v>PENDIENTE</v>
          </cell>
          <cell r="T2282">
            <v>0</v>
          </cell>
          <cell r="U2282" t="str">
            <v>PALOMINO CARDENAS JUAN CARLOS</v>
          </cell>
          <cell r="V2282" t="str">
            <v>CORIHUAMAN SURCO  ERICK ROBERT</v>
          </cell>
        </row>
        <row r="2283">
          <cell r="A2283">
            <v>2286</v>
          </cell>
          <cell r="B2283">
            <v>42711</v>
          </cell>
          <cell r="C2283" t="str">
            <v>DICIEMBRE</v>
          </cell>
          <cell r="D2283" t="str">
            <v>2016</v>
          </cell>
          <cell r="E2283">
            <v>543</v>
          </cell>
          <cell r="F2283" t="str">
            <v>AAN-801</v>
          </cell>
          <cell r="G2283" t="str">
            <v>CAMIONETA</v>
          </cell>
          <cell r="H2283" t="str">
            <v>LAS BAMBAS</v>
          </cell>
          <cell r="I2283">
            <v>114596</v>
          </cell>
          <cell r="J2283" t="str">
            <v>REPUESTO</v>
          </cell>
          <cell r="K2283" t="str">
            <v>FAROS PIRATA CAMIONETA (BLANCAS)</v>
          </cell>
          <cell r="L2283">
            <v>2</v>
          </cell>
          <cell r="M2283" t="str">
            <v>UNID.</v>
          </cell>
          <cell r="N2283" t="str">
            <v>CAMIONETA</v>
          </cell>
          <cell r="O2283">
            <v>0</v>
          </cell>
          <cell r="P2283" t="str">
            <v>E1</v>
          </cell>
          <cell r="Q2283" t="str">
            <v>J2</v>
          </cell>
          <cell r="R2283" t="str">
            <v>J6</v>
          </cell>
          <cell r="S2283" t="str">
            <v>ENTREGADO</v>
          </cell>
          <cell r="T2283">
            <v>42711</v>
          </cell>
          <cell r="U2283" t="str">
            <v>PALOMINO CARDENAS JUAN CARLOS</v>
          </cell>
          <cell r="V2283" t="str">
            <v>CORIHUAMAN SURCO  ERICK ROBERT</v>
          </cell>
        </row>
        <row r="2284">
          <cell r="A2284">
            <v>2287</v>
          </cell>
          <cell r="B2284">
            <v>42711</v>
          </cell>
          <cell r="C2284" t="str">
            <v>DICIEMBRE</v>
          </cell>
          <cell r="D2284" t="str">
            <v>2016</v>
          </cell>
          <cell r="E2284">
            <v>539</v>
          </cell>
          <cell r="F2284" t="str">
            <v>ABP-729</v>
          </cell>
          <cell r="G2284" t="str">
            <v>D8K-985</v>
          </cell>
          <cell r="H2284" t="str">
            <v>LAS BAMBAS</v>
          </cell>
          <cell r="I2284">
            <v>110077</v>
          </cell>
          <cell r="J2284" t="str">
            <v>REPUESTO</v>
          </cell>
          <cell r="K2284" t="str">
            <v>LLANTAS REENCUACHADAS</v>
          </cell>
          <cell r="L2284">
            <v>2</v>
          </cell>
          <cell r="M2284" t="str">
            <v>UNID.</v>
          </cell>
          <cell r="N2284" t="str">
            <v>TRACTO</v>
          </cell>
          <cell r="O2284">
            <v>0</v>
          </cell>
          <cell r="P2284" t="str">
            <v>N2</v>
          </cell>
          <cell r="Q2284" t="str">
            <v>J2</v>
          </cell>
          <cell r="R2284" t="str">
            <v>J6</v>
          </cell>
          <cell r="S2284" t="str">
            <v>ENTREGADO</v>
          </cell>
          <cell r="T2284">
            <v>42711</v>
          </cell>
          <cell r="U2284" t="str">
            <v>MAMANI LARICO  EDUARDO ALVARO</v>
          </cell>
          <cell r="V2284" t="str">
            <v>CORIHUAMAN SURCO  ERICK ROBERT</v>
          </cell>
        </row>
        <row r="2285">
          <cell r="A2285">
            <v>2293</v>
          </cell>
          <cell r="B2285">
            <v>42711</v>
          </cell>
          <cell r="C2285" t="str">
            <v>DICIEMBRE</v>
          </cell>
          <cell r="D2285" t="str">
            <v>2016</v>
          </cell>
          <cell r="E2285">
            <v>525</v>
          </cell>
          <cell r="F2285" t="str">
            <v>ABR-796</v>
          </cell>
          <cell r="G2285" t="str">
            <v>C9S-994</v>
          </cell>
          <cell r="H2285" t="str">
            <v>LAS BAMBAS</v>
          </cell>
          <cell r="I2285">
            <v>111093</v>
          </cell>
          <cell r="J2285" t="str">
            <v>REPUESTO</v>
          </cell>
          <cell r="K2285" t="str">
            <v>MANGUERA DE AGUA DE LA SALIDA DEL TERMOSTATO (CODO)</v>
          </cell>
          <cell r="L2285">
            <v>1</v>
          </cell>
          <cell r="M2285" t="str">
            <v>UNID.</v>
          </cell>
          <cell r="N2285" t="str">
            <v>TRACTO</v>
          </cell>
          <cell r="O2285">
            <v>0</v>
          </cell>
          <cell r="P2285" t="str">
            <v>M2</v>
          </cell>
          <cell r="Q2285" t="str">
            <v>J2</v>
          </cell>
          <cell r="R2285" t="str">
            <v>J6</v>
          </cell>
          <cell r="S2285" t="str">
            <v>ENTREGADO</v>
          </cell>
          <cell r="T2285">
            <v>42711</v>
          </cell>
          <cell r="U2285" t="str">
            <v>CHUMPITAZ GAGO JULIO ENRIQUE</v>
          </cell>
          <cell r="V2285" t="str">
            <v>CORIHUAMAN SURCO  ERICK ROBERT</v>
          </cell>
        </row>
        <row r="2286">
          <cell r="A2286">
            <v>2263</v>
          </cell>
          <cell r="B2286">
            <v>42711</v>
          </cell>
          <cell r="C2286" t="str">
            <v>DICIEMBRE</v>
          </cell>
          <cell r="D2286" t="str">
            <v>2016</v>
          </cell>
          <cell r="E2286">
            <v>520</v>
          </cell>
          <cell r="F2286" t="str">
            <v>AEG-922</v>
          </cell>
          <cell r="G2286" t="str">
            <v>CAMIONETA</v>
          </cell>
          <cell r="H2286" t="str">
            <v>LAS BAMBAS</v>
          </cell>
          <cell r="I2286">
            <v>98089</v>
          </cell>
          <cell r="J2286" t="str">
            <v>REPUESTO</v>
          </cell>
          <cell r="K2286" t="str">
            <v>FAROS NEBLINEROS</v>
          </cell>
          <cell r="L2286">
            <v>2</v>
          </cell>
          <cell r="M2286" t="str">
            <v>UNID.</v>
          </cell>
          <cell r="N2286" t="str">
            <v>CAMIONETA</v>
          </cell>
          <cell r="O2286">
            <v>0</v>
          </cell>
          <cell r="P2286" t="str">
            <v>E2</v>
          </cell>
          <cell r="Q2286" t="str">
            <v>J2</v>
          </cell>
          <cell r="R2286" t="str">
            <v>J6</v>
          </cell>
          <cell r="S2286" t="str">
            <v>ENTREGADO</v>
          </cell>
          <cell r="T2286">
            <v>42711</v>
          </cell>
          <cell r="U2286" t="str">
            <v>YUCA BELLIDO BORIS YERSY</v>
          </cell>
          <cell r="V2286" t="str">
            <v>CORIHUAMAN SURCO  ERICK ROBERT</v>
          </cell>
        </row>
        <row r="2287">
          <cell r="A2287">
            <v>2288</v>
          </cell>
          <cell r="B2287">
            <v>42711</v>
          </cell>
          <cell r="C2287" t="str">
            <v>DICIEMBRE</v>
          </cell>
          <cell r="D2287" t="str">
            <v>2016</v>
          </cell>
          <cell r="E2287">
            <v>520</v>
          </cell>
          <cell r="F2287" t="str">
            <v>AEG-922</v>
          </cell>
          <cell r="G2287" t="str">
            <v>CAMIONETA</v>
          </cell>
          <cell r="H2287" t="str">
            <v>LAS BAMBAS</v>
          </cell>
          <cell r="I2287">
            <v>98089</v>
          </cell>
          <cell r="J2287" t="str">
            <v>REPUESTO</v>
          </cell>
          <cell r="K2287" t="str">
            <v>PERNO 3/8 X 1</v>
          </cell>
          <cell r="L2287">
            <v>4</v>
          </cell>
          <cell r="M2287" t="str">
            <v>UNID.</v>
          </cell>
          <cell r="N2287" t="str">
            <v>CAMIONETA</v>
          </cell>
          <cell r="O2287">
            <v>0</v>
          </cell>
          <cell r="P2287" t="str">
            <v>M6</v>
          </cell>
          <cell r="Q2287" t="str">
            <v>J2</v>
          </cell>
          <cell r="R2287" t="str">
            <v>J6</v>
          </cell>
          <cell r="S2287" t="str">
            <v>ENTREGADO</v>
          </cell>
          <cell r="T2287">
            <v>42711</v>
          </cell>
          <cell r="U2287" t="str">
            <v>PARI VENTURA  EDSON ORLANDO</v>
          </cell>
          <cell r="V2287" t="str">
            <v>CORIHUAMAN SURCO  ERICK ROBERT</v>
          </cell>
        </row>
        <row r="2288">
          <cell r="A2288">
            <v>2289</v>
          </cell>
          <cell r="B2288">
            <v>42711</v>
          </cell>
          <cell r="C2288" t="str">
            <v>DICIEMBRE</v>
          </cell>
          <cell r="D2288" t="str">
            <v>2016</v>
          </cell>
          <cell r="E2288">
            <v>520</v>
          </cell>
          <cell r="F2288" t="str">
            <v>AEG-922</v>
          </cell>
          <cell r="G2288" t="str">
            <v>CAMIONETA</v>
          </cell>
          <cell r="H2288" t="str">
            <v>LAS BAMBAS</v>
          </cell>
          <cell r="I2288">
            <v>98089</v>
          </cell>
          <cell r="J2288" t="str">
            <v>REPUESTO</v>
          </cell>
          <cell r="K2288" t="str">
            <v>TUERCA SEGURO 3/8</v>
          </cell>
          <cell r="L2288">
            <v>4</v>
          </cell>
          <cell r="M2288" t="str">
            <v>UNID.</v>
          </cell>
          <cell r="N2288" t="str">
            <v>CAMIONETA</v>
          </cell>
          <cell r="O2288">
            <v>0</v>
          </cell>
          <cell r="P2288" t="str">
            <v>M6</v>
          </cell>
          <cell r="Q2288" t="str">
            <v>J2</v>
          </cell>
          <cell r="R2288" t="str">
            <v>J6</v>
          </cell>
          <cell r="S2288" t="str">
            <v>ENTREGADO</v>
          </cell>
          <cell r="T2288">
            <v>42711</v>
          </cell>
          <cell r="U2288" t="str">
            <v>PARI VENTURA  EDSON ORLANDO</v>
          </cell>
          <cell r="V2288" t="str">
            <v>CORIHUAMAN SURCO  ERICK ROBERT</v>
          </cell>
        </row>
        <row r="2289">
          <cell r="A2289">
            <v>2290</v>
          </cell>
          <cell r="B2289">
            <v>42711</v>
          </cell>
          <cell r="C2289" t="str">
            <v>DICIEMBRE</v>
          </cell>
          <cell r="D2289" t="str">
            <v>2016</v>
          </cell>
          <cell r="E2289">
            <v>520</v>
          </cell>
          <cell r="F2289" t="str">
            <v>AEG-922</v>
          </cell>
          <cell r="G2289" t="str">
            <v>CAMIONETA</v>
          </cell>
          <cell r="H2289" t="str">
            <v>LAS BAMBAS</v>
          </cell>
          <cell r="I2289">
            <v>98089</v>
          </cell>
          <cell r="J2289" t="str">
            <v>REPUESTO</v>
          </cell>
          <cell r="K2289" t="str">
            <v>ARANDELAS PLANAS 3/8</v>
          </cell>
          <cell r="L2289">
            <v>8</v>
          </cell>
          <cell r="M2289" t="str">
            <v>UNID.</v>
          </cell>
          <cell r="N2289" t="str">
            <v>CAMIONETA</v>
          </cell>
          <cell r="O2289">
            <v>0</v>
          </cell>
          <cell r="P2289" t="str">
            <v>M6</v>
          </cell>
          <cell r="Q2289" t="str">
            <v>J2</v>
          </cell>
          <cell r="R2289" t="str">
            <v>J6</v>
          </cell>
          <cell r="S2289" t="str">
            <v>ENTREGADO</v>
          </cell>
          <cell r="T2289">
            <v>42711</v>
          </cell>
          <cell r="U2289" t="str">
            <v>PARI VENTURA  EDSON ORLANDO</v>
          </cell>
          <cell r="V2289" t="str">
            <v>CORIHUAMAN SURCO  ERICK ROBERT</v>
          </cell>
        </row>
        <row r="2290">
          <cell r="A2290">
            <v>2301</v>
          </cell>
          <cell r="B2290">
            <v>42711</v>
          </cell>
          <cell r="C2290" t="str">
            <v>DICIEMBRE</v>
          </cell>
          <cell r="D2290" t="str">
            <v>2016</v>
          </cell>
          <cell r="E2290">
            <v>520</v>
          </cell>
          <cell r="F2290" t="str">
            <v>AEG-922</v>
          </cell>
          <cell r="G2290" t="str">
            <v>CAMIONETA</v>
          </cell>
          <cell r="H2290" t="str">
            <v>LAS BAMBAS</v>
          </cell>
          <cell r="I2290">
            <v>98089</v>
          </cell>
          <cell r="J2290" t="str">
            <v>REPUESTO</v>
          </cell>
          <cell r="K2290" t="str">
            <v>FOCO H4</v>
          </cell>
          <cell r="L2290">
            <v>1</v>
          </cell>
          <cell r="M2290" t="str">
            <v>UNID.</v>
          </cell>
          <cell r="N2290" t="str">
            <v>CAMIONETA</v>
          </cell>
          <cell r="O2290">
            <v>0</v>
          </cell>
          <cell r="P2290" t="str">
            <v>E1</v>
          </cell>
          <cell r="Q2290" t="str">
            <v>J2</v>
          </cell>
          <cell r="R2290" t="str">
            <v>J6</v>
          </cell>
          <cell r="S2290" t="str">
            <v>ENTREGADO</v>
          </cell>
          <cell r="T2290">
            <v>42711</v>
          </cell>
          <cell r="U2290" t="str">
            <v>PALOMINO CARDENAS JUAN CARLOS</v>
          </cell>
          <cell r="V2290" t="str">
            <v>CORIHUAMAN SURCO  ERICK ROBERT</v>
          </cell>
        </row>
        <row r="2291">
          <cell r="A2291">
            <v>2306</v>
          </cell>
          <cell r="B2291">
            <v>42711</v>
          </cell>
          <cell r="C2291" t="str">
            <v>DICIEMBRE</v>
          </cell>
          <cell r="D2291" t="str">
            <v>2016</v>
          </cell>
          <cell r="E2291">
            <v>520</v>
          </cell>
          <cell r="F2291" t="str">
            <v>AEG-922</v>
          </cell>
          <cell r="G2291" t="str">
            <v>CAMIONETA</v>
          </cell>
          <cell r="H2291" t="str">
            <v>LAS BAMBAS</v>
          </cell>
          <cell r="I2291">
            <v>98089</v>
          </cell>
          <cell r="J2291" t="str">
            <v>SERVICIO</v>
          </cell>
          <cell r="K2291" t="str">
            <v>SERVICIO DE CAMBIO DE FAJAS</v>
          </cell>
          <cell r="L2291">
            <v>1</v>
          </cell>
          <cell r="M2291" t="str">
            <v>UNID.</v>
          </cell>
          <cell r="N2291" t="str">
            <v>CAMIONETA</v>
          </cell>
          <cell r="O2291">
            <v>0</v>
          </cell>
          <cell r="P2291" t="str">
            <v>M6</v>
          </cell>
          <cell r="Q2291" t="str">
            <v>J2</v>
          </cell>
          <cell r="R2291" t="str">
            <v>J6</v>
          </cell>
          <cell r="S2291" t="str">
            <v>ENTREGADO</v>
          </cell>
          <cell r="T2291">
            <v>42711</v>
          </cell>
          <cell r="U2291" t="str">
            <v>PARI VENTURA  EDSON ORLANDO</v>
          </cell>
          <cell r="V2291" t="str">
            <v>CORIHUAMAN SURCO  ERICK ROBERT</v>
          </cell>
        </row>
        <row r="2292">
          <cell r="A2292">
            <v>2269</v>
          </cell>
          <cell r="B2292">
            <v>42711</v>
          </cell>
          <cell r="C2292" t="str">
            <v>DICIEMBRE</v>
          </cell>
          <cell r="D2292" t="str">
            <v>2016</v>
          </cell>
          <cell r="E2292">
            <v>421</v>
          </cell>
          <cell r="F2292" t="str">
            <v>AKW-860</v>
          </cell>
          <cell r="G2292" t="str">
            <v>F5Z-991</v>
          </cell>
          <cell r="H2292" t="str">
            <v>LAS BAMBAS</v>
          </cell>
          <cell r="I2292">
            <v>37840</v>
          </cell>
          <cell r="J2292" t="str">
            <v>REPUESTO</v>
          </cell>
          <cell r="K2292" t="str">
            <v>THINNER</v>
          </cell>
          <cell r="L2292">
            <v>1</v>
          </cell>
          <cell r="M2292" t="str">
            <v>GLNS.</v>
          </cell>
          <cell r="N2292" t="str">
            <v>CISTERNA</v>
          </cell>
          <cell r="O2292">
            <v>0</v>
          </cell>
          <cell r="P2292" t="str">
            <v>M3</v>
          </cell>
          <cell r="Q2292" t="str">
            <v>J2</v>
          </cell>
          <cell r="R2292" t="str">
            <v>J6</v>
          </cell>
          <cell r="S2292" t="str">
            <v>ENTREGADO</v>
          </cell>
          <cell r="T2292">
            <v>42711</v>
          </cell>
          <cell r="U2292" t="str">
            <v>GARCIA PASQUEL  JOSE LUIS</v>
          </cell>
          <cell r="V2292" t="str">
            <v>CORIHUAMAN SURCO  ERICK ROBERT</v>
          </cell>
        </row>
        <row r="2293">
          <cell r="A2293">
            <v>2270</v>
          </cell>
          <cell r="B2293">
            <v>42711</v>
          </cell>
          <cell r="C2293" t="str">
            <v>DICIEMBRE</v>
          </cell>
          <cell r="D2293" t="str">
            <v>2016</v>
          </cell>
          <cell r="E2293">
            <v>421</v>
          </cell>
          <cell r="F2293" t="str">
            <v>AKW-860</v>
          </cell>
          <cell r="G2293" t="str">
            <v>F5Z-991</v>
          </cell>
          <cell r="H2293" t="str">
            <v>LAS BAMBAS</v>
          </cell>
          <cell r="I2293">
            <v>37840</v>
          </cell>
          <cell r="J2293" t="str">
            <v>REPUESTO</v>
          </cell>
          <cell r="K2293" t="str">
            <v>PINTURA BLANCA</v>
          </cell>
          <cell r="L2293">
            <v>0.5</v>
          </cell>
          <cell r="M2293" t="str">
            <v>GLNS.</v>
          </cell>
          <cell r="N2293" t="str">
            <v>CISTERNA</v>
          </cell>
          <cell r="O2293">
            <v>0</v>
          </cell>
          <cell r="P2293" t="str">
            <v>M3</v>
          </cell>
          <cell r="Q2293" t="str">
            <v>J2</v>
          </cell>
          <cell r="R2293" t="str">
            <v>J6</v>
          </cell>
          <cell r="S2293" t="str">
            <v>ENTREGADO</v>
          </cell>
          <cell r="T2293">
            <v>42711</v>
          </cell>
          <cell r="U2293" t="str">
            <v>GARCIA PASQUEL  JOSE LUIS</v>
          </cell>
          <cell r="V2293" t="str">
            <v>CORIHUAMAN SURCO  ERICK ROBERT</v>
          </cell>
        </row>
        <row r="2294">
          <cell r="A2294">
            <v>2281</v>
          </cell>
          <cell r="B2294">
            <v>42711</v>
          </cell>
          <cell r="C2294" t="str">
            <v>DICIEMBRE</v>
          </cell>
          <cell r="D2294" t="str">
            <v>2016</v>
          </cell>
          <cell r="E2294">
            <v>253</v>
          </cell>
          <cell r="F2294" t="str">
            <v>AKW-860</v>
          </cell>
          <cell r="G2294" t="str">
            <v>F5Z-991</v>
          </cell>
          <cell r="H2294" t="str">
            <v>LAS BAMBAS</v>
          </cell>
          <cell r="I2294">
            <v>35231</v>
          </cell>
          <cell r="J2294" t="str">
            <v>REPUESTO</v>
          </cell>
          <cell r="K2294" t="str">
            <v>PERNO STOBOL 1/2 X 1</v>
          </cell>
          <cell r="L2294">
            <v>1</v>
          </cell>
          <cell r="M2294" t="str">
            <v>UNID.</v>
          </cell>
          <cell r="N2294" t="str">
            <v>TRACTO</v>
          </cell>
          <cell r="O2294">
            <v>0</v>
          </cell>
          <cell r="P2294" t="str">
            <v>E2</v>
          </cell>
          <cell r="Q2294" t="str">
            <v>J2</v>
          </cell>
          <cell r="R2294" t="str">
            <v>J6</v>
          </cell>
          <cell r="S2294" t="str">
            <v>ENTREGADO</v>
          </cell>
          <cell r="T2294">
            <v>42711</v>
          </cell>
          <cell r="U2294" t="str">
            <v>YUCA BELLIDO BORIS YERSY</v>
          </cell>
          <cell r="V2294" t="str">
            <v>CORIHUAMAN SURCO  ERICK ROBERT</v>
          </cell>
        </row>
        <row r="2295">
          <cell r="A2295">
            <v>2282</v>
          </cell>
          <cell r="B2295">
            <v>42711</v>
          </cell>
          <cell r="C2295" t="str">
            <v>DICIEMBRE</v>
          </cell>
          <cell r="D2295" t="str">
            <v>2016</v>
          </cell>
          <cell r="E2295">
            <v>253</v>
          </cell>
          <cell r="F2295" t="str">
            <v>AKW-860</v>
          </cell>
          <cell r="G2295" t="str">
            <v>F5Z-991</v>
          </cell>
          <cell r="H2295" t="str">
            <v>LAS BAMBAS</v>
          </cell>
          <cell r="I2295">
            <v>35231</v>
          </cell>
          <cell r="J2295" t="str">
            <v>REPUESTO</v>
          </cell>
          <cell r="K2295" t="str">
            <v>PERNO 1/4 X 1</v>
          </cell>
          <cell r="L2295">
            <v>2</v>
          </cell>
          <cell r="M2295" t="str">
            <v>UNID.</v>
          </cell>
          <cell r="N2295" t="str">
            <v>TRACTO</v>
          </cell>
          <cell r="O2295">
            <v>0</v>
          </cell>
          <cell r="P2295" t="str">
            <v>E2</v>
          </cell>
          <cell r="Q2295" t="str">
            <v>J2</v>
          </cell>
          <cell r="R2295" t="str">
            <v>J6</v>
          </cell>
          <cell r="S2295" t="str">
            <v>ENTREGADO</v>
          </cell>
          <cell r="T2295">
            <v>42711</v>
          </cell>
          <cell r="U2295" t="str">
            <v>YUCA BELLIDO BORIS YERSY</v>
          </cell>
          <cell r="V2295" t="str">
            <v>CORIHUAMAN SURCO  ERICK ROBERT</v>
          </cell>
        </row>
        <row r="2296">
          <cell r="A2296">
            <v>2283</v>
          </cell>
          <cell r="B2296">
            <v>42711</v>
          </cell>
          <cell r="C2296" t="str">
            <v>DICIEMBRE</v>
          </cell>
          <cell r="D2296" t="str">
            <v>2016</v>
          </cell>
          <cell r="E2296">
            <v>253</v>
          </cell>
          <cell r="F2296" t="str">
            <v>AKW-860</v>
          </cell>
          <cell r="G2296" t="str">
            <v>F5Z-991</v>
          </cell>
          <cell r="H2296" t="str">
            <v>LAS BAMBAS</v>
          </cell>
          <cell r="I2296">
            <v>35231</v>
          </cell>
          <cell r="J2296" t="str">
            <v>REPUESTO</v>
          </cell>
          <cell r="K2296" t="str">
            <v>TUERCA 1/4</v>
          </cell>
          <cell r="L2296">
            <v>2</v>
          </cell>
          <cell r="M2296" t="str">
            <v>UNID.</v>
          </cell>
          <cell r="N2296" t="str">
            <v>TRACTO</v>
          </cell>
          <cell r="O2296">
            <v>0</v>
          </cell>
          <cell r="P2296" t="str">
            <v>E2</v>
          </cell>
          <cell r="Q2296" t="str">
            <v>J2</v>
          </cell>
          <cell r="R2296" t="str">
            <v>J6</v>
          </cell>
          <cell r="S2296" t="str">
            <v>ENTREGADO</v>
          </cell>
          <cell r="T2296">
            <v>42711</v>
          </cell>
          <cell r="U2296" t="str">
            <v>YUCA BELLIDO BORIS YERSY</v>
          </cell>
          <cell r="V2296" t="str">
            <v>CORIHUAMAN SURCO  ERICK ROBERT</v>
          </cell>
        </row>
        <row r="2297">
          <cell r="A2297">
            <v>2284</v>
          </cell>
          <cell r="B2297">
            <v>42711</v>
          </cell>
          <cell r="C2297" t="str">
            <v>DICIEMBRE</v>
          </cell>
          <cell r="D2297" t="str">
            <v>2016</v>
          </cell>
          <cell r="E2297">
            <v>253</v>
          </cell>
          <cell r="F2297" t="str">
            <v>AKW-860</v>
          </cell>
          <cell r="G2297" t="str">
            <v>F5Z-991</v>
          </cell>
          <cell r="H2297" t="str">
            <v>LAS BAMBAS</v>
          </cell>
          <cell r="I2297">
            <v>35231</v>
          </cell>
          <cell r="J2297" t="str">
            <v>REPUESTO</v>
          </cell>
          <cell r="K2297" t="str">
            <v>ARANDELA PLANA 1/4</v>
          </cell>
          <cell r="L2297">
            <v>2</v>
          </cell>
          <cell r="M2297" t="str">
            <v>UNID.</v>
          </cell>
          <cell r="N2297" t="str">
            <v>TRACTO</v>
          </cell>
          <cell r="O2297">
            <v>0</v>
          </cell>
          <cell r="P2297" t="str">
            <v>E2</v>
          </cell>
          <cell r="Q2297" t="str">
            <v>J2</v>
          </cell>
          <cell r="R2297" t="str">
            <v>J6</v>
          </cell>
          <cell r="S2297" t="str">
            <v>ENTREGADO</v>
          </cell>
          <cell r="T2297">
            <v>42711</v>
          </cell>
          <cell r="U2297" t="str">
            <v>YUCA BELLIDO BORIS YERSY</v>
          </cell>
          <cell r="V2297" t="str">
            <v>CORIHUAMAN SURCO  ERICK ROBERT</v>
          </cell>
        </row>
        <row r="2298">
          <cell r="A2298">
            <v>2279</v>
          </cell>
          <cell r="B2298">
            <v>42711</v>
          </cell>
          <cell r="C2298" t="str">
            <v>DICIEMBRE</v>
          </cell>
          <cell r="D2298" t="str">
            <v>2016</v>
          </cell>
          <cell r="E2298">
            <v>528</v>
          </cell>
          <cell r="F2298" t="str">
            <v>AKX-805</v>
          </cell>
          <cell r="G2298" t="str">
            <v>F5Z-985</v>
          </cell>
          <cell r="H2298" t="str">
            <v>LAS BAMBAS</v>
          </cell>
          <cell r="I2298">
            <v>36448</v>
          </cell>
          <cell r="J2298" t="str">
            <v>REPUESTO</v>
          </cell>
          <cell r="K2298" t="str">
            <v>ACCESORIOS DE VALVULA DE PULPO</v>
          </cell>
          <cell r="L2298">
            <v>1</v>
          </cell>
          <cell r="M2298" t="str">
            <v>UNID.</v>
          </cell>
          <cell r="N2298" t="str">
            <v>CISTERNA</v>
          </cell>
          <cell r="O2298">
            <v>0</v>
          </cell>
          <cell r="P2298" t="str">
            <v>M8</v>
          </cell>
          <cell r="Q2298" t="str">
            <v>J2</v>
          </cell>
          <cell r="R2298" t="str">
            <v>J6</v>
          </cell>
          <cell r="S2298" t="str">
            <v>ENTREGADO</v>
          </cell>
          <cell r="T2298">
            <v>42711</v>
          </cell>
          <cell r="U2298" t="str">
            <v>VARILLAS GAGO  OSCAR ALBERTO</v>
          </cell>
          <cell r="V2298" t="str">
            <v>CORIHUAMAN SURCO  ERICK ROBERT</v>
          </cell>
        </row>
        <row r="2299">
          <cell r="A2299">
            <v>2305</v>
          </cell>
          <cell r="B2299">
            <v>42711</v>
          </cell>
          <cell r="C2299" t="str">
            <v>DICIEMBRE</v>
          </cell>
          <cell r="D2299" t="str">
            <v>2016</v>
          </cell>
          <cell r="E2299">
            <v>533</v>
          </cell>
          <cell r="F2299" t="str">
            <v>AMT-866</v>
          </cell>
          <cell r="G2299" t="str">
            <v>CAMIONETA</v>
          </cell>
          <cell r="H2299" t="str">
            <v>LAS BAMBAS</v>
          </cell>
          <cell r="I2299">
            <v>30907</v>
          </cell>
          <cell r="J2299" t="str">
            <v>REPUESTO</v>
          </cell>
          <cell r="K2299" t="str">
            <v xml:space="preserve">LLANTAS NUEVAS PARA CAMIONETA </v>
          </cell>
          <cell r="L2299">
            <v>2</v>
          </cell>
          <cell r="M2299" t="str">
            <v>UNID.</v>
          </cell>
          <cell r="N2299" t="str">
            <v>CAMIONETA</v>
          </cell>
          <cell r="O2299">
            <v>0</v>
          </cell>
          <cell r="P2299" t="str">
            <v>J5</v>
          </cell>
          <cell r="Q2299" t="str">
            <v>J1</v>
          </cell>
          <cell r="R2299" t="str">
            <v>J5</v>
          </cell>
          <cell r="S2299" t="str">
            <v>ENTREGADO</v>
          </cell>
          <cell r="T2299">
            <v>42711</v>
          </cell>
          <cell r="U2299" t="str">
            <v>CONZA HUALLA NOELIA</v>
          </cell>
          <cell r="V2299" t="str">
            <v>FLOREZ CONDORI  JOSE WILLIANS</v>
          </cell>
        </row>
        <row r="2300">
          <cell r="A2300">
            <v>2258</v>
          </cell>
          <cell r="B2300">
            <v>42711</v>
          </cell>
          <cell r="C2300" t="str">
            <v>DICIEMBRE</v>
          </cell>
          <cell r="D2300" t="str">
            <v>2016</v>
          </cell>
          <cell r="E2300">
            <v>537</v>
          </cell>
          <cell r="F2300" t="str">
            <v>C5R-896</v>
          </cell>
          <cell r="G2300" t="str">
            <v>A0U-977</v>
          </cell>
          <cell r="H2300" t="str">
            <v>LAS BAMBAS</v>
          </cell>
          <cell r="I2300">
            <v>212401</v>
          </cell>
          <cell r="J2300" t="str">
            <v>REPUESTO</v>
          </cell>
          <cell r="K2300" t="str">
            <v>NIPLE DE 3/8 A 5/8 POR 45 GRADOS</v>
          </cell>
          <cell r="L2300">
            <v>1</v>
          </cell>
          <cell r="M2300" t="str">
            <v>UNID.</v>
          </cell>
          <cell r="N2300" t="str">
            <v>TRACTO</v>
          </cell>
          <cell r="O2300">
            <v>0</v>
          </cell>
          <cell r="P2300" t="str">
            <v>M8</v>
          </cell>
          <cell r="Q2300" t="str">
            <v>J2</v>
          </cell>
          <cell r="R2300" t="str">
            <v>J6</v>
          </cell>
          <cell r="S2300" t="str">
            <v>ENTREGADO</v>
          </cell>
          <cell r="T2300">
            <v>42711</v>
          </cell>
          <cell r="U2300" t="str">
            <v>VARILLAS GAGO  OSCAR ALBERTO</v>
          </cell>
          <cell r="V2300" t="str">
            <v>CORIHUAMAN SURCO  ERICK ROBERT</v>
          </cell>
        </row>
        <row r="2301">
          <cell r="A2301">
            <v>2259</v>
          </cell>
          <cell r="B2301">
            <v>42711</v>
          </cell>
          <cell r="C2301" t="str">
            <v>DICIEMBRE</v>
          </cell>
          <cell r="D2301" t="str">
            <v>2016</v>
          </cell>
          <cell r="E2301">
            <v>537</v>
          </cell>
          <cell r="F2301" t="str">
            <v>C5R-896</v>
          </cell>
          <cell r="G2301" t="str">
            <v>A0U-977</v>
          </cell>
          <cell r="H2301" t="str">
            <v>LAS BAMBAS</v>
          </cell>
          <cell r="I2301">
            <v>212401</v>
          </cell>
          <cell r="J2301" t="str">
            <v>REPUESTO</v>
          </cell>
          <cell r="K2301" t="str">
            <v>CONO 5/8</v>
          </cell>
          <cell r="L2301">
            <v>1</v>
          </cell>
          <cell r="M2301" t="str">
            <v>UNID.</v>
          </cell>
          <cell r="N2301" t="str">
            <v>TRACTO</v>
          </cell>
          <cell r="O2301">
            <v>0</v>
          </cell>
          <cell r="P2301" t="str">
            <v>M8</v>
          </cell>
          <cell r="Q2301" t="str">
            <v>J2</v>
          </cell>
          <cell r="R2301" t="str">
            <v>J6</v>
          </cell>
          <cell r="S2301" t="str">
            <v>ENTREGADO</v>
          </cell>
          <cell r="T2301">
            <v>42711</v>
          </cell>
          <cell r="U2301" t="str">
            <v>VARILLAS GAGO  OSCAR ALBERTO</v>
          </cell>
          <cell r="V2301" t="str">
            <v>CORIHUAMAN SURCO  ERICK ROBERT</v>
          </cell>
        </row>
        <row r="2302">
          <cell r="A2302">
            <v>2260</v>
          </cell>
          <cell r="B2302">
            <v>42711</v>
          </cell>
          <cell r="C2302" t="str">
            <v>DICIEMBRE</v>
          </cell>
          <cell r="D2302" t="str">
            <v>2016</v>
          </cell>
          <cell r="E2302">
            <v>537</v>
          </cell>
          <cell r="F2302" t="str">
            <v>C5R-896</v>
          </cell>
          <cell r="G2302" t="str">
            <v>A0U-977</v>
          </cell>
          <cell r="H2302" t="str">
            <v>LAS BAMBAS</v>
          </cell>
          <cell r="I2302">
            <v>212401</v>
          </cell>
          <cell r="J2302" t="str">
            <v>REPUESTO</v>
          </cell>
          <cell r="K2302" t="str">
            <v>GUIA 5/8</v>
          </cell>
          <cell r="L2302">
            <v>1</v>
          </cell>
          <cell r="M2302" t="str">
            <v>UNID.</v>
          </cell>
          <cell r="N2302" t="str">
            <v>TRACTO</v>
          </cell>
          <cell r="O2302">
            <v>0</v>
          </cell>
          <cell r="P2302" t="str">
            <v>M8</v>
          </cell>
          <cell r="Q2302" t="str">
            <v>J2</v>
          </cell>
          <cell r="R2302" t="str">
            <v>J6</v>
          </cell>
          <cell r="S2302" t="str">
            <v>ENTREGADO</v>
          </cell>
          <cell r="T2302">
            <v>42711</v>
          </cell>
          <cell r="U2302" t="str">
            <v>VARILLAS GAGO  OSCAR ALBERTO</v>
          </cell>
          <cell r="V2302" t="str">
            <v>CORIHUAMAN SURCO  ERICK ROBERT</v>
          </cell>
        </row>
        <row r="2303">
          <cell r="A2303">
            <v>2261</v>
          </cell>
          <cell r="B2303">
            <v>42711</v>
          </cell>
          <cell r="C2303" t="str">
            <v>DICIEMBRE</v>
          </cell>
          <cell r="D2303" t="str">
            <v>2016</v>
          </cell>
          <cell r="E2303">
            <v>537</v>
          </cell>
          <cell r="F2303" t="str">
            <v>C5R-896</v>
          </cell>
          <cell r="G2303" t="str">
            <v>A0U-977</v>
          </cell>
          <cell r="H2303" t="str">
            <v>LAS BAMBAS</v>
          </cell>
          <cell r="I2303">
            <v>212401</v>
          </cell>
          <cell r="J2303" t="str">
            <v>REPUESTO</v>
          </cell>
          <cell r="K2303" t="str">
            <v>TUERCA 5/8</v>
          </cell>
          <cell r="L2303">
            <v>1</v>
          </cell>
          <cell r="M2303" t="str">
            <v>UNID.</v>
          </cell>
          <cell r="N2303" t="str">
            <v>TRACTO</v>
          </cell>
          <cell r="O2303">
            <v>0</v>
          </cell>
          <cell r="P2303" t="str">
            <v>M8</v>
          </cell>
          <cell r="Q2303" t="str">
            <v>J2</v>
          </cell>
          <cell r="R2303" t="str">
            <v>J6</v>
          </cell>
          <cell r="S2303" t="str">
            <v>ENTREGADO</v>
          </cell>
          <cell r="T2303">
            <v>42711</v>
          </cell>
          <cell r="U2303" t="str">
            <v>VARILLAS GAGO  OSCAR ALBERTO</v>
          </cell>
          <cell r="V2303" t="str">
            <v>CORIHUAMAN SURCO  ERICK ROBERT</v>
          </cell>
        </row>
        <row r="2304">
          <cell r="A2304">
            <v>2296</v>
          </cell>
          <cell r="B2304">
            <v>42711</v>
          </cell>
          <cell r="C2304" t="str">
            <v>DICIEMBRE</v>
          </cell>
          <cell r="D2304" t="str">
            <v>2016</v>
          </cell>
          <cell r="E2304">
            <v>486</v>
          </cell>
          <cell r="F2304" t="str">
            <v>C9M-902</v>
          </cell>
          <cell r="G2304" t="str">
            <v>B8L-970</v>
          </cell>
          <cell r="H2304" t="str">
            <v>LAS BAMBAS</v>
          </cell>
          <cell r="I2304">
            <v>209833</v>
          </cell>
          <cell r="J2304" t="str">
            <v>REPUESTO</v>
          </cell>
          <cell r="K2304" t="str">
            <v>REDUCTOR DE VALVULA RECUOERADOR DE GASES 4 X 3</v>
          </cell>
          <cell r="L2304">
            <v>1</v>
          </cell>
          <cell r="M2304" t="str">
            <v>UNID.</v>
          </cell>
          <cell r="N2304" t="str">
            <v>CISTERNA</v>
          </cell>
          <cell r="O2304">
            <v>0</v>
          </cell>
          <cell r="P2304" t="str">
            <v>S2</v>
          </cell>
          <cell r="Q2304" t="str">
            <v>J2</v>
          </cell>
          <cell r="R2304" t="str">
            <v>J6</v>
          </cell>
          <cell r="S2304" t="str">
            <v>ENTREGADO</v>
          </cell>
          <cell r="T2304">
            <v>42711</v>
          </cell>
          <cell r="U2304" t="str">
            <v>PALOMINO ESTRADA  MICHEL</v>
          </cell>
          <cell r="V2304" t="str">
            <v>CORIHUAMAN SURCO  ERICK ROBERT</v>
          </cell>
        </row>
        <row r="2305">
          <cell r="A2305">
            <v>2307</v>
          </cell>
          <cell r="B2305">
            <v>42711</v>
          </cell>
          <cell r="C2305" t="str">
            <v>DICIEMBRE</v>
          </cell>
          <cell r="D2305" t="str">
            <v>2016</v>
          </cell>
          <cell r="E2305">
            <v>548</v>
          </cell>
          <cell r="F2305" t="str">
            <v>D3N-721</v>
          </cell>
          <cell r="G2305" t="str">
            <v>C4S-979</v>
          </cell>
          <cell r="H2305" t="str">
            <v>LAS BAMBAS</v>
          </cell>
          <cell r="I2305">
            <v>135552</v>
          </cell>
          <cell r="J2305" t="str">
            <v>REPUESTO</v>
          </cell>
          <cell r="K2305" t="str">
            <v>LIQUIDO LIMPIAPARABRISAS</v>
          </cell>
          <cell r="L2305">
            <v>1</v>
          </cell>
          <cell r="M2305" t="str">
            <v>GLNS.</v>
          </cell>
          <cell r="N2305" t="str">
            <v>TRACTO</v>
          </cell>
          <cell r="O2305">
            <v>0</v>
          </cell>
          <cell r="P2305" t="str">
            <v>M8</v>
          </cell>
          <cell r="Q2305" t="str">
            <v>J2</v>
          </cell>
          <cell r="R2305" t="str">
            <v>J6</v>
          </cell>
          <cell r="S2305" t="str">
            <v>ENTREGADO</v>
          </cell>
          <cell r="T2305">
            <v>42711</v>
          </cell>
          <cell r="U2305" t="str">
            <v>VARILLAS GAGO  OSCAR ALBERTO</v>
          </cell>
          <cell r="V2305" t="str">
            <v>CORIHUAMAN SURCO  ERICK ROBERT</v>
          </cell>
        </row>
        <row r="2306">
          <cell r="A2306">
            <v>2308</v>
          </cell>
          <cell r="B2306">
            <v>42711</v>
          </cell>
          <cell r="C2306" t="str">
            <v>DICIEMBRE</v>
          </cell>
          <cell r="D2306" t="str">
            <v>2016</v>
          </cell>
          <cell r="E2306">
            <v>548</v>
          </cell>
          <cell r="F2306" t="str">
            <v>D3N-721</v>
          </cell>
          <cell r="G2306" t="str">
            <v>C4S-979</v>
          </cell>
          <cell r="H2306" t="str">
            <v>LAS BAMBAS</v>
          </cell>
          <cell r="I2306">
            <v>135552</v>
          </cell>
          <cell r="J2306" t="str">
            <v>REPUESTO</v>
          </cell>
          <cell r="K2306" t="str">
            <v>SOPORTE DE CAPOT</v>
          </cell>
          <cell r="L2306">
            <v>1</v>
          </cell>
          <cell r="M2306" t="str">
            <v>UNID.</v>
          </cell>
          <cell r="N2306" t="str">
            <v>TRACTO</v>
          </cell>
          <cell r="O2306">
            <v>0</v>
          </cell>
          <cell r="P2306" t="str">
            <v>M8</v>
          </cell>
          <cell r="Q2306" t="str">
            <v>J2</v>
          </cell>
          <cell r="R2306" t="str">
            <v>J6</v>
          </cell>
          <cell r="S2306" t="str">
            <v>ENTREGADO</v>
          </cell>
          <cell r="T2306">
            <v>42711</v>
          </cell>
          <cell r="U2306" t="str">
            <v>VARILLAS GAGO  OSCAR ALBERTO</v>
          </cell>
          <cell r="V2306" t="str">
            <v>CORIHUAMAN SURCO  ERICK ROBERT</v>
          </cell>
        </row>
        <row r="2307">
          <cell r="A2307">
            <v>2312</v>
          </cell>
          <cell r="B2307">
            <v>42711</v>
          </cell>
          <cell r="C2307" t="str">
            <v>DICIEMBRE</v>
          </cell>
          <cell r="D2307" t="str">
            <v>2016</v>
          </cell>
          <cell r="E2307">
            <v>548</v>
          </cell>
          <cell r="F2307" t="str">
            <v>D3N-721</v>
          </cell>
          <cell r="G2307" t="str">
            <v>C4S-979</v>
          </cell>
          <cell r="H2307" t="str">
            <v>LAS BAMBAS</v>
          </cell>
          <cell r="I2307">
            <v>135552</v>
          </cell>
          <cell r="J2307" t="str">
            <v>REPUESTO</v>
          </cell>
          <cell r="K2307" t="str">
            <v>PRESINTOS 200</v>
          </cell>
          <cell r="L2307">
            <v>20</v>
          </cell>
          <cell r="M2307" t="str">
            <v>UNID.</v>
          </cell>
          <cell r="N2307" t="str">
            <v>TRACTO</v>
          </cell>
          <cell r="O2307">
            <v>0</v>
          </cell>
          <cell r="P2307" t="str">
            <v>E2</v>
          </cell>
          <cell r="Q2307" t="str">
            <v>J2</v>
          </cell>
          <cell r="R2307" t="str">
            <v>J6</v>
          </cell>
          <cell r="S2307" t="str">
            <v>ENTREGADO</v>
          </cell>
          <cell r="T2307">
            <v>42711</v>
          </cell>
          <cell r="U2307" t="str">
            <v>YUCA BELLIDO BORIS YERSY</v>
          </cell>
          <cell r="V2307" t="str">
            <v>CORIHUAMAN SURCO  ERICK ROBERT</v>
          </cell>
        </row>
        <row r="2308">
          <cell r="A2308">
            <v>2313</v>
          </cell>
          <cell r="B2308">
            <v>42711</v>
          </cell>
          <cell r="C2308" t="str">
            <v>DICIEMBRE</v>
          </cell>
          <cell r="D2308" t="str">
            <v>2016</v>
          </cell>
          <cell r="E2308">
            <v>467</v>
          </cell>
          <cell r="F2308" t="str">
            <v>D3P-743</v>
          </cell>
          <cell r="G2308" t="str">
            <v>B8L-972</v>
          </cell>
          <cell r="H2308" t="str">
            <v>LAS BAMBAS</v>
          </cell>
          <cell r="I2308">
            <v>181789</v>
          </cell>
          <cell r="J2308" t="str">
            <v>REPUESTO</v>
          </cell>
          <cell r="K2308" t="str">
            <v xml:space="preserve">SOCKET DE FOCO LAGRIMON </v>
          </cell>
          <cell r="L2308">
            <v>1</v>
          </cell>
          <cell r="M2308" t="str">
            <v>UNID.</v>
          </cell>
          <cell r="N2308" t="str">
            <v>TRACTO</v>
          </cell>
          <cell r="O2308">
            <v>0</v>
          </cell>
          <cell r="P2308" t="str">
            <v>E1</v>
          </cell>
          <cell r="Q2308" t="str">
            <v>J2</v>
          </cell>
          <cell r="R2308" t="str">
            <v>J6</v>
          </cell>
          <cell r="S2308" t="str">
            <v>ENTREGADO</v>
          </cell>
          <cell r="T2308">
            <v>42711</v>
          </cell>
          <cell r="U2308" t="str">
            <v>PALOMINO CARDENAS JUAN CARLOS</v>
          </cell>
          <cell r="V2308" t="str">
            <v>CORIHUAMAN SURCO  ERICK ROBERT</v>
          </cell>
        </row>
        <row r="2309">
          <cell r="A2309">
            <v>2291</v>
          </cell>
          <cell r="B2309">
            <v>42711</v>
          </cell>
          <cell r="C2309" t="str">
            <v>DICIEMBRE</v>
          </cell>
          <cell r="D2309" t="str">
            <v>2016</v>
          </cell>
          <cell r="E2309">
            <v>529</v>
          </cell>
          <cell r="F2309" t="str">
            <v>D3P-746</v>
          </cell>
          <cell r="G2309" t="str">
            <v>C0T-974</v>
          </cell>
          <cell r="H2309" t="str">
            <v>LAS BAMBAS</v>
          </cell>
          <cell r="I2309">
            <v>130316</v>
          </cell>
          <cell r="J2309" t="str">
            <v>REPUESTO</v>
          </cell>
          <cell r="K2309" t="str">
            <v>PERNO 5/8 X 6</v>
          </cell>
          <cell r="L2309">
            <v>4</v>
          </cell>
          <cell r="M2309" t="str">
            <v>UNID.</v>
          </cell>
          <cell r="N2309" t="str">
            <v>CISTERNA</v>
          </cell>
          <cell r="O2309">
            <v>0</v>
          </cell>
          <cell r="P2309" t="str">
            <v>S2</v>
          </cell>
          <cell r="Q2309" t="str">
            <v>J2</v>
          </cell>
          <cell r="R2309" t="str">
            <v>J6</v>
          </cell>
          <cell r="S2309" t="str">
            <v>ENTREGADO</v>
          </cell>
          <cell r="T2309">
            <v>42711</v>
          </cell>
          <cell r="U2309" t="str">
            <v>PALOMINO ESTRADA  MICHEL</v>
          </cell>
          <cell r="V2309" t="str">
            <v>CORIHUAMAN SURCO  ERICK ROBERT</v>
          </cell>
        </row>
        <row r="2310">
          <cell r="A2310">
            <v>2292</v>
          </cell>
          <cell r="B2310">
            <v>42711</v>
          </cell>
          <cell r="C2310" t="str">
            <v>DICIEMBRE</v>
          </cell>
          <cell r="D2310" t="str">
            <v>2016</v>
          </cell>
          <cell r="E2310">
            <v>529</v>
          </cell>
          <cell r="F2310" t="str">
            <v>D3P-746</v>
          </cell>
          <cell r="G2310" t="str">
            <v>C0T-974</v>
          </cell>
          <cell r="H2310" t="str">
            <v>LAS BAMBAS</v>
          </cell>
          <cell r="I2310">
            <v>130316</v>
          </cell>
          <cell r="J2310" t="str">
            <v>REPUESTO</v>
          </cell>
          <cell r="K2310" t="str">
            <v>TUERCA SEGURO 5/8</v>
          </cell>
          <cell r="L2310">
            <v>4</v>
          </cell>
          <cell r="M2310" t="str">
            <v>UNID.</v>
          </cell>
          <cell r="N2310" t="str">
            <v>CISTERNA</v>
          </cell>
          <cell r="O2310">
            <v>0</v>
          </cell>
          <cell r="P2310" t="str">
            <v>S2</v>
          </cell>
          <cell r="Q2310" t="str">
            <v>J2</v>
          </cell>
          <cell r="R2310" t="str">
            <v>J6</v>
          </cell>
          <cell r="S2310" t="str">
            <v>ENTREGADO</v>
          </cell>
          <cell r="T2310">
            <v>42711</v>
          </cell>
          <cell r="U2310" t="str">
            <v>PALOMINO ESTRADA  MICHEL</v>
          </cell>
          <cell r="V2310" t="str">
            <v>CORIHUAMAN SURCO  ERICK ROBERT</v>
          </cell>
        </row>
        <row r="2311">
          <cell r="A2311">
            <v>2271</v>
          </cell>
          <cell r="B2311">
            <v>42711</v>
          </cell>
          <cell r="C2311" t="str">
            <v>DICIEMBRE</v>
          </cell>
          <cell r="D2311" t="str">
            <v>2016</v>
          </cell>
          <cell r="E2311">
            <v>506</v>
          </cell>
          <cell r="F2311" t="str">
            <v>D3P-754</v>
          </cell>
          <cell r="G2311" t="str">
            <v>C0V-971</v>
          </cell>
          <cell r="H2311" t="str">
            <v>LAS BAMBAS</v>
          </cell>
          <cell r="I2311">
            <v>163530</v>
          </cell>
          <cell r="J2311" t="str">
            <v>REPUESTO</v>
          </cell>
          <cell r="K2311" t="str">
            <v>PERILLA DE PALANCA DE CAMBIO</v>
          </cell>
          <cell r="L2311">
            <v>1</v>
          </cell>
          <cell r="M2311" t="str">
            <v>UNID.</v>
          </cell>
          <cell r="N2311" t="str">
            <v>TRACTO</v>
          </cell>
          <cell r="O2311">
            <v>0</v>
          </cell>
          <cell r="P2311" t="str">
            <v>M2</v>
          </cell>
          <cell r="Q2311" t="str">
            <v>J2</v>
          </cell>
          <cell r="R2311" t="str">
            <v>J6</v>
          </cell>
          <cell r="S2311" t="str">
            <v>ENTREGADO</v>
          </cell>
          <cell r="T2311">
            <v>42711</v>
          </cell>
          <cell r="U2311" t="str">
            <v>CHUMPITAZ GAGO JULIO ENRIQUE</v>
          </cell>
          <cell r="V2311" t="str">
            <v>CORIHUAMAN SURCO  ERICK ROBERT</v>
          </cell>
        </row>
        <row r="2312">
          <cell r="A2312">
            <v>2277</v>
          </cell>
          <cell r="B2312">
            <v>42711</v>
          </cell>
          <cell r="C2312" t="str">
            <v>DICIEMBRE</v>
          </cell>
          <cell r="D2312" t="str">
            <v>2016</v>
          </cell>
          <cell r="E2312">
            <v>521</v>
          </cell>
          <cell r="F2312" t="str">
            <v>D4T-927</v>
          </cell>
          <cell r="G2312" t="str">
            <v>B4Q-976</v>
          </cell>
          <cell r="H2312" t="str">
            <v>LAS BAMBAS</v>
          </cell>
          <cell r="I2312">
            <v>197963</v>
          </cell>
          <cell r="J2312" t="str">
            <v>REPUESTO</v>
          </cell>
          <cell r="K2312" t="str">
            <v>ELECTROVALVULA DEL FAN (VENTILADOR)</v>
          </cell>
          <cell r="L2312">
            <v>1</v>
          </cell>
          <cell r="M2312" t="str">
            <v>UNID.</v>
          </cell>
          <cell r="N2312" t="str">
            <v>TRACTO</v>
          </cell>
          <cell r="O2312">
            <v>0</v>
          </cell>
          <cell r="P2312" t="str">
            <v>M3</v>
          </cell>
          <cell r="Q2312" t="str">
            <v>J2</v>
          </cell>
          <cell r="R2312" t="str">
            <v>J6</v>
          </cell>
          <cell r="S2312" t="str">
            <v>ENTREGADO</v>
          </cell>
          <cell r="T2312">
            <v>42711</v>
          </cell>
          <cell r="U2312" t="str">
            <v>GARCIA PASQUEL  JOSE LUIS</v>
          </cell>
          <cell r="V2312" t="str">
            <v>CORIHUAMAN SURCO  ERICK ROBERT</v>
          </cell>
        </row>
        <row r="2313">
          <cell r="A2313">
            <v>2278</v>
          </cell>
          <cell r="B2313">
            <v>42711</v>
          </cell>
          <cell r="C2313" t="str">
            <v>DICIEMBRE</v>
          </cell>
          <cell r="D2313" t="str">
            <v>2016</v>
          </cell>
          <cell r="E2313">
            <v>521</v>
          </cell>
          <cell r="F2313" t="str">
            <v>D4T-927</v>
          </cell>
          <cell r="G2313" t="str">
            <v>B4Q-976</v>
          </cell>
          <cell r="H2313" t="str">
            <v>LAS BAMBAS</v>
          </cell>
          <cell r="I2313">
            <v>197963</v>
          </cell>
          <cell r="J2313" t="str">
            <v>REPUESTO</v>
          </cell>
          <cell r="K2313" t="str">
            <v>RETENES DELANTEROS DE TRACCION</v>
          </cell>
          <cell r="L2313">
            <v>2</v>
          </cell>
          <cell r="M2313" t="str">
            <v>UNID.</v>
          </cell>
          <cell r="N2313" t="str">
            <v>TRACTO</v>
          </cell>
          <cell r="O2313">
            <v>79</v>
          </cell>
          <cell r="P2313" t="str">
            <v>M3</v>
          </cell>
          <cell r="Q2313" t="str">
            <v>J2</v>
          </cell>
          <cell r="R2313" t="str">
            <v>J6</v>
          </cell>
          <cell r="S2313" t="str">
            <v>PENDIENTE</v>
          </cell>
          <cell r="T2313">
            <v>0</v>
          </cell>
          <cell r="U2313" t="str">
            <v>GARCIA PASQUEL  JOSE LUIS</v>
          </cell>
          <cell r="V2313" t="str">
            <v>CORIHUAMAN SURCO  ERICK ROBERT</v>
          </cell>
        </row>
        <row r="2314">
          <cell r="A2314">
            <v>2297</v>
          </cell>
          <cell r="B2314">
            <v>42711</v>
          </cell>
          <cell r="C2314" t="str">
            <v>DICIEMBRE</v>
          </cell>
          <cell r="D2314" t="str">
            <v>2016</v>
          </cell>
          <cell r="E2314">
            <v>521</v>
          </cell>
          <cell r="F2314" t="str">
            <v>D4T-927</v>
          </cell>
          <cell r="G2314" t="str">
            <v>B4Q-976</v>
          </cell>
          <cell r="H2314" t="str">
            <v>LAS BAMBAS</v>
          </cell>
          <cell r="I2314">
            <v>197963</v>
          </cell>
          <cell r="J2314" t="str">
            <v>REPUESTO</v>
          </cell>
          <cell r="K2314" t="str">
            <v>VALVULA DE PITONES</v>
          </cell>
          <cell r="L2314">
            <v>12</v>
          </cell>
          <cell r="M2314" t="str">
            <v>UNID.</v>
          </cell>
          <cell r="N2314" t="str">
            <v>CISTERNA</v>
          </cell>
          <cell r="O2314">
            <v>0</v>
          </cell>
          <cell r="P2314" t="str">
            <v>N1</v>
          </cell>
          <cell r="Q2314" t="str">
            <v>J2</v>
          </cell>
          <cell r="R2314" t="str">
            <v>J6</v>
          </cell>
          <cell r="S2314" t="str">
            <v>ENTREGADO</v>
          </cell>
          <cell r="T2314">
            <v>42711</v>
          </cell>
          <cell r="U2314" t="str">
            <v>AGUILAR CCANTUTA WILLY</v>
          </cell>
          <cell r="V2314" t="str">
            <v>CORIHUAMAN SURCO  ERICK ROBERT</v>
          </cell>
        </row>
        <row r="2315">
          <cell r="A2315">
            <v>2268</v>
          </cell>
          <cell r="B2315">
            <v>42711</v>
          </cell>
          <cell r="C2315" t="str">
            <v>DICIEMBRE</v>
          </cell>
          <cell r="D2315" t="str">
            <v>2016</v>
          </cell>
          <cell r="E2315">
            <v>521</v>
          </cell>
          <cell r="F2315" t="str">
            <v>D4T-927</v>
          </cell>
          <cell r="G2315" t="str">
            <v>B4Q-976</v>
          </cell>
          <cell r="H2315" t="str">
            <v>LAS BAMBAS</v>
          </cell>
          <cell r="I2315">
            <v>197963</v>
          </cell>
          <cell r="J2315" t="str">
            <v>REPUESTO</v>
          </cell>
          <cell r="K2315" t="str">
            <v>LLANTAS</v>
          </cell>
          <cell r="L2315">
            <v>12</v>
          </cell>
          <cell r="M2315" t="str">
            <v>UNID.</v>
          </cell>
          <cell r="N2315" t="str">
            <v>CISTERNA</v>
          </cell>
          <cell r="O2315">
            <v>0</v>
          </cell>
          <cell r="P2315" t="str">
            <v>N1</v>
          </cell>
          <cell r="Q2315" t="str">
            <v>J2</v>
          </cell>
          <cell r="R2315" t="str">
            <v>J6</v>
          </cell>
          <cell r="S2315" t="str">
            <v>ENTREGADO</v>
          </cell>
          <cell r="T2315">
            <v>42711</v>
          </cell>
          <cell r="U2315" t="str">
            <v>AGUILAR CCANTUTA WILLY</v>
          </cell>
          <cell r="V2315" t="str">
            <v>CORIHUAMAN SURCO  ERICK ROBERT</v>
          </cell>
        </row>
        <row r="2316">
          <cell r="A2316">
            <v>2272</v>
          </cell>
          <cell r="B2316">
            <v>42711</v>
          </cell>
          <cell r="C2316" t="str">
            <v>DICIEMBRE</v>
          </cell>
          <cell r="D2316" t="str">
            <v>2016</v>
          </cell>
          <cell r="E2316">
            <v>532</v>
          </cell>
          <cell r="F2316" t="str">
            <v>D6G-805</v>
          </cell>
          <cell r="G2316" t="str">
            <v>T4Z-996</v>
          </cell>
          <cell r="H2316" t="str">
            <v>LAS BAMBAS</v>
          </cell>
          <cell r="I2316">
            <v>233231</v>
          </cell>
          <cell r="J2316" t="str">
            <v>REPUESTO</v>
          </cell>
          <cell r="K2316" t="str">
            <v>PERNOS 1/4 X 1 1/2</v>
          </cell>
          <cell r="L2316">
            <v>4</v>
          </cell>
          <cell r="M2316" t="str">
            <v>UNID.</v>
          </cell>
          <cell r="N2316" t="str">
            <v>TRACTO</v>
          </cell>
          <cell r="O2316">
            <v>0</v>
          </cell>
          <cell r="P2316" t="str">
            <v>M5</v>
          </cell>
          <cell r="Q2316" t="str">
            <v>J2</v>
          </cell>
          <cell r="R2316" t="str">
            <v>J6</v>
          </cell>
          <cell r="S2316" t="str">
            <v>ENTREGADO</v>
          </cell>
          <cell r="T2316">
            <v>42711</v>
          </cell>
          <cell r="U2316" t="str">
            <v>LOPEZ RUIZ WILBERTO</v>
          </cell>
          <cell r="V2316" t="str">
            <v>CORIHUAMAN SURCO  ERICK ROBERT</v>
          </cell>
        </row>
        <row r="2317">
          <cell r="A2317">
            <v>2273</v>
          </cell>
          <cell r="B2317">
            <v>42711</v>
          </cell>
          <cell r="C2317" t="str">
            <v>DICIEMBRE</v>
          </cell>
          <cell r="D2317" t="str">
            <v>2016</v>
          </cell>
          <cell r="E2317">
            <v>532</v>
          </cell>
          <cell r="F2317" t="str">
            <v>D6G-805</v>
          </cell>
          <cell r="G2317" t="str">
            <v>T4Z-996</v>
          </cell>
          <cell r="H2317" t="str">
            <v>LAS BAMBAS</v>
          </cell>
          <cell r="I2317">
            <v>233231</v>
          </cell>
          <cell r="J2317" t="str">
            <v>REPUESTO</v>
          </cell>
          <cell r="K2317" t="str">
            <v>TUERCA SEGURO 1/4</v>
          </cell>
          <cell r="L2317">
            <v>4</v>
          </cell>
          <cell r="M2317" t="str">
            <v>UNID.</v>
          </cell>
          <cell r="N2317" t="str">
            <v>TRACTO</v>
          </cell>
          <cell r="O2317">
            <v>0</v>
          </cell>
          <cell r="P2317" t="str">
            <v>M5</v>
          </cell>
          <cell r="Q2317" t="str">
            <v>J2</v>
          </cell>
          <cell r="R2317" t="str">
            <v>J6</v>
          </cell>
          <cell r="S2317" t="str">
            <v>ENTREGADO</v>
          </cell>
          <cell r="T2317">
            <v>42711</v>
          </cell>
          <cell r="U2317" t="str">
            <v>LOPEZ RUIZ WILBERTO</v>
          </cell>
          <cell r="V2317" t="str">
            <v>CORIHUAMAN SURCO  ERICK ROBERT</v>
          </cell>
        </row>
        <row r="2318">
          <cell r="A2318">
            <v>2274</v>
          </cell>
          <cell r="B2318">
            <v>42711</v>
          </cell>
          <cell r="C2318" t="str">
            <v>DICIEMBRE</v>
          </cell>
          <cell r="D2318" t="str">
            <v>2016</v>
          </cell>
          <cell r="E2318">
            <v>532</v>
          </cell>
          <cell r="F2318" t="str">
            <v>D6G-805</v>
          </cell>
          <cell r="G2318" t="str">
            <v>T4Z-996</v>
          </cell>
          <cell r="H2318" t="str">
            <v>LAS BAMBAS</v>
          </cell>
          <cell r="I2318">
            <v>233231</v>
          </cell>
          <cell r="J2318" t="str">
            <v>REPUESTO</v>
          </cell>
          <cell r="K2318" t="str">
            <v>ARANDELA PLANA 1/4</v>
          </cell>
          <cell r="L2318">
            <v>8</v>
          </cell>
          <cell r="M2318" t="str">
            <v>UNID.</v>
          </cell>
          <cell r="N2318" t="str">
            <v>TRACTO</v>
          </cell>
          <cell r="O2318">
            <v>0</v>
          </cell>
          <cell r="P2318" t="str">
            <v>M5</v>
          </cell>
          <cell r="Q2318" t="str">
            <v>J2</v>
          </cell>
          <cell r="R2318" t="str">
            <v>J6</v>
          </cell>
          <cell r="S2318" t="str">
            <v>ENTREGADO</v>
          </cell>
          <cell r="T2318">
            <v>42711</v>
          </cell>
          <cell r="U2318" t="str">
            <v>LOPEZ RUIZ WILBERTO</v>
          </cell>
          <cell r="V2318" t="str">
            <v>CORIHUAMAN SURCO  ERICK ROBERT</v>
          </cell>
        </row>
        <row r="2319">
          <cell r="A2319">
            <v>2298</v>
          </cell>
          <cell r="B2319">
            <v>42711</v>
          </cell>
          <cell r="C2319" t="str">
            <v>DICIEMBRE</v>
          </cell>
          <cell r="D2319" t="str">
            <v>2016</v>
          </cell>
          <cell r="E2319">
            <v>532</v>
          </cell>
          <cell r="F2319" t="str">
            <v>D6G-805</v>
          </cell>
          <cell r="G2319" t="str">
            <v>T4Z-996</v>
          </cell>
          <cell r="H2319" t="str">
            <v>LAS BAMBAS</v>
          </cell>
          <cell r="I2319">
            <v>233231</v>
          </cell>
          <cell r="J2319" t="str">
            <v>REPUESTO</v>
          </cell>
          <cell r="K2319" t="str">
            <v>ZAPATAS</v>
          </cell>
          <cell r="L2319">
            <v>0.5</v>
          </cell>
          <cell r="M2319" t="str">
            <v>JUEGO</v>
          </cell>
          <cell r="N2319" t="str">
            <v>CISTERNA</v>
          </cell>
          <cell r="O2319">
            <v>0</v>
          </cell>
          <cell r="P2319" t="str">
            <v>M5</v>
          </cell>
          <cell r="Q2319" t="str">
            <v>J2</v>
          </cell>
          <cell r="R2319" t="str">
            <v>J6</v>
          </cell>
          <cell r="S2319" t="str">
            <v>ENTREGADO</v>
          </cell>
          <cell r="T2319">
            <v>42711</v>
          </cell>
          <cell r="U2319" t="str">
            <v>LOPEZ RUIZ WILBERTO</v>
          </cell>
          <cell r="V2319" t="str">
            <v>CORIHUAMAN SURCO  ERICK ROBERT</v>
          </cell>
        </row>
        <row r="2320">
          <cell r="A2320">
            <v>2299</v>
          </cell>
          <cell r="B2320">
            <v>42711</v>
          </cell>
          <cell r="C2320" t="str">
            <v>DICIEMBRE</v>
          </cell>
          <cell r="D2320" t="str">
            <v>2016</v>
          </cell>
          <cell r="E2320">
            <v>532</v>
          </cell>
          <cell r="F2320" t="str">
            <v>D6G-805</v>
          </cell>
          <cell r="G2320" t="str">
            <v>T4Z-996</v>
          </cell>
          <cell r="H2320" t="str">
            <v>LAS BAMBAS</v>
          </cell>
          <cell r="I2320">
            <v>233231</v>
          </cell>
          <cell r="J2320" t="str">
            <v>REPUESTO</v>
          </cell>
          <cell r="K2320" t="str">
            <v>REMACHES</v>
          </cell>
          <cell r="L2320">
            <v>70</v>
          </cell>
          <cell r="M2320" t="str">
            <v>UNID.</v>
          </cell>
          <cell r="N2320" t="str">
            <v>CISTERNA</v>
          </cell>
          <cell r="O2320">
            <v>0</v>
          </cell>
          <cell r="P2320" t="str">
            <v>M5</v>
          </cell>
          <cell r="Q2320" t="str">
            <v>J2</v>
          </cell>
          <cell r="R2320" t="str">
            <v>J6</v>
          </cell>
          <cell r="S2320" t="str">
            <v>ENTREGADO</v>
          </cell>
          <cell r="T2320">
            <v>42711</v>
          </cell>
          <cell r="U2320" t="str">
            <v>LOPEZ RUIZ WILBERTO</v>
          </cell>
          <cell r="V2320" t="str">
            <v>CORIHUAMAN SURCO  ERICK ROBERT</v>
          </cell>
        </row>
        <row r="2321">
          <cell r="A2321">
            <v>2300</v>
          </cell>
          <cell r="B2321">
            <v>42711</v>
          </cell>
          <cell r="C2321" t="str">
            <v>DICIEMBRE</v>
          </cell>
          <cell r="D2321" t="str">
            <v>2016</v>
          </cell>
          <cell r="E2321">
            <v>532</v>
          </cell>
          <cell r="F2321" t="str">
            <v>D6G-805</v>
          </cell>
          <cell r="G2321" t="str">
            <v>T4Z-996</v>
          </cell>
          <cell r="H2321" t="str">
            <v>LAS BAMBAS</v>
          </cell>
          <cell r="I2321">
            <v>233231</v>
          </cell>
          <cell r="J2321" t="str">
            <v>REPUESTO</v>
          </cell>
          <cell r="K2321" t="str">
            <v>PERNOS 5/16 X 1 1/2</v>
          </cell>
          <cell r="L2321">
            <v>2</v>
          </cell>
          <cell r="M2321" t="str">
            <v>UNID.</v>
          </cell>
          <cell r="N2321" t="str">
            <v>TRACTO</v>
          </cell>
          <cell r="O2321">
            <v>0</v>
          </cell>
          <cell r="P2321" t="str">
            <v>E3</v>
          </cell>
          <cell r="Q2321" t="str">
            <v>J2</v>
          </cell>
          <cell r="R2321" t="str">
            <v>J6</v>
          </cell>
          <cell r="S2321" t="str">
            <v>ENTREGADO</v>
          </cell>
          <cell r="T2321">
            <v>42711</v>
          </cell>
          <cell r="U2321" t="str">
            <v>CONDORI CHURATA ALEX</v>
          </cell>
          <cell r="V2321" t="str">
            <v>CORIHUAMAN SURCO  ERICK ROBERT</v>
          </cell>
        </row>
        <row r="2322">
          <cell r="A2322">
            <v>2302</v>
          </cell>
          <cell r="B2322">
            <v>42711</v>
          </cell>
          <cell r="C2322" t="str">
            <v>DICIEMBRE</v>
          </cell>
          <cell r="D2322" t="str">
            <v>2016</v>
          </cell>
          <cell r="E2322">
            <v>532</v>
          </cell>
          <cell r="F2322" t="str">
            <v>D6G-805</v>
          </cell>
          <cell r="G2322" t="str">
            <v>T4Z-996</v>
          </cell>
          <cell r="H2322" t="str">
            <v>LAS BAMBAS</v>
          </cell>
          <cell r="I2322">
            <v>233231</v>
          </cell>
          <cell r="J2322" t="str">
            <v>REPUESTO</v>
          </cell>
          <cell r="K2322" t="str">
            <v>TUERCA 5/16</v>
          </cell>
          <cell r="L2322">
            <v>2</v>
          </cell>
          <cell r="M2322" t="str">
            <v>UNID.</v>
          </cell>
          <cell r="N2322" t="str">
            <v>TRACTO</v>
          </cell>
          <cell r="O2322">
            <v>0</v>
          </cell>
          <cell r="P2322" t="str">
            <v>E3</v>
          </cell>
          <cell r="Q2322" t="str">
            <v>J2</v>
          </cell>
          <cell r="R2322" t="str">
            <v>J6</v>
          </cell>
          <cell r="S2322" t="str">
            <v>ENTREGADO</v>
          </cell>
          <cell r="T2322">
            <v>42711</v>
          </cell>
          <cell r="U2322" t="str">
            <v>CONDORI CHURATA ALEX</v>
          </cell>
          <cell r="V2322" t="str">
            <v>CORIHUAMAN SURCO  ERICK ROBERT</v>
          </cell>
        </row>
        <row r="2323">
          <cell r="A2323">
            <v>2303</v>
          </cell>
          <cell r="B2323">
            <v>42711</v>
          </cell>
          <cell r="C2323" t="str">
            <v>DICIEMBRE</v>
          </cell>
          <cell r="D2323" t="str">
            <v>2016</v>
          </cell>
          <cell r="E2323">
            <v>532</v>
          </cell>
          <cell r="F2323" t="str">
            <v>D6G-805</v>
          </cell>
          <cell r="G2323" t="str">
            <v>T4Z-996</v>
          </cell>
          <cell r="H2323" t="str">
            <v>LAS BAMBAS</v>
          </cell>
          <cell r="I2323">
            <v>233231</v>
          </cell>
          <cell r="J2323" t="str">
            <v>REPUESTO</v>
          </cell>
          <cell r="K2323" t="str">
            <v>ARANDELA PLANA 5/16</v>
          </cell>
          <cell r="L2323">
            <v>10</v>
          </cell>
          <cell r="M2323" t="str">
            <v>UNID.</v>
          </cell>
          <cell r="N2323" t="str">
            <v>TRACTO</v>
          </cell>
          <cell r="O2323">
            <v>0</v>
          </cell>
          <cell r="P2323" t="str">
            <v>E3</v>
          </cell>
          <cell r="Q2323" t="str">
            <v>J2</v>
          </cell>
          <cell r="R2323" t="str">
            <v>J6</v>
          </cell>
          <cell r="S2323" t="str">
            <v>ENTREGADO</v>
          </cell>
          <cell r="T2323">
            <v>42711</v>
          </cell>
          <cell r="U2323" t="str">
            <v>CONDORI CHURATA ALEX</v>
          </cell>
          <cell r="V2323" t="str">
            <v>CORIHUAMAN SURCO  ERICK ROBERT</v>
          </cell>
        </row>
        <row r="2324">
          <cell r="A2324">
            <v>2309</v>
          </cell>
          <cell r="B2324">
            <v>42711</v>
          </cell>
          <cell r="C2324" t="str">
            <v>DICIEMBRE</v>
          </cell>
          <cell r="D2324" t="str">
            <v>2016</v>
          </cell>
          <cell r="E2324">
            <v>532</v>
          </cell>
          <cell r="F2324" t="str">
            <v>D6G-805</v>
          </cell>
          <cell r="G2324" t="str">
            <v>T4Z-996</v>
          </cell>
          <cell r="H2324" t="str">
            <v>LAS BAMBAS</v>
          </cell>
          <cell r="I2324">
            <v>233231</v>
          </cell>
          <cell r="J2324" t="str">
            <v>REPUESTO</v>
          </cell>
          <cell r="K2324" t="str">
            <v>CABLE NRO. 14</v>
          </cell>
          <cell r="L2324">
            <v>2</v>
          </cell>
          <cell r="M2324" t="str">
            <v>M</v>
          </cell>
          <cell r="N2324" t="str">
            <v>TRACTO</v>
          </cell>
          <cell r="O2324">
            <v>0</v>
          </cell>
          <cell r="P2324" t="str">
            <v>E3</v>
          </cell>
          <cell r="Q2324" t="str">
            <v>J2</v>
          </cell>
          <cell r="R2324" t="str">
            <v>J6</v>
          </cell>
          <cell r="S2324" t="str">
            <v>ENTREGADO</v>
          </cell>
          <cell r="T2324">
            <v>42711</v>
          </cell>
          <cell r="U2324" t="str">
            <v>CONDORI CHURATA ALEX</v>
          </cell>
          <cell r="V2324" t="str">
            <v>CORIHUAMAN SURCO  ERICK ROBERT</v>
          </cell>
        </row>
        <row r="2325">
          <cell r="A2325">
            <v>2310</v>
          </cell>
          <cell r="B2325">
            <v>42711</v>
          </cell>
          <cell r="C2325" t="str">
            <v>DICIEMBRE</v>
          </cell>
          <cell r="D2325" t="str">
            <v>2016</v>
          </cell>
          <cell r="E2325">
            <v>532</v>
          </cell>
          <cell r="F2325" t="str">
            <v>D6G-805</v>
          </cell>
          <cell r="G2325" t="str">
            <v>T4Z-996</v>
          </cell>
          <cell r="H2325" t="str">
            <v>LAS BAMBAS</v>
          </cell>
          <cell r="I2325">
            <v>233231</v>
          </cell>
          <cell r="J2325" t="str">
            <v>REPUESTO</v>
          </cell>
          <cell r="K2325" t="str">
            <v>TUBO CORRUGADO 1/4</v>
          </cell>
          <cell r="L2325">
            <v>2</v>
          </cell>
          <cell r="M2325" t="str">
            <v>M</v>
          </cell>
          <cell r="N2325" t="str">
            <v>TRACTO</v>
          </cell>
          <cell r="O2325">
            <v>0</v>
          </cell>
          <cell r="P2325" t="str">
            <v>E3</v>
          </cell>
          <cell r="Q2325" t="str">
            <v>J2</v>
          </cell>
          <cell r="R2325" t="str">
            <v>J6</v>
          </cell>
          <cell r="S2325" t="str">
            <v>ENTREGADO</v>
          </cell>
          <cell r="T2325">
            <v>42711</v>
          </cell>
          <cell r="U2325" t="str">
            <v>CONDORI CHURATA ALEX</v>
          </cell>
          <cell r="V2325" t="str">
            <v>CORIHUAMAN SURCO  ERICK ROBERT</v>
          </cell>
        </row>
        <row r="2326">
          <cell r="A2326">
            <v>2311</v>
          </cell>
          <cell r="B2326">
            <v>42711</v>
          </cell>
          <cell r="C2326" t="str">
            <v>DICIEMBRE</v>
          </cell>
          <cell r="D2326" t="str">
            <v>2016</v>
          </cell>
          <cell r="E2326">
            <v>532</v>
          </cell>
          <cell r="F2326" t="str">
            <v>D6G-805</v>
          </cell>
          <cell r="G2326" t="str">
            <v>T4Z-996</v>
          </cell>
          <cell r="H2326" t="str">
            <v>LAS BAMBAS</v>
          </cell>
          <cell r="I2326">
            <v>233231</v>
          </cell>
          <cell r="J2326" t="str">
            <v>REPUESTO</v>
          </cell>
          <cell r="K2326" t="str">
            <v>LIQUIDO LIMPIAPARABRISAS</v>
          </cell>
          <cell r="L2326">
            <v>1</v>
          </cell>
          <cell r="M2326" t="str">
            <v>GLNS.</v>
          </cell>
          <cell r="N2326" t="str">
            <v>TRACTO</v>
          </cell>
          <cell r="O2326">
            <v>0</v>
          </cell>
          <cell r="P2326" t="str">
            <v>M5</v>
          </cell>
          <cell r="Q2326" t="str">
            <v>J2</v>
          </cell>
          <cell r="R2326" t="str">
            <v>J6</v>
          </cell>
          <cell r="S2326" t="str">
            <v>ENTREGADO</v>
          </cell>
          <cell r="T2326">
            <v>42711</v>
          </cell>
          <cell r="U2326" t="str">
            <v>LOPEZ RUIZ WILBERTO</v>
          </cell>
          <cell r="V2326" t="str">
            <v>CORIHUAMAN SURCO  ERICK ROBERT</v>
          </cell>
        </row>
        <row r="2327">
          <cell r="A2327">
            <v>2262</v>
          </cell>
          <cell r="B2327">
            <v>42711</v>
          </cell>
          <cell r="C2327" t="str">
            <v>DICIEMBRE</v>
          </cell>
          <cell r="D2327" t="str">
            <v>2016</v>
          </cell>
          <cell r="E2327">
            <v>200</v>
          </cell>
          <cell r="F2327" t="str">
            <v>TALLER</v>
          </cell>
          <cell r="G2327" t="str">
            <v>TALLER</v>
          </cell>
          <cell r="H2327" t="str">
            <v>TALLER</v>
          </cell>
          <cell r="I2327" t="str">
            <v>TALLER</v>
          </cell>
          <cell r="J2327" t="str">
            <v>UNIFORMES</v>
          </cell>
          <cell r="K2327" t="str">
            <v>TAIVEX "L"</v>
          </cell>
          <cell r="L2327">
            <v>1</v>
          </cell>
          <cell r="M2327" t="str">
            <v>UNID.</v>
          </cell>
          <cell r="N2327" t="str">
            <v>TALLER</v>
          </cell>
          <cell r="O2327">
            <v>0</v>
          </cell>
          <cell r="P2327" t="str">
            <v>M3</v>
          </cell>
          <cell r="Q2327" t="str">
            <v>J2</v>
          </cell>
          <cell r="R2327" t="str">
            <v>J6</v>
          </cell>
          <cell r="S2327" t="str">
            <v>ENTREGADO</v>
          </cell>
          <cell r="T2327">
            <v>42711</v>
          </cell>
          <cell r="U2327" t="str">
            <v>GARCIA PASQUEL  JOSE LUIS</v>
          </cell>
          <cell r="V2327" t="str">
            <v>CORIHUAMAN SURCO  ERICK ROBERT</v>
          </cell>
        </row>
        <row r="2328">
          <cell r="A2328">
            <v>2265</v>
          </cell>
          <cell r="B2328">
            <v>42711</v>
          </cell>
          <cell r="C2328" t="str">
            <v>DICIEMBRE</v>
          </cell>
          <cell r="D2328" t="str">
            <v>2016</v>
          </cell>
          <cell r="E2328">
            <v>200</v>
          </cell>
          <cell r="F2328" t="str">
            <v>TALLER</v>
          </cell>
          <cell r="G2328" t="str">
            <v>TALLER</v>
          </cell>
          <cell r="H2328" t="str">
            <v>TALLER</v>
          </cell>
          <cell r="I2328" t="str">
            <v>TALLER</v>
          </cell>
          <cell r="J2328" t="str">
            <v>INSUMO TALLER</v>
          </cell>
          <cell r="K2328" t="str">
            <v>SPRAY COLOR ALUMINIO</v>
          </cell>
          <cell r="L2328">
            <v>2</v>
          </cell>
          <cell r="M2328" t="str">
            <v>UNID.</v>
          </cell>
          <cell r="N2328" t="str">
            <v>TALLER</v>
          </cell>
          <cell r="O2328">
            <v>0</v>
          </cell>
          <cell r="P2328" t="str">
            <v>N1</v>
          </cell>
          <cell r="Q2328" t="str">
            <v>J2</v>
          </cell>
          <cell r="R2328" t="str">
            <v>J6</v>
          </cell>
          <cell r="S2328" t="str">
            <v>ENTREGADO</v>
          </cell>
          <cell r="T2328">
            <v>42711</v>
          </cell>
          <cell r="U2328" t="str">
            <v>AGUILAR CCANTUTA WILLY</v>
          </cell>
          <cell r="V2328" t="str">
            <v>CORIHUAMAN SURCO  ERICK ROBERT</v>
          </cell>
        </row>
        <row r="2329">
          <cell r="A2329">
            <v>2266</v>
          </cell>
          <cell r="B2329">
            <v>42711</v>
          </cell>
          <cell r="C2329" t="str">
            <v>DICIEMBRE</v>
          </cell>
          <cell r="D2329" t="str">
            <v>2016</v>
          </cell>
          <cell r="E2329">
            <v>200</v>
          </cell>
          <cell r="F2329" t="str">
            <v>TALLER</v>
          </cell>
          <cell r="G2329" t="str">
            <v>TALLER</v>
          </cell>
          <cell r="H2329" t="str">
            <v>TALLER</v>
          </cell>
          <cell r="I2329" t="str">
            <v>TALLER</v>
          </cell>
          <cell r="J2329" t="str">
            <v>INSUMO TALLER</v>
          </cell>
          <cell r="K2329" t="str">
            <v>PLUMON COLOR NEGRO</v>
          </cell>
          <cell r="L2329">
            <v>1</v>
          </cell>
          <cell r="M2329" t="str">
            <v>UNID.</v>
          </cell>
          <cell r="N2329" t="str">
            <v>TALLER</v>
          </cell>
          <cell r="O2329">
            <v>0</v>
          </cell>
          <cell r="P2329" t="str">
            <v>N1</v>
          </cell>
          <cell r="Q2329" t="str">
            <v>J2</v>
          </cell>
          <cell r="R2329" t="str">
            <v>J6</v>
          </cell>
          <cell r="S2329" t="str">
            <v>ENTREGADO</v>
          </cell>
          <cell r="T2329">
            <v>42711</v>
          </cell>
          <cell r="U2329" t="str">
            <v>AGUILAR CCANTUTA WILLY</v>
          </cell>
          <cell r="V2329" t="str">
            <v>CORIHUAMAN SURCO  ERICK ROBERT</v>
          </cell>
        </row>
        <row r="2330">
          <cell r="A2330">
            <v>2267</v>
          </cell>
          <cell r="B2330">
            <v>42711</v>
          </cell>
          <cell r="C2330" t="str">
            <v>DICIEMBRE</v>
          </cell>
          <cell r="D2330" t="str">
            <v>2016</v>
          </cell>
          <cell r="E2330">
            <v>200</v>
          </cell>
          <cell r="F2330" t="str">
            <v>TALLER</v>
          </cell>
          <cell r="G2330" t="str">
            <v>TALLER</v>
          </cell>
          <cell r="H2330" t="str">
            <v>TALLER</v>
          </cell>
          <cell r="I2330" t="str">
            <v>TALLER</v>
          </cell>
          <cell r="J2330" t="str">
            <v>INSUMO TALLER</v>
          </cell>
          <cell r="K2330" t="str">
            <v>PLUMON COLOR AZUL</v>
          </cell>
          <cell r="L2330">
            <v>1</v>
          </cell>
          <cell r="M2330" t="str">
            <v>UNID.</v>
          </cell>
          <cell r="N2330" t="str">
            <v>TALLER</v>
          </cell>
          <cell r="O2330">
            <v>0</v>
          </cell>
          <cell r="P2330" t="str">
            <v>N1</v>
          </cell>
          <cell r="Q2330" t="str">
            <v>J2</v>
          </cell>
          <cell r="R2330" t="str">
            <v>J6</v>
          </cell>
          <cell r="S2330" t="str">
            <v>ENTREGADO</v>
          </cell>
          <cell r="T2330">
            <v>42711</v>
          </cell>
          <cell r="U2330" t="str">
            <v>AGUILAR CCANTUTA WILLY</v>
          </cell>
          <cell r="V2330" t="str">
            <v>CORIHUAMAN SURCO  ERICK ROBERT</v>
          </cell>
        </row>
        <row r="2331">
          <cell r="A2331">
            <v>2294</v>
          </cell>
          <cell r="B2331">
            <v>42711</v>
          </cell>
          <cell r="C2331" t="str">
            <v>DICIEMBRE</v>
          </cell>
          <cell r="D2331" t="str">
            <v>2016</v>
          </cell>
          <cell r="E2331">
            <v>200</v>
          </cell>
          <cell r="F2331" t="str">
            <v>TALLER</v>
          </cell>
          <cell r="G2331" t="str">
            <v>TALLER</v>
          </cell>
          <cell r="H2331" t="str">
            <v>TALLER</v>
          </cell>
          <cell r="I2331" t="str">
            <v>TALLER</v>
          </cell>
          <cell r="J2331" t="str">
            <v>REPUESTO</v>
          </cell>
          <cell r="K2331" t="str">
            <v>PRESINTOS 200</v>
          </cell>
          <cell r="L2331">
            <v>10</v>
          </cell>
          <cell r="M2331" t="str">
            <v>UNID.</v>
          </cell>
          <cell r="N2331" t="str">
            <v>TALLER</v>
          </cell>
          <cell r="O2331">
            <v>0</v>
          </cell>
          <cell r="P2331" t="str">
            <v>E3</v>
          </cell>
          <cell r="Q2331" t="str">
            <v>J2</v>
          </cell>
          <cell r="R2331" t="str">
            <v>J6</v>
          </cell>
          <cell r="S2331" t="str">
            <v>ENTREGADO</v>
          </cell>
          <cell r="T2331">
            <v>42711</v>
          </cell>
          <cell r="U2331" t="str">
            <v>CONDORI CHURATA ALEX</v>
          </cell>
          <cell r="V2331" t="str">
            <v>CORIHUAMAN SURCO  ERICK ROBERT</v>
          </cell>
        </row>
        <row r="2332">
          <cell r="A2332">
            <v>2295</v>
          </cell>
          <cell r="B2332">
            <v>42711</v>
          </cell>
          <cell r="C2332" t="str">
            <v>DICIEMBRE</v>
          </cell>
          <cell r="D2332" t="str">
            <v>2016</v>
          </cell>
          <cell r="E2332">
            <v>200</v>
          </cell>
          <cell r="F2332" t="str">
            <v>TALLER</v>
          </cell>
          <cell r="G2332" t="str">
            <v>TALLER</v>
          </cell>
          <cell r="H2332" t="str">
            <v>TALLER</v>
          </cell>
          <cell r="I2332" t="str">
            <v>TALLER</v>
          </cell>
          <cell r="J2332" t="str">
            <v>REPUESTO</v>
          </cell>
          <cell r="K2332" t="str">
            <v>CABLE NRO. 14</v>
          </cell>
          <cell r="L2332">
            <v>1</v>
          </cell>
          <cell r="M2332" t="str">
            <v>M</v>
          </cell>
          <cell r="N2332" t="str">
            <v>TALLER</v>
          </cell>
          <cell r="O2332">
            <v>0</v>
          </cell>
          <cell r="P2332" t="str">
            <v>E3</v>
          </cell>
          <cell r="Q2332" t="str">
            <v>J2</v>
          </cell>
          <cell r="R2332" t="str">
            <v>J6</v>
          </cell>
          <cell r="S2332" t="str">
            <v>ENTREGADO</v>
          </cell>
          <cell r="T2332">
            <v>42711</v>
          </cell>
          <cell r="U2332" t="str">
            <v>CONDORI CHURATA ALEX</v>
          </cell>
          <cell r="V2332" t="str">
            <v>CORIHUAMAN SURCO  ERICK ROBERT</v>
          </cell>
        </row>
        <row r="2333">
          <cell r="A2333">
            <v>2264</v>
          </cell>
          <cell r="B2333">
            <v>42711</v>
          </cell>
          <cell r="C2333" t="str">
            <v>DICIEMBRE</v>
          </cell>
          <cell r="D2333" t="str">
            <v>2016</v>
          </cell>
          <cell r="E2333">
            <v>527</v>
          </cell>
          <cell r="F2333" t="str">
            <v>X2W-765</v>
          </cell>
          <cell r="G2333" t="str">
            <v>C5V-993</v>
          </cell>
          <cell r="H2333" t="str">
            <v>LAS BAMBAS</v>
          </cell>
          <cell r="I2333">
            <v>157711</v>
          </cell>
          <cell r="J2333" t="str">
            <v>REPUESTO</v>
          </cell>
          <cell r="K2333" t="str">
            <v>LIQUIDO REFRIGERANTE</v>
          </cell>
          <cell r="L2333">
            <v>1</v>
          </cell>
          <cell r="M2333" t="str">
            <v>GLNS.</v>
          </cell>
          <cell r="N2333" t="str">
            <v>TRACTO</v>
          </cell>
          <cell r="O2333">
            <v>0</v>
          </cell>
          <cell r="P2333" t="str">
            <v>M5</v>
          </cell>
          <cell r="Q2333" t="str">
            <v>J2</v>
          </cell>
          <cell r="R2333" t="str">
            <v>J6</v>
          </cell>
          <cell r="S2333" t="str">
            <v>ENTREGADO</v>
          </cell>
          <cell r="T2333">
            <v>42711</v>
          </cell>
          <cell r="U2333" t="str">
            <v>LOPEZ RUIZ WILBERTO</v>
          </cell>
          <cell r="V2333" t="str">
            <v>CORIHUAMAN SURCO  ERICK ROBERT</v>
          </cell>
        </row>
        <row r="2334">
          <cell r="A2334">
            <v>2275</v>
          </cell>
          <cell r="B2334">
            <v>42711</v>
          </cell>
          <cell r="C2334" t="str">
            <v>DICIEMBRE</v>
          </cell>
          <cell r="D2334" t="str">
            <v>2016</v>
          </cell>
          <cell r="E2334">
            <v>527</v>
          </cell>
          <cell r="F2334" t="str">
            <v>X2W-765</v>
          </cell>
          <cell r="G2334" t="str">
            <v>C5V-993</v>
          </cell>
          <cell r="H2334" t="str">
            <v>LAS BAMBAS</v>
          </cell>
          <cell r="I2334">
            <v>157711</v>
          </cell>
          <cell r="J2334" t="str">
            <v>REPUESTO</v>
          </cell>
          <cell r="K2334" t="str">
            <v xml:space="preserve">PERNO 3/8 X 1 1/2 </v>
          </cell>
          <cell r="L2334">
            <v>2</v>
          </cell>
          <cell r="M2334" t="str">
            <v>UNID.</v>
          </cell>
          <cell r="N2334" t="str">
            <v>TRACTO</v>
          </cell>
          <cell r="O2334">
            <v>0</v>
          </cell>
          <cell r="P2334" t="str">
            <v>E3</v>
          </cell>
          <cell r="Q2334" t="str">
            <v>J2</v>
          </cell>
          <cell r="R2334" t="str">
            <v>J6</v>
          </cell>
          <cell r="S2334" t="str">
            <v>ENTREGADO</v>
          </cell>
          <cell r="T2334">
            <v>42711</v>
          </cell>
          <cell r="U2334" t="str">
            <v>CONDORI CHURATA ALEX</v>
          </cell>
          <cell r="V2334" t="str">
            <v>CORIHUAMAN SURCO  ERICK ROBERT</v>
          </cell>
        </row>
        <row r="2335">
          <cell r="A2335">
            <v>2276</v>
          </cell>
          <cell r="B2335">
            <v>42711</v>
          </cell>
          <cell r="C2335" t="str">
            <v>DICIEMBRE</v>
          </cell>
          <cell r="D2335" t="str">
            <v>2016</v>
          </cell>
          <cell r="E2335">
            <v>527</v>
          </cell>
          <cell r="F2335" t="str">
            <v>X2W-765</v>
          </cell>
          <cell r="G2335" t="str">
            <v>C5V-993</v>
          </cell>
          <cell r="H2335" t="str">
            <v>LAS BAMBAS</v>
          </cell>
          <cell r="I2335">
            <v>157711</v>
          </cell>
          <cell r="J2335" t="str">
            <v>REPUESTO</v>
          </cell>
          <cell r="K2335" t="str">
            <v>TUERCA SEGURO 3/8</v>
          </cell>
          <cell r="L2335">
            <v>2</v>
          </cell>
          <cell r="M2335" t="str">
            <v>UNID.</v>
          </cell>
          <cell r="N2335" t="str">
            <v>TRACTO</v>
          </cell>
          <cell r="O2335">
            <v>0</v>
          </cell>
          <cell r="P2335" t="str">
            <v>E3</v>
          </cell>
          <cell r="Q2335" t="str">
            <v>J2</v>
          </cell>
          <cell r="R2335" t="str">
            <v>J6</v>
          </cell>
          <cell r="S2335" t="str">
            <v>ENTREGADO</v>
          </cell>
          <cell r="T2335">
            <v>42711</v>
          </cell>
          <cell r="U2335" t="str">
            <v>CONDORI CHURATA ALEX</v>
          </cell>
          <cell r="V2335" t="str">
            <v>CORIHUAMAN SURCO  ERICK ROBERT</v>
          </cell>
        </row>
        <row r="2336">
          <cell r="A2336">
            <v>2315</v>
          </cell>
          <cell r="B2336">
            <v>42711</v>
          </cell>
          <cell r="C2336" t="str">
            <v>DICIEMBRE</v>
          </cell>
          <cell r="D2336" t="str">
            <v>2016</v>
          </cell>
          <cell r="E2336">
            <v>527</v>
          </cell>
          <cell r="F2336" t="str">
            <v>X2W-765</v>
          </cell>
          <cell r="G2336" t="str">
            <v>C5V-993</v>
          </cell>
          <cell r="H2336" t="str">
            <v>LAS BAMBAS</v>
          </cell>
          <cell r="I2336">
            <v>157711</v>
          </cell>
          <cell r="J2336" t="str">
            <v>REPUESTO</v>
          </cell>
          <cell r="K2336" t="str">
            <v>LLANTAS</v>
          </cell>
          <cell r="L2336">
            <v>8</v>
          </cell>
          <cell r="M2336" t="str">
            <v>UNID.</v>
          </cell>
          <cell r="N2336" t="str">
            <v>TRACTO</v>
          </cell>
          <cell r="O2336">
            <v>0</v>
          </cell>
          <cell r="P2336" t="str">
            <v>N2</v>
          </cell>
          <cell r="Q2336" t="str">
            <v>J2</v>
          </cell>
          <cell r="R2336" t="str">
            <v>J6</v>
          </cell>
          <cell r="S2336" t="str">
            <v>ENTREGADO</v>
          </cell>
          <cell r="T2336">
            <v>42711</v>
          </cell>
          <cell r="U2336" t="str">
            <v>MAMANI LARICO  EDUARDO ALVARO</v>
          </cell>
          <cell r="V2336" t="str">
            <v>CORIHUAMAN SURCO  ERICK ROBERT</v>
          </cell>
        </row>
        <row r="2337">
          <cell r="A2337">
            <v>2285</v>
          </cell>
          <cell r="B2337">
            <v>42711</v>
          </cell>
          <cell r="C2337" t="str">
            <v>DICIEMBRE</v>
          </cell>
          <cell r="D2337" t="str">
            <v>2016</v>
          </cell>
          <cell r="E2337">
            <v>526</v>
          </cell>
          <cell r="F2337" t="str">
            <v>X2W-788</v>
          </cell>
          <cell r="G2337" t="str">
            <v>C5V-994</v>
          </cell>
          <cell r="H2337" t="str">
            <v>LAS BAMBAS</v>
          </cell>
          <cell r="I2337">
            <v>140363</v>
          </cell>
          <cell r="J2337" t="str">
            <v>REPUESTO</v>
          </cell>
          <cell r="K2337" t="str">
            <v>LIQUIDO LIMPIAPARABRISAS</v>
          </cell>
          <cell r="L2337">
            <v>1</v>
          </cell>
          <cell r="M2337" t="str">
            <v>GLNS.</v>
          </cell>
          <cell r="N2337" t="str">
            <v>TRACTO</v>
          </cell>
          <cell r="O2337">
            <v>0</v>
          </cell>
          <cell r="P2337" t="str">
            <v>M1</v>
          </cell>
          <cell r="Q2337" t="str">
            <v>J2</v>
          </cell>
          <cell r="R2337" t="str">
            <v>J6</v>
          </cell>
          <cell r="S2337" t="str">
            <v>ENTREGADO</v>
          </cell>
          <cell r="T2337">
            <v>42711</v>
          </cell>
          <cell r="U2337" t="str">
            <v>CABEZAS SANCHEZ JEAN JHONATAN</v>
          </cell>
          <cell r="V2337" t="str">
            <v>CORIHUAMAN SURCO  ERICK ROBERT</v>
          </cell>
        </row>
        <row r="2338">
          <cell r="A2338">
            <v>2325</v>
          </cell>
          <cell r="B2338">
            <v>42712</v>
          </cell>
          <cell r="C2338" t="str">
            <v>DICIEMBRE</v>
          </cell>
          <cell r="D2338" t="str">
            <v>2016</v>
          </cell>
          <cell r="E2338">
            <v>539</v>
          </cell>
          <cell r="F2338" t="str">
            <v>ABP-729</v>
          </cell>
          <cell r="G2338" t="str">
            <v>D8K-985</v>
          </cell>
          <cell r="H2338" t="str">
            <v>LAS BAMBAS</v>
          </cell>
          <cell r="I2338">
            <v>110077</v>
          </cell>
          <cell r="J2338" t="str">
            <v>MATERIALES</v>
          </cell>
          <cell r="K2338" t="str">
            <v>LLANTAS  11R22.5 REENCAUCHADAS CARRETA</v>
          </cell>
          <cell r="L2338">
            <v>4</v>
          </cell>
          <cell r="M2338" t="str">
            <v>UNID.</v>
          </cell>
          <cell r="N2338" t="str">
            <v>CISTERNA</v>
          </cell>
          <cell r="O2338">
            <v>0</v>
          </cell>
          <cell r="P2338" t="str">
            <v>M3</v>
          </cell>
          <cell r="Q2338" t="str">
            <v>J2</v>
          </cell>
          <cell r="R2338" t="str">
            <v>J2</v>
          </cell>
          <cell r="S2338" t="str">
            <v>ENTREGADO</v>
          </cell>
          <cell r="T2338">
            <v>42712</v>
          </cell>
          <cell r="U2338" t="str">
            <v>GARCIA PASQUEL  JOSE LUIS</v>
          </cell>
          <cell r="V2338" t="str">
            <v>CORIHUAMAN SURCO  ERICK ROBERT</v>
          </cell>
        </row>
        <row r="2339">
          <cell r="A2339">
            <v>2339</v>
          </cell>
          <cell r="B2339">
            <v>42712</v>
          </cell>
          <cell r="C2339" t="str">
            <v>DICIEMBRE</v>
          </cell>
          <cell r="D2339" t="str">
            <v>2016</v>
          </cell>
          <cell r="E2339">
            <v>524</v>
          </cell>
          <cell r="F2339" t="str">
            <v>ABR-759</v>
          </cell>
          <cell r="G2339" t="str">
            <v>D0Z-995</v>
          </cell>
          <cell r="H2339" t="str">
            <v>LAS BAMBAS</v>
          </cell>
          <cell r="I2339">
            <v>111741</v>
          </cell>
          <cell r="J2339" t="str">
            <v>REPUESTO</v>
          </cell>
          <cell r="K2339" t="str">
            <v>CONOS 3/8</v>
          </cell>
          <cell r="L2339">
            <v>4</v>
          </cell>
          <cell r="M2339" t="str">
            <v>UNID.</v>
          </cell>
          <cell r="N2339" t="str">
            <v>CISTERNA</v>
          </cell>
          <cell r="O2339">
            <v>0</v>
          </cell>
          <cell r="P2339" t="str">
            <v>M8</v>
          </cell>
          <cell r="Q2339" t="str">
            <v>J2</v>
          </cell>
          <cell r="R2339" t="str">
            <v>J2</v>
          </cell>
          <cell r="S2339" t="str">
            <v>ENTREGADO</v>
          </cell>
          <cell r="T2339">
            <v>42712</v>
          </cell>
          <cell r="U2339" t="str">
            <v>VARILLAS GAGO  OSCAR ALBERTO</v>
          </cell>
          <cell r="V2339" t="str">
            <v>CORIHUAMAN SURCO  ERICK ROBERT</v>
          </cell>
        </row>
        <row r="2340">
          <cell r="A2340">
            <v>2340</v>
          </cell>
          <cell r="B2340">
            <v>42712</v>
          </cell>
          <cell r="C2340" t="str">
            <v>DICIEMBRE</v>
          </cell>
          <cell r="D2340" t="str">
            <v>2016</v>
          </cell>
          <cell r="E2340">
            <v>524</v>
          </cell>
          <cell r="F2340" t="str">
            <v>ABR-759</v>
          </cell>
          <cell r="G2340" t="str">
            <v>D0Z-995</v>
          </cell>
          <cell r="H2340" t="str">
            <v>LAS BAMBAS</v>
          </cell>
          <cell r="I2340">
            <v>111741</v>
          </cell>
          <cell r="J2340" t="str">
            <v>REPUESTO</v>
          </cell>
          <cell r="K2340" t="str">
            <v>GUIAS 3/8</v>
          </cell>
          <cell r="L2340">
            <v>4</v>
          </cell>
          <cell r="M2340" t="str">
            <v>UNID.</v>
          </cell>
          <cell r="N2340" t="str">
            <v>CISTERNA</v>
          </cell>
          <cell r="O2340">
            <v>0</v>
          </cell>
          <cell r="P2340" t="str">
            <v>M8</v>
          </cell>
          <cell r="Q2340" t="str">
            <v>J2</v>
          </cell>
          <cell r="R2340" t="str">
            <v>J2</v>
          </cell>
          <cell r="S2340" t="str">
            <v>ENTREGADO</v>
          </cell>
          <cell r="T2340">
            <v>42712</v>
          </cell>
          <cell r="U2340" t="str">
            <v>VARILLAS GAGO  OSCAR ALBERTO</v>
          </cell>
          <cell r="V2340" t="str">
            <v>CORIHUAMAN SURCO  ERICK ROBERT</v>
          </cell>
        </row>
        <row r="2341">
          <cell r="A2341">
            <v>2341</v>
          </cell>
          <cell r="B2341">
            <v>42712</v>
          </cell>
          <cell r="C2341" t="str">
            <v>DICIEMBRE</v>
          </cell>
          <cell r="D2341" t="str">
            <v>2016</v>
          </cell>
          <cell r="E2341">
            <v>524</v>
          </cell>
          <cell r="F2341" t="str">
            <v>ABR-759</v>
          </cell>
          <cell r="G2341" t="str">
            <v>D0Z-995</v>
          </cell>
          <cell r="H2341" t="str">
            <v>LAS BAMBAS</v>
          </cell>
          <cell r="I2341">
            <v>111741</v>
          </cell>
          <cell r="J2341" t="str">
            <v>REPUESTO</v>
          </cell>
          <cell r="K2341" t="str">
            <v>TUERCAS 3/8</v>
          </cell>
          <cell r="L2341">
            <v>4</v>
          </cell>
          <cell r="M2341" t="str">
            <v>UNID.</v>
          </cell>
          <cell r="N2341" t="str">
            <v>CISTERNA</v>
          </cell>
          <cell r="O2341">
            <v>0</v>
          </cell>
          <cell r="P2341" t="str">
            <v>M8</v>
          </cell>
          <cell r="Q2341" t="str">
            <v>J2</v>
          </cell>
          <cell r="R2341" t="str">
            <v>J2</v>
          </cell>
          <cell r="S2341" t="str">
            <v>ENTREGADO</v>
          </cell>
          <cell r="T2341">
            <v>42712</v>
          </cell>
          <cell r="U2341" t="str">
            <v>VARILLAS GAGO  OSCAR ALBERTO</v>
          </cell>
          <cell r="V2341" t="str">
            <v>CORIHUAMAN SURCO  ERICK ROBERT</v>
          </cell>
        </row>
        <row r="2342">
          <cell r="A2342">
            <v>2316</v>
          </cell>
          <cell r="B2342">
            <v>42712</v>
          </cell>
          <cell r="C2342" t="str">
            <v>DICIEMBRE</v>
          </cell>
          <cell r="D2342" t="str">
            <v>2016</v>
          </cell>
          <cell r="E2342">
            <v>513</v>
          </cell>
          <cell r="F2342" t="str">
            <v>AKW-731</v>
          </cell>
          <cell r="G2342" t="str">
            <v>TCR-989</v>
          </cell>
          <cell r="H2342" t="str">
            <v>LAS BAMBAS CONC.</v>
          </cell>
          <cell r="I2342">
            <v>24631</v>
          </cell>
          <cell r="J2342" t="str">
            <v>REPUESTO</v>
          </cell>
          <cell r="K2342" t="str">
            <v xml:space="preserve">FILTRO DE AIRE PRIMARIO </v>
          </cell>
          <cell r="L2342">
            <v>1</v>
          </cell>
          <cell r="M2342" t="str">
            <v>UNID.</v>
          </cell>
          <cell r="N2342" t="str">
            <v>TRACTO</v>
          </cell>
          <cell r="O2342">
            <v>0</v>
          </cell>
          <cell r="P2342" t="str">
            <v>M2</v>
          </cell>
          <cell r="Q2342" t="str">
            <v>J2</v>
          </cell>
          <cell r="R2342" t="str">
            <v>J2</v>
          </cell>
          <cell r="S2342" t="str">
            <v>ENTREGADO</v>
          </cell>
          <cell r="T2342">
            <v>42712</v>
          </cell>
          <cell r="U2342" t="str">
            <v>CHUMPITAZ GAGO JULIO ENRIQUE</v>
          </cell>
          <cell r="V2342" t="str">
            <v>CORIHUAMAN SURCO  ERICK ROBERT</v>
          </cell>
        </row>
        <row r="2343">
          <cell r="A2343">
            <v>2317</v>
          </cell>
          <cell r="B2343">
            <v>42712</v>
          </cell>
          <cell r="C2343" t="str">
            <v>DICIEMBRE</v>
          </cell>
          <cell r="D2343" t="str">
            <v>2016</v>
          </cell>
          <cell r="E2343">
            <v>513</v>
          </cell>
          <cell r="F2343" t="str">
            <v>AKW-731</v>
          </cell>
          <cell r="G2343" t="str">
            <v>TCR-989</v>
          </cell>
          <cell r="H2343" t="str">
            <v>LAS BAMBAS CONC.</v>
          </cell>
          <cell r="I2343">
            <v>24631</v>
          </cell>
          <cell r="J2343" t="str">
            <v>REPUESTO</v>
          </cell>
          <cell r="K2343" t="str">
            <v>FILTRO DE AIRE SECUNDARIO</v>
          </cell>
          <cell r="L2343">
            <v>1</v>
          </cell>
          <cell r="M2343" t="str">
            <v>UNID.</v>
          </cell>
          <cell r="N2343" t="str">
            <v>TRACTO</v>
          </cell>
          <cell r="O2343">
            <v>0</v>
          </cell>
          <cell r="P2343" t="str">
            <v>M2</v>
          </cell>
          <cell r="Q2343" t="str">
            <v>J2</v>
          </cell>
          <cell r="R2343" t="str">
            <v>J2</v>
          </cell>
          <cell r="S2343" t="str">
            <v>ENTREGADO</v>
          </cell>
          <cell r="T2343">
            <v>42712</v>
          </cell>
          <cell r="U2343" t="str">
            <v>CHUMPITAZ GAGO JULIO ENRIQUE</v>
          </cell>
          <cell r="V2343" t="str">
            <v>CORIHUAMAN SURCO  ERICK ROBERT</v>
          </cell>
        </row>
        <row r="2344">
          <cell r="A2344">
            <v>2336</v>
          </cell>
          <cell r="B2344">
            <v>42712</v>
          </cell>
          <cell r="C2344" t="str">
            <v>DICIEMBRE</v>
          </cell>
          <cell r="D2344" t="str">
            <v>2016</v>
          </cell>
          <cell r="E2344">
            <v>519</v>
          </cell>
          <cell r="F2344" t="str">
            <v>B2M-948</v>
          </cell>
          <cell r="G2344" t="str">
            <v>CAMION</v>
          </cell>
          <cell r="H2344" t="str">
            <v>TAMBOMAYO</v>
          </cell>
          <cell r="I2344">
            <v>114099</v>
          </cell>
          <cell r="J2344" t="str">
            <v>REPUESTO</v>
          </cell>
          <cell r="K2344" t="str">
            <v>PERNO MANHOL</v>
          </cell>
          <cell r="L2344">
            <v>2</v>
          </cell>
          <cell r="M2344" t="str">
            <v>UNID.</v>
          </cell>
          <cell r="N2344" t="str">
            <v>CAMION</v>
          </cell>
          <cell r="O2344">
            <v>0</v>
          </cell>
          <cell r="P2344" t="str">
            <v>S2</v>
          </cell>
          <cell r="Q2344" t="str">
            <v>J2</v>
          </cell>
          <cell r="R2344" t="str">
            <v>J2</v>
          </cell>
          <cell r="S2344" t="str">
            <v>ENTREGADO</v>
          </cell>
          <cell r="T2344">
            <v>42712</v>
          </cell>
          <cell r="U2344" t="str">
            <v>PALOMINO ESTRADA  MICHEL</v>
          </cell>
          <cell r="V2344" t="str">
            <v>CORIHUAMAN SURCO  ERICK ROBERT</v>
          </cell>
        </row>
        <row r="2345">
          <cell r="A2345">
            <v>2337</v>
          </cell>
          <cell r="B2345">
            <v>42712</v>
          </cell>
          <cell r="C2345" t="str">
            <v>DICIEMBRE</v>
          </cell>
          <cell r="D2345" t="str">
            <v>2016</v>
          </cell>
          <cell r="E2345">
            <v>519</v>
          </cell>
          <cell r="F2345" t="str">
            <v>B2M-948</v>
          </cell>
          <cell r="G2345" t="str">
            <v>CAMION</v>
          </cell>
          <cell r="H2345" t="str">
            <v>TAMBOMAYO</v>
          </cell>
          <cell r="I2345">
            <v>114099</v>
          </cell>
          <cell r="J2345" t="str">
            <v>REPUESTO</v>
          </cell>
          <cell r="K2345" t="str">
            <v>TUERCAS 3/8</v>
          </cell>
          <cell r="L2345">
            <v>4</v>
          </cell>
          <cell r="M2345" t="str">
            <v>UNID.</v>
          </cell>
          <cell r="N2345" t="str">
            <v>CAMION</v>
          </cell>
          <cell r="O2345">
            <v>0</v>
          </cell>
          <cell r="P2345" t="str">
            <v>S2</v>
          </cell>
          <cell r="Q2345" t="str">
            <v>J2</v>
          </cell>
          <cell r="R2345" t="str">
            <v>J2</v>
          </cell>
          <cell r="S2345" t="str">
            <v>ENTREGADO</v>
          </cell>
          <cell r="T2345">
            <v>42712</v>
          </cell>
          <cell r="U2345" t="str">
            <v>PALOMINO ESTRADA  MICHEL</v>
          </cell>
          <cell r="V2345" t="str">
            <v>CORIHUAMAN SURCO  ERICK ROBERT</v>
          </cell>
        </row>
        <row r="2346">
          <cell r="A2346">
            <v>2321</v>
          </cell>
          <cell r="B2346">
            <v>42712</v>
          </cell>
          <cell r="C2346" t="str">
            <v>DICIEMBRE</v>
          </cell>
          <cell r="D2346" t="str">
            <v>2016</v>
          </cell>
          <cell r="E2346">
            <v>463</v>
          </cell>
          <cell r="F2346" t="str">
            <v>D3O-745</v>
          </cell>
          <cell r="G2346" t="str">
            <v>F3L-979</v>
          </cell>
          <cell r="H2346" t="str">
            <v>LAS BAMBAS</v>
          </cell>
          <cell r="I2346">
            <v>157942</v>
          </cell>
          <cell r="J2346" t="str">
            <v>MATERIALES</v>
          </cell>
          <cell r="K2346" t="str">
            <v>SUPERCITO 1/8</v>
          </cell>
          <cell r="L2346">
            <v>2</v>
          </cell>
          <cell r="M2346" t="str">
            <v>KG.</v>
          </cell>
          <cell r="N2346" t="str">
            <v>CISTERNA</v>
          </cell>
          <cell r="O2346">
            <v>0</v>
          </cell>
          <cell r="P2346" t="str">
            <v>S2</v>
          </cell>
          <cell r="Q2346" t="str">
            <v>J2</v>
          </cell>
          <cell r="R2346" t="str">
            <v>J2</v>
          </cell>
          <cell r="S2346" t="str">
            <v>ENTREGADO</v>
          </cell>
          <cell r="T2346">
            <v>42712</v>
          </cell>
          <cell r="U2346" t="str">
            <v>PALOMINO ESTRADA  MICHEL</v>
          </cell>
          <cell r="V2346" t="str">
            <v>CORIHUAMAN SURCO  ERICK ROBERT</v>
          </cell>
        </row>
        <row r="2347">
          <cell r="A2347">
            <v>2324</v>
          </cell>
          <cell r="B2347">
            <v>42712</v>
          </cell>
          <cell r="C2347" t="str">
            <v>DICIEMBRE</v>
          </cell>
          <cell r="D2347" t="str">
            <v>2016</v>
          </cell>
          <cell r="E2347">
            <v>549</v>
          </cell>
          <cell r="F2347" t="str">
            <v>D7N-755</v>
          </cell>
          <cell r="G2347" t="str">
            <v>F7L-983</v>
          </cell>
          <cell r="H2347" t="str">
            <v>LAS BAMBAS</v>
          </cell>
          <cell r="I2347">
            <v>50050</v>
          </cell>
          <cell r="J2347" t="str">
            <v>MATERIALES</v>
          </cell>
          <cell r="K2347" t="str">
            <v>LLANTAS  11R22.5 NUEVAS DIRECCIONALES</v>
          </cell>
          <cell r="L2347">
            <v>2</v>
          </cell>
          <cell r="M2347" t="str">
            <v>UNID.</v>
          </cell>
          <cell r="N2347" t="str">
            <v>TRACTO</v>
          </cell>
          <cell r="O2347">
            <v>0</v>
          </cell>
          <cell r="P2347" t="str">
            <v>M7</v>
          </cell>
          <cell r="Q2347" t="str">
            <v>J2</v>
          </cell>
          <cell r="R2347" t="str">
            <v>J2</v>
          </cell>
          <cell r="S2347" t="str">
            <v>ENTREGADO</v>
          </cell>
          <cell r="T2347">
            <v>42712</v>
          </cell>
          <cell r="U2347" t="str">
            <v>ROBLES ROJAS  JOSE MIGUEL</v>
          </cell>
          <cell r="V2347" t="str">
            <v>CORIHUAMAN SURCO  ERICK ROBERT</v>
          </cell>
        </row>
        <row r="2348">
          <cell r="A2348">
            <v>2319</v>
          </cell>
          <cell r="B2348">
            <v>42712</v>
          </cell>
          <cell r="C2348" t="str">
            <v>DICIEMBRE</v>
          </cell>
          <cell r="D2348" t="str">
            <v>2016</v>
          </cell>
          <cell r="E2348">
            <v>200</v>
          </cell>
          <cell r="F2348" t="str">
            <v>TALLER</v>
          </cell>
          <cell r="G2348" t="str">
            <v>TALLER</v>
          </cell>
          <cell r="H2348" t="str">
            <v>TALLER</v>
          </cell>
          <cell r="I2348" t="str">
            <v>TALLER</v>
          </cell>
          <cell r="J2348" t="str">
            <v>MATERIALES</v>
          </cell>
          <cell r="K2348" t="str">
            <v>CHANFERCOR</v>
          </cell>
          <cell r="L2348">
            <v>20</v>
          </cell>
          <cell r="M2348" t="str">
            <v>KG.</v>
          </cell>
          <cell r="N2348" t="str">
            <v>TALLER</v>
          </cell>
          <cell r="O2348">
            <v>78</v>
          </cell>
          <cell r="P2348" t="str">
            <v>S2</v>
          </cell>
          <cell r="Q2348" t="str">
            <v>J2</v>
          </cell>
          <cell r="R2348" t="str">
            <v>J2</v>
          </cell>
          <cell r="S2348" t="str">
            <v>PENDIENTE</v>
          </cell>
          <cell r="T2348">
            <v>0</v>
          </cell>
          <cell r="U2348" t="str">
            <v>PALOMINO ESTRADA  MICHEL</v>
          </cell>
          <cell r="V2348" t="str">
            <v>CORIHUAMAN SURCO  ERICK ROBERT</v>
          </cell>
        </row>
        <row r="2349">
          <cell r="A2349">
            <v>2320</v>
          </cell>
          <cell r="B2349">
            <v>42712</v>
          </cell>
          <cell r="C2349" t="str">
            <v>DICIEMBRE</v>
          </cell>
          <cell r="D2349" t="str">
            <v>2016</v>
          </cell>
          <cell r="E2349">
            <v>200</v>
          </cell>
          <cell r="F2349" t="str">
            <v>TALLER</v>
          </cell>
          <cell r="G2349" t="str">
            <v>TALLER</v>
          </cell>
          <cell r="H2349" t="str">
            <v>TALLER</v>
          </cell>
          <cell r="I2349" t="str">
            <v>TALLER</v>
          </cell>
          <cell r="J2349" t="str">
            <v>MATERIALES</v>
          </cell>
          <cell r="K2349" t="str">
            <v>SITOFONTE</v>
          </cell>
          <cell r="L2349">
            <v>1</v>
          </cell>
          <cell r="M2349" t="str">
            <v>KG.</v>
          </cell>
          <cell r="N2349" t="str">
            <v>TALLER</v>
          </cell>
          <cell r="O2349">
            <v>0</v>
          </cell>
          <cell r="P2349" t="str">
            <v>S2</v>
          </cell>
          <cell r="Q2349" t="str">
            <v>J2</v>
          </cell>
          <cell r="R2349" t="str">
            <v>J2</v>
          </cell>
          <cell r="S2349" t="str">
            <v>ENTREGADO</v>
          </cell>
          <cell r="T2349">
            <v>42712</v>
          </cell>
          <cell r="U2349" t="str">
            <v>PALOMINO ESTRADA  MICHEL</v>
          </cell>
          <cell r="V2349" t="str">
            <v>CORIHUAMAN SURCO  ERICK ROBERT</v>
          </cell>
        </row>
        <row r="2350">
          <cell r="A2350">
            <v>2322</v>
          </cell>
          <cell r="B2350">
            <v>42712</v>
          </cell>
          <cell r="C2350" t="str">
            <v>DICIEMBRE</v>
          </cell>
          <cell r="D2350" t="str">
            <v>2016</v>
          </cell>
          <cell r="E2350">
            <v>200</v>
          </cell>
          <cell r="F2350" t="str">
            <v>TALLER</v>
          </cell>
          <cell r="G2350" t="str">
            <v>TALLER</v>
          </cell>
          <cell r="H2350" t="str">
            <v>TALLER</v>
          </cell>
          <cell r="I2350" t="str">
            <v>TALLER</v>
          </cell>
          <cell r="J2350" t="str">
            <v>INSUMO TALLER</v>
          </cell>
          <cell r="K2350" t="str">
            <v>OXIGENO  10m3</v>
          </cell>
          <cell r="L2350">
            <v>2</v>
          </cell>
          <cell r="M2350" t="str">
            <v>UNID.</v>
          </cell>
          <cell r="N2350" t="str">
            <v>TALLER</v>
          </cell>
          <cell r="O2350">
            <v>0</v>
          </cell>
          <cell r="P2350" t="str">
            <v>S2</v>
          </cell>
          <cell r="Q2350" t="str">
            <v>J2</v>
          </cell>
          <cell r="R2350" t="str">
            <v>J2</v>
          </cell>
          <cell r="S2350" t="str">
            <v>ENTREGADO</v>
          </cell>
          <cell r="T2350">
            <v>42712</v>
          </cell>
          <cell r="U2350" t="str">
            <v>PALOMINO ESTRADA  MICHEL</v>
          </cell>
          <cell r="V2350" t="str">
            <v>CORIHUAMAN SURCO  ERICK ROBERT</v>
          </cell>
        </row>
        <row r="2351">
          <cell r="A2351">
            <v>2338</v>
          </cell>
          <cell r="B2351">
            <v>42712</v>
          </cell>
          <cell r="C2351" t="str">
            <v>DICIEMBRE</v>
          </cell>
          <cell r="D2351" t="str">
            <v>2016</v>
          </cell>
          <cell r="E2351">
            <v>200</v>
          </cell>
          <cell r="F2351" t="str">
            <v>TALLER</v>
          </cell>
          <cell r="G2351" t="str">
            <v>TALLER</v>
          </cell>
          <cell r="H2351" t="str">
            <v>TALLER</v>
          </cell>
          <cell r="I2351" t="str">
            <v>TALLER</v>
          </cell>
          <cell r="J2351" t="str">
            <v>MATERIALES</v>
          </cell>
          <cell r="K2351" t="str">
            <v>SPARY PLOMO</v>
          </cell>
          <cell r="L2351">
            <v>1</v>
          </cell>
          <cell r="M2351" t="str">
            <v>UNID.</v>
          </cell>
          <cell r="N2351" t="str">
            <v>CISTERNA</v>
          </cell>
          <cell r="O2351">
            <v>0</v>
          </cell>
          <cell r="P2351" t="str">
            <v>M3</v>
          </cell>
          <cell r="Q2351" t="str">
            <v>J2</v>
          </cell>
          <cell r="R2351" t="str">
            <v>J2</v>
          </cell>
          <cell r="S2351" t="str">
            <v>ENTREGADO</v>
          </cell>
          <cell r="T2351">
            <v>42712</v>
          </cell>
          <cell r="U2351" t="str">
            <v>GARCIA PASQUEL  JOSE LUIS</v>
          </cell>
          <cell r="V2351" t="str">
            <v>CORIHUAMAN SURCO  ERICK ROBERT</v>
          </cell>
        </row>
        <row r="2352">
          <cell r="A2352">
            <v>2318</v>
          </cell>
          <cell r="B2352">
            <v>42712</v>
          </cell>
          <cell r="C2352" t="str">
            <v>DICIEMBRE</v>
          </cell>
          <cell r="D2352" t="str">
            <v>2016</v>
          </cell>
          <cell r="E2352">
            <v>545</v>
          </cell>
          <cell r="F2352" t="str">
            <v>X2W-762</v>
          </cell>
          <cell r="G2352" t="str">
            <v>C5V-998</v>
          </cell>
          <cell r="H2352" t="str">
            <v>LAS BAMBAS</v>
          </cell>
          <cell r="I2352">
            <v>15774</v>
          </cell>
          <cell r="J2352" t="str">
            <v>REPUESTO</v>
          </cell>
          <cell r="K2352" t="str">
            <v>CARCAS DE TABLERO</v>
          </cell>
          <cell r="L2352">
            <v>1</v>
          </cell>
          <cell r="M2352" t="str">
            <v>UNID.</v>
          </cell>
          <cell r="N2352" t="str">
            <v>TRACTO</v>
          </cell>
          <cell r="O2352">
            <v>0</v>
          </cell>
          <cell r="P2352" t="str">
            <v>E1</v>
          </cell>
          <cell r="Q2352" t="str">
            <v>J2</v>
          </cell>
          <cell r="R2352" t="str">
            <v>J2</v>
          </cell>
          <cell r="S2352" t="str">
            <v>ENTREGADO</v>
          </cell>
          <cell r="T2352">
            <v>42712</v>
          </cell>
          <cell r="U2352" t="str">
            <v>PALOMINO CARDENAS JUAN CARLOS</v>
          </cell>
          <cell r="V2352" t="str">
            <v>CORIHUAMAN SURCO  ERICK ROBERT</v>
          </cell>
        </row>
        <row r="2353">
          <cell r="A2353">
            <v>2326</v>
          </cell>
          <cell r="B2353">
            <v>42712</v>
          </cell>
          <cell r="C2353" t="str">
            <v>DICIEMBRE</v>
          </cell>
          <cell r="D2353" t="str">
            <v>2016</v>
          </cell>
          <cell r="E2353">
            <v>545</v>
          </cell>
          <cell r="F2353" t="str">
            <v>X2W-762</v>
          </cell>
          <cell r="G2353" t="str">
            <v>C5V-998</v>
          </cell>
          <cell r="H2353" t="str">
            <v>LAS BAMBAS</v>
          </cell>
          <cell r="I2353">
            <v>15774</v>
          </cell>
          <cell r="J2353" t="str">
            <v>REPUESTO</v>
          </cell>
          <cell r="K2353" t="str">
            <v>SOPORTE DE CABINA</v>
          </cell>
          <cell r="L2353">
            <v>1</v>
          </cell>
          <cell r="M2353" t="str">
            <v>UNID.</v>
          </cell>
          <cell r="N2353" t="str">
            <v>TRACTO</v>
          </cell>
          <cell r="O2353">
            <v>0</v>
          </cell>
          <cell r="P2353" t="str">
            <v>M7</v>
          </cell>
          <cell r="Q2353" t="str">
            <v>J2</v>
          </cell>
          <cell r="R2353" t="str">
            <v>J2</v>
          </cell>
          <cell r="S2353" t="str">
            <v>ENTREGADO</v>
          </cell>
          <cell r="T2353">
            <v>42712</v>
          </cell>
          <cell r="U2353" t="str">
            <v>ROBLES ROJAS  JOSE MIGUEL</v>
          </cell>
          <cell r="V2353" t="str">
            <v>CORIHUAMAN SURCO  ERICK ROBERT</v>
          </cell>
        </row>
        <row r="2354">
          <cell r="A2354">
            <v>2327</v>
          </cell>
          <cell r="B2354">
            <v>42712</v>
          </cell>
          <cell r="C2354" t="str">
            <v>DICIEMBRE</v>
          </cell>
          <cell r="D2354" t="str">
            <v>2016</v>
          </cell>
          <cell r="E2354">
            <v>545</v>
          </cell>
          <cell r="F2354" t="str">
            <v>X2W-762</v>
          </cell>
          <cell r="G2354" t="str">
            <v>C5V-998</v>
          </cell>
          <cell r="H2354" t="str">
            <v>LAS BAMBAS</v>
          </cell>
          <cell r="I2354">
            <v>15774</v>
          </cell>
          <cell r="J2354" t="str">
            <v>MATERIALES</v>
          </cell>
          <cell r="K2354" t="str">
            <v>PERNO DE 3/4 X 5</v>
          </cell>
          <cell r="L2354">
            <v>2</v>
          </cell>
          <cell r="M2354" t="str">
            <v>UNID.</v>
          </cell>
          <cell r="N2354" t="str">
            <v>CISTERNA</v>
          </cell>
          <cell r="O2354">
            <v>0</v>
          </cell>
          <cell r="P2354" t="str">
            <v>M7</v>
          </cell>
          <cell r="Q2354" t="str">
            <v>J2</v>
          </cell>
          <cell r="R2354" t="str">
            <v>J2</v>
          </cell>
          <cell r="S2354" t="str">
            <v>ENTREGADO</v>
          </cell>
          <cell r="T2354">
            <v>42712</v>
          </cell>
          <cell r="U2354" t="str">
            <v>ROBLES ROJAS  JOSE MIGUEL</v>
          </cell>
          <cell r="V2354" t="str">
            <v>CORIHUAMAN SURCO  ERICK ROBERT</v>
          </cell>
        </row>
        <row r="2355">
          <cell r="A2355">
            <v>2328</v>
          </cell>
          <cell r="B2355">
            <v>42712</v>
          </cell>
          <cell r="C2355" t="str">
            <v>DICIEMBRE</v>
          </cell>
          <cell r="D2355" t="str">
            <v>2016</v>
          </cell>
          <cell r="E2355">
            <v>545</v>
          </cell>
          <cell r="F2355" t="str">
            <v>X2W-762</v>
          </cell>
          <cell r="G2355" t="str">
            <v>C5V-998</v>
          </cell>
          <cell r="H2355" t="str">
            <v>LAS BAMBAS</v>
          </cell>
          <cell r="I2355">
            <v>15774</v>
          </cell>
          <cell r="J2355" t="str">
            <v>MATERIALES</v>
          </cell>
          <cell r="K2355" t="str">
            <v>TUERCA SEGURO DE 3/4</v>
          </cell>
          <cell r="L2355">
            <v>2</v>
          </cell>
          <cell r="M2355" t="str">
            <v>UNID.</v>
          </cell>
          <cell r="N2355" t="str">
            <v>CISTERNA</v>
          </cell>
          <cell r="O2355">
            <v>0</v>
          </cell>
          <cell r="P2355" t="str">
            <v>M7</v>
          </cell>
          <cell r="Q2355" t="str">
            <v>J2</v>
          </cell>
          <cell r="R2355" t="str">
            <v>J2</v>
          </cell>
          <cell r="S2355" t="str">
            <v>ENTREGADO</v>
          </cell>
          <cell r="T2355">
            <v>42712</v>
          </cell>
          <cell r="U2355" t="str">
            <v>ROBLES ROJAS  JOSE MIGUEL</v>
          </cell>
          <cell r="V2355" t="str">
            <v>CORIHUAMAN SURCO  ERICK ROBERT</v>
          </cell>
        </row>
        <row r="2356">
          <cell r="A2356">
            <v>2329</v>
          </cell>
          <cell r="B2356">
            <v>42712</v>
          </cell>
          <cell r="C2356" t="str">
            <v>DICIEMBRE</v>
          </cell>
          <cell r="D2356" t="str">
            <v>2016</v>
          </cell>
          <cell r="E2356">
            <v>545</v>
          </cell>
          <cell r="F2356" t="str">
            <v>X2W-762</v>
          </cell>
          <cell r="G2356" t="str">
            <v>C5V-998</v>
          </cell>
          <cell r="H2356" t="str">
            <v>LAS BAMBAS</v>
          </cell>
          <cell r="I2356">
            <v>15774</v>
          </cell>
          <cell r="J2356" t="str">
            <v>MATERIALES</v>
          </cell>
          <cell r="K2356" t="str">
            <v>VOLANDAS PLANAS DE 3/4</v>
          </cell>
          <cell r="L2356">
            <v>4</v>
          </cell>
          <cell r="M2356" t="str">
            <v>UNID.</v>
          </cell>
          <cell r="N2356" t="str">
            <v>CISTERNA</v>
          </cell>
          <cell r="O2356">
            <v>0</v>
          </cell>
          <cell r="P2356" t="str">
            <v>M7</v>
          </cell>
          <cell r="Q2356" t="str">
            <v>J2</v>
          </cell>
          <cell r="R2356" t="str">
            <v>J2</v>
          </cell>
          <cell r="S2356" t="str">
            <v>ENTREGADO</v>
          </cell>
          <cell r="T2356">
            <v>42712</v>
          </cell>
          <cell r="U2356" t="str">
            <v>ROBLES ROJAS  JOSE MIGUEL</v>
          </cell>
          <cell r="V2356" t="str">
            <v>CORIHUAMAN SURCO  ERICK ROBERT</v>
          </cell>
        </row>
        <row r="2357">
          <cell r="A2357">
            <v>2330</v>
          </cell>
          <cell r="B2357">
            <v>42712</v>
          </cell>
          <cell r="C2357" t="str">
            <v>DICIEMBRE</v>
          </cell>
          <cell r="D2357" t="str">
            <v>2016</v>
          </cell>
          <cell r="E2357">
            <v>545</v>
          </cell>
          <cell r="F2357" t="str">
            <v>X2W-762</v>
          </cell>
          <cell r="G2357" t="str">
            <v>C5V-998</v>
          </cell>
          <cell r="H2357" t="str">
            <v>LAS BAMBAS</v>
          </cell>
          <cell r="I2357">
            <v>15774</v>
          </cell>
          <cell r="J2357" t="str">
            <v>MATERIALES</v>
          </cell>
          <cell r="K2357" t="str">
            <v>PERNOS 1/2 X 4</v>
          </cell>
          <cell r="L2357">
            <v>2</v>
          </cell>
          <cell r="M2357" t="str">
            <v>UNID.</v>
          </cell>
          <cell r="N2357" t="str">
            <v>CISTERNA</v>
          </cell>
          <cell r="O2357">
            <v>0</v>
          </cell>
          <cell r="P2357" t="str">
            <v>M7</v>
          </cell>
          <cell r="Q2357" t="str">
            <v>J2</v>
          </cell>
          <cell r="R2357" t="str">
            <v>J2</v>
          </cell>
          <cell r="S2357" t="str">
            <v>ENTREGADO</v>
          </cell>
          <cell r="T2357">
            <v>42712</v>
          </cell>
          <cell r="U2357" t="str">
            <v>ROBLES ROJAS  JOSE MIGUEL</v>
          </cell>
          <cell r="V2357" t="str">
            <v>CORIHUAMAN SURCO  ERICK ROBERT</v>
          </cell>
        </row>
        <row r="2358">
          <cell r="A2358">
            <v>2331</v>
          </cell>
          <cell r="B2358">
            <v>42712</v>
          </cell>
          <cell r="C2358" t="str">
            <v>DICIEMBRE</v>
          </cell>
          <cell r="D2358" t="str">
            <v>2016</v>
          </cell>
          <cell r="E2358">
            <v>545</v>
          </cell>
          <cell r="F2358" t="str">
            <v>X2W-762</v>
          </cell>
          <cell r="G2358" t="str">
            <v>C5V-998</v>
          </cell>
          <cell r="H2358" t="str">
            <v>LAS BAMBAS</v>
          </cell>
          <cell r="I2358">
            <v>15774</v>
          </cell>
          <cell r="J2358" t="str">
            <v>MATERIALES</v>
          </cell>
          <cell r="K2358" t="str">
            <v>TUERCA SEGURO DE 3/4</v>
          </cell>
          <cell r="L2358">
            <v>2</v>
          </cell>
          <cell r="M2358" t="str">
            <v>UNID.</v>
          </cell>
          <cell r="N2358" t="str">
            <v>CISTERNA</v>
          </cell>
          <cell r="O2358">
            <v>0</v>
          </cell>
          <cell r="P2358" t="str">
            <v>M7</v>
          </cell>
          <cell r="Q2358" t="str">
            <v>J2</v>
          </cell>
          <cell r="R2358" t="str">
            <v>J2</v>
          </cell>
          <cell r="S2358" t="str">
            <v>ENTREGADO</v>
          </cell>
          <cell r="T2358">
            <v>42712</v>
          </cell>
          <cell r="U2358" t="str">
            <v>ROBLES ROJAS  JOSE MIGUEL</v>
          </cell>
          <cell r="V2358" t="str">
            <v>CORIHUAMAN SURCO  ERICK ROBERT</v>
          </cell>
        </row>
        <row r="2359">
          <cell r="A2359">
            <v>2332</v>
          </cell>
          <cell r="B2359">
            <v>42712</v>
          </cell>
          <cell r="C2359" t="str">
            <v>DICIEMBRE</v>
          </cell>
          <cell r="D2359" t="str">
            <v>2016</v>
          </cell>
          <cell r="E2359">
            <v>545</v>
          </cell>
          <cell r="F2359" t="str">
            <v>X2W-762</v>
          </cell>
          <cell r="G2359" t="str">
            <v>C5V-998</v>
          </cell>
          <cell r="H2359" t="str">
            <v>LAS BAMBAS</v>
          </cell>
          <cell r="I2359">
            <v>15774</v>
          </cell>
          <cell r="J2359" t="str">
            <v>MATERIALES</v>
          </cell>
          <cell r="K2359" t="str">
            <v>PERNO 5/16 X 1 1/2</v>
          </cell>
          <cell r="L2359">
            <v>4</v>
          </cell>
          <cell r="M2359" t="str">
            <v>UNID.</v>
          </cell>
          <cell r="N2359" t="str">
            <v>TRACTO</v>
          </cell>
          <cell r="O2359">
            <v>0</v>
          </cell>
          <cell r="P2359" t="str">
            <v>M7</v>
          </cell>
          <cell r="Q2359" t="str">
            <v>J2</v>
          </cell>
          <cell r="R2359" t="str">
            <v>J2</v>
          </cell>
          <cell r="S2359" t="str">
            <v>ENTREGADO</v>
          </cell>
          <cell r="T2359">
            <v>42712</v>
          </cell>
          <cell r="U2359" t="str">
            <v>ROBLES ROJAS  JOSE MIGUEL</v>
          </cell>
          <cell r="V2359" t="str">
            <v>CORIHUAMAN SURCO  ERICK ROBERT</v>
          </cell>
        </row>
        <row r="2360">
          <cell r="A2360">
            <v>2333</v>
          </cell>
          <cell r="B2360">
            <v>42712</v>
          </cell>
          <cell r="C2360" t="str">
            <v>DICIEMBRE</v>
          </cell>
          <cell r="D2360" t="str">
            <v>2016</v>
          </cell>
          <cell r="E2360">
            <v>545</v>
          </cell>
          <cell r="F2360" t="str">
            <v>X2W-762</v>
          </cell>
          <cell r="G2360" t="str">
            <v>C5V-998</v>
          </cell>
          <cell r="H2360" t="str">
            <v>LAS BAMBAS</v>
          </cell>
          <cell r="I2360">
            <v>15774</v>
          </cell>
          <cell r="J2360" t="str">
            <v>MATERIALES</v>
          </cell>
          <cell r="K2360" t="str">
            <v>PERNO 5/16 X 1</v>
          </cell>
          <cell r="L2360">
            <v>2</v>
          </cell>
          <cell r="M2360" t="str">
            <v>UNID.</v>
          </cell>
          <cell r="N2360" t="str">
            <v>TRACTO</v>
          </cell>
          <cell r="O2360">
            <v>0</v>
          </cell>
          <cell r="P2360" t="str">
            <v>M7</v>
          </cell>
          <cell r="Q2360" t="str">
            <v>J2</v>
          </cell>
          <cell r="R2360" t="str">
            <v>J2</v>
          </cell>
          <cell r="S2360" t="str">
            <v>ENTREGADO</v>
          </cell>
          <cell r="T2360">
            <v>42712</v>
          </cell>
          <cell r="U2360" t="str">
            <v>ROBLES ROJAS  JOSE MIGUEL</v>
          </cell>
          <cell r="V2360" t="str">
            <v>CORIHUAMAN SURCO  ERICK ROBERT</v>
          </cell>
        </row>
        <row r="2361">
          <cell r="A2361">
            <v>2334</v>
          </cell>
          <cell r="B2361">
            <v>42712</v>
          </cell>
          <cell r="C2361" t="str">
            <v>DICIEMBRE</v>
          </cell>
          <cell r="D2361" t="str">
            <v>2016</v>
          </cell>
          <cell r="E2361">
            <v>545</v>
          </cell>
          <cell r="F2361" t="str">
            <v>X2W-762</v>
          </cell>
          <cell r="G2361" t="str">
            <v>C5V-998</v>
          </cell>
          <cell r="H2361" t="str">
            <v>LAS BAMBAS</v>
          </cell>
          <cell r="I2361">
            <v>15774</v>
          </cell>
          <cell r="J2361" t="str">
            <v>MATERIALES</v>
          </cell>
          <cell r="K2361" t="str">
            <v>TUERCA SEGURO DE 1/2</v>
          </cell>
          <cell r="L2361">
            <v>6</v>
          </cell>
          <cell r="M2361" t="str">
            <v>UNID.</v>
          </cell>
          <cell r="N2361" t="str">
            <v>TRACTO</v>
          </cell>
          <cell r="O2361">
            <v>0</v>
          </cell>
          <cell r="P2361" t="str">
            <v>M7</v>
          </cell>
          <cell r="Q2361" t="str">
            <v>J2</v>
          </cell>
          <cell r="R2361" t="str">
            <v>J2</v>
          </cell>
          <cell r="S2361" t="str">
            <v>ENTREGADO</v>
          </cell>
          <cell r="T2361">
            <v>42712</v>
          </cell>
          <cell r="U2361" t="str">
            <v>ROBLES ROJAS  JOSE MIGUEL</v>
          </cell>
          <cell r="V2361" t="str">
            <v>CORIHUAMAN SURCO  ERICK ROBERT</v>
          </cell>
        </row>
        <row r="2362">
          <cell r="A2362">
            <v>2335</v>
          </cell>
          <cell r="B2362">
            <v>42712</v>
          </cell>
          <cell r="C2362" t="str">
            <v>DICIEMBRE</v>
          </cell>
          <cell r="D2362" t="str">
            <v>2016</v>
          </cell>
          <cell r="E2362">
            <v>545</v>
          </cell>
          <cell r="F2362" t="str">
            <v>X2W-762</v>
          </cell>
          <cell r="G2362" t="str">
            <v>C5V-998</v>
          </cell>
          <cell r="H2362" t="str">
            <v>LAS BAMBAS</v>
          </cell>
          <cell r="I2362">
            <v>15774</v>
          </cell>
          <cell r="J2362" t="str">
            <v>REPUESTO</v>
          </cell>
          <cell r="K2362" t="str">
            <v>SOLDIMIX</v>
          </cell>
          <cell r="L2362">
            <v>1</v>
          </cell>
          <cell r="M2362" t="str">
            <v>UNID.</v>
          </cell>
          <cell r="N2362" t="str">
            <v>TRACTO</v>
          </cell>
          <cell r="O2362">
            <v>0</v>
          </cell>
          <cell r="P2362" t="str">
            <v>S2</v>
          </cell>
          <cell r="Q2362" t="str">
            <v>J2</v>
          </cell>
          <cell r="R2362" t="str">
            <v>J2</v>
          </cell>
          <cell r="S2362" t="str">
            <v>ENTREGADO</v>
          </cell>
          <cell r="T2362">
            <v>42712</v>
          </cell>
          <cell r="U2362" t="str">
            <v>PALOMINO ESTRADA  MICHEL</v>
          </cell>
          <cell r="V2362" t="str">
            <v>CORIHUAMAN SURCO  ERICK ROBERT</v>
          </cell>
        </row>
        <row r="2363">
          <cell r="A2363">
            <v>2350</v>
          </cell>
          <cell r="B2363">
            <v>42713</v>
          </cell>
          <cell r="C2363" t="str">
            <v>DICIEMBRE</v>
          </cell>
          <cell r="D2363" t="str">
            <v>2016</v>
          </cell>
          <cell r="E2363">
            <v>538</v>
          </cell>
          <cell r="F2363" t="str">
            <v>A5O-859</v>
          </cell>
          <cell r="G2363" t="str">
            <v>B6Y-971</v>
          </cell>
          <cell r="H2363" t="str">
            <v>LAS BAMBAS</v>
          </cell>
          <cell r="I2363">
            <v>116556</v>
          </cell>
          <cell r="J2363" t="str">
            <v>REPUESTO</v>
          </cell>
          <cell r="K2363" t="str">
            <v>RETEN DE EJE SIN FIN DE CAJA DIRECCION</v>
          </cell>
          <cell r="L2363">
            <v>1</v>
          </cell>
          <cell r="M2363" t="str">
            <v>JUEGO</v>
          </cell>
          <cell r="N2363" t="str">
            <v>TRACTO</v>
          </cell>
          <cell r="O2363">
            <v>0</v>
          </cell>
          <cell r="P2363" t="str">
            <v>M8</v>
          </cell>
          <cell r="Q2363" t="str">
            <v>J2</v>
          </cell>
          <cell r="R2363" t="str">
            <v>J6</v>
          </cell>
          <cell r="S2363" t="str">
            <v>ENTREGADO</v>
          </cell>
          <cell r="T2363">
            <v>42713</v>
          </cell>
          <cell r="U2363" t="str">
            <v>VARILLAS GAGO  OSCAR ALBERTO</v>
          </cell>
          <cell r="V2363" t="str">
            <v>CORIHUAMAN SURCO  ERICK ROBERT</v>
          </cell>
        </row>
        <row r="2364">
          <cell r="A2364">
            <v>2351</v>
          </cell>
          <cell r="B2364">
            <v>42713</v>
          </cell>
          <cell r="C2364" t="str">
            <v>DICIEMBRE</v>
          </cell>
          <cell r="D2364" t="str">
            <v>2016</v>
          </cell>
          <cell r="E2364">
            <v>538</v>
          </cell>
          <cell r="F2364" t="str">
            <v>A5O-859</v>
          </cell>
          <cell r="G2364" t="str">
            <v>B6Y-971</v>
          </cell>
          <cell r="H2364" t="str">
            <v>LAS BAMBAS</v>
          </cell>
          <cell r="I2364">
            <v>116556</v>
          </cell>
          <cell r="J2364" t="str">
            <v>REPUESTO</v>
          </cell>
          <cell r="K2364" t="str">
            <v>MULTIPLE EN Y DE ESCAPE</v>
          </cell>
          <cell r="L2364">
            <v>1</v>
          </cell>
          <cell r="M2364" t="str">
            <v>UNID.</v>
          </cell>
          <cell r="N2364" t="str">
            <v>TRACTO</v>
          </cell>
          <cell r="O2364">
            <v>0</v>
          </cell>
          <cell r="P2364" t="str">
            <v>M8</v>
          </cell>
          <cell r="Q2364" t="str">
            <v>J2</v>
          </cell>
          <cell r="R2364" t="str">
            <v>J6</v>
          </cell>
          <cell r="S2364" t="str">
            <v>ENTREGADO</v>
          </cell>
          <cell r="T2364">
            <v>42713</v>
          </cell>
          <cell r="U2364" t="str">
            <v>VARILLAS GAGO  OSCAR ALBERTO</v>
          </cell>
          <cell r="V2364" t="str">
            <v>CORIHUAMAN SURCO  ERICK ROBERT</v>
          </cell>
        </row>
        <row r="2365">
          <cell r="A2365">
            <v>2352</v>
          </cell>
          <cell r="B2365">
            <v>42713</v>
          </cell>
          <cell r="C2365" t="str">
            <v>DICIEMBRE</v>
          </cell>
          <cell r="D2365" t="str">
            <v>2016</v>
          </cell>
          <cell r="E2365">
            <v>538</v>
          </cell>
          <cell r="F2365" t="str">
            <v>A5O-859</v>
          </cell>
          <cell r="G2365" t="str">
            <v>B6Y-971</v>
          </cell>
          <cell r="H2365" t="str">
            <v>LAS BAMBAS</v>
          </cell>
          <cell r="I2365">
            <v>116556</v>
          </cell>
          <cell r="J2365" t="str">
            <v>REPUESTO</v>
          </cell>
          <cell r="K2365" t="str">
            <v>JUEGO DE EMPAQUETADURAS DEL MULTIPLE DE ESCAPE</v>
          </cell>
          <cell r="L2365">
            <v>1</v>
          </cell>
          <cell r="M2365" t="str">
            <v>JUEGO</v>
          </cell>
          <cell r="N2365" t="str">
            <v>TRACTO</v>
          </cell>
          <cell r="O2365">
            <v>0</v>
          </cell>
          <cell r="P2365" t="str">
            <v>M8</v>
          </cell>
          <cell r="Q2365" t="str">
            <v>J2</v>
          </cell>
          <cell r="R2365" t="str">
            <v>J6</v>
          </cell>
          <cell r="S2365" t="str">
            <v>ENTREGADO</v>
          </cell>
          <cell r="T2365">
            <v>42713</v>
          </cell>
          <cell r="U2365" t="str">
            <v>VARILLAS GAGO  OSCAR ALBERTO</v>
          </cell>
          <cell r="V2365" t="str">
            <v>CORIHUAMAN SURCO  ERICK ROBERT</v>
          </cell>
        </row>
        <row r="2366">
          <cell r="A2366">
            <v>2353</v>
          </cell>
          <cell r="B2366">
            <v>42713</v>
          </cell>
          <cell r="C2366" t="str">
            <v>DICIEMBRE</v>
          </cell>
          <cell r="D2366" t="str">
            <v>2016</v>
          </cell>
          <cell r="E2366">
            <v>538</v>
          </cell>
          <cell r="F2366" t="str">
            <v>A5O-859</v>
          </cell>
          <cell r="G2366" t="str">
            <v>B6Y-971</v>
          </cell>
          <cell r="H2366" t="str">
            <v>LAS BAMBAS</v>
          </cell>
          <cell r="I2366">
            <v>116556</v>
          </cell>
          <cell r="J2366" t="str">
            <v>REPUESTO</v>
          </cell>
          <cell r="K2366" t="str">
            <v>EMPAQUE CUADRADO DE TURBO</v>
          </cell>
          <cell r="L2366">
            <v>1</v>
          </cell>
          <cell r="M2366" t="str">
            <v>UNID.</v>
          </cell>
          <cell r="N2366" t="str">
            <v>TRACTO</v>
          </cell>
          <cell r="O2366">
            <v>0</v>
          </cell>
          <cell r="P2366" t="str">
            <v>M8</v>
          </cell>
          <cell r="Q2366" t="str">
            <v>J2</v>
          </cell>
          <cell r="R2366" t="str">
            <v>J6</v>
          </cell>
          <cell r="S2366" t="str">
            <v>ENTREGADO</v>
          </cell>
          <cell r="T2366">
            <v>42713</v>
          </cell>
          <cell r="U2366" t="str">
            <v>VARILLAS GAGO  OSCAR ALBERTO</v>
          </cell>
          <cell r="V2366" t="str">
            <v>CORIHUAMAN SURCO  ERICK ROBERT</v>
          </cell>
        </row>
        <row r="2367">
          <cell r="A2367">
            <v>2354</v>
          </cell>
          <cell r="B2367">
            <v>42713</v>
          </cell>
          <cell r="C2367" t="str">
            <v>DICIEMBRE</v>
          </cell>
          <cell r="D2367" t="str">
            <v>2016</v>
          </cell>
          <cell r="E2367">
            <v>538</v>
          </cell>
          <cell r="F2367" t="str">
            <v>A5O-859</v>
          </cell>
          <cell r="G2367" t="str">
            <v>B6Y-971</v>
          </cell>
          <cell r="H2367" t="str">
            <v>LAS BAMBAS</v>
          </cell>
          <cell r="I2367">
            <v>116556</v>
          </cell>
          <cell r="J2367" t="str">
            <v>REPUESTO</v>
          </cell>
          <cell r="K2367" t="str">
            <v>EMPAQUETADURA DE RETORNO DE ACEITE DE TURBO</v>
          </cell>
          <cell r="L2367">
            <v>1</v>
          </cell>
          <cell r="M2367" t="str">
            <v>UNID.</v>
          </cell>
          <cell r="N2367" t="str">
            <v>TRACTO</v>
          </cell>
          <cell r="O2367">
            <v>0</v>
          </cell>
          <cell r="P2367" t="str">
            <v>M8</v>
          </cell>
          <cell r="Q2367" t="str">
            <v>J2</v>
          </cell>
          <cell r="R2367" t="str">
            <v>J6</v>
          </cell>
          <cell r="S2367" t="str">
            <v>ENTREGADO</v>
          </cell>
          <cell r="T2367">
            <v>42713</v>
          </cell>
          <cell r="U2367" t="str">
            <v>VARILLAS GAGO  OSCAR ALBERTO</v>
          </cell>
          <cell r="V2367" t="str">
            <v>CORIHUAMAN SURCO  ERICK ROBERT</v>
          </cell>
        </row>
        <row r="2368">
          <cell r="A2368">
            <v>2355</v>
          </cell>
          <cell r="B2368">
            <v>42713</v>
          </cell>
          <cell r="C2368" t="str">
            <v>DICIEMBRE</v>
          </cell>
          <cell r="D2368" t="str">
            <v>2016</v>
          </cell>
          <cell r="E2368">
            <v>538</v>
          </cell>
          <cell r="F2368" t="str">
            <v>A5O-859</v>
          </cell>
          <cell r="G2368" t="str">
            <v>B6Y-971</v>
          </cell>
          <cell r="H2368" t="str">
            <v>LAS BAMBAS</v>
          </cell>
          <cell r="I2368">
            <v>116556</v>
          </cell>
          <cell r="J2368" t="str">
            <v>REPUESTO</v>
          </cell>
          <cell r="K2368" t="str">
            <v>LIQUIDO LIMPIAPARABRISAS</v>
          </cell>
          <cell r="L2368">
            <v>1</v>
          </cell>
          <cell r="M2368" t="str">
            <v>GLNS.</v>
          </cell>
          <cell r="N2368" t="str">
            <v>TRACTO</v>
          </cell>
          <cell r="O2368">
            <v>0</v>
          </cell>
          <cell r="P2368" t="str">
            <v>M8</v>
          </cell>
          <cell r="Q2368" t="str">
            <v>J2</v>
          </cell>
          <cell r="R2368" t="str">
            <v>J6</v>
          </cell>
          <cell r="S2368" t="str">
            <v>ENTREGADO</v>
          </cell>
          <cell r="T2368">
            <v>42713</v>
          </cell>
          <cell r="U2368" t="str">
            <v>VARILLAS GAGO  OSCAR ALBERTO</v>
          </cell>
          <cell r="V2368" t="str">
            <v>CORIHUAMAN SURCO  ERICK ROBERT</v>
          </cell>
        </row>
        <row r="2369">
          <cell r="A2369">
            <v>2380</v>
          </cell>
          <cell r="B2369">
            <v>42713</v>
          </cell>
          <cell r="C2369" t="str">
            <v>DICIEMBRE</v>
          </cell>
          <cell r="D2369" t="str">
            <v>2016</v>
          </cell>
          <cell r="E2369">
            <v>538</v>
          </cell>
          <cell r="F2369" t="str">
            <v>A5O-859</v>
          </cell>
          <cell r="G2369" t="str">
            <v>B6Y-971</v>
          </cell>
          <cell r="H2369" t="str">
            <v>LAS BAMBAS</v>
          </cell>
          <cell r="I2369">
            <v>116556</v>
          </cell>
          <cell r="J2369" t="str">
            <v>REPUESTO</v>
          </cell>
          <cell r="K2369" t="str">
            <v>MANGUERA DE 5/8 X 2.4M</v>
          </cell>
          <cell r="L2369">
            <v>1</v>
          </cell>
          <cell r="M2369" t="str">
            <v>UNID.</v>
          </cell>
          <cell r="N2369" t="str">
            <v>TRACTO</v>
          </cell>
          <cell r="O2369">
            <v>0</v>
          </cell>
          <cell r="P2369" t="str">
            <v>M8</v>
          </cell>
          <cell r="Q2369" t="str">
            <v>J2</v>
          </cell>
          <cell r="R2369" t="str">
            <v>J6</v>
          </cell>
          <cell r="S2369" t="str">
            <v>ENTREGADO</v>
          </cell>
          <cell r="T2369">
            <v>42713</v>
          </cell>
          <cell r="U2369" t="str">
            <v>VARILLAS GAGO  OSCAR ALBERTO</v>
          </cell>
          <cell r="V2369" t="str">
            <v>CORIHUAMAN SURCO  ERICK ROBERT</v>
          </cell>
        </row>
        <row r="2370">
          <cell r="A2370">
            <v>2381</v>
          </cell>
          <cell r="B2370">
            <v>42713</v>
          </cell>
          <cell r="C2370" t="str">
            <v>DICIEMBRE</v>
          </cell>
          <cell r="D2370" t="str">
            <v>2016</v>
          </cell>
          <cell r="E2370">
            <v>538</v>
          </cell>
          <cell r="F2370" t="str">
            <v>A5O-859</v>
          </cell>
          <cell r="G2370" t="str">
            <v>B6Y-971</v>
          </cell>
          <cell r="H2370" t="str">
            <v>LAS BAMBAS</v>
          </cell>
          <cell r="I2370">
            <v>116556</v>
          </cell>
          <cell r="J2370" t="str">
            <v>REPUESTO</v>
          </cell>
          <cell r="K2370" t="str">
            <v>FILTRO DE CAJA DIRECCIONAL</v>
          </cell>
          <cell r="L2370">
            <v>1</v>
          </cell>
          <cell r="M2370" t="str">
            <v>UNID.</v>
          </cell>
          <cell r="N2370" t="str">
            <v>TRACTO</v>
          </cell>
          <cell r="O2370">
            <v>0</v>
          </cell>
          <cell r="P2370" t="str">
            <v>M8</v>
          </cell>
          <cell r="Q2370" t="str">
            <v>J2</v>
          </cell>
          <cell r="R2370" t="str">
            <v>J6</v>
          </cell>
          <cell r="S2370" t="str">
            <v>ENTREGADO</v>
          </cell>
          <cell r="T2370">
            <v>42713</v>
          </cell>
          <cell r="U2370" t="str">
            <v>VARILLAS GAGO  OSCAR ALBERTO</v>
          </cell>
          <cell r="V2370" t="str">
            <v>CORIHUAMAN SURCO  ERICK ROBERT</v>
          </cell>
        </row>
        <row r="2371">
          <cell r="A2371">
            <v>2382</v>
          </cell>
          <cell r="B2371">
            <v>42713</v>
          </cell>
          <cell r="C2371" t="str">
            <v>DICIEMBRE</v>
          </cell>
          <cell r="D2371" t="str">
            <v>2016</v>
          </cell>
          <cell r="E2371">
            <v>538</v>
          </cell>
          <cell r="F2371" t="str">
            <v>A5O-859</v>
          </cell>
          <cell r="G2371" t="str">
            <v>B6Y-971</v>
          </cell>
          <cell r="H2371" t="str">
            <v>LAS BAMBAS</v>
          </cell>
          <cell r="I2371">
            <v>116556</v>
          </cell>
          <cell r="J2371" t="str">
            <v>REPUESTO</v>
          </cell>
          <cell r="K2371" t="str">
            <v>ACEITE HIDRULICO</v>
          </cell>
          <cell r="L2371">
            <v>1</v>
          </cell>
          <cell r="M2371" t="str">
            <v>GLNS.</v>
          </cell>
          <cell r="N2371" t="str">
            <v>TRACTO</v>
          </cell>
          <cell r="O2371">
            <v>0</v>
          </cell>
          <cell r="P2371" t="str">
            <v>M8</v>
          </cell>
          <cell r="Q2371" t="str">
            <v>J2</v>
          </cell>
          <cell r="R2371" t="str">
            <v>J6</v>
          </cell>
          <cell r="S2371" t="str">
            <v>ENTREGADO</v>
          </cell>
          <cell r="T2371">
            <v>42713</v>
          </cell>
          <cell r="U2371" t="str">
            <v>VARILLAS GAGO  OSCAR ALBERTO</v>
          </cell>
          <cell r="V2371" t="str">
            <v>CORIHUAMAN SURCO  ERICK ROBERT</v>
          </cell>
        </row>
        <row r="2372">
          <cell r="A2372">
            <v>2392</v>
          </cell>
          <cell r="B2372">
            <v>42713</v>
          </cell>
          <cell r="C2372" t="str">
            <v>DICIEMBRE</v>
          </cell>
          <cell r="D2372" t="str">
            <v>2016</v>
          </cell>
          <cell r="E2372">
            <v>538</v>
          </cell>
          <cell r="F2372" t="str">
            <v>A5O-859</v>
          </cell>
          <cell r="G2372" t="str">
            <v>B6Y-971</v>
          </cell>
          <cell r="H2372" t="str">
            <v>LAS BAMBAS</v>
          </cell>
          <cell r="I2372">
            <v>116556</v>
          </cell>
          <cell r="J2372" t="str">
            <v>REPUESTO</v>
          </cell>
          <cell r="K2372" t="str">
            <v>RETENEDOR DE PUERTA</v>
          </cell>
          <cell r="L2372">
            <v>2</v>
          </cell>
          <cell r="M2372" t="str">
            <v>UNID.</v>
          </cell>
          <cell r="N2372" t="str">
            <v>TRACTO</v>
          </cell>
          <cell r="O2372">
            <v>0</v>
          </cell>
          <cell r="P2372" t="str">
            <v>M8</v>
          </cell>
          <cell r="Q2372" t="str">
            <v>J2</v>
          </cell>
          <cell r="R2372" t="str">
            <v>J6</v>
          </cell>
          <cell r="S2372" t="str">
            <v>ENTREGADO</v>
          </cell>
          <cell r="T2372">
            <v>42713</v>
          </cell>
          <cell r="U2372" t="str">
            <v>VARILLAS GAGO  OSCAR ALBERTO</v>
          </cell>
          <cell r="V2372" t="str">
            <v>CORIHUAMAN SURCO  ERICK ROBERT</v>
          </cell>
        </row>
        <row r="2373">
          <cell r="A2373">
            <v>2403</v>
          </cell>
          <cell r="B2373">
            <v>42713</v>
          </cell>
          <cell r="C2373" t="str">
            <v>DICIEMBRE</v>
          </cell>
          <cell r="D2373" t="str">
            <v>2016</v>
          </cell>
          <cell r="E2373">
            <v>308</v>
          </cell>
          <cell r="F2373" t="str">
            <v>A9H-889</v>
          </cell>
          <cell r="G2373" t="str">
            <v>CAMION</v>
          </cell>
          <cell r="H2373" t="str">
            <v>TAMBOMAYO</v>
          </cell>
          <cell r="I2373">
            <v>120654</v>
          </cell>
          <cell r="J2373" t="str">
            <v>REPUESTO</v>
          </cell>
          <cell r="K2373" t="str">
            <v>LIQUIDO LIMPIAPARABRISAS</v>
          </cell>
          <cell r="L2373">
            <v>1</v>
          </cell>
          <cell r="M2373" t="str">
            <v>GLNS.</v>
          </cell>
          <cell r="N2373" t="str">
            <v>TRACTO</v>
          </cell>
          <cell r="O2373">
            <v>0</v>
          </cell>
          <cell r="P2373" t="str">
            <v>M7</v>
          </cell>
          <cell r="Q2373" t="str">
            <v>J2</v>
          </cell>
          <cell r="R2373" t="str">
            <v>J6</v>
          </cell>
          <cell r="S2373" t="str">
            <v>ENTREGADO</v>
          </cell>
          <cell r="T2373">
            <v>42713</v>
          </cell>
          <cell r="U2373" t="str">
            <v>ROBLES ROJAS  JOSE MIGUEL</v>
          </cell>
          <cell r="V2373" t="str">
            <v>CORIHUAMAN SURCO  ERICK ROBERT</v>
          </cell>
        </row>
        <row r="2374">
          <cell r="A2374">
            <v>2391</v>
          </cell>
          <cell r="B2374">
            <v>42713</v>
          </cell>
          <cell r="C2374" t="str">
            <v>DICIEMBRE</v>
          </cell>
          <cell r="D2374" t="str">
            <v>2016</v>
          </cell>
          <cell r="E2374">
            <v>540</v>
          </cell>
          <cell r="F2374" t="str">
            <v>ABQ-703</v>
          </cell>
          <cell r="G2374" t="str">
            <v>D0Z-994</v>
          </cell>
          <cell r="H2374" t="str">
            <v>LAS BAMBAS</v>
          </cell>
          <cell r="I2374">
            <v>101200</v>
          </cell>
          <cell r="J2374" t="str">
            <v>REPUESTO</v>
          </cell>
          <cell r="K2374" t="str">
            <v>LLANTAS REENCAUCHADAS</v>
          </cell>
          <cell r="L2374">
            <v>4</v>
          </cell>
          <cell r="M2374" t="str">
            <v>UNID.</v>
          </cell>
          <cell r="N2374" t="str">
            <v>TRACTO</v>
          </cell>
          <cell r="O2374">
            <v>0</v>
          </cell>
          <cell r="P2374" t="str">
            <v>N2</v>
          </cell>
          <cell r="Q2374" t="str">
            <v>J2</v>
          </cell>
          <cell r="R2374" t="str">
            <v>J6</v>
          </cell>
          <cell r="S2374" t="str">
            <v>ENTREGADO</v>
          </cell>
          <cell r="T2374">
            <v>42713</v>
          </cell>
          <cell r="U2374" t="str">
            <v>MAMANI LARICO  EDUARDO ALVARO</v>
          </cell>
          <cell r="V2374" t="str">
            <v>CORIHUAMAN SURCO  ERICK ROBERT</v>
          </cell>
        </row>
        <row r="2375">
          <cell r="A2375">
            <v>2394</v>
          </cell>
          <cell r="B2375">
            <v>42713</v>
          </cell>
          <cell r="C2375" t="str">
            <v>DICIEMBRE</v>
          </cell>
          <cell r="D2375" t="str">
            <v>2016</v>
          </cell>
          <cell r="E2375">
            <v>540</v>
          </cell>
          <cell r="F2375" t="str">
            <v>ABQ-703</v>
          </cell>
          <cell r="G2375" t="str">
            <v>D0Z-994</v>
          </cell>
          <cell r="H2375" t="str">
            <v>LAS BAMBAS</v>
          </cell>
          <cell r="I2375">
            <v>101200</v>
          </cell>
          <cell r="J2375" t="str">
            <v>REPUESTO</v>
          </cell>
          <cell r="K2375" t="str">
            <v>FAROS LATERALES AMBAR</v>
          </cell>
          <cell r="L2375">
            <v>2</v>
          </cell>
          <cell r="M2375" t="str">
            <v>UNID.</v>
          </cell>
          <cell r="N2375" t="str">
            <v>CISTERNA</v>
          </cell>
          <cell r="O2375">
            <v>0</v>
          </cell>
          <cell r="P2375" t="str">
            <v>E3</v>
          </cell>
          <cell r="Q2375" t="str">
            <v>J2</v>
          </cell>
          <cell r="R2375" t="str">
            <v>J6</v>
          </cell>
          <cell r="S2375" t="str">
            <v>ENTREGADO</v>
          </cell>
          <cell r="T2375">
            <v>42713</v>
          </cell>
          <cell r="U2375" t="str">
            <v>CONDORI CHURATA ALEX</v>
          </cell>
          <cell r="V2375" t="str">
            <v>CORIHUAMAN SURCO  ERICK ROBERT</v>
          </cell>
        </row>
        <row r="2376">
          <cell r="A2376">
            <v>2377</v>
          </cell>
          <cell r="B2376">
            <v>42713</v>
          </cell>
          <cell r="C2376" t="str">
            <v>DICIEMBRE</v>
          </cell>
          <cell r="D2376" t="str">
            <v>2016</v>
          </cell>
          <cell r="E2376">
            <v>513</v>
          </cell>
          <cell r="F2376" t="str">
            <v>AKW-731</v>
          </cell>
          <cell r="G2376" t="str">
            <v>TCR-989</v>
          </cell>
          <cell r="H2376" t="str">
            <v>LAS BAMBAS CONC.</v>
          </cell>
          <cell r="I2376">
            <v>24631</v>
          </cell>
          <cell r="J2376" t="str">
            <v>REPUESTO</v>
          </cell>
          <cell r="K2376" t="str">
            <v>GOMA LACKA</v>
          </cell>
          <cell r="L2376">
            <v>1</v>
          </cell>
          <cell r="M2376" t="str">
            <v>UNID.</v>
          </cell>
          <cell r="N2376" t="str">
            <v>CISTERNA</v>
          </cell>
          <cell r="O2376">
            <v>0</v>
          </cell>
          <cell r="P2376" t="str">
            <v>M2</v>
          </cell>
          <cell r="Q2376" t="str">
            <v>J2</v>
          </cell>
          <cell r="R2376" t="str">
            <v>J6</v>
          </cell>
          <cell r="S2376" t="str">
            <v>ENTREGADO</v>
          </cell>
          <cell r="T2376">
            <v>42713</v>
          </cell>
          <cell r="U2376" t="str">
            <v>CHUMPITAZ GAGO JULIO ENRIQUE</v>
          </cell>
          <cell r="V2376" t="str">
            <v>CORIHUAMAN SURCO  ERICK ROBERT</v>
          </cell>
        </row>
        <row r="2377">
          <cell r="A2377">
            <v>2378</v>
          </cell>
          <cell r="B2377">
            <v>42713</v>
          </cell>
          <cell r="C2377" t="str">
            <v>DICIEMBRE</v>
          </cell>
          <cell r="D2377" t="str">
            <v>2016</v>
          </cell>
          <cell r="E2377">
            <v>513</v>
          </cell>
          <cell r="F2377" t="str">
            <v>AKW-731</v>
          </cell>
          <cell r="G2377" t="str">
            <v>TCR-989</v>
          </cell>
          <cell r="H2377" t="str">
            <v>LAS BAMBAS CONC.</v>
          </cell>
          <cell r="I2377">
            <v>24631</v>
          </cell>
          <cell r="J2377" t="str">
            <v>REPUESTO</v>
          </cell>
          <cell r="K2377" t="str">
            <v>CINTA TEFLON</v>
          </cell>
          <cell r="L2377">
            <v>1</v>
          </cell>
          <cell r="M2377" t="str">
            <v>UNID.</v>
          </cell>
          <cell r="N2377" t="str">
            <v>CISTERNA</v>
          </cell>
          <cell r="O2377">
            <v>0</v>
          </cell>
          <cell r="P2377" t="str">
            <v>M2</v>
          </cell>
          <cell r="Q2377" t="str">
            <v>J2</v>
          </cell>
          <cell r="R2377" t="str">
            <v>J6</v>
          </cell>
          <cell r="S2377" t="str">
            <v>ENTREGADO</v>
          </cell>
          <cell r="T2377">
            <v>42713</v>
          </cell>
          <cell r="U2377" t="str">
            <v>CHUMPITAZ GAGO JULIO ENRIQUE</v>
          </cell>
          <cell r="V2377" t="str">
            <v>CORIHUAMAN SURCO  ERICK ROBERT</v>
          </cell>
        </row>
        <row r="2378">
          <cell r="A2378">
            <v>2368</v>
          </cell>
          <cell r="B2378">
            <v>42713</v>
          </cell>
          <cell r="C2378">
            <v>0</v>
          </cell>
          <cell r="D2378">
            <v>0</v>
          </cell>
          <cell r="E2378">
            <v>557</v>
          </cell>
          <cell r="F2378" t="str">
            <v>APF-776</v>
          </cell>
          <cell r="G2378" t="str">
            <v>CAMIONETA</v>
          </cell>
          <cell r="H2378" t="str">
            <v>LAS BAMBAS</v>
          </cell>
          <cell r="I2378">
            <v>4085</v>
          </cell>
          <cell r="J2378" t="str">
            <v>REPUESTO</v>
          </cell>
          <cell r="K2378" t="str">
            <v>LIQUIDO REFRIGERANTE</v>
          </cell>
          <cell r="L2378">
            <v>1</v>
          </cell>
          <cell r="M2378" t="str">
            <v>GLNS.</v>
          </cell>
          <cell r="N2378" t="str">
            <v>TRACTO</v>
          </cell>
          <cell r="O2378">
            <v>0</v>
          </cell>
          <cell r="P2378" t="str">
            <v>M6</v>
          </cell>
          <cell r="Q2378" t="str">
            <v>J2</v>
          </cell>
          <cell r="R2378" t="str">
            <v>J6</v>
          </cell>
          <cell r="S2378" t="str">
            <v>ENTREGADO</v>
          </cell>
          <cell r="T2378">
            <v>42713</v>
          </cell>
          <cell r="U2378" t="str">
            <v>PARI VENTURA  EDSON ORLANDO</v>
          </cell>
          <cell r="V2378" t="str">
            <v>CORIHUAMAN SURCO  ERICK ROBERT</v>
          </cell>
        </row>
        <row r="2379">
          <cell r="A2379">
            <v>2369</v>
          </cell>
          <cell r="B2379">
            <v>42713</v>
          </cell>
          <cell r="C2379">
            <v>0</v>
          </cell>
          <cell r="D2379">
            <v>0</v>
          </cell>
          <cell r="E2379">
            <v>557</v>
          </cell>
          <cell r="F2379" t="str">
            <v>APF-776</v>
          </cell>
          <cell r="G2379" t="str">
            <v>CAMIONETA</v>
          </cell>
          <cell r="H2379" t="str">
            <v>LAS BAMBAS</v>
          </cell>
          <cell r="I2379">
            <v>4085</v>
          </cell>
          <cell r="J2379" t="str">
            <v>REPUESTO</v>
          </cell>
          <cell r="K2379" t="str">
            <v>LIQUIDO LIMPIAPARABRISAS</v>
          </cell>
          <cell r="L2379">
            <v>1</v>
          </cell>
          <cell r="M2379" t="str">
            <v>GLNS.</v>
          </cell>
          <cell r="N2379" t="str">
            <v>TRACTO</v>
          </cell>
          <cell r="O2379">
            <v>0</v>
          </cell>
          <cell r="P2379" t="str">
            <v>M6</v>
          </cell>
          <cell r="Q2379" t="str">
            <v>J2</v>
          </cell>
          <cell r="R2379" t="str">
            <v>J6</v>
          </cell>
          <cell r="S2379" t="str">
            <v>ENTREGADO</v>
          </cell>
          <cell r="T2379">
            <v>42713</v>
          </cell>
          <cell r="U2379" t="str">
            <v>PARI VENTURA  EDSON ORLANDO</v>
          </cell>
          <cell r="V2379" t="str">
            <v>CORIHUAMAN SURCO  ERICK ROBERT</v>
          </cell>
        </row>
        <row r="2380">
          <cell r="A2380">
            <v>2370</v>
          </cell>
          <cell r="B2380">
            <v>42713</v>
          </cell>
          <cell r="C2380">
            <v>0</v>
          </cell>
          <cell r="D2380">
            <v>0</v>
          </cell>
          <cell r="E2380">
            <v>557</v>
          </cell>
          <cell r="F2380" t="str">
            <v>APF-776</v>
          </cell>
          <cell r="G2380" t="str">
            <v>CAMIONETA</v>
          </cell>
          <cell r="H2380" t="str">
            <v>LAS BAMBAS</v>
          </cell>
          <cell r="I2380">
            <v>4085</v>
          </cell>
          <cell r="J2380" t="str">
            <v>REPUESTO</v>
          </cell>
          <cell r="K2380" t="str">
            <v>FILTRO DE AIRE PRIMARIO</v>
          </cell>
          <cell r="L2380">
            <v>1</v>
          </cell>
          <cell r="M2380" t="str">
            <v>UNID.</v>
          </cell>
          <cell r="N2380" t="str">
            <v>TRACTO</v>
          </cell>
          <cell r="O2380">
            <v>0</v>
          </cell>
          <cell r="P2380" t="str">
            <v>M6</v>
          </cell>
          <cell r="Q2380" t="str">
            <v>J2</v>
          </cell>
          <cell r="R2380" t="str">
            <v>J6</v>
          </cell>
          <cell r="S2380" t="str">
            <v>ENTREGADO</v>
          </cell>
          <cell r="T2380">
            <v>42713</v>
          </cell>
          <cell r="U2380" t="str">
            <v>PARI VENTURA  EDSON ORLANDO</v>
          </cell>
          <cell r="V2380" t="str">
            <v>CORIHUAMAN SURCO  ERICK ROBERT</v>
          </cell>
        </row>
        <row r="2381">
          <cell r="A2381">
            <v>2371</v>
          </cell>
          <cell r="B2381">
            <v>42713</v>
          </cell>
          <cell r="C2381">
            <v>0</v>
          </cell>
          <cell r="D2381">
            <v>0</v>
          </cell>
          <cell r="E2381">
            <v>557</v>
          </cell>
          <cell r="F2381" t="str">
            <v>APF-776</v>
          </cell>
          <cell r="G2381" t="str">
            <v>CAMIONETA</v>
          </cell>
          <cell r="H2381" t="str">
            <v>LAS BAMBAS</v>
          </cell>
          <cell r="I2381">
            <v>4085</v>
          </cell>
          <cell r="J2381" t="str">
            <v>REPUESTO</v>
          </cell>
          <cell r="K2381" t="str">
            <v>FILTRO DE AIRE SECUNDARIO</v>
          </cell>
          <cell r="L2381">
            <v>1</v>
          </cell>
          <cell r="M2381" t="str">
            <v>UNID.</v>
          </cell>
          <cell r="N2381" t="str">
            <v>TRACTO</v>
          </cell>
          <cell r="O2381">
            <v>0</v>
          </cell>
          <cell r="P2381" t="str">
            <v>M6</v>
          </cell>
          <cell r="Q2381" t="str">
            <v>J2</v>
          </cell>
          <cell r="R2381" t="str">
            <v>J6</v>
          </cell>
          <cell r="S2381" t="str">
            <v>ENTREGADO</v>
          </cell>
          <cell r="T2381">
            <v>42713</v>
          </cell>
          <cell r="U2381" t="str">
            <v>PARI VENTURA  EDSON ORLANDO</v>
          </cell>
          <cell r="V2381" t="str">
            <v>CORIHUAMAN SURCO  ERICK ROBERT</v>
          </cell>
        </row>
        <row r="2382">
          <cell r="A2382">
            <v>2389</v>
          </cell>
          <cell r="B2382">
            <v>42713</v>
          </cell>
          <cell r="C2382" t="str">
            <v>DICIEMBRE</v>
          </cell>
          <cell r="D2382" t="str">
            <v>2016</v>
          </cell>
          <cell r="E2382">
            <v>557</v>
          </cell>
          <cell r="F2382" t="str">
            <v>APF-776</v>
          </cell>
          <cell r="G2382" t="str">
            <v>CAMIONETA</v>
          </cell>
          <cell r="H2382" t="str">
            <v>LAS BAMBAS</v>
          </cell>
          <cell r="I2382">
            <v>4085</v>
          </cell>
          <cell r="J2382" t="str">
            <v>REPUESTO</v>
          </cell>
          <cell r="K2382" t="str">
            <v>SOCKET PARA FOCO 9006</v>
          </cell>
          <cell r="L2382">
            <v>1</v>
          </cell>
          <cell r="M2382" t="str">
            <v>UNID.</v>
          </cell>
          <cell r="N2382" t="str">
            <v>TRACTO</v>
          </cell>
          <cell r="O2382">
            <v>0</v>
          </cell>
          <cell r="P2382" t="str">
            <v>E3</v>
          </cell>
          <cell r="Q2382" t="str">
            <v>J2</v>
          </cell>
          <cell r="R2382" t="str">
            <v>J6</v>
          </cell>
          <cell r="S2382" t="str">
            <v>ENTREGADO</v>
          </cell>
          <cell r="T2382">
            <v>42713</v>
          </cell>
          <cell r="U2382" t="str">
            <v>CONDORI CHURATA ALEX</v>
          </cell>
          <cell r="V2382" t="str">
            <v>CORIHUAMAN SURCO  ERICK ROBERT</v>
          </cell>
        </row>
        <row r="2383">
          <cell r="A2383">
            <v>2362</v>
          </cell>
          <cell r="B2383">
            <v>42713</v>
          </cell>
          <cell r="C2383" t="str">
            <v>DICIEMBRE</v>
          </cell>
          <cell r="D2383" t="str">
            <v>2016</v>
          </cell>
          <cell r="E2383">
            <v>530</v>
          </cell>
          <cell r="F2383" t="str">
            <v>C5R-892</v>
          </cell>
          <cell r="G2383" t="str">
            <v>A0T-983</v>
          </cell>
          <cell r="H2383" t="str">
            <v>LAS BAMBAS</v>
          </cell>
          <cell r="I2383">
            <v>226743</v>
          </cell>
          <cell r="J2383" t="str">
            <v>REPUESTO</v>
          </cell>
          <cell r="K2383" t="str">
            <v>KIT MENOR DE FRENO PARA MOTOR ISM</v>
          </cell>
          <cell r="L2383">
            <v>1</v>
          </cell>
          <cell r="M2383" t="str">
            <v>JUEGO</v>
          </cell>
          <cell r="N2383" t="str">
            <v>TRACTO</v>
          </cell>
          <cell r="O2383">
            <v>0</v>
          </cell>
          <cell r="P2383" t="str">
            <v>J1</v>
          </cell>
          <cell r="Q2383" t="str">
            <v>J2</v>
          </cell>
          <cell r="R2383" t="str">
            <v>J6</v>
          </cell>
          <cell r="S2383" t="str">
            <v>ENTREGADO</v>
          </cell>
          <cell r="T2383">
            <v>42713</v>
          </cell>
          <cell r="U2383" t="str">
            <v>FLOREZ CONDORI  JOSE WILLIANS</v>
          </cell>
          <cell r="V2383" t="str">
            <v>CORIHUAMAN SURCO  ERICK ROBERT</v>
          </cell>
        </row>
        <row r="2384">
          <cell r="A2384">
            <v>2398</v>
          </cell>
          <cell r="B2384">
            <v>42713</v>
          </cell>
          <cell r="C2384" t="str">
            <v>DICIEMBRE</v>
          </cell>
          <cell r="D2384" t="str">
            <v>2016</v>
          </cell>
          <cell r="E2384">
            <v>530</v>
          </cell>
          <cell r="F2384" t="str">
            <v>C5R-892</v>
          </cell>
          <cell r="G2384" t="str">
            <v>A0T-983</v>
          </cell>
          <cell r="H2384" t="str">
            <v>LAS BAMBAS</v>
          </cell>
          <cell r="I2384">
            <v>226743</v>
          </cell>
          <cell r="J2384" t="str">
            <v>REPUESTO</v>
          </cell>
          <cell r="K2384" t="str">
            <v>FOCO DE DOBLE CONTACTO</v>
          </cell>
          <cell r="L2384">
            <v>1</v>
          </cell>
          <cell r="M2384" t="str">
            <v>UNID.</v>
          </cell>
          <cell r="N2384" t="str">
            <v>TRACTO</v>
          </cell>
          <cell r="O2384">
            <v>0</v>
          </cell>
          <cell r="P2384" t="str">
            <v>E3</v>
          </cell>
          <cell r="Q2384" t="str">
            <v>J2</v>
          </cell>
          <cell r="R2384" t="str">
            <v>J6</v>
          </cell>
          <cell r="S2384" t="str">
            <v>ENTREGADO</v>
          </cell>
          <cell r="T2384">
            <v>42713</v>
          </cell>
          <cell r="U2384" t="str">
            <v>CONDORI CHURATA ALEX</v>
          </cell>
          <cell r="V2384" t="str">
            <v>CORIHUAMAN SURCO  ERICK ROBERT</v>
          </cell>
        </row>
        <row r="2385">
          <cell r="A2385">
            <v>2412</v>
          </cell>
          <cell r="B2385">
            <v>42713</v>
          </cell>
          <cell r="C2385" t="str">
            <v>DICIEMBRE</v>
          </cell>
          <cell r="D2385" t="str">
            <v>2016</v>
          </cell>
          <cell r="E2385">
            <v>530</v>
          </cell>
          <cell r="F2385" t="str">
            <v>C5R-892</v>
          </cell>
          <cell r="G2385" t="str">
            <v>A0T-983</v>
          </cell>
          <cell r="H2385" t="str">
            <v>LAS BAMBAS</v>
          </cell>
          <cell r="I2385">
            <v>226743</v>
          </cell>
          <cell r="J2385" t="str">
            <v>REPUESTO</v>
          </cell>
          <cell r="K2385" t="str">
            <v>TAMBOR DE FRENO CISTERNA</v>
          </cell>
          <cell r="L2385">
            <v>1</v>
          </cell>
          <cell r="M2385" t="str">
            <v>UNID.</v>
          </cell>
          <cell r="N2385" t="str">
            <v>CISTERNA</v>
          </cell>
          <cell r="O2385">
            <v>0</v>
          </cell>
          <cell r="P2385" t="str">
            <v>M1</v>
          </cell>
          <cell r="Q2385" t="str">
            <v>J2</v>
          </cell>
          <cell r="R2385" t="str">
            <v>J2</v>
          </cell>
          <cell r="S2385" t="str">
            <v>ENTREGADO</v>
          </cell>
          <cell r="T2385">
            <v>42713</v>
          </cell>
          <cell r="U2385" t="str">
            <v>CABEZAS SANCHEZ JEAN JHONATAN</v>
          </cell>
          <cell r="V2385" t="str">
            <v>CORIHUAMAN SURCO  ERICK ROBERT</v>
          </cell>
        </row>
        <row r="2386">
          <cell r="A2386">
            <v>2413</v>
          </cell>
          <cell r="B2386">
            <v>42713</v>
          </cell>
          <cell r="C2386" t="str">
            <v>DICIEMBRE</v>
          </cell>
          <cell r="D2386" t="str">
            <v>2016</v>
          </cell>
          <cell r="E2386">
            <v>530</v>
          </cell>
          <cell r="F2386" t="str">
            <v>C5R-892</v>
          </cell>
          <cell r="G2386" t="str">
            <v>A0T-983</v>
          </cell>
          <cell r="H2386" t="str">
            <v>LAS BAMBAS</v>
          </cell>
          <cell r="I2386">
            <v>226743</v>
          </cell>
          <cell r="J2386" t="str">
            <v>REPUESTO</v>
          </cell>
          <cell r="K2386" t="str">
            <v>EMPAQUE DE TURBO</v>
          </cell>
          <cell r="L2386">
            <v>1</v>
          </cell>
          <cell r="M2386" t="str">
            <v>UNID.</v>
          </cell>
          <cell r="N2386" t="str">
            <v>CISTERNA</v>
          </cell>
          <cell r="O2386">
            <v>0</v>
          </cell>
          <cell r="P2386" t="str">
            <v>M1</v>
          </cell>
          <cell r="Q2386" t="str">
            <v>J2</v>
          </cell>
          <cell r="R2386" t="str">
            <v>J2</v>
          </cell>
          <cell r="S2386" t="str">
            <v>ENTREGADO</v>
          </cell>
          <cell r="T2386">
            <v>42713</v>
          </cell>
          <cell r="U2386" t="str">
            <v>CABEZAS SANCHEZ JEAN JHONATAN</v>
          </cell>
          <cell r="V2386" t="str">
            <v>CORIHUAMAN SURCO  ERICK ROBERT</v>
          </cell>
        </row>
        <row r="2387">
          <cell r="A2387">
            <v>2363</v>
          </cell>
          <cell r="B2387">
            <v>42713</v>
          </cell>
          <cell r="C2387" t="str">
            <v>DICIEMBRE</v>
          </cell>
          <cell r="D2387" t="str">
            <v>2016</v>
          </cell>
          <cell r="E2387">
            <v>551</v>
          </cell>
          <cell r="F2387" t="str">
            <v>C5R-899</v>
          </cell>
          <cell r="G2387" t="str">
            <v>A0U-978</v>
          </cell>
          <cell r="H2387" t="str">
            <v>LAS BAMBAS</v>
          </cell>
          <cell r="I2387">
            <v>253500</v>
          </cell>
          <cell r="J2387" t="str">
            <v>REPUESTO</v>
          </cell>
          <cell r="K2387" t="str">
            <v>MICA DE PERTIGA (FOCO)</v>
          </cell>
          <cell r="L2387">
            <v>1</v>
          </cell>
          <cell r="M2387" t="str">
            <v>UNID.</v>
          </cell>
          <cell r="N2387" t="str">
            <v>CAMIONETA</v>
          </cell>
          <cell r="O2387">
            <v>0</v>
          </cell>
          <cell r="P2387" t="str">
            <v>E1</v>
          </cell>
          <cell r="Q2387" t="str">
            <v>J2</v>
          </cell>
          <cell r="R2387" t="str">
            <v>J6</v>
          </cell>
          <cell r="S2387" t="str">
            <v>ENTREGADO</v>
          </cell>
          <cell r="T2387">
            <v>42713</v>
          </cell>
          <cell r="U2387" t="str">
            <v>PALOMINO CARDENAS JUAN CARLOS</v>
          </cell>
          <cell r="V2387" t="str">
            <v>CORIHUAMAN SURCO  ERICK ROBERT</v>
          </cell>
        </row>
        <row r="2388">
          <cell r="A2388">
            <v>2345</v>
          </cell>
          <cell r="B2388">
            <v>42713</v>
          </cell>
          <cell r="C2388" t="str">
            <v>DICIEMBRE</v>
          </cell>
          <cell r="D2388" t="str">
            <v>2016</v>
          </cell>
          <cell r="E2388">
            <v>486</v>
          </cell>
          <cell r="F2388" t="str">
            <v>C9M-902</v>
          </cell>
          <cell r="G2388" t="str">
            <v>B8L-970</v>
          </cell>
          <cell r="H2388" t="str">
            <v>LAS BAMBAS</v>
          </cell>
          <cell r="I2388">
            <v>209833</v>
          </cell>
          <cell r="J2388" t="str">
            <v>REPUESTO</v>
          </cell>
          <cell r="K2388" t="str">
            <v>PERNO DE 3/8 X 1</v>
          </cell>
          <cell r="L2388">
            <v>7</v>
          </cell>
          <cell r="M2388" t="str">
            <v>UNID.</v>
          </cell>
          <cell r="N2388" t="str">
            <v>CISTERNA</v>
          </cell>
          <cell r="O2388">
            <v>0</v>
          </cell>
          <cell r="P2388" t="str">
            <v>M6</v>
          </cell>
          <cell r="Q2388" t="str">
            <v>J2</v>
          </cell>
          <cell r="R2388" t="str">
            <v>J6</v>
          </cell>
          <cell r="S2388" t="str">
            <v>ENTREGADO</v>
          </cell>
          <cell r="T2388">
            <v>42713</v>
          </cell>
          <cell r="U2388" t="str">
            <v>PARI VENTURA  EDSON ORLANDO</v>
          </cell>
          <cell r="V2388" t="str">
            <v>CORIHUAMAN SURCO  ERICK ROBERT</v>
          </cell>
        </row>
        <row r="2389">
          <cell r="A2389">
            <v>2346</v>
          </cell>
          <cell r="B2389">
            <v>42713</v>
          </cell>
          <cell r="C2389" t="str">
            <v>DICIEMBRE</v>
          </cell>
          <cell r="D2389" t="str">
            <v>2016</v>
          </cell>
          <cell r="E2389">
            <v>486</v>
          </cell>
          <cell r="F2389" t="str">
            <v>C9M-902</v>
          </cell>
          <cell r="G2389" t="str">
            <v>B8L-970</v>
          </cell>
          <cell r="H2389" t="str">
            <v>LAS BAMBAS</v>
          </cell>
          <cell r="I2389">
            <v>209833</v>
          </cell>
          <cell r="J2389" t="str">
            <v>REPUESTO</v>
          </cell>
          <cell r="K2389" t="str">
            <v>TUERCA SEGURO 3/8</v>
          </cell>
          <cell r="L2389">
            <v>7</v>
          </cell>
          <cell r="M2389" t="str">
            <v>UNID.</v>
          </cell>
          <cell r="N2389" t="str">
            <v>CISTERNA</v>
          </cell>
          <cell r="O2389">
            <v>0</v>
          </cell>
          <cell r="P2389" t="str">
            <v>M6</v>
          </cell>
          <cell r="Q2389" t="str">
            <v>J2</v>
          </cell>
          <cell r="R2389" t="str">
            <v>J6</v>
          </cell>
          <cell r="S2389" t="str">
            <v>ENTREGADO</v>
          </cell>
          <cell r="T2389">
            <v>42713</v>
          </cell>
          <cell r="U2389" t="str">
            <v>PARI VENTURA  EDSON ORLANDO</v>
          </cell>
          <cell r="V2389" t="str">
            <v>CORIHUAMAN SURCO  ERICK ROBERT</v>
          </cell>
        </row>
        <row r="2390">
          <cell r="A2390">
            <v>2347</v>
          </cell>
          <cell r="B2390">
            <v>42713</v>
          </cell>
          <cell r="C2390" t="str">
            <v>DICIEMBRE</v>
          </cell>
          <cell r="D2390" t="str">
            <v>2016</v>
          </cell>
          <cell r="E2390">
            <v>486</v>
          </cell>
          <cell r="F2390" t="str">
            <v>C9M-902</v>
          </cell>
          <cell r="G2390" t="str">
            <v>B8L-970</v>
          </cell>
          <cell r="H2390" t="str">
            <v>LAS BAMBAS</v>
          </cell>
          <cell r="I2390">
            <v>209833</v>
          </cell>
          <cell r="J2390" t="str">
            <v>REPUESTO</v>
          </cell>
          <cell r="K2390" t="str">
            <v>ARANDELA PLANA 3/8</v>
          </cell>
          <cell r="L2390">
            <v>14</v>
          </cell>
          <cell r="M2390" t="str">
            <v>UNID.</v>
          </cell>
          <cell r="N2390" t="str">
            <v>CISTERNA</v>
          </cell>
          <cell r="O2390">
            <v>0</v>
          </cell>
          <cell r="P2390" t="str">
            <v>M6</v>
          </cell>
          <cell r="Q2390" t="str">
            <v>J2</v>
          </cell>
          <cell r="R2390" t="str">
            <v>J6</v>
          </cell>
          <cell r="S2390" t="str">
            <v>ENTREGADO</v>
          </cell>
          <cell r="T2390">
            <v>42713</v>
          </cell>
          <cell r="U2390" t="str">
            <v>PARI VENTURA  EDSON ORLANDO</v>
          </cell>
          <cell r="V2390" t="str">
            <v>CORIHUAMAN SURCO  ERICK ROBERT</v>
          </cell>
        </row>
        <row r="2391">
          <cell r="A2391">
            <v>2349</v>
          </cell>
          <cell r="B2391">
            <v>42713</v>
          </cell>
          <cell r="C2391" t="str">
            <v>DICIEMBRE</v>
          </cell>
          <cell r="D2391" t="str">
            <v>2016</v>
          </cell>
          <cell r="E2391">
            <v>486</v>
          </cell>
          <cell r="F2391" t="str">
            <v>C9M-902</v>
          </cell>
          <cell r="G2391" t="str">
            <v>B8L-970</v>
          </cell>
          <cell r="H2391" t="str">
            <v>LAS BAMBAS</v>
          </cell>
          <cell r="I2391">
            <v>209833</v>
          </cell>
          <cell r="J2391" t="str">
            <v>REPUESTO</v>
          </cell>
          <cell r="K2391" t="str">
            <v>MANO DE LUCES DIRECCIONALES</v>
          </cell>
          <cell r="L2391">
            <v>1</v>
          </cell>
          <cell r="M2391" t="str">
            <v>UNID.</v>
          </cell>
          <cell r="N2391" t="str">
            <v>TRACTO</v>
          </cell>
          <cell r="O2391">
            <v>0</v>
          </cell>
          <cell r="P2391" t="str">
            <v>E3</v>
          </cell>
          <cell r="Q2391" t="str">
            <v>J2</v>
          </cell>
          <cell r="R2391" t="str">
            <v>J6</v>
          </cell>
          <cell r="S2391" t="str">
            <v>ENTREGADO</v>
          </cell>
          <cell r="T2391">
            <v>42713</v>
          </cell>
          <cell r="U2391" t="str">
            <v>CONDORI CHURATA ALEX</v>
          </cell>
          <cell r="V2391" t="str">
            <v>CORIHUAMAN SURCO  ERICK ROBERT</v>
          </cell>
        </row>
        <row r="2392">
          <cell r="A2392">
            <v>2360</v>
          </cell>
          <cell r="B2392">
            <v>42713</v>
          </cell>
          <cell r="C2392" t="str">
            <v>DICIEMBRE</v>
          </cell>
          <cell r="D2392" t="str">
            <v>2016</v>
          </cell>
          <cell r="E2392">
            <v>486</v>
          </cell>
          <cell r="F2392" t="str">
            <v>C9M-902</v>
          </cell>
          <cell r="G2392" t="str">
            <v>B8L-970</v>
          </cell>
          <cell r="H2392" t="str">
            <v>LAS BAMBAS</v>
          </cell>
          <cell r="I2392">
            <v>209833</v>
          </cell>
          <cell r="J2392" t="str">
            <v>REPUESTO</v>
          </cell>
          <cell r="K2392" t="str">
            <v>TAPA RECUPERADORA DE GASES</v>
          </cell>
          <cell r="L2392">
            <v>1</v>
          </cell>
          <cell r="M2392" t="str">
            <v>UNID.</v>
          </cell>
          <cell r="N2392" t="str">
            <v>CISTERNA</v>
          </cell>
          <cell r="O2392">
            <v>0</v>
          </cell>
          <cell r="P2392" t="str">
            <v>S2</v>
          </cell>
          <cell r="Q2392" t="str">
            <v>J2</v>
          </cell>
          <cell r="R2392" t="str">
            <v>J6</v>
          </cell>
          <cell r="S2392" t="str">
            <v>ENTREGADO</v>
          </cell>
          <cell r="T2392">
            <v>42713</v>
          </cell>
          <cell r="U2392" t="str">
            <v>PALOMINO ESTRADA  MICHEL</v>
          </cell>
          <cell r="V2392" t="str">
            <v>CORIHUAMAN SURCO  ERICK ROBERT</v>
          </cell>
        </row>
        <row r="2393">
          <cell r="A2393">
            <v>2361</v>
          </cell>
          <cell r="B2393">
            <v>42713</v>
          </cell>
          <cell r="C2393" t="str">
            <v>DICIEMBRE</v>
          </cell>
          <cell r="D2393" t="str">
            <v>2016</v>
          </cell>
          <cell r="E2393">
            <v>486</v>
          </cell>
          <cell r="F2393" t="str">
            <v>C9M-902</v>
          </cell>
          <cell r="G2393" t="str">
            <v>B8L-970</v>
          </cell>
          <cell r="H2393" t="str">
            <v>LAS BAMBAS</v>
          </cell>
          <cell r="I2393">
            <v>209833</v>
          </cell>
          <cell r="J2393" t="str">
            <v>REPUESTO</v>
          </cell>
          <cell r="K2393" t="str">
            <v>BOTON PARA ELEVAR EL ASIENTO (CONTROL DEL ASIENTO)</v>
          </cell>
          <cell r="L2393">
            <v>1</v>
          </cell>
          <cell r="M2393" t="str">
            <v>UNID.</v>
          </cell>
          <cell r="N2393" t="str">
            <v>TRACTO</v>
          </cell>
          <cell r="O2393">
            <v>0</v>
          </cell>
          <cell r="P2393" t="str">
            <v>J2</v>
          </cell>
          <cell r="Q2393" t="str">
            <v>J2</v>
          </cell>
          <cell r="R2393" t="str">
            <v>J6</v>
          </cell>
          <cell r="S2393" t="str">
            <v>ENTREGADO</v>
          </cell>
          <cell r="T2393">
            <v>42713</v>
          </cell>
          <cell r="U2393" t="str">
            <v>CORIHUAMAN SURCO  ERICK ROBERT</v>
          </cell>
          <cell r="V2393" t="str">
            <v>CORIHUAMAN SURCO  ERICK ROBERT</v>
          </cell>
        </row>
        <row r="2394">
          <cell r="A2394">
            <v>2366</v>
          </cell>
          <cell r="B2394">
            <v>42713</v>
          </cell>
          <cell r="C2394" t="str">
            <v>DICIEMBRE</v>
          </cell>
          <cell r="D2394" t="str">
            <v>2016</v>
          </cell>
          <cell r="E2394">
            <v>486</v>
          </cell>
          <cell r="F2394" t="str">
            <v>C9M-902</v>
          </cell>
          <cell r="G2394" t="str">
            <v>B8L-970</v>
          </cell>
          <cell r="H2394" t="str">
            <v>LAS BAMBAS</v>
          </cell>
          <cell r="I2394">
            <v>209833</v>
          </cell>
          <cell r="J2394" t="str">
            <v>SERVICIO</v>
          </cell>
          <cell r="K2394" t="str">
            <v xml:space="preserve">SERVICIO DE TAPIZADO DE ASIENTO </v>
          </cell>
          <cell r="L2394">
            <v>1</v>
          </cell>
          <cell r="M2394" t="str">
            <v>UNID.</v>
          </cell>
          <cell r="N2394" t="str">
            <v>TRACTO</v>
          </cell>
          <cell r="O2394">
            <v>0</v>
          </cell>
          <cell r="P2394" t="str">
            <v>M2</v>
          </cell>
          <cell r="Q2394" t="str">
            <v>J2</v>
          </cell>
          <cell r="R2394" t="str">
            <v>J6</v>
          </cell>
          <cell r="S2394" t="str">
            <v>ENTREGADO</v>
          </cell>
          <cell r="T2394">
            <v>42713</v>
          </cell>
          <cell r="U2394" t="str">
            <v>CHUMPITAZ GAGO JULIO ENRIQUE</v>
          </cell>
          <cell r="V2394" t="str">
            <v>CORIHUAMAN SURCO  ERICK ROBERT</v>
          </cell>
        </row>
        <row r="2395">
          <cell r="A2395">
            <v>2379</v>
          </cell>
          <cell r="B2395">
            <v>42713</v>
          </cell>
          <cell r="C2395" t="str">
            <v>DICIEMBRE</v>
          </cell>
          <cell r="D2395" t="str">
            <v>2016</v>
          </cell>
          <cell r="E2395">
            <v>486</v>
          </cell>
          <cell r="F2395" t="str">
            <v>C9M-902</v>
          </cell>
          <cell r="G2395" t="str">
            <v>B8L-970</v>
          </cell>
          <cell r="H2395" t="str">
            <v>LAS BAMBAS</v>
          </cell>
          <cell r="I2395">
            <v>209833</v>
          </cell>
          <cell r="J2395" t="str">
            <v>REPUESTO</v>
          </cell>
          <cell r="K2395" t="str">
            <v>LIQUIDO REFRIGERANTE</v>
          </cell>
          <cell r="L2395">
            <v>1</v>
          </cell>
          <cell r="M2395" t="str">
            <v>GLNS.</v>
          </cell>
          <cell r="N2395" t="str">
            <v>TRACTO</v>
          </cell>
          <cell r="O2395">
            <v>0</v>
          </cell>
          <cell r="P2395" t="str">
            <v>M2</v>
          </cell>
          <cell r="Q2395" t="str">
            <v>J2</v>
          </cell>
          <cell r="R2395" t="str">
            <v>J6</v>
          </cell>
          <cell r="S2395" t="str">
            <v>ENTREGADO</v>
          </cell>
          <cell r="T2395">
            <v>42713</v>
          </cell>
          <cell r="U2395" t="str">
            <v>CHUMPITAZ GAGO JULIO ENRIQUE</v>
          </cell>
          <cell r="V2395" t="str">
            <v>CORIHUAMAN SURCO  ERICK ROBERT</v>
          </cell>
        </row>
        <row r="2396">
          <cell r="A2396">
            <v>2367</v>
          </cell>
          <cell r="B2396">
            <v>42713</v>
          </cell>
          <cell r="C2396" t="str">
            <v>DICIEMBRE</v>
          </cell>
          <cell r="D2396" t="str">
            <v>2016</v>
          </cell>
          <cell r="E2396">
            <v>548</v>
          </cell>
          <cell r="F2396" t="str">
            <v>D3N-721</v>
          </cell>
          <cell r="G2396" t="str">
            <v>C4S-979</v>
          </cell>
          <cell r="H2396" t="str">
            <v>LAS BAMBAS</v>
          </cell>
          <cell r="I2396">
            <v>135552</v>
          </cell>
          <cell r="J2396" t="str">
            <v>REPUESTO</v>
          </cell>
          <cell r="K2396" t="str">
            <v>GUARDAFANGO DE CARRETA</v>
          </cell>
          <cell r="L2396">
            <v>2</v>
          </cell>
          <cell r="M2396" t="str">
            <v>UNID.</v>
          </cell>
          <cell r="N2396" t="str">
            <v>CISTERNA</v>
          </cell>
          <cell r="O2396">
            <v>77</v>
          </cell>
          <cell r="P2396" t="str">
            <v>M7</v>
          </cell>
          <cell r="Q2396" t="str">
            <v>J2</v>
          </cell>
          <cell r="R2396" t="str">
            <v>J6</v>
          </cell>
          <cell r="S2396" t="str">
            <v>PENDIENTE</v>
          </cell>
          <cell r="T2396">
            <v>0</v>
          </cell>
          <cell r="U2396" t="str">
            <v>ROBLES ROJAS  JOSE MIGUEL</v>
          </cell>
          <cell r="V2396" t="str">
            <v>CORIHUAMAN SURCO  ERICK ROBERT</v>
          </cell>
        </row>
        <row r="2397">
          <cell r="A2397">
            <v>2375</v>
          </cell>
          <cell r="B2397">
            <v>42713</v>
          </cell>
          <cell r="C2397" t="str">
            <v>DICIEMBRE</v>
          </cell>
          <cell r="D2397" t="str">
            <v>2016</v>
          </cell>
          <cell r="E2397">
            <v>548</v>
          </cell>
          <cell r="F2397" t="str">
            <v>D3N-721</v>
          </cell>
          <cell r="G2397" t="str">
            <v>C4S-979</v>
          </cell>
          <cell r="H2397" t="str">
            <v>LAS BAMBAS</v>
          </cell>
          <cell r="I2397">
            <v>135552</v>
          </cell>
          <cell r="J2397" t="str">
            <v>REPUESTO</v>
          </cell>
          <cell r="K2397" t="str">
            <v>ACEITE 15W40</v>
          </cell>
          <cell r="L2397">
            <v>1</v>
          </cell>
          <cell r="M2397" t="str">
            <v>GLNS.</v>
          </cell>
          <cell r="N2397" t="str">
            <v>TRACTO</v>
          </cell>
          <cell r="O2397">
            <v>0</v>
          </cell>
          <cell r="P2397" t="str">
            <v>M7</v>
          </cell>
          <cell r="Q2397" t="str">
            <v>J2</v>
          </cell>
          <cell r="R2397" t="str">
            <v>J6</v>
          </cell>
          <cell r="S2397" t="str">
            <v>ENTREGADO</v>
          </cell>
          <cell r="T2397">
            <v>42713</v>
          </cell>
          <cell r="U2397" t="str">
            <v>ROBLES ROJAS  JOSE MIGUEL</v>
          </cell>
          <cell r="V2397" t="str">
            <v>CORIHUAMAN SURCO  ERICK ROBERT</v>
          </cell>
        </row>
        <row r="2398">
          <cell r="A2398">
            <v>2395</v>
          </cell>
          <cell r="B2398">
            <v>42713</v>
          </cell>
          <cell r="C2398" t="str">
            <v>DICIEMBRE</v>
          </cell>
          <cell r="D2398" t="str">
            <v>2016</v>
          </cell>
          <cell r="E2398">
            <v>548</v>
          </cell>
          <cell r="F2398" t="str">
            <v>D3N-721</v>
          </cell>
          <cell r="G2398" t="str">
            <v>C4S-979</v>
          </cell>
          <cell r="H2398" t="str">
            <v>LAS BAMBAS</v>
          </cell>
          <cell r="I2398">
            <v>135552</v>
          </cell>
          <cell r="J2398" t="str">
            <v>REPUESTO</v>
          </cell>
          <cell r="K2398" t="str">
            <v>LIQUIDO REFRIGERANTE</v>
          </cell>
          <cell r="L2398">
            <v>1</v>
          </cell>
          <cell r="M2398" t="str">
            <v>GLNS.</v>
          </cell>
          <cell r="N2398" t="str">
            <v>TRACTO</v>
          </cell>
          <cell r="O2398">
            <v>0</v>
          </cell>
          <cell r="P2398" t="str">
            <v>M7</v>
          </cell>
          <cell r="Q2398" t="str">
            <v>J2</v>
          </cell>
          <cell r="R2398" t="str">
            <v>J6</v>
          </cell>
          <cell r="S2398" t="str">
            <v>ENTREGADO</v>
          </cell>
          <cell r="T2398">
            <v>42713</v>
          </cell>
          <cell r="U2398" t="str">
            <v>ROBLES ROJAS  JOSE MIGUEL</v>
          </cell>
          <cell r="V2398" t="str">
            <v>CORIHUAMAN SURCO  ERICK ROBERT</v>
          </cell>
        </row>
        <row r="2399">
          <cell r="A2399">
            <v>2387</v>
          </cell>
          <cell r="B2399">
            <v>42713</v>
          </cell>
          <cell r="C2399" t="str">
            <v>DICIEMBRE</v>
          </cell>
          <cell r="D2399" t="str">
            <v>2016</v>
          </cell>
          <cell r="E2399">
            <v>558</v>
          </cell>
          <cell r="F2399" t="str">
            <v>D3P-747</v>
          </cell>
          <cell r="G2399" t="str">
            <v>A0T-985</v>
          </cell>
          <cell r="H2399" t="str">
            <v>LAS BAMBAS</v>
          </cell>
          <cell r="I2399">
            <v>185155</v>
          </cell>
          <cell r="J2399" t="str">
            <v>REPUESTO</v>
          </cell>
          <cell r="K2399" t="str">
            <v>SUPERCITO</v>
          </cell>
          <cell r="L2399">
            <v>1</v>
          </cell>
          <cell r="M2399" t="str">
            <v>KG.</v>
          </cell>
          <cell r="N2399" t="str">
            <v>CISTERNA</v>
          </cell>
          <cell r="O2399">
            <v>0</v>
          </cell>
          <cell r="P2399" t="str">
            <v>S2</v>
          </cell>
          <cell r="Q2399" t="str">
            <v>J2</v>
          </cell>
          <cell r="R2399" t="str">
            <v>J6</v>
          </cell>
          <cell r="S2399" t="str">
            <v>ENTREGADO</v>
          </cell>
          <cell r="T2399">
            <v>42713</v>
          </cell>
          <cell r="U2399" t="str">
            <v>PALOMINO ESTRADA  MICHEL</v>
          </cell>
          <cell r="V2399" t="str">
            <v>CORIHUAMAN SURCO  ERICK ROBERT</v>
          </cell>
        </row>
        <row r="2400">
          <cell r="A2400">
            <v>2388</v>
          </cell>
          <cell r="B2400">
            <v>42713</v>
          </cell>
          <cell r="C2400" t="str">
            <v>DICIEMBRE</v>
          </cell>
          <cell r="D2400" t="str">
            <v>2016</v>
          </cell>
          <cell r="E2400">
            <v>558</v>
          </cell>
          <cell r="F2400" t="str">
            <v>D3P-747</v>
          </cell>
          <cell r="G2400" t="str">
            <v>A0T-985</v>
          </cell>
          <cell r="H2400" t="str">
            <v>LAS BAMBAS</v>
          </cell>
          <cell r="I2400">
            <v>185155</v>
          </cell>
          <cell r="J2400" t="str">
            <v>REPUESTO</v>
          </cell>
          <cell r="K2400" t="str">
            <v>CELLOCORD</v>
          </cell>
          <cell r="L2400">
            <v>1</v>
          </cell>
          <cell r="M2400" t="str">
            <v>KG.</v>
          </cell>
          <cell r="N2400" t="str">
            <v>CISTERNA</v>
          </cell>
          <cell r="O2400">
            <v>0</v>
          </cell>
          <cell r="P2400" t="str">
            <v>S2</v>
          </cell>
          <cell r="Q2400" t="str">
            <v>J2</v>
          </cell>
          <cell r="R2400" t="str">
            <v>J6</v>
          </cell>
          <cell r="S2400" t="str">
            <v>ENTREGADO</v>
          </cell>
          <cell r="T2400">
            <v>42713</v>
          </cell>
          <cell r="U2400" t="str">
            <v>PALOMINO ESTRADA  MICHEL</v>
          </cell>
          <cell r="V2400" t="str">
            <v>CORIHUAMAN SURCO  ERICK ROBERT</v>
          </cell>
        </row>
        <row r="2401">
          <cell r="A2401">
            <v>2407</v>
          </cell>
          <cell r="B2401">
            <v>42713</v>
          </cell>
          <cell r="C2401" t="str">
            <v>DICIEMBRE</v>
          </cell>
          <cell r="D2401" t="str">
            <v>2016</v>
          </cell>
          <cell r="E2401">
            <v>558</v>
          </cell>
          <cell r="F2401" t="str">
            <v>D3P-747</v>
          </cell>
          <cell r="G2401" t="str">
            <v>A0T-985</v>
          </cell>
          <cell r="H2401" t="str">
            <v>LAS BAMBAS</v>
          </cell>
          <cell r="I2401">
            <v>185155</v>
          </cell>
          <cell r="J2401" t="str">
            <v>REPUESTO</v>
          </cell>
          <cell r="K2401" t="str">
            <v>ACEITE 15W40</v>
          </cell>
          <cell r="L2401">
            <v>10</v>
          </cell>
          <cell r="M2401" t="str">
            <v>GLNS.</v>
          </cell>
          <cell r="N2401" t="str">
            <v>TRACTO</v>
          </cell>
          <cell r="O2401">
            <v>0</v>
          </cell>
          <cell r="P2401" t="str">
            <v>M3</v>
          </cell>
          <cell r="Q2401" t="str">
            <v>J2</v>
          </cell>
          <cell r="R2401" t="str">
            <v>J2</v>
          </cell>
          <cell r="S2401" t="str">
            <v>ENTREGADO</v>
          </cell>
          <cell r="T2401">
            <v>42713</v>
          </cell>
          <cell r="U2401" t="str">
            <v>GARCIA PASQUEL  JOSE LUIS</v>
          </cell>
          <cell r="V2401" t="str">
            <v>CORIHUAMAN SURCO  ERICK ROBERT</v>
          </cell>
        </row>
        <row r="2402">
          <cell r="A2402">
            <v>2408</v>
          </cell>
          <cell r="B2402">
            <v>42713</v>
          </cell>
          <cell r="C2402" t="str">
            <v>DICIEMBRE</v>
          </cell>
          <cell r="D2402" t="str">
            <v>2016</v>
          </cell>
          <cell r="E2402">
            <v>558</v>
          </cell>
          <cell r="F2402" t="str">
            <v>D3P-747</v>
          </cell>
          <cell r="G2402" t="str">
            <v>A0T-985</v>
          </cell>
          <cell r="H2402" t="str">
            <v>LAS BAMBAS</v>
          </cell>
          <cell r="I2402">
            <v>185155</v>
          </cell>
          <cell r="J2402" t="str">
            <v>REPUESTO</v>
          </cell>
          <cell r="K2402" t="str">
            <v>FILTRO AIRE</v>
          </cell>
          <cell r="L2402">
            <v>1</v>
          </cell>
          <cell r="M2402" t="str">
            <v>UNID.</v>
          </cell>
          <cell r="N2402" t="str">
            <v>TRACTO</v>
          </cell>
          <cell r="O2402">
            <v>0</v>
          </cell>
          <cell r="P2402" t="str">
            <v>M3</v>
          </cell>
          <cell r="Q2402" t="str">
            <v>J2</v>
          </cell>
          <cell r="R2402" t="str">
            <v>J2</v>
          </cell>
          <cell r="S2402" t="str">
            <v>ENTREGADO</v>
          </cell>
          <cell r="T2402">
            <v>42713</v>
          </cell>
          <cell r="U2402" t="str">
            <v>GARCIA PASQUEL  JOSE LUIS</v>
          </cell>
          <cell r="V2402" t="str">
            <v>CORIHUAMAN SURCO  ERICK ROBERT</v>
          </cell>
        </row>
        <row r="2403">
          <cell r="A2403">
            <v>2409</v>
          </cell>
          <cell r="B2403">
            <v>42713</v>
          </cell>
          <cell r="C2403" t="str">
            <v>DICIEMBRE</v>
          </cell>
          <cell r="D2403" t="str">
            <v>2016</v>
          </cell>
          <cell r="E2403">
            <v>558</v>
          </cell>
          <cell r="F2403" t="str">
            <v>D3P-747</v>
          </cell>
          <cell r="G2403" t="str">
            <v>A0T-985</v>
          </cell>
          <cell r="H2403" t="str">
            <v>LAS BAMBAS</v>
          </cell>
          <cell r="I2403">
            <v>185155</v>
          </cell>
          <cell r="J2403" t="str">
            <v>REPUESTO</v>
          </cell>
          <cell r="K2403" t="str">
            <v>FILTRO DE ACEITE</v>
          </cell>
          <cell r="L2403">
            <v>2</v>
          </cell>
          <cell r="M2403" t="str">
            <v>UNID.</v>
          </cell>
          <cell r="N2403" t="str">
            <v>TRACTO</v>
          </cell>
          <cell r="O2403">
            <v>0</v>
          </cell>
          <cell r="P2403" t="str">
            <v>M3</v>
          </cell>
          <cell r="Q2403" t="str">
            <v>J2</v>
          </cell>
          <cell r="R2403" t="str">
            <v>J2</v>
          </cell>
          <cell r="S2403" t="str">
            <v>ENTREGADO</v>
          </cell>
          <cell r="T2403">
            <v>42713</v>
          </cell>
          <cell r="U2403" t="str">
            <v>GARCIA PASQUEL  JOSE LUIS</v>
          </cell>
          <cell r="V2403" t="str">
            <v>CORIHUAMAN SURCO  ERICK ROBERT</v>
          </cell>
        </row>
        <row r="2404">
          <cell r="A2404">
            <v>2410</v>
          </cell>
          <cell r="B2404">
            <v>42713</v>
          </cell>
          <cell r="C2404" t="str">
            <v>DICIEMBRE</v>
          </cell>
          <cell r="D2404" t="str">
            <v>2016</v>
          </cell>
          <cell r="E2404">
            <v>558</v>
          </cell>
          <cell r="F2404" t="str">
            <v>D3P-747</v>
          </cell>
          <cell r="G2404" t="str">
            <v>A0T-985</v>
          </cell>
          <cell r="H2404" t="str">
            <v>LAS BAMBAS</v>
          </cell>
          <cell r="I2404">
            <v>185155</v>
          </cell>
          <cell r="J2404" t="str">
            <v>REPUESTO</v>
          </cell>
          <cell r="K2404" t="str">
            <v>FILTRO DE COMBUSTIBLE</v>
          </cell>
          <cell r="L2404">
            <v>2</v>
          </cell>
          <cell r="M2404" t="str">
            <v>UNID.</v>
          </cell>
          <cell r="N2404" t="str">
            <v>TRACTO</v>
          </cell>
          <cell r="O2404">
            <v>0</v>
          </cell>
          <cell r="P2404" t="str">
            <v>M3</v>
          </cell>
          <cell r="Q2404" t="str">
            <v>J2</v>
          </cell>
          <cell r="R2404" t="str">
            <v>J2</v>
          </cell>
          <cell r="S2404" t="str">
            <v>ENTREGADO</v>
          </cell>
          <cell r="T2404">
            <v>42713</v>
          </cell>
          <cell r="U2404" t="str">
            <v>GARCIA PASQUEL  JOSE LUIS</v>
          </cell>
          <cell r="V2404" t="str">
            <v>CORIHUAMAN SURCO  ERICK ROBERT</v>
          </cell>
        </row>
        <row r="2405">
          <cell r="A2405">
            <v>2411</v>
          </cell>
          <cell r="B2405">
            <v>42713</v>
          </cell>
          <cell r="C2405" t="str">
            <v>DICIEMBRE</v>
          </cell>
          <cell r="D2405" t="str">
            <v>2016</v>
          </cell>
          <cell r="E2405">
            <v>558</v>
          </cell>
          <cell r="F2405" t="str">
            <v>D3P-747</v>
          </cell>
          <cell r="G2405" t="str">
            <v>A0T-985</v>
          </cell>
          <cell r="H2405" t="str">
            <v>LAS BAMBAS</v>
          </cell>
          <cell r="I2405">
            <v>185155</v>
          </cell>
          <cell r="J2405" t="str">
            <v>REPUESTO</v>
          </cell>
          <cell r="K2405" t="str">
            <v>ACEITE 15W40</v>
          </cell>
          <cell r="L2405">
            <v>1</v>
          </cell>
          <cell r="M2405" t="str">
            <v>GLNS.</v>
          </cell>
          <cell r="N2405" t="str">
            <v>TRACTO</v>
          </cell>
          <cell r="O2405">
            <v>0</v>
          </cell>
          <cell r="P2405" t="str">
            <v>M3</v>
          </cell>
          <cell r="Q2405" t="str">
            <v>J2</v>
          </cell>
          <cell r="R2405" t="str">
            <v>J2</v>
          </cell>
          <cell r="S2405" t="str">
            <v>ENTREGADO</v>
          </cell>
          <cell r="T2405">
            <v>42713</v>
          </cell>
          <cell r="U2405" t="str">
            <v>GARCIA PASQUEL  JOSE LUIS</v>
          </cell>
          <cell r="V2405" t="str">
            <v>CORIHUAMAN SURCO  ERICK ROBERT</v>
          </cell>
        </row>
        <row r="2406">
          <cell r="A2406">
            <v>2343</v>
          </cell>
          <cell r="B2406">
            <v>42713</v>
          </cell>
          <cell r="C2406" t="str">
            <v>DICIEMBRE</v>
          </cell>
          <cell r="D2406" t="str">
            <v>2016</v>
          </cell>
          <cell r="E2406">
            <v>506</v>
          </cell>
          <cell r="F2406" t="str">
            <v>D3P-754</v>
          </cell>
          <cell r="G2406" t="str">
            <v>C0V-971</v>
          </cell>
          <cell r="H2406" t="str">
            <v>LAS BAMBAS</v>
          </cell>
          <cell r="I2406">
            <v>163530</v>
          </cell>
          <cell r="J2406" t="str">
            <v>SERVICIO</v>
          </cell>
          <cell r="K2406" t="str">
            <v>SERVICIO DE REMACHADO DE ZAPATAS</v>
          </cell>
          <cell r="L2406">
            <v>1</v>
          </cell>
          <cell r="M2406" t="str">
            <v>UNID.</v>
          </cell>
          <cell r="N2406" t="str">
            <v>CISTERNA</v>
          </cell>
          <cell r="O2406">
            <v>0</v>
          </cell>
          <cell r="P2406" t="str">
            <v>M2</v>
          </cell>
          <cell r="Q2406" t="str">
            <v>J2</v>
          </cell>
          <cell r="R2406" t="str">
            <v>J6</v>
          </cell>
          <cell r="S2406" t="str">
            <v>ENTREGADO</v>
          </cell>
          <cell r="T2406">
            <v>42713</v>
          </cell>
          <cell r="U2406" t="str">
            <v>CHUMPITAZ GAGO JULIO ENRIQUE</v>
          </cell>
          <cell r="V2406" t="str">
            <v>CORIHUAMAN SURCO  ERICK ROBERT</v>
          </cell>
        </row>
        <row r="2407">
          <cell r="A2407">
            <v>2383</v>
          </cell>
          <cell r="B2407">
            <v>42713</v>
          </cell>
          <cell r="C2407" t="str">
            <v>DICIEMBRE</v>
          </cell>
          <cell r="D2407" t="str">
            <v>2016</v>
          </cell>
          <cell r="E2407">
            <v>506</v>
          </cell>
          <cell r="F2407" t="str">
            <v>D3P-754</v>
          </cell>
          <cell r="G2407" t="str">
            <v>C0V-971</v>
          </cell>
          <cell r="H2407" t="str">
            <v>LAS BAMBAS</v>
          </cell>
          <cell r="I2407">
            <v>163530</v>
          </cell>
          <cell r="J2407" t="str">
            <v>REPUESTO</v>
          </cell>
          <cell r="K2407" t="str">
            <v>JEBE GRANDE TAPA MANHOLE</v>
          </cell>
          <cell r="L2407">
            <v>1</v>
          </cell>
          <cell r="M2407" t="str">
            <v>UNID.</v>
          </cell>
          <cell r="N2407" t="str">
            <v>CISTERNA</v>
          </cell>
          <cell r="O2407">
            <v>77</v>
          </cell>
          <cell r="P2407" t="str">
            <v>M2</v>
          </cell>
          <cell r="Q2407" t="str">
            <v>J2</v>
          </cell>
          <cell r="R2407" t="str">
            <v>J6</v>
          </cell>
          <cell r="S2407" t="str">
            <v>PENDIENTE</v>
          </cell>
          <cell r="T2407">
            <v>0</v>
          </cell>
          <cell r="U2407" t="str">
            <v>CHUMPITAZ GAGO JULIO ENRIQUE</v>
          </cell>
          <cell r="V2407" t="str">
            <v>CORIHUAMAN SURCO  ERICK ROBERT</v>
          </cell>
        </row>
        <row r="2408">
          <cell r="A2408">
            <v>2384</v>
          </cell>
          <cell r="B2408">
            <v>42713</v>
          </cell>
          <cell r="C2408" t="str">
            <v>DICIEMBRE</v>
          </cell>
          <cell r="D2408" t="str">
            <v>2016</v>
          </cell>
          <cell r="E2408">
            <v>506</v>
          </cell>
          <cell r="F2408" t="str">
            <v>D3P-754</v>
          </cell>
          <cell r="G2408" t="str">
            <v>C0V-971</v>
          </cell>
          <cell r="H2408" t="str">
            <v>LAS BAMBAS</v>
          </cell>
          <cell r="I2408">
            <v>163530</v>
          </cell>
          <cell r="J2408" t="str">
            <v>REPUESTO</v>
          </cell>
          <cell r="K2408" t="str">
            <v>JEBE CHICO TAPA MANHOLE</v>
          </cell>
          <cell r="L2408">
            <v>1</v>
          </cell>
          <cell r="M2408" t="str">
            <v>UNID.</v>
          </cell>
          <cell r="N2408" t="str">
            <v>CISTERNA</v>
          </cell>
          <cell r="O2408">
            <v>77</v>
          </cell>
          <cell r="P2408" t="str">
            <v>M2</v>
          </cell>
          <cell r="Q2408" t="str">
            <v>J2</v>
          </cell>
          <cell r="R2408" t="str">
            <v>J6</v>
          </cell>
          <cell r="S2408" t="str">
            <v>PENDIENTE</v>
          </cell>
          <cell r="T2408">
            <v>0</v>
          </cell>
          <cell r="U2408" t="str">
            <v>CHUMPITAZ GAGO JULIO ENRIQUE</v>
          </cell>
          <cell r="V2408" t="str">
            <v>CORIHUAMAN SURCO  ERICK ROBERT</v>
          </cell>
        </row>
        <row r="2409">
          <cell r="A2409">
            <v>2385</v>
          </cell>
          <cell r="B2409">
            <v>42713</v>
          </cell>
          <cell r="C2409" t="str">
            <v>DICIEMBRE</v>
          </cell>
          <cell r="D2409" t="str">
            <v>2016</v>
          </cell>
          <cell r="E2409">
            <v>506</v>
          </cell>
          <cell r="F2409" t="str">
            <v>D3P-754</v>
          </cell>
          <cell r="G2409" t="str">
            <v>C0V-971</v>
          </cell>
          <cell r="H2409" t="str">
            <v>LAS BAMBAS</v>
          </cell>
          <cell r="I2409">
            <v>163530</v>
          </cell>
          <cell r="J2409" t="str">
            <v>REPUESTO</v>
          </cell>
          <cell r="K2409" t="str">
            <v>PERNO MANHOLE 3/8 X 6</v>
          </cell>
          <cell r="L2409">
            <v>1</v>
          </cell>
          <cell r="M2409" t="str">
            <v>UNID.</v>
          </cell>
          <cell r="N2409" t="str">
            <v>CISTERNA</v>
          </cell>
          <cell r="O2409">
            <v>0</v>
          </cell>
          <cell r="P2409" t="str">
            <v>M2</v>
          </cell>
          <cell r="Q2409" t="str">
            <v>J2</v>
          </cell>
          <cell r="R2409" t="str">
            <v>J6</v>
          </cell>
          <cell r="S2409" t="str">
            <v>ENTREGADO</v>
          </cell>
          <cell r="T2409">
            <v>42713</v>
          </cell>
          <cell r="U2409" t="str">
            <v>CHUMPITAZ GAGO JULIO ENRIQUE</v>
          </cell>
          <cell r="V2409" t="str">
            <v>CORIHUAMAN SURCO  ERICK ROBERT</v>
          </cell>
        </row>
        <row r="2410">
          <cell r="A2410">
            <v>2386</v>
          </cell>
          <cell r="B2410">
            <v>42713</v>
          </cell>
          <cell r="C2410" t="str">
            <v>DICIEMBRE</v>
          </cell>
          <cell r="D2410" t="str">
            <v>2016</v>
          </cell>
          <cell r="E2410">
            <v>506</v>
          </cell>
          <cell r="F2410" t="str">
            <v>D3P-754</v>
          </cell>
          <cell r="G2410" t="str">
            <v>C0V-971</v>
          </cell>
          <cell r="H2410" t="str">
            <v>LAS BAMBAS</v>
          </cell>
          <cell r="I2410">
            <v>163530</v>
          </cell>
          <cell r="J2410" t="str">
            <v>REPUESTO</v>
          </cell>
          <cell r="K2410" t="str">
            <v>TUERCA DE PERNO MANHOLE 3/8</v>
          </cell>
          <cell r="L2410">
            <v>2</v>
          </cell>
          <cell r="M2410" t="str">
            <v>UNID.</v>
          </cell>
          <cell r="N2410" t="str">
            <v>CISTERNA</v>
          </cell>
          <cell r="O2410">
            <v>0</v>
          </cell>
          <cell r="P2410" t="str">
            <v>M2</v>
          </cell>
          <cell r="Q2410" t="str">
            <v>J2</v>
          </cell>
          <cell r="R2410" t="str">
            <v>J6</v>
          </cell>
          <cell r="S2410" t="str">
            <v>ENTREGADO</v>
          </cell>
          <cell r="T2410">
            <v>42713</v>
          </cell>
          <cell r="U2410" t="str">
            <v>CHUMPITAZ GAGO JULIO ENRIQUE</v>
          </cell>
          <cell r="V2410" t="str">
            <v>CORIHUAMAN SURCO  ERICK ROBERT</v>
          </cell>
        </row>
        <row r="2411">
          <cell r="A2411">
            <v>2372</v>
          </cell>
          <cell r="B2411">
            <v>42713</v>
          </cell>
          <cell r="C2411">
            <v>0</v>
          </cell>
          <cell r="D2411">
            <v>0</v>
          </cell>
          <cell r="E2411">
            <v>560</v>
          </cell>
          <cell r="F2411" t="str">
            <v>D3S-767</v>
          </cell>
          <cell r="G2411" t="str">
            <v>B8L-973</v>
          </cell>
          <cell r="H2411" t="str">
            <v>LAS BAMBAS</v>
          </cell>
          <cell r="I2411">
            <v>185531</v>
          </cell>
          <cell r="J2411" t="str">
            <v>REPUESTO</v>
          </cell>
          <cell r="K2411" t="str">
            <v>BOCINAS TEMPLADORAS</v>
          </cell>
          <cell r="L2411">
            <v>2</v>
          </cell>
          <cell r="M2411" t="str">
            <v>UNID.</v>
          </cell>
          <cell r="N2411" t="str">
            <v>CISTERNA</v>
          </cell>
          <cell r="O2411">
            <v>0</v>
          </cell>
          <cell r="P2411" t="str">
            <v>S2</v>
          </cell>
          <cell r="Q2411" t="str">
            <v>J2</v>
          </cell>
          <cell r="R2411" t="str">
            <v>J6</v>
          </cell>
          <cell r="S2411" t="str">
            <v>ENTREGADO</v>
          </cell>
          <cell r="T2411">
            <v>42713</v>
          </cell>
          <cell r="U2411" t="str">
            <v>PALOMINO ESTRADA  MICHEL</v>
          </cell>
          <cell r="V2411" t="str">
            <v>CORIHUAMAN SURCO  ERICK ROBERT</v>
          </cell>
        </row>
        <row r="2412">
          <cell r="A2412">
            <v>2373</v>
          </cell>
          <cell r="B2412">
            <v>42713</v>
          </cell>
          <cell r="C2412">
            <v>0</v>
          </cell>
          <cell r="D2412">
            <v>0</v>
          </cell>
          <cell r="E2412">
            <v>560</v>
          </cell>
          <cell r="F2412" t="str">
            <v>D3S-767</v>
          </cell>
          <cell r="G2412" t="str">
            <v>B8L-973</v>
          </cell>
          <cell r="H2412" t="str">
            <v>LAS BAMBAS</v>
          </cell>
          <cell r="I2412">
            <v>185531</v>
          </cell>
          <cell r="J2412" t="str">
            <v>REPUESTO</v>
          </cell>
          <cell r="K2412" t="str">
            <v>GRASERAS 1/8 NPT</v>
          </cell>
          <cell r="L2412">
            <v>2</v>
          </cell>
          <cell r="M2412" t="str">
            <v>UNID.</v>
          </cell>
          <cell r="N2412" t="str">
            <v>CISTERNA</v>
          </cell>
          <cell r="O2412">
            <v>0</v>
          </cell>
          <cell r="P2412" t="str">
            <v>S2</v>
          </cell>
          <cell r="Q2412" t="str">
            <v>J2</v>
          </cell>
          <cell r="R2412" t="str">
            <v>J6</v>
          </cell>
          <cell r="S2412" t="str">
            <v>ENTREGADO</v>
          </cell>
          <cell r="T2412">
            <v>42713</v>
          </cell>
          <cell r="U2412" t="str">
            <v>PALOMINO ESTRADA  MICHEL</v>
          </cell>
          <cell r="V2412" t="str">
            <v>CORIHUAMAN SURCO  ERICK ROBERT</v>
          </cell>
        </row>
        <row r="2413">
          <cell r="A2413">
            <v>2374</v>
          </cell>
          <cell r="B2413">
            <v>42713</v>
          </cell>
          <cell r="C2413" t="str">
            <v>DICIEMBRE</v>
          </cell>
          <cell r="D2413" t="str">
            <v>2016</v>
          </cell>
          <cell r="E2413">
            <v>560</v>
          </cell>
          <cell r="F2413" t="str">
            <v>D3S-767</v>
          </cell>
          <cell r="G2413" t="str">
            <v>B8L-973</v>
          </cell>
          <cell r="H2413" t="str">
            <v>LAS BAMBAS</v>
          </cell>
          <cell r="I2413">
            <v>185531</v>
          </cell>
          <cell r="J2413" t="str">
            <v>REPUESTO</v>
          </cell>
          <cell r="K2413" t="str">
            <v>SUPERCITO 5/32</v>
          </cell>
          <cell r="L2413">
            <v>5</v>
          </cell>
          <cell r="M2413" t="str">
            <v>KG.</v>
          </cell>
          <cell r="N2413" t="str">
            <v>CISTERNA</v>
          </cell>
          <cell r="O2413">
            <v>0</v>
          </cell>
          <cell r="P2413" t="str">
            <v>S2</v>
          </cell>
          <cell r="Q2413" t="str">
            <v>J2</v>
          </cell>
          <cell r="R2413" t="str">
            <v>J6</v>
          </cell>
          <cell r="S2413" t="str">
            <v>ENTREGADO</v>
          </cell>
          <cell r="T2413">
            <v>42713</v>
          </cell>
          <cell r="U2413" t="str">
            <v>PALOMINO ESTRADA  MICHEL</v>
          </cell>
          <cell r="V2413" t="str">
            <v>CORIHUAMAN SURCO  ERICK ROBERT</v>
          </cell>
        </row>
        <row r="2414">
          <cell r="A2414">
            <v>2404</v>
          </cell>
          <cell r="B2414">
            <v>42713</v>
          </cell>
          <cell r="C2414" t="str">
            <v>DICIEMBRE</v>
          </cell>
          <cell r="D2414" t="str">
            <v>2016</v>
          </cell>
          <cell r="E2414">
            <v>560</v>
          </cell>
          <cell r="F2414" t="str">
            <v>D3S-767</v>
          </cell>
          <cell r="G2414" t="str">
            <v>B8L-973</v>
          </cell>
          <cell r="H2414" t="str">
            <v>LAS BAMBAS</v>
          </cell>
          <cell r="I2414">
            <v>185531</v>
          </cell>
          <cell r="J2414" t="str">
            <v>REPUESTO</v>
          </cell>
          <cell r="K2414" t="str">
            <v>LIMPIA PARABRISAS</v>
          </cell>
          <cell r="L2414">
            <v>1</v>
          </cell>
          <cell r="M2414" t="str">
            <v>GLNS.</v>
          </cell>
          <cell r="N2414" t="str">
            <v>TRACTO</v>
          </cell>
          <cell r="O2414">
            <v>0</v>
          </cell>
          <cell r="P2414" t="str">
            <v>M3</v>
          </cell>
          <cell r="Q2414" t="str">
            <v>J2</v>
          </cell>
          <cell r="R2414" t="str">
            <v>J2</v>
          </cell>
          <cell r="S2414" t="str">
            <v>ENTREGADO</v>
          </cell>
          <cell r="T2414">
            <v>42713</v>
          </cell>
          <cell r="U2414" t="str">
            <v>GARCIA PASQUEL  JOSE LUIS</v>
          </cell>
          <cell r="V2414" t="str">
            <v>CORIHUAMAN SURCO  ERICK ROBERT</v>
          </cell>
        </row>
        <row r="2415">
          <cell r="A2415">
            <v>2406</v>
          </cell>
          <cell r="B2415">
            <v>42713</v>
          </cell>
          <cell r="C2415" t="str">
            <v>DICIEMBRE</v>
          </cell>
          <cell r="D2415" t="str">
            <v>2016</v>
          </cell>
          <cell r="E2415">
            <v>521</v>
          </cell>
          <cell r="F2415" t="str">
            <v>D4T-927</v>
          </cell>
          <cell r="G2415" t="str">
            <v>B4Q-976</v>
          </cell>
          <cell r="H2415" t="str">
            <v>LAS BAMBAS</v>
          </cell>
          <cell r="I2415">
            <v>197963</v>
          </cell>
          <cell r="J2415" t="str">
            <v>REPUESTO</v>
          </cell>
          <cell r="K2415" t="str">
            <v>TECLA DE ELEVALUNAS LADO IZQUIERDO</v>
          </cell>
          <cell r="L2415">
            <v>1</v>
          </cell>
          <cell r="M2415" t="str">
            <v>UNID.</v>
          </cell>
          <cell r="N2415" t="str">
            <v>TRACTO</v>
          </cell>
          <cell r="O2415">
            <v>0</v>
          </cell>
          <cell r="P2415" t="str">
            <v>E1</v>
          </cell>
          <cell r="Q2415" t="str">
            <v>J2</v>
          </cell>
          <cell r="R2415" t="str">
            <v>J2</v>
          </cell>
          <cell r="S2415" t="str">
            <v>ENTREGADO</v>
          </cell>
          <cell r="T2415">
            <v>42713</v>
          </cell>
          <cell r="U2415" t="str">
            <v>PALOMINO CARDENAS JUAN CARLOS</v>
          </cell>
          <cell r="V2415" t="str">
            <v>CORIHUAMAN SURCO  ERICK ROBERT</v>
          </cell>
        </row>
        <row r="2416">
          <cell r="A2416">
            <v>2358</v>
          </cell>
          <cell r="B2416">
            <v>42713</v>
          </cell>
          <cell r="C2416" t="str">
            <v>DICIEMBRE</v>
          </cell>
          <cell r="D2416" t="str">
            <v>2016</v>
          </cell>
          <cell r="E2416">
            <v>555</v>
          </cell>
          <cell r="F2416" t="str">
            <v>D7V-714</v>
          </cell>
          <cell r="G2416" t="str">
            <v>F7M-971</v>
          </cell>
          <cell r="H2416" t="str">
            <v>LAS BAMBAS</v>
          </cell>
          <cell r="I2416">
            <v>49720</v>
          </cell>
          <cell r="J2416" t="str">
            <v>REPUESTO</v>
          </cell>
          <cell r="K2416" t="str">
            <v>MANGUERA ESPIRAL PASE DE AIRE A LA CARRETA ROJO</v>
          </cell>
          <cell r="L2416">
            <v>1</v>
          </cell>
          <cell r="M2416" t="str">
            <v>UNID.</v>
          </cell>
          <cell r="N2416" t="str">
            <v>TRACTO</v>
          </cell>
          <cell r="O2416">
            <v>0</v>
          </cell>
          <cell r="P2416" t="str">
            <v>M7</v>
          </cell>
          <cell r="Q2416" t="str">
            <v>J2</v>
          </cell>
          <cell r="R2416" t="str">
            <v>J6</v>
          </cell>
          <cell r="S2416" t="str">
            <v>ENTREGADO</v>
          </cell>
          <cell r="T2416">
            <v>42713</v>
          </cell>
          <cell r="U2416" t="str">
            <v>ROBLES ROJAS  JOSE MIGUEL</v>
          </cell>
          <cell r="V2416" t="str">
            <v>CORIHUAMAN SURCO  ERICK ROBERT</v>
          </cell>
        </row>
        <row r="2417">
          <cell r="A2417">
            <v>2359</v>
          </cell>
          <cell r="B2417">
            <v>42713</v>
          </cell>
          <cell r="C2417" t="str">
            <v>DICIEMBRE</v>
          </cell>
          <cell r="D2417" t="str">
            <v>2016</v>
          </cell>
          <cell r="E2417">
            <v>555</v>
          </cell>
          <cell r="F2417" t="str">
            <v>D7V-714</v>
          </cell>
          <cell r="G2417" t="str">
            <v>F7M-971</v>
          </cell>
          <cell r="H2417" t="str">
            <v>LAS BAMBAS</v>
          </cell>
          <cell r="I2417">
            <v>49720</v>
          </cell>
          <cell r="J2417" t="str">
            <v>REPUESTO</v>
          </cell>
          <cell r="K2417" t="str">
            <v>MANGUERA ESPIRAL PASE DE AIRE A LA CARRETA AZUL</v>
          </cell>
          <cell r="L2417">
            <v>1</v>
          </cell>
          <cell r="M2417" t="str">
            <v>UNID.</v>
          </cell>
          <cell r="N2417" t="str">
            <v>TRACTO</v>
          </cell>
          <cell r="O2417">
            <v>0</v>
          </cell>
          <cell r="P2417" t="str">
            <v>M7</v>
          </cell>
          <cell r="Q2417" t="str">
            <v>J2</v>
          </cell>
          <cell r="R2417" t="str">
            <v>J6</v>
          </cell>
          <cell r="S2417" t="str">
            <v>ENTREGADO</v>
          </cell>
          <cell r="T2417">
            <v>42713</v>
          </cell>
          <cell r="U2417" t="str">
            <v>ROBLES ROJAS  JOSE MIGUEL</v>
          </cell>
          <cell r="V2417" t="str">
            <v>CORIHUAMAN SURCO  ERICK ROBERT</v>
          </cell>
        </row>
        <row r="2418">
          <cell r="A2418">
            <v>2376</v>
          </cell>
          <cell r="B2418">
            <v>42713</v>
          </cell>
          <cell r="C2418" t="str">
            <v>DICIEMBRE</v>
          </cell>
          <cell r="D2418" t="str">
            <v>2016</v>
          </cell>
          <cell r="E2418">
            <v>555</v>
          </cell>
          <cell r="F2418" t="str">
            <v>D7V-714</v>
          </cell>
          <cell r="G2418" t="str">
            <v>F7M-971</v>
          </cell>
          <cell r="H2418" t="str">
            <v>LAS BAMBAS</v>
          </cell>
          <cell r="I2418">
            <v>49720</v>
          </cell>
          <cell r="J2418" t="str">
            <v>REPUESTO</v>
          </cell>
          <cell r="K2418" t="str">
            <v xml:space="preserve">LLANTAS </v>
          </cell>
          <cell r="L2418">
            <v>8</v>
          </cell>
          <cell r="M2418" t="str">
            <v>UNID.</v>
          </cell>
          <cell r="N2418" t="str">
            <v>CISTERNA</v>
          </cell>
          <cell r="O2418">
            <v>0</v>
          </cell>
          <cell r="P2418" t="str">
            <v>N1</v>
          </cell>
          <cell r="Q2418" t="str">
            <v>J2</v>
          </cell>
          <cell r="R2418" t="str">
            <v>J6</v>
          </cell>
          <cell r="S2418" t="str">
            <v>ENTREGADO</v>
          </cell>
          <cell r="T2418">
            <v>42713</v>
          </cell>
          <cell r="U2418" t="str">
            <v>AGUILAR CCANTUTA WILLY</v>
          </cell>
          <cell r="V2418" t="str">
            <v>CORIHUAMAN SURCO  ERICK ROBERT</v>
          </cell>
        </row>
        <row r="2419">
          <cell r="A2419">
            <v>2356</v>
          </cell>
          <cell r="B2419">
            <v>42713</v>
          </cell>
          <cell r="C2419" t="str">
            <v>DICIEMBRE</v>
          </cell>
          <cell r="D2419" t="str">
            <v>2016</v>
          </cell>
          <cell r="E2419">
            <v>200</v>
          </cell>
          <cell r="F2419" t="str">
            <v>TALLER</v>
          </cell>
          <cell r="G2419" t="str">
            <v>TALLER</v>
          </cell>
          <cell r="H2419" t="str">
            <v>TALLER</v>
          </cell>
          <cell r="I2419" t="str">
            <v>TALLER</v>
          </cell>
          <cell r="J2419" t="str">
            <v>REPUESTO</v>
          </cell>
          <cell r="K2419" t="str">
            <v>TUBO RECTANGULAR 2 X 1 X 2.8 X 6M</v>
          </cell>
          <cell r="L2419">
            <v>2</v>
          </cell>
          <cell r="M2419" t="str">
            <v>UNID.</v>
          </cell>
          <cell r="N2419" t="str">
            <v>TALLER</v>
          </cell>
          <cell r="O2419">
            <v>77</v>
          </cell>
          <cell r="P2419" t="str">
            <v>S1</v>
          </cell>
          <cell r="Q2419" t="str">
            <v>J2</v>
          </cell>
          <cell r="R2419" t="str">
            <v>J6</v>
          </cell>
          <cell r="S2419" t="str">
            <v>PENDIENTE</v>
          </cell>
          <cell r="T2419">
            <v>0</v>
          </cell>
          <cell r="U2419" t="str">
            <v>BAYONA CRUZ CRISTIAN ARMANDO</v>
          </cell>
          <cell r="V2419" t="str">
            <v>CORIHUAMAN SURCO  ERICK ROBERT</v>
          </cell>
        </row>
        <row r="2420">
          <cell r="A2420">
            <v>2357</v>
          </cell>
          <cell r="B2420">
            <v>42713</v>
          </cell>
          <cell r="C2420" t="str">
            <v>DICIEMBRE</v>
          </cell>
          <cell r="D2420" t="str">
            <v>2016</v>
          </cell>
          <cell r="E2420">
            <v>200</v>
          </cell>
          <cell r="F2420" t="str">
            <v>TALLER</v>
          </cell>
          <cell r="G2420" t="str">
            <v>TALLER</v>
          </cell>
          <cell r="H2420" t="str">
            <v>TALLER</v>
          </cell>
          <cell r="I2420" t="str">
            <v>TALLER</v>
          </cell>
          <cell r="J2420" t="str">
            <v>INSUMO TALLER</v>
          </cell>
          <cell r="K2420" t="str">
            <v>VARILLAS INOXIDABLE 1/8</v>
          </cell>
          <cell r="L2420">
            <v>6</v>
          </cell>
          <cell r="M2420" t="str">
            <v>UNID.</v>
          </cell>
          <cell r="N2420" t="str">
            <v>TALLER</v>
          </cell>
          <cell r="O2420">
            <v>0</v>
          </cell>
          <cell r="P2420" t="str">
            <v>S1</v>
          </cell>
          <cell r="Q2420" t="str">
            <v>J2</v>
          </cell>
          <cell r="R2420" t="str">
            <v>J6</v>
          </cell>
          <cell r="S2420" t="str">
            <v>ENTREGADO</v>
          </cell>
          <cell r="T2420">
            <v>42713</v>
          </cell>
          <cell r="U2420" t="str">
            <v>BAYONA CRUZ CRISTIAN ARMANDO</v>
          </cell>
          <cell r="V2420" t="str">
            <v>CORIHUAMAN SURCO  ERICK ROBERT</v>
          </cell>
        </row>
        <row r="2421">
          <cell r="A2421">
            <v>2396</v>
          </cell>
          <cell r="B2421">
            <v>42713</v>
          </cell>
          <cell r="C2421" t="str">
            <v>DICIEMBRE</v>
          </cell>
          <cell r="D2421" t="str">
            <v>2016</v>
          </cell>
          <cell r="E2421">
            <v>200</v>
          </cell>
          <cell r="F2421" t="str">
            <v>TALLER</v>
          </cell>
          <cell r="G2421" t="str">
            <v>TALLER</v>
          </cell>
          <cell r="H2421" t="str">
            <v>TALLER</v>
          </cell>
          <cell r="I2421" t="str">
            <v>TALLER</v>
          </cell>
          <cell r="J2421" t="str">
            <v>UNIFORMES</v>
          </cell>
          <cell r="K2421" t="str">
            <v>TAIVEX "L"</v>
          </cell>
          <cell r="L2421">
            <v>1</v>
          </cell>
          <cell r="M2421" t="str">
            <v>UNID.</v>
          </cell>
          <cell r="N2421" t="str">
            <v>TALLER</v>
          </cell>
          <cell r="O2421">
            <v>0</v>
          </cell>
          <cell r="P2421" t="str">
            <v>M7</v>
          </cell>
          <cell r="Q2421" t="str">
            <v>J2</v>
          </cell>
          <cell r="R2421" t="str">
            <v>J6</v>
          </cell>
          <cell r="S2421" t="str">
            <v>ENTREGADO</v>
          </cell>
          <cell r="T2421">
            <v>42713</v>
          </cell>
          <cell r="U2421" t="str">
            <v>ROBLES ROJAS  JOSE MIGUEL</v>
          </cell>
          <cell r="V2421" t="str">
            <v>CORIHUAMAN SURCO  ERICK ROBERT</v>
          </cell>
        </row>
        <row r="2422">
          <cell r="A2422">
            <v>2399</v>
          </cell>
          <cell r="B2422">
            <v>42713</v>
          </cell>
          <cell r="C2422" t="str">
            <v>DICIEMBRE</v>
          </cell>
          <cell r="D2422" t="str">
            <v>2016</v>
          </cell>
          <cell r="E2422">
            <v>200</v>
          </cell>
          <cell r="F2422" t="str">
            <v>TALLER</v>
          </cell>
          <cell r="G2422" t="str">
            <v>TALLER</v>
          </cell>
          <cell r="H2422" t="str">
            <v>TALLER</v>
          </cell>
          <cell r="I2422" t="str">
            <v>TALLER</v>
          </cell>
          <cell r="J2422" t="str">
            <v>INSUMO TALLER</v>
          </cell>
          <cell r="K2422" t="str">
            <v>CINTA AISLANTE NEGRA</v>
          </cell>
          <cell r="L2422">
            <v>1</v>
          </cell>
          <cell r="M2422" t="str">
            <v>UNID.</v>
          </cell>
          <cell r="N2422" t="str">
            <v>TALLER</v>
          </cell>
          <cell r="O2422">
            <v>0</v>
          </cell>
          <cell r="P2422" t="str">
            <v>E3</v>
          </cell>
          <cell r="Q2422" t="str">
            <v>J2</v>
          </cell>
          <cell r="R2422" t="str">
            <v>J6</v>
          </cell>
          <cell r="S2422" t="str">
            <v>ENTREGADO</v>
          </cell>
          <cell r="T2422">
            <v>42713</v>
          </cell>
          <cell r="U2422" t="str">
            <v>CONDORI CHURATA ALEX</v>
          </cell>
          <cell r="V2422" t="str">
            <v>CORIHUAMAN SURCO  ERICK ROBERT</v>
          </cell>
        </row>
        <row r="2423">
          <cell r="A2423">
            <v>2400</v>
          </cell>
          <cell r="B2423">
            <v>42713</v>
          </cell>
          <cell r="C2423" t="str">
            <v>DICIEMBRE</v>
          </cell>
          <cell r="D2423" t="str">
            <v>2016</v>
          </cell>
          <cell r="E2423">
            <v>200</v>
          </cell>
          <cell r="F2423" t="str">
            <v>TALLER</v>
          </cell>
          <cell r="G2423" t="str">
            <v>TALLER</v>
          </cell>
          <cell r="H2423" t="str">
            <v>TALLER</v>
          </cell>
          <cell r="I2423" t="str">
            <v>TALLER</v>
          </cell>
          <cell r="J2423" t="str">
            <v>REPUESTO</v>
          </cell>
          <cell r="K2423" t="str">
            <v>ARANDELA PLANA 3/4</v>
          </cell>
          <cell r="L2423">
            <v>1</v>
          </cell>
          <cell r="M2423" t="str">
            <v>UNID.</v>
          </cell>
          <cell r="N2423" t="str">
            <v>TALLER</v>
          </cell>
          <cell r="O2423">
            <v>0</v>
          </cell>
          <cell r="P2423" t="str">
            <v>E1</v>
          </cell>
          <cell r="Q2423" t="str">
            <v>J2</v>
          </cell>
          <cell r="R2423" t="str">
            <v>J6</v>
          </cell>
          <cell r="S2423" t="str">
            <v>ENTREGADO</v>
          </cell>
          <cell r="T2423">
            <v>42713</v>
          </cell>
          <cell r="U2423" t="str">
            <v>PALOMINO CARDENAS JUAN CARLOS</v>
          </cell>
          <cell r="V2423" t="str">
            <v>CORIHUAMAN SURCO  ERICK ROBERT</v>
          </cell>
        </row>
        <row r="2424">
          <cell r="A2424">
            <v>2401</v>
          </cell>
          <cell r="B2424">
            <v>42713</v>
          </cell>
          <cell r="C2424" t="str">
            <v>DICIEMBRE</v>
          </cell>
          <cell r="D2424" t="str">
            <v>2016</v>
          </cell>
          <cell r="E2424">
            <v>200</v>
          </cell>
          <cell r="F2424" t="str">
            <v>TALLER</v>
          </cell>
          <cell r="G2424" t="str">
            <v>TALLER</v>
          </cell>
          <cell r="H2424" t="str">
            <v>TALLER</v>
          </cell>
          <cell r="I2424" t="str">
            <v>TALLER</v>
          </cell>
          <cell r="J2424" t="str">
            <v>REPUESTO</v>
          </cell>
          <cell r="K2424" t="str">
            <v>PRESINTOS 200</v>
          </cell>
          <cell r="L2424">
            <v>3</v>
          </cell>
          <cell r="M2424" t="str">
            <v>UNID.</v>
          </cell>
          <cell r="N2424" t="str">
            <v>TALLER</v>
          </cell>
          <cell r="O2424">
            <v>0</v>
          </cell>
          <cell r="P2424" t="str">
            <v>E1</v>
          </cell>
          <cell r="Q2424" t="str">
            <v>J2</v>
          </cell>
          <cell r="R2424" t="str">
            <v>J6</v>
          </cell>
          <cell r="S2424" t="str">
            <v>ENTREGADO</v>
          </cell>
          <cell r="T2424">
            <v>42713</v>
          </cell>
          <cell r="U2424" t="str">
            <v>PALOMINO CARDENAS JUAN CARLOS</v>
          </cell>
          <cell r="V2424" t="str">
            <v>CORIHUAMAN SURCO  ERICK ROBERT</v>
          </cell>
        </row>
        <row r="2425">
          <cell r="A2425">
            <v>2402</v>
          </cell>
          <cell r="B2425">
            <v>42713</v>
          </cell>
          <cell r="C2425" t="str">
            <v>DICIEMBRE</v>
          </cell>
          <cell r="D2425" t="str">
            <v>2016</v>
          </cell>
          <cell r="E2425">
            <v>200</v>
          </cell>
          <cell r="F2425" t="str">
            <v>TALLER</v>
          </cell>
          <cell r="G2425" t="str">
            <v>TALLER</v>
          </cell>
          <cell r="H2425" t="str">
            <v>TALLER</v>
          </cell>
          <cell r="I2425" t="str">
            <v>TALLER</v>
          </cell>
          <cell r="J2425" t="str">
            <v>INSUMO TALLER</v>
          </cell>
          <cell r="K2425" t="str">
            <v>TUBO ESTANDAR 2"</v>
          </cell>
          <cell r="L2425">
            <v>11</v>
          </cell>
          <cell r="M2425" t="str">
            <v>UNID.</v>
          </cell>
          <cell r="N2425" t="str">
            <v>TALLER</v>
          </cell>
          <cell r="O2425">
            <v>77</v>
          </cell>
          <cell r="P2425" t="str">
            <v>S1</v>
          </cell>
          <cell r="Q2425" t="str">
            <v>J2</v>
          </cell>
          <cell r="R2425" t="str">
            <v>J6</v>
          </cell>
          <cell r="S2425" t="str">
            <v>PENDIENTE</v>
          </cell>
          <cell r="T2425">
            <v>0</v>
          </cell>
          <cell r="U2425" t="str">
            <v>BAYONA CRUZ CRISTIAN ARMANDO</v>
          </cell>
          <cell r="V2425" t="str">
            <v>CORIHUAMAN SURCO  ERICK ROBERT</v>
          </cell>
        </row>
        <row r="2426">
          <cell r="A2426">
            <v>2342</v>
          </cell>
          <cell r="B2426">
            <v>42713</v>
          </cell>
          <cell r="C2426" t="str">
            <v>DICIEMBRE</v>
          </cell>
          <cell r="D2426" t="str">
            <v>2016</v>
          </cell>
          <cell r="E2426">
            <v>545</v>
          </cell>
          <cell r="F2426" t="str">
            <v>X2W-762</v>
          </cell>
          <cell r="G2426" t="str">
            <v>C5V-998</v>
          </cell>
          <cell r="H2426" t="str">
            <v>LAS BAMBAS</v>
          </cell>
          <cell r="I2426">
            <v>15774</v>
          </cell>
          <cell r="J2426" t="str">
            <v>REPUESTO</v>
          </cell>
          <cell r="K2426" t="str">
            <v>SIKAFLEX</v>
          </cell>
          <cell r="L2426">
            <v>1</v>
          </cell>
          <cell r="M2426" t="str">
            <v>UNID.</v>
          </cell>
          <cell r="N2426" t="str">
            <v>TRACTO</v>
          </cell>
          <cell r="O2426">
            <v>0</v>
          </cell>
          <cell r="P2426" t="str">
            <v>E1</v>
          </cell>
          <cell r="Q2426" t="str">
            <v>J2</v>
          </cell>
          <cell r="R2426" t="str">
            <v>J6</v>
          </cell>
          <cell r="S2426" t="str">
            <v>ENTREGADO</v>
          </cell>
          <cell r="T2426">
            <v>42713</v>
          </cell>
          <cell r="U2426" t="str">
            <v>PALOMINO CARDENAS JUAN CARLOS</v>
          </cell>
          <cell r="V2426" t="str">
            <v>CORIHUAMAN SURCO  ERICK ROBERT</v>
          </cell>
        </row>
        <row r="2427">
          <cell r="A2427">
            <v>2405</v>
          </cell>
          <cell r="B2427">
            <v>42713</v>
          </cell>
          <cell r="C2427" t="str">
            <v>DICIEMBRE</v>
          </cell>
          <cell r="D2427" t="str">
            <v>2016</v>
          </cell>
          <cell r="E2427">
            <v>545</v>
          </cell>
          <cell r="F2427" t="str">
            <v>X2W-762</v>
          </cell>
          <cell r="G2427" t="str">
            <v>C5V-998</v>
          </cell>
          <cell r="H2427" t="str">
            <v>LAS BAMBAS</v>
          </cell>
          <cell r="I2427">
            <v>15774</v>
          </cell>
          <cell r="J2427" t="str">
            <v>REPUESTO</v>
          </cell>
          <cell r="K2427" t="str">
            <v>FARO LED ROJO 2"</v>
          </cell>
          <cell r="L2427">
            <v>2</v>
          </cell>
          <cell r="M2427" t="str">
            <v>UNID.</v>
          </cell>
          <cell r="N2427" t="str">
            <v>CISTERNA</v>
          </cell>
          <cell r="O2427">
            <v>0</v>
          </cell>
          <cell r="P2427" t="str">
            <v>E1</v>
          </cell>
          <cell r="Q2427" t="str">
            <v>J2</v>
          </cell>
          <cell r="R2427" t="str">
            <v>J1</v>
          </cell>
          <cell r="S2427" t="str">
            <v>ENTREGADO</v>
          </cell>
          <cell r="T2427">
            <v>42713</v>
          </cell>
          <cell r="U2427" t="str">
            <v>PALOMINO CARDENAS JUAN CARLOS</v>
          </cell>
          <cell r="V2427" t="str">
            <v>CORIHUAMAN SURCO  ERICK ROBERT</v>
          </cell>
        </row>
        <row r="2428">
          <cell r="A2428">
            <v>2390</v>
          </cell>
          <cell r="B2428">
            <v>42713</v>
          </cell>
          <cell r="C2428" t="str">
            <v>DICIEMBRE</v>
          </cell>
          <cell r="D2428" t="str">
            <v>2016</v>
          </cell>
          <cell r="E2428">
            <v>556</v>
          </cell>
          <cell r="F2428" t="str">
            <v>X2W-763</v>
          </cell>
          <cell r="G2428" t="str">
            <v>C5V-997</v>
          </cell>
          <cell r="H2428" t="str">
            <v>LAS BAMBAS</v>
          </cell>
          <cell r="I2428">
            <v>156389</v>
          </cell>
          <cell r="J2428" t="str">
            <v>REPUESTO</v>
          </cell>
          <cell r="K2428" t="str">
            <v>VARILLAS DE ALUMINIO</v>
          </cell>
          <cell r="L2428">
            <v>5</v>
          </cell>
          <cell r="M2428" t="str">
            <v>UNID.</v>
          </cell>
          <cell r="N2428" t="str">
            <v>TRACTO</v>
          </cell>
          <cell r="O2428">
            <v>0</v>
          </cell>
          <cell r="P2428" t="str">
            <v>S2</v>
          </cell>
          <cell r="Q2428" t="str">
            <v>J2</v>
          </cell>
          <cell r="R2428" t="str">
            <v>J6</v>
          </cell>
          <cell r="S2428" t="str">
            <v>ENTREGADO</v>
          </cell>
          <cell r="T2428">
            <v>42713</v>
          </cell>
          <cell r="U2428" t="str">
            <v>PALOMINO ESTRADA  MICHEL</v>
          </cell>
          <cell r="V2428" t="str">
            <v>CORIHUAMAN SURCO  ERICK ROBERT</v>
          </cell>
        </row>
        <row r="2429">
          <cell r="A2429">
            <v>2393</v>
          </cell>
          <cell r="B2429">
            <v>42713</v>
          </cell>
          <cell r="C2429" t="str">
            <v>DICIEMBRE</v>
          </cell>
          <cell r="D2429" t="str">
            <v>2016</v>
          </cell>
          <cell r="E2429">
            <v>556</v>
          </cell>
          <cell r="F2429" t="str">
            <v>X2W-763</v>
          </cell>
          <cell r="G2429" t="str">
            <v>C5V-997</v>
          </cell>
          <cell r="H2429" t="str">
            <v>LAS BAMBAS</v>
          </cell>
          <cell r="I2429">
            <v>156389</v>
          </cell>
          <cell r="J2429" t="str">
            <v>REPUESTO</v>
          </cell>
          <cell r="K2429" t="str">
            <v>ARANDELAS PLANAS 5/16</v>
          </cell>
          <cell r="L2429">
            <v>4</v>
          </cell>
          <cell r="M2429" t="str">
            <v>UNID.</v>
          </cell>
          <cell r="N2429" t="str">
            <v>TRACTO</v>
          </cell>
          <cell r="O2429">
            <v>0</v>
          </cell>
          <cell r="P2429" t="str">
            <v>M3</v>
          </cell>
          <cell r="Q2429" t="str">
            <v>J2</v>
          </cell>
          <cell r="R2429" t="str">
            <v>J2</v>
          </cell>
          <cell r="S2429" t="str">
            <v>ENTREGADO</v>
          </cell>
          <cell r="T2429">
            <v>42713</v>
          </cell>
          <cell r="U2429" t="str">
            <v>GARCIA PASQUEL  JOSE LUIS</v>
          </cell>
          <cell r="V2429" t="str">
            <v>CORIHUAMAN SURCO  ERICK ROBERT</v>
          </cell>
        </row>
        <row r="2430">
          <cell r="A2430">
            <v>2397</v>
          </cell>
          <cell r="B2430">
            <v>42713</v>
          </cell>
          <cell r="C2430" t="str">
            <v>DICIEMBRE</v>
          </cell>
          <cell r="D2430" t="str">
            <v>2016</v>
          </cell>
          <cell r="E2430">
            <v>556</v>
          </cell>
          <cell r="F2430" t="str">
            <v>X2W-763</v>
          </cell>
          <cell r="G2430" t="str">
            <v>C5V-997</v>
          </cell>
          <cell r="H2430" t="str">
            <v>LAS BAMBAS</v>
          </cell>
          <cell r="I2430">
            <v>156389</v>
          </cell>
          <cell r="J2430" t="str">
            <v>REPUESTO</v>
          </cell>
          <cell r="K2430" t="str">
            <v>LIQUIDO REFRIGERANTE</v>
          </cell>
          <cell r="L2430">
            <v>1.5</v>
          </cell>
          <cell r="M2430" t="str">
            <v>GLNS.</v>
          </cell>
          <cell r="N2430" t="str">
            <v>TRACTO</v>
          </cell>
          <cell r="O2430">
            <v>0</v>
          </cell>
          <cell r="P2430" t="str">
            <v>M3</v>
          </cell>
          <cell r="Q2430" t="str">
            <v>J2</v>
          </cell>
          <cell r="R2430" t="str">
            <v>J6</v>
          </cell>
          <cell r="S2430" t="str">
            <v>ENTREGADO</v>
          </cell>
          <cell r="T2430">
            <v>42713</v>
          </cell>
          <cell r="U2430" t="str">
            <v>GARCIA PASQUEL  JOSE LUIS</v>
          </cell>
          <cell r="V2430" t="str">
            <v>CORIHUAMAN SURCO  ERICK ROBERT</v>
          </cell>
        </row>
        <row r="2431">
          <cell r="A2431">
            <v>2348</v>
          </cell>
          <cell r="B2431">
            <v>42713</v>
          </cell>
          <cell r="C2431" t="str">
            <v>DICIEMBRE</v>
          </cell>
          <cell r="D2431" t="str">
            <v>2016</v>
          </cell>
          <cell r="E2431">
            <v>526</v>
          </cell>
          <cell r="F2431" t="str">
            <v>X2W-788</v>
          </cell>
          <cell r="G2431" t="str">
            <v>C5V-994</v>
          </cell>
          <cell r="H2431" t="str">
            <v>LAS BAMBAS</v>
          </cell>
          <cell r="I2431">
            <v>140363</v>
          </cell>
          <cell r="J2431" t="str">
            <v>REPUESTO</v>
          </cell>
          <cell r="K2431" t="str">
            <v>TUERCA SEGURO 3/8</v>
          </cell>
          <cell r="L2431">
            <v>8</v>
          </cell>
          <cell r="M2431" t="str">
            <v>UNID.</v>
          </cell>
          <cell r="N2431" t="str">
            <v>TRACTO</v>
          </cell>
          <cell r="O2431">
            <v>0</v>
          </cell>
          <cell r="P2431" t="str">
            <v>E1</v>
          </cell>
          <cell r="Q2431" t="str">
            <v>J2</v>
          </cell>
          <cell r="R2431" t="str">
            <v>J6</v>
          </cell>
          <cell r="S2431" t="str">
            <v>ENTREGADO</v>
          </cell>
          <cell r="T2431">
            <v>42713</v>
          </cell>
          <cell r="U2431" t="str">
            <v>PALOMINO CARDENAS JUAN CARLOS</v>
          </cell>
          <cell r="V2431" t="str">
            <v>CORIHUAMAN SURCO  ERICK ROBERT</v>
          </cell>
        </row>
        <row r="2432">
          <cell r="A2432">
            <v>2364</v>
          </cell>
          <cell r="B2432">
            <v>42713</v>
          </cell>
          <cell r="C2432" t="str">
            <v>DICIEMBRE</v>
          </cell>
          <cell r="D2432" t="str">
            <v>2016</v>
          </cell>
          <cell r="E2432">
            <v>526</v>
          </cell>
          <cell r="F2432" t="str">
            <v>X2W-788</v>
          </cell>
          <cell r="G2432" t="str">
            <v>C5V-994</v>
          </cell>
          <cell r="H2432" t="str">
            <v>LAS BAMBAS</v>
          </cell>
          <cell r="I2432">
            <v>140363</v>
          </cell>
          <cell r="J2432" t="str">
            <v>REPUESTO</v>
          </cell>
          <cell r="K2432" t="str">
            <v>ARANDELA PLANA 1/2</v>
          </cell>
          <cell r="L2432">
            <v>2</v>
          </cell>
          <cell r="M2432" t="str">
            <v>UNID.</v>
          </cell>
          <cell r="N2432" t="str">
            <v>CISTERNA</v>
          </cell>
          <cell r="O2432">
            <v>0</v>
          </cell>
          <cell r="P2432" t="str">
            <v>S1</v>
          </cell>
          <cell r="Q2432" t="str">
            <v>J2</v>
          </cell>
          <cell r="R2432" t="str">
            <v>J6</v>
          </cell>
          <cell r="S2432" t="str">
            <v>ENTREGADO</v>
          </cell>
          <cell r="T2432">
            <v>42713</v>
          </cell>
          <cell r="U2432" t="str">
            <v>BAYONA CRUZ CRISTIAN ARMANDO</v>
          </cell>
          <cell r="V2432" t="str">
            <v>CORIHUAMAN SURCO  ERICK ROBERT</v>
          </cell>
        </row>
        <row r="2433">
          <cell r="A2433">
            <v>2365</v>
          </cell>
          <cell r="B2433">
            <v>42713</v>
          </cell>
          <cell r="C2433" t="str">
            <v>DICIEMBRE</v>
          </cell>
          <cell r="D2433" t="str">
            <v>2016</v>
          </cell>
          <cell r="E2433">
            <v>526</v>
          </cell>
          <cell r="F2433" t="str">
            <v>X2W-788</v>
          </cell>
          <cell r="G2433" t="str">
            <v>C5V-994</v>
          </cell>
          <cell r="H2433" t="str">
            <v>LAS BAMBAS</v>
          </cell>
          <cell r="I2433">
            <v>140363</v>
          </cell>
          <cell r="J2433" t="str">
            <v>REPUESTO</v>
          </cell>
          <cell r="K2433" t="str">
            <v>BISAGRA 3/8 X 2</v>
          </cell>
          <cell r="L2433">
            <v>1</v>
          </cell>
          <cell r="M2433" t="str">
            <v>UNID.</v>
          </cell>
          <cell r="N2433" t="str">
            <v>CISTERNA</v>
          </cell>
          <cell r="O2433">
            <v>0</v>
          </cell>
          <cell r="P2433" t="str">
            <v>S1</v>
          </cell>
          <cell r="Q2433" t="str">
            <v>J2</v>
          </cell>
          <cell r="R2433" t="str">
            <v>J6</v>
          </cell>
          <cell r="S2433" t="str">
            <v>ENTREGADO</v>
          </cell>
          <cell r="T2433">
            <v>42713</v>
          </cell>
          <cell r="U2433" t="str">
            <v>BAYONA CRUZ CRISTIAN ARMANDO</v>
          </cell>
          <cell r="V2433" t="str">
            <v>CORIHUAMAN SURCO  ERICK ROBERT</v>
          </cell>
        </row>
        <row r="2434">
          <cell r="A2434">
            <v>2421</v>
          </cell>
          <cell r="B2434">
            <v>42714</v>
          </cell>
          <cell r="C2434" t="str">
            <v>DICIEMBRE</v>
          </cell>
          <cell r="D2434" t="str">
            <v>2016</v>
          </cell>
          <cell r="E2434">
            <v>564</v>
          </cell>
          <cell r="F2434" t="str">
            <v>ABP-783</v>
          </cell>
          <cell r="G2434" t="str">
            <v>C9S-988</v>
          </cell>
          <cell r="H2434" t="str">
            <v>LAS BAMBAS</v>
          </cell>
          <cell r="I2434">
            <v>126930</v>
          </cell>
          <cell r="J2434" t="str">
            <v>REPUESTO</v>
          </cell>
          <cell r="K2434" t="str">
            <v>UNIONES COMPLETAS 1/4</v>
          </cell>
          <cell r="L2434">
            <v>2</v>
          </cell>
          <cell r="M2434" t="str">
            <v>UNID.</v>
          </cell>
          <cell r="N2434" t="str">
            <v>CISTERNA</v>
          </cell>
          <cell r="O2434">
            <v>0</v>
          </cell>
          <cell r="P2434" t="str">
            <v>M2</v>
          </cell>
          <cell r="Q2434" t="str">
            <v>J2</v>
          </cell>
          <cell r="R2434" t="str">
            <v>J5</v>
          </cell>
          <cell r="S2434" t="str">
            <v>ENTREGADO</v>
          </cell>
          <cell r="T2434">
            <v>42714</v>
          </cell>
          <cell r="U2434" t="str">
            <v>CHUMPITAZ GAGO JULIO ENRIQUE</v>
          </cell>
          <cell r="V2434" t="str">
            <v>CORIHUAMAN SURCO  ERICK ROBERT</v>
          </cell>
        </row>
        <row r="2435">
          <cell r="A2435">
            <v>2422</v>
          </cell>
          <cell r="B2435">
            <v>42714</v>
          </cell>
          <cell r="C2435" t="str">
            <v>DICIEMBRE</v>
          </cell>
          <cell r="D2435" t="str">
            <v>2016</v>
          </cell>
          <cell r="E2435">
            <v>564</v>
          </cell>
          <cell r="F2435" t="str">
            <v>ABP-783</v>
          </cell>
          <cell r="G2435" t="str">
            <v>C9S-988</v>
          </cell>
          <cell r="H2435" t="str">
            <v>LAS BAMBAS</v>
          </cell>
          <cell r="I2435">
            <v>126930</v>
          </cell>
          <cell r="J2435" t="str">
            <v>REPUESTO</v>
          </cell>
          <cell r="K2435" t="str">
            <v>CAÑERIA 1/4</v>
          </cell>
          <cell r="L2435">
            <v>5</v>
          </cell>
          <cell r="M2435" t="str">
            <v>M</v>
          </cell>
          <cell r="N2435" t="str">
            <v>CISTERNA</v>
          </cell>
          <cell r="O2435">
            <v>0</v>
          </cell>
          <cell r="P2435" t="str">
            <v>M2</v>
          </cell>
          <cell r="Q2435" t="str">
            <v>J2</v>
          </cell>
          <cell r="R2435" t="str">
            <v>J5</v>
          </cell>
          <cell r="S2435" t="str">
            <v>ENTREGADO</v>
          </cell>
          <cell r="T2435">
            <v>42714</v>
          </cell>
          <cell r="U2435" t="str">
            <v>CHUMPITAZ GAGO JULIO ENRIQUE</v>
          </cell>
          <cell r="V2435" t="str">
            <v>CORIHUAMAN SURCO  ERICK ROBERT</v>
          </cell>
        </row>
        <row r="2436">
          <cell r="A2436">
            <v>2423</v>
          </cell>
          <cell r="B2436">
            <v>42714</v>
          </cell>
          <cell r="C2436" t="str">
            <v>DICIEMBRE</v>
          </cell>
          <cell r="D2436" t="str">
            <v>2016</v>
          </cell>
          <cell r="E2436">
            <v>564</v>
          </cell>
          <cell r="F2436" t="str">
            <v>ABP-783</v>
          </cell>
          <cell r="G2436" t="str">
            <v>C9S-988</v>
          </cell>
          <cell r="H2436" t="str">
            <v>LAS BAMBAS</v>
          </cell>
          <cell r="I2436">
            <v>126930</v>
          </cell>
          <cell r="J2436" t="str">
            <v>REPUESTO</v>
          </cell>
          <cell r="K2436" t="str">
            <v>CONO 1/4</v>
          </cell>
          <cell r="L2436">
            <v>10</v>
          </cell>
          <cell r="M2436" t="str">
            <v>UNID.</v>
          </cell>
          <cell r="N2436" t="str">
            <v>CISTERNA</v>
          </cell>
          <cell r="O2436">
            <v>0</v>
          </cell>
          <cell r="P2436" t="str">
            <v>M2</v>
          </cell>
          <cell r="Q2436" t="str">
            <v>J2</v>
          </cell>
          <cell r="R2436" t="str">
            <v>J5</v>
          </cell>
          <cell r="S2436" t="str">
            <v>ENTREGADO</v>
          </cell>
          <cell r="T2436">
            <v>42714</v>
          </cell>
          <cell r="U2436" t="str">
            <v>CHUMPITAZ GAGO JULIO ENRIQUE</v>
          </cell>
          <cell r="V2436" t="str">
            <v>CORIHUAMAN SURCO  ERICK ROBERT</v>
          </cell>
        </row>
        <row r="2437">
          <cell r="A2437">
            <v>2424</v>
          </cell>
          <cell r="B2437">
            <v>42714</v>
          </cell>
          <cell r="C2437" t="str">
            <v>DICIEMBRE</v>
          </cell>
          <cell r="D2437" t="str">
            <v>2016</v>
          </cell>
          <cell r="E2437">
            <v>564</v>
          </cell>
          <cell r="F2437" t="str">
            <v>ABP-783</v>
          </cell>
          <cell r="G2437" t="str">
            <v>C9S-988</v>
          </cell>
          <cell r="H2437" t="str">
            <v>LAS BAMBAS</v>
          </cell>
          <cell r="I2437">
            <v>126930</v>
          </cell>
          <cell r="J2437" t="str">
            <v>REPUESTO</v>
          </cell>
          <cell r="K2437" t="str">
            <v>GUIA 1/4</v>
          </cell>
          <cell r="L2437">
            <v>10</v>
          </cell>
          <cell r="M2437" t="str">
            <v>UNID.</v>
          </cell>
          <cell r="N2437" t="str">
            <v>CISTERNA</v>
          </cell>
          <cell r="O2437">
            <v>0</v>
          </cell>
          <cell r="P2437" t="str">
            <v>M2</v>
          </cell>
          <cell r="Q2437" t="str">
            <v>J2</v>
          </cell>
          <cell r="R2437" t="str">
            <v>J5</v>
          </cell>
          <cell r="S2437" t="str">
            <v>ENTREGADO</v>
          </cell>
          <cell r="T2437">
            <v>42714</v>
          </cell>
          <cell r="U2437" t="str">
            <v>CHUMPITAZ GAGO JULIO ENRIQUE</v>
          </cell>
          <cell r="V2437" t="str">
            <v>CORIHUAMAN SURCO  ERICK ROBERT</v>
          </cell>
        </row>
        <row r="2438">
          <cell r="A2438">
            <v>2425</v>
          </cell>
          <cell r="B2438">
            <v>42714</v>
          </cell>
          <cell r="C2438" t="str">
            <v>DICIEMBRE</v>
          </cell>
          <cell r="D2438" t="str">
            <v>2016</v>
          </cell>
          <cell r="E2438">
            <v>564</v>
          </cell>
          <cell r="F2438" t="str">
            <v>ABP-783</v>
          </cell>
          <cell r="G2438" t="str">
            <v>C9S-988</v>
          </cell>
          <cell r="H2438" t="str">
            <v>LAS BAMBAS</v>
          </cell>
          <cell r="I2438">
            <v>126930</v>
          </cell>
          <cell r="J2438" t="str">
            <v>REPUESTO</v>
          </cell>
          <cell r="K2438" t="str">
            <v>NIPLES Y ACOPLES DE AIRE (SEGÚN MUESTRA)</v>
          </cell>
          <cell r="L2438">
            <v>4</v>
          </cell>
          <cell r="M2438" t="str">
            <v>UNID.</v>
          </cell>
          <cell r="N2438" t="str">
            <v>CISTERNA</v>
          </cell>
          <cell r="O2438">
            <v>0</v>
          </cell>
          <cell r="P2438" t="str">
            <v>M2</v>
          </cell>
          <cell r="Q2438" t="str">
            <v>J2</v>
          </cell>
          <cell r="R2438" t="str">
            <v>J5</v>
          </cell>
          <cell r="S2438" t="str">
            <v>ENTREGADO</v>
          </cell>
          <cell r="T2438">
            <v>42714</v>
          </cell>
          <cell r="U2438" t="str">
            <v>CHUMPITAZ GAGO JULIO ENRIQUE</v>
          </cell>
          <cell r="V2438" t="str">
            <v>CORIHUAMAN SURCO  ERICK ROBERT</v>
          </cell>
        </row>
        <row r="2439">
          <cell r="A2439">
            <v>2426</v>
          </cell>
          <cell r="B2439">
            <v>42714</v>
          </cell>
          <cell r="C2439" t="str">
            <v>DICIEMBRE</v>
          </cell>
          <cell r="D2439" t="str">
            <v>2016</v>
          </cell>
          <cell r="E2439">
            <v>564</v>
          </cell>
          <cell r="F2439" t="str">
            <v>ABP-783</v>
          </cell>
          <cell r="G2439" t="str">
            <v>C9S-988</v>
          </cell>
          <cell r="H2439" t="str">
            <v>LAS BAMBAS</v>
          </cell>
          <cell r="I2439">
            <v>126930</v>
          </cell>
          <cell r="J2439" t="str">
            <v>REPUESTO</v>
          </cell>
          <cell r="K2439" t="str">
            <v>RESORTES PARA MAXIBRAKE</v>
          </cell>
          <cell r="L2439">
            <v>2</v>
          </cell>
          <cell r="M2439" t="str">
            <v>UNID.</v>
          </cell>
          <cell r="N2439" t="str">
            <v>CISTERNA</v>
          </cell>
          <cell r="O2439">
            <v>0</v>
          </cell>
          <cell r="P2439" t="str">
            <v>M2</v>
          </cell>
          <cell r="Q2439" t="str">
            <v>J2</v>
          </cell>
          <cell r="R2439" t="str">
            <v>J5</v>
          </cell>
          <cell r="S2439" t="str">
            <v>ENTREGADO</v>
          </cell>
          <cell r="T2439">
            <v>42714</v>
          </cell>
          <cell r="U2439" t="str">
            <v>CHUMPITAZ GAGO JULIO ENRIQUE</v>
          </cell>
          <cell r="V2439" t="str">
            <v>CORIHUAMAN SURCO  ERICK ROBERT</v>
          </cell>
        </row>
        <row r="2440">
          <cell r="A2440">
            <v>2448</v>
          </cell>
          <cell r="B2440">
            <v>42714</v>
          </cell>
          <cell r="C2440" t="str">
            <v>DICIEMBRE</v>
          </cell>
          <cell r="D2440" t="str">
            <v>2016</v>
          </cell>
          <cell r="E2440">
            <v>564</v>
          </cell>
          <cell r="F2440" t="str">
            <v>ABP-783</v>
          </cell>
          <cell r="G2440" t="str">
            <v>C9S-988</v>
          </cell>
          <cell r="H2440" t="str">
            <v>LAS BAMBAS</v>
          </cell>
          <cell r="I2440">
            <v>126930</v>
          </cell>
          <cell r="J2440" t="str">
            <v>REPUESTO</v>
          </cell>
          <cell r="K2440" t="str">
            <v>MANGUERA PARA SISTEMA HIDRAULICO (SEGÚN MUESTRA)</v>
          </cell>
          <cell r="L2440">
            <v>1</v>
          </cell>
          <cell r="M2440" t="str">
            <v>UNID.</v>
          </cell>
          <cell r="N2440" t="str">
            <v>TRACTO</v>
          </cell>
          <cell r="O2440">
            <v>0</v>
          </cell>
          <cell r="P2440" t="str">
            <v>M2</v>
          </cell>
          <cell r="Q2440" t="str">
            <v>J2</v>
          </cell>
          <cell r="R2440" t="str">
            <v>J5</v>
          </cell>
          <cell r="S2440" t="str">
            <v>ENTREGADO</v>
          </cell>
          <cell r="T2440">
            <v>42714</v>
          </cell>
          <cell r="U2440" t="str">
            <v>CHUMPITAZ GAGO JULIO ENRIQUE</v>
          </cell>
          <cell r="V2440" t="str">
            <v>CORIHUAMAN SURCO  ERICK ROBERT</v>
          </cell>
        </row>
        <row r="2441">
          <cell r="A2441">
            <v>2473</v>
          </cell>
          <cell r="B2441">
            <v>42714</v>
          </cell>
          <cell r="C2441" t="str">
            <v>DICIEMBRE</v>
          </cell>
          <cell r="D2441" t="str">
            <v>2016</v>
          </cell>
          <cell r="E2441">
            <v>564</v>
          </cell>
          <cell r="F2441" t="str">
            <v>ABP-783</v>
          </cell>
          <cell r="G2441" t="str">
            <v>C9S-988</v>
          </cell>
          <cell r="H2441" t="str">
            <v>LAS BAMBAS</v>
          </cell>
          <cell r="I2441">
            <v>126930</v>
          </cell>
          <cell r="J2441" t="str">
            <v>REPUESTO</v>
          </cell>
          <cell r="K2441" t="str">
            <v>FILTRO DE CALEFACCION</v>
          </cell>
          <cell r="L2441">
            <v>1</v>
          </cell>
          <cell r="M2441" t="str">
            <v>UNID.</v>
          </cell>
          <cell r="N2441" t="str">
            <v>TRACTO</v>
          </cell>
          <cell r="O2441">
            <v>0</v>
          </cell>
          <cell r="P2441" t="str">
            <v>M2</v>
          </cell>
          <cell r="Q2441" t="str">
            <v>J2</v>
          </cell>
          <cell r="R2441" t="str">
            <v>J5</v>
          </cell>
          <cell r="S2441" t="str">
            <v>ENTREGADO</v>
          </cell>
          <cell r="T2441">
            <v>42714</v>
          </cell>
          <cell r="U2441" t="str">
            <v>CHUMPITAZ GAGO JULIO ENRIQUE</v>
          </cell>
          <cell r="V2441" t="str">
            <v>CORIHUAMAN SURCO  ERICK ROBERT</v>
          </cell>
        </row>
        <row r="2442">
          <cell r="A2442">
            <v>2419</v>
          </cell>
          <cell r="B2442">
            <v>42714</v>
          </cell>
          <cell r="C2442" t="str">
            <v>DICIEMBRE</v>
          </cell>
          <cell r="D2442" t="str">
            <v>2016</v>
          </cell>
          <cell r="E2442">
            <v>563</v>
          </cell>
          <cell r="F2442" t="str">
            <v>ABQ-780</v>
          </cell>
          <cell r="G2442" t="str">
            <v>C9S-990</v>
          </cell>
          <cell r="H2442" t="str">
            <v>LAS BAMBAS</v>
          </cell>
          <cell r="I2442">
            <v>116656</v>
          </cell>
          <cell r="J2442" t="str">
            <v>REPUESTO</v>
          </cell>
          <cell r="K2442" t="str">
            <v>FAROS NEBLINEROS AAA</v>
          </cell>
          <cell r="L2442">
            <v>2</v>
          </cell>
          <cell r="M2442" t="str">
            <v>UNID.</v>
          </cell>
          <cell r="N2442" t="str">
            <v>TRACTO</v>
          </cell>
          <cell r="O2442">
            <v>0</v>
          </cell>
          <cell r="P2442" t="str">
            <v>E2</v>
          </cell>
          <cell r="Q2442" t="str">
            <v>J2</v>
          </cell>
          <cell r="R2442" t="str">
            <v>J5</v>
          </cell>
          <cell r="S2442" t="str">
            <v>ENTREGADO</v>
          </cell>
          <cell r="T2442">
            <v>42714</v>
          </cell>
          <cell r="U2442" t="str">
            <v>YUCA BELLIDO BORIS YERSY</v>
          </cell>
          <cell r="V2442" t="str">
            <v>CORIHUAMAN SURCO  ERICK ROBERT</v>
          </cell>
        </row>
        <row r="2443">
          <cell r="A2443">
            <v>2420</v>
          </cell>
          <cell r="B2443">
            <v>42714</v>
          </cell>
          <cell r="C2443" t="str">
            <v>DICIEMBRE</v>
          </cell>
          <cell r="D2443" t="str">
            <v>2016</v>
          </cell>
          <cell r="E2443">
            <v>563</v>
          </cell>
          <cell r="F2443" t="str">
            <v>ABQ-780</v>
          </cell>
          <cell r="G2443" t="str">
            <v>C9S-990</v>
          </cell>
          <cell r="H2443" t="str">
            <v>LAS BAMBAS</v>
          </cell>
          <cell r="I2443">
            <v>116656</v>
          </cell>
          <cell r="J2443" t="str">
            <v>REPUESTO</v>
          </cell>
          <cell r="K2443" t="str">
            <v>ABRAZADERAS SEGÚN MUESTRA</v>
          </cell>
          <cell r="L2443">
            <v>4</v>
          </cell>
          <cell r="M2443" t="str">
            <v>UNID.</v>
          </cell>
          <cell r="N2443" t="str">
            <v>TRACTO</v>
          </cell>
          <cell r="O2443">
            <v>0</v>
          </cell>
          <cell r="P2443" t="str">
            <v>M1</v>
          </cell>
          <cell r="Q2443" t="str">
            <v>J2</v>
          </cell>
          <cell r="R2443" t="str">
            <v>J5</v>
          </cell>
          <cell r="S2443" t="str">
            <v>ENTREGADO</v>
          </cell>
          <cell r="T2443">
            <v>42714</v>
          </cell>
          <cell r="U2443" t="str">
            <v>CABEZAS SANCHEZ JEAN JHONATAN</v>
          </cell>
          <cell r="V2443" t="str">
            <v>CORIHUAMAN SURCO  ERICK ROBERT</v>
          </cell>
        </row>
        <row r="2444">
          <cell r="A2444">
            <v>2455</v>
          </cell>
          <cell r="B2444">
            <v>42714</v>
          </cell>
          <cell r="C2444" t="str">
            <v>DICIEMBRE</v>
          </cell>
          <cell r="D2444" t="str">
            <v>2016</v>
          </cell>
          <cell r="E2444">
            <v>563</v>
          </cell>
          <cell r="F2444" t="str">
            <v>ABQ-780</v>
          </cell>
          <cell r="G2444" t="str">
            <v>C9S-990</v>
          </cell>
          <cell r="H2444" t="str">
            <v>LAS BAMBAS</v>
          </cell>
          <cell r="I2444">
            <v>116656</v>
          </cell>
          <cell r="J2444" t="str">
            <v>REPUESTO</v>
          </cell>
          <cell r="K2444" t="str">
            <v>ABRAZADERA PARA MANGUERA 2 1/2"</v>
          </cell>
          <cell r="L2444">
            <v>2</v>
          </cell>
          <cell r="M2444" t="str">
            <v>UNID.</v>
          </cell>
          <cell r="N2444" t="str">
            <v>TRACTO</v>
          </cell>
          <cell r="O2444">
            <v>0</v>
          </cell>
          <cell r="P2444" t="str">
            <v>M8</v>
          </cell>
          <cell r="Q2444" t="str">
            <v>J2</v>
          </cell>
          <cell r="R2444" t="str">
            <v>J5</v>
          </cell>
          <cell r="S2444" t="str">
            <v>ENTREGADO</v>
          </cell>
          <cell r="T2444">
            <v>42714</v>
          </cell>
          <cell r="U2444" t="str">
            <v>VARILLAS GAGO  OSCAR ALBERTO</v>
          </cell>
          <cell r="V2444" t="str">
            <v>CORIHUAMAN SURCO  ERICK ROBERT</v>
          </cell>
        </row>
        <row r="2445">
          <cell r="A2445">
            <v>2458</v>
          </cell>
          <cell r="B2445">
            <v>42714</v>
          </cell>
          <cell r="C2445" t="str">
            <v>DICIEMBRE</v>
          </cell>
          <cell r="D2445" t="str">
            <v>2016</v>
          </cell>
          <cell r="E2445">
            <v>563</v>
          </cell>
          <cell r="F2445" t="str">
            <v>ABQ-780</v>
          </cell>
          <cell r="G2445" t="str">
            <v>C9S-990</v>
          </cell>
          <cell r="H2445" t="str">
            <v>LAS BAMBAS</v>
          </cell>
          <cell r="I2445">
            <v>116656</v>
          </cell>
          <cell r="J2445" t="str">
            <v>REPUESTO</v>
          </cell>
          <cell r="K2445" t="str">
            <v>PERNO 5/16 X 1 1/2" C/ TUERCA Y VOLANDA</v>
          </cell>
          <cell r="L2445">
            <v>2</v>
          </cell>
          <cell r="M2445" t="str">
            <v>UNID.</v>
          </cell>
          <cell r="N2445" t="str">
            <v>TRACTO</v>
          </cell>
          <cell r="O2445">
            <v>0</v>
          </cell>
          <cell r="P2445" t="str">
            <v>E2</v>
          </cell>
          <cell r="Q2445" t="str">
            <v>J2</v>
          </cell>
          <cell r="R2445" t="str">
            <v>J5</v>
          </cell>
          <cell r="S2445" t="str">
            <v>ENTREGADO</v>
          </cell>
          <cell r="T2445">
            <v>42714</v>
          </cell>
          <cell r="U2445" t="str">
            <v>YUCA BELLIDO BORIS YERSY</v>
          </cell>
          <cell r="V2445" t="str">
            <v>CORIHUAMAN SURCO  ERICK ROBERT</v>
          </cell>
        </row>
        <row r="2446">
          <cell r="A2446">
            <v>2459</v>
          </cell>
          <cell r="B2446">
            <v>42714</v>
          </cell>
          <cell r="C2446" t="str">
            <v>DICIEMBRE</v>
          </cell>
          <cell r="D2446" t="str">
            <v>2016</v>
          </cell>
          <cell r="E2446">
            <v>563</v>
          </cell>
          <cell r="F2446" t="str">
            <v>ABQ-780</v>
          </cell>
          <cell r="G2446" t="str">
            <v>C9S-990</v>
          </cell>
          <cell r="H2446" t="str">
            <v>LAS BAMBAS</v>
          </cell>
          <cell r="I2446">
            <v>116656</v>
          </cell>
          <cell r="J2446" t="str">
            <v>REPUESTO</v>
          </cell>
          <cell r="K2446" t="str">
            <v>CABLE NRO. 14</v>
          </cell>
          <cell r="L2446">
            <v>4</v>
          </cell>
          <cell r="M2446" t="str">
            <v>UNID.</v>
          </cell>
          <cell r="N2446" t="str">
            <v>TRACTO</v>
          </cell>
          <cell r="O2446">
            <v>0</v>
          </cell>
          <cell r="P2446" t="str">
            <v>E2</v>
          </cell>
          <cell r="Q2446" t="str">
            <v>J2</v>
          </cell>
          <cell r="R2446" t="str">
            <v>J5</v>
          </cell>
          <cell r="S2446" t="str">
            <v>ENTREGADO</v>
          </cell>
          <cell r="T2446">
            <v>42714</v>
          </cell>
          <cell r="U2446" t="str">
            <v>YUCA BELLIDO BORIS YERSY</v>
          </cell>
          <cell r="V2446" t="str">
            <v>CORIHUAMAN SURCO  ERICK ROBERT</v>
          </cell>
        </row>
        <row r="2447">
          <cell r="A2447">
            <v>2460</v>
          </cell>
          <cell r="B2447">
            <v>42714</v>
          </cell>
          <cell r="C2447" t="str">
            <v>DICIEMBRE</v>
          </cell>
          <cell r="D2447" t="str">
            <v>2016</v>
          </cell>
          <cell r="E2447">
            <v>563</v>
          </cell>
          <cell r="F2447" t="str">
            <v>ABQ-780</v>
          </cell>
          <cell r="G2447" t="str">
            <v>C9S-990</v>
          </cell>
          <cell r="H2447" t="str">
            <v>LAS BAMBAS</v>
          </cell>
          <cell r="I2447">
            <v>116656</v>
          </cell>
          <cell r="J2447" t="str">
            <v>REPUESTO</v>
          </cell>
          <cell r="K2447" t="str">
            <v>TUBO CORRUGADO 1/4</v>
          </cell>
          <cell r="L2447">
            <v>2</v>
          </cell>
          <cell r="M2447" t="str">
            <v>UNID.</v>
          </cell>
          <cell r="N2447" t="str">
            <v>TRACTO</v>
          </cell>
          <cell r="O2447">
            <v>0</v>
          </cell>
          <cell r="P2447" t="str">
            <v>E2</v>
          </cell>
          <cell r="Q2447" t="str">
            <v>J2</v>
          </cell>
          <cell r="R2447" t="str">
            <v>J5</v>
          </cell>
          <cell r="S2447" t="str">
            <v>ENTREGADO</v>
          </cell>
          <cell r="T2447">
            <v>42714</v>
          </cell>
          <cell r="U2447" t="str">
            <v>YUCA BELLIDO BORIS YERSY</v>
          </cell>
          <cell r="V2447" t="str">
            <v>CORIHUAMAN SURCO  ERICK ROBERT</v>
          </cell>
        </row>
        <row r="2448">
          <cell r="A2448">
            <v>2464</v>
          </cell>
          <cell r="B2448">
            <v>42714</v>
          </cell>
          <cell r="C2448" t="str">
            <v>DICIEMBRE</v>
          </cell>
          <cell r="D2448" t="str">
            <v>2016</v>
          </cell>
          <cell r="E2448">
            <v>563</v>
          </cell>
          <cell r="F2448" t="str">
            <v>ABQ-780</v>
          </cell>
          <cell r="G2448" t="str">
            <v>C9S-990</v>
          </cell>
          <cell r="H2448" t="str">
            <v>LAS BAMBAS</v>
          </cell>
          <cell r="I2448">
            <v>116656</v>
          </cell>
          <cell r="J2448" t="str">
            <v>REPUESTO</v>
          </cell>
          <cell r="K2448" t="str">
            <v>DIAFRAGMA N°30</v>
          </cell>
          <cell r="L2448">
            <v>1</v>
          </cell>
          <cell r="M2448" t="str">
            <v>UNID.</v>
          </cell>
          <cell r="N2448" t="str">
            <v>TRACTO</v>
          </cell>
          <cell r="O2448">
            <v>0</v>
          </cell>
          <cell r="P2448" t="str">
            <v>M3</v>
          </cell>
          <cell r="Q2448" t="str">
            <v>J2</v>
          </cell>
          <cell r="R2448" t="str">
            <v>J5</v>
          </cell>
          <cell r="S2448" t="str">
            <v>ENTREGADO</v>
          </cell>
          <cell r="T2448">
            <v>42714</v>
          </cell>
          <cell r="U2448" t="str">
            <v>GARCIA PASQUEL  JOSE LUIS</v>
          </cell>
          <cell r="V2448" t="str">
            <v>CORIHUAMAN SURCO  ERICK ROBERT</v>
          </cell>
        </row>
        <row r="2449">
          <cell r="A2449">
            <v>2465</v>
          </cell>
          <cell r="B2449">
            <v>42714</v>
          </cell>
          <cell r="C2449" t="str">
            <v>DICIEMBRE</v>
          </cell>
          <cell r="D2449" t="str">
            <v>2016</v>
          </cell>
          <cell r="E2449">
            <v>563</v>
          </cell>
          <cell r="F2449" t="str">
            <v>ABQ-780</v>
          </cell>
          <cell r="G2449" t="str">
            <v>C9S-990</v>
          </cell>
          <cell r="H2449" t="str">
            <v>LAS BAMBAS</v>
          </cell>
          <cell r="I2449">
            <v>116656</v>
          </cell>
          <cell r="J2449" t="str">
            <v>REPUESTO</v>
          </cell>
          <cell r="K2449" t="str">
            <v>BASE DE PULMON DE FRENO</v>
          </cell>
          <cell r="L2449">
            <v>1</v>
          </cell>
          <cell r="M2449" t="str">
            <v>UNID.</v>
          </cell>
          <cell r="N2449" t="str">
            <v>TRACTO</v>
          </cell>
          <cell r="O2449">
            <v>0</v>
          </cell>
          <cell r="P2449" t="str">
            <v>M3</v>
          </cell>
          <cell r="Q2449" t="str">
            <v>J2</v>
          </cell>
          <cell r="R2449" t="str">
            <v>J5</v>
          </cell>
          <cell r="S2449" t="str">
            <v>ENTREGADO</v>
          </cell>
          <cell r="T2449">
            <v>42714</v>
          </cell>
          <cell r="U2449" t="str">
            <v>GARCIA PASQUEL  JOSE LUIS</v>
          </cell>
          <cell r="V2449" t="str">
            <v>CORIHUAMAN SURCO  ERICK ROBERT</v>
          </cell>
        </row>
        <row r="2450">
          <cell r="A2450">
            <v>2466</v>
          </cell>
          <cell r="B2450">
            <v>42714</v>
          </cell>
          <cell r="C2450" t="str">
            <v>DICIEMBRE</v>
          </cell>
          <cell r="D2450" t="str">
            <v>2016</v>
          </cell>
          <cell r="E2450">
            <v>563</v>
          </cell>
          <cell r="F2450" t="str">
            <v>ABQ-780</v>
          </cell>
          <cell r="G2450" t="str">
            <v>C9S-990</v>
          </cell>
          <cell r="H2450" t="str">
            <v>LAS BAMBAS</v>
          </cell>
          <cell r="I2450">
            <v>116656</v>
          </cell>
          <cell r="J2450" t="str">
            <v>REPUESTO</v>
          </cell>
          <cell r="K2450" t="str">
            <v>LIQUIDO REFRIGERANTE</v>
          </cell>
          <cell r="L2450">
            <v>1</v>
          </cell>
          <cell r="M2450" t="str">
            <v>GLNS.</v>
          </cell>
          <cell r="N2450" t="str">
            <v>TRACTO</v>
          </cell>
          <cell r="O2450">
            <v>0</v>
          </cell>
          <cell r="P2450" t="str">
            <v>M3</v>
          </cell>
          <cell r="Q2450" t="str">
            <v>J2</v>
          </cell>
          <cell r="R2450" t="str">
            <v>J5</v>
          </cell>
          <cell r="S2450" t="str">
            <v>ENTREGADO</v>
          </cell>
          <cell r="T2450">
            <v>42714</v>
          </cell>
          <cell r="U2450" t="str">
            <v>GARCIA PASQUEL  JOSE LUIS</v>
          </cell>
          <cell r="V2450" t="str">
            <v>CORIHUAMAN SURCO  ERICK ROBERT</v>
          </cell>
        </row>
        <row r="2451">
          <cell r="A2451">
            <v>2449</v>
          </cell>
          <cell r="B2451">
            <v>42714</v>
          </cell>
          <cell r="C2451" t="str">
            <v>DICIEMBRE</v>
          </cell>
          <cell r="D2451" t="str">
            <v>2016</v>
          </cell>
          <cell r="E2451">
            <v>567</v>
          </cell>
          <cell r="F2451" t="str">
            <v>AEH-801</v>
          </cell>
          <cell r="G2451" t="str">
            <v>CAMIONETA</v>
          </cell>
          <cell r="H2451" t="str">
            <v>LAS BAMBAS</v>
          </cell>
          <cell r="I2451">
            <v>90661</v>
          </cell>
          <cell r="J2451" t="str">
            <v>REPUESTO</v>
          </cell>
          <cell r="K2451" t="str">
            <v>FARO LED AMBAR 2"</v>
          </cell>
          <cell r="L2451">
            <v>1</v>
          </cell>
          <cell r="M2451" t="str">
            <v>UNID.</v>
          </cell>
          <cell r="N2451" t="str">
            <v>CISTERNA</v>
          </cell>
          <cell r="O2451">
            <v>0</v>
          </cell>
          <cell r="P2451" t="str">
            <v>E1</v>
          </cell>
          <cell r="Q2451" t="str">
            <v>J2</v>
          </cell>
          <cell r="R2451" t="str">
            <v>J5</v>
          </cell>
          <cell r="S2451" t="str">
            <v>ENTREGADO</v>
          </cell>
          <cell r="T2451">
            <v>42714</v>
          </cell>
          <cell r="U2451" t="str">
            <v>PALOMINO CARDENAS JUAN CARLOS</v>
          </cell>
          <cell r="V2451" t="str">
            <v>CORIHUAMAN SURCO  ERICK ROBERT</v>
          </cell>
        </row>
        <row r="2452">
          <cell r="A2452">
            <v>2461</v>
          </cell>
          <cell r="B2452">
            <v>42714</v>
          </cell>
          <cell r="C2452" t="str">
            <v>DICIEMBRE</v>
          </cell>
          <cell r="D2452" t="str">
            <v>2016</v>
          </cell>
          <cell r="E2452">
            <v>567</v>
          </cell>
          <cell r="F2452" t="str">
            <v>AEH-801</v>
          </cell>
          <cell r="G2452" t="str">
            <v>CAMIONETA</v>
          </cell>
          <cell r="H2452" t="str">
            <v>LAS BAMBAS</v>
          </cell>
          <cell r="I2452">
            <v>90661</v>
          </cell>
          <cell r="J2452" t="str">
            <v>REPUESTO</v>
          </cell>
          <cell r="K2452" t="str">
            <v>ALARMA DE RETROCESO</v>
          </cell>
          <cell r="L2452">
            <v>1</v>
          </cell>
          <cell r="M2452" t="str">
            <v>M</v>
          </cell>
          <cell r="N2452" t="str">
            <v>TRACTO</v>
          </cell>
          <cell r="O2452">
            <v>0</v>
          </cell>
          <cell r="P2452" t="str">
            <v>E3</v>
          </cell>
          <cell r="Q2452" t="str">
            <v>J2</v>
          </cell>
          <cell r="R2452" t="str">
            <v>J5</v>
          </cell>
          <cell r="S2452" t="str">
            <v>ENTREGADO</v>
          </cell>
          <cell r="T2452">
            <v>42714</v>
          </cell>
          <cell r="U2452" t="str">
            <v>CONDORI CHURATA ALEX</v>
          </cell>
          <cell r="V2452" t="str">
            <v>CORIHUAMAN SURCO  ERICK ROBERT</v>
          </cell>
        </row>
        <row r="2453">
          <cell r="A2453">
            <v>2462</v>
          </cell>
          <cell r="B2453">
            <v>42714</v>
          </cell>
          <cell r="C2453" t="str">
            <v>DICIEMBRE</v>
          </cell>
          <cell r="D2453" t="str">
            <v>2016</v>
          </cell>
          <cell r="E2453">
            <v>567</v>
          </cell>
          <cell r="F2453" t="str">
            <v>AEH-801</v>
          </cell>
          <cell r="G2453" t="str">
            <v>CAMIONETA</v>
          </cell>
          <cell r="H2453" t="str">
            <v>LAS BAMBAS</v>
          </cell>
          <cell r="I2453">
            <v>90661</v>
          </cell>
          <cell r="J2453" t="str">
            <v>REPUESTO</v>
          </cell>
          <cell r="K2453" t="str">
            <v xml:space="preserve">PERNO 5/16 C/VOLANDA </v>
          </cell>
          <cell r="L2453">
            <v>2</v>
          </cell>
          <cell r="M2453" t="str">
            <v>UNID.</v>
          </cell>
          <cell r="N2453" t="str">
            <v>TRACTO</v>
          </cell>
          <cell r="O2453">
            <v>0</v>
          </cell>
          <cell r="P2453" t="str">
            <v>E3</v>
          </cell>
          <cell r="Q2453" t="str">
            <v>J2</v>
          </cell>
          <cell r="R2453" t="str">
            <v>J5</v>
          </cell>
          <cell r="S2453" t="str">
            <v>ENTREGADO</v>
          </cell>
          <cell r="T2453">
            <v>42714</v>
          </cell>
          <cell r="U2453" t="str">
            <v>CONDORI CHURATA ALEX</v>
          </cell>
          <cell r="V2453" t="str">
            <v>CORIHUAMAN SURCO  ERICK ROBERT</v>
          </cell>
        </row>
        <row r="2454">
          <cell r="A2454">
            <v>2463</v>
          </cell>
          <cell r="B2454">
            <v>42714</v>
          </cell>
          <cell r="C2454" t="str">
            <v>DICIEMBRE</v>
          </cell>
          <cell r="D2454" t="str">
            <v>2016</v>
          </cell>
          <cell r="E2454">
            <v>567</v>
          </cell>
          <cell r="F2454" t="str">
            <v>AEH-801</v>
          </cell>
          <cell r="G2454" t="str">
            <v>CAMIONETA</v>
          </cell>
          <cell r="H2454" t="str">
            <v>LAS BAMBAS</v>
          </cell>
          <cell r="I2454">
            <v>90661</v>
          </cell>
          <cell r="J2454" t="str">
            <v>REPUESTO</v>
          </cell>
          <cell r="K2454" t="str">
            <v>TUERCA SEGURO 5/16</v>
          </cell>
          <cell r="L2454">
            <v>1</v>
          </cell>
          <cell r="M2454" t="str">
            <v>UNID.</v>
          </cell>
          <cell r="N2454" t="str">
            <v>TRACTO</v>
          </cell>
          <cell r="O2454">
            <v>0</v>
          </cell>
          <cell r="P2454" t="str">
            <v>E3</v>
          </cell>
          <cell r="Q2454" t="str">
            <v>J2</v>
          </cell>
          <cell r="R2454" t="str">
            <v>J5</v>
          </cell>
          <cell r="S2454" t="str">
            <v>ENTREGADO</v>
          </cell>
          <cell r="T2454">
            <v>42714</v>
          </cell>
          <cell r="U2454" t="str">
            <v>CONDORI CHURATA ALEX</v>
          </cell>
          <cell r="V2454" t="str">
            <v>CORIHUAMAN SURCO  ERICK ROBERT</v>
          </cell>
        </row>
        <row r="2455">
          <cell r="A2455">
            <v>2467</v>
          </cell>
          <cell r="B2455">
            <v>42714</v>
          </cell>
          <cell r="C2455" t="str">
            <v>DICIEMBRE</v>
          </cell>
          <cell r="D2455" t="str">
            <v>2016</v>
          </cell>
          <cell r="E2455">
            <v>567</v>
          </cell>
          <cell r="F2455" t="str">
            <v>AEH-801</v>
          </cell>
          <cell r="G2455" t="str">
            <v>CAMIONETA</v>
          </cell>
          <cell r="H2455" t="str">
            <v>LAS BAMBAS</v>
          </cell>
          <cell r="I2455">
            <v>90661</v>
          </cell>
          <cell r="J2455" t="str">
            <v>REPUESTO</v>
          </cell>
          <cell r="K2455" t="str">
            <v>LIQUIDO LIMPIAPARABRISAS</v>
          </cell>
          <cell r="L2455">
            <v>1</v>
          </cell>
          <cell r="M2455" t="str">
            <v>GLNS.</v>
          </cell>
          <cell r="N2455" t="str">
            <v>TRACTO</v>
          </cell>
          <cell r="O2455">
            <v>0</v>
          </cell>
          <cell r="P2455" t="str">
            <v>M5</v>
          </cell>
          <cell r="Q2455" t="str">
            <v>J2</v>
          </cell>
          <cell r="R2455" t="str">
            <v>J5</v>
          </cell>
          <cell r="S2455" t="str">
            <v>ENTREGADO</v>
          </cell>
          <cell r="T2455">
            <v>42714</v>
          </cell>
          <cell r="U2455" t="str">
            <v>LOPEZ RUIZ WILBERTO</v>
          </cell>
          <cell r="V2455" t="str">
            <v>CORIHUAMAN SURCO  ERICK ROBERT</v>
          </cell>
        </row>
        <row r="2456">
          <cell r="A2456">
            <v>2468</v>
          </cell>
          <cell r="B2456">
            <v>42714</v>
          </cell>
          <cell r="C2456" t="str">
            <v>DICIEMBRE</v>
          </cell>
          <cell r="D2456" t="str">
            <v>2016</v>
          </cell>
          <cell r="E2456">
            <v>567</v>
          </cell>
          <cell r="F2456" t="str">
            <v>AEH-801</v>
          </cell>
          <cell r="G2456" t="str">
            <v>CAMIONETA</v>
          </cell>
          <cell r="H2456" t="str">
            <v>LAS BAMBAS</v>
          </cell>
          <cell r="I2456">
            <v>90661</v>
          </cell>
          <cell r="J2456" t="str">
            <v>REPUESTO</v>
          </cell>
          <cell r="K2456" t="str">
            <v>FILTRO DE AIRE PRIMARIO</v>
          </cell>
          <cell r="L2456">
            <v>1</v>
          </cell>
          <cell r="M2456" t="str">
            <v>UNID.</v>
          </cell>
          <cell r="N2456" t="str">
            <v>TRACTO</v>
          </cell>
          <cell r="O2456">
            <v>0</v>
          </cell>
          <cell r="P2456" t="str">
            <v>M5</v>
          </cell>
          <cell r="Q2456" t="str">
            <v>J2</v>
          </cell>
          <cell r="R2456" t="str">
            <v>J5</v>
          </cell>
          <cell r="S2456" t="str">
            <v>ENTREGADO</v>
          </cell>
          <cell r="T2456">
            <v>42714</v>
          </cell>
          <cell r="U2456" t="str">
            <v>LOPEZ RUIZ WILBERTO</v>
          </cell>
          <cell r="V2456" t="str">
            <v>CORIHUAMAN SURCO  ERICK ROBERT</v>
          </cell>
        </row>
        <row r="2457">
          <cell r="A2457">
            <v>2444</v>
          </cell>
          <cell r="B2457">
            <v>42714</v>
          </cell>
          <cell r="C2457" t="str">
            <v>DICIEMBRE</v>
          </cell>
          <cell r="D2457" t="str">
            <v>2016</v>
          </cell>
          <cell r="E2457">
            <v>562</v>
          </cell>
          <cell r="F2457" t="str">
            <v>AKW-894</v>
          </cell>
          <cell r="G2457" t="str">
            <v>TBN-978</v>
          </cell>
          <cell r="H2457" t="str">
            <v>LAS BAMBAS</v>
          </cell>
          <cell r="I2457">
            <v>40440</v>
          </cell>
          <cell r="J2457" t="str">
            <v>REPUESTO</v>
          </cell>
          <cell r="K2457" t="str">
            <v>FILTRO DE AIRE</v>
          </cell>
          <cell r="L2457">
            <v>1</v>
          </cell>
          <cell r="M2457" t="str">
            <v>UNID.</v>
          </cell>
          <cell r="N2457" t="str">
            <v>CAMIONETA</v>
          </cell>
          <cell r="O2457">
            <v>0</v>
          </cell>
          <cell r="P2457" t="str">
            <v>M6</v>
          </cell>
          <cell r="Q2457" t="str">
            <v>J2</v>
          </cell>
          <cell r="R2457" t="str">
            <v>J5</v>
          </cell>
          <cell r="S2457" t="str">
            <v>ENTREGADO</v>
          </cell>
          <cell r="T2457">
            <v>42714</v>
          </cell>
          <cell r="U2457" t="str">
            <v>PARI VENTURA  EDSON ORLANDO</v>
          </cell>
          <cell r="V2457" t="str">
            <v>CORIHUAMAN SURCO  ERICK ROBERT</v>
          </cell>
        </row>
        <row r="2458">
          <cell r="A2458">
            <v>2445</v>
          </cell>
          <cell r="B2458">
            <v>42714</v>
          </cell>
          <cell r="C2458" t="str">
            <v>DICIEMBRE</v>
          </cell>
          <cell r="D2458" t="str">
            <v>2016</v>
          </cell>
          <cell r="E2458">
            <v>562</v>
          </cell>
          <cell r="F2458" t="str">
            <v>AKW-894</v>
          </cell>
          <cell r="G2458" t="str">
            <v>TBN-978</v>
          </cell>
          <cell r="H2458" t="str">
            <v>LAS BAMBAS</v>
          </cell>
          <cell r="I2458">
            <v>40440</v>
          </cell>
          <cell r="J2458" t="str">
            <v>REPUESTO</v>
          </cell>
          <cell r="K2458" t="str">
            <v>FILTRO DE COMBUSTIBLE</v>
          </cell>
          <cell r="L2458">
            <v>1</v>
          </cell>
          <cell r="M2458" t="str">
            <v>UNID.</v>
          </cell>
          <cell r="N2458" t="str">
            <v>CAMIONETA</v>
          </cell>
          <cell r="O2458">
            <v>0</v>
          </cell>
          <cell r="P2458" t="str">
            <v>M6</v>
          </cell>
          <cell r="Q2458" t="str">
            <v>J2</v>
          </cell>
          <cell r="R2458" t="str">
            <v>J5</v>
          </cell>
          <cell r="S2458" t="str">
            <v>ENTREGADO</v>
          </cell>
          <cell r="T2458">
            <v>42714</v>
          </cell>
          <cell r="U2458" t="str">
            <v>PARI VENTURA  EDSON ORLANDO</v>
          </cell>
          <cell r="V2458" t="str">
            <v>CORIHUAMAN SURCO  ERICK ROBERT</v>
          </cell>
        </row>
        <row r="2459">
          <cell r="A2459">
            <v>2446</v>
          </cell>
          <cell r="B2459">
            <v>42714</v>
          </cell>
          <cell r="C2459" t="str">
            <v>DICIEMBRE</v>
          </cell>
          <cell r="D2459" t="str">
            <v>2016</v>
          </cell>
          <cell r="E2459">
            <v>562</v>
          </cell>
          <cell r="F2459" t="str">
            <v>AKW-894</v>
          </cell>
          <cell r="G2459" t="str">
            <v>TBN-978</v>
          </cell>
          <cell r="H2459" t="str">
            <v>LAS BAMBAS</v>
          </cell>
          <cell r="I2459">
            <v>40440</v>
          </cell>
          <cell r="J2459" t="str">
            <v>REPUESTO</v>
          </cell>
          <cell r="K2459" t="str">
            <v>FILTRO DE ACEITE</v>
          </cell>
          <cell r="L2459">
            <v>1</v>
          </cell>
          <cell r="M2459" t="str">
            <v>UNID.</v>
          </cell>
          <cell r="N2459" t="str">
            <v>CAMIONETA</v>
          </cell>
          <cell r="O2459">
            <v>0</v>
          </cell>
          <cell r="P2459" t="str">
            <v>M6</v>
          </cell>
          <cell r="Q2459" t="str">
            <v>J2</v>
          </cell>
          <cell r="R2459" t="str">
            <v>J5</v>
          </cell>
          <cell r="S2459" t="str">
            <v>ENTREGADO</v>
          </cell>
          <cell r="T2459">
            <v>42714</v>
          </cell>
          <cell r="U2459" t="str">
            <v>PARI VENTURA  EDSON ORLANDO</v>
          </cell>
          <cell r="V2459" t="str">
            <v>CORIHUAMAN SURCO  ERICK ROBERT</v>
          </cell>
        </row>
        <row r="2460">
          <cell r="A2460">
            <v>2447</v>
          </cell>
          <cell r="B2460">
            <v>42714</v>
          </cell>
          <cell r="C2460" t="str">
            <v>DICIEMBRE</v>
          </cell>
          <cell r="D2460" t="str">
            <v>2016</v>
          </cell>
          <cell r="E2460">
            <v>562</v>
          </cell>
          <cell r="F2460" t="str">
            <v>AKW-894</v>
          </cell>
          <cell r="G2460" t="str">
            <v>TBN-978</v>
          </cell>
          <cell r="H2460" t="str">
            <v>LAS BAMBAS</v>
          </cell>
          <cell r="I2460">
            <v>40440</v>
          </cell>
          <cell r="J2460" t="str">
            <v>REPUESTO</v>
          </cell>
          <cell r="K2460" t="str">
            <v>ACEITE DE MOTOR 15W40</v>
          </cell>
          <cell r="L2460">
            <v>2</v>
          </cell>
          <cell r="M2460" t="str">
            <v>GLNS.</v>
          </cell>
          <cell r="N2460" t="str">
            <v>CAMIONETA</v>
          </cell>
          <cell r="O2460">
            <v>0</v>
          </cell>
          <cell r="P2460" t="str">
            <v>M6</v>
          </cell>
          <cell r="Q2460" t="str">
            <v>J2</v>
          </cell>
          <cell r="R2460" t="str">
            <v>J5</v>
          </cell>
          <cell r="S2460" t="str">
            <v>ENTREGADO</v>
          </cell>
          <cell r="T2460">
            <v>42714</v>
          </cell>
          <cell r="U2460" t="str">
            <v>PARI VENTURA  EDSON ORLANDO</v>
          </cell>
          <cell r="V2460" t="str">
            <v>CORIHUAMAN SURCO  ERICK ROBERT</v>
          </cell>
        </row>
        <row r="2461">
          <cell r="A2461">
            <v>2478</v>
          </cell>
          <cell r="B2461">
            <v>42714</v>
          </cell>
          <cell r="C2461">
            <v>0</v>
          </cell>
          <cell r="D2461">
            <v>0</v>
          </cell>
          <cell r="E2461">
            <v>570</v>
          </cell>
          <cell r="F2461" t="str">
            <v>AKX-731</v>
          </cell>
          <cell r="G2461" t="str">
            <v>TCD-980</v>
          </cell>
          <cell r="H2461" t="str">
            <v>LAS BAMBAS</v>
          </cell>
          <cell r="I2461">
            <v>35205</v>
          </cell>
          <cell r="J2461" t="str">
            <v>REPUESTO</v>
          </cell>
          <cell r="K2461" t="str">
            <v>FILTRO DE AIRE</v>
          </cell>
          <cell r="L2461">
            <v>1</v>
          </cell>
          <cell r="M2461" t="str">
            <v>UNID.</v>
          </cell>
          <cell r="N2461" t="str">
            <v>CAMIONETA</v>
          </cell>
          <cell r="O2461">
            <v>0</v>
          </cell>
          <cell r="P2461" t="str">
            <v>M6</v>
          </cell>
          <cell r="Q2461" t="str">
            <v>J2</v>
          </cell>
          <cell r="R2461" t="str">
            <v>J5</v>
          </cell>
          <cell r="S2461" t="str">
            <v>ENTREGADO</v>
          </cell>
          <cell r="T2461">
            <v>42714</v>
          </cell>
          <cell r="U2461" t="str">
            <v>PARI VENTURA  EDSON ORLANDO</v>
          </cell>
          <cell r="V2461" t="str">
            <v>CORIHUAMAN SURCO  ERICK ROBERT</v>
          </cell>
        </row>
        <row r="2462">
          <cell r="A2462">
            <v>2479</v>
          </cell>
          <cell r="B2462">
            <v>42714</v>
          </cell>
          <cell r="C2462" t="str">
            <v>DICIEMBRE</v>
          </cell>
          <cell r="D2462" t="str">
            <v>2016</v>
          </cell>
          <cell r="E2462">
            <v>570</v>
          </cell>
          <cell r="F2462" t="str">
            <v>AKX-731</v>
          </cell>
          <cell r="G2462" t="str">
            <v>TCD-980</v>
          </cell>
          <cell r="H2462" t="str">
            <v>LAS BAMBAS</v>
          </cell>
          <cell r="I2462">
            <v>35205</v>
          </cell>
          <cell r="J2462" t="str">
            <v>REPUESTO</v>
          </cell>
          <cell r="K2462" t="str">
            <v>FILTRO DE COMBUSTIBLE</v>
          </cell>
          <cell r="L2462">
            <v>1</v>
          </cell>
          <cell r="M2462" t="str">
            <v>UNID.</v>
          </cell>
          <cell r="N2462" t="str">
            <v>CAMIONETA</v>
          </cell>
          <cell r="O2462">
            <v>0</v>
          </cell>
          <cell r="P2462" t="str">
            <v>M6</v>
          </cell>
          <cell r="Q2462" t="str">
            <v>J2</v>
          </cell>
          <cell r="R2462" t="str">
            <v>J5</v>
          </cell>
          <cell r="S2462" t="str">
            <v>ENTREGADO</v>
          </cell>
          <cell r="T2462">
            <v>42714</v>
          </cell>
          <cell r="U2462" t="str">
            <v>PARI VENTURA  EDSON ORLANDO</v>
          </cell>
          <cell r="V2462" t="str">
            <v>CORIHUAMAN SURCO  ERICK ROBERT</v>
          </cell>
        </row>
        <row r="2463">
          <cell r="A2463">
            <v>2480</v>
          </cell>
          <cell r="B2463">
            <v>42714</v>
          </cell>
          <cell r="C2463" t="str">
            <v>DICIEMBRE</v>
          </cell>
          <cell r="D2463" t="str">
            <v>2016</v>
          </cell>
          <cell r="E2463">
            <v>570</v>
          </cell>
          <cell r="F2463" t="str">
            <v>AKX-731</v>
          </cell>
          <cell r="G2463" t="str">
            <v>TCD-980</v>
          </cell>
          <cell r="H2463" t="str">
            <v>LAS BAMBAS</v>
          </cell>
          <cell r="I2463">
            <v>35205</v>
          </cell>
          <cell r="J2463" t="str">
            <v>REPUESTO</v>
          </cell>
          <cell r="K2463" t="str">
            <v>FILTRO DE ACEITE</v>
          </cell>
          <cell r="L2463">
            <v>1</v>
          </cell>
          <cell r="M2463" t="str">
            <v>UNID.</v>
          </cell>
          <cell r="N2463" t="str">
            <v>CAMIONETA</v>
          </cell>
          <cell r="O2463">
            <v>0</v>
          </cell>
          <cell r="P2463" t="str">
            <v>M6</v>
          </cell>
          <cell r="Q2463" t="str">
            <v>J2</v>
          </cell>
          <cell r="R2463" t="str">
            <v>J5</v>
          </cell>
          <cell r="S2463" t="str">
            <v>ENTREGADO</v>
          </cell>
          <cell r="T2463">
            <v>42714</v>
          </cell>
          <cell r="U2463" t="str">
            <v>PARI VENTURA  EDSON ORLANDO</v>
          </cell>
          <cell r="V2463" t="str">
            <v>CORIHUAMAN SURCO  ERICK ROBERT</v>
          </cell>
        </row>
        <row r="2464">
          <cell r="A2464">
            <v>2481</v>
          </cell>
          <cell r="B2464">
            <v>42714</v>
          </cell>
          <cell r="C2464" t="str">
            <v>DICIEMBRE</v>
          </cell>
          <cell r="D2464" t="str">
            <v>2016</v>
          </cell>
          <cell r="E2464">
            <v>570</v>
          </cell>
          <cell r="F2464" t="str">
            <v>AKX-731</v>
          </cell>
          <cell r="G2464" t="str">
            <v>TCD-980</v>
          </cell>
          <cell r="H2464" t="str">
            <v>LAS BAMBAS</v>
          </cell>
          <cell r="I2464">
            <v>35205</v>
          </cell>
          <cell r="J2464" t="str">
            <v>REPUESTO</v>
          </cell>
          <cell r="K2464" t="str">
            <v>ACEITE DE MOTOR 15W40</v>
          </cell>
          <cell r="L2464">
            <v>2</v>
          </cell>
          <cell r="M2464" t="str">
            <v>GLNS.</v>
          </cell>
          <cell r="N2464" t="str">
            <v>CAMIONETA</v>
          </cell>
          <cell r="O2464">
            <v>0</v>
          </cell>
          <cell r="P2464" t="str">
            <v>M6</v>
          </cell>
          <cell r="Q2464" t="str">
            <v>J2</v>
          </cell>
          <cell r="R2464" t="str">
            <v>J5</v>
          </cell>
          <cell r="S2464" t="str">
            <v>ENTREGADO</v>
          </cell>
          <cell r="T2464">
            <v>42714</v>
          </cell>
          <cell r="U2464" t="str">
            <v>PARI VENTURA  EDSON ORLANDO</v>
          </cell>
          <cell r="V2464" t="str">
            <v>CORIHUAMAN SURCO  ERICK ROBERT</v>
          </cell>
        </row>
        <row r="2465">
          <cell r="A2465">
            <v>2482</v>
          </cell>
          <cell r="B2465">
            <v>42714</v>
          </cell>
          <cell r="C2465" t="str">
            <v>DICIEMBRE</v>
          </cell>
          <cell r="D2465" t="str">
            <v>2016</v>
          </cell>
          <cell r="E2465">
            <v>570</v>
          </cell>
          <cell r="F2465" t="str">
            <v>AKX-731</v>
          </cell>
          <cell r="G2465" t="str">
            <v>TCD-980</v>
          </cell>
          <cell r="H2465" t="str">
            <v>LAS BAMBAS</v>
          </cell>
          <cell r="I2465">
            <v>35205</v>
          </cell>
          <cell r="J2465" t="str">
            <v>REPUESTO</v>
          </cell>
          <cell r="K2465" t="str">
            <v>LIQUIDO LIMPIAPARABRISAS</v>
          </cell>
          <cell r="L2465">
            <v>1</v>
          </cell>
          <cell r="M2465" t="str">
            <v>GLNS.</v>
          </cell>
          <cell r="N2465" t="str">
            <v>CAMIONETA</v>
          </cell>
          <cell r="O2465">
            <v>0</v>
          </cell>
          <cell r="P2465" t="str">
            <v>M6</v>
          </cell>
          <cell r="Q2465" t="str">
            <v>J2</v>
          </cell>
          <cell r="R2465" t="str">
            <v>J5</v>
          </cell>
          <cell r="S2465" t="str">
            <v>ENTREGADO</v>
          </cell>
          <cell r="T2465">
            <v>42714</v>
          </cell>
          <cell r="U2465" t="str">
            <v>PARI VENTURA  EDSON ORLANDO</v>
          </cell>
          <cell r="V2465" t="str">
            <v>CORIHUAMAN SURCO  ERICK ROBERT</v>
          </cell>
        </row>
        <row r="2466">
          <cell r="A2466">
            <v>2441</v>
          </cell>
          <cell r="B2466">
            <v>42714</v>
          </cell>
          <cell r="C2466" t="str">
            <v>DICIEMBRE</v>
          </cell>
          <cell r="D2466" t="str">
            <v>2016</v>
          </cell>
          <cell r="E2466">
            <v>565</v>
          </cell>
          <cell r="F2466" t="str">
            <v>AMV-781</v>
          </cell>
          <cell r="G2466" t="str">
            <v>CAMIONETA</v>
          </cell>
          <cell r="H2466" t="str">
            <v>LAS BAMBAS</v>
          </cell>
          <cell r="I2466">
            <v>27819</v>
          </cell>
          <cell r="J2466" t="str">
            <v>REPUESTO</v>
          </cell>
          <cell r="K2466" t="str">
            <v>BATERIAS</v>
          </cell>
          <cell r="L2466">
            <v>4</v>
          </cell>
          <cell r="M2466" t="str">
            <v>UNID.</v>
          </cell>
          <cell r="N2466" t="str">
            <v>TRACTO</v>
          </cell>
          <cell r="O2466">
            <v>0</v>
          </cell>
          <cell r="P2466" t="str">
            <v>E1</v>
          </cell>
          <cell r="Q2466" t="str">
            <v>J2</v>
          </cell>
          <cell r="R2466" t="str">
            <v>J5</v>
          </cell>
          <cell r="S2466" t="str">
            <v>ENTREGADO</v>
          </cell>
          <cell r="T2466">
            <v>42714</v>
          </cell>
          <cell r="U2466" t="str">
            <v>PALOMINO CARDENAS JUAN CARLOS</v>
          </cell>
          <cell r="V2466" t="str">
            <v>CORIHUAMAN SURCO  ERICK ROBERT</v>
          </cell>
        </row>
        <row r="2467">
          <cell r="A2467">
            <v>2450</v>
          </cell>
          <cell r="B2467">
            <v>42714</v>
          </cell>
          <cell r="C2467" t="str">
            <v>DICIEMBRE</v>
          </cell>
          <cell r="D2467" t="str">
            <v>2016</v>
          </cell>
          <cell r="E2467">
            <v>565</v>
          </cell>
          <cell r="F2467" t="str">
            <v>AMV-781</v>
          </cell>
          <cell r="G2467" t="str">
            <v>CAMIONETA</v>
          </cell>
          <cell r="H2467" t="str">
            <v>LAS BAMBAS</v>
          </cell>
          <cell r="I2467">
            <v>27819</v>
          </cell>
          <cell r="J2467" t="str">
            <v>REPUESTO</v>
          </cell>
          <cell r="K2467" t="str">
            <v>CINTA AISLANTE NEGRA</v>
          </cell>
          <cell r="L2467">
            <v>1</v>
          </cell>
          <cell r="M2467" t="str">
            <v>UNID.</v>
          </cell>
          <cell r="N2467" t="str">
            <v>CISTERNA</v>
          </cell>
          <cell r="O2467">
            <v>0</v>
          </cell>
          <cell r="P2467" t="str">
            <v>J2</v>
          </cell>
          <cell r="Q2467" t="str">
            <v>J2</v>
          </cell>
          <cell r="R2467" t="str">
            <v>J5</v>
          </cell>
          <cell r="S2467" t="str">
            <v>ENTREGADO</v>
          </cell>
          <cell r="T2467">
            <v>42714</v>
          </cell>
          <cell r="U2467" t="str">
            <v>CORIHUAMAN SURCO  ERICK ROBERT</v>
          </cell>
          <cell r="V2467" t="str">
            <v>CORIHUAMAN SURCO  ERICK ROBERT</v>
          </cell>
        </row>
        <row r="2468">
          <cell r="A2468">
            <v>2451</v>
          </cell>
          <cell r="B2468">
            <v>42714</v>
          </cell>
          <cell r="C2468" t="str">
            <v>DICIEMBRE</v>
          </cell>
          <cell r="D2468" t="str">
            <v>2016</v>
          </cell>
          <cell r="E2468">
            <v>565</v>
          </cell>
          <cell r="F2468" t="str">
            <v>AMV-781</v>
          </cell>
          <cell r="G2468" t="str">
            <v>CAMIONETA</v>
          </cell>
          <cell r="H2468" t="str">
            <v>LAS BAMBAS</v>
          </cell>
          <cell r="I2468">
            <v>27819</v>
          </cell>
          <cell r="J2468" t="str">
            <v>REPUESTO</v>
          </cell>
          <cell r="K2468" t="str">
            <v>TUERCA CON PERNO 3/16</v>
          </cell>
          <cell r="L2468">
            <v>1</v>
          </cell>
          <cell r="M2468" t="str">
            <v>UNID.</v>
          </cell>
          <cell r="N2468" t="str">
            <v>CISTERNA</v>
          </cell>
          <cell r="O2468">
            <v>0</v>
          </cell>
          <cell r="P2468" t="str">
            <v>J2</v>
          </cell>
          <cell r="Q2468" t="str">
            <v>J2</v>
          </cell>
          <cell r="R2468" t="str">
            <v>J5</v>
          </cell>
          <cell r="S2468" t="str">
            <v>ENTREGADO</v>
          </cell>
          <cell r="T2468">
            <v>42714</v>
          </cell>
          <cell r="U2468" t="str">
            <v>CORIHUAMAN SURCO  ERICK ROBERT</v>
          </cell>
          <cell r="V2468" t="str">
            <v>CORIHUAMAN SURCO  ERICK ROBERT</v>
          </cell>
        </row>
        <row r="2469">
          <cell r="A2469">
            <v>2456</v>
          </cell>
          <cell r="B2469">
            <v>42714</v>
          </cell>
          <cell r="C2469" t="str">
            <v>DICIEMBRE</v>
          </cell>
          <cell r="D2469" t="str">
            <v>2016</v>
          </cell>
          <cell r="E2469">
            <v>565</v>
          </cell>
          <cell r="F2469" t="str">
            <v>AMV-781</v>
          </cell>
          <cell r="G2469" t="str">
            <v>CAMIONETA</v>
          </cell>
          <cell r="H2469" t="str">
            <v>LAS BAMBAS</v>
          </cell>
          <cell r="I2469">
            <v>27819</v>
          </cell>
          <cell r="J2469" t="str">
            <v>REPUESTO</v>
          </cell>
          <cell r="K2469" t="str">
            <v>PERNOS 1/4 X 2 "</v>
          </cell>
          <cell r="L2469">
            <v>2</v>
          </cell>
          <cell r="M2469" t="str">
            <v>UNID.</v>
          </cell>
          <cell r="N2469" t="str">
            <v>TRACTO</v>
          </cell>
          <cell r="O2469">
            <v>0</v>
          </cell>
          <cell r="P2469" t="str">
            <v>S1</v>
          </cell>
          <cell r="Q2469" t="str">
            <v>J2</v>
          </cell>
          <cell r="R2469" t="str">
            <v>J5</v>
          </cell>
          <cell r="S2469" t="str">
            <v>ENTREGADO</v>
          </cell>
          <cell r="T2469">
            <v>42714</v>
          </cell>
          <cell r="U2469" t="str">
            <v>BAYONA CRUZ CRISTIAN ARMANDO</v>
          </cell>
          <cell r="V2469" t="str">
            <v>CORIHUAMAN SURCO  ERICK ROBERT</v>
          </cell>
        </row>
        <row r="2470">
          <cell r="A2470">
            <v>2457</v>
          </cell>
          <cell r="B2470">
            <v>42714</v>
          </cell>
          <cell r="C2470" t="str">
            <v>DICIEMBRE</v>
          </cell>
          <cell r="D2470" t="str">
            <v>2016</v>
          </cell>
          <cell r="E2470">
            <v>565</v>
          </cell>
          <cell r="F2470" t="str">
            <v>AMV-781</v>
          </cell>
          <cell r="G2470" t="str">
            <v>CAMIONETA</v>
          </cell>
          <cell r="H2470" t="str">
            <v>LAS BAMBAS</v>
          </cell>
          <cell r="I2470">
            <v>27819</v>
          </cell>
          <cell r="J2470" t="str">
            <v>REPUESTO</v>
          </cell>
          <cell r="K2470" t="str">
            <v>VOLANDA PLANA 1/2</v>
          </cell>
          <cell r="L2470">
            <v>2</v>
          </cell>
          <cell r="M2470" t="str">
            <v>UNID.</v>
          </cell>
          <cell r="N2470" t="str">
            <v>TRACTO</v>
          </cell>
          <cell r="O2470">
            <v>0</v>
          </cell>
          <cell r="P2470" t="str">
            <v>S1</v>
          </cell>
          <cell r="Q2470" t="str">
            <v>J2</v>
          </cell>
          <cell r="R2470" t="str">
            <v>J5</v>
          </cell>
          <cell r="S2470" t="str">
            <v>ENTREGADO</v>
          </cell>
          <cell r="T2470">
            <v>42714</v>
          </cell>
          <cell r="U2470" t="str">
            <v>BAYONA CRUZ CRISTIAN ARMANDO</v>
          </cell>
          <cell r="V2470" t="str">
            <v>CORIHUAMAN SURCO  ERICK ROBERT</v>
          </cell>
        </row>
        <row r="2471">
          <cell r="A2471">
            <v>2427</v>
          </cell>
          <cell r="B2471">
            <v>42714</v>
          </cell>
          <cell r="C2471" t="str">
            <v>DICIEMBRE</v>
          </cell>
          <cell r="D2471" t="str">
            <v>2016</v>
          </cell>
          <cell r="E2471">
            <v>449</v>
          </cell>
          <cell r="F2471" t="str">
            <v>B2L-889</v>
          </cell>
          <cell r="G2471" t="str">
            <v>CAMION</v>
          </cell>
          <cell r="H2471" t="str">
            <v>TAMBOMAYO</v>
          </cell>
          <cell r="I2471">
            <v>121547</v>
          </cell>
          <cell r="J2471" t="str">
            <v>REPUESTO</v>
          </cell>
          <cell r="K2471" t="str">
            <v>ACEITE DE MOTOR 15W-40</v>
          </cell>
          <cell r="L2471">
            <v>0.5</v>
          </cell>
          <cell r="M2471" t="str">
            <v>GLNS.</v>
          </cell>
          <cell r="N2471" t="str">
            <v>CAMION</v>
          </cell>
          <cell r="O2471">
            <v>0</v>
          </cell>
          <cell r="P2471" t="str">
            <v>J2</v>
          </cell>
          <cell r="Q2471" t="str">
            <v>J2</v>
          </cell>
          <cell r="R2471" t="str">
            <v>J5</v>
          </cell>
          <cell r="S2471" t="str">
            <v>ENTREGADO</v>
          </cell>
          <cell r="T2471">
            <v>42714</v>
          </cell>
          <cell r="U2471" t="str">
            <v>CORIHUAMAN SURCO  ERICK ROBERT</v>
          </cell>
          <cell r="V2471" t="str">
            <v>CORIHUAMAN SURCO  ERICK ROBERT</v>
          </cell>
        </row>
        <row r="2472">
          <cell r="A2472">
            <v>2429</v>
          </cell>
          <cell r="B2472">
            <v>42714</v>
          </cell>
          <cell r="C2472" t="str">
            <v>DICIEMBRE</v>
          </cell>
          <cell r="D2472" t="str">
            <v>2016</v>
          </cell>
          <cell r="E2472">
            <v>449</v>
          </cell>
          <cell r="F2472" t="str">
            <v>B2L-889</v>
          </cell>
          <cell r="G2472" t="str">
            <v>CAMION</v>
          </cell>
          <cell r="H2472" t="str">
            <v>TAMBOMAYO</v>
          </cell>
          <cell r="I2472">
            <v>121547</v>
          </cell>
          <cell r="J2472" t="str">
            <v>REPUESTO</v>
          </cell>
          <cell r="K2472" t="str">
            <v>LIQUIDO LIMPIAPARABRISAS</v>
          </cell>
          <cell r="L2472">
            <v>0.5</v>
          </cell>
          <cell r="M2472" t="str">
            <v>GLNS.</v>
          </cell>
          <cell r="N2472" t="str">
            <v>CAMION</v>
          </cell>
          <cell r="O2472">
            <v>0</v>
          </cell>
          <cell r="P2472" t="str">
            <v>M6</v>
          </cell>
          <cell r="Q2472" t="str">
            <v>J2</v>
          </cell>
          <cell r="R2472" t="str">
            <v>J5</v>
          </cell>
          <cell r="S2472" t="str">
            <v>ENTREGADO</v>
          </cell>
          <cell r="T2472">
            <v>42714</v>
          </cell>
          <cell r="U2472" t="str">
            <v>PARI VENTURA  EDSON ORLANDO</v>
          </cell>
          <cell r="V2472" t="str">
            <v>CORIHUAMAN SURCO  ERICK ROBERT</v>
          </cell>
        </row>
        <row r="2473">
          <cell r="A2473">
            <v>2430</v>
          </cell>
          <cell r="B2473">
            <v>42714</v>
          </cell>
          <cell r="C2473" t="str">
            <v>DICIEMBRE</v>
          </cell>
          <cell r="D2473" t="str">
            <v>2016</v>
          </cell>
          <cell r="E2473">
            <v>530</v>
          </cell>
          <cell r="F2473" t="str">
            <v>C5R-892</v>
          </cell>
          <cell r="G2473" t="str">
            <v>A0T-983</v>
          </cell>
          <cell r="H2473" t="str">
            <v>LAS BAMBAS</v>
          </cell>
          <cell r="I2473">
            <v>226743</v>
          </cell>
          <cell r="J2473" t="str">
            <v>REPUESTO</v>
          </cell>
          <cell r="K2473" t="str">
            <v xml:space="preserve">CANDADO </v>
          </cell>
          <cell r="L2473">
            <v>2</v>
          </cell>
          <cell r="M2473" t="str">
            <v>UNID.</v>
          </cell>
          <cell r="N2473" t="str">
            <v>TRACTO</v>
          </cell>
          <cell r="O2473">
            <v>0</v>
          </cell>
          <cell r="P2473" t="str">
            <v>J6</v>
          </cell>
          <cell r="Q2473" t="str">
            <v>J2</v>
          </cell>
          <cell r="R2473" t="str">
            <v>J5</v>
          </cell>
          <cell r="S2473" t="str">
            <v>ENTREGADO</v>
          </cell>
          <cell r="T2473">
            <v>42714</v>
          </cell>
          <cell r="U2473" t="str">
            <v>VILLANUEVA BEJAR  YHORDAN MICHEL</v>
          </cell>
          <cell r="V2473" t="str">
            <v>CORIHUAMAN SURCO  ERICK ROBERT</v>
          </cell>
        </row>
        <row r="2474">
          <cell r="A2474">
            <v>2470</v>
          </cell>
          <cell r="B2474">
            <v>42714</v>
          </cell>
          <cell r="C2474" t="str">
            <v>DICIEMBRE</v>
          </cell>
          <cell r="D2474" t="str">
            <v>2016</v>
          </cell>
          <cell r="E2474">
            <v>530</v>
          </cell>
          <cell r="F2474" t="str">
            <v>C5R-892</v>
          </cell>
          <cell r="G2474" t="str">
            <v>A0T-983</v>
          </cell>
          <cell r="H2474" t="str">
            <v>LAS BAMBAS</v>
          </cell>
          <cell r="I2474">
            <v>226743</v>
          </cell>
          <cell r="J2474" t="str">
            <v>SERVICIO</v>
          </cell>
          <cell r="K2474" t="str">
            <v xml:space="preserve">REPARACION DE ARO </v>
          </cell>
          <cell r="L2474">
            <v>1</v>
          </cell>
          <cell r="M2474" t="str">
            <v>UNID.</v>
          </cell>
          <cell r="N2474" t="str">
            <v>TRACTO</v>
          </cell>
          <cell r="O2474">
            <v>76</v>
          </cell>
          <cell r="P2474" t="str">
            <v>N2</v>
          </cell>
          <cell r="Q2474" t="str">
            <v>J2</v>
          </cell>
          <cell r="R2474" t="str">
            <v>J5</v>
          </cell>
          <cell r="S2474" t="str">
            <v>PENDIENTE</v>
          </cell>
          <cell r="T2474">
            <v>0</v>
          </cell>
          <cell r="U2474" t="str">
            <v>MAMANI LARICO  EDUARDO ALVARO</v>
          </cell>
          <cell r="V2474" t="str">
            <v>CORIHUAMAN SURCO  ERICK ROBERT</v>
          </cell>
        </row>
        <row r="2475">
          <cell r="A2475">
            <v>2471</v>
          </cell>
          <cell r="B2475">
            <v>42714</v>
          </cell>
          <cell r="C2475" t="str">
            <v>DICIEMBRE</v>
          </cell>
          <cell r="D2475" t="str">
            <v>2016</v>
          </cell>
          <cell r="E2475">
            <v>530</v>
          </cell>
          <cell r="F2475" t="str">
            <v>C5R-892</v>
          </cell>
          <cell r="G2475" t="str">
            <v>A0T-983</v>
          </cell>
          <cell r="H2475" t="str">
            <v>LAS BAMBAS</v>
          </cell>
          <cell r="I2475">
            <v>226743</v>
          </cell>
          <cell r="J2475" t="str">
            <v>REPUESTO</v>
          </cell>
          <cell r="K2475" t="str">
            <v>RESORTES GRANDES</v>
          </cell>
          <cell r="L2475">
            <v>10</v>
          </cell>
          <cell r="M2475" t="str">
            <v>UNID.</v>
          </cell>
          <cell r="N2475" t="str">
            <v>CISTERNA</v>
          </cell>
          <cell r="O2475">
            <v>0</v>
          </cell>
          <cell r="P2475" t="str">
            <v>M1</v>
          </cell>
          <cell r="Q2475" t="str">
            <v>J2</v>
          </cell>
          <cell r="R2475" t="str">
            <v>J5</v>
          </cell>
          <cell r="S2475" t="str">
            <v>ENTREGADO</v>
          </cell>
          <cell r="T2475">
            <v>42714</v>
          </cell>
          <cell r="U2475" t="str">
            <v>CABEZAS SANCHEZ JEAN JHONATAN</v>
          </cell>
          <cell r="V2475" t="str">
            <v>CORIHUAMAN SURCO  ERICK ROBERT</v>
          </cell>
        </row>
        <row r="2476">
          <cell r="A2476">
            <v>2472</v>
          </cell>
          <cell r="B2476">
            <v>42714</v>
          </cell>
          <cell r="C2476" t="str">
            <v>DICIEMBRE</v>
          </cell>
          <cell r="D2476" t="str">
            <v>2016</v>
          </cell>
          <cell r="E2476">
            <v>530</v>
          </cell>
          <cell r="F2476" t="str">
            <v>C5R-892</v>
          </cell>
          <cell r="G2476" t="str">
            <v>A0T-983</v>
          </cell>
          <cell r="H2476" t="str">
            <v>LAS BAMBAS</v>
          </cell>
          <cell r="I2476">
            <v>226743</v>
          </cell>
          <cell r="J2476" t="str">
            <v>REPUESTO</v>
          </cell>
          <cell r="K2476" t="str">
            <v>RESORTES CHICOS</v>
          </cell>
          <cell r="L2476">
            <v>20</v>
          </cell>
          <cell r="M2476" t="str">
            <v>UNID.</v>
          </cell>
          <cell r="N2476" t="str">
            <v>CISTERNA</v>
          </cell>
          <cell r="O2476">
            <v>0</v>
          </cell>
          <cell r="P2476" t="str">
            <v>M1</v>
          </cell>
          <cell r="Q2476" t="str">
            <v>J2</v>
          </cell>
          <cell r="R2476" t="str">
            <v>J5</v>
          </cell>
          <cell r="S2476" t="str">
            <v>ENTREGADO</v>
          </cell>
          <cell r="T2476">
            <v>42714</v>
          </cell>
          <cell r="U2476" t="str">
            <v>CABEZAS SANCHEZ JEAN JHONATAN</v>
          </cell>
          <cell r="V2476" t="str">
            <v>CORIHUAMAN SURCO  ERICK ROBERT</v>
          </cell>
        </row>
        <row r="2477">
          <cell r="A2477">
            <v>2469</v>
          </cell>
          <cell r="B2477">
            <v>42714</v>
          </cell>
          <cell r="C2477" t="str">
            <v>DICIEMBRE</v>
          </cell>
          <cell r="D2477" t="str">
            <v>2016</v>
          </cell>
          <cell r="E2477">
            <v>566</v>
          </cell>
          <cell r="F2477" t="str">
            <v>C9P-948</v>
          </cell>
          <cell r="G2477" t="str">
            <v>B4O-995</v>
          </cell>
          <cell r="H2477" t="str">
            <v>LAS BAMBAS</v>
          </cell>
          <cell r="I2477">
            <v>157264</v>
          </cell>
          <cell r="J2477" t="str">
            <v>REPUESTO</v>
          </cell>
          <cell r="K2477" t="str">
            <v>LLANTA REPARADA</v>
          </cell>
          <cell r="L2477">
            <v>1</v>
          </cell>
          <cell r="M2477" t="str">
            <v>UNID.</v>
          </cell>
          <cell r="N2477" t="str">
            <v>CISTERNA</v>
          </cell>
          <cell r="O2477">
            <v>0</v>
          </cell>
          <cell r="P2477" t="str">
            <v>N2</v>
          </cell>
          <cell r="Q2477" t="str">
            <v>J2</v>
          </cell>
          <cell r="R2477" t="str">
            <v>J5</v>
          </cell>
          <cell r="S2477" t="str">
            <v>ENTREGADO</v>
          </cell>
          <cell r="T2477">
            <v>42714</v>
          </cell>
          <cell r="U2477" t="str">
            <v>MAMANI LARICO  EDUARDO ALVARO</v>
          </cell>
          <cell r="V2477" t="str">
            <v>CORIHUAMAN SURCO  ERICK ROBERT</v>
          </cell>
        </row>
        <row r="2478">
          <cell r="A2478">
            <v>2442</v>
          </cell>
          <cell r="B2478">
            <v>42714</v>
          </cell>
          <cell r="C2478" t="str">
            <v>DICIEMBRE</v>
          </cell>
          <cell r="D2478" t="str">
            <v>2016</v>
          </cell>
          <cell r="E2478">
            <v>566</v>
          </cell>
          <cell r="F2478" t="str">
            <v>C9P-948</v>
          </cell>
          <cell r="G2478" t="str">
            <v>B4O-995</v>
          </cell>
          <cell r="H2478" t="str">
            <v>LAS BAMBAS</v>
          </cell>
          <cell r="I2478">
            <v>157264</v>
          </cell>
          <cell r="J2478" t="str">
            <v>REPUESTO</v>
          </cell>
          <cell r="K2478" t="str">
            <v xml:space="preserve">FOCO 9006 </v>
          </cell>
          <cell r="L2478">
            <v>1</v>
          </cell>
          <cell r="M2478" t="str">
            <v>UNID.</v>
          </cell>
          <cell r="N2478" t="str">
            <v>TRACTO</v>
          </cell>
          <cell r="O2478">
            <v>0</v>
          </cell>
          <cell r="P2478" t="str">
            <v>E2</v>
          </cell>
          <cell r="Q2478" t="str">
            <v>J2</v>
          </cell>
          <cell r="R2478" t="str">
            <v>J5</v>
          </cell>
          <cell r="S2478" t="str">
            <v>ENTREGADO</v>
          </cell>
          <cell r="T2478">
            <v>42714</v>
          </cell>
          <cell r="U2478" t="str">
            <v>YUCA BELLIDO BORIS YERSY</v>
          </cell>
          <cell r="V2478" t="str">
            <v>CORIHUAMAN SURCO  ERICK ROBERT</v>
          </cell>
        </row>
        <row r="2479">
          <cell r="A2479">
            <v>2443</v>
          </cell>
          <cell r="B2479">
            <v>42714</v>
          </cell>
          <cell r="C2479" t="str">
            <v>DICIEMBRE</v>
          </cell>
          <cell r="D2479" t="str">
            <v>2016</v>
          </cell>
          <cell r="E2479">
            <v>566</v>
          </cell>
          <cell r="F2479" t="str">
            <v>C9P-948</v>
          </cell>
          <cell r="G2479" t="str">
            <v>B4O-995</v>
          </cell>
          <cell r="H2479" t="str">
            <v>LAS BAMBAS</v>
          </cell>
          <cell r="I2479">
            <v>157264</v>
          </cell>
          <cell r="J2479" t="str">
            <v>REPUESTO</v>
          </cell>
          <cell r="K2479" t="str">
            <v>FOCO LAGRIMON AMBAR 12 V</v>
          </cell>
          <cell r="L2479">
            <v>1</v>
          </cell>
          <cell r="M2479" t="str">
            <v>UNID.</v>
          </cell>
          <cell r="N2479" t="str">
            <v>TRACTO</v>
          </cell>
          <cell r="O2479">
            <v>0</v>
          </cell>
          <cell r="P2479" t="str">
            <v>E2</v>
          </cell>
          <cell r="Q2479" t="str">
            <v>J2</v>
          </cell>
          <cell r="R2479" t="str">
            <v>J5</v>
          </cell>
          <cell r="S2479" t="str">
            <v>ENTREGADO</v>
          </cell>
          <cell r="T2479">
            <v>42714</v>
          </cell>
          <cell r="U2479" t="str">
            <v>YUCA BELLIDO BORIS YERSY</v>
          </cell>
          <cell r="V2479" t="str">
            <v>CORIHUAMAN SURCO  ERICK ROBERT</v>
          </cell>
        </row>
        <row r="2480">
          <cell r="A2480">
            <v>2477</v>
          </cell>
          <cell r="B2480">
            <v>42714</v>
          </cell>
          <cell r="C2480" t="str">
            <v>DICIEMBRE</v>
          </cell>
          <cell r="D2480" t="str">
            <v>2016</v>
          </cell>
          <cell r="E2480">
            <v>566</v>
          </cell>
          <cell r="F2480" t="str">
            <v>C9P-948</v>
          </cell>
          <cell r="G2480" t="str">
            <v>B4O-995</v>
          </cell>
          <cell r="H2480" t="str">
            <v>LAS BAMBAS</v>
          </cell>
          <cell r="I2480">
            <v>157264</v>
          </cell>
          <cell r="J2480" t="str">
            <v>REPUESTO</v>
          </cell>
          <cell r="K2480" t="str">
            <v>DISCO DE CORTE 7"</v>
          </cell>
          <cell r="L2480">
            <v>1</v>
          </cell>
          <cell r="M2480" t="str">
            <v>UNID.</v>
          </cell>
          <cell r="N2480" t="str">
            <v>TRACTO</v>
          </cell>
          <cell r="O2480">
            <v>0</v>
          </cell>
          <cell r="P2480" t="str">
            <v>S1</v>
          </cell>
          <cell r="Q2480" t="str">
            <v>J2</v>
          </cell>
          <cell r="R2480" t="str">
            <v>J5</v>
          </cell>
          <cell r="S2480" t="str">
            <v>ENTREGADO</v>
          </cell>
          <cell r="T2480">
            <v>42714</v>
          </cell>
          <cell r="U2480" t="str">
            <v>BAYONA CRUZ CRISTIAN ARMANDO</v>
          </cell>
          <cell r="V2480" t="str">
            <v>CORIHUAMAN SURCO  ERICK ROBERT</v>
          </cell>
        </row>
        <row r="2481">
          <cell r="A2481">
            <v>2436</v>
          </cell>
          <cell r="B2481">
            <v>42714</v>
          </cell>
          <cell r="C2481" t="str">
            <v>DICIEMBRE</v>
          </cell>
          <cell r="D2481" t="str">
            <v>2016</v>
          </cell>
          <cell r="E2481">
            <v>548</v>
          </cell>
          <cell r="F2481" t="str">
            <v>D3N-721</v>
          </cell>
          <cell r="G2481" t="str">
            <v>C4S-979</v>
          </cell>
          <cell r="H2481" t="str">
            <v>LAS BAMBAS</v>
          </cell>
          <cell r="I2481">
            <v>135552</v>
          </cell>
          <cell r="J2481" t="str">
            <v>REPUESTO</v>
          </cell>
          <cell r="K2481" t="str">
            <v>PERNO 1/2 X 2"</v>
          </cell>
          <cell r="L2481">
            <v>1</v>
          </cell>
          <cell r="M2481" t="str">
            <v>UNID.</v>
          </cell>
          <cell r="N2481" t="str">
            <v>CISTERNA</v>
          </cell>
          <cell r="O2481">
            <v>0</v>
          </cell>
          <cell r="P2481" t="str">
            <v>S1</v>
          </cell>
          <cell r="Q2481" t="str">
            <v>J2</v>
          </cell>
          <cell r="R2481" t="str">
            <v>J5</v>
          </cell>
          <cell r="S2481" t="str">
            <v>ENTREGADO</v>
          </cell>
          <cell r="T2481">
            <v>42714</v>
          </cell>
          <cell r="U2481" t="str">
            <v>BAYONA CRUZ CRISTIAN ARMANDO</v>
          </cell>
          <cell r="V2481" t="str">
            <v>CORIHUAMAN SURCO  ERICK ROBERT</v>
          </cell>
        </row>
        <row r="2482">
          <cell r="A2482">
            <v>2437</v>
          </cell>
          <cell r="B2482">
            <v>42714</v>
          </cell>
          <cell r="C2482" t="str">
            <v>DICIEMBRE</v>
          </cell>
          <cell r="D2482" t="str">
            <v>2016</v>
          </cell>
          <cell r="E2482">
            <v>548</v>
          </cell>
          <cell r="F2482" t="str">
            <v>D3N-721</v>
          </cell>
          <cell r="G2482" t="str">
            <v>C4S-979</v>
          </cell>
          <cell r="H2482" t="str">
            <v>LAS BAMBAS</v>
          </cell>
          <cell r="I2482">
            <v>135552</v>
          </cell>
          <cell r="J2482" t="str">
            <v>REPUESTO</v>
          </cell>
          <cell r="K2482" t="str">
            <v>TUERCA SEGURO 1/2</v>
          </cell>
          <cell r="L2482">
            <v>1</v>
          </cell>
          <cell r="M2482" t="str">
            <v>UNID.</v>
          </cell>
          <cell r="N2482" t="str">
            <v>CISTERNA</v>
          </cell>
          <cell r="O2482">
            <v>0</v>
          </cell>
          <cell r="P2482" t="str">
            <v>S1</v>
          </cell>
          <cell r="Q2482" t="str">
            <v>J2</v>
          </cell>
          <cell r="R2482" t="str">
            <v>J5</v>
          </cell>
          <cell r="S2482" t="str">
            <v>ENTREGADO</v>
          </cell>
          <cell r="T2482">
            <v>42714</v>
          </cell>
          <cell r="U2482" t="str">
            <v>BAYONA CRUZ CRISTIAN ARMANDO</v>
          </cell>
          <cell r="V2482" t="str">
            <v>CORIHUAMAN SURCO  ERICK ROBERT</v>
          </cell>
        </row>
        <row r="2483">
          <cell r="A2483">
            <v>2438</v>
          </cell>
          <cell r="B2483">
            <v>42714</v>
          </cell>
          <cell r="C2483" t="str">
            <v>DICIEMBRE</v>
          </cell>
          <cell r="D2483" t="str">
            <v>2016</v>
          </cell>
          <cell r="E2483">
            <v>548</v>
          </cell>
          <cell r="F2483" t="str">
            <v>D3N-721</v>
          </cell>
          <cell r="G2483" t="str">
            <v>C4S-979</v>
          </cell>
          <cell r="H2483" t="str">
            <v>LAS BAMBAS</v>
          </cell>
          <cell r="I2483">
            <v>135552</v>
          </cell>
          <cell r="J2483" t="str">
            <v>REPUESTO</v>
          </cell>
          <cell r="K2483" t="str">
            <v>ARANDELAS PLANAS 1/2</v>
          </cell>
          <cell r="L2483">
            <v>4</v>
          </cell>
          <cell r="M2483" t="str">
            <v>UNID.</v>
          </cell>
          <cell r="N2483" t="str">
            <v>CISTERNA</v>
          </cell>
          <cell r="O2483">
            <v>0</v>
          </cell>
          <cell r="P2483" t="str">
            <v>S1</v>
          </cell>
          <cell r="Q2483" t="str">
            <v>J2</v>
          </cell>
          <cell r="R2483" t="str">
            <v>J5</v>
          </cell>
          <cell r="S2483" t="str">
            <v>ENTREGADO</v>
          </cell>
          <cell r="T2483">
            <v>42714</v>
          </cell>
          <cell r="U2483" t="str">
            <v>BAYONA CRUZ CRISTIAN ARMANDO</v>
          </cell>
          <cell r="V2483" t="str">
            <v>CORIHUAMAN SURCO  ERICK ROBERT</v>
          </cell>
        </row>
        <row r="2484">
          <cell r="A2484">
            <v>2439</v>
          </cell>
          <cell r="B2484">
            <v>42714</v>
          </cell>
          <cell r="C2484" t="str">
            <v>DICIEMBRE</v>
          </cell>
          <cell r="D2484" t="str">
            <v>2016</v>
          </cell>
          <cell r="E2484">
            <v>548</v>
          </cell>
          <cell r="F2484" t="str">
            <v>D3N-721</v>
          </cell>
          <cell r="G2484" t="str">
            <v>C4S-979</v>
          </cell>
          <cell r="H2484" t="str">
            <v>LAS BAMBAS</v>
          </cell>
          <cell r="I2484">
            <v>135552</v>
          </cell>
          <cell r="J2484" t="str">
            <v>REPUESTO</v>
          </cell>
          <cell r="K2484" t="str">
            <v>PERNO 5/16 X 1/2 C/ DOBLE ARANDELA PLANA Y TUERCA SEGURO</v>
          </cell>
          <cell r="L2484">
            <v>1</v>
          </cell>
          <cell r="M2484" t="str">
            <v>UNID.</v>
          </cell>
          <cell r="N2484" t="str">
            <v>CISTERNA</v>
          </cell>
          <cell r="O2484">
            <v>0</v>
          </cell>
          <cell r="P2484" t="str">
            <v>S1</v>
          </cell>
          <cell r="Q2484" t="str">
            <v>J2</v>
          </cell>
          <cell r="R2484" t="str">
            <v>J5</v>
          </cell>
          <cell r="S2484" t="str">
            <v>ENTREGADO</v>
          </cell>
          <cell r="T2484">
            <v>42714</v>
          </cell>
          <cell r="U2484" t="str">
            <v>BAYONA CRUZ CRISTIAN ARMANDO</v>
          </cell>
          <cell r="V2484" t="str">
            <v>CORIHUAMAN SURCO  ERICK ROBERT</v>
          </cell>
        </row>
        <row r="2485">
          <cell r="A2485">
            <v>2483</v>
          </cell>
          <cell r="B2485">
            <v>42714</v>
          </cell>
          <cell r="C2485" t="str">
            <v>DICIEMBRE</v>
          </cell>
          <cell r="D2485" t="str">
            <v>2016</v>
          </cell>
          <cell r="E2485">
            <v>548</v>
          </cell>
          <cell r="F2485" t="str">
            <v>D3N-721</v>
          </cell>
          <cell r="G2485" t="str">
            <v>C4S-979</v>
          </cell>
          <cell r="H2485" t="str">
            <v>LAS BAMBAS</v>
          </cell>
          <cell r="I2485">
            <v>135552</v>
          </cell>
          <cell r="J2485" t="str">
            <v>REPUESTO</v>
          </cell>
          <cell r="K2485" t="str">
            <v>PERNO 5/16 X 1 1/2"</v>
          </cell>
          <cell r="L2485">
            <v>20</v>
          </cell>
          <cell r="M2485" t="str">
            <v>UNID.</v>
          </cell>
          <cell r="N2485" t="str">
            <v>CISTERNA</v>
          </cell>
          <cell r="O2485">
            <v>0</v>
          </cell>
          <cell r="P2485" t="str">
            <v>M7</v>
          </cell>
          <cell r="Q2485" t="str">
            <v>J2</v>
          </cell>
          <cell r="R2485" t="str">
            <v>J5</v>
          </cell>
          <cell r="S2485" t="str">
            <v>ENTREGADO</v>
          </cell>
          <cell r="T2485">
            <v>42714</v>
          </cell>
          <cell r="U2485" t="str">
            <v>ROBLES ROJAS  JOSE MIGUEL</v>
          </cell>
          <cell r="V2485" t="str">
            <v>CORIHUAMAN SURCO  ERICK ROBERT</v>
          </cell>
        </row>
        <row r="2486">
          <cell r="A2486">
            <v>2484</v>
          </cell>
          <cell r="B2486">
            <v>42714</v>
          </cell>
          <cell r="C2486" t="str">
            <v>DICIEMBRE</v>
          </cell>
          <cell r="D2486" t="str">
            <v>2016</v>
          </cell>
          <cell r="E2486">
            <v>548</v>
          </cell>
          <cell r="F2486" t="str">
            <v>D3N-721</v>
          </cell>
          <cell r="G2486" t="str">
            <v>C4S-979</v>
          </cell>
          <cell r="H2486" t="str">
            <v>LAS BAMBAS</v>
          </cell>
          <cell r="I2486">
            <v>135552</v>
          </cell>
          <cell r="J2486" t="str">
            <v>REPUESTO</v>
          </cell>
          <cell r="K2486" t="str">
            <v>TUERCA SEGURO 5/16</v>
          </cell>
          <cell r="L2486">
            <v>20</v>
          </cell>
          <cell r="M2486" t="str">
            <v>UNID.</v>
          </cell>
          <cell r="N2486" t="str">
            <v>CISTERNA</v>
          </cell>
          <cell r="O2486">
            <v>0</v>
          </cell>
          <cell r="P2486" t="str">
            <v>M7</v>
          </cell>
          <cell r="Q2486" t="str">
            <v>J2</v>
          </cell>
          <cell r="R2486" t="str">
            <v>J5</v>
          </cell>
          <cell r="S2486" t="str">
            <v>ENTREGADO</v>
          </cell>
          <cell r="T2486">
            <v>42714</v>
          </cell>
          <cell r="U2486" t="str">
            <v>ROBLES ROJAS  JOSE MIGUEL</v>
          </cell>
          <cell r="V2486" t="str">
            <v>CORIHUAMAN SURCO  ERICK ROBERT</v>
          </cell>
        </row>
        <row r="2487">
          <cell r="A2487">
            <v>2485</v>
          </cell>
          <cell r="B2487">
            <v>42714</v>
          </cell>
          <cell r="C2487" t="str">
            <v>DICIEMBRE</v>
          </cell>
          <cell r="D2487" t="str">
            <v>2016</v>
          </cell>
          <cell r="E2487">
            <v>548</v>
          </cell>
          <cell r="F2487" t="str">
            <v>D3N-721</v>
          </cell>
          <cell r="G2487" t="str">
            <v>C4S-979</v>
          </cell>
          <cell r="H2487" t="str">
            <v>LAS BAMBAS</v>
          </cell>
          <cell r="I2487">
            <v>135552</v>
          </cell>
          <cell r="J2487" t="str">
            <v>REPUESTO</v>
          </cell>
          <cell r="K2487" t="str">
            <v>ARANDELA PLANA 5/16</v>
          </cell>
          <cell r="L2487">
            <v>40</v>
          </cell>
          <cell r="M2487" t="str">
            <v>UNID.</v>
          </cell>
          <cell r="N2487" t="str">
            <v>CISTERNA</v>
          </cell>
          <cell r="O2487">
            <v>0</v>
          </cell>
          <cell r="P2487" t="str">
            <v>M7</v>
          </cell>
          <cell r="Q2487" t="str">
            <v>J2</v>
          </cell>
          <cell r="R2487" t="str">
            <v>J5</v>
          </cell>
          <cell r="S2487" t="str">
            <v>ENTREGADO</v>
          </cell>
          <cell r="T2487">
            <v>42714</v>
          </cell>
          <cell r="U2487" t="str">
            <v>ROBLES ROJAS  JOSE MIGUEL</v>
          </cell>
          <cell r="V2487" t="str">
            <v>CORIHUAMAN SURCO  ERICK ROBERT</v>
          </cell>
        </row>
        <row r="2488">
          <cell r="A2488">
            <v>2414</v>
          </cell>
          <cell r="B2488">
            <v>42714</v>
          </cell>
          <cell r="C2488" t="str">
            <v>DICIEMBRE</v>
          </cell>
          <cell r="D2488" t="str">
            <v>2016</v>
          </cell>
          <cell r="E2488">
            <v>550</v>
          </cell>
          <cell r="F2488" t="str">
            <v>D3O-745</v>
          </cell>
          <cell r="G2488" t="str">
            <v>F3L-979</v>
          </cell>
          <cell r="H2488" t="str">
            <v>LAS BAMBAS</v>
          </cell>
          <cell r="I2488">
            <v>159243</v>
          </cell>
          <cell r="J2488" t="str">
            <v>REPUESTO</v>
          </cell>
          <cell r="K2488" t="str">
            <v>SOPORTES DE MOTOR</v>
          </cell>
          <cell r="L2488">
            <v>2</v>
          </cell>
          <cell r="M2488" t="str">
            <v>UNID.</v>
          </cell>
          <cell r="N2488" t="str">
            <v>TRACTO</v>
          </cell>
          <cell r="O2488">
            <v>0</v>
          </cell>
          <cell r="P2488" t="str">
            <v>M7</v>
          </cell>
          <cell r="Q2488" t="str">
            <v>J2</v>
          </cell>
          <cell r="R2488" t="str">
            <v>J2</v>
          </cell>
          <cell r="S2488" t="str">
            <v>ENTREGADO</v>
          </cell>
          <cell r="T2488">
            <v>42714</v>
          </cell>
          <cell r="U2488" t="str">
            <v>ROBLES ROJAS  JOSE MIGUEL</v>
          </cell>
          <cell r="V2488" t="str">
            <v>CORIHUAMAN SURCO  ERICK ROBERT</v>
          </cell>
        </row>
        <row r="2489">
          <cell r="A2489">
            <v>2415</v>
          </cell>
          <cell r="B2489">
            <v>42714</v>
          </cell>
          <cell r="C2489" t="str">
            <v>DICIEMBRE</v>
          </cell>
          <cell r="D2489" t="str">
            <v>2016</v>
          </cell>
          <cell r="E2489">
            <v>550</v>
          </cell>
          <cell r="F2489" t="str">
            <v>D3O-745</v>
          </cell>
          <cell r="G2489" t="str">
            <v>F3L-979</v>
          </cell>
          <cell r="H2489" t="str">
            <v>LAS BAMBAS</v>
          </cell>
          <cell r="I2489">
            <v>159243</v>
          </cell>
          <cell r="J2489" t="str">
            <v>REPUESTO</v>
          </cell>
          <cell r="K2489" t="str">
            <v>KIT DE EMBRIAGUE</v>
          </cell>
          <cell r="L2489">
            <v>1</v>
          </cell>
          <cell r="M2489" t="str">
            <v>UNID.</v>
          </cell>
          <cell r="N2489" t="str">
            <v>TRACTO</v>
          </cell>
          <cell r="O2489">
            <v>0</v>
          </cell>
          <cell r="P2489" t="str">
            <v>M7</v>
          </cell>
          <cell r="Q2489" t="str">
            <v>J2</v>
          </cell>
          <cell r="R2489" t="str">
            <v>J2</v>
          </cell>
          <cell r="S2489" t="str">
            <v>ENTREGADO</v>
          </cell>
          <cell r="T2489">
            <v>42714</v>
          </cell>
          <cell r="U2489" t="str">
            <v>ROBLES ROJAS  JOSE MIGUEL</v>
          </cell>
          <cell r="V2489" t="str">
            <v>CORIHUAMAN SURCO  ERICK ROBERT</v>
          </cell>
        </row>
        <row r="2490">
          <cell r="A2490">
            <v>2416</v>
          </cell>
          <cell r="B2490">
            <v>42714</v>
          </cell>
          <cell r="C2490" t="str">
            <v>DICIEMBRE</v>
          </cell>
          <cell r="D2490" t="str">
            <v>2016</v>
          </cell>
          <cell r="E2490">
            <v>550</v>
          </cell>
          <cell r="F2490" t="str">
            <v>D3O-745</v>
          </cell>
          <cell r="G2490" t="str">
            <v>F3L-979</v>
          </cell>
          <cell r="H2490" t="str">
            <v>LAS BAMBAS</v>
          </cell>
          <cell r="I2490">
            <v>159243</v>
          </cell>
          <cell r="J2490" t="str">
            <v>SERVICIO</v>
          </cell>
          <cell r="K2490" t="str">
            <v>SERVICIO DE PULIDO DISCO</v>
          </cell>
          <cell r="L2490">
            <v>1</v>
          </cell>
          <cell r="M2490" t="str">
            <v>UNID.</v>
          </cell>
          <cell r="N2490" t="str">
            <v>TRACTO</v>
          </cell>
          <cell r="O2490">
            <v>0</v>
          </cell>
          <cell r="P2490" t="str">
            <v>M7</v>
          </cell>
          <cell r="Q2490" t="str">
            <v>J2</v>
          </cell>
          <cell r="R2490" t="str">
            <v>J2</v>
          </cell>
          <cell r="S2490" t="str">
            <v>ENTREGADO</v>
          </cell>
          <cell r="T2490">
            <v>42714</v>
          </cell>
          <cell r="U2490" t="str">
            <v>ROBLES ROJAS  JOSE MIGUEL</v>
          </cell>
          <cell r="V2490" t="str">
            <v>CORIHUAMAN SURCO  ERICK ROBERT</v>
          </cell>
        </row>
        <row r="2491">
          <cell r="A2491">
            <v>2417</v>
          </cell>
          <cell r="B2491">
            <v>42714</v>
          </cell>
          <cell r="C2491" t="str">
            <v>DICIEMBRE</v>
          </cell>
          <cell r="D2491" t="str">
            <v>2016</v>
          </cell>
          <cell r="E2491">
            <v>550</v>
          </cell>
          <cell r="F2491" t="str">
            <v>D3O-745</v>
          </cell>
          <cell r="G2491" t="str">
            <v>F3L-979</v>
          </cell>
          <cell r="H2491" t="str">
            <v>LAS BAMBAS</v>
          </cell>
          <cell r="I2491">
            <v>159243</v>
          </cell>
          <cell r="J2491" t="str">
            <v>SERVICIO</v>
          </cell>
          <cell r="K2491" t="str">
            <v>CAMBIO DE RODAJE DE VOLANTE</v>
          </cell>
          <cell r="L2491">
            <v>1</v>
          </cell>
          <cell r="M2491" t="str">
            <v>UNID.</v>
          </cell>
          <cell r="N2491" t="str">
            <v>TRACTO</v>
          </cell>
          <cell r="O2491">
            <v>76</v>
          </cell>
          <cell r="P2491" t="str">
            <v>M7</v>
          </cell>
          <cell r="Q2491" t="str">
            <v>J2</v>
          </cell>
          <cell r="R2491" t="str">
            <v>J2</v>
          </cell>
          <cell r="S2491" t="str">
            <v>PENDIENTE</v>
          </cell>
          <cell r="T2491">
            <v>0</v>
          </cell>
          <cell r="U2491" t="str">
            <v>ROBLES ROJAS  JOSE MIGUEL</v>
          </cell>
          <cell r="V2491" t="str">
            <v>CORIHUAMAN SURCO  ERICK ROBERT</v>
          </cell>
        </row>
        <row r="2492">
          <cell r="A2492">
            <v>2440</v>
          </cell>
          <cell r="B2492">
            <v>42714</v>
          </cell>
          <cell r="C2492" t="str">
            <v>DICIEMBRE</v>
          </cell>
          <cell r="D2492" t="str">
            <v>2016</v>
          </cell>
          <cell r="E2492">
            <v>561</v>
          </cell>
          <cell r="F2492" t="str">
            <v>D3P-744</v>
          </cell>
          <cell r="G2492" t="str">
            <v>A0F-996</v>
          </cell>
          <cell r="H2492" t="str">
            <v>LAS BAMBAS</v>
          </cell>
          <cell r="I2492">
            <v>154431</v>
          </cell>
          <cell r="J2492" t="str">
            <v>REPUESTO</v>
          </cell>
          <cell r="K2492" t="str">
            <v>GUARDAFANGO DE CARRETA COMPLETO (CON BASE)</v>
          </cell>
          <cell r="L2492">
            <v>4</v>
          </cell>
          <cell r="M2492" t="str">
            <v>UNID.</v>
          </cell>
          <cell r="N2492" t="str">
            <v>CISTERNA</v>
          </cell>
          <cell r="O2492">
            <v>0</v>
          </cell>
          <cell r="P2492" t="str">
            <v>M7</v>
          </cell>
          <cell r="Q2492" t="str">
            <v>J2</v>
          </cell>
          <cell r="R2492" t="str">
            <v>J5</v>
          </cell>
          <cell r="S2492" t="str">
            <v>ENTREGADO</v>
          </cell>
          <cell r="T2492">
            <v>42714</v>
          </cell>
          <cell r="U2492" t="str">
            <v>ROBLES ROJAS  JOSE MIGUEL</v>
          </cell>
          <cell r="V2492" t="str">
            <v>CORIHUAMAN SURCO  ERICK ROBERT</v>
          </cell>
        </row>
        <row r="2493">
          <cell r="A2493">
            <v>2452</v>
          </cell>
          <cell r="B2493">
            <v>42714</v>
          </cell>
          <cell r="C2493" t="str">
            <v>DICIEMBRE</v>
          </cell>
          <cell r="D2493" t="str">
            <v>2016</v>
          </cell>
          <cell r="E2493">
            <v>561</v>
          </cell>
          <cell r="F2493" t="str">
            <v>D3P-744</v>
          </cell>
          <cell r="G2493" t="str">
            <v>A0F-996</v>
          </cell>
          <cell r="H2493" t="str">
            <v>LAS BAMBAS</v>
          </cell>
          <cell r="I2493">
            <v>154431</v>
          </cell>
          <cell r="J2493" t="str">
            <v>REPUESTO</v>
          </cell>
          <cell r="K2493" t="str">
            <v>CELLOCORD 5/32</v>
          </cell>
          <cell r="L2493">
            <v>5</v>
          </cell>
          <cell r="M2493" t="str">
            <v>KG.</v>
          </cell>
          <cell r="N2493" t="str">
            <v>CISTERNA</v>
          </cell>
          <cell r="O2493">
            <v>0</v>
          </cell>
          <cell r="P2493" t="str">
            <v>S2</v>
          </cell>
          <cell r="Q2493" t="str">
            <v>J2</v>
          </cell>
          <cell r="R2493" t="str">
            <v>J5</v>
          </cell>
          <cell r="S2493" t="str">
            <v>ENTREGADO</v>
          </cell>
          <cell r="T2493">
            <v>42714</v>
          </cell>
          <cell r="U2493" t="str">
            <v>PALOMINO ESTRADA  MICHEL</v>
          </cell>
          <cell r="V2493" t="str">
            <v>CORIHUAMAN SURCO  ERICK ROBERT</v>
          </cell>
        </row>
        <row r="2494">
          <cell r="A2494">
            <v>2453</v>
          </cell>
          <cell r="B2494">
            <v>42714</v>
          </cell>
          <cell r="C2494" t="str">
            <v>DICIEMBRE</v>
          </cell>
          <cell r="D2494" t="str">
            <v>2016</v>
          </cell>
          <cell r="E2494">
            <v>561</v>
          </cell>
          <cell r="F2494" t="str">
            <v>D3P-744</v>
          </cell>
          <cell r="G2494" t="str">
            <v>A0F-996</v>
          </cell>
          <cell r="H2494" t="str">
            <v>LAS BAMBAS</v>
          </cell>
          <cell r="I2494">
            <v>154431</v>
          </cell>
          <cell r="J2494" t="str">
            <v>REPUESTO</v>
          </cell>
          <cell r="K2494" t="str">
            <v xml:space="preserve">PERNO MANHOLE </v>
          </cell>
          <cell r="L2494">
            <v>1</v>
          </cell>
          <cell r="M2494" t="str">
            <v>UNID.</v>
          </cell>
          <cell r="N2494" t="str">
            <v>CISTERNA</v>
          </cell>
          <cell r="O2494">
            <v>0</v>
          </cell>
          <cell r="P2494" t="str">
            <v>S2</v>
          </cell>
          <cell r="Q2494" t="str">
            <v>J2</v>
          </cell>
          <cell r="R2494" t="str">
            <v>J5</v>
          </cell>
          <cell r="S2494" t="str">
            <v>ENTREGADO</v>
          </cell>
          <cell r="T2494">
            <v>42714</v>
          </cell>
          <cell r="U2494" t="str">
            <v>PALOMINO ESTRADA  MICHEL</v>
          </cell>
          <cell r="V2494" t="str">
            <v>CORIHUAMAN SURCO  ERICK ROBERT</v>
          </cell>
        </row>
        <row r="2495">
          <cell r="A2495">
            <v>2454</v>
          </cell>
          <cell r="B2495">
            <v>42714</v>
          </cell>
          <cell r="C2495" t="str">
            <v>DICIEMBRE</v>
          </cell>
          <cell r="D2495" t="str">
            <v>2016</v>
          </cell>
          <cell r="E2495">
            <v>561</v>
          </cell>
          <cell r="F2495" t="str">
            <v>D3P-744</v>
          </cell>
          <cell r="G2495" t="str">
            <v>A0F-996</v>
          </cell>
          <cell r="H2495" t="str">
            <v>LAS BAMBAS</v>
          </cell>
          <cell r="I2495">
            <v>154431</v>
          </cell>
          <cell r="J2495" t="str">
            <v>REPUESTO</v>
          </cell>
          <cell r="K2495" t="str">
            <v>SPRAY BLANCO</v>
          </cell>
          <cell r="L2495">
            <v>1</v>
          </cell>
          <cell r="M2495" t="str">
            <v>UNID.</v>
          </cell>
          <cell r="N2495" t="str">
            <v>CISTERNA</v>
          </cell>
          <cell r="O2495">
            <v>76</v>
          </cell>
          <cell r="P2495" t="str">
            <v>S2</v>
          </cell>
          <cell r="Q2495" t="str">
            <v>J2</v>
          </cell>
          <cell r="R2495" t="str">
            <v>J5</v>
          </cell>
          <cell r="S2495" t="str">
            <v>PENDIENTE</v>
          </cell>
          <cell r="T2495">
            <v>0</v>
          </cell>
          <cell r="U2495" t="str">
            <v>PALOMINO ESTRADA  MICHEL</v>
          </cell>
          <cell r="V2495" t="str">
            <v>CORIHUAMAN SURCO  ERICK ROBERT</v>
          </cell>
        </row>
        <row r="2496">
          <cell r="A2496">
            <v>2475</v>
          </cell>
          <cell r="B2496">
            <v>42714</v>
          </cell>
          <cell r="C2496" t="str">
            <v>DICIEMBRE</v>
          </cell>
          <cell r="D2496" t="str">
            <v>2016</v>
          </cell>
          <cell r="E2496">
            <v>202</v>
          </cell>
          <cell r="F2496" t="str">
            <v>D3P-752</v>
          </cell>
          <cell r="G2496" t="str">
            <v>C5Y-985</v>
          </cell>
          <cell r="H2496" t="str">
            <v>LAS BAMBAS</v>
          </cell>
          <cell r="I2496">
            <v>150504</v>
          </cell>
          <cell r="J2496" t="str">
            <v>REPUESTO</v>
          </cell>
          <cell r="K2496" t="str">
            <v>PERNO 5/16 X 1 1/2"</v>
          </cell>
          <cell r="L2496">
            <v>2</v>
          </cell>
          <cell r="M2496" t="str">
            <v>UNID.</v>
          </cell>
          <cell r="N2496" t="str">
            <v>TRACTO</v>
          </cell>
          <cell r="O2496">
            <v>0</v>
          </cell>
          <cell r="P2496" t="str">
            <v>E1</v>
          </cell>
          <cell r="Q2496" t="str">
            <v>J2</v>
          </cell>
          <cell r="R2496" t="str">
            <v>J5</v>
          </cell>
          <cell r="S2496" t="str">
            <v>ENTREGADO</v>
          </cell>
          <cell r="T2496">
            <v>42714</v>
          </cell>
          <cell r="U2496" t="str">
            <v>PALOMINO CARDENAS JUAN CARLOS</v>
          </cell>
          <cell r="V2496" t="str">
            <v>CORIHUAMAN SURCO  ERICK ROBERT</v>
          </cell>
        </row>
        <row r="2497">
          <cell r="A2497">
            <v>2476</v>
          </cell>
          <cell r="B2497">
            <v>42714</v>
          </cell>
          <cell r="C2497" t="str">
            <v>DICIEMBRE</v>
          </cell>
          <cell r="D2497" t="str">
            <v>2016</v>
          </cell>
          <cell r="E2497">
            <v>202</v>
          </cell>
          <cell r="F2497" t="str">
            <v>D3P-752</v>
          </cell>
          <cell r="G2497" t="str">
            <v>C5Y-985</v>
          </cell>
          <cell r="H2497" t="str">
            <v>LAS BAMBAS</v>
          </cell>
          <cell r="I2497">
            <v>150504</v>
          </cell>
          <cell r="J2497" t="str">
            <v>REPUESTO</v>
          </cell>
          <cell r="K2497" t="str">
            <v>VOLANDA 5/16</v>
          </cell>
          <cell r="L2497">
            <v>4</v>
          </cell>
          <cell r="M2497" t="str">
            <v>UNID.</v>
          </cell>
          <cell r="N2497" t="str">
            <v>TRACTO</v>
          </cell>
          <cell r="O2497">
            <v>0</v>
          </cell>
          <cell r="P2497" t="str">
            <v>E1</v>
          </cell>
          <cell r="Q2497" t="str">
            <v>J2</v>
          </cell>
          <cell r="R2497" t="str">
            <v>J5</v>
          </cell>
          <cell r="S2497" t="str">
            <v>ENTREGADO</v>
          </cell>
          <cell r="T2497">
            <v>42714</v>
          </cell>
          <cell r="U2497" t="str">
            <v>PALOMINO CARDENAS JUAN CARLOS</v>
          </cell>
          <cell r="V2497" t="str">
            <v>CORIHUAMAN SURCO  ERICK ROBERT</v>
          </cell>
        </row>
        <row r="2498">
          <cell r="A2498">
            <v>2435</v>
          </cell>
          <cell r="B2498">
            <v>42714</v>
          </cell>
          <cell r="C2498" t="str">
            <v>DICIEMBRE</v>
          </cell>
          <cell r="D2498" t="str">
            <v>2016</v>
          </cell>
          <cell r="E2498">
            <v>506</v>
          </cell>
          <cell r="F2498" t="str">
            <v>D3P-754</v>
          </cell>
          <cell r="G2498" t="str">
            <v>C0V-971</v>
          </cell>
          <cell r="H2498" t="str">
            <v>LAS BAMBAS</v>
          </cell>
          <cell r="I2498">
            <v>163530</v>
          </cell>
          <cell r="J2498" t="str">
            <v>REPUESTO</v>
          </cell>
          <cell r="K2498" t="str">
            <v>PERNO MANHOLE C/ DOBLE TUERCA</v>
          </cell>
          <cell r="L2498">
            <v>1</v>
          </cell>
          <cell r="M2498" t="str">
            <v>UNID.</v>
          </cell>
          <cell r="N2498" t="str">
            <v>CISTERNA</v>
          </cell>
          <cell r="O2498">
            <v>0</v>
          </cell>
          <cell r="P2498" t="str">
            <v>S2</v>
          </cell>
          <cell r="Q2498" t="str">
            <v>J2</v>
          </cell>
          <cell r="R2498" t="str">
            <v>J5</v>
          </cell>
          <cell r="S2498" t="str">
            <v>ENTREGADO</v>
          </cell>
          <cell r="T2498">
            <v>42714</v>
          </cell>
          <cell r="U2498" t="str">
            <v>PALOMINO ESTRADA  MICHEL</v>
          </cell>
          <cell r="V2498" t="str">
            <v>CORIHUAMAN SURCO  ERICK ROBERT</v>
          </cell>
        </row>
        <row r="2499">
          <cell r="A2499">
            <v>2474</v>
          </cell>
          <cell r="B2499">
            <v>42714</v>
          </cell>
          <cell r="C2499" t="str">
            <v>DICIEMBRE</v>
          </cell>
          <cell r="D2499" t="str">
            <v>2016</v>
          </cell>
          <cell r="E2499">
            <v>506</v>
          </cell>
          <cell r="F2499" t="str">
            <v>D3P-754</v>
          </cell>
          <cell r="G2499" t="str">
            <v>C0V-971</v>
          </cell>
          <cell r="H2499" t="str">
            <v>LAS BAMBAS</v>
          </cell>
          <cell r="I2499">
            <v>163530</v>
          </cell>
          <cell r="J2499" t="str">
            <v>REPUESTO</v>
          </cell>
          <cell r="K2499" t="str">
            <v>RESORTES DE ZAPATA DE FRENO</v>
          </cell>
          <cell r="L2499">
            <v>6</v>
          </cell>
          <cell r="M2499" t="str">
            <v>UNID.</v>
          </cell>
          <cell r="N2499" t="str">
            <v>CISTERNA</v>
          </cell>
          <cell r="O2499">
            <v>0</v>
          </cell>
          <cell r="P2499" t="str">
            <v>M2</v>
          </cell>
          <cell r="Q2499" t="str">
            <v>J2</v>
          </cell>
          <cell r="R2499" t="str">
            <v>J5</v>
          </cell>
          <cell r="S2499" t="str">
            <v>ENTREGADO</v>
          </cell>
          <cell r="T2499">
            <v>42714</v>
          </cell>
          <cell r="U2499" t="str">
            <v>CHUMPITAZ GAGO JULIO ENRIQUE</v>
          </cell>
          <cell r="V2499" t="str">
            <v>CORIHUAMAN SURCO  ERICK ROBERT</v>
          </cell>
        </row>
        <row r="2500">
          <cell r="A2500">
            <v>2431</v>
          </cell>
          <cell r="B2500">
            <v>42714</v>
          </cell>
          <cell r="C2500" t="str">
            <v>DICIEMBRE</v>
          </cell>
          <cell r="D2500" t="str">
            <v>2016</v>
          </cell>
          <cell r="E2500">
            <v>502</v>
          </cell>
          <cell r="F2500" t="str">
            <v>D3S-767</v>
          </cell>
          <cell r="G2500" t="str">
            <v>B8L-973</v>
          </cell>
          <cell r="H2500" t="str">
            <v>LAS BAMBAS</v>
          </cell>
          <cell r="I2500">
            <v>184458</v>
          </cell>
          <cell r="J2500" t="str">
            <v>REPUESTO</v>
          </cell>
          <cell r="K2500" t="str">
            <v>JUEGO DE ZAPATAS</v>
          </cell>
          <cell r="L2500">
            <v>0.5</v>
          </cell>
          <cell r="M2500" t="str">
            <v>JUEGO</v>
          </cell>
          <cell r="N2500" t="str">
            <v>CISTERNA</v>
          </cell>
          <cell r="O2500">
            <v>0</v>
          </cell>
          <cell r="P2500" t="str">
            <v>M3</v>
          </cell>
          <cell r="Q2500" t="str">
            <v>J2</v>
          </cell>
          <cell r="R2500" t="str">
            <v>J2</v>
          </cell>
          <cell r="S2500" t="str">
            <v>ENTREGADO</v>
          </cell>
          <cell r="T2500">
            <v>42714</v>
          </cell>
          <cell r="U2500" t="str">
            <v>GARCIA PASQUEL  JOSE LUIS</v>
          </cell>
          <cell r="V2500" t="str">
            <v>CORIHUAMAN SURCO  ERICK ROBERT</v>
          </cell>
        </row>
        <row r="2501">
          <cell r="A2501">
            <v>2432</v>
          </cell>
          <cell r="B2501">
            <v>42714</v>
          </cell>
          <cell r="C2501" t="str">
            <v>DICIEMBRE</v>
          </cell>
          <cell r="D2501" t="str">
            <v>2016</v>
          </cell>
          <cell r="E2501">
            <v>502</v>
          </cell>
          <cell r="F2501" t="str">
            <v>D3S-767</v>
          </cell>
          <cell r="G2501" t="str">
            <v>B8L-973</v>
          </cell>
          <cell r="H2501" t="str">
            <v>LAS BAMBAS</v>
          </cell>
          <cell r="I2501">
            <v>184458</v>
          </cell>
          <cell r="J2501" t="str">
            <v>REPUESTO</v>
          </cell>
          <cell r="K2501" t="str">
            <v xml:space="preserve">RESORTE GRANDE </v>
          </cell>
          <cell r="L2501">
            <v>1</v>
          </cell>
          <cell r="M2501" t="str">
            <v>UNID.</v>
          </cell>
          <cell r="N2501" t="str">
            <v>CISTERNA</v>
          </cell>
          <cell r="O2501">
            <v>0</v>
          </cell>
          <cell r="P2501" t="str">
            <v>M3</v>
          </cell>
          <cell r="Q2501" t="str">
            <v>J2</v>
          </cell>
          <cell r="R2501" t="str">
            <v>J2</v>
          </cell>
          <cell r="S2501" t="str">
            <v>ENTREGADO</v>
          </cell>
          <cell r="T2501">
            <v>42714</v>
          </cell>
          <cell r="U2501" t="str">
            <v>GARCIA PASQUEL  JOSE LUIS</v>
          </cell>
          <cell r="V2501" t="str">
            <v>CORIHUAMAN SURCO  ERICK ROBERT</v>
          </cell>
        </row>
        <row r="2502">
          <cell r="A2502">
            <v>2433</v>
          </cell>
          <cell r="B2502">
            <v>42714</v>
          </cell>
          <cell r="C2502" t="str">
            <v>DICIEMBRE</v>
          </cell>
          <cell r="D2502" t="str">
            <v>2016</v>
          </cell>
          <cell r="E2502">
            <v>502</v>
          </cell>
          <cell r="F2502" t="str">
            <v>D3S-767</v>
          </cell>
          <cell r="G2502" t="str">
            <v>B8L-973</v>
          </cell>
          <cell r="H2502" t="str">
            <v>LAS BAMBAS</v>
          </cell>
          <cell r="I2502">
            <v>184458</v>
          </cell>
          <cell r="J2502" t="str">
            <v>REPUESTO</v>
          </cell>
          <cell r="K2502" t="str">
            <v>RESORTE CHICO</v>
          </cell>
          <cell r="L2502">
            <v>2</v>
          </cell>
          <cell r="M2502" t="str">
            <v>UNID.</v>
          </cell>
          <cell r="N2502" t="str">
            <v>CISTERNA</v>
          </cell>
          <cell r="O2502">
            <v>0</v>
          </cell>
          <cell r="P2502" t="str">
            <v>M3</v>
          </cell>
          <cell r="Q2502" t="str">
            <v>J2</v>
          </cell>
          <cell r="R2502" t="str">
            <v>J2</v>
          </cell>
          <cell r="S2502" t="str">
            <v>ENTREGADO</v>
          </cell>
          <cell r="T2502">
            <v>42714</v>
          </cell>
          <cell r="U2502" t="str">
            <v>GARCIA PASQUEL  JOSE LUIS</v>
          </cell>
          <cell r="V2502" t="str">
            <v>CORIHUAMAN SURCO  ERICK ROBERT</v>
          </cell>
        </row>
        <row r="2503">
          <cell r="A2503">
            <v>2418</v>
          </cell>
          <cell r="B2503">
            <v>42714</v>
          </cell>
          <cell r="C2503" t="str">
            <v>DICIEMBRE</v>
          </cell>
          <cell r="D2503" t="str">
            <v>2016</v>
          </cell>
          <cell r="E2503">
            <v>200</v>
          </cell>
          <cell r="F2503" t="str">
            <v>TALLER</v>
          </cell>
          <cell r="G2503" t="str">
            <v>TALLER</v>
          </cell>
          <cell r="H2503" t="str">
            <v>TALLER</v>
          </cell>
          <cell r="I2503" t="str">
            <v>TALLER</v>
          </cell>
          <cell r="J2503" t="str">
            <v>INSUMO TALLER</v>
          </cell>
          <cell r="K2503" t="str">
            <v>TAIVEX "L"</v>
          </cell>
          <cell r="L2503">
            <v>1</v>
          </cell>
          <cell r="M2503" t="str">
            <v>UNID.</v>
          </cell>
          <cell r="N2503" t="str">
            <v>TALLER</v>
          </cell>
          <cell r="O2503">
            <v>0</v>
          </cell>
          <cell r="P2503" t="str">
            <v>M3</v>
          </cell>
          <cell r="Q2503" t="str">
            <v>J4</v>
          </cell>
          <cell r="R2503" t="str">
            <v>J2</v>
          </cell>
          <cell r="S2503" t="str">
            <v>ENTREGADO</v>
          </cell>
          <cell r="T2503">
            <v>42714</v>
          </cell>
          <cell r="U2503" t="str">
            <v>GARCIA PASQUEL  JOSE LUIS</v>
          </cell>
          <cell r="V2503" t="str">
            <v>CHIAN MANRIQUE PEDRO ANTONIO</v>
          </cell>
        </row>
        <row r="2504">
          <cell r="A2504">
            <v>2434</v>
          </cell>
          <cell r="B2504">
            <v>42714</v>
          </cell>
          <cell r="C2504" t="str">
            <v>DICIEMBRE</v>
          </cell>
          <cell r="D2504" t="str">
            <v>2016</v>
          </cell>
          <cell r="E2504">
            <v>200</v>
          </cell>
          <cell r="F2504" t="str">
            <v>TALLER</v>
          </cell>
          <cell r="G2504" t="str">
            <v>TALLER</v>
          </cell>
          <cell r="H2504" t="str">
            <v>TALLER</v>
          </cell>
          <cell r="I2504" t="str">
            <v>TALLER</v>
          </cell>
          <cell r="J2504" t="str">
            <v>REPUESTO</v>
          </cell>
          <cell r="K2504" t="str">
            <v>LUNAS TRANSPARENTES</v>
          </cell>
          <cell r="L2504">
            <v>3</v>
          </cell>
          <cell r="M2504" t="str">
            <v>UNID.</v>
          </cell>
          <cell r="N2504" t="str">
            <v>TALLER</v>
          </cell>
          <cell r="O2504">
            <v>0</v>
          </cell>
          <cell r="P2504" t="str">
            <v>S2</v>
          </cell>
          <cell r="Q2504" t="str">
            <v>J2</v>
          </cell>
          <cell r="R2504" t="str">
            <v>J5</v>
          </cell>
          <cell r="S2504" t="str">
            <v>ENTREGADO</v>
          </cell>
          <cell r="T2504">
            <v>42714</v>
          </cell>
          <cell r="U2504" t="str">
            <v>PALOMINO ESTRADA  MICHEL</v>
          </cell>
          <cell r="V2504" t="str">
            <v>CORIHUAMAN SURCO  ERICK ROBERT</v>
          </cell>
        </row>
        <row r="2505">
          <cell r="A2505">
            <v>2428</v>
          </cell>
          <cell r="B2505">
            <v>42714</v>
          </cell>
          <cell r="C2505" t="str">
            <v>DICIEMBRE</v>
          </cell>
          <cell r="D2505" t="str">
            <v>2016</v>
          </cell>
          <cell r="E2505">
            <v>569</v>
          </cell>
          <cell r="F2505" t="str">
            <v>X2W-763</v>
          </cell>
          <cell r="G2505" t="str">
            <v>C5V-997</v>
          </cell>
          <cell r="H2505" t="str">
            <v>LAS BAMBAS</v>
          </cell>
          <cell r="I2505">
            <v>156389</v>
          </cell>
          <cell r="J2505" t="str">
            <v>REPUESTO</v>
          </cell>
          <cell r="K2505" t="str">
            <v>PERNO MANHOLE C/ DOBLE TUERCA</v>
          </cell>
          <cell r="L2505">
            <v>1</v>
          </cell>
          <cell r="M2505" t="str">
            <v>UNID.</v>
          </cell>
          <cell r="N2505" t="str">
            <v>CISTERNA</v>
          </cell>
          <cell r="O2505">
            <v>0</v>
          </cell>
          <cell r="P2505" t="str">
            <v>S2</v>
          </cell>
          <cell r="Q2505" t="str">
            <v>J2</v>
          </cell>
          <cell r="R2505" t="str">
            <v>J5</v>
          </cell>
          <cell r="S2505" t="str">
            <v>ENTREGADO</v>
          </cell>
          <cell r="T2505">
            <v>42714</v>
          </cell>
          <cell r="U2505" t="str">
            <v>PALOMINO ESTRADA  MICHEL</v>
          </cell>
          <cell r="V2505" t="str">
            <v>CORIHUAMAN SURCO  ERICK ROBERT</v>
          </cell>
        </row>
        <row r="2506">
          <cell r="A2506">
            <v>2493</v>
          </cell>
          <cell r="B2506">
            <v>42715</v>
          </cell>
          <cell r="C2506" t="str">
            <v>DICIEMBRE</v>
          </cell>
          <cell r="D2506" t="str">
            <v>2016</v>
          </cell>
          <cell r="E2506">
            <v>538</v>
          </cell>
          <cell r="F2506" t="str">
            <v>A5O-859</v>
          </cell>
          <cell r="G2506" t="str">
            <v>B6Y-971</v>
          </cell>
          <cell r="H2506" t="str">
            <v>LAS BAMBAS</v>
          </cell>
          <cell r="I2506">
            <v>116556</v>
          </cell>
          <cell r="J2506" t="str">
            <v>REPUESTO</v>
          </cell>
          <cell r="K2506" t="str">
            <v>LLANTAS DE TRACCION</v>
          </cell>
          <cell r="L2506">
            <v>4</v>
          </cell>
          <cell r="M2506" t="str">
            <v>UNID.</v>
          </cell>
          <cell r="N2506" t="str">
            <v>TRACTO</v>
          </cell>
          <cell r="O2506">
            <v>0</v>
          </cell>
          <cell r="P2506" t="str">
            <v>N1</v>
          </cell>
          <cell r="Q2506" t="str">
            <v>J1</v>
          </cell>
          <cell r="R2506" t="str">
            <v>J1</v>
          </cell>
          <cell r="S2506" t="str">
            <v>ENTREGADO</v>
          </cell>
          <cell r="T2506">
            <v>42715</v>
          </cell>
          <cell r="U2506" t="str">
            <v>AGUILAR CCANTUTA WILLY</v>
          </cell>
          <cell r="V2506" t="str">
            <v>FLOREZ CONDORI  JOSE WILLIANS</v>
          </cell>
        </row>
        <row r="2507">
          <cell r="A2507">
            <v>2490</v>
          </cell>
          <cell r="B2507">
            <v>42715</v>
          </cell>
          <cell r="C2507" t="str">
            <v>DICIEMBRE</v>
          </cell>
          <cell r="D2507" t="str">
            <v>2016</v>
          </cell>
          <cell r="E2507">
            <v>540</v>
          </cell>
          <cell r="F2507" t="str">
            <v>ABQ-703</v>
          </cell>
          <cell r="G2507" t="str">
            <v>D0Z-994</v>
          </cell>
          <cell r="H2507" t="str">
            <v>LAS BAMBAS</v>
          </cell>
          <cell r="I2507">
            <v>101200</v>
          </cell>
          <cell r="J2507" t="str">
            <v>REPUESTO</v>
          </cell>
          <cell r="K2507" t="str">
            <v>MINI FUSIBLE DE 20A</v>
          </cell>
          <cell r="L2507">
            <v>6</v>
          </cell>
          <cell r="M2507" t="str">
            <v>UNID.</v>
          </cell>
          <cell r="N2507" t="str">
            <v>TRACTO</v>
          </cell>
          <cell r="O2507">
            <v>0</v>
          </cell>
          <cell r="P2507" t="str">
            <v>E1</v>
          </cell>
          <cell r="Q2507" t="str">
            <v>J1</v>
          </cell>
          <cell r="R2507" t="str">
            <v>J1</v>
          </cell>
          <cell r="S2507" t="str">
            <v>ENTREGADO</v>
          </cell>
          <cell r="T2507">
            <v>42715</v>
          </cell>
          <cell r="U2507" t="str">
            <v>PALOMINO CARDENAS JUAN CARLOS</v>
          </cell>
          <cell r="V2507" t="str">
            <v>FLOREZ CONDORI  JOSE WILLIANS</v>
          </cell>
        </row>
        <row r="2508">
          <cell r="A2508">
            <v>2491</v>
          </cell>
          <cell r="B2508">
            <v>42715</v>
          </cell>
          <cell r="C2508" t="str">
            <v>DICIEMBRE</v>
          </cell>
          <cell r="D2508" t="str">
            <v>2016</v>
          </cell>
          <cell r="E2508">
            <v>540</v>
          </cell>
          <cell r="F2508" t="str">
            <v>ABQ-703</v>
          </cell>
          <cell r="G2508" t="str">
            <v>D0Z-994</v>
          </cell>
          <cell r="H2508" t="str">
            <v>LAS BAMBAS</v>
          </cell>
          <cell r="I2508">
            <v>101200</v>
          </cell>
          <cell r="J2508" t="str">
            <v>REPUESTO</v>
          </cell>
          <cell r="K2508" t="str">
            <v>STIKER GALONAJE</v>
          </cell>
          <cell r="L2508">
            <v>1</v>
          </cell>
          <cell r="M2508" t="str">
            <v>UNID.</v>
          </cell>
          <cell r="N2508" t="str">
            <v>CISTERNA</v>
          </cell>
          <cell r="O2508">
            <v>0</v>
          </cell>
          <cell r="P2508" t="str">
            <v>J1</v>
          </cell>
          <cell r="Q2508" t="str">
            <v>J1</v>
          </cell>
          <cell r="R2508" t="str">
            <v>J1</v>
          </cell>
          <cell r="S2508" t="str">
            <v>ENTREGADO</v>
          </cell>
          <cell r="T2508">
            <v>42715</v>
          </cell>
          <cell r="U2508" t="str">
            <v>FLOREZ CONDORI  JOSE WILLIANS</v>
          </cell>
          <cell r="V2508" t="str">
            <v>FLOREZ CONDORI  JOSE WILLIANS</v>
          </cell>
        </row>
        <row r="2509">
          <cell r="A2509">
            <v>2494</v>
          </cell>
          <cell r="B2509">
            <v>42715</v>
          </cell>
          <cell r="C2509" t="str">
            <v>DICIEMBRE</v>
          </cell>
          <cell r="D2509" t="str">
            <v>2016</v>
          </cell>
          <cell r="E2509">
            <v>372</v>
          </cell>
          <cell r="F2509" t="str">
            <v>C5R-892</v>
          </cell>
          <cell r="G2509" t="str">
            <v>A0T-983</v>
          </cell>
          <cell r="H2509" t="str">
            <v>LAS BAMBAS</v>
          </cell>
          <cell r="I2509">
            <v>225360</v>
          </cell>
          <cell r="J2509" t="str">
            <v>REPUESTO</v>
          </cell>
          <cell r="K2509" t="str">
            <v>BOMBA DE COMBUSTIBLE</v>
          </cell>
          <cell r="L2509">
            <v>1</v>
          </cell>
          <cell r="M2509" t="str">
            <v>UNID.</v>
          </cell>
          <cell r="N2509" t="str">
            <v>TRACTO</v>
          </cell>
          <cell r="O2509">
            <v>75</v>
          </cell>
          <cell r="P2509" t="str">
            <v>M7</v>
          </cell>
          <cell r="Q2509" t="str">
            <v>J1</v>
          </cell>
          <cell r="R2509" t="str">
            <v>J1</v>
          </cell>
          <cell r="S2509" t="str">
            <v>PENDIENTE</v>
          </cell>
          <cell r="T2509">
            <v>0</v>
          </cell>
          <cell r="U2509" t="str">
            <v>ROBLES ROJAS  JOSE MIGUEL</v>
          </cell>
          <cell r="V2509" t="str">
            <v>FLOREZ CONDORI  JOSE WILLIANS</v>
          </cell>
        </row>
        <row r="2510">
          <cell r="A2510">
            <v>2496</v>
          </cell>
          <cell r="B2510">
            <v>42715</v>
          </cell>
          <cell r="C2510" t="str">
            <v>DICIEMBRE</v>
          </cell>
          <cell r="D2510" t="str">
            <v>2016</v>
          </cell>
          <cell r="E2510">
            <v>372</v>
          </cell>
          <cell r="F2510" t="str">
            <v>C5R-892</v>
          </cell>
          <cell r="G2510" t="str">
            <v>A0T-983</v>
          </cell>
          <cell r="H2510" t="str">
            <v>LAS BAMBAS</v>
          </cell>
          <cell r="I2510">
            <v>225360</v>
          </cell>
          <cell r="J2510" t="str">
            <v>SERVICIO</v>
          </cell>
          <cell r="K2510" t="str">
            <v xml:space="preserve">ESTRUCTURA </v>
          </cell>
          <cell r="L2510">
            <v>1</v>
          </cell>
          <cell r="M2510" t="str">
            <v>UNID.</v>
          </cell>
          <cell r="N2510" t="str">
            <v>CISTERNA</v>
          </cell>
          <cell r="O2510">
            <v>75</v>
          </cell>
          <cell r="P2510" t="str">
            <v>S1</v>
          </cell>
          <cell r="Q2510" t="str">
            <v>J1</v>
          </cell>
          <cell r="R2510" t="str">
            <v>J1</v>
          </cell>
          <cell r="S2510" t="str">
            <v>PENDIENTE</v>
          </cell>
          <cell r="T2510">
            <v>0</v>
          </cell>
          <cell r="U2510" t="str">
            <v>BAYONA CRUZ CRISTIAN ARMANDO</v>
          </cell>
          <cell r="V2510" t="str">
            <v>FLOREZ CONDORI  JOSE WILLIANS</v>
          </cell>
        </row>
        <row r="2511">
          <cell r="A2511">
            <v>2495</v>
          </cell>
          <cell r="B2511">
            <v>42715</v>
          </cell>
          <cell r="C2511" t="str">
            <v>DICIEMBRE</v>
          </cell>
          <cell r="D2511" t="str">
            <v>2016</v>
          </cell>
          <cell r="E2511">
            <v>455</v>
          </cell>
          <cell r="F2511" t="str">
            <v>C9P-948</v>
          </cell>
          <cell r="G2511" t="str">
            <v>B4O-995</v>
          </cell>
          <cell r="H2511" t="str">
            <v>LAS BAMBAS</v>
          </cell>
          <cell r="I2511">
            <v>156586</v>
          </cell>
          <cell r="J2511" t="str">
            <v>REPUESTO</v>
          </cell>
          <cell r="K2511" t="str">
            <v>SERVO DE DIRECCION</v>
          </cell>
          <cell r="L2511">
            <v>1</v>
          </cell>
          <cell r="M2511" t="str">
            <v>UNID.</v>
          </cell>
          <cell r="N2511" t="str">
            <v>TRACTO</v>
          </cell>
          <cell r="O2511">
            <v>2</v>
          </cell>
          <cell r="P2511" t="str">
            <v>M1</v>
          </cell>
          <cell r="Q2511" t="str">
            <v>J1</v>
          </cell>
          <cell r="R2511" t="str">
            <v>J1</v>
          </cell>
          <cell r="S2511" t="str">
            <v>ENTREGADO</v>
          </cell>
          <cell r="T2511">
            <v>42717</v>
          </cell>
          <cell r="U2511" t="str">
            <v>CABEZAS SANCHEZ JEAN JHONATAN</v>
          </cell>
          <cell r="V2511" t="str">
            <v>FLOREZ CONDORI  JOSE WILLIANS</v>
          </cell>
        </row>
        <row r="2512">
          <cell r="A2512">
            <v>2486</v>
          </cell>
          <cell r="B2512">
            <v>42715</v>
          </cell>
          <cell r="C2512" t="str">
            <v>DICIEMBRE</v>
          </cell>
          <cell r="D2512" t="str">
            <v>2016</v>
          </cell>
          <cell r="E2512">
            <v>548</v>
          </cell>
          <cell r="F2512" t="str">
            <v>D3N-721</v>
          </cell>
          <cell r="G2512" t="str">
            <v>C4S-979</v>
          </cell>
          <cell r="H2512" t="str">
            <v>LAS BAMBAS</v>
          </cell>
          <cell r="I2512">
            <v>135552</v>
          </cell>
          <cell r="J2512" t="str">
            <v>REPUESTO</v>
          </cell>
          <cell r="K2512" t="str">
            <v>TERMINALES 3/8 PARA CABLE DE BATERIAS</v>
          </cell>
          <cell r="L2512">
            <v>6</v>
          </cell>
          <cell r="M2512" t="str">
            <v>UNID.</v>
          </cell>
          <cell r="N2512" t="str">
            <v>TRACTO</v>
          </cell>
          <cell r="O2512">
            <v>0</v>
          </cell>
          <cell r="P2512" t="str">
            <v>E1</v>
          </cell>
          <cell r="Q2512" t="str">
            <v>J1</v>
          </cell>
          <cell r="R2512" t="str">
            <v>J1</v>
          </cell>
          <cell r="S2512" t="str">
            <v>ENTREGADO</v>
          </cell>
          <cell r="T2512">
            <v>42715</v>
          </cell>
          <cell r="U2512" t="str">
            <v>PALOMINO CARDENAS JUAN CARLOS</v>
          </cell>
          <cell r="V2512" t="str">
            <v>FLOREZ CONDORI  JOSE WILLIANS</v>
          </cell>
        </row>
        <row r="2513">
          <cell r="A2513">
            <v>2487</v>
          </cell>
          <cell r="B2513">
            <v>42715</v>
          </cell>
          <cell r="C2513" t="str">
            <v>DICIEMBRE</v>
          </cell>
          <cell r="D2513" t="str">
            <v>2016</v>
          </cell>
          <cell r="E2513">
            <v>548</v>
          </cell>
          <cell r="F2513" t="str">
            <v>D3N-721</v>
          </cell>
          <cell r="G2513" t="str">
            <v>C4S-979</v>
          </cell>
          <cell r="H2513" t="str">
            <v>LAS BAMBAS</v>
          </cell>
          <cell r="I2513">
            <v>135552</v>
          </cell>
          <cell r="J2513" t="str">
            <v>REPUESTO</v>
          </cell>
          <cell r="K2513" t="str">
            <v>CABLE 0/2 O CABLE 02 PARA BATERIA</v>
          </cell>
          <cell r="L2513">
            <v>1</v>
          </cell>
          <cell r="M2513" t="str">
            <v>M</v>
          </cell>
          <cell r="N2513" t="str">
            <v>TRACTO</v>
          </cell>
          <cell r="O2513">
            <v>75</v>
          </cell>
          <cell r="P2513" t="str">
            <v>E1</v>
          </cell>
          <cell r="Q2513" t="str">
            <v>J1</v>
          </cell>
          <cell r="R2513" t="str">
            <v>J1</v>
          </cell>
          <cell r="S2513" t="str">
            <v>PENDIENTE</v>
          </cell>
          <cell r="T2513">
            <v>0</v>
          </cell>
          <cell r="U2513" t="str">
            <v>PALOMINO CARDENAS JUAN CARLOS</v>
          </cell>
          <cell r="V2513" t="str">
            <v>FLOREZ CONDORI  JOSE WILLIANS</v>
          </cell>
        </row>
        <row r="2514">
          <cell r="A2514">
            <v>2488</v>
          </cell>
          <cell r="B2514">
            <v>42715</v>
          </cell>
          <cell r="C2514" t="str">
            <v>DICIEMBRE</v>
          </cell>
          <cell r="D2514" t="str">
            <v>2016</v>
          </cell>
          <cell r="E2514">
            <v>550</v>
          </cell>
          <cell r="F2514" t="str">
            <v>D3O-745</v>
          </cell>
          <cell r="G2514" t="str">
            <v>F3L-979</v>
          </cell>
          <cell r="H2514" t="str">
            <v>LAS BAMBAS</v>
          </cell>
          <cell r="I2514">
            <v>159243</v>
          </cell>
          <cell r="J2514" t="str">
            <v>REPUESTO</v>
          </cell>
          <cell r="K2514" t="str">
            <v>PERNO 1/8X1</v>
          </cell>
          <cell r="L2514">
            <v>2</v>
          </cell>
          <cell r="M2514" t="str">
            <v>UNID.</v>
          </cell>
          <cell r="N2514" t="str">
            <v>TRACTO</v>
          </cell>
          <cell r="O2514">
            <v>0</v>
          </cell>
          <cell r="P2514" t="str">
            <v>M8</v>
          </cell>
          <cell r="Q2514" t="str">
            <v>J1</v>
          </cell>
          <cell r="R2514" t="str">
            <v>J1</v>
          </cell>
          <cell r="S2514" t="str">
            <v>ENTREGADO</v>
          </cell>
          <cell r="T2514">
            <v>42715</v>
          </cell>
          <cell r="U2514" t="str">
            <v>VARILLAS GAGO  OSCAR ALBERTO</v>
          </cell>
          <cell r="V2514" t="str">
            <v>FLOREZ CONDORI  JOSE WILLIANS</v>
          </cell>
        </row>
        <row r="2515">
          <cell r="A2515">
            <v>2489</v>
          </cell>
          <cell r="B2515">
            <v>42715</v>
          </cell>
          <cell r="C2515" t="str">
            <v>DICIEMBRE</v>
          </cell>
          <cell r="D2515" t="str">
            <v>2016</v>
          </cell>
          <cell r="E2515">
            <v>550</v>
          </cell>
          <cell r="F2515" t="str">
            <v>D3O-745</v>
          </cell>
          <cell r="G2515" t="str">
            <v>F3L-979</v>
          </cell>
          <cell r="H2515" t="str">
            <v>LAS BAMBAS</v>
          </cell>
          <cell r="I2515">
            <v>159243</v>
          </cell>
          <cell r="J2515" t="str">
            <v>REPUESTO</v>
          </cell>
          <cell r="K2515" t="str">
            <v>MINI FUSIBLE DE 20A</v>
          </cell>
          <cell r="L2515">
            <v>6</v>
          </cell>
          <cell r="M2515" t="str">
            <v>UNID.</v>
          </cell>
          <cell r="N2515" t="str">
            <v>TRACTO</v>
          </cell>
          <cell r="O2515">
            <v>0</v>
          </cell>
          <cell r="P2515" t="str">
            <v>E1</v>
          </cell>
          <cell r="Q2515" t="str">
            <v>J1</v>
          </cell>
          <cell r="R2515" t="str">
            <v>J1</v>
          </cell>
          <cell r="S2515" t="str">
            <v>ENTREGADO</v>
          </cell>
          <cell r="T2515">
            <v>42715</v>
          </cell>
          <cell r="U2515" t="str">
            <v>PALOMINO CARDENAS JUAN CARLOS</v>
          </cell>
          <cell r="V2515" t="str">
            <v>FLOREZ CONDORI  JOSE WILLIANS</v>
          </cell>
        </row>
        <row r="2516">
          <cell r="A2516">
            <v>2492</v>
          </cell>
          <cell r="B2516">
            <v>42715</v>
          </cell>
          <cell r="C2516" t="str">
            <v>DICIEMBRE</v>
          </cell>
          <cell r="D2516" t="str">
            <v>2016</v>
          </cell>
          <cell r="E2516">
            <v>487</v>
          </cell>
          <cell r="F2516" t="str">
            <v>D6F-825</v>
          </cell>
          <cell r="G2516" t="str">
            <v>T2Y-992</v>
          </cell>
          <cell r="H2516" t="str">
            <v>LAS BAMBAS</v>
          </cell>
          <cell r="I2516">
            <v>184778</v>
          </cell>
          <cell r="J2516" t="str">
            <v>REPUESTO</v>
          </cell>
          <cell r="K2516" t="str">
            <v>FILTO DE COMBUSTIBLE</v>
          </cell>
          <cell r="L2516">
            <v>1</v>
          </cell>
          <cell r="M2516" t="str">
            <v>UNID.</v>
          </cell>
          <cell r="N2516" t="str">
            <v>TRACTO</v>
          </cell>
          <cell r="O2516">
            <v>0</v>
          </cell>
          <cell r="P2516" t="str">
            <v>M2</v>
          </cell>
          <cell r="Q2516" t="str">
            <v>J1</v>
          </cell>
          <cell r="R2516" t="str">
            <v>J1</v>
          </cell>
          <cell r="S2516" t="str">
            <v>ENTREGADO</v>
          </cell>
          <cell r="T2516">
            <v>42715</v>
          </cell>
          <cell r="U2516" t="str">
            <v>CHUMPITAZ GAGO JULIO ENRIQUE</v>
          </cell>
          <cell r="V2516" t="str">
            <v>FLOREZ CONDORI  JOSE WILLIANS</v>
          </cell>
        </row>
        <row r="2517">
          <cell r="A2517">
            <v>2500</v>
          </cell>
          <cell r="B2517">
            <v>42716</v>
          </cell>
          <cell r="C2517" t="str">
            <v>DICIEMBRE</v>
          </cell>
          <cell r="D2517" t="str">
            <v>2016</v>
          </cell>
          <cell r="E2517">
            <v>564</v>
          </cell>
          <cell r="F2517" t="str">
            <v>ABP-783</v>
          </cell>
          <cell r="G2517" t="str">
            <v>C9S-988</v>
          </cell>
          <cell r="H2517" t="str">
            <v>LAS BAMBAS</v>
          </cell>
          <cell r="I2517">
            <v>126930</v>
          </cell>
          <cell r="J2517" t="str">
            <v>REPUESTO</v>
          </cell>
          <cell r="K2517" t="str">
            <v>TUBO CORRUGADO 1/4</v>
          </cell>
          <cell r="L2517">
            <v>6</v>
          </cell>
          <cell r="M2517" t="str">
            <v>M</v>
          </cell>
          <cell r="N2517" t="str">
            <v>TRACTO</v>
          </cell>
          <cell r="O2517">
            <v>0</v>
          </cell>
          <cell r="P2517" t="str">
            <v>M5</v>
          </cell>
          <cell r="Q2517" t="str">
            <v>J1</v>
          </cell>
          <cell r="R2517" t="str">
            <v>J6</v>
          </cell>
          <cell r="S2517" t="str">
            <v>ENTREGADO</v>
          </cell>
          <cell r="T2517">
            <v>42716</v>
          </cell>
          <cell r="U2517" t="str">
            <v>LOPEZ RUIZ WILBERTO</v>
          </cell>
          <cell r="V2517" t="str">
            <v>FLOREZ CONDORI  JOSE WILLIANS</v>
          </cell>
        </row>
        <row r="2518">
          <cell r="A2518">
            <v>2503</v>
          </cell>
          <cell r="B2518">
            <v>42716</v>
          </cell>
          <cell r="C2518" t="str">
            <v>DICIEMBRE</v>
          </cell>
          <cell r="D2518" t="str">
            <v>2016</v>
          </cell>
          <cell r="E2518">
            <v>576</v>
          </cell>
          <cell r="F2518" t="str">
            <v>ABQ-704</v>
          </cell>
          <cell r="G2518" t="str">
            <v>TBB-995</v>
          </cell>
          <cell r="H2518" t="str">
            <v>LAS BAMBAS</v>
          </cell>
          <cell r="I2518">
            <v>111397</v>
          </cell>
          <cell r="J2518" t="str">
            <v>REPUESTO</v>
          </cell>
          <cell r="K2518" t="str">
            <v>VARILLA INOXIDABLE 1/8</v>
          </cell>
          <cell r="L2518">
            <v>4</v>
          </cell>
          <cell r="M2518" t="str">
            <v>UNID.</v>
          </cell>
          <cell r="N2518" t="str">
            <v>CISTERNA</v>
          </cell>
          <cell r="O2518">
            <v>0</v>
          </cell>
          <cell r="P2518" t="str">
            <v>S1</v>
          </cell>
          <cell r="Q2518" t="str">
            <v>J1</v>
          </cell>
          <cell r="R2518" t="str">
            <v>J1</v>
          </cell>
          <cell r="S2518" t="str">
            <v>ENTREGADO</v>
          </cell>
          <cell r="T2518">
            <v>42716</v>
          </cell>
          <cell r="U2518" t="str">
            <v>BAYONA CRUZ CRISTIAN ARMANDO</v>
          </cell>
          <cell r="V2518" t="str">
            <v>FLOREZ CONDORI  JOSE WILLIANS</v>
          </cell>
        </row>
        <row r="2519">
          <cell r="A2519">
            <v>2504</v>
          </cell>
          <cell r="B2519">
            <v>42716</v>
          </cell>
          <cell r="C2519" t="str">
            <v>DICIEMBRE</v>
          </cell>
          <cell r="D2519" t="str">
            <v>2016</v>
          </cell>
          <cell r="E2519">
            <v>576</v>
          </cell>
          <cell r="F2519" t="str">
            <v>ABQ-704</v>
          </cell>
          <cell r="G2519" t="str">
            <v>TBB-995</v>
          </cell>
          <cell r="H2519" t="str">
            <v>LAS BAMBAS</v>
          </cell>
          <cell r="I2519">
            <v>111397</v>
          </cell>
          <cell r="J2519" t="str">
            <v>REPUESTO</v>
          </cell>
          <cell r="K2519" t="str">
            <v>VOLANDA PLANA DE  3/8</v>
          </cell>
          <cell r="L2519">
            <v>2</v>
          </cell>
          <cell r="M2519" t="str">
            <v>UNID.</v>
          </cell>
          <cell r="N2519" t="str">
            <v>CISTERNA</v>
          </cell>
          <cell r="O2519">
            <v>0</v>
          </cell>
          <cell r="P2519" t="str">
            <v>S1</v>
          </cell>
          <cell r="Q2519" t="str">
            <v>J1</v>
          </cell>
          <cell r="R2519" t="str">
            <v>J1</v>
          </cell>
          <cell r="S2519" t="str">
            <v>ENTREGADO</v>
          </cell>
          <cell r="T2519">
            <v>42716</v>
          </cell>
          <cell r="U2519" t="str">
            <v>BAYONA CRUZ CRISTIAN ARMANDO</v>
          </cell>
          <cell r="V2519" t="str">
            <v>FLOREZ CONDORI  JOSE WILLIANS</v>
          </cell>
        </row>
        <row r="2520">
          <cell r="A2520">
            <v>2505</v>
          </cell>
          <cell r="B2520">
            <v>42716</v>
          </cell>
          <cell r="C2520" t="str">
            <v>DICIEMBRE</v>
          </cell>
          <cell r="D2520" t="str">
            <v>2016</v>
          </cell>
          <cell r="E2520">
            <v>576</v>
          </cell>
          <cell r="F2520" t="str">
            <v>ABQ-704</v>
          </cell>
          <cell r="G2520" t="str">
            <v>TBB-995</v>
          </cell>
          <cell r="H2520" t="str">
            <v>LAS BAMBAS</v>
          </cell>
          <cell r="I2520">
            <v>111397</v>
          </cell>
          <cell r="J2520" t="str">
            <v>REPUESTO</v>
          </cell>
          <cell r="K2520" t="str">
            <v>LIQUIDO LIMPIAPARABRISAS</v>
          </cell>
          <cell r="L2520">
            <v>1</v>
          </cell>
          <cell r="M2520" t="str">
            <v>GLNS.</v>
          </cell>
          <cell r="N2520" t="str">
            <v>TRACTO</v>
          </cell>
          <cell r="O2520">
            <v>0</v>
          </cell>
          <cell r="P2520" t="str">
            <v>M7</v>
          </cell>
          <cell r="Q2520" t="str">
            <v>J1</v>
          </cell>
          <cell r="R2520" t="str">
            <v>J6</v>
          </cell>
          <cell r="S2520" t="str">
            <v>ENTREGADO</v>
          </cell>
          <cell r="T2520">
            <v>42716</v>
          </cell>
          <cell r="U2520" t="str">
            <v>ROBLES ROJAS  JOSE MIGUEL</v>
          </cell>
          <cell r="V2520" t="str">
            <v>FLOREZ CONDORI  JOSE WILLIANS</v>
          </cell>
        </row>
        <row r="2521">
          <cell r="A2521">
            <v>2506</v>
          </cell>
          <cell r="B2521">
            <v>42716</v>
          </cell>
          <cell r="C2521" t="str">
            <v>DICIEMBRE</v>
          </cell>
          <cell r="D2521" t="str">
            <v>2016</v>
          </cell>
          <cell r="E2521">
            <v>576</v>
          </cell>
          <cell r="F2521" t="str">
            <v>ABQ-704</v>
          </cell>
          <cell r="G2521" t="str">
            <v>TBB-995</v>
          </cell>
          <cell r="H2521" t="str">
            <v>LAS BAMBAS</v>
          </cell>
          <cell r="I2521">
            <v>111397</v>
          </cell>
          <cell r="J2521" t="str">
            <v>REPUESTO</v>
          </cell>
          <cell r="K2521" t="str">
            <v>LIQUIDO REFRIGERANTE</v>
          </cell>
          <cell r="L2521">
            <v>0.5</v>
          </cell>
          <cell r="M2521" t="str">
            <v>GLNS.</v>
          </cell>
          <cell r="N2521" t="str">
            <v>TRACTO</v>
          </cell>
          <cell r="O2521">
            <v>0</v>
          </cell>
          <cell r="P2521" t="str">
            <v>M7</v>
          </cell>
          <cell r="Q2521" t="str">
            <v>J1</v>
          </cell>
          <cell r="R2521" t="str">
            <v>J6</v>
          </cell>
          <cell r="S2521" t="str">
            <v>ENTREGADO</v>
          </cell>
          <cell r="T2521">
            <v>42716</v>
          </cell>
          <cell r="U2521" t="str">
            <v>ROBLES ROJAS  JOSE MIGUEL</v>
          </cell>
          <cell r="V2521" t="str">
            <v>FLOREZ CONDORI  JOSE WILLIANS</v>
          </cell>
        </row>
        <row r="2522">
          <cell r="A2522">
            <v>2507</v>
          </cell>
          <cell r="B2522">
            <v>42716</v>
          </cell>
          <cell r="C2522" t="str">
            <v>DICIEMBRE</v>
          </cell>
          <cell r="D2522" t="str">
            <v>2016</v>
          </cell>
          <cell r="E2522">
            <v>576</v>
          </cell>
          <cell r="F2522" t="str">
            <v>ABQ-704</v>
          </cell>
          <cell r="G2522" t="str">
            <v>TBB-995</v>
          </cell>
          <cell r="H2522" t="str">
            <v>LAS BAMBAS</v>
          </cell>
          <cell r="I2522">
            <v>111397</v>
          </cell>
          <cell r="J2522" t="str">
            <v>REPUESTO</v>
          </cell>
          <cell r="K2522" t="str">
            <v>PERNOS 5/16 X 2</v>
          </cell>
          <cell r="L2522">
            <v>2</v>
          </cell>
          <cell r="M2522" t="str">
            <v>UNID.</v>
          </cell>
          <cell r="N2522" t="str">
            <v>TRACTO</v>
          </cell>
          <cell r="O2522">
            <v>0</v>
          </cell>
          <cell r="P2522" t="str">
            <v>M7</v>
          </cell>
          <cell r="Q2522" t="str">
            <v>J1</v>
          </cell>
          <cell r="R2522" t="str">
            <v>J6</v>
          </cell>
          <cell r="S2522" t="str">
            <v>ENTREGADO</v>
          </cell>
          <cell r="T2522">
            <v>42716</v>
          </cell>
          <cell r="U2522" t="str">
            <v>ROBLES ROJAS  JOSE MIGUEL</v>
          </cell>
          <cell r="V2522" t="str">
            <v>FLOREZ CONDORI  JOSE WILLIANS</v>
          </cell>
        </row>
        <row r="2523">
          <cell r="A2523">
            <v>2508</v>
          </cell>
          <cell r="B2523">
            <v>42716</v>
          </cell>
          <cell r="C2523" t="str">
            <v>DICIEMBRE</v>
          </cell>
          <cell r="D2523" t="str">
            <v>2016</v>
          </cell>
          <cell r="E2523">
            <v>576</v>
          </cell>
          <cell r="F2523" t="str">
            <v>ABQ-704</v>
          </cell>
          <cell r="G2523" t="str">
            <v>TBB-995</v>
          </cell>
          <cell r="H2523" t="str">
            <v>LAS BAMBAS</v>
          </cell>
          <cell r="I2523">
            <v>111397</v>
          </cell>
          <cell r="J2523" t="str">
            <v>REPUESTO</v>
          </cell>
          <cell r="K2523" t="str">
            <v>PERNOS 5/16 X 1</v>
          </cell>
          <cell r="L2523">
            <v>2</v>
          </cell>
          <cell r="M2523" t="str">
            <v>UNID.</v>
          </cell>
          <cell r="N2523" t="str">
            <v>TRACTO</v>
          </cell>
          <cell r="O2523">
            <v>0</v>
          </cell>
          <cell r="P2523" t="str">
            <v>M7</v>
          </cell>
          <cell r="Q2523" t="str">
            <v>J1</v>
          </cell>
          <cell r="R2523" t="str">
            <v>J6</v>
          </cell>
          <cell r="S2523" t="str">
            <v>ENTREGADO</v>
          </cell>
          <cell r="T2523">
            <v>42716</v>
          </cell>
          <cell r="U2523" t="str">
            <v>ROBLES ROJAS  JOSE MIGUEL</v>
          </cell>
          <cell r="V2523" t="str">
            <v>FLOREZ CONDORI  JOSE WILLIANS</v>
          </cell>
        </row>
        <row r="2524">
          <cell r="A2524">
            <v>2509</v>
          </cell>
          <cell r="B2524">
            <v>42716</v>
          </cell>
          <cell r="C2524" t="str">
            <v>DICIEMBRE</v>
          </cell>
          <cell r="D2524" t="str">
            <v>2016</v>
          </cell>
          <cell r="E2524">
            <v>576</v>
          </cell>
          <cell r="F2524" t="str">
            <v>ABQ-704</v>
          </cell>
          <cell r="G2524" t="str">
            <v>TBB-995</v>
          </cell>
          <cell r="H2524" t="str">
            <v>LAS BAMBAS</v>
          </cell>
          <cell r="I2524">
            <v>111397</v>
          </cell>
          <cell r="J2524" t="str">
            <v>REPUESTO</v>
          </cell>
          <cell r="K2524" t="str">
            <v>TUERCAS SEGURO 5/16</v>
          </cell>
          <cell r="L2524">
            <v>4</v>
          </cell>
          <cell r="M2524" t="str">
            <v>UNID.</v>
          </cell>
          <cell r="N2524" t="str">
            <v>TRACTO</v>
          </cell>
          <cell r="O2524">
            <v>0</v>
          </cell>
          <cell r="P2524" t="str">
            <v>M7</v>
          </cell>
          <cell r="Q2524" t="str">
            <v>J1</v>
          </cell>
          <cell r="R2524" t="str">
            <v>J6</v>
          </cell>
          <cell r="S2524" t="str">
            <v>ENTREGADO</v>
          </cell>
          <cell r="T2524">
            <v>42716</v>
          </cell>
          <cell r="U2524" t="str">
            <v>ROBLES ROJAS  JOSE MIGUEL</v>
          </cell>
          <cell r="V2524" t="str">
            <v>FLOREZ CONDORI  JOSE WILLIANS</v>
          </cell>
        </row>
        <row r="2525">
          <cell r="A2525">
            <v>2510</v>
          </cell>
          <cell r="B2525">
            <v>42716</v>
          </cell>
          <cell r="C2525" t="str">
            <v>DICIEMBRE</v>
          </cell>
          <cell r="D2525" t="str">
            <v>2016</v>
          </cell>
          <cell r="E2525">
            <v>576</v>
          </cell>
          <cell r="F2525" t="str">
            <v>ABQ-704</v>
          </cell>
          <cell r="G2525" t="str">
            <v>TBB-995</v>
          </cell>
          <cell r="H2525" t="str">
            <v>LAS BAMBAS</v>
          </cell>
          <cell r="I2525">
            <v>111397</v>
          </cell>
          <cell r="J2525" t="str">
            <v>REPUESTO</v>
          </cell>
          <cell r="K2525" t="str">
            <v>ARANDELAS PLANAS 5/16</v>
          </cell>
          <cell r="L2525">
            <v>4</v>
          </cell>
          <cell r="M2525" t="str">
            <v>UNID.</v>
          </cell>
          <cell r="N2525" t="str">
            <v>TRACTO</v>
          </cell>
          <cell r="O2525">
            <v>0</v>
          </cell>
          <cell r="P2525" t="str">
            <v>M7</v>
          </cell>
          <cell r="Q2525" t="str">
            <v>J1</v>
          </cell>
          <cell r="R2525" t="str">
            <v>J6</v>
          </cell>
          <cell r="S2525" t="str">
            <v>ENTREGADO</v>
          </cell>
          <cell r="T2525">
            <v>42716</v>
          </cell>
          <cell r="U2525" t="str">
            <v>ROBLES ROJAS  JOSE MIGUEL</v>
          </cell>
          <cell r="V2525" t="str">
            <v>FLOREZ CONDORI  JOSE WILLIANS</v>
          </cell>
        </row>
        <row r="2526">
          <cell r="A2526">
            <v>2511</v>
          </cell>
          <cell r="B2526">
            <v>42716</v>
          </cell>
          <cell r="C2526" t="str">
            <v>DICIEMBRE</v>
          </cell>
          <cell r="D2526" t="str">
            <v>2016</v>
          </cell>
          <cell r="E2526">
            <v>576</v>
          </cell>
          <cell r="F2526" t="str">
            <v>ABQ-704</v>
          </cell>
          <cell r="G2526" t="str">
            <v>TBB-995</v>
          </cell>
          <cell r="H2526" t="str">
            <v>LAS BAMBAS</v>
          </cell>
          <cell r="I2526">
            <v>111397</v>
          </cell>
          <cell r="J2526" t="str">
            <v>REPUESTO</v>
          </cell>
          <cell r="K2526" t="str">
            <v>TUERCAS 5/16</v>
          </cell>
          <cell r="L2526">
            <v>2</v>
          </cell>
          <cell r="M2526" t="str">
            <v>UNID.</v>
          </cell>
          <cell r="N2526" t="str">
            <v>TRACTO</v>
          </cell>
          <cell r="O2526">
            <v>0</v>
          </cell>
          <cell r="P2526" t="str">
            <v>M7</v>
          </cell>
          <cell r="Q2526" t="str">
            <v>J1</v>
          </cell>
          <cell r="R2526" t="str">
            <v>J6</v>
          </cell>
          <cell r="S2526" t="str">
            <v>ENTREGADO</v>
          </cell>
          <cell r="T2526">
            <v>42716</v>
          </cell>
          <cell r="U2526" t="str">
            <v>ROBLES ROJAS  JOSE MIGUEL</v>
          </cell>
          <cell r="V2526" t="str">
            <v>FLOREZ CONDORI  JOSE WILLIANS</v>
          </cell>
        </row>
        <row r="2527">
          <cell r="A2527">
            <v>2512</v>
          </cell>
          <cell r="B2527">
            <v>42716</v>
          </cell>
          <cell r="C2527" t="str">
            <v>DICIEMBRE</v>
          </cell>
          <cell r="D2527" t="str">
            <v>2016</v>
          </cell>
          <cell r="E2527">
            <v>576</v>
          </cell>
          <cell r="F2527" t="str">
            <v>ABQ-704</v>
          </cell>
          <cell r="G2527" t="str">
            <v>TBB-995</v>
          </cell>
          <cell r="H2527" t="str">
            <v>LAS BAMBAS</v>
          </cell>
          <cell r="I2527">
            <v>111397</v>
          </cell>
          <cell r="J2527" t="str">
            <v>REPUESTO</v>
          </cell>
          <cell r="K2527" t="str">
            <v>TAPA DE DEPOSITO DE ESPANSION DE REFRIGERANTE</v>
          </cell>
          <cell r="L2527">
            <v>1</v>
          </cell>
          <cell r="M2527" t="str">
            <v>UNID.</v>
          </cell>
          <cell r="N2527" t="str">
            <v>TRACTO</v>
          </cell>
          <cell r="O2527">
            <v>0</v>
          </cell>
          <cell r="P2527" t="str">
            <v>M7</v>
          </cell>
          <cell r="Q2527" t="str">
            <v>J1</v>
          </cell>
          <cell r="R2527" t="str">
            <v>J6</v>
          </cell>
          <cell r="S2527" t="str">
            <v>ENTREGADO</v>
          </cell>
          <cell r="T2527">
            <v>42716</v>
          </cell>
          <cell r="U2527" t="str">
            <v>ROBLES ROJAS  JOSE MIGUEL</v>
          </cell>
          <cell r="V2527" t="str">
            <v>FLOREZ CONDORI  JOSE WILLIANS</v>
          </cell>
        </row>
        <row r="2528">
          <cell r="A2528">
            <v>2513</v>
          </cell>
          <cell r="B2528">
            <v>42716</v>
          </cell>
          <cell r="C2528" t="str">
            <v>DICIEMBRE</v>
          </cell>
          <cell r="D2528" t="str">
            <v>2016</v>
          </cell>
          <cell r="E2528">
            <v>576</v>
          </cell>
          <cell r="F2528" t="str">
            <v>ABQ-704</v>
          </cell>
          <cell r="G2528" t="str">
            <v>TBB-995</v>
          </cell>
          <cell r="H2528" t="str">
            <v>LAS BAMBAS</v>
          </cell>
          <cell r="I2528">
            <v>111397</v>
          </cell>
          <cell r="J2528" t="str">
            <v>REPUESTO</v>
          </cell>
          <cell r="K2528" t="str">
            <v>CABLES NRO. 14</v>
          </cell>
          <cell r="L2528">
            <v>2</v>
          </cell>
          <cell r="M2528" t="str">
            <v>M</v>
          </cell>
          <cell r="N2528" t="str">
            <v>TRACTO</v>
          </cell>
          <cell r="O2528">
            <v>0</v>
          </cell>
          <cell r="P2528" t="str">
            <v>E3</v>
          </cell>
          <cell r="Q2528" t="str">
            <v>J1</v>
          </cell>
          <cell r="R2528" t="str">
            <v>J6</v>
          </cell>
          <cell r="S2528" t="str">
            <v>ENTREGADO</v>
          </cell>
          <cell r="T2528">
            <v>42716</v>
          </cell>
          <cell r="U2528" t="str">
            <v>CONDORI CHURATA ALEX</v>
          </cell>
          <cell r="V2528" t="str">
            <v>FLOREZ CONDORI  JOSE WILLIANS</v>
          </cell>
        </row>
        <row r="2529">
          <cell r="A2529">
            <v>2514</v>
          </cell>
          <cell r="B2529">
            <v>42716</v>
          </cell>
          <cell r="C2529" t="str">
            <v>DICIEMBRE</v>
          </cell>
          <cell r="D2529" t="str">
            <v>2016</v>
          </cell>
          <cell r="E2529">
            <v>576</v>
          </cell>
          <cell r="F2529" t="str">
            <v>ABQ-704</v>
          </cell>
          <cell r="G2529" t="str">
            <v>TBB-995</v>
          </cell>
          <cell r="H2529" t="str">
            <v>LAS BAMBAS</v>
          </cell>
          <cell r="I2529">
            <v>111397</v>
          </cell>
          <cell r="J2529" t="str">
            <v>REPUESTO</v>
          </cell>
          <cell r="K2529" t="str">
            <v>PRESINTO 200</v>
          </cell>
          <cell r="L2529">
            <v>5</v>
          </cell>
          <cell r="M2529" t="str">
            <v>UNID.</v>
          </cell>
          <cell r="N2529" t="str">
            <v>TRACTO</v>
          </cell>
          <cell r="O2529">
            <v>0</v>
          </cell>
          <cell r="P2529" t="str">
            <v>E3</v>
          </cell>
          <cell r="Q2529" t="str">
            <v>J1</v>
          </cell>
          <cell r="R2529" t="str">
            <v>J6</v>
          </cell>
          <cell r="S2529" t="str">
            <v>ENTREGADO</v>
          </cell>
          <cell r="T2529">
            <v>42716</v>
          </cell>
          <cell r="U2529" t="str">
            <v>CONDORI CHURATA ALEX</v>
          </cell>
          <cell r="V2529" t="str">
            <v>FLOREZ CONDORI  JOSE WILLIANS</v>
          </cell>
        </row>
        <row r="2530">
          <cell r="A2530">
            <v>2537</v>
          </cell>
          <cell r="B2530">
            <v>42716</v>
          </cell>
          <cell r="C2530" t="str">
            <v>DICIEMBRE</v>
          </cell>
          <cell r="D2530" t="str">
            <v>2016</v>
          </cell>
          <cell r="E2530">
            <v>576</v>
          </cell>
          <cell r="F2530" t="str">
            <v>ABQ-704</v>
          </cell>
          <cell r="G2530" t="str">
            <v>TBB-995</v>
          </cell>
          <cell r="H2530" t="str">
            <v>LAS BAMBAS</v>
          </cell>
          <cell r="I2530">
            <v>111397</v>
          </cell>
          <cell r="J2530" t="str">
            <v>REPUESTO</v>
          </cell>
          <cell r="K2530" t="str">
            <v>TUBO CORRUGADO 1/4</v>
          </cell>
          <cell r="L2530">
            <v>1</v>
          </cell>
          <cell r="M2530" t="str">
            <v>M</v>
          </cell>
          <cell r="N2530" t="str">
            <v>TRACTO</v>
          </cell>
          <cell r="O2530">
            <v>0</v>
          </cell>
          <cell r="P2530" t="str">
            <v>E3</v>
          </cell>
          <cell r="Q2530" t="str">
            <v>J1</v>
          </cell>
          <cell r="R2530" t="str">
            <v>J6</v>
          </cell>
          <cell r="S2530" t="str">
            <v>ENTREGADO</v>
          </cell>
          <cell r="T2530">
            <v>42716</v>
          </cell>
          <cell r="U2530" t="str">
            <v>CONDORI CHURATA ALEX</v>
          </cell>
          <cell r="V2530" t="str">
            <v>FLOREZ CONDORI  JOSE WILLIANS</v>
          </cell>
        </row>
        <row r="2531">
          <cell r="A2531">
            <v>2556</v>
          </cell>
          <cell r="B2531">
            <v>42716</v>
          </cell>
          <cell r="C2531" t="str">
            <v>DICIEMBRE</v>
          </cell>
          <cell r="D2531" t="str">
            <v>2016</v>
          </cell>
          <cell r="E2531">
            <v>576</v>
          </cell>
          <cell r="F2531" t="str">
            <v>ABQ-704</v>
          </cell>
          <cell r="G2531" t="str">
            <v>TBB-995</v>
          </cell>
          <cell r="H2531" t="str">
            <v>LAS BAMBAS</v>
          </cell>
          <cell r="I2531">
            <v>111397</v>
          </cell>
          <cell r="J2531" t="str">
            <v>REPUESTO</v>
          </cell>
          <cell r="K2531" t="str">
            <v>FUSIBLES 20V</v>
          </cell>
          <cell r="L2531">
            <v>1</v>
          </cell>
          <cell r="M2531" t="str">
            <v>UNID.</v>
          </cell>
          <cell r="N2531" t="str">
            <v>TRACTO</v>
          </cell>
          <cell r="O2531">
            <v>0</v>
          </cell>
          <cell r="P2531" t="str">
            <v>E3</v>
          </cell>
          <cell r="Q2531" t="str">
            <v>J1</v>
          </cell>
          <cell r="R2531" t="str">
            <v>J6</v>
          </cell>
          <cell r="S2531" t="str">
            <v>ENTREGADO</v>
          </cell>
          <cell r="T2531">
            <v>42716</v>
          </cell>
          <cell r="U2531" t="str">
            <v>CONDORI CHURATA ALEX</v>
          </cell>
          <cell r="V2531" t="str">
            <v>FLOREZ CONDORI  JOSE WILLIANS</v>
          </cell>
        </row>
        <row r="2532">
          <cell r="A2532">
            <v>2515</v>
          </cell>
          <cell r="B2532">
            <v>42716</v>
          </cell>
          <cell r="C2532" t="str">
            <v>DICIEMBRE</v>
          </cell>
          <cell r="D2532" t="str">
            <v>2016</v>
          </cell>
          <cell r="E2532">
            <v>563</v>
          </cell>
          <cell r="F2532" t="str">
            <v>ABQ-780</v>
          </cell>
          <cell r="G2532" t="str">
            <v>C9S-990</v>
          </cell>
          <cell r="H2532" t="str">
            <v>LAS BAMBAS</v>
          </cell>
          <cell r="I2532">
            <v>116656</v>
          </cell>
          <cell r="J2532" t="str">
            <v>REPUESTO</v>
          </cell>
          <cell r="K2532" t="str">
            <v>LLANTAS</v>
          </cell>
          <cell r="L2532">
            <v>2</v>
          </cell>
          <cell r="M2532" t="str">
            <v>UNID.</v>
          </cell>
          <cell r="N2532" t="str">
            <v>CISTERNA</v>
          </cell>
          <cell r="O2532">
            <v>0</v>
          </cell>
          <cell r="P2532" t="str">
            <v>N2</v>
          </cell>
          <cell r="Q2532" t="str">
            <v>J1</v>
          </cell>
          <cell r="R2532" t="str">
            <v>J1</v>
          </cell>
          <cell r="S2532" t="str">
            <v>ENTREGADO</v>
          </cell>
          <cell r="T2532">
            <v>42716</v>
          </cell>
          <cell r="U2532" t="str">
            <v>MAMANI LARICO  EDUARDO ALVARO</v>
          </cell>
          <cell r="V2532" t="str">
            <v>FLOREZ CONDORI  JOSE WILLIANS</v>
          </cell>
        </row>
        <row r="2533">
          <cell r="A2533">
            <v>2517</v>
          </cell>
          <cell r="B2533">
            <v>42716</v>
          </cell>
          <cell r="C2533" t="str">
            <v>DICIEMBRE</v>
          </cell>
          <cell r="D2533" t="str">
            <v>2016</v>
          </cell>
          <cell r="E2533">
            <v>563</v>
          </cell>
          <cell r="F2533" t="str">
            <v>ABQ-780</v>
          </cell>
          <cell r="G2533" t="str">
            <v>C9S-990</v>
          </cell>
          <cell r="H2533" t="str">
            <v>LAS BAMBAS</v>
          </cell>
          <cell r="I2533">
            <v>116656</v>
          </cell>
          <cell r="J2533" t="str">
            <v>REPUESTO</v>
          </cell>
          <cell r="K2533" t="str">
            <v>LLANTAS</v>
          </cell>
          <cell r="L2533">
            <v>2</v>
          </cell>
          <cell r="M2533" t="str">
            <v>UNID.</v>
          </cell>
          <cell r="N2533" t="str">
            <v>CISTERNA</v>
          </cell>
          <cell r="O2533">
            <v>0</v>
          </cell>
          <cell r="P2533" t="str">
            <v>N2</v>
          </cell>
          <cell r="Q2533" t="str">
            <v>J1</v>
          </cell>
          <cell r="R2533" t="str">
            <v>J1</v>
          </cell>
          <cell r="S2533" t="str">
            <v>ENTREGADO</v>
          </cell>
          <cell r="T2533">
            <v>42716</v>
          </cell>
          <cell r="U2533" t="str">
            <v>MAMANI LARICO  EDUARDO ALVARO</v>
          </cell>
          <cell r="V2533" t="str">
            <v>FLOREZ CONDORI  JOSE WILLIANS</v>
          </cell>
        </row>
        <row r="2534">
          <cell r="A2534">
            <v>2561</v>
          </cell>
          <cell r="B2534">
            <v>42716</v>
          </cell>
          <cell r="C2534" t="str">
            <v>DICIEMBRE</v>
          </cell>
          <cell r="D2534" t="str">
            <v>2016</v>
          </cell>
          <cell r="E2534">
            <v>563</v>
          </cell>
          <cell r="F2534" t="str">
            <v>ABQ-780</v>
          </cell>
          <cell r="G2534" t="str">
            <v>C9S-990</v>
          </cell>
          <cell r="H2534" t="str">
            <v>LAS BAMBAS</v>
          </cell>
          <cell r="I2534">
            <v>116656</v>
          </cell>
          <cell r="J2534" t="str">
            <v>REPUESTO</v>
          </cell>
          <cell r="K2534" t="str">
            <v>FARO PIRATA</v>
          </cell>
          <cell r="L2534">
            <v>1</v>
          </cell>
          <cell r="M2534" t="str">
            <v>UNID.</v>
          </cell>
          <cell r="N2534" t="str">
            <v>TRACTO</v>
          </cell>
          <cell r="O2534">
            <v>0</v>
          </cell>
          <cell r="P2534" t="str">
            <v>E3</v>
          </cell>
          <cell r="Q2534" t="str">
            <v>J2</v>
          </cell>
          <cell r="R2534" t="str">
            <v>J2</v>
          </cell>
          <cell r="S2534" t="str">
            <v>ENTREGADO</v>
          </cell>
          <cell r="T2534">
            <v>42716</v>
          </cell>
          <cell r="U2534" t="str">
            <v>CONDORI CHURATA ALEX</v>
          </cell>
          <cell r="V2534" t="str">
            <v>CORIHUAMAN SURCO  ERICK ROBERT</v>
          </cell>
        </row>
        <row r="2535">
          <cell r="A2535">
            <v>2562</v>
          </cell>
          <cell r="B2535">
            <v>42716</v>
          </cell>
          <cell r="C2535" t="str">
            <v>DICIEMBRE</v>
          </cell>
          <cell r="D2535" t="str">
            <v>2016</v>
          </cell>
          <cell r="E2535">
            <v>563</v>
          </cell>
          <cell r="F2535" t="str">
            <v>ABQ-780</v>
          </cell>
          <cell r="G2535" t="str">
            <v>C9S-990</v>
          </cell>
          <cell r="H2535" t="str">
            <v>LAS BAMBAS</v>
          </cell>
          <cell r="I2535">
            <v>116656</v>
          </cell>
          <cell r="J2535" t="str">
            <v>REPUESTO</v>
          </cell>
          <cell r="K2535" t="str">
            <v>PERNO 5/16 X 1 1/2</v>
          </cell>
          <cell r="L2535">
            <v>1</v>
          </cell>
          <cell r="M2535" t="str">
            <v>UNID.</v>
          </cell>
          <cell r="N2535" t="str">
            <v>TRACTO</v>
          </cell>
          <cell r="O2535">
            <v>0</v>
          </cell>
          <cell r="P2535" t="str">
            <v>E3</v>
          </cell>
          <cell r="Q2535" t="str">
            <v>J2</v>
          </cell>
          <cell r="R2535" t="str">
            <v>J2</v>
          </cell>
          <cell r="S2535" t="str">
            <v>ENTREGADO</v>
          </cell>
          <cell r="T2535">
            <v>42716</v>
          </cell>
          <cell r="U2535" t="str">
            <v>CONDORI CHURATA ALEX</v>
          </cell>
          <cell r="V2535" t="str">
            <v>CORIHUAMAN SURCO  ERICK ROBERT</v>
          </cell>
        </row>
        <row r="2536">
          <cell r="A2536">
            <v>2563</v>
          </cell>
          <cell r="B2536">
            <v>42716</v>
          </cell>
          <cell r="C2536" t="str">
            <v>DICIEMBRE</v>
          </cell>
          <cell r="D2536" t="str">
            <v>2016</v>
          </cell>
          <cell r="E2536">
            <v>563</v>
          </cell>
          <cell r="F2536" t="str">
            <v>ABQ-780</v>
          </cell>
          <cell r="G2536" t="str">
            <v>C9S-990</v>
          </cell>
          <cell r="H2536" t="str">
            <v>LAS BAMBAS</v>
          </cell>
          <cell r="I2536">
            <v>116656</v>
          </cell>
          <cell r="J2536" t="str">
            <v>REPUESTO</v>
          </cell>
          <cell r="K2536" t="str">
            <v>TUERCA 5/16</v>
          </cell>
          <cell r="L2536">
            <v>1</v>
          </cell>
          <cell r="M2536" t="str">
            <v>UNID.</v>
          </cell>
          <cell r="N2536" t="str">
            <v>TRACTO</v>
          </cell>
          <cell r="O2536">
            <v>0</v>
          </cell>
          <cell r="P2536" t="str">
            <v>E3</v>
          </cell>
          <cell r="Q2536" t="str">
            <v>J2</v>
          </cell>
          <cell r="R2536" t="str">
            <v>J2</v>
          </cell>
          <cell r="S2536" t="str">
            <v>ENTREGADO</v>
          </cell>
          <cell r="T2536">
            <v>42716</v>
          </cell>
          <cell r="U2536" t="str">
            <v>CONDORI CHURATA ALEX</v>
          </cell>
          <cell r="V2536" t="str">
            <v>CORIHUAMAN SURCO  ERICK ROBERT</v>
          </cell>
        </row>
        <row r="2537">
          <cell r="A2537">
            <v>2564</v>
          </cell>
          <cell r="B2537">
            <v>42716</v>
          </cell>
          <cell r="C2537" t="str">
            <v>DICIEMBRE</v>
          </cell>
          <cell r="D2537" t="str">
            <v>2016</v>
          </cell>
          <cell r="E2537">
            <v>563</v>
          </cell>
          <cell r="F2537" t="str">
            <v>ABQ-780</v>
          </cell>
          <cell r="G2537" t="str">
            <v>C9S-990</v>
          </cell>
          <cell r="H2537" t="str">
            <v>LAS BAMBAS</v>
          </cell>
          <cell r="I2537">
            <v>116656</v>
          </cell>
          <cell r="J2537" t="str">
            <v>REPUESTO</v>
          </cell>
          <cell r="K2537" t="str">
            <v>ARANDELA PLANA 5/16</v>
          </cell>
          <cell r="L2537">
            <v>1</v>
          </cell>
          <cell r="M2537" t="str">
            <v>UNID.</v>
          </cell>
          <cell r="N2537" t="str">
            <v>TRACTO</v>
          </cell>
          <cell r="O2537">
            <v>0</v>
          </cell>
          <cell r="P2537" t="str">
            <v>E3</v>
          </cell>
          <cell r="Q2537" t="str">
            <v>J2</v>
          </cell>
          <cell r="R2537" t="str">
            <v>J2</v>
          </cell>
          <cell r="S2537" t="str">
            <v>ENTREGADO</v>
          </cell>
          <cell r="T2537">
            <v>42716</v>
          </cell>
          <cell r="U2537" t="str">
            <v>CONDORI CHURATA ALEX</v>
          </cell>
          <cell r="V2537" t="str">
            <v>CORIHUAMAN SURCO  ERICK ROBERT</v>
          </cell>
        </row>
        <row r="2538">
          <cell r="A2538">
            <v>2545</v>
          </cell>
          <cell r="B2538">
            <v>42716</v>
          </cell>
          <cell r="C2538" t="str">
            <v>DICIEMBRE</v>
          </cell>
          <cell r="D2538" t="str">
            <v>2016</v>
          </cell>
          <cell r="E2538">
            <v>578</v>
          </cell>
          <cell r="F2538" t="str">
            <v>AHX-713</v>
          </cell>
          <cell r="G2538" t="str">
            <v>D9S-976</v>
          </cell>
          <cell r="H2538" t="str">
            <v>LAS BAMBAS</v>
          </cell>
          <cell r="I2538">
            <v>59635</v>
          </cell>
          <cell r="J2538" t="str">
            <v>REPUESTO</v>
          </cell>
          <cell r="K2538" t="str">
            <v>SOPORTES DE TRAVESAÑO</v>
          </cell>
          <cell r="L2538">
            <v>2</v>
          </cell>
          <cell r="M2538" t="str">
            <v>UNID.</v>
          </cell>
          <cell r="N2538" t="str">
            <v>TRACTO</v>
          </cell>
          <cell r="O2538">
            <v>0</v>
          </cell>
          <cell r="P2538" t="str">
            <v>M8</v>
          </cell>
          <cell r="Q2538" t="str">
            <v>J1</v>
          </cell>
          <cell r="R2538" t="str">
            <v>J6</v>
          </cell>
          <cell r="S2538" t="str">
            <v>ENTREGADO</v>
          </cell>
          <cell r="T2538">
            <v>42716</v>
          </cell>
          <cell r="U2538" t="str">
            <v>VARILLAS GAGO  OSCAR ALBERTO</v>
          </cell>
          <cell r="V2538" t="str">
            <v>FLOREZ CONDORI  JOSE WILLIANS</v>
          </cell>
        </row>
        <row r="2539">
          <cell r="A2539">
            <v>2546</v>
          </cell>
          <cell r="B2539">
            <v>42716</v>
          </cell>
          <cell r="C2539" t="str">
            <v>DICIEMBRE</v>
          </cell>
          <cell r="D2539" t="str">
            <v>2016</v>
          </cell>
          <cell r="E2539">
            <v>578</v>
          </cell>
          <cell r="F2539" t="str">
            <v>AHX-713</v>
          </cell>
          <cell r="G2539" t="str">
            <v>D9S-976</v>
          </cell>
          <cell r="H2539" t="str">
            <v>LAS BAMBAS</v>
          </cell>
          <cell r="I2539">
            <v>59635</v>
          </cell>
          <cell r="J2539" t="str">
            <v>REPUESTO</v>
          </cell>
          <cell r="K2539" t="str">
            <v>AISLADOR DE CABINA</v>
          </cell>
          <cell r="L2539">
            <v>1</v>
          </cell>
          <cell r="M2539" t="str">
            <v>UNID.</v>
          </cell>
          <cell r="N2539" t="str">
            <v>TRACTO</v>
          </cell>
          <cell r="O2539">
            <v>0</v>
          </cell>
          <cell r="P2539" t="str">
            <v>M8</v>
          </cell>
          <cell r="Q2539" t="str">
            <v>J1</v>
          </cell>
          <cell r="R2539" t="str">
            <v>J6</v>
          </cell>
          <cell r="S2539" t="str">
            <v>ENTREGADO</v>
          </cell>
          <cell r="T2539">
            <v>42716</v>
          </cell>
          <cell r="U2539" t="str">
            <v>VARILLAS GAGO  OSCAR ALBERTO</v>
          </cell>
          <cell r="V2539" t="str">
            <v>FLOREZ CONDORI  JOSE WILLIANS</v>
          </cell>
        </row>
        <row r="2540">
          <cell r="A2540">
            <v>2551</v>
          </cell>
          <cell r="B2540">
            <v>42716</v>
          </cell>
          <cell r="C2540" t="str">
            <v>DICIEMBRE</v>
          </cell>
          <cell r="D2540" t="str">
            <v>2016</v>
          </cell>
          <cell r="E2540">
            <v>578</v>
          </cell>
          <cell r="F2540" t="str">
            <v>AHX-713</v>
          </cell>
          <cell r="G2540" t="str">
            <v>D9S-976</v>
          </cell>
          <cell r="H2540" t="str">
            <v>LAS BAMBAS</v>
          </cell>
          <cell r="I2540">
            <v>59635</v>
          </cell>
          <cell r="J2540" t="str">
            <v>REPUESTO</v>
          </cell>
          <cell r="K2540" t="str">
            <v>PERNO 5/8 X 2</v>
          </cell>
          <cell r="L2540">
            <v>4</v>
          </cell>
          <cell r="M2540" t="str">
            <v>UNID.</v>
          </cell>
          <cell r="N2540" t="str">
            <v>TRACTO</v>
          </cell>
          <cell r="O2540">
            <v>0</v>
          </cell>
          <cell r="P2540" t="str">
            <v>M8</v>
          </cell>
          <cell r="Q2540" t="str">
            <v>J1</v>
          </cell>
          <cell r="R2540" t="str">
            <v>J6</v>
          </cell>
          <cell r="S2540" t="str">
            <v>ENTREGADO</v>
          </cell>
          <cell r="T2540">
            <v>42716</v>
          </cell>
          <cell r="U2540" t="str">
            <v>VARILLAS GAGO  OSCAR ALBERTO</v>
          </cell>
          <cell r="V2540" t="str">
            <v>FLOREZ CONDORI  JOSE WILLIANS</v>
          </cell>
        </row>
        <row r="2541">
          <cell r="A2541">
            <v>2552</v>
          </cell>
          <cell r="B2541">
            <v>42716</v>
          </cell>
          <cell r="C2541" t="str">
            <v>DICIEMBRE</v>
          </cell>
          <cell r="D2541" t="str">
            <v>2016</v>
          </cell>
          <cell r="E2541">
            <v>578</v>
          </cell>
          <cell r="F2541" t="str">
            <v>AHX-713</v>
          </cell>
          <cell r="G2541" t="str">
            <v>D9S-976</v>
          </cell>
          <cell r="H2541" t="str">
            <v>LAS BAMBAS</v>
          </cell>
          <cell r="I2541">
            <v>59635</v>
          </cell>
          <cell r="J2541" t="str">
            <v>REPUESTO</v>
          </cell>
          <cell r="K2541" t="str">
            <v>TUERCA SEGURO 5/8</v>
          </cell>
          <cell r="L2541">
            <v>4</v>
          </cell>
          <cell r="M2541" t="str">
            <v>UNID.</v>
          </cell>
          <cell r="N2541" t="str">
            <v>TRACTO</v>
          </cell>
          <cell r="O2541">
            <v>0</v>
          </cell>
          <cell r="P2541" t="str">
            <v>M8</v>
          </cell>
          <cell r="Q2541" t="str">
            <v>J1</v>
          </cell>
          <cell r="R2541" t="str">
            <v>J6</v>
          </cell>
          <cell r="S2541" t="str">
            <v>ENTREGADO</v>
          </cell>
          <cell r="T2541">
            <v>42716</v>
          </cell>
          <cell r="U2541" t="str">
            <v>VARILLAS GAGO  OSCAR ALBERTO</v>
          </cell>
          <cell r="V2541" t="str">
            <v>FLOREZ CONDORI  JOSE WILLIANS</v>
          </cell>
        </row>
        <row r="2542">
          <cell r="A2542">
            <v>2553</v>
          </cell>
          <cell r="B2542">
            <v>42716</v>
          </cell>
          <cell r="C2542" t="str">
            <v>DICIEMBRE</v>
          </cell>
          <cell r="D2542" t="str">
            <v>2016</v>
          </cell>
          <cell r="E2542">
            <v>578</v>
          </cell>
          <cell r="F2542" t="str">
            <v>AHX-713</v>
          </cell>
          <cell r="G2542" t="str">
            <v>D9S-976</v>
          </cell>
          <cell r="H2542" t="str">
            <v>LAS BAMBAS</v>
          </cell>
          <cell r="I2542">
            <v>59635</v>
          </cell>
          <cell r="J2542" t="str">
            <v>REPUESTO</v>
          </cell>
          <cell r="K2542" t="str">
            <v>ARANDELA PLANA 5/8</v>
          </cell>
          <cell r="L2542">
            <v>8</v>
          </cell>
          <cell r="M2542" t="str">
            <v>UNID.</v>
          </cell>
          <cell r="N2542" t="str">
            <v>TRACTO</v>
          </cell>
          <cell r="O2542">
            <v>0</v>
          </cell>
          <cell r="P2542" t="str">
            <v>M8</v>
          </cell>
          <cell r="Q2542" t="str">
            <v>J1</v>
          </cell>
          <cell r="R2542" t="str">
            <v>J6</v>
          </cell>
          <cell r="S2542" t="str">
            <v>ENTREGADO</v>
          </cell>
          <cell r="T2542">
            <v>42716</v>
          </cell>
          <cell r="U2542" t="str">
            <v>VARILLAS GAGO  OSCAR ALBERTO</v>
          </cell>
          <cell r="V2542" t="str">
            <v>FLOREZ CONDORI  JOSE WILLIANS</v>
          </cell>
        </row>
        <row r="2543">
          <cell r="A2543">
            <v>2554</v>
          </cell>
          <cell r="B2543">
            <v>42716</v>
          </cell>
          <cell r="C2543" t="str">
            <v>DICIEMBRE</v>
          </cell>
          <cell r="D2543" t="str">
            <v>2016</v>
          </cell>
          <cell r="E2543">
            <v>578</v>
          </cell>
          <cell r="F2543" t="str">
            <v>AHX-713</v>
          </cell>
          <cell r="G2543" t="str">
            <v>D9S-976</v>
          </cell>
          <cell r="H2543" t="str">
            <v>LAS BAMBAS</v>
          </cell>
          <cell r="I2543">
            <v>59635</v>
          </cell>
          <cell r="J2543" t="str">
            <v>REPUESTO</v>
          </cell>
          <cell r="K2543" t="str">
            <v>LIQUIDO LIMPIAPARABRISAS</v>
          </cell>
          <cell r="L2543">
            <v>1</v>
          </cell>
          <cell r="M2543" t="str">
            <v>GLNS.</v>
          </cell>
          <cell r="N2543" t="str">
            <v>TRACTO</v>
          </cell>
          <cell r="O2543">
            <v>0</v>
          </cell>
          <cell r="P2543" t="str">
            <v>M8</v>
          </cell>
          <cell r="Q2543" t="str">
            <v>J1</v>
          </cell>
          <cell r="R2543" t="str">
            <v>J6</v>
          </cell>
          <cell r="S2543" t="str">
            <v>ENTREGADO</v>
          </cell>
          <cell r="T2543">
            <v>42716</v>
          </cell>
          <cell r="U2543" t="str">
            <v>VARILLAS GAGO  OSCAR ALBERTO</v>
          </cell>
          <cell r="V2543" t="str">
            <v>FLOREZ CONDORI  JOSE WILLIANS</v>
          </cell>
        </row>
        <row r="2544">
          <cell r="A2544">
            <v>2501</v>
          </cell>
          <cell r="B2544">
            <v>42716</v>
          </cell>
          <cell r="C2544" t="str">
            <v>DICIEMBRE</v>
          </cell>
          <cell r="D2544" t="str">
            <v>2016</v>
          </cell>
          <cell r="E2544">
            <v>530</v>
          </cell>
          <cell r="F2544" t="str">
            <v>C5R-892</v>
          </cell>
          <cell r="G2544" t="str">
            <v>A0T-983</v>
          </cell>
          <cell r="H2544" t="str">
            <v>LAS BAMBAS</v>
          </cell>
          <cell r="I2544">
            <v>226743</v>
          </cell>
          <cell r="J2544" t="str">
            <v>REPUESTO</v>
          </cell>
          <cell r="K2544" t="str">
            <v>FAJAS</v>
          </cell>
          <cell r="L2544">
            <v>2</v>
          </cell>
          <cell r="M2544" t="str">
            <v>JUEGO</v>
          </cell>
          <cell r="N2544" t="str">
            <v>TRACTO</v>
          </cell>
          <cell r="O2544">
            <v>0</v>
          </cell>
          <cell r="P2544" t="str">
            <v>M1</v>
          </cell>
          <cell r="Q2544" t="str">
            <v>J2</v>
          </cell>
          <cell r="R2544" t="str">
            <v>J6</v>
          </cell>
          <cell r="S2544" t="str">
            <v>ENTREGADO</v>
          </cell>
          <cell r="T2544">
            <v>42716</v>
          </cell>
          <cell r="U2544" t="str">
            <v>CABEZAS SANCHEZ JEAN JHONATAN</v>
          </cell>
          <cell r="V2544" t="str">
            <v>CORIHUAMAN SURCO  ERICK ROBERT</v>
          </cell>
        </row>
        <row r="2545">
          <cell r="A2545">
            <v>2583</v>
          </cell>
          <cell r="B2545">
            <v>42716</v>
          </cell>
          <cell r="C2545" t="str">
            <v>DICIEMBRE</v>
          </cell>
          <cell r="D2545" t="str">
            <v>2016</v>
          </cell>
          <cell r="E2545">
            <v>575</v>
          </cell>
          <cell r="F2545" t="str">
            <v>C9N-807</v>
          </cell>
          <cell r="G2545" t="str">
            <v>B4O-994</v>
          </cell>
          <cell r="H2545" t="str">
            <v>LAS BAMBAS</v>
          </cell>
          <cell r="I2545">
            <v>211537</v>
          </cell>
          <cell r="J2545" t="str">
            <v>REPUESTO</v>
          </cell>
          <cell r="K2545" t="str">
            <v>LLANTAS DELANTERAS</v>
          </cell>
          <cell r="L2545">
            <v>2</v>
          </cell>
          <cell r="M2545" t="str">
            <v>UNID.</v>
          </cell>
          <cell r="N2545" t="str">
            <v>TRACTO</v>
          </cell>
          <cell r="O2545">
            <v>0</v>
          </cell>
          <cell r="P2545" t="str">
            <v>N1</v>
          </cell>
          <cell r="Q2545" t="str">
            <v>J1</v>
          </cell>
          <cell r="R2545" t="str">
            <v>J1</v>
          </cell>
          <cell r="S2545" t="str">
            <v>ENTREGADO</v>
          </cell>
          <cell r="T2545">
            <v>42716</v>
          </cell>
          <cell r="U2545" t="str">
            <v>AGUILAR CCANTUTA WILLY</v>
          </cell>
          <cell r="V2545" t="str">
            <v>FLOREZ CONDORI  JOSE WILLIANS</v>
          </cell>
        </row>
        <row r="2546">
          <cell r="A2546">
            <v>2523</v>
          </cell>
          <cell r="B2546">
            <v>42716</v>
          </cell>
          <cell r="C2546" t="str">
            <v>DICIEMBRE</v>
          </cell>
          <cell r="D2546" t="str">
            <v>2016</v>
          </cell>
          <cell r="E2546">
            <v>575</v>
          </cell>
          <cell r="F2546" t="str">
            <v>C9N-807</v>
          </cell>
          <cell r="G2546" t="str">
            <v>B4O-994</v>
          </cell>
          <cell r="H2546" t="str">
            <v>LAS BAMBAS</v>
          </cell>
          <cell r="I2546">
            <v>211537</v>
          </cell>
          <cell r="J2546" t="str">
            <v>REPUESTO</v>
          </cell>
          <cell r="K2546" t="str">
            <v>PRESINTO 200</v>
          </cell>
          <cell r="L2546">
            <v>20</v>
          </cell>
          <cell r="M2546" t="str">
            <v>UNID.</v>
          </cell>
          <cell r="N2546" t="str">
            <v>TRACTO</v>
          </cell>
          <cell r="O2546">
            <v>0</v>
          </cell>
          <cell r="P2546" t="str">
            <v>E1</v>
          </cell>
          <cell r="Q2546" t="str">
            <v>J1</v>
          </cell>
          <cell r="R2546" t="str">
            <v>J6</v>
          </cell>
          <cell r="S2546" t="str">
            <v>ENTREGADO</v>
          </cell>
          <cell r="T2546">
            <v>42716</v>
          </cell>
          <cell r="U2546" t="str">
            <v>PALOMINO CARDENAS JUAN CARLOS</v>
          </cell>
          <cell r="V2546" t="str">
            <v>FLOREZ CONDORI  JOSE WILLIANS</v>
          </cell>
        </row>
        <row r="2547">
          <cell r="A2547">
            <v>2539</v>
          </cell>
          <cell r="B2547">
            <v>42716</v>
          </cell>
          <cell r="C2547" t="str">
            <v>DICIEMBRE</v>
          </cell>
          <cell r="D2547" t="str">
            <v>2016</v>
          </cell>
          <cell r="E2547">
            <v>494</v>
          </cell>
          <cell r="F2547" t="str">
            <v>C9N-807</v>
          </cell>
          <cell r="G2547" t="str">
            <v>B4O-994</v>
          </cell>
          <cell r="H2547" t="str">
            <v>LAS BAMBAS</v>
          </cell>
          <cell r="I2547">
            <v>210486</v>
          </cell>
          <cell r="J2547" t="str">
            <v>REPUESTO</v>
          </cell>
          <cell r="K2547" t="str">
            <v>JUEGO DE EMPAQUETADURA DE MULTIPLE DE ESCAPE</v>
          </cell>
          <cell r="L2547">
            <v>1</v>
          </cell>
          <cell r="M2547" t="str">
            <v>UNID.</v>
          </cell>
          <cell r="N2547" t="str">
            <v>TRACTO</v>
          </cell>
          <cell r="O2547">
            <v>0</v>
          </cell>
          <cell r="P2547" t="str">
            <v>M8</v>
          </cell>
          <cell r="Q2547" t="str">
            <v>J1</v>
          </cell>
          <cell r="R2547" t="str">
            <v>J6</v>
          </cell>
          <cell r="S2547" t="str">
            <v>ENTREGADO</v>
          </cell>
          <cell r="T2547">
            <v>42716</v>
          </cell>
          <cell r="U2547" t="str">
            <v>VARILLAS GAGO  OSCAR ALBERTO</v>
          </cell>
          <cell r="V2547" t="str">
            <v>FLOREZ CONDORI  JOSE WILLIANS</v>
          </cell>
        </row>
        <row r="2548">
          <cell r="A2548">
            <v>2540</v>
          </cell>
          <cell r="B2548">
            <v>42716</v>
          </cell>
          <cell r="C2548" t="str">
            <v>DICIEMBRE</v>
          </cell>
          <cell r="D2548" t="str">
            <v>2016</v>
          </cell>
          <cell r="E2548">
            <v>494</v>
          </cell>
          <cell r="F2548" t="str">
            <v>C9N-807</v>
          </cell>
          <cell r="G2548" t="str">
            <v>B4O-994</v>
          </cell>
          <cell r="H2548" t="str">
            <v>LAS BAMBAS</v>
          </cell>
          <cell r="I2548">
            <v>210486</v>
          </cell>
          <cell r="J2548" t="str">
            <v>REPUESTO</v>
          </cell>
          <cell r="K2548" t="str">
            <v>EMPAQUETADURA RECTANGULAR DE TURBO</v>
          </cell>
          <cell r="L2548">
            <v>1</v>
          </cell>
          <cell r="M2548" t="str">
            <v>UNID.</v>
          </cell>
          <cell r="N2548" t="str">
            <v>TRACTO</v>
          </cell>
          <cell r="O2548">
            <v>0</v>
          </cell>
          <cell r="P2548" t="str">
            <v>M8</v>
          </cell>
          <cell r="Q2548" t="str">
            <v>J1</v>
          </cell>
          <cell r="R2548" t="str">
            <v>J6</v>
          </cell>
          <cell r="S2548" t="str">
            <v>ENTREGADO</v>
          </cell>
          <cell r="T2548">
            <v>42716</v>
          </cell>
          <cell r="U2548" t="str">
            <v>VARILLAS GAGO  OSCAR ALBERTO</v>
          </cell>
          <cell r="V2548" t="str">
            <v>FLOREZ CONDORI  JOSE WILLIANS</v>
          </cell>
        </row>
        <row r="2549">
          <cell r="A2549">
            <v>2541</v>
          </cell>
          <cell r="B2549">
            <v>42716</v>
          </cell>
          <cell r="C2549" t="str">
            <v>DICIEMBRE</v>
          </cell>
          <cell r="D2549" t="str">
            <v>2016</v>
          </cell>
          <cell r="E2549">
            <v>494</v>
          </cell>
          <cell r="F2549" t="str">
            <v>C9N-807</v>
          </cell>
          <cell r="G2549" t="str">
            <v>B4O-994</v>
          </cell>
          <cell r="H2549" t="str">
            <v>LAS BAMBAS</v>
          </cell>
          <cell r="I2549">
            <v>210486</v>
          </cell>
          <cell r="J2549" t="str">
            <v>REPUESTO</v>
          </cell>
          <cell r="K2549" t="str">
            <v>EMPAQUE DE RETORNO DE ACEITE</v>
          </cell>
          <cell r="L2549">
            <v>1</v>
          </cell>
          <cell r="M2549" t="str">
            <v>UNID.</v>
          </cell>
          <cell r="N2549" t="str">
            <v>TRACTO</v>
          </cell>
          <cell r="O2549">
            <v>0</v>
          </cell>
          <cell r="P2549" t="str">
            <v>M8</v>
          </cell>
          <cell r="Q2549" t="str">
            <v>J1</v>
          </cell>
          <cell r="R2549" t="str">
            <v>J6</v>
          </cell>
          <cell r="S2549" t="str">
            <v>ENTREGADO</v>
          </cell>
          <cell r="T2549">
            <v>42716</v>
          </cell>
          <cell r="U2549" t="str">
            <v>VARILLAS GAGO  OSCAR ALBERTO</v>
          </cell>
          <cell r="V2549" t="str">
            <v>FLOREZ CONDORI  JOSE WILLIANS</v>
          </cell>
        </row>
        <row r="2550">
          <cell r="A2550">
            <v>2542</v>
          </cell>
          <cell r="B2550">
            <v>42716</v>
          </cell>
          <cell r="C2550" t="str">
            <v>DICIEMBRE</v>
          </cell>
          <cell r="D2550" t="str">
            <v>2016</v>
          </cell>
          <cell r="E2550">
            <v>494</v>
          </cell>
          <cell r="F2550" t="str">
            <v>C9N-807</v>
          </cell>
          <cell r="G2550" t="str">
            <v>B4O-994</v>
          </cell>
          <cell r="H2550" t="str">
            <v>LAS BAMBAS</v>
          </cell>
          <cell r="I2550">
            <v>210486</v>
          </cell>
          <cell r="J2550" t="str">
            <v>REPUESTO</v>
          </cell>
          <cell r="K2550" t="str">
            <v>TURBO</v>
          </cell>
          <cell r="L2550">
            <v>1</v>
          </cell>
          <cell r="M2550" t="str">
            <v>UNID.</v>
          </cell>
          <cell r="N2550" t="str">
            <v>TRACTO</v>
          </cell>
          <cell r="O2550">
            <v>0</v>
          </cell>
          <cell r="P2550" t="str">
            <v>M8</v>
          </cell>
          <cell r="Q2550" t="str">
            <v>J1</v>
          </cell>
          <cell r="R2550" t="str">
            <v>J6</v>
          </cell>
          <cell r="S2550" t="str">
            <v>ENTREGADO</v>
          </cell>
          <cell r="T2550">
            <v>42716</v>
          </cell>
          <cell r="U2550" t="str">
            <v>VARILLAS GAGO  OSCAR ALBERTO</v>
          </cell>
          <cell r="V2550" t="str">
            <v>FLOREZ CONDORI  JOSE WILLIANS</v>
          </cell>
        </row>
        <row r="2551">
          <cell r="A2551">
            <v>2571</v>
          </cell>
          <cell r="B2551">
            <v>42716</v>
          </cell>
          <cell r="C2551" t="str">
            <v>DICIEMBRE</v>
          </cell>
          <cell r="D2551" t="str">
            <v>2016</v>
          </cell>
          <cell r="E2551">
            <v>575</v>
          </cell>
          <cell r="F2551" t="str">
            <v>C9N-807</v>
          </cell>
          <cell r="G2551" t="str">
            <v>B4O-994</v>
          </cell>
          <cell r="H2551" t="str">
            <v>LAS BAMBAS</v>
          </cell>
          <cell r="I2551">
            <v>211537</v>
          </cell>
          <cell r="J2551" t="str">
            <v>REPUESTO</v>
          </cell>
          <cell r="K2551" t="str">
            <v>ABRAZADERA DE SILENCIADOR PARTE SUPERIOR</v>
          </cell>
          <cell r="L2551">
            <v>1</v>
          </cell>
          <cell r="M2551" t="str">
            <v>UNID.</v>
          </cell>
          <cell r="N2551" t="str">
            <v>TRACTO</v>
          </cell>
          <cell r="O2551">
            <v>0</v>
          </cell>
          <cell r="P2551" t="str">
            <v>S2</v>
          </cell>
          <cell r="Q2551" t="str">
            <v>J1</v>
          </cell>
          <cell r="R2551" t="str">
            <v>J1</v>
          </cell>
          <cell r="S2551" t="str">
            <v>ENTREGADO</v>
          </cell>
          <cell r="T2551">
            <v>42716</v>
          </cell>
          <cell r="U2551" t="str">
            <v>PALOMINO ESTRADA  MICHEL</v>
          </cell>
          <cell r="V2551" t="str">
            <v>FLOREZ CONDORI  JOSE WILLIANS</v>
          </cell>
        </row>
        <row r="2552">
          <cell r="A2552">
            <v>2574</v>
          </cell>
          <cell r="B2552">
            <v>42716</v>
          </cell>
          <cell r="C2552" t="str">
            <v>DICIEMBRE</v>
          </cell>
          <cell r="D2552" t="str">
            <v>2016</v>
          </cell>
          <cell r="E2552">
            <v>575</v>
          </cell>
          <cell r="F2552" t="str">
            <v>C9N-807</v>
          </cell>
          <cell r="G2552" t="str">
            <v>B4O-994</v>
          </cell>
          <cell r="H2552" t="str">
            <v>LAS BAMBAS</v>
          </cell>
          <cell r="I2552">
            <v>211537</v>
          </cell>
          <cell r="J2552" t="str">
            <v>REPUESTO</v>
          </cell>
          <cell r="K2552" t="str">
            <v>PALANCA DIRECCIONALES DE LUCES</v>
          </cell>
          <cell r="L2552">
            <v>1</v>
          </cell>
          <cell r="M2552" t="str">
            <v>UNID.</v>
          </cell>
          <cell r="N2552" t="str">
            <v>TRACTO</v>
          </cell>
          <cell r="O2552">
            <v>0</v>
          </cell>
          <cell r="P2552" t="str">
            <v>E1</v>
          </cell>
          <cell r="Q2552" t="str">
            <v>J1</v>
          </cell>
          <cell r="R2552" t="str">
            <v>J1</v>
          </cell>
          <cell r="S2552" t="str">
            <v>ENTREGADO</v>
          </cell>
          <cell r="T2552">
            <v>42716</v>
          </cell>
          <cell r="U2552" t="str">
            <v>PALOMINO CARDENAS JUAN CARLOS</v>
          </cell>
          <cell r="V2552" t="str">
            <v>FLOREZ CONDORI  JOSE WILLIANS</v>
          </cell>
        </row>
        <row r="2553">
          <cell r="A2553">
            <v>2588</v>
          </cell>
          <cell r="B2553">
            <v>42716</v>
          </cell>
          <cell r="C2553" t="str">
            <v>DICIEMBRE</v>
          </cell>
          <cell r="D2553" t="str">
            <v>2016</v>
          </cell>
          <cell r="E2553">
            <v>575</v>
          </cell>
          <cell r="F2553" t="str">
            <v>C9N-807</v>
          </cell>
          <cell r="G2553" t="str">
            <v>B4O-994</v>
          </cell>
          <cell r="H2553" t="str">
            <v>LAS BAMBAS</v>
          </cell>
          <cell r="I2553">
            <v>211537</v>
          </cell>
          <cell r="J2553" t="str">
            <v>SERVICIO</v>
          </cell>
          <cell r="K2553" t="str">
            <v>REPARACION DE RADIADOR</v>
          </cell>
          <cell r="L2553">
            <v>1</v>
          </cell>
          <cell r="M2553" t="str">
            <v>UNID.</v>
          </cell>
          <cell r="N2553" t="str">
            <v>TRACTO</v>
          </cell>
          <cell r="O2553">
            <v>0</v>
          </cell>
          <cell r="P2553" t="str">
            <v>M1</v>
          </cell>
          <cell r="Q2553" t="str">
            <v>J1</v>
          </cell>
          <cell r="R2553" t="str">
            <v>J1</v>
          </cell>
          <cell r="S2553" t="str">
            <v>ENTREGADO</v>
          </cell>
          <cell r="T2553">
            <v>42716</v>
          </cell>
          <cell r="U2553" t="str">
            <v>CABEZAS SANCHEZ JEAN JHONATAN</v>
          </cell>
          <cell r="V2553" t="str">
            <v>FLOREZ CONDORI  JOSE WILLIANS</v>
          </cell>
        </row>
        <row r="2554">
          <cell r="A2554">
            <v>2527</v>
          </cell>
          <cell r="B2554">
            <v>42716</v>
          </cell>
          <cell r="C2554" t="str">
            <v>DICIEMBRE</v>
          </cell>
          <cell r="D2554" t="str">
            <v>2016</v>
          </cell>
          <cell r="E2554">
            <v>548</v>
          </cell>
          <cell r="F2554" t="str">
            <v>D3N-721</v>
          </cell>
          <cell r="G2554" t="str">
            <v>C4S-979</v>
          </cell>
          <cell r="H2554" t="str">
            <v>LAS BAMBAS</v>
          </cell>
          <cell r="I2554">
            <v>135552</v>
          </cell>
          <cell r="J2554" t="str">
            <v>REPUESTO</v>
          </cell>
          <cell r="K2554" t="str">
            <v>LLANTAS</v>
          </cell>
          <cell r="L2554">
            <v>2</v>
          </cell>
          <cell r="M2554" t="str">
            <v>UNID.</v>
          </cell>
          <cell r="N2554" t="str">
            <v>CISTERNA</v>
          </cell>
          <cell r="O2554">
            <v>0</v>
          </cell>
          <cell r="P2554" t="str">
            <v>N1</v>
          </cell>
          <cell r="Q2554" t="str">
            <v>J1</v>
          </cell>
          <cell r="R2554" t="str">
            <v>J6</v>
          </cell>
          <cell r="S2554" t="str">
            <v>ENTREGADO</v>
          </cell>
          <cell r="T2554">
            <v>42716</v>
          </cell>
          <cell r="U2554" t="str">
            <v>AGUILAR CCANTUTA WILLY</v>
          </cell>
          <cell r="V2554" t="str">
            <v>FLOREZ CONDORI  JOSE WILLIANS</v>
          </cell>
        </row>
        <row r="2555">
          <cell r="A2555">
            <v>2516</v>
          </cell>
          <cell r="B2555">
            <v>42716</v>
          </cell>
          <cell r="C2555" t="str">
            <v>DICIEMBRE</v>
          </cell>
          <cell r="D2555" t="str">
            <v>2016</v>
          </cell>
          <cell r="E2555">
            <v>561</v>
          </cell>
          <cell r="F2555" t="str">
            <v>D3P-744</v>
          </cell>
          <cell r="G2555" t="str">
            <v>A0F-996</v>
          </cell>
          <cell r="H2555" t="str">
            <v>LAS BAMBAS</v>
          </cell>
          <cell r="I2555">
            <v>154431</v>
          </cell>
          <cell r="J2555" t="str">
            <v>REPUESTO</v>
          </cell>
          <cell r="K2555" t="str">
            <v>LLANTAS</v>
          </cell>
          <cell r="L2555">
            <v>2</v>
          </cell>
          <cell r="M2555" t="str">
            <v>UNID.</v>
          </cell>
          <cell r="N2555" t="str">
            <v>CISTERNA</v>
          </cell>
          <cell r="O2555">
            <v>0</v>
          </cell>
          <cell r="P2555" t="str">
            <v>N2</v>
          </cell>
          <cell r="Q2555" t="str">
            <v>J1</v>
          </cell>
          <cell r="R2555" t="str">
            <v>J1</v>
          </cell>
          <cell r="S2555" t="str">
            <v>ENTREGADO</v>
          </cell>
          <cell r="T2555">
            <v>42716</v>
          </cell>
          <cell r="U2555" t="str">
            <v>MAMANI LARICO  EDUARDO ALVARO</v>
          </cell>
          <cell r="V2555" t="str">
            <v>FLOREZ CONDORI  JOSE WILLIANS</v>
          </cell>
        </row>
        <row r="2556">
          <cell r="A2556">
            <v>2518</v>
          </cell>
          <cell r="B2556">
            <v>42716</v>
          </cell>
          <cell r="C2556" t="str">
            <v>DICIEMBRE</v>
          </cell>
          <cell r="D2556" t="str">
            <v>2016</v>
          </cell>
          <cell r="E2556">
            <v>561</v>
          </cell>
          <cell r="F2556" t="str">
            <v>D3P-744</v>
          </cell>
          <cell r="G2556" t="str">
            <v>A0F-996</v>
          </cell>
          <cell r="H2556" t="str">
            <v>LAS BAMBAS</v>
          </cell>
          <cell r="I2556">
            <v>154431</v>
          </cell>
          <cell r="J2556" t="str">
            <v>REPUESTO</v>
          </cell>
          <cell r="K2556" t="str">
            <v>LLANTAS</v>
          </cell>
          <cell r="L2556">
            <v>2</v>
          </cell>
          <cell r="M2556" t="str">
            <v>UNID.</v>
          </cell>
          <cell r="N2556" t="str">
            <v>CISTERNA</v>
          </cell>
          <cell r="O2556">
            <v>0</v>
          </cell>
          <cell r="P2556" t="str">
            <v>N2</v>
          </cell>
          <cell r="Q2556" t="str">
            <v>J1</v>
          </cell>
          <cell r="R2556" t="str">
            <v>J1</v>
          </cell>
          <cell r="S2556" t="str">
            <v>ENTREGADO</v>
          </cell>
          <cell r="T2556">
            <v>42716</v>
          </cell>
          <cell r="U2556" t="str">
            <v>MAMANI LARICO  EDUARDO ALVARO</v>
          </cell>
          <cell r="V2556" t="str">
            <v>FLOREZ CONDORI  JOSE WILLIANS</v>
          </cell>
        </row>
        <row r="2557">
          <cell r="A2557">
            <v>2544</v>
          </cell>
          <cell r="B2557">
            <v>42716</v>
          </cell>
          <cell r="C2557" t="str">
            <v>DICIEMBRE</v>
          </cell>
          <cell r="D2557" t="str">
            <v>2016</v>
          </cell>
          <cell r="E2557">
            <v>561</v>
          </cell>
          <cell r="F2557" t="str">
            <v>D3P-744</v>
          </cell>
          <cell r="G2557" t="str">
            <v>A0F-996</v>
          </cell>
          <cell r="H2557" t="str">
            <v>LAS BAMBAS</v>
          </cell>
          <cell r="I2557">
            <v>154431</v>
          </cell>
          <cell r="J2557" t="str">
            <v>REPUESTO</v>
          </cell>
          <cell r="K2557" t="str">
            <v>LLANTAS</v>
          </cell>
          <cell r="L2557">
            <v>4</v>
          </cell>
          <cell r="M2557" t="str">
            <v>UNID.</v>
          </cell>
          <cell r="N2557" t="str">
            <v>TRACTO</v>
          </cell>
          <cell r="O2557">
            <v>0</v>
          </cell>
          <cell r="P2557" t="str">
            <v>N1</v>
          </cell>
          <cell r="Q2557" t="str">
            <v>J1</v>
          </cell>
          <cell r="R2557" t="str">
            <v>J6</v>
          </cell>
          <cell r="S2557" t="str">
            <v>ENTREGADO</v>
          </cell>
          <cell r="T2557">
            <v>42716</v>
          </cell>
          <cell r="U2557" t="str">
            <v>AGUILAR CCANTUTA WILLY</v>
          </cell>
          <cell r="V2557" t="str">
            <v>FLOREZ CONDORI  JOSE WILLIANS</v>
          </cell>
        </row>
        <row r="2558">
          <cell r="A2558">
            <v>2555</v>
          </cell>
          <cell r="B2558">
            <v>42716</v>
          </cell>
          <cell r="C2558" t="str">
            <v>DICIEMBRE</v>
          </cell>
          <cell r="D2558" t="str">
            <v>2016</v>
          </cell>
          <cell r="E2558">
            <v>561</v>
          </cell>
          <cell r="F2558" t="str">
            <v>D3P-744</v>
          </cell>
          <cell r="G2558" t="str">
            <v>A0F-996</v>
          </cell>
          <cell r="H2558" t="str">
            <v>LAS BAMBAS</v>
          </cell>
          <cell r="I2558">
            <v>154431</v>
          </cell>
          <cell r="J2558" t="str">
            <v>REPUESTO</v>
          </cell>
          <cell r="K2558" t="str">
            <v>LLANTAS</v>
          </cell>
          <cell r="L2558">
            <v>4</v>
          </cell>
          <cell r="M2558" t="str">
            <v>UNID.</v>
          </cell>
          <cell r="N2558" t="str">
            <v>TRACTO</v>
          </cell>
          <cell r="O2558">
            <v>0</v>
          </cell>
          <cell r="P2558" t="str">
            <v>N1</v>
          </cell>
          <cell r="Q2558" t="str">
            <v>J1</v>
          </cell>
          <cell r="R2558" t="str">
            <v>J6</v>
          </cell>
          <cell r="S2558" t="str">
            <v>ENTREGADO</v>
          </cell>
          <cell r="T2558">
            <v>42716</v>
          </cell>
          <cell r="U2558" t="str">
            <v>AGUILAR CCANTUTA WILLY</v>
          </cell>
          <cell r="V2558" t="str">
            <v>FLOREZ CONDORI  JOSE WILLIANS</v>
          </cell>
        </row>
        <row r="2559">
          <cell r="A2559">
            <v>2519</v>
          </cell>
          <cell r="B2559">
            <v>42716</v>
          </cell>
          <cell r="C2559" t="str">
            <v>DICIEMBRE</v>
          </cell>
          <cell r="D2559" t="str">
            <v>2016</v>
          </cell>
          <cell r="E2559">
            <v>561</v>
          </cell>
          <cell r="F2559" t="str">
            <v>D3P-744</v>
          </cell>
          <cell r="G2559" t="str">
            <v>A0F-996</v>
          </cell>
          <cell r="H2559" t="str">
            <v>LAS BAMBAS</v>
          </cell>
          <cell r="I2559">
            <v>154431</v>
          </cell>
          <cell r="J2559" t="str">
            <v>REPUESTO</v>
          </cell>
          <cell r="K2559" t="str">
            <v>SICAFLEX</v>
          </cell>
          <cell r="L2559">
            <v>1</v>
          </cell>
          <cell r="M2559" t="str">
            <v>UNID.</v>
          </cell>
          <cell r="N2559" t="str">
            <v>TRACTO</v>
          </cell>
          <cell r="O2559">
            <v>0</v>
          </cell>
          <cell r="P2559" t="str">
            <v>E1</v>
          </cell>
          <cell r="Q2559" t="str">
            <v>J1</v>
          </cell>
          <cell r="R2559" t="str">
            <v>J1</v>
          </cell>
          <cell r="S2559" t="str">
            <v>ENTREGADO</v>
          </cell>
          <cell r="T2559">
            <v>42716</v>
          </cell>
          <cell r="U2559" t="str">
            <v>PALOMINO CARDENAS JUAN CARLOS</v>
          </cell>
          <cell r="V2559" t="str">
            <v>FLOREZ CONDORI  JOSE WILLIANS</v>
          </cell>
        </row>
        <row r="2560">
          <cell r="A2560">
            <v>2532</v>
          </cell>
          <cell r="B2560">
            <v>42716</v>
          </cell>
          <cell r="C2560" t="str">
            <v>DICIEMBRE</v>
          </cell>
          <cell r="D2560" t="str">
            <v>2016</v>
          </cell>
          <cell r="E2560">
            <v>561</v>
          </cell>
          <cell r="F2560" t="str">
            <v>D3P-744</v>
          </cell>
          <cell r="G2560" t="str">
            <v>A0F-996</v>
          </cell>
          <cell r="H2560" t="str">
            <v>LAS BAMBAS</v>
          </cell>
          <cell r="I2560">
            <v>154431</v>
          </cell>
          <cell r="J2560" t="str">
            <v>REPUESTO</v>
          </cell>
          <cell r="K2560" t="str">
            <v>PERNO 5/8 X 6</v>
          </cell>
          <cell r="L2560">
            <v>2</v>
          </cell>
          <cell r="M2560" t="str">
            <v>UNID.</v>
          </cell>
          <cell r="N2560" t="str">
            <v>CISTERNA</v>
          </cell>
          <cell r="O2560">
            <v>0</v>
          </cell>
          <cell r="P2560" t="str">
            <v>S1</v>
          </cell>
          <cell r="Q2560" t="str">
            <v>J1</v>
          </cell>
          <cell r="R2560" t="str">
            <v>J6</v>
          </cell>
          <cell r="S2560" t="str">
            <v>ENTREGADO</v>
          </cell>
          <cell r="T2560">
            <v>42716</v>
          </cell>
          <cell r="U2560" t="str">
            <v>BAYONA CRUZ CRISTIAN ARMANDO</v>
          </cell>
          <cell r="V2560" t="str">
            <v>FLOREZ CONDORI  JOSE WILLIANS</v>
          </cell>
        </row>
        <row r="2561">
          <cell r="A2561">
            <v>2533</v>
          </cell>
          <cell r="B2561">
            <v>42716</v>
          </cell>
          <cell r="C2561" t="str">
            <v>DICIEMBRE</v>
          </cell>
          <cell r="D2561" t="str">
            <v>2016</v>
          </cell>
          <cell r="E2561">
            <v>561</v>
          </cell>
          <cell r="F2561" t="str">
            <v>D3P-744</v>
          </cell>
          <cell r="G2561" t="str">
            <v>A0F-996</v>
          </cell>
          <cell r="H2561" t="str">
            <v>LAS BAMBAS</v>
          </cell>
          <cell r="I2561">
            <v>154431</v>
          </cell>
          <cell r="J2561" t="str">
            <v>REPUESTO</v>
          </cell>
          <cell r="K2561" t="str">
            <v>TUERCA SEGURO 5/8</v>
          </cell>
          <cell r="L2561">
            <v>2</v>
          </cell>
          <cell r="M2561" t="str">
            <v>UNID.</v>
          </cell>
          <cell r="N2561" t="str">
            <v>CISTERNA</v>
          </cell>
          <cell r="O2561">
            <v>0</v>
          </cell>
          <cell r="P2561" t="str">
            <v>S1</v>
          </cell>
          <cell r="Q2561" t="str">
            <v>J1</v>
          </cell>
          <cell r="R2561" t="str">
            <v>J6</v>
          </cell>
          <cell r="S2561" t="str">
            <v>ENTREGADO</v>
          </cell>
          <cell r="T2561">
            <v>42716</v>
          </cell>
          <cell r="U2561" t="str">
            <v>BAYONA CRUZ CRISTIAN ARMANDO</v>
          </cell>
          <cell r="V2561" t="str">
            <v>FLOREZ CONDORI  JOSE WILLIANS</v>
          </cell>
        </row>
        <row r="2562">
          <cell r="A2562">
            <v>2557</v>
          </cell>
          <cell r="B2562">
            <v>42716</v>
          </cell>
          <cell r="C2562" t="str">
            <v>DICIEMBRE</v>
          </cell>
          <cell r="D2562" t="str">
            <v>2016</v>
          </cell>
          <cell r="E2562">
            <v>561</v>
          </cell>
          <cell r="F2562" t="str">
            <v>D3P-744</v>
          </cell>
          <cell r="G2562" t="str">
            <v>A0F-996</v>
          </cell>
          <cell r="H2562" t="str">
            <v>LAS BAMBAS</v>
          </cell>
          <cell r="I2562">
            <v>154431</v>
          </cell>
          <cell r="J2562" t="str">
            <v>REPUESTO</v>
          </cell>
          <cell r="K2562" t="str">
            <v>SOPORTE DE TRAVESAÑO POSTERIOR</v>
          </cell>
          <cell r="L2562">
            <v>3</v>
          </cell>
          <cell r="M2562" t="str">
            <v>UNID.</v>
          </cell>
          <cell r="N2562" t="str">
            <v>TRACTO</v>
          </cell>
          <cell r="O2562">
            <v>0</v>
          </cell>
          <cell r="P2562" t="str">
            <v>S2</v>
          </cell>
          <cell r="Q2562" t="str">
            <v>J1</v>
          </cell>
          <cell r="R2562" t="str">
            <v>J6</v>
          </cell>
          <cell r="S2562" t="str">
            <v>ENTREGADO</v>
          </cell>
          <cell r="T2562">
            <v>42716</v>
          </cell>
          <cell r="U2562" t="str">
            <v>PALOMINO ESTRADA  MICHEL</v>
          </cell>
          <cell r="V2562" t="str">
            <v>FLOREZ CONDORI  JOSE WILLIANS</v>
          </cell>
        </row>
        <row r="2563">
          <cell r="A2563">
            <v>2520</v>
          </cell>
          <cell r="B2563">
            <v>42716</v>
          </cell>
          <cell r="C2563" t="str">
            <v>DICIEMBRE</v>
          </cell>
          <cell r="D2563" t="str">
            <v>2016</v>
          </cell>
          <cell r="E2563">
            <v>506</v>
          </cell>
          <cell r="F2563" t="str">
            <v>D3P-754</v>
          </cell>
          <cell r="G2563" t="str">
            <v>C0V-971</v>
          </cell>
          <cell r="H2563" t="str">
            <v>LAS BAMBAS</v>
          </cell>
          <cell r="I2563">
            <v>163530</v>
          </cell>
          <cell r="J2563" t="str">
            <v>REPUESTO</v>
          </cell>
          <cell r="K2563" t="str">
            <v>PINTURA COLOR BLANCO</v>
          </cell>
          <cell r="L2563">
            <v>0.2</v>
          </cell>
          <cell r="M2563" t="str">
            <v>GLNS.</v>
          </cell>
          <cell r="N2563" t="str">
            <v>CISTERNA</v>
          </cell>
          <cell r="O2563">
            <v>74</v>
          </cell>
          <cell r="P2563" t="str">
            <v>M3</v>
          </cell>
          <cell r="Q2563" t="str">
            <v>J1</v>
          </cell>
          <cell r="R2563" t="str">
            <v>J1</v>
          </cell>
          <cell r="S2563" t="str">
            <v>PENDIENTE</v>
          </cell>
          <cell r="T2563">
            <v>0</v>
          </cell>
          <cell r="U2563" t="str">
            <v>GARCIA PASQUEL  JOSE LUIS</v>
          </cell>
          <cell r="V2563" t="str">
            <v>FLOREZ CONDORI  JOSE WILLIANS</v>
          </cell>
        </row>
        <row r="2564">
          <cell r="A2564">
            <v>2521</v>
          </cell>
          <cell r="B2564">
            <v>42716</v>
          </cell>
          <cell r="C2564" t="str">
            <v>DICIEMBRE</v>
          </cell>
          <cell r="D2564" t="str">
            <v>2016</v>
          </cell>
          <cell r="E2564">
            <v>506</v>
          </cell>
          <cell r="F2564" t="str">
            <v>D3P-754</v>
          </cell>
          <cell r="G2564" t="str">
            <v>C0V-971</v>
          </cell>
          <cell r="H2564" t="str">
            <v>LAS BAMBAS</v>
          </cell>
          <cell r="I2564">
            <v>163530</v>
          </cell>
          <cell r="J2564" t="str">
            <v>REPUESTO</v>
          </cell>
          <cell r="K2564" t="str">
            <v>PINTURA COLOR VERDE</v>
          </cell>
          <cell r="L2564">
            <v>0.2</v>
          </cell>
          <cell r="M2564" t="str">
            <v>GLNS.</v>
          </cell>
          <cell r="N2564" t="str">
            <v>CISTERNA</v>
          </cell>
          <cell r="O2564">
            <v>0</v>
          </cell>
          <cell r="P2564" t="str">
            <v>M3</v>
          </cell>
          <cell r="Q2564" t="str">
            <v>J1</v>
          </cell>
          <cell r="R2564" t="str">
            <v>J1</v>
          </cell>
          <cell r="S2564" t="str">
            <v>ENTREGADO</v>
          </cell>
          <cell r="T2564">
            <v>42716</v>
          </cell>
          <cell r="U2564" t="str">
            <v>GARCIA PASQUEL  JOSE LUIS</v>
          </cell>
          <cell r="V2564" t="str">
            <v>FLOREZ CONDORI  JOSE WILLIANS</v>
          </cell>
        </row>
        <row r="2565">
          <cell r="A2565">
            <v>2567</v>
          </cell>
          <cell r="B2565">
            <v>42716</v>
          </cell>
          <cell r="C2565" t="str">
            <v>DICIEMBRE</v>
          </cell>
          <cell r="D2565" t="str">
            <v>2016</v>
          </cell>
          <cell r="E2565">
            <v>506</v>
          </cell>
          <cell r="F2565" t="str">
            <v>D3P-754</v>
          </cell>
          <cell r="G2565" t="str">
            <v>C0V-971</v>
          </cell>
          <cell r="H2565" t="str">
            <v>LAS BAMBAS</v>
          </cell>
          <cell r="I2565">
            <v>163530</v>
          </cell>
          <cell r="J2565" t="str">
            <v>REPUESTO</v>
          </cell>
          <cell r="K2565" t="str">
            <v>BISAGRA DE 3/8 X 2</v>
          </cell>
          <cell r="L2565">
            <v>1</v>
          </cell>
          <cell r="M2565" t="str">
            <v>UNID.</v>
          </cell>
          <cell r="N2565" t="str">
            <v>CISTERNA</v>
          </cell>
          <cell r="O2565">
            <v>0</v>
          </cell>
          <cell r="P2565" t="str">
            <v>S1</v>
          </cell>
          <cell r="Q2565" t="str">
            <v>J1</v>
          </cell>
          <cell r="R2565" t="str">
            <v>J6</v>
          </cell>
          <cell r="S2565" t="str">
            <v>ENTREGADO</v>
          </cell>
          <cell r="T2565">
            <v>42716</v>
          </cell>
          <cell r="U2565" t="str">
            <v>BAYONA CRUZ CRISTIAN ARMANDO</v>
          </cell>
          <cell r="V2565" t="str">
            <v>FLOREZ CONDORI  JOSE WILLIANS</v>
          </cell>
        </row>
        <row r="2566">
          <cell r="A2566">
            <v>2568</v>
          </cell>
          <cell r="B2566">
            <v>42716</v>
          </cell>
          <cell r="C2566" t="str">
            <v>DICIEMBRE</v>
          </cell>
          <cell r="D2566" t="str">
            <v>2016</v>
          </cell>
          <cell r="E2566">
            <v>506</v>
          </cell>
          <cell r="F2566" t="str">
            <v>D3P-754</v>
          </cell>
          <cell r="G2566" t="str">
            <v>C0V-971</v>
          </cell>
          <cell r="H2566" t="str">
            <v>LAS BAMBAS</v>
          </cell>
          <cell r="I2566">
            <v>163530</v>
          </cell>
          <cell r="J2566" t="str">
            <v>REPUESTO</v>
          </cell>
          <cell r="K2566" t="str">
            <v>PERNO 1/4 X 1</v>
          </cell>
          <cell r="L2566">
            <v>1</v>
          </cell>
          <cell r="M2566" t="str">
            <v>UNID.</v>
          </cell>
          <cell r="N2566" t="str">
            <v>CISTERNA</v>
          </cell>
          <cell r="O2566">
            <v>0</v>
          </cell>
          <cell r="P2566" t="str">
            <v>S1</v>
          </cell>
          <cell r="Q2566" t="str">
            <v>J1</v>
          </cell>
          <cell r="R2566" t="str">
            <v>J6</v>
          </cell>
          <cell r="S2566" t="str">
            <v>ENTREGADO</v>
          </cell>
          <cell r="T2566">
            <v>42716</v>
          </cell>
          <cell r="U2566" t="str">
            <v>BAYONA CRUZ CRISTIAN ARMANDO</v>
          </cell>
          <cell r="V2566" t="str">
            <v>FLOREZ CONDORI  JOSE WILLIANS</v>
          </cell>
        </row>
        <row r="2567">
          <cell r="A2567">
            <v>2569</v>
          </cell>
          <cell r="B2567">
            <v>42716</v>
          </cell>
          <cell r="C2567" t="str">
            <v>DICIEMBRE</v>
          </cell>
          <cell r="D2567" t="str">
            <v>2016</v>
          </cell>
          <cell r="E2567">
            <v>506</v>
          </cell>
          <cell r="F2567" t="str">
            <v>D3P-754</v>
          </cell>
          <cell r="G2567" t="str">
            <v>C0V-971</v>
          </cell>
          <cell r="H2567" t="str">
            <v>LAS BAMBAS</v>
          </cell>
          <cell r="I2567">
            <v>163530</v>
          </cell>
          <cell r="J2567" t="str">
            <v>REPUESTO</v>
          </cell>
          <cell r="K2567" t="str">
            <v>TUERCA 1/4</v>
          </cell>
          <cell r="L2567">
            <v>1</v>
          </cell>
          <cell r="M2567" t="str">
            <v>UNID.</v>
          </cell>
          <cell r="N2567" t="str">
            <v>CISTERNA</v>
          </cell>
          <cell r="O2567">
            <v>0</v>
          </cell>
          <cell r="P2567" t="str">
            <v>S1</v>
          </cell>
          <cell r="Q2567" t="str">
            <v>J1</v>
          </cell>
          <cell r="R2567" t="str">
            <v>J6</v>
          </cell>
          <cell r="S2567" t="str">
            <v>ENTREGADO</v>
          </cell>
          <cell r="T2567">
            <v>42716</v>
          </cell>
          <cell r="U2567" t="str">
            <v>BAYONA CRUZ CRISTIAN ARMANDO</v>
          </cell>
          <cell r="V2567" t="str">
            <v>FLOREZ CONDORI  JOSE WILLIANS</v>
          </cell>
        </row>
        <row r="2568">
          <cell r="A2568">
            <v>2577</v>
          </cell>
          <cell r="B2568">
            <v>42716</v>
          </cell>
          <cell r="C2568" t="str">
            <v>DICIEMBRE</v>
          </cell>
          <cell r="D2568" t="str">
            <v>2016</v>
          </cell>
          <cell r="E2568">
            <v>506</v>
          </cell>
          <cell r="F2568" t="str">
            <v>D3P-754</v>
          </cell>
          <cell r="G2568" t="str">
            <v>C0V-971</v>
          </cell>
          <cell r="H2568" t="str">
            <v>LAS BAMBAS</v>
          </cell>
          <cell r="I2568">
            <v>163530</v>
          </cell>
          <cell r="J2568" t="str">
            <v>REPUESTO</v>
          </cell>
          <cell r="K2568" t="str">
            <v xml:space="preserve">KIT SECADOR DE AIRE </v>
          </cell>
          <cell r="L2568">
            <v>1</v>
          </cell>
          <cell r="M2568" t="str">
            <v>UNID.</v>
          </cell>
          <cell r="N2568" t="str">
            <v>TRACTO</v>
          </cell>
          <cell r="O2568">
            <v>0</v>
          </cell>
          <cell r="P2568" t="str">
            <v>M8</v>
          </cell>
          <cell r="Q2568" t="str">
            <v>J1</v>
          </cell>
          <cell r="R2568" t="str">
            <v>J1</v>
          </cell>
          <cell r="S2568" t="str">
            <v>ENTREGADO</v>
          </cell>
          <cell r="T2568">
            <v>42716</v>
          </cell>
          <cell r="U2568" t="str">
            <v>VARILLAS GAGO  OSCAR ALBERTO</v>
          </cell>
          <cell r="V2568" t="str">
            <v>FLOREZ CONDORI  JOSE WILLIANS</v>
          </cell>
        </row>
        <row r="2569">
          <cell r="A2569">
            <v>2578</v>
          </cell>
          <cell r="B2569">
            <v>42716</v>
          </cell>
          <cell r="C2569" t="str">
            <v>DICIEMBRE</v>
          </cell>
          <cell r="D2569" t="str">
            <v>2016</v>
          </cell>
          <cell r="E2569">
            <v>506</v>
          </cell>
          <cell r="F2569" t="str">
            <v>D3P-754</v>
          </cell>
          <cell r="G2569" t="str">
            <v>C0V-971</v>
          </cell>
          <cell r="H2569" t="str">
            <v>LAS BAMBAS</v>
          </cell>
          <cell r="I2569">
            <v>163530</v>
          </cell>
          <cell r="J2569" t="str">
            <v>REPUESTO</v>
          </cell>
          <cell r="K2569" t="str">
            <v>NIPLE 1/2 CON REDUCCION A 3/8</v>
          </cell>
          <cell r="L2569">
            <v>1</v>
          </cell>
          <cell r="M2569" t="str">
            <v>UNID.</v>
          </cell>
          <cell r="N2569" t="str">
            <v>TRACTO</v>
          </cell>
          <cell r="O2569">
            <v>0</v>
          </cell>
          <cell r="P2569" t="str">
            <v>M8</v>
          </cell>
          <cell r="Q2569" t="str">
            <v>J1</v>
          </cell>
          <cell r="R2569" t="str">
            <v>J1</v>
          </cell>
          <cell r="S2569" t="str">
            <v>ENTREGADO</v>
          </cell>
          <cell r="T2569">
            <v>42716</v>
          </cell>
          <cell r="U2569" t="str">
            <v>VARILLAS GAGO  OSCAR ALBERTO</v>
          </cell>
          <cell r="V2569" t="str">
            <v>FLOREZ CONDORI  JOSE WILLIANS</v>
          </cell>
        </row>
        <row r="2570">
          <cell r="A2570">
            <v>2579</v>
          </cell>
          <cell r="B2570">
            <v>42716</v>
          </cell>
          <cell r="C2570" t="str">
            <v>DICIEMBRE</v>
          </cell>
          <cell r="D2570" t="str">
            <v>2016</v>
          </cell>
          <cell r="E2570">
            <v>506</v>
          </cell>
          <cell r="F2570" t="str">
            <v>D3P-754</v>
          </cell>
          <cell r="G2570" t="str">
            <v>C0V-971</v>
          </cell>
          <cell r="H2570" t="str">
            <v>LAS BAMBAS</v>
          </cell>
          <cell r="I2570">
            <v>163530</v>
          </cell>
          <cell r="J2570" t="str">
            <v>REPUESTO</v>
          </cell>
          <cell r="K2570" t="str">
            <v>CONO, GUIA, TUERCA DE 3/8</v>
          </cell>
          <cell r="L2570">
            <v>1</v>
          </cell>
          <cell r="M2570" t="str">
            <v>UNID.</v>
          </cell>
          <cell r="N2570" t="str">
            <v>TRACTO</v>
          </cell>
          <cell r="O2570">
            <v>0</v>
          </cell>
          <cell r="P2570" t="str">
            <v>M8</v>
          </cell>
          <cell r="Q2570" t="str">
            <v>J1</v>
          </cell>
          <cell r="R2570" t="str">
            <v>J1</v>
          </cell>
          <cell r="S2570" t="str">
            <v>ENTREGADO</v>
          </cell>
          <cell r="T2570">
            <v>42716</v>
          </cell>
          <cell r="U2570" t="str">
            <v>VARILLAS GAGO  OSCAR ALBERTO</v>
          </cell>
          <cell r="V2570" t="str">
            <v>FLOREZ CONDORI  JOSE WILLIANS</v>
          </cell>
        </row>
        <row r="2571">
          <cell r="A2571">
            <v>2584</v>
          </cell>
          <cell r="B2571">
            <v>42716</v>
          </cell>
          <cell r="C2571" t="str">
            <v>DICIEMBRE</v>
          </cell>
          <cell r="D2571" t="str">
            <v>2016</v>
          </cell>
          <cell r="E2571">
            <v>506</v>
          </cell>
          <cell r="F2571" t="str">
            <v>D3P-754</v>
          </cell>
          <cell r="G2571" t="str">
            <v>C0V-971</v>
          </cell>
          <cell r="H2571" t="str">
            <v>LAS BAMBAS</v>
          </cell>
          <cell r="I2571">
            <v>163530</v>
          </cell>
          <cell r="J2571" t="str">
            <v>REPUESTO</v>
          </cell>
          <cell r="K2571" t="str">
            <v>VARILLA INOXIDABLE 1/8</v>
          </cell>
          <cell r="L2571">
            <v>4</v>
          </cell>
          <cell r="M2571" t="str">
            <v>UNID.</v>
          </cell>
          <cell r="N2571" t="str">
            <v>TRACTO</v>
          </cell>
          <cell r="O2571">
            <v>0</v>
          </cell>
          <cell r="P2571" t="str">
            <v>M8</v>
          </cell>
          <cell r="Q2571" t="str">
            <v>J1</v>
          </cell>
          <cell r="R2571" t="str">
            <v>J1</v>
          </cell>
          <cell r="S2571" t="str">
            <v>ENTREGADO</v>
          </cell>
          <cell r="T2571">
            <v>42716</v>
          </cell>
          <cell r="U2571" t="str">
            <v>VARILLAS GAGO  OSCAR ALBERTO</v>
          </cell>
          <cell r="V2571" t="str">
            <v>FLOREZ CONDORI  JOSE WILLIANS</v>
          </cell>
        </row>
        <row r="2572">
          <cell r="A2572">
            <v>2558</v>
          </cell>
          <cell r="B2572">
            <v>42716</v>
          </cell>
          <cell r="C2572" t="str">
            <v>DICIEMBRE</v>
          </cell>
          <cell r="D2572" t="str">
            <v>2016</v>
          </cell>
          <cell r="E2572">
            <v>521</v>
          </cell>
          <cell r="F2572" t="str">
            <v>D4T-927</v>
          </cell>
          <cell r="G2572" t="str">
            <v>B4Q-976</v>
          </cell>
          <cell r="H2572" t="str">
            <v>LAS BAMBAS</v>
          </cell>
          <cell r="I2572">
            <v>197963</v>
          </cell>
          <cell r="J2572" t="str">
            <v>REPUESTO</v>
          </cell>
          <cell r="K2572" t="str">
            <v>SOPORTE DE TRAVESAÑO POSTERIOR</v>
          </cell>
          <cell r="L2572">
            <v>4</v>
          </cell>
          <cell r="M2572" t="str">
            <v>UNID.</v>
          </cell>
          <cell r="N2572" t="str">
            <v>TRACTO</v>
          </cell>
          <cell r="O2572">
            <v>0</v>
          </cell>
          <cell r="P2572" t="str">
            <v>M2</v>
          </cell>
          <cell r="Q2572" t="str">
            <v>J1</v>
          </cell>
          <cell r="R2572" t="str">
            <v>J6</v>
          </cell>
          <cell r="S2572" t="str">
            <v>ENTREGADO</v>
          </cell>
          <cell r="T2572">
            <v>42716</v>
          </cell>
          <cell r="U2572" t="str">
            <v>CHUMPITAZ GAGO JULIO ENRIQUE</v>
          </cell>
          <cell r="V2572" t="str">
            <v>FLOREZ CONDORI  JOSE WILLIANS</v>
          </cell>
        </row>
        <row r="2573">
          <cell r="A2573">
            <v>2572</v>
          </cell>
          <cell r="B2573">
            <v>42716</v>
          </cell>
          <cell r="C2573" t="str">
            <v>DICIEMBRE</v>
          </cell>
          <cell r="D2573" t="str">
            <v>2016</v>
          </cell>
          <cell r="E2573">
            <v>574</v>
          </cell>
          <cell r="F2573" t="str">
            <v>D4X-872</v>
          </cell>
          <cell r="G2573" t="str">
            <v>B4P-976</v>
          </cell>
          <cell r="H2573" t="str">
            <v>LAS BAMBAS</v>
          </cell>
          <cell r="I2573">
            <v>184600</v>
          </cell>
          <cell r="J2573" t="str">
            <v>REPUESTO</v>
          </cell>
          <cell r="K2573" t="str">
            <v>TAPA DE RECIPIENTE DE LIMPIAPARABRISAS</v>
          </cell>
          <cell r="L2573">
            <v>1</v>
          </cell>
          <cell r="M2573" t="str">
            <v>UNID.</v>
          </cell>
          <cell r="N2573" t="str">
            <v>TRACTO</v>
          </cell>
          <cell r="O2573">
            <v>0</v>
          </cell>
          <cell r="P2573" t="str">
            <v>M3</v>
          </cell>
          <cell r="Q2573" t="str">
            <v>J1</v>
          </cell>
          <cell r="R2573" t="str">
            <v>J1</v>
          </cell>
          <cell r="S2573" t="str">
            <v>ENTREGADO</v>
          </cell>
          <cell r="T2573">
            <v>42716</v>
          </cell>
          <cell r="U2573" t="str">
            <v>GARCIA PASQUEL  JOSE LUIS</v>
          </cell>
          <cell r="V2573" t="str">
            <v>FLOREZ CONDORI  JOSE WILLIANS</v>
          </cell>
        </row>
        <row r="2574">
          <cell r="A2574">
            <v>2573</v>
          </cell>
          <cell r="B2574">
            <v>42716</v>
          </cell>
          <cell r="C2574" t="str">
            <v>DICIEMBRE</v>
          </cell>
          <cell r="D2574" t="str">
            <v>2016</v>
          </cell>
          <cell r="E2574">
            <v>574</v>
          </cell>
          <cell r="F2574" t="str">
            <v>D4X-872</v>
          </cell>
          <cell r="G2574" t="str">
            <v>B4P-976</v>
          </cell>
          <cell r="H2574" t="str">
            <v>LAS BAMBAS</v>
          </cell>
          <cell r="I2574">
            <v>184600</v>
          </cell>
          <cell r="J2574" t="str">
            <v>REPUESTO</v>
          </cell>
          <cell r="K2574" t="str">
            <v>AGUA LIMPIAPARABRISAS</v>
          </cell>
          <cell r="L2574">
            <v>0.5</v>
          </cell>
          <cell r="M2574" t="str">
            <v>GLNS.</v>
          </cell>
          <cell r="N2574" t="str">
            <v>TRACTO</v>
          </cell>
          <cell r="O2574">
            <v>0</v>
          </cell>
          <cell r="P2574" t="str">
            <v>M3</v>
          </cell>
          <cell r="Q2574" t="str">
            <v>J1</v>
          </cell>
          <cell r="R2574" t="str">
            <v>J1</v>
          </cell>
          <cell r="S2574" t="str">
            <v>ENTREGADO</v>
          </cell>
          <cell r="T2574">
            <v>42716</v>
          </cell>
          <cell r="U2574" t="str">
            <v>GARCIA PASQUEL  JOSE LUIS</v>
          </cell>
          <cell r="V2574" t="str">
            <v>FLOREZ CONDORI  JOSE WILLIANS</v>
          </cell>
        </row>
        <row r="2575">
          <cell r="A2575">
            <v>2580</v>
          </cell>
          <cell r="B2575">
            <v>42716</v>
          </cell>
          <cell r="C2575" t="str">
            <v>DICIEMBRE</v>
          </cell>
          <cell r="D2575" t="str">
            <v>2016</v>
          </cell>
          <cell r="E2575">
            <v>574</v>
          </cell>
          <cell r="F2575" t="str">
            <v>D4X-872</v>
          </cell>
          <cell r="G2575" t="str">
            <v>B4P-976</v>
          </cell>
          <cell r="H2575" t="str">
            <v>LAS BAMBAS</v>
          </cell>
          <cell r="I2575">
            <v>184600</v>
          </cell>
          <cell r="J2575" t="str">
            <v>REPUESTO</v>
          </cell>
          <cell r="K2575" t="str">
            <v xml:space="preserve">RELAY 12V </v>
          </cell>
          <cell r="L2575">
            <v>1</v>
          </cell>
          <cell r="M2575" t="str">
            <v>UNID.</v>
          </cell>
          <cell r="N2575" t="str">
            <v>TRACTO</v>
          </cell>
          <cell r="O2575">
            <v>0</v>
          </cell>
          <cell r="P2575" t="str">
            <v>E1</v>
          </cell>
          <cell r="Q2575" t="str">
            <v>J1</v>
          </cell>
          <cell r="R2575" t="str">
            <v>J1</v>
          </cell>
          <cell r="S2575" t="str">
            <v>ENTREGADO</v>
          </cell>
          <cell r="T2575">
            <v>42716</v>
          </cell>
          <cell r="U2575" t="str">
            <v>PALOMINO CARDENAS JUAN CARLOS</v>
          </cell>
          <cell r="V2575" t="str">
            <v>FLOREZ CONDORI  JOSE WILLIANS</v>
          </cell>
        </row>
        <row r="2576">
          <cell r="A2576">
            <v>2581</v>
          </cell>
          <cell r="B2576">
            <v>42716</v>
          </cell>
          <cell r="C2576" t="str">
            <v>DICIEMBRE</v>
          </cell>
          <cell r="D2576" t="str">
            <v>2016</v>
          </cell>
          <cell r="E2576">
            <v>574</v>
          </cell>
          <cell r="F2576" t="str">
            <v>D4X-872</v>
          </cell>
          <cell r="G2576" t="str">
            <v>B4P-976</v>
          </cell>
          <cell r="H2576" t="str">
            <v>LAS BAMBAS</v>
          </cell>
          <cell r="I2576">
            <v>184600</v>
          </cell>
          <cell r="J2576" t="str">
            <v>REPUESTO</v>
          </cell>
          <cell r="K2576" t="str">
            <v>PRECINTOS</v>
          </cell>
          <cell r="L2576">
            <v>20</v>
          </cell>
          <cell r="M2576" t="str">
            <v>UNID.</v>
          </cell>
          <cell r="N2576" t="str">
            <v>TRACTO</v>
          </cell>
          <cell r="O2576">
            <v>0</v>
          </cell>
          <cell r="P2576" t="str">
            <v>E1</v>
          </cell>
          <cell r="Q2576" t="str">
            <v>J1</v>
          </cell>
          <cell r="R2576" t="str">
            <v>J1</v>
          </cell>
          <cell r="S2576" t="str">
            <v>ENTREGADO</v>
          </cell>
          <cell r="T2576">
            <v>42716</v>
          </cell>
          <cell r="U2576" t="str">
            <v>PALOMINO CARDENAS JUAN CARLOS</v>
          </cell>
          <cell r="V2576" t="str">
            <v>FLOREZ CONDORI  JOSE WILLIANS</v>
          </cell>
        </row>
        <row r="2577">
          <cell r="A2577">
            <v>2582</v>
          </cell>
          <cell r="B2577">
            <v>42716</v>
          </cell>
          <cell r="C2577" t="str">
            <v>DICIEMBRE</v>
          </cell>
          <cell r="D2577" t="str">
            <v>2016</v>
          </cell>
          <cell r="E2577">
            <v>574</v>
          </cell>
          <cell r="F2577" t="str">
            <v>D4X-872</v>
          </cell>
          <cell r="G2577" t="str">
            <v>B4P-976</v>
          </cell>
          <cell r="H2577" t="str">
            <v>LAS BAMBAS</v>
          </cell>
          <cell r="I2577">
            <v>184600</v>
          </cell>
          <cell r="J2577" t="str">
            <v>REPUESTO</v>
          </cell>
          <cell r="K2577" t="str">
            <v>CINTA AISLANTE NEGRA</v>
          </cell>
          <cell r="L2577">
            <v>1</v>
          </cell>
          <cell r="M2577" t="str">
            <v>UNID.</v>
          </cell>
          <cell r="N2577" t="str">
            <v>TRACTO</v>
          </cell>
          <cell r="O2577">
            <v>0</v>
          </cell>
          <cell r="P2577" t="str">
            <v>E1</v>
          </cell>
          <cell r="Q2577" t="str">
            <v>J1</v>
          </cell>
          <cell r="R2577" t="str">
            <v>J1</v>
          </cell>
          <cell r="S2577" t="str">
            <v>ENTREGADO</v>
          </cell>
          <cell r="T2577">
            <v>42716</v>
          </cell>
          <cell r="U2577" t="str">
            <v>PALOMINO CARDENAS JUAN CARLOS</v>
          </cell>
          <cell r="V2577" t="str">
            <v>FLOREZ CONDORI  JOSE WILLIANS</v>
          </cell>
        </row>
        <row r="2578">
          <cell r="A2578">
            <v>2585</v>
          </cell>
          <cell r="B2578">
            <v>42716</v>
          </cell>
          <cell r="C2578" t="str">
            <v>DICIEMBRE</v>
          </cell>
          <cell r="D2578" t="str">
            <v>2016</v>
          </cell>
          <cell r="E2578">
            <v>574</v>
          </cell>
          <cell r="F2578" t="str">
            <v>D4X-872</v>
          </cell>
          <cell r="G2578" t="str">
            <v>B4P-976</v>
          </cell>
          <cell r="H2578" t="str">
            <v>LAS BAMBAS</v>
          </cell>
          <cell r="I2578">
            <v>184600</v>
          </cell>
          <cell r="J2578" t="str">
            <v>SERVICIO</v>
          </cell>
          <cell r="K2578" t="str">
            <v>REMACHADO DE FAJAS DE FRENO</v>
          </cell>
          <cell r="L2578">
            <v>3</v>
          </cell>
          <cell r="M2578" t="str">
            <v>JUEGO</v>
          </cell>
          <cell r="N2578" t="str">
            <v>CISTERNA</v>
          </cell>
          <cell r="O2578">
            <v>74</v>
          </cell>
          <cell r="P2578" t="str">
            <v>M3</v>
          </cell>
          <cell r="Q2578" t="str">
            <v>J1</v>
          </cell>
          <cell r="R2578" t="str">
            <v>J1</v>
          </cell>
          <cell r="S2578" t="str">
            <v>ENTREGADO</v>
          </cell>
          <cell r="T2578">
            <v>0</v>
          </cell>
          <cell r="U2578" t="str">
            <v>GARCIA PASQUEL  JOSE LUIS</v>
          </cell>
          <cell r="V2578" t="str">
            <v>FLOREZ CONDORI  JOSE WILLIANS</v>
          </cell>
        </row>
        <row r="2579">
          <cell r="A2579">
            <v>2586</v>
          </cell>
          <cell r="B2579">
            <v>42716</v>
          </cell>
          <cell r="C2579" t="str">
            <v>DICIEMBRE</v>
          </cell>
          <cell r="D2579" t="str">
            <v>2016</v>
          </cell>
          <cell r="E2579">
            <v>574</v>
          </cell>
          <cell r="F2579" t="str">
            <v>D4X-872</v>
          </cell>
          <cell r="G2579" t="str">
            <v>B4P-976</v>
          </cell>
          <cell r="H2579" t="str">
            <v>LAS BAMBAS</v>
          </cell>
          <cell r="I2579">
            <v>184600</v>
          </cell>
          <cell r="J2579" t="str">
            <v>REPUESTO</v>
          </cell>
          <cell r="K2579" t="str">
            <v>RETEN DE RUEDA  CODIGO 275775</v>
          </cell>
          <cell r="L2579">
            <v>6</v>
          </cell>
          <cell r="M2579" t="str">
            <v>UNID.</v>
          </cell>
          <cell r="N2579" t="str">
            <v>CISTERNA</v>
          </cell>
          <cell r="O2579">
            <v>74</v>
          </cell>
          <cell r="P2579" t="str">
            <v>M3</v>
          </cell>
          <cell r="Q2579" t="str">
            <v>J1</v>
          </cell>
          <cell r="R2579" t="str">
            <v>J1</v>
          </cell>
          <cell r="S2579" t="str">
            <v>ENTREGADO</v>
          </cell>
          <cell r="T2579">
            <v>0</v>
          </cell>
          <cell r="U2579" t="str">
            <v>GARCIA PASQUEL  JOSE LUIS</v>
          </cell>
          <cell r="V2579" t="str">
            <v>FLOREZ CONDORI  JOSE WILLIANS</v>
          </cell>
        </row>
        <row r="2580">
          <cell r="A2580">
            <v>2587</v>
          </cell>
          <cell r="B2580">
            <v>42716</v>
          </cell>
          <cell r="C2580" t="str">
            <v>DICIEMBRE</v>
          </cell>
          <cell r="D2580" t="str">
            <v>2016</v>
          </cell>
          <cell r="E2580">
            <v>574</v>
          </cell>
          <cell r="F2580" t="str">
            <v>D4X-872</v>
          </cell>
          <cell r="G2580" t="str">
            <v>B4P-976</v>
          </cell>
          <cell r="H2580" t="str">
            <v>LAS BAMBAS</v>
          </cell>
          <cell r="I2580">
            <v>184600</v>
          </cell>
          <cell r="J2580" t="str">
            <v>REPUESTO</v>
          </cell>
          <cell r="K2580" t="str">
            <v>GRASA PARA RODAJE ( GRUESA) BALDE</v>
          </cell>
          <cell r="L2580">
            <v>1</v>
          </cell>
          <cell r="M2580" t="str">
            <v>UNID.</v>
          </cell>
          <cell r="N2580" t="str">
            <v>CISTERNA</v>
          </cell>
          <cell r="O2580">
            <v>0</v>
          </cell>
          <cell r="P2580" t="str">
            <v>M3</v>
          </cell>
          <cell r="Q2580" t="str">
            <v>J1</v>
          </cell>
          <cell r="R2580" t="str">
            <v>J1</v>
          </cell>
          <cell r="S2580" t="str">
            <v>ENTREGADO</v>
          </cell>
          <cell r="T2580">
            <v>42716</v>
          </cell>
          <cell r="U2580" t="str">
            <v>GARCIA PASQUEL  JOSE LUIS</v>
          </cell>
          <cell r="V2580" t="str">
            <v>FLOREZ CONDORI  JOSE WILLIANS</v>
          </cell>
        </row>
        <row r="2581">
          <cell r="A2581">
            <v>2498</v>
          </cell>
          <cell r="B2581">
            <v>42716</v>
          </cell>
          <cell r="C2581" t="str">
            <v>DICIEMBRE</v>
          </cell>
          <cell r="D2581" t="str">
            <v>2016</v>
          </cell>
          <cell r="E2581">
            <v>491</v>
          </cell>
          <cell r="F2581" t="str">
            <v>D6F-898</v>
          </cell>
          <cell r="G2581" t="str">
            <v>T4L-996</v>
          </cell>
          <cell r="H2581" t="str">
            <v>LAS BAMBAS</v>
          </cell>
          <cell r="I2581">
            <v>162871</v>
          </cell>
          <cell r="J2581" t="str">
            <v>REPUESTO</v>
          </cell>
          <cell r="K2581" t="str">
            <v>BATERIAS</v>
          </cell>
          <cell r="L2581">
            <v>4</v>
          </cell>
          <cell r="M2581" t="str">
            <v>UNID.</v>
          </cell>
          <cell r="N2581" t="str">
            <v>TRACTO</v>
          </cell>
          <cell r="O2581">
            <v>0</v>
          </cell>
          <cell r="P2581" t="str">
            <v>E1</v>
          </cell>
          <cell r="Q2581" t="str">
            <v>J1</v>
          </cell>
          <cell r="R2581" t="str">
            <v>J6</v>
          </cell>
          <cell r="S2581" t="str">
            <v>ENTREGADO</v>
          </cell>
          <cell r="T2581">
            <v>42716</v>
          </cell>
          <cell r="U2581" t="str">
            <v>PALOMINO CARDENAS JUAN CARLOS</v>
          </cell>
          <cell r="V2581" t="str">
            <v>FLOREZ CONDORI  JOSE WILLIANS</v>
          </cell>
        </row>
        <row r="2582">
          <cell r="A2582">
            <v>2535</v>
          </cell>
          <cell r="B2582">
            <v>42716</v>
          </cell>
          <cell r="C2582" t="str">
            <v>DICIEMBRE</v>
          </cell>
          <cell r="D2582" t="str">
            <v>2016</v>
          </cell>
          <cell r="E2582">
            <v>577</v>
          </cell>
          <cell r="F2582" t="str">
            <v>D6F-898</v>
          </cell>
          <cell r="G2582" t="str">
            <v>T4L-996</v>
          </cell>
          <cell r="H2582" t="str">
            <v>LAS BAMBAS</v>
          </cell>
          <cell r="I2582">
            <v>162871</v>
          </cell>
          <cell r="J2582" t="str">
            <v>REPUESTO</v>
          </cell>
          <cell r="K2582" t="str">
            <v xml:space="preserve">SOCKET DE FOCO LAGRIMON </v>
          </cell>
          <cell r="L2582">
            <v>1</v>
          </cell>
          <cell r="M2582" t="str">
            <v>UNID.</v>
          </cell>
          <cell r="N2582" t="str">
            <v>TRACTO</v>
          </cell>
          <cell r="O2582">
            <v>0</v>
          </cell>
          <cell r="P2582" t="str">
            <v>E1</v>
          </cell>
          <cell r="Q2582" t="str">
            <v>J1</v>
          </cell>
          <cell r="R2582" t="str">
            <v>J6</v>
          </cell>
          <cell r="S2582" t="str">
            <v>ENTREGADO</v>
          </cell>
          <cell r="T2582">
            <v>42716</v>
          </cell>
          <cell r="U2582" t="str">
            <v>PALOMINO CARDENAS JUAN CARLOS</v>
          </cell>
          <cell r="V2582" t="str">
            <v>FLOREZ CONDORI  JOSE WILLIANS</v>
          </cell>
        </row>
        <row r="2583">
          <cell r="A2583">
            <v>2536</v>
          </cell>
          <cell r="B2583">
            <v>42716</v>
          </cell>
          <cell r="C2583" t="str">
            <v>DICIEMBRE</v>
          </cell>
          <cell r="D2583" t="str">
            <v>2016</v>
          </cell>
          <cell r="E2583">
            <v>577</v>
          </cell>
          <cell r="F2583" t="str">
            <v>D6F-898</v>
          </cell>
          <cell r="G2583" t="str">
            <v>T4L-996</v>
          </cell>
          <cell r="H2583" t="str">
            <v>LAS BAMBAS</v>
          </cell>
          <cell r="I2583">
            <v>162871</v>
          </cell>
          <cell r="J2583" t="str">
            <v>REPUESTO</v>
          </cell>
          <cell r="K2583" t="str">
            <v>FOCO LAGRIMON AMBAR 12 V</v>
          </cell>
          <cell r="L2583">
            <v>1</v>
          </cell>
          <cell r="M2583" t="str">
            <v>UNID.</v>
          </cell>
          <cell r="N2583" t="str">
            <v>TRACTO</v>
          </cell>
          <cell r="O2583">
            <v>0</v>
          </cell>
          <cell r="P2583" t="str">
            <v>E1</v>
          </cell>
          <cell r="Q2583" t="str">
            <v>J1</v>
          </cell>
          <cell r="R2583" t="str">
            <v>J6</v>
          </cell>
          <cell r="S2583" t="str">
            <v>ENTREGADO</v>
          </cell>
          <cell r="T2583">
            <v>42716</v>
          </cell>
          <cell r="U2583" t="str">
            <v>PALOMINO CARDENAS JUAN CARLOS</v>
          </cell>
          <cell r="V2583" t="str">
            <v>FLOREZ CONDORI  JOSE WILLIANS</v>
          </cell>
        </row>
        <row r="2584">
          <cell r="A2584">
            <v>2576</v>
          </cell>
          <cell r="B2584">
            <v>42716</v>
          </cell>
          <cell r="C2584" t="str">
            <v>DICIEMBRE</v>
          </cell>
          <cell r="D2584" t="str">
            <v>2016</v>
          </cell>
          <cell r="E2584">
            <v>572</v>
          </cell>
          <cell r="F2584" t="str">
            <v>D6F-907</v>
          </cell>
          <cell r="G2584" t="str">
            <v>T2Y-979</v>
          </cell>
          <cell r="H2584" t="str">
            <v>LAS BAMBAS</v>
          </cell>
          <cell r="I2584">
            <v>200791</v>
          </cell>
          <cell r="J2584" t="str">
            <v>REPUESTO</v>
          </cell>
          <cell r="K2584" t="str">
            <v>LLANTA REENCAUCHADAS</v>
          </cell>
          <cell r="L2584">
            <v>3</v>
          </cell>
          <cell r="M2584" t="str">
            <v>UNID.</v>
          </cell>
          <cell r="N2584" t="str">
            <v>CISTERNA</v>
          </cell>
          <cell r="O2584">
            <v>0</v>
          </cell>
          <cell r="P2584" t="str">
            <v>N1</v>
          </cell>
          <cell r="Q2584" t="str">
            <v>J1</v>
          </cell>
          <cell r="R2584" t="str">
            <v>J1</v>
          </cell>
          <cell r="S2584" t="str">
            <v>ENTREGADO</v>
          </cell>
          <cell r="T2584">
            <v>42716</v>
          </cell>
          <cell r="U2584" t="str">
            <v>AGUILAR CCANTUTA WILLY</v>
          </cell>
          <cell r="V2584" t="str">
            <v>FLOREZ CONDORI  JOSE WILLIANS</v>
          </cell>
        </row>
        <row r="2585">
          <cell r="A2585">
            <v>2575</v>
          </cell>
          <cell r="B2585">
            <v>42716</v>
          </cell>
          <cell r="C2585" t="str">
            <v>DICIEMBRE</v>
          </cell>
          <cell r="D2585" t="str">
            <v>2016</v>
          </cell>
          <cell r="E2585">
            <v>572</v>
          </cell>
          <cell r="F2585" t="str">
            <v>D6F-907</v>
          </cell>
          <cell r="G2585" t="str">
            <v>T2Y-979</v>
          </cell>
          <cell r="H2585" t="str">
            <v>LAS BAMBAS</v>
          </cell>
          <cell r="I2585">
            <v>200791</v>
          </cell>
          <cell r="J2585" t="str">
            <v>IMPLEMENTACION</v>
          </cell>
          <cell r="K2585" t="str">
            <v>PLACA DE RODAJE POSTERIOR</v>
          </cell>
          <cell r="L2585">
            <v>1</v>
          </cell>
          <cell r="M2585" t="str">
            <v>UNID.</v>
          </cell>
          <cell r="N2585" t="str">
            <v>TRACTO</v>
          </cell>
          <cell r="O2585">
            <v>0</v>
          </cell>
          <cell r="P2585" t="str">
            <v>M1</v>
          </cell>
          <cell r="Q2585" t="str">
            <v>J1</v>
          </cell>
          <cell r="R2585" t="str">
            <v>J1</v>
          </cell>
          <cell r="S2585" t="str">
            <v>ENTREGADO</v>
          </cell>
          <cell r="T2585">
            <v>42716</v>
          </cell>
          <cell r="U2585" t="str">
            <v>CABEZAS SANCHEZ JEAN JHONATAN</v>
          </cell>
          <cell r="V2585" t="str">
            <v>FLOREZ CONDORI  JOSE WILLIANS</v>
          </cell>
        </row>
        <row r="2586">
          <cell r="A2586">
            <v>2528</v>
          </cell>
          <cell r="B2586">
            <v>42716</v>
          </cell>
          <cell r="C2586" t="str">
            <v>DICIEMBRE</v>
          </cell>
          <cell r="D2586" t="str">
            <v>2016</v>
          </cell>
          <cell r="E2586">
            <v>454</v>
          </cell>
          <cell r="F2586" t="str">
            <v>D6G-806</v>
          </cell>
          <cell r="G2586" t="str">
            <v>B8K-998</v>
          </cell>
          <cell r="H2586" t="str">
            <v>LAS BAMBAS</v>
          </cell>
          <cell r="I2586">
            <v>218209</v>
          </cell>
          <cell r="J2586" t="str">
            <v>REPUESTO</v>
          </cell>
          <cell r="K2586" t="str">
            <v>LLANTA</v>
          </cell>
          <cell r="L2586">
            <v>1</v>
          </cell>
          <cell r="M2586" t="str">
            <v>UNID.</v>
          </cell>
          <cell r="N2586" t="str">
            <v>CISTERNA</v>
          </cell>
          <cell r="O2586">
            <v>0</v>
          </cell>
          <cell r="P2586" t="str">
            <v>N1</v>
          </cell>
          <cell r="Q2586" t="str">
            <v>J1</v>
          </cell>
          <cell r="R2586" t="str">
            <v>J6</v>
          </cell>
          <cell r="S2586" t="str">
            <v>ENTREGADO</v>
          </cell>
          <cell r="T2586">
            <v>42716</v>
          </cell>
          <cell r="U2586" t="str">
            <v>AGUILAR CCANTUTA WILLY</v>
          </cell>
          <cell r="V2586" t="str">
            <v>FLOREZ CONDORI  JOSE WILLIANS</v>
          </cell>
        </row>
        <row r="2587">
          <cell r="A2587">
            <v>2497</v>
          </cell>
          <cell r="B2587">
            <v>42716</v>
          </cell>
          <cell r="C2587" t="str">
            <v>DICIEMBRE</v>
          </cell>
          <cell r="D2587" t="str">
            <v>2016</v>
          </cell>
          <cell r="E2587">
            <v>200</v>
          </cell>
          <cell r="F2587" t="str">
            <v>TALLER</v>
          </cell>
          <cell r="G2587" t="str">
            <v>TALLER</v>
          </cell>
          <cell r="H2587" t="str">
            <v>TALLER</v>
          </cell>
          <cell r="I2587" t="str">
            <v>TALLER</v>
          </cell>
          <cell r="J2587" t="str">
            <v>HERRAMIENTAS</v>
          </cell>
          <cell r="K2587" t="str">
            <v>JUEGO DE LLAVE DE TORX</v>
          </cell>
          <cell r="L2587">
            <v>1</v>
          </cell>
          <cell r="M2587" t="str">
            <v>JUEGO</v>
          </cell>
          <cell r="N2587" t="str">
            <v>TALLER</v>
          </cell>
          <cell r="O2587">
            <v>74</v>
          </cell>
          <cell r="P2587" t="str">
            <v>E1</v>
          </cell>
          <cell r="Q2587" t="str">
            <v>J1</v>
          </cell>
          <cell r="R2587" t="str">
            <v>J6</v>
          </cell>
          <cell r="S2587" t="str">
            <v>ENTREGADO</v>
          </cell>
          <cell r="T2587">
            <v>0</v>
          </cell>
          <cell r="U2587" t="str">
            <v>PALOMINO CARDENAS JUAN CARLOS</v>
          </cell>
          <cell r="V2587" t="str">
            <v>FLOREZ CONDORI  JOSE WILLIANS</v>
          </cell>
        </row>
        <row r="2588">
          <cell r="A2588">
            <v>2499</v>
          </cell>
          <cell r="B2588">
            <v>42716</v>
          </cell>
          <cell r="C2588" t="str">
            <v>DICIEMBRE</v>
          </cell>
          <cell r="D2588" t="str">
            <v>2016</v>
          </cell>
          <cell r="E2588">
            <v>200</v>
          </cell>
          <cell r="F2588" t="str">
            <v>TALLER</v>
          </cell>
          <cell r="G2588" t="str">
            <v>TALLER</v>
          </cell>
          <cell r="H2588" t="str">
            <v>TALLER</v>
          </cell>
          <cell r="I2588" t="str">
            <v>TALLER</v>
          </cell>
          <cell r="J2588" t="str">
            <v>REPUESTO</v>
          </cell>
          <cell r="K2588" t="str">
            <v>PIEDRA DE CORTE 4.5 "</v>
          </cell>
          <cell r="L2588">
            <v>1</v>
          </cell>
          <cell r="M2588" t="str">
            <v>UNID.</v>
          </cell>
          <cell r="N2588" t="str">
            <v>TALLER</v>
          </cell>
          <cell r="O2588">
            <v>0</v>
          </cell>
          <cell r="P2588" t="str">
            <v>S2</v>
          </cell>
          <cell r="Q2588" t="str">
            <v>J1</v>
          </cell>
          <cell r="R2588" t="str">
            <v>J6</v>
          </cell>
          <cell r="S2588" t="str">
            <v>ENTREGADO</v>
          </cell>
          <cell r="T2588">
            <v>42716</v>
          </cell>
          <cell r="U2588" t="str">
            <v>PALOMINO ESTRADA  MICHEL</v>
          </cell>
          <cell r="V2588" t="str">
            <v>FLOREZ CONDORI  JOSE WILLIANS</v>
          </cell>
        </row>
        <row r="2589">
          <cell r="A2589">
            <v>2502</v>
          </cell>
          <cell r="B2589">
            <v>42716</v>
          </cell>
          <cell r="C2589" t="str">
            <v>DICIEMBRE</v>
          </cell>
          <cell r="D2589" t="str">
            <v>2016</v>
          </cell>
          <cell r="E2589">
            <v>200</v>
          </cell>
          <cell r="F2589" t="str">
            <v>TALLER</v>
          </cell>
          <cell r="G2589" t="str">
            <v>TALLER</v>
          </cell>
          <cell r="H2589" t="str">
            <v>TALLER</v>
          </cell>
          <cell r="I2589" t="str">
            <v>TALLER</v>
          </cell>
          <cell r="J2589" t="str">
            <v>INSUMO TALLER</v>
          </cell>
          <cell r="K2589" t="str">
            <v>TUBO DE CEDULA 40 DE 1/2</v>
          </cell>
          <cell r="L2589">
            <v>1</v>
          </cell>
          <cell r="M2589" t="str">
            <v>UNID.</v>
          </cell>
          <cell r="N2589" t="str">
            <v>TALLER</v>
          </cell>
          <cell r="O2589">
            <v>74</v>
          </cell>
          <cell r="P2589" t="str">
            <v>S1</v>
          </cell>
          <cell r="Q2589" t="str">
            <v>J2</v>
          </cell>
          <cell r="R2589" t="str">
            <v>J6</v>
          </cell>
          <cell r="S2589" t="str">
            <v>PENDIENTE</v>
          </cell>
          <cell r="T2589">
            <v>0</v>
          </cell>
          <cell r="U2589" t="str">
            <v>BAYONA CRUZ CRISTIAN ARMANDO</v>
          </cell>
          <cell r="V2589" t="str">
            <v>CORIHUAMAN SURCO  ERICK ROBERT</v>
          </cell>
        </row>
        <row r="2590">
          <cell r="A2590">
            <v>2522</v>
          </cell>
          <cell r="B2590">
            <v>42716</v>
          </cell>
          <cell r="C2590" t="str">
            <v>DICIEMBRE</v>
          </cell>
          <cell r="D2590" t="str">
            <v>2016</v>
          </cell>
          <cell r="E2590">
            <v>200</v>
          </cell>
          <cell r="F2590" t="str">
            <v>TALLER</v>
          </cell>
          <cell r="G2590" t="str">
            <v>TALLER</v>
          </cell>
          <cell r="H2590" t="str">
            <v>TALLER</v>
          </cell>
          <cell r="I2590" t="str">
            <v>TALLER</v>
          </cell>
          <cell r="J2590" t="str">
            <v>REPUESTO</v>
          </cell>
          <cell r="K2590" t="str">
            <v>PERMATEX</v>
          </cell>
          <cell r="L2590">
            <v>1</v>
          </cell>
          <cell r="M2590" t="str">
            <v>UNID.</v>
          </cell>
          <cell r="N2590" t="str">
            <v>TALLER</v>
          </cell>
          <cell r="O2590">
            <v>0</v>
          </cell>
          <cell r="P2590" t="str">
            <v>M1</v>
          </cell>
          <cell r="Q2590" t="str">
            <v>J1</v>
          </cell>
          <cell r="R2590" t="str">
            <v>J1</v>
          </cell>
          <cell r="S2590" t="str">
            <v>ENTREGADO</v>
          </cell>
          <cell r="T2590">
            <v>42716</v>
          </cell>
          <cell r="U2590" t="str">
            <v>CABEZAS SANCHEZ JEAN JHONATAN</v>
          </cell>
          <cell r="V2590" t="str">
            <v>FLOREZ CONDORI  JOSE WILLIANS</v>
          </cell>
        </row>
        <row r="2591">
          <cell r="A2591">
            <v>2524</v>
          </cell>
          <cell r="B2591">
            <v>42716</v>
          </cell>
          <cell r="C2591" t="str">
            <v>DICIEMBRE</v>
          </cell>
          <cell r="D2591" t="str">
            <v>2016</v>
          </cell>
          <cell r="E2591">
            <v>200</v>
          </cell>
          <cell r="F2591" t="str">
            <v>TALLER</v>
          </cell>
          <cell r="G2591" t="str">
            <v>TALLER</v>
          </cell>
          <cell r="H2591" t="str">
            <v>TALLER</v>
          </cell>
          <cell r="I2591" t="str">
            <v>TALLER</v>
          </cell>
          <cell r="J2591" t="str">
            <v>REPUESTO</v>
          </cell>
          <cell r="K2591" t="str">
            <v>DISCO DE CORTE 7"</v>
          </cell>
          <cell r="L2591">
            <v>1</v>
          </cell>
          <cell r="M2591" t="str">
            <v>UNID.</v>
          </cell>
          <cell r="N2591" t="str">
            <v>TALLER</v>
          </cell>
          <cell r="O2591">
            <v>0</v>
          </cell>
          <cell r="P2591" t="str">
            <v>S1</v>
          </cell>
          <cell r="Q2591" t="str">
            <v>J1</v>
          </cell>
          <cell r="R2591" t="str">
            <v>J6</v>
          </cell>
          <cell r="S2591" t="str">
            <v>ENTREGADO</v>
          </cell>
          <cell r="T2591">
            <v>42716</v>
          </cell>
          <cell r="U2591" t="str">
            <v>BAYONA CRUZ CRISTIAN ARMANDO</v>
          </cell>
          <cell r="V2591" t="str">
            <v>FLOREZ CONDORI  JOSE WILLIANS</v>
          </cell>
        </row>
        <row r="2592">
          <cell r="A2592">
            <v>2525</v>
          </cell>
          <cell r="B2592">
            <v>42716</v>
          </cell>
          <cell r="C2592" t="str">
            <v>DICIEMBRE</v>
          </cell>
          <cell r="D2592" t="str">
            <v>2016</v>
          </cell>
          <cell r="E2592">
            <v>200</v>
          </cell>
          <cell r="F2592" t="str">
            <v>TALLER</v>
          </cell>
          <cell r="G2592" t="str">
            <v>TALLER</v>
          </cell>
          <cell r="H2592" t="str">
            <v>TALLER</v>
          </cell>
          <cell r="I2592" t="str">
            <v>TALLER</v>
          </cell>
          <cell r="J2592" t="str">
            <v>REPUESTO</v>
          </cell>
          <cell r="K2592" t="str">
            <v>CELLOCORD 1/8</v>
          </cell>
          <cell r="L2592">
            <v>5</v>
          </cell>
          <cell r="M2592" t="str">
            <v>KG.</v>
          </cell>
          <cell r="N2592" t="str">
            <v>TALLER</v>
          </cell>
          <cell r="O2592">
            <v>0</v>
          </cell>
          <cell r="P2592" t="str">
            <v>S1</v>
          </cell>
          <cell r="Q2592" t="str">
            <v>J1</v>
          </cell>
          <cell r="R2592" t="str">
            <v>J6</v>
          </cell>
          <cell r="S2592" t="str">
            <v>ENTREGADO</v>
          </cell>
          <cell r="T2592">
            <v>42716</v>
          </cell>
          <cell r="U2592" t="str">
            <v>BAYONA CRUZ CRISTIAN ARMANDO</v>
          </cell>
          <cell r="V2592" t="str">
            <v>FLOREZ CONDORI  JOSE WILLIANS</v>
          </cell>
        </row>
        <row r="2593">
          <cell r="A2593">
            <v>2526</v>
          </cell>
          <cell r="B2593">
            <v>42716</v>
          </cell>
          <cell r="C2593" t="str">
            <v>DICIEMBRE</v>
          </cell>
          <cell r="D2593" t="str">
            <v>2016</v>
          </cell>
          <cell r="E2593">
            <v>200</v>
          </cell>
          <cell r="F2593" t="str">
            <v>TALLER</v>
          </cell>
          <cell r="G2593" t="str">
            <v>TALLER</v>
          </cell>
          <cell r="H2593" t="str">
            <v>TALLER</v>
          </cell>
          <cell r="I2593" t="str">
            <v>TALLER</v>
          </cell>
          <cell r="J2593" t="str">
            <v>REPUESTO</v>
          </cell>
          <cell r="K2593" t="str">
            <v>TIZA DE CALDERO</v>
          </cell>
          <cell r="L2593">
            <v>1</v>
          </cell>
          <cell r="M2593" t="str">
            <v>UNID.</v>
          </cell>
          <cell r="N2593" t="str">
            <v>TALLER</v>
          </cell>
          <cell r="O2593">
            <v>0</v>
          </cell>
          <cell r="P2593" t="str">
            <v>S1</v>
          </cell>
          <cell r="Q2593" t="str">
            <v>J1</v>
          </cell>
          <cell r="R2593" t="str">
            <v>J6</v>
          </cell>
          <cell r="S2593" t="str">
            <v>ENTREGADO</v>
          </cell>
          <cell r="T2593">
            <v>42716</v>
          </cell>
          <cell r="U2593" t="str">
            <v>BAYONA CRUZ CRISTIAN ARMANDO</v>
          </cell>
          <cell r="V2593" t="str">
            <v>FLOREZ CONDORI  JOSE WILLIANS</v>
          </cell>
        </row>
        <row r="2594">
          <cell r="A2594">
            <v>2529</v>
          </cell>
          <cell r="B2594">
            <v>42716</v>
          </cell>
          <cell r="C2594" t="str">
            <v>DICIEMBRE</v>
          </cell>
          <cell r="D2594" t="str">
            <v>2016</v>
          </cell>
          <cell r="E2594">
            <v>200</v>
          </cell>
          <cell r="F2594" t="str">
            <v>TALLER</v>
          </cell>
          <cell r="G2594" t="str">
            <v>TALLER</v>
          </cell>
          <cell r="H2594" t="str">
            <v>TALLER</v>
          </cell>
          <cell r="I2594" t="str">
            <v>TALLER</v>
          </cell>
          <cell r="J2594" t="str">
            <v>HERRAMIENTAS</v>
          </cell>
          <cell r="K2594" t="str">
            <v>LUNA NEGRA NRO. 12</v>
          </cell>
          <cell r="L2594">
            <v>1</v>
          </cell>
          <cell r="M2594" t="str">
            <v>UNID.</v>
          </cell>
          <cell r="N2594" t="str">
            <v>TALLER</v>
          </cell>
          <cell r="O2594">
            <v>0</v>
          </cell>
          <cell r="P2594" t="str">
            <v>S4</v>
          </cell>
          <cell r="Q2594" t="str">
            <v>J1</v>
          </cell>
          <cell r="R2594" t="str">
            <v>J6</v>
          </cell>
          <cell r="S2594" t="str">
            <v>ENTREGADO</v>
          </cell>
          <cell r="T2594">
            <v>42716</v>
          </cell>
          <cell r="U2594" t="str">
            <v>SURCO QUISPE JOHNNY</v>
          </cell>
          <cell r="V2594" t="str">
            <v>FLOREZ CONDORI  JOSE WILLIANS</v>
          </cell>
        </row>
        <row r="2595">
          <cell r="A2595">
            <v>2530</v>
          </cell>
          <cell r="B2595">
            <v>42716</v>
          </cell>
          <cell r="C2595" t="str">
            <v>DICIEMBRE</v>
          </cell>
          <cell r="D2595" t="str">
            <v>2016</v>
          </cell>
          <cell r="E2595">
            <v>200</v>
          </cell>
          <cell r="F2595" t="str">
            <v>TALLER</v>
          </cell>
          <cell r="G2595" t="str">
            <v>TALLER</v>
          </cell>
          <cell r="H2595" t="str">
            <v>TALLER</v>
          </cell>
          <cell r="I2595" t="str">
            <v>TALLER</v>
          </cell>
          <cell r="J2595" t="str">
            <v>HERRAMIENTAS</v>
          </cell>
          <cell r="K2595" t="str">
            <v>LUNA CLARAS</v>
          </cell>
          <cell r="L2595">
            <v>2</v>
          </cell>
          <cell r="M2595" t="str">
            <v>UNID.</v>
          </cell>
          <cell r="N2595" t="str">
            <v>TALLER</v>
          </cell>
          <cell r="O2595">
            <v>0</v>
          </cell>
          <cell r="P2595" t="str">
            <v>S4</v>
          </cell>
          <cell r="Q2595" t="str">
            <v>J1</v>
          </cell>
          <cell r="R2595" t="str">
            <v>J6</v>
          </cell>
          <cell r="S2595" t="str">
            <v>ENTREGADO</v>
          </cell>
          <cell r="T2595">
            <v>42716</v>
          </cell>
          <cell r="U2595" t="str">
            <v>SURCO QUISPE JOHNNY</v>
          </cell>
          <cell r="V2595" t="str">
            <v>FLOREZ CONDORI  JOSE WILLIANS</v>
          </cell>
        </row>
        <row r="2596">
          <cell r="A2596">
            <v>2531</v>
          </cell>
          <cell r="B2596">
            <v>42716</v>
          </cell>
          <cell r="C2596" t="str">
            <v>DICIEMBRE</v>
          </cell>
          <cell r="D2596" t="str">
            <v>2016</v>
          </cell>
          <cell r="E2596">
            <v>200</v>
          </cell>
          <cell r="F2596" t="str">
            <v>TALLER</v>
          </cell>
          <cell r="G2596" t="str">
            <v>TALLER</v>
          </cell>
          <cell r="H2596" t="str">
            <v>TALLER</v>
          </cell>
          <cell r="I2596" t="str">
            <v>TALLER</v>
          </cell>
          <cell r="J2596" t="str">
            <v>INSUMO TALLER</v>
          </cell>
          <cell r="K2596" t="str">
            <v>CUPERCITO 1/8</v>
          </cell>
          <cell r="L2596">
            <v>1</v>
          </cell>
          <cell r="M2596" t="str">
            <v>KG.</v>
          </cell>
          <cell r="N2596" t="str">
            <v>TALLER</v>
          </cell>
          <cell r="O2596">
            <v>0</v>
          </cell>
          <cell r="P2596" t="str">
            <v>S4</v>
          </cell>
          <cell r="Q2596" t="str">
            <v>J1</v>
          </cell>
          <cell r="R2596" t="str">
            <v>J6</v>
          </cell>
          <cell r="S2596" t="str">
            <v>ENTREGADO</v>
          </cell>
          <cell r="T2596">
            <v>42716</v>
          </cell>
          <cell r="U2596" t="str">
            <v>SURCO QUISPE JOHNNY</v>
          </cell>
          <cell r="V2596" t="str">
            <v>FLOREZ CONDORI  JOSE WILLIANS</v>
          </cell>
        </row>
        <row r="2597">
          <cell r="A2597">
            <v>2538</v>
          </cell>
          <cell r="B2597">
            <v>42716</v>
          </cell>
          <cell r="C2597" t="str">
            <v>DICIEMBRE</v>
          </cell>
          <cell r="D2597" t="str">
            <v>2016</v>
          </cell>
          <cell r="E2597">
            <v>200</v>
          </cell>
          <cell r="F2597" t="str">
            <v>TALLER</v>
          </cell>
          <cell r="G2597" t="str">
            <v>TALLER</v>
          </cell>
          <cell r="H2597" t="str">
            <v>TALLER</v>
          </cell>
          <cell r="I2597" t="str">
            <v>TALLER</v>
          </cell>
          <cell r="J2597" t="str">
            <v>INSUMO TALLER</v>
          </cell>
          <cell r="K2597" t="str">
            <v>GRASA VEGETAL</v>
          </cell>
          <cell r="L2597">
            <v>11.5</v>
          </cell>
          <cell r="M2597" t="str">
            <v>KG.</v>
          </cell>
          <cell r="N2597" t="str">
            <v>TALLER</v>
          </cell>
          <cell r="O2597">
            <v>0</v>
          </cell>
          <cell r="P2597" t="str">
            <v>N1</v>
          </cell>
          <cell r="Q2597" t="str">
            <v>J1</v>
          </cell>
          <cell r="R2597" t="str">
            <v>J6</v>
          </cell>
          <cell r="S2597" t="str">
            <v>ENTREGADO</v>
          </cell>
          <cell r="T2597">
            <v>42716</v>
          </cell>
          <cell r="U2597" t="str">
            <v>AGUILAR CCANTUTA WILLY</v>
          </cell>
          <cell r="V2597" t="str">
            <v>FLOREZ CONDORI  JOSE WILLIANS</v>
          </cell>
        </row>
        <row r="2598">
          <cell r="A2598">
            <v>2543</v>
          </cell>
          <cell r="B2598">
            <v>42716</v>
          </cell>
          <cell r="C2598" t="str">
            <v>DICIEMBRE</v>
          </cell>
          <cell r="D2598" t="str">
            <v>2016</v>
          </cell>
          <cell r="E2598">
            <v>200</v>
          </cell>
          <cell r="F2598" t="str">
            <v>TALLER</v>
          </cell>
          <cell r="G2598" t="str">
            <v>TALLER</v>
          </cell>
          <cell r="H2598" t="str">
            <v>TALLER</v>
          </cell>
          <cell r="I2598" t="str">
            <v>TALLER</v>
          </cell>
          <cell r="J2598" t="str">
            <v>INSUMO TALLER</v>
          </cell>
          <cell r="K2598" t="str">
            <v>DISCO DE CORTE 4"</v>
          </cell>
          <cell r="L2598">
            <v>1</v>
          </cell>
          <cell r="M2598" t="str">
            <v>UNID.</v>
          </cell>
          <cell r="N2598" t="str">
            <v>TALLER</v>
          </cell>
          <cell r="O2598">
            <v>0</v>
          </cell>
          <cell r="P2598" t="str">
            <v>S3</v>
          </cell>
          <cell r="Q2598" t="str">
            <v>J1</v>
          </cell>
          <cell r="R2598" t="str">
            <v>J6</v>
          </cell>
          <cell r="S2598" t="str">
            <v>ENTREGADO</v>
          </cell>
          <cell r="T2598">
            <v>42716</v>
          </cell>
          <cell r="U2598" t="str">
            <v>JIMENEZ MACHACA JAVIER</v>
          </cell>
          <cell r="V2598" t="str">
            <v>FLOREZ CONDORI  JOSE WILLIANS</v>
          </cell>
        </row>
        <row r="2599">
          <cell r="A2599">
            <v>2547</v>
          </cell>
          <cell r="B2599">
            <v>42716</v>
          </cell>
          <cell r="C2599" t="str">
            <v>DICIEMBRE</v>
          </cell>
          <cell r="D2599" t="str">
            <v>2016</v>
          </cell>
          <cell r="E2599">
            <v>200</v>
          </cell>
          <cell r="F2599" t="str">
            <v>TALLER</v>
          </cell>
          <cell r="G2599" t="str">
            <v>TALLER</v>
          </cell>
          <cell r="H2599" t="str">
            <v>TALLER</v>
          </cell>
          <cell r="I2599" t="str">
            <v>TALLER</v>
          </cell>
          <cell r="J2599" t="str">
            <v>INSUMO TALLER</v>
          </cell>
          <cell r="K2599" t="str">
            <v>TRAPOS SUELTOS</v>
          </cell>
          <cell r="L2599">
            <v>1</v>
          </cell>
          <cell r="M2599" t="str">
            <v>KG.</v>
          </cell>
          <cell r="N2599" t="str">
            <v>TALLER</v>
          </cell>
          <cell r="O2599">
            <v>0</v>
          </cell>
          <cell r="P2599" t="str">
            <v>J6</v>
          </cell>
          <cell r="Q2599" t="str">
            <v>J1</v>
          </cell>
          <cell r="R2599" t="str">
            <v>J6</v>
          </cell>
          <cell r="S2599" t="str">
            <v>ENTREGADO</v>
          </cell>
          <cell r="T2599">
            <v>42716</v>
          </cell>
          <cell r="U2599" t="str">
            <v>VILLANUEVA BEJAR  YHORDAN MICHEL</v>
          </cell>
          <cell r="V2599" t="str">
            <v>FLOREZ CONDORI  JOSE WILLIANS</v>
          </cell>
        </row>
        <row r="2600">
          <cell r="A2600">
            <v>2548</v>
          </cell>
          <cell r="B2600">
            <v>42716</v>
          </cell>
          <cell r="C2600" t="str">
            <v>DICIEMBRE</v>
          </cell>
          <cell r="D2600" t="str">
            <v>2016</v>
          </cell>
          <cell r="E2600">
            <v>200</v>
          </cell>
          <cell r="F2600" t="str">
            <v>TALLER</v>
          </cell>
          <cell r="G2600" t="str">
            <v>TALLER</v>
          </cell>
          <cell r="H2600" t="str">
            <v>TALLER</v>
          </cell>
          <cell r="I2600" t="str">
            <v>TALLER</v>
          </cell>
          <cell r="J2600" t="str">
            <v>REPUESTO</v>
          </cell>
          <cell r="K2600" t="str">
            <v>PERNO 3/16 X 1</v>
          </cell>
          <cell r="L2600">
            <v>10</v>
          </cell>
          <cell r="M2600" t="str">
            <v>UNID.</v>
          </cell>
          <cell r="N2600" t="str">
            <v>TALLER</v>
          </cell>
          <cell r="O2600">
            <v>0</v>
          </cell>
          <cell r="P2600" t="str">
            <v>E1</v>
          </cell>
          <cell r="Q2600" t="str">
            <v>J1</v>
          </cell>
          <cell r="R2600" t="str">
            <v>J6</v>
          </cell>
          <cell r="S2600" t="str">
            <v>ENTREGADO</v>
          </cell>
          <cell r="T2600">
            <v>42716</v>
          </cell>
          <cell r="U2600" t="str">
            <v>PALOMINO CARDENAS JUAN CARLOS</v>
          </cell>
          <cell r="V2600" t="str">
            <v>FLOREZ CONDORI  JOSE WILLIANS</v>
          </cell>
        </row>
        <row r="2601">
          <cell r="A2601">
            <v>2549</v>
          </cell>
          <cell r="B2601">
            <v>42716</v>
          </cell>
          <cell r="C2601" t="str">
            <v>DICIEMBRE</v>
          </cell>
          <cell r="D2601" t="str">
            <v>2016</v>
          </cell>
          <cell r="E2601">
            <v>200</v>
          </cell>
          <cell r="F2601" t="str">
            <v>TALLER</v>
          </cell>
          <cell r="G2601" t="str">
            <v>TALLER</v>
          </cell>
          <cell r="H2601" t="str">
            <v>TALLER</v>
          </cell>
          <cell r="I2601" t="str">
            <v>TALLER</v>
          </cell>
          <cell r="J2601" t="str">
            <v>REPUESTO</v>
          </cell>
          <cell r="K2601" t="str">
            <v>TUERCA 3/16</v>
          </cell>
          <cell r="L2601">
            <v>10</v>
          </cell>
          <cell r="M2601" t="str">
            <v>UNID.</v>
          </cell>
          <cell r="N2601" t="str">
            <v>TALLER</v>
          </cell>
          <cell r="O2601">
            <v>0</v>
          </cell>
          <cell r="P2601" t="str">
            <v>E1</v>
          </cell>
          <cell r="Q2601" t="str">
            <v>J1</v>
          </cell>
          <cell r="R2601" t="str">
            <v>J6</v>
          </cell>
          <cell r="S2601" t="str">
            <v>ENTREGADO</v>
          </cell>
          <cell r="T2601">
            <v>42716</v>
          </cell>
          <cell r="U2601" t="str">
            <v>PALOMINO CARDENAS JUAN CARLOS</v>
          </cell>
          <cell r="V2601" t="str">
            <v>FLOREZ CONDORI  JOSE WILLIANS</v>
          </cell>
        </row>
        <row r="2602">
          <cell r="A2602">
            <v>2550</v>
          </cell>
          <cell r="B2602">
            <v>42716</v>
          </cell>
          <cell r="C2602" t="str">
            <v>DICIEMBRE</v>
          </cell>
          <cell r="D2602" t="str">
            <v>2016</v>
          </cell>
          <cell r="E2602">
            <v>200</v>
          </cell>
          <cell r="F2602" t="str">
            <v>TALLER</v>
          </cell>
          <cell r="G2602" t="str">
            <v>TALLER</v>
          </cell>
          <cell r="H2602" t="str">
            <v>TALLER</v>
          </cell>
          <cell r="I2602" t="str">
            <v>TALLER</v>
          </cell>
          <cell r="J2602" t="str">
            <v>REPUESTO</v>
          </cell>
          <cell r="K2602" t="str">
            <v>ARANDELAS PLANAS 3/16</v>
          </cell>
          <cell r="L2602">
            <v>20</v>
          </cell>
          <cell r="M2602" t="str">
            <v>UNID.</v>
          </cell>
          <cell r="N2602" t="str">
            <v>TALLER</v>
          </cell>
          <cell r="O2602">
            <v>0</v>
          </cell>
          <cell r="P2602" t="str">
            <v>E1</v>
          </cell>
          <cell r="Q2602" t="str">
            <v>J1</v>
          </cell>
          <cell r="R2602" t="str">
            <v>J6</v>
          </cell>
          <cell r="S2602" t="str">
            <v>ENTREGADO</v>
          </cell>
          <cell r="T2602">
            <v>42716</v>
          </cell>
          <cell r="U2602" t="str">
            <v>PALOMINO CARDENAS JUAN CARLOS</v>
          </cell>
          <cell r="V2602" t="str">
            <v>FLOREZ CONDORI  JOSE WILLIANS</v>
          </cell>
        </row>
        <row r="2603">
          <cell r="A2603">
            <v>2559</v>
          </cell>
          <cell r="B2603">
            <v>42716</v>
          </cell>
          <cell r="C2603" t="str">
            <v>DICIEMBRE</v>
          </cell>
          <cell r="D2603" t="str">
            <v>2016</v>
          </cell>
          <cell r="E2603">
            <v>200</v>
          </cell>
          <cell r="F2603" t="str">
            <v>TALLER</v>
          </cell>
          <cell r="G2603" t="str">
            <v>TALLER</v>
          </cell>
          <cell r="H2603" t="str">
            <v>TALLER</v>
          </cell>
          <cell r="I2603" t="str">
            <v>TALLER</v>
          </cell>
          <cell r="J2603" t="str">
            <v>HERRAMIENTAS</v>
          </cell>
          <cell r="K2603" t="str">
            <v>MOUSE</v>
          </cell>
          <cell r="L2603">
            <v>1</v>
          </cell>
          <cell r="M2603" t="str">
            <v>UNID.</v>
          </cell>
          <cell r="N2603" t="str">
            <v>TALLER</v>
          </cell>
          <cell r="O2603">
            <v>74</v>
          </cell>
          <cell r="P2603" t="str">
            <v>J6</v>
          </cell>
          <cell r="Q2603" t="str">
            <v>J1</v>
          </cell>
          <cell r="R2603" t="str">
            <v>J6</v>
          </cell>
          <cell r="S2603" t="str">
            <v>PENDIENTE</v>
          </cell>
          <cell r="T2603">
            <v>0</v>
          </cell>
          <cell r="U2603" t="str">
            <v>VILLANUEVA BEJAR  YHORDAN MICHEL</v>
          </cell>
          <cell r="V2603" t="str">
            <v>FLOREZ CONDORI  JOSE WILLIANS</v>
          </cell>
        </row>
        <row r="2604">
          <cell r="A2604">
            <v>2565</v>
          </cell>
          <cell r="B2604">
            <v>42716</v>
          </cell>
          <cell r="C2604" t="str">
            <v>DICIEMBRE</v>
          </cell>
          <cell r="D2604" t="str">
            <v>2016</v>
          </cell>
          <cell r="E2604">
            <v>200</v>
          </cell>
          <cell r="F2604" t="str">
            <v>TALLER</v>
          </cell>
          <cell r="G2604" t="str">
            <v>TALLER</v>
          </cell>
          <cell r="H2604" t="str">
            <v>TALLER</v>
          </cell>
          <cell r="I2604" t="str">
            <v>TALLER</v>
          </cell>
          <cell r="J2604" t="str">
            <v>INSUMO TALLER</v>
          </cell>
          <cell r="K2604" t="str">
            <v>DISCO DE CORTE 7"</v>
          </cell>
          <cell r="L2604">
            <v>1</v>
          </cell>
          <cell r="M2604" t="str">
            <v>UNID.</v>
          </cell>
          <cell r="N2604" t="str">
            <v>TALLER</v>
          </cell>
          <cell r="O2604">
            <v>0</v>
          </cell>
          <cell r="P2604" t="str">
            <v>S1</v>
          </cell>
          <cell r="Q2604" t="str">
            <v>J2</v>
          </cell>
          <cell r="R2604" t="str">
            <v>J2</v>
          </cell>
          <cell r="S2604" t="str">
            <v>ENTREGADO</v>
          </cell>
          <cell r="T2604">
            <v>42716</v>
          </cell>
          <cell r="U2604" t="str">
            <v>BAYONA CRUZ CRISTIAN ARMANDO</v>
          </cell>
          <cell r="V2604" t="str">
            <v>CORIHUAMAN SURCO  ERICK ROBERT</v>
          </cell>
        </row>
        <row r="2605">
          <cell r="A2605">
            <v>2566</v>
          </cell>
          <cell r="B2605">
            <v>42716</v>
          </cell>
          <cell r="C2605" t="str">
            <v>DICIEMBRE</v>
          </cell>
          <cell r="D2605" t="str">
            <v>2016</v>
          </cell>
          <cell r="E2605">
            <v>200</v>
          </cell>
          <cell r="F2605" t="str">
            <v>TALLER</v>
          </cell>
          <cell r="G2605" t="str">
            <v>TALLER</v>
          </cell>
          <cell r="H2605" t="str">
            <v>TALLER</v>
          </cell>
          <cell r="I2605" t="str">
            <v>TALLER</v>
          </cell>
          <cell r="J2605" t="str">
            <v>INSUMO TALLER</v>
          </cell>
          <cell r="K2605" t="str">
            <v>GATA HIDRULICA DE BOTELLA 1.5 TONELADAS</v>
          </cell>
          <cell r="L2605">
            <v>1</v>
          </cell>
          <cell r="M2605" t="str">
            <v>UNID.</v>
          </cell>
          <cell r="N2605" t="str">
            <v>TALLER</v>
          </cell>
          <cell r="O2605">
            <v>0</v>
          </cell>
          <cell r="P2605" t="str">
            <v>M8</v>
          </cell>
          <cell r="Q2605" t="str">
            <v>J1</v>
          </cell>
          <cell r="R2605" t="str">
            <v>J6</v>
          </cell>
          <cell r="S2605" t="str">
            <v>ENTREGADO</v>
          </cell>
          <cell r="T2605">
            <v>42716</v>
          </cell>
          <cell r="U2605" t="str">
            <v>VARILLAS GAGO  OSCAR ALBERTO</v>
          </cell>
          <cell r="V2605" t="str">
            <v>FLOREZ CONDORI  JOSE WILLIANS</v>
          </cell>
        </row>
        <row r="2606">
          <cell r="A2606">
            <v>2560</v>
          </cell>
          <cell r="B2606">
            <v>42716</v>
          </cell>
          <cell r="C2606" t="str">
            <v>DICIEMBRE</v>
          </cell>
          <cell r="D2606" t="str">
            <v>2016</v>
          </cell>
          <cell r="E2606">
            <v>512</v>
          </cell>
          <cell r="F2606" t="str">
            <v>X2W-760</v>
          </cell>
          <cell r="G2606" t="str">
            <v>C5V-992</v>
          </cell>
          <cell r="H2606" t="str">
            <v>LAS BAMBAS</v>
          </cell>
          <cell r="I2606">
            <v>149602</v>
          </cell>
          <cell r="J2606" t="str">
            <v>REPUESTO</v>
          </cell>
          <cell r="K2606" t="str">
            <v>FUSIBLES DE 125 A</v>
          </cell>
          <cell r="L2606">
            <v>2</v>
          </cell>
          <cell r="M2606" t="str">
            <v>UNID.</v>
          </cell>
          <cell r="N2606" t="str">
            <v>TRACTO</v>
          </cell>
          <cell r="O2606">
            <v>0</v>
          </cell>
          <cell r="P2606" t="str">
            <v>E1</v>
          </cell>
          <cell r="Q2606" t="str">
            <v>J1</v>
          </cell>
          <cell r="R2606" t="str">
            <v>J6</v>
          </cell>
          <cell r="S2606" t="str">
            <v>ENTREGADO</v>
          </cell>
          <cell r="T2606">
            <v>42716</v>
          </cell>
          <cell r="U2606" t="str">
            <v>PALOMINO CARDENAS JUAN CARLOS</v>
          </cell>
          <cell r="V2606" t="str">
            <v>FLOREZ CONDORI  JOSE WILLIANS</v>
          </cell>
        </row>
        <row r="2607">
          <cell r="A2607">
            <v>2323</v>
          </cell>
          <cell r="B2607">
            <v>42716</v>
          </cell>
          <cell r="C2607" t="str">
            <v>DICIEMBRE</v>
          </cell>
          <cell r="D2607" t="str">
            <v>2016</v>
          </cell>
          <cell r="E2607">
            <v>545</v>
          </cell>
          <cell r="F2607" t="str">
            <v>X2W-762</v>
          </cell>
          <cell r="G2607" t="str">
            <v>C5V-998</v>
          </cell>
          <cell r="H2607" t="str">
            <v>LAS BAMBAS</v>
          </cell>
          <cell r="I2607">
            <v>15774</v>
          </cell>
          <cell r="J2607" t="str">
            <v>SERVICIO</v>
          </cell>
          <cell r="K2607" t="str">
            <v>DE ENFIBRADO DE UN TAPA BARRO LADO DER. (NEGRO)</v>
          </cell>
          <cell r="L2607">
            <v>1</v>
          </cell>
          <cell r="M2607" t="str">
            <v>UNID.</v>
          </cell>
          <cell r="N2607" t="str">
            <v>TRACTO</v>
          </cell>
          <cell r="O2607">
            <v>74</v>
          </cell>
          <cell r="P2607" t="str">
            <v>M8</v>
          </cell>
          <cell r="Q2607" t="str">
            <v>J2</v>
          </cell>
          <cell r="R2607" t="str">
            <v>J2</v>
          </cell>
          <cell r="S2607" t="str">
            <v>PENDIENTE</v>
          </cell>
          <cell r="T2607">
            <v>0</v>
          </cell>
          <cell r="U2607" t="str">
            <v>VARILLAS GAGO  OSCAR ALBERTO</v>
          </cell>
          <cell r="V2607" t="str">
            <v>CORIHUAMAN SURCO  ERICK ROBERT</v>
          </cell>
        </row>
        <row r="2608">
          <cell r="A2608">
            <v>2534</v>
          </cell>
          <cell r="B2608">
            <v>42716</v>
          </cell>
          <cell r="C2608" t="str">
            <v>DICIEMBRE</v>
          </cell>
          <cell r="D2608" t="str">
            <v>2016</v>
          </cell>
          <cell r="E2608">
            <v>569</v>
          </cell>
          <cell r="F2608" t="str">
            <v>X2W-763</v>
          </cell>
          <cell r="G2608" t="str">
            <v>C5V-997</v>
          </cell>
          <cell r="H2608" t="str">
            <v>LAS BAMBAS</v>
          </cell>
          <cell r="I2608">
            <v>156389</v>
          </cell>
          <cell r="J2608" t="str">
            <v>REPUESTO</v>
          </cell>
          <cell r="K2608" t="str">
            <v>LLANTAS REENCAUCHADAS</v>
          </cell>
          <cell r="L2608">
            <v>4</v>
          </cell>
          <cell r="M2608" t="str">
            <v>UNID.</v>
          </cell>
          <cell r="N2608" t="str">
            <v>CISTERNA</v>
          </cell>
          <cell r="O2608">
            <v>0</v>
          </cell>
          <cell r="P2608" t="str">
            <v>N1</v>
          </cell>
          <cell r="Q2608" t="str">
            <v>J1</v>
          </cell>
          <cell r="R2608" t="str">
            <v>J6</v>
          </cell>
          <cell r="S2608" t="str">
            <v>ENTREGADO</v>
          </cell>
          <cell r="T2608">
            <v>42716</v>
          </cell>
          <cell r="U2608" t="str">
            <v>AGUILAR CCANTUTA WILLY</v>
          </cell>
          <cell r="V2608" t="str">
            <v>FLOREZ CONDORI  JOSE WILLIANS</v>
          </cell>
        </row>
        <row r="2609">
          <cell r="A2609">
            <v>2570</v>
          </cell>
          <cell r="B2609">
            <v>42716</v>
          </cell>
          <cell r="C2609" t="str">
            <v>DICIEMBRE</v>
          </cell>
          <cell r="D2609" t="str">
            <v>2016</v>
          </cell>
          <cell r="E2609">
            <v>527</v>
          </cell>
          <cell r="F2609" t="str">
            <v>X2W-765</v>
          </cell>
          <cell r="G2609" t="str">
            <v>C5V-993</v>
          </cell>
          <cell r="H2609" t="str">
            <v>LAS BAMBAS</v>
          </cell>
          <cell r="I2609">
            <v>157711</v>
          </cell>
          <cell r="J2609" t="str">
            <v>REPUESTO</v>
          </cell>
          <cell r="K2609" t="str">
            <v>LLANTAS</v>
          </cell>
          <cell r="L2609">
            <v>4</v>
          </cell>
          <cell r="M2609" t="str">
            <v>UNID.</v>
          </cell>
          <cell r="N2609" t="str">
            <v>CISTERNA</v>
          </cell>
          <cell r="O2609">
            <v>0</v>
          </cell>
          <cell r="P2609" t="str">
            <v>N2</v>
          </cell>
          <cell r="Q2609" t="str">
            <v>J1</v>
          </cell>
          <cell r="R2609" t="str">
            <v>J6</v>
          </cell>
          <cell r="S2609" t="str">
            <v>ENTREGADO</v>
          </cell>
          <cell r="T2609">
            <v>42716</v>
          </cell>
          <cell r="U2609" t="str">
            <v>MAMANI LARICO  EDUARDO ALVARO</v>
          </cell>
          <cell r="V2609" t="str">
            <v>FLOREZ CONDORI  JOSE WILLIANS</v>
          </cell>
        </row>
        <row r="2610">
          <cell r="A2610">
            <v>2600</v>
          </cell>
          <cell r="B2610">
            <v>42717</v>
          </cell>
          <cell r="C2610" t="str">
            <v>DICIEMBRE</v>
          </cell>
          <cell r="D2610" t="str">
            <v>2016</v>
          </cell>
          <cell r="E2610">
            <v>308</v>
          </cell>
          <cell r="F2610" t="str">
            <v>A9H-889</v>
          </cell>
          <cell r="G2610" t="str">
            <v>CAMION</v>
          </cell>
          <cell r="H2610" t="str">
            <v>TAMBOMAYO</v>
          </cell>
          <cell r="I2610">
            <v>120654</v>
          </cell>
          <cell r="J2610" t="str">
            <v>REPUESTO</v>
          </cell>
          <cell r="K2610" t="str">
            <v>FOCO PIRATA</v>
          </cell>
          <cell r="L2610">
            <v>1</v>
          </cell>
          <cell r="M2610" t="str">
            <v>UNID.</v>
          </cell>
          <cell r="N2610" t="str">
            <v>CAMION</v>
          </cell>
          <cell r="O2610">
            <v>0</v>
          </cell>
          <cell r="P2610" t="str">
            <v>E3</v>
          </cell>
          <cell r="Q2610" t="str">
            <v>J2</v>
          </cell>
          <cell r="R2610" t="str">
            <v>J6</v>
          </cell>
          <cell r="S2610" t="str">
            <v>ENTREGADO</v>
          </cell>
          <cell r="T2610">
            <v>42717</v>
          </cell>
          <cell r="U2610" t="str">
            <v>CONDORI CHURATA ALEX</v>
          </cell>
          <cell r="V2610" t="str">
            <v>CORIHUAMAN SURCO  ERICK ROBERT</v>
          </cell>
        </row>
        <row r="2611">
          <cell r="A2611">
            <v>2601</v>
          </cell>
          <cell r="B2611">
            <v>42717</v>
          </cell>
          <cell r="C2611" t="str">
            <v>DICIEMBRE</v>
          </cell>
          <cell r="D2611" t="str">
            <v>2016</v>
          </cell>
          <cell r="E2611">
            <v>308</v>
          </cell>
          <cell r="F2611" t="str">
            <v>A9H-889</v>
          </cell>
          <cell r="G2611" t="str">
            <v>CAMION</v>
          </cell>
          <cell r="H2611" t="str">
            <v>TAMBOMAYO</v>
          </cell>
          <cell r="I2611">
            <v>120654</v>
          </cell>
          <cell r="J2611" t="str">
            <v>REPUESTO</v>
          </cell>
          <cell r="K2611" t="str">
            <v>PRESINTOS 200</v>
          </cell>
          <cell r="L2611">
            <v>10</v>
          </cell>
          <cell r="M2611" t="str">
            <v>UNID.</v>
          </cell>
          <cell r="N2611" t="str">
            <v>CAMION</v>
          </cell>
          <cell r="O2611">
            <v>0</v>
          </cell>
          <cell r="P2611" t="str">
            <v>E3</v>
          </cell>
          <cell r="Q2611" t="str">
            <v>J2</v>
          </cell>
          <cell r="R2611" t="str">
            <v>J6</v>
          </cell>
          <cell r="S2611" t="str">
            <v>ENTREGADO</v>
          </cell>
          <cell r="T2611">
            <v>42717</v>
          </cell>
          <cell r="U2611" t="str">
            <v>CONDORI CHURATA ALEX</v>
          </cell>
          <cell r="V2611" t="str">
            <v>CORIHUAMAN SURCO  ERICK ROBERT</v>
          </cell>
        </row>
        <row r="2612">
          <cell r="A2612">
            <v>2602</v>
          </cell>
          <cell r="B2612">
            <v>42717</v>
          </cell>
          <cell r="C2612" t="str">
            <v>DICIEMBRE</v>
          </cell>
          <cell r="D2612" t="str">
            <v>2016</v>
          </cell>
          <cell r="E2612">
            <v>308</v>
          </cell>
          <cell r="F2612" t="str">
            <v>A9H-889</v>
          </cell>
          <cell r="G2612" t="str">
            <v>CAMION</v>
          </cell>
          <cell r="H2612" t="str">
            <v>TAMBOMAYO</v>
          </cell>
          <cell r="I2612">
            <v>120654</v>
          </cell>
          <cell r="J2612" t="str">
            <v>REPUESTO</v>
          </cell>
          <cell r="K2612" t="str">
            <v>FOCO H3 DE 24 V</v>
          </cell>
          <cell r="L2612">
            <v>1</v>
          </cell>
          <cell r="M2612" t="str">
            <v>UNID.</v>
          </cell>
          <cell r="N2612" t="str">
            <v>CAMION</v>
          </cell>
          <cell r="O2612">
            <v>0</v>
          </cell>
          <cell r="P2612" t="str">
            <v>E3</v>
          </cell>
          <cell r="Q2612" t="str">
            <v>J2</v>
          </cell>
          <cell r="R2612" t="str">
            <v>J6</v>
          </cell>
          <cell r="S2612" t="str">
            <v>ENTREGADO</v>
          </cell>
          <cell r="T2612">
            <v>42717</v>
          </cell>
          <cell r="U2612" t="str">
            <v>CONDORI CHURATA ALEX</v>
          </cell>
          <cell r="V2612" t="str">
            <v>CORIHUAMAN SURCO  ERICK ROBERT</v>
          </cell>
        </row>
        <row r="2613">
          <cell r="A2613">
            <v>2614</v>
          </cell>
          <cell r="B2613">
            <v>42717</v>
          </cell>
          <cell r="C2613" t="str">
            <v>DICIEMBRE</v>
          </cell>
          <cell r="D2613" t="str">
            <v>2016</v>
          </cell>
          <cell r="E2613">
            <v>576</v>
          </cell>
          <cell r="F2613" t="str">
            <v>ABQ-704</v>
          </cell>
          <cell r="G2613" t="str">
            <v>TBB-995</v>
          </cell>
          <cell r="H2613" t="str">
            <v>LAS BAMBAS</v>
          </cell>
          <cell r="I2613">
            <v>111397</v>
          </cell>
          <cell r="J2613" t="str">
            <v>REPUESTO</v>
          </cell>
          <cell r="K2613" t="str">
            <v>PERNO MANHOLE 3/8 X 6</v>
          </cell>
          <cell r="L2613">
            <v>1</v>
          </cell>
          <cell r="M2613" t="str">
            <v>UNID.</v>
          </cell>
          <cell r="N2613" t="str">
            <v>CISTERNA</v>
          </cell>
          <cell r="O2613">
            <v>0</v>
          </cell>
          <cell r="P2613" t="str">
            <v>S2</v>
          </cell>
          <cell r="Q2613" t="str">
            <v>J2</v>
          </cell>
          <cell r="R2613" t="str">
            <v>J6</v>
          </cell>
          <cell r="S2613" t="str">
            <v>ENTREGADO</v>
          </cell>
          <cell r="T2613">
            <v>42717</v>
          </cell>
          <cell r="U2613" t="str">
            <v>PALOMINO ESTRADA  MICHEL</v>
          </cell>
          <cell r="V2613" t="str">
            <v>CORIHUAMAN SURCO  ERICK ROBERT</v>
          </cell>
        </row>
        <row r="2614">
          <cell r="A2614">
            <v>2615</v>
          </cell>
          <cell r="B2614">
            <v>42717</v>
          </cell>
          <cell r="C2614" t="str">
            <v>DICIEMBRE</v>
          </cell>
          <cell r="D2614" t="str">
            <v>2016</v>
          </cell>
          <cell r="E2614">
            <v>576</v>
          </cell>
          <cell r="F2614" t="str">
            <v>ABQ-704</v>
          </cell>
          <cell r="G2614" t="str">
            <v>TBB-995</v>
          </cell>
          <cell r="H2614" t="str">
            <v>LAS BAMBAS</v>
          </cell>
          <cell r="I2614">
            <v>111397</v>
          </cell>
          <cell r="J2614" t="str">
            <v>REPUESTO</v>
          </cell>
          <cell r="K2614" t="str">
            <v>TUERCA 3/8</v>
          </cell>
          <cell r="L2614">
            <v>2</v>
          </cell>
          <cell r="M2614" t="str">
            <v>UNID.</v>
          </cell>
          <cell r="N2614" t="str">
            <v>CISTERNA</v>
          </cell>
          <cell r="O2614">
            <v>0</v>
          </cell>
          <cell r="P2614" t="str">
            <v>S2</v>
          </cell>
          <cell r="Q2614" t="str">
            <v>J2</v>
          </cell>
          <cell r="R2614" t="str">
            <v>J6</v>
          </cell>
          <cell r="S2614" t="str">
            <v>ENTREGADO</v>
          </cell>
          <cell r="T2614">
            <v>42717</v>
          </cell>
          <cell r="U2614" t="str">
            <v>PALOMINO ESTRADA  MICHEL</v>
          </cell>
          <cell r="V2614" t="str">
            <v>CORIHUAMAN SURCO  ERICK ROBERT</v>
          </cell>
        </row>
        <row r="2615">
          <cell r="A2615">
            <v>2622</v>
          </cell>
          <cell r="B2615">
            <v>42717</v>
          </cell>
          <cell r="C2615" t="str">
            <v>DICIEMBRE</v>
          </cell>
          <cell r="D2615" t="str">
            <v>2016</v>
          </cell>
          <cell r="E2615">
            <v>576</v>
          </cell>
          <cell r="F2615" t="str">
            <v>ABQ-704</v>
          </cell>
          <cell r="G2615" t="str">
            <v>TBB-995</v>
          </cell>
          <cell r="H2615" t="str">
            <v>LAS BAMBAS</v>
          </cell>
          <cell r="I2615">
            <v>111397</v>
          </cell>
          <cell r="J2615" t="str">
            <v>REPUESTO</v>
          </cell>
          <cell r="K2615" t="str">
            <v>FARO DOBLE CONTACTO 12 V</v>
          </cell>
          <cell r="L2615">
            <v>2</v>
          </cell>
          <cell r="M2615" t="str">
            <v>UNID.</v>
          </cell>
          <cell r="N2615" t="str">
            <v>TRACTO</v>
          </cell>
          <cell r="O2615">
            <v>0</v>
          </cell>
          <cell r="P2615" t="str">
            <v>E3</v>
          </cell>
          <cell r="Q2615" t="str">
            <v>J2</v>
          </cell>
          <cell r="R2615" t="str">
            <v>J6</v>
          </cell>
          <cell r="S2615" t="str">
            <v>ENTREGADO</v>
          </cell>
          <cell r="T2615">
            <v>42717</v>
          </cell>
          <cell r="U2615" t="str">
            <v>CONDORI CHURATA ALEX</v>
          </cell>
          <cell r="V2615" t="str">
            <v>CORIHUAMAN SURCO  ERICK ROBERT</v>
          </cell>
        </row>
        <row r="2616">
          <cell r="A2616">
            <v>2642</v>
          </cell>
          <cell r="B2616">
            <v>42717</v>
          </cell>
          <cell r="C2616" t="str">
            <v>DICIEMBRE</v>
          </cell>
          <cell r="D2616" t="str">
            <v>2016</v>
          </cell>
          <cell r="E2616">
            <v>571</v>
          </cell>
          <cell r="F2616" t="str">
            <v>ABS-700</v>
          </cell>
          <cell r="G2616" t="str">
            <v>TBC-971</v>
          </cell>
          <cell r="H2616" t="str">
            <v>LAS BAMBAS</v>
          </cell>
          <cell r="I2616">
            <v>101192</v>
          </cell>
          <cell r="J2616" t="str">
            <v>REPUESTO</v>
          </cell>
          <cell r="K2616" t="str">
            <v>FUSIBLES DE 20 AMP</v>
          </cell>
          <cell r="L2616">
            <v>5</v>
          </cell>
          <cell r="M2616" t="str">
            <v>UNID.</v>
          </cell>
          <cell r="N2616" t="str">
            <v>TRACTO</v>
          </cell>
          <cell r="O2616">
            <v>0</v>
          </cell>
          <cell r="P2616" t="str">
            <v>E2</v>
          </cell>
          <cell r="Q2616" t="str">
            <v>J2</v>
          </cell>
          <cell r="R2616" t="str">
            <v>J6</v>
          </cell>
          <cell r="S2616" t="str">
            <v>ENTREGADO</v>
          </cell>
          <cell r="T2616">
            <v>42717</v>
          </cell>
          <cell r="U2616" t="str">
            <v>YUCA BELLIDO BORIS YERSY</v>
          </cell>
          <cell r="V2616" t="str">
            <v>CORIHUAMAN SURCO  ERICK ROBERT</v>
          </cell>
        </row>
        <row r="2617">
          <cell r="A2617">
            <v>2610</v>
          </cell>
          <cell r="B2617">
            <v>42717</v>
          </cell>
          <cell r="C2617" t="str">
            <v>DICIEMBRE</v>
          </cell>
          <cell r="D2617" t="str">
            <v>2016</v>
          </cell>
          <cell r="E2617">
            <v>578</v>
          </cell>
          <cell r="F2617" t="str">
            <v>AHX-713</v>
          </cell>
          <cell r="G2617" t="str">
            <v>D9S-976</v>
          </cell>
          <cell r="H2617" t="str">
            <v>LAS BAMBAS</v>
          </cell>
          <cell r="I2617">
            <v>59635</v>
          </cell>
          <cell r="J2617" t="str">
            <v>REPUESTO</v>
          </cell>
          <cell r="K2617" t="str">
            <v>CADENA 3/16</v>
          </cell>
          <cell r="L2617">
            <v>0.5</v>
          </cell>
          <cell r="M2617" t="str">
            <v>M</v>
          </cell>
          <cell r="N2617" t="str">
            <v>CISTERNA</v>
          </cell>
          <cell r="O2617">
            <v>0</v>
          </cell>
          <cell r="P2617" t="str">
            <v>S2</v>
          </cell>
          <cell r="Q2617" t="str">
            <v>J2</v>
          </cell>
          <cell r="R2617" t="str">
            <v>J6</v>
          </cell>
          <cell r="S2617" t="str">
            <v>ENTREGADO</v>
          </cell>
          <cell r="T2617">
            <v>42717</v>
          </cell>
          <cell r="U2617" t="str">
            <v>PALOMINO ESTRADA  MICHEL</v>
          </cell>
          <cell r="V2617" t="str">
            <v>CORIHUAMAN SURCO  ERICK ROBERT</v>
          </cell>
        </row>
        <row r="2618">
          <cell r="A2618">
            <v>2611</v>
          </cell>
          <cell r="B2618">
            <v>42717</v>
          </cell>
          <cell r="C2618" t="str">
            <v>DICIEMBRE</v>
          </cell>
          <cell r="D2618" t="str">
            <v>2016</v>
          </cell>
          <cell r="E2618">
            <v>578</v>
          </cell>
          <cell r="F2618" t="str">
            <v>AHX-713</v>
          </cell>
          <cell r="G2618" t="str">
            <v>D9S-976</v>
          </cell>
          <cell r="H2618" t="str">
            <v>LAS BAMBAS</v>
          </cell>
          <cell r="I2618">
            <v>59635</v>
          </cell>
          <cell r="J2618" t="str">
            <v>REPUESTO</v>
          </cell>
          <cell r="K2618" t="str">
            <v>PERNO 5/16 X 1</v>
          </cell>
          <cell r="L2618">
            <v>2</v>
          </cell>
          <cell r="M2618" t="str">
            <v>UNID.</v>
          </cell>
          <cell r="N2618" t="str">
            <v>CISTERNA</v>
          </cell>
          <cell r="O2618">
            <v>0</v>
          </cell>
          <cell r="P2618" t="str">
            <v>S2</v>
          </cell>
          <cell r="Q2618" t="str">
            <v>J2</v>
          </cell>
          <cell r="R2618" t="str">
            <v>J6</v>
          </cell>
          <cell r="S2618" t="str">
            <v>ENTREGADO</v>
          </cell>
          <cell r="T2618">
            <v>42717</v>
          </cell>
          <cell r="U2618" t="str">
            <v>PALOMINO ESTRADA  MICHEL</v>
          </cell>
          <cell r="V2618" t="str">
            <v>CORIHUAMAN SURCO  ERICK ROBERT</v>
          </cell>
        </row>
        <row r="2619">
          <cell r="A2619">
            <v>2612</v>
          </cell>
          <cell r="B2619">
            <v>42717</v>
          </cell>
          <cell r="C2619" t="str">
            <v>DICIEMBRE</v>
          </cell>
          <cell r="D2619" t="str">
            <v>2016</v>
          </cell>
          <cell r="E2619">
            <v>578</v>
          </cell>
          <cell r="F2619" t="str">
            <v>AHX-713</v>
          </cell>
          <cell r="G2619" t="str">
            <v>D9S-976</v>
          </cell>
          <cell r="H2619" t="str">
            <v>LAS BAMBAS</v>
          </cell>
          <cell r="I2619">
            <v>59635</v>
          </cell>
          <cell r="J2619" t="str">
            <v>REPUESTO</v>
          </cell>
          <cell r="K2619" t="str">
            <v>TUERCA SEGURO 5/16</v>
          </cell>
          <cell r="L2619">
            <v>2</v>
          </cell>
          <cell r="M2619" t="str">
            <v>UNID.</v>
          </cell>
          <cell r="N2619" t="str">
            <v>CISTERNA</v>
          </cell>
          <cell r="O2619">
            <v>0</v>
          </cell>
          <cell r="P2619" t="str">
            <v>S2</v>
          </cell>
          <cell r="Q2619" t="str">
            <v>J2</v>
          </cell>
          <cell r="R2619" t="str">
            <v>J6</v>
          </cell>
          <cell r="S2619" t="str">
            <v>ENTREGADO</v>
          </cell>
          <cell r="T2619">
            <v>42717</v>
          </cell>
          <cell r="U2619" t="str">
            <v>PALOMINO ESTRADA  MICHEL</v>
          </cell>
          <cell r="V2619" t="str">
            <v>CORIHUAMAN SURCO  ERICK ROBERT</v>
          </cell>
        </row>
        <row r="2620">
          <cell r="A2620">
            <v>2637</v>
          </cell>
          <cell r="B2620">
            <v>42717</v>
          </cell>
          <cell r="C2620" t="str">
            <v>DICIEMBRE</v>
          </cell>
          <cell r="D2620" t="str">
            <v>2016</v>
          </cell>
          <cell r="E2620">
            <v>578</v>
          </cell>
          <cell r="F2620" t="str">
            <v>AHX-713</v>
          </cell>
          <cell r="G2620" t="str">
            <v>D9S-976</v>
          </cell>
          <cell r="H2620" t="str">
            <v>LAS BAMBAS</v>
          </cell>
          <cell r="I2620">
            <v>59635</v>
          </cell>
          <cell r="J2620" t="str">
            <v>REPUESTO</v>
          </cell>
          <cell r="K2620" t="str">
            <v>FARO LATERAL</v>
          </cell>
          <cell r="L2620">
            <v>1</v>
          </cell>
          <cell r="M2620" t="str">
            <v>UNID.</v>
          </cell>
          <cell r="N2620" t="str">
            <v>CISTERNA</v>
          </cell>
          <cell r="O2620">
            <v>0</v>
          </cell>
          <cell r="P2620" t="str">
            <v>E3</v>
          </cell>
          <cell r="Q2620" t="str">
            <v>J2</v>
          </cell>
          <cell r="R2620" t="str">
            <v>J6</v>
          </cell>
          <cell r="S2620" t="str">
            <v>ENTREGADO</v>
          </cell>
          <cell r="T2620">
            <v>42717</v>
          </cell>
          <cell r="U2620" t="str">
            <v>CONDORI CHURATA ALEX</v>
          </cell>
          <cell r="V2620" t="str">
            <v>CORIHUAMAN SURCO  ERICK ROBERT</v>
          </cell>
        </row>
        <row r="2621">
          <cell r="A2621">
            <v>2640</v>
          </cell>
          <cell r="B2621">
            <v>42717</v>
          </cell>
          <cell r="C2621" t="str">
            <v>DICIEMBRE</v>
          </cell>
          <cell r="D2621" t="str">
            <v>2016</v>
          </cell>
          <cell r="E2621">
            <v>516</v>
          </cell>
          <cell r="F2621" t="str">
            <v>APG-726</v>
          </cell>
          <cell r="G2621" t="str">
            <v>CAMIONETA</v>
          </cell>
          <cell r="H2621" t="str">
            <v>LAS BAMBAS</v>
          </cell>
          <cell r="I2621">
            <v>2700</v>
          </cell>
          <cell r="J2621" t="str">
            <v>REPUESTO</v>
          </cell>
          <cell r="K2621" t="str">
            <v>PERNO 3/8 X 1</v>
          </cell>
          <cell r="L2621">
            <v>6</v>
          </cell>
          <cell r="M2621" t="str">
            <v>UNID.</v>
          </cell>
          <cell r="N2621" t="str">
            <v>CAMIONETA</v>
          </cell>
          <cell r="O2621">
            <v>0</v>
          </cell>
          <cell r="P2621" t="str">
            <v>S2</v>
          </cell>
          <cell r="Q2621" t="str">
            <v>J2</v>
          </cell>
          <cell r="R2621" t="str">
            <v>J6</v>
          </cell>
          <cell r="S2621" t="str">
            <v>ENTREGADO</v>
          </cell>
          <cell r="T2621">
            <v>42717</v>
          </cell>
          <cell r="U2621" t="str">
            <v>PALOMINO ESTRADA  MICHEL</v>
          </cell>
          <cell r="V2621" t="str">
            <v>CORIHUAMAN SURCO  ERICK ROBERT</v>
          </cell>
        </row>
        <row r="2622">
          <cell r="A2622">
            <v>2641</v>
          </cell>
          <cell r="B2622">
            <v>42717</v>
          </cell>
          <cell r="C2622" t="str">
            <v>DICIEMBRE</v>
          </cell>
          <cell r="D2622" t="str">
            <v>2016</v>
          </cell>
          <cell r="E2622">
            <v>516</v>
          </cell>
          <cell r="F2622" t="str">
            <v>APG-726</v>
          </cell>
          <cell r="G2622" t="str">
            <v>CAMIONETA</v>
          </cell>
          <cell r="H2622" t="str">
            <v>LAS BAMBAS</v>
          </cell>
          <cell r="I2622">
            <v>2700</v>
          </cell>
          <cell r="J2622" t="str">
            <v>REPUESTO</v>
          </cell>
          <cell r="K2622" t="str">
            <v>TUERCA SEGURO 3/8</v>
          </cell>
          <cell r="L2622">
            <v>6</v>
          </cell>
          <cell r="M2622" t="str">
            <v>UNID.</v>
          </cell>
          <cell r="N2622" t="str">
            <v>CAMIONETA</v>
          </cell>
          <cell r="O2622">
            <v>0</v>
          </cell>
          <cell r="P2622" t="str">
            <v>S2</v>
          </cell>
          <cell r="Q2622" t="str">
            <v>J2</v>
          </cell>
          <cell r="R2622" t="str">
            <v>J6</v>
          </cell>
          <cell r="S2622" t="str">
            <v>ENTREGADO</v>
          </cell>
          <cell r="T2622">
            <v>42717</v>
          </cell>
          <cell r="U2622" t="str">
            <v>PALOMINO ESTRADA  MICHEL</v>
          </cell>
          <cell r="V2622" t="str">
            <v>CORIHUAMAN SURCO  ERICK ROBERT</v>
          </cell>
        </row>
        <row r="2623">
          <cell r="A2623">
            <v>2604</v>
          </cell>
          <cell r="B2623">
            <v>42717</v>
          </cell>
          <cell r="C2623" t="str">
            <v>DICIEMBRE</v>
          </cell>
          <cell r="D2623" t="str">
            <v>2016</v>
          </cell>
          <cell r="E2623">
            <v>530</v>
          </cell>
          <cell r="F2623" t="str">
            <v>C5R-892</v>
          </cell>
          <cell r="G2623" t="str">
            <v>A0T-983</v>
          </cell>
          <cell r="H2623" t="str">
            <v>LAS BAMBAS</v>
          </cell>
          <cell r="I2623">
            <v>226743</v>
          </cell>
          <cell r="J2623" t="str">
            <v>REPUESTO</v>
          </cell>
          <cell r="K2623" t="str">
            <v>MOTOR DE AIRE ACONDICIONADO</v>
          </cell>
          <cell r="L2623">
            <v>1</v>
          </cell>
          <cell r="M2623" t="str">
            <v>UNID.</v>
          </cell>
          <cell r="N2623" t="str">
            <v>TRACTO</v>
          </cell>
          <cell r="O2623">
            <v>73</v>
          </cell>
          <cell r="P2623" t="str">
            <v>M8</v>
          </cell>
          <cell r="Q2623" t="str">
            <v>J2</v>
          </cell>
          <cell r="R2623" t="str">
            <v>J6</v>
          </cell>
          <cell r="S2623" t="str">
            <v>PENDIENTE</v>
          </cell>
          <cell r="T2623">
            <v>0</v>
          </cell>
          <cell r="U2623" t="str">
            <v>VARILLAS GAGO  OSCAR ALBERTO</v>
          </cell>
          <cell r="V2623" t="str">
            <v>CORIHUAMAN SURCO  ERICK ROBERT</v>
          </cell>
        </row>
        <row r="2624">
          <cell r="A2624">
            <v>2607</v>
          </cell>
          <cell r="B2624">
            <v>42717</v>
          </cell>
          <cell r="C2624" t="str">
            <v>DICIEMBRE</v>
          </cell>
          <cell r="D2624" t="str">
            <v>2016</v>
          </cell>
          <cell r="E2624">
            <v>579</v>
          </cell>
          <cell r="F2624" t="str">
            <v>C6X-739</v>
          </cell>
          <cell r="G2624" t="str">
            <v>TCS-988</v>
          </cell>
          <cell r="H2624" t="str">
            <v>LAS BAMBAS CONC.</v>
          </cell>
          <cell r="I2624">
            <v>230062</v>
          </cell>
          <cell r="J2624" t="str">
            <v>REPUESTO</v>
          </cell>
          <cell r="K2624" t="str">
            <v>LIQUIDO LIMPIAPARABRISAS</v>
          </cell>
          <cell r="L2624">
            <v>1</v>
          </cell>
          <cell r="M2624" t="str">
            <v>GLNS.</v>
          </cell>
          <cell r="N2624" t="str">
            <v>TRACTO</v>
          </cell>
          <cell r="O2624">
            <v>0</v>
          </cell>
          <cell r="P2624" t="str">
            <v>M6</v>
          </cell>
          <cell r="Q2624" t="str">
            <v>J2</v>
          </cell>
          <cell r="R2624" t="str">
            <v>J6</v>
          </cell>
          <cell r="S2624" t="str">
            <v>ENTREGADO</v>
          </cell>
          <cell r="T2624">
            <v>42717</v>
          </cell>
          <cell r="U2624" t="str">
            <v>PARI VENTURA  EDSON ORLANDO</v>
          </cell>
          <cell r="V2624" t="str">
            <v>CORIHUAMAN SURCO  ERICK ROBERT</v>
          </cell>
        </row>
        <row r="2625">
          <cell r="A2625">
            <v>2609</v>
          </cell>
          <cell r="B2625">
            <v>42717</v>
          </cell>
          <cell r="C2625" t="str">
            <v>DICIEMBRE</v>
          </cell>
          <cell r="D2625" t="str">
            <v>2016</v>
          </cell>
          <cell r="E2625">
            <v>579</v>
          </cell>
          <cell r="F2625" t="str">
            <v>C6X-739</v>
          </cell>
          <cell r="G2625" t="str">
            <v>TCS-988</v>
          </cell>
          <cell r="H2625" t="str">
            <v>LAS BAMBAS CONC.</v>
          </cell>
          <cell r="I2625">
            <v>230062</v>
          </cell>
          <cell r="J2625" t="str">
            <v>REPUESTO</v>
          </cell>
          <cell r="K2625" t="str">
            <v>ALARMA DE RETROCESO</v>
          </cell>
          <cell r="L2625">
            <v>1</v>
          </cell>
          <cell r="M2625" t="str">
            <v>UNID.</v>
          </cell>
          <cell r="N2625" t="str">
            <v>CISTERNA</v>
          </cell>
          <cell r="O2625">
            <v>0</v>
          </cell>
          <cell r="P2625" t="str">
            <v>E1</v>
          </cell>
          <cell r="Q2625" t="str">
            <v>J2</v>
          </cell>
          <cell r="R2625" t="str">
            <v>J6</v>
          </cell>
          <cell r="S2625" t="str">
            <v>ENTREGADO</v>
          </cell>
          <cell r="T2625">
            <v>42717</v>
          </cell>
          <cell r="U2625" t="str">
            <v>PALOMINO CARDENAS JUAN CARLOS</v>
          </cell>
          <cell r="V2625" t="str">
            <v>CORIHUAMAN SURCO  ERICK ROBERT</v>
          </cell>
        </row>
        <row r="2626">
          <cell r="A2626">
            <v>2618</v>
          </cell>
          <cell r="B2626">
            <v>42717</v>
          </cell>
          <cell r="C2626" t="str">
            <v>DICIEMBRE</v>
          </cell>
          <cell r="D2626" t="str">
            <v>2016</v>
          </cell>
          <cell r="E2626">
            <v>579</v>
          </cell>
          <cell r="F2626" t="str">
            <v>C6X-739</v>
          </cell>
          <cell r="G2626" t="str">
            <v>TCS-988</v>
          </cell>
          <cell r="H2626" t="str">
            <v>LAS BAMBAS CONC.</v>
          </cell>
          <cell r="I2626">
            <v>230062</v>
          </cell>
          <cell r="J2626" t="str">
            <v>REPUESTO</v>
          </cell>
          <cell r="K2626" t="str">
            <v>PERNOS 1/4 X 1</v>
          </cell>
          <cell r="L2626">
            <v>10</v>
          </cell>
          <cell r="M2626" t="str">
            <v>UNID.</v>
          </cell>
          <cell r="N2626" t="str">
            <v>CISTERNA</v>
          </cell>
          <cell r="O2626">
            <v>0</v>
          </cell>
          <cell r="P2626" t="str">
            <v>M6</v>
          </cell>
          <cell r="Q2626" t="str">
            <v>J2</v>
          </cell>
          <cell r="R2626" t="str">
            <v>J6</v>
          </cell>
          <cell r="S2626" t="str">
            <v>ENTREGADO</v>
          </cell>
          <cell r="T2626">
            <v>42717</v>
          </cell>
          <cell r="U2626" t="str">
            <v>PARI VENTURA  EDSON ORLANDO</v>
          </cell>
          <cell r="V2626" t="str">
            <v>CORIHUAMAN SURCO  ERICK ROBERT</v>
          </cell>
        </row>
        <row r="2627">
          <cell r="A2627">
            <v>2619</v>
          </cell>
          <cell r="B2627">
            <v>42717</v>
          </cell>
          <cell r="C2627" t="str">
            <v>DICIEMBRE</v>
          </cell>
          <cell r="D2627" t="str">
            <v>2016</v>
          </cell>
          <cell r="E2627">
            <v>579</v>
          </cell>
          <cell r="F2627" t="str">
            <v>C6X-739</v>
          </cell>
          <cell r="G2627" t="str">
            <v>TCS-988</v>
          </cell>
          <cell r="H2627" t="str">
            <v>LAS BAMBAS CONC.</v>
          </cell>
          <cell r="I2627">
            <v>230062</v>
          </cell>
          <cell r="J2627" t="str">
            <v>REPUESTO</v>
          </cell>
          <cell r="K2627" t="str">
            <v>TUERCA SEGURO 1/4</v>
          </cell>
          <cell r="L2627">
            <v>10</v>
          </cell>
          <cell r="M2627" t="str">
            <v>UNID.</v>
          </cell>
          <cell r="N2627" t="str">
            <v>CISTERNA</v>
          </cell>
          <cell r="O2627">
            <v>0</v>
          </cell>
          <cell r="P2627" t="str">
            <v>M6</v>
          </cell>
          <cell r="Q2627" t="str">
            <v>J2</v>
          </cell>
          <cell r="R2627" t="str">
            <v>J6</v>
          </cell>
          <cell r="S2627" t="str">
            <v>ENTREGADO</v>
          </cell>
          <cell r="T2627">
            <v>42717</v>
          </cell>
          <cell r="U2627" t="str">
            <v>PARI VENTURA  EDSON ORLANDO</v>
          </cell>
          <cell r="V2627" t="str">
            <v>CORIHUAMAN SURCO  ERICK ROBERT</v>
          </cell>
        </row>
        <row r="2628">
          <cell r="A2628">
            <v>2620</v>
          </cell>
          <cell r="B2628">
            <v>42717</v>
          </cell>
          <cell r="C2628" t="str">
            <v>DICIEMBRE</v>
          </cell>
          <cell r="D2628" t="str">
            <v>2016</v>
          </cell>
          <cell r="E2628">
            <v>579</v>
          </cell>
          <cell r="F2628" t="str">
            <v>C6X-739</v>
          </cell>
          <cell r="G2628" t="str">
            <v>TCS-988</v>
          </cell>
          <cell r="H2628" t="str">
            <v>LAS BAMBAS CONC.</v>
          </cell>
          <cell r="I2628">
            <v>230062</v>
          </cell>
          <cell r="J2628" t="str">
            <v>REPUESTO</v>
          </cell>
          <cell r="K2628" t="str">
            <v>ARANDELA PLANA 1/4</v>
          </cell>
          <cell r="L2628">
            <v>20</v>
          </cell>
          <cell r="M2628" t="str">
            <v>UNID.</v>
          </cell>
          <cell r="N2628" t="str">
            <v>CISTERNA</v>
          </cell>
          <cell r="O2628">
            <v>0</v>
          </cell>
          <cell r="P2628" t="str">
            <v>M6</v>
          </cell>
          <cell r="Q2628" t="str">
            <v>J2</v>
          </cell>
          <cell r="R2628" t="str">
            <v>J6</v>
          </cell>
          <cell r="S2628" t="str">
            <v>ENTREGADO</v>
          </cell>
          <cell r="T2628">
            <v>42717</v>
          </cell>
          <cell r="U2628" t="str">
            <v>PARI VENTURA  EDSON ORLANDO</v>
          </cell>
          <cell r="V2628" t="str">
            <v>CORIHUAMAN SURCO  ERICK ROBERT</v>
          </cell>
        </row>
        <row r="2629">
          <cell r="A2629">
            <v>2628</v>
          </cell>
          <cell r="B2629">
            <v>42717</v>
          </cell>
          <cell r="C2629" t="str">
            <v>DICIEMBRE</v>
          </cell>
          <cell r="D2629" t="str">
            <v>2016</v>
          </cell>
          <cell r="E2629">
            <v>575</v>
          </cell>
          <cell r="F2629" t="str">
            <v>C9N-807</v>
          </cell>
          <cell r="G2629" t="str">
            <v>B4O-994</v>
          </cell>
          <cell r="H2629" t="str">
            <v>LAS BAMBAS</v>
          </cell>
          <cell r="I2629">
            <v>211537</v>
          </cell>
          <cell r="J2629" t="str">
            <v>REPUESTO</v>
          </cell>
          <cell r="K2629" t="str">
            <v>LLANTAS ORIGINALES</v>
          </cell>
          <cell r="L2629">
            <v>2</v>
          </cell>
          <cell r="M2629" t="str">
            <v>UNID.</v>
          </cell>
          <cell r="N2629" t="str">
            <v>TRACTO</v>
          </cell>
          <cell r="O2629">
            <v>0</v>
          </cell>
          <cell r="P2629" t="str">
            <v>N1</v>
          </cell>
          <cell r="Q2629" t="str">
            <v>J2</v>
          </cell>
          <cell r="R2629" t="str">
            <v>J6</v>
          </cell>
          <cell r="S2629" t="str">
            <v>ENTREGADO</v>
          </cell>
          <cell r="T2629">
            <v>42717</v>
          </cell>
          <cell r="U2629" t="str">
            <v>AGUILAR CCANTUTA WILLY</v>
          </cell>
          <cell r="V2629" t="str">
            <v>CORIHUAMAN SURCO  ERICK ROBERT</v>
          </cell>
        </row>
        <row r="2630">
          <cell r="A2630">
            <v>2597</v>
          </cell>
          <cell r="B2630">
            <v>42717</v>
          </cell>
          <cell r="C2630" t="str">
            <v>DICIEMBRE</v>
          </cell>
          <cell r="D2630" t="str">
            <v>2016</v>
          </cell>
          <cell r="E2630">
            <v>575</v>
          </cell>
          <cell r="F2630" t="str">
            <v>C9N-807</v>
          </cell>
          <cell r="G2630" t="str">
            <v>B4O-994</v>
          </cell>
          <cell r="H2630" t="str">
            <v>LAS BAMBAS</v>
          </cell>
          <cell r="I2630">
            <v>211537</v>
          </cell>
          <cell r="J2630" t="str">
            <v>REPUESTO</v>
          </cell>
          <cell r="K2630" t="str">
            <v>MINIFUSIBLES DE 10 AMP</v>
          </cell>
          <cell r="L2630">
            <v>4</v>
          </cell>
          <cell r="M2630" t="str">
            <v>UNID.</v>
          </cell>
          <cell r="N2630" t="str">
            <v>TRACTO</v>
          </cell>
          <cell r="O2630">
            <v>0</v>
          </cell>
          <cell r="P2630" t="str">
            <v>E2</v>
          </cell>
          <cell r="Q2630" t="str">
            <v>J2</v>
          </cell>
          <cell r="R2630" t="str">
            <v>J6</v>
          </cell>
          <cell r="S2630" t="str">
            <v>ENTREGADO</v>
          </cell>
          <cell r="T2630">
            <v>42717</v>
          </cell>
          <cell r="U2630" t="str">
            <v>YUCA BELLIDO BORIS YERSY</v>
          </cell>
          <cell r="V2630" t="str">
            <v>CORIHUAMAN SURCO  ERICK ROBERT</v>
          </cell>
        </row>
        <row r="2631">
          <cell r="A2631">
            <v>2598</v>
          </cell>
          <cell r="B2631">
            <v>42717</v>
          </cell>
          <cell r="C2631" t="str">
            <v>DICIEMBRE</v>
          </cell>
          <cell r="D2631" t="str">
            <v>2016</v>
          </cell>
          <cell r="E2631">
            <v>575</v>
          </cell>
          <cell r="F2631" t="str">
            <v>C9N-807</v>
          </cell>
          <cell r="G2631" t="str">
            <v>B4O-994</v>
          </cell>
          <cell r="H2631" t="str">
            <v>LAS BAMBAS</v>
          </cell>
          <cell r="I2631">
            <v>211537</v>
          </cell>
          <cell r="J2631" t="str">
            <v>REPUESTO</v>
          </cell>
          <cell r="K2631" t="str">
            <v>FOCO DOBLE CONTACTO 12 V</v>
          </cell>
          <cell r="L2631">
            <v>1</v>
          </cell>
          <cell r="M2631" t="str">
            <v>UNID.</v>
          </cell>
          <cell r="N2631" t="str">
            <v>TRACTO</v>
          </cell>
          <cell r="O2631">
            <v>0</v>
          </cell>
          <cell r="P2631" t="str">
            <v>E2</v>
          </cell>
          <cell r="Q2631" t="str">
            <v>J2</v>
          </cell>
          <cell r="R2631" t="str">
            <v>J6</v>
          </cell>
          <cell r="S2631" t="str">
            <v>ENTREGADO</v>
          </cell>
          <cell r="T2631">
            <v>42717</v>
          </cell>
          <cell r="U2631" t="str">
            <v>YUCA BELLIDO BORIS YERSY</v>
          </cell>
          <cell r="V2631" t="str">
            <v>CORIHUAMAN SURCO  ERICK ROBERT</v>
          </cell>
        </row>
        <row r="2632">
          <cell r="A2632">
            <v>2631</v>
          </cell>
          <cell r="B2632">
            <v>42717</v>
          </cell>
          <cell r="C2632" t="str">
            <v>DICIEMBRE</v>
          </cell>
          <cell r="D2632" t="str">
            <v>2016</v>
          </cell>
          <cell r="E2632">
            <v>575</v>
          </cell>
          <cell r="F2632" t="str">
            <v>C9N-807</v>
          </cell>
          <cell r="G2632" t="str">
            <v>B4O-994</v>
          </cell>
          <cell r="H2632" t="str">
            <v>LAS BAMBAS</v>
          </cell>
          <cell r="I2632">
            <v>211537</v>
          </cell>
          <cell r="J2632" t="str">
            <v>REPUESTO</v>
          </cell>
          <cell r="K2632" t="str">
            <v>MEDIDOR DE ACEITE DE MOTOR</v>
          </cell>
          <cell r="L2632">
            <v>1</v>
          </cell>
          <cell r="M2632" t="str">
            <v>UNID.</v>
          </cell>
          <cell r="N2632" t="str">
            <v>TRACTO</v>
          </cell>
          <cell r="O2632">
            <v>0</v>
          </cell>
          <cell r="P2632" t="str">
            <v>M8</v>
          </cell>
          <cell r="Q2632" t="str">
            <v>J2</v>
          </cell>
          <cell r="R2632" t="str">
            <v>J6</v>
          </cell>
          <cell r="S2632" t="str">
            <v>ENTREGADO</v>
          </cell>
          <cell r="T2632">
            <v>42717</v>
          </cell>
          <cell r="U2632" t="str">
            <v>VARILLAS GAGO  OSCAR ALBERTO</v>
          </cell>
          <cell r="V2632" t="str">
            <v>CORIHUAMAN SURCO  ERICK ROBERT</v>
          </cell>
        </row>
        <row r="2633">
          <cell r="A2633">
            <v>2632</v>
          </cell>
          <cell r="B2633">
            <v>42717</v>
          </cell>
          <cell r="C2633" t="str">
            <v>DICIEMBRE</v>
          </cell>
          <cell r="D2633" t="str">
            <v>2016</v>
          </cell>
          <cell r="E2633">
            <v>575</v>
          </cell>
          <cell r="F2633" t="str">
            <v>C9N-807</v>
          </cell>
          <cell r="G2633" t="str">
            <v>B4O-994</v>
          </cell>
          <cell r="H2633" t="str">
            <v>LAS BAMBAS</v>
          </cell>
          <cell r="I2633">
            <v>211537</v>
          </cell>
          <cell r="J2633" t="str">
            <v>REPUESTO</v>
          </cell>
          <cell r="K2633" t="str">
            <v>LIQUIDO REFRIGERANTE</v>
          </cell>
          <cell r="L2633">
            <v>10</v>
          </cell>
          <cell r="M2633" t="str">
            <v>GLNS.</v>
          </cell>
          <cell r="N2633" t="str">
            <v>TRACTO</v>
          </cell>
          <cell r="O2633">
            <v>0</v>
          </cell>
          <cell r="P2633" t="str">
            <v>M8</v>
          </cell>
          <cell r="Q2633" t="str">
            <v>J2</v>
          </cell>
          <cell r="R2633" t="str">
            <v>J6</v>
          </cell>
          <cell r="S2633" t="str">
            <v>ENTREGADO</v>
          </cell>
          <cell r="T2633">
            <v>42717</v>
          </cell>
          <cell r="U2633" t="str">
            <v>VARILLAS GAGO  OSCAR ALBERTO</v>
          </cell>
          <cell r="V2633" t="str">
            <v>CORIHUAMAN SURCO  ERICK ROBERT</v>
          </cell>
        </row>
        <row r="2634">
          <cell r="A2634">
            <v>2603</v>
          </cell>
          <cell r="B2634">
            <v>42717</v>
          </cell>
          <cell r="C2634" t="str">
            <v>DICIEMBRE</v>
          </cell>
          <cell r="D2634" t="str">
            <v>2016</v>
          </cell>
          <cell r="E2634">
            <v>506</v>
          </cell>
          <cell r="F2634" t="str">
            <v>D3P-754</v>
          </cell>
          <cell r="G2634" t="str">
            <v>C0V-971</v>
          </cell>
          <cell r="H2634" t="str">
            <v>LAS BAMBAS</v>
          </cell>
          <cell r="I2634">
            <v>163530</v>
          </cell>
          <cell r="J2634" t="str">
            <v>REPUESTO</v>
          </cell>
          <cell r="K2634" t="str">
            <v>SPRACY COLOR VERDE</v>
          </cell>
          <cell r="L2634">
            <v>1</v>
          </cell>
          <cell r="M2634" t="str">
            <v>UNID.</v>
          </cell>
          <cell r="N2634" t="str">
            <v>CISTERNA</v>
          </cell>
          <cell r="O2634">
            <v>0</v>
          </cell>
          <cell r="P2634" t="str">
            <v>S1</v>
          </cell>
          <cell r="Q2634" t="str">
            <v>J2</v>
          </cell>
          <cell r="R2634" t="str">
            <v>J6</v>
          </cell>
          <cell r="S2634" t="str">
            <v>ENTREGADO</v>
          </cell>
          <cell r="T2634">
            <v>42717</v>
          </cell>
          <cell r="U2634" t="str">
            <v>BAYONA CRUZ CRISTIAN ARMANDO</v>
          </cell>
          <cell r="V2634" t="str">
            <v>CORIHUAMAN SURCO  ERICK ROBERT</v>
          </cell>
        </row>
        <row r="2635">
          <cell r="A2635">
            <v>2605</v>
          </cell>
          <cell r="B2635">
            <v>42717</v>
          </cell>
          <cell r="C2635" t="str">
            <v>DICIEMBRE</v>
          </cell>
          <cell r="D2635" t="str">
            <v>2016</v>
          </cell>
          <cell r="E2635">
            <v>506</v>
          </cell>
          <cell r="F2635" t="str">
            <v>D3P-754</v>
          </cell>
          <cell r="G2635" t="str">
            <v>C0V-971</v>
          </cell>
          <cell r="H2635" t="str">
            <v>LAS BAMBAS</v>
          </cell>
          <cell r="I2635">
            <v>163530</v>
          </cell>
          <cell r="J2635" t="str">
            <v>REPUESTO</v>
          </cell>
          <cell r="K2635" t="str">
            <v>THINNER</v>
          </cell>
          <cell r="L2635">
            <v>0.2</v>
          </cell>
          <cell r="M2635" t="str">
            <v>GLNS.</v>
          </cell>
          <cell r="N2635" t="str">
            <v>CISTERNA</v>
          </cell>
          <cell r="O2635">
            <v>0</v>
          </cell>
          <cell r="P2635" t="str">
            <v>S1</v>
          </cell>
          <cell r="Q2635" t="str">
            <v>J2</v>
          </cell>
          <cell r="R2635" t="str">
            <v>J6</v>
          </cell>
          <cell r="S2635" t="str">
            <v>ENTREGADO</v>
          </cell>
          <cell r="T2635">
            <v>42717</v>
          </cell>
          <cell r="U2635" t="str">
            <v>BAYONA CRUZ CRISTIAN ARMANDO</v>
          </cell>
          <cell r="V2635" t="str">
            <v>CORIHUAMAN SURCO  ERICK ROBERT</v>
          </cell>
        </row>
        <row r="2636">
          <cell r="A2636">
            <v>2606</v>
          </cell>
          <cell r="B2636">
            <v>42717</v>
          </cell>
          <cell r="C2636" t="str">
            <v>DICIEMBRE</v>
          </cell>
          <cell r="D2636" t="str">
            <v>2016</v>
          </cell>
          <cell r="E2636">
            <v>506</v>
          </cell>
          <cell r="F2636" t="str">
            <v>D3P-754</v>
          </cell>
          <cell r="G2636" t="str">
            <v>C0V-971</v>
          </cell>
          <cell r="H2636" t="str">
            <v>LAS BAMBAS</v>
          </cell>
          <cell r="I2636">
            <v>163530</v>
          </cell>
          <cell r="J2636" t="str">
            <v>REPUESTO</v>
          </cell>
          <cell r="K2636" t="str">
            <v>SPRAY COLO BLANCO</v>
          </cell>
          <cell r="L2636">
            <v>1</v>
          </cell>
          <cell r="M2636" t="str">
            <v>UNID.</v>
          </cell>
          <cell r="N2636" t="str">
            <v>CISTERNA</v>
          </cell>
          <cell r="O2636">
            <v>73</v>
          </cell>
          <cell r="P2636" t="str">
            <v>S1</v>
          </cell>
          <cell r="Q2636" t="str">
            <v>J2</v>
          </cell>
          <cell r="R2636" t="str">
            <v>J6</v>
          </cell>
          <cell r="S2636" t="str">
            <v>ENTREGADO</v>
          </cell>
          <cell r="T2636">
            <v>0</v>
          </cell>
          <cell r="U2636" t="str">
            <v>BAYONA CRUZ CRISTIAN ARMANDO</v>
          </cell>
          <cell r="V2636" t="str">
            <v>CORIHUAMAN SURCO  ERICK ROBERT</v>
          </cell>
        </row>
        <row r="2637">
          <cell r="A2637">
            <v>2616</v>
          </cell>
          <cell r="B2637">
            <v>42717</v>
          </cell>
          <cell r="C2637" t="str">
            <v>DICIEMBRE</v>
          </cell>
          <cell r="D2637" t="str">
            <v>2016</v>
          </cell>
          <cell r="E2637">
            <v>506</v>
          </cell>
          <cell r="F2637" t="str">
            <v>D3P-754</v>
          </cell>
          <cell r="G2637" t="str">
            <v>C0V-971</v>
          </cell>
          <cell r="H2637" t="str">
            <v>LAS BAMBAS</v>
          </cell>
          <cell r="I2637">
            <v>163530</v>
          </cell>
          <cell r="J2637" t="str">
            <v>REPUESTO</v>
          </cell>
          <cell r="K2637" t="str">
            <v>GOMA LOCA</v>
          </cell>
          <cell r="L2637">
            <v>1</v>
          </cell>
          <cell r="M2637" t="str">
            <v>UNID.</v>
          </cell>
          <cell r="N2637" t="str">
            <v>CISTERNA</v>
          </cell>
          <cell r="O2637">
            <v>0</v>
          </cell>
          <cell r="P2637" t="str">
            <v>S3</v>
          </cell>
          <cell r="Q2637" t="str">
            <v>J2</v>
          </cell>
          <cell r="R2637" t="str">
            <v>J6</v>
          </cell>
          <cell r="S2637" t="str">
            <v>ENTREGADO</v>
          </cell>
          <cell r="T2637">
            <v>42717</v>
          </cell>
          <cell r="U2637" t="str">
            <v>JIMENEZ MACHACA JAVIER</v>
          </cell>
          <cell r="V2637" t="str">
            <v>CORIHUAMAN SURCO  ERICK ROBERT</v>
          </cell>
        </row>
        <row r="2638">
          <cell r="A2638">
            <v>2659</v>
          </cell>
          <cell r="B2638">
            <v>42717</v>
          </cell>
          <cell r="C2638" t="str">
            <v>DICIEMBRE</v>
          </cell>
          <cell r="D2638" t="str">
            <v>2016</v>
          </cell>
          <cell r="E2638">
            <v>574</v>
          </cell>
          <cell r="F2638" t="str">
            <v>D4X-872</v>
          </cell>
          <cell r="G2638" t="str">
            <v>B4P-976</v>
          </cell>
          <cell r="H2638" t="str">
            <v>LAS BAMBAS</v>
          </cell>
          <cell r="I2638">
            <v>184600</v>
          </cell>
          <cell r="J2638" t="str">
            <v>REPUESTO</v>
          </cell>
          <cell r="K2638" t="str">
            <v>ESPARRAGO</v>
          </cell>
          <cell r="L2638">
            <v>10</v>
          </cell>
          <cell r="M2638" t="str">
            <v>UNID.</v>
          </cell>
          <cell r="N2638" t="str">
            <v>CISTERNA</v>
          </cell>
          <cell r="O2638">
            <v>0</v>
          </cell>
          <cell r="P2638" t="str">
            <v>M3</v>
          </cell>
          <cell r="Q2638" t="str">
            <v>J2</v>
          </cell>
          <cell r="R2638" t="str">
            <v>J6</v>
          </cell>
          <cell r="S2638" t="str">
            <v>ENTREGADO</v>
          </cell>
          <cell r="T2638">
            <v>42717</v>
          </cell>
          <cell r="U2638" t="str">
            <v>GARCIA PASQUEL  JOSE LUIS</v>
          </cell>
          <cell r="V2638" t="str">
            <v>CORIHUAMAN SURCO  ERICK ROBERT</v>
          </cell>
        </row>
        <row r="2639">
          <cell r="A2639">
            <v>2660</v>
          </cell>
          <cell r="B2639">
            <v>42717</v>
          </cell>
          <cell r="C2639" t="str">
            <v>DICIEMBRE</v>
          </cell>
          <cell r="D2639" t="str">
            <v>2016</v>
          </cell>
          <cell r="E2639">
            <v>574</v>
          </cell>
          <cell r="F2639" t="str">
            <v>D4X-872</v>
          </cell>
          <cell r="G2639" t="str">
            <v>B4P-976</v>
          </cell>
          <cell r="H2639" t="str">
            <v>LAS BAMBAS</v>
          </cell>
          <cell r="I2639">
            <v>184600</v>
          </cell>
          <cell r="J2639" t="str">
            <v>REPUESTO</v>
          </cell>
          <cell r="K2639" t="str">
            <v>TUERCA DE ESPARRAGO</v>
          </cell>
          <cell r="L2639">
            <v>10</v>
          </cell>
          <cell r="M2639" t="str">
            <v>UNID.</v>
          </cell>
          <cell r="N2639" t="str">
            <v>CISTERNA</v>
          </cell>
          <cell r="O2639">
            <v>0</v>
          </cell>
          <cell r="P2639" t="str">
            <v>M3</v>
          </cell>
          <cell r="Q2639" t="str">
            <v>J2</v>
          </cell>
          <cell r="R2639" t="str">
            <v>J6</v>
          </cell>
          <cell r="S2639" t="str">
            <v>ENTREGADO</v>
          </cell>
          <cell r="T2639">
            <v>42717</v>
          </cell>
          <cell r="U2639" t="str">
            <v>GARCIA PASQUEL  JOSE LUIS</v>
          </cell>
          <cell r="V2639" t="str">
            <v>CORIHUAMAN SURCO  ERICK ROBERT</v>
          </cell>
        </row>
        <row r="2640">
          <cell r="A2640">
            <v>2593</v>
          </cell>
          <cell r="B2640">
            <v>42717</v>
          </cell>
          <cell r="C2640" t="str">
            <v>DICIEMBRE</v>
          </cell>
          <cell r="D2640" t="str">
            <v>2016</v>
          </cell>
          <cell r="E2640">
            <v>577</v>
          </cell>
          <cell r="F2640" t="str">
            <v>D6F-898</v>
          </cell>
          <cell r="G2640" t="str">
            <v>T4L-996</v>
          </cell>
          <cell r="H2640" t="str">
            <v>LAS BAMBAS</v>
          </cell>
          <cell r="I2640">
            <v>162871</v>
          </cell>
          <cell r="J2640" t="str">
            <v>REPUESTO</v>
          </cell>
          <cell r="K2640" t="str">
            <v>PERNO 3/8 X 6</v>
          </cell>
          <cell r="L2640">
            <v>1</v>
          </cell>
          <cell r="M2640" t="str">
            <v>UNID.</v>
          </cell>
          <cell r="N2640" t="str">
            <v>TRACTO</v>
          </cell>
          <cell r="O2640">
            <v>0</v>
          </cell>
          <cell r="P2640" t="str">
            <v>E1</v>
          </cell>
          <cell r="Q2640" t="str">
            <v>J2</v>
          </cell>
          <cell r="R2640" t="str">
            <v>J6</v>
          </cell>
          <cell r="S2640" t="str">
            <v>ENTREGADO</v>
          </cell>
          <cell r="T2640">
            <v>42717</v>
          </cell>
          <cell r="U2640" t="str">
            <v>PALOMINO CARDENAS JUAN CARLOS</v>
          </cell>
          <cell r="V2640" t="str">
            <v>CORIHUAMAN SURCO  ERICK ROBERT</v>
          </cell>
        </row>
        <row r="2641">
          <cell r="A2641">
            <v>2594</v>
          </cell>
          <cell r="B2641">
            <v>42717</v>
          </cell>
          <cell r="C2641" t="str">
            <v>DICIEMBRE</v>
          </cell>
          <cell r="D2641" t="str">
            <v>2016</v>
          </cell>
          <cell r="E2641">
            <v>577</v>
          </cell>
          <cell r="F2641" t="str">
            <v>D6F-898</v>
          </cell>
          <cell r="G2641" t="str">
            <v>T4L-996</v>
          </cell>
          <cell r="H2641" t="str">
            <v>LAS BAMBAS</v>
          </cell>
          <cell r="I2641">
            <v>162871</v>
          </cell>
          <cell r="J2641" t="str">
            <v>REPUESTO</v>
          </cell>
          <cell r="K2641" t="str">
            <v>PERNO 3/8 X 4</v>
          </cell>
          <cell r="L2641">
            <v>1</v>
          </cell>
          <cell r="M2641" t="str">
            <v>UNID.</v>
          </cell>
          <cell r="N2641" t="str">
            <v>TRACTO</v>
          </cell>
          <cell r="O2641">
            <v>0</v>
          </cell>
          <cell r="P2641" t="str">
            <v>E1</v>
          </cell>
          <cell r="Q2641" t="str">
            <v>J2</v>
          </cell>
          <cell r="R2641" t="str">
            <v>J6</v>
          </cell>
          <cell r="S2641" t="str">
            <v>ENTREGADO</v>
          </cell>
          <cell r="T2641">
            <v>42717</v>
          </cell>
          <cell r="U2641" t="str">
            <v>PALOMINO CARDENAS JUAN CARLOS</v>
          </cell>
          <cell r="V2641" t="str">
            <v>CORIHUAMAN SURCO  ERICK ROBERT</v>
          </cell>
        </row>
        <row r="2642">
          <cell r="A2642">
            <v>2595</v>
          </cell>
          <cell r="B2642">
            <v>42717</v>
          </cell>
          <cell r="C2642" t="str">
            <v>DICIEMBRE</v>
          </cell>
          <cell r="D2642" t="str">
            <v>2016</v>
          </cell>
          <cell r="E2642">
            <v>577</v>
          </cell>
          <cell r="F2642" t="str">
            <v>D6F-898</v>
          </cell>
          <cell r="G2642" t="str">
            <v>T4L-996</v>
          </cell>
          <cell r="H2642" t="str">
            <v>LAS BAMBAS</v>
          </cell>
          <cell r="I2642">
            <v>162871</v>
          </cell>
          <cell r="J2642" t="str">
            <v>REPUESTO</v>
          </cell>
          <cell r="K2642" t="str">
            <v>ARANDELA PLANA 3/8</v>
          </cell>
          <cell r="L2642">
            <v>2</v>
          </cell>
          <cell r="M2642" t="str">
            <v>UNID.</v>
          </cell>
          <cell r="N2642" t="str">
            <v>TRACTO</v>
          </cell>
          <cell r="O2642">
            <v>0</v>
          </cell>
          <cell r="P2642" t="str">
            <v>E1</v>
          </cell>
          <cell r="Q2642" t="str">
            <v>J2</v>
          </cell>
          <cell r="R2642" t="str">
            <v>J6</v>
          </cell>
          <cell r="S2642" t="str">
            <v>ENTREGADO</v>
          </cell>
          <cell r="T2642">
            <v>42717</v>
          </cell>
          <cell r="U2642" t="str">
            <v>PALOMINO CARDENAS JUAN CARLOS</v>
          </cell>
          <cell r="V2642" t="str">
            <v>CORIHUAMAN SURCO  ERICK ROBERT</v>
          </cell>
        </row>
        <row r="2643">
          <cell r="A2643">
            <v>2596</v>
          </cell>
          <cell r="B2643">
            <v>42717</v>
          </cell>
          <cell r="C2643" t="str">
            <v>DICIEMBRE</v>
          </cell>
          <cell r="D2643" t="str">
            <v>2016</v>
          </cell>
          <cell r="E2643">
            <v>577</v>
          </cell>
          <cell r="F2643" t="str">
            <v>D6F-898</v>
          </cell>
          <cell r="G2643" t="str">
            <v>T4L-996</v>
          </cell>
          <cell r="H2643" t="str">
            <v>LAS BAMBAS</v>
          </cell>
          <cell r="I2643">
            <v>162871</v>
          </cell>
          <cell r="J2643" t="str">
            <v>REPUESTO</v>
          </cell>
          <cell r="K2643" t="str">
            <v>TUERCA SEGURO 3/8</v>
          </cell>
          <cell r="L2643">
            <v>2</v>
          </cell>
          <cell r="M2643" t="str">
            <v>UNID.</v>
          </cell>
          <cell r="N2643" t="str">
            <v>TRACTO</v>
          </cell>
          <cell r="O2643">
            <v>0</v>
          </cell>
          <cell r="P2643" t="str">
            <v>E1</v>
          </cell>
          <cell r="Q2643" t="str">
            <v>J2</v>
          </cell>
          <cell r="R2643" t="str">
            <v>J6</v>
          </cell>
          <cell r="S2643" t="str">
            <v>ENTREGADO</v>
          </cell>
          <cell r="T2643">
            <v>42717</v>
          </cell>
          <cell r="U2643" t="str">
            <v>PALOMINO CARDENAS JUAN CARLOS</v>
          </cell>
          <cell r="V2643" t="str">
            <v>CORIHUAMAN SURCO  ERICK ROBERT</v>
          </cell>
        </row>
        <row r="2644">
          <cell r="A2644">
            <v>2613</v>
          </cell>
          <cell r="B2644">
            <v>42717</v>
          </cell>
          <cell r="C2644" t="str">
            <v>DICIEMBRE</v>
          </cell>
          <cell r="D2644" t="str">
            <v>2016</v>
          </cell>
          <cell r="E2644">
            <v>577</v>
          </cell>
          <cell r="F2644" t="str">
            <v>D6F-898</v>
          </cell>
          <cell r="G2644" t="str">
            <v>T4L-996</v>
          </cell>
          <cell r="H2644" t="str">
            <v>LAS BAMBAS</v>
          </cell>
          <cell r="I2644">
            <v>162871</v>
          </cell>
          <cell r="J2644" t="str">
            <v>REPUESTO</v>
          </cell>
          <cell r="K2644" t="str">
            <v>PARCHE RACK 10</v>
          </cell>
          <cell r="L2644">
            <v>1</v>
          </cell>
          <cell r="M2644" t="str">
            <v>UNID.</v>
          </cell>
          <cell r="N2644" t="str">
            <v>TRACTO</v>
          </cell>
          <cell r="O2644">
            <v>0</v>
          </cell>
          <cell r="P2644" t="str">
            <v>N1</v>
          </cell>
          <cell r="Q2644" t="str">
            <v>J2</v>
          </cell>
          <cell r="R2644" t="str">
            <v>J6</v>
          </cell>
          <cell r="S2644" t="str">
            <v>ENTREGADO</v>
          </cell>
          <cell r="T2644">
            <v>42717</v>
          </cell>
          <cell r="U2644" t="str">
            <v>AGUILAR CCANTUTA WILLY</v>
          </cell>
          <cell r="V2644" t="str">
            <v>CORIHUAMAN SURCO  ERICK ROBERT</v>
          </cell>
        </row>
        <row r="2645">
          <cell r="A2645">
            <v>2621</v>
          </cell>
          <cell r="B2645">
            <v>42717</v>
          </cell>
          <cell r="C2645" t="str">
            <v>DICIEMBRE</v>
          </cell>
          <cell r="D2645" t="str">
            <v>2016</v>
          </cell>
          <cell r="E2645">
            <v>577</v>
          </cell>
          <cell r="F2645" t="str">
            <v>D6F-898</v>
          </cell>
          <cell r="G2645" t="str">
            <v>T4L-996</v>
          </cell>
          <cell r="H2645" t="str">
            <v>LAS BAMBAS</v>
          </cell>
          <cell r="I2645">
            <v>162871</v>
          </cell>
          <cell r="J2645" t="str">
            <v>REPUESTO</v>
          </cell>
          <cell r="K2645" t="str">
            <v xml:space="preserve">TUERCA SEGURO 3/8 </v>
          </cell>
          <cell r="L2645">
            <v>12</v>
          </cell>
          <cell r="M2645" t="str">
            <v>UNID.</v>
          </cell>
          <cell r="N2645" t="str">
            <v>TRACTO</v>
          </cell>
          <cell r="O2645">
            <v>0</v>
          </cell>
          <cell r="P2645" t="str">
            <v>E1</v>
          </cell>
          <cell r="Q2645" t="str">
            <v>J2</v>
          </cell>
          <cell r="R2645" t="str">
            <v>J6</v>
          </cell>
          <cell r="S2645" t="str">
            <v>ENTREGADO</v>
          </cell>
          <cell r="T2645">
            <v>42717</v>
          </cell>
          <cell r="U2645" t="str">
            <v>PALOMINO CARDENAS JUAN CARLOS</v>
          </cell>
          <cell r="V2645" t="str">
            <v>CORIHUAMAN SURCO  ERICK ROBERT</v>
          </cell>
        </row>
        <row r="2646">
          <cell r="A2646">
            <v>2617</v>
          </cell>
          <cell r="B2646">
            <v>42717</v>
          </cell>
          <cell r="C2646" t="str">
            <v>DICIEMBRE</v>
          </cell>
          <cell r="D2646" t="str">
            <v>2016</v>
          </cell>
          <cell r="E2646">
            <v>572</v>
          </cell>
          <cell r="F2646" t="str">
            <v>D6F-907</v>
          </cell>
          <cell r="G2646" t="str">
            <v>T2Y-979</v>
          </cell>
          <cell r="H2646" t="str">
            <v>LAS BAMBAS</v>
          </cell>
          <cell r="I2646">
            <v>200791</v>
          </cell>
          <cell r="J2646" t="str">
            <v>REPUESTO</v>
          </cell>
          <cell r="K2646" t="str">
            <v>PARCHE RACK 10</v>
          </cell>
          <cell r="L2646">
            <v>2</v>
          </cell>
          <cell r="M2646" t="str">
            <v>UNID.</v>
          </cell>
          <cell r="N2646" t="str">
            <v>TRACTO</v>
          </cell>
          <cell r="O2646">
            <v>0</v>
          </cell>
          <cell r="P2646" t="str">
            <v>N2</v>
          </cell>
          <cell r="Q2646" t="str">
            <v>J2</v>
          </cell>
          <cell r="R2646" t="str">
            <v>J6</v>
          </cell>
          <cell r="S2646" t="str">
            <v>ENTREGADO</v>
          </cell>
          <cell r="T2646">
            <v>42717</v>
          </cell>
          <cell r="U2646" t="str">
            <v>MAMANI LARICO  EDUARDO ALVARO</v>
          </cell>
          <cell r="V2646" t="str">
            <v>CORIHUAMAN SURCO  ERICK ROBERT</v>
          </cell>
        </row>
        <row r="2647">
          <cell r="A2647">
            <v>2652</v>
          </cell>
          <cell r="B2647">
            <v>42717</v>
          </cell>
          <cell r="C2647" t="str">
            <v>DICIEMBRE</v>
          </cell>
          <cell r="D2647" t="str">
            <v>2016</v>
          </cell>
          <cell r="E2647">
            <v>549</v>
          </cell>
          <cell r="F2647" t="str">
            <v>D7N-755</v>
          </cell>
          <cell r="G2647" t="str">
            <v>F7L-983</v>
          </cell>
          <cell r="H2647" t="str">
            <v>LAS BAMBAS</v>
          </cell>
          <cell r="I2647">
            <v>50050</v>
          </cell>
          <cell r="J2647" t="str">
            <v>REPUESTO</v>
          </cell>
          <cell r="K2647" t="str">
            <v>FARO PIRATA</v>
          </cell>
          <cell r="L2647">
            <v>2</v>
          </cell>
          <cell r="M2647" t="str">
            <v>UNID.</v>
          </cell>
          <cell r="N2647" t="str">
            <v>CISTERNA</v>
          </cell>
          <cell r="O2647">
            <v>73</v>
          </cell>
          <cell r="P2647" t="str">
            <v>J1</v>
          </cell>
          <cell r="Q2647" t="str">
            <v>J7</v>
          </cell>
          <cell r="R2647" t="str">
            <v>J6</v>
          </cell>
          <cell r="S2647" t="str">
            <v>ENTREGADO</v>
          </cell>
          <cell r="T2647">
            <v>0</v>
          </cell>
          <cell r="U2647" t="str">
            <v>FLOREZ CONDORI  JOSE WILLIANS</v>
          </cell>
          <cell r="V2647" t="str">
            <v>DONAYRE INGA PEDRO</v>
          </cell>
        </row>
        <row r="2648">
          <cell r="A2648">
            <v>2651</v>
          </cell>
          <cell r="B2648">
            <v>42717</v>
          </cell>
          <cell r="C2648" t="str">
            <v>DICIEMBRE</v>
          </cell>
          <cell r="D2648" t="str">
            <v>2016</v>
          </cell>
          <cell r="E2648">
            <v>555</v>
          </cell>
          <cell r="F2648" t="str">
            <v>D7V-714</v>
          </cell>
          <cell r="G2648" t="str">
            <v>F7M-971</v>
          </cell>
          <cell r="H2648" t="str">
            <v>LAS BAMBAS</v>
          </cell>
          <cell r="I2648">
            <v>49720</v>
          </cell>
          <cell r="J2648" t="str">
            <v>REPUESTO</v>
          </cell>
          <cell r="K2648" t="str">
            <v>FARO PIRATA</v>
          </cell>
          <cell r="L2648">
            <v>2</v>
          </cell>
          <cell r="M2648" t="str">
            <v>UNID.</v>
          </cell>
          <cell r="N2648" t="str">
            <v>CISTERNA</v>
          </cell>
          <cell r="O2648">
            <v>73</v>
          </cell>
          <cell r="P2648" t="str">
            <v>J1</v>
          </cell>
          <cell r="Q2648" t="str">
            <v>J7</v>
          </cell>
          <cell r="R2648" t="str">
            <v>J6</v>
          </cell>
          <cell r="S2648" t="str">
            <v>ENTREGADO</v>
          </cell>
          <cell r="T2648">
            <v>0</v>
          </cell>
          <cell r="U2648" t="str">
            <v>FLOREZ CONDORI  JOSE WILLIANS</v>
          </cell>
          <cell r="V2648" t="str">
            <v>DONAYRE INGA PEDRO</v>
          </cell>
        </row>
        <row r="2649">
          <cell r="A2649">
            <v>2589</v>
          </cell>
          <cell r="B2649">
            <v>42717</v>
          </cell>
          <cell r="C2649" t="str">
            <v>DICIEMBRE</v>
          </cell>
          <cell r="D2649" t="str">
            <v>2016</v>
          </cell>
          <cell r="E2649">
            <v>200</v>
          </cell>
          <cell r="F2649" t="str">
            <v>TALLER</v>
          </cell>
          <cell r="G2649" t="str">
            <v>TALLER</v>
          </cell>
          <cell r="H2649" t="str">
            <v>TALLER</v>
          </cell>
          <cell r="I2649" t="str">
            <v>TALLER</v>
          </cell>
          <cell r="J2649" t="str">
            <v>INSUMO TALLER</v>
          </cell>
          <cell r="K2649" t="str">
            <v>MANGUERA 1/4</v>
          </cell>
          <cell r="L2649">
            <v>30</v>
          </cell>
          <cell r="M2649" t="str">
            <v>M</v>
          </cell>
          <cell r="N2649" t="str">
            <v>TALLER</v>
          </cell>
          <cell r="O2649">
            <v>0</v>
          </cell>
          <cell r="P2649" t="str">
            <v>J7</v>
          </cell>
          <cell r="Q2649" t="str">
            <v>J7</v>
          </cell>
          <cell r="R2649" t="str">
            <v>J6</v>
          </cell>
          <cell r="S2649" t="str">
            <v>ENTREGADO</v>
          </cell>
          <cell r="T2649">
            <v>42717</v>
          </cell>
          <cell r="U2649" t="str">
            <v>DONAYRE INGA PEDRO</v>
          </cell>
          <cell r="V2649" t="str">
            <v>DONAYRE INGA PEDRO</v>
          </cell>
        </row>
        <row r="2650">
          <cell r="A2650">
            <v>2590</v>
          </cell>
          <cell r="B2650">
            <v>42717</v>
          </cell>
          <cell r="C2650" t="str">
            <v>DICIEMBRE</v>
          </cell>
          <cell r="D2650" t="str">
            <v>2016</v>
          </cell>
          <cell r="E2650">
            <v>200</v>
          </cell>
          <cell r="F2650" t="str">
            <v>TALLER</v>
          </cell>
          <cell r="G2650" t="str">
            <v>TALLER</v>
          </cell>
          <cell r="H2650" t="str">
            <v>TALLER</v>
          </cell>
          <cell r="I2650" t="str">
            <v>TALLER</v>
          </cell>
          <cell r="J2650" t="str">
            <v>INSUMO TALLER</v>
          </cell>
          <cell r="K2650" t="str">
            <v>ACOPLE 1/4 HEMBRA</v>
          </cell>
          <cell r="L2650">
            <v>1</v>
          </cell>
          <cell r="M2650" t="str">
            <v>UNID.</v>
          </cell>
          <cell r="N2650" t="str">
            <v>TALLER</v>
          </cell>
          <cell r="O2650">
            <v>73</v>
          </cell>
          <cell r="P2650" t="str">
            <v>J7</v>
          </cell>
          <cell r="Q2650" t="str">
            <v>J7</v>
          </cell>
          <cell r="R2650" t="str">
            <v>J6</v>
          </cell>
          <cell r="S2650" t="str">
            <v>PENDIENTE</v>
          </cell>
          <cell r="T2650">
            <v>0</v>
          </cell>
          <cell r="U2650" t="str">
            <v>DONAYRE INGA PEDRO</v>
          </cell>
          <cell r="V2650" t="str">
            <v>DONAYRE INGA PEDRO</v>
          </cell>
        </row>
        <row r="2651">
          <cell r="A2651">
            <v>2591</v>
          </cell>
          <cell r="B2651">
            <v>42717</v>
          </cell>
          <cell r="C2651" t="str">
            <v>DICIEMBRE</v>
          </cell>
          <cell r="D2651" t="str">
            <v>2016</v>
          </cell>
          <cell r="E2651">
            <v>200</v>
          </cell>
          <cell r="F2651" t="str">
            <v>TALLER</v>
          </cell>
          <cell r="G2651" t="str">
            <v>TALLER</v>
          </cell>
          <cell r="H2651" t="str">
            <v>TALLER</v>
          </cell>
          <cell r="I2651" t="str">
            <v>TALLER</v>
          </cell>
          <cell r="J2651" t="str">
            <v>INSUMO TALLER</v>
          </cell>
          <cell r="K2651" t="str">
            <v>ACOPLE 1/4 MACHO</v>
          </cell>
          <cell r="L2651">
            <v>1</v>
          </cell>
          <cell r="M2651" t="str">
            <v>UNID.</v>
          </cell>
          <cell r="N2651" t="str">
            <v>TALLER</v>
          </cell>
          <cell r="O2651">
            <v>73</v>
          </cell>
          <cell r="P2651" t="str">
            <v>J7</v>
          </cell>
          <cell r="Q2651" t="str">
            <v>J7</v>
          </cell>
          <cell r="R2651" t="str">
            <v>J6</v>
          </cell>
          <cell r="S2651" t="str">
            <v>PENDIENTE</v>
          </cell>
          <cell r="T2651">
            <v>0</v>
          </cell>
          <cell r="U2651" t="str">
            <v>DONAYRE INGA PEDRO</v>
          </cell>
          <cell r="V2651" t="str">
            <v>DONAYRE INGA PEDRO</v>
          </cell>
        </row>
        <row r="2652">
          <cell r="A2652">
            <v>2592</v>
          </cell>
          <cell r="B2652">
            <v>42717</v>
          </cell>
          <cell r="C2652" t="str">
            <v>DICIEMBRE</v>
          </cell>
          <cell r="D2652" t="str">
            <v>2016</v>
          </cell>
          <cell r="E2652">
            <v>200</v>
          </cell>
          <cell r="F2652" t="str">
            <v>TALLER</v>
          </cell>
          <cell r="G2652" t="str">
            <v>TALLER</v>
          </cell>
          <cell r="H2652" t="str">
            <v>TALLER</v>
          </cell>
          <cell r="I2652" t="str">
            <v>TALLER</v>
          </cell>
          <cell r="J2652" t="str">
            <v>UNIFORMES</v>
          </cell>
          <cell r="K2652" t="str">
            <v>TAIVEX "L"</v>
          </cell>
          <cell r="L2652">
            <v>1</v>
          </cell>
          <cell r="M2652" t="str">
            <v>UNID.</v>
          </cell>
          <cell r="N2652" t="str">
            <v>TALLER</v>
          </cell>
          <cell r="O2652">
            <v>0</v>
          </cell>
          <cell r="P2652" t="str">
            <v>M3</v>
          </cell>
          <cell r="Q2652" t="str">
            <v>J2</v>
          </cell>
          <cell r="R2652" t="str">
            <v>J6</v>
          </cell>
          <cell r="S2652" t="str">
            <v>ENTREGADO</v>
          </cell>
          <cell r="T2652">
            <v>42717</v>
          </cell>
          <cell r="U2652" t="str">
            <v>GARCIA PASQUEL  JOSE LUIS</v>
          </cell>
          <cell r="V2652" t="str">
            <v>CORIHUAMAN SURCO  ERICK ROBERT</v>
          </cell>
        </row>
        <row r="2653">
          <cell r="A2653">
            <v>2599</v>
          </cell>
          <cell r="B2653">
            <v>42717</v>
          </cell>
          <cell r="C2653" t="str">
            <v>DICIEMBRE</v>
          </cell>
          <cell r="D2653" t="str">
            <v>2016</v>
          </cell>
          <cell r="E2653">
            <v>200</v>
          </cell>
          <cell r="F2653" t="str">
            <v>TALLER</v>
          </cell>
          <cell r="G2653" t="str">
            <v>TALLER</v>
          </cell>
          <cell r="H2653" t="str">
            <v>TALLER</v>
          </cell>
          <cell r="I2653" t="str">
            <v>TALLER</v>
          </cell>
          <cell r="J2653" t="str">
            <v>INSUMO TALLER</v>
          </cell>
          <cell r="K2653" t="str">
            <v>CINTA NEGRA AISLANTE</v>
          </cell>
          <cell r="L2653">
            <v>1</v>
          </cell>
          <cell r="M2653" t="str">
            <v>UNID.</v>
          </cell>
          <cell r="N2653" t="str">
            <v>TALLER</v>
          </cell>
          <cell r="O2653">
            <v>0</v>
          </cell>
          <cell r="P2653" t="str">
            <v>E2</v>
          </cell>
          <cell r="Q2653" t="str">
            <v>J2</v>
          </cell>
          <cell r="R2653" t="str">
            <v>J6</v>
          </cell>
          <cell r="S2653" t="str">
            <v>ENTREGADO</v>
          </cell>
          <cell r="T2653">
            <v>42717</v>
          </cell>
          <cell r="U2653" t="str">
            <v>YUCA BELLIDO BORIS YERSY</v>
          </cell>
          <cell r="V2653" t="str">
            <v>CORIHUAMAN SURCO  ERICK ROBERT</v>
          </cell>
        </row>
        <row r="2654">
          <cell r="A2654">
            <v>2608</v>
          </cell>
          <cell r="B2654">
            <v>42717</v>
          </cell>
          <cell r="C2654" t="str">
            <v>DICIEMBRE</v>
          </cell>
          <cell r="D2654" t="str">
            <v>2016</v>
          </cell>
          <cell r="E2654">
            <v>200</v>
          </cell>
          <cell r="F2654" t="str">
            <v>TALLER</v>
          </cell>
          <cell r="G2654" t="str">
            <v>TALLER</v>
          </cell>
          <cell r="H2654" t="str">
            <v>TALLER</v>
          </cell>
          <cell r="I2654" t="str">
            <v>TALLER</v>
          </cell>
          <cell r="J2654" t="str">
            <v>REPUESTO</v>
          </cell>
          <cell r="K2654" t="str">
            <v>CELLOCORD 1/8</v>
          </cell>
          <cell r="L2654">
            <v>5</v>
          </cell>
          <cell r="M2654" t="str">
            <v>KG.</v>
          </cell>
          <cell r="N2654" t="str">
            <v>TALLER</v>
          </cell>
          <cell r="O2654">
            <v>0</v>
          </cell>
          <cell r="P2654" t="str">
            <v>S2</v>
          </cell>
          <cell r="Q2654" t="str">
            <v>J2</v>
          </cell>
          <cell r="R2654" t="str">
            <v>J6</v>
          </cell>
          <cell r="S2654" t="str">
            <v>ENTREGADO</v>
          </cell>
          <cell r="T2654">
            <v>42717</v>
          </cell>
          <cell r="U2654" t="str">
            <v>PALOMINO ESTRADA  MICHEL</v>
          </cell>
          <cell r="V2654" t="str">
            <v>CORIHUAMAN SURCO  ERICK ROBERT</v>
          </cell>
        </row>
        <row r="2655">
          <cell r="A2655">
            <v>2624</v>
          </cell>
          <cell r="B2655">
            <v>42717</v>
          </cell>
          <cell r="C2655" t="str">
            <v>DICIEMBRE</v>
          </cell>
          <cell r="D2655" t="str">
            <v>2016</v>
          </cell>
          <cell r="E2655">
            <v>200</v>
          </cell>
          <cell r="F2655" t="str">
            <v>TALLER</v>
          </cell>
          <cell r="G2655" t="str">
            <v>TALLER</v>
          </cell>
          <cell r="H2655" t="str">
            <v>TALLER</v>
          </cell>
          <cell r="I2655" t="str">
            <v>TALLER</v>
          </cell>
          <cell r="J2655" t="str">
            <v>INSUMO TALLER</v>
          </cell>
          <cell r="K2655" t="str">
            <v>SPRAY COLOR VERDE</v>
          </cell>
          <cell r="L2655">
            <v>1</v>
          </cell>
          <cell r="M2655" t="str">
            <v>UNID.</v>
          </cell>
          <cell r="N2655" t="str">
            <v>TALLER</v>
          </cell>
          <cell r="O2655">
            <v>0</v>
          </cell>
          <cell r="P2655" t="str">
            <v>S3</v>
          </cell>
          <cell r="Q2655" t="str">
            <v>J2</v>
          </cell>
          <cell r="R2655" t="str">
            <v>J6</v>
          </cell>
          <cell r="S2655" t="str">
            <v>ENTREGADO</v>
          </cell>
          <cell r="T2655">
            <v>42717</v>
          </cell>
          <cell r="U2655" t="str">
            <v>JIMENEZ MACHACA JAVIER</v>
          </cell>
          <cell r="V2655" t="str">
            <v>CORIHUAMAN SURCO  ERICK ROBERT</v>
          </cell>
        </row>
        <row r="2656">
          <cell r="A2656">
            <v>2625</v>
          </cell>
          <cell r="B2656">
            <v>42717</v>
          </cell>
          <cell r="C2656" t="str">
            <v>DICIEMBRE</v>
          </cell>
          <cell r="D2656" t="str">
            <v>2016</v>
          </cell>
          <cell r="E2656">
            <v>200</v>
          </cell>
          <cell r="F2656" t="str">
            <v>TALLER</v>
          </cell>
          <cell r="G2656" t="str">
            <v>TALLER</v>
          </cell>
          <cell r="H2656" t="str">
            <v>TALLER</v>
          </cell>
          <cell r="I2656" t="str">
            <v>TALLER</v>
          </cell>
          <cell r="J2656" t="str">
            <v>INSUMO TALLER</v>
          </cell>
          <cell r="K2656" t="str">
            <v>TIZA DE CALDERO</v>
          </cell>
          <cell r="L2656">
            <v>1</v>
          </cell>
          <cell r="M2656" t="str">
            <v>UNID.</v>
          </cell>
          <cell r="N2656" t="str">
            <v>TALLER</v>
          </cell>
          <cell r="O2656">
            <v>0</v>
          </cell>
          <cell r="P2656" t="str">
            <v>S3</v>
          </cell>
          <cell r="Q2656" t="str">
            <v>J2</v>
          </cell>
          <cell r="R2656" t="str">
            <v>J6</v>
          </cell>
          <cell r="S2656" t="str">
            <v>ENTREGADO</v>
          </cell>
          <cell r="T2656">
            <v>42717</v>
          </cell>
          <cell r="U2656" t="str">
            <v>JIMENEZ MACHACA JAVIER</v>
          </cell>
          <cell r="V2656" t="str">
            <v>CORIHUAMAN SURCO  ERICK ROBERT</v>
          </cell>
        </row>
        <row r="2657">
          <cell r="A2657">
            <v>2630</v>
          </cell>
          <cell r="B2657">
            <v>42717</v>
          </cell>
          <cell r="C2657" t="str">
            <v>DICIEMBRE</v>
          </cell>
          <cell r="D2657" t="str">
            <v>2016</v>
          </cell>
          <cell r="E2657">
            <v>200</v>
          </cell>
          <cell r="F2657" t="str">
            <v>TALLER</v>
          </cell>
          <cell r="G2657" t="str">
            <v>TALLER</v>
          </cell>
          <cell r="H2657" t="str">
            <v>TALLER</v>
          </cell>
          <cell r="I2657" t="str">
            <v>TALLER</v>
          </cell>
          <cell r="J2657" t="str">
            <v>HERRAMIENTAS</v>
          </cell>
          <cell r="K2657" t="str">
            <v>LUNAS TRANSPARENTES</v>
          </cell>
          <cell r="L2657">
            <v>2</v>
          </cell>
          <cell r="M2657" t="str">
            <v>UNID.</v>
          </cell>
          <cell r="N2657" t="str">
            <v>TALLER</v>
          </cell>
          <cell r="O2657">
            <v>0</v>
          </cell>
          <cell r="P2657" t="str">
            <v>S4</v>
          </cell>
          <cell r="Q2657" t="str">
            <v>J2</v>
          </cell>
          <cell r="R2657" t="str">
            <v>J6</v>
          </cell>
          <cell r="S2657" t="str">
            <v>ENTREGADO</v>
          </cell>
          <cell r="T2657">
            <v>42717</v>
          </cell>
          <cell r="U2657" t="str">
            <v>SURCO QUISPE JOHNNY</v>
          </cell>
          <cell r="V2657" t="str">
            <v>CORIHUAMAN SURCO  ERICK ROBERT</v>
          </cell>
        </row>
        <row r="2658">
          <cell r="A2658">
            <v>2635</v>
          </cell>
          <cell r="B2658">
            <v>42717</v>
          </cell>
          <cell r="C2658" t="str">
            <v>DICIEMBRE</v>
          </cell>
          <cell r="D2658" t="str">
            <v>2016</v>
          </cell>
          <cell r="E2658">
            <v>200</v>
          </cell>
          <cell r="F2658" t="str">
            <v>TALLER</v>
          </cell>
          <cell r="G2658" t="str">
            <v>TALLER</v>
          </cell>
          <cell r="H2658" t="str">
            <v>TALLER</v>
          </cell>
          <cell r="I2658" t="str">
            <v>TALLER</v>
          </cell>
          <cell r="J2658" t="str">
            <v>REPUESTO</v>
          </cell>
          <cell r="K2658" t="str">
            <v>ABRAZADERA 3/4</v>
          </cell>
          <cell r="L2658">
            <v>1</v>
          </cell>
          <cell r="M2658" t="str">
            <v>UNID.</v>
          </cell>
          <cell r="N2658" t="str">
            <v>TALLER</v>
          </cell>
          <cell r="O2658">
            <v>0</v>
          </cell>
          <cell r="P2658" t="str">
            <v>S3</v>
          </cell>
          <cell r="Q2658" t="str">
            <v>J2</v>
          </cell>
          <cell r="R2658" t="str">
            <v>J6</v>
          </cell>
          <cell r="S2658" t="str">
            <v>ENTREGADO</v>
          </cell>
          <cell r="T2658">
            <v>42717</v>
          </cell>
          <cell r="U2658" t="str">
            <v>JIMENEZ MACHACA JAVIER</v>
          </cell>
          <cell r="V2658" t="str">
            <v>CORIHUAMAN SURCO  ERICK ROBERT</v>
          </cell>
        </row>
        <row r="2659">
          <cell r="A2659">
            <v>2636</v>
          </cell>
          <cell r="B2659">
            <v>42717</v>
          </cell>
          <cell r="C2659" t="str">
            <v>DICIEMBRE</v>
          </cell>
          <cell r="D2659" t="str">
            <v>2016</v>
          </cell>
          <cell r="E2659">
            <v>200</v>
          </cell>
          <cell r="F2659" t="str">
            <v>TALLER</v>
          </cell>
          <cell r="G2659" t="str">
            <v>TALLER</v>
          </cell>
          <cell r="H2659" t="str">
            <v>TALLER</v>
          </cell>
          <cell r="I2659" t="str">
            <v>TALLER</v>
          </cell>
          <cell r="J2659" t="str">
            <v>REPUESTO</v>
          </cell>
          <cell r="K2659" t="str">
            <v>THINNER</v>
          </cell>
          <cell r="L2659">
            <v>0.5</v>
          </cell>
          <cell r="M2659" t="str">
            <v>GLNS.</v>
          </cell>
          <cell r="N2659" t="str">
            <v>TALLER</v>
          </cell>
          <cell r="O2659">
            <v>0</v>
          </cell>
          <cell r="P2659" t="str">
            <v>S3</v>
          </cell>
          <cell r="Q2659" t="str">
            <v>J2</v>
          </cell>
          <cell r="R2659" t="str">
            <v>J6</v>
          </cell>
          <cell r="S2659" t="str">
            <v>ENTREGADO</v>
          </cell>
          <cell r="T2659">
            <v>42717</v>
          </cell>
          <cell r="U2659" t="str">
            <v>JIMENEZ MACHACA JAVIER</v>
          </cell>
          <cell r="V2659" t="str">
            <v>CORIHUAMAN SURCO  ERICK ROBERT</v>
          </cell>
        </row>
        <row r="2660">
          <cell r="A2660">
            <v>2638</v>
          </cell>
          <cell r="B2660">
            <v>42717</v>
          </cell>
          <cell r="C2660" t="str">
            <v>DICIEMBRE</v>
          </cell>
          <cell r="D2660" t="str">
            <v>2016</v>
          </cell>
          <cell r="E2660">
            <v>200</v>
          </cell>
          <cell r="F2660" t="str">
            <v>TALLER</v>
          </cell>
          <cell r="G2660" t="str">
            <v>TALLER</v>
          </cell>
          <cell r="H2660" t="str">
            <v>TALLER</v>
          </cell>
          <cell r="I2660" t="str">
            <v>TALLER</v>
          </cell>
          <cell r="J2660" t="str">
            <v>REPUESTO</v>
          </cell>
          <cell r="K2660" t="str">
            <v>LIJA NRO 80</v>
          </cell>
          <cell r="L2660">
            <v>1</v>
          </cell>
          <cell r="M2660" t="str">
            <v>UNID.</v>
          </cell>
          <cell r="N2660" t="str">
            <v>TALLER</v>
          </cell>
          <cell r="O2660">
            <v>0</v>
          </cell>
          <cell r="P2660" t="str">
            <v>S3</v>
          </cell>
          <cell r="Q2660" t="str">
            <v>J2</v>
          </cell>
          <cell r="R2660" t="str">
            <v>J6</v>
          </cell>
          <cell r="S2660" t="str">
            <v>ENTREGADO</v>
          </cell>
          <cell r="T2660">
            <v>42717</v>
          </cell>
          <cell r="U2660" t="str">
            <v>JIMENEZ MACHACA JAVIER</v>
          </cell>
          <cell r="V2660" t="str">
            <v>CORIHUAMAN SURCO  ERICK ROBERT</v>
          </cell>
        </row>
        <row r="2661">
          <cell r="A2661">
            <v>2661</v>
          </cell>
          <cell r="B2661">
            <v>42717</v>
          </cell>
          <cell r="C2661" t="str">
            <v>DICIEMBRE</v>
          </cell>
          <cell r="D2661" t="str">
            <v>2016</v>
          </cell>
          <cell r="E2661">
            <v>200</v>
          </cell>
          <cell r="F2661" t="str">
            <v>TALLER</v>
          </cell>
          <cell r="G2661" t="str">
            <v>TALLER</v>
          </cell>
          <cell r="H2661" t="str">
            <v>TALLER</v>
          </cell>
          <cell r="I2661" t="str">
            <v>TALLER</v>
          </cell>
          <cell r="J2661" t="str">
            <v>REPUESTO</v>
          </cell>
          <cell r="K2661" t="str">
            <v>TUBO CUADRADOS 1 1/2 X 2MM X 6M</v>
          </cell>
          <cell r="L2661">
            <v>12</v>
          </cell>
          <cell r="M2661" t="str">
            <v>UNID.</v>
          </cell>
          <cell r="N2661" t="str">
            <v>TALLER</v>
          </cell>
          <cell r="O2661">
            <v>73</v>
          </cell>
          <cell r="P2661" t="str">
            <v>S1</v>
          </cell>
          <cell r="Q2661" t="str">
            <v>J2</v>
          </cell>
          <cell r="R2661" t="str">
            <v>J6</v>
          </cell>
          <cell r="S2661" t="str">
            <v>PENDIENTE</v>
          </cell>
          <cell r="T2661">
            <v>0</v>
          </cell>
          <cell r="U2661" t="str">
            <v>BAYONA CRUZ CRISTIAN ARMANDO</v>
          </cell>
          <cell r="V2661" t="str">
            <v>CORIHUAMAN SURCO  ERICK ROBERT</v>
          </cell>
        </row>
        <row r="2662">
          <cell r="A2662">
            <v>2663</v>
          </cell>
          <cell r="B2662">
            <v>42717</v>
          </cell>
          <cell r="C2662" t="str">
            <v>DICIEMBRE</v>
          </cell>
          <cell r="D2662" t="str">
            <v>2016</v>
          </cell>
          <cell r="E2662">
            <v>200</v>
          </cell>
          <cell r="F2662" t="str">
            <v>TALLER</v>
          </cell>
          <cell r="G2662" t="str">
            <v>TALLER</v>
          </cell>
          <cell r="H2662" t="str">
            <v>TALLER</v>
          </cell>
          <cell r="I2662" t="str">
            <v>TALLER</v>
          </cell>
          <cell r="J2662" t="str">
            <v>INSUMO TALLER</v>
          </cell>
          <cell r="K2662" t="str">
            <v>ANGULO 1 1/2 X 1/8 X 6M</v>
          </cell>
          <cell r="L2662">
            <v>3</v>
          </cell>
          <cell r="M2662" t="str">
            <v>UNID.</v>
          </cell>
          <cell r="N2662" t="str">
            <v>TALLER</v>
          </cell>
          <cell r="O2662">
            <v>0</v>
          </cell>
          <cell r="P2662" t="str">
            <v>S1</v>
          </cell>
          <cell r="Q2662" t="str">
            <v>J2</v>
          </cell>
          <cell r="R2662" t="str">
            <v>J6</v>
          </cell>
          <cell r="S2662" t="str">
            <v>ENTREGADO</v>
          </cell>
          <cell r="T2662">
            <v>42717</v>
          </cell>
          <cell r="U2662" t="str">
            <v>BAYONA CRUZ CRISTIAN ARMANDO</v>
          </cell>
          <cell r="V2662" t="str">
            <v>CORIHUAMAN SURCO  ERICK ROBERT</v>
          </cell>
        </row>
        <row r="2663">
          <cell r="A2663">
            <v>2643</v>
          </cell>
          <cell r="B2663">
            <v>42717</v>
          </cell>
          <cell r="C2663" t="str">
            <v>DICIEMBRE</v>
          </cell>
          <cell r="D2663" t="str">
            <v>2016</v>
          </cell>
          <cell r="E2663">
            <v>427</v>
          </cell>
          <cell r="F2663" t="str">
            <v>X2W-759</v>
          </cell>
          <cell r="G2663" t="str">
            <v>C5V-999</v>
          </cell>
          <cell r="H2663" t="str">
            <v>LAS BAMBAS</v>
          </cell>
          <cell r="I2663">
            <v>153388</v>
          </cell>
          <cell r="J2663" t="str">
            <v>REPUESTO</v>
          </cell>
          <cell r="K2663" t="str">
            <v>FARO PIRATA</v>
          </cell>
          <cell r="L2663">
            <v>2</v>
          </cell>
          <cell r="M2663" t="str">
            <v>UNID.</v>
          </cell>
          <cell r="N2663" t="str">
            <v>CISTERNA</v>
          </cell>
          <cell r="O2663">
            <v>73</v>
          </cell>
          <cell r="P2663" t="str">
            <v>J1</v>
          </cell>
          <cell r="Q2663" t="str">
            <v>J7</v>
          </cell>
          <cell r="R2663" t="str">
            <v>J6</v>
          </cell>
          <cell r="S2663" t="str">
            <v>ENTREGADO</v>
          </cell>
          <cell r="T2663">
            <v>0</v>
          </cell>
          <cell r="U2663" t="str">
            <v>FLOREZ CONDORI  JOSE WILLIANS</v>
          </cell>
          <cell r="V2663" t="str">
            <v>DONAYRE INGA PEDRO</v>
          </cell>
        </row>
        <row r="2664">
          <cell r="A2664">
            <v>2634</v>
          </cell>
          <cell r="B2664">
            <v>42717</v>
          </cell>
          <cell r="C2664" t="str">
            <v>DICIEMBRE</v>
          </cell>
          <cell r="D2664" t="str">
            <v>2016</v>
          </cell>
          <cell r="E2664">
            <v>580</v>
          </cell>
          <cell r="F2664" t="str">
            <v>X2W-760</v>
          </cell>
          <cell r="G2664" t="str">
            <v>C5V-992</v>
          </cell>
          <cell r="H2664" t="str">
            <v>LAS BAMBAS</v>
          </cell>
          <cell r="I2664">
            <v>150909</v>
          </cell>
          <cell r="J2664" t="str">
            <v>REPUESTO</v>
          </cell>
          <cell r="K2664" t="str">
            <v>ACEITE 15W40</v>
          </cell>
          <cell r="L2664">
            <v>1</v>
          </cell>
          <cell r="M2664" t="str">
            <v>GLNS.</v>
          </cell>
          <cell r="N2664" t="str">
            <v>TRACTO</v>
          </cell>
          <cell r="O2664">
            <v>0</v>
          </cell>
          <cell r="P2664" t="str">
            <v>M6</v>
          </cell>
          <cell r="Q2664" t="str">
            <v>J2</v>
          </cell>
          <cell r="R2664" t="str">
            <v>J6</v>
          </cell>
          <cell r="S2664" t="str">
            <v>ENTREGADO</v>
          </cell>
          <cell r="T2664">
            <v>42717</v>
          </cell>
          <cell r="U2664" t="str">
            <v>PARI VENTURA  EDSON ORLANDO</v>
          </cell>
          <cell r="V2664" t="str">
            <v>CORIHUAMAN SURCO  ERICK ROBERT</v>
          </cell>
        </row>
        <row r="2665">
          <cell r="A2665">
            <v>2644</v>
          </cell>
          <cell r="B2665">
            <v>42717</v>
          </cell>
          <cell r="C2665" t="str">
            <v>DICIEMBRE</v>
          </cell>
          <cell r="D2665" t="str">
            <v>2016</v>
          </cell>
          <cell r="E2665">
            <v>580</v>
          </cell>
          <cell r="F2665" t="str">
            <v>X2W-760</v>
          </cell>
          <cell r="G2665" t="str">
            <v>C5V-992</v>
          </cell>
          <cell r="H2665" t="str">
            <v>LAS BAMBAS</v>
          </cell>
          <cell r="I2665">
            <v>150909</v>
          </cell>
          <cell r="J2665" t="str">
            <v>REPUESTO</v>
          </cell>
          <cell r="K2665" t="str">
            <v>FARO PIRATA</v>
          </cell>
          <cell r="L2665">
            <v>2</v>
          </cell>
          <cell r="M2665" t="str">
            <v>UNID.</v>
          </cell>
          <cell r="N2665" t="str">
            <v>CISTERNA</v>
          </cell>
          <cell r="O2665">
            <v>73</v>
          </cell>
          <cell r="P2665" t="str">
            <v>J1</v>
          </cell>
          <cell r="Q2665" t="str">
            <v>J7</v>
          </cell>
          <cell r="R2665" t="str">
            <v>J6</v>
          </cell>
          <cell r="S2665" t="str">
            <v>ENTREGADO</v>
          </cell>
          <cell r="T2665">
            <v>0</v>
          </cell>
          <cell r="U2665" t="str">
            <v>FLOREZ CONDORI  JOSE WILLIANS</v>
          </cell>
          <cell r="V2665" t="str">
            <v>DONAYRE INGA PEDRO</v>
          </cell>
        </row>
        <row r="2666">
          <cell r="A2666">
            <v>2653</v>
          </cell>
          <cell r="B2666">
            <v>42717</v>
          </cell>
          <cell r="C2666" t="str">
            <v>DICIEMBRE</v>
          </cell>
          <cell r="D2666" t="str">
            <v>2016</v>
          </cell>
          <cell r="E2666">
            <v>580</v>
          </cell>
          <cell r="F2666" t="str">
            <v>X2W-760</v>
          </cell>
          <cell r="G2666" t="str">
            <v>C5V-992</v>
          </cell>
          <cell r="H2666" t="str">
            <v>LAS BAMBAS</v>
          </cell>
          <cell r="I2666">
            <v>150909</v>
          </cell>
          <cell r="J2666" t="str">
            <v>REPUESTO</v>
          </cell>
          <cell r="K2666" t="str">
            <v>RELAY DE 12 V</v>
          </cell>
          <cell r="L2666">
            <v>1</v>
          </cell>
          <cell r="M2666" t="str">
            <v>UNID.</v>
          </cell>
          <cell r="N2666" t="str">
            <v>TRACTO</v>
          </cell>
          <cell r="O2666">
            <v>0</v>
          </cell>
          <cell r="P2666" t="str">
            <v>E1</v>
          </cell>
          <cell r="Q2666" t="str">
            <v>J2</v>
          </cell>
          <cell r="R2666" t="str">
            <v>J6</v>
          </cell>
          <cell r="S2666" t="str">
            <v>ENTREGADO</v>
          </cell>
          <cell r="T2666">
            <v>42717</v>
          </cell>
          <cell r="U2666" t="str">
            <v>PALOMINO CARDENAS JUAN CARLOS</v>
          </cell>
          <cell r="V2666" t="str">
            <v>CORIHUAMAN SURCO  ERICK ROBERT</v>
          </cell>
        </row>
        <row r="2667">
          <cell r="A2667">
            <v>2654</v>
          </cell>
          <cell r="B2667">
            <v>42717</v>
          </cell>
          <cell r="C2667" t="str">
            <v>DICIEMBRE</v>
          </cell>
          <cell r="D2667" t="str">
            <v>2016</v>
          </cell>
          <cell r="E2667">
            <v>580</v>
          </cell>
          <cell r="F2667" t="str">
            <v>X2W-760</v>
          </cell>
          <cell r="G2667" t="str">
            <v>C5V-992</v>
          </cell>
          <cell r="H2667" t="str">
            <v>LAS BAMBAS</v>
          </cell>
          <cell r="I2667">
            <v>150909</v>
          </cell>
          <cell r="J2667" t="str">
            <v>REPUESTO</v>
          </cell>
          <cell r="K2667" t="str">
            <v>TERMINALES DE ENCHUFE HEMBRA CON FORRO</v>
          </cell>
          <cell r="L2667">
            <v>6</v>
          </cell>
          <cell r="M2667" t="str">
            <v>UNID.</v>
          </cell>
          <cell r="N2667" t="str">
            <v>TRACTO</v>
          </cell>
          <cell r="O2667">
            <v>0</v>
          </cell>
          <cell r="P2667" t="str">
            <v>E1</v>
          </cell>
          <cell r="Q2667" t="str">
            <v>J2</v>
          </cell>
          <cell r="R2667" t="str">
            <v>J6</v>
          </cell>
          <cell r="S2667" t="str">
            <v>ENTREGADO</v>
          </cell>
          <cell r="T2667">
            <v>42717</v>
          </cell>
          <cell r="U2667" t="str">
            <v>PALOMINO CARDENAS JUAN CARLOS</v>
          </cell>
          <cell r="V2667" t="str">
            <v>CORIHUAMAN SURCO  ERICK ROBERT</v>
          </cell>
        </row>
        <row r="2668">
          <cell r="A2668">
            <v>2655</v>
          </cell>
          <cell r="B2668">
            <v>42717</v>
          </cell>
          <cell r="C2668" t="str">
            <v>DICIEMBRE</v>
          </cell>
          <cell r="D2668" t="str">
            <v>2016</v>
          </cell>
          <cell r="E2668">
            <v>580</v>
          </cell>
          <cell r="F2668" t="str">
            <v>X2W-760</v>
          </cell>
          <cell r="G2668" t="str">
            <v>C5V-992</v>
          </cell>
          <cell r="H2668" t="str">
            <v>LAS BAMBAS</v>
          </cell>
          <cell r="I2668">
            <v>150909</v>
          </cell>
          <cell r="J2668" t="str">
            <v>REPUESTO</v>
          </cell>
          <cell r="K2668" t="str">
            <v>PORTA FUSIBLES</v>
          </cell>
          <cell r="L2668">
            <v>1</v>
          </cell>
          <cell r="M2668" t="str">
            <v>UNID.</v>
          </cell>
          <cell r="N2668" t="str">
            <v>TRACTO</v>
          </cell>
          <cell r="O2668">
            <v>0</v>
          </cell>
          <cell r="P2668" t="str">
            <v>E1</v>
          </cell>
          <cell r="Q2668" t="str">
            <v>J2</v>
          </cell>
          <cell r="R2668" t="str">
            <v>J6</v>
          </cell>
          <cell r="S2668" t="str">
            <v>ENTREGADO</v>
          </cell>
          <cell r="T2668">
            <v>42717</v>
          </cell>
          <cell r="U2668" t="str">
            <v>PALOMINO CARDENAS JUAN CARLOS</v>
          </cell>
          <cell r="V2668" t="str">
            <v>CORIHUAMAN SURCO  ERICK ROBERT</v>
          </cell>
        </row>
        <row r="2669">
          <cell r="A2669">
            <v>2656</v>
          </cell>
          <cell r="B2669">
            <v>42717</v>
          </cell>
          <cell r="C2669" t="str">
            <v>DICIEMBRE</v>
          </cell>
          <cell r="D2669" t="str">
            <v>2016</v>
          </cell>
          <cell r="E2669">
            <v>580</v>
          </cell>
          <cell r="F2669" t="str">
            <v>X2W-760</v>
          </cell>
          <cell r="G2669" t="str">
            <v>C5V-992</v>
          </cell>
          <cell r="H2669" t="str">
            <v>LAS BAMBAS</v>
          </cell>
          <cell r="I2669">
            <v>150909</v>
          </cell>
          <cell r="J2669" t="str">
            <v>REPUESTO</v>
          </cell>
          <cell r="K2669" t="str">
            <v>FUSIBLE DE 20 AMP</v>
          </cell>
          <cell r="L2669">
            <v>1</v>
          </cell>
          <cell r="M2669" t="str">
            <v>UNID.</v>
          </cell>
          <cell r="N2669" t="str">
            <v>TRACTO</v>
          </cell>
          <cell r="O2669">
            <v>0</v>
          </cell>
          <cell r="P2669" t="str">
            <v>E1</v>
          </cell>
          <cell r="Q2669" t="str">
            <v>J2</v>
          </cell>
          <cell r="R2669" t="str">
            <v>J6</v>
          </cell>
          <cell r="S2669" t="str">
            <v>ENTREGADO</v>
          </cell>
          <cell r="T2669">
            <v>42717</v>
          </cell>
          <cell r="U2669" t="str">
            <v>PALOMINO CARDENAS JUAN CARLOS</v>
          </cell>
          <cell r="V2669" t="str">
            <v>CORIHUAMAN SURCO  ERICK ROBERT</v>
          </cell>
        </row>
        <row r="2670">
          <cell r="A2670">
            <v>2657</v>
          </cell>
          <cell r="B2670">
            <v>42717</v>
          </cell>
          <cell r="C2670" t="str">
            <v>DICIEMBRE</v>
          </cell>
          <cell r="D2670" t="str">
            <v>2016</v>
          </cell>
          <cell r="E2670">
            <v>580</v>
          </cell>
          <cell r="F2670" t="str">
            <v>X2W-760</v>
          </cell>
          <cell r="G2670" t="str">
            <v>C5V-992</v>
          </cell>
          <cell r="H2670" t="str">
            <v>LAS BAMBAS</v>
          </cell>
          <cell r="I2670">
            <v>150909</v>
          </cell>
          <cell r="J2670" t="str">
            <v>REPUESTO</v>
          </cell>
          <cell r="K2670" t="str">
            <v>TERMINAL DE OJO 3/8</v>
          </cell>
          <cell r="L2670">
            <v>1</v>
          </cell>
          <cell r="M2670" t="str">
            <v>UNID.</v>
          </cell>
          <cell r="N2670" t="str">
            <v>TRACTO</v>
          </cell>
          <cell r="O2670">
            <v>0</v>
          </cell>
          <cell r="P2670" t="str">
            <v>E1</v>
          </cell>
          <cell r="Q2670" t="str">
            <v>J2</v>
          </cell>
          <cell r="R2670" t="str">
            <v>J6</v>
          </cell>
          <cell r="S2670" t="str">
            <v>ENTREGADO</v>
          </cell>
          <cell r="T2670">
            <v>42717</v>
          </cell>
          <cell r="U2670" t="str">
            <v>PALOMINO CARDENAS JUAN CARLOS</v>
          </cell>
          <cell r="V2670" t="str">
            <v>CORIHUAMAN SURCO  ERICK ROBERT</v>
          </cell>
        </row>
        <row r="2671">
          <cell r="A2671">
            <v>2658</v>
          </cell>
          <cell r="B2671">
            <v>42717</v>
          </cell>
          <cell r="C2671" t="str">
            <v>DICIEMBRE</v>
          </cell>
          <cell r="D2671" t="str">
            <v>2016</v>
          </cell>
          <cell r="E2671">
            <v>580</v>
          </cell>
          <cell r="F2671" t="str">
            <v>X2W-760</v>
          </cell>
          <cell r="G2671" t="str">
            <v>C5V-992</v>
          </cell>
          <cell r="H2671" t="str">
            <v>LAS BAMBAS</v>
          </cell>
          <cell r="I2671">
            <v>150909</v>
          </cell>
          <cell r="J2671" t="str">
            <v>REPUESTO</v>
          </cell>
          <cell r="K2671" t="str">
            <v>TUBO CORRUGADO 1/4</v>
          </cell>
          <cell r="L2671">
            <v>1</v>
          </cell>
          <cell r="M2671" t="str">
            <v>M</v>
          </cell>
          <cell r="N2671" t="str">
            <v>TRACTO</v>
          </cell>
          <cell r="O2671">
            <v>0</v>
          </cell>
          <cell r="P2671" t="str">
            <v>E1</v>
          </cell>
          <cell r="Q2671" t="str">
            <v>J2</v>
          </cell>
          <cell r="R2671" t="str">
            <v>J6</v>
          </cell>
          <cell r="S2671" t="str">
            <v>ENTREGADO</v>
          </cell>
          <cell r="T2671">
            <v>42717</v>
          </cell>
          <cell r="U2671" t="str">
            <v>PALOMINO CARDENAS JUAN CARLOS</v>
          </cell>
          <cell r="V2671" t="str">
            <v>CORIHUAMAN SURCO  ERICK ROBERT</v>
          </cell>
        </row>
        <row r="2672">
          <cell r="A2672">
            <v>2662</v>
          </cell>
          <cell r="B2672">
            <v>42717</v>
          </cell>
          <cell r="C2672" t="str">
            <v>DICIEMBRE</v>
          </cell>
          <cell r="D2672" t="str">
            <v>2016</v>
          </cell>
          <cell r="E2672">
            <v>580</v>
          </cell>
          <cell r="F2672" t="str">
            <v>X2W-760</v>
          </cell>
          <cell r="G2672" t="str">
            <v>C5V-992</v>
          </cell>
          <cell r="H2672" t="str">
            <v>LAS BAMBAS</v>
          </cell>
          <cell r="I2672">
            <v>150909</v>
          </cell>
          <cell r="J2672" t="str">
            <v>REPUESTO</v>
          </cell>
          <cell r="K2672" t="str">
            <v>BOTON DE CLAXON</v>
          </cell>
          <cell r="L2672">
            <v>1</v>
          </cell>
          <cell r="M2672" t="str">
            <v>UNID.</v>
          </cell>
          <cell r="N2672" t="str">
            <v>TRACTO</v>
          </cell>
          <cell r="O2672">
            <v>0</v>
          </cell>
          <cell r="P2672" t="str">
            <v>E1</v>
          </cell>
          <cell r="Q2672" t="str">
            <v>J2</v>
          </cell>
          <cell r="R2672" t="str">
            <v>J6</v>
          </cell>
          <cell r="S2672" t="str">
            <v>ENTREGADO</v>
          </cell>
          <cell r="T2672">
            <v>42717</v>
          </cell>
          <cell r="U2672" t="str">
            <v>PALOMINO CARDENAS JUAN CARLOS</v>
          </cell>
          <cell r="V2672" t="str">
            <v>CORIHUAMAN SURCO  ERICK ROBERT</v>
          </cell>
        </row>
        <row r="2673">
          <cell r="A2673">
            <v>2645</v>
          </cell>
          <cell r="B2673">
            <v>42717</v>
          </cell>
          <cell r="C2673" t="str">
            <v>DICIEMBRE</v>
          </cell>
          <cell r="D2673" t="str">
            <v>2016</v>
          </cell>
          <cell r="E2673">
            <v>531</v>
          </cell>
          <cell r="F2673" t="str">
            <v>X2W-761</v>
          </cell>
          <cell r="G2673" t="str">
            <v>C5V-996</v>
          </cell>
          <cell r="H2673" t="str">
            <v>LAS BAMBAS</v>
          </cell>
          <cell r="I2673">
            <v>143665</v>
          </cell>
          <cell r="J2673" t="str">
            <v>REPUESTO</v>
          </cell>
          <cell r="K2673" t="str">
            <v>FARO PIRATA</v>
          </cell>
          <cell r="L2673">
            <v>2</v>
          </cell>
          <cell r="M2673" t="str">
            <v>UNID.</v>
          </cell>
          <cell r="N2673" t="str">
            <v>CISTERNA</v>
          </cell>
          <cell r="O2673">
            <v>73</v>
          </cell>
          <cell r="P2673" t="str">
            <v>J1</v>
          </cell>
          <cell r="Q2673" t="str">
            <v>J7</v>
          </cell>
          <cell r="R2673" t="str">
            <v>J6</v>
          </cell>
          <cell r="S2673" t="str">
            <v>ENTREGADO</v>
          </cell>
          <cell r="T2673">
            <v>0</v>
          </cell>
          <cell r="U2673" t="str">
            <v>FLOREZ CONDORI  JOSE WILLIANS</v>
          </cell>
          <cell r="V2673" t="str">
            <v>DONAYRE INGA PEDRO</v>
          </cell>
        </row>
        <row r="2674">
          <cell r="A2674">
            <v>2646</v>
          </cell>
          <cell r="B2674">
            <v>42717</v>
          </cell>
          <cell r="C2674" t="str">
            <v>DICIEMBRE</v>
          </cell>
          <cell r="D2674" t="str">
            <v>2016</v>
          </cell>
          <cell r="E2674">
            <v>545</v>
          </cell>
          <cell r="F2674" t="str">
            <v>X2W-762</v>
          </cell>
          <cell r="G2674" t="str">
            <v>C5V-998</v>
          </cell>
          <cell r="H2674" t="str">
            <v>LAS BAMBAS</v>
          </cell>
          <cell r="I2674">
            <v>15774</v>
          </cell>
          <cell r="J2674" t="str">
            <v>REPUESTO</v>
          </cell>
          <cell r="K2674" t="str">
            <v>FARO PIRATA</v>
          </cell>
          <cell r="L2674">
            <v>2</v>
          </cell>
          <cell r="M2674" t="str">
            <v>UNID.</v>
          </cell>
          <cell r="N2674" t="str">
            <v>CISTERNA</v>
          </cell>
          <cell r="O2674">
            <v>73</v>
          </cell>
          <cell r="P2674" t="str">
            <v>J1</v>
          </cell>
          <cell r="Q2674" t="str">
            <v>J7</v>
          </cell>
          <cell r="R2674" t="str">
            <v>J6</v>
          </cell>
          <cell r="S2674" t="str">
            <v>ENTREGADO</v>
          </cell>
          <cell r="T2674">
            <v>0</v>
          </cell>
          <cell r="U2674" t="str">
            <v>FLOREZ CONDORI  JOSE WILLIANS</v>
          </cell>
          <cell r="V2674" t="str">
            <v>DONAYRE INGA PEDRO</v>
          </cell>
        </row>
        <row r="2675">
          <cell r="A2675">
            <v>2626</v>
          </cell>
          <cell r="B2675">
            <v>42717</v>
          </cell>
          <cell r="C2675" t="str">
            <v>DICIEMBRE</v>
          </cell>
          <cell r="D2675" t="str">
            <v>2016</v>
          </cell>
          <cell r="E2675">
            <v>569</v>
          </cell>
          <cell r="F2675" t="str">
            <v>X2W-763</v>
          </cell>
          <cell r="G2675" t="str">
            <v>C5V-997</v>
          </cell>
          <cell r="H2675" t="str">
            <v>LAS BAMBAS</v>
          </cell>
          <cell r="I2675">
            <v>156389</v>
          </cell>
          <cell r="J2675" t="str">
            <v>REPUESTO</v>
          </cell>
          <cell r="K2675" t="str">
            <v>SOPORTE DE TRAVESAÑO</v>
          </cell>
          <cell r="L2675">
            <v>4</v>
          </cell>
          <cell r="M2675" t="str">
            <v>UNID.</v>
          </cell>
          <cell r="N2675" t="str">
            <v>TRACTO</v>
          </cell>
          <cell r="O2675">
            <v>73</v>
          </cell>
          <cell r="P2675" t="str">
            <v>J7</v>
          </cell>
          <cell r="Q2675" t="str">
            <v>J7</v>
          </cell>
          <cell r="R2675" t="str">
            <v>J6</v>
          </cell>
          <cell r="S2675" t="str">
            <v>PENDIENTE</v>
          </cell>
          <cell r="T2675">
            <v>0</v>
          </cell>
          <cell r="U2675" t="str">
            <v>DONAYRE INGA PEDRO</v>
          </cell>
          <cell r="V2675" t="str">
            <v>DONAYRE INGA PEDRO</v>
          </cell>
        </row>
        <row r="2676">
          <cell r="A2676">
            <v>2629</v>
          </cell>
          <cell r="B2676">
            <v>42717</v>
          </cell>
          <cell r="C2676" t="str">
            <v>DICIEMBRE</v>
          </cell>
          <cell r="D2676" t="str">
            <v>2016</v>
          </cell>
          <cell r="E2676">
            <v>569</v>
          </cell>
          <cell r="F2676" t="str">
            <v>X2W-763</v>
          </cell>
          <cell r="G2676" t="str">
            <v>C5V-997</v>
          </cell>
          <cell r="H2676" t="str">
            <v>LAS BAMBAS</v>
          </cell>
          <cell r="I2676">
            <v>156389</v>
          </cell>
          <cell r="J2676" t="str">
            <v>REPUESTO</v>
          </cell>
          <cell r="K2676" t="str">
            <v>CABLE NRO. 14</v>
          </cell>
          <cell r="L2676">
            <v>3</v>
          </cell>
          <cell r="M2676" t="str">
            <v>M</v>
          </cell>
          <cell r="N2676" t="str">
            <v>CISTERNA</v>
          </cell>
          <cell r="O2676">
            <v>0</v>
          </cell>
          <cell r="P2676" t="str">
            <v>E3</v>
          </cell>
          <cell r="Q2676" t="str">
            <v>J2</v>
          </cell>
          <cell r="R2676" t="str">
            <v>J6</v>
          </cell>
          <cell r="S2676" t="str">
            <v>ENTREGADO</v>
          </cell>
          <cell r="T2676">
            <v>42717</v>
          </cell>
          <cell r="U2676" t="str">
            <v>CONDORI CHURATA ALEX</v>
          </cell>
          <cell r="V2676" t="str">
            <v>CORIHUAMAN SURCO  ERICK ROBERT</v>
          </cell>
        </row>
        <row r="2677">
          <cell r="A2677">
            <v>2639</v>
          </cell>
          <cell r="B2677">
            <v>42717</v>
          </cell>
          <cell r="C2677" t="str">
            <v>DICIEMBRE</v>
          </cell>
          <cell r="D2677" t="str">
            <v>2016</v>
          </cell>
          <cell r="E2677">
            <v>569</v>
          </cell>
          <cell r="F2677" t="str">
            <v>X2W-763</v>
          </cell>
          <cell r="G2677" t="str">
            <v>C5V-997</v>
          </cell>
          <cell r="H2677" t="str">
            <v>LAS BAMBAS</v>
          </cell>
          <cell r="I2677">
            <v>156389</v>
          </cell>
          <cell r="J2677" t="str">
            <v>REPUESTO</v>
          </cell>
          <cell r="K2677" t="str">
            <v>ARO NUEVO  R 22.5 AMERICANO</v>
          </cell>
          <cell r="L2677">
            <v>1</v>
          </cell>
          <cell r="M2677" t="str">
            <v>UNID.</v>
          </cell>
          <cell r="N2677" t="str">
            <v>TRACTO</v>
          </cell>
          <cell r="O2677">
            <v>0</v>
          </cell>
          <cell r="P2677" t="str">
            <v>N2</v>
          </cell>
          <cell r="Q2677" t="str">
            <v>J2</v>
          </cell>
          <cell r="R2677" t="str">
            <v>J6</v>
          </cell>
          <cell r="S2677" t="str">
            <v>ENTREGADO</v>
          </cell>
          <cell r="T2677">
            <v>42717</v>
          </cell>
          <cell r="U2677" t="str">
            <v>MAMANI LARICO  EDUARDO ALVARO</v>
          </cell>
          <cell r="V2677" t="str">
            <v>CORIHUAMAN SURCO  ERICK ROBERT</v>
          </cell>
        </row>
        <row r="2678">
          <cell r="A2678">
            <v>2647</v>
          </cell>
          <cell r="B2678">
            <v>42717</v>
          </cell>
          <cell r="C2678" t="str">
            <v>DICIEMBRE</v>
          </cell>
          <cell r="D2678" t="str">
            <v>2016</v>
          </cell>
          <cell r="E2678">
            <v>569</v>
          </cell>
          <cell r="F2678" t="str">
            <v>X2W-763</v>
          </cell>
          <cell r="G2678" t="str">
            <v>C5V-997</v>
          </cell>
          <cell r="H2678" t="str">
            <v>LAS BAMBAS</v>
          </cell>
          <cell r="I2678">
            <v>156389</v>
          </cell>
          <cell r="J2678" t="str">
            <v>REPUESTO</v>
          </cell>
          <cell r="K2678" t="str">
            <v>FARO PIRATA</v>
          </cell>
          <cell r="L2678">
            <v>2</v>
          </cell>
          <cell r="M2678" t="str">
            <v>UNID.</v>
          </cell>
          <cell r="N2678" t="str">
            <v>CISTERNA</v>
          </cell>
          <cell r="O2678">
            <v>73</v>
          </cell>
          <cell r="P2678" t="str">
            <v>J1</v>
          </cell>
          <cell r="Q2678" t="str">
            <v>J7</v>
          </cell>
          <cell r="R2678" t="str">
            <v>J6</v>
          </cell>
          <cell r="S2678" t="str">
            <v>ENTREGADO</v>
          </cell>
          <cell r="T2678">
            <v>0</v>
          </cell>
          <cell r="U2678" t="str">
            <v>FLOREZ CONDORI  JOSE WILLIANS</v>
          </cell>
          <cell r="V2678" t="str">
            <v>DONAYRE INGA PEDRO</v>
          </cell>
        </row>
        <row r="2679">
          <cell r="A2679">
            <v>2623</v>
          </cell>
          <cell r="B2679">
            <v>42717</v>
          </cell>
          <cell r="C2679" t="str">
            <v>DICIEMBRE</v>
          </cell>
          <cell r="D2679" t="str">
            <v>2016</v>
          </cell>
          <cell r="E2679">
            <v>569</v>
          </cell>
          <cell r="F2679" t="str">
            <v>X2W-763</v>
          </cell>
          <cell r="G2679" t="str">
            <v>C5V-997</v>
          </cell>
          <cell r="H2679" t="str">
            <v>LAS BAMBAS</v>
          </cell>
          <cell r="I2679">
            <v>156389</v>
          </cell>
          <cell r="J2679" t="str">
            <v>REPUESTO</v>
          </cell>
          <cell r="K2679" t="str">
            <v>LLANTAS</v>
          </cell>
          <cell r="L2679">
            <v>4</v>
          </cell>
          <cell r="M2679" t="str">
            <v>UNID.</v>
          </cell>
          <cell r="N2679" t="str">
            <v>TRACTO</v>
          </cell>
          <cell r="O2679">
            <v>0</v>
          </cell>
          <cell r="P2679" t="str">
            <v>N1</v>
          </cell>
          <cell r="Q2679" t="str">
            <v>J2</v>
          </cell>
          <cell r="R2679" t="str">
            <v>J6</v>
          </cell>
          <cell r="S2679" t="str">
            <v>ENTREGADO</v>
          </cell>
          <cell r="T2679">
            <v>42717</v>
          </cell>
          <cell r="U2679" t="str">
            <v>AGUILAR CCANTUTA WILLY</v>
          </cell>
          <cell r="V2679" t="str">
            <v>CORIHUAMAN SURCO  ERICK ROBERT</v>
          </cell>
        </row>
        <row r="2680">
          <cell r="A2680">
            <v>2627</v>
          </cell>
          <cell r="B2680">
            <v>42717</v>
          </cell>
          <cell r="C2680" t="str">
            <v>DICIEMBRE</v>
          </cell>
          <cell r="D2680" t="str">
            <v>2016</v>
          </cell>
          <cell r="E2680">
            <v>527</v>
          </cell>
          <cell r="F2680" t="str">
            <v>X2W-765</v>
          </cell>
          <cell r="G2680" t="str">
            <v>C5V-993</v>
          </cell>
          <cell r="H2680" t="str">
            <v>LAS BAMBAS</v>
          </cell>
          <cell r="I2680">
            <v>157711</v>
          </cell>
          <cell r="J2680" t="str">
            <v>REPUESTO</v>
          </cell>
          <cell r="K2680" t="str">
            <v>SOPORTE DE TRAVESAÑO</v>
          </cell>
          <cell r="L2680">
            <v>4</v>
          </cell>
          <cell r="M2680" t="str">
            <v>UNID.</v>
          </cell>
          <cell r="N2680" t="str">
            <v>TRACTO</v>
          </cell>
          <cell r="O2680">
            <v>73</v>
          </cell>
          <cell r="P2680" t="str">
            <v>J7</v>
          </cell>
          <cell r="Q2680" t="str">
            <v>J7</v>
          </cell>
          <cell r="R2680" t="str">
            <v>J6</v>
          </cell>
          <cell r="S2680" t="str">
            <v>PENDIENTE</v>
          </cell>
          <cell r="T2680">
            <v>0</v>
          </cell>
          <cell r="U2680" t="str">
            <v>DONAYRE INGA PEDRO</v>
          </cell>
          <cell r="V2680" t="str">
            <v>DONAYRE INGA PEDRO</v>
          </cell>
        </row>
        <row r="2681">
          <cell r="A2681">
            <v>2648</v>
          </cell>
          <cell r="B2681">
            <v>42717</v>
          </cell>
          <cell r="C2681" t="str">
            <v>DICIEMBRE</v>
          </cell>
          <cell r="D2681" t="str">
            <v>2016</v>
          </cell>
          <cell r="E2681">
            <v>527</v>
          </cell>
          <cell r="F2681" t="str">
            <v>X2W-765</v>
          </cell>
          <cell r="G2681" t="str">
            <v>C5V-993</v>
          </cell>
          <cell r="H2681" t="str">
            <v>LAS BAMBAS</v>
          </cell>
          <cell r="I2681">
            <v>157711</v>
          </cell>
          <cell r="J2681" t="str">
            <v>REPUESTO</v>
          </cell>
          <cell r="K2681" t="str">
            <v>FARO PIRATA</v>
          </cell>
          <cell r="L2681">
            <v>2</v>
          </cell>
          <cell r="M2681" t="str">
            <v>UNID.</v>
          </cell>
          <cell r="N2681" t="str">
            <v>CISTERNA</v>
          </cell>
          <cell r="O2681">
            <v>73</v>
          </cell>
          <cell r="P2681" t="str">
            <v>J1</v>
          </cell>
          <cell r="Q2681" t="str">
            <v>J7</v>
          </cell>
          <cell r="R2681" t="str">
            <v>J6</v>
          </cell>
          <cell r="S2681" t="str">
            <v>ENTREGADO</v>
          </cell>
          <cell r="T2681">
            <v>0</v>
          </cell>
          <cell r="U2681" t="str">
            <v>FLOREZ CONDORI  JOSE WILLIANS</v>
          </cell>
          <cell r="V2681" t="str">
            <v>DONAYRE INGA PEDRO</v>
          </cell>
        </row>
        <row r="2682">
          <cell r="A2682">
            <v>2633</v>
          </cell>
          <cell r="B2682">
            <v>42717</v>
          </cell>
          <cell r="C2682" t="str">
            <v>DICIEMBRE</v>
          </cell>
          <cell r="D2682" t="str">
            <v>2016</v>
          </cell>
          <cell r="E2682">
            <v>527</v>
          </cell>
          <cell r="F2682" t="str">
            <v>X2W-765</v>
          </cell>
          <cell r="G2682" t="str">
            <v>C5V-993</v>
          </cell>
          <cell r="H2682" t="str">
            <v>LAS BAMBAS</v>
          </cell>
          <cell r="I2682">
            <v>157711</v>
          </cell>
          <cell r="J2682" t="str">
            <v>REPUESTO</v>
          </cell>
          <cell r="K2682" t="str">
            <v>LLANTAS</v>
          </cell>
          <cell r="L2682">
            <v>3</v>
          </cell>
          <cell r="M2682" t="str">
            <v>UNID.</v>
          </cell>
          <cell r="N2682" t="str">
            <v>TRACTO</v>
          </cell>
          <cell r="O2682">
            <v>0</v>
          </cell>
          <cell r="P2682" t="str">
            <v>N2</v>
          </cell>
          <cell r="Q2682" t="str">
            <v>J2</v>
          </cell>
          <cell r="R2682" t="str">
            <v>J6</v>
          </cell>
          <cell r="S2682" t="str">
            <v>ENTREGADO</v>
          </cell>
          <cell r="T2682">
            <v>42717</v>
          </cell>
          <cell r="U2682" t="str">
            <v>MAMANI LARICO  EDUARDO ALVARO</v>
          </cell>
          <cell r="V2682" t="str">
            <v>CORIHUAMAN SURCO  ERICK ROBERT</v>
          </cell>
        </row>
        <row r="2683">
          <cell r="A2683">
            <v>2649</v>
          </cell>
          <cell r="B2683">
            <v>42717</v>
          </cell>
          <cell r="C2683" t="str">
            <v>DICIEMBRE</v>
          </cell>
          <cell r="D2683" t="str">
            <v>2016</v>
          </cell>
          <cell r="E2683">
            <v>553</v>
          </cell>
          <cell r="F2683" t="str">
            <v>X2W-788</v>
          </cell>
          <cell r="G2683" t="str">
            <v>C5V-994</v>
          </cell>
          <cell r="H2683" t="str">
            <v>LAS BAMBAS</v>
          </cell>
          <cell r="I2683">
            <v>156800</v>
          </cell>
          <cell r="J2683" t="str">
            <v>REPUESTO</v>
          </cell>
          <cell r="K2683" t="str">
            <v>FARO PIRATA</v>
          </cell>
          <cell r="L2683">
            <v>2</v>
          </cell>
          <cell r="M2683" t="str">
            <v>UNID.</v>
          </cell>
          <cell r="N2683" t="str">
            <v>CISTERNA</v>
          </cell>
          <cell r="O2683">
            <v>73</v>
          </cell>
          <cell r="P2683" t="str">
            <v>J1</v>
          </cell>
          <cell r="Q2683" t="str">
            <v>J7</v>
          </cell>
          <cell r="R2683" t="str">
            <v>J6</v>
          </cell>
          <cell r="S2683" t="str">
            <v>ENTREGADO</v>
          </cell>
          <cell r="T2683">
            <v>0</v>
          </cell>
          <cell r="U2683" t="str">
            <v>FLOREZ CONDORI  JOSE WILLIANS</v>
          </cell>
          <cell r="V2683" t="str">
            <v>DONAYRE INGA PEDRO</v>
          </cell>
        </row>
        <row r="2684">
          <cell r="A2684">
            <v>2650</v>
          </cell>
          <cell r="B2684">
            <v>42717</v>
          </cell>
          <cell r="C2684" t="str">
            <v>DICIEMBRE</v>
          </cell>
          <cell r="D2684" t="str">
            <v>2016</v>
          </cell>
          <cell r="E2684">
            <v>536</v>
          </cell>
          <cell r="F2684" t="str">
            <v>X2W-791</v>
          </cell>
          <cell r="G2684" t="str">
            <v>C5V-989</v>
          </cell>
          <cell r="H2684" t="str">
            <v>LAS BAMBAS</v>
          </cell>
          <cell r="I2684">
            <v>147312</v>
          </cell>
          <cell r="J2684" t="str">
            <v>REPUESTO</v>
          </cell>
          <cell r="K2684" t="str">
            <v>FARO PIRATA</v>
          </cell>
          <cell r="L2684">
            <v>2</v>
          </cell>
          <cell r="M2684" t="str">
            <v>UNID.</v>
          </cell>
          <cell r="N2684" t="str">
            <v>CISTERNA</v>
          </cell>
          <cell r="O2684">
            <v>73</v>
          </cell>
          <cell r="P2684" t="str">
            <v>J1</v>
          </cell>
          <cell r="Q2684" t="str">
            <v>J7</v>
          </cell>
          <cell r="R2684" t="str">
            <v>J6</v>
          </cell>
          <cell r="S2684" t="str">
            <v>ENTREGADO</v>
          </cell>
          <cell r="T2684">
            <v>0</v>
          </cell>
          <cell r="U2684" t="str">
            <v>FLOREZ CONDORI  JOSE WILLIANS</v>
          </cell>
          <cell r="V2684" t="str">
            <v>DONAYRE INGA PEDRO</v>
          </cell>
        </row>
        <row r="2685">
          <cell r="A2685">
            <v>2688</v>
          </cell>
          <cell r="B2685">
            <v>42718</v>
          </cell>
          <cell r="C2685" t="str">
            <v>DICIEMBRE</v>
          </cell>
          <cell r="D2685" t="str">
            <v>2016</v>
          </cell>
          <cell r="E2685">
            <v>581</v>
          </cell>
          <cell r="F2685" t="str">
            <v>AAF-727</v>
          </cell>
          <cell r="G2685" t="str">
            <v>D5I-978</v>
          </cell>
          <cell r="H2685" t="str">
            <v>TPE</v>
          </cell>
          <cell r="I2685">
            <v>338715</v>
          </cell>
          <cell r="J2685" t="str">
            <v>REPUESTO</v>
          </cell>
          <cell r="K2685" t="str">
            <v>BOLSA DE AIRE PARA CABINA</v>
          </cell>
          <cell r="L2685">
            <v>1</v>
          </cell>
          <cell r="M2685" t="str">
            <v>UNID.</v>
          </cell>
          <cell r="N2685" t="str">
            <v>TRACTO</v>
          </cell>
          <cell r="O2685">
            <v>0</v>
          </cell>
          <cell r="P2685" t="str">
            <v>M2</v>
          </cell>
          <cell r="Q2685" t="str">
            <v>J1</v>
          </cell>
          <cell r="R2685" t="str">
            <v>J6</v>
          </cell>
          <cell r="S2685" t="str">
            <v>ENTREGADO</v>
          </cell>
          <cell r="T2685">
            <v>42718</v>
          </cell>
          <cell r="U2685" t="str">
            <v>CHUMPITAZ GAGO JULIO ENRIQUE</v>
          </cell>
          <cell r="V2685" t="str">
            <v>FLOREZ CONDORI  JOSE WILLIANS</v>
          </cell>
        </row>
        <row r="2686">
          <cell r="A2686">
            <v>2693</v>
          </cell>
          <cell r="B2686">
            <v>42718</v>
          </cell>
          <cell r="C2686" t="str">
            <v>DICIEMBRE</v>
          </cell>
          <cell r="D2686" t="str">
            <v>2016</v>
          </cell>
          <cell r="E2686">
            <v>581</v>
          </cell>
          <cell r="F2686" t="str">
            <v>AAF-727</v>
          </cell>
          <cell r="G2686" t="str">
            <v>D5I-978</v>
          </cell>
          <cell r="H2686" t="str">
            <v>TPE</v>
          </cell>
          <cell r="I2686">
            <v>338715</v>
          </cell>
          <cell r="J2686" t="str">
            <v>REPUESTO</v>
          </cell>
          <cell r="K2686" t="str">
            <v>PERNO 5/8 X 4</v>
          </cell>
          <cell r="L2686">
            <v>2</v>
          </cell>
          <cell r="M2686" t="str">
            <v>UNID.</v>
          </cell>
          <cell r="N2686" t="str">
            <v>TRACTO</v>
          </cell>
          <cell r="O2686">
            <v>0</v>
          </cell>
          <cell r="P2686" t="str">
            <v>M2</v>
          </cell>
          <cell r="Q2686" t="str">
            <v>J1</v>
          </cell>
          <cell r="R2686" t="str">
            <v>J6</v>
          </cell>
          <cell r="S2686" t="str">
            <v>ENTREGADO</v>
          </cell>
          <cell r="T2686">
            <v>42718</v>
          </cell>
          <cell r="U2686" t="str">
            <v>CHUMPITAZ GAGO JULIO ENRIQUE</v>
          </cell>
          <cell r="V2686" t="str">
            <v>FLOREZ CONDORI  JOSE WILLIANS</v>
          </cell>
        </row>
        <row r="2687">
          <cell r="A2687">
            <v>2694</v>
          </cell>
          <cell r="B2687">
            <v>42718</v>
          </cell>
          <cell r="C2687" t="str">
            <v>DICIEMBRE</v>
          </cell>
          <cell r="D2687" t="str">
            <v>2016</v>
          </cell>
          <cell r="E2687">
            <v>581</v>
          </cell>
          <cell r="F2687" t="str">
            <v>AAF-727</v>
          </cell>
          <cell r="G2687" t="str">
            <v>D5I-978</v>
          </cell>
          <cell r="H2687" t="str">
            <v>TPE</v>
          </cell>
          <cell r="I2687">
            <v>338715</v>
          </cell>
          <cell r="J2687" t="str">
            <v>REPUESTO</v>
          </cell>
          <cell r="K2687" t="str">
            <v>TUERCA SEGURO 5/8</v>
          </cell>
          <cell r="L2687">
            <v>2</v>
          </cell>
          <cell r="M2687" t="str">
            <v>UNID.</v>
          </cell>
          <cell r="N2687" t="str">
            <v>TRACTO</v>
          </cell>
          <cell r="O2687">
            <v>0</v>
          </cell>
          <cell r="P2687" t="str">
            <v>M2</v>
          </cell>
          <cell r="Q2687" t="str">
            <v>J1</v>
          </cell>
          <cell r="R2687" t="str">
            <v>J6</v>
          </cell>
          <cell r="S2687" t="str">
            <v>ENTREGADO</v>
          </cell>
          <cell r="T2687">
            <v>42718</v>
          </cell>
          <cell r="U2687" t="str">
            <v>CHUMPITAZ GAGO JULIO ENRIQUE</v>
          </cell>
          <cell r="V2687" t="str">
            <v>FLOREZ CONDORI  JOSE WILLIANS</v>
          </cell>
        </row>
        <row r="2688">
          <cell r="A2688">
            <v>2695</v>
          </cell>
          <cell r="B2688">
            <v>42718</v>
          </cell>
          <cell r="C2688" t="str">
            <v>DICIEMBRE</v>
          </cell>
          <cell r="D2688" t="str">
            <v>2016</v>
          </cell>
          <cell r="E2688">
            <v>581</v>
          </cell>
          <cell r="F2688" t="str">
            <v>AAF-727</v>
          </cell>
          <cell r="G2688" t="str">
            <v>D5I-978</v>
          </cell>
          <cell r="H2688" t="str">
            <v>TPE</v>
          </cell>
          <cell r="I2688">
            <v>338715</v>
          </cell>
          <cell r="J2688" t="str">
            <v>REPUESTO</v>
          </cell>
          <cell r="K2688" t="str">
            <v>ARANDELA PLANA 5/8</v>
          </cell>
          <cell r="L2688">
            <v>2</v>
          </cell>
          <cell r="M2688" t="str">
            <v>UNID.</v>
          </cell>
          <cell r="N2688" t="str">
            <v>TRACTO</v>
          </cell>
          <cell r="O2688">
            <v>0</v>
          </cell>
          <cell r="P2688" t="str">
            <v>M2</v>
          </cell>
          <cell r="Q2688" t="str">
            <v>J1</v>
          </cell>
          <cell r="R2688" t="str">
            <v>J6</v>
          </cell>
          <cell r="S2688" t="str">
            <v>ENTREGADO</v>
          </cell>
          <cell r="T2688">
            <v>42718</v>
          </cell>
          <cell r="U2688" t="str">
            <v>CHUMPITAZ GAGO JULIO ENRIQUE</v>
          </cell>
          <cell r="V2688" t="str">
            <v>FLOREZ CONDORI  JOSE WILLIANS</v>
          </cell>
        </row>
        <row r="2689">
          <cell r="A2689">
            <v>2736</v>
          </cell>
          <cell r="B2689">
            <v>42718</v>
          </cell>
          <cell r="C2689" t="str">
            <v>DICIEMBRE</v>
          </cell>
          <cell r="D2689" t="str">
            <v>2016</v>
          </cell>
          <cell r="E2689">
            <v>530</v>
          </cell>
          <cell r="F2689" t="str">
            <v>C5R-892</v>
          </cell>
          <cell r="G2689" t="str">
            <v>A0T-983</v>
          </cell>
          <cell r="H2689" t="str">
            <v>LAS BAMBAS</v>
          </cell>
          <cell r="I2689">
            <v>226743</v>
          </cell>
          <cell r="J2689" t="str">
            <v>REPUESTO</v>
          </cell>
          <cell r="K2689" t="str">
            <v>ABRAZADERA PARA MANGUERA INTERCOOLER 83-05</v>
          </cell>
          <cell r="L2689">
            <v>1</v>
          </cell>
          <cell r="M2689" t="str">
            <v>UNID.</v>
          </cell>
          <cell r="N2689" t="str">
            <v>TRACTO</v>
          </cell>
          <cell r="O2689">
            <v>0</v>
          </cell>
          <cell r="P2689" t="str">
            <v>M8</v>
          </cell>
          <cell r="Q2689" t="str">
            <v>J2</v>
          </cell>
          <cell r="R2689" t="str">
            <v>J5</v>
          </cell>
          <cell r="S2689" t="str">
            <v>ENTREGADO</v>
          </cell>
          <cell r="T2689">
            <v>42718</v>
          </cell>
          <cell r="U2689" t="str">
            <v>VARILLAS GAGO  OSCAR ALBERTO</v>
          </cell>
          <cell r="V2689" t="str">
            <v>CORIHUAMAN SURCO  ERICK ROBERT</v>
          </cell>
        </row>
        <row r="2690">
          <cell r="A2690">
            <v>2737</v>
          </cell>
          <cell r="B2690">
            <v>42718</v>
          </cell>
          <cell r="C2690" t="str">
            <v>DICIEMBRE</v>
          </cell>
          <cell r="D2690" t="str">
            <v>2016</v>
          </cell>
          <cell r="E2690">
            <v>530</v>
          </cell>
          <cell r="F2690" t="str">
            <v>C5R-892</v>
          </cell>
          <cell r="G2690" t="str">
            <v>A0T-983</v>
          </cell>
          <cell r="H2690" t="str">
            <v>LAS BAMBAS</v>
          </cell>
          <cell r="I2690">
            <v>226743</v>
          </cell>
          <cell r="J2690" t="str">
            <v>REPUESTO</v>
          </cell>
          <cell r="K2690" t="str">
            <v>ABRAZADERA PARA MANGUERA 2 1/2"</v>
          </cell>
          <cell r="L2690">
            <v>1</v>
          </cell>
          <cell r="M2690" t="str">
            <v>UNID.</v>
          </cell>
          <cell r="N2690" t="str">
            <v>TRACTO</v>
          </cell>
          <cell r="O2690">
            <v>0</v>
          </cell>
          <cell r="P2690" t="str">
            <v>M8</v>
          </cell>
          <cell r="Q2690" t="str">
            <v>J2</v>
          </cell>
          <cell r="R2690" t="str">
            <v>J5</v>
          </cell>
          <cell r="S2690" t="str">
            <v>ENTREGADO</v>
          </cell>
          <cell r="T2690">
            <v>42718</v>
          </cell>
          <cell r="U2690" t="str">
            <v>VARILLAS GAGO  OSCAR ALBERTO</v>
          </cell>
          <cell r="V2690" t="str">
            <v>CORIHUAMAN SURCO  ERICK ROBERT</v>
          </cell>
        </row>
        <row r="2691">
          <cell r="A2691">
            <v>2738</v>
          </cell>
          <cell r="B2691">
            <v>42718</v>
          </cell>
          <cell r="C2691" t="str">
            <v>DICIEMBRE</v>
          </cell>
          <cell r="D2691" t="str">
            <v>2016</v>
          </cell>
          <cell r="E2691">
            <v>530</v>
          </cell>
          <cell r="F2691" t="str">
            <v>C5R-892</v>
          </cell>
          <cell r="G2691" t="str">
            <v>A0T-983</v>
          </cell>
          <cell r="H2691" t="str">
            <v>LAS BAMBAS</v>
          </cell>
          <cell r="I2691">
            <v>226743</v>
          </cell>
          <cell r="J2691" t="str">
            <v>REPUESTO</v>
          </cell>
          <cell r="K2691" t="str">
            <v>TENSOR DE CORREA DE ALTERNADOR</v>
          </cell>
          <cell r="L2691">
            <v>1</v>
          </cell>
          <cell r="M2691" t="str">
            <v>UNID.</v>
          </cell>
          <cell r="N2691" t="str">
            <v>TRACTO</v>
          </cell>
          <cell r="O2691">
            <v>0</v>
          </cell>
          <cell r="P2691" t="str">
            <v>M8</v>
          </cell>
          <cell r="Q2691" t="str">
            <v>J2</v>
          </cell>
          <cell r="R2691" t="str">
            <v>J5</v>
          </cell>
          <cell r="S2691" t="str">
            <v>ENTREGADO</v>
          </cell>
          <cell r="T2691">
            <v>42718</v>
          </cell>
          <cell r="U2691" t="str">
            <v>VARILLAS GAGO  OSCAR ALBERTO</v>
          </cell>
          <cell r="V2691" t="str">
            <v>CORIHUAMAN SURCO  ERICK ROBERT</v>
          </cell>
        </row>
        <row r="2692">
          <cell r="A2692">
            <v>2739</v>
          </cell>
          <cell r="B2692">
            <v>42718</v>
          </cell>
          <cell r="C2692" t="str">
            <v>DICIEMBRE</v>
          </cell>
          <cell r="D2692" t="str">
            <v>2016</v>
          </cell>
          <cell r="E2692">
            <v>530</v>
          </cell>
          <cell r="F2692" t="str">
            <v>C5R-892</v>
          </cell>
          <cell r="G2692" t="str">
            <v>A0T-983</v>
          </cell>
          <cell r="H2692" t="str">
            <v>LAS BAMBAS</v>
          </cell>
          <cell r="I2692">
            <v>226743</v>
          </cell>
          <cell r="J2692" t="str">
            <v>REPUESTO</v>
          </cell>
          <cell r="K2692" t="str">
            <v>CORREA DE ALTERNADOR</v>
          </cell>
          <cell r="L2692">
            <v>1</v>
          </cell>
          <cell r="M2692" t="str">
            <v>UNID.</v>
          </cell>
          <cell r="N2692" t="str">
            <v>TRACTO</v>
          </cell>
          <cell r="O2692">
            <v>0</v>
          </cell>
          <cell r="P2692" t="str">
            <v>M8</v>
          </cell>
          <cell r="Q2692" t="str">
            <v>J2</v>
          </cell>
          <cell r="R2692" t="str">
            <v>J5</v>
          </cell>
          <cell r="S2692" t="str">
            <v>ENTREGADO</v>
          </cell>
          <cell r="T2692">
            <v>42718</v>
          </cell>
          <cell r="U2692" t="str">
            <v>VARILLAS GAGO  OSCAR ALBERTO</v>
          </cell>
          <cell r="V2692" t="str">
            <v>CORIHUAMAN SURCO  ERICK ROBERT</v>
          </cell>
        </row>
        <row r="2693">
          <cell r="A2693">
            <v>2667</v>
          </cell>
          <cell r="B2693">
            <v>42718</v>
          </cell>
          <cell r="C2693" t="str">
            <v>DICIEMBRE</v>
          </cell>
          <cell r="D2693" t="str">
            <v>2016</v>
          </cell>
          <cell r="E2693">
            <v>575</v>
          </cell>
          <cell r="F2693" t="str">
            <v>C9N-807</v>
          </cell>
          <cell r="G2693" t="str">
            <v>B4O-994</v>
          </cell>
          <cell r="H2693" t="str">
            <v>LAS BAMBAS</v>
          </cell>
          <cell r="I2693">
            <v>211537</v>
          </cell>
          <cell r="J2693" t="str">
            <v>INSUMO TALLER</v>
          </cell>
          <cell r="K2693" t="str">
            <v>CHANFERCORD</v>
          </cell>
          <cell r="L2693">
            <v>1</v>
          </cell>
          <cell r="M2693" t="str">
            <v>KG.</v>
          </cell>
          <cell r="N2693" t="str">
            <v>TALLER</v>
          </cell>
          <cell r="O2693">
            <v>0</v>
          </cell>
          <cell r="P2693" t="str">
            <v>S4</v>
          </cell>
          <cell r="Q2693" t="str">
            <v>J1</v>
          </cell>
          <cell r="R2693" t="str">
            <v>J6</v>
          </cell>
          <cell r="S2693" t="str">
            <v>ENTREGADO</v>
          </cell>
          <cell r="T2693">
            <v>42718</v>
          </cell>
          <cell r="U2693" t="str">
            <v>SURCO QUISPE JOHNNY</v>
          </cell>
          <cell r="V2693" t="str">
            <v>FLOREZ CONDORI  JOSE WILLIANS</v>
          </cell>
        </row>
        <row r="2694">
          <cell r="A2694">
            <v>2700</v>
          </cell>
          <cell r="B2694">
            <v>42718</v>
          </cell>
          <cell r="C2694" t="str">
            <v>DICIEMBRE</v>
          </cell>
          <cell r="D2694" t="str">
            <v>2016</v>
          </cell>
          <cell r="E2694">
            <v>575</v>
          </cell>
          <cell r="F2694" t="str">
            <v>C9N-807</v>
          </cell>
          <cell r="G2694" t="str">
            <v>B4O-994</v>
          </cell>
          <cell r="H2694" t="str">
            <v>LAS BAMBAS</v>
          </cell>
          <cell r="I2694">
            <v>211537</v>
          </cell>
          <cell r="J2694" t="str">
            <v>REPUESTO</v>
          </cell>
          <cell r="K2694" t="str">
            <v>PICAPORTE</v>
          </cell>
          <cell r="L2694">
            <v>1</v>
          </cell>
          <cell r="M2694" t="str">
            <v>UNID.</v>
          </cell>
          <cell r="N2694" t="str">
            <v>CISTERNA</v>
          </cell>
          <cell r="O2694">
            <v>72</v>
          </cell>
          <cell r="P2694" t="str">
            <v>S2</v>
          </cell>
          <cell r="Q2694" t="str">
            <v>J1</v>
          </cell>
          <cell r="R2694" t="str">
            <v>J6</v>
          </cell>
          <cell r="S2694" t="str">
            <v>PENDIENTE</v>
          </cell>
          <cell r="T2694">
            <v>0</v>
          </cell>
          <cell r="U2694" t="str">
            <v>PALOMINO ESTRADA  MICHEL</v>
          </cell>
          <cell r="V2694" t="str">
            <v>FLOREZ CONDORI  JOSE WILLIANS</v>
          </cell>
        </row>
        <row r="2695">
          <cell r="A2695">
            <v>2723</v>
          </cell>
          <cell r="B2695">
            <v>42718</v>
          </cell>
          <cell r="C2695" t="str">
            <v>DICIEMBRE</v>
          </cell>
          <cell r="D2695" t="str">
            <v>2016</v>
          </cell>
          <cell r="E2695">
            <v>566</v>
          </cell>
          <cell r="F2695" t="str">
            <v>C9P-948</v>
          </cell>
          <cell r="G2695" t="str">
            <v>B4O-995</v>
          </cell>
          <cell r="H2695" t="str">
            <v>LAS BAMBAS</v>
          </cell>
          <cell r="I2695">
            <v>157264</v>
          </cell>
          <cell r="J2695" t="str">
            <v>REPUESTO</v>
          </cell>
          <cell r="K2695" t="str">
            <v>MATACHISPA</v>
          </cell>
          <cell r="L2695">
            <v>1</v>
          </cell>
          <cell r="M2695" t="str">
            <v>UNID.</v>
          </cell>
          <cell r="N2695" t="str">
            <v>TRACTO</v>
          </cell>
          <cell r="O2695">
            <v>0</v>
          </cell>
          <cell r="P2695" t="str">
            <v>M2</v>
          </cell>
          <cell r="Q2695" t="str">
            <v>J2</v>
          </cell>
          <cell r="R2695" t="str">
            <v>J6</v>
          </cell>
          <cell r="S2695" t="str">
            <v>ENTREGADO</v>
          </cell>
          <cell r="T2695">
            <v>42718</v>
          </cell>
          <cell r="U2695" t="str">
            <v>CHUMPITAZ GAGO JULIO ENRIQUE</v>
          </cell>
          <cell r="V2695" t="str">
            <v>CORIHUAMAN SURCO  ERICK ROBERT</v>
          </cell>
        </row>
        <row r="2696">
          <cell r="A2696">
            <v>2689</v>
          </cell>
          <cell r="B2696">
            <v>42718</v>
          </cell>
          <cell r="C2696" t="str">
            <v>DICIEMBRE</v>
          </cell>
          <cell r="D2696" t="str">
            <v>2016</v>
          </cell>
          <cell r="E2696">
            <v>550</v>
          </cell>
          <cell r="F2696" t="str">
            <v>D3O-745</v>
          </cell>
          <cell r="G2696" t="str">
            <v>F3L-979</v>
          </cell>
          <cell r="H2696" t="str">
            <v>LAS BAMBAS</v>
          </cell>
          <cell r="I2696">
            <v>159243</v>
          </cell>
          <cell r="J2696" t="str">
            <v>REPUESTO</v>
          </cell>
          <cell r="K2696" t="str">
            <v>SUPERCITO 1/8</v>
          </cell>
          <cell r="L2696">
            <v>3</v>
          </cell>
          <cell r="M2696" t="str">
            <v>KG.</v>
          </cell>
          <cell r="N2696" t="str">
            <v>CISTERNA</v>
          </cell>
          <cell r="O2696">
            <v>0</v>
          </cell>
          <cell r="P2696" t="str">
            <v>S1</v>
          </cell>
          <cell r="Q2696" t="str">
            <v>J1</v>
          </cell>
          <cell r="R2696" t="str">
            <v>J6</v>
          </cell>
          <cell r="S2696" t="str">
            <v>ENTREGADO</v>
          </cell>
          <cell r="T2696">
            <v>42718</v>
          </cell>
          <cell r="U2696" t="str">
            <v>BAYONA CRUZ CRISTIAN ARMANDO</v>
          </cell>
          <cell r="V2696" t="str">
            <v>FLOREZ CONDORI  JOSE WILLIANS</v>
          </cell>
        </row>
        <row r="2697">
          <cell r="A2697">
            <v>2690</v>
          </cell>
          <cell r="B2697">
            <v>42718</v>
          </cell>
          <cell r="C2697" t="str">
            <v>DICIEMBRE</v>
          </cell>
          <cell r="D2697" t="str">
            <v>2016</v>
          </cell>
          <cell r="E2697">
            <v>550</v>
          </cell>
          <cell r="F2697" t="str">
            <v>D3O-745</v>
          </cell>
          <cell r="G2697" t="str">
            <v>F3L-979</v>
          </cell>
          <cell r="H2697" t="str">
            <v>LAS BAMBAS</v>
          </cell>
          <cell r="I2697">
            <v>159243</v>
          </cell>
          <cell r="J2697" t="str">
            <v>REPUESTO</v>
          </cell>
          <cell r="K2697" t="str">
            <v>DISCO DE CORTE 7"</v>
          </cell>
          <cell r="L2697">
            <v>1</v>
          </cell>
          <cell r="M2697" t="str">
            <v>UNID.</v>
          </cell>
          <cell r="N2697" t="str">
            <v>CISTERNA</v>
          </cell>
          <cell r="O2697">
            <v>0</v>
          </cell>
          <cell r="P2697" t="str">
            <v>S1</v>
          </cell>
          <cell r="Q2697" t="str">
            <v>J1</v>
          </cell>
          <cell r="R2697" t="str">
            <v>J6</v>
          </cell>
          <cell r="S2697" t="str">
            <v>ENTREGADO</v>
          </cell>
          <cell r="T2697">
            <v>42718</v>
          </cell>
          <cell r="U2697" t="str">
            <v>BAYONA CRUZ CRISTIAN ARMANDO</v>
          </cell>
          <cell r="V2697" t="str">
            <v>FLOREZ CONDORI  JOSE WILLIANS</v>
          </cell>
        </row>
        <row r="2698">
          <cell r="A2698">
            <v>2691</v>
          </cell>
          <cell r="B2698">
            <v>42718</v>
          </cell>
          <cell r="C2698" t="str">
            <v>DICIEMBRE</v>
          </cell>
          <cell r="D2698" t="str">
            <v>2016</v>
          </cell>
          <cell r="E2698">
            <v>550</v>
          </cell>
          <cell r="F2698" t="str">
            <v>D3O-745</v>
          </cell>
          <cell r="G2698" t="str">
            <v>F3L-979</v>
          </cell>
          <cell r="H2698" t="str">
            <v>LAS BAMBAS</v>
          </cell>
          <cell r="I2698">
            <v>159243</v>
          </cell>
          <cell r="J2698" t="str">
            <v>REPUESTO</v>
          </cell>
          <cell r="K2698" t="str">
            <v>CHANFERCORD</v>
          </cell>
          <cell r="L2698">
            <v>1</v>
          </cell>
          <cell r="M2698" t="str">
            <v>KG.</v>
          </cell>
          <cell r="N2698" t="str">
            <v>CISTERNA</v>
          </cell>
          <cell r="O2698">
            <v>0</v>
          </cell>
          <cell r="P2698" t="str">
            <v>S1</v>
          </cell>
          <cell r="Q2698" t="str">
            <v>J1</v>
          </cell>
          <cell r="R2698" t="str">
            <v>J6</v>
          </cell>
          <cell r="S2698" t="str">
            <v>ENTREGADO</v>
          </cell>
          <cell r="T2698">
            <v>42718</v>
          </cell>
          <cell r="U2698" t="str">
            <v>BAYONA CRUZ CRISTIAN ARMANDO</v>
          </cell>
          <cell r="V2698" t="str">
            <v>FLOREZ CONDORI  JOSE WILLIANS</v>
          </cell>
        </row>
        <row r="2699">
          <cell r="A2699">
            <v>2682</v>
          </cell>
          <cell r="B2699">
            <v>42718</v>
          </cell>
          <cell r="C2699" t="str">
            <v>DICIEMBRE</v>
          </cell>
          <cell r="D2699" t="str">
            <v>2016</v>
          </cell>
          <cell r="E2699">
            <v>202</v>
          </cell>
          <cell r="F2699" t="str">
            <v>D3P-752</v>
          </cell>
          <cell r="G2699" t="str">
            <v>C5Y-985</v>
          </cell>
          <cell r="H2699" t="str">
            <v>LAS BAMBAS</v>
          </cell>
          <cell r="I2699">
            <v>150504</v>
          </cell>
          <cell r="J2699" t="str">
            <v>REPUESTO</v>
          </cell>
          <cell r="K2699" t="str">
            <v>LLANTAS DE TRACCION</v>
          </cell>
          <cell r="L2699">
            <v>4</v>
          </cell>
          <cell r="M2699" t="str">
            <v>UNID.</v>
          </cell>
          <cell r="N2699" t="str">
            <v>TRACTO</v>
          </cell>
          <cell r="O2699">
            <v>0</v>
          </cell>
          <cell r="P2699" t="str">
            <v>J2</v>
          </cell>
          <cell r="Q2699" t="str">
            <v>J7</v>
          </cell>
          <cell r="R2699" t="str">
            <v>J6</v>
          </cell>
          <cell r="S2699" t="str">
            <v>ENTREGADO</v>
          </cell>
          <cell r="T2699">
            <v>42718</v>
          </cell>
          <cell r="U2699" t="str">
            <v>CORIHUAMAN SURCO  ERICK ROBERT</v>
          </cell>
          <cell r="V2699" t="str">
            <v>DONAYRE INGA PEDRO</v>
          </cell>
        </row>
        <row r="2700">
          <cell r="A2700">
            <v>2669</v>
          </cell>
          <cell r="B2700">
            <v>42718</v>
          </cell>
          <cell r="C2700" t="str">
            <v>DICIEMBRE</v>
          </cell>
          <cell r="D2700" t="str">
            <v>2016</v>
          </cell>
          <cell r="E2700">
            <v>202</v>
          </cell>
          <cell r="F2700" t="str">
            <v>D3P-752</v>
          </cell>
          <cell r="G2700" t="str">
            <v>C5Y-985</v>
          </cell>
          <cell r="H2700" t="str">
            <v>LAS BAMBAS</v>
          </cell>
          <cell r="I2700">
            <v>150504</v>
          </cell>
          <cell r="J2700" t="str">
            <v>REPUESTO</v>
          </cell>
          <cell r="K2700" t="str">
            <v>SERVO DE DIRECCION</v>
          </cell>
          <cell r="L2700">
            <v>1</v>
          </cell>
          <cell r="M2700" t="str">
            <v>UNID.</v>
          </cell>
          <cell r="N2700" t="str">
            <v>TRACTO</v>
          </cell>
          <cell r="O2700">
            <v>72</v>
          </cell>
          <cell r="P2700" t="str">
            <v>M2</v>
          </cell>
          <cell r="Q2700" t="str">
            <v>J7</v>
          </cell>
          <cell r="R2700" t="str">
            <v>J6</v>
          </cell>
          <cell r="S2700" t="str">
            <v>PENDIENTE</v>
          </cell>
          <cell r="T2700">
            <v>0</v>
          </cell>
          <cell r="U2700" t="str">
            <v>CHUMPITAZ GAGO JULIO ENRIQUE</v>
          </cell>
          <cell r="V2700" t="str">
            <v>DONAYRE INGA PEDRO</v>
          </cell>
        </row>
        <row r="2701">
          <cell r="A2701">
            <v>2670</v>
          </cell>
          <cell r="B2701">
            <v>42718</v>
          </cell>
          <cell r="C2701" t="str">
            <v>DICIEMBRE</v>
          </cell>
          <cell r="D2701" t="str">
            <v>2016</v>
          </cell>
          <cell r="E2701">
            <v>202</v>
          </cell>
          <cell r="F2701" t="str">
            <v>D3P-752</v>
          </cell>
          <cell r="G2701" t="str">
            <v>C5Y-985</v>
          </cell>
          <cell r="H2701" t="str">
            <v>LAS BAMBAS</v>
          </cell>
          <cell r="I2701">
            <v>150504</v>
          </cell>
          <cell r="J2701" t="str">
            <v>REPUESTO</v>
          </cell>
          <cell r="K2701" t="str">
            <v>ALTERNADOR</v>
          </cell>
          <cell r="L2701">
            <v>1</v>
          </cell>
          <cell r="M2701" t="str">
            <v>UNID.</v>
          </cell>
          <cell r="N2701" t="str">
            <v>TRACTO</v>
          </cell>
          <cell r="O2701">
            <v>72</v>
          </cell>
          <cell r="P2701" t="str">
            <v>M2</v>
          </cell>
          <cell r="Q2701" t="str">
            <v>J7</v>
          </cell>
          <cell r="R2701" t="str">
            <v>J6</v>
          </cell>
          <cell r="S2701" t="str">
            <v>PENDIENTE</v>
          </cell>
          <cell r="T2701">
            <v>0</v>
          </cell>
          <cell r="U2701" t="str">
            <v>CHUMPITAZ GAGO JULIO ENRIQUE</v>
          </cell>
          <cell r="V2701" t="str">
            <v>DONAYRE INGA PEDRO</v>
          </cell>
        </row>
        <row r="2702">
          <cell r="A2702">
            <v>2671</v>
          </cell>
          <cell r="B2702">
            <v>42718</v>
          </cell>
          <cell r="C2702" t="str">
            <v>DICIEMBRE</v>
          </cell>
          <cell r="D2702" t="str">
            <v>2016</v>
          </cell>
          <cell r="E2702">
            <v>202</v>
          </cell>
          <cell r="F2702" t="str">
            <v>D3P-752</v>
          </cell>
          <cell r="G2702" t="str">
            <v>C5Y-985</v>
          </cell>
          <cell r="H2702" t="str">
            <v>LAS BAMBAS</v>
          </cell>
          <cell r="I2702">
            <v>150504</v>
          </cell>
          <cell r="J2702" t="str">
            <v>REPUESTO</v>
          </cell>
          <cell r="K2702" t="str">
            <v>VALVULA DE AIRE SELECTOR</v>
          </cell>
          <cell r="L2702">
            <v>1</v>
          </cell>
          <cell r="M2702" t="str">
            <v>UNID.</v>
          </cell>
          <cell r="N2702" t="str">
            <v>TRACTO</v>
          </cell>
          <cell r="O2702">
            <v>72</v>
          </cell>
          <cell r="P2702" t="str">
            <v>M2</v>
          </cell>
          <cell r="Q2702" t="str">
            <v>J7</v>
          </cell>
          <cell r="R2702" t="str">
            <v>J6</v>
          </cell>
          <cell r="S2702" t="str">
            <v>PENDIENTE</v>
          </cell>
          <cell r="T2702">
            <v>0</v>
          </cell>
          <cell r="U2702" t="str">
            <v>CHUMPITAZ GAGO JULIO ENRIQUE</v>
          </cell>
          <cell r="V2702" t="str">
            <v>DONAYRE INGA PEDRO</v>
          </cell>
        </row>
        <row r="2703">
          <cell r="A2703">
            <v>2672</v>
          </cell>
          <cell r="B2703">
            <v>42718</v>
          </cell>
          <cell r="C2703" t="str">
            <v>DICIEMBRE</v>
          </cell>
          <cell r="D2703" t="str">
            <v>2016</v>
          </cell>
          <cell r="E2703">
            <v>202</v>
          </cell>
          <cell r="F2703" t="str">
            <v>D3P-752</v>
          </cell>
          <cell r="G2703" t="str">
            <v>C5Y-985</v>
          </cell>
          <cell r="H2703" t="str">
            <v>LAS BAMBAS</v>
          </cell>
          <cell r="I2703">
            <v>150504</v>
          </cell>
          <cell r="J2703" t="str">
            <v>REPUESTO</v>
          </cell>
          <cell r="K2703" t="str">
            <v>BOMBA DE AGUA</v>
          </cell>
          <cell r="L2703">
            <v>1</v>
          </cell>
          <cell r="M2703" t="str">
            <v>UNID.</v>
          </cell>
          <cell r="N2703" t="str">
            <v>TRACTO</v>
          </cell>
          <cell r="O2703">
            <v>72</v>
          </cell>
          <cell r="P2703" t="str">
            <v>M2</v>
          </cell>
          <cell r="Q2703" t="str">
            <v>J7</v>
          </cell>
          <cell r="R2703" t="str">
            <v>J6</v>
          </cell>
          <cell r="S2703" t="str">
            <v>PENDIENTE</v>
          </cell>
          <cell r="T2703">
            <v>0</v>
          </cell>
          <cell r="U2703" t="str">
            <v>CHUMPITAZ GAGO JULIO ENRIQUE</v>
          </cell>
          <cell r="V2703" t="str">
            <v>DONAYRE INGA PEDRO</v>
          </cell>
        </row>
        <row r="2704">
          <cell r="A2704">
            <v>2673</v>
          </cell>
          <cell r="B2704">
            <v>42718</v>
          </cell>
          <cell r="C2704" t="str">
            <v>DICIEMBRE</v>
          </cell>
          <cell r="D2704" t="str">
            <v>2016</v>
          </cell>
          <cell r="E2704">
            <v>202</v>
          </cell>
          <cell r="F2704" t="str">
            <v>D3P-752</v>
          </cell>
          <cell r="G2704" t="str">
            <v>C5Y-985</v>
          </cell>
          <cell r="H2704" t="str">
            <v>LAS BAMBAS</v>
          </cell>
          <cell r="I2704">
            <v>150504</v>
          </cell>
          <cell r="J2704" t="str">
            <v>REPUESTO</v>
          </cell>
          <cell r="K2704" t="str">
            <v>RADIADOR</v>
          </cell>
          <cell r="L2704">
            <v>1</v>
          </cell>
          <cell r="M2704" t="str">
            <v>UNID.</v>
          </cell>
          <cell r="N2704" t="str">
            <v>TRACTO</v>
          </cell>
          <cell r="O2704">
            <v>0</v>
          </cell>
          <cell r="P2704" t="str">
            <v>M2</v>
          </cell>
          <cell r="Q2704" t="str">
            <v>J7</v>
          </cell>
          <cell r="R2704" t="str">
            <v>J6</v>
          </cell>
          <cell r="S2704" t="str">
            <v>ENTREGADO</v>
          </cell>
          <cell r="T2704">
            <v>42718</v>
          </cell>
          <cell r="U2704" t="str">
            <v>CHUMPITAZ GAGO JULIO ENRIQUE</v>
          </cell>
          <cell r="V2704" t="str">
            <v>DONAYRE INGA PEDRO</v>
          </cell>
        </row>
        <row r="2705">
          <cell r="A2705">
            <v>2674</v>
          </cell>
          <cell r="B2705">
            <v>42718</v>
          </cell>
          <cell r="C2705" t="str">
            <v>DICIEMBRE</v>
          </cell>
          <cell r="D2705" t="str">
            <v>2016</v>
          </cell>
          <cell r="E2705">
            <v>202</v>
          </cell>
          <cell r="F2705" t="str">
            <v>D3P-752</v>
          </cell>
          <cell r="G2705" t="str">
            <v>C5Y-985</v>
          </cell>
          <cell r="H2705" t="str">
            <v>LAS BAMBAS</v>
          </cell>
          <cell r="I2705">
            <v>150504</v>
          </cell>
          <cell r="J2705" t="str">
            <v>REPUESTO</v>
          </cell>
          <cell r="K2705" t="str">
            <v>FAJA DE ALTERNADOR</v>
          </cell>
          <cell r="L2705">
            <v>1</v>
          </cell>
          <cell r="M2705" t="str">
            <v>UNID.</v>
          </cell>
          <cell r="N2705" t="str">
            <v>TRACTO</v>
          </cell>
          <cell r="O2705">
            <v>0</v>
          </cell>
          <cell r="P2705" t="str">
            <v>M2</v>
          </cell>
          <cell r="Q2705" t="str">
            <v>J7</v>
          </cell>
          <cell r="R2705" t="str">
            <v>J6</v>
          </cell>
          <cell r="S2705" t="str">
            <v>ENTREGADO</v>
          </cell>
          <cell r="T2705">
            <v>42718</v>
          </cell>
          <cell r="U2705" t="str">
            <v>CHUMPITAZ GAGO JULIO ENRIQUE</v>
          </cell>
          <cell r="V2705" t="str">
            <v>DONAYRE INGA PEDRO</v>
          </cell>
        </row>
        <row r="2706">
          <cell r="A2706">
            <v>2675</v>
          </cell>
          <cell r="B2706">
            <v>42718</v>
          </cell>
          <cell r="C2706" t="str">
            <v>DICIEMBRE</v>
          </cell>
          <cell r="D2706" t="str">
            <v>2016</v>
          </cell>
          <cell r="E2706">
            <v>202</v>
          </cell>
          <cell r="F2706" t="str">
            <v>D3P-752</v>
          </cell>
          <cell r="G2706" t="str">
            <v>C5Y-985</v>
          </cell>
          <cell r="H2706" t="str">
            <v>LAS BAMBAS</v>
          </cell>
          <cell r="I2706">
            <v>150504</v>
          </cell>
          <cell r="J2706" t="str">
            <v>REPUESTO</v>
          </cell>
          <cell r="K2706" t="str">
            <v>ABRAZADERA PARA MANGUERA DE AGUA</v>
          </cell>
          <cell r="L2706">
            <v>4</v>
          </cell>
          <cell r="M2706" t="str">
            <v>UNID.</v>
          </cell>
          <cell r="N2706" t="str">
            <v>TRACTO</v>
          </cell>
          <cell r="O2706">
            <v>0</v>
          </cell>
          <cell r="P2706" t="str">
            <v>M2</v>
          </cell>
          <cell r="Q2706" t="str">
            <v>J7</v>
          </cell>
          <cell r="R2706" t="str">
            <v>J6</v>
          </cell>
          <cell r="S2706" t="str">
            <v>ENTREGADO</v>
          </cell>
          <cell r="T2706">
            <v>42718</v>
          </cell>
          <cell r="U2706" t="str">
            <v>CHUMPITAZ GAGO JULIO ENRIQUE</v>
          </cell>
          <cell r="V2706" t="str">
            <v>DONAYRE INGA PEDRO</v>
          </cell>
        </row>
        <row r="2707">
          <cell r="A2707">
            <v>2676</v>
          </cell>
          <cell r="B2707">
            <v>42718</v>
          </cell>
          <cell r="C2707" t="str">
            <v>DICIEMBRE</v>
          </cell>
          <cell r="D2707" t="str">
            <v>2016</v>
          </cell>
          <cell r="E2707">
            <v>202</v>
          </cell>
          <cell r="F2707" t="str">
            <v>D3P-752</v>
          </cell>
          <cell r="G2707" t="str">
            <v>C5Y-985</v>
          </cell>
          <cell r="H2707" t="str">
            <v>LAS BAMBAS</v>
          </cell>
          <cell r="I2707">
            <v>150504</v>
          </cell>
          <cell r="J2707" t="str">
            <v>REPUESTO</v>
          </cell>
          <cell r="K2707" t="str">
            <v>TEMPLADOR</v>
          </cell>
          <cell r="L2707">
            <v>1</v>
          </cell>
          <cell r="M2707" t="str">
            <v>UNID.</v>
          </cell>
          <cell r="N2707" t="str">
            <v>TRACTO</v>
          </cell>
          <cell r="O2707">
            <v>72</v>
          </cell>
          <cell r="P2707" t="str">
            <v>M2</v>
          </cell>
          <cell r="Q2707" t="str">
            <v>J7</v>
          </cell>
          <cell r="R2707" t="str">
            <v>J6</v>
          </cell>
          <cell r="S2707" t="str">
            <v>PENDIENTE</v>
          </cell>
          <cell r="T2707">
            <v>0</v>
          </cell>
          <cell r="U2707" t="str">
            <v>CHUMPITAZ GAGO JULIO ENRIQUE</v>
          </cell>
          <cell r="V2707" t="str">
            <v>DONAYRE INGA PEDRO</v>
          </cell>
        </row>
        <row r="2708">
          <cell r="A2708">
            <v>2677</v>
          </cell>
          <cell r="B2708">
            <v>42718</v>
          </cell>
          <cell r="C2708" t="str">
            <v>DICIEMBRE</v>
          </cell>
          <cell r="D2708" t="str">
            <v>2016</v>
          </cell>
          <cell r="E2708">
            <v>202</v>
          </cell>
          <cell r="F2708" t="str">
            <v>D3P-752</v>
          </cell>
          <cell r="G2708" t="str">
            <v>C5Y-985</v>
          </cell>
          <cell r="H2708" t="str">
            <v>LAS BAMBAS</v>
          </cell>
          <cell r="I2708">
            <v>150504</v>
          </cell>
          <cell r="J2708" t="str">
            <v>REPUESTO</v>
          </cell>
          <cell r="K2708" t="str">
            <v>TANQUE DE AGUA REFRIGERANTE</v>
          </cell>
          <cell r="L2708">
            <v>1</v>
          </cell>
          <cell r="M2708" t="str">
            <v>UNID.</v>
          </cell>
          <cell r="N2708" t="str">
            <v>TRACTO</v>
          </cell>
          <cell r="O2708">
            <v>72</v>
          </cell>
          <cell r="P2708" t="str">
            <v>M2</v>
          </cell>
          <cell r="Q2708" t="str">
            <v>J7</v>
          </cell>
          <cell r="R2708" t="str">
            <v>J6</v>
          </cell>
          <cell r="S2708" t="str">
            <v>PENDIENTE</v>
          </cell>
          <cell r="T2708">
            <v>0</v>
          </cell>
          <cell r="U2708" t="str">
            <v>CHUMPITAZ GAGO JULIO ENRIQUE</v>
          </cell>
          <cell r="V2708" t="str">
            <v>DONAYRE INGA PEDRO</v>
          </cell>
        </row>
        <row r="2709">
          <cell r="A2709">
            <v>2678</v>
          </cell>
          <cell r="B2709">
            <v>42718</v>
          </cell>
          <cell r="C2709" t="str">
            <v>DICIEMBRE</v>
          </cell>
          <cell r="D2709" t="str">
            <v>2016</v>
          </cell>
          <cell r="E2709">
            <v>202</v>
          </cell>
          <cell r="F2709" t="str">
            <v>D3P-752</v>
          </cell>
          <cell r="G2709" t="str">
            <v>C5Y-985</v>
          </cell>
          <cell r="H2709" t="str">
            <v>LAS BAMBAS</v>
          </cell>
          <cell r="I2709">
            <v>150504</v>
          </cell>
          <cell r="J2709" t="str">
            <v>REPUESTO</v>
          </cell>
          <cell r="K2709" t="str">
            <v>MANGUERA DE COMPRESORA</v>
          </cell>
          <cell r="L2709">
            <v>1</v>
          </cell>
          <cell r="M2709" t="str">
            <v>UNID.</v>
          </cell>
          <cell r="N2709" t="str">
            <v>TRACTO</v>
          </cell>
          <cell r="O2709">
            <v>72</v>
          </cell>
          <cell r="P2709" t="str">
            <v>M2</v>
          </cell>
          <cell r="Q2709" t="str">
            <v>J7</v>
          </cell>
          <cell r="R2709" t="str">
            <v>J6</v>
          </cell>
          <cell r="S2709" t="str">
            <v>PENDIENTE</v>
          </cell>
          <cell r="T2709">
            <v>0</v>
          </cell>
          <cell r="U2709" t="str">
            <v>CHUMPITAZ GAGO JULIO ENRIQUE</v>
          </cell>
          <cell r="V2709" t="str">
            <v>DONAYRE INGA PEDRO</v>
          </cell>
        </row>
        <row r="2710">
          <cell r="A2710">
            <v>2679</v>
          </cell>
          <cell r="B2710">
            <v>42718</v>
          </cell>
          <cell r="C2710" t="str">
            <v>DICIEMBRE</v>
          </cell>
          <cell r="D2710" t="str">
            <v>2016</v>
          </cell>
          <cell r="E2710">
            <v>202</v>
          </cell>
          <cell r="F2710" t="str">
            <v>D3P-752</v>
          </cell>
          <cell r="G2710" t="str">
            <v>C5Y-985</v>
          </cell>
          <cell r="H2710" t="str">
            <v>LAS BAMBAS</v>
          </cell>
          <cell r="I2710">
            <v>150504</v>
          </cell>
          <cell r="J2710" t="str">
            <v>REPUESTO</v>
          </cell>
          <cell r="K2710" t="str">
            <v>GUARDAFANGO BLANCO ALERONES DERECHO</v>
          </cell>
          <cell r="L2710">
            <v>1</v>
          </cell>
          <cell r="M2710" t="str">
            <v>UNID.</v>
          </cell>
          <cell r="N2710" t="str">
            <v>TRACTO</v>
          </cell>
          <cell r="O2710">
            <v>72</v>
          </cell>
          <cell r="P2710" t="str">
            <v>M2</v>
          </cell>
          <cell r="Q2710" t="str">
            <v>J7</v>
          </cell>
          <cell r="R2710" t="str">
            <v>J6</v>
          </cell>
          <cell r="S2710" t="str">
            <v>PENDIENTE</v>
          </cell>
          <cell r="T2710">
            <v>0</v>
          </cell>
          <cell r="U2710" t="str">
            <v>CHUMPITAZ GAGO JULIO ENRIQUE</v>
          </cell>
          <cell r="V2710" t="str">
            <v>DONAYRE INGA PEDRO</v>
          </cell>
        </row>
        <row r="2711">
          <cell r="A2711">
            <v>2680</v>
          </cell>
          <cell r="B2711">
            <v>42718</v>
          </cell>
          <cell r="C2711" t="str">
            <v>DICIEMBRE</v>
          </cell>
          <cell r="D2711" t="str">
            <v>2016</v>
          </cell>
          <cell r="E2711">
            <v>202</v>
          </cell>
          <cell r="F2711" t="str">
            <v>D3P-752</v>
          </cell>
          <cell r="G2711" t="str">
            <v>C5Y-985</v>
          </cell>
          <cell r="H2711" t="str">
            <v>LAS BAMBAS</v>
          </cell>
          <cell r="I2711">
            <v>150504</v>
          </cell>
          <cell r="J2711" t="str">
            <v>REPUESTO</v>
          </cell>
          <cell r="K2711" t="str">
            <v>GUARDAFANGO BLANCO ALERONES IZQUIERDO</v>
          </cell>
          <cell r="L2711">
            <v>1</v>
          </cell>
          <cell r="M2711" t="str">
            <v>UNID.</v>
          </cell>
          <cell r="N2711" t="str">
            <v>TRACTO</v>
          </cell>
          <cell r="O2711">
            <v>72</v>
          </cell>
          <cell r="P2711" t="str">
            <v>M2</v>
          </cell>
          <cell r="Q2711" t="str">
            <v>J7</v>
          </cell>
          <cell r="R2711" t="str">
            <v>J6</v>
          </cell>
          <cell r="S2711" t="str">
            <v>PENDIENTE</v>
          </cell>
          <cell r="T2711">
            <v>0</v>
          </cell>
          <cell r="U2711" t="str">
            <v>CHUMPITAZ GAGO JULIO ENRIQUE</v>
          </cell>
          <cell r="V2711" t="str">
            <v>DONAYRE INGA PEDRO</v>
          </cell>
        </row>
        <row r="2712">
          <cell r="A2712">
            <v>2681</v>
          </cell>
          <cell r="B2712">
            <v>42718</v>
          </cell>
          <cell r="C2712" t="str">
            <v>DICIEMBRE</v>
          </cell>
          <cell r="D2712" t="str">
            <v>2016</v>
          </cell>
          <cell r="E2712">
            <v>202</v>
          </cell>
          <cell r="F2712" t="str">
            <v>D3P-752</v>
          </cell>
          <cell r="G2712" t="str">
            <v>C5Y-985</v>
          </cell>
          <cell r="H2712" t="str">
            <v>LAS BAMBAS</v>
          </cell>
          <cell r="I2712">
            <v>150504</v>
          </cell>
          <cell r="J2712" t="str">
            <v>REPUESTO</v>
          </cell>
          <cell r="K2712" t="str">
            <v>MATACHISPA</v>
          </cell>
          <cell r="L2712">
            <v>1</v>
          </cell>
          <cell r="M2712" t="str">
            <v>UNID.</v>
          </cell>
          <cell r="N2712" t="str">
            <v>TRACTO</v>
          </cell>
          <cell r="O2712">
            <v>0</v>
          </cell>
          <cell r="P2712" t="str">
            <v>M2</v>
          </cell>
          <cell r="Q2712" t="str">
            <v>J7</v>
          </cell>
          <cell r="R2712" t="str">
            <v>J6</v>
          </cell>
          <cell r="S2712" t="str">
            <v>ENTREGADO</v>
          </cell>
          <cell r="T2712">
            <v>42718</v>
          </cell>
          <cell r="U2712" t="str">
            <v>CHUMPITAZ GAGO JULIO ENRIQUE</v>
          </cell>
          <cell r="V2712" t="str">
            <v>DONAYRE INGA PEDRO</v>
          </cell>
        </row>
        <row r="2713">
          <cell r="A2713">
            <v>2696</v>
          </cell>
          <cell r="B2713">
            <v>42718</v>
          </cell>
          <cell r="C2713" t="str">
            <v>DICIEMBRE</v>
          </cell>
          <cell r="D2713" t="str">
            <v>2016</v>
          </cell>
          <cell r="E2713">
            <v>202</v>
          </cell>
          <cell r="F2713" t="str">
            <v>D3P-752</v>
          </cell>
          <cell r="G2713" t="str">
            <v>C5Y-985</v>
          </cell>
          <cell r="H2713" t="str">
            <v>LAS BAMBAS</v>
          </cell>
          <cell r="I2713">
            <v>150504</v>
          </cell>
          <cell r="J2713" t="str">
            <v>REPUESTO</v>
          </cell>
          <cell r="K2713" t="str">
            <v>CASCARA DE BOTONES DE TESTIGO DE CODIGO DE FALLA Y LUZ DE QUINTA RUEDA</v>
          </cell>
          <cell r="L2713">
            <v>1</v>
          </cell>
          <cell r="M2713" t="str">
            <v>UNID.</v>
          </cell>
          <cell r="N2713" t="str">
            <v>TRACTO</v>
          </cell>
          <cell r="O2713">
            <v>0</v>
          </cell>
          <cell r="P2713" t="str">
            <v>E1</v>
          </cell>
          <cell r="Q2713" t="str">
            <v>J1</v>
          </cell>
          <cell r="R2713" t="str">
            <v>J6</v>
          </cell>
          <cell r="S2713" t="str">
            <v>ENTREGADO</v>
          </cell>
          <cell r="T2713">
            <v>42718</v>
          </cell>
          <cell r="U2713" t="str">
            <v>PALOMINO CARDENAS JUAN CARLOS</v>
          </cell>
          <cell r="V2713" t="str">
            <v>FLOREZ CONDORI  JOSE WILLIANS</v>
          </cell>
        </row>
        <row r="2714">
          <cell r="A2714">
            <v>2698</v>
          </cell>
          <cell r="B2714">
            <v>42718</v>
          </cell>
          <cell r="C2714" t="str">
            <v>DICIEMBRE</v>
          </cell>
          <cell r="D2714" t="str">
            <v>2016</v>
          </cell>
          <cell r="E2714">
            <v>202</v>
          </cell>
          <cell r="F2714" t="str">
            <v>D3P-752</v>
          </cell>
          <cell r="G2714" t="str">
            <v>C5Y-985</v>
          </cell>
          <cell r="H2714" t="str">
            <v>LAS BAMBAS</v>
          </cell>
          <cell r="I2714">
            <v>150504</v>
          </cell>
          <cell r="J2714" t="str">
            <v>SERVICIO</v>
          </cell>
          <cell r="K2714" t="str">
            <v>ENFIBRADO DE TAPABARRO</v>
          </cell>
          <cell r="L2714">
            <v>1</v>
          </cell>
          <cell r="M2714" t="str">
            <v>UNID.</v>
          </cell>
          <cell r="N2714" t="str">
            <v>CISTERNA</v>
          </cell>
          <cell r="O2714">
            <v>0</v>
          </cell>
          <cell r="P2714" t="str">
            <v>M2</v>
          </cell>
          <cell r="Q2714" t="str">
            <v>J1</v>
          </cell>
          <cell r="R2714" t="str">
            <v>J6</v>
          </cell>
          <cell r="S2714" t="str">
            <v>ENTREGADO</v>
          </cell>
          <cell r="T2714">
            <v>42718</v>
          </cell>
          <cell r="U2714" t="str">
            <v>CHUMPITAZ GAGO JULIO ENRIQUE</v>
          </cell>
          <cell r="V2714" t="str">
            <v>FLOREZ CONDORI  JOSE WILLIANS</v>
          </cell>
        </row>
        <row r="2715">
          <cell r="A2715">
            <v>2721</v>
          </cell>
          <cell r="B2715">
            <v>42718</v>
          </cell>
          <cell r="C2715" t="str">
            <v>DICIEMBRE</v>
          </cell>
          <cell r="D2715" t="str">
            <v>2016</v>
          </cell>
          <cell r="E2715">
            <v>202</v>
          </cell>
          <cell r="F2715" t="str">
            <v>D3P-752</v>
          </cell>
          <cell r="G2715" t="str">
            <v>C5Y-985</v>
          </cell>
          <cell r="H2715" t="str">
            <v>LAS BAMBAS</v>
          </cell>
          <cell r="I2715">
            <v>150504</v>
          </cell>
          <cell r="J2715" t="str">
            <v>REPUESTO</v>
          </cell>
          <cell r="K2715" t="str">
            <v>MEDIDOR DE ACEITE DE MOTOR</v>
          </cell>
          <cell r="L2715">
            <v>1</v>
          </cell>
          <cell r="M2715" t="str">
            <v>UNID.</v>
          </cell>
          <cell r="N2715" t="str">
            <v>TRACTO</v>
          </cell>
          <cell r="O2715">
            <v>72</v>
          </cell>
          <cell r="P2715" t="str">
            <v>M2</v>
          </cell>
          <cell r="Q2715" t="str">
            <v>J1</v>
          </cell>
          <cell r="R2715" t="str">
            <v>J6</v>
          </cell>
          <cell r="S2715" t="str">
            <v>PENDIENTE</v>
          </cell>
          <cell r="T2715">
            <v>0</v>
          </cell>
          <cell r="U2715" t="str">
            <v>CHUMPITAZ GAGO JULIO ENRIQUE</v>
          </cell>
          <cell r="V2715" t="str">
            <v>FLOREZ CONDORI  JOSE WILLIANS</v>
          </cell>
        </row>
        <row r="2716">
          <cell r="A2716">
            <v>2732</v>
          </cell>
          <cell r="B2716">
            <v>42718</v>
          </cell>
          <cell r="C2716" t="str">
            <v>DICIEMBRE</v>
          </cell>
          <cell r="D2716" t="str">
            <v>2016</v>
          </cell>
          <cell r="E2716">
            <v>202</v>
          </cell>
          <cell r="F2716" t="str">
            <v>D3P-752</v>
          </cell>
          <cell r="G2716" t="str">
            <v>C5Y-985</v>
          </cell>
          <cell r="H2716" t="str">
            <v>LAS BAMBAS</v>
          </cell>
          <cell r="I2716">
            <v>150504</v>
          </cell>
          <cell r="J2716" t="str">
            <v>REPUESTO</v>
          </cell>
          <cell r="K2716" t="str">
            <v>CABLE VULCANIZADO 3X16</v>
          </cell>
          <cell r="L2716">
            <v>3</v>
          </cell>
          <cell r="M2716" t="str">
            <v>M</v>
          </cell>
          <cell r="N2716" t="str">
            <v>TRACTO</v>
          </cell>
          <cell r="O2716">
            <v>0</v>
          </cell>
          <cell r="P2716" t="str">
            <v>E1</v>
          </cell>
          <cell r="Q2716" t="str">
            <v>J2</v>
          </cell>
          <cell r="R2716" t="str">
            <v>J6</v>
          </cell>
          <cell r="S2716" t="str">
            <v>ENTREGADO</v>
          </cell>
          <cell r="T2716">
            <v>42718</v>
          </cell>
          <cell r="U2716" t="str">
            <v>PALOMINO CARDENAS JUAN CARLOS</v>
          </cell>
          <cell r="V2716" t="str">
            <v>CORIHUAMAN SURCO  ERICK ROBERT</v>
          </cell>
        </row>
        <row r="2717">
          <cell r="A2717">
            <v>2726</v>
          </cell>
          <cell r="B2717">
            <v>42718</v>
          </cell>
          <cell r="C2717" t="str">
            <v>DICIEMBRE</v>
          </cell>
          <cell r="D2717" t="str">
            <v>2016</v>
          </cell>
          <cell r="E2717">
            <v>506</v>
          </cell>
          <cell r="F2717" t="str">
            <v>D3P-754</v>
          </cell>
          <cell r="G2717" t="str">
            <v>C0V-971</v>
          </cell>
          <cell r="H2717" t="str">
            <v>LAS BAMBAS</v>
          </cell>
          <cell r="I2717">
            <v>163530</v>
          </cell>
          <cell r="J2717" t="str">
            <v>REPUESTO</v>
          </cell>
          <cell r="K2717" t="str">
            <v>TERMINALES DE DIRECCION DE LA BARRA LARGA LADO IZQUIERDO</v>
          </cell>
          <cell r="L2717">
            <v>1</v>
          </cell>
          <cell r="M2717" t="str">
            <v>UNID.</v>
          </cell>
          <cell r="N2717" t="str">
            <v>TRACTO</v>
          </cell>
          <cell r="O2717">
            <v>0</v>
          </cell>
          <cell r="P2717" t="str">
            <v>M2</v>
          </cell>
          <cell r="Q2717" t="str">
            <v>J2</v>
          </cell>
          <cell r="R2717" t="str">
            <v>J6</v>
          </cell>
          <cell r="S2717" t="str">
            <v>ENTREGADO</v>
          </cell>
          <cell r="T2717">
            <v>42718</v>
          </cell>
          <cell r="U2717" t="str">
            <v>CHUMPITAZ GAGO JULIO ENRIQUE</v>
          </cell>
          <cell r="V2717" t="str">
            <v>CORIHUAMAN SURCO  ERICK ROBERT</v>
          </cell>
        </row>
        <row r="2718">
          <cell r="A2718">
            <v>2727</v>
          </cell>
          <cell r="B2718">
            <v>42718</v>
          </cell>
          <cell r="C2718" t="str">
            <v>DICIEMBRE</v>
          </cell>
          <cell r="D2718" t="str">
            <v>2016</v>
          </cell>
          <cell r="E2718">
            <v>506</v>
          </cell>
          <cell r="F2718" t="str">
            <v>D3P-754</v>
          </cell>
          <cell r="G2718" t="str">
            <v>C0V-971</v>
          </cell>
          <cell r="H2718" t="str">
            <v>LAS BAMBAS</v>
          </cell>
          <cell r="I2718">
            <v>163530</v>
          </cell>
          <cell r="J2718" t="str">
            <v>REPUESTO</v>
          </cell>
          <cell r="K2718" t="str">
            <v>TERMINALES DE DIRECCION DE LA BARRA LARGA LADO DERECHO</v>
          </cell>
          <cell r="L2718">
            <v>1</v>
          </cell>
          <cell r="M2718" t="str">
            <v>UNID.</v>
          </cell>
          <cell r="N2718" t="str">
            <v>TRACTO</v>
          </cell>
          <cell r="O2718">
            <v>0</v>
          </cell>
          <cell r="P2718" t="str">
            <v>M2</v>
          </cell>
          <cell r="Q2718" t="str">
            <v>J2</v>
          </cell>
          <cell r="R2718" t="str">
            <v>J6</v>
          </cell>
          <cell r="S2718" t="str">
            <v>ENTREGADO</v>
          </cell>
          <cell r="T2718">
            <v>42718</v>
          </cell>
          <cell r="U2718" t="str">
            <v>CHUMPITAZ GAGO JULIO ENRIQUE</v>
          </cell>
          <cell r="V2718" t="str">
            <v>CORIHUAMAN SURCO  ERICK ROBERT</v>
          </cell>
        </row>
        <row r="2719">
          <cell r="A2719">
            <v>2729</v>
          </cell>
          <cell r="B2719">
            <v>42718</v>
          </cell>
          <cell r="C2719" t="str">
            <v>DICIEMBRE</v>
          </cell>
          <cell r="D2719" t="str">
            <v>2016</v>
          </cell>
          <cell r="E2719">
            <v>583</v>
          </cell>
          <cell r="F2719" t="str">
            <v>D3P-754</v>
          </cell>
          <cell r="G2719" t="str">
            <v>C0V-971</v>
          </cell>
          <cell r="H2719" t="str">
            <v>LAS BAMBAS</v>
          </cell>
          <cell r="I2719">
            <v>163803</v>
          </cell>
          <cell r="J2719" t="str">
            <v>REPUESTO</v>
          </cell>
          <cell r="K2719" t="str">
            <v xml:space="preserve">FOCO 9006 </v>
          </cell>
          <cell r="L2719">
            <v>1</v>
          </cell>
          <cell r="M2719" t="str">
            <v>UNID.</v>
          </cell>
          <cell r="N2719" t="str">
            <v>TRACTO</v>
          </cell>
          <cell r="O2719">
            <v>0</v>
          </cell>
          <cell r="P2719" t="str">
            <v>E2</v>
          </cell>
          <cell r="Q2719" t="str">
            <v>J2</v>
          </cell>
          <cell r="R2719" t="str">
            <v>J6</v>
          </cell>
          <cell r="S2719" t="str">
            <v>ENTREGADO</v>
          </cell>
          <cell r="T2719">
            <v>42718</v>
          </cell>
          <cell r="U2719" t="str">
            <v>YUCA BELLIDO BORIS YERSY</v>
          </cell>
          <cell r="V2719" t="str">
            <v>CORIHUAMAN SURCO  ERICK ROBERT</v>
          </cell>
        </row>
        <row r="2720">
          <cell r="A2720">
            <v>2730</v>
          </cell>
          <cell r="B2720">
            <v>42718</v>
          </cell>
          <cell r="C2720" t="str">
            <v>DICIEMBRE</v>
          </cell>
          <cell r="D2720" t="str">
            <v>2016</v>
          </cell>
          <cell r="E2720">
            <v>583</v>
          </cell>
          <cell r="F2720" t="str">
            <v>D3P-754</v>
          </cell>
          <cell r="G2720" t="str">
            <v>C0V-971</v>
          </cell>
          <cell r="H2720" t="str">
            <v>LAS BAMBAS</v>
          </cell>
          <cell r="I2720">
            <v>163803</v>
          </cell>
          <cell r="J2720" t="str">
            <v>REPUESTO</v>
          </cell>
          <cell r="K2720" t="str">
            <v>FOCO LAGRIMON AMBAR 12 V</v>
          </cell>
          <cell r="L2720">
            <v>1</v>
          </cell>
          <cell r="M2720" t="str">
            <v>UNID.</v>
          </cell>
          <cell r="N2720" t="str">
            <v>TRACTO</v>
          </cell>
          <cell r="O2720">
            <v>0</v>
          </cell>
          <cell r="P2720" t="str">
            <v>E2</v>
          </cell>
          <cell r="Q2720" t="str">
            <v>J2</v>
          </cell>
          <cell r="R2720" t="str">
            <v>J6</v>
          </cell>
          <cell r="S2720" t="str">
            <v>ENTREGADO</v>
          </cell>
          <cell r="T2720">
            <v>42718</v>
          </cell>
          <cell r="U2720" t="str">
            <v>YUCA BELLIDO BORIS YERSY</v>
          </cell>
          <cell r="V2720" t="str">
            <v>CORIHUAMAN SURCO  ERICK ROBERT</v>
          </cell>
        </row>
        <row r="2721">
          <cell r="A2721">
            <v>2733</v>
          </cell>
          <cell r="B2721">
            <v>42718</v>
          </cell>
          <cell r="C2721" t="str">
            <v>DICIEMBRE</v>
          </cell>
          <cell r="D2721" t="str">
            <v>2016</v>
          </cell>
          <cell r="E2721">
            <v>583</v>
          </cell>
          <cell r="F2721" t="str">
            <v>D3P-754</v>
          </cell>
          <cell r="G2721" t="str">
            <v>C0V-971</v>
          </cell>
          <cell r="H2721" t="str">
            <v>LAS BAMBAS</v>
          </cell>
          <cell r="I2721">
            <v>163803</v>
          </cell>
          <cell r="J2721" t="str">
            <v>REPUESTO</v>
          </cell>
          <cell r="K2721" t="str">
            <v>PRESINTOS 200</v>
          </cell>
          <cell r="L2721">
            <v>20</v>
          </cell>
          <cell r="M2721" t="str">
            <v>UNID.</v>
          </cell>
          <cell r="N2721" t="str">
            <v>CISTERNA</v>
          </cell>
          <cell r="O2721">
            <v>0</v>
          </cell>
          <cell r="P2721" t="str">
            <v>E2</v>
          </cell>
          <cell r="Q2721" t="str">
            <v>J2</v>
          </cell>
          <cell r="R2721" t="str">
            <v>J6</v>
          </cell>
          <cell r="S2721" t="str">
            <v>ENTREGADO</v>
          </cell>
          <cell r="T2721">
            <v>42718</v>
          </cell>
          <cell r="U2721" t="str">
            <v>YUCA BELLIDO BORIS YERSY</v>
          </cell>
          <cell r="V2721" t="str">
            <v>CORIHUAMAN SURCO  ERICK ROBERT</v>
          </cell>
        </row>
        <row r="2722">
          <cell r="A2722">
            <v>2740</v>
          </cell>
          <cell r="B2722">
            <v>42718</v>
          </cell>
          <cell r="C2722" t="str">
            <v>DICIEMBRE</v>
          </cell>
          <cell r="D2722" t="str">
            <v>2016</v>
          </cell>
          <cell r="E2722">
            <v>391</v>
          </cell>
          <cell r="F2722" t="str">
            <v>D3Q-741</v>
          </cell>
          <cell r="G2722" t="str">
            <v>D2E-976</v>
          </cell>
          <cell r="H2722" t="str">
            <v>LAS BAMBAS</v>
          </cell>
          <cell r="I2722">
            <v>162515</v>
          </cell>
          <cell r="J2722" t="str">
            <v>REPUESTO</v>
          </cell>
          <cell r="K2722" t="str">
            <v>LIQUIDO REFRIGERANTE</v>
          </cell>
          <cell r="L2722">
            <v>1</v>
          </cell>
          <cell r="M2722" t="str">
            <v>GLNS.</v>
          </cell>
          <cell r="N2722" t="str">
            <v>TRACTO</v>
          </cell>
          <cell r="O2722">
            <v>0</v>
          </cell>
          <cell r="P2722" t="str">
            <v>M8</v>
          </cell>
          <cell r="Q2722" t="str">
            <v>J2</v>
          </cell>
          <cell r="R2722" t="str">
            <v>J5</v>
          </cell>
          <cell r="S2722" t="str">
            <v>ENTREGADO</v>
          </cell>
          <cell r="T2722">
            <v>42718</v>
          </cell>
          <cell r="U2722" t="str">
            <v>VARILLAS GAGO  OSCAR ALBERTO</v>
          </cell>
          <cell r="V2722" t="str">
            <v>CORIHUAMAN SURCO  ERICK ROBERT</v>
          </cell>
        </row>
        <row r="2723">
          <cell r="A2723">
            <v>2745</v>
          </cell>
          <cell r="B2723">
            <v>42718</v>
          </cell>
          <cell r="C2723" t="str">
            <v>DICIEMBRE</v>
          </cell>
          <cell r="D2723" t="str">
            <v>2016</v>
          </cell>
          <cell r="E2723">
            <v>391</v>
          </cell>
          <cell r="F2723" t="str">
            <v>D3Q-741</v>
          </cell>
          <cell r="G2723" t="str">
            <v>D2E-976</v>
          </cell>
          <cell r="H2723" t="str">
            <v>LAS BAMBAS</v>
          </cell>
          <cell r="I2723">
            <v>162515</v>
          </cell>
          <cell r="J2723" t="str">
            <v>REPUESTO</v>
          </cell>
          <cell r="K2723" t="str">
            <v>FILTRO DE AIRE DE CABINA</v>
          </cell>
          <cell r="L2723">
            <v>1</v>
          </cell>
          <cell r="M2723" t="str">
            <v>UNID.</v>
          </cell>
          <cell r="N2723" t="str">
            <v>TRACTO</v>
          </cell>
          <cell r="O2723">
            <v>0</v>
          </cell>
          <cell r="P2723" t="str">
            <v>M8</v>
          </cell>
          <cell r="Q2723" t="str">
            <v>J2</v>
          </cell>
          <cell r="R2723" t="str">
            <v>J5</v>
          </cell>
          <cell r="S2723" t="str">
            <v>ENTREGADO</v>
          </cell>
          <cell r="T2723">
            <v>42718</v>
          </cell>
          <cell r="U2723" t="str">
            <v>VARILLAS GAGO  OSCAR ALBERTO</v>
          </cell>
          <cell r="V2723" t="str">
            <v>CORIHUAMAN SURCO  ERICK ROBERT</v>
          </cell>
        </row>
        <row r="2724">
          <cell r="A2724">
            <v>2746</v>
          </cell>
          <cell r="B2724">
            <v>42718</v>
          </cell>
          <cell r="C2724" t="str">
            <v>DICIEMBRE</v>
          </cell>
          <cell r="D2724" t="str">
            <v>2016</v>
          </cell>
          <cell r="E2724">
            <v>591</v>
          </cell>
          <cell r="F2724" t="str">
            <v>D3Q-741</v>
          </cell>
          <cell r="G2724" t="str">
            <v>D2E-976</v>
          </cell>
          <cell r="H2724" t="str">
            <v>LAS BAMBAS</v>
          </cell>
          <cell r="I2724">
            <v>164059</v>
          </cell>
          <cell r="J2724" t="str">
            <v>REPUESTO</v>
          </cell>
          <cell r="K2724" t="str">
            <v>RATCHET DE FRENO DE 10 DIENTES</v>
          </cell>
          <cell r="L2724">
            <v>1</v>
          </cell>
          <cell r="M2724" t="str">
            <v>UNID.</v>
          </cell>
          <cell r="N2724" t="str">
            <v>CISTERNA</v>
          </cell>
          <cell r="O2724">
            <v>1</v>
          </cell>
          <cell r="P2724" t="str">
            <v>M8</v>
          </cell>
          <cell r="Q2724" t="str">
            <v>J2</v>
          </cell>
          <cell r="R2724" t="str">
            <v>J6</v>
          </cell>
          <cell r="S2724" t="str">
            <v>ENTREGADO</v>
          </cell>
          <cell r="T2724">
            <v>42719</v>
          </cell>
          <cell r="U2724" t="str">
            <v>VARILLAS GAGO  OSCAR ALBERTO</v>
          </cell>
          <cell r="V2724" t="str">
            <v>CORIHUAMAN SURCO  ERICK ROBERT</v>
          </cell>
        </row>
        <row r="2725">
          <cell r="A2725">
            <v>2742</v>
          </cell>
          <cell r="B2725">
            <v>42718</v>
          </cell>
          <cell r="C2725" t="str">
            <v>DICIEMBRE</v>
          </cell>
          <cell r="D2725" t="str">
            <v>2016</v>
          </cell>
          <cell r="E2725">
            <v>586</v>
          </cell>
          <cell r="F2725" t="str">
            <v>D3S-725</v>
          </cell>
          <cell r="G2725" t="str">
            <v>TBL-977</v>
          </cell>
          <cell r="H2725" t="str">
            <v>LAS BAMBAS</v>
          </cell>
          <cell r="I2725">
            <v>148939</v>
          </cell>
          <cell r="J2725" t="str">
            <v>REPUESTO</v>
          </cell>
          <cell r="K2725" t="str">
            <v>TUERCA 3/8 X 4" C/ TUERCA SEGURO</v>
          </cell>
          <cell r="L2725">
            <v>2</v>
          </cell>
          <cell r="M2725" t="str">
            <v>UNID.</v>
          </cell>
          <cell r="N2725" t="str">
            <v>TRACTO</v>
          </cell>
          <cell r="O2725">
            <v>0</v>
          </cell>
          <cell r="P2725" t="str">
            <v>E3</v>
          </cell>
          <cell r="Q2725" t="str">
            <v>J2</v>
          </cell>
          <cell r="R2725" t="str">
            <v>J5</v>
          </cell>
          <cell r="S2725" t="str">
            <v>ENTREGADO</v>
          </cell>
          <cell r="T2725">
            <v>42718</v>
          </cell>
          <cell r="U2725" t="str">
            <v>CONDORI CHURATA ALEX</v>
          </cell>
          <cell r="V2725" t="str">
            <v>CORIHUAMAN SURCO  ERICK ROBERT</v>
          </cell>
        </row>
        <row r="2726">
          <cell r="A2726">
            <v>2743</v>
          </cell>
          <cell r="B2726">
            <v>42718</v>
          </cell>
          <cell r="C2726" t="str">
            <v>DICIEMBRE</v>
          </cell>
          <cell r="D2726" t="str">
            <v>2016</v>
          </cell>
          <cell r="E2726">
            <v>586</v>
          </cell>
          <cell r="F2726" t="str">
            <v>D3S-725</v>
          </cell>
          <cell r="G2726" t="str">
            <v>TBL-977</v>
          </cell>
          <cell r="H2726" t="str">
            <v>LAS BAMBAS</v>
          </cell>
          <cell r="I2726">
            <v>148939</v>
          </cell>
          <cell r="J2726" t="str">
            <v>REPUESTO</v>
          </cell>
          <cell r="K2726" t="str">
            <v>ARANDELAS PLANAS 3/8</v>
          </cell>
          <cell r="L2726">
            <v>2</v>
          </cell>
          <cell r="M2726" t="str">
            <v>UNID.</v>
          </cell>
          <cell r="N2726" t="str">
            <v>TRACTO</v>
          </cell>
          <cell r="O2726">
            <v>0</v>
          </cell>
          <cell r="P2726" t="str">
            <v>E3</v>
          </cell>
          <cell r="Q2726" t="str">
            <v>J2</v>
          </cell>
          <cell r="R2726" t="str">
            <v>J5</v>
          </cell>
          <cell r="S2726" t="str">
            <v>ENTREGADO</v>
          </cell>
          <cell r="T2726">
            <v>42718</v>
          </cell>
          <cell r="U2726" t="str">
            <v>CONDORI CHURATA ALEX</v>
          </cell>
          <cell r="V2726" t="str">
            <v>CORIHUAMAN SURCO  ERICK ROBERT</v>
          </cell>
        </row>
        <row r="2727">
          <cell r="A2727">
            <v>2716</v>
          </cell>
          <cell r="B2727">
            <v>42718</v>
          </cell>
          <cell r="C2727" t="str">
            <v>DICIEMBRE</v>
          </cell>
          <cell r="D2727" t="str">
            <v>2016</v>
          </cell>
          <cell r="E2727">
            <v>582</v>
          </cell>
          <cell r="F2727" t="str">
            <v>D4W-805</v>
          </cell>
          <cell r="G2727" t="str">
            <v>CAMIONETA</v>
          </cell>
          <cell r="H2727" t="str">
            <v>MANTENIMIENTO</v>
          </cell>
          <cell r="I2727">
            <v>123845</v>
          </cell>
          <cell r="J2727" t="str">
            <v>REPUESTO</v>
          </cell>
          <cell r="K2727" t="str">
            <v>FILTRO DE AIRE</v>
          </cell>
          <cell r="L2727">
            <v>1</v>
          </cell>
          <cell r="M2727" t="str">
            <v>UNID.</v>
          </cell>
          <cell r="N2727" t="str">
            <v>CAMIONETA</v>
          </cell>
          <cell r="O2727">
            <v>0</v>
          </cell>
          <cell r="P2727" t="str">
            <v>M6</v>
          </cell>
          <cell r="Q2727" t="str">
            <v>J1</v>
          </cell>
          <cell r="R2727" t="str">
            <v>J6</v>
          </cell>
          <cell r="S2727" t="str">
            <v>ENTREGADO</v>
          </cell>
          <cell r="T2727">
            <v>42718</v>
          </cell>
          <cell r="U2727" t="str">
            <v>PARI VENTURA  EDSON ORLANDO</v>
          </cell>
          <cell r="V2727" t="str">
            <v>FLOREZ CONDORI  JOSE WILLIANS</v>
          </cell>
        </row>
        <row r="2728">
          <cell r="A2728">
            <v>2717</v>
          </cell>
          <cell r="B2728">
            <v>42718</v>
          </cell>
          <cell r="C2728" t="str">
            <v>DICIEMBRE</v>
          </cell>
          <cell r="D2728" t="str">
            <v>2016</v>
          </cell>
          <cell r="E2728">
            <v>582</v>
          </cell>
          <cell r="F2728" t="str">
            <v>D4W-805</v>
          </cell>
          <cell r="G2728" t="str">
            <v>CAMIONETA</v>
          </cell>
          <cell r="H2728" t="str">
            <v>MANTENIMIENTO</v>
          </cell>
          <cell r="I2728">
            <v>123845</v>
          </cell>
          <cell r="J2728" t="str">
            <v>REPUESTO</v>
          </cell>
          <cell r="K2728" t="str">
            <v>FILTRO DE ACEITE</v>
          </cell>
          <cell r="L2728">
            <v>1</v>
          </cell>
          <cell r="M2728" t="str">
            <v>UNID.</v>
          </cell>
          <cell r="N2728" t="str">
            <v>CAMIONETA</v>
          </cell>
          <cell r="O2728">
            <v>0</v>
          </cell>
          <cell r="P2728" t="str">
            <v>M6</v>
          </cell>
          <cell r="Q2728" t="str">
            <v>J1</v>
          </cell>
          <cell r="R2728" t="str">
            <v>J6</v>
          </cell>
          <cell r="S2728" t="str">
            <v>ENTREGADO</v>
          </cell>
          <cell r="T2728">
            <v>42718</v>
          </cell>
          <cell r="U2728" t="str">
            <v>PARI VENTURA  EDSON ORLANDO</v>
          </cell>
          <cell r="V2728" t="str">
            <v>FLOREZ CONDORI  JOSE WILLIANS</v>
          </cell>
        </row>
        <row r="2729">
          <cell r="A2729">
            <v>2718</v>
          </cell>
          <cell r="B2729">
            <v>42718</v>
          </cell>
          <cell r="C2729" t="str">
            <v>DICIEMBRE</v>
          </cell>
          <cell r="D2729" t="str">
            <v>2016</v>
          </cell>
          <cell r="E2729">
            <v>582</v>
          </cell>
          <cell r="F2729" t="str">
            <v>D4W-805</v>
          </cell>
          <cell r="G2729" t="str">
            <v>CAMIONETA</v>
          </cell>
          <cell r="H2729" t="str">
            <v>MANTENIMIENTO</v>
          </cell>
          <cell r="I2729">
            <v>123845</v>
          </cell>
          <cell r="J2729" t="str">
            <v>REPUESTO</v>
          </cell>
          <cell r="K2729" t="str">
            <v>FILTRO DE COMBUSTIBLE</v>
          </cell>
          <cell r="L2729">
            <v>1</v>
          </cell>
          <cell r="M2729" t="str">
            <v>UNID.</v>
          </cell>
          <cell r="N2729" t="str">
            <v>CAMIONETA</v>
          </cell>
          <cell r="O2729">
            <v>0</v>
          </cell>
          <cell r="P2729" t="str">
            <v>M6</v>
          </cell>
          <cell r="Q2729" t="str">
            <v>J1</v>
          </cell>
          <cell r="R2729" t="str">
            <v>J6</v>
          </cell>
          <cell r="S2729" t="str">
            <v>ENTREGADO</v>
          </cell>
          <cell r="T2729">
            <v>42718</v>
          </cell>
          <cell r="U2729" t="str">
            <v>PARI VENTURA  EDSON ORLANDO</v>
          </cell>
          <cell r="V2729" t="str">
            <v>FLOREZ CONDORI  JOSE WILLIANS</v>
          </cell>
        </row>
        <row r="2730">
          <cell r="A2730">
            <v>2719</v>
          </cell>
          <cell r="B2730">
            <v>42718</v>
          </cell>
          <cell r="C2730" t="str">
            <v>DICIEMBRE</v>
          </cell>
          <cell r="D2730" t="str">
            <v>2016</v>
          </cell>
          <cell r="E2730">
            <v>582</v>
          </cell>
          <cell r="F2730" t="str">
            <v>D4W-805</v>
          </cell>
          <cell r="G2730" t="str">
            <v>CAMIONETA</v>
          </cell>
          <cell r="H2730" t="str">
            <v>MANTENIMIENTO</v>
          </cell>
          <cell r="I2730">
            <v>123845</v>
          </cell>
          <cell r="J2730" t="str">
            <v>REPUESTO</v>
          </cell>
          <cell r="K2730" t="str">
            <v>ACEITE 15W40</v>
          </cell>
          <cell r="L2730">
            <v>2</v>
          </cell>
          <cell r="M2730" t="str">
            <v>GLNS.</v>
          </cell>
          <cell r="N2730" t="str">
            <v>CAMIONETA</v>
          </cell>
          <cell r="O2730">
            <v>0</v>
          </cell>
          <cell r="P2730" t="str">
            <v>M6</v>
          </cell>
          <cell r="Q2730" t="str">
            <v>J1</v>
          </cell>
          <cell r="R2730" t="str">
            <v>J6</v>
          </cell>
          <cell r="S2730" t="str">
            <v>ENTREGADO</v>
          </cell>
          <cell r="T2730">
            <v>42718</v>
          </cell>
          <cell r="U2730" t="str">
            <v>PARI VENTURA  EDSON ORLANDO</v>
          </cell>
          <cell r="V2730" t="str">
            <v>FLOREZ CONDORI  JOSE WILLIANS</v>
          </cell>
        </row>
        <row r="2731">
          <cell r="A2731">
            <v>2724</v>
          </cell>
          <cell r="B2731">
            <v>42718</v>
          </cell>
          <cell r="C2731" t="str">
            <v>DICIEMBRE</v>
          </cell>
          <cell r="D2731" t="str">
            <v>2016</v>
          </cell>
          <cell r="E2731">
            <v>582</v>
          </cell>
          <cell r="F2731" t="str">
            <v>D4W-805</v>
          </cell>
          <cell r="G2731" t="str">
            <v>CAMIONETA</v>
          </cell>
          <cell r="H2731" t="str">
            <v>MANTENIMIENTO</v>
          </cell>
          <cell r="I2731">
            <v>123845</v>
          </cell>
          <cell r="J2731" t="str">
            <v>REPUESTO</v>
          </cell>
          <cell r="K2731" t="str">
            <v>DISCO DE FRENO</v>
          </cell>
          <cell r="L2731">
            <v>1</v>
          </cell>
          <cell r="M2731" t="str">
            <v>UNID.</v>
          </cell>
          <cell r="N2731" t="str">
            <v>CAMIONETA</v>
          </cell>
          <cell r="O2731">
            <v>72</v>
          </cell>
          <cell r="P2731" t="str">
            <v>M6</v>
          </cell>
          <cell r="Q2731" t="str">
            <v>J1</v>
          </cell>
          <cell r="R2731" t="str">
            <v>J6</v>
          </cell>
          <cell r="S2731" t="str">
            <v>PENDIENTE</v>
          </cell>
          <cell r="T2731">
            <v>0</v>
          </cell>
          <cell r="U2731" t="str">
            <v>PARI VENTURA  EDSON ORLANDO</v>
          </cell>
          <cell r="V2731" t="str">
            <v>FLOREZ CONDORI  JOSE WILLIANS</v>
          </cell>
        </row>
        <row r="2732">
          <cell r="A2732">
            <v>2725</v>
          </cell>
          <cell r="B2732">
            <v>42718</v>
          </cell>
          <cell r="C2732" t="str">
            <v>DICIEMBRE</v>
          </cell>
          <cell r="D2732" t="str">
            <v>2016</v>
          </cell>
          <cell r="E2732">
            <v>582</v>
          </cell>
          <cell r="F2732" t="str">
            <v>D4W-805</v>
          </cell>
          <cell r="G2732" t="str">
            <v>CAMIONETA</v>
          </cell>
          <cell r="H2732" t="str">
            <v>MANTENIMIENTO</v>
          </cell>
          <cell r="I2732">
            <v>123845</v>
          </cell>
          <cell r="J2732" t="str">
            <v>REPUESTO</v>
          </cell>
          <cell r="K2732" t="str">
            <v>JUEGO DE PASTILLAS MITSUBISHI DE 200</v>
          </cell>
          <cell r="L2732">
            <v>1</v>
          </cell>
          <cell r="M2732" t="str">
            <v>JUEGO</v>
          </cell>
          <cell r="N2732" t="str">
            <v>CAMIONETA</v>
          </cell>
          <cell r="O2732">
            <v>72</v>
          </cell>
          <cell r="P2732" t="str">
            <v>M6</v>
          </cell>
          <cell r="Q2732" t="str">
            <v>J1</v>
          </cell>
          <cell r="R2732" t="str">
            <v>J6</v>
          </cell>
          <cell r="S2732" t="str">
            <v>PENDIENTE</v>
          </cell>
          <cell r="T2732">
            <v>0</v>
          </cell>
          <cell r="U2732" t="str">
            <v>PARI VENTURA  EDSON ORLANDO</v>
          </cell>
          <cell r="V2732" t="str">
            <v>FLOREZ CONDORI  JOSE WILLIANS</v>
          </cell>
        </row>
        <row r="2733">
          <cell r="A2733">
            <v>2697</v>
          </cell>
          <cell r="B2733">
            <v>42718</v>
          </cell>
          <cell r="C2733" t="str">
            <v>DICIEMBRE</v>
          </cell>
          <cell r="D2733" t="str">
            <v>2016</v>
          </cell>
          <cell r="E2733">
            <v>574</v>
          </cell>
          <cell r="F2733" t="str">
            <v>D4X-872</v>
          </cell>
          <cell r="G2733" t="str">
            <v>B4P-976</v>
          </cell>
          <cell r="H2733" t="str">
            <v>LAS BAMBAS</v>
          </cell>
          <cell r="I2733">
            <v>184600</v>
          </cell>
          <cell r="J2733" t="str">
            <v>REPUESTO</v>
          </cell>
          <cell r="K2733" t="str">
            <v>LLANTAS</v>
          </cell>
          <cell r="L2733">
            <v>12</v>
          </cell>
          <cell r="M2733" t="str">
            <v>UNID.</v>
          </cell>
          <cell r="N2733" t="str">
            <v>CISTERNA</v>
          </cell>
          <cell r="O2733">
            <v>0</v>
          </cell>
          <cell r="P2733" t="str">
            <v>N1</v>
          </cell>
          <cell r="Q2733" t="str">
            <v>J1</v>
          </cell>
          <cell r="R2733" t="str">
            <v>J6</v>
          </cell>
          <cell r="S2733" t="str">
            <v>ENTREGADO</v>
          </cell>
          <cell r="T2733">
            <v>42718</v>
          </cell>
          <cell r="U2733" t="str">
            <v>AGUILAR CCANTUTA WILLY</v>
          </cell>
          <cell r="V2733" t="str">
            <v>FLOREZ CONDORI  JOSE WILLIANS</v>
          </cell>
        </row>
        <row r="2734">
          <cell r="A2734">
            <v>2707</v>
          </cell>
          <cell r="B2734">
            <v>42718</v>
          </cell>
          <cell r="C2734" t="str">
            <v>DICIEMBRE</v>
          </cell>
          <cell r="D2734" t="str">
            <v>2016</v>
          </cell>
          <cell r="E2734">
            <v>574</v>
          </cell>
          <cell r="F2734" t="str">
            <v>D4X-872</v>
          </cell>
          <cell r="G2734" t="str">
            <v>B4P-976</v>
          </cell>
          <cell r="H2734" t="str">
            <v>LAS BAMBAS</v>
          </cell>
          <cell r="I2734">
            <v>184600</v>
          </cell>
          <cell r="J2734" t="str">
            <v>REPUESTO</v>
          </cell>
          <cell r="K2734" t="str">
            <v>RESORTES GRANDES DE ZAPATAS</v>
          </cell>
          <cell r="L2734">
            <v>6</v>
          </cell>
          <cell r="M2734" t="str">
            <v>UNID.</v>
          </cell>
          <cell r="N2734" t="str">
            <v>CISTERNA</v>
          </cell>
          <cell r="O2734">
            <v>0</v>
          </cell>
          <cell r="P2734" t="str">
            <v>M3</v>
          </cell>
          <cell r="Q2734" t="str">
            <v>J1</v>
          </cell>
          <cell r="R2734" t="str">
            <v>J6</v>
          </cell>
          <cell r="S2734" t="str">
            <v>ENTREGADO</v>
          </cell>
          <cell r="T2734">
            <v>42718</v>
          </cell>
          <cell r="U2734" t="str">
            <v>GARCIA PASQUEL  JOSE LUIS</v>
          </cell>
          <cell r="V2734" t="str">
            <v>FLOREZ CONDORI  JOSE WILLIANS</v>
          </cell>
        </row>
        <row r="2735">
          <cell r="A2735">
            <v>2708</v>
          </cell>
          <cell r="B2735">
            <v>42718</v>
          </cell>
          <cell r="C2735" t="str">
            <v>DICIEMBRE</v>
          </cell>
          <cell r="D2735" t="str">
            <v>2016</v>
          </cell>
          <cell r="E2735">
            <v>574</v>
          </cell>
          <cell r="F2735" t="str">
            <v>D4X-872</v>
          </cell>
          <cell r="G2735" t="str">
            <v>B4P-976</v>
          </cell>
          <cell r="H2735" t="str">
            <v>LAS BAMBAS</v>
          </cell>
          <cell r="I2735">
            <v>184600</v>
          </cell>
          <cell r="J2735" t="str">
            <v>REPUESTO</v>
          </cell>
          <cell r="K2735" t="str">
            <v>RESORTES CHICOS DE ZAPATAS</v>
          </cell>
          <cell r="L2735">
            <v>12</v>
          </cell>
          <cell r="M2735" t="str">
            <v>UNID.</v>
          </cell>
          <cell r="N2735" t="str">
            <v>CISTERNA</v>
          </cell>
          <cell r="O2735">
            <v>0</v>
          </cell>
          <cell r="P2735" t="str">
            <v>M3</v>
          </cell>
          <cell r="Q2735" t="str">
            <v>J1</v>
          </cell>
          <cell r="R2735" t="str">
            <v>J6</v>
          </cell>
          <cell r="S2735" t="str">
            <v>ENTREGADO</v>
          </cell>
          <cell r="T2735">
            <v>42718</v>
          </cell>
          <cell r="U2735" t="str">
            <v>GARCIA PASQUEL  JOSE LUIS</v>
          </cell>
          <cell r="V2735" t="str">
            <v>FLOREZ CONDORI  JOSE WILLIANS</v>
          </cell>
        </row>
        <row r="2736">
          <cell r="A2736">
            <v>2714</v>
          </cell>
          <cell r="B2736">
            <v>42718</v>
          </cell>
          <cell r="C2736" t="str">
            <v>DICIEMBRE</v>
          </cell>
          <cell r="D2736" t="str">
            <v>2016</v>
          </cell>
          <cell r="E2736">
            <v>574</v>
          </cell>
          <cell r="F2736" t="str">
            <v>D4X-872</v>
          </cell>
          <cell r="G2736" t="str">
            <v>B4P-976</v>
          </cell>
          <cell r="H2736" t="str">
            <v>LAS BAMBAS</v>
          </cell>
          <cell r="I2736">
            <v>184600</v>
          </cell>
          <cell r="J2736" t="str">
            <v>REPUESTO</v>
          </cell>
          <cell r="K2736" t="str">
            <v>PITONES RECTOS AMERICANOS</v>
          </cell>
          <cell r="L2736">
            <v>4</v>
          </cell>
          <cell r="M2736" t="str">
            <v>UNID.</v>
          </cell>
          <cell r="N2736" t="str">
            <v>CISTERNA</v>
          </cell>
          <cell r="O2736">
            <v>0</v>
          </cell>
          <cell r="P2736" t="str">
            <v>N2</v>
          </cell>
          <cell r="Q2736" t="str">
            <v>J1</v>
          </cell>
          <cell r="R2736" t="str">
            <v>J6</v>
          </cell>
          <cell r="S2736" t="str">
            <v>ENTREGADO</v>
          </cell>
          <cell r="T2736">
            <v>42718</v>
          </cell>
          <cell r="U2736" t="str">
            <v>MAMANI LARICO  EDUARDO ALVARO</v>
          </cell>
          <cell r="V2736" t="str">
            <v>FLOREZ CONDORI  JOSE WILLIANS</v>
          </cell>
        </row>
        <row r="2737">
          <cell r="A2737">
            <v>2715</v>
          </cell>
          <cell r="B2737">
            <v>42718</v>
          </cell>
          <cell r="C2737" t="str">
            <v>DICIEMBRE</v>
          </cell>
          <cell r="D2737" t="str">
            <v>2016</v>
          </cell>
          <cell r="E2737">
            <v>574</v>
          </cell>
          <cell r="F2737" t="str">
            <v>D4X-872</v>
          </cell>
          <cell r="G2737" t="str">
            <v>B4P-976</v>
          </cell>
          <cell r="H2737" t="str">
            <v>LAS BAMBAS</v>
          </cell>
          <cell r="I2737">
            <v>184600</v>
          </cell>
          <cell r="J2737" t="str">
            <v>REPUESTO</v>
          </cell>
          <cell r="K2737" t="str">
            <v>AGUJAS DE PITON</v>
          </cell>
          <cell r="L2737">
            <v>12</v>
          </cell>
          <cell r="M2737" t="str">
            <v>UNID.</v>
          </cell>
          <cell r="N2737" t="str">
            <v>CISTERNA</v>
          </cell>
          <cell r="O2737">
            <v>0</v>
          </cell>
          <cell r="P2737" t="str">
            <v>N1</v>
          </cell>
          <cell r="Q2737" t="str">
            <v>J1</v>
          </cell>
          <cell r="R2737" t="str">
            <v>J6</v>
          </cell>
          <cell r="S2737" t="str">
            <v>ENTREGADO</v>
          </cell>
          <cell r="T2737">
            <v>42718</v>
          </cell>
          <cell r="U2737" t="str">
            <v>AGUILAR CCANTUTA WILLY</v>
          </cell>
          <cell r="V2737" t="str">
            <v>FLOREZ CONDORI  JOSE WILLIANS</v>
          </cell>
        </row>
        <row r="2738">
          <cell r="A2738">
            <v>2720</v>
          </cell>
          <cell r="B2738">
            <v>42718</v>
          </cell>
          <cell r="C2738" t="str">
            <v>DICIEMBRE</v>
          </cell>
          <cell r="D2738" t="str">
            <v>2016</v>
          </cell>
          <cell r="E2738">
            <v>574</v>
          </cell>
          <cell r="F2738" t="str">
            <v>D4X-872</v>
          </cell>
          <cell r="G2738" t="str">
            <v>B4P-976</v>
          </cell>
          <cell r="H2738" t="str">
            <v>LAS BAMBAS</v>
          </cell>
          <cell r="I2738">
            <v>184600</v>
          </cell>
          <cell r="J2738" t="str">
            <v>REPUESTO</v>
          </cell>
          <cell r="K2738" t="str">
            <v>GOMA LACA</v>
          </cell>
          <cell r="L2738">
            <v>1</v>
          </cell>
          <cell r="M2738" t="str">
            <v>UNID.</v>
          </cell>
          <cell r="N2738" t="str">
            <v>CISTERNA</v>
          </cell>
          <cell r="O2738">
            <v>0</v>
          </cell>
          <cell r="P2738" t="str">
            <v>M3</v>
          </cell>
          <cell r="Q2738" t="str">
            <v>J1</v>
          </cell>
          <cell r="R2738" t="str">
            <v>J6</v>
          </cell>
          <cell r="S2738" t="str">
            <v>ENTREGADO</v>
          </cell>
          <cell r="T2738">
            <v>42718</v>
          </cell>
          <cell r="U2738" t="str">
            <v>GARCIA PASQUEL  JOSE LUIS</v>
          </cell>
          <cell r="V2738" t="str">
            <v>FLOREZ CONDORI  JOSE WILLIANS</v>
          </cell>
        </row>
        <row r="2739">
          <cell r="A2739">
            <v>2744</v>
          </cell>
          <cell r="B2739">
            <v>42718</v>
          </cell>
          <cell r="C2739" t="str">
            <v>DICIEMBRE</v>
          </cell>
          <cell r="D2739" t="str">
            <v>2016</v>
          </cell>
          <cell r="E2739">
            <v>574</v>
          </cell>
          <cell r="F2739" t="str">
            <v>D4X-872</v>
          </cell>
          <cell r="G2739" t="str">
            <v>B4P-976</v>
          </cell>
          <cell r="H2739" t="str">
            <v>LAS BAMBAS</v>
          </cell>
          <cell r="I2739">
            <v>184600</v>
          </cell>
          <cell r="J2739" t="str">
            <v>REPUESTO</v>
          </cell>
          <cell r="K2739" t="str">
            <v>SEGUROS DE RODILLOS DE ZAPATAS</v>
          </cell>
          <cell r="L2739">
            <v>4</v>
          </cell>
          <cell r="M2739" t="str">
            <v>UNID.</v>
          </cell>
          <cell r="N2739" t="str">
            <v>CISTERNA</v>
          </cell>
          <cell r="O2739">
            <v>0</v>
          </cell>
          <cell r="P2739" t="str">
            <v>M3</v>
          </cell>
          <cell r="Q2739" t="str">
            <v>J2</v>
          </cell>
          <cell r="R2739" t="str">
            <v>J5</v>
          </cell>
          <cell r="S2739" t="str">
            <v>ENTREGADO</v>
          </cell>
          <cell r="T2739">
            <v>42718</v>
          </cell>
          <cell r="U2739" t="str">
            <v>GARCIA PASQUEL  JOSE LUIS</v>
          </cell>
          <cell r="V2739" t="str">
            <v>CORIHUAMAN SURCO  ERICK ROBERT</v>
          </cell>
        </row>
        <row r="2740">
          <cell r="A2740">
            <v>2664</v>
          </cell>
          <cell r="B2740">
            <v>42718</v>
          </cell>
          <cell r="C2740" t="str">
            <v>DICIEMBRE</v>
          </cell>
          <cell r="D2740" t="str">
            <v>2016</v>
          </cell>
          <cell r="E2740">
            <v>200</v>
          </cell>
          <cell r="F2740" t="str">
            <v>TALLER</v>
          </cell>
          <cell r="G2740" t="str">
            <v>TALLER</v>
          </cell>
          <cell r="H2740" t="str">
            <v>TALLER</v>
          </cell>
          <cell r="I2740" t="str">
            <v>TALLER</v>
          </cell>
          <cell r="J2740" t="str">
            <v>UNIFORMES</v>
          </cell>
          <cell r="K2740" t="str">
            <v>TAIVEX "L"</v>
          </cell>
          <cell r="L2740">
            <v>1</v>
          </cell>
          <cell r="M2740" t="str">
            <v>UNID.</v>
          </cell>
          <cell r="N2740" t="str">
            <v>TALLER</v>
          </cell>
          <cell r="O2740">
            <v>0</v>
          </cell>
          <cell r="P2740" t="str">
            <v>M3</v>
          </cell>
          <cell r="Q2740" t="str">
            <v>J1</v>
          </cell>
          <cell r="R2740" t="str">
            <v>J6</v>
          </cell>
          <cell r="S2740" t="str">
            <v>ENTREGADO</v>
          </cell>
          <cell r="T2740">
            <v>42718</v>
          </cell>
          <cell r="U2740" t="str">
            <v>GARCIA PASQUEL  JOSE LUIS</v>
          </cell>
          <cell r="V2740" t="str">
            <v>FLOREZ CONDORI  JOSE WILLIANS</v>
          </cell>
        </row>
        <row r="2741">
          <cell r="A2741">
            <v>2665</v>
          </cell>
          <cell r="B2741">
            <v>42718</v>
          </cell>
          <cell r="C2741" t="str">
            <v>DICIEMBRE</v>
          </cell>
          <cell r="D2741" t="str">
            <v>2016</v>
          </cell>
          <cell r="E2741">
            <v>200</v>
          </cell>
          <cell r="F2741" t="str">
            <v>TALLER</v>
          </cell>
          <cell r="G2741" t="str">
            <v>TALLER</v>
          </cell>
          <cell r="H2741" t="str">
            <v>TALLER</v>
          </cell>
          <cell r="I2741" t="str">
            <v>TALLER</v>
          </cell>
          <cell r="J2741" t="str">
            <v>IMPLEMENTACION</v>
          </cell>
          <cell r="K2741" t="str">
            <v>PIEDRA CORTE 7"</v>
          </cell>
          <cell r="L2741">
            <v>1</v>
          </cell>
          <cell r="M2741" t="str">
            <v>UNID.</v>
          </cell>
          <cell r="N2741" t="str">
            <v>TALLER</v>
          </cell>
          <cell r="O2741">
            <v>0</v>
          </cell>
          <cell r="P2741" t="str">
            <v>S2</v>
          </cell>
          <cell r="Q2741" t="str">
            <v>J1</v>
          </cell>
          <cell r="R2741" t="str">
            <v>J6</v>
          </cell>
          <cell r="S2741" t="str">
            <v>ENTREGADO</v>
          </cell>
          <cell r="T2741">
            <v>42718</v>
          </cell>
          <cell r="U2741" t="str">
            <v>PALOMINO ESTRADA  MICHEL</v>
          </cell>
          <cell r="V2741" t="str">
            <v>FLOREZ CONDORI  JOSE WILLIANS</v>
          </cell>
        </row>
        <row r="2742">
          <cell r="A2742">
            <v>2666</v>
          </cell>
          <cell r="B2742">
            <v>42718</v>
          </cell>
          <cell r="C2742" t="str">
            <v>DICIEMBRE</v>
          </cell>
          <cell r="D2742" t="str">
            <v>2016</v>
          </cell>
          <cell r="E2742">
            <v>200</v>
          </cell>
          <cell r="F2742" t="str">
            <v>TALLER</v>
          </cell>
          <cell r="G2742" t="str">
            <v>TALLER</v>
          </cell>
          <cell r="H2742" t="str">
            <v>TALLER</v>
          </cell>
          <cell r="I2742" t="str">
            <v>TALLER</v>
          </cell>
          <cell r="J2742" t="str">
            <v>IMPLEMENTACION</v>
          </cell>
          <cell r="K2742" t="str">
            <v>PIEDRA CORTE 4.5"</v>
          </cell>
          <cell r="L2742">
            <v>2</v>
          </cell>
          <cell r="M2742" t="str">
            <v>UNID.</v>
          </cell>
          <cell r="N2742" t="str">
            <v>TALLER</v>
          </cell>
          <cell r="O2742">
            <v>0</v>
          </cell>
          <cell r="P2742" t="str">
            <v>S2</v>
          </cell>
          <cell r="Q2742" t="str">
            <v>J1</v>
          </cell>
          <cell r="R2742" t="str">
            <v>J6</v>
          </cell>
          <cell r="S2742" t="str">
            <v>ENTREGADO</v>
          </cell>
          <cell r="T2742">
            <v>42718</v>
          </cell>
          <cell r="U2742" t="str">
            <v>PALOMINO ESTRADA  MICHEL</v>
          </cell>
          <cell r="V2742" t="str">
            <v>FLOREZ CONDORI  JOSE WILLIANS</v>
          </cell>
        </row>
        <row r="2743">
          <cell r="A2743">
            <v>2668</v>
          </cell>
          <cell r="B2743">
            <v>42718</v>
          </cell>
          <cell r="C2743" t="str">
            <v>DICIEMBRE</v>
          </cell>
          <cell r="D2743" t="str">
            <v>2016</v>
          </cell>
          <cell r="E2743">
            <v>200</v>
          </cell>
          <cell r="F2743" t="str">
            <v>TALLER</v>
          </cell>
          <cell r="G2743" t="str">
            <v>TALLER</v>
          </cell>
          <cell r="H2743" t="str">
            <v>TALLER</v>
          </cell>
          <cell r="I2743" t="str">
            <v>TALLER</v>
          </cell>
          <cell r="J2743" t="str">
            <v>UNIFORMES</v>
          </cell>
          <cell r="K2743" t="str">
            <v>TAIVEX "M"</v>
          </cell>
          <cell r="L2743">
            <v>1</v>
          </cell>
          <cell r="M2743" t="str">
            <v>UNID.</v>
          </cell>
          <cell r="N2743" t="str">
            <v>TALLER</v>
          </cell>
          <cell r="O2743">
            <v>0</v>
          </cell>
          <cell r="P2743" t="str">
            <v>M1</v>
          </cell>
          <cell r="Q2743" t="str">
            <v>J1</v>
          </cell>
          <cell r="R2743" t="str">
            <v>J6</v>
          </cell>
          <cell r="S2743" t="str">
            <v>ENTREGADO</v>
          </cell>
          <cell r="T2743">
            <v>42718</v>
          </cell>
          <cell r="U2743" t="str">
            <v>CABEZAS SANCHEZ JEAN JHONATAN</v>
          </cell>
          <cell r="V2743" t="str">
            <v>FLOREZ CONDORI  JOSE WILLIANS</v>
          </cell>
        </row>
        <row r="2744">
          <cell r="A2744">
            <v>2701</v>
          </cell>
          <cell r="B2744">
            <v>42718</v>
          </cell>
          <cell r="C2744" t="str">
            <v>DICIEMBRE</v>
          </cell>
          <cell r="D2744" t="str">
            <v>2016</v>
          </cell>
          <cell r="E2744">
            <v>200</v>
          </cell>
          <cell r="F2744" t="str">
            <v>TALLER</v>
          </cell>
          <cell r="G2744" t="str">
            <v>TALLER</v>
          </cell>
          <cell r="H2744" t="str">
            <v>TALLER</v>
          </cell>
          <cell r="I2744" t="str">
            <v>TALLER</v>
          </cell>
          <cell r="J2744" t="str">
            <v>INSUMO TALLER</v>
          </cell>
          <cell r="K2744" t="str">
            <v>THINNER</v>
          </cell>
          <cell r="L2744">
            <v>2</v>
          </cell>
          <cell r="M2744" t="str">
            <v>GLNS.</v>
          </cell>
          <cell r="N2744" t="str">
            <v>TALLER</v>
          </cell>
          <cell r="O2744">
            <v>1</v>
          </cell>
          <cell r="P2744" t="str">
            <v>S2</v>
          </cell>
          <cell r="Q2744" t="str">
            <v>J1</v>
          </cell>
          <cell r="R2744" t="str">
            <v>J6</v>
          </cell>
          <cell r="S2744" t="str">
            <v>ENTREGADO</v>
          </cell>
          <cell r="T2744">
            <v>42719</v>
          </cell>
          <cell r="U2744" t="str">
            <v>PALOMINO ESTRADA  MICHEL</v>
          </cell>
          <cell r="V2744" t="str">
            <v>FLOREZ CONDORI  JOSE WILLIANS</v>
          </cell>
        </row>
        <row r="2745">
          <cell r="A2745">
            <v>2702</v>
          </cell>
          <cell r="B2745">
            <v>42718</v>
          </cell>
          <cell r="C2745" t="str">
            <v>DICIEMBRE</v>
          </cell>
          <cell r="D2745" t="str">
            <v>2016</v>
          </cell>
          <cell r="E2745">
            <v>200</v>
          </cell>
          <cell r="F2745" t="str">
            <v>TALLER</v>
          </cell>
          <cell r="G2745" t="str">
            <v>TALLER</v>
          </cell>
          <cell r="H2745" t="str">
            <v>TALLER</v>
          </cell>
          <cell r="I2745" t="str">
            <v>TALLER</v>
          </cell>
          <cell r="J2745" t="str">
            <v>INSUMO TALLER</v>
          </cell>
          <cell r="K2745" t="str">
            <v>PINTURA CELESTE</v>
          </cell>
          <cell r="L2745">
            <v>2</v>
          </cell>
          <cell r="M2745" t="str">
            <v>GLNS.</v>
          </cell>
          <cell r="N2745" t="str">
            <v>TALLER</v>
          </cell>
          <cell r="O2745">
            <v>72</v>
          </cell>
          <cell r="P2745" t="str">
            <v>E3</v>
          </cell>
          <cell r="Q2745" t="str">
            <v>J1</v>
          </cell>
          <cell r="R2745" t="str">
            <v>J6</v>
          </cell>
          <cell r="S2745" t="str">
            <v>PENDIENTE</v>
          </cell>
          <cell r="T2745">
            <v>0</v>
          </cell>
          <cell r="U2745" t="str">
            <v>CONDORI CHURATA ALEX</v>
          </cell>
          <cell r="V2745" t="str">
            <v>FLOREZ CONDORI  JOSE WILLIANS</v>
          </cell>
        </row>
        <row r="2746">
          <cell r="A2746">
            <v>2703</v>
          </cell>
          <cell r="B2746">
            <v>42718</v>
          </cell>
          <cell r="C2746" t="str">
            <v>DICIEMBRE</v>
          </cell>
          <cell r="D2746" t="str">
            <v>2016</v>
          </cell>
          <cell r="E2746">
            <v>200</v>
          </cell>
          <cell r="F2746" t="str">
            <v>TALLER</v>
          </cell>
          <cell r="G2746" t="str">
            <v>TALLER</v>
          </cell>
          <cell r="H2746" t="str">
            <v>TALLER</v>
          </cell>
          <cell r="I2746" t="str">
            <v>TALLER</v>
          </cell>
          <cell r="J2746" t="str">
            <v>INSUMO TALLER</v>
          </cell>
          <cell r="K2746" t="str">
            <v>THINNER</v>
          </cell>
          <cell r="L2746">
            <v>2</v>
          </cell>
          <cell r="M2746" t="str">
            <v>GLNS.</v>
          </cell>
          <cell r="N2746" t="str">
            <v>TALLER</v>
          </cell>
          <cell r="O2746">
            <v>1</v>
          </cell>
          <cell r="P2746" t="str">
            <v>E3</v>
          </cell>
          <cell r="Q2746" t="str">
            <v>J1</v>
          </cell>
          <cell r="R2746" t="str">
            <v>J6</v>
          </cell>
          <cell r="S2746" t="str">
            <v>ENTREGADO</v>
          </cell>
          <cell r="T2746">
            <v>42719</v>
          </cell>
          <cell r="U2746" t="str">
            <v>CONDORI CHURATA ALEX</v>
          </cell>
          <cell r="V2746" t="str">
            <v>FLOREZ CONDORI  JOSE WILLIANS</v>
          </cell>
        </row>
        <row r="2747">
          <cell r="A2747">
            <v>2704</v>
          </cell>
          <cell r="B2747">
            <v>42718</v>
          </cell>
          <cell r="C2747" t="str">
            <v>DICIEMBRE</v>
          </cell>
          <cell r="D2747" t="str">
            <v>2016</v>
          </cell>
          <cell r="E2747">
            <v>200</v>
          </cell>
          <cell r="F2747" t="str">
            <v>TALLER</v>
          </cell>
          <cell r="G2747" t="str">
            <v>TALLER</v>
          </cell>
          <cell r="H2747" t="str">
            <v>TALLER</v>
          </cell>
          <cell r="I2747" t="str">
            <v>TALLER</v>
          </cell>
          <cell r="J2747" t="str">
            <v>INSUMO TALLER</v>
          </cell>
          <cell r="K2747" t="str">
            <v>PINTURA NEGRA</v>
          </cell>
          <cell r="L2747">
            <v>1</v>
          </cell>
          <cell r="M2747" t="str">
            <v>GLNS.</v>
          </cell>
          <cell r="N2747" t="str">
            <v>TALLER</v>
          </cell>
          <cell r="O2747">
            <v>1</v>
          </cell>
          <cell r="P2747" t="str">
            <v>E3</v>
          </cell>
          <cell r="Q2747" t="str">
            <v>J1</v>
          </cell>
          <cell r="R2747" t="str">
            <v>J6</v>
          </cell>
          <cell r="S2747" t="str">
            <v>ENTREGADO</v>
          </cell>
          <cell r="T2747">
            <v>42719</v>
          </cell>
          <cell r="U2747" t="str">
            <v>CONDORI CHURATA ALEX</v>
          </cell>
          <cell r="V2747" t="str">
            <v>FLOREZ CONDORI  JOSE WILLIANS</v>
          </cell>
        </row>
        <row r="2748">
          <cell r="A2748">
            <v>2705</v>
          </cell>
          <cell r="B2748">
            <v>42718</v>
          </cell>
          <cell r="C2748" t="str">
            <v>DICIEMBRE</v>
          </cell>
          <cell r="D2748" t="str">
            <v>2016</v>
          </cell>
          <cell r="E2748">
            <v>200</v>
          </cell>
          <cell r="F2748" t="str">
            <v>TALLER</v>
          </cell>
          <cell r="G2748" t="str">
            <v>TALLER</v>
          </cell>
          <cell r="H2748" t="str">
            <v>TALLER</v>
          </cell>
          <cell r="I2748" t="str">
            <v>TALLER</v>
          </cell>
          <cell r="J2748" t="str">
            <v>UNIFORMES</v>
          </cell>
          <cell r="K2748" t="str">
            <v>TAIVEX "M"</v>
          </cell>
          <cell r="L2748">
            <v>1</v>
          </cell>
          <cell r="M2748" t="str">
            <v>UNID.</v>
          </cell>
          <cell r="N2748" t="str">
            <v>TALLER</v>
          </cell>
          <cell r="O2748">
            <v>0</v>
          </cell>
          <cell r="P2748" t="str">
            <v>E3</v>
          </cell>
          <cell r="Q2748" t="str">
            <v>J1</v>
          </cell>
          <cell r="R2748" t="str">
            <v>J6</v>
          </cell>
          <cell r="S2748" t="str">
            <v>ENTREGADO</v>
          </cell>
          <cell r="T2748">
            <v>42718</v>
          </cell>
          <cell r="U2748" t="str">
            <v>CONDORI CHURATA ALEX</v>
          </cell>
          <cell r="V2748" t="str">
            <v>FLOREZ CONDORI  JOSE WILLIANS</v>
          </cell>
        </row>
        <row r="2749">
          <cell r="A2749">
            <v>2706</v>
          </cell>
          <cell r="B2749">
            <v>42718</v>
          </cell>
          <cell r="C2749" t="str">
            <v>DICIEMBRE</v>
          </cell>
          <cell r="D2749" t="str">
            <v>2016</v>
          </cell>
          <cell r="E2749">
            <v>200</v>
          </cell>
          <cell r="F2749" t="str">
            <v>TALLER</v>
          </cell>
          <cell r="G2749" t="str">
            <v>TALLER</v>
          </cell>
          <cell r="H2749" t="str">
            <v>TALLER</v>
          </cell>
          <cell r="I2749" t="str">
            <v>TALLER</v>
          </cell>
          <cell r="J2749" t="str">
            <v>INSUMO TALLER</v>
          </cell>
          <cell r="K2749" t="str">
            <v>DETERGENTE</v>
          </cell>
          <cell r="L2749">
            <v>1</v>
          </cell>
          <cell r="M2749" t="str">
            <v>UNID.</v>
          </cell>
          <cell r="N2749" t="str">
            <v>TALLER</v>
          </cell>
          <cell r="O2749">
            <v>0</v>
          </cell>
          <cell r="P2749" t="str">
            <v>E3</v>
          </cell>
          <cell r="Q2749" t="str">
            <v>J1</v>
          </cell>
          <cell r="R2749" t="str">
            <v>J6</v>
          </cell>
          <cell r="S2749" t="str">
            <v>ENTREGADO</v>
          </cell>
          <cell r="T2749">
            <v>42718</v>
          </cell>
          <cell r="U2749" t="str">
            <v>CONDORI CHURATA ALEX</v>
          </cell>
          <cell r="V2749" t="str">
            <v>FLOREZ CONDORI  JOSE WILLIANS</v>
          </cell>
        </row>
        <row r="2750">
          <cell r="A2750">
            <v>2709</v>
          </cell>
          <cell r="B2750">
            <v>42718</v>
          </cell>
          <cell r="C2750" t="str">
            <v>DICIEMBRE</v>
          </cell>
          <cell r="D2750" t="str">
            <v>2016</v>
          </cell>
          <cell r="E2750">
            <v>200</v>
          </cell>
          <cell r="F2750" t="str">
            <v>TALLER</v>
          </cell>
          <cell r="G2750" t="str">
            <v>TALLER</v>
          </cell>
          <cell r="H2750" t="str">
            <v>TALLER</v>
          </cell>
          <cell r="I2750" t="str">
            <v>TALLER</v>
          </cell>
          <cell r="J2750" t="str">
            <v>REPUESTO</v>
          </cell>
          <cell r="K2750" t="str">
            <v>LUNAS OSCURAS NRO. 11</v>
          </cell>
          <cell r="L2750">
            <v>1</v>
          </cell>
          <cell r="M2750" t="str">
            <v>UNID.</v>
          </cell>
          <cell r="N2750" t="str">
            <v>TALLER</v>
          </cell>
          <cell r="O2750">
            <v>0</v>
          </cell>
          <cell r="P2750" t="str">
            <v>S1</v>
          </cell>
          <cell r="Q2750" t="str">
            <v>J1</v>
          </cell>
          <cell r="R2750" t="str">
            <v>J6</v>
          </cell>
          <cell r="S2750" t="str">
            <v>ENTREGADO</v>
          </cell>
          <cell r="T2750">
            <v>42718</v>
          </cell>
          <cell r="U2750" t="str">
            <v>BAYONA CRUZ CRISTIAN ARMANDO</v>
          </cell>
          <cell r="V2750" t="str">
            <v>FLOREZ CONDORI  JOSE WILLIANS</v>
          </cell>
        </row>
        <row r="2751">
          <cell r="A2751">
            <v>2710</v>
          </cell>
          <cell r="B2751">
            <v>42718</v>
          </cell>
          <cell r="C2751" t="str">
            <v>DICIEMBRE</v>
          </cell>
          <cell r="D2751" t="str">
            <v>2016</v>
          </cell>
          <cell r="E2751">
            <v>200</v>
          </cell>
          <cell r="F2751" t="str">
            <v>TALLER</v>
          </cell>
          <cell r="G2751" t="str">
            <v>TALLER</v>
          </cell>
          <cell r="H2751" t="str">
            <v>TALLER</v>
          </cell>
          <cell r="I2751" t="str">
            <v>TALLER</v>
          </cell>
          <cell r="J2751" t="str">
            <v>REPUESTO</v>
          </cell>
          <cell r="K2751" t="str">
            <v>LUNAS CLARAS</v>
          </cell>
          <cell r="L2751">
            <v>2</v>
          </cell>
          <cell r="M2751" t="str">
            <v>UNID.</v>
          </cell>
          <cell r="N2751" t="str">
            <v>TALLER</v>
          </cell>
          <cell r="O2751">
            <v>0</v>
          </cell>
          <cell r="P2751" t="str">
            <v>S1</v>
          </cell>
          <cell r="Q2751" t="str">
            <v>J1</v>
          </cell>
          <cell r="R2751" t="str">
            <v>J6</v>
          </cell>
          <cell r="S2751" t="str">
            <v>ENTREGADO</v>
          </cell>
          <cell r="T2751">
            <v>42718</v>
          </cell>
          <cell r="U2751" t="str">
            <v>BAYONA CRUZ CRISTIAN ARMANDO</v>
          </cell>
          <cell r="V2751" t="str">
            <v>FLOREZ CONDORI  JOSE WILLIANS</v>
          </cell>
        </row>
        <row r="2752">
          <cell r="A2752">
            <v>2711</v>
          </cell>
          <cell r="B2752">
            <v>42718</v>
          </cell>
          <cell r="C2752" t="str">
            <v>DICIEMBRE</v>
          </cell>
          <cell r="D2752" t="str">
            <v>2016</v>
          </cell>
          <cell r="E2752">
            <v>200</v>
          </cell>
          <cell r="F2752" t="str">
            <v>TALLER</v>
          </cell>
          <cell r="G2752" t="str">
            <v>TALLER</v>
          </cell>
          <cell r="H2752" t="str">
            <v>TALLER</v>
          </cell>
          <cell r="I2752" t="str">
            <v>TALLER</v>
          </cell>
          <cell r="J2752" t="str">
            <v>REPUESTO</v>
          </cell>
          <cell r="K2752" t="str">
            <v>DISCO DE CORTE 7"</v>
          </cell>
          <cell r="L2752">
            <v>1</v>
          </cell>
          <cell r="M2752" t="str">
            <v>UNID.</v>
          </cell>
          <cell r="N2752" t="str">
            <v>TALLER</v>
          </cell>
          <cell r="O2752">
            <v>0</v>
          </cell>
          <cell r="P2752" t="str">
            <v>S1</v>
          </cell>
          <cell r="Q2752" t="str">
            <v>J1</v>
          </cell>
          <cell r="R2752" t="str">
            <v>J6</v>
          </cell>
          <cell r="S2752" t="str">
            <v>ENTREGADO</v>
          </cell>
          <cell r="T2752">
            <v>42718</v>
          </cell>
          <cell r="U2752" t="str">
            <v>BAYONA CRUZ CRISTIAN ARMANDO</v>
          </cell>
          <cell r="V2752" t="str">
            <v>FLOREZ CONDORI  JOSE WILLIANS</v>
          </cell>
        </row>
        <row r="2753">
          <cell r="A2753">
            <v>2713</v>
          </cell>
          <cell r="B2753">
            <v>42718</v>
          </cell>
          <cell r="C2753" t="str">
            <v>DICIEMBRE</v>
          </cell>
          <cell r="D2753" t="str">
            <v>2016</v>
          </cell>
          <cell r="E2753">
            <v>200</v>
          </cell>
          <cell r="F2753" t="str">
            <v>TALLER</v>
          </cell>
          <cell r="G2753" t="str">
            <v>TALLER</v>
          </cell>
          <cell r="H2753" t="str">
            <v>TALLER</v>
          </cell>
          <cell r="I2753" t="str">
            <v>TALLER</v>
          </cell>
          <cell r="J2753" t="str">
            <v>INSUMO TALLER</v>
          </cell>
          <cell r="K2753" t="str">
            <v>TRAPOS SUELTOS</v>
          </cell>
          <cell r="L2753">
            <v>1</v>
          </cell>
          <cell r="M2753" t="str">
            <v>KG.</v>
          </cell>
          <cell r="N2753" t="str">
            <v>TALLER</v>
          </cell>
          <cell r="O2753">
            <v>0</v>
          </cell>
          <cell r="P2753" t="str">
            <v>J6</v>
          </cell>
          <cell r="Q2753" t="str">
            <v>J1</v>
          </cell>
          <cell r="R2753" t="str">
            <v>J6</v>
          </cell>
          <cell r="S2753" t="str">
            <v>ENTREGADO</v>
          </cell>
          <cell r="T2753">
            <v>42718</v>
          </cell>
          <cell r="U2753" t="str">
            <v>VILLANUEVA BEJAR  YHORDAN MICHEL</v>
          </cell>
          <cell r="V2753" t="str">
            <v>FLOREZ CONDORI  JOSE WILLIANS</v>
          </cell>
        </row>
        <row r="2754">
          <cell r="A2754">
            <v>2722</v>
          </cell>
          <cell r="B2754">
            <v>42718</v>
          </cell>
          <cell r="C2754" t="str">
            <v>DICIEMBRE</v>
          </cell>
          <cell r="D2754" t="str">
            <v>2016</v>
          </cell>
          <cell r="E2754">
            <v>200</v>
          </cell>
          <cell r="F2754" t="str">
            <v>TALLER</v>
          </cell>
          <cell r="G2754" t="str">
            <v>TALLER</v>
          </cell>
          <cell r="H2754" t="str">
            <v>TALLER</v>
          </cell>
          <cell r="I2754" t="str">
            <v>TALLER</v>
          </cell>
          <cell r="J2754" t="str">
            <v>REPUESTO</v>
          </cell>
          <cell r="K2754" t="str">
            <v>DISCO DE CORTE4"</v>
          </cell>
          <cell r="L2754">
            <v>1</v>
          </cell>
          <cell r="M2754" t="str">
            <v>UNID.</v>
          </cell>
          <cell r="N2754" t="str">
            <v>TALLER</v>
          </cell>
          <cell r="O2754">
            <v>0</v>
          </cell>
          <cell r="P2754" t="str">
            <v>S1</v>
          </cell>
          <cell r="Q2754" t="str">
            <v>J1</v>
          </cell>
          <cell r="R2754" t="str">
            <v>J6</v>
          </cell>
          <cell r="S2754" t="str">
            <v>ENTREGADO</v>
          </cell>
          <cell r="T2754">
            <v>42718</v>
          </cell>
          <cell r="U2754" t="str">
            <v>BAYONA CRUZ CRISTIAN ARMANDO</v>
          </cell>
          <cell r="V2754" t="str">
            <v>FLOREZ CONDORI  JOSE WILLIANS</v>
          </cell>
        </row>
        <row r="2755">
          <cell r="A2755">
            <v>2728</v>
          </cell>
          <cell r="B2755">
            <v>42718</v>
          </cell>
          <cell r="C2755" t="str">
            <v>DICIEMBRE</v>
          </cell>
          <cell r="D2755" t="str">
            <v>2016</v>
          </cell>
          <cell r="E2755">
            <v>200</v>
          </cell>
          <cell r="F2755" t="str">
            <v>TALLER</v>
          </cell>
          <cell r="G2755" t="str">
            <v>TALLER</v>
          </cell>
          <cell r="H2755" t="str">
            <v>TALLER</v>
          </cell>
          <cell r="I2755" t="str">
            <v>TALLER</v>
          </cell>
          <cell r="J2755" t="str">
            <v>REPUESTO</v>
          </cell>
          <cell r="K2755" t="str">
            <v>DISCO DE CORTE 4"</v>
          </cell>
          <cell r="L2755">
            <v>3</v>
          </cell>
          <cell r="M2755" t="str">
            <v>UNID.</v>
          </cell>
          <cell r="N2755" t="str">
            <v>TALLER</v>
          </cell>
          <cell r="O2755">
            <v>0</v>
          </cell>
          <cell r="P2755" t="str">
            <v>S3</v>
          </cell>
          <cell r="Q2755" t="str">
            <v>J2</v>
          </cell>
          <cell r="R2755" t="str">
            <v>J6</v>
          </cell>
          <cell r="S2755" t="str">
            <v>ENTREGADO</v>
          </cell>
          <cell r="T2755">
            <v>42718</v>
          </cell>
          <cell r="U2755" t="str">
            <v>JIMENEZ MACHACA JAVIER</v>
          </cell>
          <cell r="V2755" t="str">
            <v>CORIHUAMAN SURCO  ERICK ROBERT</v>
          </cell>
        </row>
        <row r="2756">
          <cell r="A2756">
            <v>2741</v>
          </cell>
          <cell r="B2756">
            <v>42718</v>
          </cell>
          <cell r="C2756" t="str">
            <v>DICIEMBRE</v>
          </cell>
          <cell r="D2756" t="str">
            <v>2016</v>
          </cell>
          <cell r="E2756">
            <v>200</v>
          </cell>
          <cell r="F2756" t="str">
            <v>TALLER</v>
          </cell>
          <cell r="G2756" t="str">
            <v>TALLER</v>
          </cell>
          <cell r="H2756" t="str">
            <v>TALLER</v>
          </cell>
          <cell r="I2756" t="str">
            <v>TALLER</v>
          </cell>
          <cell r="J2756" t="str">
            <v>REPUESTO</v>
          </cell>
          <cell r="K2756" t="str">
            <v>FOCO DOBLE CONTACTO 24V</v>
          </cell>
          <cell r="L2756">
            <v>1</v>
          </cell>
          <cell r="M2756" t="str">
            <v>UNID.</v>
          </cell>
          <cell r="N2756" t="str">
            <v>TRACTO</v>
          </cell>
          <cell r="O2756">
            <v>0</v>
          </cell>
          <cell r="P2756" t="str">
            <v>E2</v>
          </cell>
          <cell r="Q2756" t="str">
            <v>J2</v>
          </cell>
          <cell r="R2756" t="str">
            <v>J5</v>
          </cell>
          <cell r="S2756" t="str">
            <v>ENTREGADO</v>
          </cell>
          <cell r="T2756">
            <v>42718</v>
          </cell>
          <cell r="U2756" t="str">
            <v>YUCA BELLIDO BORIS YERSY</v>
          </cell>
          <cell r="V2756" t="str">
            <v>CORIHUAMAN SURCO  ERICK ROBERT</v>
          </cell>
        </row>
        <row r="2757">
          <cell r="A2757">
            <v>2734</v>
          </cell>
          <cell r="B2757">
            <v>42718</v>
          </cell>
          <cell r="C2757" t="str">
            <v>DICIEMBRE</v>
          </cell>
          <cell r="D2757" t="str">
            <v>2016</v>
          </cell>
          <cell r="E2757">
            <v>427</v>
          </cell>
          <cell r="F2757" t="str">
            <v>X2W-759</v>
          </cell>
          <cell r="G2757" t="str">
            <v>C5V-999</v>
          </cell>
          <cell r="H2757" t="str">
            <v>LAS BAMBAS</v>
          </cell>
          <cell r="I2757">
            <v>153388</v>
          </cell>
          <cell r="J2757" t="str">
            <v>REPUESTO</v>
          </cell>
          <cell r="K2757" t="str">
            <v>PERNOS 5/8 X 6</v>
          </cell>
          <cell r="L2757">
            <v>2</v>
          </cell>
          <cell r="M2757" t="str">
            <v>UNID.</v>
          </cell>
          <cell r="N2757" t="str">
            <v>CISTERNA</v>
          </cell>
          <cell r="O2757">
            <v>0</v>
          </cell>
          <cell r="P2757" t="str">
            <v>S1</v>
          </cell>
          <cell r="Q2757" t="str">
            <v>J2</v>
          </cell>
          <cell r="R2757" t="str">
            <v>J6</v>
          </cell>
          <cell r="S2757" t="str">
            <v>ENTREGADO</v>
          </cell>
          <cell r="T2757">
            <v>42718</v>
          </cell>
          <cell r="U2757" t="str">
            <v>BAYONA CRUZ CRISTIAN ARMANDO</v>
          </cell>
          <cell r="V2757" t="str">
            <v>CORIHUAMAN SURCO  ERICK ROBERT</v>
          </cell>
        </row>
        <row r="2758">
          <cell r="A2758">
            <v>2735</v>
          </cell>
          <cell r="B2758">
            <v>42718</v>
          </cell>
          <cell r="C2758" t="str">
            <v>DICIEMBRE</v>
          </cell>
          <cell r="D2758" t="str">
            <v>2016</v>
          </cell>
          <cell r="E2758">
            <v>427</v>
          </cell>
          <cell r="F2758" t="str">
            <v>X2W-759</v>
          </cell>
          <cell r="G2758" t="str">
            <v>C5V-999</v>
          </cell>
          <cell r="H2758" t="str">
            <v>LAS BAMBAS</v>
          </cell>
          <cell r="I2758">
            <v>153388</v>
          </cell>
          <cell r="J2758" t="str">
            <v>REPUESTO</v>
          </cell>
          <cell r="K2758" t="str">
            <v>TUERCA SEGURO 5/8</v>
          </cell>
          <cell r="L2758">
            <v>2</v>
          </cell>
          <cell r="M2758" t="str">
            <v>UNID.</v>
          </cell>
          <cell r="N2758" t="str">
            <v>CISTERNA</v>
          </cell>
          <cell r="O2758">
            <v>0</v>
          </cell>
          <cell r="P2758" t="str">
            <v>S1</v>
          </cell>
          <cell r="Q2758" t="str">
            <v>J2</v>
          </cell>
          <cell r="R2758" t="str">
            <v>J6</v>
          </cell>
          <cell r="S2758" t="str">
            <v>ENTREGADO</v>
          </cell>
          <cell r="T2758">
            <v>42718</v>
          </cell>
          <cell r="U2758" t="str">
            <v>BAYONA CRUZ CRISTIAN ARMANDO</v>
          </cell>
          <cell r="V2758" t="str">
            <v>CORIHUAMAN SURCO  ERICK ROBERT</v>
          </cell>
        </row>
        <row r="2759">
          <cell r="A2759">
            <v>2712</v>
          </cell>
          <cell r="B2759">
            <v>42718</v>
          </cell>
          <cell r="C2759" t="str">
            <v>DICIEMBRE</v>
          </cell>
          <cell r="D2759" t="str">
            <v>2016</v>
          </cell>
          <cell r="E2759">
            <v>556</v>
          </cell>
          <cell r="F2759" t="str">
            <v>X2W-763</v>
          </cell>
          <cell r="G2759" t="str">
            <v>C5V-997</v>
          </cell>
          <cell r="H2759" t="str">
            <v>LAS BAMBAS</v>
          </cell>
          <cell r="I2759">
            <v>156389</v>
          </cell>
          <cell r="J2759" t="str">
            <v>REPUESTO</v>
          </cell>
          <cell r="K2759" t="str">
            <v>TAPA DE ESCULLI</v>
          </cell>
          <cell r="L2759">
            <v>1</v>
          </cell>
          <cell r="M2759" t="str">
            <v>UNID.</v>
          </cell>
          <cell r="N2759" t="str">
            <v>CISTERNA</v>
          </cell>
          <cell r="O2759">
            <v>72</v>
          </cell>
          <cell r="P2759" t="str">
            <v>E2</v>
          </cell>
          <cell r="Q2759" t="str">
            <v>J1</v>
          </cell>
          <cell r="R2759" t="str">
            <v>J6</v>
          </cell>
          <cell r="S2759" t="str">
            <v>PENDIENTE</v>
          </cell>
          <cell r="T2759">
            <v>0</v>
          </cell>
          <cell r="U2759" t="str">
            <v>YUCA BELLIDO BORIS YERSY</v>
          </cell>
          <cell r="V2759" t="str">
            <v>FLOREZ CONDORI  JOSE WILLIANS</v>
          </cell>
        </row>
        <row r="2760">
          <cell r="A2760">
            <v>2683</v>
          </cell>
          <cell r="B2760">
            <v>42718</v>
          </cell>
          <cell r="C2760" t="str">
            <v>DICIEMBRE</v>
          </cell>
          <cell r="D2760" t="str">
            <v>2016</v>
          </cell>
          <cell r="E2760">
            <v>536</v>
          </cell>
          <cell r="F2760" t="str">
            <v>X2W-791</v>
          </cell>
          <cell r="G2760" t="str">
            <v>C5V-989</v>
          </cell>
          <cell r="H2760" t="str">
            <v>LAS BAMBAS</v>
          </cell>
          <cell r="I2760">
            <v>147312</v>
          </cell>
          <cell r="J2760" t="str">
            <v>REPUESTO</v>
          </cell>
          <cell r="K2760" t="str">
            <v>ACEITE 15W40</v>
          </cell>
          <cell r="L2760">
            <v>1</v>
          </cell>
          <cell r="M2760" t="str">
            <v>GLNS.</v>
          </cell>
          <cell r="N2760" t="str">
            <v>TRACTO</v>
          </cell>
          <cell r="O2760">
            <v>0</v>
          </cell>
          <cell r="P2760" t="str">
            <v>M8</v>
          </cell>
          <cell r="Q2760" t="str">
            <v>J1</v>
          </cell>
          <cell r="R2760" t="str">
            <v>J6</v>
          </cell>
          <cell r="S2760" t="str">
            <v>ENTREGADO</v>
          </cell>
          <cell r="T2760">
            <v>42718</v>
          </cell>
          <cell r="U2760" t="str">
            <v>VARILLAS GAGO  OSCAR ALBERTO</v>
          </cell>
          <cell r="V2760" t="str">
            <v>FLOREZ CONDORI  JOSE WILLIANS</v>
          </cell>
        </row>
        <row r="2761">
          <cell r="A2761">
            <v>2684</v>
          </cell>
          <cell r="B2761">
            <v>42718</v>
          </cell>
          <cell r="C2761" t="str">
            <v>DICIEMBRE</v>
          </cell>
          <cell r="D2761" t="str">
            <v>2016</v>
          </cell>
          <cell r="E2761">
            <v>536</v>
          </cell>
          <cell r="F2761" t="str">
            <v>X2W-791</v>
          </cell>
          <cell r="G2761" t="str">
            <v>C5V-989</v>
          </cell>
          <cell r="H2761" t="str">
            <v>LAS BAMBAS</v>
          </cell>
          <cell r="I2761">
            <v>147312</v>
          </cell>
          <cell r="J2761" t="str">
            <v>REPUESTO</v>
          </cell>
          <cell r="K2761" t="str">
            <v>PERNO 5/16 X 1</v>
          </cell>
          <cell r="L2761">
            <v>1</v>
          </cell>
          <cell r="M2761" t="str">
            <v>UNID.</v>
          </cell>
          <cell r="N2761" t="str">
            <v>TRACTO</v>
          </cell>
          <cell r="O2761">
            <v>0</v>
          </cell>
          <cell r="P2761" t="str">
            <v>M8</v>
          </cell>
          <cell r="Q2761" t="str">
            <v>J1</v>
          </cell>
          <cell r="R2761" t="str">
            <v>J6</v>
          </cell>
          <cell r="S2761" t="str">
            <v>ENTREGADO</v>
          </cell>
          <cell r="T2761">
            <v>42718</v>
          </cell>
          <cell r="U2761" t="str">
            <v>VARILLAS GAGO  OSCAR ALBERTO</v>
          </cell>
          <cell r="V2761" t="str">
            <v>FLOREZ CONDORI  JOSE WILLIANS</v>
          </cell>
        </row>
        <row r="2762">
          <cell r="A2762">
            <v>2685</v>
          </cell>
          <cell r="B2762">
            <v>42718</v>
          </cell>
          <cell r="C2762" t="str">
            <v>DICIEMBRE</v>
          </cell>
          <cell r="D2762" t="str">
            <v>2016</v>
          </cell>
          <cell r="E2762">
            <v>536</v>
          </cell>
          <cell r="F2762" t="str">
            <v>X2W-791</v>
          </cell>
          <cell r="G2762" t="str">
            <v>C5V-989</v>
          </cell>
          <cell r="H2762" t="str">
            <v>LAS BAMBAS</v>
          </cell>
          <cell r="I2762">
            <v>147312</v>
          </cell>
          <cell r="J2762" t="str">
            <v>REPUESTO</v>
          </cell>
          <cell r="K2762" t="str">
            <v>ARANDELA PLANA  5/16</v>
          </cell>
          <cell r="L2762">
            <v>1</v>
          </cell>
          <cell r="M2762" t="str">
            <v>UNID.</v>
          </cell>
          <cell r="N2762" t="str">
            <v>TRACTO</v>
          </cell>
          <cell r="O2762">
            <v>0</v>
          </cell>
          <cell r="P2762" t="str">
            <v>M8</v>
          </cell>
          <cell r="Q2762" t="str">
            <v>J1</v>
          </cell>
          <cell r="R2762" t="str">
            <v>J6</v>
          </cell>
          <cell r="S2762" t="str">
            <v>ENTREGADO</v>
          </cell>
          <cell r="T2762">
            <v>42718</v>
          </cell>
          <cell r="U2762" t="str">
            <v>VARILLAS GAGO  OSCAR ALBERTO</v>
          </cell>
          <cell r="V2762" t="str">
            <v>FLOREZ CONDORI  JOSE WILLIANS</v>
          </cell>
        </row>
        <row r="2763">
          <cell r="A2763">
            <v>2686</v>
          </cell>
          <cell r="B2763">
            <v>42718</v>
          </cell>
          <cell r="C2763" t="str">
            <v>DICIEMBRE</v>
          </cell>
          <cell r="D2763" t="str">
            <v>2016</v>
          </cell>
          <cell r="E2763">
            <v>536</v>
          </cell>
          <cell r="F2763" t="str">
            <v>X2W-791</v>
          </cell>
          <cell r="G2763" t="str">
            <v>C5V-989</v>
          </cell>
          <cell r="H2763" t="str">
            <v>LAS BAMBAS</v>
          </cell>
          <cell r="I2763">
            <v>147312</v>
          </cell>
          <cell r="J2763" t="str">
            <v>REPUESTO</v>
          </cell>
          <cell r="K2763" t="str">
            <v>FOCO 9005</v>
          </cell>
          <cell r="L2763">
            <v>1</v>
          </cell>
          <cell r="M2763" t="str">
            <v>UNID.</v>
          </cell>
          <cell r="N2763" t="str">
            <v>TRACTO</v>
          </cell>
          <cell r="O2763">
            <v>0</v>
          </cell>
          <cell r="P2763" t="str">
            <v>E3</v>
          </cell>
          <cell r="Q2763" t="str">
            <v>J1</v>
          </cell>
          <cell r="R2763" t="str">
            <v>J6</v>
          </cell>
          <cell r="S2763" t="str">
            <v>ENTREGADO</v>
          </cell>
          <cell r="T2763">
            <v>42718</v>
          </cell>
          <cell r="U2763" t="str">
            <v>CONDORI CHURATA ALEX</v>
          </cell>
          <cell r="V2763" t="str">
            <v>FLOREZ CONDORI  JOSE WILLIANS</v>
          </cell>
        </row>
        <row r="2764">
          <cell r="A2764">
            <v>2687</v>
          </cell>
          <cell r="B2764">
            <v>42718</v>
          </cell>
          <cell r="C2764" t="str">
            <v>DICIEMBRE</v>
          </cell>
          <cell r="D2764" t="str">
            <v>2016</v>
          </cell>
          <cell r="E2764">
            <v>536</v>
          </cell>
          <cell r="F2764" t="str">
            <v>X2W-791</v>
          </cell>
          <cell r="G2764" t="str">
            <v>C5V-989</v>
          </cell>
          <cell r="H2764" t="str">
            <v>LAS BAMBAS</v>
          </cell>
          <cell r="I2764">
            <v>147312</v>
          </cell>
          <cell r="J2764" t="str">
            <v>REPUESTO</v>
          </cell>
          <cell r="K2764" t="str">
            <v xml:space="preserve">FOCO 9006 </v>
          </cell>
          <cell r="L2764">
            <v>1</v>
          </cell>
          <cell r="M2764" t="str">
            <v>UNID.</v>
          </cell>
          <cell r="N2764" t="str">
            <v>TRACTO</v>
          </cell>
          <cell r="O2764">
            <v>0</v>
          </cell>
          <cell r="P2764" t="str">
            <v>E3</v>
          </cell>
          <cell r="Q2764" t="str">
            <v>J1</v>
          </cell>
          <cell r="R2764" t="str">
            <v>J6</v>
          </cell>
          <cell r="S2764" t="str">
            <v>ENTREGADO</v>
          </cell>
          <cell r="T2764">
            <v>42718</v>
          </cell>
          <cell r="U2764" t="str">
            <v>CONDORI CHURATA ALEX</v>
          </cell>
          <cell r="V2764" t="str">
            <v>FLOREZ CONDORI  JOSE WILLIANS</v>
          </cell>
        </row>
        <row r="2765">
          <cell r="A2765">
            <v>2692</v>
          </cell>
          <cell r="B2765">
            <v>42718</v>
          </cell>
          <cell r="C2765" t="str">
            <v>DICIEMBRE</v>
          </cell>
          <cell r="D2765" t="str">
            <v>2016</v>
          </cell>
          <cell r="E2765">
            <v>536</v>
          </cell>
          <cell r="F2765" t="str">
            <v>X2W-791</v>
          </cell>
          <cell r="G2765" t="str">
            <v>C5V-989</v>
          </cell>
          <cell r="H2765" t="str">
            <v>LAS BAMBAS</v>
          </cell>
          <cell r="I2765">
            <v>147312</v>
          </cell>
          <cell r="J2765" t="str">
            <v>REPUESTO</v>
          </cell>
          <cell r="K2765" t="str">
            <v>BASE DE LA BATERIA (MATERIAL MAPRESA DE 53 X 36 X 3/4")</v>
          </cell>
          <cell r="L2765">
            <v>1</v>
          </cell>
          <cell r="M2765" t="str">
            <v>UNID.</v>
          </cell>
          <cell r="N2765" t="str">
            <v>TRACTO</v>
          </cell>
          <cell r="O2765">
            <v>72</v>
          </cell>
          <cell r="P2765" t="str">
            <v>E3</v>
          </cell>
          <cell r="Q2765" t="str">
            <v>J1</v>
          </cell>
          <cell r="R2765" t="str">
            <v>J6</v>
          </cell>
          <cell r="S2765" t="str">
            <v>PENDIENTE</v>
          </cell>
          <cell r="T2765">
            <v>0</v>
          </cell>
          <cell r="U2765" t="str">
            <v>CONDORI CHURATA ALEX</v>
          </cell>
          <cell r="V2765" t="str">
            <v>FLOREZ CONDORI  JOSE WILLIANS</v>
          </cell>
        </row>
        <row r="2766">
          <cell r="A2766">
            <v>2699</v>
          </cell>
          <cell r="B2766">
            <v>42718</v>
          </cell>
          <cell r="C2766" t="str">
            <v>DICIEMBRE</v>
          </cell>
          <cell r="D2766" t="str">
            <v>2016</v>
          </cell>
          <cell r="E2766">
            <v>536</v>
          </cell>
          <cell r="F2766" t="str">
            <v>X2W-791</v>
          </cell>
          <cell r="G2766" t="str">
            <v>C5V-989</v>
          </cell>
          <cell r="H2766" t="str">
            <v>LAS BAMBAS</v>
          </cell>
          <cell r="I2766">
            <v>147312</v>
          </cell>
          <cell r="J2766" t="str">
            <v>REPUESTO</v>
          </cell>
          <cell r="K2766" t="str">
            <v>TAPA DE ESCULLI</v>
          </cell>
          <cell r="L2766">
            <v>1</v>
          </cell>
          <cell r="M2766" t="str">
            <v>UNID.</v>
          </cell>
          <cell r="N2766" t="str">
            <v>CISTERNA</v>
          </cell>
          <cell r="O2766">
            <v>72</v>
          </cell>
          <cell r="P2766" t="str">
            <v>J7</v>
          </cell>
          <cell r="Q2766" t="str">
            <v>J7</v>
          </cell>
          <cell r="R2766" t="str">
            <v>J6</v>
          </cell>
          <cell r="S2766" t="str">
            <v>PENDIENTE</v>
          </cell>
          <cell r="T2766">
            <v>0</v>
          </cell>
          <cell r="U2766" t="str">
            <v>DONAYRE INGA PEDRO</v>
          </cell>
          <cell r="V2766" t="str">
            <v>DONAYRE INGA PEDRO</v>
          </cell>
        </row>
        <row r="2767">
          <cell r="A2767">
            <v>2731</v>
          </cell>
          <cell r="B2767">
            <v>42718</v>
          </cell>
          <cell r="C2767" t="str">
            <v>DICIEMBRE</v>
          </cell>
          <cell r="D2767" t="str">
            <v>2016</v>
          </cell>
          <cell r="E2767">
            <v>536</v>
          </cell>
          <cell r="F2767" t="str">
            <v>X2W-791</v>
          </cell>
          <cell r="G2767" t="str">
            <v>C5V-989</v>
          </cell>
          <cell r="H2767" t="str">
            <v>LAS BAMBAS</v>
          </cell>
          <cell r="I2767">
            <v>147312</v>
          </cell>
          <cell r="J2767" t="str">
            <v>REPUESTO</v>
          </cell>
          <cell r="K2767" t="str">
            <v>PRESINTOS 200</v>
          </cell>
          <cell r="L2767">
            <v>10</v>
          </cell>
          <cell r="M2767" t="str">
            <v>UNID.</v>
          </cell>
          <cell r="N2767" t="str">
            <v>TRACTO</v>
          </cell>
          <cell r="O2767">
            <v>0</v>
          </cell>
          <cell r="P2767" t="str">
            <v>E3</v>
          </cell>
          <cell r="Q2767" t="str">
            <v>J2</v>
          </cell>
          <cell r="R2767" t="str">
            <v>J6</v>
          </cell>
          <cell r="S2767" t="str">
            <v>ENTREGADO</v>
          </cell>
          <cell r="T2767">
            <v>42718</v>
          </cell>
          <cell r="U2767" t="str">
            <v>CONDORI CHURATA ALEX</v>
          </cell>
          <cell r="V2767" t="str">
            <v>CORIHUAMAN SURCO  ERICK ROBERT</v>
          </cell>
        </row>
        <row r="2768">
          <cell r="A2768">
            <v>2747</v>
          </cell>
          <cell r="B2768">
            <v>42718</v>
          </cell>
          <cell r="C2768" t="str">
            <v>DICIEMBRE</v>
          </cell>
          <cell r="D2768" t="str">
            <v>2016</v>
          </cell>
          <cell r="E2768">
            <v>536</v>
          </cell>
          <cell r="F2768" t="str">
            <v>X2W-791</v>
          </cell>
          <cell r="G2768" t="str">
            <v>C5V-989</v>
          </cell>
          <cell r="H2768" t="str">
            <v>LAS BAMBAS</v>
          </cell>
          <cell r="I2768">
            <v>147312</v>
          </cell>
          <cell r="J2768" t="str">
            <v>REPUESTO</v>
          </cell>
          <cell r="K2768" t="str">
            <v>RATCHET DE FRENO DE 10 DIENTES</v>
          </cell>
          <cell r="L2768">
            <v>1</v>
          </cell>
          <cell r="M2768" t="str">
            <v>UNID.</v>
          </cell>
          <cell r="N2768" t="str">
            <v>CISTERNA</v>
          </cell>
          <cell r="O2768">
            <v>1</v>
          </cell>
          <cell r="P2768" t="str">
            <v>M8</v>
          </cell>
          <cell r="Q2768" t="str">
            <v>J2</v>
          </cell>
          <cell r="R2768" t="str">
            <v>J6</v>
          </cell>
          <cell r="S2768" t="str">
            <v>ENTREGADO</v>
          </cell>
          <cell r="T2768">
            <v>42719</v>
          </cell>
          <cell r="U2768" t="str">
            <v>VARILLAS GAGO  OSCAR ALBERTO</v>
          </cell>
          <cell r="V2768" t="str">
            <v>CORIHUAMAN SURCO  ERICK ROBERT</v>
          </cell>
        </row>
        <row r="2769">
          <cell r="A2769">
            <v>2761</v>
          </cell>
          <cell r="B2769">
            <v>42719</v>
          </cell>
          <cell r="C2769">
            <v>0</v>
          </cell>
          <cell r="D2769">
            <v>0</v>
          </cell>
          <cell r="E2769">
            <v>592</v>
          </cell>
          <cell r="F2769" t="str">
            <v>ABP-729</v>
          </cell>
          <cell r="G2769" t="str">
            <v>D8K-985</v>
          </cell>
          <cell r="H2769" t="str">
            <v>LAS BAMBAS</v>
          </cell>
          <cell r="I2769">
            <v>111387</v>
          </cell>
          <cell r="J2769" t="str">
            <v>REPUESTO</v>
          </cell>
          <cell r="K2769" t="str">
            <v>CELLOCORD 1/8</v>
          </cell>
          <cell r="L2769">
            <v>1</v>
          </cell>
          <cell r="M2769" t="str">
            <v>KG.</v>
          </cell>
          <cell r="N2769" t="str">
            <v>CISTERNA</v>
          </cell>
          <cell r="O2769">
            <v>71</v>
          </cell>
          <cell r="P2769" t="str">
            <v>S2</v>
          </cell>
          <cell r="Q2769" t="str">
            <v>J2</v>
          </cell>
          <cell r="R2769" t="str">
            <v>J5</v>
          </cell>
          <cell r="S2769" t="str">
            <v>ENTREGADO</v>
          </cell>
          <cell r="T2769">
            <v>0</v>
          </cell>
          <cell r="U2769" t="str">
            <v>PALOMINO ESTRADA  MICHEL</v>
          </cell>
          <cell r="V2769" t="str">
            <v>CORIHUAMAN SURCO  ERICK ROBERT</v>
          </cell>
        </row>
        <row r="2770">
          <cell r="A2770">
            <v>2762</v>
          </cell>
          <cell r="B2770">
            <v>42719</v>
          </cell>
          <cell r="C2770" t="str">
            <v>DICIEMBRE</v>
          </cell>
          <cell r="D2770" t="str">
            <v>2016</v>
          </cell>
          <cell r="E2770">
            <v>592</v>
          </cell>
          <cell r="F2770" t="str">
            <v>ABP-729</v>
          </cell>
          <cell r="G2770" t="str">
            <v>D8K-985</v>
          </cell>
          <cell r="H2770" t="str">
            <v>LAS BAMBAS</v>
          </cell>
          <cell r="I2770">
            <v>111387</v>
          </cell>
          <cell r="J2770" t="str">
            <v>REPUESTO</v>
          </cell>
          <cell r="K2770" t="str">
            <v>SPRAY COLOR VERDE</v>
          </cell>
          <cell r="L2770">
            <v>1</v>
          </cell>
          <cell r="M2770" t="str">
            <v>UNID.</v>
          </cell>
          <cell r="N2770" t="str">
            <v>CISTERNA</v>
          </cell>
          <cell r="O2770">
            <v>71</v>
          </cell>
          <cell r="P2770" t="str">
            <v>S2</v>
          </cell>
          <cell r="Q2770" t="str">
            <v>J2</v>
          </cell>
          <cell r="R2770" t="str">
            <v>J5</v>
          </cell>
          <cell r="S2770" t="str">
            <v>ENTREGADO</v>
          </cell>
          <cell r="T2770">
            <v>0</v>
          </cell>
          <cell r="U2770" t="str">
            <v>PALOMINO ESTRADA  MICHEL</v>
          </cell>
          <cell r="V2770" t="str">
            <v>CORIHUAMAN SURCO  ERICK ROBERT</v>
          </cell>
        </row>
        <row r="2771">
          <cell r="A2771">
            <v>2768</v>
          </cell>
          <cell r="B2771">
            <v>42719</v>
          </cell>
          <cell r="C2771" t="str">
            <v>DICIEMBRE</v>
          </cell>
          <cell r="D2771" t="str">
            <v>2016</v>
          </cell>
          <cell r="E2771">
            <v>592</v>
          </cell>
          <cell r="F2771" t="str">
            <v>ABP-729</v>
          </cell>
          <cell r="G2771" t="str">
            <v>D8K-985</v>
          </cell>
          <cell r="H2771" t="str">
            <v>LAS BAMBAS</v>
          </cell>
          <cell r="I2771">
            <v>111387</v>
          </cell>
          <cell r="J2771" t="str">
            <v>REPUESTO</v>
          </cell>
          <cell r="K2771" t="str">
            <v>TORNAMESA</v>
          </cell>
          <cell r="L2771">
            <v>1</v>
          </cell>
          <cell r="M2771" t="str">
            <v>UNID.</v>
          </cell>
          <cell r="N2771" t="str">
            <v>TRACTO</v>
          </cell>
          <cell r="O2771">
            <v>71</v>
          </cell>
          <cell r="P2771" t="str">
            <v>M8</v>
          </cell>
          <cell r="Q2771" t="str">
            <v>J2</v>
          </cell>
          <cell r="R2771" t="str">
            <v>J5</v>
          </cell>
          <cell r="S2771" t="str">
            <v>ENTREGADO</v>
          </cell>
          <cell r="T2771">
            <v>0</v>
          </cell>
          <cell r="U2771" t="str">
            <v>VARILLAS GAGO  OSCAR ALBERTO</v>
          </cell>
          <cell r="V2771" t="str">
            <v>CORIHUAMAN SURCO  ERICK ROBERT</v>
          </cell>
        </row>
        <row r="2772">
          <cell r="A2772">
            <v>2769</v>
          </cell>
          <cell r="B2772">
            <v>42719</v>
          </cell>
          <cell r="C2772" t="str">
            <v>DICIEMBRE</v>
          </cell>
          <cell r="D2772" t="str">
            <v>2016</v>
          </cell>
          <cell r="E2772">
            <v>592</v>
          </cell>
          <cell r="F2772" t="str">
            <v>ABP-729</v>
          </cell>
          <cell r="G2772" t="str">
            <v>D8K-985</v>
          </cell>
          <cell r="H2772" t="str">
            <v>LAS BAMBAS</v>
          </cell>
          <cell r="I2772">
            <v>111387</v>
          </cell>
          <cell r="J2772" t="str">
            <v>REPUESTO</v>
          </cell>
          <cell r="K2772" t="str">
            <v>PINES</v>
          </cell>
          <cell r="L2772">
            <v>2</v>
          </cell>
          <cell r="M2772" t="str">
            <v>UNID.</v>
          </cell>
          <cell r="N2772" t="str">
            <v>TRACTO</v>
          </cell>
          <cell r="O2772">
            <v>71</v>
          </cell>
          <cell r="P2772" t="str">
            <v>M8</v>
          </cell>
          <cell r="Q2772" t="str">
            <v>J2</v>
          </cell>
          <cell r="R2772" t="str">
            <v>J5</v>
          </cell>
          <cell r="S2772" t="str">
            <v>ENTREGADO</v>
          </cell>
          <cell r="T2772">
            <v>0</v>
          </cell>
          <cell r="U2772" t="str">
            <v>VARILLAS GAGO  OSCAR ALBERTO</v>
          </cell>
          <cell r="V2772" t="str">
            <v>CORIHUAMAN SURCO  ERICK ROBERT</v>
          </cell>
        </row>
        <row r="2773">
          <cell r="A2773">
            <v>2770</v>
          </cell>
          <cell r="B2773">
            <v>42719</v>
          </cell>
          <cell r="C2773" t="str">
            <v>DICIEMBRE</v>
          </cell>
          <cell r="D2773" t="str">
            <v>2016</v>
          </cell>
          <cell r="E2773">
            <v>592</v>
          </cell>
          <cell r="F2773" t="str">
            <v>ABP-729</v>
          </cell>
          <cell r="G2773" t="str">
            <v>D8K-985</v>
          </cell>
          <cell r="H2773" t="str">
            <v>LAS BAMBAS</v>
          </cell>
          <cell r="I2773">
            <v>111387</v>
          </cell>
          <cell r="J2773" t="str">
            <v>REPUESTO</v>
          </cell>
          <cell r="K2773" t="str">
            <v>LAINAS</v>
          </cell>
          <cell r="L2773">
            <v>2</v>
          </cell>
          <cell r="M2773" t="str">
            <v>UNID.</v>
          </cell>
          <cell r="N2773" t="str">
            <v>TRACTO</v>
          </cell>
          <cell r="O2773">
            <v>71</v>
          </cell>
          <cell r="P2773" t="str">
            <v>M8</v>
          </cell>
          <cell r="Q2773" t="str">
            <v>J2</v>
          </cell>
          <cell r="R2773" t="str">
            <v>J5</v>
          </cell>
          <cell r="S2773" t="str">
            <v>ENTREGADO</v>
          </cell>
          <cell r="T2773">
            <v>0</v>
          </cell>
          <cell r="U2773" t="str">
            <v>VARILLAS GAGO  OSCAR ALBERTO</v>
          </cell>
          <cell r="V2773" t="str">
            <v>CORIHUAMAN SURCO  ERICK ROBERT</v>
          </cell>
        </row>
        <row r="2774">
          <cell r="A2774">
            <v>2771</v>
          </cell>
          <cell r="B2774">
            <v>42719</v>
          </cell>
          <cell r="C2774" t="str">
            <v>DICIEMBRE</v>
          </cell>
          <cell r="D2774" t="str">
            <v>2016</v>
          </cell>
          <cell r="E2774">
            <v>592</v>
          </cell>
          <cell r="F2774" t="str">
            <v>ABP-729</v>
          </cell>
          <cell r="G2774" t="str">
            <v>D8K-985</v>
          </cell>
          <cell r="H2774" t="str">
            <v>LAS BAMBAS</v>
          </cell>
          <cell r="I2774">
            <v>111387</v>
          </cell>
          <cell r="J2774" t="str">
            <v>REPUESTO</v>
          </cell>
          <cell r="K2774" t="str">
            <v>PERNOS 3/8 X 4"</v>
          </cell>
          <cell r="L2774">
            <v>3</v>
          </cell>
          <cell r="M2774" t="str">
            <v>UNID.</v>
          </cell>
          <cell r="N2774" t="str">
            <v>TRACTO</v>
          </cell>
          <cell r="O2774">
            <v>71</v>
          </cell>
          <cell r="P2774" t="str">
            <v>M8</v>
          </cell>
          <cell r="Q2774" t="str">
            <v>J2</v>
          </cell>
          <cell r="R2774" t="str">
            <v>J5</v>
          </cell>
          <cell r="S2774" t="str">
            <v>ENTREGADO</v>
          </cell>
          <cell r="T2774">
            <v>0</v>
          </cell>
          <cell r="U2774" t="str">
            <v>VARILLAS GAGO  OSCAR ALBERTO</v>
          </cell>
          <cell r="V2774" t="str">
            <v>CORIHUAMAN SURCO  ERICK ROBERT</v>
          </cell>
        </row>
        <row r="2775">
          <cell r="A2775">
            <v>2772</v>
          </cell>
          <cell r="B2775">
            <v>42719</v>
          </cell>
          <cell r="C2775" t="str">
            <v>DICIEMBRE</v>
          </cell>
          <cell r="D2775" t="str">
            <v>2016</v>
          </cell>
          <cell r="E2775">
            <v>592</v>
          </cell>
          <cell r="F2775" t="str">
            <v>ABP-729</v>
          </cell>
          <cell r="G2775" t="str">
            <v>D8K-985</v>
          </cell>
          <cell r="H2775" t="str">
            <v>LAS BAMBAS</v>
          </cell>
          <cell r="I2775">
            <v>111387</v>
          </cell>
          <cell r="J2775" t="str">
            <v>REPUESTO</v>
          </cell>
          <cell r="K2775" t="str">
            <v>TUERCA SEGURO 3/8</v>
          </cell>
          <cell r="L2775">
            <v>4</v>
          </cell>
          <cell r="M2775" t="str">
            <v>UNID.</v>
          </cell>
          <cell r="N2775" t="str">
            <v>TRACTO</v>
          </cell>
          <cell r="O2775">
            <v>71</v>
          </cell>
          <cell r="P2775" t="str">
            <v>M8</v>
          </cell>
          <cell r="Q2775" t="str">
            <v>J2</v>
          </cell>
          <cell r="R2775" t="str">
            <v>J5</v>
          </cell>
          <cell r="S2775" t="str">
            <v>ENTREGADO</v>
          </cell>
          <cell r="T2775">
            <v>0</v>
          </cell>
          <cell r="U2775" t="str">
            <v>VARILLAS GAGO  OSCAR ALBERTO</v>
          </cell>
          <cell r="V2775" t="str">
            <v>CORIHUAMAN SURCO  ERICK ROBERT</v>
          </cell>
        </row>
        <row r="2776">
          <cell r="A2776">
            <v>2785</v>
          </cell>
          <cell r="B2776">
            <v>42719</v>
          </cell>
          <cell r="C2776" t="str">
            <v>DICIEMBRE</v>
          </cell>
          <cell r="D2776" t="str">
            <v>2016</v>
          </cell>
          <cell r="E2776">
            <v>592</v>
          </cell>
          <cell r="F2776" t="str">
            <v>ABP-729</v>
          </cell>
          <cell r="G2776" t="str">
            <v>D8K-985</v>
          </cell>
          <cell r="H2776" t="str">
            <v>LAS BAMBAS</v>
          </cell>
          <cell r="I2776">
            <v>111387</v>
          </cell>
          <cell r="J2776" t="str">
            <v>REPUESTO</v>
          </cell>
          <cell r="K2776" t="str">
            <v xml:space="preserve">DISCO DE FRICCION </v>
          </cell>
          <cell r="L2776">
            <v>1</v>
          </cell>
          <cell r="M2776" t="str">
            <v>UNID.</v>
          </cell>
          <cell r="N2776" t="str">
            <v>TRACTO</v>
          </cell>
          <cell r="O2776">
            <v>71</v>
          </cell>
          <cell r="P2776" t="str">
            <v>M8</v>
          </cell>
          <cell r="Q2776" t="str">
            <v>J2</v>
          </cell>
          <cell r="R2776" t="str">
            <v>J5</v>
          </cell>
          <cell r="S2776" t="str">
            <v>ENTREGADO</v>
          </cell>
          <cell r="T2776">
            <v>0</v>
          </cell>
          <cell r="U2776" t="str">
            <v>VARILLAS GAGO  OSCAR ALBERTO</v>
          </cell>
          <cell r="V2776" t="str">
            <v>CORIHUAMAN SURCO  ERICK ROBERT</v>
          </cell>
        </row>
        <row r="2777">
          <cell r="A2777">
            <v>2786</v>
          </cell>
          <cell r="B2777">
            <v>42719</v>
          </cell>
          <cell r="C2777" t="str">
            <v>DICIEMBRE</v>
          </cell>
          <cell r="D2777" t="str">
            <v>2016</v>
          </cell>
          <cell r="E2777">
            <v>592</v>
          </cell>
          <cell r="F2777" t="str">
            <v>ABP-729</v>
          </cell>
          <cell r="G2777" t="str">
            <v>D8K-985</v>
          </cell>
          <cell r="H2777" t="str">
            <v>LAS BAMBAS</v>
          </cell>
          <cell r="I2777">
            <v>111387</v>
          </cell>
          <cell r="J2777" t="str">
            <v>REPUESTO</v>
          </cell>
          <cell r="K2777" t="str">
            <v>SEGURO DE DISCO</v>
          </cell>
          <cell r="L2777">
            <v>1</v>
          </cell>
          <cell r="M2777" t="str">
            <v>UNID.</v>
          </cell>
          <cell r="N2777" t="str">
            <v>TRACTO</v>
          </cell>
          <cell r="O2777">
            <v>71</v>
          </cell>
          <cell r="P2777" t="str">
            <v>M8</v>
          </cell>
          <cell r="Q2777" t="str">
            <v>J2</v>
          </cell>
          <cell r="R2777" t="str">
            <v>J5</v>
          </cell>
          <cell r="S2777" t="str">
            <v>ENTREGADO</v>
          </cell>
          <cell r="T2777">
            <v>0</v>
          </cell>
          <cell r="U2777" t="str">
            <v>VARILLAS GAGO  OSCAR ALBERTO</v>
          </cell>
          <cell r="V2777" t="str">
            <v>CORIHUAMAN SURCO  ERICK ROBERT</v>
          </cell>
        </row>
        <row r="2778">
          <cell r="A2778">
            <v>2815</v>
          </cell>
          <cell r="B2778">
            <v>42719</v>
          </cell>
          <cell r="C2778" t="str">
            <v>DICIEMBRE</v>
          </cell>
          <cell r="D2778" t="str">
            <v>2016</v>
          </cell>
          <cell r="E2778">
            <v>592</v>
          </cell>
          <cell r="F2778" t="str">
            <v>ABP-729</v>
          </cell>
          <cell r="G2778" t="str">
            <v>D8K-985</v>
          </cell>
          <cell r="H2778" t="str">
            <v>LAS BAMBAS</v>
          </cell>
          <cell r="I2778">
            <v>111387</v>
          </cell>
          <cell r="J2778" t="str">
            <v>REPUESTO</v>
          </cell>
          <cell r="K2778" t="str">
            <v>SENSOR DE CORONA</v>
          </cell>
          <cell r="L2778">
            <v>1</v>
          </cell>
          <cell r="M2778" t="str">
            <v>UNID.</v>
          </cell>
          <cell r="N2778" t="str">
            <v>TRACTO</v>
          </cell>
          <cell r="O2778">
            <v>71</v>
          </cell>
          <cell r="P2778" t="str">
            <v>E1</v>
          </cell>
          <cell r="Q2778" t="str">
            <v>J2</v>
          </cell>
          <cell r="R2778" t="str">
            <v>J6</v>
          </cell>
          <cell r="S2778" t="str">
            <v>PENDIENTE</v>
          </cell>
          <cell r="T2778">
            <v>0</v>
          </cell>
          <cell r="U2778" t="str">
            <v>PALOMINO CARDENAS JUAN CARLOS</v>
          </cell>
          <cell r="V2778" t="str">
            <v>CORIHUAMAN SURCO  ERICK ROBERT</v>
          </cell>
        </row>
        <row r="2779">
          <cell r="A2779">
            <v>2750</v>
          </cell>
          <cell r="B2779">
            <v>42719</v>
          </cell>
          <cell r="C2779" t="str">
            <v>DICIEMBRE</v>
          </cell>
          <cell r="D2779" t="str">
            <v>2016</v>
          </cell>
          <cell r="E2779">
            <v>593</v>
          </cell>
          <cell r="F2779" t="str">
            <v>ABQ-703</v>
          </cell>
          <cell r="G2779" t="str">
            <v>D0Z-994</v>
          </cell>
          <cell r="H2779" t="str">
            <v>LAS BAMBAS</v>
          </cell>
          <cell r="I2779">
            <v>102521</v>
          </cell>
          <cell r="J2779" t="str">
            <v>REPUESTO</v>
          </cell>
          <cell r="K2779" t="str">
            <v>TORNAMESA</v>
          </cell>
          <cell r="L2779">
            <v>1</v>
          </cell>
          <cell r="M2779" t="str">
            <v>UNID.</v>
          </cell>
          <cell r="N2779" t="str">
            <v>TRACTO</v>
          </cell>
          <cell r="O2779">
            <v>71</v>
          </cell>
          <cell r="P2779" t="str">
            <v>M8</v>
          </cell>
          <cell r="Q2779" t="str">
            <v>J2</v>
          </cell>
          <cell r="R2779" t="str">
            <v>J6</v>
          </cell>
          <cell r="S2779" t="str">
            <v>ENTREGADO</v>
          </cell>
          <cell r="T2779">
            <v>0</v>
          </cell>
          <cell r="U2779" t="str">
            <v>VARILLAS GAGO  OSCAR ALBERTO</v>
          </cell>
          <cell r="V2779" t="str">
            <v>CORIHUAMAN SURCO  ERICK ROBERT</v>
          </cell>
        </row>
        <row r="2780">
          <cell r="A2780">
            <v>2751</v>
          </cell>
          <cell r="B2780">
            <v>42719</v>
          </cell>
          <cell r="C2780" t="str">
            <v>DICIEMBRE</v>
          </cell>
          <cell r="D2780" t="str">
            <v>2016</v>
          </cell>
          <cell r="E2780">
            <v>593</v>
          </cell>
          <cell r="F2780" t="str">
            <v>ABQ-703</v>
          </cell>
          <cell r="G2780" t="str">
            <v>D0Z-994</v>
          </cell>
          <cell r="H2780" t="str">
            <v>LAS BAMBAS</v>
          </cell>
          <cell r="I2780">
            <v>102521</v>
          </cell>
          <cell r="J2780" t="str">
            <v>REPUESTO</v>
          </cell>
          <cell r="K2780" t="str">
            <v xml:space="preserve">PIN </v>
          </cell>
          <cell r="L2780">
            <v>2</v>
          </cell>
          <cell r="M2780" t="str">
            <v>UNID.</v>
          </cell>
          <cell r="N2780" t="str">
            <v>TRACTO</v>
          </cell>
          <cell r="O2780">
            <v>71</v>
          </cell>
          <cell r="P2780" t="str">
            <v>M8</v>
          </cell>
          <cell r="Q2780" t="str">
            <v>J2</v>
          </cell>
          <cell r="R2780" t="str">
            <v>J6</v>
          </cell>
          <cell r="S2780" t="str">
            <v>ENTREGADO</v>
          </cell>
          <cell r="T2780">
            <v>0</v>
          </cell>
          <cell r="U2780" t="str">
            <v>VARILLAS GAGO  OSCAR ALBERTO</v>
          </cell>
          <cell r="V2780" t="str">
            <v>CORIHUAMAN SURCO  ERICK ROBERT</v>
          </cell>
        </row>
        <row r="2781">
          <cell r="A2781">
            <v>2752</v>
          </cell>
          <cell r="B2781">
            <v>42719</v>
          </cell>
          <cell r="C2781" t="str">
            <v>DICIEMBRE</v>
          </cell>
          <cell r="D2781" t="str">
            <v>2016</v>
          </cell>
          <cell r="E2781">
            <v>593</v>
          </cell>
          <cell r="F2781" t="str">
            <v>ABQ-703</v>
          </cell>
          <cell r="G2781" t="str">
            <v>D0Z-994</v>
          </cell>
          <cell r="H2781" t="str">
            <v>LAS BAMBAS</v>
          </cell>
          <cell r="I2781">
            <v>102521</v>
          </cell>
          <cell r="J2781" t="str">
            <v>REPUESTO</v>
          </cell>
          <cell r="K2781" t="str">
            <v>BOCINAS</v>
          </cell>
          <cell r="L2781">
            <v>4</v>
          </cell>
          <cell r="M2781" t="str">
            <v>UNID.</v>
          </cell>
          <cell r="N2781" t="str">
            <v>TRACTO</v>
          </cell>
          <cell r="O2781">
            <v>71</v>
          </cell>
          <cell r="P2781" t="str">
            <v>M8</v>
          </cell>
          <cell r="Q2781" t="str">
            <v>J2</v>
          </cell>
          <cell r="R2781" t="str">
            <v>J6</v>
          </cell>
          <cell r="S2781" t="str">
            <v>PENDIENTE</v>
          </cell>
          <cell r="T2781">
            <v>0</v>
          </cell>
          <cell r="U2781" t="str">
            <v>VARILLAS GAGO  OSCAR ALBERTO</v>
          </cell>
          <cell r="V2781" t="str">
            <v>CORIHUAMAN SURCO  ERICK ROBERT</v>
          </cell>
        </row>
        <row r="2782">
          <cell r="A2782">
            <v>2753</v>
          </cell>
          <cell r="B2782">
            <v>42719</v>
          </cell>
          <cell r="C2782" t="str">
            <v>DICIEMBRE</v>
          </cell>
          <cell r="D2782" t="str">
            <v>2016</v>
          </cell>
          <cell r="E2782">
            <v>593</v>
          </cell>
          <cell r="F2782" t="str">
            <v>ABQ-703</v>
          </cell>
          <cell r="G2782" t="str">
            <v>D0Z-994</v>
          </cell>
          <cell r="H2782" t="str">
            <v>LAS BAMBAS</v>
          </cell>
          <cell r="I2782">
            <v>102521</v>
          </cell>
          <cell r="J2782" t="str">
            <v>REPUESTO</v>
          </cell>
          <cell r="K2782" t="str">
            <v>LAINAS</v>
          </cell>
          <cell r="L2782">
            <v>2</v>
          </cell>
          <cell r="M2782" t="str">
            <v>UNID.</v>
          </cell>
          <cell r="N2782" t="str">
            <v>TRACTO</v>
          </cell>
          <cell r="O2782">
            <v>71</v>
          </cell>
          <cell r="P2782" t="str">
            <v>M8</v>
          </cell>
          <cell r="Q2782" t="str">
            <v>J2</v>
          </cell>
          <cell r="R2782" t="str">
            <v>J6</v>
          </cell>
          <cell r="S2782" t="str">
            <v>ENTREGADO</v>
          </cell>
          <cell r="T2782">
            <v>0</v>
          </cell>
          <cell r="U2782" t="str">
            <v>VARILLAS GAGO  OSCAR ALBERTO</v>
          </cell>
          <cell r="V2782" t="str">
            <v>CORIHUAMAN SURCO  ERICK ROBERT</v>
          </cell>
        </row>
        <row r="2783">
          <cell r="A2783">
            <v>2802</v>
          </cell>
          <cell r="B2783">
            <v>42719</v>
          </cell>
          <cell r="C2783" t="str">
            <v>DICIEMBRE</v>
          </cell>
          <cell r="D2783" t="str">
            <v>2016</v>
          </cell>
          <cell r="E2783">
            <v>599</v>
          </cell>
          <cell r="F2783" t="str">
            <v>ABQ-705</v>
          </cell>
          <cell r="G2783" t="str">
            <v>D0Z-996</v>
          </cell>
          <cell r="H2783" t="str">
            <v>LAS BAMBAS</v>
          </cell>
          <cell r="I2783">
            <v>110827</v>
          </cell>
          <cell r="J2783" t="str">
            <v>REPUESTO</v>
          </cell>
          <cell r="K2783" t="str">
            <v>ACEITE 15W40</v>
          </cell>
          <cell r="L2783">
            <v>10</v>
          </cell>
          <cell r="M2783" t="str">
            <v>GLNS.</v>
          </cell>
          <cell r="N2783" t="str">
            <v>TRACTO</v>
          </cell>
          <cell r="O2783">
            <v>71</v>
          </cell>
          <cell r="P2783" t="str">
            <v>M8</v>
          </cell>
          <cell r="Q2783" t="str">
            <v>J2</v>
          </cell>
          <cell r="R2783" t="str">
            <v>J6</v>
          </cell>
          <cell r="S2783" t="str">
            <v>ENTREGADO</v>
          </cell>
          <cell r="T2783">
            <v>0</v>
          </cell>
          <cell r="U2783" t="str">
            <v>VARILLAS GAGO  OSCAR ALBERTO</v>
          </cell>
          <cell r="V2783" t="str">
            <v>CORIHUAMAN SURCO  ERICK ROBERT</v>
          </cell>
        </row>
        <row r="2784">
          <cell r="A2784">
            <v>2803</v>
          </cell>
          <cell r="B2784">
            <v>42719</v>
          </cell>
          <cell r="C2784" t="str">
            <v>DICIEMBRE</v>
          </cell>
          <cell r="D2784" t="str">
            <v>2016</v>
          </cell>
          <cell r="E2784">
            <v>599</v>
          </cell>
          <cell r="F2784" t="str">
            <v>ABQ-705</v>
          </cell>
          <cell r="G2784" t="str">
            <v>D0Z-996</v>
          </cell>
          <cell r="H2784" t="str">
            <v>LAS BAMBAS</v>
          </cell>
          <cell r="I2784">
            <v>110827</v>
          </cell>
          <cell r="J2784" t="str">
            <v>REPUESTO</v>
          </cell>
          <cell r="K2784" t="str">
            <v>FILTRO DE ACEITE</v>
          </cell>
          <cell r="L2784">
            <v>2</v>
          </cell>
          <cell r="M2784" t="str">
            <v>UNID.</v>
          </cell>
          <cell r="N2784" t="str">
            <v>TRACTO</v>
          </cell>
          <cell r="O2784">
            <v>71</v>
          </cell>
          <cell r="P2784" t="str">
            <v>M8</v>
          </cell>
          <cell r="Q2784" t="str">
            <v>J2</v>
          </cell>
          <cell r="R2784" t="str">
            <v>J6</v>
          </cell>
          <cell r="S2784" t="str">
            <v>ENTREGADO</v>
          </cell>
          <cell r="T2784">
            <v>0</v>
          </cell>
          <cell r="U2784" t="str">
            <v>VARILLAS GAGO  OSCAR ALBERTO</v>
          </cell>
          <cell r="V2784" t="str">
            <v>CORIHUAMAN SURCO  ERICK ROBERT</v>
          </cell>
        </row>
        <row r="2785">
          <cell r="A2785">
            <v>2804</v>
          </cell>
          <cell r="B2785">
            <v>42719</v>
          </cell>
          <cell r="C2785" t="str">
            <v>DICIEMBRE</v>
          </cell>
          <cell r="D2785" t="str">
            <v>2016</v>
          </cell>
          <cell r="E2785">
            <v>599</v>
          </cell>
          <cell r="F2785" t="str">
            <v>ABQ-705</v>
          </cell>
          <cell r="G2785" t="str">
            <v>D0Z-996</v>
          </cell>
          <cell r="H2785" t="str">
            <v>LAS BAMBAS</v>
          </cell>
          <cell r="I2785">
            <v>110827</v>
          </cell>
          <cell r="J2785" t="str">
            <v>REPUESTO</v>
          </cell>
          <cell r="K2785" t="str">
            <v>FILTRO DE PETROLEO</v>
          </cell>
          <cell r="L2785">
            <v>1</v>
          </cell>
          <cell r="M2785" t="str">
            <v>UNID.</v>
          </cell>
          <cell r="N2785" t="str">
            <v>TRACTO</v>
          </cell>
          <cell r="O2785">
            <v>71</v>
          </cell>
          <cell r="P2785" t="str">
            <v>M8</v>
          </cell>
          <cell r="Q2785" t="str">
            <v>J2</v>
          </cell>
          <cell r="R2785" t="str">
            <v>J6</v>
          </cell>
          <cell r="S2785" t="str">
            <v>ENTREGADO</v>
          </cell>
          <cell r="T2785">
            <v>0</v>
          </cell>
          <cell r="U2785" t="str">
            <v>VARILLAS GAGO  OSCAR ALBERTO</v>
          </cell>
          <cell r="V2785" t="str">
            <v>CORIHUAMAN SURCO  ERICK ROBERT</v>
          </cell>
        </row>
        <row r="2786">
          <cell r="A2786">
            <v>2805</v>
          </cell>
          <cell r="B2786">
            <v>42719</v>
          </cell>
          <cell r="C2786" t="str">
            <v>DICIEMBRE</v>
          </cell>
          <cell r="D2786" t="str">
            <v>2016</v>
          </cell>
          <cell r="E2786">
            <v>599</v>
          </cell>
          <cell r="F2786" t="str">
            <v>ABQ-705</v>
          </cell>
          <cell r="G2786" t="str">
            <v>D0Z-996</v>
          </cell>
          <cell r="H2786" t="str">
            <v>LAS BAMBAS</v>
          </cell>
          <cell r="I2786">
            <v>110827</v>
          </cell>
          <cell r="J2786" t="str">
            <v>REPUESTO</v>
          </cell>
          <cell r="K2786" t="str">
            <v>FILTRO SEPARADOR DE AGUA</v>
          </cell>
          <cell r="L2786">
            <v>1</v>
          </cell>
          <cell r="M2786" t="str">
            <v>UNID.</v>
          </cell>
          <cell r="N2786" t="str">
            <v>TRACTO</v>
          </cell>
          <cell r="O2786">
            <v>71</v>
          </cell>
          <cell r="P2786" t="str">
            <v>M8</v>
          </cell>
          <cell r="Q2786" t="str">
            <v>J2</v>
          </cell>
          <cell r="R2786" t="str">
            <v>J6</v>
          </cell>
          <cell r="S2786" t="str">
            <v>ENTREGADO</v>
          </cell>
          <cell r="T2786">
            <v>0</v>
          </cell>
          <cell r="U2786" t="str">
            <v>VARILLAS GAGO  OSCAR ALBERTO</v>
          </cell>
          <cell r="V2786" t="str">
            <v>CORIHUAMAN SURCO  ERICK ROBERT</v>
          </cell>
        </row>
        <row r="2787">
          <cell r="A2787">
            <v>2806</v>
          </cell>
          <cell r="B2787">
            <v>42719</v>
          </cell>
          <cell r="C2787" t="str">
            <v>DICIEMBRE</v>
          </cell>
          <cell r="D2787" t="str">
            <v>2016</v>
          </cell>
          <cell r="E2787">
            <v>599</v>
          </cell>
          <cell r="F2787" t="str">
            <v>ABQ-705</v>
          </cell>
          <cell r="G2787" t="str">
            <v>D0Z-996</v>
          </cell>
          <cell r="H2787" t="str">
            <v>LAS BAMBAS</v>
          </cell>
          <cell r="I2787">
            <v>110827</v>
          </cell>
          <cell r="J2787" t="str">
            <v>REPUESTO</v>
          </cell>
          <cell r="K2787" t="str">
            <v>FILTRO E AIRE PRIMARIO</v>
          </cell>
          <cell r="L2787">
            <v>1</v>
          </cell>
          <cell r="M2787" t="str">
            <v>UNID.</v>
          </cell>
          <cell r="N2787" t="str">
            <v>TRACTO</v>
          </cell>
          <cell r="O2787">
            <v>71</v>
          </cell>
          <cell r="P2787" t="str">
            <v>M8</v>
          </cell>
          <cell r="Q2787" t="str">
            <v>J2</v>
          </cell>
          <cell r="R2787" t="str">
            <v>J6</v>
          </cell>
          <cell r="S2787" t="str">
            <v>ENTREGADO</v>
          </cell>
          <cell r="T2787">
            <v>0</v>
          </cell>
          <cell r="U2787" t="str">
            <v>VARILLAS GAGO  OSCAR ALBERTO</v>
          </cell>
          <cell r="V2787" t="str">
            <v>CORIHUAMAN SURCO  ERICK ROBERT</v>
          </cell>
        </row>
        <row r="2788">
          <cell r="A2788">
            <v>2807</v>
          </cell>
          <cell r="B2788">
            <v>42719</v>
          </cell>
          <cell r="C2788" t="str">
            <v>DICIEMBRE</v>
          </cell>
          <cell r="D2788" t="str">
            <v>2016</v>
          </cell>
          <cell r="E2788">
            <v>599</v>
          </cell>
          <cell r="F2788" t="str">
            <v>ABQ-705</v>
          </cell>
          <cell r="G2788" t="str">
            <v>D0Z-996</v>
          </cell>
          <cell r="H2788" t="str">
            <v>LAS BAMBAS</v>
          </cell>
          <cell r="I2788">
            <v>110827</v>
          </cell>
          <cell r="J2788" t="str">
            <v>REPUESTO</v>
          </cell>
          <cell r="K2788" t="str">
            <v>FILTRO DE CABINA</v>
          </cell>
          <cell r="L2788">
            <v>1</v>
          </cell>
          <cell r="M2788" t="str">
            <v>UNID.</v>
          </cell>
          <cell r="N2788" t="str">
            <v>TRACTO</v>
          </cell>
          <cell r="O2788">
            <v>71</v>
          </cell>
          <cell r="P2788" t="str">
            <v>M8</v>
          </cell>
          <cell r="Q2788" t="str">
            <v>J2</v>
          </cell>
          <cell r="R2788" t="str">
            <v>J6</v>
          </cell>
          <cell r="S2788" t="str">
            <v>ENTREGADO</v>
          </cell>
          <cell r="T2788">
            <v>0</v>
          </cell>
          <cell r="U2788" t="str">
            <v>VARILLAS GAGO  OSCAR ALBERTO</v>
          </cell>
          <cell r="V2788" t="str">
            <v>CORIHUAMAN SURCO  ERICK ROBERT</v>
          </cell>
        </row>
        <row r="2789">
          <cell r="A2789">
            <v>2818</v>
          </cell>
          <cell r="B2789">
            <v>42719</v>
          </cell>
          <cell r="C2789" t="str">
            <v>DICIEMBRE</v>
          </cell>
          <cell r="D2789" t="str">
            <v>2016</v>
          </cell>
          <cell r="E2789">
            <v>599</v>
          </cell>
          <cell r="F2789" t="str">
            <v>ABQ-705</v>
          </cell>
          <cell r="G2789" t="str">
            <v>D0Z-996</v>
          </cell>
          <cell r="H2789" t="str">
            <v>LAS BAMBAS</v>
          </cell>
          <cell r="I2789">
            <v>110827</v>
          </cell>
          <cell r="J2789" t="str">
            <v>REPUESTO</v>
          </cell>
          <cell r="K2789" t="str">
            <v>ACCESORIOS DE VALVULA DE PULPO</v>
          </cell>
          <cell r="L2789">
            <v>1</v>
          </cell>
          <cell r="M2789" t="str">
            <v>UNID.</v>
          </cell>
          <cell r="N2789" t="str">
            <v>CISTERNA</v>
          </cell>
          <cell r="O2789">
            <v>71</v>
          </cell>
          <cell r="P2789" t="str">
            <v>M8</v>
          </cell>
          <cell r="Q2789" t="str">
            <v>J2</v>
          </cell>
          <cell r="R2789" t="str">
            <v>J6</v>
          </cell>
          <cell r="S2789" t="str">
            <v>ENTREGADO</v>
          </cell>
          <cell r="T2789">
            <v>0</v>
          </cell>
          <cell r="U2789" t="str">
            <v>VARILLAS GAGO  OSCAR ALBERTO</v>
          </cell>
          <cell r="V2789" t="str">
            <v>CORIHUAMAN SURCO  ERICK ROBERT</v>
          </cell>
        </row>
        <row r="2790">
          <cell r="A2790">
            <v>2819</v>
          </cell>
          <cell r="B2790">
            <v>42719</v>
          </cell>
          <cell r="C2790" t="str">
            <v>DICIEMBRE</v>
          </cell>
          <cell r="D2790" t="str">
            <v>2016</v>
          </cell>
          <cell r="E2790">
            <v>599</v>
          </cell>
          <cell r="F2790" t="str">
            <v>ABQ-705</v>
          </cell>
          <cell r="G2790" t="str">
            <v>D0Z-996</v>
          </cell>
          <cell r="H2790" t="str">
            <v>LAS BAMBAS</v>
          </cell>
          <cell r="I2790">
            <v>110827</v>
          </cell>
          <cell r="J2790" t="str">
            <v>REPUESTO</v>
          </cell>
          <cell r="K2790" t="str">
            <v>FOCO DOBLE CONTACTO DE 12 V</v>
          </cell>
          <cell r="L2790">
            <v>1</v>
          </cell>
          <cell r="M2790" t="str">
            <v>UNID.</v>
          </cell>
          <cell r="N2790" t="str">
            <v>TRACTO</v>
          </cell>
          <cell r="O2790">
            <v>71</v>
          </cell>
          <cell r="P2790" t="str">
            <v>E2</v>
          </cell>
          <cell r="Q2790" t="str">
            <v>J2</v>
          </cell>
          <cell r="R2790" t="str">
            <v>J6</v>
          </cell>
          <cell r="S2790" t="str">
            <v>ENTREGADO</v>
          </cell>
          <cell r="T2790">
            <v>0</v>
          </cell>
          <cell r="U2790" t="str">
            <v>YUCA BELLIDO BORIS YERSY</v>
          </cell>
          <cell r="V2790" t="str">
            <v>CORIHUAMAN SURCO  ERICK ROBERT</v>
          </cell>
        </row>
        <row r="2791">
          <cell r="A2791">
            <v>2820</v>
          </cell>
          <cell r="B2791">
            <v>42719</v>
          </cell>
          <cell r="C2791" t="str">
            <v>DICIEMBRE</v>
          </cell>
          <cell r="D2791" t="str">
            <v>2016</v>
          </cell>
          <cell r="E2791">
            <v>599</v>
          </cell>
          <cell r="F2791" t="str">
            <v>ABQ-705</v>
          </cell>
          <cell r="G2791" t="str">
            <v>D0Z-996</v>
          </cell>
          <cell r="H2791" t="str">
            <v>LAS BAMBAS</v>
          </cell>
          <cell r="I2791">
            <v>110827</v>
          </cell>
          <cell r="J2791" t="str">
            <v>REPUESTO</v>
          </cell>
          <cell r="K2791" t="str">
            <v>FOCO LAGRIMON AMBAR DE 12 V</v>
          </cell>
          <cell r="L2791">
            <v>1</v>
          </cell>
          <cell r="M2791" t="str">
            <v>UNID.</v>
          </cell>
          <cell r="N2791" t="str">
            <v>TRACTO</v>
          </cell>
          <cell r="O2791">
            <v>71</v>
          </cell>
          <cell r="P2791" t="str">
            <v>E2</v>
          </cell>
          <cell r="Q2791" t="str">
            <v>J2</v>
          </cell>
          <cell r="R2791" t="str">
            <v>J6</v>
          </cell>
          <cell r="S2791" t="str">
            <v>ENTREGADO</v>
          </cell>
          <cell r="T2791">
            <v>0</v>
          </cell>
          <cell r="U2791" t="str">
            <v>YUCA BELLIDO BORIS YERSY</v>
          </cell>
          <cell r="V2791" t="str">
            <v>CORIHUAMAN SURCO  ERICK ROBERT</v>
          </cell>
        </row>
        <row r="2792">
          <cell r="A2792">
            <v>2821</v>
          </cell>
          <cell r="B2792">
            <v>42719</v>
          </cell>
          <cell r="C2792" t="str">
            <v>DICIEMBRE</v>
          </cell>
          <cell r="D2792" t="str">
            <v>2016</v>
          </cell>
          <cell r="E2792">
            <v>599</v>
          </cell>
          <cell r="F2792" t="str">
            <v>ABQ-705</v>
          </cell>
          <cell r="G2792" t="str">
            <v>D0Z-996</v>
          </cell>
          <cell r="H2792" t="str">
            <v>LAS BAMBAS</v>
          </cell>
          <cell r="I2792">
            <v>110827</v>
          </cell>
          <cell r="J2792" t="str">
            <v>REPUESTO</v>
          </cell>
          <cell r="K2792" t="str">
            <v>FOCO DE UN CONTACTO DE 12 V</v>
          </cell>
          <cell r="L2792">
            <v>1</v>
          </cell>
          <cell r="M2792" t="str">
            <v>UNID.</v>
          </cell>
          <cell r="N2792" t="str">
            <v>TRACTO</v>
          </cell>
          <cell r="O2792">
            <v>71</v>
          </cell>
          <cell r="P2792" t="str">
            <v>E2</v>
          </cell>
          <cell r="Q2792" t="str">
            <v>J2</v>
          </cell>
          <cell r="R2792" t="str">
            <v>J6</v>
          </cell>
          <cell r="S2792" t="str">
            <v>ENTREGADO</v>
          </cell>
          <cell r="T2792">
            <v>0</v>
          </cell>
          <cell r="U2792" t="str">
            <v>YUCA BELLIDO BORIS YERSY</v>
          </cell>
          <cell r="V2792" t="str">
            <v>CORIHUAMAN SURCO  ERICK ROBERT</v>
          </cell>
        </row>
        <row r="2793">
          <cell r="A2793">
            <v>2777</v>
          </cell>
          <cell r="B2793">
            <v>42719</v>
          </cell>
          <cell r="C2793" t="str">
            <v>DICIEMBRE</v>
          </cell>
          <cell r="D2793" t="str">
            <v>2016</v>
          </cell>
          <cell r="E2793">
            <v>520</v>
          </cell>
          <cell r="F2793" t="str">
            <v>AEG-922</v>
          </cell>
          <cell r="G2793" t="str">
            <v>CAMIONETA</v>
          </cell>
          <cell r="H2793" t="str">
            <v>LAS BAMBAS</v>
          </cell>
          <cell r="I2793">
            <v>98089</v>
          </cell>
          <cell r="J2793" t="str">
            <v>REPUESTO</v>
          </cell>
          <cell r="K2793" t="str">
            <v>FILTRO DE AIRE</v>
          </cell>
          <cell r="L2793">
            <v>1</v>
          </cell>
          <cell r="M2793" t="str">
            <v>UNID.</v>
          </cell>
          <cell r="N2793" t="str">
            <v>CAMIONETA</v>
          </cell>
          <cell r="O2793">
            <v>71</v>
          </cell>
          <cell r="P2793" t="str">
            <v>J1</v>
          </cell>
          <cell r="Q2793" t="str">
            <v>J1</v>
          </cell>
          <cell r="R2793" t="str">
            <v>J5</v>
          </cell>
          <cell r="S2793" t="str">
            <v>ENTREGADO</v>
          </cell>
          <cell r="T2793">
            <v>0</v>
          </cell>
          <cell r="U2793" t="str">
            <v>FLOREZ CONDORI  JOSE WILLIANS</v>
          </cell>
          <cell r="V2793" t="str">
            <v>FLOREZ CONDORI  JOSE WILLIANS</v>
          </cell>
        </row>
        <row r="2794">
          <cell r="A2794">
            <v>2778</v>
          </cell>
          <cell r="B2794">
            <v>42719</v>
          </cell>
          <cell r="C2794" t="str">
            <v>DICIEMBRE</v>
          </cell>
          <cell r="D2794" t="str">
            <v>2016</v>
          </cell>
          <cell r="E2794">
            <v>520</v>
          </cell>
          <cell r="F2794" t="str">
            <v>AEG-922</v>
          </cell>
          <cell r="G2794" t="str">
            <v>CAMIONETA</v>
          </cell>
          <cell r="H2794" t="str">
            <v>LAS BAMBAS</v>
          </cell>
          <cell r="I2794">
            <v>98089</v>
          </cell>
          <cell r="J2794" t="str">
            <v>REPUESTO</v>
          </cell>
          <cell r="K2794" t="str">
            <v>FILTRO DE COMBUSTIBLE</v>
          </cell>
          <cell r="L2794">
            <v>1</v>
          </cell>
          <cell r="M2794" t="str">
            <v>UNID.</v>
          </cell>
          <cell r="N2794" t="str">
            <v>CAMIONETA</v>
          </cell>
          <cell r="O2794">
            <v>71</v>
          </cell>
          <cell r="P2794" t="str">
            <v>J1</v>
          </cell>
          <cell r="Q2794" t="str">
            <v>J1</v>
          </cell>
          <cell r="R2794" t="str">
            <v>J5</v>
          </cell>
          <cell r="S2794" t="str">
            <v>ENTREGADO</v>
          </cell>
          <cell r="T2794">
            <v>0</v>
          </cell>
          <cell r="U2794" t="str">
            <v>FLOREZ CONDORI  JOSE WILLIANS</v>
          </cell>
          <cell r="V2794" t="str">
            <v>FLOREZ CONDORI  JOSE WILLIANS</v>
          </cell>
        </row>
        <row r="2795">
          <cell r="A2795">
            <v>2779</v>
          </cell>
          <cell r="B2795">
            <v>42719</v>
          </cell>
          <cell r="C2795" t="str">
            <v>DICIEMBRE</v>
          </cell>
          <cell r="D2795" t="str">
            <v>2016</v>
          </cell>
          <cell r="E2795">
            <v>520</v>
          </cell>
          <cell r="F2795" t="str">
            <v>AEG-922</v>
          </cell>
          <cell r="G2795" t="str">
            <v>CAMIONETA</v>
          </cell>
          <cell r="H2795" t="str">
            <v>LAS BAMBAS</v>
          </cell>
          <cell r="I2795">
            <v>98089</v>
          </cell>
          <cell r="J2795" t="str">
            <v>REPUESTO</v>
          </cell>
          <cell r="K2795" t="str">
            <v>FILTRO DE ACEITE</v>
          </cell>
          <cell r="L2795">
            <v>1</v>
          </cell>
          <cell r="M2795" t="str">
            <v>UNID.</v>
          </cell>
          <cell r="N2795" t="str">
            <v>CAMIONETA</v>
          </cell>
          <cell r="O2795">
            <v>71</v>
          </cell>
          <cell r="P2795" t="str">
            <v>J1</v>
          </cell>
          <cell r="Q2795" t="str">
            <v>J1</v>
          </cell>
          <cell r="R2795" t="str">
            <v>J5</v>
          </cell>
          <cell r="S2795" t="str">
            <v>ENTREGADO</v>
          </cell>
          <cell r="T2795">
            <v>0</v>
          </cell>
          <cell r="U2795" t="str">
            <v>FLOREZ CONDORI  JOSE WILLIANS</v>
          </cell>
          <cell r="V2795" t="str">
            <v>FLOREZ CONDORI  JOSE WILLIANS</v>
          </cell>
        </row>
        <row r="2796">
          <cell r="A2796">
            <v>2780</v>
          </cell>
          <cell r="B2796">
            <v>42719</v>
          </cell>
          <cell r="C2796" t="str">
            <v>DICIEMBRE</v>
          </cell>
          <cell r="D2796" t="str">
            <v>2016</v>
          </cell>
          <cell r="E2796">
            <v>520</v>
          </cell>
          <cell r="F2796" t="str">
            <v>AEG-922</v>
          </cell>
          <cell r="G2796" t="str">
            <v>CAMIONETA</v>
          </cell>
          <cell r="H2796" t="str">
            <v>LAS BAMBAS</v>
          </cell>
          <cell r="I2796">
            <v>98089</v>
          </cell>
          <cell r="J2796" t="str">
            <v>REPUESTO</v>
          </cell>
          <cell r="K2796" t="str">
            <v>ACEITE MOTOR 15W-40</v>
          </cell>
          <cell r="L2796">
            <v>2</v>
          </cell>
          <cell r="M2796" t="str">
            <v>GLNS.</v>
          </cell>
          <cell r="N2796" t="str">
            <v>CAMIONETA</v>
          </cell>
          <cell r="O2796">
            <v>71</v>
          </cell>
          <cell r="P2796" t="str">
            <v>J1</v>
          </cell>
          <cell r="Q2796" t="str">
            <v>J1</v>
          </cell>
          <cell r="R2796" t="str">
            <v>J5</v>
          </cell>
          <cell r="S2796" t="str">
            <v>ENTREGADO</v>
          </cell>
          <cell r="T2796">
            <v>0</v>
          </cell>
          <cell r="U2796" t="str">
            <v>FLOREZ CONDORI  JOSE WILLIANS</v>
          </cell>
          <cell r="V2796" t="str">
            <v>FLOREZ CONDORI  JOSE WILLIANS</v>
          </cell>
        </row>
        <row r="2797">
          <cell r="A2797">
            <v>2749</v>
          </cell>
          <cell r="B2797">
            <v>42719</v>
          </cell>
          <cell r="C2797" t="str">
            <v>DICIEMBRE</v>
          </cell>
          <cell r="D2797" t="str">
            <v>2016</v>
          </cell>
          <cell r="E2797">
            <v>584</v>
          </cell>
          <cell r="F2797" t="str">
            <v>AEH-888</v>
          </cell>
          <cell r="G2797" t="str">
            <v>CAMIONETA</v>
          </cell>
          <cell r="H2797" t="str">
            <v>LAS BAMBAS</v>
          </cell>
          <cell r="I2797">
            <v>93897</v>
          </cell>
          <cell r="J2797" t="str">
            <v>REPUESTO</v>
          </cell>
          <cell r="K2797" t="str">
            <v>FAROS NEBLINEROS AMBAR</v>
          </cell>
          <cell r="L2797">
            <v>2</v>
          </cell>
          <cell r="M2797" t="str">
            <v>UNID.</v>
          </cell>
          <cell r="N2797" t="str">
            <v>CAMIONETA</v>
          </cell>
          <cell r="O2797">
            <v>71</v>
          </cell>
          <cell r="P2797" t="str">
            <v>E1</v>
          </cell>
          <cell r="Q2797" t="str">
            <v>J2</v>
          </cell>
          <cell r="R2797" t="str">
            <v>J6</v>
          </cell>
          <cell r="S2797" t="str">
            <v>PENDIENTE</v>
          </cell>
          <cell r="T2797">
            <v>0</v>
          </cell>
          <cell r="U2797" t="str">
            <v>PALOMINO CARDENAS JUAN CARLOS</v>
          </cell>
          <cell r="V2797" t="str">
            <v>CORIHUAMAN SURCO  ERICK ROBERT</v>
          </cell>
        </row>
        <row r="2798">
          <cell r="A2798">
            <v>2828</v>
          </cell>
          <cell r="B2798">
            <v>42719</v>
          </cell>
          <cell r="C2798" t="str">
            <v>DICIEMBRE</v>
          </cell>
          <cell r="D2798" t="str">
            <v>2016</v>
          </cell>
          <cell r="E2798">
            <v>601</v>
          </cell>
          <cell r="F2798" t="str">
            <v>AKW-731</v>
          </cell>
          <cell r="G2798" t="str">
            <v>TCR-989</v>
          </cell>
          <cell r="H2798" t="str">
            <v>LAS BAMBAS CONC.</v>
          </cell>
          <cell r="I2798">
            <v>25998</v>
          </cell>
          <cell r="J2798" t="str">
            <v>REPUESTO</v>
          </cell>
          <cell r="K2798" t="str">
            <v>PARCHE RACK 12</v>
          </cell>
          <cell r="L2798">
            <v>1</v>
          </cell>
          <cell r="M2798" t="str">
            <v>UNID.</v>
          </cell>
          <cell r="N2798" t="str">
            <v>TRACTO</v>
          </cell>
          <cell r="O2798">
            <v>71</v>
          </cell>
          <cell r="P2798" t="str">
            <v>N1</v>
          </cell>
          <cell r="Q2798" t="str">
            <v>J2</v>
          </cell>
          <cell r="R2798" t="str">
            <v>J6</v>
          </cell>
          <cell r="S2798" t="str">
            <v>ENTREGADO</v>
          </cell>
          <cell r="T2798">
            <v>0</v>
          </cell>
          <cell r="U2798" t="str">
            <v>AGUILAR CCANTUTA WILLY</v>
          </cell>
          <cell r="V2798" t="str">
            <v>CORIHUAMAN SURCO  ERICK ROBERT</v>
          </cell>
        </row>
        <row r="2799">
          <cell r="A2799">
            <v>2793</v>
          </cell>
          <cell r="B2799">
            <v>42719</v>
          </cell>
          <cell r="C2799" t="str">
            <v>DICIEMBRE</v>
          </cell>
          <cell r="D2799" t="str">
            <v>2016</v>
          </cell>
          <cell r="E2799">
            <v>596</v>
          </cell>
          <cell r="F2799" t="str">
            <v>AMT-866</v>
          </cell>
          <cell r="G2799" t="str">
            <v>CAMIONETA</v>
          </cell>
          <cell r="H2799" t="str">
            <v>LAS BAMBAS</v>
          </cell>
          <cell r="I2799">
            <v>35629</v>
          </cell>
          <cell r="J2799" t="str">
            <v>REPUESTO</v>
          </cell>
          <cell r="K2799" t="str">
            <v xml:space="preserve">LLANTA MT </v>
          </cell>
          <cell r="L2799">
            <v>1</v>
          </cell>
          <cell r="M2799" t="str">
            <v>UNID.</v>
          </cell>
          <cell r="N2799" t="str">
            <v>CAMIONETA</v>
          </cell>
          <cell r="O2799">
            <v>71</v>
          </cell>
          <cell r="P2799" t="str">
            <v>J1</v>
          </cell>
          <cell r="Q2799" t="str">
            <v>J1</v>
          </cell>
          <cell r="R2799" t="str">
            <v>J5</v>
          </cell>
          <cell r="S2799" t="str">
            <v>ENTREGADO</v>
          </cell>
          <cell r="T2799">
            <v>0</v>
          </cell>
          <cell r="U2799" t="str">
            <v>FLOREZ CONDORI  JOSE WILLIANS</v>
          </cell>
          <cell r="V2799" t="str">
            <v>FLOREZ CONDORI  JOSE WILLIANS</v>
          </cell>
        </row>
        <row r="2800">
          <cell r="A2800">
            <v>2788</v>
          </cell>
          <cell r="B2800">
            <v>42719</v>
          </cell>
          <cell r="C2800" t="str">
            <v>DICIEMBRE</v>
          </cell>
          <cell r="D2800" t="str">
            <v>2016</v>
          </cell>
          <cell r="E2800">
            <v>596</v>
          </cell>
          <cell r="F2800" t="str">
            <v>AMT-866</v>
          </cell>
          <cell r="G2800" t="str">
            <v>CAMIONETA</v>
          </cell>
          <cell r="H2800" t="str">
            <v>LAS BAMBAS</v>
          </cell>
          <cell r="I2800">
            <v>35629</v>
          </cell>
          <cell r="J2800" t="str">
            <v>REPUESTO</v>
          </cell>
          <cell r="K2800" t="str">
            <v>FILTRO DE AIRE</v>
          </cell>
          <cell r="L2800">
            <v>1</v>
          </cell>
          <cell r="M2800" t="str">
            <v>UNID.</v>
          </cell>
          <cell r="N2800" t="str">
            <v>CAMIONETA</v>
          </cell>
          <cell r="O2800">
            <v>71</v>
          </cell>
          <cell r="P2800" t="str">
            <v>J1</v>
          </cell>
          <cell r="Q2800" t="str">
            <v>J1</v>
          </cell>
          <cell r="R2800" t="str">
            <v>J5</v>
          </cell>
          <cell r="S2800" t="str">
            <v>ENTREGADO</v>
          </cell>
          <cell r="T2800">
            <v>0</v>
          </cell>
          <cell r="U2800" t="str">
            <v>FLOREZ CONDORI  JOSE WILLIANS</v>
          </cell>
          <cell r="V2800" t="str">
            <v>FLOREZ CONDORI  JOSE WILLIANS</v>
          </cell>
        </row>
        <row r="2801">
          <cell r="A2801">
            <v>2789</v>
          </cell>
          <cell r="B2801">
            <v>42719</v>
          </cell>
          <cell r="C2801" t="str">
            <v>DICIEMBRE</v>
          </cell>
          <cell r="D2801" t="str">
            <v>2016</v>
          </cell>
          <cell r="E2801">
            <v>596</v>
          </cell>
          <cell r="F2801" t="str">
            <v>AMT-866</v>
          </cell>
          <cell r="G2801" t="str">
            <v>CAMIONETA</v>
          </cell>
          <cell r="H2801" t="str">
            <v>LAS BAMBAS</v>
          </cell>
          <cell r="I2801">
            <v>35629</v>
          </cell>
          <cell r="J2801" t="str">
            <v>REPUESTO</v>
          </cell>
          <cell r="K2801" t="str">
            <v>FILTRO DE COMBUSTIBLE</v>
          </cell>
          <cell r="L2801">
            <v>1</v>
          </cell>
          <cell r="M2801" t="str">
            <v>UNID.</v>
          </cell>
          <cell r="N2801" t="str">
            <v>CAMIONETA</v>
          </cell>
          <cell r="O2801">
            <v>71</v>
          </cell>
          <cell r="P2801" t="str">
            <v>J1</v>
          </cell>
          <cell r="Q2801" t="str">
            <v>J1</v>
          </cell>
          <cell r="R2801" t="str">
            <v>J5</v>
          </cell>
          <cell r="S2801" t="str">
            <v>ENTREGADO</v>
          </cell>
          <cell r="T2801">
            <v>0</v>
          </cell>
          <cell r="U2801" t="str">
            <v>FLOREZ CONDORI  JOSE WILLIANS</v>
          </cell>
          <cell r="V2801" t="str">
            <v>FLOREZ CONDORI  JOSE WILLIANS</v>
          </cell>
        </row>
        <row r="2802">
          <cell r="A2802">
            <v>2790</v>
          </cell>
          <cell r="B2802">
            <v>42719</v>
          </cell>
          <cell r="C2802" t="str">
            <v>DICIEMBRE</v>
          </cell>
          <cell r="D2802" t="str">
            <v>2016</v>
          </cell>
          <cell r="E2802">
            <v>596</v>
          </cell>
          <cell r="F2802" t="str">
            <v>AMT-866</v>
          </cell>
          <cell r="G2802" t="str">
            <v>CAMIONETA</v>
          </cell>
          <cell r="H2802" t="str">
            <v>LAS BAMBAS</v>
          </cell>
          <cell r="I2802">
            <v>35629</v>
          </cell>
          <cell r="J2802" t="str">
            <v>REPUESTO</v>
          </cell>
          <cell r="K2802" t="str">
            <v>FILTRO DE ACEITE</v>
          </cell>
          <cell r="L2802">
            <v>1</v>
          </cell>
          <cell r="M2802" t="str">
            <v>UNID.</v>
          </cell>
          <cell r="N2802" t="str">
            <v>CAMIONETA</v>
          </cell>
          <cell r="O2802">
            <v>71</v>
          </cell>
          <cell r="P2802" t="str">
            <v>J1</v>
          </cell>
          <cell r="Q2802" t="str">
            <v>J1</v>
          </cell>
          <cell r="R2802" t="str">
            <v>J5</v>
          </cell>
          <cell r="S2802" t="str">
            <v>ENTREGADO</v>
          </cell>
          <cell r="T2802">
            <v>0</v>
          </cell>
          <cell r="U2802" t="str">
            <v>FLOREZ CONDORI  JOSE WILLIANS</v>
          </cell>
          <cell r="V2802" t="str">
            <v>FLOREZ CONDORI  JOSE WILLIANS</v>
          </cell>
        </row>
        <row r="2803">
          <cell r="A2803">
            <v>2791</v>
          </cell>
          <cell r="B2803">
            <v>42719</v>
          </cell>
          <cell r="C2803" t="str">
            <v>DICIEMBRE</v>
          </cell>
          <cell r="D2803" t="str">
            <v>2016</v>
          </cell>
          <cell r="E2803">
            <v>596</v>
          </cell>
          <cell r="F2803" t="str">
            <v>AMT-866</v>
          </cell>
          <cell r="G2803" t="str">
            <v>CAMIONETA</v>
          </cell>
          <cell r="H2803" t="str">
            <v>LAS BAMBAS</v>
          </cell>
          <cell r="I2803">
            <v>35629</v>
          </cell>
          <cell r="J2803" t="str">
            <v>REPUESTO</v>
          </cell>
          <cell r="K2803" t="str">
            <v>ACEITE MOTOR 15W-40</v>
          </cell>
          <cell r="L2803">
            <v>2</v>
          </cell>
          <cell r="M2803" t="str">
            <v>GLNS.</v>
          </cell>
          <cell r="N2803" t="str">
            <v>CAMIONETA</v>
          </cell>
          <cell r="O2803">
            <v>71</v>
          </cell>
          <cell r="P2803" t="str">
            <v>J1</v>
          </cell>
          <cell r="Q2803" t="str">
            <v>J1</v>
          </cell>
          <cell r="R2803" t="str">
            <v>J5</v>
          </cell>
          <cell r="S2803" t="str">
            <v>ENTREGADO</v>
          </cell>
          <cell r="T2803">
            <v>0</v>
          </cell>
          <cell r="U2803" t="str">
            <v>FLOREZ CONDORI  JOSE WILLIANS</v>
          </cell>
          <cell r="V2803" t="str">
            <v>FLOREZ CONDORI  JOSE WILLIANS</v>
          </cell>
        </row>
        <row r="2804">
          <cell r="A2804">
            <v>2792</v>
          </cell>
          <cell r="B2804">
            <v>42719</v>
          </cell>
          <cell r="C2804" t="str">
            <v>DICIEMBRE</v>
          </cell>
          <cell r="D2804" t="str">
            <v>2016</v>
          </cell>
          <cell r="E2804">
            <v>596</v>
          </cell>
          <cell r="F2804" t="str">
            <v>AMT-866</v>
          </cell>
          <cell r="G2804" t="str">
            <v>CAMIONETA</v>
          </cell>
          <cell r="H2804" t="str">
            <v>LAS BAMBAS</v>
          </cell>
          <cell r="I2804">
            <v>35629</v>
          </cell>
          <cell r="J2804" t="str">
            <v>REPUESTO</v>
          </cell>
          <cell r="K2804" t="str">
            <v>ARO N°17</v>
          </cell>
          <cell r="L2804">
            <v>1</v>
          </cell>
          <cell r="M2804" t="str">
            <v>UNID.</v>
          </cell>
          <cell r="N2804" t="str">
            <v>CAMIONETA</v>
          </cell>
          <cell r="O2804">
            <v>71</v>
          </cell>
          <cell r="P2804" t="str">
            <v>J1</v>
          </cell>
          <cell r="Q2804" t="str">
            <v>J1</v>
          </cell>
          <cell r="R2804" t="str">
            <v>J5</v>
          </cell>
          <cell r="S2804" t="str">
            <v>ENTREGADO</v>
          </cell>
          <cell r="T2804">
            <v>0</v>
          </cell>
          <cell r="U2804" t="str">
            <v>FLOREZ CONDORI  JOSE WILLIANS</v>
          </cell>
          <cell r="V2804" t="str">
            <v>FLOREZ CONDORI  JOSE WILLIANS</v>
          </cell>
        </row>
        <row r="2805">
          <cell r="A2805">
            <v>2855</v>
          </cell>
          <cell r="B2805">
            <v>42719</v>
          </cell>
          <cell r="C2805" t="str">
            <v>DICIEMBRE</v>
          </cell>
          <cell r="D2805" t="str">
            <v>2016</v>
          </cell>
          <cell r="E2805">
            <v>594</v>
          </cell>
          <cell r="F2805" t="str">
            <v>B2M-948</v>
          </cell>
          <cell r="G2805" t="str">
            <v>CAMION</v>
          </cell>
          <cell r="H2805" t="str">
            <v>TAMBOMAYO</v>
          </cell>
          <cell r="I2805">
            <v>114956</v>
          </cell>
          <cell r="J2805" t="str">
            <v>REPUESTO</v>
          </cell>
          <cell r="K2805" t="str">
            <v>FARO PITA</v>
          </cell>
          <cell r="L2805">
            <v>1</v>
          </cell>
          <cell r="M2805" t="str">
            <v>UNID.</v>
          </cell>
          <cell r="N2805" t="str">
            <v>CAMION</v>
          </cell>
          <cell r="O2805">
            <v>71</v>
          </cell>
          <cell r="P2805" t="str">
            <v>E2</v>
          </cell>
          <cell r="Q2805" t="str">
            <v>J2</v>
          </cell>
          <cell r="R2805" t="str">
            <v>J2</v>
          </cell>
          <cell r="S2805" t="str">
            <v>ENTREGADO</v>
          </cell>
          <cell r="T2805">
            <v>0</v>
          </cell>
          <cell r="U2805" t="str">
            <v>YUCA BELLIDO BORIS YERSY</v>
          </cell>
          <cell r="V2805" t="str">
            <v>CORIHUAMAN SURCO  ERICK ROBERT</v>
          </cell>
        </row>
        <row r="2806">
          <cell r="A2806">
            <v>2856</v>
          </cell>
          <cell r="B2806">
            <v>42719</v>
          </cell>
          <cell r="C2806" t="str">
            <v>DICIEMBRE</v>
          </cell>
          <cell r="D2806" t="str">
            <v>2016</v>
          </cell>
          <cell r="E2806">
            <v>594</v>
          </cell>
          <cell r="F2806" t="str">
            <v>B2M-948</v>
          </cell>
          <cell r="G2806" t="str">
            <v>CAMION</v>
          </cell>
          <cell r="H2806" t="str">
            <v>TAMBOMAYO</v>
          </cell>
          <cell r="I2806">
            <v>114956</v>
          </cell>
          <cell r="J2806" t="str">
            <v>REPUESTO</v>
          </cell>
          <cell r="K2806" t="str">
            <v>FOCOS H3 24V</v>
          </cell>
          <cell r="L2806">
            <v>2</v>
          </cell>
          <cell r="M2806" t="str">
            <v>UNID.</v>
          </cell>
          <cell r="N2806" t="str">
            <v>CAMION</v>
          </cell>
          <cell r="O2806">
            <v>71</v>
          </cell>
          <cell r="P2806" t="str">
            <v>E2</v>
          </cell>
          <cell r="Q2806" t="str">
            <v>J2</v>
          </cell>
          <cell r="R2806" t="str">
            <v>J2</v>
          </cell>
          <cell r="S2806" t="str">
            <v>PENDIENTE</v>
          </cell>
          <cell r="T2806">
            <v>0</v>
          </cell>
          <cell r="U2806" t="str">
            <v>YUCA BELLIDO BORIS YERSY</v>
          </cell>
          <cell r="V2806" t="str">
            <v>CORIHUAMAN SURCO  ERICK ROBERT</v>
          </cell>
        </row>
        <row r="2807">
          <cell r="A2807">
            <v>2858</v>
          </cell>
          <cell r="B2807">
            <v>42719</v>
          </cell>
          <cell r="C2807" t="str">
            <v>DICIEMBRE</v>
          </cell>
          <cell r="D2807" t="str">
            <v>2016</v>
          </cell>
          <cell r="E2807">
            <v>594</v>
          </cell>
          <cell r="F2807" t="str">
            <v>B2M-948</v>
          </cell>
          <cell r="G2807" t="str">
            <v>CAMION</v>
          </cell>
          <cell r="H2807" t="str">
            <v>TAMBOMAYO</v>
          </cell>
          <cell r="I2807">
            <v>114956</v>
          </cell>
          <cell r="J2807" t="str">
            <v>REPUESTO</v>
          </cell>
          <cell r="K2807" t="str">
            <v>CINTA TEFLON</v>
          </cell>
          <cell r="L2807">
            <v>1</v>
          </cell>
          <cell r="M2807" t="str">
            <v>UNID.</v>
          </cell>
          <cell r="N2807" t="str">
            <v>CAMION</v>
          </cell>
          <cell r="O2807">
            <v>71</v>
          </cell>
          <cell r="P2807" t="str">
            <v>M3</v>
          </cell>
          <cell r="Q2807" t="str">
            <v>J2</v>
          </cell>
          <cell r="R2807" t="str">
            <v>J2</v>
          </cell>
          <cell r="S2807" t="str">
            <v>ENTREGADO</v>
          </cell>
          <cell r="T2807">
            <v>0</v>
          </cell>
          <cell r="U2807" t="str">
            <v>GARCIA PASQUEL  JOSE LUIS</v>
          </cell>
          <cell r="V2807" t="str">
            <v>CORIHUAMAN SURCO  ERICK ROBERT</v>
          </cell>
        </row>
        <row r="2808">
          <cell r="A2808">
            <v>2852</v>
          </cell>
          <cell r="B2808">
            <v>42719</v>
          </cell>
          <cell r="C2808" t="str">
            <v>DICIEMBRE</v>
          </cell>
          <cell r="D2808" t="str">
            <v>2016</v>
          </cell>
          <cell r="E2808">
            <v>530</v>
          </cell>
          <cell r="F2808" t="str">
            <v>C5R-892</v>
          </cell>
          <cell r="G2808" t="str">
            <v>A0T-983</v>
          </cell>
          <cell r="H2808" t="str">
            <v>LAS BAMBAS</v>
          </cell>
          <cell r="I2808">
            <v>226743</v>
          </cell>
          <cell r="J2808" t="str">
            <v>REPUESTO</v>
          </cell>
          <cell r="K2808" t="str">
            <v>LLANTAS REENCAUCHADAS TZY2</v>
          </cell>
          <cell r="L2808">
            <v>8</v>
          </cell>
          <cell r="M2808" t="str">
            <v>UNID.</v>
          </cell>
          <cell r="N2808" t="str">
            <v>CISTERNA</v>
          </cell>
          <cell r="O2808">
            <v>71</v>
          </cell>
          <cell r="P2808" t="str">
            <v>N1</v>
          </cell>
          <cell r="Q2808" t="str">
            <v>J1</v>
          </cell>
          <cell r="R2808" t="str">
            <v>J5</v>
          </cell>
          <cell r="S2808" t="str">
            <v>ENTREGADO</v>
          </cell>
          <cell r="T2808">
            <v>0</v>
          </cell>
          <cell r="U2808" t="str">
            <v>AGUILAR CCANTUTA WILLY</v>
          </cell>
          <cell r="V2808" t="str">
            <v>FLOREZ CONDORI  JOSE WILLIANS</v>
          </cell>
        </row>
        <row r="2809">
          <cell r="A2809">
            <v>2853</v>
          </cell>
          <cell r="B2809">
            <v>42719</v>
          </cell>
          <cell r="C2809" t="str">
            <v>DICIEMBRE</v>
          </cell>
          <cell r="D2809" t="str">
            <v>2016</v>
          </cell>
          <cell r="E2809">
            <v>530</v>
          </cell>
          <cell r="F2809" t="str">
            <v>C5R-892</v>
          </cell>
          <cell r="G2809" t="str">
            <v>A0T-983</v>
          </cell>
          <cell r="H2809" t="str">
            <v>LAS BAMBAS</v>
          </cell>
          <cell r="I2809">
            <v>226743</v>
          </cell>
          <cell r="J2809" t="str">
            <v>REPUESTO</v>
          </cell>
          <cell r="K2809" t="str">
            <v>PARCHE RACK 12</v>
          </cell>
          <cell r="L2809">
            <v>1</v>
          </cell>
          <cell r="M2809" t="str">
            <v>UNID.</v>
          </cell>
          <cell r="N2809" t="str">
            <v>CISTERNA</v>
          </cell>
          <cell r="O2809">
            <v>71</v>
          </cell>
          <cell r="P2809" t="str">
            <v>N1</v>
          </cell>
          <cell r="Q2809" t="str">
            <v>J1</v>
          </cell>
          <cell r="R2809" t="str">
            <v>J5</v>
          </cell>
          <cell r="S2809" t="str">
            <v>ENTREGADO</v>
          </cell>
          <cell r="T2809">
            <v>0</v>
          </cell>
          <cell r="U2809" t="str">
            <v>AGUILAR CCANTUTA WILLY</v>
          </cell>
          <cell r="V2809" t="str">
            <v>FLOREZ CONDORI  JOSE WILLIANS</v>
          </cell>
        </row>
        <row r="2810">
          <cell r="A2810">
            <v>2854</v>
          </cell>
          <cell r="B2810">
            <v>42719</v>
          </cell>
          <cell r="C2810" t="str">
            <v>DICIEMBRE</v>
          </cell>
          <cell r="D2810" t="str">
            <v>2016</v>
          </cell>
          <cell r="E2810">
            <v>530</v>
          </cell>
          <cell r="F2810" t="str">
            <v>C5R-892</v>
          </cell>
          <cell r="G2810" t="str">
            <v>A0T-983</v>
          </cell>
          <cell r="H2810" t="str">
            <v>LAS BAMBAS</v>
          </cell>
          <cell r="I2810">
            <v>226743</v>
          </cell>
          <cell r="J2810" t="str">
            <v>REPUESTO</v>
          </cell>
          <cell r="K2810" t="str">
            <v>PARCHE RACK 10</v>
          </cell>
          <cell r="L2810">
            <v>1</v>
          </cell>
          <cell r="M2810" t="str">
            <v>UNID.</v>
          </cell>
          <cell r="N2810" t="str">
            <v>CISTERNA</v>
          </cell>
          <cell r="O2810">
            <v>71</v>
          </cell>
          <cell r="P2810" t="str">
            <v>N1</v>
          </cell>
          <cell r="Q2810" t="str">
            <v>J1</v>
          </cell>
          <cell r="R2810" t="str">
            <v>J5</v>
          </cell>
          <cell r="S2810" t="str">
            <v>ENTREGADO</v>
          </cell>
          <cell r="T2810">
            <v>0</v>
          </cell>
          <cell r="U2810" t="str">
            <v>AGUILAR CCANTUTA WILLY</v>
          </cell>
          <cell r="V2810" t="str">
            <v>FLOREZ CONDORI  JOSE WILLIANS</v>
          </cell>
        </row>
        <row r="2811">
          <cell r="A2811">
            <v>2859</v>
          </cell>
          <cell r="B2811">
            <v>42719</v>
          </cell>
          <cell r="C2811" t="str">
            <v>DICIEMBRE</v>
          </cell>
          <cell r="D2811" t="str">
            <v>2016</v>
          </cell>
          <cell r="E2811">
            <v>530</v>
          </cell>
          <cell r="F2811" t="str">
            <v>C5R-892</v>
          </cell>
          <cell r="G2811" t="str">
            <v>A0T-983</v>
          </cell>
          <cell r="H2811" t="str">
            <v>LAS BAMBAS</v>
          </cell>
          <cell r="I2811">
            <v>226743</v>
          </cell>
          <cell r="J2811" t="str">
            <v>REPUESTO</v>
          </cell>
          <cell r="K2811" t="str">
            <v>CAÑERIA PARA EL AIRE ACONDICIONADO</v>
          </cell>
          <cell r="L2811">
            <v>1</v>
          </cell>
          <cell r="M2811" t="str">
            <v>UNID.</v>
          </cell>
          <cell r="N2811" t="str">
            <v>TRACTO</v>
          </cell>
          <cell r="O2811">
            <v>71</v>
          </cell>
          <cell r="P2811" t="str">
            <v>M8</v>
          </cell>
          <cell r="Q2811" t="str">
            <v>J2</v>
          </cell>
          <cell r="R2811" t="str">
            <v>J2</v>
          </cell>
          <cell r="S2811" t="str">
            <v>PENDIENTE</v>
          </cell>
          <cell r="T2811">
            <v>0</v>
          </cell>
          <cell r="U2811" t="str">
            <v>VARILLAS GAGO  OSCAR ALBERTO</v>
          </cell>
          <cell r="V2811" t="str">
            <v>CORIHUAMAN SURCO  ERICK ROBERT</v>
          </cell>
        </row>
        <row r="2812">
          <cell r="A2812">
            <v>2860</v>
          </cell>
          <cell r="B2812">
            <v>42719</v>
          </cell>
          <cell r="C2812" t="str">
            <v>DICIEMBRE</v>
          </cell>
          <cell r="D2812" t="str">
            <v>2016</v>
          </cell>
          <cell r="E2812">
            <v>530</v>
          </cell>
          <cell r="F2812" t="str">
            <v>C5R-892</v>
          </cell>
          <cell r="G2812" t="str">
            <v>A0T-983</v>
          </cell>
          <cell r="H2812" t="str">
            <v>LAS BAMBAS</v>
          </cell>
          <cell r="I2812">
            <v>226743</v>
          </cell>
          <cell r="J2812" t="str">
            <v>SERVICIO</v>
          </cell>
          <cell r="K2812" t="str">
            <v>TAPIZAR ACIENTO</v>
          </cell>
          <cell r="L2812">
            <v>1</v>
          </cell>
          <cell r="M2812" t="str">
            <v>UNID.</v>
          </cell>
          <cell r="N2812" t="str">
            <v>TRACTO</v>
          </cell>
          <cell r="O2812">
            <v>71</v>
          </cell>
          <cell r="P2812" t="str">
            <v>M8</v>
          </cell>
          <cell r="Q2812" t="str">
            <v>J2</v>
          </cell>
          <cell r="R2812" t="str">
            <v>J2</v>
          </cell>
          <cell r="S2812" t="str">
            <v>ENTREGADO</v>
          </cell>
          <cell r="T2812">
            <v>0</v>
          </cell>
          <cell r="U2812" t="str">
            <v>VARILLAS GAGO  OSCAR ALBERTO</v>
          </cell>
          <cell r="V2812" t="str">
            <v>CORIHUAMAN SURCO  ERICK ROBERT</v>
          </cell>
        </row>
        <row r="2813">
          <cell r="A2813">
            <v>2758</v>
          </cell>
          <cell r="B2813">
            <v>42719</v>
          </cell>
          <cell r="C2813" t="str">
            <v>DICIEMBRE</v>
          </cell>
          <cell r="D2813" t="str">
            <v>2016</v>
          </cell>
          <cell r="E2813">
            <v>585</v>
          </cell>
          <cell r="F2813" t="str">
            <v>C5R-896</v>
          </cell>
          <cell r="G2813" t="str">
            <v>A0U-977</v>
          </cell>
          <cell r="H2813" t="str">
            <v>LAS BAMBAS</v>
          </cell>
          <cell r="I2813">
            <v>212663</v>
          </cell>
          <cell r="J2813" t="str">
            <v>REPUESTO</v>
          </cell>
          <cell r="K2813" t="str">
            <v>PERNO 1/4 X 1 1/2</v>
          </cell>
          <cell r="L2813">
            <v>10</v>
          </cell>
          <cell r="M2813" t="str">
            <v>UNID.</v>
          </cell>
          <cell r="N2813" t="str">
            <v>CISTERNA</v>
          </cell>
          <cell r="O2813">
            <v>71</v>
          </cell>
          <cell r="P2813" t="str">
            <v>S4</v>
          </cell>
          <cell r="Q2813" t="str">
            <v>J2</v>
          </cell>
          <cell r="R2813" t="str">
            <v>J6</v>
          </cell>
          <cell r="S2813" t="str">
            <v>ENTREGADO</v>
          </cell>
          <cell r="T2813">
            <v>0</v>
          </cell>
          <cell r="U2813" t="str">
            <v>SURCO QUISPE JOHNNY</v>
          </cell>
          <cell r="V2813" t="str">
            <v>CORIHUAMAN SURCO  ERICK ROBERT</v>
          </cell>
        </row>
        <row r="2814">
          <cell r="A2814">
            <v>2759</v>
          </cell>
          <cell r="B2814">
            <v>42719</v>
          </cell>
          <cell r="C2814" t="str">
            <v>DICIEMBRE</v>
          </cell>
          <cell r="D2814" t="str">
            <v>2016</v>
          </cell>
          <cell r="E2814">
            <v>585</v>
          </cell>
          <cell r="F2814" t="str">
            <v>C5R-896</v>
          </cell>
          <cell r="G2814" t="str">
            <v>A0U-977</v>
          </cell>
          <cell r="H2814" t="str">
            <v>LAS BAMBAS</v>
          </cell>
          <cell r="I2814">
            <v>212663</v>
          </cell>
          <cell r="J2814" t="str">
            <v>REPUESTO</v>
          </cell>
          <cell r="K2814" t="str">
            <v>PERNO 1/4</v>
          </cell>
          <cell r="L2814">
            <v>10</v>
          </cell>
          <cell r="M2814" t="str">
            <v>UNID.</v>
          </cell>
          <cell r="N2814" t="str">
            <v>CISTERNA</v>
          </cell>
          <cell r="O2814">
            <v>71</v>
          </cell>
          <cell r="P2814" t="str">
            <v>S4</v>
          </cell>
          <cell r="Q2814" t="str">
            <v>J2</v>
          </cell>
          <cell r="R2814" t="str">
            <v>J6</v>
          </cell>
          <cell r="S2814" t="str">
            <v>ENTREGADO</v>
          </cell>
          <cell r="T2814">
            <v>0</v>
          </cell>
          <cell r="U2814" t="str">
            <v>SURCO QUISPE JOHNNY</v>
          </cell>
          <cell r="V2814" t="str">
            <v>CORIHUAMAN SURCO  ERICK ROBERT</v>
          </cell>
        </row>
        <row r="2815">
          <cell r="A2815">
            <v>2760</v>
          </cell>
          <cell r="B2815">
            <v>42719</v>
          </cell>
          <cell r="C2815" t="str">
            <v>DICIEMBRE</v>
          </cell>
          <cell r="D2815" t="str">
            <v>2016</v>
          </cell>
          <cell r="E2815">
            <v>585</v>
          </cell>
          <cell r="F2815" t="str">
            <v>C5R-896</v>
          </cell>
          <cell r="G2815" t="str">
            <v>A0U-977</v>
          </cell>
          <cell r="H2815" t="str">
            <v>LAS BAMBAS</v>
          </cell>
          <cell r="I2815">
            <v>212663</v>
          </cell>
          <cell r="J2815" t="str">
            <v>REPUESTO</v>
          </cell>
          <cell r="K2815" t="str">
            <v>ARANDELA PLANA 1/4</v>
          </cell>
          <cell r="L2815">
            <v>20</v>
          </cell>
          <cell r="M2815" t="str">
            <v>UNID.</v>
          </cell>
          <cell r="N2815" t="str">
            <v>CISTERNA</v>
          </cell>
          <cell r="O2815">
            <v>71</v>
          </cell>
          <cell r="P2815" t="str">
            <v>S4</v>
          </cell>
          <cell r="Q2815" t="str">
            <v>J2</v>
          </cell>
          <cell r="R2815" t="str">
            <v>J6</v>
          </cell>
          <cell r="S2815" t="str">
            <v>ENTREGADO</v>
          </cell>
          <cell r="T2815">
            <v>0</v>
          </cell>
          <cell r="U2815" t="str">
            <v>SURCO QUISPE JOHNNY</v>
          </cell>
          <cell r="V2815" t="str">
            <v>CORIHUAMAN SURCO  ERICK ROBERT</v>
          </cell>
        </row>
        <row r="2816">
          <cell r="A2816">
            <v>2781</v>
          </cell>
          <cell r="B2816">
            <v>42719</v>
          </cell>
          <cell r="C2816" t="str">
            <v>DICIEMBRE</v>
          </cell>
          <cell r="D2816" t="str">
            <v>2016</v>
          </cell>
          <cell r="E2816">
            <v>585</v>
          </cell>
          <cell r="F2816" t="str">
            <v>C5R-896</v>
          </cell>
          <cell r="G2816" t="str">
            <v>A0U-977</v>
          </cell>
          <cell r="H2816" t="str">
            <v>LAS BAMBAS</v>
          </cell>
          <cell r="I2816">
            <v>212663</v>
          </cell>
          <cell r="J2816" t="str">
            <v>REPUESTO</v>
          </cell>
          <cell r="K2816" t="str">
            <v>SOCKET PARA FOCO 9006</v>
          </cell>
          <cell r="L2816">
            <v>1</v>
          </cell>
          <cell r="M2816" t="str">
            <v>UNID.</v>
          </cell>
          <cell r="N2816" t="str">
            <v>TRACTO</v>
          </cell>
          <cell r="O2816">
            <v>71</v>
          </cell>
          <cell r="P2816" t="str">
            <v>E3</v>
          </cell>
          <cell r="Q2816" t="str">
            <v>J1</v>
          </cell>
          <cell r="R2816" t="str">
            <v>J5</v>
          </cell>
          <cell r="S2816" t="str">
            <v>PENDIENTE</v>
          </cell>
          <cell r="T2816">
            <v>0</v>
          </cell>
          <cell r="U2816" t="str">
            <v>CONDORI CHURATA ALEX</v>
          </cell>
          <cell r="V2816" t="str">
            <v>FLOREZ CONDORI  JOSE WILLIANS</v>
          </cell>
        </row>
        <row r="2817">
          <cell r="A2817">
            <v>2782</v>
          </cell>
          <cell r="B2817">
            <v>42719</v>
          </cell>
          <cell r="C2817" t="str">
            <v>DICIEMBRE</v>
          </cell>
          <cell r="D2817" t="str">
            <v>2016</v>
          </cell>
          <cell r="E2817">
            <v>585</v>
          </cell>
          <cell r="F2817" t="str">
            <v>C5R-896</v>
          </cell>
          <cell r="G2817" t="str">
            <v>A0U-977</v>
          </cell>
          <cell r="H2817" t="str">
            <v>LAS BAMBAS</v>
          </cell>
          <cell r="I2817">
            <v>212663</v>
          </cell>
          <cell r="J2817" t="str">
            <v>REPUESTO</v>
          </cell>
          <cell r="K2817" t="str">
            <v xml:space="preserve">PRECINTOS </v>
          </cell>
          <cell r="L2817">
            <v>10</v>
          </cell>
          <cell r="M2817" t="str">
            <v>UNID.</v>
          </cell>
          <cell r="N2817" t="str">
            <v>TRACTO</v>
          </cell>
          <cell r="O2817">
            <v>71</v>
          </cell>
          <cell r="P2817" t="str">
            <v>E3</v>
          </cell>
          <cell r="Q2817" t="str">
            <v>J1</v>
          </cell>
          <cell r="R2817" t="str">
            <v>J5</v>
          </cell>
          <cell r="S2817" t="str">
            <v>ENTREGADO</v>
          </cell>
          <cell r="T2817">
            <v>0</v>
          </cell>
          <cell r="U2817" t="str">
            <v>CONDORI CHURATA ALEX</v>
          </cell>
          <cell r="V2817" t="str">
            <v>FLOREZ CONDORI  JOSE WILLIANS</v>
          </cell>
        </row>
        <row r="2818">
          <cell r="A2818">
            <v>2783</v>
          </cell>
          <cell r="B2818">
            <v>42719</v>
          </cell>
          <cell r="C2818" t="str">
            <v>DICIEMBRE</v>
          </cell>
          <cell r="D2818" t="str">
            <v>2016</v>
          </cell>
          <cell r="E2818">
            <v>585</v>
          </cell>
          <cell r="F2818" t="str">
            <v>C5R-896</v>
          </cell>
          <cell r="G2818" t="str">
            <v>A0U-977</v>
          </cell>
          <cell r="H2818" t="str">
            <v>LAS BAMBAS</v>
          </cell>
          <cell r="I2818">
            <v>212663</v>
          </cell>
          <cell r="J2818" t="str">
            <v>REPUESTO</v>
          </cell>
          <cell r="K2818" t="str">
            <v>CINTA AISLANTE NEGRA</v>
          </cell>
          <cell r="L2818">
            <v>1</v>
          </cell>
          <cell r="M2818" t="str">
            <v>UNID.</v>
          </cell>
          <cell r="N2818" t="str">
            <v>TRACTO</v>
          </cell>
          <cell r="O2818">
            <v>71</v>
          </cell>
          <cell r="P2818" t="str">
            <v>E3</v>
          </cell>
          <cell r="Q2818" t="str">
            <v>J1</v>
          </cell>
          <cell r="R2818" t="str">
            <v>J5</v>
          </cell>
          <cell r="S2818" t="str">
            <v>ENTREGADO</v>
          </cell>
          <cell r="T2818">
            <v>0</v>
          </cell>
          <cell r="U2818" t="str">
            <v>CONDORI CHURATA ALEX</v>
          </cell>
          <cell r="V2818" t="str">
            <v>FLOREZ CONDORI  JOSE WILLIANS</v>
          </cell>
        </row>
        <row r="2819">
          <cell r="A2819">
            <v>2784</v>
          </cell>
          <cell r="B2819">
            <v>42719</v>
          </cell>
          <cell r="C2819" t="str">
            <v>DICIEMBRE</v>
          </cell>
          <cell r="D2819" t="str">
            <v>2016</v>
          </cell>
          <cell r="E2819">
            <v>585</v>
          </cell>
          <cell r="F2819" t="str">
            <v>C5R-896</v>
          </cell>
          <cell r="G2819" t="str">
            <v>A0U-977</v>
          </cell>
          <cell r="H2819" t="str">
            <v>LAS BAMBAS</v>
          </cell>
          <cell r="I2819">
            <v>212663</v>
          </cell>
          <cell r="J2819" t="str">
            <v>REPUESTO</v>
          </cell>
          <cell r="K2819" t="str">
            <v>FARO RECTANGULAR LATERAL</v>
          </cell>
          <cell r="L2819">
            <v>1</v>
          </cell>
          <cell r="M2819" t="str">
            <v>UNID.</v>
          </cell>
          <cell r="N2819" t="str">
            <v>TRACTO</v>
          </cell>
          <cell r="O2819">
            <v>71</v>
          </cell>
          <cell r="P2819" t="str">
            <v>E3</v>
          </cell>
          <cell r="Q2819" t="str">
            <v>J1</v>
          </cell>
          <cell r="R2819" t="str">
            <v>J5</v>
          </cell>
          <cell r="S2819" t="str">
            <v>ENTREGADO</v>
          </cell>
          <cell r="T2819">
            <v>0</v>
          </cell>
          <cell r="U2819" t="str">
            <v>CONDORI CHURATA ALEX</v>
          </cell>
          <cell r="V2819" t="str">
            <v>FLOREZ CONDORI  JOSE WILLIANS</v>
          </cell>
        </row>
        <row r="2820">
          <cell r="A2820">
            <v>2816</v>
          </cell>
          <cell r="B2820">
            <v>42719</v>
          </cell>
          <cell r="C2820" t="str">
            <v>DICIEMBRE</v>
          </cell>
          <cell r="D2820" t="str">
            <v>2016</v>
          </cell>
          <cell r="E2820">
            <v>585</v>
          </cell>
          <cell r="F2820" t="str">
            <v>C5R-896</v>
          </cell>
          <cell r="G2820" t="str">
            <v>A0U-977</v>
          </cell>
          <cell r="H2820" t="str">
            <v>LAS BAMBAS</v>
          </cell>
          <cell r="I2820">
            <v>212663</v>
          </cell>
          <cell r="J2820" t="str">
            <v>REPUESTO</v>
          </cell>
          <cell r="K2820" t="str">
            <v>TAPA RECUPERADOR DE VAPORES</v>
          </cell>
          <cell r="L2820">
            <v>1</v>
          </cell>
          <cell r="M2820" t="str">
            <v>UNID.</v>
          </cell>
          <cell r="N2820" t="str">
            <v>CISTERNA</v>
          </cell>
          <cell r="O2820">
            <v>71</v>
          </cell>
          <cell r="P2820" t="str">
            <v>J2</v>
          </cell>
          <cell r="Q2820" t="str">
            <v>J2</v>
          </cell>
          <cell r="R2820" t="str">
            <v>J6</v>
          </cell>
          <cell r="S2820" t="str">
            <v>ENTREGADO</v>
          </cell>
          <cell r="T2820">
            <v>0</v>
          </cell>
          <cell r="U2820" t="str">
            <v>CORIHUAMAN SURCO  ERICK ROBERT</v>
          </cell>
          <cell r="V2820" t="str">
            <v>CORIHUAMAN SURCO  ERICK ROBERT</v>
          </cell>
        </row>
        <row r="2821">
          <cell r="A2821">
            <v>2817</v>
          </cell>
          <cell r="B2821">
            <v>42719</v>
          </cell>
          <cell r="C2821" t="str">
            <v>DICIEMBRE</v>
          </cell>
          <cell r="D2821" t="str">
            <v>2016</v>
          </cell>
          <cell r="E2821">
            <v>585</v>
          </cell>
          <cell r="F2821" t="str">
            <v>C5R-896</v>
          </cell>
          <cell r="G2821" t="str">
            <v>A0U-977</v>
          </cell>
          <cell r="H2821" t="str">
            <v>LAS BAMBAS</v>
          </cell>
          <cell r="I2821">
            <v>212663</v>
          </cell>
          <cell r="J2821" t="str">
            <v>REPUESTO</v>
          </cell>
          <cell r="K2821" t="str">
            <v>FAROS NEBLINEROS</v>
          </cell>
          <cell r="L2821">
            <v>2</v>
          </cell>
          <cell r="M2821" t="str">
            <v>UNID.</v>
          </cell>
          <cell r="N2821" t="str">
            <v>TRACTO</v>
          </cell>
          <cell r="O2821">
            <v>71</v>
          </cell>
          <cell r="P2821" t="str">
            <v>E3</v>
          </cell>
          <cell r="Q2821" t="str">
            <v>J2</v>
          </cell>
          <cell r="R2821" t="str">
            <v>J6</v>
          </cell>
          <cell r="S2821" t="str">
            <v>ENTREGADO</v>
          </cell>
          <cell r="T2821">
            <v>0</v>
          </cell>
          <cell r="U2821" t="str">
            <v>CONDORI CHURATA ALEX</v>
          </cell>
          <cell r="V2821" t="str">
            <v>CORIHUAMAN SURCO  ERICK ROBERT</v>
          </cell>
        </row>
        <row r="2822">
          <cell r="A2822">
            <v>2824</v>
          </cell>
          <cell r="B2822">
            <v>42719</v>
          </cell>
          <cell r="C2822" t="str">
            <v>DICIEMBRE</v>
          </cell>
          <cell r="D2822" t="str">
            <v>2016</v>
          </cell>
          <cell r="E2822">
            <v>585</v>
          </cell>
          <cell r="F2822" t="str">
            <v>C5R-896</v>
          </cell>
          <cell r="G2822" t="str">
            <v>A0U-977</v>
          </cell>
          <cell r="H2822" t="str">
            <v>LAS BAMBAS</v>
          </cell>
          <cell r="I2822">
            <v>212663</v>
          </cell>
          <cell r="J2822" t="str">
            <v>REPUESTO</v>
          </cell>
          <cell r="K2822" t="str">
            <v xml:space="preserve">PRECINTOS </v>
          </cell>
          <cell r="L2822">
            <v>10</v>
          </cell>
          <cell r="M2822" t="str">
            <v>UNID.</v>
          </cell>
          <cell r="N2822" t="str">
            <v>TRACTO</v>
          </cell>
          <cell r="O2822">
            <v>71</v>
          </cell>
          <cell r="P2822" t="str">
            <v>E3</v>
          </cell>
          <cell r="Q2822" t="str">
            <v>J1</v>
          </cell>
          <cell r="R2822" t="str">
            <v>J5</v>
          </cell>
          <cell r="S2822" t="str">
            <v>ENTREGADO</v>
          </cell>
          <cell r="T2822">
            <v>0</v>
          </cell>
          <cell r="U2822" t="str">
            <v>CONDORI CHURATA ALEX</v>
          </cell>
          <cell r="V2822" t="str">
            <v>FLOREZ CONDORI  JOSE WILLIANS</v>
          </cell>
        </row>
        <row r="2823">
          <cell r="A2823">
            <v>2799</v>
          </cell>
          <cell r="B2823">
            <v>42719</v>
          </cell>
          <cell r="C2823" t="str">
            <v>DICIEMBRE</v>
          </cell>
          <cell r="D2823" t="str">
            <v>2016</v>
          </cell>
          <cell r="E2823">
            <v>598</v>
          </cell>
          <cell r="F2823" t="str">
            <v>D3N-721</v>
          </cell>
          <cell r="G2823" t="str">
            <v>C4S-979</v>
          </cell>
          <cell r="H2823" t="str">
            <v>LAS BAMBAS</v>
          </cell>
          <cell r="I2823">
            <v>136863</v>
          </cell>
          <cell r="J2823" t="str">
            <v>REPUESTO</v>
          </cell>
          <cell r="K2823" t="str">
            <v>PERNO 5/8 X 6</v>
          </cell>
          <cell r="L2823">
            <v>1</v>
          </cell>
          <cell r="M2823" t="str">
            <v>UNID.</v>
          </cell>
          <cell r="N2823" t="str">
            <v>CISTERNA</v>
          </cell>
          <cell r="O2823">
            <v>71</v>
          </cell>
          <cell r="P2823" t="str">
            <v>M3</v>
          </cell>
          <cell r="Q2823" t="str">
            <v>J2</v>
          </cell>
          <cell r="R2823" t="str">
            <v>J6</v>
          </cell>
          <cell r="S2823" t="str">
            <v>ENTREGADO</v>
          </cell>
          <cell r="T2823">
            <v>0</v>
          </cell>
          <cell r="U2823" t="str">
            <v>GARCIA PASQUEL  JOSE LUIS</v>
          </cell>
          <cell r="V2823" t="str">
            <v>CORIHUAMAN SURCO  ERICK ROBERT</v>
          </cell>
        </row>
        <row r="2824">
          <cell r="A2824">
            <v>2800</v>
          </cell>
          <cell r="B2824">
            <v>42719</v>
          </cell>
          <cell r="C2824" t="str">
            <v>DICIEMBRE</v>
          </cell>
          <cell r="D2824" t="str">
            <v>2016</v>
          </cell>
          <cell r="E2824">
            <v>598</v>
          </cell>
          <cell r="F2824" t="str">
            <v>D3N-721</v>
          </cell>
          <cell r="G2824" t="str">
            <v>C4S-979</v>
          </cell>
          <cell r="H2824" t="str">
            <v>LAS BAMBAS</v>
          </cell>
          <cell r="I2824">
            <v>136863</v>
          </cell>
          <cell r="J2824" t="str">
            <v>REPUESTO</v>
          </cell>
          <cell r="K2824" t="str">
            <v>TUERCA SEGURO 5/8</v>
          </cell>
          <cell r="L2824">
            <v>1</v>
          </cell>
          <cell r="M2824" t="str">
            <v>UNID.</v>
          </cell>
          <cell r="N2824" t="str">
            <v>CISTERNA</v>
          </cell>
          <cell r="O2824">
            <v>71</v>
          </cell>
          <cell r="P2824" t="str">
            <v>M3</v>
          </cell>
          <cell r="Q2824" t="str">
            <v>J2</v>
          </cell>
          <cell r="R2824" t="str">
            <v>J6</v>
          </cell>
          <cell r="S2824" t="str">
            <v>ENTREGADO</v>
          </cell>
          <cell r="T2824">
            <v>0</v>
          </cell>
          <cell r="U2824" t="str">
            <v>GARCIA PASQUEL  JOSE LUIS</v>
          </cell>
          <cell r="V2824" t="str">
            <v>CORIHUAMAN SURCO  ERICK ROBERT</v>
          </cell>
        </row>
        <row r="2825">
          <cell r="A2825">
            <v>2801</v>
          </cell>
          <cell r="B2825">
            <v>42719</v>
          </cell>
          <cell r="C2825" t="str">
            <v>DICIEMBRE</v>
          </cell>
          <cell r="D2825" t="str">
            <v>2016</v>
          </cell>
          <cell r="E2825">
            <v>598</v>
          </cell>
          <cell r="F2825" t="str">
            <v>D3N-721</v>
          </cell>
          <cell r="G2825" t="str">
            <v>C4S-979</v>
          </cell>
          <cell r="H2825" t="str">
            <v>LAS BAMBAS</v>
          </cell>
          <cell r="I2825">
            <v>136863</v>
          </cell>
          <cell r="J2825" t="str">
            <v>REPUESTO</v>
          </cell>
          <cell r="K2825" t="str">
            <v>ARANDELA PLANA 5/8</v>
          </cell>
          <cell r="L2825">
            <v>2</v>
          </cell>
          <cell r="M2825" t="str">
            <v>UNID.</v>
          </cell>
          <cell r="N2825" t="str">
            <v>CISTERNA</v>
          </cell>
          <cell r="O2825">
            <v>71</v>
          </cell>
          <cell r="P2825" t="str">
            <v>M3</v>
          </cell>
          <cell r="Q2825" t="str">
            <v>J2</v>
          </cell>
          <cell r="R2825" t="str">
            <v>J6</v>
          </cell>
          <cell r="S2825" t="str">
            <v>ENTREGADO</v>
          </cell>
          <cell r="T2825">
            <v>0</v>
          </cell>
          <cell r="U2825" t="str">
            <v>GARCIA PASQUEL  JOSE LUIS</v>
          </cell>
          <cell r="V2825" t="str">
            <v>CORIHUAMAN SURCO  ERICK ROBERT</v>
          </cell>
        </row>
        <row r="2826">
          <cell r="A2826">
            <v>2766</v>
          </cell>
          <cell r="B2826">
            <v>42719</v>
          </cell>
          <cell r="C2826" t="str">
            <v>DICIEMBRE</v>
          </cell>
          <cell r="D2826" t="str">
            <v>2016</v>
          </cell>
          <cell r="E2826">
            <v>574</v>
          </cell>
          <cell r="F2826" t="str">
            <v>D4X-872</v>
          </cell>
          <cell r="G2826" t="str">
            <v>B4P-976</v>
          </cell>
          <cell r="H2826" t="str">
            <v>LAS BAMBAS</v>
          </cell>
          <cell r="I2826">
            <v>184600</v>
          </cell>
          <cell r="J2826" t="str">
            <v>REPUESTO</v>
          </cell>
          <cell r="K2826" t="str">
            <v>LLANTAS DE TRACCION</v>
          </cell>
          <cell r="L2826">
            <v>8</v>
          </cell>
          <cell r="M2826" t="str">
            <v>UNID.</v>
          </cell>
          <cell r="N2826" t="str">
            <v>TRACTO</v>
          </cell>
          <cell r="O2826">
            <v>71</v>
          </cell>
          <cell r="P2826" t="str">
            <v>M2</v>
          </cell>
          <cell r="Q2826" t="str">
            <v>J2</v>
          </cell>
          <cell r="R2826" t="str">
            <v>J5</v>
          </cell>
          <cell r="S2826" t="str">
            <v>ENTREGADO</v>
          </cell>
          <cell r="T2826">
            <v>0</v>
          </cell>
          <cell r="U2826" t="str">
            <v>CHUMPITAZ GAGO JULIO ENRIQUE</v>
          </cell>
          <cell r="V2826" t="str">
            <v>CORIHUAMAN SURCO  ERICK ROBERT</v>
          </cell>
        </row>
        <row r="2827">
          <cell r="A2827">
            <v>2764</v>
          </cell>
          <cell r="B2827">
            <v>42719</v>
          </cell>
          <cell r="C2827" t="str">
            <v>DICIEMBRE</v>
          </cell>
          <cell r="D2827" t="str">
            <v>2016</v>
          </cell>
          <cell r="E2827">
            <v>574</v>
          </cell>
          <cell r="F2827" t="str">
            <v>D4X-872</v>
          </cell>
          <cell r="G2827" t="str">
            <v>B4P-976</v>
          </cell>
          <cell r="H2827" t="str">
            <v>LAS BAMBAS</v>
          </cell>
          <cell r="I2827">
            <v>184600</v>
          </cell>
          <cell r="J2827" t="str">
            <v>REPUESTO</v>
          </cell>
          <cell r="K2827" t="str">
            <v>TAPABARRO DE PLASTICO</v>
          </cell>
          <cell r="L2827">
            <v>1</v>
          </cell>
          <cell r="M2827" t="str">
            <v>UNID.</v>
          </cell>
          <cell r="N2827" t="str">
            <v>TRACTO</v>
          </cell>
          <cell r="O2827">
            <v>71</v>
          </cell>
          <cell r="P2827" t="str">
            <v>S3</v>
          </cell>
          <cell r="Q2827" t="str">
            <v>J1</v>
          </cell>
          <cell r="R2827" t="str">
            <v>J5</v>
          </cell>
          <cell r="S2827" t="str">
            <v>ENTREGADO</v>
          </cell>
          <cell r="T2827">
            <v>0</v>
          </cell>
          <cell r="U2827" t="str">
            <v>JIMENEZ MACHACA JAVIER</v>
          </cell>
          <cell r="V2827" t="str">
            <v>FLOREZ CONDORI  JOSE WILLIANS</v>
          </cell>
        </row>
        <row r="2828">
          <cell r="A2828">
            <v>2794</v>
          </cell>
          <cell r="B2828">
            <v>42719</v>
          </cell>
          <cell r="C2828" t="str">
            <v>DICIEMBRE</v>
          </cell>
          <cell r="D2828" t="str">
            <v>2016</v>
          </cell>
          <cell r="E2828">
            <v>590</v>
          </cell>
          <cell r="F2828" t="str">
            <v>D6F-903</v>
          </cell>
          <cell r="G2828" t="str">
            <v>B8K-997</v>
          </cell>
          <cell r="H2828" t="str">
            <v>LAS BAMBAS</v>
          </cell>
          <cell r="I2828">
            <v>219054</v>
          </cell>
          <cell r="J2828" t="str">
            <v>REPUESTO</v>
          </cell>
          <cell r="K2828" t="str">
            <v>VARILLA INOXIDABLE 1/8</v>
          </cell>
          <cell r="L2828">
            <v>1</v>
          </cell>
          <cell r="M2828" t="str">
            <v>UNID.</v>
          </cell>
          <cell r="N2828" t="str">
            <v>CISTERNA</v>
          </cell>
          <cell r="O2828">
            <v>71</v>
          </cell>
          <cell r="P2828" t="str">
            <v>S2</v>
          </cell>
          <cell r="Q2828" t="str">
            <v>J1</v>
          </cell>
          <cell r="R2828" t="str">
            <v>J5</v>
          </cell>
          <cell r="S2828" t="str">
            <v>ENTREGADO</v>
          </cell>
          <cell r="T2828">
            <v>0</v>
          </cell>
          <cell r="U2828" t="str">
            <v>PALOMINO ESTRADA  MICHEL</v>
          </cell>
          <cell r="V2828" t="str">
            <v>FLOREZ CONDORI  JOSE WILLIANS</v>
          </cell>
        </row>
        <row r="2829">
          <cell r="A2829">
            <v>2795</v>
          </cell>
          <cell r="B2829">
            <v>42719</v>
          </cell>
          <cell r="C2829" t="str">
            <v>DICIEMBRE</v>
          </cell>
          <cell r="D2829" t="str">
            <v>2016</v>
          </cell>
          <cell r="E2829">
            <v>590</v>
          </cell>
          <cell r="F2829" t="str">
            <v>D6F-903</v>
          </cell>
          <cell r="G2829" t="str">
            <v>B8K-997</v>
          </cell>
          <cell r="H2829" t="str">
            <v>LAS BAMBAS</v>
          </cell>
          <cell r="I2829">
            <v>219054</v>
          </cell>
          <cell r="J2829" t="str">
            <v>REPUESTO</v>
          </cell>
          <cell r="K2829" t="str">
            <v>VOLANDA 5/8</v>
          </cell>
          <cell r="L2829">
            <v>1</v>
          </cell>
          <cell r="M2829" t="str">
            <v>UNID.</v>
          </cell>
          <cell r="N2829" t="str">
            <v>CISTERNA</v>
          </cell>
          <cell r="O2829">
            <v>71</v>
          </cell>
          <cell r="P2829" t="str">
            <v>S2</v>
          </cell>
          <cell r="Q2829" t="str">
            <v>J1</v>
          </cell>
          <cell r="R2829" t="str">
            <v>J5</v>
          </cell>
          <cell r="S2829" t="str">
            <v>ENTREGADO</v>
          </cell>
          <cell r="T2829">
            <v>0</v>
          </cell>
          <cell r="U2829" t="str">
            <v>PALOMINO ESTRADA  MICHEL</v>
          </cell>
          <cell r="V2829" t="str">
            <v>FLOREZ CONDORI  JOSE WILLIANS</v>
          </cell>
        </row>
        <row r="2830">
          <cell r="A2830">
            <v>2796</v>
          </cell>
          <cell r="B2830">
            <v>42719</v>
          </cell>
          <cell r="C2830" t="str">
            <v>DICIEMBRE</v>
          </cell>
          <cell r="D2830" t="str">
            <v>2016</v>
          </cell>
          <cell r="E2830">
            <v>590</v>
          </cell>
          <cell r="F2830" t="str">
            <v>D6F-903</v>
          </cell>
          <cell r="G2830" t="str">
            <v>B8K-997</v>
          </cell>
          <cell r="H2830" t="str">
            <v>LAS BAMBAS</v>
          </cell>
          <cell r="I2830">
            <v>219054</v>
          </cell>
          <cell r="J2830" t="str">
            <v>REPUESTO</v>
          </cell>
          <cell r="K2830" t="str">
            <v>SOPORTE LATERAL EN L DE CHASIS</v>
          </cell>
          <cell r="L2830">
            <v>3</v>
          </cell>
          <cell r="M2830" t="str">
            <v>UNID.</v>
          </cell>
          <cell r="N2830" t="str">
            <v>TRACTO</v>
          </cell>
          <cell r="O2830">
            <v>71</v>
          </cell>
          <cell r="P2830" t="str">
            <v>M6</v>
          </cell>
          <cell r="Q2830" t="str">
            <v>J1</v>
          </cell>
          <cell r="R2830" t="str">
            <v>J5</v>
          </cell>
          <cell r="S2830" t="str">
            <v>PENDIENTE</v>
          </cell>
          <cell r="T2830">
            <v>0</v>
          </cell>
          <cell r="U2830" t="str">
            <v>PARI VENTURA  EDSON ORLANDO</v>
          </cell>
          <cell r="V2830" t="str">
            <v>FLOREZ CONDORI  JOSE WILLIANS</v>
          </cell>
        </row>
        <row r="2831">
          <cell r="A2831">
            <v>2797</v>
          </cell>
          <cell r="B2831">
            <v>42719</v>
          </cell>
          <cell r="C2831" t="str">
            <v>DICIEMBRE</v>
          </cell>
          <cell r="D2831" t="str">
            <v>2016</v>
          </cell>
          <cell r="E2831">
            <v>590</v>
          </cell>
          <cell r="F2831" t="str">
            <v>D6F-903</v>
          </cell>
          <cell r="G2831" t="str">
            <v>B8K-997</v>
          </cell>
          <cell r="H2831" t="str">
            <v>LAS BAMBAS</v>
          </cell>
          <cell r="I2831">
            <v>219054</v>
          </cell>
          <cell r="J2831" t="str">
            <v>REPUESTO</v>
          </cell>
          <cell r="K2831" t="str">
            <v>DISCO CORTE 7"</v>
          </cell>
          <cell r="L2831">
            <v>1</v>
          </cell>
          <cell r="M2831" t="str">
            <v>UNID.</v>
          </cell>
          <cell r="N2831" t="str">
            <v>TRACTO</v>
          </cell>
          <cell r="O2831">
            <v>71</v>
          </cell>
          <cell r="P2831" t="str">
            <v>S1</v>
          </cell>
          <cell r="Q2831" t="str">
            <v>J2</v>
          </cell>
          <cell r="R2831" t="str">
            <v>J6</v>
          </cell>
          <cell r="S2831" t="str">
            <v>ENTREGADO</v>
          </cell>
          <cell r="T2831">
            <v>0</v>
          </cell>
          <cell r="U2831" t="str">
            <v>BAYONA CRUZ CRISTIAN ARMANDO</v>
          </cell>
          <cell r="V2831" t="str">
            <v>CORIHUAMAN SURCO  ERICK ROBERT</v>
          </cell>
        </row>
        <row r="2832">
          <cell r="A2832">
            <v>2798</v>
          </cell>
          <cell r="B2832">
            <v>42719</v>
          </cell>
          <cell r="C2832" t="str">
            <v>DICIEMBRE</v>
          </cell>
          <cell r="D2832" t="str">
            <v>2016</v>
          </cell>
          <cell r="E2832">
            <v>590</v>
          </cell>
          <cell r="F2832" t="str">
            <v>D6F-903</v>
          </cell>
          <cell r="G2832" t="str">
            <v>B8K-997</v>
          </cell>
          <cell r="H2832" t="str">
            <v>LAS BAMBAS</v>
          </cell>
          <cell r="I2832">
            <v>219054</v>
          </cell>
          <cell r="J2832" t="str">
            <v>REPUESTO</v>
          </cell>
          <cell r="K2832" t="str">
            <v>SUPERCITO 1/8</v>
          </cell>
          <cell r="L2832">
            <v>0.5</v>
          </cell>
          <cell r="M2832" t="str">
            <v>KG.</v>
          </cell>
          <cell r="N2832" t="str">
            <v>TRACTO</v>
          </cell>
          <cell r="O2832">
            <v>71</v>
          </cell>
          <cell r="P2832" t="str">
            <v>S1</v>
          </cell>
          <cell r="Q2832" t="str">
            <v>J2</v>
          </cell>
          <cell r="R2832" t="str">
            <v>J6</v>
          </cell>
          <cell r="S2832" t="str">
            <v>ENTREGADO</v>
          </cell>
          <cell r="T2832">
            <v>0</v>
          </cell>
          <cell r="U2832" t="str">
            <v>BAYONA CRUZ CRISTIAN ARMANDO</v>
          </cell>
          <cell r="V2832" t="str">
            <v>CORIHUAMAN SURCO  ERICK ROBERT</v>
          </cell>
        </row>
        <row r="2833">
          <cell r="A2833">
            <v>2808</v>
          </cell>
          <cell r="B2833">
            <v>42719</v>
          </cell>
          <cell r="C2833" t="str">
            <v>DICIEMBRE</v>
          </cell>
          <cell r="D2833" t="str">
            <v>2016</v>
          </cell>
          <cell r="E2833">
            <v>590</v>
          </cell>
          <cell r="F2833" t="str">
            <v>D6F-903</v>
          </cell>
          <cell r="G2833" t="str">
            <v>B8K-997</v>
          </cell>
          <cell r="H2833" t="str">
            <v>LAS BAMBAS</v>
          </cell>
          <cell r="I2833">
            <v>219054</v>
          </cell>
          <cell r="J2833" t="str">
            <v>REPUESTO</v>
          </cell>
          <cell r="K2833" t="str">
            <v>PRECINTOS 300 MM</v>
          </cell>
          <cell r="L2833">
            <v>2</v>
          </cell>
          <cell r="M2833" t="str">
            <v>UNID.</v>
          </cell>
          <cell r="N2833" t="str">
            <v>TRACTO</v>
          </cell>
          <cell r="O2833">
            <v>71</v>
          </cell>
          <cell r="P2833" t="str">
            <v>S1</v>
          </cell>
          <cell r="Q2833" t="str">
            <v>J2</v>
          </cell>
          <cell r="R2833" t="str">
            <v>J6</v>
          </cell>
          <cell r="S2833" t="str">
            <v>ENTREGADO</v>
          </cell>
          <cell r="T2833">
            <v>0</v>
          </cell>
          <cell r="U2833" t="str">
            <v>BAYONA CRUZ CRISTIAN ARMANDO</v>
          </cell>
          <cell r="V2833" t="str">
            <v>CORIHUAMAN SURCO  ERICK ROBERT</v>
          </cell>
        </row>
        <row r="2834">
          <cell r="A2834">
            <v>2767</v>
          </cell>
          <cell r="B2834">
            <v>42719</v>
          </cell>
          <cell r="C2834" t="str">
            <v>DICIEMBRE</v>
          </cell>
          <cell r="D2834" t="str">
            <v>2016</v>
          </cell>
          <cell r="E2834">
            <v>572</v>
          </cell>
          <cell r="F2834" t="str">
            <v>D6F-907</v>
          </cell>
          <cell r="G2834" t="str">
            <v>T2Y-979</v>
          </cell>
          <cell r="H2834" t="str">
            <v>LAS BAMBAS</v>
          </cell>
          <cell r="I2834">
            <v>200791</v>
          </cell>
          <cell r="J2834" t="str">
            <v>REPUESTO</v>
          </cell>
          <cell r="K2834" t="str">
            <v>ABRAZADERA DE SILENCIADOR PARTE SUPERIOR</v>
          </cell>
          <cell r="L2834">
            <v>1</v>
          </cell>
          <cell r="M2834" t="str">
            <v>UNID.</v>
          </cell>
          <cell r="N2834" t="str">
            <v>TRACTO</v>
          </cell>
          <cell r="O2834">
            <v>71</v>
          </cell>
          <cell r="P2834" t="str">
            <v>M6</v>
          </cell>
          <cell r="Q2834" t="str">
            <v>J2</v>
          </cell>
          <cell r="R2834" t="str">
            <v>J5</v>
          </cell>
          <cell r="S2834" t="str">
            <v>ENTREGADO</v>
          </cell>
          <cell r="T2834">
            <v>0</v>
          </cell>
          <cell r="U2834" t="str">
            <v>PARI VENTURA  EDSON ORLANDO</v>
          </cell>
          <cell r="V2834" t="str">
            <v>CORIHUAMAN SURCO  ERICK ROBERT</v>
          </cell>
        </row>
        <row r="2835">
          <cell r="A2835">
            <v>2809</v>
          </cell>
          <cell r="B2835">
            <v>42719</v>
          </cell>
          <cell r="C2835" t="str">
            <v>DICIEMBRE</v>
          </cell>
          <cell r="D2835" t="str">
            <v>2016</v>
          </cell>
          <cell r="E2835">
            <v>572</v>
          </cell>
          <cell r="F2835" t="str">
            <v>D6F-907</v>
          </cell>
          <cell r="G2835" t="str">
            <v>T2Y-979</v>
          </cell>
          <cell r="H2835" t="str">
            <v>LAS BAMBAS</v>
          </cell>
          <cell r="I2835">
            <v>200791</v>
          </cell>
          <cell r="J2835" t="str">
            <v>REPUESTO</v>
          </cell>
          <cell r="K2835" t="str">
            <v>SOCKET PARA RELAY</v>
          </cell>
          <cell r="L2835">
            <v>1</v>
          </cell>
          <cell r="M2835" t="str">
            <v>UNID.</v>
          </cell>
          <cell r="N2835" t="str">
            <v>TRACTO</v>
          </cell>
          <cell r="O2835">
            <v>71</v>
          </cell>
          <cell r="P2835" t="str">
            <v>E3</v>
          </cell>
          <cell r="Q2835" t="str">
            <v>J2</v>
          </cell>
          <cell r="R2835" t="str">
            <v>J6</v>
          </cell>
          <cell r="S2835" t="str">
            <v>PENDIENTE</v>
          </cell>
          <cell r="T2835">
            <v>0</v>
          </cell>
          <cell r="U2835" t="str">
            <v>CONDORI CHURATA ALEX</v>
          </cell>
          <cell r="V2835" t="str">
            <v>CORIHUAMAN SURCO  ERICK ROBERT</v>
          </cell>
        </row>
        <row r="2836">
          <cell r="A2836">
            <v>2810</v>
          </cell>
          <cell r="B2836">
            <v>42719</v>
          </cell>
          <cell r="C2836" t="str">
            <v>DICIEMBRE</v>
          </cell>
          <cell r="D2836" t="str">
            <v>2016</v>
          </cell>
          <cell r="E2836">
            <v>572</v>
          </cell>
          <cell r="F2836" t="str">
            <v>D6F-907</v>
          </cell>
          <cell r="G2836" t="str">
            <v>T2Y-979</v>
          </cell>
          <cell r="H2836" t="str">
            <v>LAS BAMBAS</v>
          </cell>
          <cell r="I2836">
            <v>200791</v>
          </cell>
          <cell r="J2836" t="str">
            <v>REPUESTO</v>
          </cell>
          <cell r="K2836" t="str">
            <v xml:space="preserve">PRECINTOS </v>
          </cell>
          <cell r="L2836">
            <v>5</v>
          </cell>
          <cell r="M2836" t="str">
            <v>UNID.</v>
          </cell>
          <cell r="N2836" t="str">
            <v>TRACTO</v>
          </cell>
          <cell r="O2836">
            <v>71</v>
          </cell>
          <cell r="P2836" t="str">
            <v>E3</v>
          </cell>
          <cell r="Q2836" t="str">
            <v>J2</v>
          </cell>
          <cell r="R2836" t="str">
            <v>J6</v>
          </cell>
          <cell r="S2836" t="str">
            <v>ENTREGADO</v>
          </cell>
          <cell r="T2836">
            <v>0</v>
          </cell>
          <cell r="U2836" t="str">
            <v>CONDORI CHURATA ALEX</v>
          </cell>
          <cell r="V2836" t="str">
            <v>CORIHUAMAN SURCO  ERICK ROBERT</v>
          </cell>
        </row>
        <row r="2837">
          <cell r="A2837">
            <v>2773</v>
          </cell>
          <cell r="B2837">
            <v>42719</v>
          </cell>
          <cell r="C2837" t="str">
            <v>DICIEMBRE</v>
          </cell>
          <cell r="D2837" t="str">
            <v>2016</v>
          </cell>
          <cell r="E2837">
            <v>595</v>
          </cell>
          <cell r="F2837" t="str">
            <v>D6G-805</v>
          </cell>
          <cell r="G2837" t="str">
            <v>T4Z-996</v>
          </cell>
          <cell r="H2837" t="str">
            <v>LAS BAMBAS</v>
          </cell>
          <cell r="I2837">
            <v>224443</v>
          </cell>
          <cell r="J2837" t="str">
            <v>REPUESTO</v>
          </cell>
          <cell r="K2837" t="str">
            <v>TAPABARRO DE PLASTICO</v>
          </cell>
          <cell r="L2837">
            <v>2</v>
          </cell>
          <cell r="M2837" t="str">
            <v>UNID.</v>
          </cell>
          <cell r="N2837" t="str">
            <v>TRACTO</v>
          </cell>
          <cell r="O2837">
            <v>71</v>
          </cell>
          <cell r="P2837" t="str">
            <v>S4</v>
          </cell>
          <cell r="Q2837" t="str">
            <v>J2</v>
          </cell>
          <cell r="R2837" t="str">
            <v>J5</v>
          </cell>
          <cell r="S2837" t="str">
            <v>ENTREGADO</v>
          </cell>
          <cell r="T2837">
            <v>0</v>
          </cell>
          <cell r="U2837" t="str">
            <v>SURCO QUISPE JOHNNY</v>
          </cell>
          <cell r="V2837" t="str">
            <v>CORIHUAMAN SURCO  ERICK ROBERT</v>
          </cell>
        </row>
        <row r="2838">
          <cell r="A2838">
            <v>2811</v>
          </cell>
          <cell r="B2838">
            <v>42719</v>
          </cell>
          <cell r="C2838" t="str">
            <v>DICIEMBRE</v>
          </cell>
          <cell r="D2838" t="str">
            <v>2016</v>
          </cell>
          <cell r="E2838">
            <v>595</v>
          </cell>
          <cell r="F2838" t="str">
            <v>D6G-805</v>
          </cell>
          <cell r="G2838" t="str">
            <v>T4Z-996</v>
          </cell>
          <cell r="H2838" t="str">
            <v>LAS BAMBAS</v>
          </cell>
          <cell r="I2838">
            <v>224443</v>
          </cell>
          <cell r="J2838" t="str">
            <v>REPUESTO</v>
          </cell>
          <cell r="K2838" t="str">
            <v>FOCO LAGRIMON AMBAR 12 V</v>
          </cell>
          <cell r="L2838">
            <v>2</v>
          </cell>
          <cell r="M2838" t="str">
            <v>UNID.</v>
          </cell>
          <cell r="N2838" t="str">
            <v>TRACTO</v>
          </cell>
          <cell r="O2838">
            <v>71</v>
          </cell>
          <cell r="P2838" t="str">
            <v>E1</v>
          </cell>
          <cell r="Q2838" t="str">
            <v>J2</v>
          </cell>
          <cell r="R2838" t="str">
            <v>J5</v>
          </cell>
          <cell r="S2838" t="str">
            <v>ENTREGADO</v>
          </cell>
          <cell r="T2838">
            <v>0</v>
          </cell>
          <cell r="U2838" t="str">
            <v>PALOMINO CARDENAS JUAN CARLOS</v>
          </cell>
          <cell r="V2838" t="str">
            <v>CORIHUAMAN SURCO  ERICK ROBERT</v>
          </cell>
        </row>
        <row r="2839">
          <cell r="A2839">
            <v>2812</v>
          </cell>
          <cell r="B2839">
            <v>42719</v>
          </cell>
          <cell r="C2839" t="str">
            <v>DICIEMBRE</v>
          </cell>
          <cell r="D2839" t="str">
            <v>2016</v>
          </cell>
          <cell r="E2839">
            <v>595</v>
          </cell>
          <cell r="F2839" t="str">
            <v>D6G-805</v>
          </cell>
          <cell r="G2839" t="str">
            <v>T4Z-996</v>
          </cell>
          <cell r="H2839" t="str">
            <v>LAS BAMBAS</v>
          </cell>
          <cell r="I2839">
            <v>224443</v>
          </cell>
          <cell r="J2839" t="str">
            <v>REPUESTO</v>
          </cell>
          <cell r="K2839" t="str">
            <v xml:space="preserve">SOCKET DE FOCO LAGRIMON </v>
          </cell>
          <cell r="L2839">
            <v>2</v>
          </cell>
          <cell r="M2839" t="str">
            <v>UNID.</v>
          </cell>
          <cell r="N2839" t="str">
            <v>TRACTO</v>
          </cell>
          <cell r="O2839">
            <v>71</v>
          </cell>
          <cell r="P2839" t="str">
            <v>E1</v>
          </cell>
          <cell r="Q2839" t="str">
            <v>J2</v>
          </cell>
          <cell r="R2839" t="str">
            <v>J5</v>
          </cell>
          <cell r="S2839" t="str">
            <v>ENTREGADO</v>
          </cell>
          <cell r="T2839">
            <v>0</v>
          </cell>
          <cell r="U2839" t="str">
            <v>PALOMINO CARDENAS JUAN CARLOS</v>
          </cell>
          <cell r="V2839" t="str">
            <v>CORIHUAMAN SURCO  ERICK ROBERT</v>
          </cell>
        </row>
        <row r="2840">
          <cell r="A2840">
            <v>2748</v>
          </cell>
          <cell r="B2840">
            <v>42719</v>
          </cell>
          <cell r="C2840" t="str">
            <v>DICIEMBRE</v>
          </cell>
          <cell r="D2840" t="str">
            <v>2016</v>
          </cell>
          <cell r="E2840">
            <v>200</v>
          </cell>
          <cell r="F2840" t="str">
            <v>TALLER</v>
          </cell>
          <cell r="G2840" t="str">
            <v>TALLER</v>
          </cell>
          <cell r="H2840" t="str">
            <v>TALLER</v>
          </cell>
          <cell r="I2840" t="str">
            <v>TALLER</v>
          </cell>
          <cell r="J2840" t="str">
            <v>REPUESTO</v>
          </cell>
          <cell r="K2840" t="str">
            <v>DISCO DE CORTE 4"</v>
          </cell>
          <cell r="L2840">
            <v>1</v>
          </cell>
          <cell r="M2840" t="str">
            <v>UNID.</v>
          </cell>
          <cell r="N2840" t="str">
            <v>TALLER</v>
          </cell>
          <cell r="O2840">
            <v>71</v>
          </cell>
          <cell r="P2840" t="str">
            <v>S3</v>
          </cell>
          <cell r="Q2840" t="str">
            <v>J2</v>
          </cell>
          <cell r="R2840" t="str">
            <v>J6</v>
          </cell>
          <cell r="S2840" t="str">
            <v>ENTREGADO</v>
          </cell>
          <cell r="T2840">
            <v>0</v>
          </cell>
          <cell r="U2840" t="str">
            <v>JIMENEZ MACHACA JAVIER</v>
          </cell>
          <cell r="V2840" t="str">
            <v>CORIHUAMAN SURCO  ERICK ROBERT</v>
          </cell>
        </row>
        <row r="2841">
          <cell r="A2841">
            <v>2754</v>
          </cell>
          <cell r="B2841">
            <v>42719</v>
          </cell>
          <cell r="C2841" t="str">
            <v>DICIEMBRE</v>
          </cell>
          <cell r="D2841" t="str">
            <v>2016</v>
          </cell>
          <cell r="E2841">
            <v>200</v>
          </cell>
          <cell r="F2841" t="str">
            <v>TALLER</v>
          </cell>
          <cell r="G2841" t="str">
            <v>TALLER</v>
          </cell>
          <cell r="H2841" t="str">
            <v>TALLER</v>
          </cell>
          <cell r="I2841" t="str">
            <v>TALLER</v>
          </cell>
          <cell r="J2841" t="str">
            <v>REPUESTO</v>
          </cell>
          <cell r="K2841" t="str">
            <v>PLATINA 2 X 1/8</v>
          </cell>
          <cell r="L2841">
            <v>9</v>
          </cell>
          <cell r="M2841" t="str">
            <v>UNID.</v>
          </cell>
          <cell r="N2841" t="str">
            <v>TRACTO</v>
          </cell>
          <cell r="O2841">
            <v>71</v>
          </cell>
          <cell r="P2841" t="str">
            <v>J4</v>
          </cell>
          <cell r="Q2841" t="str">
            <v>J4</v>
          </cell>
          <cell r="R2841" t="str">
            <v>J6</v>
          </cell>
          <cell r="S2841" t="str">
            <v>ENTREGADO</v>
          </cell>
          <cell r="T2841">
            <v>0</v>
          </cell>
          <cell r="U2841" t="str">
            <v>CHIAN MANRIQUE PEDRO ANTONIO</v>
          </cell>
          <cell r="V2841" t="str">
            <v>CHIAN MANRIQUE PEDRO ANTONIO</v>
          </cell>
        </row>
        <row r="2842">
          <cell r="A2842">
            <v>2755</v>
          </cell>
          <cell r="B2842">
            <v>42719</v>
          </cell>
          <cell r="C2842" t="str">
            <v>DICIEMBRE</v>
          </cell>
          <cell r="D2842" t="str">
            <v>2016</v>
          </cell>
          <cell r="E2842">
            <v>200</v>
          </cell>
          <cell r="F2842" t="str">
            <v>TALLER</v>
          </cell>
          <cell r="G2842" t="str">
            <v>TALLER</v>
          </cell>
          <cell r="H2842" t="str">
            <v>TALLER</v>
          </cell>
          <cell r="I2842" t="str">
            <v>TALLER</v>
          </cell>
          <cell r="J2842" t="str">
            <v>REPUESTO</v>
          </cell>
          <cell r="K2842" t="str">
            <v>BISAGRAS 3 1/8 X 2</v>
          </cell>
          <cell r="L2842">
            <v>63</v>
          </cell>
          <cell r="M2842" t="str">
            <v>UNID.</v>
          </cell>
          <cell r="N2842" t="str">
            <v>TRACTO</v>
          </cell>
          <cell r="O2842">
            <v>71</v>
          </cell>
          <cell r="P2842" t="str">
            <v>J4</v>
          </cell>
          <cell r="Q2842" t="str">
            <v>J4</v>
          </cell>
          <cell r="R2842" t="str">
            <v>J6</v>
          </cell>
          <cell r="S2842" t="str">
            <v>ENTREGADO</v>
          </cell>
          <cell r="T2842">
            <v>0</v>
          </cell>
          <cell r="U2842" t="str">
            <v>CHIAN MANRIQUE PEDRO ANTONIO</v>
          </cell>
          <cell r="V2842" t="str">
            <v>CHIAN MANRIQUE PEDRO ANTONIO</v>
          </cell>
        </row>
        <row r="2843">
          <cell r="A2843">
            <v>2756</v>
          </cell>
          <cell r="B2843">
            <v>42719</v>
          </cell>
          <cell r="C2843" t="str">
            <v>DICIEMBRE</v>
          </cell>
          <cell r="D2843" t="str">
            <v>2016</v>
          </cell>
          <cell r="E2843">
            <v>200</v>
          </cell>
          <cell r="F2843" t="str">
            <v>TALLER</v>
          </cell>
          <cell r="G2843" t="str">
            <v>TALLER</v>
          </cell>
          <cell r="H2843" t="str">
            <v>TALLER</v>
          </cell>
          <cell r="I2843" t="str">
            <v>TALLER</v>
          </cell>
          <cell r="J2843" t="str">
            <v>REPUESTO</v>
          </cell>
          <cell r="K2843" t="str">
            <v>ARANDELA PLANA 1/2</v>
          </cell>
          <cell r="L2843">
            <v>252</v>
          </cell>
          <cell r="M2843" t="str">
            <v>UNID.</v>
          </cell>
          <cell r="N2843" t="str">
            <v>TRACTO</v>
          </cell>
          <cell r="O2843">
            <v>71</v>
          </cell>
          <cell r="P2843" t="str">
            <v>J4</v>
          </cell>
          <cell r="Q2843" t="str">
            <v>J4</v>
          </cell>
          <cell r="R2843" t="str">
            <v>J6</v>
          </cell>
          <cell r="S2843" t="str">
            <v>ENTREGADO</v>
          </cell>
          <cell r="T2843">
            <v>0</v>
          </cell>
          <cell r="U2843" t="str">
            <v>CHIAN MANRIQUE PEDRO ANTONIO</v>
          </cell>
          <cell r="V2843" t="str">
            <v>CHIAN MANRIQUE PEDRO ANTONIO</v>
          </cell>
        </row>
        <row r="2844">
          <cell r="A2844">
            <v>2757</v>
          </cell>
          <cell r="B2844">
            <v>42719</v>
          </cell>
          <cell r="C2844" t="str">
            <v>DICIEMBRE</v>
          </cell>
          <cell r="D2844" t="str">
            <v>2016</v>
          </cell>
          <cell r="E2844">
            <v>200</v>
          </cell>
          <cell r="F2844" t="str">
            <v>TALLER</v>
          </cell>
          <cell r="G2844" t="str">
            <v>TALLER</v>
          </cell>
          <cell r="H2844" t="str">
            <v>TALLER</v>
          </cell>
          <cell r="I2844" t="str">
            <v>TALLER</v>
          </cell>
          <cell r="J2844" t="str">
            <v>REPUESTO</v>
          </cell>
          <cell r="K2844" t="str">
            <v>PLANCHA 3/32 X 4 X 8</v>
          </cell>
          <cell r="L2844">
            <v>1</v>
          </cell>
          <cell r="M2844" t="str">
            <v>UNID.</v>
          </cell>
          <cell r="N2844" t="str">
            <v>TRACTO</v>
          </cell>
          <cell r="O2844">
            <v>71</v>
          </cell>
          <cell r="P2844" t="str">
            <v>J4</v>
          </cell>
          <cell r="Q2844" t="str">
            <v>J4</v>
          </cell>
          <cell r="R2844" t="str">
            <v>J6</v>
          </cell>
          <cell r="S2844" t="str">
            <v>ENTREGADO</v>
          </cell>
          <cell r="T2844">
            <v>0</v>
          </cell>
          <cell r="U2844" t="str">
            <v>CHIAN MANRIQUE PEDRO ANTONIO</v>
          </cell>
          <cell r="V2844" t="str">
            <v>CHIAN MANRIQUE PEDRO ANTONIO</v>
          </cell>
        </row>
        <row r="2845">
          <cell r="A2845">
            <v>2763</v>
          </cell>
          <cell r="B2845">
            <v>42719</v>
          </cell>
          <cell r="C2845" t="str">
            <v>DICIEMBRE</v>
          </cell>
          <cell r="D2845" t="str">
            <v>2016</v>
          </cell>
          <cell r="E2845">
            <v>200</v>
          </cell>
          <cell r="F2845" t="str">
            <v>TALLER</v>
          </cell>
          <cell r="G2845" t="str">
            <v>TALLER</v>
          </cell>
          <cell r="H2845" t="str">
            <v>TALLER</v>
          </cell>
          <cell r="I2845" t="str">
            <v>TALLER</v>
          </cell>
          <cell r="J2845" t="str">
            <v>IMPLEMENTACION</v>
          </cell>
          <cell r="K2845" t="str">
            <v>JEBE LONA 60 X 60 X 1/4</v>
          </cell>
          <cell r="L2845">
            <v>10</v>
          </cell>
          <cell r="M2845" t="str">
            <v>UNID.</v>
          </cell>
          <cell r="N2845" t="str">
            <v>TALLER</v>
          </cell>
          <cell r="O2845">
            <v>71</v>
          </cell>
          <cell r="P2845" t="str">
            <v>J2</v>
          </cell>
          <cell r="Q2845" t="str">
            <v>J1</v>
          </cell>
          <cell r="R2845" t="str">
            <v>J5</v>
          </cell>
          <cell r="S2845" t="str">
            <v>ENTREGADO</v>
          </cell>
          <cell r="T2845">
            <v>0</v>
          </cell>
          <cell r="U2845" t="str">
            <v>CORIHUAMAN SURCO  ERICK ROBERT</v>
          </cell>
          <cell r="V2845" t="str">
            <v>FLOREZ CONDORI  JOSE WILLIANS</v>
          </cell>
        </row>
        <row r="2846">
          <cell r="A2846">
            <v>2822</v>
          </cell>
          <cell r="B2846">
            <v>42719</v>
          </cell>
          <cell r="C2846" t="str">
            <v>DICIEMBRE</v>
          </cell>
          <cell r="D2846" t="str">
            <v>2016</v>
          </cell>
          <cell r="E2846">
            <v>200</v>
          </cell>
          <cell r="F2846" t="str">
            <v>TALLER</v>
          </cell>
          <cell r="G2846" t="str">
            <v>TALLER</v>
          </cell>
          <cell r="H2846" t="str">
            <v>TALLER</v>
          </cell>
          <cell r="I2846" t="str">
            <v>TALLER</v>
          </cell>
          <cell r="J2846" t="str">
            <v>IMPLEMENTACION</v>
          </cell>
          <cell r="K2846" t="str">
            <v>ESCOBA</v>
          </cell>
          <cell r="L2846">
            <v>1</v>
          </cell>
          <cell r="M2846" t="str">
            <v>UNID.</v>
          </cell>
          <cell r="N2846" t="str">
            <v>TALLER</v>
          </cell>
          <cell r="O2846">
            <v>71</v>
          </cell>
          <cell r="P2846" t="str">
            <v>J2</v>
          </cell>
          <cell r="Q2846" t="str">
            <v>J2</v>
          </cell>
          <cell r="R2846" t="str">
            <v>J6</v>
          </cell>
          <cell r="S2846" t="str">
            <v>PENDIENTE</v>
          </cell>
          <cell r="T2846">
            <v>0</v>
          </cell>
          <cell r="U2846" t="str">
            <v>CORIHUAMAN SURCO  ERICK ROBERT</v>
          </cell>
          <cell r="V2846" t="str">
            <v>CORIHUAMAN SURCO  ERICK ROBERT</v>
          </cell>
        </row>
        <row r="2847">
          <cell r="A2847">
            <v>2823</v>
          </cell>
          <cell r="B2847">
            <v>42719</v>
          </cell>
          <cell r="C2847" t="str">
            <v>DICIEMBRE</v>
          </cell>
          <cell r="D2847" t="str">
            <v>2016</v>
          </cell>
          <cell r="E2847">
            <v>200</v>
          </cell>
          <cell r="F2847" t="str">
            <v>TALLER</v>
          </cell>
          <cell r="G2847" t="str">
            <v>TALLER</v>
          </cell>
          <cell r="H2847" t="str">
            <v>TALLER</v>
          </cell>
          <cell r="I2847" t="str">
            <v>TALLER</v>
          </cell>
          <cell r="J2847" t="str">
            <v>IMPLEMENTACION</v>
          </cell>
          <cell r="K2847" t="str">
            <v>RECOGEDOR</v>
          </cell>
          <cell r="L2847">
            <v>1</v>
          </cell>
          <cell r="M2847" t="str">
            <v>UNID.</v>
          </cell>
          <cell r="N2847" t="str">
            <v>TALLER</v>
          </cell>
          <cell r="O2847">
            <v>71</v>
          </cell>
          <cell r="P2847" t="str">
            <v>J2</v>
          </cell>
          <cell r="Q2847" t="str">
            <v>J2</v>
          </cell>
          <cell r="R2847" t="str">
            <v>J6</v>
          </cell>
          <cell r="S2847" t="str">
            <v>PENDIENTE</v>
          </cell>
          <cell r="T2847">
            <v>0</v>
          </cell>
          <cell r="U2847" t="str">
            <v>CORIHUAMAN SURCO  ERICK ROBERT</v>
          </cell>
          <cell r="V2847" t="str">
            <v>CORIHUAMAN SURCO  ERICK ROBERT</v>
          </cell>
        </row>
        <row r="2848">
          <cell r="A2848">
            <v>2849</v>
          </cell>
          <cell r="B2848">
            <v>42719</v>
          </cell>
          <cell r="C2848" t="str">
            <v>DICIEMBRE</v>
          </cell>
          <cell r="D2848" t="str">
            <v>2016</v>
          </cell>
          <cell r="E2848">
            <v>200</v>
          </cell>
          <cell r="F2848" t="str">
            <v>TALLER</v>
          </cell>
          <cell r="G2848" t="str">
            <v>TALLER</v>
          </cell>
          <cell r="H2848" t="str">
            <v>TALLER</v>
          </cell>
          <cell r="I2848" t="str">
            <v>TALLER</v>
          </cell>
          <cell r="J2848" t="str">
            <v>REPUESTO</v>
          </cell>
          <cell r="K2848" t="str">
            <v>TIZA DE CALDERO</v>
          </cell>
          <cell r="L2848">
            <v>1</v>
          </cell>
          <cell r="M2848" t="str">
            <v>UNID.</v>
          </cell>
          <cell r="N2848" t="str">
            <v>TALLER</v>
          </cell>
          <cell r="O2848">
            <v>71</v>
          </cell>
          <cell r="P2848" t="str">
            <v>S2</v>
          </cell>
          <cell r="Q2848" t="str">
            <v>J1</v>
          </cell>
          <cell r="R2848" t="str">
            <v>J5</v>
          </cell>
          <cell r="S2848" t="str">
            <v>ENTREGADO</v>
          </cell>
          <cell r="T2848">
            <v>0</v>
          </cell>
          <cell r="U2848" t="str">
            <v>PALOMINO ESTRADA  MICHEL</v>
          </cell>
          <cell r="V2848" t="str">
            <v>FLOREZ CONDORI  JOSE WILLIANS</v>
          </cell>
        </row>
        <row r="2849">
          <cell r="A2849">
            <v>2850</v>
          </cell>
          <cell r="B2849">
            <v>42719</v>
          </cell>
          <cell r="C2849" t="str">
            <v>DICIEMBRE</v>
          </cell>
          <cell r="D2849" t="str">
            <v>2016</v>
          </cell>
          <cell r="E2849">
            <v>200</v>
          </cell>
          <cell r="F2849" t="str">
            <v>TALLER</v>
          </cell>
          <cell r="G2849" t="str">
            <v>TALLER</v>
          </cell>
          <cell r="H2849" t="str">
            <v>TALLER</v>
          </cell>
          <cell r="I2849" t="str">
            <v>TALLER</v>
          </cell>
          <cell r="J2849" t="str">
            <v>REPUESTO</v>
          </cell>
          <cell r="K2849" t="str">
            <v>CABLE VULCANIZADO 3X16</v>
          </cell>
          <cell r="L2849">
            <v>5</v>
          </cell>
          <cell r="M2849" t="str">
            <v>M</v>
          </cell>
          <cell r="N2849" t="str">
            <v>TALLER</v>
          </cell>
          <cell r="O2849">
            <v>71</v>
          </cell>
          <cell r="P2849" t="str">
            <v>E2</v>
          </cell>
          <cell r="Q2849" t="str">
            <v>J1</v>
          </cell>
          <cell r="R2849" t="str">
            <v>J5</v>
          </cell>
          <cell r="S2849" t="str">
            <v>ENTREGADO</v>
          </cell>
          <cell r="T2849">
            <v>0</v>
          </cell>
          <cell r="U2849" t="str">
            <v>YUCA BELLIDO BORIS YERSY</v>
          </cell>
          <cell r="V2849" t="str">
            <v>FLOREZ CONDORI  JOSE WILLIANS</v>
          </cell>
        </row>
        <row r="2850">
          <cell r="A2850">
            <v>2851</v>
          </cell>
          <cell r="B2850">
            <v>42719</v>
          </cell>
          <cell r="C2850" t="str">
            <v>DICIEMBRE</v>
          </cell>
          <cell r="D2850" t="str">
            <v>2016</v>
          </cell>
          <cell r="E2850">
            <v>200</v>
          </cell>
          <cell r="F2850" t="str">
            <v>TALLER</v>
          </cell>
          <cell r="G2850" t="str">
            <v>TALLER</v>
          </cell>
          <cell r="H2850" t="str">
            <v>TALLER</v>
          </cell>
          <cell r="I2850" t="str">
            <v>TALLER</v>
          </cell>
          <cell r="J2850" t="str">
            <v>REPUESTO</v>
          </cell>
          <cell r="K2850" t="str">
            <v>CINTA AISLANTE NEGRA</v>
          </cell>
          <cell r="L2850">
            <v>1</v>
          </cell>
          <cell r="M2850" t="str">
            <v>UNID.</v>
          </cell>
          <cell r="N2850" t="str">
            <v>TALLER</v>
          </cell>
          <cell r="O2850">
            <v>71</v>
          </cell>
          <cell r="P2850" t="str">
            <v>E2</v>
          </cell>
          <cell r="Q2850" t="str">
            <v>J1</v>
          </cell>
          <cell r="R2850" t="str">
            <v>J5</v>
          </cell>
          <cell r="S2850" t="str">
            <v>ENTREGADO</v>
          </cell>
          <cell r="T2850">
            <v>0</v>
          </cell>
          <cell r="U2850" t="str">
            <v>YUCA BELLIDO BORIS YERSY</v>
          </cell>
          <cell r="V2850" t="str">
            <v>FLOREZ CONDORI  JOSE WILLIANS</v>
          </cell>
        </row>
        <row r="2851">
          <cell r="A2851">
            <v>2857</v>
          </cell>
          <cell r="B2851">
            <v>42719</v>
          </cell>
          <cell r="C2851" t="str">
            <v>DICIEMBRE</v>
          </cell>
          <cell r="D2851" t="str">
            <v>2016</v>
          </cell>
          <cell r="E2851">
            <v>200</v>
          </cell>
          <cell r="F2851" t="str">
            <v>TALLER</v>
          </cell>
          <cell r="G2851" t="str">
            <v>TALLER</v>
          </cell>
          <cell r="H2851" t="str">
            <v>TALLER</v>
          </cell>
          <cell r="I2851" t="str">
            <v>TALLER</v>
          </cell>
          <cell r="J2851" t="str">
            <v>REPUESTO</v>
          </cell>
          <cell r="K2851" t="str">
            <v>SELLOCOR</v>
          </cell>
          <cell r="L2851">
            <v>2</v>
          </cell>
          <cell r="M2851" t="str">
            <v>KG.</v>
          </cell>
          <cell r="N2851" t="str">
            <v>TALLER</v>
          </cell>
          <cell r="O2851">
            <v>71</v>
          </cell>
          <cell r="P2851" t="str">
            <v>S4</v>
          </cell>
          <cell r="Q2851" t="str">
            <v>J2</v>
          </cell>
          <cell r="R2851" t="str">
            <v>J2</v>
          </cell>
          <cell r="S2851" t="str">
            <v>ENTREGADO</v>
          </cell>
          <cell r="T2851">
            <v>0</v>
          </cell>
          <cell r="U2851" t="str">
            <v>SURCO QUISPE JOHNNY</v>
          </cell>
          <cell r="V2851" t="str">
            <v>CORIHUAMAN SURCO  ERICK ROBERT</v>
          </cell>
        </row>
        <row r="2852">
          <cell r="A2852">
            <v>2765</v>
          </cell>
          <cell r="B2852">
            <v>42719</v>
          </cell>
          <cell r="C2852" t="str">
            <v>DICIEMBRE</v>
          </cell>
          <cell r="D2852" t="str">
            <v>2016</v>
          </cell>
          <cell r="E2852">
            <v>427</v>
          </cell>
          <cell r="F2852" t="str">
            <v>X2W-759</v>
          </cell>
          <cell r="G2852" t="str">
            <v>C5V-999</v>
          </cell>
          <cell r="H2852" t="str">
            <v>LAS BAMBAS</v>
          </cell>
          <cell r="I2852">
            <v>153388</v>
          </cell>
          <cell r="J2852" t="str">
            <v>REPUESTO</v>
          </cell>
          <cell r="K2852" t="str">
            <v>LIQUIDO REFRIGERANTE</v>
          </cell>
          <cell r="L2852">
            <v>1</v>
          </cell>
          <cell r="M2852" t="str">
            <v>GLNS.</v>
          </cell>
          <cell r="N2852" t="str">
            <v>TRACTO</v>
          </cell>
          <cell r="O2852">
            <v>71</v>
          </cell>
          <cell r="P2852" t="str">
            <v>M3</v>
          </cell>
          <cell r="Q2852" t="str">
            <v>J1</v>
          </cell>
          <cell r="R2852" t="str">
            <v>J5</v>
          </cell>
          <cell r="S2852" t="str">
            <v>ENTREGADO</v>
          </cell>
          <cell r="T2852">
            <v>0</v>
          </cell>
          <cell r="U2852" t="str">
            <v>GARCIA PASQUEL  JOSE LUIS</v>
          </cell>
          <cell r="V2852" t="str">
            <v>FLOREZ CONDORI  JOSE WILLIANS</v>
          </cell>
        </row>
        <row r="2853">
          <cell r="A2853">
            <v>2774</v>
          </cell>
          <cell r="B2853">
            <v>42719</v>
          </cell>
          <cell r="C2853" t="str">
            <v>DICIEMBRE</v>
          </cell>
          <cell r="D2853" t="str">
            <v>2016</v>
          </cell>
          <cell r="E2853">
            <v>427</v>
          </cell>
          <cell r="F2853" t="str">
            <v>X2W-759</v>
          </cell>
          <cell r="G2853" t="str">
            <v>C5V-999</v>
          </cell>
          <cell r="H2853" t="str">
            <v>LAS BAMBAS</v>
          </cell>
          <cell r="I2853">
            <v>153388</v>
          </cell>
          <cell r="J2853" t="str">
            <v>REPUESTO</v>
          </cell>
          <cell r="K2853" t="str">
            <v>PERNO 3/16 X 2 1/2"</v>
          </cell>
          <cell r="L2853">
            <v>1</v>
          </cell>
          <cell r="M2853" t="str">
            <v>UNID.</v>
          </cell>
          <cell r="N2853" t="str">
            <v>TRACTO</v>
          </cell>
          <cell r="O2853">
            <v>71</v>
          </cell>
          <cell r="P2853" t="str">
            <v>M3</v>
          </cell>
          <cell r="Q2853" t="str">
            <v>J2</v>
          </cell>
          <cell r="R2853" t="str">
            <v>J5</v>
          </cell>
          <cell r="S2853" t="str">
            <v>ENTREGADO</v>
          </cell>
          <cell r="T2853">
            <v>0</v>
          </cell>
          <cell r="U2853" t="str">
            <v>GARCIA PASQUEL  JOSE LUIS</v>
          </cell>
          <cell r="V2853" t="str">
            <v>CORIHUAMAN SURCO  ERICK ROBERT</v>
          </cell>
        </row>
        <row r="2854">
          <cell r="A2854">
            <v>2775</v>
          </cell>
          <cell r="B2854">
            <v>42719</v>
          </cell>
          <cell r="C2854" t="str">
            <v>DICIEMBRE</v>
          </cell>
          <cell r="D2854" t="str">
            <v>2016</v>
          </cell>
          <cell r="E2854">
            <v>427</v>
          </cell>
          <cell r="F2854" t="str">
            <v>X2W-759</v>
          </cell>
          <cell r="G2854" t="str">
            <v>C5V-999</v>
          </cell>
          <cell r="H2854" t="str">
            <v>LAS BAMBAS</v>
          </cell>
          <cell r="I2854">
            <v>153388</v>
          </cell>
          <cell r="J2854" t="str">
            <v>REPUESTO</v>
          </cell>
          <cell r="K2854" t="str">
            <v>TUERCA 3/16</v>
          </cell>
          <cell r="L2854">
            <v>2</v>
          </cell>
          <cell r="M2854" t="str">
            <v>UNID.</v>
          </cell>
          <cell r="N2854" t="str">
            <v>TRACTO</v>
          </cell>
          <cell r="O2854">
            <v>71</v>
          </cell>
          <cell r="P2854" t="str">
            <v>M3</v>
          </cell>
          <cell r="Q2854" t="str">
            <v>J2</v>
          </cell>
          <cell r="R2854" t="str">
            <v>J5</v>
          </cell>
          <cell r="S2854" t="str">
            <v>ENTREGADO</v>
          </cell>
          <cell r="T2854">
            <v>0</v>
          </cell>
          <cell r="U2854" t="str">
            <v>GARCIA PASQUEL  JOSE LUIS</v>
          </cell>
          <cell r="V2854" t="str">
            <v>CORIHUAMAN SURCO  ERICK ROBERT</v>
          </cell>
        </row>
        <row r="2855">
          <cell r="A2855">
            <v>2776</v>
          </cell>
          <cell r="B2855">
            <v>42719</v>
          </cell>
          <cell r="C2855" t="str">
            <v>DICIEMBRE</v>
          </cell>
          <cell r="D2855" t="str">
            <v>2016</v>
          </cell>
          <cell r="E2855">
            <v>427</v>
          </cell>
          <cell r="F2855" t="str">
            <v>X2W-759</v>
          </cell>
          <cell r="G2855" t="str">
            <v>C5V-999</v>
          </cell>
          <cell r="H2855" t="str">
            <v>LAS BAMBAS</v>
          </cell>
          <cell r="I2855">
            <v>153388</v>
          </cell>
          <cell r="J2855" t="str">
            <v>REPUESTO</v>
          </cell>
          <cell r="K2855" t="str">
            <v>ARANDELA PLANA 3/16</v>
          </cell>
          <cell r="L2855">
            <v>2</v>
          </cell>
          <cell r="M2855" t="str">
            <v>UNID.</v>
          </cell>
          <cell r="N2855" t="str">
            <v>TRACTO</v>
          </cell>
          <cell r="O2855">
            <v>71</v>
          </cell>
          <cell r="P2855" t="str">
            <v>M3</v>
          </cell>
          <cell r="Q2855" t="str">
            <v>J2</v>
          </cell>
          <cell r="R2855" t="str">
            <v>J5</v>
          </cell>
          <cell r="S2855" t="str">
            <v>ENTREGADO</v>
          </cell>
          <cell r="T2855">
            <v>0</v>
          </cell>
          <cell r="U2855" t="str">
            <v>GARCIA PASQUEL  JOSE LUIS</v>
          </cell>
          <cell r="V2855" t="str">
            <v>CORIHUAMAN SURCO  ERICK ROBERT</v>
          </cell>
        </row>
        <row r="2856">
          <cell r="A2856">
            <v>2787</v>
          </cell>
          <cell r="B2856">
            <v>42719</v>
          </cell>
          <cell r="C2856" t="str">
            <v>DICIEMBRE</v>
          </cell>
          <cell r="D2856" t="str">
            <v>2016</v>
          </cell>
          <cell r="E2856">
            <v>587</v>
          </cell>
          <cell r="F2856" t="str">
            <v>X2W-759</v>
          </cell>
          <cell r="G2856" t="str">
            <v>C5V-999</v>
          </cell>
          <cell r="H2856" t="str">
            <v>LAS BAMBAS</v>
          </cell>
          <cell r="I2856">
            <v>154752</v>
          </cell>
          <cell r="J2856" t="str">
            <v>REPUESTO</v>
          </cell>
          <cell r="K2856" t="str">
            <v>LIQUIDO REFRIGERANTE</v>
          </cell>
          <cell r="L2856">
            <v>1</v>
          </cell>
          <cell r="M2856" t="str">
            <v>GLNS.</v>
          </cell>
          <cell r="N2856" t="str">
            <v>TRACTO</v>
          </cell>
          <cell r="O2856">
            <v>71</v>
          </cell>
          <cell r="P2856" t="str">
            <v>M3</v>
          </cell>
          <cell r="Q2856" t="str">
            <v>J2</v>
          </cell>
          <cell r="R2856" t="str">
            <v>J5</v>
          </cell>
          <cell r="S2856" t="str">
            <v>ENTREGADO</v>
          </cell>
          <cell r="T2856">
            <v>0</v>
          </cell>
          <cell r="U2856" t="str">
            <v>GARCIA PASQUEL  JOSE LUIS</v>
          </cell>
          <cell r="V2856" t="str">
            <v>CORIHUAMAN SURCO  ERICK ROBERT</v>
          </cell>
        </row>
        <row r="2857">
          <cell r="A2857">
            <v>2813</v>
          </cell>
          <cell r="B2857">
            <v>42719</v>
          </cell>
          <cell r="C2857" t="str">
            <v>DICIEMBRE</v>
          </cell>
          <cell r="D2857" t="str">
            <v>2016</v>
          </cell>
          <cell r="E2857">
            <v>587</v>
          </cell>
          <cell r="F2857" t="str">
            <v>X2W-759</v>
          </cell>
          <cell r="G2857" t="str">
            <v>C5V-999</v>
          </cell>
          <cell r="H2857" t="str">
            <v>LAS BAMBAS</v>
          </cell>
          <cell r="I2857">
            <v>154752</v>
          </cell>
          <cell r="J2857" t="str">
            <v>REPUESTO</v>
          </cell>
          <cell r="K2857" t="str">
            <v>BOTON DE CLAXON C/ TERMINALES</v>
          </cell>
          <cell r="L2857">
            <v>1</v>
          </cell>
          <cell r="M2857" t="str">
            <v>UNID.</v>
          </cell>
          <cell r="N2857" t="str">
            <v>TRACTO</v>
          </cell>
          <cell r="O2857">
            <v>71</v>
          </cell>
          <cell r="P2857" t="str">
            <v>E1</v>
          </cell>
          <cell r="Q2857" t="str">
            <v>J2</v>
          </cell>
          <cell r="R2857" t="str">
            <v>J5</v>
          </cell>
          <cell r="S2857" t="str">
            <v>PENDIENTE</v>
          </cell>
          <cell r="T2857">
            <v>0</v>
          </cell>
          <cell r="U2857" t="str">
            <v>PALOMINO CARDENAS JUAN CARLOS</v>
          </cell>
          <cell r="V2857" t="str">
            <v>CORIHUAMAN SURCO  ERICK ROBERT</v>
          </cell>
        </row>
        <row r="2858">
          <cell r="A2858">
            <v>2814</v>
          </cell>
          <cell r="B2858">
            <v>42719</v>
          </cell>
          <cell r="C2858" t="str">
            <v>DICIEMBRE</v>
          </cell>
          <cell r="D2858" t="str">
            <v>2016</v>
          </cell>
          <cell r="E2858">
            <v>587</v>
          </cell>
          <cell r="F2858" t="str">
            <v>X2W-759</v>
          </cell>
          <cell r="G2858" t="str">
            <v>C5V-999</v>
          </cell>
          <cell r="H2858" t="str">
            <v>LAS BAMBAS</v>
          </cell>
          <cell r="I2858">
            <v>154752</v>
          </cell>
          <cell r="J2858" t="str">
            <v>REPUESTO</v>
          </cell>
          <cell r="K2858" t="str">
            <v>CABLE VULCANIZADO 3X16</v>
          </cell>
          <cell r="L2858">
            <v>1</v>
          </cell>
          <cell r="M2858" t="str">
            <v>M</v>
          </cell>
          <cell r="N2858" t="str">
            <v>TRACTO</v>
          </cell>
          <cell r="O2858">
            <v>71</v>
          </cell>
          <cell r="P2858" t="str">
            <v>E1</v>
          </cell>
          <cell r="Q2858" t="str">
            <v>J2</v>
          </cell>
          <cell r="R2858" t="str">
            <v>J5</v>
          </cell>
          <cell r="S2858" t="str">
            <v>ENTREGADO</v>
          </cell>
          <cell r="T2858">
            <v>0</v>
          </cell>
          <cell r="U2858" t="str">
            <v>PALOMINO CARDENAS JUAN CARLOS</v>
          </cell>
          <cell r="V2858" t="str">
            <v>CORIHUAMAN SURCO  ERICK ROBERT</v>
          </cell>
        </row>
        <row r="2859">
          <cell r="A2859">
            <v>2910</v>
          </cell>
          <cell r="B2859">
            <v>42720</v>
          </cell>
          <cell r="C2859" t="str">
            <v>DICIEMBRE</v>
          </cell>
          <cell r="D2859" t="str">
            <v>2016</v>
          </cell>
          <cell r="E2859">
            <v>593</v>
          </cell>
          <cell r="F2859" t="str">
            <v>ABQ-703</v>
          </cell>
          <cell r="G2859" t="str">
            <v>D0Z-994</v>
          </cell>
          <cell r="H2859" t="str">
            <v>LAS BAMBAS</v>
          </cell>
          <cell r="I2859">
            <v>102521</v>
          </cell>
          <cell r="J2859" t="str">
            <v>REPUESTO</v>
          </cell>
          <cell r="K2859" t="str">
            <v xml:space="preserve">LLANTAS </v>
          </cell>
          <cell r="L2859">
            <v>5</v>
          </cell>
          <cell r="M2859" t="str">
            <v>UNID.</v>
          </cell>
          <cell r="N2859" t="str">
            <v>CISTERNA</v>
          </cell>
          <cell r="O2859">
            <v>70</v>
          </cell>
          <cell r="P2859" t="str">
            <v>N2</v>
          </cell>
          <cell r="Q2859" t="str">
            <v>J2</v>
          </cell>
          <cell r="R2859" t="str">
            <v>J6</v>
          </cell>
          <cell r="S2859" t="str">
            <v>ENTREGADO</v>
          </cell>
          <cell r="T2859">
            <v>0</v>
          </cell>
          <cell r="U2859" t="str">
            <v>MAMANI LARICO  EDUARDO ALVARO</v>
          </cell>
          <cell r="V2859" t="str">
            <v>CORIHUAMAN SURCO  ERICK ROBERT</v>
          </cell>
        </row>
        <row r="2860">
          <cell r="A2860">
            <v>2863</v>
          </cell>
          <cell r="B2860">
            <v>42720</v>
          </cell>
          <cell r="C2860" t="str">
            <v>DICIEMBRE</v>
          </cell>
          <cell r="D2860" t="str">
            <v>2016</v>
          </cell>
          <cell r="E2860">
            <v>604</v>
          </cell>
          <cell r="F2860" t="str">
            <v>ABR-759</v>
          </cell>
          <cell r="G2860" t="str">
            <v>D0Z-995</v>
          </cell>
          <cell r="H2860" t="str">
            <v>LAS BAMBAS</v>
          </cell>
          <cell r="I2860">
            <v>113074</v>
          </cell>
          <cell r="J2860" t="str">
            <v>REPUESTO</v>
          </cell>
          <cell r="K2860" t="str">
            <v>RETENEDOR DE PUERTA</v>
          </cell>
          <cell r="L2860">
            <v>2</v>
          </cell>
          <cell r="M2860" t="str">
            <v>UNID.</v>
          </cell>
          <cell r="N2860" t="str">
            <v>TRACTO</v>
          </cell>
          <cell r="O2860">
            <v>70</v>
          </cell>
          <cell r="P2860" t="str">
            <v>M6</v>
          </cell>
          <cell r="Q2860" t="str">
            <v>J1</v>
          </cell>
          <cell r="R2860" t="str">
            <v>J6</v>
          </cell>
          <cell r="S2860" t="str">
            <v>ENTREGADO</v>
          </cell>
          <cell r="T2860">
            <v>0</v>
          </cell>
          <cell r="U2860" t="str">
            <v>PARI VENTURA  EDSON ORLANDO</v>
          </cell>
          <cell r="V2860" t="str">
            <v>FLOREZ CONDORI  JOSE WILLIANS</v>
          </cell>
        </row>
        <row r="2861">
          <cell r="A2861">
            <v>2864</v>
          </cell>
          <cell r="B2861">
            <v>42720</v>
          </cell>
          <cell r="C2861" t="str">
            <v>DICIEMBRE</v>
          </cell>
          <cell r="D2861" t="str">
            <v>2016</v>
          </cell>
          <cell r="E2861">
            <v>604</v>
          </cell>
          <cell r="F2861" t="str">
            <v>ABR-759</v>
          </cell>
          <cell r="G2861" t="str">
            <v>D0Z-995</v>
          </cell>
          <cell r="H2861" t="str">
            <v>LAS BAMBAS</v>
          </cell>
          <cell r="I2861">
            <v>113074</v>
          </cell>
          <cell r="J2861" t="str">
            <v>REPUESTO</v>
          </cell>
          <cell r="K2861" t="str">
            <v>FILTRO DE AIRE PRIMARIO</v>
          </cell>
          <cell r="L2861">
            <v>1</v>
          </cell>
          <cell r="M2861" t="str">
            <v>UNID.</v>
          </cell>
          <cell r="N2861" t="str">
            <v>TRACTO</v>
          </cell>
          <cell r="O2861">
            <v>70</v>
          </cell>
          <cell r="P2861" t="str">
            <v>M6</v>
          </cell>
          <cell r="Q2861" t="str">
            <v>J1</v>
          </cell>
          <cell r="R2861" t="str">
            <v>J6</v>
          </cell>
          <cell r="S2861" t="str">
            <v>ENTREGADO</v>
          </cell>
          <cell r="T2861">
            <v>0</v>
          </cell>
          <cell r="U2861" t="str">
            <v>PARI VENTURA  EDSON ORLANDO</v>
          </cell>
          <cell r="V2861" t="str">
            <v>FLOREZ CONDORI  JOSE WILLIANS</v>
          </cell>
        </row>
        <row r="2862">
          <cell r="A2862">
            <v>2865</v>
          </cell>
          <cell r="B2862">
            <v>42720</v>
          </cell>
          <cell r="C2862" t="str">
            <v>DICIEMBRE</v>
          </cell>
          <cell r="D2862" t="str">
            <v>2016</v>
          </cell>
          <cell r="E2862">
            <v>604</v>
          </cell>
          <cell r="F2862" t="str">
            <v>ABR-759</v>
          </cell>
          <cell r="G2862" t="str">
            <v>D0Z-995</v>
          </cell>
          <cell r="H2862" t="str">
            <v>LAS BAMBAS</v>
          </cell>
          <cell r="I2862">
            <v>113074</v>
          </cell>
          <cell r="J2862" t="str">
            <v>REPUESTO</v>
          </cell>
          <cell r="K2862" t="str">
            <v>FILTRO DE AIRE SECUNDARIO</v>
          </cell>
          <cell r="L2862">
            <v>1</v>
          </cell>
          <cell r="M2862" t="str">
            <v>UNID.</v>
          </cell>
          <cell r="N2862" t="str">
            <v>TRACTO</v>
          </cell>
          <cell r="O2862">
            <v>70</v>
          </cell>
          <cell r="P2862" t="str">
            <v>M6</v>
          </cell>
          <cell r="Q2862" t="str">
            <v>J1</v>
          </cell>
          <cell r="R2862" t="str">
            <v>J6</v>
          </cell>
          <cell r="S2862" t="str">
            <v>ENTREGADO</v>
          </cell>
          <cell r="T2862">
            <v>0</v>
          </cell>
          <cell r="U2862" t="str">
            <v>PARI VENTURA  EDSON ORLANDO</v>
          </cell>
          <cell r="V2862" t="str">
            <v>FLOREZ CONDORI  JOSE WILLIANS</v>
          </cell>
        </row>
        <row r="2863">
          <cell r="A2863">
            <v>2866</v>
          </cell>
          <cell r="B2863">
            <v>42720</v>
          </cell>
          <cell r="C2863" t="str">
            <v>DICIEMBRE</v>
          </cell>
          <cell r="D2863" t="str">
            <v>2016</v>
          </cell>
          <cell r="E2863">
            <v>604</v>
          </cell>
          <cell r="F2863" t="str">
            <v>ABR-759</v>
          </cell>
          <cell r="G2863" t="str">
            <v>D0Z-995</v>
          </cell>
          <cell r="H2863" t="str">
            <v>LAS BAMBAS</v>
          </cell>
          <cell r="I2863">
            <v>113074</v>
          </cell>
          <cell r="J2863" t="str">
            <v>REPUESTO</v>
          </cell>
          <cell r="K2863" t="str">
            <v>FILTRO DE CABINA</v>
          </cell>
          <cell r="L2863">
            <v>1</v>
          </cell>
          <cell r="M2863" t="str">
            <v>UNID.</v>
          </cell>
          <cell r="N2863" t="str">
            <v>TRACTO</v>
          </cell>
          <cell r="O2863">
            <v>70</v>
          </cell>
          <cell r="P2863" t="str">
            <v>M6</v>
          </cell>
          <cell r="Q2863" t="str">
            <v>J1</v>
          </cell>
          <cell r="R2863" t="str">
            <v>J6</v>
          </cell>
          <cell r="S2863" t="str">
            <v>ENTREGADO</v>
          </cell>
          <cell r="T2863">
            <v>0</v>
          </cell>
          <cell r="U2863" t="str">
            <v>PARI VENTURA  EDSON ORLANDO</v>
          </cell>
          <cell r="V2863" t="str">
            <v>FLOREZ CONDORI  JOSE WILLIANS</v>
          </cell>
        </row>
        <row r="2864">
          <cell r="A2864">
            <v>2867</v>
          </cell>
          <cell r="B2864">
            <v>42720</v>
          </cell>
          <cell r="C2864" t="str">
            <v>DICIEMBRE</v>
          </cell>
          <cell r="D2864" t="str">
            <v>2016</v>
          </cell>
          <cell r="E2864">
            <v>604</v>
          </cell>
          <cell r="F2864" t="str">
            <v>ABR-759</v>
          </cell>
          <cell r="G2864" t="str">
            <v>D0Z-995</v>
          </cell>
          <cell r="H2864" t="str">
            <v>LAS BAMBAS</v>
          </cell>
          <cell r="I2864">
            <v>113074</v>
          </cell>
          <cell r="J2864" t="str">
            <v>REPUESTO</v>
          </cell>
          <cell r="K2864" t="str">
            <v>FILTRO DE ACEITE</v>
          </cell>
          <cell r="L2864">
            <v>2</v>
          </cell>
          <cell r="M2864" t="str">
            <v>UNID.</v>
          </cell>
          <cell r="N2864" t="str">
            <v>TRACTO</v>
          </cell>
          <cell r="O2864">
            <v>70</v>
          </cell>
          <cell r="P2864" t="str">
            <v>M6</v>
          </cell>
          <cell r="Q2864" t="str">
            <v>J1</v>
          </cell>
          <cell r="R2864" t="str">
            <v>J6</v>
          </cell>
          <cell r="S2864" t="str">
            <v>ENTREGADO</v>
          </cell>
          <cell r="T2864">
            <v>0</v>
          </cell>
          <cell r="U2864" t="str">
            <v>PARI VENTURA  EDSON ORLANDO</v>
          </cell>
          <cell r="V2864" t="str">
            <v>FLOREZ CONDORI  JOSE WILLIANS</v>
          </cell>
        </row>
        <row r="2865">
          <cell r="A2865">
            <v>2868</v>
          </cell>
          <cell r="B2865">
            <v>42720</v>
          </cell>
          <cell r="C2865" t="str">
            <v>DICIEMBRE</v>
          </cell>
          <cell r="D2865" t="str">
            <v>2016</v>
          </cell>
          <cell r="E2865">
            <v>604</v>
          </cell>
          <cell r="F2865" t="str">
            <v>ABR-759</v>
          </cell>
          <cell r="G2865" t="str">
            <v>D0Z-995</v>
          </cell>
          <cell r="H2865" t="str">
            <v>LAS BAMBAS</v>
          </cell>
          <cell r="I2865">
            <v>113074</v>
          </cell>
          <cell r="J2865" t="str">
            <v>REPUESTO</v>
          </cell>
          <cell r="K2865" t="str">
            <v>FILTRO DE COMBUSTIBLE PRIMARIO</v>
          </cell>
          <cell r="L2865">
            <v>1</v>
          </cell>
          <cell r="M2865" t="str">
            <v>UNID.</v>
          </cell>
          <cell r="N2865" t="str">
            <v>TRACTO</v>
          </cell>
          <cell r="O2865">
            <v>70</v>
          </cell>
          <cell r="P2865" t="str">
            <v>M6</v>
          </cell>
          <cell r="Q2865" t="str">
            <v>J1</v>
          </cell>
          <cell r="R2865" t="str">
            <v>J6</v>
          </cell>
          <cell r="S2865" t="str">
            <v>ENTREGADO</v>
          </cell>
          <cell r="T2865">
            <v>0</v>
          </cell>
          <cell r="U2865" t="str">
            <v>PARI VENTURA  EDSON ORLANDO</v>
          </cell>
          <cell r="V2865" t="str">
            <v>FLOREZ CONDORI  JOSE WILLIANS</v>
          </cell>
        </row>
        <row r="2866">
          <cell r="A2866">
            <v>2869</v>
          </cell>
          <cell r="B2866">
            <v>42720</v>
          </cell>
          <cell r="C2866" t="str">
            <v>DICIEMBRE</v>
          </cell>
          <cell r="D2866" t="str">
            <v>2016</v>
          </cell>
          <cell r="E2866">
            <v>604</v>
          </cell>
          <cell r="F2866" t="str">
            <v>ABR-759</v>
          </cell>
          <cell r="G2866" t="str">
            <v>D0Z-995</v>
          </cell>
          <cell r="H2866" t="str">
            <v>LAS BAMBAS</v>
          </cell>
          <cell r="I2866">
            <v>113074</v>
          </cell>
          <cell r="J2866" t="str">
            <v>REPUESTO</v>
          </cell>
          <cell r="K2866" t="str">
            <v>FILTRO DE COMBUSTIBLE SECUNDARIO</v>
          </cell>
          <cell r="L2866">
            <v>1</v>
          </cell>
          <cell r="M2866" t="str">
            <v>UNID.</v>
          </cell>
          <cell r="N2866" t="str">
            <v>TRACTO</v>
          </cell>
          <cell r="O2866">
            <v>70</v>
          </cell>
          <cell r="P2866" t="str">
            <v>M6</v>
          </cell>
          <cell r="Q2866" t="str">
            <v>J1</v>
          </cell>
          <cell r="R2866" t="str">
            <v>J6</v>
          </cell>
          <cell r="S2866" t="str">
            <v>ENTREGADO</v>
          </cell>
          <cell r="T2866">
            <v>0</v>
          </cell>
          <cell r="U2866" t="str">
            <v>PARI VENTURA  EDSON ORLANDO</v>
          </cell>
          <cell r="V2866" t="str">
            <v>FLOREZ CONDORI  JOSE WILLIANS</v>
          </cell>
        </row>
        <row r="2867">
          <cell r="A2867">
            <v>2870</v>
          </cell>
          <cell r="B2867">
            <v>42720</v>
          </cell>
          <cell r="C2867" t="str">
            <v>DICIEMBRE</v>
          </cell>
          <cell r="D2867" t="str">
            <v>2016</v>
          </cell>
          <cell r="E2867">
            <v>604</v>
          </cell>
          <cell r="F2867" t="str">
            <v>ABR-759</v>
          </cell>
          <cell r="G2867" t="str">
            <v>D0Z-995</v>
          </cell>
          <cell r="H2867" t="str">
            <v>LAS BAMBAS</v>
          </cell>
          <cell r="I2867">
            <v>113074</v>
          </cell>
          <cell r="J2867" t="str">
            <v>REPUESTO</v>
          </cell>
          <cell r="K2867" t="str">
            <v>ACEITE 15W40</v>
          </cell>
          <cell r="L2867">
            <v>10</v>
          </cell>
          <cell r="M2867" t="str">
            <v>GLNS.</v>
          </cell>
          <cell r="N2867" t="str">
            <v>TRACTO</v>
          </cell>
          <cell r="O2867">
            <v>70</v>
          </cell>
          <cell r="P2867" t="str">
            <v>M6</v>
          </cell>
          <cell r="Q2867" t="str">
            <v>J1</v>
          </cell>
          <cell r="R2867" t="str">
            <v>J6</v>
          </cell>
          <cell r="S2867" t="str">
            <v>ENTREGADO</v>
          </cell>
          <cell r="T2867">
            <v>0</v>
          </cell>
          <cell r="U2867" t="str">
            <v>PARI VENTURA  EDSON ORLANDO</v>
          </cell>
          <cell r="V2867" t="str">
            <v>FLOREZ CONDORI  JOSE WILLIANS</v>
          </cell>
        </row>
        <row r="2868">
          <cell r="A2868">
            <v>2871</v>
          </cell>
          <cell r="B2868">
            <v>42720</v>
          </cell>
          <cell r="C2868" t="str">
            <v>DICIEMBRE</v>
          </cell>
          <cell r="D2868" t="str">
            <v>2016</v>
          </cell>
          <cell r="E2868">
            <v>604</v>
          </cell>
          <cell r="F2868" t="str">
            <v>ABR-759</v>
          </cell>
          <cell r="G2868" t="str">
            <v>D0Z-995</v>
          </cell>
          <cell r="H2868" t="str">
            <v>LAS BAMBAS</v>
          </cell>
          <cell r="I2868">
            <v>113074</v>
          </cell>
          <cell r="J2868" t="str">
            <v>REPUESTO</v>
          </cell>
          <cell r="K2868" t="str">
            <v>LIQUIDO REFRIGERANTE</v>
          </cell>
          <cell r="L2868">
            <v>1</v>
          </cell>
          <cell r="M2868" t="str">
            <v>GLNS.</v>
          </cell>
          <cell r="N2868" t="str">
            <v>TRACTO</v>
          </cell>
          <cell r="O2868">
            <v>70</v>
          </cell>
          <cell r="P2868" t="str">
            <v>M6</v>
          </cell>
          <cell r="Q2868" t="str">
            <v>J1</v>
          </cell>
          <cell r="R2868" t="str">
            <v>J6</v>
          </cell>
          <cell r="S2868" t="str">
            <v>ENTREGADO</v>
          </cell>
          <cell r="T2868">
            <v>0</v>
          </cell>
          <cell r="U2868" t="str">
            <v>PARI VENTURA  EDSON ORLANDO</v>
          </cell>
          <cell r="V2868" t="str">
            <v>FLOREZ CONDORI  JOSE WILLIANS</v>
          </cell>
        </row>
        <row r="2869">
          <cell r="A2869">
            <v>2872</v>
          </cell>
          <cell r="B2869">
            <v>42720</v>
          </cell>
          <cell r="C2869" t="str">
            <v>DICIEMBRE</v>
          </cell>
          <cell r="D2869" t="str">
            <v>2016</v>
          </cell>
          <cell r="E2869">
            <v>604</v>
          </cell>
          <cell r="F2869" t="str">
            <v>ABR-759</v>
          </cell>
          <cell r="G2869" t="str">
            <v>D0Z-995</v>
          </cell>
          <cell r="H2869" t="str">
            <v>LAS BAMBAS</v>
          </cell>
          <cell r="I2869">
            <v>113074</v>
          </cell>
          <cell r="J2869" t="str">
            <v>REPUESTO</v>
          </cell>
          <cell r="K2869" t="str">
            <v>LIQUIDO LIMPIAPARABRISAS</v>
          </cell>
          <cell r="L2869">
            <v>1</v>
          </cell>
          <cell r="M2869" t="str">
            <v>GLNS.</v>
          </cell>
          <cell r="N2869" t="str">
            <v>TRACTO</v>
          </cell>
          <cell r="O2869">
            <v>70</v>
          </cell>
          <cell r="P2869" t="str">
            <v>M6</v>
          </cell>
          <cell r="Q2869" t="str">
            <v>J1</v>
          </cell>
          <cell r="R2869" t="str">
            <v>J6</v>
          </cell>
          <cell r="S2869" t="str">
            <v>ENTREGADO</v>
          </cell>
          <cell r="T2869">
            <v>0</v>
          </cell>
          <cell r="U2869" t="str">
            <v>PARI VENTURA  EDSON ORLANDO</v>
          </cell>
          <cell r="V2869" t="str">
            <v>FLOREZ CONDORI  JOSE WILLIANS</v>
          </cell>
        </row>
        <row r="2870">
          <cell r="A2870">
            <v>2887</v>
          </cell>
          <cell r="B2870">
            <v>42720</v>
          </cell>
          <cell r="C2870" t="str">
            <v>DICIEMBRE</v>
          </cell>
          <cell r="D2870" t="str">
            <v>2016</v>
          </cell>
          <cell r="E2870">
            <v>604</v>
          </cell>
          <cell r="F2870" t="str">
            <v>ABR-759</v>
          </cell>
          <cell r="G2870" t="str">
            <v>D0Z-995</v>
          </cell>
          <cell r="H2870" t="str">
            <v>LAS BAMBAS</v>
          </cell>
          <cell r="I2870">
            <v>113074</v>
          </cell>
          <cell r="J2870" t="str">
            <v>REPUESTO</v>
          </cell>
          <cell r="K2870" t="str">
            <v>PERNO MANHOLE 3/8 X 6</v>
          </cell>
          <cell r="L2870">
            <v>1</v>
          </cell>
          <cell r="M2870" t="str">
            <v>UNID.</v>
          </cell>
          <cell r="N2870" t="str">
            <v>CISTERNA</v>
          </cell>
          <cell r="O2870">
            <v>70</v>
          </cell>
          <cell r="P2870" t="str">
            <v>J7</v>
          </cell>
          <cell r="Q2870" t="str">
            <v>J7</v>
          </cell>
          <cell r="R2870" t="str">
            <v>J6</v>
          </cell>
          <cell r="S2870" t="str">
            <v>ENTREGADO</v>
          </cell>
          <cell r="T2870">
            <v>0</v>
          </cell>
          <cell r="U2870" t="str">
            <v>DONAYRE INGA PEDRO</v>
          </cell>
          <cell r="V2870" t="str">
            <v>DONAYRE INGA PEDRO</v>
          </cell>
        </row>
        <row r="2871">
          <cell r="A2871">
            <v>2888</v>
          </cell>
          <cell r="B2871">
            <v>42720</v>
          </cell>
          <cell r="C2871" t="str">
            <v>DICIEMBRE</v>
          </cell>
          <cell r="D2871" t="str">
            <v>2016</v>
          </cell>
          <cell r="E2871">
            <v>604</v>
          </cell>
          <cell r="F2871" t="str">
            <v>ABR-759</v>
          </cell>
          <cell r="G2871" t="str">
            <v>D0Z-995</v>
          </cell>
          <cell r="H2871" t="str">
            <v>LAS BAMBAS</v>
          </cell>
          <cell r="I2871">
            <v>113074</v>
          </cell>
          <cell r="J2871" t="str">
            <v>REPUESTO</v>
          </cell>
          <cell r="K2871" t="str">
            <v>TUERCA 3/8</v>
          </cell>
          <cell r="L2871">
            <v>2</v>
          </cell>
          <cell r="M2871" t="str">
            <v>UNID.</v>
          </cell>
          <cell r="N2871" t="str">
            <v>CISTERNA</v>
          </cell>
          <cell r="O2871">
            <v>70</v>
          </cell>
          <cell r="P2871" t="str">
            <v>J7</v>
          </cell>
          <cell r="Q2871" t="str">
            <v>J7</v>
          </cell>
          <cell r="R2871" t="str">
            <v>J6</v>
          </cell>
          <cell r="S2871" t="str">
            <v>ENTREGADO</v>
          </cell>
          <cell r="T2871">
            <v>0</v>
          </cell>
          <cell r="U2871" t="str">
            <v>DONAYRE INGA PEDRO</v>
          </cell>
          <cell r="V2871" t="str">
            <v>DONAYRE INGA PEDRO</v>
          </cell>
        </row>
        <row r="2872">
          <cell r="A2872">
            <v>2905</v>
          </cell>
          <cell r="B2872">
            <v>42720</v>
          </cell>
          <cell r="C2872" t="str">
            <v>DICIEMBRE</v>
          </cell>
          <cell r="D2872" t="str">
            <v>2016</v>
          </cell>
          <cell r="E2872">
            <v>607</v>
          </cell>
          <cell r="F2872" t="str">
            <v>ABR-796</v>
          </cell>
          <cell r="G2872" t="str">
            <v>C9S-994</v>
          </cell>
          <cell r="H2872" t="str">
            <v>LAS BAMBAS</v>
          </cell>
          <cell r="I2872">
            <v>112414</v>
          </cell>
          <cell r="J2872" t="str">
            <v>REPUESTO</v>
          </cell>
          <cell r="K2872" t="str">
            <v>LLANTAS CARRETA</v>
          </cell>
          <cell r="L2872">
            <v>4</v>
          </cell>
          <cell r="M2872" t="str">
            <v>UNID.</v>
          </cell>
          <cell r="N2872" t="str">
            <v>CISTERNA</v>
          </cell>
          <cell r="O2872">
            <v>70</v>
          </cell>
          <cell r="P2872" t="str">
            <v>N1</v>
          </cell>
          <cell r="Q2872" t="str">
            <v>J2</v>
          </cell>
          <cell r="R2872" t="str">
            <v>J6</v>
          </cell>
          <cell r="S2872" t="str">
            <v>ENTREGADO</v>
          </cell>
          <cell r="T2872">
            <v>0</v>
          </cell>
          <cell r="U2872" t="str">
            <v>AGUILAR CCANTUTA WILLY</v>
          </cell>
          <cell r="V2872" t="str">
            <v>CORIHUAMAN SURCO  ERICK ROBERT</v>
          </cell>
        </row>
        <row r="2873">
          <cell r="A2873">
            <v>2882</v>
          </cell>
          <cell r="B2873">
            <v>42720</v>
          </cell>
          <cell r="C2873" t="str">
            <v>DICIEMBRE</v>
          </cell>
          <cell r="D2873" t="str">
            <v>2016</v>
          </cell>
          <cell r="E2873">
            <v>607</v>
          </cell>
          <cell r="F2873" t="str">
            <v>ABR-796</v>
          </cell>
          <cell r="G2873" t="str">
            <v>C9S-994</v>
          </cell>
          <cell r="H2873" t="str">
            <v>LAS BAMBAS</v>
          </cell>
          <cell r="I2873">
            <v>112414</v>
          </cell>
          <cell r="J2873" t="str">
            <v>REPUESTO</v>
          </cell>
          <cell r="K2873" t="str">
            <v>FAROS NEBLINEROS AAA</v>
          </cell>
          <cell r="L2873">
            <v>2</v>
          </cell>
          <cell r="M2873" t="str">
            <v>UNID.</v>
          </cell>
          <cell r="N2873" t="str">
            <v>TRACTO</v>
          </cell>
          <cell r="O2873">
            <v>70</v>
          </cell>
          <cell r="P2873" t="str">
            <v>E3</v>
          </cell>
          <cell r="Q2873" t="str">
            <v>J2</v>
          </cell>
          <cell r="R2873" t="str">
            <v>J5</v>
          </cell>
          <cell r="S2873" t="str">
            <v>ENTREGADO</v>
          </cell>
          <cell r="T2873">
            <v>0</v>
          </cell>
          <cell r="U2873" t="str">
            <v>CONDORI CHURATA ALEX</v>
          </cell>
          <cell r="V2873" t="str">
            <v>CORIHUAMAN SURCO  ERICK ROBERT</v>
          </cell>
        </row>
        <row r="2874">
          <cell r="A2874">
            <v>2902</v>
          </cell>
          <cell r="B2874">
            <v>42720</v>
          </cell>
          <cell r="C2874" t="str">
            <v>DICIEMBRE</v>
          </cell>
          <cell r="D2874" t="str">
            <v>2016</v>
          </cell>
          <cell r="E2874">
            <v>607</v>
          </cell>
          <cell r="F2874" t="str">
            <v>ABR-796</v>
          </cell>
          <cell r="G2874" t="str">
            <v>C9S-994</v>
          </cell>
          <cell r="H2874" t="str">
            <v>LAS BAMBAS</v>
          </cell>
          <cell r="I2874">
            <v>112414</v>
          </cell>
          <cell r="J2874" t="str">
            <v>REPUESTO</v>
          </cell>
          <cell r="K2874" t="str">
            <v>LIQUIDO LIMPIAPARABRISAS</v>
          </cell>
          <cell r="L2874">
            <v>1</v>
          </cell>
          <cell r="M2874" t="str">
            <v>GLNS.</v>
          </cell>
          <cell r="N2874" t="str">
            <v>TRACTO</v>
          </cell>
          <cell r="O2874">
            <v>70</v>
          </cell>
          <cell r="P2874" t="str">
            <v>M1</v>
          </cell>
          <cell r="Q2874" t="str">
            <v>J2</v>
          </cell>
          <cell r="R2874" t="str">
            <v>J6</v>
          </cell>
          <cell r="S2874" t="str">
            <v>ENTREGADO</v>
          </cell>
          <cell r="T2874">
            <v>0</v>
          </cell>
          <cell r="U2874" t="str">
            <v>CABEZAS SANCHEZ JEAN JHONATAN</v>
          </cell>
          <cell r="V2874" t="str">
            <v>CORIHUAMAN SURCO  ERICK ROBERT</v>
          </cell>
        </row>
        <row r="2875">
          <cell r="A2875">
            <v>2903</v>
          </cell>
          <cell r="B2875">
            <v>42720</v>
          </cell>
          <cell r="C2875" t="str">
            <v>DICIEMBRE</v>
          </cell>
          <cell r="D2875" t="str">
            <v>2016</v>
          </cell>
          <cell r="E2875">
            <v>607</v>
          </cell>
          <cell r="F2875" t="str">
            <v>ABR-796</v>
          </cell>
          <cell r="G2875" t="str">
            <v>C9S-994</v>
          </cell>
          <cell r="H2875" t="str">
            <v>LAS BAMBAS</v>
          </cell>
          <cell r="I2875">
            <v>112414</v>
          </cell>
          <cell r="J2875" t="str">
            <v>REPUESTO</v>
          </cell>
          <cell r="K2875" t="str">
            <v>LIQUIDO REFRIGHERANTE</v>
          </cell>
          <cell r="L2875">
            <v>0.5</v>
          </cell>
          <cell r="M2875" t="str">
            <v>GLNS.</v>
          </cell>
          <cell r="N2875" t="str">
            <v>TRACTO</v>
          </cell>
          <cell r="O2875">
            <v>70</v>
          </cell>
          <cell r="P2875" t="str">
            <v>M1</v>
          </cell>
          <cell r="Q2875" t="str">
            <v>J2</v>
          </cell>
          <cell r="R2875" t="str">
            <v>J6</v>
          </cell>
          <cell r="S2875" t="str">
            <v>ENTREGADO</v>
          </cell>
          <cell r="T2875">
            <v>0</v>
          </cell>
          <cell r="U2875" t="str">
            <v>CABEZAS SANCHEZ JEAN JHONATAN</v>
          </cell>
          <cell r="V2875" t="str">
            <v>CORIHUAMAN SURCO  ERICK ROBERT</v>
          </cell>
        </row>
        <row r="2876">
          <cell r="A2876">
            <v>2904</v>
          </cell>
          <cell r="B2876">
            <v>42720</v>
          </cell>
          <cell r="C2876" t="str">
            <v>DICIEMBRE</v>
          </cell>
          <cell r="D2876" t="str">
            <v>2016</v>
          </cell>
          <cell r="E2876">
            <v>607</v>
          </cell>
          <cell r="F2876" t="str">
            <v>ABR-796</v>
          </cell>
          <cell r="G2876" t="str">
            <v>C9S-994</v>
          </cell>
          <cell r="H2876" t="str">
            <v>LAS BAMBAS</v>
          </cell>
          <cell r="I2876">
            <v>112414</v>
          </cell>
          <cell r="J2876" t="str">
            <v>REPUESTO</v>
          </cell>
          <cell r="K2876" t="str">
            <v>HIDROLINA</v>
          </cell>
          <cell r="L2876">
            <v>0.25</v>
          </cell>
          <cell r="M2876" t="str">
            <v>GLNS.</v>
          </cell>
          <cell r="N2876" t="str">
            <v>TRACTO</v>
          </cell>
          <cell r="O2876">
            <v>70</v>
          </cell>
          <cell r="P2876" t="str">
            <v>M1</v>
          </cell>
          <cell r="Q2876" t="str">
            <v>J2</v>
          </cell>
          <cell r="R2876" t="str">
            <v>J6</v>
          </cell>
          <cell r="S2876" t="str">
            <v>ENTREGADO</v>
          </cell>
          <cell r="T2876">
            <v>0</v>
          </cell>
          <cell r="U2876" t="str">
            <v>CABEZAS SANCHEZ JEAN JHONATAN</v>
          </cell>
          <cell r="V2876" t="str">
            <v>CORIHUAMAN SURCO  ERICK ROBERT</v>
          </cell>
        </row>
        <row r="2877">
          <cell r="A2877">
            <v>2945</v>
          </cell>
          <cell r="B2877">
            <v>42720</v>
          </cell>
          <cell r="C2877" t="str">
            <v>DICIEMBRE</v>
          </cell>
          <cell r="D2877" t="str">
            <v>2016</v>
          </cell>
          <cell r="E2877">
            <v>520</v>
          </cell>
          <cell r="F2877" t="str">
            <v>AEG-922</v>
          </cell>
          <cell r="G2877" t="str">
            <v>CAMIONETA</v>
          </cell>
          <cell r="H2877" t="str">
            <v>LAS BAMBAS</v>
          </cell>
          <cell r="I2877">
            <v>98089</v>
          </cell>
          <cell r="J2877" t="str">
            <v>REPUESTO</v>
          </cell>
          <cell r="K2877" t="str">
            <v>LLANTAS DE CAMIONETA NRO. 16</v>
          </cell>
          <cell r="L2877">
            <v>2</v>
          </cell>
          <cell r="M2877" t="str">
            <v>UNID.</v>
          </cell>
          <cell r="N2877" t="str">
            <v>CAMIONETA</v>
          </cell>
          <cell r="O2877">
            <v>70</v>
          </cell>
          <cell r="P2877" t="str">
            <v>J1</v>
          </cell>
          <cell r="Q2877" t="str">
            <v>J1</v>
          </cell>
          <cell r="R2877" t="str">
            <v>J6</v>
          </cell>
          <cell r="S2877" t="str">
            <v>ENTREGADO</v>
          </cell>
          <cell r="T2877">
            <v>0</v>
          </cell>
          <cell r="U2877" t="str">
            <v>FLOREZ CONDORI  JOSE WILLIANS</v>
          </cell>
          <cell r="V2877" t="str">
            <v>FLOREZ CONDORI  JOSE WILLIANS</v>
          </cell>
        </row>
        <row r="2878">
          <cell r="A2878">
            <v>2947</v>
          </cell>
          <cell r="B2878">
            <v>42720</v>
          </cell>
          <cell r="C2878" t="str">
            <v>DICIEMBRE</v>
          </cell>
          <cell r="D2878" t="str">
            <v>2016</v>
          </cell>
          <cell r="E2878">
            <v>520</v>
          </cell>
          <cell r="F2878" t="str">
            <v>AEG-922</v>
          </cell>
          <cell r="G2878" t="str">
            <v>CAMIONETA</v>
          </cell>
          <cell r="H2878" t="str">
            <v>LAS BAMBAS</v>
          </cell>
          <cell r="I2878">
            <v>98089</v>
          </cell>
          <cell r="J2878" t="str">
            <v>SERVICIO</v>
          </cell>
          <cell r="K2878" t="str">
            <v>ENLLANTE DE 2 NEUMATICOS DE LA CAMIONETA</v>
          </cell>
          <cell r="L2878">
            <v>1</v>
          </cell>
          <cell r="M2878" t="str">
            <v>UNID.</v>
          </cell>
          <cell r="N2878" t="str">
            <v>CAMIONETA</v>
          </cell>
          <cell r="O2878">
            <v>70</v>
          </cell>
          <cell r="P2878" t="str">
            <v>J1</v>
          </cell>
          <cell r="Q2878" t="str">
            <v>J1</v>
          </cell>
          <cell r="R2878" t="str">
            <v>J6</v>
          </cell>
          <cell r="S2878" t="str">
            <v>ENTREGADO</v>
          </cell>
          <cell r="T2878">
            <v>0</v>
          </cell>
          <cell r="U2878" t="str">
            <v>FLOREZ CONDORI  JOSE WILLIANS</v>
          </cell>
          <cell r="V2878" t="str">
            <v>FLOREZ CONDORI  JOSE WILLIANS</v>
          </cell>
        </row>
        <row r="2879">
          <cell r="A2879">
            <v>2948</v>
          </cell>
          <cell r="B2879">
            <v>42720</v>
          </cell>
          <cell r="C2879" t="str">
            <v>DICIEMBRE</v>
          </cell>
          <cell r="D2879" t="str">
            <v>2016</v>
          </cell>
          <cell r="E2879">
            <v>520</v>
          </cell>
          <cell r="F2879" t="str">
            <v>AEG-922</v>
          </cell>
          <cell r="G2879" t="str">
            <v>CAMIONETA</v>
          </cell>
          <cell r="H2879" t="str">
            <v>LAS BAMBAS</v>
          </cell>
          <cell r="I2879">
            <v>98089</v>
          </cell>
          <cell r="J2879" t="str">
            <v>SERVICIO</v>
          </cell>
          <cell r="K2879" t="str">
            <v>INSTALACION DE PORTACAMILLAS</v>
          </cell>
          <cell r="L2879">
            <v>1</v>
          </cell>
          <cell r="M2879" t="str">
            <v>UNID.</v>
          </cell>
          <cell r="N2879" t="str">
            <v>CAMIONETA</v>
          </cell>
          <cell r="O2879">
            <v>70</v>
          </cell>
          <cell r="P2879" t="str">
            <v>J1</v>
          </cell>
          <cell r="Q2879" t="str">
            <v>J1</v>
          </cell>
          <cell r="R2879" t="str">
            <v>J6</v>
          </cell>
          <cell r="S2879" t="str">
            <v>ENTREGADO</v>
          </cell>
          <cell r="T2879">
            <v>0</v>
          </cell>
          <cell r="U2879" t="str">
            <v>FLOREZ CONDORI  JOSE WILLIANS</v>
          </cell>
          <cell r="V2879" t="str">
            <v>FLOREZ CONDORI  JOSE WILLIANS</v>
          </cell>
        </row>
        <row r="2880">
          <cell r="A2880">
            <v>2906</v>
          </cell>
          <cell r="B2880">
            <v>42720</v>
          </cell>
          <cell r="C2880" t="str">
            <v>DICIEMBRE</v>
          </cell>
          <cell r="D2880" t="str">
            <v>2016</v>
          </cell>
          <cell r="E2880">
            <v>504</v>
          </cell>
          <cell r="F2880" t="str">
            <v>AEH-862</v>
          </cell>
          <cell r="G2880" t="str">
            <v>CAMIONETA</v>
          </cell>
          <cell r="H2880" t="str">
            <v>LAS BAMBAS</v>
          </cell>
          <cell r="I2880">
            <v>97780</v>
          </cell>
          <cell r="J2880" t="str">
            <v>REPUESTO</v>
          </cell>
          <cell r="K2880" t="str">
            <v>FILTRO COMBUSTIBLE</v>
          </cell>
          <cell r="L2880">
            <v>1</v>
          </cell>
          <cell r="M2880" t="str">
            <v>UNID.</v>
          </cell>
          <cell r="N2880" t="str">
            <v>CAMIONETA</v>
          </cell>
          <cell r="O2880">
            <v>70</v>
          </cell>
          <cell r="P2880" t="str">
            <v>J1</v>
          </cell>
          <cell r="Q2880" t="str">
            <v>J1</v>
          </cell>
          <cell r="R2880" t="str">
            <v>J6</v>
          </cell>
          <cell r="S2880" t="str">
            <v>ENTREGADO</v>
          </cell>
          <cell r="T2880">
            <v>0</v>
          </cell>
          <cell r="U2880" t="str">
            <v>FLOREZ CONDORI  JOSE WILLIANS</v>
          </cell>
          <cell r="V2880" t="str">
            <v>FLOREZ CONDORI  JOSE WILLIANS</v>
          </cell>
        </row>
        <row r="2881">
          <cell r="A2881">
            <v>2907</v>
          </cell>
          <cell r="B2881">
            <v>42720</v>
          </cell>
          <cell r="C2881" t="str">
            <v>DICIEMBRE</v>
          </cell>
          <cell r="D2881" t="str">
            <v>2016</v>
          </cell>
          <cell r="E2881">
            <v>504</v>
          </cell>
          <cell r="F2881" t="str">
            <v>AEH-862</v>
          </cell>
          <cell r="G2881" t="str">
            <v>CAMIONETA</v>
          </cell>
          <cell r="H2881" t="str">
            <v>LAS BAMBAS</v>
          </cell>
          <cell r="I2881">
            <v>97780</v>
          </cell>
          <cell r="J2881" t="str">
            <v>REPUESTO</v>
          </cell>
          <cell r="K2881" t="str">
            <v>FILTRO DE AIRE</v>
          </cell>
          <cell r="L2881">
            <v>1</v>
          </cell>
          <cell r="M2881" t="str">
            <v>UNID.</v>
          </cell>
          <cell r="N2881" t="str">
            <v>CAMIONETA</v>
          </cell>
          <cell r="O2881">
            <v>70</v>
          </cell>
          <cell r="P2881" t="str">
            <v>J1</v>
          </cell>
          <cell r="Q2881" t="str">
            <v>J1</v>
          </cell>
          <cell r="R2881" t="str">
            <v>J6</v>
          </cell>
          <cell r="S2881" t="str">
            <v>ENTREGADO</v>
          </cell>
          <cell r="T2881">
            <v>0</v>
          </cell>
          <cell r="U2881" t="str">
            <v>FLOREZ CONDORI  JOSE WILLIANS</v>
          </cell>
          <cell r="V2881" t="str">
            <v>FLOREZ CONDORI  JOSE WILLIANS</v>
          </cell>
        </row>
        <row r="2882">
          <cell r="A2882">
            <v>2908</v>
          </cell>
          <cell r="B2882">
            <v>42720</v>
          </cell>
          <cell r="C2882" t="str">
            <v>DICIEMBRE</v>
          </cell>
          <cell r="D2882" t="str">
            <v>2016</v>
          </cell>
          <cell r="E2882">
            <v>504</v>
          </cell>
          <cell r="F2882" t="str">
            <v>AEH-862</v>
          </cell>
          <cell r="G2882" t="str">
            <v>CAMIONETA</v>
          </cell>
          <cell r="H2882" t="str">
            <v>LAS BAMBAS</v>
          </cell>
          <cell r="I2882">
            <v>97780</v>
          </cell>
          <cell r="J2882" t="str">
            <v>REPUESTO</v>
          </cell>
          <cell r="K2882" t="str">
            <v>FILTRO DE ACEITE</v>
          </cell>
          <cell r="L2882">
            <v>1</v>
          </cell>
          <cell r="M2882" t="str">
            <v>UNID.</v>
          </cell>
          <cell r="N2882" t="str">
            <v>CAMIONETA</v>
          </cell>
          <cell r="O2882">
            <v>70</v>
          </cell>
          <cell r="P2882" t="str">
            <v>J1</v>
          </cell>
          <cell r="Q2882" t="str">
            <v>J1</v>
          </cell>
          <cell r="R2882" t="str">
            <v>J6</v>
          </cell>
          <cell r="S2882" t="str">
            <v>ENTREGADO</v>
          </cell>
          <cell r="T2882">
            <v>0</v>
          </cell>
          <cell r="U2882" t="str">
            <v>FLOREZ CONDORI  JOSE WILLIANS</v>
          </cell>
          <cell r="V2882" t="str">
            <v>FLOREZ CONDORI  JOSE WILLIANS</v>
          </cell>
        </row>
        <row r="2883">
          <cell r="A2883">
            <v>2909</v>
          </cell>
          <cell r="B2883">
            <v>42720</v>
          </cell>
          <cell r="C2883" t="str">
            <v>DICIEMBRE</v>
          </cell>
          <cell r="D2883" t="str">
            <v>2016</v>
          </cell>
          <cell r="E2883">
            <v>504</v>
          </cell>
          <cell r="F2883" t="str">
            <v>AEH-862</v>
          </cell>
          <cell r="G2883" t="str">
            <v>CAMIONETA</v>
          </cell>
          <cell r="H2883" t="str">
            <v>LAS BAMBAS</v>
          </cell>
          <cell r="I2883">
            <v>97780</v>
          </cell>
          <cell r="J2883" t="str">
            <v>REPUESTO</v>
          </cell>
          <cell r="K2883" t="str">
            <v>ACEITE MOTOR 15W-40</v>
          </cell>
          <cell r="L2883">
            <v>2</v>
          </cell>
          <cell r="M2883" t="str">
            <v>GLNS.</v>
          </cell>
          <cell r="N2883" t="str">
            <v>CAMIONETA</v>
          </cell>
          <cell r="O2883">
            <v>70</v>
          </cell>
          <cell r="P2883" t="str">
            <v>J1</v>
          </cell>
          <cell r="Q2883" t="str">
            <v>J1</v>
          </cell>
          <cell r="R2883" t="str">
            <v>J6</v>
          </cell>
          <cell r="S2883" t="str">
            <v>ENTREGADO</v>
          </cell>
          <cell r="T2883">
            <v>0</v>
          </cell>
          <cell r="U2883" t="str">
            <v>FLOREZ CONDORI  JOSE WILLIANS</v>
          </cell>
          <cell r="V2883" t="str">
            <v>FLOREZ CONDORI  JOSE WILLIANS</v>
          </cell>
        </row>
        <row r="2884">
          <cell r="A2884">
            <v>2920</v>
          </cell>
          <cell r="B2884">
            <v>42720</v>
          </cell>
          <cell r="C2884" t="str">
            <v>DICIEMBRE</v>
          </cell>
          <cell r="D2884" t="str">
            <v>2016</v>
          </cell>
          <cell r="E2884">
            <v>612</v>
          </cell>
          <cell r="F2884" t="str">
            <v>AEH-920</v>
          </cell>
          <cell r="G2884" t="str">
            <v>CAMIONETA</v>
          </cell>
          <cell r="H2884" t="str">
            <v>LAS BAMBAS</v>
          </cell>
          <cell r="I2884">
            <v>31610</v>
          </cell>
          <cell r="J2884" t="str">
            <v>REPUESTO</v>
          </cell>
          <cell r="K2884" t="str">
            <v>FILTRO DE AIRE</v>
          </cell>
          <cell r="L2884">
            <v>1</v>
          </cell>
          <cell r="M2884" t="str">
            <v>UNID.</v>
          </cell>
          <cell r="N2884" t="str">
            <v>CAMIONETA</v>
          </cell>
          <cell r="O2884">
            <v>70</v>
          </cell>
          <cell r="P2884" t="str">
            <v>M6</v>
          </cell>
          <cell r="Q2884" t="str">
            <v>J1</v>
          </cell>
          <cell r="R2884" t="str">
            <v>J6</v>
          </cell>
          <cell r="S2884" t="str">
            <v>ENTREGADO</v>
          </cell>
          <cell r="T2884">
            <v>0</v>
          </cell>
          <cell r="U2884" t="str">
            <v>PARI VENTURA  EDSON ORLANDO</v>
          </cell>
          <cell r="V2884" t="str">
            <v>FLOREZ CONDORI  JOSE WILLIANS</v>
          </cell>
        </row>
        <row r="2885">
          <cell r="A2885">
            <v>2921</v>
          </cell>
          <cell r="B2885">
            <v>42720</v>
          </cell>
          <cell r="C2885" t="str">
            <v>DICIEMBRE</v>
          </cell>
          <cell r="D2885" t="str">
            <v>2016</v>
          </cell>
          <cell r="E2885">
            <v>612</v>
          </cell>
          <cell r="F2885" t="str">
            <v>AEH-920</v>
          </cell>
          <cell r="G2885" t="str">
            <v>CAMIONETA</v>
          </cell>
          <cell r="H2885" t="str">
            <v>LAS BAMBAS</v>
          </cell>
          <cell r="I2885">
            <v>31610</v>
          </cell>
          <cell r="J2885" t="str">
            <v>REPUESTO</v>
          </cell>
          <cell r="K2885" t="str">
            <v>FILTRO DE COMBUSTIBLE</v>
          </cell>
          <cell r="L2885">
            <v>1</v>
          </cell>
          <cell r="M2885" t="str">
            <v>UNID.</v>
          </cell>
          <cell r="N2885" t="str">
            <v>CAMIONETA</v>
          </cell>
          <cell r="O2885">
            <v>70</v>
          </cell>
          <cell r="P2885" t="str">
            <v>M6</v>
          </cell>
          <cell r="Q2885" t="str">
            <v>J1</v>
          </cell>
          <cell r="R2885" t="str">
            <v>J6</v>
          </cell>
          <cell r="S2885" t="str">
            <v>ENTREGADO</v>
          </cell>
          <cell r="T2885">
            <v>0</v>
          </cell>
          <cell r="U2885" t="str">
            <v>PARI VENTURA  EDSON ORLANDO</v>
          </cell>
          <cell r="V2885" t="str">
            <v>FLOREZ CONDORI  JOSE WILLIANS</v>
          </cell>
        </row>
        <row r="2886">
          <cell r="A2886">
            <v>2922</v>
          </cell>
          <cell r="B2886">
            <v>42720</v>
          </cell>
          <cell r="C2886" t="str">
            <v>DICIEMBRE</v>
          </cell>
          <cell r="D2886" t="str">
            <v>2016</v>
          </cell>
          <cell r="E2886">
            <v>612</v>
          </cell>
          <cell r="F2886" t="str">
            <v>AEH-920</v>
          </cell>
          <cell r="G2886" t="str">
            <v>CAMIONETA</v>
          </cell>
          <cell r="H2886" t="str">
            <v>LAS BAMBAS</v>
          </cell>
          <cell r="I2886">
            <v>31610</v>
          </cell>
          <cell r="J2886" t="str">
            <v>REPUESTO</v>
          </cell>
          <cell r="K2886" t="str">
            <v>FILTRO DE ACEITE</v>
          </cell>
          <cell r="L2886">
            <v>1</v>
          </cell>
          <cell r="M2886" t="str">
            <v>UNID.</v>
          </cell>
          <cell r="N2886" t="str">
            <v>CAMIONETA</v>
          </cell>
          <cell r="O2886">
            <v>70</v>
          </cell>
          <cell r="P2886" t="str">
            <v>M6</v>
          </cell>
          <cell r="Q2886" t="str">
            <v>J1</v>
          </cell>
          <cell r="R2886" t="str">
            <v>J6</v>
          </cell>
          <cell r="S2886" t="str">
            <v>ENTREGADO</v>
          </cell>
          <cell r="T2886">
            <v>0</v>
          </cell>
          <cell r="U2886" t="str">
            <v>PARI VENTURA  EDSON ORLANDO</v>
          </cell>
          <cell r="V2886" t="str">
            <v>FLOREZ CONDORI  JOSE WILLIANS</v>
          </cell>
        </row>
        <row r="2887">
          <cell r="A2887">
            <v>2923</v>
          </cell>
          <cell r="B2887">
            <v>42720</v>
          </cell>
          <cell r="C2887" t="str">
            <v>DICIEMBRE</v>
          </cell>
          <cell r="D2887" t="str">
            <v>2016</v>
          </cell>
          <cell r="E2887">
            <v>612</v>
          </cell>
          <cell r="F2887" t="str">
            <v>AEH-920</v>
          </cell>
          <cell r="G2887" t="str">
            <v>CAMIONETA</v>
          </cell>
          <cell r="H2887" t="str">
            <v>LAS BAMBAS</v>
          </cell>
          <cell r="I2887">
            <v>31610</v>
          </cell>
          <cell r="J2887" t="str">
            <v>REPUESTO</v>
          </cell>
          <cell r="K2887" t="str">
            <v>ACEITE MOTOR 15W-40</v>
          </cell>
          <cell r="L2887">
            <v>2</v>
          </cell>
          <cell r="M2887" t="str">
            <v>GLNS.</v>
          </cell>
          <cell r="N2887" t="str">
            <v>CAMIONETA</v>
          </cell>
          <cell r="O2887">
            <v>70</v>
          </cell>
          <cell r="P2887" t="str">
            <v>M6</v>
          </cell>
          <cell r="Q2887" t="str">
            <v>J1</v>
          </cell>
          <cell r="R2887" t="str">
            <v>J6</v>
          </cell>
          <cell r="S2887" t="str">
            <v>ENTREGADO</v>
          </cell>
          <cell r="T2887">
            <v>0</v>
          </cell>
          <cell r="U2887" t="str">
            <v>PARI VENTURA  EDSON ORLANDO</v>
          </cell>
          <cell r="V2887" t="str">
            <v>FLOREZ CONDORI  JOSE WILLIANS</v>
          </cell>
        </row>
        <row r="2888">
          <cell r="A2888">
            <v>2949</v>
          </cell>
          <cell r="B2888">
            <v>42720</v>
          </cell>
          <cell r="C2888" t="str">
            <v>DICIEMBRE</v>
          </cell>
          <cell r="D2888" t="str">
            <v>2016</v>
          </cell>
          <cell r="E2888">
            <v>596</v>
          </cell>
          <cell r="F2888" t="str">
            <v>AMT-866</v>
          </cell>
          <cell r="G2888" t="str">
            <v>CAMIONETA</v>
          </cell>
          <cell r="H2888" t="str">
            <v>LAS BAMBAS</v>
          </cell>
          <cell r="I2888">
            <v>35629</v>
          </cell>
          <cell r="J2888" t="str">
            <v>SERVICIO</v>
          </cell>
          <cell r="K2888" t="str">
            <v>ENLLANTE DE 2 NEUMATICOS DE LA CAMIONETA</v>
          </cell>
          <cell r="L2888">
            <v>1</v>
          </cell>
          <cell r="M2888" t="str">
            <v>UNID.</v>
          </cell>
          <cell r="N2888" t="str">
            <v>CAMIONETA</v>
          </cell>
          <cell r="O2888">
            <v>70</v>
          </cell>
          <cell r="P2888" t="str">
            <v>J1</v>
          </cell>
          <cell r="Q2888" t="str">
            <v>J1</v>
          </cell>
          <cell r="R2888" t="str">
            <v>J6</v>
          </cell>
          <cell r="S2888" t="str">
            <v>ENTREGADO</v>
          </cell>
          <cell r="T2888">
            <v>0</v>
          </cell>
          <cell r="U2888" t="str">
            <v>FLOREZ CONDORI  JOSE WILLIANS</v>
          </cell>
          <cell r="V2888" t="str">
            <v>FLOREZ CONDORI  JOSE WILLIANS</v>
          </cell>
        </row>
        <row r="2889">
          <cell r="A2889">
            <v>2950</v>
          </cell>
          <cell r="B2889">
            <v>42720</v>
          </cell>
          <cell r="C2889" t="str">
            <v>DICIEMBRE</v>
          </cell>
          <cell r="D2889" t="str">
            <v>2016</v>
          </cell>
          <cell r="E2889">
            <v>618</v>
          </cell>
          <cell r="F2889" t="str">
            <v>APH-782</v>
          </cell>
          <cell r="G2889" t="str">
            <v>CAMIONETA</v>
          </cell>
          <cell r="H2889" t="str">
            <v>LAS BAMBAS</v>
          </cell>
          <cell r="I2889">
            <v>0</v>
          </cell>
          <cell r="J2889" t="str">
            <v>SERVICIO</v>
          </cell>
          <cell r="K2889" t="str">
            <v>INSTALACION DE PORTACAMILLAS</v>
          </cell>
          <cell r="L2889">
            <v>1</v>
          </cell>
          <cell r="M2889" t="str">
            <v>UNID.</v>
          </cell>
          <cell r="N2889" t="str">
            <v>CAMIONETA</v>
          </cell>
          <cell r="O2889">
            <v>70</v>
          </cell>
          <cell r="P2889" t="str">
            <v>J1</v>
          </cell>
          <cell r="Q2889" t="str">
            <v>J1</v>
          </cell>
          <cell r="R2889" t="str">
            <v>J6</v>
          </cell>
          <cell r="S2889" t="str">
            <v>ENTREGADO</v>
          </cell>
          <cell r="T2889">
            <v>0</v>
          </cell>
          <cell r="U2889" t="str">
            <v>FLOREZ CONDORI  JOSE WILLIANS</v>
          </cell>
          <cell r="V2889" t="str">
            <v>FLOREZ CONDORI  JOSE WILLIANS</v>
          </cell>
        </row>
        <row r="2890">
          <cell r="A2890">
            <v>2915</v>
          </cell>
          <cell r="B2890">
            <v>42720</v>
          </cell>
          <cell r="C2890" t="str">
            <v>DICIEMBRE</v>
          </cell>
          <cell r="D2890" t="str">
            <v>2016</v>
          </cell>
          <cell r="E2890">
            <v>611</v>
          </cell>
          <cell r="F2890" t="str">
            <v>B2L-889</v>
          </cell>
          <cell r="G2890" t="str">
            <v>CAMION</v>
          </cell>
          <cell r="H2890" t="str">
            <v>TAMBOMAYO</v>
          </cell>
          <cell r="I2890">
            <v>123252</v>
          </cell>
          <cell r="J2890" t="str">
            <v>REPUESTO</v>
          </cell>
          <cell r="K2890" t="str">
            <v>CELLOCORD 1/8</v>
          </cell>
          <cell r="L2890">
            <v>0.5</v>
          </cell>
          <cell r="M2890" t="str">
            <v>KG.</v>
          </cell>
          <cell r="N2890" t="str">
            <v>CISTERNA</v>
          </cell>
          <cell r="O2890">
            <v>70</v>
          </cell>
          <cell r="P2890" t="str">
            <v>S1</v>
          </cell>
          <cell r="Q2890" t="str">
            <v>J2</v>
          </cell>
          <cell r="R2890" t="str">
            <v>J6</v>
          </cell>
          <cell r="S2890" t="str">
            <v>ENTREGADO</v>
          </cell>
          <cell r="T2890">
            <v>0</v>
          </cell>
          <cell r="U2890" t="str">
            <v>BAYONA CRUZ CRISTIAN ARMANDO</v>
          </cell>
          <cell r="V2890" t="str">
            <v>CORIHUAMAN SURCO  ERICK ROBERT</v>
          </cell>
        </row>
        <row r="2891">
          <cell r="A2891">
            <v>2924</v>
          </cell>
          <cell r="B2891">
            <v>42720</v>
          </cell>
          <cell r="C2891" t="str">
            <v>DICIEMBRE</v>
          </cell>
          <cell r="D2891" t="str">
            <v>2016</v>
          </cell>
          <cell r="E2891">
            <v>611</v>
          </cell>
          <cell r="F2891" t="str">
            <v>B2L-889</v>
          </cell>
          <cell r="G2891" t="str">
            <v>CAMION</v>
          </cell>
          <cell r="H2891" t="str">
            <v>TAMBOMAYO</v>
          </cell>
          <cell r="I2891">
            <v>123252</v>
          </cell>
          <cell r="J2891" t="str">
            <v>REPUESTO</v>
          </cell>
          <cell r="K2891" t="str">
            <v>FARO PIRATA</v>
          </cell>
          <cell r="L2891">
            <v>1</v>
          </cell>
          <cell r="M2891" t="str">
            <v>UNID.</v>
          </cell>
          <cell r="N2891" t="str">
            <v>CISTERNA</v>
          </cell>
          <cell r="O2891">
            <v>70</v>
          </cell>
          <cell r="P2891" t="str">
            <v>E2</v>
          </cell>
          <cell r="Q2891" t="str">
            <v>J2</v>
          </cell>
          <cell r="R2891" t="str">
            <v>J5</v>
          </cell>
          <cell r="S2891" t="str">
            <v>ENTREGADO</v>
          </cell>
          <cell r="T2891">
            <v>0</v>
          </cell>
          <cell r="U2891" t="str">
            <v>YUCA BELLIDO BORIS YERSY</v>
          </cell>
          <cell r="V2891" t="str">
            <v>CORIHUAMAN SURCO  ERICK ROBERT</v>
          </cell>
        </row>
        <row r="2892">
          <cell r="A2892">
            <v>2925</v>
          </cell>
          <cell r="B2892">
            <v>42720</v>
          </cell>
          <cell r="C2892" t="str">
            <v>DICIEMBRE</v>
          </cell>
          <cell r="D2892" t="str">
            <v>2016</v>
          </cell>
          <cell r="E2892">
            <v>611</v>
          </cell>
          <cell r="F2892" t="str">
            <v>B2L-889</v>
          </cell>
          <cell r="G2892" t="str">
            <v>CAMION</v>
          </cell>
          <cell r="H2892" t="str">
            <v>TAMBOMAYO</v>
          </cell>
          <cell r="I2892">
            <v>123252</v>
          </cell>
          <cell r="J2892" t="str">
            <v>REPUESTO</v>
          </cell>
          <cell r="K2892" t="str">
            <v>PERNO 5/16 X 1 1/2 C/ TUERCA Y VOLANDA</v>
          </cell>
          <cell r="L2892">
            <v>1</v>
          </cell>
          <cell r="M2892" t="str">
            <v>UNID.</v>
          </cell>
          <cell r="N2892" t="str">
            <v>CISTERNA</v>
          </cell>
          <cell r="O2892">
            <v>70</v>
          </cell>
          <cell r="P2892" t="str">
            <v>E2</v>
          </cell>
          <cell r="Q2892" t="str">
            <v>J2</v>
          </cell>
          <cell r="R2892" t="str">
            <v>J5</v>
          </cell>
          <cell r="S2892" t="str">
            <v>ENTREGADO</v>
          </cell>
          <cell r="T2892">
            <v>0</v>
          </cell>
          <cell r="U2892" t="str">
            <v>YUCA BELLIDO BORIS YERSY</v>
          </cell>
          <cell r="V2892" t="str">
            <v>CORIHUAMAN SURCO  ERICK ROBERT</v>
          </cell>
        </row>
        <row r="2893">
          <cell r="A2893">
            <v>2919</v>
          </cell>
          <cell r="B2893">
            <v>42720</v>
          </cell>
          <cell r="C2893" t="str">
            <v>DICIEMBRE</v>
          </cell>
          <cell r="D2893" t="str">
            <v>2016</v>
          </cell>
          <cell r="E2893">
            <v>594</v>
          </cell>
          <cell r="F2893" t="str">
            <v>B2M-948</v>
          </cell>
          <cell r="G2893" t="str">
            <v>CAMION</v>
          </cell>
          <cell r="H2893" t="str">
            <v>TAMBOMAYO</v>
          </cell>
          <cell r="I2893">
            <v>114956</v>
          </cell>
          <cell r="J2893" t="str">
            <v>REPUESTO</v>
          </cell>
          <cell r="K2893" t="str">
            <v>BATERIA DE 19 PLACAS</v>
          </cell>
          <cell r="L2893">
            <v>2</v>
          </cell>
          <cell r="M2893" t="str">
            <v>UNID.</v>
          </cell>
          <cell r="N2893" t="str">
            <v>CAMION</v>
          </cell>
          <cell r="O2893">
            <v>70</v>
          </cell>
          <cell r="P2893" t="str">
            <v>E1</v>
          </cell>
          <cell r="Q2893" t="str">
            <v>J2</v>
          </cell>
          <cell r="R2893" t="str">
            <v>J6</v>
          </cell>
          <cell r="S2893" t="str">
            <v>ENTREGADO</v>
          </cell>
          <cell r="T2893">
            <v>0</v>
          </cell>
          <cell r="U2893" t="str">
            <v>PALOMINO CARDENAS JUAN CARLOS</v>
          </cell>
          <cell r="V2893" t="str">
            <v>CORIHUAMAN SURCO  ERICK ROBERT</v>
          </cell>
        </row>
        <row r="2894">
          <cell r="A2894">
            <v>2874</v>
          </cell>
          <cell r="B2894">
            <v>42720</v>
          </cell>
          <cell r="C2894" t="str">
            <v>DICIEMBRE</v>
          </cell>
          <cell r="D2894" t="str">
            <v>2016</v>
          </cell>
          <cell r="E2894">
            <v>606</v>
          </cell>
          <cell r="F2894" t="str">
            <v>C5R-899</v>
          </cell>
          <cell r="G2894" t="str">
            <v>A0U-978</v>
          </cell>
          <cell r="H2894" t="str">
            <v>LAS BAMBAS</v>
          </cell>
          <cell r="I2894">
            <v>154986</v>
          </cell>
          <cell r="J2894" t="str">
            <v>REPUESTO</v>
          </cell>
          <cell r="K2894" t="str">
            <v>LLANTAS REENCAUCHADAS</v>
          </cell>
          <cell r="L2894">
            <v>4</v>
          </cell>
          <cell r="M2894" t="str">
            <v>UNID.</v>
          </cell>
          <cell r="N2894" t="str">
            <v>CISTERNA</v>
          </cell>
          <cell r="O2894">
            <v>70</v>
          </cell>
          <cell r="P2894" t="str">
            <v>N2</v>
          </cell>
          <cell r="Q2894" t="str">
            <v>J2</v>
          </cell>
          <cell r="R2894" t="str">
            <v>J6</v>
          </cell>
          <cell r="S2894" t="str">
            <v>ENTREGADO</v>
          </cell>
          <cell r="T2894">
            <v>0</v>
          </cell>
          <cell r="U2894" t="str">
            <v>MAMANI LARICO  EDUARDO ALVARO</v>
          </cell>
          <cell r="V2894" t="str">
            <v>CORIHUAMAN SURCO  ERICK ROBERT</v>
          </cell>
        </row>
        <row r="2895">
          <cell r="A2895">
            <v>2881</v>
          </cell>
          <cell r="B2895">
            <v>42720</v>
          </cell>
          <cell r="C2895" t="str">
            <v>DICIEMBRE</v>
          </cell>
          <cell r="D2895" t="str">
            <v>2016</v>
          </cell>
          <cell r="E2895">
            <v>606</v>
          </cell>
          <cell r="F2895" t="str">
            <v>C5R-899</v>
          </cell>
          <cell r="G2895" t="str">
            <v>A0U-978</v>
          </cell>
          <cell r="H2895" t="str">
            <v>LAS BAMBAS</v>
          </cell>
          <cell r="I2895">
            <v>154986</v>
          </cell>
          <cell r="J2895" t="str">
            <v>REPUESTO</v>
          </cell>
          <cell r="K2895" t="str">
            <v>PARCHE RACK 10</v>
          </cell>
          <cell r="L2895">
            <v>2</v>
          </cell>
          <cell r="M2895" t="str">
            <v>UNID.</v>
          </cell>
          <cell r="N2895" t="str">
            <v>CISTERNA</v>
          </cell>
          <cell r="O2895">
            <v>70</v>
          </cell>
          <cell r="P2895" t="str">
            <v>N1</v>
          </cell>
          <cell r="Q2895" t="str">
            <v>J2</v>
          </cell>
          <cell r="R2895" t="str">
            <v>J6</v>
          </cell>
          <cell r="S2895" t="str">
            <v>ENTREGADO</v>
          </cell>
          <cell r="T2895">
            <v>0</v>
          </cell>
          <cell r="U2895" t="str">
            <v>AGUILAR CCANTUTA WILLY</v>
          </cell>
          <cell r="V2895" t="str">
            <v>CORIHUAMAN SURCO  ERICK ROBERT</v>
          </cell>
        </row>
        <row r="2896">
          <cell r="A2896">
            <v>2885</v>
          </cell>
          <cell r="B2896">
            <v>42720</v>
          </cell>
          <cell r="C2896" t="str">
            <v>DICIEMBRE</v>
          </cell>
          <cell r="D2896" t="str">
            <v>2016</v>
          </cell>
          <cell r="E2896">
            <v>606</v>
          </cell>
          <cell r="F2896" t="str">
            <v>C5R-899</v>
          </cell>
          <cell r="G2896" t="str">
            <v>A0U-978</v>
          </cell>
          <cell r="H2896" t="str">
            <v>LAS BAMBAS</v>
          </cell>
          <cell r="I2896">
            <v>154986</v>
          </cell>
          <cell r="J2896" t="str">
            <v>REPUESTO</v>
          </cell>
          <cell r="K2896" t="str">
            <v>MASILLA PLASTICA</v>
          </cell>
          <cell r="L2896">
            <v>1</v>
          </cell>
          <cell r="M2896" t="str">
            <v>UNID.</v>
          </cell>
          <cell r="N2896" t="str">
            <v>CISTERNA</v>
          </cell>
          <cell r="O2896">
            <v>70</v>
          </cell>
          <cell r="P2896" t="str">
            <v>S1</v>
          </cell>
          <cell r="Q2896" t="str">
            <v>J2</v>
          </cell>
          <cell r="R2896" t="str">
            <v>J6</v>
          </cell>
          <cell r="S2896" t="str">
            <v>ENTREGADO</v>
          </cell>
          <cell r="T2896">
            <v>0</v>
          </cell>
          <cell r="U2896" t="str">
            <v>BAYONA CRUZ CRISTIAN ARMANDO</v>
          </cell>
          <cell r="V2896" t="str">
            <v>CORIHUAMAN SURCO  ERICK ROBERT</v>
          </cell>
        </row>
        <row r="2897">
          <cell r="A2897">
            <v>2886</v>
          </cell>
          <cell r="B2897">
            <v>42720</v>
          </cell>
          <cell r="C2897" t="str">
            <v>DICIEMBRE</v>
          </cell>
          <cell r="D2897" t="str">
            <v>2016</v>
          </cell>
          <cell r="E2897">
            <v>606</v>
          </cell>
          <cell r="F2897" t="str">
            <v>C5R-899</v>
          </cell>
          <cell r="G2897" t="str">
            <v>A0U-978</v>
          </cell>
          <cell r="H2897" t="str">
            <v>LAS BAMBAS</v>
          </cell>
          <cell r="I2897">
            <v>154986</v>
          </cell>
          <cell r="J2897" t="str">
            <v>REPUESTO</v>
          </cell>
          <cell r="K2897" t="str">
            <v>ESPATULA</v>
          </cell>
          <cell r="L2897">
            <v>1</v>
          </cell>
          <cell r="M2897" t="str">
            <v>UNID.</v>
          </cell>
          <cell r="N2897" t="str">
            <v>CISTERNA</v>
          </cell>
          <cell r="O2897">
            <v>70</v>
          </cell>
          <cell r="P2897" t="str">
            <v>S1</v>
          </cell>
          <cell r="Q2897" t="str">
            <v>J2</v>
          </cell>
          <cell r="R2897" t="str">
            <v>J6</v>
          </cell>
          <cell r="S2897" t="str">
            <v>ENTREGADO</v>
          </cell>
          <cell r="T2897">
            <v>0</v>
          </cell>
          <cell r="U2897" t="str">
            <v>BAYONA CRUZ CRISTIAN ARMANDO</v>
          </cell>
          <cell r="V2897" t="str">
            <v>CORIHUAMAN SURCO  ERICK ROBERT</v>
          </cell>
        </row>
        <row r="2898">
          <cell r="A2898">
            <v>2889</v>
          </cell>
          <cell r="B2898">
            <v>42720</v>
          </cell>
          <cell r="C2898" t="str">
            <v>DICIEMBRE</v>
          </cell>
          <cell r="D2898" t="str">
            <v>2016</v>
          </cell>
          <cell r="E2898">
            <v>606</v>
          </cell>
          <cell r="F2898" t="str">
            <v>C5R-899</v>
          </cell>
          <cell r="G2898" t="str">
            <v>A0U-978</v>
          </cell>
          <cell r="H2898" t="str">
            <v>LAS BAMBAS</v>
          </cell>
          <cell r="I2898">
            <v>154986</v>
          </cell>
          <cell r="J2898" t="str">
            <v>REPUESTO</v>
          </cell>
          <cell r="K2898" t="str">
            <v>PERNO MANHOLE 3/8 X 6</v>
          </cell>
          <cell r="L2898">
            <v>1</v>
          </cell>
          <cell r="M2898" t="str">
            <v>UNID.</v>
          </cell>
          <cell r="N2898" t="str">
            <v>CISTERNA</v>
          </cell>
          <cell r="O2898">
            <v>70</v>
          </cell>
          <cell r="P2898" t="str">
            <v>J7</v>
          </cell>
          <cell r="Q2898" t="str">
            <v>J7</v>
          </cell>
          <cell r="R2898" t="str">
            <v>J6</v>
          </cell>
          <cell r="S2898" t="str">
            <v>ENTREGADO</v>
          </cell>
          <cell r="T2898">
            <v>0</v>
          </cell>
          <cell r="U2898" t="str">
            <v>DONAYRE INGA PEDRO</v>
          </cell>
          <cell r="V2898" t="str">
            <v>DONAYRE INGA PEDRO</v>
          </cell>
        </row>
        <row r="2899">
          <cell r="A2899">
            <v>2890</v>
          </cell>
          <cell r="B2899">
            <v>42720</v>
          </cell>
          <cell r="C2899" t="str">
            <v>DICIEMBRE</v>
          </cell>
          <cell r="D2899" t="str">
            <v>2016</v>
          </cell>
          <cell r="E2899">
            <v>606</v>
          </cell>
          <cell r="F2899" t="str">
            <v>C5R-899</v>
          </cell>
          <cell r="G2899" t="str">
            <v>A0U-978</v>
          </cell>
          <cell r="H2899" t="str">
            <v>LAS BAMBAS</v>
          </cell>
          <cell r="I2899">
            <v>154986</v>
          </cell>
          <cell r="J2899" t="str">
            <v>REPUESTO</v>
          </cell>
          <cell r="K2899" t="str">
            <v>TUERCA 3/8</v>
          </cell>
          <cell r="L2899">
            <v>2</v>
          </cell>
          <cell r="M2899" t="str">
            <v>UNID.</v>
          </cell>
          <cell r="N2899" t="str">
            <v>CISTERNA</v>
          </cell>
          <cell r="O2899">
            <v>70</v>
          </cell>
          <cell r="P2899" t="str">
            <v>J7</v>
          </cell>
          <cell r="Q2899" t="str">
            <v>J7</v>
          </cell>
          <cell r="R2899" t="str">
            <v>J6</v>
          </cell>
          <cell r="S2899" t="str">
            <v>ENTREGADO</v>
          </cell>
          <cell r="T2899">
            <v>0</v>
          </cell>
          <cell r="U2899" t="str">
            <v>DONAYRE INGA PEDRO</v>
          </cell>
          <cell r="V2899" t="str">
            <v>DONAYRE INGA PEDRO</v>
          </cell>
        </row>
        <row r="2900">
          <cell r="A2900">
            <v>2951</v>
          </cell>
          <cell r="B2900">
            <v>42720</v>
          </cell>
          <cell r="C2900" t="str">
            <v>DICIEMBRE</v>
          </cell>
          <cell r="D2900" t="str">
            <v>2016</v>
          </cell>
          <cell r="E2900">
            <v>617</v>
          </cell>
          <cell r="F2900" t="str">
            <v>C9N-807</v>
          </cell>
          <cell r="G2900" t="str">
            <v>B4O-994</v>
          </cell>
          <cell r="H2900" t="str">
            <v>LAS BAMBAS</v>
          </cell>
          <cell r="I2900">
            <v>211802</v>
          </cell>
          <cell r="J2900" t="str">
            <v>REPUESTO</v>
          </cell>
          <cell r="K2900" t="str">
            <v>PLANCHA TRANSPARENTE DE PLASTICO (17 X 36 CM)</v>
          </cell>
          <cell r="L2900">
            <v>1</v>
          </cell>
          <cell r="M2900" t="str">
            <v>UNID.</v>
          </cell>
          <cell r="N2900" t="str">
            <v>CISTERNA</v>
          </cell>
          <cell r="O2900">
            <v>70</v>
          </cell>
          <cell r="P2900" t="str">
            <v>J7</v>
          </cell>
          <cell r="Q2900" t="str">
            <v>J7</v>
          </cell>
          <cell r="R2900" t="str">
            <v>J6</v>
          </cell>
          <cell r="S2900" t="str">
            <v>ENTREGADO</v>
          </cell>
          <cell r="T2900">
            <v>0</v>
          </cell>
          <cell r="U2900" t="str">
            <v>DONAYRE INGA PEDRO</v>
          </cell>
          <cell r="V2900" t="str">
            <v>DONAYRE INGA PEDRO</v>
          </cell>
        </row>
        <row r="2901">
          <cell r="A2901">
            <v>2892</v>
          </cell>
          <cell r="B2901">
            <v>42720</v>
          </cell>
          <cell r="C2901" t="str">
            <v>DICIEMBRE</v>
          </cell>
          <cell r="D2901" t="str">
            <v>2016</v>
          </cell>
          <cell r="E2901">
            <v>550</v>
          </cell>
          <cell r="F2901" t="str">
            <v>D3O-745</v>
          </cell>
          <cell r="G2901" t="str">
            <v>F3L-979</v>
          </cell>
          <cell r="H2901" t="str">
            <v>LAS BAMBAS</v>
          </cell>
          <cell r="I2901">
            <v>159243</v>
          </cell>
          <cell r="J2901" t="str">
            <v>REPUESTO</v>
          </cell>
          <cell r="K2901" t="str">
            <v>BOTON DE CLAXON</v>
          </cell>
          <cell r="L2901">
            <v>1</v>
          </cell>
          <cell r="M2901" t="str">
            <v>UNID.</v>
          </cell>
          <cell r="N2901" t="str">
            <v>TRACTO</v>
          </cell>
          <cell r="O2901">
            <v>70</v>
          </cell>
          <cell r="P2901" t="str">
            <v>E1</v>
          </cell>
          <cell r="Q2901" t="str">
            <v>J2</v>
          </cell>
          <cell r="R2901" t="str">
            <v>J6</v>
          </cell>
          <cell r="S2901" t="str">
            <v>ENTREGADO</v>
          </cell>
          <cell r="T2901">
            <v>0</v>
          </cell>
          <cell r="U2901" t="str">
            <v>PALOMINO CARDENAS JUAN CARLOS</v>
          </cell>
          <cell r="V2901" t="str">
            <v>CORIHUAMAN SURCO  ERICK ROBERT</v>
          </cell>
        </row>
        <row r="2902">
          <cell r="A2902">
            <v>2893</v>
          </cell>
          <cell r="B2902">
            <v>42720</v>
          </cell>
          <cell r="C2902" t="str">
            <v>DICIEMBRE</v>
          </cell>
          <cell r="D2902" t="str">
            <v>2016</v>
          </cell>
          <cell r="E2902">
            <v>609</v>
          </cell>
          <cell r="F2902" t="str">
            <v>D3P-743</v>
          </cell>
          <cell r="G2902" t="str">
            <v>B8L-972</v>
          </cell>
          <cell r="H2902" t="str">
            <v>LAS BAMBAS</v>
          </cell>
          <cell r="I2902">
            <v>184439</v>
          </cell>
          <cell r="J2902" t="str">
            <v>REPUESTO</v>
          </cell>
          <cell r="K2902" t="str">
            <v>LIQUIDO LIMPIAPARABRISAS</v>
          </cell>
          <cell r="L2902">
            <v>1</v>
          </cell>
          <cell r="M2902" t="str">
            <v>GLNS.</v>
          </cell>
          <cell r="N2902" t="str">
            <v>TRACTO</v>
          </cell>
          <cell r="O2902">
            <v>70</v>
          </cell>
          <cell r="P2902" t="str">
            <v>M8</v>
          </cell>
          <cell r="Q2902" t="str">
            <v>J2</v>
          </cell>
          <cell r="R2902" t="str">
            <v>J6</v>
          </cell>
          <cell r="S2902" t="str">
            <v>ENTREGADO</v>
          </cell>
          <cell r="T2902">
            <v>0</v>
          </cell>
          <cell r="U2902" t="str">
            <v>VARILLAS GAGO  OSCAR ALBERTO</v>
          </cell>
          <cell r="V2902" t="str">
            <v>CORIHUAMAN SURCO  ERICK ROBERT</v>
          </cell>
        </row>
        <row r="2903">
          <cell r="A2903">
            <v>2894</v>
          </cell>
          <cell r="B2903">
            <v>42720</v>
          </cell>
          <cell r="C2903" t="str">
            <v>DICIEMBRE</v>
          </cell>
          <cell r="D2903" t="str">
            <v>2016</v>
          </cell>
          <cell r="E2903">
            <v>609</v>
          </cell>
          <cell r="F2903" t="str">
            <v>D3P-743</v>
          </cell>
          <cell r="G2903" t="str">
            <v>B8L-972</v>
          </cell>
          <cell r="H2903" t="str">
            <v>LAS BAMBAS</v>
          </cell>
          <cell r="I2903">
            <v>184439</v>
          </cell>
          <cell r="J2903" t="str">
            <v>REPUESTO</v>
          </cell>
          <cell r="K2903" t="str">
            <v>SOPORTE DE TRAVESAÑO POSTERIOR</v>
          </cell>
          <cell r="L2903">
            <v>1</v>
          </cell>
          <cell r="M2903" t="str">
            <v>UNID.</v>
          </cell>
          <cell r="N2903" t="str">
            <v>TRACTO</v>
          </cell>
          <cell r="O2903">
            <v>70</v>
          </cell>
          <cell r="P2903" t="str">
            <v>M8</v>
          </cell>
          <cell r="Q2903" t="str">
            <v>J2</v>
          </cell>
          <cell r="R2903" t="str">
            <v>J6</v>
          </cell>
          <cell r="S2903" t="str">
            <v>ENTREGADO</v>
          </cell>
          <cell r="T2903">
            <v>0</v>
          </cell>
          <cell r="U2903" t="str">
            <v>VARILLAS GAGO  OSCAR ALBERTO</v>
          </cell>
          <cell r="V2903" t="str">
            <v>CORIHUAMAN SURCO  ERICK ROBERT</v>
          </cell>
        </row>
        <row r="2904">
          <cell r="A2904">
            <v>2895</v>
          </cell>
          <cell r="B2904">
            <v>42720</v>
          </cell>
          <cell r="C2904" t="str">
            <v>DICIEMBRE</v>
          </cell>
          <cell r="D2904" t="str">
            <v>2016</v>
          </cell>
          <cell r="E2904">
            <v>609</v>
          </cell>
          <cell r="F2904" t="str">
            <v>D3P-743</v>
          </cell>
          <cell r="G2904" t="str">
            <v>B8L-972</v>
          </cell>
          <cell r="H2904" t="str">
            <v>LAS BAMBAS</v>
          </cell>
          <cell r="I2904">
            <v>184439</v>
          </cell>
          <cell r="J2904" t="str">
            <v>REPUESTO</v>
          </cell>
          <cell r="K2904" t="str">
            <v>PERNO 5/8 X 2</v>
          </cell>
          <cell r="L2904">
            <v>2</v>
          </cell>
          <cell r="M2904" t="str">
            <v>UNID.</v>
          </cell>
          <cell r="N2904" t="str">
            <v>TRACTO</v>
          </cell>
          <cell r="O2904">
            <v>70</v>
          </cell>
          <cell r="P2904" t="str">
            <v>M8</v>
          </cell>
          <cell r="Q2904" t="str">
            <v>J2</v>
          </cell>
          <cell r="R2904" t="str">
            <v>J6</v>
          </cell>
          <cell r="S2904" t="str">
            <v>ENTREGADO</v>
          </cell>
          <cell r="T2904">
            <v>0</v>
          </cell>
          <cell r="U2904" t="str">
            <v>VARILLAS GAGO  OSCAR ALBERTO</v>
          </cell>
          <cell r="V2904" t="str">
            <v>CORIHUAMAN SURCO  ERICK ROBERT</v>
          </cell>
        </row>
        <row r="2905">
          <cell r="A2905">
            <v>2896</v>
          </cell>
          <cell r="B2905">
            <v>42720</v>
          </cell>
          <cell r="C2905" t="str">
            <v>DICIEMBRE</v>
          </cell>
          <cell r="D2905" t="str">
            <v>2016</v>
          </cell>
          <cell r="E2905">
            <v>609</v>
          </cell>
          <cell r="F2905" t="str">
            <v>D3P-743</v>
          </cell>
          <cell r="G2905" t="str">
            <v>B8L-972</v>
          </cell>
          <cell r="H2905" t="str">
            <v>LAS BAMBAS</v>
          </cell>
          <cell r="I2905">
            <v>184439</v>
          </cell>
          <cell r="J2905" t="str">
            <v>REPUESTO</v>
          </cell>
          <cell r="K2905" t="str">
            <v>TUERCA SEGURO 5/8</v>
          </cell>
          <cell r="L2905">
            <v>2</v>
          </cell>
          <cell r="M2905" t="str">
            <v>UNID.</v>
          </cell>
          <cell r="N2905" t="str">
            <v>TRACTO</v>
          </cell>
          <cell r="O2905">
            <v>70</v>
          </cell>
          <cell r="P2905" t="str">
            <v>M8</v>
          </cell>
          <cell r="Q2905" t="str">
            <v>J2</v>
          </cell>
          <cell r="R2905" t="str">
            <v>J6</v>
          </cell>
          <cell r="S2905" t="str">
            <v>ENTREGADO</v>
          </cell>
          <cell r="T2905">
            <v>0</v>
          </cell>
          <cell r="U2905" t="str">
            <v>VARILLAS GAGO  OSCAR ALBERTO</v>
          </cell>
          <cell r="V2905" t="str">
            <v>CORIHUAMAN SURCO  ERICK ROBERT</v>
          </cell>
        </row>
        <row r="2906">
          <cell r="A2906">
            <v>2897</v>
          </cell>
          <cell r="B2906">
            <v>42720</v>
          </cell>
          <cell r="C2906" t="str">
            <v>DICIEMBRE</v>
          </cell>
          <cell r="D2906" t="str">
            <v>2016</v>
          </cell>
          <cell r="E2906">
            <v>609</v>
          </cell>
          <cell r="F2906" t="str">
            <v>D3P-743</v>
          </cell>
          <cell r="G2906" t="str">
            <v>B8L-972</v>
          </cell>
          <cell r="H2906" t="str">
            <v>LAS BAMBAS</v>
          </cell>
          <cell r="I2906">
            <v>184439</v>
          </cell>
          <cell r="J2906" t="str">
            <v>REPUESTO</v>
          </cell>
          <cell r="K2906" t="str">
            <v>ARANDELAS PLANAS 5/8</v>
          </cell>
          <cell r="L2906">
            <v>4</v>
          </cell>
          <cell r="M2906" t="str">
            <v>UNID.</v>
          </cell>
          <cell r="N2906" t="str">
            <v>TRACTO</v>
          </cell>
          <cell r="O2906">
            <v>70</v>
          </cell>
          <cell r="P2906" t="str">
            <v>M8</v>
          </cell>
          <cell r="Q2906" t="str">
            <v>J2</v>
          </cell>
          <cell r="R2906" t="str">
            <v>J6</v>
          </cell>
          <cell r="S2906" t="str">
            <v>ENTREGADO</v>
          </cell>
          <cell r="T2906">
            <v>0</v>
          </cell>
          <cell r="U2906" t="str">
            <v>VARILLAS GAGO  OSCAR ALBERTO</v>
          </cell>
          <cell r="V2906" t="str">
            <v>CORIHUAMAN SURCO  ERICK ROBERT</v>
          </cell>
        </row>
        <row r="2907">
          <cell r="A2907">
            <v>2914</v>
          </cell>
          <cell r="B2907">
            <v>42720</v>
          </cell>
          <cell r="C2907" t="str">
            <v>DICIEMBRE</v>
          </cell>
          <cell r="D2907" t="str">
            <v>2016</v>
          </cell>
          <cell r="E2907">
            <v>609</v>
          </cell>
          <cell r="F2907" t="str">
            <v>D3P-743</v>
          </cell>
          <cell r="G2907" t="str">
            <v>B8L-972</v>
          </cell>
          <cell r="H2907" t="str">
            <v>LAS BAMBAS</v>
          </cell>
          <cell r="I2907">
            <v>184439</v>
          </cell>
          <cell r="J2907" t="str">
            <v>REPUESTO</v>
          </cell>
          <cell r="K2907" t="str">
            <v>FARO PIRATA</v>
          </cell>
          <cell r="L2907">
            <v>1</v>
          </cell>
          <cell r="M2907" t="str">
            <v>UNID.</v>
          </cell>
          <cell r="N2907" t="str">
            <v>CISTERNA</v>
          </cell>
          <cell r="O2907">
            <v>70</v>
          </cell>
          <cell r="P2907" t="str">
            <v>E3</v>
          </cell>
          <cell r="Q2907" t="str">
            <v>J2</v>
          </cell>
          <cell r="R2907" t="str">
            <v>J6</v>
          </cell>
          <cell r="S2907" t="str">
            <v>ENTREGADO</v>
          </cell>
          <cell r="T2907">
            <v>0</v>
          </cell>
          <cell r="U2907" t="str">
            <v>CONDORI CHURATA ALEX</v>
          </cell>
          <cell r="V2907" t="str">
            <v>CORIHUAMAN SURCO  ERICK ROBERT</v>
          </cell>
        </row>
        <row r="2908">
          <cell r="A2908">
            <v>2916</v>
          </cell>
          <cell r="B2908">
            <v>42720</v>
          </cell>
          <cell r="C2908" t="str">
            <v>DICIEMBRE</v>
          </cell>
          <cell r="D2908" t="str">
            <v>2016</v>
          </cell>
          <cell r="E2908">
            <v>609</v>
          </cell>
          <cell r="F2908" t="str">
            <v>D3P-743</v>
          </cell>
          <cell r="G2908" t="str">
            <v>B8L-972</v>
          </cell>
          <cell r="H2908" t="str">
            <v>LAS BAMBAS</v>
          </cell>
          <cell r="I2908">
            <v>184439</v>
          </cell>
          <cell r="J2908" t="str">
            <v>REPUESTO</v>
          </cell>
          <cell r="K2908" t="str">
            <v>PERNO 1/4 X 1</v>
          </cell>
          <cell r="L2908">
            <v>5</v>
          </cell>
          <cell r="M2908" t="str">
            <v>UNID.</v>
          </cell>
          <cell r="N2908" t="str">
            <v>CISTERNA</v>
          </cell>
          <cell r="O2908">
            <v>70</v>
          </cell>
          <cell r="P2908" t="str">
            <v>M3</v>
          </cell>
          <cell r="Q2908" t="str">
            <v>J2</v>
          </cell>
          <cell r="R2908" t="str">
            <v>J6</v>
          </cell>
          <cell r="S2908" t="str">
            <v>ENTREGADO</v>
          </cell>
          <cell r="T2908">
            <v>0</v>
          </cell>
          <cell r="U2908" t="str">
            <v>GARCIA PASQUEL  JOSE LUIS</v>
          </cell>
          <cell r="V2908" t="str">
            <v>CORIHUAMAN SURCO  ERICK ROBERT</v>
          </cell>
        </row>
        <row r="2909">
          <cell r="A2909">
            <v>2917</v>
          </cell>
          <cell r="B2909">
            <v>42720</v>
          </cell>
          <cell r="C2909" t="str">
            <v>DICIEMBRE</v>
          </cell>
          <cell r="D2909" t="str">
            <v>2016</v>
          </cell>
          <cell r="E2909">
            <v>609</v>
          </cell>
          <cell r="F2909" t="str">
            <v>D3P-743</v>
          </cell>
          <cell r="G2909" t="str">
            <v>B8L-972</v>
          </cell>
          <cell r="H2909" t="str">
            <v>LAS BAMBAS</v>
          </cell>
          <cell r="I2909">
            <v>184439</v>
          </cell>
          <cell r="J2909" t="str">
            <v>REPUESTO</v>
          </cell>
          <cell r="K2909" t="str">
            <v>TUERCA 1/4</v>
          </cell>
          <cell r="L2909">
            <v>5</v>
          </cell>
          <cell r="M2909" t="str">
            <v>UNID.</v>
          </cell>
          <cell r="N2909" t="str">
            <v>CISTERNA</v>
          </cell>
          <cell r="O2909">
            <v>70</v>
          </cell>
          <cell r="P2909" t="str">
            <v>M3</v>
          </cell>
          <cell r="Q2909" t="str">
            <v>J2</v>
          </cell>
          <cell r="R2909" t="str">
            <v>J6</v>
          </cell>
          <cell r="S2909" t="str">
            <v>ENTREGADO</v>
          </cell>
          <cell r="T2909">
            <v>0</v>
          </cell>
          <cell r="U2909" t="str">
            <v>GARCIA PASQUEL  JOSE LUIS</v>
          </cell>
          <cell r="V2909" t="str">
            <v>CORIHUAMAN SURCO  ERICK ROBERT</v>
          </cell>
        </row>
        <row r="2910">
          <cell r="A2910">
            <v>2918</v>
          </cell>
          <cell r="B2910">
            <v>42720</v>
          </cell>
          <cell r="C2910" t="str">
            <v>DICIEMBRE</v>
          </cell>
          <cell r="D2910" t="str">
            <v>2016</v>
          </cell>
          <cell r="E2910">
            <v>609</v>
          </cell>
          <cell r="F2910" t="str">
            <v>D3P-743</v>
          </cell>
          <cell r="G2910" t="str">
            <v>B8L-972</v>
          </cell>
          <cell r="H2910" t="str">
            <v>LAS BAMBAS</v>
          </cell>
          <cell r="I2910">
            <v>184439</v>
          </cell>
          <cell r="J2910" t="str">
            <v>REPUESTO</v>
          </cell>
          <cell r="K2910" t="str">
            <v>ARANDELA PLANA 1/4</v>
          </cell>
          <cell r="L2910">
            <v>10</v>
          </cell>
          <cell r="M2910" t="str">
            <v>UNID.</v>
          </cell>
          <cell r="N2910" t="str">
            <v>CISTERNA</v>
          </cell>
          <cell r="O2910">
            <v>70</v>
          </cell>
          <cell r="P2910" t="str">
            <v>M3</v>
          </cell>
          <cell r="Q2910" t="str">
            <v>J2</v>
          </cell>
          <cell r="R2910" t="str">
            <v>J6</v>
          </cell>
          <cell r="S2910" t="str">
            <v>ENTREGADO</v>
          </cell>
          <cell r="T2910">
            <v>0</v>
          </cell>
          <cell r="U2910" t="str">
            <v>GARCIA PASQUEL  JOSE LUIS</v>
          </cell>
          <cell r="V2910" t="str">
            <v>CORIHUAMAN SURCO  ERICK ROBERT</v>
          </cell>
        </row>
        <row r="2911">
          <cell r="A2911">
            <v>2913</v>
          </cell>
          <cell r="B2911">
            <v>42720</v>
          </cell>
          <cell r="C2911" t="str">
            <v>DICIEMBRE</v>
          </cell>
          <cell r="D2911" t="str">
            <v>2016</v>
          </cell>
          <cell r="E2911">
            <v>591</v>
          </cell>
          <cell r="F2911" t="str">
            <v>D3Q-741</v>
          </cell>
          <cell r="G2911" t="str">
            <v>D2E-976</v>
          </cell>
          <cell r="H2911" t="str">
            <v>LAS BAMBAS</v>
          </cell>
          <cell r="I2911">
            <v>164059</v>
          </cell>
          <cell r="J2911" t="str">
            <v>REPUESTO</v>
          </cell>
          <cell r="K2911" t="str">
            <v>PEDAZO DE CINTA ROJO - BLANCO - ROJO</v>
          </cell>
          <cell r="L2911">
            <v>1</v>
          </cell>
          <cell r="M2911" t="str">
            <v>UNID.</v>
          </cell>
          <cell r="N2911" t="str">
            <v>CISTERNA</v>
          </cell>
          <cell r="O2911">
            <v>70</v>
          </cell>
          <cell r="P2911" t="str">
            <v>S1</v>
          </cell>
          <cell r="Q2911" t="str">
            <v>J2</v>
          </cell>
          <cell r="R2911" t="str">
            <v>J6</v>
          </cell>
          <cell r="S2911" t="str">
            <v>ENTREGADO</v>
          </cell>
          <cell r="T2911">
            <v>0</v>
          </cell>
          <cell r="U2911" t="str">
            <v>BAYONA CRUZ CRISTIAN ARMANDO</v>
          </cell>
          <cell r="V2911" t="str">
            <v>CORIHUAMAN SURCO  ERICK ROBERT</v>
          </cell>
        </row>
        <row r="2912">
          <cell r="A2912">
            <v>2926</v>
          </cell>
          <cell r="B2912">
            <v>42720</v>
          </cell>
          <cell r="C2912" t="str">
            <v>DICIEMBRE</v>
          </cell>
          <cell r="D2912" t="str">
            <v>2016</v>
          </cell>
          <cell r="E2912">
            <v>591</v>
          </cell>
          <cell r="F2912" t="str">
            <v>D3Q-741</v>
          </cell>
          <cell r="G2912" t="str">
            <v>D2E-976</v>
          </cell>
          <cell r="H2912" t="str">
            <v>LAS BAMBAS</v>
          </cell>
          <cell r="I2912">
            <v>164059</v>
          </cell>
          <cell r="J2912" t="str">
            <v>REPUESTO</v>
          </cell>
          <cell r="K2912" t="str">
            <v>ESPARRAGOS (SEGÚN MUESTRA)</v>
          </cell>
          <cell r="L2912">
            <v>10</v>
          </cell>
          <cell r="M2912" t="str">
            <v>UNID.</v>
          </cell>
          <cell r="N2912" t="str">
            <v>CISTERNA</v>
          </cell>
          <cell r="O2912">
            <v>70</v>
          </cell>
          <cell r="P2912" t="str">
            <v>J2</v>
          </cell>
          <cell r="Q2912" t="str">
            <v>J2</v>
          </cell>
          <cell r="R2912" t="str">
            <v>J5</v>
          </cell>
          <cell r="S2912" t="str">
            <v>PENDIENTE</v>
          </cell>
          <cell r="T2912">
            <v>0</v>
          </cell>
          <cell r="U2912" t="str">
            <v>CORIHUAMAN SURCO  ERICK ROBERT</v>
          </cell>
          <cell r="V2912" t="str">
            <v>CORIHUAMAN SURCO  ERICK ROBERT</v>
          </cell>
        </row>
        <row r="2913">
          <cell r="A2913">
            <v>2861</v>
          </cell>
          <cell r="B2913">
            <v>42720</v>
          </cell>
          <cell r="C2913" t="str">
            <v>DICIEMBRE</v>
          </cell>
          <cell r="D2913" t="str">
            <v>2016</v>
          </cell>
          <cell r="E2913">
            <v>603</v>
          </cell>
          <cell r="F2913" t="str">
            <v>D3R-742</v>
          </cell>
          <cell r="G2913" t="str">
            <v>D2E-975</v>
          </cell>
          <cell r="H2913" t="str">
            <v>LAS BAMBAS</v>
          </cell>
          <cell r="I2913">
            <v>153744</v>
          </cell>
          <cell r="J2913" t="str">
            <v>REPUESTO</v>
          </cell>
          <cell r="K2913" t="str">
            <v>DISCO DE CORTE DE 4"</v>
          </cell>
          <cell r="L2913">
            <v>1</v>
          </cell>
          <cell r="M2913" t="str">
            <v>UNID.</v>
          </cell>
          <cell r="N2913" t="str">
            <v>CISTERNA</v>
          </cell>
          <cell r="O2913">
            <v>70</v>
          </cell>
          <cell r="P2913" t="str">
            <v>S1</v>
          </cell>
          <cell r="Q2913" t="str">
            <v>J2</v>
          </cell>
          <cell r="R2913" t="str">
            <v>J6</v>
          </cell>
          <cell r="S2913" t="str">
            <v>ENTREGADO</v>
          </cell>
          <cell r="T2913">
            <v>0</v>
          </cell>
          <cell r="U2913" t="str">
            <v>BAYONA CRUZ CRISTIAN ARMANDO</v>
          </cell>
          <cell r="V2913" t="str">
            <v>CORIHUAMAN SURCO  ERICK ROBERT</v>
          </cell>
        </row>
        <row r="2914">
          <cell r="A2914">
            <v>2862</v>
          </cell>
          <cell r="B2914">
            <v>42720</v>
          </cell>
          <cell r="C2914" t="str">
            <v>DICIEMBRE</v>
          </cell>
          <cell r="D2914" t="str">
            <v>2016</v>
          </cell>
          <cell r="E2914">
            <v>603</v>
          </cell>
          <cell r="F2914" t="str">
            <v>D3R-742</v>
          </cell>
          <cell r="G2914" t="str">
            <v>D2E-975</v>
          </cell>
          <cell r="H2914" t="str">
            <v>LAS BAMBAS</v>
          </cell>
          <cell r="I2914">
            <v>153744</v>
          </cell>
          <cell r="J2914" t="str">
            <v>REPUESTO</v>
          </cell>
          <cell r="K2914" t="str">
            <v>CELLOCORD 1/8</v>
          </cell>
          <cell r="L2914">
            <v>0.5</v>
          </cell>
          <cell r="M2914" t="str">
            <v>UNID.</v>
          </cell>
          <cell r="N2914" t="str">
            <v>CISTERNA</v>
          </cell>
          <cell r="O2914">
            <v>70</v>
          </cell>
          <cell r="P2914" t="str">
            <v>S1</v>
          </cell>
          <cell r="Q2914" t="str">
            <v>J2</v>
          </cell>
          <cell r="R2914" t="str">
            <v>J6</v>
          </cell>
          <cell r="S2914" t="str">
            <v>ENTREGADO</v>
          </cell>
          <cell r="T2914">
            <v>0</v>
          </cell>
          <cell r="U2914" t="str">
            <v>BAYONA CRUZ CRISTIAN ARMANDO</v>
          </cell>
          <cell r="V2914" t="str">
            <v>CORIHUAMAN SURCO  ERICK ROBERT</v>
          </cell>
        </row>
        <row r="2915">
          <cell r="A2915">
            <v>2898</v>
          </cell>
          <cell r="B2915">
            <v>42720</v>
          </cell>
          <cell r="C2915" t="str">
            <v>DICIEMBRE</v>
          </cell>
          <cell r="D2915" t="str">
            <v>2016</v>
          </cell>
          <cell r="E2915">
            <v>603</v>
          </cell>
          <cell r="F2915" t="str">
            <v>D3R-742</v>
          </cell>
          <cell r="G2915" t="str">
            <v>D2E-975</v>
          </cell>
          <cell r="H2915" t="str">
            <v>LAS BAMBAS</v>
          </cell>
          <cell r="I2915">
            <v>153744</v>
          </cell>
          <cell r="J2915" t="str">
            <v>REPUESTO</v>
          </cell>
          <cell r="K2915" t="str">
            <v>LIQUIDO LIMPIAPARABRISAS</v>
          </cell>
          <cell r="L2915">
            <v>1</v>
          </cell>
          <cell r="M2915" t="str">
            <v>GLNS.</v>
          </cell>
          <cell r="N2915" t="str">
            <v>TRACTO</v>
          </cell>
          <cell r="O2915">
            <v>70</v>
          </cell>
          <cell r="P2915" t="str">
            <v>M2</v>
          </cell>
          <cell r="Q2915" t="str">
            <v>J2</v>
          </cell>
          <cell r="R2915" t="str">
            <v>J6</v>
          </cell>
          <cell r="S2915" t="str">
            <v>ENTREGADO</v>
          </cell>
          <cell r="T2915">
            <v>0</v>
          </cell>
          <cell r="U2915" t="str">
            <v>CHUMPITAZ GAGO JULIO ENRIQUE</v>
          </cell>
          <cell r="V2915" t="str">
            <v>CORIHUAMAN SURCO  ERICK ROBERT</v>
          </cell>
        </row>
        <row r="2916">
          <cell r="A2916">
            <v>2911</v>
          </cell>
          <cell r="B2916">
            <v>42720</v>
          </cell>
          <cell r="C2916" t="str">
            <v>DICIEMBRE</v>
          </cell>
          <cell r="D2916" t="str">
            <v>2016</v>
          </cell>
          <cell r="E2916">
            <v>603</v>
          </cell>
          <cell r="F2916" t="str">
            <v>D3R-742</v>
          </cell>
          <cell r="G2916" t="str">
            <v>D2E-975</v>
          </cell>
          <cell r="H2916" t="str">
            <v>LAS BAMBAS</v>
          </cell>
          <cell r="I2916">
            <v>153744</v>
          </cell>
          <cell r="J2916" t="str">
            <v>REPUESTO</v>
          </cell>
          <cell r="K2916" t="str">
            <v>PERNO MANHOLE 3/8 X 6</v>
          </cell>
          <cell r="L2916">
            <v>1</v>
          </cell>
          <cell r="M2916" t="str">
            <v>UNID.</v>
          </cell>
          <cell r="N2916" t="str">
            <v>CISTERNA</v>
          </cell>
          <cell r="O2916">
            <v>70</v>
          </cell>
          <cell r="P2916" t="str">
            <v>S1</v>
          </cell>
          <cell r="Q2916" t="str">
            <v>J2</v>
          </cell>
          <cell r="R2916" t="str">
            <v>J6</v>
          </cell>
          <cell r="S2916" t="str">
            <v>ENTREGADO</v>
          </cell>
          <cell r="T2916">
            <v>0</v>
          </cell>
          <cell r="U2916" t="str">
            <v>BAYONA CRUZ CRISTIAN ARMANDO</v>
          </cell>
          <cell r="V2916" t="str">
            <v>CORIHUAMAN SURCO  ERICK ROBERT</v>
          </cell>
        </row>
        <row r="2917">
          <cell r="A2917">
            <v>2912</v>
          </cell>
          <cell r="B2917">
            <v>42720</v>
          </cell>
          <cell r="C2917" t="str">
            <v>DICIEMBRE</v>
          </cell>
          <cell r="D2917" t="str">
            <v>2016</v>
          </cell>
          <cell r="E2917">
            <v>603</v>
          </cell>
          <cell r="F2917" t="str">
            <v>D3R-742</v>
          </cell>
          <cell r="G2917" t="str">
            <v>D2E-975</v>
          </cell>
          <cell r="H2917" t="str">
            <v>LAS BAMBAS</v>
          </cell>
          <cell r="I2917">
            <v>153744</v>
          </cell>
          <cell r="J2917" t="str">
            <v>REPUESTO</v>
          </cell>
          <cell r="K2917" t="str">
            <v>TUERCA 3/8</v>
          </cell>
          <cell r="L2917">
            <v>1</v>
          </cell>
          <cell r="M2917" t="str">
            <v>UNID.</v>
          </cell>
          <cell r="N2917" t="str">
            <v>CISTERNA</v>
          </cell>
          <cell r="O2917">
            <v>70</v>
          </cell>
          <cell r="P2917" t="str">
            <v>S1</v>
          </cell>
          <cell r="Q2917" t="str">
            <v>J2</v>
          </cell>
          <cell r="R2917" t="str">
            <v>J6</v>
          </cell>
          <cell r="S2917" t="str">
            <v>ENTREGADO</v>
          </cell>
          <cell r="T2917">
            <v>0</v>
          </cell>
          <cell r="U2917" t="str">
            <v>BAYONA CRUZ CRISTIAN ARMANDO</v>
          </cell>
          <cell r="V2917" t="str">
            <v>CORIHUAMAN SURCO  ERICK ROBERT</v>
          </cell>
        </row>
        <row r="2918">
          <cell r="A2918">
            <v>2875</v>
          </cell>
          <cell r="B2918">
            <v>42720</v>
          </cell>
          <cell r="C2918" t="str">
            <v>DICIEMBRE</v>
          </cell>
          <cell r="D2918" t="str">
            <v>2016</v>
          </cell>
          <cell r="E2918">
            <v>608</v>
          </cell>
          <cell r="F2918" t="str">
            <v>D3S-764</v>
          </cell>
          <cell r="G2918" t="str">
            <v>TBL-998</v>
          </cell>
          <cell r="H2918" t="str">
            <v>LAS BAMBAS</v>
          </cell>
          <cell r="I2918">
            <v>127263</v>
          </cell>
          <cell r="J2918" t="str">
            <v>REPUESTO</v>
          </cell>
          <cell r="K2918" t="str">
            <v>TERMINALES HEMBRA</v>
          </cell>
          <cell r="L2918">
            <v>8</v>
          </cell>
          <cell r="M2918" t="str">
            <v>UNID.</v>
          </cell>
          <cell r="N2918" t="str">
            <v>TRACTO</v>
          </cell>
          <cell r="O2918">
            <v>70</v>
          </cell>
          <cell r="P2918" t="str">
            <v>E2</v>
          </cell>
          <cell r="Q2918" t="str">
            <v>J1</v>
          </cell>
          <cell r="R2918" t="str">
            <v>J5</v>
          </cell>
          <cell r="S2918" t="str">
            <v>ENTREGADO</v>
          </cell>
          <cell r="T2918">
            <v>0</v>
          </cell>
          <cell r="U2918" t="str">
            <v>YUCA BELLIDO BORIS YERSY</v>
          </cell>
          <cell r="V2918" t="str">
            <v>FLOREZ CONDORI  JOSE WILLIANS</v>
          </cell>
        </row>
        <row r="2919">
          <cell r="A2919">
            <v>2876</v>
          </cell>
          <cell r="B2919">
            <v>42720</v>
          </cell>
          <cell r="C2919" t="str">
            <v>DICIEMBRE</v>
          </cell>
          <cell r="D2919" t="str">
            <v>2016</v>
          </cell>
          <cell r="E2919">
            <v>608</v>
          </cell>
          <cell r="F2919" t="str">
            <v>D3S-764</v>
          </cell>
          <cell r="G2919" t="str">
            <v>TBL-998</v>
          </cell>
          <cell r="H2919" t="str">
            <v>LAS BAMBAS</v>
          </cell>
          <cell r="I2919">
            <v>127263</v>
          </cell>
          <cell r="J2919" t="str">
            <v>REPUESTO</v>
          </cell>
          <cell r="K2919" t="str">
            <v>RELAY 12V</v>
          </cell>
          <cell r="L2919">
            <v>1</v>
          </cell>
          <cell r="M2919" t="str">
            <v>UNID.</v>
          </cell>
          <cell r="N2919" t="str">
            <v>TRACTO</v>
          </cell>
          <cell r="O2919">
            <v>70</v>
          </cell>
          <cell r="P2919" t="str">
            <v>E2</v>
          </cell>
          <cell r="Q2919" t="str">
            <v>J1</v>
          </cell>
          <cell r="R2919" t="str">
            <v>J5</v>
          </cell>
          <cell r="S2919" t="str">
            <v>ENTREGADO</v>
          </cell>
          <cell r="T2919">
            <v>0</v>
          </cell>
          <cell r="U2919" t="str">
            <v>YUCA BELLIDO BORIS YERSY</v>
          </cell>
          <cell r="V2919" t="str">
            <v>FLOREZ CONDORI  JOSE WILLIANS</v>
          </cell>
        </row>
        <row r="2920">
          <cell r="A2920">
            <v>2877</v>
          </cell>
          <cell r="B2920">
            <v>42720</v>
          </cell>
          <cell r="C2920" t="str">
            <v>DICIEMBRE</v>
          </cell>
          <cell r="D2920" t="str">
            <v>2016</v>
          </cell>
          <cell r="E2920">
            <v>608</v>
          </cell>
          <cell r="F2920" t="str">
            <v>D3S-764</v>
          </cell>
          <cell r="G2920" t="str">
            <v>TBL-998</v>
          </cell>
          <cell r="H2920" t="str">
            <v>LAS BAMBAS</v>
          </cell>
          <cell r="I2920">
            <v>127263</v>
          </cell>
          <cell r="J2920" t="str">
            <v>REPUESTO</v>
          </cell>
          <cell r="K2920" t="str">
            <v>FUSIBLE 20A</v>
          </cell>
          <cell r="L2920">
            <v>1</v>
          </cell>
          <cell r="M2920" t="str">
            <v>UNID.</v>
          </cell>
          <cell r="N2920" t="str">
            <v>TRACTO</v>
          </cell>
          <cell r="O2920">
            <v>70</v>
          </cell>
          <cell r="P2920" t="str">
            <v>E2</v>
          </cell>
          <cell r="Q2920" t="str">
            <v>J1</v>
          </cell>
          <cell r="R2920" t="str">
            <v>J5</v>
          </cell>
          <cell r="S2920" t="str">
            <v>ENTREGADO</v>
          </cell>
          <cell r="T2920">
            <v>0</v>
          </cell>
          <cell r="U2920" t="str">
            <v>YUCA BELLIDO BORIS YERSY</v>
          </cell>
          <cell r="V2920" t="str">
            <v>FLOREZ CONDORI  JOSE WILLIANS</v>
          </cell>
        </row>
        <row r="2921">
          <cell r="A2921">
            <v>2878</v>
          </cell>
          <cell r="B2921">
            <v>42720</v>
          </cell>
          <cell r="C2921" t="str">
            <v>DICIEMBRE</v>
          </cell>
          <cell r="D2921" t="str">
            <v>2016</v>
          </cell>
          <cell r="E2921">
            <v>608</v>
          </cell>
          <cell r="F2921" t="str">
            <v>D3S-764</v>
          </cell>
          <cell r="G2921" t="str">
            <v>TBL-998</v>
          </cell>
          <cell r="H2921" t="str">
            <v>LAS BAMBAS</v>
          </cell>
          <cell r="I2921">
            <v>127263</v>
          </cell>
          <cell r="J2921" t="str">
            <v>REPUESTO</v>
          </cell>
          <cell r="K2921" t="str">
            <v>SWITCH DE 2 TIEMPOS</v>
          </cell>
          <cell r="L2921">
            <v>1</v>
          </cell>
          <cell r="M2921" t="str">
            <v>UNID.</v>
          </cell>
          <cell r="N2921" t="str">
            <v>TRACTO</v>
          </cell>
          <cell r="O2921">
            <v>70</v>
          </cell>
          <cell r="P2921" t="str">
            <v>E2</v>
          </cell>
          <cell r="Q2921" t="str">
            <v>J1</v>
          </cell>
          <cell r="R2921" t="str">
            <v>J5</v>
          </cell>
          <cell r="S2921" t="str">
            <v>ENTREGADO</v>
          </cell>
          <cell r="T2921">
            <v>0</v>
          </cell>
          <cell r="U2921" t="str">
            <v>YUCA BELLIDO BORIS YERSY</v>
          </cell>
          <cell r="V2921" t="str">
            <v>FLOREZ CONDORI  JOSE WILLIANS</v>
          </cell>
        </row>
        <row r="2922">
          <cell r="A2922">
            <v>2879</v>
          </cell>
          <cell r="B2922">
            <v>42720</v>
          </cell>
          <cell r="C2922" t="str">
            <v>DICIEMBRE</v>
          </cell>
          <cell r="D2922" t="str">
            <v>2016</v>
          </cell>
          <cell r="E2922">
            <v>608</v>
          </cell>
          <cell r="F2922" t="str">
            <v>D3S-764</v>
          </cell>
          <cell r="G2922" t="str">
            <v>TBL-998</v>
          </cell>
          <cell r="H2922" t="str">
            <v>LAS BAMBAS</v>
          </cell>
          <cell r="I2922">
            <v>127263</v>
          </cell>
          <cell r="J2922" t="str">
            <v>REPUESTO</v>
          </cell>
          <cell r="K2922" t="str">
            <v>CABLE N°14</v>
          </cell>
          <cell r="L2922">
            <v>10</v>
          </cell>
          <cell r="M2922" t="str">
            <v>M</v>
          </cell>
          <cell r="N2922" t="str">
            <v>TRACTO</v>
          </cell>
          <cell r="O2922">
            <v>70</v>
          </cell>
          <cell r="P2922" t="str">
            <v>E2</v>
          </cell>
          <cell r="Q2922" t="str">
            <v>J1</v>
          </cell>
          <cell r="R2922" t="str">
            <v>J5</v>
          </cell>
          <cell r="S2922" t="str">
            <v>ENTREGADO</v>
          </cell>
          <cell r="T2922">
            <v>0</v>
          </cell>
          <cell r="U2922" t="str">
            <v>YUCA BELLIDO BORIS YERSY</v>
          </cell>
          <cell r="V2922" t="str">
            <v>FLOREZ CONDORI  JOSE WILLIANS</v>
          </cell>
        </row>
        <row r="2923">
          <cell r="A2923">
            <v>2880</v>
          </cell>
          <cell r="B2923">
            <v>42720</v>
          </cell>
          <cell r="C2923" t="str">
            <v>DICIEMBRE</v>
          </cell>
          <cell r="D2923" t="str">
            <v>2016</v>
          </cell>
          <cell r="E2923">
            <v>608</v>
          </cell>
          <cell r="F2923" t="str">
            <v>D3S-764</v>
          </cell>
          <cell r="G2923" t="str">
            <v>TBL-998</v>
          </cell>
          <cell r="H2923" t="str">
            <v>LAS BAMBAS</v>
          </cell>
          <cell r="I2923">
            <v>127263</v>
          </cell>
          <cell r="J2923" t="str">
            <v>REPUESTO</v>
          </cell>
          <cell r="K2923" t="str">
            <v>TUBO CORRUGADO 1/4</v>
          </cell>
          <cell r="L2923">
            <v>5</v>
          </cell>
          <cell r="M2923" t="str">
            <v>M</v>
          </cell>
          <cell r="N2923" t="str">
            <v>TRACTO</v>
          </cell>
          <cell r="O2923">
            <v>70</v>
          </cell>
          <cell r="P2923" t="str">
            <v>E2</v>
          </cell>
          <cell r="Q2923" t="str">
            <v>J1</v>
          </cell>
          <cell r="R2923" t="str">
            <v>J5</v>
          </cell>
          <cell r="S2923" t="str">
            <v>ENTREGADO</v>
          </cell>
          <cell r="T2923">
            <v>0</v>
          </cell>
          <cell r="U2923" t="str">
            <v>YUCA BELLIDO BORIS YERSY</v>
          </cell>
          <cell r="V2923" t="str">
            <v>FLOREZ CONDORI  JOSE WILLIANS</v>
          </cell>
        </row>
        <row r="2924">
          <cell r="A2924">
            <v>2883</v>
          </cell>
          <cell r="B2924">
            <v>42720</v>
          </cell>
          <cell r="C2924" t="str">
            <v>DICIEMBRE</v>
          </cell>
          <cell r="D2924" t="str">
            <v>2016</v>
          </cell>
          <cell r="E2924">
            <v>608</v>
          </cell>
          <cell r="F2924" t="str">
            <v>D3S-764</v>
          </cell>
          <cell r="G2924" t="str">
            <v>TBL-998</v>
          </cell>
          <cell r="H2924" t="str">
            <v>LAS BAMBAS</v>
          </cell>
          <cell r="I2924">
            <v>127263</v>
          </cell>
          <cell r="J2924" t="str">
            <v>REPUESTO</v>
          </cell>
          <cell r="K2924" t="str">
            <v>TAPABARRO LADO IZQUIERDO BLANCO</v>
          </cell>
          <cell r="L2924">
            <v>1</v>
          </cell>
          <cell r="M2924" t="str">
            <v>UNID.</v>
          </cell>
          <cell r="N2924" t="str">
            <v>TRACTO</v>
          </cell>
          <cell r="O2924">
            <v>70</v>
          </cell>
          <cell r="P2924" t="str">
            <v>M3</v>
          </cell>
          <cell r="Q2924" t="str">
            <v>J2</v>
          </cell>
          <cell r="R2924" t="str">
            <v>J6</v>
          </cell>
          <cell r="S2924" t="str">
            <v>ENTREGADO</v>
          </cell>
          <cell r="T2924">
            <v>0</v>
          </cell>
          <cell r="U2924" t="str">
            <v>GARCIA PASQUEL  JOSE LUIS</v>
          </cell>
          <cell r="V2924" t="str">
            <v>CORIHUAMAN SURCO  ERICK ROBERT</v>
          </cell>
        </row>
        <row r="2925">
          <cell r="A2925">
            <v>2884</v>
          </cell>
          <cell r="B2925">
            <v>42720</v>
          </cell>
          <cell r="C2925" t="str">
            <v>DICIEMBRE</v>
          </cell>
          <cell r="D2925" t="str">
            <v>2016</v>
          </cell>
          <cell r="E2925">
            <v>608</v>
          </cell>
          <cell r="F2925" t="str">
            <v>D3S-764</v>
          </cell>
          <cell r="G2925" t="str">
            <v>TBL-998</v>
          </cell>
          <cell r="H2925" t="str">
            <v>LAS BAMBAS</v>
          </cell>
          <cell r="I2925">
            <v>127263</v>
          </cell>
          <cell r="J2925" t="str">
            <v>REPUESTO</v>
          </cell>
          <cell r="K2925" t="str">
            <v>RETENEDORES DE PUERTA</v>
          </cell>
          <cell r="L2925">
            <v>2</v>
          </cell>
          <cell r="M2925" t="str">
            <v>UNID.</v>
          </cell>
          <cell r="N2925" t="str">
            <v>TRACTO</v>
          </cell>
          <cell r="O2925">
            <v>70</v>
          </cell>
          <cell r="P2925" t="str">
            <v>M3</v>
          </cell>
          <cell r="Q2925" t="str">
            <v>J2</v>
          </cell>
          <cell r="R2925" t="str">
            <v>J6</v>
          </cell>
          <cell r="S2925" t="str">
            <v>ENTREGADO</v>
          </cell>
          <cell r="T2925">
            <v>0</v>
          </cell>
          <cell r="U2925" t="str">
            <v>GARCIA PASQUEL  JOSE LUIS</v>
          </cell>
          <cell r="V2925" t="str">
            <v>CORIHUAMAN SURCO  ERICK ROBERT</v>
          </cell>
        </row>
        <row r="2926">
          <cell r="A2926">
            <v>2899</v>
          </cell>
          <cell r="B2926">
            <v>42720</v>
          </cell>
          <cell r="C2926" t="str">
            <v>DICIEMBRE</v>
          </cell>
          <cell r="D2926" t="str">
            <v>2016</v>
          </cell>
          <cell r="E2926">
            <v>608</v>
          </cell>
          <cell r="F2926" t="str">
            <v>D3S-764</v>
          </cell>
          <cell r="G2926" t="str">
            <v>TBL-998</v>
          </cell>
          <cell r="H2926" t="str">
            <v>LAS BAMBAS</v>
          </cell>
          <cell r="I2926">
            <v>127263</v>
          </cell>
          <cell r="J2926" t="str">
            <v>REPUESTO</v>
          </cell>
          <cell r="K2926" t="str">
            <v>PERNO 5/16 X 1</v>
          </cell>
          <cell r="L2926">
            <v>1</v>
          </cell>
          <cell r="M2926" t="str">
            <v>UNID.</v>
          </cell>
          <cell r="N2926" t="str">
            <v>TRACTO</v>
          </cell>
          <cell r="O2926">
            <v>70</v>
          </cell>
          <cell r="P2926" t="str">
            <v>M3</v>
          </cell>
          <cell r="Q2926" t="str">
            <v>J2</v>
          </cell>
          <cell r="R2926" t="str">
            <v>J6</v>
          </cell>
          <cell r="S2926" t="str">
            <v>ENTREGADO</v>
          </cell>
          <cell r="T2926">
            <v>0</v>
          </cell>
          <cell r="U2926" t="str">
            <v>GARCIA PASQUEL  JOSE LUIS</v>
          </cell>
          <cell r="V2926" t="str">
            <v>CORIHUAMAN SURCO  ERICK ROBERT</v>
          </cell>
        </row>
        <row r="2927">
          <cell r="A2927">
            <v>2900</v>
          </cell>
          <cell r="B2927">
            <v>42720</v>
          </cell>
          <cell r="C2927" t="str">
            <v>DICIEMBRE</v>
          </cell>
          <cell r="D2927" t="str">
            <v>2016</v>
          </cell>
          <cell r="E2927">
            <v>608</v>
          </cell>
          <cell r="F2927" t="str">
            <v>D3S-764</v>
          </cell>
          <cell r="G2927" t="str">
            <v>TBL-998</v>
          </cell>
          <cell r="H2927" t="str">
            <v>LAS BAMBAS</v>
          </cell>
          <cell r="I2927">
            <v>127263</v>
          </cell>
          <cell r="J2927" t="str">
            <v>REPUESTO</v>
          </cell>
          <cell r="K2927" t="str">
            <v>TUERCA 5/16</v>
          </cell>
          <cell r="L2927">
            <v>1</v>
          </cell>
          <cell r="M2927" t="str">
            <v>UNID.</v>
          </cell>
          <cell r="N2927" t="str">
            <v>TRACTO</v>
          </cell>
          <cell r="O2927">
            <v>70</v>
          </cell>
          <cell r="P2927" t="str">
            <v>M3</v>
          </cell>
          <cell r="Q2927" t="str">
            <v>J2</v>
          </cell>
          <cell r="R2927" t="str">
            <v>J6</v>
          </cell>
          <cell r="S2927" t="str">
            <v>ENTREGADO</v>
          </cell>
          <cell r="T2927">
            <v>0</v>
          </cell>
          <cell r="U2927" t="str">
            <v>GARCIA PASQUEL  JOSE LUIS</v>
          </cell>
          <cell r="V2927" t="str">
            <v>CORIHUAMAN SURCO  ERICK ROBERT</v>
          </cell>
        </row>
        <row r="2928">
          <cell r="A2928">
            <v>2901</v>
          </cell>
          <cell r="B2928">
            <v>42720</v>
          </cell>
          <cell r="C2928" t="str">
            <v>DICIEMBRE</v>
          </cell>
          <cell r="D2928" t="str">
            <v>2016</v>
          </cell>
          <cell r="E2928">
            <v>608</v>
          </cell>
          <cell r="F2928" t="str">
            <v>D3S-764</v>
          </cell>
          <cell r="G2928" t="str">
            <v>TBL-998</v>
          </cell>
          <cell r="H2928" t="str">
            <v>LAS BAMBAS</v>
          </cell>
          <cell r="I2928">
            <v>127263</v>
          </cell>
          <cell r="J2928" t="str">
            <v>REPUESTO</v>
          </cell>
          <cell r="K2928" t="str">
            <v>ARANDELA PLANA 5/16</v>
          </cell>
          <cell r="L2928">
            <v>2</v>
          </cell>
          <cell r="M2928" t="str">
            <v>UNID.</v>
          </cell>
          <cell r="N2928" t="str">
            <v>TRACTO</v>
          </cell>
          <cell r="O2928">
            <v>70</v>
          </cell>
          <cell r="P2928" t="str">
            <v>M3</v>
          </cell>
          <cell r="Q2928" t="str">
            <v>J2</v>
          </cell>
          <cell r="R2928" t="str">
            <v>J6</v>
          </cell>
          <cell r="S2928" t="str">
            <v>ENTREGADO</v>
          </cell>
          <cell r="T2928">
            <v>0</v>
          </cell>
          <cell r="U2928" t="str">
            <v>GARCIA PASQUEL  JOSE LUIS</v>
          </cell>
          <cell r="V2928" t="str">
            <v>CORIHUAMAN SURCO  ERICK ROBERT</v>
          </cell>
        </row>
        <row r="2929">
          <cell r="A2929">
            <v>2944</v>
          </cell>
          <cell r="B2929">
            <v>42720</v>
          </cell>
          <cell r="C2929" t="str">
            <v>DICIEMBRE</v>
          </cell>
          <cell r="D2929" t="str">
            <v>2016</v>
          </cell>
          <cell r="E2929">
            <v>574</v>
          </cell>
          <cell r="F2929" t="str">
            <v>D4X-872</v>
          </cell>
          <cell r="G2929" t="str">
            <v>B4P-976</v>
          </cell>
          <cell r="H2929" t="str">
            <v>LAS BAMBAS</v>
          </cell>
          <cell r="I2929">
            <v>184600</v>
          </cell>
          <cell r="J2929" t="str">
            <v>SERVICIO</v>
          </cell>
          <cell r="K2929" t="str">
            <v>SERVICIO DE INSPECCION DEL RADIO COMUNICACIÓN</v>
          </cell>
          <cell r="L2929">
            <v>1</v>
          </cell>
          <cell r="M2929" t="str">
            <v>UNID.</v>
          </cell>
          <cell r="N2929" t="str">
            <v>TRACTO</v>
          </cell>
          <cell r="O2929">
            <v>70</v>
          </cell>
          <cell r="P2929" t="str">
            <v>J1</v>
          </cell>
          <cell r="Q2929" t="str">
            <v>J1</v>
          </cell>
          <cell r="R2929" t="str">
            <v>J6</v>
          </cell>
          <cell r="S2929" t="str">
            <v>ENTREGADO</v>
          </cell>
          <cell r="T2929">
            <v>0</v>
          </cell>
          <cell r="U2929" t="str">
            <v>FLOREZ CONDORI  JOSE WILLIANS</v>
          </cell>
          <cell r="V2929" t="str">
            <v>FLOREZ CONDORI  JOSE WILLIANS</v>
          </cell>
        </row>
        <row r="2930">
          <cell r="A2930">
            <v>2946</v>
          </cell>
          <cell r="B2930">
            <v>42720</v>
          </cell>
          <cell r="C2930" t="str">
            <v>DICIEMBRE</v>
          </cell>
          <cell r="D2930" t="str">
            <v>2016</v>
          </cell>
          <cell r="E2930">
            <v>595</v>
          </cell>
          <cell r="F2930" t="str">
            <v>D6G-805</v>
          </cell>
          <cell r="G2930" t="str">
            <v>T4Z-996</v>
          </cell>
          <cell r="H2930" t="str">
            <v>LAS BAMBAS</v>
          </cell>
          <cell r="I2930">
            <v>224443</v>
          </cell>
          <cell r="J2930" t="str">
            <v>REPUESTO</v>
          </cell>
          <cell r="K2930" t="str">
            <v>LLANTA REENCAUCHADAS</v>
          </cell>
          <cell r="L2930">
            <v>1</v>
          </cell>
          <cell r="M2930" t="str">
            <v>UNID.</v>
          </cell>
          <cell r="N2930" t="str">
            <v>CISTERNA</v>
          </cell>
          <cell r="O2930">
            <v>70</v>
          </cell>
          <cell r="P2930" t="str">
            <v>N2</v>
          </cell>
          <cell r="Q2930" t="str">
            <v>J1</v>
          </cell>
          <cell r="R2930" t="str">
            <v>J6</v>
          </cell>
          <cell r="S2930" t="str">
            <v>ENTREGADO</v>
          </cell>
          <cell r="T2930">
            <v>0</v>
          </cell>
          <cell r="U2930" t="str">
            <v>MAMANI LARICO  EDUARDO ALVARO</v>
          </cell>
          <cell r="V2930" t="str">
            <v>FLOREZ CONDORI  JOSE WILLIANS</v>
          </cell>
        </row>
        <row r="2931">
          <cell r="A2931">
            <v>2873</v>
          </cell>
          <cell r="B2931">
            <v>42720</v>
          </cell>
          <cell r="C2931" t="str">
            <v>DICIEMBRE</v>
          </cell>
          <cell r="D2931" t="str">
            <v>2016</v>
          </cell>
          <cell r="E2931">
            <v>200</v>
          </cell>
          <cell r="F2931" t="str">
            <v>TALLER</v>
          </cell>
          <cell r="G2931" t="str">
            <v>TALLER</v>
          </cell>
          <cell r="H2931" t="str">
            <v>TALLER</v>
          </cell>
          <cell r="I2931" t="str">
            <v>TALLER</v>
          </cell>
          <cell r="J2931" t="str">
            <v>REPUESTO</v>
          </cell>
          <cell r="K2931" t="str">
            <v>SICAFLEX</v>
          </cell>
          <cell r="L2931">
            <v>1</v>
          </cell>
          <cell r="M2931" t="str">
            <v>UNID.</v>
          </cell>
          <cell r="N2931" t="str">
            <v>TALLER</v>
          </cell>
          <cell r="O2931">
            <v>70</v>
          </cell>
          <cell r="P2931" t="str">
            <v>E1</v>
          </cell>
          <cell r="Q2931" t="str">
            <v>J2</v>
          </cell>
          <cell r="R2931" t="str">
            <v>J6</v>
          </cell>
          <cell r="S2931" t="str">
            <v>ENTREGADO</v>
          </cell>
          <cell r="T2931">
            <v>0</v>
          </cell>
          <cell r="U2931" t="str">
            <v>PALOMINO CARDENAS JUAN CARLOS</v>
          </cell>
          <cell r="V2931" t="str">
            <v>CORIHUAMAN SURCO  ERICK ROBERT</v>
          </cell>
        </row>
        <row r="2932">
          <cell r="A2932">
            <v>2943</v>
          </cell>
          <cell r="B2932">
            <v>42720</v>
          </cell>
          <cell r="C2932" t="str">
            <v>DICIEMBRE</v>
          </cell>
          <cell r="D2932" t="str">
            <v>2016</v>
          </cell>
          <cell r="E2932">
            <v>587</v>
          </cell>
          <cell r="F2932" t="str">
            <v>X2W-759</v>
          </cell>
          <cell r="G2932" t="str">
            <v>C5V-999</v>
          </cell>
          <cell r="H2932" t="str">
            <v>LAS BAMBAS</v>
          </cell>
          <cell r="I2932">
            <v>154752</v>
          </cell>
          <cell r="J2932" t="str">
            <v>REPUESTO</v>
          </cell>
          <cell r="K2932" t="str">
            <v>LLANTAS REENCAUCHADAS</v>
          </cell>
          <cell r="L2932">
            <v>12</v>
          </cell>
          <cell r="M2932" t="str">
            <v>UNID.</v>
          </cell>
          <cell r="N2932" t="str">
            <v>CISTERNA</v>
          </cell>
          <cell r="O2932">
            <v>70</v>
          </cell>
          <cell r="P2932" t="str">
            <v>N1</v>
          </cell>
          <cell r="Q2932" t="str">
            <v>J2</v>
          </cell>
          <cell r="R2932" t="str">
            <v>J5</v>
          </cell>
          <cell r="S2932" t="str">
            <v>ENTREGADO</v>
          </cell>
          <cell r="T2932">
            <v>0</v>
          </cell>
          <cell r="U2932" t="str">
            <v>AGUILAR CCANTUTA WILLY</v>
          </cell>
          <cell r="V2932" t="str">
            <v>CORIHUAMAN SURCO  ERICK ROBERT</v>
          </cell>
        </row>
        <row r="2933">
          <cell r="A2933">
            <v>2933</v>
          </cell>
          <cell r="B2933">
            <v>42720</v>
          </cell>
          <cell r="C2933" t="str">
            <v>DICIEMBRE</v>
          </cell>
          <cell r="D2933" t="str">
            <v>2016</v>
          </cell>
          <cell r="E2933">
            <v>587</v>
          </cell>
          <cell r="F2933" t="str">
            <v>X2W-759</v>
          </cell>
          <cell r="G2933" t="str">
            <v>C5V-999</v>
          </cell>
          <cell r="H2933" t="str">
            <v>LAS BAMBAS</v>
          </cell>
          <cell r="I2933">
            <v>154752</v>
          </cell>
          <cell r="J2933" t="str">
            <v>REPUESTO</v>
          </cell>
          <cell r="K2933" t="str">
            <v>PERNO 3/8 X 1 1/2</v>
          </cell>
          <cell r="L2933">
            <v>2</v>
          </cell>
          <cell r="M2933" t="str">
            <v>UNID.</v>
          </cell>
          <cell r="N2933" t="str">
            <v>CISTERNA</v>
          </cell>
          <cell r="O2933">
            <v>70</v>
          </cell>
          <cell r="P2933" t="str">
            <v>E3</v>
          </cell>
          <cell r="Q2933" t="str">
            <v>J2</v>
          </cell>
          <cell r="R2933" t="str">
            <v>J6</v>
          </cell>
          <cell r="S2933" t="str">
            <v>ENTREGADO</v>
          </cell>
          <cell r="T2933">
            <v>0</v>
          </cell>
          <cell r="U2933" t="str">
            <v>CONDORI CHURATA ALEX</v>
          </cell>
          <cell r="V2933" t="str">
            <v>CORIHUAMAN SURCO  ERICK ROBERT</v>
          </cell>
        </row>
        <row r="2934">
          <cell r="A2934">
            <v>2934</v>
          </cell>
          <cell r="B2934">
            <v>42720</v>
          </cell>
          <cell r="C2934" t="str">
            <v>DICIEMBRE</v>
          </cell>
          <cell r="D2934" t="str">
            <v>2016</v>
          </cell>
          <cell r="E2934">
            <v>587</v>
          </cell>
          <cell r="F2934" t="str">
            <v>X2W-759</v>
          </cell>
          <cell r="G2934" t="str">
            <v>C5V-999</v>
          </cell>
          <cell r="H2934" t="str">
            <v>LAS BAMBAS</v>
          </cell>
          <cell r="I2934">
            <v>154752</v>
          </cell>
          <cell r="J2934" t="str">
            <v>REPUESTO</v>
          </cell>
          <cell r="K2934" t="str">
            <v>TUERCA SEGURO 3/8</v>
          </cell>
          <cell r="L2934">
            <v>2</v>
          </cell>
          <cell r="M2934" t="str">
            <v>UNID.</v>
          </cell>
          <cell r="N2934" t="str">
            <v>CISTERNA</v>
          </cell>
          <cell r="O2934">
            <v>70</v>
          </cell>
          <cell r="P2934" t="str">
            <v>E3</v>
          </cell>
          <cell r="Q2934" t="str">
            <v>J2</v>
          </cell>
          <cell r="R2934" t="str">
            <v>J6</v>
          </cell>
          <cell r="S2934" t="str">
            <v>ENTREGADO</v>
          </cell>
          <cell r="T2934">
            <v>0</v>
          </cell>
          <cell r="U2934" t="str">
            <v>CONDORI CHURATA ALEX</v>
          </cell>
          <cell r="V2934" t="str">
            <v>CORIHUAMAN SURCO  ERICK ROBERT</v>
          </cell>
        </row>
        <row r="2935">
          <cell r="A2935">
            <v>2935</v>
          </cell>
          <cell r="B2935">
            <v>42720</v>
          </cell>
          <cell r="C2935" t="str">
            <v>DICIEMBRE</v>
          </cell>
          <cell r="D2935" t="str">
            <v>2016</v>
          </cell>
          <cell r="E2935">
            <v>587</v>
          </cell>
          <cell r="F2935" t="str">
            <v>X2W-759</v>
          </cell>
          <cell r="G2935" t="str">
            <v>C5V-999</v>
          </cell>
          <cell r="H2935" t="str">
            <v>LAS BAMBAS</v>
          </cell>
          <cell r="I2935">
            <v>154752</v>
          </cell>
          <cell r="J2935" t="str">
            <v>REPUESTO</v>
          </cell>
          <cell r="K2935" t="str">
            <v>ARANDELA PLANA 3/8</v>
          </cell>
          <cell r="L2935">
            <v>2</v>
          </cell>
          <cell r="M2935" t="str">
            <v>UNID.</v>
          </cell>
          <cell r="N2935" t="str">
            <v>CISTERNA</v>
          </cell>
          <cell r="O2935">
            <v>70</v>
          </cell>
          <cell r="P2935" t="str">
            <v>E3</v>
          </cell>
          <cell r="Q2935" t="str">
            <v>J2</v>
          </cell>
          <cell r="R2935" t="str">
            <v>J6</v>
          </cell>
          <cell r="S2935" t="str">
            <v>ENTREGADO</v>
          </cell>
          <cell r="T2935">
            <v>0</v>
          </cell>
          <cell r="U2935" t="str">
            <v>CONDORI CHURATA ALEX</v>
          </cell>
          <cell r="V2935" t="str">
            <v>CORIHUAMAN SURCO  ERICK ROBERT</v>
          </cell>
        </row>
        <row r="2936">
          <cell r="A2936">
            <v>2891</v>
          </cell>
          <cell r="B2936">
            <v>42720</v>
          </cell>
          <cell r="C2936" t="str">
            <v>DICIEMBRE</v>
          </cell>
          <cell r="D2936" t="str">
            <v>2016</v>
          </cell>
          <cell r="E2936">
            <v>580</v>
          </cell>
          <cell r="F2936" t="str">
            <v>X2W-760</v>
          </cell>
          <cell r="G2936" t="str">
            <v>C5V-992</v>
          </cell>
          <cell r="H2936" t="str">
            <v>LAS BAMBAS</v>
          </cell>
          <cell r="I2936">
            <v>150909</v>
          </cell>
          <cell r="J2936" t="str">
            <v>REPUESTO</v>
          </cell>
          <cell r="K2936" t="str">
            <v>BOTON DE CLAXON - MARILLA</v>
          </cell>
          <cell r="L2936">
            <v>1</v>
          </cell>
          <cell r="M2936" t="str">
            <v>UNID.</v>
          </cell>
          <cell r="N2936" t="str">
            <v>TRACTO</v>
          </cell>
          <cell r="O2936">
            <v>70</v>
          </cell>
          <cell r="P2936" t="str">
            <v>E1</v>
          </cell>
          <cell r="Q2936" t="str">
            <v>J2</v>
          </cell>
          <cell r="R2936" t="str">
            <v>J6</v>
          </cell>
          <cell r="S2936" t="str">
            <v>ENTREGADO</v>
          </cell>
          <cell r="T2936">
            <v>0</v>
          </cell>
          <cell r="U2936" t="str">
            <v>PALOMINO CARDENAS JUAN CARLOS</v>
          </cell>
          <cell r="V2936" t="str">
            <v>CORIHUAMAN SURCO  ERICK ROBERT</v>
          </cell>
        </row>
        <row r="2937">
          <cell r="A2937">
            <v>2927</v>
          </cell>
          <cell r="B2937">
            <v>42720</v>
          </cell>
          <cell r="C2937" t="str">
            <v>DICIEMBRE</v>
          </cell>
          <cell r="D2937" t="str">
            <v>2016</v>
          </cell>
          <cell r="E2937">
            <v>600</v>
          </cell>
          <cell r="F2937" t="str">
            <v>X2W-761</v>
          </cell>
          <cell r="G2937" t="str">
            <v>C5V-996</v>
          </cell>
          <cell r="H2937" t="str">
            <v>LAS BAMBAS</v>
          </cell>
          <cell r="I2937">
            <v>144997</v>
          </cell>
          <cell r="J2937" t="str">
            <v>REPUESTO</v>
          </cell>
          <cell r="K2937" t="str">
            <v>LLANTAS TRACCION</v>
          </cell>
          <cell r="L2937">
            <v>4</v>
          </cell>
          <cell r="M2937" t="str">
            <v>UNID.</v>
          </cell>
          <cell r="N2937" t="str">
            <v>TRACTO</v>
          </cell>
          <cell r="O2937">
            <v>70</v>
          </cell>
          <cell r="P2937" t="str">
            <v>N2</v>
          </cell>
          <cell r="Q2937" t="str">
            <v>J2</v>
          </cell>
          <cell r="R2937" t="str">
            <v>J5</v>
          </cell>
          <cell r="S2937" t="str">
            <v>ENTREGADO</v>
          </cell>
          <cell r="T2937">
            <v>0</v>
          </cell>
          <cell r="U2937" t="str">
            <v>MAMANI LARICO  EDUARDO ALVARO</v>
          </cell>
          <cell r="V2937" t="str">
            <v>CORIHUAMAN SURCO  ERICK ROBERT</v>
          </cell>
        </row>
        <row r="2938">
          <cell r="A2938">
            <v>2928</v>
          </cell>
          <cell r="B2938">
            <v>42720</v>
          </cell>
          <cell r="C2938" t="str">
            <v>DICIEMBRE</v>
          </cell>
          <cell r="D2938" t="str">
            <v>2016</v>
          </cell>
          <cell r="E2938">
            <v>600</v>
          </cell>
          <cell r="F2938" t="str">
            <v>X2W-761</v>
          </cell>
          <cell r="G2938" t="str">
            <v>C5V-996</v>
          </cell>
          <cell r="H2938" t="str">
            <v>LAS BAMBAS</v>
          </cell>
          <cell r="I2938">
            <v>144997</v>
          </cell>
          <cell r="J2938" t="str">
            <v>REPUESTO</v>
          </cell>
          <cell r="K2938" t="str">
            <v>LLANTAS CARRETA</v>
          </cell>
          <cell r="L2938">
            <v>4</v>
          </cell>
          <cell r="M2938" t="str">
            <v>UNID.</v>
          </cell>
          <cell r="N2938" t="str">
            <v>CISTERNA</v>
          </cell>
          <cell r="O2938">
            <v>70</v>
          </cell>
          <cell r="P2938" t="str">
            <v>N2</v>
          </cell>
          <cell r="Q2938" t="str">
            <v>J2</v>
          </cell>
          <cell r="R2938" t="str">
            <v>J5</v>
          </cell>
          <cell r="S2938" t="str">
            <v>ENTREGADO</v>
          </cell>
          <cell r="T2938">
            <v>0</v>
          </cell>
          <cell r="U2938" t="str">
            <v>MAMANI LARICO  EDUARDO ALVARO</v>
          </cell>
          <cell r="V2938" t="str">
            <v>CORIHUAMAN SURCO  ERICK ROBERT</v>
          </cell>
        </row>
        <row r="2939">
          <cell r="A2939">
            <v>2929</v>
          </cell>
          <cell r="B2939">
            <v>42720</v>
          </cell>
          <cell r="C2939" t="str">
            <v>DICIEMBRE</v>
          </cell>
          <cell r="D2939" t="str">
            <v>2016</v>
          </cell>
          <cell r="E2939">
            <v>600</v>
          </cell>
          <cell r="F2939" t="str">
            <v>X2W-761</v>
          </cell>
          <cell r="G2939" t="str">
            <v>C5V-996</v>
          </cell>
          <cell r="H2939" t="str">
            <v>LAS BAMBAS</v>
          </cell>
          <cell r="I2939">
            <v>144997</v>
          </cell>
          <cell r="J2939" t="str">
            <v>REPUESTO</v>
          </cell>
          <cell r="K2939" t="str">
            <v>ACEITE DE MOTOR 15W40</v>
          </cell>
          <cell r="L2939">
            <v>10</v>
          </cell>
          <cell r="M2939" t="str">
            <v>GLNS.</v>
          </cell>
          <cell r="N2939" t="str">
            <v>TRACTO</v>
          </cell>
          <cell r="O2939">
            <v>70</v>
          </cell>
          <cell r="P2939" t="str">
            <v>M3</v>
          </cell>
          <cell r="Q2939" t="str">
            <v>J2</v>
          </cell>
          <cell r="R2939" t="str">
            <v>J6</v>
          </cell>
          <cell r="S2939" t="str">
            <v>ENTREGADO</v>
          </cell>
          <cell r="T2939">
            <v>0</v>
          </cell>
          <cell r="U2939" t="str">
            <v>GARCIA PASQUEL  JOSE LUIS</v>
          </cell>
          <cell r="V2939" t="str">
            <v>CORIHUAMAN SURCO  ERICK ROBERT</v>
          </cell>
        </row>
        <row r="2940">
          <cell r="A2940">
            <v>2930</v>
          </cell>
          <cell r="B2940">
            <v>42720</v>
          </cell>
          <cell r="C2940" t="str">
            <v>DICIEMBRE</v>
          </cell>
          <cell r="D2940" t="str">
            <v>2016</v>
          </cell>
          <cell r="E2940">
            <v>600</v>
          </cell>
          <cell r="F2940" t="str">
            <v>X2W-761</v>
          </cell>
          <cell r="G2940" t="str">
            <v>C5V-996</v>
          </cell>
          <cell r="H2940" t="str">
            <v>LAS BAMBAS</v>
          </cell>
          <cell r="I2940">
            <v>144997</v>
          </cell>
          <cell r="J2940" t="str">
            <v>REPUESTO</v>
          </cell>
          <cell r="K2940" t="str">
            <v>FILTRO DE ACEITE</v>
          </cell>
          <cell r="L2940">
            <v>1</v>
          </cell>
          <cell r="M2940" t="str">
            <v>UNID.</v>
          </cell>
          <cell r="N2940" t="str">
            <v>TRACTO</v>
          </cell>
          <cell r="O2940">
            <v>70</v>
          </cell>
          <cell r="P2940" t="str">
            <v>M3</v>
          </cell>
          <cell r="Q2940" t="str">
            <v>J2</v>
          </cell>
          <cell r="R2940" t="str">
            <v>J6</v>
          </cell>
          <cell r="S2940" t="str">
            <v>ENTREGADO</v>
          </cell>
          <cell r="T2940">
            <v>0</v>
          </cell>
          <cell r="U2940" t="str">
            <v>GARCIA PASQUEL  JOSE LUIS</v>
          </cell>
          <cell r="V2940" t="str">
            <v>CORIHUAMAN SURCO  ERICK ROBERT</v>
          </cell>
        </row>
        <row r="2941">
          <cell r="A2941">
            <v>2931</v>
          </cell>
          <cell r="B2941">
            <v>42720</v>
          </cell>
          <cell r="C2941" t="str">
            <v>DICIEMBRE</v>
          </cell>
          <cell r="D2941" t="str">
            <v>2016</v>
          </cell>
          <cell r="E2941">
            <v>600</v>
          </cell>
          <cell r="F2941" t="str">
            <v>X2W-761</v>
          </cell>
          <cell r="G2941" t="str">
            <v>C5V-996</v>
          </cell>
          <cell r="H2941" t="str">
            <v>LAS BAMBAS</v>
          </cell>
          <cell r="I2941">
            <v>144997</v>
          </cell>
          <cell r="J2941" t="str">
            <v>REPUESTO</v>
          </cell>
          <cell r="K2941" t="str">
            <v>FILTRO DE PETROLEO</v>
          </cell>
          <cell r="L2941">
            <v>2</v>
          </cell>
          <cell r="M2941" t="str">
            <v>UNID.</v>
          </cell>
          <cell r="N2941" t="str">
            <v>TRACTO</v>
          </cell>
          <cell r="O2941">
            <v>70</v>
          </cell>
          <cell r="P2941" t="str">
            <v>M3</v>
          </cell>
          <cell r="Q2941" t="str">
            <v>J2</v>
          </cell>
          <cell r="R2941" t="str">
            <v>J6</v>
          </cell>
          <cell r="S2941" t="str">
            <v>ENTREGADO</v>
          </cell>
          <cell r="T2941">
            <v>0</v>
          </cell>
          <cell r="U2941" t="str">
            <v>GARCIA PASQUEL  JOSE LUIS</v>
          </cell>
          <cell r="V2941" t="str">
            <v>CORIHUAMAN SURCO  ERICK ROBERT</v>
          </cell>
        </row>
        <row r="2942">
          <cell r="A2942">
            <v>2932</v>
          </cell>
          <cell r="B2942">
            <v>42720</v>
          </cell>
          <cell r="C2942" t="str">
            <v>DICIEMBRE</v>
          </cell>
          <cell r="D2942" t="str">
            <v>2016</v>
          </cell>
          <cell r="E2942">
            <v>600</v>
          </cell>
          <cell r="F2942" t="str">
            <v>X2W-761</v>
          </cell>
          <cell r="G2942" t="str">
            <v>C5V-996</v>
          </cell>
          <cell r="H2942" t="str">
            <v>LAS BAMBAS</v>
          </cell>
          <cell r="I2942">
            <v>144997</v>
          </cell>
          <cell r="J2942" t="str">
            <v>REPUESTO</v>
          </cell>
          <cell r="K2942" t="str">
            <v>FILTRO DE AIRE</v>
          </cell>
          <cell r="L2942">
            <v>1</v>
          </cell>
          <cell r="M2942" t="str">
            <v>UNID.</v>
          </cell>
          <cell r="N2942" t="str">
            <v>TRACTO</v>
          </cell>
          <cell r="O2942">
            <v>70</v>
          </cell>
          <cell r="P2942" t="str">
            <v>M3</v>
          </cell>
          <cell r="Q2942" t="str">
            <v>J2</v>
          </cell>
          <cell r="R2942" t="str">
            <v>J6</v>
          </cell>
          <cell r="S2942" t="str">
            <v>ENTREGADO</v>
          </cell>
          <cell r="T2942">
            <v>0</v>
          </cell>
          <cell r="U2942" t="str">
            <v>GARCIA PASQUEL  JOSE LUIS</v>
          </cell>
          <cell r="V2942" t="str">
            <v>CORIHUAMAN SURCO  ERICK ROBERT</v>
          </cell>
        </row>
        <row r="2943">
          <cell r="A2943">
            <v>2936</v>
          </cell>
          <cell r="B2943">
            <v>42720</v>
          </cell>
          <cell r="C2943" t="str">
            <v>DICIEMBRE</v>
          </cell>
          <cell r="D2943" t="str">
            <v>2016</v>
          </cell>
          <cell r="E2943">
            <v>600</v>
          </cell>
          <cell r="F2943" t="str">
            <v>X2W-761</v>
          </cell>
          <cell r="G2943" t="str">
            <v>C5V-996</v>
          </cell>
          <cell r="H2943" t="str">
            <v>LAS BAMBAS</v>
          </cell>
          <cell r="I2943">
            <v>144997</v>
          </cell>
          <cell r="J2943" t="str">
            <v>REPUESTO</v>
          </cell>
          <cell r="K2943" t="str">
            <v>FAROS PIRATAS</v>
          </cell>
          <cell r="L2943">
            <v>2</v>
          </cell>
          <cell r="M2943" t="str">
            <v>UNID.</v>
          </cell>
          <cell r="N2943" t="str">
            <v>CISTERNA</v>
          </cell>
          <cell r="O2943">
            <v>70</v>
          </cell>
          <cell r="P2943" t="str">
            <v>E2</v>
          </cell>
          <cell r="Q2943" t="str">
            <v>J2</v>
          </cell>
          <cell r="R2943" t="str">
            <v>J6</v>
          </cell>
          <cell r="S2943" t="str">
            <v>ENTREGADO</v>
          </cell>
          <cell r="T2943">
            <v>0</v>
          </cell>
          <cell r="U2943" t="str">
            <v>YUCA BELLIDO BORIS YERSY</v>
          </cell>
          <cell r="V2943" t="str">
            <v>CORIHUAMAN SURCO  ERICK ROBERT</v>
          </cell>
        </row>
        <row r="2944">
          <cell r="A2944">
            <v>2937</v>
          </cell>
          <cell r="B2944">
            <v>42720</v>
          </cell>
          <cell r="C2944" t="str">
            <v>DICIEMBRE</v>
          </cell>
          <cell r="D2944" t="str">
            <v>2016</v>
          </cell>
          <cell r="E2944">
            <v>600</v>
          </cell>
          <cell r="F2944" t="str">
            <v>X2W-761</v>
          </cell>
          <cell r="G2944" t="str">
            <v>C5V-996</v>
          </cell>
          <cell r="H2944" t="str">
            <v>LAS BAMBAS</v>
          </cell>
          <cell r="I2944">
            <v>144997</v>
          </cell>
          <cell r="J2944" t="str">
            <v>REPUESTO</v>
          </cell>
          <cell r="K2944" t="str">
            <v>PERNO 5/16 X 1 1/2</v>
          </cell>
          <cell r="L2944">
            <v>2</v>
          </cell>
          <cell r="M2944" t="str">
            <v>UNID.</v>
          </cell>
          <cell r="N2944" t="str">
            <v>CISTERNA</v>
          </cell>
          <cell r="O2944">
            <v>70</v>
          </cell>
          <cell r="P2944" t="str">
            <v>E2</v>
          </cell>
          <cell r="Q2944" t="str">
            <v>J2</v>
          </cell>
          <cell r="R2944" t="str">
            <v>J6</v>
          </cell>
          <cell r="S2944" t="str">
            <v>ENTREGADO</v>
          </cell>
          <cell r="T2944">
            <v>0</v>
          </cell>
          <cell r="U2944" t="str">
            <v>YUCA BELLIDO BORIS YERSY</v>
          </cell>
          <cell r="V2944" t="str">
            <v>CORIHUAMAN SURCO  ERICK ROBERT</v>
          </cell>
        </row>
        <row r="2945">
          <cell r="A2945">
            <v>2938</v>
          </cell>
          <cell r="B2945">
            <v>42720</v>
          </cell>
          <cell r="C2945" t="str">
            <v>DICIEMBRE</v>
          </cell>
          <cell r="D2945" t="str">
            <v>2016</v>
          </cell>
          <cell r="E2945">
            <v>600</v>
          </cell>
          <cell r="F2945" t="str">
            <v>X2W-761</v>
          </cell>
          <cell r="G2945" t="str">
            <v>C5V-996</v>
          </cell>
          <cell r="H2945" t="str">
            <v>LAS BAMBAS</v>
          </cell>
          <cell r="I2945">
            <v>144997</v>
          </cell>
          <cell r="J2945" t="str">
            <v>REPUESTO</v>
          </cell>
          <cell r="K2945" t="str">
            <v>ARANDELA PLANA 5/16</v>
          </cell>
          <cell r="L2945">
            <v>4</v>
          </cell>
          <cell r="M2945" t="str">
            <v>UNID.</v>
          </cell>
          <cell r="N2945" t="str">
            <v>CISTERNA</v>
          </cell>
          <cell r="O2945">
            <v>70</v>
          </cell>
          <cell r="P2945" t="str">
            <v>E2</v>
          </cell>
          <cell r="Q2945" t="str">
            <v>J2</v>
          </cell>
          <cell r="R2945" t="str">
            <v>J6</v>
          </cell>
          <cell r="S2945" t="str">
            <v>ENTREGADO</v>
          </cell>
          <cell r="T2945">
            <v>0</v>
          </cell>
          <cell r="U2945" t="str">
            <v>YUCA BELLIDO BORIS YERSY</v>
          </cell>
          <cell r="V2945" t="str">
            <v>CORIHUAMAN SURCO  ERICK ROBERT</v>
          </cell>
        </row>
        <row r="2946">
          <cell r="A2946">
            <v>2939</v>
          </cell>
          <cell r="B2946">
            <v>42720</v>
          </cell>
          <cell r="C2946" t="str">
            <v>DICIEMBRE</v>
          </cell>
          <cell r="D2946" t="str">
            <v>2016</v>
          </cell>
          <cell r="E2946">
            <v>600</v>
          </cell>
          <cell r="F2946" t="str">
            <v>X2W-761</v>
          </cell>
          <cell r="G2946" t="str">
            <v>C5V-996</v>
          </cell>
          <cell r="H2946" t="str">
            <v>LAS BAMBAS</v>
          </cell>
          <cell r="I2946">
            <v>144997</v>
          </cell>
          <cell r="J2946" t="str">
            <v>REPUESTO</v>
          </cell>
          <cell r="K2946" t="str">
            <v>TUERCA SEGURO 5/16</v>
          </cell>
          <cell r="L2946">
            <v>2</v>
          </cell>
          <cell r="M2946" t="str">
            <v>UNID.</v>
          </cell>
          <cell r="N2946" t="str">
            <v>CISTERNA</v>
          </cell>
          <cell r="O2946">
            <v>70</v>
          </cell>
          <cell r="P2946" t="str">
            <v>E2</v>
          </cell>
          <cell r="Q2946" t="str">
            <v>J2</v>
          </cell>
          <cell r="R2946" t="str">
            <v>J6</v>
          </cell>
          <cell r="S2946" t="str">
            <v>ENTREGADO</v>
          </cell>
          <cell r="T2946">
            <v>0</v>
          </cell>
          <cell r="U2946" t="str">
            <v>YUCA BELLIDO BORIS YERSY</v>
          </cell>
          <cell r="V2946" t="str">
            <v>CORIHUAMAN SURCO  ERICK ROBERT</v>
          </cell>
        </row>
        <row r="2947">
          <cell r="A2947">
            <v>2940</v>
          </cell>
          <cell r="B2947">
            <v>42720</v>
          </cell>
          <cell r="C2947" t="str">
            <v>DICIEMBRE</v>
          </cell>
          <cell r="D2947" t="str">
            <v>2016</v>
          </cell>
          <cell r="E2947">
            <v>600</v>
          </cell>
          <cell r="F2947" t="str">
            <v>X2W-761</v>
          </cell>
          <cell r="G2947" t="str">
            <v>C5V-996</v>
          </cell>
          <cell r="H2947" t="str">
            <v>LAS BAMBAS</v>
          </cell>
          <cell r="I2947">
            <v>144997</v>
          </cell>
          <cell r="J2947" t="str">
            <v>REPUESTO</v>
          </cell>
          <cell r="K2947" t="str">
            <v>CABLE NRO. 14</v>
          </cell>
          <cell r="L2947">
            <v>3</v>
          </cell>
          <cell r="M2947" t="str">
            <v>M</v>
          </cell>
          <cell r="N2947" t="str">
            <v>CISTERNA</v>
          </cell>
          <cell r="O2947">
            <v>70</v>
          </cell>
          <cell r="P2947" t="str">
            <v>E2</v>
          </cell>
          <cell r="Q2947" t="str">
            <v>J2</v>
          </cell>
          <cell r="R2947" t="str">
            <v>J6</v>
          </cell>
          <cell r="S2947" t="str">
            <v>ENTREGADO</v>
          </cell>
          <cell r="T2947">
            <v>0</v>
          </cell>
          <cell r="U2947" t="str">
            <v>YUCA BELLIDO BORIS YERSY</v>
          </cell>
          <cell r="V2947" t="str">
            <v>CORIHUAMAN SURCO  ERICK ROBERT</v>
          </cell>
        </row>
        <row r="2948">
          <cell r="A2948">
            <v>2941</v>
          </cell>
          <cell r="B2948">
            <v>42720</v>
          </cell>
          <cell r="C2948" t="str">
            <v>DICIEMBRE</v>
          </cell>
          <cell r="D2948" t="str">
            <v>2016</v>
          </cell>
          <cell r="E2948">
            <v>600</v>
          </cell>
          <cell r="F2948" t="str">
            <v>X2W-761</v>
          </cell>
          <cell r="G2948" t="str">
            <v>C5V-996</v>
          </cell>
          <cell r="H2948" t="str">
            <v>LAS BAMBAS</v>
          </cell>
          <cell r="I2948">
            <v>144997</v>
          </cell>
          <cell r="J2948" t="str">
            <v>REPUESTO</v>
          </cell>
          <cell r="K2948" t="str">
            <v>TUBO CORRUGADO 1/4</v>
          </cell>
          <cell r="L2948">
            <v>2</v>
          </cell>
          <cell r="M2948" t="str">
            <v>M</v>
          </cell>
          <cell r="N2948" t="str">
            <v>CISTERNA</v>
          </cell>
          <cell r="O2948">
            <v>70</v>
          </cell>
          <cell r="P2948" t="str">
            <v>E2</v>
          </cell>
          <cell r="Q2948" t="str">
            <v>J2</v>
          </cell>
          <cell r="R2948" t="str">
            <v>J6</v>
          </cell>
          <cell r="S2948" t="str">
            <v>ENTREGADO</v>
          </cell>
          <cell r="T2948">
            <v>0</v>
          </cell>
          <cell r="U2948" t="str">
            <v>YUCA BELLIDO BORIS YERSY</v>
          </cell>
          <cell r="V2948" t="str">
            <v>CORIHUAMAN SURCO  ERICK ROBERT</v>
          </cell>
        </row>
        <row r="2949">
          <cell r="A2949">
            <v>2942</v>
          </cell>
          <cell r="B2949">
            <v>42720</v>
          </cell>
          <cell r="C2949" t="str">
            <v>DICIEMBRE</v>
          </cell>
          <cell r="D2949" t="str">
            <v>2016</v>
          </cell>
          <cell r="E2949">
            <v>600</v>
          </cell>
          <cell r="F2949" t="str">
            <v>X2W-761</v>
          </cell>
          <cell r="G2949" t="str">
            <v>C5V-996</v>
          </cell>
          <cell r="H2949" t="str">
            <v>LAS BAMBAS</v>
          </cell>
          <cell r="I2949">
            <v>144997</v>
          </cell>
          <cell r="J2949" t="str">
            <v>REPUESTO</v>
          </cell>
          <cell r="K2949" t="str">
            <v>PRESINTOS 300</v>
          </cell>
          <cell r="L2949">
            <v>20</v>
          </cell>
          <cell r="M2949" t="str">
            <v>UNID.</v>
          </cell>
          <cell r="N2949" t="str">
            <v>TRACTO</v>
          </cell>
          <cell r="O2949">
            <v>70</v>
          </cell>
          <cell r="P2949" t="str">
            <v>E1</v>
          </cell>
          <cell r="Q2949" t="str">
            <v>J2</v>
          </cell>
          <cell r="R2949" t="str">
            <v>J6</v>
          </cell>
          <cell r="S2949" t="str">
            <v>ENTREGADO</v>
          </cell>
          <cell r="T2949">
            <v>0</v>
          </cell>
          <cell r="U2949" t="str">
            <v>PALOMINO CARDENAS JUAN CARLOS</v>
          </cell>
          <cell r="V2949" t="str">
            <v>CORIHUAMAN SURCO  ERICK ROBERT</v>
          </cell>
        </row>
        <row r="2950">
          <cell r="A2950">
            <v>2965</v>
          </cell>
          <cell r="B2950">
            <v>42721</v>
          </cell>
          <cell r="C2950" t="str">
            <v>DICIEMBRE</v>
          </cell>
          <cell r="D2950" t="str">
            <v>2016</v>
          </cell>
          <cell r="E2950">
            <v>339</v>
          </cell>
          <cell r="F2950" t="str">
            <v>A9H-889</v>
          </cell>
          <cell r="G2950" t="str">
            <v>CAMION</v>
          </cell>
          <cell r="H2950" t="str">
            <v>TAMBOMAYO</v>
          </cell>
          <cell r="I2950">
            <v>0</v>
          </cell>
          <cell r="J2950" t="str">
            <v>REPUESTO</v>
          </cell>
          <cell r="K2950" t="str">
            <v>CAÑERIA 12 MM (SEGUN MUESTRA)</v>
          </cell>
          <cell r="L2950">
            <v>5</v>
          </cell>
          <cell r="M2950" t="str">
            <v>M</v>
          </cell>
          <cell r="N2950" t="str">
            <v>CAMION</v>
          </cell>
          <cell r="O2950">
            <v>69</v>
          </cell>
          <cell r="P2950" t="str">
            <v>M2</v>
          </cell>
          <cell r="Q2950" t="str">
            <v>J1</v>
          </cell>
          <cell r="R2950" t="str">
            <v>J5</v>
          </cell>
          <cell r="S2950" t="str">
            <v>ENTREGADO</v>
          </cell>
          <cell r="T2950">
            <v>0</v>
          </cell>
          <cell r="U2950" t="str">
            <v>CHUMPITAZ GAGO JULIO ENRIQUE</v>
          </cell>
          <cell r="V2950" t="str">
            <v>FLOREZ CONDORI  JOSE WILLIANS</v>
          </cell>
        </row>
        <row r="2951">
          <cell r="A2951">
            <v>2966</v>
          </cell>
          <cell r="B2951">
            <v>42721</v>
          </cell>
          <cell r="C2951" t="str">
            <v>DICIEMBRE</v>
          </cell>
          <cell r="D2951" t="str">
            <v>2016</v>
          </cell>
          <cell r="E2951">
            <v>339</v>
          </cell>
          <cell r="F2951" t="str">
            <v>A9H-889</v>
          </cell>
          <cell r="G2951" t="str">
            <v>CAMION</v>
          </cell>
          <cell r="H2951" t="str">
            <v>TAMBOMAYO</v>
          </cell>
          <cell r="I2951">
            <v>0</v>
          </cell>
          <cell r="J2951" t="str">
            <v>REPUESTO</v>
          </cell>
          <cell r="K2951" t="str">
            <v>UNION COMPLETA C/ CONO Y GUIA PARA CAÑERIA DE 12MM</v>
          </cell>
          <cell r="L2951">
            <v>4</v>
          </cell>
          <cell r="M2951" t="str">
            <v>UNID.</v>
          </cell>
          <cell r="N2951" t="str">
            <v>CAMION</v>
          </cell>
          <cell r="O2951">
            <v>69</v>
          </cell>
          <cell r="P2951" t="str">
            <v>M2</v>
          </cell>
          <cell r="Q2951" t="str">
            <v>J1</v>
          </cell>
          <cell r="R2951" t="str">
            <v>J5</v>
          </cell>
          <cell r="S2951" t="str">
            <v>ENTREGADO</v>
          </cell>
          <cell r="T2951">
            <v>0</v>
          </cell>
          <cell r="U2951" t="str">
            <v>CHUMPITAZ GAGO JULIO ENRIQUE</v>
          </cell>
          <cell r="V2951" t="str">
            <v>FLOREZ CONDORI  JOSE WILLIANS</v>
          </cell>
        </row>
        <row r="2952">
          <cell r="A2952">
            <v>2972</v>
          </cell>
          <cell r="B2952">
            <v>42721</v>
          </cell>
          <cell r="C2952" t="str">
            <v>DICIEMBRE</v>
          </cell>
          <cell r="D2952" t="str">
            <v>2016</v>
          </cell>
          <cell r="E2952">
            <v>622</v>
          </cell>
          <cell r="F2952" t="str">
            <v>AAM-837</v>
          </cell>
          <cell r="G2952" t="str">
            <v>CAMIONETA</v>
          </cell>
          <cell r="H2952" t="str">
            <v>LAS BAMBAS</v>
          </cell>
          <cell r="I2952">
            <v>117362</v>
          </cell>
          <cell r="J2952" t="str">
            <v>REPUESTO</v>
          </cell>
          <cell r="K2952" t="str">
            <v>FILTRO DE AIRE</v>
          </cell>
          <cell r="L2952">
            <v>1</v>
          </cell>
          <cell r="M2952" t="str">
            <v>UNID.</v>
          </cell>
          <cell r="N2952" t="str">
            <v>CAMIONETA</v>
          </cell>
          <cell r="O2952">
            <v>69</v>
          </cell>
          <cell r="P2952" t="str">
            <v>J1</v>
          </cell>
          <cell r="Q2952" t="str">
            <v>J1</v>
          </cell>
          <cell r="R2952" t="str">
            <v>J5</v>
          </cell>
          <cell r="S2952" t="str">
            <v>ENTREGADO</v>
          </cell>
          <cell r="T2952">
            <v>0</v>
          </cell>
          <cell r="U2952" t="str">
            <v>FLOREZ CONDORI  JOSE WILLIANS</v>
          </cell>
          <cell r="V2952" t="str">
            <v>FLOREZ CONDORI  JOSE WILLIANS</v>
          </cell>
        </row>
        <row r="2953">
          <cell r="A2953">
            <v>2973</v>
          </cell>
          <cell r="B2953">
            <v>42721</v>
          </cell>
          <cell r="C2953" t="str">
            <v>DICIEMBRE</v>
          </cell>
          <cell r="D2953" t="str">
            <v>2016</v>
          </cell>
          <cell r="E2953">
            <v>622</v>
          </cell>
          <cell r="F2953" t="str">
            <v>AAM-837</v>
          </cell>
          <cell r="G2953" t="str">
            <v>CAMIONETA</v>
          </cell>
          <cell r="H2953" t="str">
            <v>LAS BAMBAS</v>
          </cell>
          <cell r="I2953">
            <v>117362</v>
          </cell>
          <cell r="J2953" t="str">
            <v>REPUESTO</v>
          </cell>
          <cell r="K2953" t="str">
            <v>FILTRO DE COMBUSTIBLE</v>
          </cell>
          <cell r="L2953">
            <v>1</v>
          </cell>
          <cell r="M2953" t="str">
            <v>UNID.</v>
          </cell>
          <cell r="N2953" t="str">
            <v>CAMIONETA</v>
          </cell>
          <cell r="O2953">
            <v>69</v>
          </cell>
          <cell r="P2953" t="str">
            <v>J1</v>
          </cell>
          <cell r="Q2953" t="str">
            <v>J1</v>
          </cell>
          <cell r="R2953" t="str">
            <v>J5</v>
          </cell>
          <cell r="S2953" t="str">
            <v>ENTREGADO</v>
          </cell>
          <cell r="T2953">
            <v>0</v>
          </cell>
          <cell r="U2953" t="str">
            <v>FLOREZ CONDORI  JOSE WILLIANS</v>
          </cell>
          <cell r="V2953" t="str">
            <v>FLOREZ CONDORI  JOSE WILLIANS</v>
          </cell>
        </row>
        <row r="2954">
          <cell r="A2954">
            <v>2974</v>
          </cell>
          <cell r="B2954">
            <v>42721</v>
          </cell>
          <cell r="C2954" t="str">
            <v>DICIEMBRE</v>
          </cell>
          <cell r="D2954" t="str">
            <v>2016</v>
          </cell>
          <cell r="E2954">
            <v>622</v>
          </cell>
          <cell r="F2954" t="str">
            <v>AAM-837</v>
          </cell>
          <cell r="G2954" t="str">
            <v>CAMIONETA</v>
          </cell>
          <cell r="H2954" t="str">
            <v>LAS BAMBAS</v>
          </cell>
          <cell r="I2954">
            <v>117362</v>
          </cell>
          <cell r="J2954" t="str">
            <v>REPUESTO</v>
          </cell>
          <cell r="K2954" t="str">
            <v>FILTRO DE ACEITE</v>
          </cell>
          <cell r="L2954">
            <v>1</v>
          </cell>
          <cell r="M2954" t="str">
            <v>UNID.</v>
          </cell>
          <cell r="N2954" t="str">
            <v>CAMIONETA</v>
          </cell>
          <cell r="O2954">
            <v>69</v>
          </cell>
          <cell r="P2954" t="str">
            <v>J1</v>
          </cell>
          <cell r="Q2954" t="str">
            <v>J1</v>
          </cell>
          <cell r="R2954" t="str">
            <v>J5</v>
          </cell>
          <cell r="S2954" t="str">
            <v>ENTREGADO</v>
          </cell>
          <cell r="T2954">
            <v>0</v>
          </cell>
          <cell r="U2954" t="str">
            <v>FLOREZ CONDORI  JOSE WILLIANS</v>
          </cell>
          <cell r="V2954" t="str">
            <v>FLOREZ CONDORI  JOSE WILLIANS</v>
          </cell>
        </row>
        <row r="2955">
          <cell r="A2955">
            <v>2975</v>
          </cell>
          <cell r="B2955">
            <v>42721</v>
          </cell>
          <cell r="C2955" t="str">
            <v>DICIEMBRE</v>
          </cell>
          <cell r="D2955" t="str">
            <v>2016</v>
          </cell>
          <cell r="E2955">
            <v>622</v>
          </cell>
          <cell r="F2955" t="str">
            <v>AAM-837</v>
          </cell>
          <cell r="G2955" t="str">
            <v>CAMIONETA</v>
          </cell>
          <cell r="H2955" t="str">
            <v>LAS BAMBAS</v>
          </cell>
          <cell r="I2955">
            <v>117362</v>
          </cell>
          <cell r="J2955" t="str">
            <v>REPUESTO</v>
          </cell>
          <cell r="K2955" t="str">
            <v>ACEITE MOTOR 15W-40</v>
          </cell>
          <cell r="L2955">
            <v>2</v>
          </cell>
          <cell r="M2955" t="str">
            <v>GLNS.</v>
          </cell>
          <cell r="N2955" t="str">
            <v>CAMIONETA</v>
          </cell>
          <cell r="O2955">
            <v>69</v>
          </cell>
          <cell r="P2955" t="str">
            <v>J1</v>
          </cell>
          <cell r="Q2955" t="str">
            <v>J1</v>
          </cell>
          <cell r="R2955" t="str">
            <v>J5</v>
          </cell>
          <cell r="S2955" t="str">
            <v>ENTREGADO</v>
          </cell>
          <cell r="T2955">
            <v>0</v>
          </cell>
          <cell r="U2955" t="str">
            <v>FLOREZ CONDORI  JOSE WILLIANS</v>
          </cell>
          <cell r="V2955" t="str">
            <v>FLOREZ CONDORI  JOSE WILLIANS</v>
          </cell>
        </row>
        <row r="2956">
          <cell r="A2956">
            <v>2991</v>
          </cell>
          <cell r="B2956">
            <v>42721</v>
          </cell>
          <cell r="C2956" t="str">
            <v>DICIEMBRE</v>
          </cell>
          <cell r="D2956" t="str">
            <v>2016</v>
          </cell>
          <cell r="E2956">
            <v>626</v>
          </cell>
          <cell r="F2956" t="str">
            <v>ABQ-780</v>
          </cell>
          <cell r="G2956" t="str">
            <v>C9S-990</v>
          </cell>
          <cell r="H2956" t="str">
            <v>LAS BAMBAS</v>
          </cell>
          <cell r="I2956">
            <v>117982</v>
          </cell>
          <cell r="J2956" t="str">
            <v>REPUESTO</v>
          </cell>
          <cell r="K2956" t="str">
            <v>LLANTAS TRACCION</v>
          </cell>
          <cell r="L2956">
            <v>4</v>
          </cell>
          <cell r="M2956" t="str">
            <v>UNID.</v>
          </cell>
          <cell r="N2956" t="str">
            <v>TRACTO</v>
          </cell>
          <cell r="O2956">
            <v>69</v>
          </cell>
          <cell r="P2956" t="str">
            <v>J1</v>
          </cell>
          <cell r="Q2956" t="str">
            <v>J1</v>
          </cell>
          <cell r="R2956" t="str">
            <v>J5</v>
          </cell>
          <cell r="S2956" t="str">
            <v>PENDIENTE</v>
          </cell>
          <cell r="T2956">
            <v>0</v>
          </cell>
          <cell r="U2956" t="str">
            <v>FLOREZ CONDORI  JOSE WILLIANS</v>
          </cell>
          <cell r="V2956" t="str">
            <v>FLOREZ CONDORI  JOSE WILLIANS</v>
          </cell>
        </row>
        <row r="2957">
          <cell r="A2957">
            <v>2984</v>
          </cell>
          <cell r="B2957">
            <v>42721</v>
          </cell>
          <cell r="C2957" t="str">
            <v>DICIEMBRE</v>
          </cell>
          <cell r="D2957" t="str">
            <v>2016</v>
          </cell>
          <cell r="E2957">
            <v>626</v>
          </cell>
          <cell r="F2957" t="str">
            <v>ABQ-780</v>
          </cell>
          <cell r="G2957" t="str">
            <v>C9S-990</v>
          </cell>
          <cell r="H2957" t="str">
            <v>LAS BAMBAS</v>
          </cell>
          <cell r="I2957">
            <v>117982</v>
          </cell>
          <cell r="J2957" t="str">
            <v>REPUESTO</v>
          </cell>
          <cell r="K2957" t="str">
            <v>LIQUIDO LIMPIAPARABRISAS</v>
          </cell>
          <cell r="L2957">
            <v>1</v>
          </cell>
          <cell r="M2957" t="str">
            <v>GLNS.</v>
          </cell>
          <cell r="N2957" t="str">
            <v>TALLER</v>
          </cell>
          <cell r="O2957">
            <v>69</v>
          </cell>
          <cell r="P2957" t="str">
            <v>M6</v>
          </cell>
          <cell r="Q2957" t="str">
            <v>J1</v>
          </cell>
          <cell r="R2957" t="str">
            <v>J5</v>
          </cell>
          <cell r="S2957" t="str">
            <v>ENTREGADO</v>
          </cell>
          <cell r="T2957">
            <v>0</v>
          </cell>
          <cell r="U2957" t="str">
            <v>PARI VENTURA  EDSON ORLANDO</v>
          </cell>
          <cell r="V2957" t="str">
            <v>FLOREZ CONDORI  JOSE WILLIANS</v>
          </cell>
        </row>
        <row r="2958">
          <cell r="A2958">
            <v>3001</v>
          </cell>
          <cell r="B2958">
            <v>42721</v>
          </cell>
          <cell r="C2958" t="str">
            <v>DICIEMBRE</v>
          </cell>
          <cell r="D2958" t="str">
            <v>2016</v>
          </cell>
          <cell r="E2958">
            <v>626</v>
          </cell>
          <cell r="F2958" t="str">
            <v>ABQ-780</v>
          </cell>
          <cell r="G2958" t="str">
            <v>C9S-990</v>
          </cell>
          <cell r="H2958" t="str">
            <v>LAS BAMBAS</v>
          </cell>
          <cell r="I2958">
            <v>117982</v>
          </cell>
          <cell r="J2958" t="str">
            <v>REPUESTO</v>
          </cell>
          <cell r="K2958" t="str">
            <v>PRECINTOS 200</v>
          </cell>
          <cell r="L2958">
            <v>10</v>
          </cell>
          <cell r="M2958" t="str">
            <v>UNID.</v>
          </cell>
          <cell r="N2958" t="str">
            <v>TRACTO</v>
          </cell>
          <cell r="O2958">
            <v>69</v>
          </cell>
          <cell r="P2958" t="str">
            <v>E3</v>
          </cell>
          <cell r="Q2958" t="str">
            <v>J1</v>
          </cell>
          <cell r="R2958" t="str">
            <v>J5</v>
          </cell>
          <cell r="S2958" t="str">
            <v>ENTREGADO</v>
          </cell>
          <cell r="T2958">
            <v>0</v>
          </cell>
          <cell r="U2958" t="str">
            <v>CONDORI CHURATA ALEX</v>
          </cell>
          <cell r="V2958" t="str">
            <v>FLOREZ CONDORI  JOSE WILLIANS</v>
          </cell>
        </row>
        <row r="2959">
          <cell r="A2959">
            <v>3002</v>
          </cell>
          <cell r="B2959">
            <v>42721</v>
          </cell>
          <cell r="C2959" t="str">
            <v>DICIEMBRE</v>
          </cell>
          <cell r="D2959" t="str">
            <v>2016</v>
          </cell>
          <cell r="E2959">
            <v>626</v>
          </cell>
          <cell r="F2959" t="str">
            <v>ABQ-780</v>
          </cell>
          <cell r="G2959" t="str">
            <v>C9S-990</v>
          </cell>
          <cell r="H2959" t="str">
            <v>LAS BAMBAS</v>
          </cell>
          <cell r="I2959">
            <v>117982</v>
          </cell>
          <cell r="J2959" t="str">
            <v>REPUESTO</v>
          </cell>
          <cell r="K2959" t="str">
            <v>SOCKET PARA FOCO 9005</v>
          </cell>
          <cell r="L2959">
            <v>1</v>
          </cell>
          <cell r="M2959" t="str">
            <v>UNID.</v>
          </cell>
          <cell r="N2959" t="str">
            <v>TRACTO</v>
          </cell>
          <cell r="O2959">
            <v>69</v>
          </cell>
          <cell r="P2959" t="str">
            <v>E3</v>
          </cell>
          <cell r="Q2959" t="str">
            <v>J1</v>
          </cell>
          <cell r="R2959" t="str">
            <v>J5</v>
          </cell>
          <cell r="S2959" t="str">
            <v>ENTREGADO</v>
          </cell>
          <cell r="T2959">
            <v>0</v>
          </cell>
          <cell r="U2959" t="str">
            <v>CONDORI CHURATA ALEX</v>
          </cell>
          <cell r="V2959" t="str">
            <v>FLOREZ CONDORI  JOSE WILLIANS</v>
          </cell>
        </row>
        <row r="2960">
          <cell r="A2960">
            <v>3003</v>
          </cell>
          <cell r="B2960">
            <v>42721</v>
          </cell>
          <cell r="C2960" t="str">
            <v>DICIEMBRE</v>
          </cell>
          <cell r="D2960" t="str">
            <v>2016</v>
          </cell>
          <cell r="E2960">
            <v>626</v>
          </cell>
          <cell r="F2960" t="str">
            <v>ABQ-780</v>
          </cell>
          <cell r="G2960" t="str">
            <v>C9S-990</v>
          </cell>
          <cell r="H2960" t="str">
            <v>LAS BAMBAS</v>
          </cell>
          <cell r="I2960">
            <v>117982</v>
          </cell>
          <cell r="J2960" t="str">
            <v>REPUESTO</v>
          </cell>
          <cell r="K2960" t="str">
            <v>TUBO CORRUGADO 3/8</v>
          </cell>
          <cell r="L2960">
            <v>1</v>
          </cell>
          <cell r="M2960" t="str">
            <v>M</v>
          </cell>
          <cell r="N2960" t="str">
            <v>TRACTO</v>
          </cell>
          <cell r="O2960">
            <v>69</v>
          </cell>
          <cell r="P2960" t="str">
            <v>E1</v>
          </cell>
          <cell r="Q2960" t="str">
            <v>J1</v>
          </cell>
          <cell r="R2960" t="str">
            <v>J5</v>
          </cell>
          <cell r="S2960" t="str">
            <v>ENTREGADO</v>
          </cell>
          <cell r="T2960">
            <v>0</v>
          </cell>
          <cell r="U2960" t="str">
            <v>PALOMINO CARDENAS JUAN CARLOS</v>
          </cell>
          <cell r="V2960" t="str">
            <v>FLOREZ CONDORI  JOSE WILLIANS</v>
          </cell>
        </row>
        <row r="2961">
          <cell r="A2961">
            <v>2985</v>
          </cell>
          <cell r="B2961">
            <v>42721</v>
          </cell>
          <cell r="C2961" t="str">
            <v>DICIEMBRE</v>
          </cell>
          <cell r="D2961" t="str">
            <v>2016</v>
          </cell>
          <cell r="E2961">
            <v>625</v>
          </cell>
          <cell r="F2961" t="str">
            <v>ABR-727</v>
          </cell>
          <cell r="G2961" t="str">
            <v>C9S-989</v>
          </cell>
          <cell r="H2961" t="str">
            <v>LAS BAMBAS</v>
          </cell>
          <cell r="I2961">
            <v>100985</v>
          </cell>
          <cell r="J2961" t="str">
            <v>REPUESTO</v>
          </cell>
          <cell r="K2961" t="str">
            <v>FAJA DE ALTERNADOR</v>
          </cell>
          <cell r="L2961">
            <v>1</v>
          </cell>
          <cell r="M2961" t="str">
            <v>UNID.</v>
          </cell>
          <cell r="N2961" t="str">
            <v>TRACTO</v>
          </cell>
          <cell r="O2961">
            <v>69</v>
          </cell>
          <cell r="P2961" t="str">
            <v>M2</v>
          </cell>
          <cell r="Q2961" t="str">
            <v>J1</v>
          </cell>
          <cell r="R2961" t="str">
            <v>J5</v>
          </cell>
          <cell r="S2961" t="str">
            <v>ENTREGADO</v>
          </cell>
          <cell r="T2961">
            <v>0</v>
          </cell>
          <cell r="U2961" t="str">
            <v>CHUMPITAZ GAGO JULIO ENRIQUE</v>
          </cell>
          <cell r="V2961" t="str">
            <v>FLOREZ CONDORI  JOSE WILLIANS</v>
          </cell>
        </row>
        <row r="2962">
          <cell r="A2962">
            <v>2986</v>
          </cell>
          <cell r="B2962">
            <v>42721</v>
          </cell>
          <cell r="C2962" t="str">
            <v>DICIEMBRE</v>
          </cell>
          <cell r="D2962" t="str">
            <v>2016</v>
          </cell>
          <cell r="E2962">
            <v>625</v>
          </cell>
          <cell r="F2962" t="str">
            <v>ABR-727</v>
          </cell>
          <cell r="G2962" t="str">
            <v>C9S-989</v>
          </cell>
          <cell r="H2962" t="str">
            <v>LAS BAMBAS</v>
          </cell>
          <cell r="I2962">
            <v>100985</v>
          </cell>
          <cell r="J2962" t="str">
            <v>REPUESTO</v>
          </cell>
          <cell r="K2962" t="str">
            <v>LIQUIDO LIMPIAPARABRISAS</v>
          </cell>
          <cell r="L2962">
            <v>1</v>
          </cell>
          <cell r="M2962" t="str">
            <v>GLNS.</v>
          </cell>
          <cell r="N2962" t="str">
            <v>TRACTO</v>
          </cell>
          <cell r="O2962">
            <v>69</v>
          </cell>
          <cell r="P2962" t="str">
            <v>M2</v>
          </cell>
          <cell r="Q2962" t="str">
            <v>J1</v>
          </cell>
          <cell r="R2962" t="str">
            <v>J5</v>
          </cell>
          <cell r="S2962" t="str">
            <v>ENTREGADO</v>
          </cell>
          <cell r="T2962">
            <v>0</v>
          </cell>
          <cell r="U2962" t="str">
            <v>CHUMPITAZ GAGO JULIO ENRIQUE</v>
          </cell>
          <cell r="V2962" t="str">
            <v>FLOREZ CONDORI  JOSE WILLIANS</v>
          </cell>
        </row>
        <row r="2963">
          <cell r="A2963">
            <v>2995</v>
          </cell>
          <cell r="B2963">
            <v>42721</v>
          </cell>
          <cell r="C2963" t="str">
            <v>DICIEMBRE</v>
          </cell>
          <cell r="D2963" t="str">
            <v>2016</v>
          </cell>
          <cell r="E2963">
            <v>625</v>
          </cell>
          <cell r="F2963" t="str">
            <v>ABR-727</v>
          </cell>
          <cell r="G2963" t="str">
            <v>C9S-989</v>
          </cell>
          <cell r="H2963" t="str">
            <v>LAS BAMBAS</v>
          </cell>
          <cell r="I2963">
            <v>100985</v>
          </cell>
          <cell r="J2963" t="str">
            <v>REPUESTO</v>
          </cell>
          <cell r="K2963" t="str">
            <v>SOPORTE DE MOTOR POSTERIOR</v>
          </cell>
          <cell r="L2963">
            <v>2</v>
          </cell>
          <cell r="M2963" t="str">
            <v>UNID.</v>
          </cell>
          <cell r="N2963" t="str">
            <v>TRACTO</v>
          </cell>
          <cell r="O2963">
            <v>69</v>
          </cell>
          <cell r="P2963" t="str">
            <v>M2</v>
          </cell>
          <cell r="Q2963" t="str">
            <v>J1</v>
          </cell>
          <cell r="R2963" t="str">
            <v>J5</v>
          </cell>
          <cell r="S2963" t="str">
            <v>ENTREGADO</v>
          </cell>
          <cell r="T2963">
            <v>0</v>
          </cell>
          <cell r="U2963" t="str">
            <v>CHUMPITAZ GAGO JULIO ENRIQUE</v>
          </cell>
          <cell r="V2963" t="str">
            <v>FLOREZ CONDORI  JOSE WILLIANS</v>
          </cell>
        </row>
        <row r="2964">
          <cell r="A2964">
            <v>2996</v>
          </cell>
          <cell r="B2964">
            <v>42721</v>
          </cell>
          <cell r="C2964" t="str">
            <v>DICIEMBRE</v>
          </cell>
          <cell r="D2964" t="str">
            <v>2016</v>
          </cell>
          <cell r="E2964">
            <v>625</v>
          </cell>
          <cell r="F2964" t="str">
            <v>ABR-727</v>
          </cell>
          <cell r="G2964" t="str">
            <v>C9S-989</v>
          </cell>
          <cell r="H2964" t="str">
            <v>LAS BAMBAS</v>
          </cell>
          <cell r="I2964">
            <v>100985</v>
          </cell>
          <cell r="J2964" t="str">
            <v>REPUESTO</v>
          </cell>
          <cell r="K2964" t="str">
            <v>SOPORTE DE MOTOR DELANTERO</v>
          </cell>
          <cell r="L2964">
            <v>1</v>
          </cell>
          <cell r="M2964" t="str">
            <v>UNID.</v>
          </cell>
          <cell r="N2964" t="str">
            <v>TRACTO</v>
          </cell>
          <cell r="O2964">
            <v>69</v>
          </cell>
          <cell r="P2964" t="str">
            <v>M2</v>
          </cell>
          <cell r="Q2964" t="str">
            <v>J1</v>
          </cell>
          <cell r="R2964" t="str">
            <v>J5</v>
          </cell>
          <cell r="S2964" t="str">
            <v>ENTREGADO</v>
          </cell>
          <cell r="T2964">
            <v>0</v>
          </cell>
          <cell r="U2964" t="str">
            <v>CHUMPITAZ GAGO JULIO ENRIQUE</v>
          </cell>
          <cell r="V2964" t="str">
            <v>FLOREZ CONDORI  JOSE WILLIANS</v>
          </cell>
        </row>
        <row r="2965">
          <cell r="A2965">
            <v>2990</v>
          </cell>
          <cell r="B2965">
            <v>42721</v>
          </cell>
          <cell r="C2965" t="str">
            <v>DICIEMBRE</v>
          </cell>
          <cell r="D2965" t="str">
            <v>2016</v>
          </cell>
          <cell r="E2965">
            <v>604</v>
          </cell>
          <cell r="F2965" t="str">
            <v>ABR-759</v>
          </cell>
          <cell r="G2965" t="str">
            <v>D0Z-995</v>
          </cell>
          <cell r="H2965" t="str">
            <v>LAS BAMBAS</v>
          </cell>
          <cell r="I2965">
            <v>113074</v>
          </cell>
          <cell r="J2965" t="str">
            <v>REPUESTO</v>
          </cell>
          <cell r="K2965" t="str">
            <v>SPRAY VERDE</v>
          </cell>
          <cell r="L2965">
            <v>1</v>
          </cell>
          <cell r="M2965" t="str">
            <v>UNID.</v>
          </cell>
          <cell r="N2965" t="str">
            <v>CISTERNA</v>
          </cell>
          <cell r="O2965">
            <v>69</v>
          </cell>
          <cell r="P2965" t="str">
            <v>S1</v>
          </cell>
          <cell r="Q2965" t="str">
            <v>J1</v>
          </cell>
          <cell r="R2965" t="str">
            <v>J5</v>
          </cell>
          <cell r="S2965" t="str">
            <v>ENTREGADO</v>
          </cell>
          <cell r="T2965">
            <v>0</v>
          </cell>
          <cell r="U2965" t="str">
            <v>BAYONA CRUZ CRISTIAN ARMANDO</v>
          </cell>
          <cell r="V2965" t="str">
            <v>FLOREZ CONDORI  JOSE WILLIANS</v>
          </cell>
        </row>
        <row r="2966">
          <cell r="A2966">
            <v>2979</v>
          </cell>
          <cell r="B2966">
            <v>42721</v>
          </cell>
          <cell r="C2966" t="str">
            <v>DICIEMBRE</v>
          </cell>
          <cell r="D2966" t="str">
            <v>2016</v>
          </cell>
          <cell r="E2966">
            <v>623</v>
          </cell>
          <cell r="F2966" t="str">
            <v>AKX-767</v>
          </cell>
          <cell r="G2966" t="str">
            <v>TCR-993</v>
          </cell>
          <cell r="H2966" t="str">
            <v>LAS BAMBAS CONC.</v>
          </cell>
          <cell r="I2966">
            <v>24897</v>
          </cell>
          <cell r="J2966" t="str">
            <v>REPUESTO</v>
          </cell>
          <cell r="K2966" t="str">
            <v>LIQUIDO LIMPIAPARABRISAS</v>
          </cell>
          <cell r="L2966">
            <v>1</v>
          </cell>
          <cell r="M2966" t="str">
            <v>GLNS.</v>
          </cell>
          <cell r="N2966" t="str">
            <v>TRACTO</v>
          </cell>
          <cell r="O2966">
            <v>69</v>
          </cell>
          <cell r="P2966" t="str">
            <v>M8</v>
          </cell>
          <cell r="Q2966" t="str">
            <v>J1</v>
          </cell>
          <cell r="R2966" t="str">
            <v>J5</v>
          </cell>
          <cell r="S2966" t="str">
            <v>ENTREGADO</v>
          </cell>
          <cell r="T2966">
            <v>0</v>
          </cell>
          <cell r="U2966" t="str">
            <v>VARILLAS GAGO  OSCAR ALBERTO</v>
          </cell>
          <cell r="V2966" t="str">
            <v>FLOREZ CONDORI  JOSE WILLIANS</v>
          </cell>
        </row>
        <row r="2967">
          <cell r="A2967">
            <v>2989</v>
          </cell>
          <cell r="B2967">
            <v>42721</v>
          </cell>
          <cell r="C2967" t="str">
            <v>DICIEMBRE</v>
          </cell>
          <cell r="D2967" t="str">
            <v>2016</v>
          </cell>
          <cell r="E2967">
            <v>623</v>
          </cell>
          <cell r="F2967" t="str">
            <v>AKX-767</v>
          </cell>
          <cell r="G2967" t="str">
            <v>TCR-993</v>
          </cell>
          <cell r="H2967" t="str">
            <v>LAS BAMBAS CONC.</v>
          </cell>
          <cell r="I2967">
            <v>24897</v>
          </cell>
          <cell r="J2967" t="str">
            <v>REPUESTO</v>
          </cell>
          <cell r="K2967" t="str">
            <v>PARCHE RACK 12</v>
          </cell>
          <cell r="L2967">
            <v>1</v>
          </cell>
          <cell r="M2967" t="str">
            <v>UNID.</v>
          </cell>
          <cell r="N2967" t="str">
            <v>TRACTO</v>
          </cell>
          <cell r="O2967">
            <v>69</v>
          </cell>
          <cell r="P2967" t="str">
            <v>N1</v>
          </cell>
          <cell r="Q2967" t="str">
            <v>J1</v>
          </cell>
          <cell r="R2967" t="str">
            <v>J5</v>
          </cell>
          <cell r="S2967" t="str">
            <v>ENTREGADO</v>
          </cell>
          <cell r="T2967">
            <v>0</v>
          </cell>
          <cell r="U2967" t="str">
            <v>AGUILAR CCANTUTA WILLY</v>
          </cell>
          <cell r="V2967" t="str">
            <v>FLOREZ CONDORI  JOSE WILLIANS</v>
          </cell>
        </row>
        <row r="2968">
          <cell r="A2968">
            <v>2992</v>
          </cell>
          <cell r="B2968">
            <v>42721</v>
          </cell>
          <cell r="C2968" t="str">
            <v>DICIEMBRE</v>
          </cell>
          <cell r="D2968" t="str">
            <v>2016</v>
          </cell>
          <cell r="E2968">
            <v>623</v>
          </cell>
          <cell r="F2968" t="str">
            <v>AKX-767</v>
          </cell>
          <cell r="G2968" t="str">
            <v>TCR-993</v>
          </cell>
          <cell r="H2968" t="str">
            <v>LAS BAMBAS CONC.</v>
          </cell>
          <cell r="I2968">
            <v>24897</v>
          </cell>
          <cell r="J2968" t="str">
            <v>REPUESTO</v>
          </cell>
          <cell r="K2968" t="str">
            <v>FARO LATERAL</v>
          </cell>
          <cell r="L2968">
            <v>1</v>
          </cell>
          <cell r="M2968" t="str">
            <v>UNID.</v>
          </cell>
          <cell r="N2968" t="str">
            <v>TRACTO</v>
          </cell>
          <cell r="O2968">
            <v>69</v>
          </cell>
          <cell r="P2968" t="str">
            <v>E3</v>
          </cell>
          <cell r="Q2968" t="str">
            <v>J1</v>
          </cell>
          <cell r="R2968" t="str">
            <v>J5</v>
          </cell>
          <cell r="S2968" t="str">
            <v>ENTREGADO</v>
          </cell>
          <cell r="T2968">
            <v>0</v>
          </cell>
          <cell r="U2968" t="str">
            <v>CONDORI CHURATA ALEX</v>
          </cell>
          <cell r="V2968" t="str">
            <v>FLOREZ CONDORI  JOSE WILLIANS</v>
          </cell>
        </row>
        <row r="2969">
          <cell r="A2969">
            <v>2967</v>
          </cell>
          <cell r="B2969">
            <v>42721</v>
          </cell>
          <cell r="C2969" t="str">
            <v>DICIEMBRE</v>
          </cell>
          <cell r="D2969" t="str">
            <v>2016</v>
          </cell>
          <cell r="E2969">
            <v>611</v>
          </cell>
          <cell r="F2969" t="str">
            <v>B2L-889</v>
          </cell>
          <cell r="G2969" t="str">
            <v>CAMION</v>
          </cell>
          <cell r="H2969" t="str">
            <v>TAMBOMAYO</v>
          </cell>
          <cell r="I2969">
            <v>123252</v>
          </cell>
          <cell r="J2969" t="str">
            <v>REPUESTO</v>
          </cell>
          <cell r="K2969" t="str">
            <v>ABRAZADERA EN U PARA TANQUE C/ TUERCAS Y ARANDELAS</v>
          </cell>
          <cell r="L2969">
            <v>1</v>
          </cell>
          <cell r="M2969" t="str">
            <v>UNID.</v>
          </cell>
          <cell r="N2969" t="str">
            <v>CAMION</v>
          </cell>
          <cell r="O2969">
            <v>69</v>
          </cell>
          <cell r="P2969" t="str">
            <v>S1</v>
          </cell>
          <cell r="Q2969" t="str">
            <v>J1</v>
          </cell>
          <cell r="R2969" t="str">
            <v>J5</v>
          </cell>
          <cell r="S2969" t="str">
            <v>ENTREGADO</v>
          </cell>
          <cell r="T2969">
            <v>0</v>
          </cell>
          <cell r="U2969" t="str">
            <v>BAYONA CRUZ CRISTIAN ARMANDO</v>
          </cell>
          <cell r="V2969" t="str">
            <v>FLOREZ CONDORI  JOSE WILLIANS</v>
          </cell>
        </row>
        <row r="2970">
          <cell r="A2970">
            <v>2968</v>
          </cell>
          <cell r="B2970">
            <v>42721</v>
          </cell>
          <cell r="C2970" t="str">
            <v>DICIEMBRE</v>
          </cell>
          <cell r="D2970" t="str">
            <v>2016</v>
          </cell>
          <cell r="E2970">
            <v>611</v>
          </cell>
          <cell r="F2970" t="str">
            <v>B2L-889</v>
          </cell>
          <cell r="G2970" t="str">
            <v>CAMION</v>
          </cell>
          <cell r="H2970" t="str">
            <v>TAMBOMAYO</v>
          </cell>
          <cell r="I2970">
            <v>123252</v>
          </cell>
          <cell r="J2970" t="str">
            <v>REPUESTO</v>
          </cell>
          <cell r="K2970" t="str">
            <v>ROMBO NFPA</v>
          </cell>
          <cell r="L2970">
            <v>2</v>
          </cell>
          <cell r="M2970" t="str">
            <v>UNID.</v>
          </cell>
          <cell r="N2970" t="str">
            <v>CAMION</v>
          </cell>
          <cell r="O2970">
            <v>69</v>
          </cell>
          <cell r="P2970" t="str">
            <v>S1</v>
          </cell>
          <cell r="Q2970" t="str">
            <v>J1</v>
          </cell>
          <cell r="R2970" t="str">
            <v>J5</v>
          </cell>
          <cell r="S2970" t="str">
            <v>ENTREGADO</v>
          </cell>
          <cell r="T2970">
            <v>0</v>
          </cell>
          <cell r="U2970" t="str">
            <v>BAYONA CRUZ CRISTIAN ARMANDO</v>
          </cell>
          <cell r="V2970" t="str">
            <v>FLOREZ CONDORI  JOSE WILLIANS</v>
          </cell>
        </row>
        <row r="2971">
          <cell r="A2971">
            <v>2969</v>
          </cell>
          <cell r="B2971">
            <v>42721</v>
          </cell>
          <cell r="C2971" t="str">
            <v>DICIEMBRE</v>
          </cell>
          <cell r="D2971" t="str">
            <v>2016</v>
          </cell>
          <cell r="E2971">
            <v>611</v>
          </cell>
          <cell r="F2971" t="str">
            <v>B2L-889</v>
          </cell>
          <cell r="G2971" t="str">
            <v>CAMION</v>
          </cell>
          <cell r="H2971" t="str">
            <v>TAMBOMAYO</v>
          </cell>
          <cell r="I2971">
            <v>123252</v>
          </cell>
          <cell r="J2971" t="str">
            <v>REPUESTO</v>
          </cell>
          <cell r="K2971" t="str">
            <v>SPRAY BLANCO</v>
          </cell>
          <cell r="L2971">
            <v>2</v>
          </cell>
          <cell r="M2971" t="str">
            <v>UNID.</v>
          </cell>
          <cell r="N2971" t="str">
            <v>CAMION</v>
          </cell>
          <cell r="O2971">
            <v>69</v>
          </cell>
          <cell r="P2971" t="str">
            <v>S1</v>
          </cell>
          <cell r="Q2971" t="str">
            <v>J1</v>
          </cell>
          <cell r="R2971" t="str">
            <v>J5</v>
          </cell>
          <cell r="S2971" t="str">
            <v>ENTREGADO</v>
          </cell>
          <cell r="T2971">
            <v>0</v>
          </cell>
          <cell r="U2971" t="str">
            <v>BAYONA CRUZ CRISTIAN ARMANDO</v>
          </cell>
          <cell r="V2971" t="str">
            <v>FLOREZ CONDORI  JOSE WILLIANS</v>
          </cell>
        </row>
        <row r="2972">
          <cell r="A2972">
            <v>2976</v>
          </cell>
          <cell r="B2972">
            <v>42721</v>
          </cell>
          <cell r="C2972" t="str">
            <v>DICIEMBRE</v>
          </cell>
          <cell r="D2972" t="str">
            <v>2016</v>
          </cell>
          <cell r="E2972">
            <v>611</v>
          </cell>
          <cell r="F2972" t="str">
            <v>B2L-889</v>
          </cell>
          <cell r="G2972" t="str">
            <v>CAMION</v>
          </cell>
          <cell r="H2972" t="str">
            <v>TAMBOMAYO</v>
          </cell>
          <cell r="I2972">
            <v>123252</v>
          </cell>
          <cell r="J2972" t="str">
            <v>REPUESTO</v>
          </cell>
          <cell r="K2972" t="str">
            <v>ARANDELAS PLANAS 7/8</v>
          </cell>
          <cell r="L2972">
            <v>4</v>
          </cell>
          <cell r="M2972" t="str">
            <v>UNID.</v>
          </cell>
          <cell r="N2972" t="str">
            <v>CAMION</v>
          </cell>
          <cell r="O2972">
            <v>69</v>
          </cell>
          <cell r="P2972" t="str">
            <v>S1</v>
          </cell>
          <cell r="Q2972" t="str">
            <v>J1</v>
          </cell>
          <cell r="R2972" t="str">
            <v>J5</v>
          </cell>
          <cell r="S2972" t="str">
            <v>ENTREGADO</v>
          </cell>
          <cell r="T2972">
            <v>0</v>
          </cell>
          <cell r="U2972" t="str">
            <v>BAYONA CRUZ CRISTIAN ARMANDO</v>
          </cell>
          <cell r="V2972" t="str">
            <v>FLOREZ CONDORI  JOSE WILLIANS</v>
          </cell>
        </row>
        <row r="2973">
          <cell r="A2973">
            <v>3004</v>
          </cell>
          <cell r="B2973">
            <v>42721</v>
          </cell>
          <cell r="C2973" t="str">
            <v>DICIEMBRE</v>
          </cell>
          <cell r="D2973" t="str">
            <v>2016</v>
          </cell>
          <cell r="E2973">
            <v>611</v>
          </cell>
          <cell r="F2973" t="str">
            <v>B2L-889</v>
          </cell>
          <cell r="G2973" t="str">
            <v>CAMION</v>
          </cell>
          <cell r="H2973" t="str">
            <v>TAMBOMAYO</v>
          </cell>
          <cell r="I2973">
            <v>123252</v>
          </cell>
          <cell r="J2973" t="str">
            <v>REPUESTO</v>
          </cell>
          <cell r="K2973" t="str">
            <v>FARO LATERAL</v>
          </cell>
          <cell r="L2973">
            <v>3</v>
          </cell>
          <cell r="M2973" t="str">
            <v>UNID.</v>
          </cell>
          <cell r="N2973" t="str">
            <v>CAMION</v>
          </cell>
          <cell r="O2973">
            <v>69</v>
          </cell>
          <cell r="P2973" t="str">
            <v>E3</v>
          </cell>
          <cell r="Q2973" t="str">
            <v>J1</v>
          </cell>
          <cell r="R2973" t="str">
            <v>J5</v>
          </cell>
          <cell r="S2973" t="str">
            <v>ENTREGADO</v>
          </cell>
          <cell r="T2973">
            <v>0</v>
          </cell>
          <cell r="U2973" t="str">
            <v>CONDORI CHURATA ALEX</v>
          </cell>
          <cell r="V2973" t="str">
            <v>FLOREZ CONDORI  JOSE WILLIANS</v>
          </cell>
        </row>
        <row r="2974">
          <cell r="A2974">
            <v>3005</v>
          </cell>
          <cell r="B2974">
            <v>42721</v>
          </cell>
          <cell r="C2974" t="str">
            <v>DICIEMBRE</v>
          </cell>
          <cell r="D2974" t="str">
            <v>2016</v>
          </cell>
          <cell r="E2974">
            <v>611</v>
          </cell>
          <cell r="F2974" t="str">
            <v>B2L-889</v>
          </cell>
          <cell r="G2974" t="str">
            <v>CAMION</v>
          </cell>
          <cell r="H2974" t="str">
            <v>TAMBOMAYO</v>
          </cell>
          <cell r="I2974">
            <v>123252</v>
          </cell>
          <cell r="J2974" t="str">
            <v>REPUESTO</v>
          </cell>
          <cell r="K2974" t="str">
            <v>PERNOS 5/16 X 1 1/2"</v>
          </cell>
          <cell r="L2974">
            <v>2</v>
          </cell>
          <cell r="M2974" t="str">
            <v>UNID.</v>
          </cell>
          <cell r="N2974" t="str">
            <v>CAMION</v>
          </cell>
          <cell r="O2974">
            <v>69</v>
          </cell>
          <cell r="P2974" t="str">
            <v>E3</v>
          </cell>
          <cell r="Q2974" t="str">
            <v>J1</v>
          </cell>
          <cell r="R2974" t="str">
            <v>J5</v>
          </cell>
          <cell r="S2974" t="str">
            <v>ENTREGADO</v>
          </cell>
          <cell r="T2974">
            <v>0</v>
          </cell>
          <cell r="U2974" t="str">
            <v>CONDORI CHURATA ALEX</v>
          </cell>
          <cell r="V2974" t="str">
            <v>FLOREZ CONDORI  JOSE WILLIANS</v>
          </cell>
        </row>
        <row r="2975">
          <cell r="A2975">
            <v>3006</v>
          </cell>
          <cell r="B2975">
            <v>42721</v>
          </cell>
          <cell r="C2975" t="str">
            <v>DICIEMBRE</v>
          </cell>
          <cell r="D2975" t="str">
            <v>2016</v>
          </cell>
          <cell r="E2975">
            <v>611</v>
          </cell>
          <cell r="F2975" t="str">
            <v>B2L-889</v>
          </cell>
          <cell r="G2975" t="str">
            <v>CAMION</v>
          </cell>
          <cell r="H2975" t="str">
            <v>TAMBOMAYO</v>
          </cell>
          <cell r="I2975">
            <v>123252</v>
          </cell>
          <cell r="J2975" t="str">
            <v>REPUESTO</v>
          </cell>
          <cell r="K2975" t="str">
            <v>TUERCAS Y ARANDELA 5/16</v>
          </cell>
          <cell r="L2975">
            <v>2</v>
          </cell>
          <cell r="M2975" t="str">
            <v>UNID.</v>
          </cell>
          <cell r="N2975" t="str">
            <v>CAMION</v>
          </cell>
          <cell r="O2975">
            <v>69</v>
          </cell>
          <cell r="P2975" t="str">
            <v>E3</v>
          </cell>
          <cell r="Q2975" t="str">
            <v>J1</v>
          </cell>
          <cell r="R2975" t="str">
            <v>J5</v>
          </cell>
          <cell r="S2975" t="str">
            <v>ENTREGADO</v>
          </cell>
          <cell r="T2975">
            <v>0</v>
          </cell>
          <cell r="U2975" t="str">
            <v>CONDORI CHURATA ALEX</v>
          </cell>
          <cell r="V2975" t="str">
            <v>FLOREZ CONDORI  JOSE WILLIANS</v>
          </cell>
        </row>
        <row r="2976">
          <cell r="A2976">
            <v>3010</v>
          </cell>
          <cell r="B2976">
            <v>42721</v>
          </cell>
          <cell r="C2976" t="str">
            <v>DICIEMBRE</v>
          </cell>
          <cell r="D2976" t="str">
            <v>2016</v>
          </cell>
          <cell r="E2976">
            <v>611</v>
          </cell>
          <cell r="F2976" t="str">
            <v>B2L-889</v>
          </cell>
          <cell r="G2976" t="str">
            <v>CAMION</v>
          </cell>
          <cell r="H2976" t="str">
            <v>TAMBOMAYO</v>
          </cell>
          <cell r="I2976">
            <v>123252</v>
          </cell>
          <cell r="J2976" t="str">
            <v>REPUESTO</v>
          </cell>
          <cell r="K2976" t="str">
            <v>FILTRO DE ACEITE</v>
          </cell>
          <cell r="L2976">
            <v>1</v>
          </cell>
          <cell r="M2976" t="str">
            <v>UNID.</v>
          </cell>
          <cell r="N2976" t="str">
            <v>CAMION</v>
          </cell>
          <cell r="O2976">
            <v>69</v>
          </cell>
          <cell r="P2976" t="str">
            <v>M3</v>
          </cell>
          <cell r="Q2976" t="str">
            <v>J1</v>
          </cell>
          <cell r="R2976" t="str">
            <v>J5</v>
          </cell>
          <cell r="S2976" t="str">
            <v>ENTREGADO</v>
          </cell>
          <cell r="T2976">
            <v>0</v>
          </cell>
          <cell r="U2976" t="str">
            <v>GARCIA PASQUEL  JOSE LUIS</v>
          </cell>
          <cell r="V2976" t="str">
            <v>FLOREZ CONDORI  JOSE WILLIANS</v>
          </cell>
        </row>
        <row r="2977">
          <cell r="A2977">
            <v>3011</v>
          </cell>
          <cell r="B2977">
            <v>42721</v>
          </cell>
          <cell r="C2977" t="str">
            <v>DICIEMBRE</v>
          </cell>
          <cell r="D2977" t="str">
            <v>2016</v>
          </cell>
          <cell r="E2977">
            <v>611</v>
          </cell>
          <cell r="F2977" t="str">
            <v>B2L-889</v>
          </cell>
          <cell r="G2977" t="str">
            <v>CAMION</v>
          </cell>
          <cell r="H2977" t="str">
            <v>TAMBOMAYO</v>
          </cell>
          <cell r="I2977">
            <v>123252</v>
          </cell>
          <cell r="J2977" t="str">
            <v>REPUESTO</v>
          </cell>
          <cell r="K2977" t="str">
            <v>FILTRO DE COMBUSTIBLE</v>
          </cell>
          <cell r="L2977">
            <v>1</v>
          </cell>
          <cell r="M2977" t="str">
            <v>UNID.</v>
          </cell>
          <cell r="N2977" t="str">
            <v>CAMION</v>
          </cell>
          <cell r="O2977">
            <v>69</v>
          </cell>
          <cell r="P2977" t="str">
            <v>M3</v>
          </cell>
          <cell r="Q2977" t="str">
            <v>J1</v>
          </cell>
          <cell r="R2977" t="str">
            <v>J5</v>
          </cell>
          <cell r="S2977" t="str">
            <v>ENTREGADO</v>
          </cell>
          <cell r="T2977">
            <v>0</v>
          </cell>
          <cell r="U2977" t="str">
            <v>GARCIA PASQUEL  JOSE LUIS</v>
          </cell>
          <cell r="V2977" t="str">
            <v>FLOREZ CONDORI  JOSE WILLIANS</v>
          </cell>
        </row>
        <row r="2978">
          <cell r="A2978">
            <v>3012</v>
          </cell>
          <cell r="B2978">
            <v>42721</v>
          </cell>
          <cell r="C2978" t="str">
            <v>DICIEMBRE</v>
          </cell>
          <cell r="D2978" t="str">
            <v>2016</v>
          </cell>
          <cell r="E2978">
            <v>611</v>
          </cell>
          <cell r="F2978" t="str">
            <v>B2L-889</v>
          </cell>
          <cell r="G2978" t="str">
            <v>CAMION</v>
          </cell>
          <cell r="H2978" t="str">
            <v>TAMBOMAYO</v>
          </cell>
          <cell r="I2978">
            <v>123252</v>
          </cell>
          <cell r="J2978" t="str">
            <v>REPUESTO</v>
          </cell>
          <cell r="K2978" t="str">
            <v>FILTRO DE AIRE</v>
          </cell>
          <cell r="L2978">
            <v>1</v>
          </cell>
          <cell r="M2978" t="str">
            <v>UNID.</v>
          </cell>
          <cell r="N2978" t="str">
            <v>CAMION</v>
          </cell>
          <cell r="O2978">
            <v>69</v>
          </cell>
          <cell r="P2978" t="str">
            <v>M3</v>
          </cell>
          <cell r="Q2978" t="str">
            <v>J1</v>
          </cell>
          <cell r="R2978" t="str">
            <v>J5</v>
          </cell>
          <cell r="S2978" t="str">
            <v>ENTREGADO</v>
          </cell>
          <cell r="T2978">
            <v>0</v>
          </cell>
          <cell r="U2978" t="str">
            <v>GARCIA PASQUEL  JOSE LUIS</v>
          </cell>
          <cell r="V2978" t="str">
            <v>FLOREZ CONDORI  JOSE WILLIANS</v>
          </cell>
        </row>
        <row r="2979">
          <cell r="A2979">
            <v>3013</v>
          </cell>
          <cell r="B2979">
            <v>42721</v>
          </cell>
          <cell r="C2979" t="str">
            <v>DICIEMBRE</v>
          </cell>
          <cell r="D2979" t="str">
            <v>2016</v>
          </cell>
          <cell r="E2979">
            <v>611</v>
          </cell>
          <cell r="F2979" t="str">
            <v>B2L-889</v>
          </cell>
          <cell r="G2979" t="str">
            <v>CAMION</v>
          </cell>
          <cell r="H2979" t="str">
            <v>TAMBOMAYO</v>
          </cell>
          <cell r="I2979">
            <v>123252</v>
          </cell>
          <cell r="J2979" t="str">
            <v>REPUESTO</v>
          </cell>
          <cell r="K2979" t="str">
            <v>ACEITE MOTOR 15W-40</v>
          </cell>
          <cell r="L2979">
            <v>10</v>
          </cell>
          <cell r="M2979" t="str">
            <v>GLNS.</v>
          </cell>
          <cell r="N2979" t="str">
            <v>CAMION</v>
          </cell>
          <cell r="O2979">
            <v>69</v>
          </cell>
          <cell r="P2979" t="str">
            <v>M3</v>
          </cell>
          <cell r="Q2979" t="str">
            <v>J1</v>
          </cell>
          <cell r="R2979" t="str">
            <v>J5</v>
          </cell>
          <cell r="S2979" t="str">
            <v>ENTREGADO</v>
          </cell>
          <cell r="T2979">
            <v>0</v>
          </cell>
          <cell r="U2979" t="str">
            <v>GARCIA PASQUEL  JOSE LUIS</v>
          </cell>
          <cell r="V2979" t="str">
            <v>FLOREZ CONDORI  JOSE WILLIANS</v>
          </cell>
        </row>
        <row r="2980">
          <cell r="A2980">
            <v>2981</v>
          </cell>
          <cell r="B2980">
            <v>42721</v>
          </cell>
          <cell r="C2980" t="str">
            <v>DICIEMBRE</v>
          </cell>
          <cell r="D2980" t="str">
            <v>2016</v>
          </cell>
          <cell r="E2980">
            <v>594</v>
          </cell>
          <cell r="F2980" t="str">
            <v>B2M-948</v>
          </cell>
          <cell r="G2980" t="str">
            <v>CAMION</v>
          </cell>
          <cell r="H2980" t="str">
            <v>TAMBOMAYO</v>
          </cell>
          <cell r="I2980">
            <v>114956</v>
          </cell>
          <cell r="J2980" t="str">
            <v>REPUESTO</v>
          </cell>
          <cell r="K2980" t="str">
            <v>CELLOCORD 1/8</v>
          </cell>
          <cell r="L2980">
            <v>0.5</v>
          </cell>
          <cell r="M2980" t="str">
            <v>KG.</v>
          </cell>
          <cell r="N2980" t="str">
            <v>CAMION</v>
          </cell>
          <cell r="O2980">
            <v>69</v>
          </cell>
          <cell r="P2980" t="str">
            <v>S1</v>
          </cell>
          <cell r="Q2980" t="str">
            <v>J1</v>
          </cell>
          <cell r="R2980" t="str">
            <v>J5</v>
          </cell>
          <cell r="S2980" t="str">
            <v>ENTREGADO</v>
          </cell>
          <cell r="T2980">
            <v>0</v>
          </cell>
          <cell r="U2980" t="str">
            <v>BAYONA CRUZ CRISTIAN ARMANDO</v>
          </cell>
          <cell r="V2980" t="str">
            <v>FLOREZ CONDORI  JOSE WILLIANS</v>
          </cell>
        </row>
        <row r="2981">
          <cell r="A2981">
            <v>3020</v>
          </cell>
          <cell r="B2981">
            <v>42721</v>
          </cell>
          <cell r="C2981" t="str">
            <v>DICIEMBRE</v>
          </cell>
          <cell r="D2981" t="str">
            <v>2016</v>
          </cell>
          <cell r="E2981">
            <v>530</v>
          </cell>
          <cell r="F2981" t="str">
            <v>C5R-892</v>
          </cell>
          <cell r="G2981" t="str">
            <v>A0T-983</v>
          </cell>
          <cell r="H2981" t="str">
            <v>LAS BAMBAS</v>
          </cell>
          <cell r="I2981">
            <v>226743</v>
          </cell>
          <cell r="J2981" t="str">
            <v>REPUESTO</v>
          </cell>
          <cell r="K2981" t="str">
            <v>LLANTAS 11R22.5</v>
          </cell>
          <cell r="L2981">
            <v>8</v>
          </cell>
          <cell r="M2981" t="str">
            <v>UNID.</v>
          </cell>
          <cell r="N2981" t="str">
            <v>TRACTO</v>
          </cell>
          <cell r="O2981">
            <v>69</v>
          </cell>
          <cell r="P2981" t="str">
            <v>N2</v>
          </cell>
          <cell r="Q2981" t="str">
            <v>J2</v>
          </cell>
          <cell r="R2981" t="str">
            <v>J2</v>
          </cell>
          <cell r="S2981" t="str">
            <v>PENDIENTE</v>
          </cell>
          <cell r="T2981">
            <v>0</v>
          </cell>
          <cell r="U2981" t="str">
            <v>MAMANI LARICO  EDUARDO ALVARO</v>
          </cell>
          <cell r="V2981" t="str">
            <v>CORIHUAMAN SURCO  ERICK ROBERT</v>
          </cell>
        </row>
        <row r="2982">
          <cell r="A2982">
            <v>2952</v>
          </cell>
          <cell r="B2982">
            <v>42721</v>
          </cell>
          <cell r="C2982" t="str">
            <v>DICIEMBRE</v>
          </cell>
          <cell r="D2982" t="str">
            <v>2016</v>
          </cell>
          <cell r="E2982">
            <v>530</v>
          </cell>
          <cell r="F2982" t="str">
            <v>C5R-892</v>
          </cell>
          <cell r="G2982" t="str">
            <v>A0T-983</v>
          </cell>
          <cell r="H2982" t="str">
            <v>LAS BAMBAS</v>
          </cell>
          <cell r="I2982">
            <v>226743</v>
          </cell>
          <cell r="J2982" t="str">
            <v>SERVICIO</v>
          </cell>
          <cell r="K2982" t="str">
            <v>SERVICIO DE REPARACION DE CHAPA</v>
          </cell>
          <cell r="L2982">
            <v>1</v>
          </cell>
          <cell r="M2982" t="str">
            <v>UNID.</v>
          </cell>
          <cell r="N2982" t="str">
            <v>TRACTO</v>
          </cell>
          <cell r="O2982">
            <v>69</v>
          </cell>
          <cell r="P2982" t="str">
            <v>J1</v>
          </cell>
          <cell r="Q2982" t="str">
            <v>J1</v>
          </cell>
          <cell r="R2982" t="str">
            <v>J6</v>
          </cell>
          <cell r="S2982" t="str">
            <v>ENTREGADO</v>
          </cell>
          <cell r="T2982">
            <v>0</v>
          </cell>
          <cell r="U2982" t="str">
            <v>FLOREZ CONDORI  JOSE WILLIANS</v>
          </cell>
          <cell r="V2982" t="str">
            <v>FLOREZ CONDORI  JOSE WILLIANS</v>
          </cell>
        </row>
        <row r="2983">
          <cell r="A2983">
            <v>3014</v>
          </cell>
          <cell r="B2983">
            <v>42721</v>
          </cell>
          <cell r="C2983" t="str">
            <v>DICIEMBRE</v>
          </cell>
          <cell r="D2983" t="str">
            <v>2016</v>
          </cell>
          <cell r="E2983">
            <v>606</v>
          </cell>
          <cell r="F2983" t="str">
            <v>C5R-899</v>
          </cell>
          <cell r="G2983" t="str">
            <v>A0U-978</v>
          </cell>
          <cell r="H2983" t="str">
            <v>LAS BAMBAS</v>
          </cell>
          <cell r="I2983">
            <v>154986</v>
          </cell>
          <cell r="J2983" t="str">
            <v>REPUESTO</v>
          </cell>
          <cell r="K2983" t="str">
            <v>TERMINAL OJO 3/8 225A (PARA CABLE DE BATERIA)</v>
          </cell>
          <cell r="L2983">
            <v>12</v>
          </cell>
          <cell r="M2983" t="str">
            <v>GLNS.</v>
          </cell>
          <cell r="N2983" t="str">
            <v>CAMION</v>
          </cell>
          <cell r="O2983">
            <v>69</v>
          </cell>
          <cell r="P2983" t="str">
            <v>E1</v>
          </cell>
          <cell r="Q2983" t="str">
            <v>J1</v>
          </cell>
          <cell r="R2983" t="str">
            <v>J5</v>
          </cell>
          <cell r="S2983" t="str">
            <v>ENTREGADO</v>
          </cell>
          <cell r="T2983">
            <v>0</v>
          </cell>
          <cell r="U2983" t="str">
            <v>PALOMINO CARDENAS JUAN CARLOS</v>
          </cell>
          <cell r="V2983" t="str">
            <v>FLOREZ CONDORI  JOSE WILLIANS</v>
          </cell>
        </row>
        <row r="2984">
          <cell r="A2984">
            <v>3015</v>
          </cell>
          <cell r="B2984">
            <v>42721</v>
          </cell>
          <cell r="C2984" t="str">
            <v>DICIEMBRE</v>
          </cell>
          <cell r="D2984" t="str">
            <v>2016</v>
          </cell>
          <cell r="E2984">
            <v>606</v>
          </cell>
          <cell r="F2984" t="str">
            <v>C5R-899</v>
          </cell>
          <cell r="G2984" t="str">
            <v>A0U-978</v>
          </cell>
          <cell r="H2984" t="str">
            <v>LAS BAMBAS</v>
          </cell>
          <cell r="I2984">
            <v>154986</v>
          </cell>
          <cell r="J2984" t="str">
            <v>REPUESTO</v>
          </cell>
          <cell r="K2984" t="str">
            <v>CABLE N° 0/2  Ó  2/0</v>
          </cell>
          <cell r="L2984">
            <v>2</v>
          </cell>
          <cell r="M2984" t="str">
            <v>M</v>
          </cell>
          <cell r="N2984" t="str">
            <v>TRACTO</v>
          </cell>
          <cell r="O2984">
            <v>69</v>
          </cell>
          <cell r="P2984" t="str">
            <v>E1</v>
          </cell>
          <cell r="Q2984" t="str">
            <v>J1</v>
          </cell>
          <cell r="R2984" t="str">
            <v>J5</v>
          </cell>
          <cell r="S2984" t="str">
            <v>ENTREGADO</v>
          </cell>
          <cell r="T2984">
            <v>0</v>
          </cell>
          <cell r="U2984" t="str">
            <v>PALOMINO CARDENAS JUAN CARLOS</v>
          </cell>
          <cell r="V2984" t="str">
            <v>FLOREZ CONDORI  JOSE WILLIANS</v>
          </cell>
        </row>
        <row r="2985">
          <cell r="A2985">
            <v>2982</v>
          </cell>
          <cell r="B2985">
            <v>42721</v>
          </cell>
          <cell r="C2985" t="str">
            <v>DICIEMBRE</v>
          </cell>
          <cell r="D2985" t="str">
            <v>2016</v>
          </cell>
          <cell r="E2985">
            <v>627</v>
          </cell>
          <cell r="F2985" t="str">
            <v>D3P-730</v>
          </cell>
          <cell r="G2985" t="str">
            <v>TBM-980</v>
          </cell>
          <cell r="H2985" t="str">
            <v>LAS BAMBAS</v>
          </cell>
          <cell r="I2985">
            <v>109105</v>
          </cell>
          <cell r="J2985" t="str">
            <v>SERVICIO</v>
          </cell>
          <cell r="K2985" t="str">
            <v>CONFIGURACION DE RADIO BASE</v>
          </cell>
          <cell r="L2985">
            <v>1</v>
          </cell>
          <cell r="M2985" t="str">
            <v>UNID.</v>
          </cell>
          <cell r="N2985" t="str">
            <v>TRACTO</v>
          </cell>
          <cell r="O2985">
            <v>69</v>
          </cell>
          <cell r="P2985" t="str">
            <v>J1</v>
          </cell>
          <cell r="Q2985" t="str">
            <v>J1</v>
          </cell>
          <cell r="R2985" t="str">
            <v>J5</v>
          </cell>
          <cell r="S2985" t="str">
            <v>ENTREGADO</v>
          </cell>
          <cell r="T2985">
            <v>0</v>
          </cell>
          <cell r="U2985" t="str">
            <v>FLOREZ CONDORI  JOSE WILLIANS</v>
          </cell>
          <cell r="V2985" t="str">
            <v>FLOREZ CONDORI  JOSE WILLIANS</v>
          </cell>
        </row>
        <row r="2986">
          <cell r="A2986">
            <v>3007</v>
          </cell>
          <cell r="B2986">
            <v>42721</v>
          </cell>
          <cell r="C2986" t="str">
            <v>DICIEMBRE</v>
          </cell>
          <cell r="D2986" t="str">
            <v>2016</v>
          </cell>
          <cell r="E2986">
            <v>609</v>
          </cell>
          <cell r="F2986" t="str">
            <v>D3P-743</v>
          </cell>
          <cell r="G2986" t="str">
            <v>B8L-972</v>
          </cell>
          <cell r="H2986" t="str">
            <v>LAS BAMBAS</v>
          </cell>
          <cell r="I2986">
            <v>184439</v>
          </cell>
          <cell r="J2986" t="str">
            <v>REPUESTO</v>
          </cell>
          <cell r="K2986" t="str">
            <v>CABLE VULCANIZADO (5 COLORES)</v>
          </cell>
          <cell r="L2986">
            <v>1</v>
          </cell>
          <cell r="M2986" t="str">
            <v>M</v>
          </cell>
          <cell r="N2986" t="str">
            <v>TRACTO</v>
          </cell>
          <cell r="O2986">
            <v>69</v>
          </cell>
          <cell r="P2986" t="str">
            <v>E1</v>
          </cell>
          <cell r="Q2986" t="str">
            <v>J1</v>
          </cell>
          <cell r="R2986" t="str">
            <v>J5</v>
          </cell>
          <cell r="S2986" t="str">
            <v>ENTREGADO</v>
          </cell>
          <cell r="T2986">
            <v>0</v>
          </cell>
          <cell r="U2986" t="str">
            <v>PALOMINO CARDENAS JUAN CARLOS</v>
          </cell>
          <cell r="V2986" t="str">
            <v>FLOREZ CONDORI  JOSE WILLIANS</v>
          </cell>
        </row>
        <row r="2987">
          <cell r="A2987">
            <v>3008</v>
          </cell>
          <cell r="B2987">
            <v>42721</v>
          </cell>
          <cell r="C2987" t="str">
            <v>DICIEMBRE</v>
          </cell>
          <cell r="D2987" t="str">
            <v>2016</v>
          </cell>
          <cell r="E2987">
            <v>609</v>
          </cell>
          <cell r="F2987" t="str">
            <v>D3P-743</v>
          </cell>
          <cell r="G2987" t="str">
            <v>B8L-972</v>
          </cell>
          <cell r="H2987" t="str">
            <v>LAS BAMBAS</v>
          </cell>
          <cell r="I2987">
            <v>184439</v>
          </cell>
          <cell r="J2987" t="str">
            <v>REPUESTO</v>
          </cell>
          <cell r="K2987" t="str">
            <v>FOCO LAGRIMON AMBAR DE 12 V</v>
          </cell>
          <cell r="L2987">
            <v>1</v>
          </cell>
          <cell r="M2987" t="str">
            <v>UNID.</v>
          </cell>
          <cell r="N2987" t="str">
            <v>TRACTO</v>
          </cell>
          <cell r="O2987">
            <v>69</v>
          </cell>
          <cell r="P2987" t="str">
            <v>E1</v>
          </cell>
          <cell r="Q2987" t="str">
            <v>J1</v>
          </cell>
          <cell r="R2987" t="str">
            <v>J5</v>
          </cell>
          <cell r="S2987" t="str">
            <v>ENTREGADO</v>
          </cell>
          <cell r="T2987">
            <v>0</v>
          </cell>
          <cell r="U2987" t="str">
            <v>PALOMINO CARDENAS JUAN CARLOS</v>
          </cell>
          <cell r="V2987" t="str">
            <v>FLOREZ CONDORI  JOSE WILLIANS</v>
          </cell>
        </row>
        <row r="2988">
          <cell r="A2988">
            <v>3009</v>
          </cell>
          <cell r="B2988">
            <v>42721</v>
          </cell>
          <cell r="C2988" t="str">
            <v>DICIEMBRE</v>
          </cell>
          <cell r="D2988" t="str">
            <v>2016</v>
          </cell>
          <cell r="E2988">
            <v>609</v>
          </cell>
          <cell r="F2988" t="str">
            <v>D3P-743</v>
          </cell>
          <cell r="G2988" t="str">
            <v>B8L-972</v>
          </cell>
          <cell r="H2988" t="str">
            <v>LAS BAMBAS</v>
          </cell>
          <cell r="I2988">
            <v>184439</v>
          </cell>
          <cell r="J2988" t="str">
            <v>REPUESTO</v>
          </cell>
          <cell r="K2988" t="str">
            <v>SOCKET PARA FOCO LAGRIMON</v>
          </cell>
          <cell r="L2988">
            <v>1</v>
          </cell>
          <cell r="M2988" t="str">
            <v>UNID.</v>
          </cell>
          <cell r="N2988" t="str">
            <v>TRACTO</v>
          </cell>
          <cell r="O2988">
            <v>69</v>
          </cell>
          <cell r="P2988" t="str">
            <v>E1</v>
          </cell>
          <cell r="Q2988" t="str">
            <v>J1</v>
          </cell>
          <cell r="R2988" t="str">
            <v>J5</v>
          </cell>
          <cell r="S2988" t="str">
            <v>ENTREGADO</v>
          </cell>
          <cell r="T2988">
            <v>0</v>
          </cell>
          <cell r="U2988" t="str">
            <v>PALOMINO CARDENAS JUAN CARLOS</v>
          </cell>
          <cell r="V2988" t="str">
            <v>FLOREZ CONDORI  JOSE WILLIANS</v>
          </cell>
        </row>
        <row r="2989">
          <cell r="A2989">
            <v>3016</v>
          </cell>
          <cell r="B2989">
            <v>42721</v>
          </cell>
          <cell r="C2989" t="str">
            <v>DICIEMBRE</v>
          </cell>
          <cell r="D2989" t="str">
            <v>2016</v>
          </cell>
          <cell r="E2989">
            <v>609</v>
          </cell>
          <cell r="F2989" t="str">
            <v>D3P-743</v>
          </cell>
          <cell r="G2989" t="str">
            <v>B8L-972</v>
          </cell>
          <cell r="H2989" t="str">
            <v>LAS BAMBAS</v>
          </cell>
          <cell r="I2989">
            <v>184439</v>
          </cell>
          <cell r="J2989" t="str">
            <v>REPUESTO</v>
          </cell>
          <cell r="K2989" t="str">
            <v>MAXIBRAKE TIPO 30</v>
          </cell>
          <cell r="L2989">
            <v>1</v>
          </cell>
          <cell r="M2989" t="str">
            <v>UNID.</v>
          </cell>
          <cell r="N2989" t="str">
            <v>CISTERNA</v>
          </cell>
          <cell r="O2989">
            <v>69</v>
          </cell>
          <cell r="P2989" t="str">
            <v>M8</v>
          </cell>
          <cell r="Q2989" t="str">
            <v>J1</v>
          </cell>
          <cell r="R2989" t="str">
            <v>J5</v>
          </cell>
          <cell r="S2989" t="str">
            <v>ENTREGADO</v>
          </cell>
          <cell r="T2989">
            <v>0</v>
          </cell>
          <cell r="U2989" t="str">
            <v>VARILLAS GAGO  OSCAR ALBERTO</v>
          </cell>
          <cell r="V2989" t="str">
            <v>FLOREZ CONDORI  JOSE WILLIANS</v>
          </cell>
        </row>
        <row r="2990">
          <cell r="A2990">
            <v>3017</v>
          </cell>
          <cell r="B2990">
            <v>42721</v>
          </cell>
          <cell r="C2990" t="str">
            <v>DICIEMBRE</v>
          </cell>
          <cell r="D2990" t="str">
            <v>2016</v>
          </cell>
          <cell r="E2990">
            <v>609</v>
          </cell>
          <cell r="F2990" t="str">
            <v>D3P-743</v>
          </cell>
          <cell r="G2990" t="str">
            <v>B8L-972</v>
          </cell>
          <cell r="H2990" t="str">
            <v>LAS BAMBAS</v>
          </cell>
          <cell r="I2990">
            <v>184439</v>
          </cell>
          <cell r="J2990" t="str">
            <v>REPUESTO</v>
          </cell>
          <cell r="K2990" t="str">
            <v>KIT VALVULA PULPO</v>
          </cell>
          <cell r="L2990">
            <v>1</v>
          </cell>
          <cell r="M2990" t="str">
            <v>UNID.</v>
          </cell>
          <cell r="N2990" t="str">
            <v>CISTERNA</v>
          </cell>
          <cell r="O2990">
            <v>69</v>
          </cell>
          <cell r="P2990" t="str">
            <v>M8</v>
          </cell>
          <cell r="Q2990" t="str">
            <v>J1</v>
          </cell>
          <cell r="R2990" t="str">
            <v>J5</v>
          </cell>
          <cell r="S2990" t="str">
            <v>ENTREGADO</v>
          </cell>
          <cell r="T2990">
            <v>0</v>
          </cell>
          <cell r="U2990" t="str">
            <v>VARILLAS GAGO  OSCAR ALBERTO</v>
          </cell>
          <cell r="V2990" t="str">
            <v>FLOREZ CONDORI  JOSE WILLIANS</v>
          </cell>
        </row>
        <row r="2991">
          <cell r="A2991">
            <v>3018</v>
          </cell>
          <cell r="B2991">
            <v>42721</v>
          </cell>
          <cell r="C2991" t="str">
            <v>DICIEMBRE</v>
          </cell>
          <cell r="D2991" t="str">
            <v>2016</v>
          </cell>
          <cell r="E2991">
            <v>609</v>
          </cell>
          <cell r="F2991" t="str">
            <v>D3P-743</v>
          </cell>
          <cell r="G2991" t="str">
            <v>B8L-972</v>
          </cell>
          <cell r="H2991" t="str">
            <v>LAS BAMBAS</v>
          </cell>
          <cell r="I2991">
            <v>184439</v>
          </cell>
          <cell r="J2991" t="str">
            <v>REPUESTO</v>
          </cell>
          <cell r="K2991" t="str">
            <v>KIT SECADOR DE AIRE</v>
          </cell>
          <cell r="L2991">
            <v>1</v>
          </cell>
          <cell r="M2991" t="str">
            <v>UNID.</v>
          </cell>
          <cell r="N2991" t="str">
            <v>CISTERNA</v>
          </cell>
          <cell r="O2991">
            <v>69</v>
          </cell>
          <cell r="P2991" t="str">
            <v>M8</v>
          </cell>
          <cell r="Q2991" t="str">
            <v>J1</v>
          </cell>
          <cell r="R2991" t="str">
            <v>J5</v>
          </cell>
          <cell r="S2991" t="str">
            <v>ENTREGADO</v>
          </cell>
          <cell r="T2991">
            <v>0</v>
          </cell>
          <cell r="U2991" t="str">
            <v>VARILLAS GAGO  OSCAR ALBERTO</v>
          </cell>
          <cell r="V2991" t="str">
            <v>FLOREZ CONDORI  JOSE WILLIANS</v>
          </cell>
        </row>
        <row r="2992">
          <cell r="A2992">
            <v>3019</v>
          </cell>
          <cell r="B2992">
            <v>42721</v>
          </cell>
          <cell r="C2992" t="str">
            <v>DICIEMBRE</v>
          </cell>
          <cell r="D2992" t="str">
            <v>2016</v>
          </cell>
          <cell r="E2992">
            <v>609</v>
          </cell>
          <cell r="F2992" t="str">
            <v>D3P-743</v>
          </cell>
          <cell r="G2992" t="str">
            <v>B8L-972</v>
          </cell>
          <cell r="H2992" t="str">
            <v>LAS BAMBAS</v>
          </cell>
          <cell r="I2992">
            <v>184439</v>
          </cell>
          <cell r="J2992" t="str">
            <v>REPUESTO</v>
          </cell>
          <cell r="K2992" t="str">
            <v>FILTRO SECADOR DE AIRE</v>
          </cell>
          <cell r="L2992">
            <v>1</v>
          </cell>
          <cell r="M2992" t="str">
            <v>UNID.</v>
          </cell>
          <cell r="N2992" t="str">
            <v>CISTERNA</v>
          </cell>
          <cell r="O2992">
            <v>69</v>
          </cell>
          <cell r="P2992" t="str">
            <v>M8</v>
          </cell>
          <cell r="Q2992" t="str">
            <v>J1</v>
          </cell>
          <cell r="R2992" t="str">
            <v>J5</v>
          </cell>
          <cell r="S2992" t="str">
            <v>ENTREGADO</v>
          </cell>
          <cell r="T2992">
            <v>0</v>
          </cell>
          <cell r="U2992" t="str">
            <v>VARILLAS GAGO  OSCAR ALBERTO</v>
          </cell>
          <cell r="V2992" t="str">
            <v>FLOREZ CONDORI  JOSE WILLIANS</v>
          </cell>
        </row>
        <row r="2993">
          <cell r="A2993">
            <v>2970</v>
          </cell>
          <cell r="B2993">
            <v>42721</v>
          </cell>
          <cell r="C2993" t="str">
            <v>DICIEMBRE</v>
          </cell>
          <cell r="D2993" t="str">
            <v>2016</v>
          </cell>
          <cell r="E2993">
            <v>621</v>
          </cell>
          <cell r="F2993" t="str">
            <v>D3P-744</v>
          </cell>
          <cell r="G2993" t="str">
            <v>A0F-996</v>
          </cell>
          <cell r="H2993" t="str">
            <v>LAS BAMBAS</v>
          </cell>
          <cell r="I2993">
            <v>155746</v>
          </cell>
          <cell r="J2993" t="str">
            <v>REPUESTO</v>
          </cell>
          <cell r="K2993" t="str">
            <v>LLANTAS TRACCION</v>
          </cell>
          <cell r="L2993">
            <v>4</v>
          </cell>
          <cell r="M2993" t="str">
            <v>UNID.</v>
          </cell>
          <cell r="N2993" t="str">
            <v>TRACTO</v>
          </cell>
          <cell r="O2993">
            <v>69</v>
          </cell>
          <cell r="P2993" t="str">
            <v>M3</v>
          </cell>
          <cell r="Q2993" t="str">
            <v>J1</v>
          </cell>
          <cell r="R2993" t="str">
            <v>J5</v>
          </cell>
          <cell r="S2993" t="str">
            <v>PENDIENTE</v>
          </cell>
          <cell r="T2993">
            <v>0</v>
          </cell>
          <cell r="U2993" t="str">
            <v>GARCIA PASQUEL  JOSE LUIS</v>
          </cell>
          <cell r="V2993" t="str">
            <v>FLOREZ CONDORI  JOSE WILLIANS</v>
          </cell>
        </row>
        <row r="2994">
          <cell r="A2994">
            <v>2971</v>
          </cell>
          <cell r="B2994">
            <v>42721</v>
          </cell>
          <cell r="C2994" t="str">
            <v>DICIEMBRE</v>
          </cell>
          <cell r="D2994" t="str">
            <v>2016</v>
          </cell>
          <cell r="E2994">
            <v>621</v>
          </cell>
          <cell r="F2994" t="str">
            <v>D3P-744</v>
          </cell>
          <cell r="G2994" t="str">
            <v>A0F-996</v>
          </cell>
          <cell r="H2994" t="str">
            <v>LAS BAMBAS</v>
          </cell>
          <cell r="I2994">
            <v>155746</v>
          </cell>
          <cell r="J2994" t="str">
            <v>REPUESTO</v>
          </cell>
          <cell r="K2994" t="str">
            <v xml:space="preserve">PITONES RECTOS </v>
          </cell>
          <cell r="L2994">
            <v>2</v>
          </cell>
          <cell r="M2994" t="str">
            <v>UNID.</v>
          </cell>
          <cell r="N2994" t="str">
            <v>TRACTO</v>
          </cell>
          <cell r="O2994">
            <v>69</v>
          </cell>
          <cell r="P2994" t="str">
            <v>M3</v>
          </cell>
          <cell r="Q2994" t="str">
            <v>J1</v>
          </cell>
          <cell r="R2994" t="str">
            <v>J5</v>
          </cell>
          <cell r="S2994" t="str">
            <v>ENTREGADO</v>
          </cell>
          <cell r="T2994">
            <v>0</v>
          </cell>
          <cell r="U2994" t="str">
            <v>GARCIA PASQUEL  JOSE LUIS</v>
          </cell>
          <cell r="V2994" t="str">
            <v>FLOREZ CONDORI  JOSE WILLIANS</v>
          </cell>
        </row>
        <row r="2995">
          <cell r="A2995">
            <v>2987</v>
          </cell>
          <cell r="B2995">
            <v>42721</v>
          </cell>
          <cell r="C2995" t="str">
            <v>DICIEMBRE</v>
          </cell>
          <cell r="D2995" t="str">
            <v>2016</v>
          </cell>
          <cell r="E2995">
            <v>621</v>
          </cell>
          <cell r="F2995" t="str">
            <v>D3P-744</v>
          </cell>
          <cell r="G2995" t="str">
            <v>A0F-996</v>
          </cell>
          <cell r="H2995" t="str">
            <v>LAS BAMBAS</v>
          </cell>
          <cell r="I2995">
            <v>155746</v>
          </cell>
          <cell r="J2995" t="str">
            <v>REPUESTO</v>
          </cell>
          <cell r="K2995" t="str">
            <v>LUZ DE PLACA LED</v>
          </cell>
          <cell r="L2995">
            <v>1</v>
          </cell>
          <cell r="M2995" t="str">
            <v>UNID.</v>
          </cell>
          <cell r="N2995" t="str">
            <v>TRACTO</v>
          </cell>
          <cell r="O2995">
            <v>69</v>
          </cell>
          <cell r="P2995" t="str">
            <v>E2</v>
          </cell>
          <cell r="Q2995" t="str">
            <v>J1</v>
          </cell>
          <cell r="R2995" t="str">
            <v>J5</v>
          </cell>
          <cell r="S2995" t="str">
            <v>ENTREGADO</v>
          </cell>
          <cell r="T2995">
            <v>0</v>
          </cell>
          <cell r="U2995" t="str">
            <v>YUCA BELLIDO BORIS YERSY</v>
          </cell>
          <cell r="V2995" t="str">
            <v>FLOREZ CONDORI  JOSE WILLIANS</v>
          </cell>
        </row>
        <row r="2996">
          <cell r="A2996">
            <v>2988</v>
          </cell>
          <cell r="B2996">
            <v>42721</v>
          </cell>
          <cell r="C2996" t="str">
            <v>DICIEMBRE</v>
          </cell>
          <cell r="D2996" t="str">
            <v>2016</v>
          </cell>
          <cell r="E2996">
            <v>621</v>
          </cell>
          <cell r="F2996" t="str">
            <v>D3P-744</v>
          </cell>
          <cell r="G2996" t="str">
            <v>A0F-996</v>
          </cell>
          <cell r="H2996" t="str">
            <v>LAS BAMBAS</v>
          </cell>
          <cell r="I2996">
            <v>155746</v>
          </cell>
          <cell r="J2996" t="str">
            <v>REPUESTO</v>
          </cell>
          <cell r="K2996" t="str">
            <v>FOCO DOBLE CONTACTO DE 12 V</v>
          </cell>
          <cell r="L2996">
            <v>1</v>
          </cell>
          <cell r="M2996" t="str">
            <v>UNID.</v>
          </cell>
          <cell r="N2996" t="str">
            <v>TRACTO</v>
          </cell>
          <cell r="O2996">
            <v>69</v>
          </cell>
          <cell r="P2996" t="str">
            <v>E2</v>
          </cell>
          <cell r="Q2996" t="str">
            <v>J1</v>
          </cell>
          <cell r="R2996" t="str">
            <v>J5</v>
          </cell>
          <cell r="S2996" t="str">
            <v>ENTREGADO</v>
          </cell>
          <cell r="T2996">
            <v>0</v>
          </cell>
          <cell r="U2996" t="str">
            <v>YUCA BELLIDO BORIS YERSY</v>
          </cell>
          <cell r="V2996" t="str">
            <v>FLOREZ CONDORI  JOSE WILLIANS</v>
          </cell>
        </row>
        <row r="2997">
          <cell r="A2997">
            <v>2956</v>
          </cell>
          <cell r="B2997">
            <v>42721</v>
          </cell>
          <cell r="C2997" t="str">
            <v>DICIEMBRE</v>
          </cell>
          <cell r="D2997" t="str">
            <v>2016</v>
          </cell>
          <cell r="E2997">
            <v>603</v>
          </cell>
          <cell r="F2997" t="str">
            <v>D3R-742</v>
          </cell>
          <cell r="G2997" t="str">
            <v>D2E-975</v>
          </cell>
          <cell r="H2997" t="str">
            <v>LAS BAMBAS</v>
          </cell>
          <cell r="I2997">
            <v>153744</v>
          </cell>
          <cell r="J2997" t="str">
            <v>REPUESTO</v>
          </cell>
          <cell r="K2997" t="str">
            <v>PERNO 3/8 X 5"</v>
          </cell>
          <cell r="L2997">
            <v>2</v>
          </cell>
          <cell r="M2997" t="str">
            <v>UNID.</v>
          </cell>
          <cell r="N2997" t="str">
            <v>TRACTO</v>
          </cell>
          <cell r="O2997">
            <v>69</v>
          </cell>
          <cell r="P2997" t="str">
            <v>E3</v>
          </cell>
          <cell r="Q2997" t="str">
            <v>J1</v>
          </cell>
          <cell r="R2997" t="str">
            <v>J5</v>
          </cell>
          <cell r="S2997" t="str">
            <v>ENTREGADO</v>
          </cell>
          <cell r="T2997">
            <v>0</v>
          </cell>
          <cell r="U2997" t="str">
            <v>CONDORI CHURATA ALEX</v>
          </cell>
          <cell r="V2997" t="str">
            <v>FLOREZ CONDORI  JOSE WILLIANS</v>
          </cell>
        </row>
        <row r="2998">
          <cell r="A2998">
            <v>2957</v>
          </cell>
          <cell r="B2998">
            <v>42721</v>
          </cell>
          <cell r="C2998" t="str">
            <v>DICIEMBRE</v>
          </cell>
          <cell r="D2998" t="str">
            <v>2016</v>
          </cell>
          <cell r="E2998">
            <v>603</v>
          </cell>
          <cell r="F2998" t="str">
            <v>D3R-742</v>
          </cell>
          <cell r="G2998" t="str">
            <v>D2E-975</v>
          </cell>
          <cell r="H2998" t="str">
            <v>LAS BAMBAS</v>
          </cell>
          <cell r="I2998">
            <v>153744</v>
          </cell>
          <cell r="J2998" t="str">
            <v>REPUESTO</v>
          </cell>
          <cell r="K2998" t="str">
            <v>PERNO 3/8 X 6"</v>
          </cell>
          <cell r="L2998">
            <v>2</v>
          </cell>
          <cell r="M2998" t="str">
            <v>UNID.</v>
          </cell>
          <cell r="N2998" t="str">
            <v>TRACTO</v>
          </cell>
          <cell r="O2998">
            <v>69</v>
          </cell>
          <cell r="P2998" t="str">
            <v>E3</v>
          </cell>
          <cell r="Q2998" t="str">
            <v>J1</v>
          </cell>
          <cell r="R2998" t="str">
            <v>J5</v>
          </cell>
          <cell r="S2998" t="str">
            <v>ENTREGADO</v>
          </cell>
          <cell r="T2998">
            <v>0</v>
          </cell>
          <cell r="U2998" t="str">
            <v>CONDORI CHURATA ALEX</v>
          </cell>
          <cell r="V2998" t="str">
            <v>FLOREZ CONDORI  JOSE WILLIANS</v>
          </cell>
        </row>
        <row r="2999">
          <cell r="A2999">
            <v>2958</v>
          </cell>
          <cell r="B2999">
            <v>42721</v>
          </cell>
          <cell r="C2999" t="str">
            <v>DICIEMBRE</v>
          </cell>
          <cell r="D2999" t="str">
            <v>2016</v>
          </cell>
          <cell r="E2999">
            <v>603</v>
          </cell>
          <cell r="F2999" t="str">
            <v>D3R-742</v>
          </cell>
          <cell r="G2999" t="str">
            <v>D2E-975</v>
          </cell>
          <cell r="H2999" t="str">
            <v>LAS BAMBAS</v>
          </cell>
          <cell r="I2999">
            <v>153744</v>
          </cell>
          <cell r="J2999" t="str">
            <v>REPUESTO</v>
          </cell>
          <cell r="K2999" t="str">
            <v xml:space="preserve">ARANDELAS PLANAS 3/8 </v>
          </cell>
          <cell r="L2999">
            <v>2</v>
          </cell>
          <cell r="M2999" t="str">
            <v>UNID.</v>
          </cell>
          <cell r="N2999" t="str">
            <v>TRACTO</v>
          </cell>
          <cell r="O2999">
            <v>69</v>
          </cell>
          <cell r="P2999" t="str">
            <v>E3</v>
          </cell>
          <cell r="Q2999" t="str">
            <v>J1</v>
          </cell>
          <cell r="R2999" t="str">
            <v>J5</v>
          </cell>
          <cell r="S2999" t="str">
            <v>ENTREGADO</v>
          </cell>
          <cell r="T2999">
            <v>0</v>
          </cell>
          <cell r="U2999" t="str">
            <v>CONDORI CHURATA ALEX</v>
          </cell>
          <cell r="V2999" t="str">
            <v>FLOREZ CONDORI  JOSE WILLIANS</v>
          </cell>
        </row>
        <row r="3000">
          <cell r="A3000">
            <v>2977</v>
          </cell>
          <cell r="B3000">
            <v>42721</v>
          </cell>
          <cell r="C3000" t="str">
            <v>DICIEMBRE</v>
          </cell>
          <cell r="D3000" t="str">
            <v>2016</v>
          </cell>
          <cell r="E3000">
            <v>624</v>
          </cell>
          <cell r="F3000" t="str">
            <v>D4T-927</v>
          </cell>
          <cell r="G3000" t="str">
            <v>B4Q-976</v>
          </cell>
          <cell r="H3000" t="str">
            <v>LAS BAMBAS</v>
          </cell>
          <cell r="I3000">
            <v>191811</v>
          </cell>
          <cell r="J3000" t="str">
            <v>REPUESTO</v>
          </cell>
          <cell r="K3000" t="str">
            <v>TUERCA SEGURO 3/8</v>
          </cell>
          <cell r="L3000">
            <v>8</v>
          </cell>
          <cell r="M3000" t="str">
            <v>UNID.</v>
          </cell>
          <cell r="N3000" t="str">
            <v>TRACTO</v>
          </cell>
          <cell r="O3000">
            <v>69</v>
          </cell>
          <cell r="P3000" t="str">
            <v>E1</v>
          </cell>
          <cell r="Q3000" t="str">
            <v>J1</v>
          </cell>
          <cell r="R3000" t="str">
            <v>J5</v>
          </cell>
          <cell r="S3000" t="str">
            <v>ENTREGADO</v>
          </cell>
          <cell r="T3000">
            <v>0</v>
          </cell>
          <cell r="U3000" t="str">
            <v>PALOMINO CARDENAS JUAN CARLOS</v>
          </cell>
          <cell r="V3000" t="str">
            <v>FLOREZ CONDORI  JOSE WILLIANS</v>
          </cell>
        </row>
        <row r="3001">
          <cell r="A3001">
            <v>2978</v>
          </cell>
          <cell r="B3001">
            <v>42721</v>
          </cell>
          <cell r="C3001" t="str">
            <v>DICIEMBRE</v>
          </cell>
          <cell r="D3001" t="str">
            <v>2016</v>
          </cell>
          <cell r="E3001">
            <v>624</v>
          </cell>
          <cell r="F3001" t="str">
            <v>D4T-927</v>
          </cell>
          <cell r="G3001" t="str">
            <v>B4Q-976</v>
          </cell>
          <cell r="H3001" t="str">
            <v>LAS BAMBAS</v>
          </cell>
          <cell r="I3001">
            <v>191811</v>
          </cell>
          <cell r="J3001" t="str">
            <v>REPUESTO</v>
          </cell>
          <cell r="K3001" t="str">
            <v>SOPORTE DE TRAVESAÑO POSTERIOR</v>
          </cell>
          <cell r="L3001">
            <v>2</v>
          </cell>
          <cell r="M3001" t="str">
            <v>UNID.</v>
          </cell>
          <cell r="N3001" t="str">
            <v>TRACTO</v>
          </cell>
          <cell r="O3001">
            <v>69</v>
          </cell>
          <cell r="P3001" t="str">
            <v>M8</v>
          </cell>
          <cell r="Q3001" t="str">
            <v>J1</v>
          </cell>
          <cell r="R3001" t="str">
            <v>J5</v>
          </cell>
          <cell r="S3001" t="str">
            <v>ENTREGADO</v>
          </cell>
          <cell r="T3001">
            <v>0</v>
          </cell>
          <cell r="U3001" t="str">
            <v>VARILLAS GAGO  OSCAR ALBERTO</v>
          </cell>
          <cell r="V3001" t="str">
            <v>FLOREZ CONDORI  JOSE WILLIANS</v>
          </cell>
        </row>
        <row r="3002">
          <cell r="A3002">
            <v>2993</v>
          </cell>
          <cell r="B3002">
            <v>42721</v>
          </cell>
          <cell r="C3002" t="str">
            <v>DICIEMBRE</v>
          </cell>
          <cell r="D3002" t="str">
            <v>2016</v>
          </cell>
          <cell r="E3002">
            <v>619</v>
          </cell>
          <cell r="F3002" t="str">
            <v>D6G-806</v>
          </cell>
          <cell r="G3002" t="str">
            <v>B8K-998</v>
          </cell>
          <cell r="H3002" t="str">
            <v>LAS BAMBAS</v>
          </cell>
          <cell r="I3002">
            <v>219611</v>
          </cell>
          <cell r="J3002" t="str">
            <v>REPUESTO</v>
          </cell>
          <cell r="K3002" t="str">
            <v xml:space="preserve">PERNO 5/8 X 6" C TUERCA </v>
          </cell>
          <cell r="L3002">
            <v>2</v>
          </cell>
          <cell r="M3002" t="str">
            <v>UNID.</v>
          </cell>
          <cell r="N3002" t="str">
            <v>CISTERNA</v>
          </cell>
          <cell r="O3002">
            <v>69</v>
          </cell>
          <cell r="P3002" t="str">
            <v>M1</v>
          </cell>
          <cell r="Q3002" t="str">
            <v>J1</v>
          </cell>
          <cell r="R3002" t="str">
            <v>J5</v>
          </cell>
          <cell r="S3002" t="str">
            <v>ENTREGADO</v>
          </cell>
          <cell r="T3002">
            <v>0</v>
          </cell>
          <cell r="U3002" t="str">
            <v>CABEZAS SANCHEZ JEAN JHONATAN</v>
          </cell>
          <cell r="V3002" t="str">
            <v>FLOREZ CONDORI  JOSE WILLIANS</v>
          </cell>
        </row>
        <row r="3003">
          <cell r="A3003">
            <v>2994</v>
          </cell>
          <cell r="B3003">
            <v>42721</v>
          </cell>
          <cell r="C3003" t="str">
            <v>DICIEMBRE</v>
          </cell>
          <cell r="D3003" t="str">
            <v>2016</v>
          </cell>
          <cell r="E3003">
            <v>619</v>
          </cell>
          <cell r="F3003" t="str">
            <v>D6G-806</v>
          </cell>
          <cell r="G3003" t="str">
            <v>B8K-998</v>
          </cell>
          <cell r="H3003" t="str">
            <v>LAS BAMBAS</v>
          </cell>
          <cell r="I3003">
            <v>219611</v>
          </cell>
          <cell r="J3003" t="str">
            <v>REPUESTO</v>
          </cell>
          <cell r="K3003" t="str">
            <v xml:space="preserve">ARANDELAS 5/8 </v>
          </cell>
          <cell r="L3003">
            <v>4</v>
          </cell>
          <cell r="M3003" t="str">
            <v>UNID.</v>
          </cell>
          <cell r="N3003" t="str">
            <v>CISTERNA</v>
          </cell>
          <cell r="O3003">
            <v>69</v>
          </cell>
          <cell r="P3003" t="str">
            <v>M1</v>
          </cell>
          <cell r="Q3003" t="str">
            <v>J1</v>
          </cell>
          <cell r="R3003" t="str">
            <v>J5</v>
          </cell>
          <cell r="S3003" t="str">
            <v>ENTREGADO</v>
          </cell>
          <cell r="T3003">
            <v>0</v>
          </cell>
          <cell r="U3003" t="str">
            <v>CABEZAS SANCHEZ JEAN JHONATAN</v>
          </cell>
          <cell r="V3003" t="str">
            <v>FLOREZ CONDORI  JOSE WILLIANS</v>
          </cell>
        </row>
        <row r="3004">
          <cell r="A3004">
            <v>3000</v>
          </cell>
          <cell r="B3004">
            <v>42721</v>
          </cell>
          <cell r="C3004" t="str">
            <v>DICIEMBRE</v>
          </cell>
          <cell r="D3004" t="str">
            <v>2016</v>
          </cell>
          <cell r="E3004">
            <v>619</v>
          </cell>
          <cell r="F3004" t="str">
            <v>D6G-806</v>
          </cell>
          <cell r="G3004" t="str">
            <v>B8K-998</v>
          </cell>
          <cell r="H3004" t="str">
            <v>LAS BAMBAS</v>
          </cell>
          <cell r="I3004">
            <v>219611</v>
          </cell>
          <cell r="J3004" t="str">
            <v>REPUESTO</v>
          </cell>
          <cell r="K3004" t="str">
            <v>CHAPA DE CONTACTO CON LLAVE</v>
          </cell>
          <cell r="L3004">
            <v>1</v>
          </cell>
          <cell r="M3004" t="str">
            <v>UNID.</v>
          </cell>
          <cell r="N3004" t="str">
            <v>TRACTO</v>
          </cell>
          <cell r="O3004">
            <v>69</v>
          </cell>
          <cell r="P3004" t="str">
            <v>E1</v>
          </cell>
          <cell r="Q3004" t="str">
            <v>J1</v>
          </cell>
          <cell r="R3004" t="str">
            <v>J5</v>
          </cell>
          <cell r="S3004" t="str">
            <v>ENTREGADO</v>
          </cell>
          <cell r="T3004">
            <v>0</v>
          </cell>
          <cell r="U3004" t="str">
            <v>PALOMINO CARDENAS JUAN CARLOS</v>
          </cell>
          <cell r="V3004" t="str">
            <v>FLOREZ CONDORI  JOSE WILLIANS</v>
          </cell>
        </row>
        <row r="3005">
          <cell r="A3005">
            <v>2953</v>
          </cell>
          <cell r="B3005">
            <v>42721</v>
          </cell>
          <cell r="C3005" t="str">
            <v>DICIEMBRE</v>
          </cell>
          <cell r="D3005" t="str">
            <v>2016</v>
          </cell>
          <cell r="E3005">
            <v>602</v>
          </cell>
          <cell r="F3005" t="str">
            <v>D7N-755</v>
          </cell>
          <cell r="G3005" t="str">
            <v>F7L-983</v>
          </cell>
          <cell r="H3005" t="str">
            <v>LAS BAMBAS</v>
          </cell>
          <cell r="I3005">
            <v>51395</v>
          </cell>
          <cell r="J3005" t="str">
            <v>REPUESTO</v>
          </cell>
          <cell r="K3005" t="str">
            <v>PERNO 1 X7"</v>
          </cell>
          <cell r="L3005">
            <v>1</v>
          </cell>
          <cell r="M3005" t="str">
            <v>UNID.</v>
          </cell>
          <cell r="N3005" t="str">
            <v>CISTERNA</v>
          </cell>
          <cell r="O3005">
            <v>69</v>
          </cell>
          <cell r="P3005" t="str">
            <v>M8</v>
          </cell>
          <cell r="Q3005" t="str">
            <v>J1</v>
          </cell>
          <cell r="R3005" t="str">
            <v>J5</v>
          </cell>
          <cell r="S3005" t="str">
            <v>ENTREGADO</v>
          </cell>
          <cell r="T3005">
            <v>0</v>
          </cell>
          <cell r="U3005" t="str">
            <v>VARILLAS GAGO  OSCAR ALBERTO</v>
          </cell>
          <cell r="V3005" t="str">
            <v>FLOREZ CONDORI  JOSE WILLIANS</v>
          </cell>
        </row>
        <row r="3006">
          <cell r="A3006">
            <v>2954</v>
          </cell>
          <cell r="B3006">
            <v>42721</v>
          </cell>
          <cell r="C3006" t="str">
            <v>DICIEMBRE</v>
          </cell>
          <cell r="D3006" t="str">
            <v>2016</v>
          </cell>
          <cell r="E3006">
            <v>602</v>
          </cell>
          <cell r="F3006" t="str">
            <v>D7N-755</v>
          </cell>
          <cell r="G3006" t="str">
            <v>F7L-983</v>
          </cell>
          <cell r="H3006" t="str">
            <v>LAS BAMBAS</v>
          </cell>
          <cell r="I3006">
            <v>51395</v>
          </cell>
          <cell r="J3006" t="str">
            <v>REPUESTO</v>
          </cell>
          <cell r="K3006" t="str">
            <v>TUERCA SEGURO 1"</v>
          </cell>
          <cell r="L3006">
            <v>1</v>
          </cell>
          <cell r="M3006" t="str">
            <v>UNID.</v>
          </cell>
          <cell r="N3006" t="str">
            <v>CISTERNA</v>
          </cell>
          <cell r="O3006">
            <v>69</v>
          </cell>
          <cell r="P3006" t="str">
            <v>M8</v>
          </cell>
          <cell r="Q3006" t="str">
            <v>J1</v>
          </cell>
          <cell r="R3006" t="str">
            <v>J5</v>
          </cell>
          <cell r="S3006" t="str">
            <v>ENTREGADO</v>
          </cell>
          <cell r="T3006">
            <v>0</v>
          </cell>
          <cell r="U3006" t="str">
            <v>VARILLAS GAGO  OSCAR ALBERTO</v>
          </cell>
          <cell r="V3006" t="str">
            <v>FLOREZ CONDORI  JOSE WILLIANS</v>
          </cell>
        </row>
        <row r="3007">
          <cell r="A3007">
            <v>2955</v>
          </cell>
          <cell r="B3007">
            <v>42721</v>
          </cell>
          <cell r="C3007" t="str">
            <v>DICIEMBRE</v>
          </cell>
          <cell r="D3007" t="str">
            <v>2016</v>
          </cell>
          <cell r="E3007">
            <v>602</v>
          </cell>
          <cell r="F3007" t="str">
            <v>D7N-755</v>
          </cell>
          <cell r="G3007" t="str">
            <v>F7L-983</v>
          </cell>
          <cell r="H3007" t="str">
            <v>LAS BAMBAS</v>
          </cell>
          <cell r="I3007">
            <v>51395</v>
          </cell>
          <cell r="J3007" t="str">
            <v>REPUESTO</v>
          </cell>
          <cell r="K3007" t="str">
            <v>GRASERAS RECTAS NPT 3/8</v>
          </cell>
          <cell r="L3007">
            <v>4</v>
          </cell>
          <cell r="M3007" t="str">
            <v>UNID.</v>
          </cell>
          <cell r="N3007" t="str">
            <v>CISTERNA</v>
          </cell>
          <cell r="O3007">
            <v>69</v>
          </cell>
          <cell r="P3007" t="str">
            <v>M8</v>
          </cell>
          <cell r="Q3007" t="str">
            <v>J1</v>
          </cell>
          <cell r="R3007" t="str">
            <v>J5</v>
          </cell>
          <cell r="S3007" t="str">
            <v>ENTREGADO</v>
          </cell>
          <cell r="T3007">
            <v>0</v>
          </cell>
          <cell r="U3007" t="str">
            <v>VARILLAS GAGO  OSCAR ALBERTO</v>
          </cell>
          <cell r="V3007" t="str">
            <v>FLOREZ CONDORI  JOSE WILLIANS</v>
          </cell>
        </row>
        <row r="3008">
          <cell r="A3008">
            <v>2980</v>
          </cell>
          <cell r="B3008">
            <v>42721</v>
          </cell>
          <cell r="C3008" t="str">
            <v>DICIEMBRE</v>
          </cell>
          <cell r="D3008" t="str">
            <v>2016</v>
          </cell>
          <cell r="E3008">
            <v>200</v>
          </cell>
          <cell r="F3008" t="str">
            <v>TALLER</v>
          </cell>
          <cell r="G3008" t="str">
            <v>TALLER</v>
          </cell>
          <cell r="H3008" t="str">
            <v>TALLER</v>
          </cell>
          <cell r="I3008" t="str">
            <v>TALLER</v>
          </cell>
          <cell r="J3008" t="str">
            <v>REPUESTO</v>
          </cell>
          <cell r="K3008" t="str">
            <v>CELLOCORD 1/8</v>
          </cell>
          <cell r="L3008">
            <v>5</v>
          </cell>
          <cell r="M3008" t="str">
            <v>KG.</v>
          </cell>
          <cell r="N3008" t="str">
            <v>TALLER</v>
          </cell>
          <cell r="O3008">
            <v>69</v>
          </cell>
          <cell r="P3008" t="str">
            <v>S3</v>
          </cell>
          <cell r="Q3008" t="str">
            <v>J1</v>
          </cell>
          <cell r="R3008" t="str">
            <v>J5</v>
          </cell>
          <cell r="S3008" t="str">
            <v>ENTREGADO</v>
          </cell>
          <cell r="T3008">
            <v>0</v>
          </cell>
          <cell r="U3008" t="str">
            <v>JIMENEZ MACHACA JAVIER</v>
          </cell>
          <cell r="V3008" t="str">
            <v>FLOREZ CONDORI  JOSE WILLIANS</v>
          </cell>
        </row>
        <row r="3009">
          <cell r="A3009">
            <v>2983</v>
          </cell>
          <cell r="B3009">
            <v>42721</v>
          </cell>
          <cell r="C3009" t="str">
            <v>DICIEMBRE</v>
          </cell>
          <cell r="D3009" t="str">
            <v>2016</v>
          </cell>
          <cell r="E3009">
            <v>200</v>
          </cell>
          <cell r="F3009" t="str">
            <v>TALLER</v>
          </cell>
          <cell r="G3009" t="str">
            <v>TALLER</v>
          </cell>
          <cell r="H3009" t="str">
            <v>TALLER</v>
          </cell>
          <cell r="I3009" t="str">
            <v>TALLER</v>
          </cell>
          <cell r="J3009" t="str">
            <v>REPUESTO</v>
          </cell>
          <cell r="K3009" t="str">
            <v>SILICONA GREY</v>
          </cell>
          <cell r="L3009">
            <v>1</v>
          </cell>
          <cell r="M3009" t="str">
            <v>UNID.</v>
          </cell>
          <cell r="N3009" t="str">
            <v>TALLER</v>
          </cell>
          <cell r="O3009">
            <v>69</v>
          </cell>
          <cell r="P3009" t="str">
            <v>S3</v>
          </cell>
          <cell r="Q3009" t="str">
            <v>J1</v>
          </cell>
          <cell r="R3009" t="str">
            <v>J5</v>
          </cell>
          <cell r="S3009" t="str">
            <v>ENTREGADO</v>
          </cell>
          <cell r="T3009">
            <v>0</v>
          </cell>
          <cell r="U3009" t="str">
            <v>JIMENEZ MACHACA JAVIER</v>
          </cell>
          <cell r="V3009" t="str">
            <v>FLOREZ CONDORI  JOSE WILLIANS</v>
          </cell>
        </row>
        <row r="3010">
          <cell r="A3010">
            <v>2999</v>
          </cell>
          <cell r="B3010">
            <v>42721</v>
          </cell>
          <cell r="C3010" t="str">
            <v>DICIEMBRE</v>
          </cell>
          <cell r="D3010" t="str">
            <v>2016</v>
          </cell>
          <cell r="E3010">
            <v>200</v>
          </cell>
          <cell r="F3010" t="str">
            <v>TALLER</v>
          </cell>
          <cell r="G3010" t="str">
            <v>TALLER</v>
          </cell>
          <cell r="H3010" t="str">
            <v>TALLER</v>
          </cell>
          <cell r="I3010" t="str">
            <v>TALLER</v>
          </cell>
          <cell r="J3010" t="str">
            <v>REPUESTO</v>
          </cell>
          <cell r="K3010" t="str">
            <v>THINER</v>
          </cell>
          <cell r="L3010">
            <v>2</v>
          </cell>
          <cell r="M3010" t="str">
            <v>GLNS.</v>
          </cell>
          <cell r="N3010" t="str">
            <v>TALLER</v>
          </cell>
          <cell r="O3010">
            <v>69</v>
          </cell>
          <cell r="P3010" t="str">
            <v>S3</v>
          </cell>
          <cell r="Q3010" t="str">
            <v>J1</v>
          </cell>
          <cell r="R3010" t="str">
            <v>J5</v>
          </cell>
          <cell r="S3010" t="str">
            <v>ENTREGADO</v>
          </cell>
          <cell r="T3010">
            <v>0</v>
          </cell>
          <cell r="U3010" t="str">
            <v>JIMENEZ MACHACA JAVIER</v>
          </cell>
          <cell r="V3010" t="str">
            <v>FLOREZ CONDORI  JOSE WILLIANS</v>
          </cell>
        </row>
        <row r="3011">
          <cell r="A3011">
            <v>2959</v>
          </cell>
          <cell r="B3011">
            <v>42721</v>
          </cell>
          <cell r="C3011" t="str">
            <v>DICIEMBRE</v>
          </cell>
          <cell r="D3011" t="str">
            <v>2016</v>
          </cell>
          <cell r="E3011">
            <v>620</v>
          </cell>
          <cell r="F3011" t="str">
            <v>X2W-762</v>
          </cell>
          <cell r="G3011" t="str">
            <v>C5V-998</v>
          </cell>
          <cell r="H3011" t="str">
            <v>LAS BAMBAS</v>
          </cell>
          <cell r="I3011">
            <v>159103</v>
          </cell>
          <cell r="J3011" t="str">
            <v>REPUESTO</v>
          </cell>
          <cell r="K3011" t="str">
            <v>FARO PIRATA</v>
          </cell>
          <cell r="L3011">
            <v>2</v>
          </cell>
          <cell r="M3011" t="str">
            <v>UNID.</v>
          </cell>
          <cell r="N3011" t="str">
            <v>CISTERNA</v>
          </cell>
          <cell r="O3011">
            <v>69</v>
          </cell>
          <cell r="P3011" t="str">
            <v>E2</v>
          </cell>
          <cell r="Q3011" t="str">
            <v>J1</v>
          </cell>
          <cell r="R3011" t="str">
            <v>J5</v>
          </cell>
          <cell r="S3011" t="str">
            <v>ENTREGADO</v>
          </cell>
          <cell r="T3011">
            <v>0</v>
          </cell>
          <cell r="U3011" t="str">
            <v>YUCA BELLIDO BORIS YERSY</v>
          </cell>
          <cell r="V3011" t="str">
            <v>FLOREZ CONDORI  JOSE WILLIANS</v>
          </cell>
        </row>
        <row r="3012">
          <cell r="A3012">
            <v>2960</v>
          </cell>
          <cell r="B3012">
            <v>42721</v>
          </cell>
          <cell r="C3012" t="str">
            <v>DICIEMBRE</v>
          </cell>
          <cell r="D3012" t="str">
            <v>2016</v>
          </cell>
          <cell r="E3012">
            <v>620</v>
          </cell>
          <cell r="F3012" t="str">
            <v>X2W-762</v>
          </cell>
          <cell r="G3012" t="str">
            <v>C5V-998</v>
          </cell>
          <cell r="H3012" t="str">
            <v>LAS BAMBAS</v>
          </cell>
          <cell r="I3012">
            <v>159103</v>
          </cell>
          <cell r="J3012" t="str">
            <v>REPUESTO</v>
          </cell>
          <cell r="K3012" t="str">
            <v>PERNO 5/16 X 1 1/2"</v>
          </cell>
          <cell r="L3012">
            <v>2</v>
          </cell>
          <cell r="M3012" t="str">
            <v>UNID.</v>
          </cell>
          <cell r="N3012" t="str">
            <v>CISTERNA</v>
          </cell>
          <cell r="O3012">
            <v>69</v>
          </cell>
          <cell r="P3012" t="str">
            <v>E2</v>
          </cell>
          <cell r="Q3012" t="str">
            <v>J1</v>
          </cell>
          <cell r="R3012" t="str">
            <v>J5</v>
          </cell>
          <cell r="S3012" t="str">
            <v>ENTREGADO</v>
          </cell>
          <cell r="T3012">
            <v>0</v>
          </cell>
          <cell r="U3012" t="str">
            <v>YUCA BELLIDO BORIS YERSY</v>
          </cell>
          <cell r="V3012" t="str">
            <v>FLOREZ CONDORI  JOSE WILLIANS</v>
          </cell>
        </row>
        <row r="3013">
          <cell r="A3013">
            <v>2961</v>
          </cell>
          <cell r="B3013">
            <v>42721</v>
          </cell>
          <cell r="C3013" t="str">
            <v>DICIEMBRE</v>
          </cell>
          <cell r="D3013" t="str">
            <v>2016</v>
          </cell>
          <cell r="E3013">
            <v>620</v>
          </cell>
          <cell r="F3013" t="str">
            <v>X2W-762</v>
          </cell>
          <cell r="G3013" t="str">
            <v>C5V-998</v>
          </cell>
          <cell r="H3013" t="str">
            <v>LAS BAMBAS</v>
          </cell>
          <cell r="I3013">
            <v>159103</v>
          </cell>
          <cell r="J3013" t="str">
            <v>REPUESTO</v>
          </cell>
          <cell r="K3013" t="str">
            <v>TUERCA SEGURO 5/16</v>
          </cell>
          <cell r="L3013">
            <v>2</v>
          </cell>
          <cell r="M3013" t="str">
            <v>UNID.</v>
          </cell>
          <cell r="N3013" t="str">
            <v>CISTERNA</v>
          </cell>
          <cell r="O3013">
            <v>69</v>
          </cell>
          <cell r="P3013" t="str">
            <v>E2</v>
          </cell>
          <cell r="Q3013" t="str">
            <v>J1</v>
          </cell>
          <cell r="R3013" t="str">
            <v>J5</v>
          </cell>
          <cell r="S3013" t="str">
            <v>ENTREGADO</v>
          </cell>
          <cell r="T3013">
            <v>0</v>
          </cell>
          <cell r="U3013" t="str">
            <v>YUCA BELLIDO BORIS YERSY</v>
          </cell>
          <cell r="V3013" t="str">
            <v>FLOREZ CONDORI  JOSE WILLIANS</v>
          </cell>
        </row>
        <row r="3014">
          <cell r="A3014">
            <v>2962</v>
          </cell>
          <cell r="B3014">
            <v>42721</v>
          </cell>
          <cell r="C3014" t="str">
            <v>DICIEMBRE</v>
          </cell>
          <cell r="D3014" t="str">
            <v>2016</v>
          </cell>
          <cell r="E3014">
            <v>620</v>
          </cell>
          <cell r="F3014" t="str">
            <v>X2W-762</v>
          </cell>
          <cell r="G3014" t="str">
            <v>C5V-998</v>
          </cell>
          <cell r="H3014" t="str">
            <v>LAS BAMBAS</v>
          </cell>
          <cell r="I3014">
            <v>159103</v>
          </cell>
          <cell r="J3014" t="str">
            <v>REPUESTO</v>
          </cell>
          <cell r="K3014" t="str">
            <v>CABLE NRO.16</v>
          </cell>
          <cell r="L3014">
            <v>3</v>
          </cell>
          <cell r="M3014" t="str">
            <v>M</v>
          </cell>
          <cell r="N3014" t="str">
            <v>CISTERNA</v>
          </cell>
          <cell r="O3014">
            <v>69</v>
          </cell>
          <cell r="P3014" t="str">
            <v>E2</v>
          </cell>
          <cell r="Q3014" t="str">
            <v>J1</v>
          </cell>
          <cell r="R3014" t="str">
            <v>J5</v>
          </cell>
          <cell r="S3014" t="str">
            <v>ENTREGADO</v>
          </cell>
          <cell r="T3014">
            <v>0</v>
          </cell>
          <cell r="U3014" t="str">
            <v>YUCA BELLIDO BORIS YERSY</v>
          </cell>
          <cell r="V3014" t="str">
            <v>FLOREZ CONDORI  JOSE WILLIANS</v>
          </cell>
        </row>
        <row r="3015">
          <cell r="A3015">
            <v>2963</v>
          </cell>
          <cell r="B3015">
            <v>42721</v>
          </cell>
          <cell r="C3015" t="str">
            <v>DICIEMBRE</v>
          </cell>
          <cell r="D3015" t="str">
            <v>2016</v>
          </cell>
          <cell r="E3015">
            <v>620</v>
          </cell>
          <cell r="F3015" t="str">
            <v>X2W-762</v>
          </cell>
          <cell r="G3015" t="str">
            <v>C5V-998</v>
          </cell>
          <cell r="H3015" t="str">
            <v>LAS BAMBAS</v>
          </cell>
          <cell r="I3015">
            <v>159103</v>
          </cell>
          <cell r="J3015" t="str">
            <v>REPUESTO</v>
          </cell>
          <cell r="K3015" t="str">
            <v>CORRUGADO 1/4</v>
          </cell>
          <cell r="L3015">
            <v>2</v>
          </cell>
          <cell r="M3015" t="str">
            <v>M</v>
          </cell>
          <cell r="N3015" t="str">
            <v>CISTERNA</v>
          </cell>
          <cell r="O3015">
            <v>69</v>
          </cell>
          <cell r="P3015" t="str">
            <v>E2</v>
          </cell>
          <cell r="Q3015" t="str">
            <v>J1</v>
          </cell>
          <cell r="R3015" t="str">
            <v>J5</v>
          </cell>
          <cell r="S3015" t="str">
            <v>ENTREGADO</v>
          </cell>
          <cell r="T3015">
            <v>0</v>
          </cell>
          <cell r="U3015" t="str">
            <v>YUCA BELLIDO BORIS YERSY</v>
          </cell>
          <cell r="V3015" t="str">
            <v>FLOREZ CONDORI  JOSE WILLIANS</v>
          </cell>
        </row>
        <row r="3016">
          <cell r="A3016">
            <v>2964</v>
          </cell>
          <cell r="B3016">
            <v>42721</v>
          </cell>
          <cell r="C3016" t="str">
            <v>DICIEMBRE</v>
          </cell>
          <cell r="D3016" t="str">
            <v>2016</v>
          </cell>
          <cell r="E3016">
            <v>620</v>
          </cell>
          <cell r="F3016" t="str">
            <v>X2W-762</v>
          </cell>
          <cell r="G3016" t="str">
            <v>C5V-998</v>
          </cell>
          <cell r="H3016" t="str">
            <v>LAS BAMBAS</v>
          </cell>
          <cell r="I3016">
            <v>159103</v>
          </cell>
          <cell r="J3016" t="str">
            <v>REPUESTO</v>
          </cell>
          <cell r="K3016" t="str">
            <v>TERMINAL OJO 3/8 225A (PARA CABLE DE BATERIA)</v>
          </cell>
          <cell r="L3016">
            <v>2</v>
          </cell>
          <cell r="M3016" t="str">
            <v>UNID.</v>
          </cell>
          <cell r="N3016" t="str">
            <v>TRACTO</v>
          </cell>
          <cell r="O3016">
            <v>69</v>
          </cell>
          <cell r="P3016" t="str">
            <v>E2</v>
          </cell>
          <cell r="Q3016" t="str">
            <v>J1</v>
          </cell>
          <cell r="R3016" t="str">
            <v>J5</v>
          </cell>
          <cell r="S3016" t="str">
            <v>ENTREGADO</v>
          </cell>
          <cell r="T3016">
            <v>0</v>
          </cell>
          <cell r="U3016" t="str">
            <v>YUCA BELLIDO BORIS YERSY</v>
          </cell>
          <cell r="V3016" t="str">
            <v>FLOREZ CONDORI  JOSE WILLIANS</v>
          </cell>
        </row>
        <row r="3017">
          <cell r="A3017">
            <v>2997</v>
          </cell>
          <cell r="B3017">
            <v>42721</v>
          </cell>
          <cell r="C3017" t="str">
            <v>DICIEMBRE</v>
          </cell>
          <cell r="D3017" t="str">
            <v>2016</v>
          </cell>
          <cell r="E3017">
            <v>620</v>
          </cell>
          <cell r="F3017" t="str">
            <v>X2W-762</v>
          </cell>
          <cell r="G3017" t="str">
            <v>C5V-998</v>
          </cell>
          <cell r="H3017" t="str">
            <v>LAS BAMBAS</v>
          </cell>
          <cell r="I3017">
            <v>159103</v>
          </cell>
          <cell r="J3017" t="str">
            <v>REPUESTO</v>
          </cell>
          <cell r="K3017" t="str">
            <v>FILTRO SEPARADOR DE AGUA T502594</v>
          </cell>
          <cell r="L3017">
            <v>1</v>
          </cell>
          <cell r="M3017" t="str">
            <v>UNID.</v>
          </cell>
          <cell r="N3017" t="str">
            <v>TRACTO</v>
          </cell>
          <cell r="O3017">
            <v>69</v>
          </cell>
          <cell r="P3017" t="str">
            <v>M8</v>
          </cell>
          <cell r="Q3017" t="str">
            <v>J1</v>
          </cell>
          <cell r="R3017" t="str">
            <v>J5</v>
          </cell>
          <cell r="S3017" t="str">
            <v>ENTREGADO</v>
          </cell>
          <cell r="T3017">
            <v>0</v>
          </cell>
          <cell r="U3017" t="str">
            <v>VARILLAS GAGO  OSCAR ALBERTO</v>
          </cell>
          <cell r="V3017" t="str">
            <v>FLOREZ CONDORI  JOSE WILLIANS</v>
          </cell>
        </row>
        <row r="3018">
          <cell r="A3018">
            <v>2998</v>
          </cell>
          <cell r="B3018">
            <v>42721</v>
          </cell>
          <cell r="C3018" t="str">
            <v>DICIEMBRE</v>
          </cell>
          <cell r="D3018" t="str">
            <v>2016</v>
          </cell>
          <cell r="E3018">
            <v>620</v>
          </cell>
          <cell r="F3018" t="str">
            <v>X2W-762</v>
          </cell>
          <cell r="G3018" t="str">
            <v>C5V-998</v>
          </cell>
          <cell r="H3018" t="str">
            <v>LAS BAMBAS</v>
          </cell>
          <cell r="I3018">
            <v>159103</v>
          </cell>
          <cell r="J3018" t="str">
            <v>REPUESTO</v>
          </cell>
          <cell r="K3018" t="str">
            <v>FILTRO DE COMBUSTIBLE E500KP02 D36</v>
          </cell>
          <cell r="L3018">
            <v>1</v>
          </cell>
          <cell r="M3018" t="str">
            <v>UNID.</v>
          </cell>
          <cell r="N3018" t="str">
            <v>TRACTO</v>
          </cell>
          <cell r="O3018">
            <v>69</v>
          </cell>
          <cell r="P3018" t="str">
            <v>M8</v>
          </cell>
          <cell r="Q3018" t="str">
            <v>J1</v>
          </cell>
          <cell r="R3018" t="str">
            <v>J5</v>
          </cell>
          <cell r="S3018" t="str">
            <v>ENTREGADO</v>
          </cell>
          <cell r="T3018">
            <v>0</v>
          </cell>
          <cell r="U3018" t="str">
            <v>VARILLAS GAGO  OSCAR ALBERTO</v>
          </cell>
          <cell r="V3018" t="str">
            <v>FLOREZ CONDORI  JOSE WILLIANS</v>
          </cell>
        </row>
        <row r="3019">
          <cell r="A3019">
            <v>3028</v>
          </cell>
          <cell r="B3019">
            <v>42722</v>
          </cell>
          <cell r="C3019" t="str">
            <v>DICIEMBRE</v>
          </cell>
          <cell r="D3019" t="str">
            <v>2016</v>
          </cell>
          <cell r="E3019">
            <v>633</v>
          </cell>
          <cell r="F3019" t="str">
            <v>AKX-805</v>
          </cell>
          <cell r="G3019" t="str">
            <v>F5Z-985</v>
          </cell>
          <cell r="H3019" t="str">
            <v>LAS BAMBAS</v>
          </cell>
          <cell r="I3019">
            <v>37238</v>
          </cell>
          <cell r="J3019" t="str">
            <v>REPUESTO</v>
          </cell>
          <cell r="K3019" t="str">
            <v>FILTRO DE AIRE  PRIMARIO</v>
          </cell>
          <cell r="L3019">
            <v>1</v>
          </cell>
          <cell r="M3019" t="str">
            <v>UNID.</v>
          </cell>
          <cell r="N3019" t="str">
            <v>TRACTO</v>
          </cell>
          <cell r="O3019">
            <v>68</v>
          </cell>
          <cell r="P3019" t="str">
            <v>M1</v>
          </cell>
          <cell r="Q3019" t="str">
            <v>J2</v>
          </cell>
          <cell r="R3019" t="str">
            <v>J2</v>
          </cell>
          <cell r="S3019" t="str">
            <v>ENTREGADO</v>
          </cell>
          <cell r="T3019">
            <v>0</v>
          </cell>
          <cell r="U3019" t="str">
            <v>CABEZAS SANCHEZ JEAN JHONATAN</v>
          </cell>
          <cell r="V3019" t="str">
            <v>CORIHUAMAN SURCO  ERICK ROBERT</v>
          </cell>
        </row>
        <row r="3020">
          <cell r="A3020">
            <v>3033</v>
          </cell>
          <cell r="B3020">
            <v>42722</v>
          </cell>
          <cell r="C3020" t="str">
            <v>DICIEMBRE</v>
          </cell>
          <cell r="D3020" t="str">
            <v>2016</v>
          </cell>
          <cell r="E3020">
            <v>633</v>
          </cell>
          <cell r="F3020" t="str">
            <v>AKX-805</v>
          </cell>
          <cell r="G3020" t="str">
            <v>F5Z-985</v>
          </cell>
          <cell r="H3020" t="str">
            <v>LAS BAMBAS</v>
          </cell>
          <cell r="I3020">
            <v>37238</v>
          </cell>
          <cell r="J3020" t="str">
            <v>MATERIALES</v>
          </cell>
          <cell r="K3020" t="str">
            <v>GALON DE LIMPIA PARABRISAS</v>
          </cell>
          <cell r="L3020">
            <v>1</v>
          </cell>
          <cell r="M3020" t="str">
            <v>GLNS.</v>
          </cell>
          <cell r="N3020" t="str">
            <v>TRACTO</v>
          </cell>
          <cell r="O3020">
            <v>68</v>
          </cell>
          <cell r="P3020" t="str">
            <v>M1</v>
          </cell>
          <cell r="Q3020" t="str">
            <v>J2</v>
          </cell>
          <cell r="R3020" t="str">
            <v>J2</v>
          </cell>
          <cell r="S3020" t="str">
            <v>ENTREGADO</v>
          </cell>
          <cell r="T3020">
            <v>0</v>
          </cell>
          <cell r="U3020" t="str">
            <v>CABEZAS SANCHEZ JEAN JHONATAN</v>
          </cell>
          <cell r="V3020" t="str">
            <v>CORIHUAMAN SURCO  ERICK ROBERT</v>
          </cell>
        </row>
        <row r="3021">
          <cell r="A3021">
            <v>3034</v>
          </cell>
          <cell r="B3021">
            <v>42722</v>
          </cell>
          <cell r="C3021" t="str">
            <v>DICIEMBRE</v>
          </cell>
          <cell r="D3021" t="str">
            <v>2016</v>
          </cell>
          <cell r="E3021">
            <v>633</v>
          </cell>
          <cell r="F3021" t="str">
            <v>AKX-805</v>
          </cell>
          <cell r="G3021" t="str">
            <v>F5Z-985</v>
          </cell>
          <cell r="H3021" t="str">
            <v>LAS BAMBAS</v>
          </cell>
          <cell r="I3021">
            <v>37238</v>
          </cell>
          <cell r="J3021" t="str">
            <v>MATERIALES</v>
          </cell>
          <cell r="K3021" t="str">
            <v>AMARRA CABLES</v>
          </cell>
          <cell r="L3021">
            <v>5</v>
          </cell>
          <cell r="M3021" t="str">
            <v>UNID.</v>
          </cell>
          <cell r="N3021" t="str">
            <v>TRACTO</v>
          </cell>
          <cell r="O3021">
            <v>68</v>
          </cell>
          <cell r="P3021" t="str">
            <v>M1</v>
          </cell>
          <cell r="Q3021" t="str">
            <v>J2</v>
          </cell>
          <cell r="R3021" t="str">
            <v>J2</v>
          </cell>
          <cell r="S3021" t="str">
            <v>ENTREGADO</v>
          </cell>
          <cell r="T3021">
            <v>0</v>
          </cell>
          <cell r="U3021" t="str">
            <v>CABEZAS SANCHEZ JEAN JHONATAN</v>
          </cell>
          <cell r="V3021" t="str">
            <v>CORIHUAMAN SURCO  ERICK ROBERT</v>
          </cell>
        </row>
        <row r="3022">
          <cell r="A3022">
            <v>3023</v>
          </cell>
          <cell r="B3022">
            <v>42722</v>
          </cell>
          <cell r="C3022" t="str">
            <v>DICIEMBRE</v>
          </cell>
          <cell r="D3022" t="str">
            <v>2016</v>
          </cell>
          <cell r="E3022">
            <v>632</v>
          </cell>
          <cell r="F3022" t="str">
            <v>D3P-747</v>
          </cell>
          <cell r="G3022" t="str">
            <v>A0T-985</v>
          </cell>
          <cell r="H3022" t="str">
            <v>LAS BAMBAS</v>
          </cell>
          <cell r="I3022">
            <v>186478</v>
          </cell>
          <cell r="J3022" t="str">
            <v>REPUESTO</v>
          </cell>
          <cell r="K3022" t="str">
            <v>TAPA DE FARO DELANTERO DERECHO</v>
          </cell>
          <cell r="L3022">
            <v>1</v>
          </cell>
          <cell r="M3022" t="str">
            <v>UNID.</v>
          </cell>
          <cell r="N3022" t="str">
            <v>TRACTO</v>
          </cell>
          <cell r="O3022">
            <v>68</v>
          </cell>
          <cell r="P3022" t="str">
            <v>E1</v>
          </cell>
          <cell r="Q3022" t="str">
            <v>J2</v>
          </cell>
          <cell r="R3022" t="str">
            <v>J2</v>
          </cell>
          <cell r="S3022" t="str">
            <v>ENTREGADO</v>
          </cell>
          <cell r="T3022">
            <v>0</v>
          </cell>
          <cell r="U3022" t="str">
            <v>PALOMINO CARDENAS JUAN CARLOS</v>
          </cell>
          <cell r="V3022" t="str">
            <v>CORIHUAMAN SURCO  ERICK ROBERT</v>
          </cell>
        </row>
        <row r="3023">
          <cell r="A3023">
            <v>3024</v>
          </cell>
          <cell r="B3023">
            <v>42722</v>
          </cell>
          <cell r="C3023" t="str">
            <v>DICIEMBRE</v>
          </cell>
          <cell r="D3023" t="str">
            <v>2016</v>
          </cell>
          <cell r="E3023">
            <v>632</v>
          </cell>
          <cell r="F3023" t="str">
            <v>D3P-747</v>
          </cell>
          <cell r="G3023" t="str">
            <v>A0T-985</v>
          </cell>
          <cell r="H3023" t="str">
            <v>LAS BAMBAS</v>
          </cell>
          <cell r="I3023">
            <v>186478</v>
          </cell>
          <cell r="J3023" t="str">
            <v>REPUESTO</v>
          </cell>
          <cell r="K3023" t="str">
            <v>SOLICITO 5TA RUEDA POR ENCONTRARSE RAJADA</v>
          </cell>
          <cell r="L3023">
            <v>1</v>
          </cell>
          <cell r="M3023" t="str">
            <v>UNID.</v>
          </cell>
          <cell r="N3023" t="str">
            <v>TRACTO</v>
          </cell>
          <cell r="O3023">
            <v>68</v>
          </cell>
          <cell r="P3023" t="str">
            <v>M3</v>
          </cell>
          <cell r="Q3023" t="str">
            <v>J2</v>
          </cell>
          <cell r="R3023" t="str">
            <v>J2</v>
          </cell>
          <cell r="S3023" t="str">
            <v>ENTREGADO</v>
          </cell>
          <cell r="T3023">
            <v>0</v>
          </cell>
          <cell r="U3023" t="str">
            <v>GARCIA PASQUEL  JOSE LUIS</v>
          </cell>
          <cell r="V3023" t="str">
            <v>CORIHUAMAN SURCO  ERICK ROBERT</v>
          </cell>
        </row>
        <row r="3024">
          <cell r="A3024">
            <v>3031</v>
          </cell>
          <cell r="B3024">
            <v>42722</v>
          </cell>
          <cell r="C3024" t="str">
            <v>DICIEMBRE</v>
          </cell>
          <cell r="D3024" t="str">
            <v>2016</v>
          </cell>
          <cell r="E3024">
            <v>632</v>
          </cell>
          <cell r="F3024" t="str">
            <v>D3P-747</v>
          </cell>
          <cell r="G3024" t="str">
            <v>A0T-985</v>
          </cell>
          <cell r="H3024" t="str">
            <v>LAS BAMBAS</v>
          </cell>
          <cell r="I3024">
            <v>186478</v>
          </cell>
          <cell r="J3024" t="str">
            <v>REPUESTO</v>
          </cell>
          <cell r="K3024" t="str">
            <v>KIT EJE EXENTRICO</v>
          </cell>
          <cell r="L3024">
            <v>3</v>
          </cell>
          <cell r="M3024" t="str">
            <v>UNID.</v>
          </cell>
          <cell r="N3024" t="str">
            <v>CISTERNA</v>
          </cell>
          <cell r="O3024">
            <v>68</v>
          </cell>
          <cell r="P3024" t="str">
            <v>M3</v>
          </cell>
          <cell r="Q3024" t="str">
            <v>J2</v>
          </cell>
          <cell r="R3024" t="str">
            <v>J2</v>
          </cell>
          <cell r="S3024" t="str">
            <v>ENTREGADO</v>
          </cell>
          <cell r="T3024">
            <v>0</v>
          </cell>
          <cell r="U3024" t="str">
            <v>GARCIA PASQUEL  JOSE LUIS</v>
          </cell>
          <cell r="V3024" t="str">
            <v>CORIHUAMAN SURCO  ERICK ROBERT</v>
          </cell>
        </row>
        <row r="3025">
          <cell r="A3025">
            <v>3032</v>
          </cell>
          <cell r="B3025">
            <v>42722</v>
          </cell>
          <cell r="C3025" t="str">
            <v>DICIEMBRE</v>
          </cell>
          <cell r="D3025" t="str">
            <v>2016</v>
          </cell>
          <cell r="E3025">
            <v>632</v>
          </cell>
          <cell r="F3025" t="str">
            <v>D3P-747</v>
          </cell>
          <cell r="G3025" t="str">
            <v>A0T-985</v>
          </cell>
          <cell r="H3025" t="str">
            <v>LAS BAMBAS</v>
          </cell>
          <cell r="I3025">
            <v>186478</v>
          </cell>
          <cell r="J3025" t="str">
            <v>MATERIALES</v>
          </cell>
          <cell r="K3025" t="str">
            <v>BALDE DE GRASA</v>
          </cell>
          <cell r="L3025">
            <v>1</v>
          </cell>
          <cell r="M3025" t="str">
            <v>UNID.</v>
          </cell>
          <cell r="N3025" t="str">
            <v>CISTERNA</v>
          </cell>
          <cell r="O3025">
            <v>68</v>
          </cell>
          <cell r="P3025" t="str">
            <v>M3</v>
          </cell>
          <cell r="Q3025" t="str">
            <v>J2</v>
          </cell>
          <cell r="R3025" t="str">
            <v>J2</v>
          </cell>
          <cell r="S3025" t="str">
            <v>ENTREGADO</v>
          </cell>
          <cell r="T3025">
            <v>0</v>
          </cell>
          <cell r="U3025" t="str">
            <v>GARCIA PASQUEL  JOSE LUIS</v>
          </cell>
          <cell r="V3025" t="str">
            <v>CORIHUAMAN SURCO  ERICK ROBERT</v>
          </cell>
        </row>
        <row r="3026">
          <cell r="A3026">
            <v>3021</v>
          </cell>
          <cell r="B3026">
            <v>42722</v>
          </cell>
          <cell r="C3026" t="str">
            <v>DICIEMBRE</v>
          </cell>
          <cell r="D3026" t="str">
            <v>2016</v>
          </cell>
          <cell r="E3026">
            <v>631</v>
          </cell>
          <cell r="F3026" t="str">
            <v>D3R-791</v>
          </cell>
          <cell r="G3026" t="str">
            <v>B1M-993</v>
          </cell>
          <cell r="H3026" t="str">
            <v>LAS BAMBAS</v>
          </cell>
          <cell r="I3026">
            <v>141416</v>
          </cell>
          <cell r="J3026" t="str">
            <v>SERVICIO</v>
          </cell>
          <cell r="K3026" t="str">
            <v>REPARACION DE RADIADOR</v>
          </cell>
          <cell r="L3026">
            <v>1</v>
          </cell>
          <cell r="M3026" t="str">
            <v>UNID.</v>
          </cell>
          <cell r="N3026" t="str">
            <v>TRACTO</v>
          </cell>
          <cell r="O3026">
            <v>68</v>
          </cell>
          <cell r="P3026" t="str">
            <v>M8</v>
          </cell>
          <cell r="Q3026" t="str">
            <v>J2</v>
          </cell>
          <cell r="R3026" t="str">
            <v>J2</v>
          </cell>
          <cell r="S3026" t="str">
            <v>ENTREGADO</v>
          </cell>
          <cell r="T3026">
            <v>0</v>
          </cell>
          <cell r="U3026" t="str">
            <v>VARILLAS GAGO  OSCAR ALBERTO</v>
          </cell>
          <cell r="V3026" t="str">
            <v>CORIHUAMAN SURCO  ERICK ROBERT</v>
          </cell>
        </row>
        <row r="3027">
          <cell r="A3027">
            <v>3022</v>
          </cell>
          <cell r="B3027">
            <v>42722</v>
          </cell>
          <cell r="C3027" t="str">
            <v>DICIEMBRE</v>
          </cell>
          <cell r="D3027" t="str">
            <v>2016</v>
          </cell>
          <cell r="E3027">
            <v>631</v>
          </cell>
          <cell r="F3027" t="str">
            <v>D3R-791</v>
          </cell>
          <cell r="G3027" t="str">
            <v>B1M-993</v>
          </cell>
          <cell r="H3027" t="str">
            <v>LAS BAMBAS</v>
          </cell>
          <cell r="I3027">
            <v>141416</v>
          </cell>
          <cell r="J3027" t="str">
            <v>SERVICIO</v>
          </cell>
          <cell r="K3027" t="str">
            <v>SONDEO DE INTERCULER</v>
          </cell>
          <cell r="L3027">
            <v>1</v>
          </cell>
          <cell r="M3027" t="str">
            <v>UNID.</v>
          </cell>
          <cell r="N3027" t="str">
            <v>TRACTO</v>
          </cell>
          <cell r="O3027">
            <v>68</v>
          </cell>
          <cell r="P3027" t="str">
            <v>M8</v>
          </cell>
          <cell r="Q3027" t="str">
            <v>J2</v>
          </cell>
          <cell r="R3027" t="str">
            <v>J2</v>
          </cell>
          <cell r="S3027" t="str">
            <v>ENTREGADO</v>
          </cell>
          <cell r="T3027">
            <v>0</v>
          </cell>
          <cell r="U3027" t="str">
            <v>VARILLAS GAGO  OSCAR ALBERTO</v>
          </cell>
          <cell r="V3027" t="str">
            <v>CORIHUAMAN SURCO  ERICK ROBERT</v>
          </cell>
        </row>
        <row r="3028">
          <cell r="A3028">
            <v>3029</v>
          </cell>
          <cell r="B3028">
            <v>42722</v>
          </cell>
          <cell r="C3028" t="str">
            <v>DICIEMBRE</v>
          </cell>
          <cell r="D3028" t="str">
            <v>2016</v>
          </cell>
          <cell r="E3028">
            <v>631</v>
          </cell>
          <cell r="F3028" t="str">
            <v>D3R-791</v>
          </cell>
          <cell r="G3028" t="str">
            <v>B1M-993</v>
          </cell>
          <cell r="H3028" t="str">
            <v>LAS BAMBAS</v>
          </cell>
          <cell r="I3028">
            <v>141416</v>
          </cell>
          <cell r="J3028" t="str">
            <v>REPUESTO</v>
          </cell>
          <cell r="K3028" t="str">
            <v>FUNDA PARA PALANCA DE CAMBIOS</v>
          </cell>
          <cell r="L3028">
            <v>1</v>
          </cell>
          <cell r="M3028" t="str">
            <v>UNID.</v>
          </cell>
          <cell r="N3028" t="str">
            <v>TRACTO</v>
          </cell>
          <cell r="O3028">
            <v>68</v>
          </cell>
          <cell r="P3028" t="str">
            <v>M8</v>
          </cell>
          <cell r="Q3028" t="str">
            <v>J2</v>
          </cell>
          <cell r="R3028" t="str">
            <v>J2</v>
          </cell>
          <cell r="S3028" t="str">
            <v>ENTREGADO</v>
          </cell>
          <cell r="T3028">
            <v>0</v>
          </cell>
          <cell r="U3028" t="str">
            <v>VARILLAS GAGO  OSCAR ALBERTO</v>
          </cell>
          <cell r="V3028" t="str">
            <v>CORIHUAMAN SURCO  ERICK ROBERT</v>
          </cell>
        </row>
        <row r="3029">
          <cell r="A3029">
            <v>3030</v>
          </cell>
          <cell r="B3029">
            <v>42722</v>
          </cell>
          <cell r="C3029" t="str">
            <v>DICIEMBRE</v>
          </cell>
          <cell r="D3029" t="str">
            <v>2016</v>
          </cell>
          <cell r="E3029">
            <v>631</v>
          </cell>
          <cell r="F3029" t="str">
            <v>D3R-791</v>
          </cell>
          <cell r="G3029" t="str">
            <v>B1M-993</v>
          </cell>
          <cell r="H3029" t="str">
            <v>LAS BAMBAS</v>
          </cell>
          <cell r="I3029">
            <v>141416</v>
          </cell>
          <cell r="J3029" t="str">
            <v>REPUESTO</v>
          </cell>
          <cell r="K3029" t="str">
            <v>SOPORTE DE CAPOT</v>
          </cell>
          <cell r="L3029">
            <v>2</v>
          </cell>
          <cell r="M3029" t="str">
            <v>UNID.</v>
          </cell>
          <cell r="N3029" t="str">
            <v>TRACTO</v>
          </cell>
          <cell r="O3029">
            <v>68</v>
          </cell>
          <cell r="P3029" t="str">
            <v>M8</v>
          </cell>
          <cell r="Q3029" t="str">
            <v>J2</v>
          </cell>
          <cell r="R3029" t="str">
            <v>J2</v>
          </cell>
          <cell r="S3029" t="str">
            <v>ENTREGADO</v>
          </cell>
          <cell r="T3029">
            <v>0</v>
          </cell>
          <cell r="U3029" t="str">
            <v>VARILLAS GAGO  OSCAR ALBERTO</v>
          </cell>
          <cell r="V3029" t="str">
            <v>CORIHUAMAN SURCO  ERICK ROBERT</v>
          </cell>
        </row>
        <row r="3030">
          <cell r="A3030">
            <v>3025</v>
          </cell>
          <cell r="B3030">
            <v>42722</v>
          </cell>
          <cell r="C3030" t="str">
            <v>DICIEMBRE</v>
          </cell>
          <cell r="D3030" t="str">
            <v>2016</v>
          </cell>
          <cell r="E3030">
            <v>200</v>
          </cell>
          <cell r="F3030" t="str">
            <v>TALLER</v>
          </cell>
          <cell r="G3030" t="str">
            <v>TALLER</v>
          </cell>
          <cell r="H3030" t="str">
            <v>TALLER</v>
          </cell>
          <cell r="I3030" t="str">
            <v>TALLER</v>
          </cell>
          <cell r="J3030" t="str">
            <v>INSUMO TALLER</v>
          </cell>
          <cell r="K3030" t="str">
            <v>ESPRAY BLANCO</v>
          </cell>
          <cell r="L3030">
            <v>1</v>
          </cell>
          <cell r="M3030" t="str">
            <v>UNID.</v>
          </cell>
          <cell r="N3030" t="str">
            <v>TALLER</v>
          </cell>
          <cell r="O3030">
            <v>68</v>
          </cell>
          <cell r="P3030" t="str">
            <v>N2</v>
          </cell>
          <cell r="Q3030" t="str">
            <v>J2</v>
          </cell>
          <cell r="R3030" t="str">
            <v>J2</v>
          </cell>
          <cell r="S3030" t="str">
            <v>ENTREGADO</v>
          </cell>
          <cell r="T3030">
            <v>0</v>
          </cell>
          <cell r="U3030" t="str">
            <v>MAMANI LARICO  EDUARDO ALVARO</v>
          </cell>
          <cell r="V3030" t="str">
            <v>CORIHUAMAN SURCO  ERICK ROBERT</v>
          </cell>
        </row>
        <row r="3031">
          <cell r="A3031">
            <v>3026</v>
          </cell>
          <cell r="B3031">
            <v>42722</v>
          </cell>
          <cell r="C3031" t="str">
            <v>DICIEMBRE</v>
          </cell>
          <cell r="D3031" t="str">
            <v>2016</v>
          </cell>
          <cell r="E3031">
            <v>200</v>
          </cell>
          <cell r="F3031" t="str">
            <v>TALLER</v>
          </cell>
          <cell r="G3031" t="str">
            <v>TALLER</v>
          </cell>
          <cell r="H3031" t="str">
            <v>TALLER</v>
          </cell>
          <cell r="I3031" t="str">
            <v>TALLER</v>
          </cell>
          <cell r="J3031" t="str">
            <v>INSUMO TALLER</v>
          </cell>
          <cell r="K3031" t="str">
            <v>ESPRAY ALUMINIO</v>
          </cell>
          <cell r="L3031">
            <v>1</v>
          </cell>
          <cell r="M3031" t="str">
            <v>UNID.</v>
          </cell>
          <cell r="N3031" t="str">
            <v>TALLER</v>
          </cell>
          <cell r="O3031">
            <v>68</v>
          </cell>
          <cell r="P3031" t="str">
            <v>N2</v>
          </cell>
          <cell r="Q3031" t="str">
            <v>J2</v>
          </cell>
          <cell r="R3031" t="str">
            <v>J2</v>
          </cell>
          <cell r="S3031" t="str">
            <v>ENTREGADO</v>
          </cell>
          <cell r="T3031">
            <v>0</v>
          </cell>
          <cell r="U3031" t="str">
            <v>MAMANI LARICO  EDUARDO ALVARO</v>
          </cell>
          <cell r="V3031" t="str">
            <v>CORIHUAMAN SURCO  ERICK ROBERT</v>
          </cell>
        </row>
        <row r="3032">
          <cell r="A3032">
            <v>3027</v>
          </cell>
          <cell r="B3032">
            <v>42722</v>
          </cell>
          <cell r="C3032" t="str">
            <v>DICIEMBRE</v>
          </cell>
          <cell r="D3032" t="str">
            <v>2016</v>
          </cell>
          <cell r="E3032">
            <v>200</v>
          </cell>
          <cell r="F3032" t="str">
            <v>TALLER</v>
          </cell>
          <cell r="G3032" t="str">
            <v>TALLER</v>
          </cell>
          <cell r="H3032" t="str">
            <v>TALLER</v>
          </cell>
          <cell r="I3032" t="str">
            <v>TALLER</v>
          </cell>
          <cell r="J3032" t="str">
            <v>INSUMO TALLER</v>
          </cell>
          <cell r="K3032" t="str">
            <v>PLUMON</v>
          </cell>
          <cell r="L3032">
            <v>1</v>
          </cell>
          <cell r="M3032" t="str">
            <v>UNID.</v>
          </cell>
          <cell r="N3032" t="str">
            <v>TALLER</v>
          </cell>
          <cell r="O3032">
            <v>68</v>
          </cell>
          <cell r="P3032" t="str">
            <v>N2</v>
          </cell>
          <cell r="Q3032" t="str">
            <v>J2</v>
          </cell>
          <cell r="R3032" t="str">
            <v>J2</v>
          </cell>
          <cell r="S3032" t="str">
            <v>ENTREGADO</v>
          </cell>
          <cell r="T3032">
            <v>0</v>
          </cell>
          <cell r="U3032" t="str">
            <v>MAMANI LARICO  EDUARDO ALVARO</v>
          </cell>
          <cell r="V3032" t="str">
            <v>CORIHUAMAN SURCO  ERICK ROBERT</v>
          </cell>
        </row>
        <row r="3033">
          <cell r="A3033">
            <v>3094</v>
          </cell>
          <cell r="B3033">
            <v>42723</v>
          </cell>
          <cell r="C3033" t="str">
            <v>DICIEMBRE</v>
          </cell>
          <cell r="D3033" t="str">
            <v>2016</v>
          </cell>
          <cell r="E3033">
            <v>339</v>
          </cell>
          <cell r="F3033" t="str">
            <v>A9H-889</v>
          </cell>
          <cell r="G3033" t="str">
            <v>CAMION</v>
          </cell>
          <cell r="H3033" t="str">
            <v>TAMBOMAYO</v>
          </cell>
          <cell r="I3033">
            <v>0</v>
          </cell>
          <cell r="J3033" t="str">
            <v>REPUESTO</v>
          </cell>
          <cell r="K3033" t="str">
            <v>NEBLINEROS</v>
          </cell>
          <cell r="L3033">
            <v>2</v>
          </cell>
          <cell r="M3033" t="str">
            <v>UNID.</v>
          </cell>
          <cell r="N3033" t="str">
            <v>TRACTO</v>
          </cell>
          <cell r="O3033">
            <v>67</v>
          </cell>
          <cell r="P3033" t="str">
            <v>E3</v>
          </cell>
          <cell r="Q3033" t="str">
            <v>J2</v>
          </cell>
          <cell r="R3033" t="str">
            <v>J5</v>
          </cell>
          <cell r="S3033" t="str">
            <v>ENTREGADO</v>
          </cell>
          <cell r="T3033">
            <v>0</v>
          </cell>
          <cell r="U3033" t="str">
            <v>CONDORI CHURATA ALEX</v>
          </cell>
          <cell r="V3033" t="str">
            <v>CORIHUAMAN SURCO  ERICK ROBERT</v>
          </cell>
        </row>
        <row r="3034">
          <cell r="A3034">
            <v>3067</v>
          </cell>
          <cell r="B3034">
            <v>42723</v>
          </cell>
          <cell r="C3034" t="str">
            <v>DICIEMBRE</v>
          </cell>
          <cell r="D3034" t="str">
            <v>2016</v>
          </cell>
          <cell r="E3034">
            <v>625</v>
          </cell>
          <cell r="F3034" t="str">
            <v>ABR-727</v>
          </cell>
          <cell r="G3034" t="str">
            <v>C9S-989</v>
          </cell>
          <cell r="H3034" t="str">
            <v>LAS BAMBAS</v>
          </cell>
          <cell r="I3034">
            <v>100985</v>
          </cell>
          <cell r="J3034" t="str">
            <v>REPUESTO</v>
          </cell>
          <cell r="K3034" t="str">
            <v>TAPA DE FARO DELANTERO DERECHO</v>
          </cell>
          <cell r="L3034">
            <v>1</v>
          </cell>
          <cell r="M3034" t="str">
            <v>UNID.</v>
          </cell>
          <cell r="N3034" t="str">
            <v>TRACTO</v>
          </cell>
          <cell r="O3034">
            <v>67</v>
          </cell>
          <cell r="P3034" t="str">
            <v>E1</v>
          </cell>
          <cell r="Q3034" t="str">
            <v>J1</v>
          </cell>
          <cell r="R3034" t="str">
            <v>J5</v>
          </cell>
          <cell r="S3034" t="str">
            <v>ENTREGADO</v>
          </cell>
          <cell r="T3034">
            <v>0</v>
          </cell>
          <cell r="U3034" t="str">
            <v>PALOMINO CARDENAS JUAN CARLOS</v>
          </cell>
          <cell r="V3034" t="str">
            <v>FLOREZ CONDORI  JOSE WILLIANS</v>
          </cell>
        </row>
        <row r="3035">
          <cell r="A3035">
            <v>3073</v>
          </cell>
          <cell r="B3035">
            <v>42723</v>
          </cell>
          <cell r="C3035" t="str">
            <v>DICIEMBRE</v>
          </cell>
          <cell r="D3035" t="str">
            <v>2016</v>
          </cell>
          <cell r="E3035">
            <v>647</v>
          </cell>
          <cell r="F3035" t="str">
            <v>AEH-801</v>
          </cell>
          <cell r="G3035" t="str">
            <v>CAMIONETA</v>
          </cell>
          <cell r="H3035" t="str">
            <v>LAS BAMBAS</v>
          </cell>
          <cell r="I3035">
            <v>92180</v>
          </cell>
          <cell r="J3035" t="str">
            <v>REPUESTO</v>
          </cell>
          <cell r="K3035" t="str">
            <v>FILTRO DE AIRE</v>
          </cell>
          <cell r="L3035">
            <v>1</v>
          </cell>
          <cell r="M3035" t="str">
            <v>UNID.</v>
          </cell>
          <cell r="N3035" t="str">
            <v>CAMIONETA</v>
          </cell>
          <cell r="O3035">
            <v>67</v>
          </cell>
          <cell r="P3035" t="str">
            <v>J1</v>
          </cell>
          <cell r="Q3035" t="str">
            <v>J1</v>
          </cell>
          <cell r="R3035" t="str">
            <v>J5</v>
          </cell>
          <cell r="S3035" t="str">
            <v>ENTREGADO</v>
          </cell>
          <cell r="T3035">
            <v>0</v>
          </cell>
          <cell r="U3035" t="str">
            <v>FLOREZ CONDORI  JOSE WILLIANS</v>
          </cell>
          <cell r="V3035" t="str">
            <v>FLOREZ CONDORI  JOSE WILLIANS</v>
          </cell>
        </row>
        <row r="3036">
          <cell r="A3036">
            <v>3074</v>
          </cell>
          <cell r="B3036">
            <v>42723</v>
          </cell>
          <cell r="C3036" t="str">
            <v>DICIEMBRE</v>
          </cell>
          <cell r="D3036" t="str">
            <v>2016</v>
          </cell>
          <cell r="E3036">
            <v>647</v>
          </cell>
          <cell r="F3036" t="str">
            <v>AEH-801</v>
          </cell>
          <cell r="G3036" t="str">
            <v>CAMIONETA</v>
          </cell>
          <cell r="H3036" t="str">
            <v>LAS BAMBAS</v>
          </cell>
          <cell r="I3036">
            <v>92180</v>
          </cell>
          <cell r="J3036" t="str">
            <v>REPUESTO</v>
          </cell>
          <cell r="K3036" t="str">
            <v>FILTRO DE COMBUSTIBLE</v>
          </cell>
          <cell r="L3036">
            <v>1</v>
          </cell>
          <cell r="M3036" t="str">
            <v>UNID.</v>
          </cell>
          <cell r="N3036" t="str">
            <v>CAMIONETA</v>
          </cell>
          <cell r="O3036">
            <v>67</v>
          </cell>
          <cell r="P3036" t="str">
            <v>J1</v>
          </cell>
          <cell r="Q3036" t="str">
            <v>J1</v>
          </cell>
          <cell r="R3036" t="str">
            <v>J5</v>
          </cell>
          <cell r="S3036" t="str">
            <v>ENTREGADO</v>
          </cell>
          <cell r="T3036">
            <v>0</v>
          </cell>
          <cell r="U3036" t="str">
            <v>FLOREZ CONDORI  JOSE WILLIANS</v>
          </cell>
          <cell r="V3036" t="str">
            <v>FLOREZ CONDORI  JOSE WILLIANS</v>
          </cell>
        </row>
        <row r="3037">
          <cell r="A3037">
            <v>3075</v>
          </cell>
          <cell r="B3037">
            <v>42723</v>
          </cell>
          <cell r="C3037" t="str">
            <v>DICIEMBRE</v>
          </cell>
          <cell r="D3037" t="str">
            <v>2016</v>
          </cell>
          <cell r="E3037">
            <v>647</v>
          </cell>
          <cell r="F3037" t="str">
            <v>AEH-801</v>
          </cell>
          <cell r="G3037" t="str">
            <v>CAMIONETA</v>
          </cell>
          <cell r="H3037" t="str">
            <v>LAS BAMBAS</v>
          </cell>
          <cell r="I3037">
            <v>92180</v>
          </cell>
          <cell r="J3037" t="str">
            <v>REPUESTO</v>
          </cell>
          <cell r="K3037" t="str">
            <v>FILTRO DE ACEITE</v>
          </cell>
          <cell r="L3037">
            <v>1</v>
          </cell>
          <cell r="M3037" t="str">
            <v>UNID.</v>
          </cell>
          <cell r="N3037" t="str">
            <v>CAMIONETA</v>
          </cell>
          <cell r="O3037">
            <v>67</v>
          </cell>
          <cell r="P3037" t="str">
            <v>J1</v>
          </cell>
          <cell r="Q3037" t="str">
            <v>J1</v>
          </cell>
          <cell r="R3037" t="str">
            <v>J5</v>
          </cell>
          <cell r="S3037" t="str">
            <v>ENTREGADO</v>
          </cell>
          <cell r="T3037">
            <v>0</v>
          </cell>
          <cell r="U3037" t="str">
            <v>FLOREZ CONDORI  JOSE WILLIANS</v>
          </cell>
          <cell r="V3037" t="str">
            <v>FLOREZ CONDORI  JOSE WILLIANS</v>
          </cell>
        </row>
        <row r="3038">
          <cell r="A3038">
            <v>3076</v>
          </cell>
          <cell r="B3038">
            <v>42723</v>
          </cell>
          <cell r="C3038" t="str">
            <v>DICIEMBRE</v>
          </cell>
          <cell r="D3038" t="str">
            <v>2016</v>
          </cell>
          <cell r="E3038">
            <v>647</v>
          </cell>
          <cell r="F3038" t="str">
            <v>AEH-801</v>
          </cell>
          <cell r="G3038" t="str">
            <v>CAMIONETA</v>
          </cell>
          <cell r="H3038" t="str">
            <v>LAS BAMBAS</v>
          </cell>
          <cell r="I3038">
            <v>92180</v>
          </cell>
          <cell r="J3038" t="str">
            <v>REPUESTO</v>
          </cell>
          <cell r="K3038" t="str">
            <v>ACEITE MOTOR 15W-40</v>
          </cell>
          <cell r="L3038">
            <v>2</v>
          </cell>
          <cell r="M3038" t="str">
            <v>GLNS.</v>
          </cell>
          <cell r="N3038" t="str">
            <v>CAMIONETA</v>
          </cell>
          <cell r="O3038">
            <v>67</v>
          </cell>
          <cell r="P3038" t="str">
            <v>J1</v>
          </cell>
          <cell r="Q3038" t="str">
            <v>J1</v>
          </cell>
          <cell r="R3038" t="str">
            <v>J5</v>
          </cell>
          <cell r="S3038" t="str">
            <v>ENTREGADO</v>
          </cell>
          <cell r="T3038">
            <v>0</v>
          </cell>
          <cell r="U3038" t="str">
            <v>FLOREZ CONDORI  JOSE WILLIANS</v>
          </cell>
          <cell r="V3038" t="str">
            <v>FLOREZ CONDORI  JOSE WILLIANS</v>
          </cell>
        </row>
        <row r="3039">
          <cell r="A3039">
            <v>3065</v>
          </cell>
          <cell r="B3039">
            <v>42723</v>
          </cell>
          <cell r="C3039" t="str">
            <v>DICIEMBRE</v>
          </cell>
          <cell r="D3039" t="str">
            <v>2016</v>
          </cell>
          <cell r="E3039">
            <v>645</v>
          </cell>
          <cell r="F3039" t="str">
            <v>AKW-894</v>
          </cell>
          <cell r="G3039" t="str">
            <v>TBN-978</v>
          </cell>
          <cell r="H3039" t="str">
            <v>LAS BAMBAS</v>
          </cell>
          <cell r="I3039">
            <v>41745</v>
          </cell>
          <cell r="J3039" t="str">
            <v>REPUESTO</v>
          </cell>
          <cell r="K3039" t="str">
            <v>PARCHE RACK 10</v>
          </cell>
          <cell r="L3039">
            <v>1</v>
          </cell>
          <cell r="M3039" t="str">
            <v>UNID.</v>
          </cell>
          <cell r="N3039" t="str">
            <v>CISTERNA</v>
          </cell>
          <cell r="O3039">
            <v>67</v>
          </cell>
          <cell r="P3039" t="str">
            <v>N1</v>
          </cell>
          <cell r="Q3039" t="str">
            <v>J2</v>
          </cell>
          <cell r="R3039" t="str">
            <v>J6</v>
          </cell>
          <cell r="S3039" t="str">
            <v>ENTREGADO</v>
          </cell>
          <cell r="T3039">
            <v>0</v>
          </cell>
          <cell r="U3039" t="str">
            <v>AGUILAR CCANTUTA WILLY</v>
          </cell>
          <cell r="V3039" t="str">
            <v>CORIHUAMAN SURCO  ERICK ROBERT</v>
          </cell>
        </row>
        <row r="3040">
          <cell r="A3040">
            <v>3066</v>
          </cell>
          <cell r="B3040">
            <v>42723</v>
          </cell>
          <cell r="C3040" t="str">
            <v>DICIEMBRE</v>
          </cell>
          <cell r="D3040" t="str">
            <v>2016</v>
          </cell>
          <cell r="E3040">
            <v>645</v>
          </cell>
          <cell r="F3040" t="str">
            <v>AKW-894</v>
          </cell>
          <cell r="G3040" t="str">
            <v>TBN-978</v>
          </cell>
          <cell r="H3040" t="str">
            <v>LAS BAMBAS</v>
          </cell>
          <cell r="I3040">
            <v>41745</v>
          </cell>
          <cell r="J3040" t="str">
            <v>REPUESTO</v>
          </cell>
          <cell r="K3040" t="str">
            <v>PARCHE RACK 12</v>
          </cell>
          <cell r="L3040">
            <v>1</v>
          </cell>
          <cell r="M3040" t="str">
            <v>UNID.</v>
          </cell>
          <cell r="N3040" t="str">
            <v>CISTERNA</v>
          </cell>
          <cell r="O3040">
            <v>67</v>
          </cell>
          <cell r="P3040" t="str">
            <v>N1</v>
          </cell>
          <cell r="Q3040" t="str">
            <v>J2</v>
          </cell>
          <cell r="R3040" t="str">
            <v>J6</v>
          </cell>
          <cell r="S3040" t="str">
            <v>ENTREGADO</v>
          </cell>
          <cell r="T3040">
            <v>0</v>
          </cell>
          <cell r="U3040" t="str">
            <v>AGUILAR CCANTUTA WILLY</v>
          </cell>
          <cell r="V3040" t="str">
            <v>CORIHUAMAN SURCO  ERICK ROBERT</v>
          </cell>
        </row>
        <row r="3041">
          <cell r="A3041">
            <v>3060</v>
          </cell>
          <cell r="B3041">
            <v>42723</v>
          </cell>
          <cell r="C3041" t="str">
            <v>DICIEMBRE</v>
          </cell>
          <cell r="D3041" t="str">
            <v>2016</v>
          </cell>
          <cell r="E3041">
            <v>633</v>
          </cell>
          <cell r="F3041" t="str">
            <v>AKX-805</v>
          </cell>
          <cell r="G3041" t="str">
            <v>F5Z-985</v>
          </cell>
          <cell r="H3041" t="str">
            <v>LAS BAMBAS</v>
          </cell>
          <cell r="I3041">
            <v>37238</v>
          </cell>
          <cell r="J3041" t="str">
            <v>REPUESTO</v>
          </cell>
          <cell r="K3041" t="str">
            <v>AMORTIGUADOR DE SUSPENSION</v>
          </cell>
          <cell r="L3041">
            <v>1</v>
          </cell>
          <cell r="M3041" t="str">
            <v>UNID.</v>
          </cell>
          <cell r="N3041" t="str">
            <v>CISTERNA</v>
          </cell>
          <cell r="O3041">
            <v>67</v>
          </cell>
          <cell r="P3041" t="str">
            <v>J2</v>
          </cell>
          <cell r="Q3041" t="str">
            <v>J2</v>
          </cell>
          <cell r="R3041" t="str">
            <v>J5</v>
          </cell>
          <cell r="S3041" t="str">
            <v>ENTREGADO</v>
          </cell>
          <cell r="T3041">
            <v>0</v>
          </cell>
          <cell r="U3041" t="str">
            <v>CORIHUAMAN SURCO  ERICK ROBERT</v>
          </cell>
          <cell r="V3041" t="str">
            <v>CORIHUAMAN SURCO  ERICK ROBERT</v>
          </cell>
        </row>
        <row r="3042">
          <cell r="A3042">
            <v>3096</v>
          </cell>
          <cell r="B3042">
            <v>42723</v>
          </cell>
          <cell r="C3042" t="str">
            <v>DICIEMBRE</v>
          </cell>
          <cell r="D3042" t="str">
            <v>2016</v>
          </cell>
          <cell r="E3042">
            <v>594</v>
          </cell>
          <cell r="F3042" t="str">
            <v>B2M-948</v>
          </cell>
          <cell r="G3042" t="str">
            <v>CAMION</v>
          </cell>
          <cell r="H3042" t="str">
            <v>TAMBOMAYO</v>
          </cell>
          <cell r="I3042">
            <v>114956</v>
          </cell>
          <cell r="J3042" t="str">
            <v>REPUESTO</v>
          </cell>
          <cell r="K3042" t="str">
            <v>TERMINALES OJO DE 3/8</v>
          </cell>
          <cell r="L3042">
            <v>2</v>
          </cell>
          <cell r="M3042" t="str">
            <v>UNID.</v>
          </cell>
          <cell r="N3042" t="str">
            <v>TRACTO</v>
          </cell>
          <cell r="O3042">
            <v>67</v>
          </cell>
          <cell r="P3042" t="str">
            <v>E3</v>
          </cell>
          <cell r="Q3042" t="str">
            <v>J2</v>
          </cell>
          <cell r="R3042" t="str">
            <v>J2</v>
          </cell>
          <cell r="S3042" t="str">
            <v>ENTREGADO</v>
          </cell>
          <cell r="T3042">
            <v>0</v>
          </cell>
          <cell r="U3042" t="str">
            <v>CONDORI CHURATA ALEX</v>
          </cell>
          <cell r="V3042" t="str">
            <v>CORIHUAMAN SURCO  ERICK ROBERT</v>
          </cell>
        </row>
        <row r="3043">
          <cell r="A3043">
            <v>3070</v>
          </cell>
          <cell r="B3043">
            <v>42723</v>
          </cell>
          <cell r="C3043" t="str">
            <v>DICIEMBRE</v>
          </cell>
          <cell r="D3043" t="str">
            <v>2016</v>
          </cell>
          <cell r="E3043">
            <v>638</v>
          </cell>
          <cell r="F3043" t="str">
            <v>C5R-895</v>
          </cell>
          <cell r="G3043" t="str">
            <v>TBL-976</v>
          </cell>
          <cell r="H3043" t="str">
            <v>LAS BAMBAS</v>
          </cell>
          <cell r="I3043">
            <v>171517</v>
          </cell>
          <cell r="J3043" t="str">
            <v>REPUESTO</v>
          </cell>
          <cell r="K3043" t="str">
            <v>TUBO CORRUGADO 3/8</v>
          </cell>
          <cell r="L3043">
            <v>3</v>
          </cell>
          <cell r="M3043" t="str">
            <v>M</v>
          </cell>
          <cell r="N3043" t="str">
            <v>CISTERNA</v>
          </cell>
          <cell r="O3043">
            <v>67</v>
          </cell>
          <cell r="P3043" t="str">
            <v>E2</v>
          </cell>
          <cell r="Q3043" t="str">
            <v>J1</v>
          </cell>
          <cell r="R3043" t="str">
            <v>J5</v>
          </cell>
          <cell r="S3043" t="str">
            <v>ENTREGADO</v>
          </cell>
          <cell r="T3043">
            <v>0</v>
          </cell>
          <cell r="U3043" t="str">
            <v>YUCA BELLIDO BORIS YERSY</v>
          </cell>
          <cell r="V3043" t="str">
            <v>FLOREZ CONDORI  JOSE WILLIANS</v>
          </cell>
        </row>
        <row r="3044">
          <cell r="A3044">
            <v>3071</v>
          </cell>
          <cell r="B3044">
            <v>42723</v>
          </cell>
          <cell r="C3044" t="str">
            <v>DICIEMBRE</v>
          </cell>
          <cell r="D3044" t="str">
            <v>2016</v>
          </cell>
          <cell r="E3044">
            <v>638</v>
          </cell>
          <cell r="F3044" t="str">
            <v>C5R-895</v>
          </cell>
          <cell r="G3044" t="str">
            <v>TBL-976</v>
          </cell>
          <cell r="H3044" t="str">
            <v>LAS BAMBAS</v>
          </cell>
          <cell r="I3044">
            <v>171517</v>
          </cell>
          <cell r="J3044" t="str">
            <v>REPUESTO</v>
          </cell>
          <cell r="K3044" t="str">
            <v>FOCO LAGRIMON AMBAR DE 12 V</v>
          </cell>
          <cell r="L3044">
            <v>1</v>
          </cell>
          <cell r="M3044" t="str">
            <v>UNID.</v>
          </cell>
          <cell r="N3044" t="str">
            <v>CISTERNA</v>
          </cell>
          <cell r="O3044">
            <v>67</v>
          </cell>
          <cell r="P3044" t="str">
            <v>E2</v>
          </cell>
          <cell r="Q3044" t="str">
            <v>J1</v>
          </cell>
          <cell r="R3044" t="str">
            <v>J5</v>
          </cell>
          <cell r="S3044" t="str">
            <v>ENTREGADO</v>
          </cell>
          <cell r="T3044">
            <v>0</v>
          </cell>
          <cell r="U3044" t="str">
            <v>YUCA BELLIDO BORIS YERSY</v>
          </cell>
          <cell r="V3044" t="str">
            <v>FLOREZ CONDORI  JOSE WILLIANS</v>
          </cell>
        </row>
        <row r="3045">
          <cell r="A3045">
            <v>3093</v>
          </cell>
          <cell r="B3045">
            <v>42723</v>
          </cell>
          <cell r="C3045" t="str">
            <v>DICIEMBRE</v>
          </cell>
          <cell r="D3045" t="str">
            <v>2016</v>
          </cell>
          <cell r="E3045">
            <v>639</v>
          </cell>
          <cell r="F3045" t="str">
            <v>C6X-739</v>
          </cell>
          <cell r="G3045" t="str">
            <v>TCS-988</v>
          </cell>
          <cell r="H3045" t="str">
            <v>LAS BAMBAS CONC.</v>
          </cell>
          <cell r="I3045">
            <v>231385</v>
          </cell>
          <cell r="J3045" t="str">
            <v>REPUESTO</v>
          </cell>
          <cell r="K3045" t="str">
            <v>ENFRIADOR DE ACEITE DE DIRECCION</v>
          </cell>
          <cell r="L3045">
            <v>1</v>
          </cell>
          <cell r="M3045" t="str">
            <v>UNID.</v>
          </cell>
          <cell r="N3045" t="str">
            <v>TRACTO</v>
          </cell>
          <cell r="O3045">
            <v>67</v>
          </cell>
          <cell r="P3045" t="str">
            <v>M1</v>
          </cell>
          <cell r="Q3045" t="str">
            <v>J2</v>
          </cell>
          <cell r="R3045" t="str">
            <v>J5</v>
          </cell>
          <cell r="S3045" t="str">
            <v>PENDIENTE</v>
          </cell>
          <cell r="T3045">
            <v>0</v>
          </cell>
          <cell r="U3045" t="str">
            <v>CABEZAS SANCHEZ JEAN JHONATAN</v>
          </cell>
          <cell r="V3045" t="str">
            <v>CORIHUAMAN SURCO  ERICK ROBERT</v>
          </cell>
        </row>
        <row r="3046">
          <cell r="A3046">
            <v>3072</v>
          </cell>
          <cell r="B3046">
            <v>42723</v>
          </cell>
          <cell r="C3046" t="str">
            <v>DICIEMBRE</v>
          </cell>
          <cell r="D3046" t="str">
            <v>2016</v>
          </cell>
          <cell r="E3046">
            <v>632</v>
          </cell>
          <cell r="F3046" t="str">
            <v>D3P-747</v>
          </cell>
          <cell r="G3046" t="str">
            <v>A0T-985</v>
          </cell>
          <cell r="H3046" t="str">
            <v>LAS BAMBAS</v>
          </cell>
          <cell r="I3046">
            <v>186478</v>
          </cell>
          <cell r="J3046" t="str">
            <v>REPUESTO</v>
          </cell>
          <cell r="K3046" t="str">
            <v>VOLANDAS 1/4</v>
          </cell>
          <cell r="L3046">
            <v>10</v>
          </cell>
          <cell r="M3046" t="str">
            <v>UNID.</v>
          </cell>
          <cell r="N3046" t="str">
            <v>TRACTO</v>
          </cell>
          <cell r="O3046">
            <v>67</v>
          </cell>
          <cell r="P3046" t="str">
            <v>E1</v>
          </cell>
          <cell r="Q3046" t="str">
            <v>J1</v>
          </cell>
          <cell r="R3046" t="str">
            <v>J5</v>
          </cell>
          <cell r="S3046" t="str">
            <v>ENTREGADO</v>
          </cell>
          <cell r="T3046">
            <v>0</v>
          </cell>
          <cell r="U3046" t="str">
            <v>PALOMINO CARDENAS JUAN CARLOS</v>
          </cell>
          <cell r="V3046" t="str">
            <v>FLOREZ CONDORI  JOSE WILLIANS</v>
          </cell>
        </row>
        <row r="3047">
          <cell r="A3047">
            <v>3086</v>
          </cell>
          <cell r="B3047">
            <v>42723</v>
          </cell>
          <cell r="C3047" t="str">
            <v>DICIEMBRE</v>
          </cell>
          <cell r="D3047" t="str">
            <v>2016</v>
          </cell>
          <cell r="E3047">
            <v>632</v>
          </cell>
          <cell r="F3047" t="str">
            <v>D3P-747</v>
          </cell>
          <cell r="G3047" t="str">
            <v>A0T-985</v>
          </cell>
          <cell r="H3047" t="str">
            <v>LAS BAMBAS</v>
          </cell>
          <cell r="I3047">
            <v>186478</v>
          </cell>
          <cell r="J3047" t="str">
            <v>REPUESTO</v>
          </cell>
          <cell r="K3047" t="str">
            <v>FAJA DE ALTERNADOR</v>
          </cell>
          <cell r="L3047">
            <v>1</v>
          </cell>
          <cell r="M3047" t="str">
            <v>UNID.</v>
          </cell>
          <cell r="N3047" t="str">
            <v>TRACTO</v>
          </cell>
          <cell r="O3047">
            <v>67</v>
          </cell>
          <cell r="P3047" t="str">
            <v>M2</v>
          </cell>
          <cell r="Q3047" t="str">
            <v>J2</v>
          </cell>
          <cell r="R3047" t="str">
            <v>J6</v>
          </cell>
          <cell r="S3047" t="str">
            <v>ENTREGADO</v>
          </cell>
          <cell r="T3047">
            <v>0</v>
          </cell>
          <cell r="U3047" t="str">
            <v>CHUMPITAZ GAGO JULIO ENRIQUE</v>
          </cell>
          <cell r="V3047" t="str">
            <v>CORIHUAMAN SURCO  ERICK ROBERT</v>
          </cell>
        </row>
        <row r="3048">
          <cell r="A3048">
            <v>3099</v>
          </cell>
          <cell r="B3048">
            <v>42723</v>
          </cell>
          <cell r="C3048" t="str">
            <v>DICIEMBRE</v>
          </cell>
          <cell r="D3048" t="str">
            <v>2016</v>
          </cell>
          <cell r="E3048">
            <v>632</v>
          </cell>
          <cell r="F3048" t="str">
            <v>D3P-747</v>
          </cell>
          <cell r="G3048" t="str">
            <v>A0T-985</v>
          </cell>
          <cell r="H3048" t="str">
            <v>LAS BAMBAS</v>
          </cell>
          <cell r="I3048">
            <v>186478</v>
          </cell>
          <cell r="J3048" t="str">
            <v>REPUESTO</v>
          </cell>
          <cell r="K3048" t="str">
            <v>JUEGO DE ZAPATA</v>
          </cell>
          <cell r="L3048">
            <v>0.5</v>
          </cell>
          <cell r="M3048" t="str">
            <v>JUEGO</v>
          </cell>
          <cell r="N3048" t="str">
            <v>CISTERNA</v>
          </cell>
          <cell r="O3048">
            <v>67</v>
          </cell>
          <cell r="P3048" t="str">
            <v>M8</v>
          </cell>
          <cell r="Q3048" t="str">
            <v>J2</v>
          </cell>
          <cell r="R3048" t="str">
            <v>J5</v>
          </cell>
          <cell r="S3048" t="str">
            <v>ENTREGADO</v>
          </cell>
          <cell r="T3048">
            <v>0</v>
          </cell>
          <cell r="U3048" t="str">
            <v>VARILLAS GAGO  OSCAR ALBERTO</v>
          </cell>
          <cell r="V3048" t="str">
            <v>CORIHUAMAN SURCO  ERICK ROBERT</v>
          </cell>
        </row>
        <row r="3049">
          <cell r="A3049">
            <v>3100</v>
          </cell>
          <cell r="B3049">
            <v>42723</v>
          </cell>
          <cell r="C3049" t="str">
            <v>DICIEMBRE</v>
          </cell>
          <cell r="D3049" t="str">
            <v>2016</v>
          </cell>
          <cell r="E3049">
            <v>632</v>
          </cell>
          <cell r="F3049" t="str">
            <v>D3P-747</v>
          </cell>
          <cell r="G3049" t="str">
            <v>A0T-985</v>
          </cell>
          <cell r="H3049" t="str">
            <v>LAS BAMBAS</v>
          </cell>
          <cell r="I3049">
            <v>186478</v>
          </cell>
          <cell r="J3049" t="str">
            <v>REPUESTO</v>
          </cell>
          <cell r="K3049" t="str">
            <v>RACHET DE FRENO DE 10 DIENTES</v>
          </cell>
          <cell r="L3049">
            <v>1</v>
          </cell>
          <cell r="M3049" t="str">
            <v>UNID.</v>
          </cell>
          <cell r="N3049" t="str">
            <v>CISTERNA</v>
          </cell>
          <cell r="O3049">
            <v>67</v>
          </cell>
          <cell r="P3049" t="str">
            <v>M8</v>
          </cell>
          <cell r="Q3049" t="str">
            <v>J2</v>
          </cell>
          <cell r="R3049" t="str">
            <v>J5</v>
          </cell>
          <cell r="S3049" t="str">
            <v>ENTREGADO</v>
          </cell>
          <cell r="T3049">
            <v>0</v>
          </cell>
          <cell r="U3049" t="str">
            <v>VARILLAS GAGO  OSCAR ALBERTO</v>
          </cell>
          <cell r="V3049" t="str">
            <v>CORIHUAMAN SURCO  ERICK ROBERT</v>
          </cell>
        </row>
        <row r="3050">
          <cell r="A3050">
            <v>3063</v>
          </cell>
          <cell r="B3050">
            <v>42723</v>
          </cell>
          <cell r="C3050" t="str">
            <v>DICIEMBRE</v>
          </cell>
          <cell r="D3050" t="str">
            <v>2016</v>
          </cell>
          <cell r="E3050">
            <v>202</v>
          </cell>
          <cell r="F3050" t="str">
            <v>D3P-752</v>
          </cell>
          <cell r="G3050" t="str">
            <v>C5Y-985</v>
          </cell>
          <cell r="H3050" t="str">
            <v>LAS BAMBAS</v>
          </cell>
          <cell r="I3050">
            <v>150504</v>
          </cell>
          <cell r="J3050" t="str">
            <v>REPUESTO</v>
          </cell>
          <cell r="K3050" t="str">
            <v>LLANTAS</v>
          </cell>
          <cell r="L3050">
            <v>4</v>
          </cell>
          <cell r="M3050" t="str">
            <v>UNID.</v>
          </cell>
          <cell r="N3050" t="str">
            <v>TRACTO</v>
          </cell>
          <cell r="O3050">
            <v>67</v>
          </cell>
          <cell r="P3050" t="str">
            <v>N2</v>
          </cell>
          <cell r="Q3050" t="str">
            <v>J2</v>
          </cell>
          <cell r="R3050" t="str">
            <v>J6</v>
          </cell>
          <cell r="S3050" t="str">
            <v>PENDIENTE</v>
          </cell>
          <cell r="T3050">
            <v>0</v>
          </cell>
          <cell r="U3050" t="str">
            <v>MAMANI LARICO  EDUARDO ALVARO</v>
          </cell>
          <cell r="V3050" t="str">
            <v>CORIHUAMAN SURCO  ERICK ROBERT</v>
          </cell>
        </row>
        <row r="3051">
          <cell r="A3051">
            <v>3064</v>
          </cell>
          <cell r="B3051">
            <v>42723</v>
          </cell>
          <cell r="C3051" t="str">
            <v>DICIEMBRE</v>
          </cell>
          <cell r="D3051" t="str">
            <v>2016</v>
          </cell>
          <cell r="E3051">
            <v>631</v>
          </cell>
          <cell r="F3051" t="str">
            <v>D3R-791</v>
          </cell>
          <cell r="G3051" t="str">
            <v>B1M-993</v>
          </cell>
          <cell r="H3051" t="str">
            <v>LAS BAMBAS</v>
          </cell>
          <cell r="I3051">
            <v>141416</v>
          </cell>
          <cell r="J3051" t="str">
            <v>REPUESTO</v>
          </cell>
          <cell r="K3051" t="str">
            <v>LLANTAS</v>
          </cell>
          <cell r="L3051">
            <v>2</v>
          </cell>
          <cell r="M3051" t="str">
            <v>UNID.</v>
          </cell>
          <cell r="N3051" t="str">
            <v>TRACTO</v>
          </cell>
          <cell r="O3051">
            <v>67</v>
          </cell>
          <cell r="P3051" t="str">
            <v>N2</v>
          </cell>
          <cell r="Q3051" t="str">
            <v>J2</v>
          </cell>
          <cell r="R3051" t="str">
            <v>J6</v>
          </cell>
          <cell r="S3051" t="str">
            <v>PENDIENTE</v>
          </cell>
          <cell r="T3051">
            <v>0</v>
          </cell>
          <cell r="U3051" t="str">
            <v>MAMANI LARICO  EDUARDO ALVARO</v>
          </cell>
          <cell r="V3051" t="str">
            <v>CORIHUAMAN SURCO  ERICK ROBERT</v>
          </cell>
        </row>
        <row r="3052">
          <cell r="A3052">
            <v>3087</v>
          </cell>
          <cell r="B3052">
            <v>42723</v>
          </cell>
          <cell r="C3052" t="str">
            <v>DICIEMBRE</v>
          </cell>
          <cell r="D3052" t="str">
            <v>2016</v>
          </cell>
          <cell r="E3052">
            <v>631</v>
          </cell>
          <cell r="F3052" t="str">
            <v>D3R-791</v>
          </cell>
          <cell r="G3052" t="str">
            <v>B1M-993</v>
          </cell>
          <cell r="H3052" t="str">
            <v>LAS BAMBAS</v>
          </cell>
          <cell r="I3052">
            <v>141416</v>
          </cell>
          <cell r="J3052" t="str">
            <v>REPUESTO</v>
          </cell>
          <cell r="K3052" t="str">
            <v>LIQUIDO REFRIGERANTE</v>
          </cell>
          <cell r="L3052">
            <v>10</v>
          </cell>
          <cell r="M3052" t="str">
            <v>GLNS.</v>
          </cell>
          <cell r="N3052" t="str">
            <v>TRACTO</v>
          </cell>
          <cell r="O3052">
            <v>67</v>
          </cell>
          <cell r="P3052" t="str">
            <v>M8</v>
          </cell>
          <cell r="Q3052" t="str">
            <v>J2</v>
          </cell>
          <cell r="R3052" t="str">
            <v>J6</v>
          </cell>
          <cell r="S3052" t="str">
            <v>ENTREGADO</v>
          </cell>
          <cell r="T3052">
            <v>0</v>
          </cell>
          <cell r="U3052" t="str">
            <v>VARILLAS GAGO  OSCAR ALBERTO</v>
          </cell>
          <cell r="V3052" t="str">
            <v>CORIHUAMAN SURCO  ERICK ROBERT</v>
          </cell>
        </row>
        <row r="3053">
          <cell r="A3053">
            <v>3088</v>
          </cell>
          <cell r="B3053">
            <v>42723</v>
          </cell>
          <cell r="C3053" t="str">
            <v>DICIEMBRE</v>
          </cell>
          <cell r="D3053" t="str">
            <v>2016</v>
          </cell>
          <cell r="E3053">
            <v>631</v>
          </cell>
          <cell r="F3053" t="str">
            <v>D3R-791</v>
          </cell>
          <cell r="G3053" t="str">
            <v>B1M-993</v>
          </cell>
          <cell r="H3053" t="str">
            <v>LAS BAMBAS</v>
          </cell>
          <cell r="I3053">
            <v>141416</v>
          </cell>
          <cell r="J3053" t="str">
            <v>REPUESTO</v>
          </cell>
          <cell r="K3053" t="str">
            <v>FILTRO DE AGUA</v>
          </cell>
          <cell r="L3053">
            <v>1</v>
          </cell>
          <cell r="M3053" t="str">
            <v>UNID.</v>
          </cell>
          <cell r="N3053" t="str">
            <v>TRACTO</v>
          </cell>
          <cell r="O3053">
            <v>67</v>
          </cell>
          <cell r="P3053" t="str">
            <v>M8</v>
          </cell>
          <cell r="Q3053" t="str">
            <v>J2</v>
          </cell>
          <cell r="R3053" t="str">
            <v>J6</v>
          </cell>
          <cell r="S3053" t="str">
            <v>ENTREGADO</v>
          </cell>
          <cell r="T3053">
            <v>0</v>
          </cell>
          <cell r="U3053" t="str">
            <v>VARILLAS GAGO  OSCAR ALBERTO</v>
          </cell>
          <cell r="V3053" t="str">
            <v>CORIHUAMAN SURCO  ERICK ROBERT</v>
          </cell>
        </row>
        <row r="3054">
          <cell r="A3054">
            <v>3089</v>
          </cell>
          <cell r="B3054">
            <v>42723</v>
          </cell>
          <cell r="C3054" t="str">
            <v>DICIEMBRE</v>
          </cell>
          <cell r="D3054" t="str">
            <v>2016</v>
          </cell>
          <cell r="E3054">
            <v>631</v>
          </cell>
          <cell r="F3054" t="str">
            <v>D3R-791</v>
          </cell>
          <cell r="G3054" t="str">
            <v>B1M-993</v>
          </cell>
          <cell r="H3054" t="str">
            <v>LAS BAMBAS</v>
          </cell>
          <cell r="I3054">
            <v>141416</v>
          </cell>
          <cell r="J3054" t="str">
            <v>REPUESTO</v>
          </cell>
          <cell r="K3054" t="str">
            <v>PROTECTOR DE PALANCA DE CAMBIO</v>
          </cell>
          <cell r="L3054">
            <v>1</v>
          </cell>
          <cell r="M3054" t="str">
            <v>UNID.</v>
          </cell>
          <cell r="N3054" t="str">
            <v>TRACTO</v>
          </cell>
          <cell r="O3054">
            <v>67</v>
          </cell>
          <cell r="P3054" t="str">
            <v>M8</v>
          </cell>
          <cell r="Q3054" t="str">
            <v>J2</v>
          </cell>
          <cell r="R3054" t="str">
            <v>J6</v>
          </cell>
          <cell r="S3054" t="str">
            <v>ENTREGADO</v>
          </cell>
          <cell r="T3054">
            <v>0</v>
          </cell>
          <cell r="U3054" t="str">
            <v>VARILLAS GAGO  OSCAR ALBERTO</v>
          </cell>
          <cell r="V3054" t="str">
            <v>CORIHUAMAN SURCO  ERICK ROBERT</v>
          </cell>
        </row>
        <row r="3055">
          <cell r="A3055">
            <v>3046</v>
          </cell>
          <cell r="B3055">
            <v>42723</v>
          </cell>
          <cell r="C3055" t="str">
            <v>DICIEMBRE</v>
          </cell>
          <cell r="D3055" t="str">
            <v>2016</v>
          </cell>
          <cell r="E3055">
            <v>634</v>
          </cell>
          <cell r="F3055" t="str">
            <v>D3S-767</v>
          </cell>
          <cell r="G3055" t="str">
            <v>B8L-973</v>
          </cell>
          <cell r="H3055" t="str">
            <v>LAS BAMBAS</v>
          </cell>
          <cell r="I3055">
            <v>186850</v>
          </cell>
          <cell r="J3055" t="str">
            <v>REPUESTO</v>
          </cell>
          <cell r="K3055" t="str">
            <v>FILTRO DE AIRE PRIMARIO</v>
          </cell>
          <cell r="L3055">
            <v>1</v>
          </cell>
          <cell r="M3055" t="str">
            <v>UNID.</v>
          </cell>
          <cell r="N3055" t="str">
            <v>TRACTO</v>
          </cell>
          <cell r="O3055">
            <v>67</v>
          </cell>
          <cell r="P3055" t="str">
            <v>M2</v>
          </cell>
          <cell r="Q3055" t="str">
            <v>J2</v>
          </cell>
          <cell r="R3055" t="str">
            <v>J5</v>
          </cell>
          <cell r="S3055" t="str">
            <v>ENTREGADO</v>
          </cell>
          <cell r="T3055">
            <v>0</v>
          </cell>
          <cell r="U3055" t="str">
            <v>CHUMPITAZ GAGO JULIO ENRIQUE</v>
          </cell>
          <cell r="V3055" t="str">
            <v>CORIHUAMAN SURCO  ERICK ROBERT</v>
          </cell>
        </row>
        <row r="3056">
          <cell r="A3056">
            <v>3047</v>
          </cell>
          <cell r="B3056">
            <v>42723</v>
          </cell>
          <cell r="C3056" t="str">
            <v>DICIEMBRE</v>
          </cell>
          <cell r="D3056" t="str">
            <v>2016</v>
          </cell>
          <cell r="E3056">
            <v>634</v>
          </cell>
          <cell r="F3056" t="str">
            <v>D3S-767</v>
          </cell>
          <cell r="G3056" t="str">
            <v>B8L-973</v>
          </cell>
          <cell r="H3056" t="str">
            <v>LAS BAMBAS</v>
          </cell>
          <cell r="I3056">
            <v>186850</v>
          </cell>
          <cell r="J3056" t="str">
            <v>REPUESTO</v>
          </cell>
          <cell r="K3056" t="str">
            <v>FILTRO DE AIRE SECUNDARIO</v>
          </cell>
          <cell r="L3056">
            <v>1</v>
          </cell>
          <cell r="M3056" t="str">
            <v>UNID.</v>
          </cell>
          <cell r="N3056" t="str">
            <v>TRACTO</v>
          </cell>
          <cell r="O3056">
            <v>67</v>
          </cell>
          <cell r="P3056" t="str">
            <v>M2</v>
          </cell>
          <cell r="Q3056" t="str">
            <v>J2</v>
          </cell>
          <cell r="R3056" t="str">
            <v>J5</v>
          </cell>
          <cell r="S3056" t="str">
            <v>ENTREGADO</v>
          </cell>
          <cell r="T3056">
            <v>0</v>
          </cell>
          <cell r="U3056" t="str">
            <v>CHUMPITAZ GAGO JULIO ENRIQUE</v>
          </cell>
          <cell r="V3056" t="str">
            <v>CORIHUAMAN SURCO  ERICK ROBERT</v>
          </cell>
        </row>
        <row r="3057">
          <cell r="A3057">
            <v>3048</v>
          </cell>
          <cell r="B3057">
            <v>42723</v>
          </cell>
          <cell r="C3057" t="str">
            <v>DICIEMBRE</v>
          </cell>
          <cell r="D3057" t="str">
            <v>2016</v>
          </cell>
          <cell r="E3057">
            <v>634</v>
          </cell>
          <cell r="F3057" t="str">
            <v>D3S-767</v>
          </cell>
          <cell r="G3057" t="str">
            <v>B8L-973</v>
          </cell>
          <cell r="H3057" t="str">
            <v>LAS BAMBAS</v>
          </cell>
          <cell r="I3057">
            <v>186850</v>
          </cell>
          <cell r="J3057" t="str">
            <v>REPUESTO</v>
          </cell>
          <cell r="K3057" t="str">
            <v>ACEITE DE MOTOR 15W40</v>
          </cell>
          <cell r="L3057">
            <v>10</v>
          </cell>
          <cell r="M3057" t="str">
            <v>GLNS.</v>
          </cell>
          <cell r="N3057" t="str">
            <v>TRACTO</v>
          </cell>
          <cell r="O3057">
            <v>67</v>
          </cell>
          <cell r="P3057" t="str">
            <v>M2</v>
          </cell>
          <cell r="Q3057" t="str">
            <v>J2</v>
          </cell>
          <cell r="R3057" t="str">
            <v>J5</v>
          </cell>
          <cell r="S3057" t="str">
            <v>ENTREGADO</v>
          </cell>
          <cell r="T3057">
            <v>0</v>
          </cell>
          <cell r="U3057" t="str">
            <v>CHUMPITAZ GAGO JULIO ENRIQUE</v>
          </cell>
          <cell r="V3057" t="str">
            <v>CORIHUAMAN SURCO  ERICK ROBERT</v>
          </cell>
        </row>
        <row r="3058">
          <cell r="A3058">
            <v>3049</v>
          </cell>
          <cell r="B3058">
            <v>42723</v>
          </cell>
          <cell r="C3058" t="str">
            <v>DICIEMBRE</v>
          </cell>
          <cell r="D3058" t="str">
            <v>2016</v>
          </cell>
          <cell r="E3058">
            <v>634</v>
          </cell>
          <cell r="F3058" t="str">
            <v>D3S-767</v>
          </cell>
          <cell r="G3058" t="str">
            <v>B8L-973</v>
          </cell>
          <cell r="H3058" t="str">
            <v>LAS BAMBAS</v>
          </cell>
          <cell r="I3058">
            <v>186850</v>
          </cell>
          <cell r="J3058" t="str">
            <v>REPUESTO</v>
          </cell>
          <cell r="K3058" t="str">
            <v>FILTRO DE COMBUSTIBLE</v>
          </cell>
          <cell r="L3058">
            <v>1</v>
          </cell>
          <cell r="M3058" t="str">
            <v>UNID.</v>
          </cell>
          <cell r="N3058" t="str">
            <v>TRACTO</v>
          </cell>
          <cell r="O3058">
            <v>67</v>
          </cell>
          <cell r="P3058" t="str">
            <v>M2</v>
          </cell>
          <cell r="Q3058" t="str">
            <v>J2</v>
          </cell>
          <cell r="R3058" t="str">
            <v>J5</v>
          </cell>
          <cell r="S3058" t="str">
            <v>ENTREGADO</v>
          </cell>
          <cell r="T3058">
            <v>0</v>
          </cell>
          <cell r="U3058" t="str">
            <v>CHUMPITAZ GAGO JULIO ENRIQUE</v>
          </cell>
          <cell r="V3058" t="str">
            <v>CORIHUAMAN SURCO  ERICK ROBERT</v>
          </cell>
        </row>
        <row r="3059">
          <cell r="A3059">
            <v>3050</v>
          </cell>
          <cell r="B3059">
            <v>42723</v>
          </cell>
          <cell r="C3059" t="str">
            <v>DICIEMBRE</v>
          </cell>
          <cell r="D3059" t="str">
            <v>2016</v>
          </cell>
          <cell r="E3059">
            <v>634</v>
          </cell>
          <cell r="F3059" t="str">
            <v>D3S-767</v>
          </cell>
          <cell r="G3059" t="str">
            <v>B8L-973</v>
          </cell>
          <cell r="H3059" t="str">
            <v>LAS BAMBAS</v>
          </cell>
          <cell r="I3059">
            <v>186850</v>
          </cell>
          <cell r="J3059" t="str">
            <v>REPUESTO</v>
          </cell>
          <cell r="K3059" t="str">
            <v>FILTRO SEPARADOR DE AGUA</v>
          </cell>
          <cell r="L3059">
            <v>1</v>
          </cell>
          <cell r="M3059" t="str">
            <v>UNID.</v>
          </cell>
          <cell r="N3059" t="str">
            <v>TRACTO</v>
          </cell>
          <cell r="O3059">
            <v>67</v>
          </cell>
          <cell r="P3059" t="str">
            <v>M2</v>
          </cell>
          <cell r="Q3059" t="str">
            <v>J2</v>
          </cell>
          <cell r="R3059" t="str">
            <v>J5</v>
          </cell>
          <cell r="S3059" t="str">
            <v>ENTREGADO</v>
          </cell>
          <cell r="T3059">
            <v>0</v>
          </cell>
          <cell r="U3059" t="str">
            <v>CHUMPITAZ GAGO JULIO ENRIQUE</v>
          </cell>
          <cell r="V3059" t="str">
            <v>CORIHUAMAN SURCO  ERICK ROBERT</v>
          </cell>
        </row>
        <row r="3060">
          <cell r="A3060">
            <v>3051</v>
          </cell>
          <cell r="B3060">
            <v>42723</v>
          </cell>
          <cell r="C3060" t="str">
            <v>DICIEMBRE</v>
          </cell>
          <cell r="D3060" t="str">
            <v>2016</v>
          </cell>
          <cell r="E3060">
            <v>634</v>
          </cell>
          <cell r="F3060" t="str">
            <v>D3S-767</v>
          </cell>
          <cell r="G3060" t="str">
            <v>B8L-973</v>
          </cell>
          <cell r="H3060" t="str">
            <v>LAS BAMBAS</v>
          </cell>
          <cell r="I3060">
            <v>186850</v>
          </cell>
          <cell r="J3060" t="str">
            <v>REPUESTO</v>
          </cell>
          <cell r="K3060" t="str">
            <v>FILTRO DE ACEITE</v>
          </cell>
          <cell r="L3060">
            <v>2</v>
          </cell>
          <cell r="M3060" t="str">
            <v>UNID.</v>
          </cell>
          <cell r="N3060" t="str">
            <v>TRACTO</v>
          </cell>
          <cell r="O3060">
            <v>67</v>
          </cell>
          <cell r="P3060" t="str">
            <v>M2</v>
          </cell>
          <cell r="Q3060" t="str">
            <v>J2</v>
          </cell>
          <cell r="R3060" t="str">
            <v>J5</v>
          </cell>
          <cell r="S3060" t="str">
            <v>ENTREGADO</v>
          </cell>
          <cell r="T3060">
            <v>0</v>
          </cell>
          <cell r="U3060" t="str">
            <v>CHUMPITAZ GAGO JULIO ENRIQUE</v>
          </cell>
          <cell r="V3060" t="str">
            <v>CORIHUAMAN SURCO  ERICK ROBERT</v>
          </cell>
        </row>
        <row r="3061">
          <cell r="A3061">
            <v>3052</v>
          </cell>
          <cell r="B3061">
            <v>42723</v>
          </cell>
          <cell r="C3061" t="str">
            <v>DICIEMBRE</v>
          </cell>
          <cell r="D3061" t="str">
            <v>2016</v>
          </cell>
          <cell r="E3061">
            <v>634</v>
          </cell>
          <cell r="F3061" t="str">
            <v>D3S-767</v>
          </cell>
          <cell r="G3061" t="str">
            <v>B8L-973</v>
          </cell>
          <cell r="H3061" t="str">
            <v>LAS BAMBAS</v>
          </cell>
          <cell r="I3061">
            <v>186850</v>
          </cell>
          <cell r="J3061" t="str">
            <v>REPUESTO</v>
          </cell>
          <cell r="K3061" t="str">
            <v xml:space="preserve">ACEITE DE CAJA </v>
          </cell>
          <cell r="L3061">
            <v>4</v>
          </cell>
          <cell r="M3061" t="str">
            <v>GLNS.</v>
          </cell>
          <cell r="N3061" t="str">
            <v>TRACTO</v>
          </cell>
          <cell r="O3061">
            <v>67</v>
          </cell>
          <cell r="P3061" t="str">
            <v>M2</v>
          </cell>
          <cell r="Q3061" t="str">
            <v>J2</v>
          </cell>
          <cell r="R3061" t="str">
            <v>J5</v>
          </cell>
          <cell r="S3061" t="str">
            <v>ENTREGADO</v>
          </cell>
          <cell r="T3061">
            <v>0</v>
          </cell>
          <cell r="U3061" t="str">
            <v>CHUMPITAZ GAGO JULIO ENRIQUE</v>
          </cell>
          <cell r="V3061" t="str">
            <v>CORIHUAMAN SURCO  ERICK ROBERT</v>
          </cell>
        </row>
        <row r="3062">
          <cell r="A3062">
            <v>3053</v>
          </cell>
          <cell r="B3062">
            <v>42723</v>
          </cell>
          <cell r="C3062" t="str">
            <v>DICIEMBRE</v>
          </cell>
          <cell r="D3062" t="str">
            <v>2016</v>
          </cell>
          <cell r="E3062">
            <v>634</v>
          </cell>
          <cell r="F3062" t="str">
            <v>D3S-767</v>
          </cell>
          <cell r="G3062" t="str">
            <v>B8L-973</v>
          </cell>
          <cell r="H3062" t="str">
            <v>LAS BAMBAS</v>
          </cell>
          <cell r="I3062">
            <v>186850</v>
          </cell>
          <cell r="J3062" t="str">
            <v>REPUESTO</v>
          </cell>
          <cell r="K3062" t="str">
            <v xml:space="preserve">ACEITE DE CORONA </v>
          </cell>
          <cell r="L3062">
            <v>10</v>
          </cell>
          <cell r="M3062" t="str">
            <v>GLNS.</v>
          </cell>
          <cell r="N3062" t="str">
            <v>TRACTO</v>
          </cell>
          <cell r="O3062">
            <v>67</v>
          </cell>
          <cell r="P3062" t="str">
            <v>M2</v>
          </cell>
          <cell r="Q3062" t="str">
            <v>J2</v>
          </cell>
          <cell r="R3062" t="str">
            <v>J5</v>
          </cell>
          <cell r="S3062" t="str">
            <v>ENTREGADO</v>
          </cell>
          <cell r="T3062">
            <v>0</v>
          </cell>
          <cell r="U3062" t="str">
            <v>CHUMPITAZ GAGO JULIO ENRIQUE</v>
          </cell>
          <cell r="V3062" t="str">
            <v>CORIHUAMAN SURCO  ERICK ROBERT</v>
          </cell>
        </row>
        <row r="3063">
          <cell r="A3063">
            <v>3054</v>
          </cell>
          <cell r="B3063">
            <v>42723</v>
          </cell>
          <cell r="C3063" t="str">
            <v>DICIEMBRE</v>
          </cell>
          <cell r="D3063" t="str">
            <v>2016</v>
          </cell>
          <cell r="E3063">
            <v>634</v>
          </cell>
          <cell r="F3063" t="str">
            <v>D3S-767</v>
          </cell>
          <cell r="G3063" t="str">
            <v>B8L-973</v>
          </cell>
          <cell r="H3063" t="str">
            <v>LAS BAMBAS</v>
          </cell>
          <cell r="I3063">
            <v>186850</v>
          </cell>
          <cell r="J3063" t="str">
            <v>REPUESTO</v>
          </cell>
          <cell r="K3063" t="str">
            <v>FILTRO DE ACEITE PARA CORONA</v>
          </cell>
          <cell r="L3063">
            <v>1</v>
          </cell>
          <cell r="M3063" t="str">
            <v>UNID.</v>
          </cell>
          <cell r="N3063" t="str">
            <v>TRACTO</v>
          </cell>
          <cell r="O3063">
            <v>67</v>
          </cell>
          <cell r="P3063" t="str">
            <v>M2</v>
          </cell>
          <cell r="Q3063" t="str">
            <v>J2</v>
          </cell>
          <cell r="R3063" t="str">
            <v>J5</v>
          </cell>
          <cell r="S3063" t="str">
            <v>ENTREGADO</v>
          </cell>
          <cell r="T3063">
            <v>0</v>
          </cell>
          <cell r="U3063" t="str">
            <v>CHUMPITAZ GAGO JULIO ENRIQUE</v>
          </cell>
          <cell r="V3063" t="str">
            <v>CORIHUAMAN SURCO  ERICK ROBERT</v>
          </cell>
        </row>
        <row r="3064">
          <cell r="A3064">
            <v>3055</v>
          </cell>
          <cell r="B3064">
            <v>42723</v>
          </cell>
          <cell r="C3064" t="str">
            <v>DICIEMBRE</v>
          </cell>
          <cell r="D3064" t="str">
            <v>2016</v>
          </cell>
          <cell r="E3064">
            <v>634</v>
          </cell>
          <cell r="F3064" t="str">
            <v>D3S-767</v>
          </cell>
          <cell r="G3064" t="str">
            <v>B8L-973</v>
          </cell>
          <cell r="H3064" t="str">
            <v>LAS BAMBAS</v>
          </cell>
          <cell r="I3064">
            <v>186850</v>
          </cell>
          <cell r="J3064" t="str">
            <v>REPUESTO</v>
          </cell>
          <cell r="K3064" t="str">
            <v>KIT SECADOR DE AIRE</v>
          </cell>
          <cell r="L3064">
            <v>1</v>
          </cell>
          <cell r="M3064" t="str">
            <v>UNID.</v>
          </cell>
          <cell r="N3064" t="str">
            <v>TRACTO</v>
          </cell>
          <cell r="O3064">
            <v>67</v>
          </cell>
          <cell r="P3064" t="str">
            <v>M2</v>
          </cell>
          <cell r="Q3064" t="str">
            <v>J2</v>
          </cell>
          <cell r="R3064" t="str">
            <v>J5</v>
          </cell>
          <cell r="S3064" t="str">
            <v>ENTREGADO</v>
          </cell>
          <cell r="T3064">
            <v>0</v>
          </cell>
          <cell r="U3064" t="str">
            <v>CHUMPITAZ GAGO JULIO ENRIQUE</v>
          </cell>
          <cell r="V3064" t="str">
            <v>CORIHUAMAN SURCO  ERICK ROBERT</v>
          </cell>
        </row>
        <row r="3065">
          <cell r="A3065">
            <v>3056</v>
          </cell>
          <cell r="B3065">
            <v>42723</v>
          </cell>
          <cell r="C3065" t="str">
            <v>DICIEMBRE</v>
          </cell>
          <cell r="D3065" t="str">
            <v>2016</v>
          </cell>
          <cell r="E3065">
            <v>634</v>
          </cell>
          <cell r="F3065" t="str">
            <v>D3S-767</v>
          </cell>
          <cell r="G3065" t="str">
            <v>B8L-973</v>
          </cell>
          <cell r="H3065" t="str">
            <v>LAS BAMBAS</v>
          </cell>
          <cell r="I3065">
            <v>186850</v>
          </cell>
          <cell r="J3065" t="str">
            <v>REPUESTO</v>
          </cell>
          <cell r="K3065" t="str">
            <v>FILTRO SECADOR DE AIRE</v>
          </cell>
          <cell r="L3065">
            <v>1</v>
          </cell>
          <cell r="M3065" t="str">
            <v>UNID.</v>
          </cell>
          <cell r="N3065" t="str">
            <v>TRACTO</v>
          </cell>
          <cell r="O3065">
            <v>67</v>
          </cell>
          <cell r="P3065" t="str">
            <v>M2</v>
          </cell>
          <cell r="Q3065" t="str">
            <v>J2</v>
          </cell>
          <cell r="R3065" t="str">
            <v>J5</v>
          </cell>
          <cell r="S3065" t="str">
            <v>ENTREGADO</v>
          </cell>
          <cell r="T3065">
            <v>0</v>
          </cell>
          <cell r="U3065" t="str">
            <v>CHUMPITAZ GAGO JULIO ENRIQUE</v>
          </cell>
          <cell r="V3065" t="str">
            <v>CORIHUAMAN SURCO  ERICK ROBERT</v>
          </cell>
        </row>
        <row r="3066">
          <cell r="A3066">
            <v>3095</v>
          </cell>
          <cell r="B3066">
            <v>42723</v>
          </cell>
          <cell r="C3066" t="str">
            <v>DICIEMBRE</v>
          </cell>
          <cell r="D3066" t="str">
            <v>2016</v>
          </cell>
          <cell r="E3066">
            <v>634</v>
          </cell>
          <cell r="F3066" t="str">
            <v>D3S-767</v>
          </cell>
          <cell r="G3066" t="str">
            <v>B8L-973</v>
          </cell>
          <cell r="H3066" t="str">
            <v>LAS BAMBAS</v>
          </cell>
          <cell r="I3066">
            <v>186850</v>
          </cell>
          <cell r="J3066" t="str">
            <v>REPUESTO</v>
          </cell>
          <cell r="K3066" t="str">
            <v>NEBLINEROS</v>
          </cell>
          <cell r="L3066">
            <v>2</v>
          </cell>
          <cell r="M3066" t="str">
            <v>UNID.</v>
          </cell>
          <cell r="N3066" t="str">
            <v>TRACTO</v>
          </cell>
          <cell r="O3066">
            <v>67</v>
          </cell>
          <cell r="P3066" t="str">
            <v>E3</v>
          </cell>
          <cell r="Q3066" t="str">
            <v>J2</v>
          </cell>
          <cell r="R3066" t="str">
            <v>J5</v>
          </cell>
          <cell r="S3066" t="str">
            <v>ENTREGADO</v>
          </cell>
          <cell r="T3066">
            <v>0</v>
          </cell>
          <cell r="U3066" t="str">
            <v>CONDORI CHURATA ALEX</v>
          </cell>
          <cell r="V3066" t="str">
            <v>CORIHUAMAN SURCO  ERICK ROBERT</v>
          </cell>
        </row>
        <row r="3067">
          <cell r="A3067">
            <v>3077</v>
          </cell>
          <cell r="B3067">
            <v>42723</v>
          </cell>
          <cell r="C3067" t="str">
            <v>DICIEMBRE</v>
          </cell>
          <cell r="D3067" t="str">
            <v>2016</v>
          </cell>
          <cell r="E3067">
            <v>624</v>
          </cell>
          <cell r="F3067" t="str">
            <v>D4T-927</v>
          </cell>
          <cell r="G3067" t="str">
            <v>B4Q-976</v>
          </cell>
          <cell r="H3067" t="str">
            <v>LAS BAMBAS</v>
          </cell>
          <cell r="I3067">
            <v>191811</v>
          </cell>
          <cell r="J3067" t="str">
            <v>REPUESTO</v>
          </cell>
          <cell r="K3067" t="str">
            <v>ZAPATAS DE TRACCION</v>
          </cell>
          <cell r="L3067">
            <v>0.5</v>
          </cell>
          <cell r="M3067" t="str">
            <v>UNID.</v>
          </cell>
          <cell r="N3067" t="str">
            <v>TRACTO</v>
          </cell>
          <cell r="O3067">
            <v>67</v>
          </cell>
          <cell r="P3067" t="str">
            <v>M8</v>
          </cell>
          <cell r="Q3067" t="str">
            <v>J1</v>
          </cell>
          <cell r="R3067" t="str">
            <v>J5</v>
          </cell>
          <cell r="S3067" t="str">
            <v>ENTREGADO</v>
          </cell>
          <cell r="T3067">
            <v>0</v>
          </cell>
          <cell r="U3067" t="str">
            <v>VARILLAS GAGO  OSCAR ALBERTO</v>
          </cell>
          <cell r="V3067" t="str">
            <v>FLOREZ CONDORI  JOSE WILLIANS</v>
          </cell>
        </row>
        <row r="3068">
          <cell r="A3068">
            <v>3078</v>
          </cell>
          <cell r="B3068">
            <v>42723</v>
          </cell>
          <cell r="C3068" t="str">
            <v>DICIEMBRE</v>
          </cell>
          <cell r="D3068" t="str">
            <v>2016</v>
          </cell>
          <cell r="E3068">
            <v>624</v>
          </cell>
          <cell r="F3068" t="str">
            <v>D4T-927</v>
          </cell>
          <cell r="G3068" t="str">
            <v>B4Q-976</v>
          </cell>
          <cell r="H3068" t="str">
            <v>LAS BAMBAS</v>
          </cell>
          <cell r="I3068">
            <v>191811</v>
          </cell>
          <cell r="J3068" t="str">
            <v>REPUESTO</v>
          </cell>
          <cell r="K3068" t="str">
            <v>RESORTES CHICOS DE ZAPATAS</v>
          </cell>
          <cell r="L3068">
            <v>2</v>
          </cell>
          <cell r="M3068" t="str">
            <v>UNID.</v>
          </cell>
          <cell r="N3068" t="str">
            <v>TRACTO</v>
          </cell>
          <cell r="O3068">
            <v>67</v>
          </cell>
          <cell r="P3068" t="str">
            <v>M8</v>
          </cell>
          <cell r="Q3068" t="str">
            <v>J1</v>
          </cell>
          <cell r="R3068" t="str">
            <v>J5</v>
          </cell>
          <cell r="S3068" t="str">
            <v>ENTREGADO</v>
          </cell>
          <cell r="T3068">
            <v>0</v>
          </cell>
          <cell r="U3068" t="str">
            <v>VARILLAS GAGO  OSCAR ALBERTO</v>
          </cell>
          <cell r="V3068" t="str">
            <v>FLOREZ CONDORI  JOSE WILLIANS</v>
          </cell>
        </row>
        <row r="3069">
          <cell r="A3069">
            <v>3079</v>
          </cell>
          <cell r="B3069">
            <v>42723</v>
          </cell>
          <cell r="C3069" t="str">
            <v>DICIEMBRE</v>
          </cell>
          <cell r="D3069" t="str">
            <v>2016</v>
          </cell>
          <cell r="E3069">
            <v>624</v>
          </cell>
          <cell r="F3069" t="str">
            <v>D4T-927</v>
          </cell>
          <cell r="G3069" t="str">
            <v>B4Q-976</v>
          </cell>
          <cell r="H3069" t="str">
            <v>LAS BAMBAS</v>
          </cell>
          <cell r="I3069">
            <v>191811</v>
          </cell>
          <cell r="J3069" t="str">
            <v>REPUESTO</v>
          </cell>
          <cell r="K3069" t="str">
            <v>RESORTES GRANDES DE ZAPATAS</v>
          </cell>
          <cell r="L3069">
            <v>1</v>
          </cell>
          <cell r="M3069" t="str">
            <v>UNID.</v>
          </cell>
          <cell r="N3069" t="str">
            <v>TRACTO</v>
          </cell>
          <cell r="O3069">
            <v>67</v>
          </cell>
          <cell r="P3069" t="str">
            <v>M8</v>
          </cell>
          <cell r="Q3069" t="str">
            <v>J1</v>
          </cell>
          <cell r="R3069" t="str">
            <v>J5</v>
          </cell>
          <cell r="S3069" t="str">
            <v>ENTREGADO</v>
          </cell>
          <cell r="T3069">
            <v>0</v>
          </cell>
          <cell r="U3069" t="str">
            <v>VARILLAS GAGO  OSCAR ALBERTO</v>
          </cell>
          <cell r="V3069" t="str">
            <v>FLOREZ CONDORI  JOSE WILLIANS</v>
          </cell>
        </row>
        <row r="3070">
          <cell r="A3070">
            <v>3080</v>
          </cell>
          <cell r="B3070">
            <v>42723</v>
          </cell>
          <cell r="C3070" t="str">
            <v>DICIEMBRE</v>
          </cell>
          <cell r="D3070" t="str">
            <v>2016</v>
          </cell>
          <cell r="E3070">
            <v>624</v>
          </cell>
          <cell r="F3070" t="str">
            <v>D4T-927</v>
          </cell>
          <cell r="G3070" t="str">
            <v>B4Q-976</v>
          </cell>
          <cell r="H3070" t="str">
            <v>LAS BAMBAS</v>
          </cell>
          <cell r="I3070">
            <v>191811</v>
          </cell>
          <cell r="J3070" t="str">
            <v>REPUESTO</v>
          </cell>
          <cell r="K3070" t="str">
            <v>ACEITE 85W140</v>
          </cell>
          <cell r="L3070">
            <v>0.5</v>
          </cell>
          <cell r="M3070" t="str">
            <v>UNID.</v>
          </cell>
          <cell r="N3070" t="str">
            <v>TRACTO</v>
          </cell>
          <cell r="O3070">
            <v>67</v>
          </cell>
          <cell r="P3070" t="str">
            <v>M8</v>
          </cell>
          <cell r="Q3070" t="str">
            <v>J1</v>
          </cell>
          <cell r="R3070" t="str">
            <v>J5</v>
          </cell>
          <cell r="S3070" t="str">
            <v>ENTREGADO</v>
          </cell>
          <cell r="T3070">
            <v>0</v>
          </cell>
          <cell r="U3070" t="str">
            <v>VARILLAS GAGO  OSCAR ALBERTO</v>
          </cell>
          <cell r="V3070" t="str">
            <v>FLOREZ CONDORI  JOSE WILLIANS</v>
          </cell>
        </row>
        <row r="3071">
          <cell r="A3071">
            <v>3098</v>
          </cell>
          <cell r="B3071">
            <v>42723</v>
          </cell>
          <cell r="C3071" t="str">
            <v>DICIEMBRE</v>
          </cell>
          <cell r="D3071" t="str">
            <v>2016</v>
          </cell>
          <cell r="E3071">
            <v>624</v>
          </cell>
          <cell r="F3071" t="str">
            <v>D4T-927</v>
          </cell>
          <cell r="G3071" t="str">
            <v>B4Q-976</v>
          </cell>
          <cell r="H3071" t="str">
            <v>LAS BAMBAS</v>
          </cell>
          <cell r="I3071">
            <v>191811</v>
          </cell>
          <cell r="J3071" t="str">
            <v>MATERIALES</v>
          </cell>
          <cell r="K3071" t="str">
            <v>CODOS DE 3" SOLDABLES</v>
          </cell>
          <cell r="L3071">
            <v>2</v>
          </cell>
          <cell r="M3071" t="str">
            <v>UNID.</v>
          </cell>
          <cell r="N3071" t="str">
            <v>CISTERNA</v>
          </cell>
          <cell r="O3071">
            <v>67</v>
          </cell>
          <cell r="P3071" t="str">
            <v>S1</v>
          </cell>
          <cell r="Q3071" t="str">
            <v>J2</v>
          </cell>
          <cell r="R3071" t="str">
            <v>J2</v>
          </cell>
          <cell r="S3071" t="str">
            <v>ENTREGADO</v>
          </cell>
          <cell r="T3071">
            <v>0</v>
          </cell>
          <cell r="U3071" t="str">
            <v>BAYONA CRUZ CRISTIAN ARMANDO</v>
          </cell>
          <cell r="V3071" t="str">
            <v>CORIHUAMAN SURCO  ERICK ROBERT</v>
          </cell>
        </row>
        <row r="3072">
          <cell r="A3072">
            <v>3061</v>
          </cell>
          <cell r="B3072">
            <v>42723</v>
          </cell>
          <cell r="C3072" t="str">
            <v>DICIEMBRE</v>
          </cell>
          <cell r="D3072" t="str">
            <v>2016</v>
          </cell>
          <cell r="E3072">
            <v>602</v>
          </cell>
          <cell r="F3072" t="str">
            <v>D7N-755</v>
          </cell>
          <cell r="G3072" t="str">
            <v>F7L-983</v>
          </cell>
          <cell r="H3072" t="str">
            <v>LAS BAMBAS</v>
          </cell>
          <cell r="I3072">
            <v>51395</v>
          </cell>
          <cell r="J3072" t="str">
            <v>REPUESTO</v>
          </cell>
          <cell r="K3072" t="str">
            <v>FAROS PIRATAS</v>
          </cell>
          <cell r="L3072">
            <v>2</v>
          </cell>
          <cell r="M3072" t="str">
            <v>UNID.</v>
          </cell>
          <cell r="N3072" t="str">
            <v>CISTERNA</v>
          </cell>
          <cell r="O3072">
            <v>67</v>
          </cell>
          <cell r="P3072" t="str">
            <v>J1</v>
          </cell>
          <cell r="Q3072" t="str">
            <v>J1</v>
          </cell>
          <cell r="R3072" t="str">
            <v>J5</v>
          </cell>
          <cell r="S3072" t="str">
            <v>ENTREGADO</v>
          </cell>
          <cell r="T3072">
            <v>0</v>
          </cell>
          <cell r="U3072" t="str">
            <v>FLOREZ CONDORI  JOSE WILLIANS</v>
          </cell>
          <cell r="V3072" t="str">
            <v>FLOREZ CONDORI  JOSE WILLIANS</v>
          </cell>
        </row>
        <row r="3073">
          <cell r="A3073">
            <v>3062</v>
          </cell>
          <cell r="B3073">
            <v>42723</v>
          </cell>
          <cell r="C3073" t="str">
            <v>DICIEMBRE</v>
          </cell>
          <cell r="D3073" t="str">
            <v>2016</v>
          </cell>
          <cell r="E3073">
            <v>628</v>
          </cell>
          <cell r="F3073" t="str">
            <v>D7V-714</v>
          </cell>
          <cell r="G3073" t="str">
            <v>F7M-971</v>
          </cell>
          <cell r="H3073" t="str">
            <v>LAS BAMBAS</v>
          </cell>
          <cell r="I3073">
            <v>51068</v>
          </cell>
          <cell r="J3073" t="str">
            <v>REPUESTO</v>
          </cell>
          <cell r="K3073" t="str">
            <v>FAROS PIRATAS</v>
          </cell>
          <cell r="L3073">
            <v>2</v>
          </cell>
          <cell r="M3073" t="str">
            <v>UNID.</v>
          </cell>
          <cell r="N3073" t="str">
            <v>CISTERNA</v>
          </cell>
          <cell r="O3073">
            <v>67</v>
          </cell>
          <cell r="P3073" t="str">
            <v>J1</v>
          </cell>
          <cell r="Q3073" t="str">
            <v>J1</v>
          </cell>
          <cell r="R3073" t="str">
            <v>J5</v>
          </cell>
          <cell r="S3073" t="str">
            <v>ENTREGADO</v>
          </cell>
          <cell r="T3073">
            <v>0</v>
          </cell>
          <cell r="U3073" t="str">
            <v>FLOREZ CONDORI  JOSE WILLIANS</v>
          </cell>
          <cell r="V3073" t="str">
            <v>FLOREZ CONDORI  JOSE WILLIANS</v>
          </cell>
        </row>
        <row r="3074">
          <cell r="A3074">
            <v>3043</v>
          </cell>
          <cell r="B3074">
            <v>42723</v>
          </cell>
          <cell r="C3074" t="str">
            <v>DICIEMBRE</v>
          </cell>
          <cell r="D3074" t="str">
            <v>2016</v>
          </cell>
          <cell r="E3074">
            <v>200</v>
          </cell>
          <cell r="F3074" t="str">
            <v>TALLER</v>
          </cell>
          <cell r="G3074" t="str">
            <v>TALLER</v>
          </cell>
          <cell r="H3074" t="str">
            <v>TALLER</v>
          </cell>
          <cell r="I3074" t="str">
            <v>TALLER</v>
          </cell>
          <cell r="J3074" t="str">
            <v>REPUESTO</v>
          </cell>
          <cell r="K3074" t="str">
            <v>PERNO 1/4 X 1</v>
          </cell>
          <cell r="L3074">
            <v>1</v>
          </cell>
          <cell r="M3074" t="str">
            <v>UNID.</v>
          </cell>
          <cell r="N3074" t="str">
            <v>CISTERNA</v>
          </cell>
          <cell r="O3074">
            <v>67</v>
          </cell>
          <cell r="P3074" t="str">
            <v>S1</v>
          </cell>
          <cell r="Q3074" t="str">
            <v>J2</v>
          </cell>
          <cell r="R3074" t="str">
            <v>J5</v>
          </cell>
          <cell r="S3074" t="str">
            <v>ENTREGADO</v>
          </cell>
          <cell r="T3074">
            <v>0</v>
          </cell>
          <cell r="U3074" t="str">
            <v>BAYONA CRUZ CRISTIAN ARMANDO</v>
          </cell>
          <cell r="V3074" t="str">
            <v>CORIHUAMAN SURCO  ERICK ROBERT</v>
          </cell>
        </row>
        <row r="3075">
          <cell r="A3075">
            <v>3044</v>
          </cell>
          <cell r="B3075">
            <v>42723</v>
          </cell>
          <cell r="C3075" t="str">
            <v>DICIEMBRE</v>
          </cell>
          <cell r="D3075" t="str">
            <v>2016</v>
          </cell>
          <cell r="E3075">
            <v>200</v>
          </cell>
          <cell r="F3075" t="str">
            <v>TALLER</v>
          </cell>
          <cell r="G3075" t="str">
            <v>TALLER</v>
          </cell>
          <cell r="H3075" t="str">
            <v>TALLER</v>
          </cell>
          <cell r="I3075" t="str">
            <v>TALLER</v>
          </cell>
          <cell r="J3075" t="str">
            <v>REPUESTO</v>
          </cell>
          <cell r="K3075" t="str">
            <v>TUERCA 1/4</v>
          </cell>
          <cell r="L3075">
            <v>2</v>
          </cell>
          <cell r="M3075" t="str">
            <v>UNID.</v>
          </cell>
          <cell r="N3075" t="str">
            <v>CISTERNA</v>
          </cell>
          <cell r="O3075">
            <v>67</v>
          </cell>
          <cell r="P3075" t="str">
            <v>S1</v>
          </cell>
          <cell r="Q3075" t="str">
            <v>J2</v>
          </cell>
          <cell r="R3075" t="str">
            <v>J5</v>
          </cell>
          <cell r="S3075" t="str">
            <v>ENTREGADO</v>
          </cell>
          <cell r="T3075">
            <v>0</v>
          </cell>
          <cell r="U3075" t="str">
            <v>BAYONA CRUZ CRISTIAN ARMANDO</v>
          </cell>
          <cell r="V3075" t="str">
            <v>CORIHUAMAN SURCO  ERICK ROBERT</v>
          </cell>
        </row>
        <row r="3076">
          <cell r="A3076">
            <v>3045</v>
          </cell>
          <cell r="B3076">
            <v>42723</v>
          </cell>
          <cell r="C3076" t="str">
            <v>DICIEMBRE</v>
          </cell>
          <cell r="D3076" t="str">
            <v>2016</v>
          </cell>
          <cell r="E3076">
            <v>200</v>
          </cell>
          <cell r="F3076" t="str">
            <v>TALLER</v>
          </cell>
          <cell r="G3076" t="str">
            <v>TALLER</v>
          </cell>
          <cell r="H3076" t="str">
            <v>TALLER</v>
          </cell>
          <cell r="I3076" t="str">
            <v>TALLER</v>
          </cell>
          <cell r="J3076" t="str">
            <v>REPUESTO</v>
          </cell>
          <cell r="K3076" t="str">
            <v>ARANDELA 1/4</v>
          </cell>
          <cell r="L3076">
            <v>2</v>
          </cell>
          <cell r="M3076" t="str">
            <v>UNID.</v>
          </cell>
          <cell r="N3076" t="str">
            <v>CISTERNA</v>
          </cell>
          <cell r="O3076">
            <v>67</v>
          </cell>
          <cell r="P3076" t="str">
            <v>S1</v>
          </cell>
          <cell r="Q3076" t="str">
            <v>J2</v>
          </cell>
          <cell r="R3076" t="str">
            <v>J5</v>
          </cell>
          <cell r="S3076" t="str">
            <v>ENTREGADO</v>
          </cell>
          <cell r="T3076">
            <v>0</v>
          </cell>
          <cell r="U3076" t="str">
            <v>BAYONA CRUZ CRISTIAN ARMANDO</v>
          </cell>
          <cell r="V3076" t="str">
            <v>CORIHUAMAN SURCO  ERICK ROBERT</v>
          </cell>
        </row>
        <row r="3077">
          <cell r="A3077">
            <v>3057</v>
          </cell>
          <cell r="B3077">
            <v>42723</v>
          </cell>
          <cell r="C3077" t="str">
            <v>DICIEMBRE</v>
          </cell>
          <cell r="D3077" t="str">
            <v>2016</v>
          </cell>
          <cell r="E3077">
            <v>200</v>
          </cell>
          <cell r="F3077" t="str">
            <v>TALLER</v>
          </cell>
          <cell r="G3077" t="str">
            <v>TALLER</v>
          </cell>
          <cell r="H3077" t="str">
            <v>TALLER</v>
          </cell>
          <cell r="I3077" t="str">
            <v>TALLER</v>
          </cell>
          <cell r="J3077" t="str">
            <v>REPUESTO</v>
          </cell>
          <cell r="K3077" t="str">
            <v>DISCO DE CORTE DE 7"</v>
          </cell>
          <cell r="L3077">
            <v>1</v>
          </cell>
          <cell r="M3077" t="str">
            <v>UNID.</v>
          </cell>
          <cell r="N3077" t="str">
            <v>TALLER</v>
          </cell>
          <cell r="O3077">
            <v>67</v>
          </cell>
          <cell r="P3077" t="str">
            <v>S1</v>
          </cell>
          <cell r="Q3077" t="str">
            <v>J2</v>
          </cell>
          <cell r="R3077" t="str">
            <v>J5</v>
          </cell>
          <cell r="S3077" t="str">
            <v>ENTREGADO</v>
          </cell>
          <cell r="T3077">
            <v>0</v>
          </cell>
          <cell r="U3077" t="str">
            <v>BAYONA CRUZ CRISTIAN ARMANDO</v>
          </cell>
          <cell r="V3077" t="str">
            <v>CORIHUAMAN SURCO  ERICK ROBERT</v>
          </cell>
        </row>
        <row r="3078">
          <cell r="A3078">
            <v>3058</v>
          </cell>
          <cell r="B3078">
            <v>42723</v>
          </cell>
          <cell r="C3078" t="str">
            <v>DICIEMBRE</v>
          </cell>
          <cell r="D3078" t="str">
            <v>2016</v>
          </cell>
          <cell r="E3078">
            <v>200</v>
          </cell>
          <cell r="F3078" t="str">
            <v>TALLER</v>
          </cell>
          <cell r="G3078" t="str">
            <v>TALLER</v>
          </cell>
          <cell r="H3078" t="str">
            <v>TALLER</v>
          </cell>
          <cell r="I3078" t="str">
            <v>TALLER</v>
          </cell>
          <cell r="J3078" t="str">
            <v>REPUESTO</v>
          </cell>
          <cell r="K3078" t="str">
            <v>DISCO DE DESBASTE 7"</v>
          </cell>
          <cell r="L3078">
            <v>1</v>
          </cell>
          <cell r="M3078" t="str">
            <v>UNID.</v>
          </cell>
          <cell r="N3078" t="str">
            <v>TALLER</v>
          </cell>
          <cell r="O3078">
            <v>67</v>
          </cell>
          <cell r="P3078" t="str">
            <v>S1</v>
          </cell>
          <cell r="Q3078" t="str">
            <v>J2</v>
          </cell>
          <cell r="R3078" t="str">
            <v>J5</v>
          </cell>
          <cell r="S3078" t="str">
            <v>ENTREGADO</v>
          </cell>
          <cell r="T3078">
            <v>0</v>
          </cell>
          <cell r="U3078" t="str">
            <v>BAYONA CRUZ CRISTIAN ARMANDO</v>
          </cell>
          <cell r="V3078" t="str">
            <v>CORIHUAMAN SURCO  ERICK ROBERT</v>
          </cell>
        </row>
        <row r="3079">
          <cell r="A3079">
            <v>3059</v>
          </cell>
          <cell r="B3079">
            <v>42723</v>
          </cell>
          <cell r="C3079" t="str">
            <v>DICIEMBRE</v>
          </cell>
          <cell r="D3079" t="str">
            <v>2016</v>
          </cell>
          <cell r="E3079">
            <v>200</v>
          </cell>
          <cell r="F3079" t="str">
            <v>TALLER</v>
          </cell>
          <cell r="G3079" t="str">
            <v>TALLER</v>
          </cell>
          <cell r="H3079" t="str">
            <v>TALLER</v>
          </cell>
          <cell r="I3079" t="str">
            <v>TALLER</v>
          </cell>
          <cell r="J3079" t="str">
            <v>REPUESTO</v>
          </cell>
          <cell r="K3079" t="str">
            <v>CINTA AISLANTE NEGRA</v>
          </cell>
          <cell r="L3079">
            <v>1</v>
          </cell>
          <cell r="M3079" t="str">
            <v>UNID.</v>
          </cell>
          <cell r="N3079" t="str">
            <v>TALLER</v>
          </cell>
          <cell r="O3079">
            <v>67</v>
          </cell>
          <cell r="P3079" t="str">
            <v>E2</v>
          </cell>
          <cell r="Q3079" t="str">
            <v>J2</v>
          </cell>
          <cell r="R3079" t="str">
            <v>J5</v>
          </cell>
          <cell r="S3079" t="str">
            <v>ENTREGADO</v>
          </cell>
          <cell r="T3079">
            <v>0</v>
          </cell>
          <cell r="U3079" t="str">
            <v>YUCA BELLIDO BORIS YERSY</v>
          </cell>
          <cell r="V3079" t="str">
            <v>CORIHUAMAN SURCO  ERICK ROBERT</v>
          </cell>
        </row>
        <row r="3080">
          <cell r="A3080">
            <v>3068</v>
          </cell>
          <cell r="B3080">
            <v>42723</v>
          </cell>
          <cell r="C3080" t="str">
            <v>DICIEMBRE</v>
          </cell>
          <cell r="D3080" t="str">
            <v>2016</v>
          </cell>
          <cell r="E3080">
            <v>200</v>
          </cell>
          <cell r="F3080" t="str">
            <v>TALLER</v>
          </cell>
          <cell r="G3080" t="str">
            <v>TALLER</v>
          </cell>
          <cell r="H3080" t="str">
            <v>TALLER</v>
          </cell>
          <cell r="I3080" t="str">
            <v>TALLER</v>
          </cell>
          <cell r="J3080" t="str">
            <v>REPUESTO</v>
          </cell>
          <cell r="K3080" t="str">
            <v>DISCO DE CORTE DE 4"</v>
          </cell>
          <cell r="L3080">
            <v>1</v>
          </cell>
          <cell r="M3080" t="str">
            <v>UNID.</v>
          </cell>
          <cell r="N3080" t="str">
            <v>TALLER</v>
          </cell>
          <cell r="O3080">
            <v>67</v>
          </cell>
          <cell r="P3080" t="str">
            <v>S1</v>
          </cell>
          <cell r="Q3080" t="str">
            <v>J1</v>
          </cell>
          <cell r="R3080" t="str">
            <v>J5</v>
          </cell>
          <cell r="S3080" t="str">
            <v>ENTREGADO</v>
          </cell>
          <cell r="T3080">
            <v>0</v>
          </cell>
          <cell r="U3080" t="str">
            <v>BAYONA CRUZ CRISTIAN ARMANDO</v>
          </cell>
          <cell r="V3080" t="str">
            <v>FLOREZ CONDORI  JOSE WILLIANS</v>
          </cell>
        </row>
        <row r="3081">
          <cell r="A3081">
            <v>3084</v>
          </cell>
          <cell r="B3081">
            <v>42723</v>
          </cell>
          <cell r="C3081" t="str">
            <v>DICIEMBRE</v>
          </cell>
          <cell r="D3081" t="str">
            <v>2016</v>
          </cell>
          <cell r="E3081">
            <v>200</v>
          </cell>
          <cell r="F3081" t="str">
            <v>TALLER</v>
          </cell>
          <cell r="G3081" t="str">
            <v>TALLER</v>
          </cell>
          <cell r="H3081" t="str">
            <v>TALLER</v>
          </cell>
          <cell r="I3081" t="str">
            <v>TALLER</v>
          </cell>
          <cell r="J3081" t="str">
            <v>REPUESTO</v>
          </cell>
          <cell r="K3081" t="str">
            <v>BROCA 3/8</v>
          </cell>
          <cell r="L3081">
            <v>1</v>
          </cell>
          <cell r="M3081" t="str">
            <v>UNID.</v>
          </cell>
          <cell r="N3081" t="str">
            <v>TALLER</v>
          </cell>
          <cell r="O3081">
            <v>67</v>
          </cell>
          <cell r="P3081" t="str">
            <v>E2</v>
          </cell>
          <cell r="Q3081" t="str">
            <v>J1</v>
          </cell>
          <cell r="R3081" t="str">
            <v>J5</v>
          </cell>
          <cell r="S3081" t="str">
            <v>PENDIENTE</v>
          </cell>
          <cell r="T3081">
            <v>0</v>
          </cell>
          <cell r="U3081" t="str">
            <v>YUCA BELLIDO BORIS YERSY</v>
          </cell>
          <cell r="V3081" t="str">
            <v>FLOREZ CONDORI  JOSE WILLIANS</v>
          </cell>
        </row>
        <row r="3082">
          <cell r="A3082">
            <v>3085</v>
          </cell>
          <cell r="B3082">
            <v>42723</v>
          </cell>
          <cell r="C3082" t="str">
            <v>DICIEMBRE</v>
          </cell>
          <cell r="D3082" t="str">
            <v>2016</v>
          </cell>
          <cell r="E3082">
            <v>200</v>
          </cell>
          <cell r="F3082" t="str">
            <v>TALLER</v>
          </cell>
          <cell r="G3082" t="str">
            <v>TALLER</v>
          </cell>
          <cell r="H3082" t="str">
            <v>TALLER</v>
          </cell>
          <cell r="I3082" t="str">
            <v>TALLER</v>
          </cell>
          <cell r="J3082" t="str">
            <v>REPUESTO</v>
          </cell>
          <cell r="K3082" t="str">
            <v>LIMPIACONTACTO</v>
          </cell>
          <cell r="L3082">
            <v>1</v>
          </cell>
          <cell r="M3082" t="str">
            <v>UNID.</v>
          </cell>
          <cell r="N3082" t="str">
            <v>TALLER</v>
          </cell>
          <cell r="O3082">
            <v>67</v>
          </cell>
          <cell r="P3082" t="str">
            <v>E1</v>
          </cell>
          <cell r="Q3082" t="str">
            <v>J1</v>
          </cell>
          <cell r="R3082" t="str">
            <v>J5</v>
          </cell>
          <cell r="S3082" t="str">
            <v>ENTREGADO</v>
          </cell>
          <cell r="T3082">
            <v>0</v>
          </cell>
          <cell r="U3082" t="str">
            <v>PALOMINO CARDENAS JUAN CARLOS</v>
          </cell>
          <cell r="V3082" t="str">
            <v>FLOREZ CONDORI  JOSE WILLIANS</v>
          </cell>
        </row>
        <row r="3083">
          <cell r="A3083">
            <v>3090</v>
          </cell>
          <cell r="B3083">
            <v>42723</v>
          </cell>
          <cell r="C3083" t="str">
            <v>DICIEMBRE</v>
          </cell>
          <cell r="D3083" t="str">
            <v>2016</v>
          </cell>
          <cell r="E3083">
            <v>200</v>
          </cell>
          <cell r="F3083" t="str">
            <v>TALLER</v>
          </cell>
          <cell r="G3083" t="str">
            <v>TALLER</v>
          </cell>
          <cell r="H3083" t="str">
            <v>TALLER</v>
          </cell>
          <cell r="I3083" t="str">
            <v>TALLER</v>
          </cell>
          <cell r="J3083" t="str">
            <v>REPUESTO</v>
          </cell>
          <cell r="K3083" t="str">
            <v>AUTOROSCANTE PARA CALAMINA</v>
          </cell>
          <cell r="L3083">
            <v>1</v>
          </cell>
          <cell r="M3083" t="str">
            <v>UNID.</v>
          </cell>
          <cell r="N3083" t="str">
            <v>TALLER</v>
          </cell>
          <cell r="O3083">
            <v>67</v>
          </cell>
          <cell r="P3083" t="str">
            <v>S1</v>
          </cell>
          <cell r="Q3083" t="str">
            <v>J2</v>
          </cell>
          <cell r="R3083" t="str">
            <v>J6</v>
          </cell>
          <cell r="S3083" t="str">
            <v>ENTREGADO</v>
          </cell>
          <cell r="T3083">
            <v>0</v>
          </cell>
          <cell r="U3083" t="str">
            <v>BAYONA CRUZ CRISTIAN ARMANDO</v>
          </cell>
          <cell r="V3083" t="str">
            <v>CORIHUAMAN SURCO  ERICK ROBERT</v>
          </cell>
        </row>
        <row r="3084">
          <cell r="A3084">
            <v>3091</v>
          </cell>
          <cell r="B3084">
            <v>42723</v>
          </cell>
          <cell r="C3084" t="str">
            <v>DICIEMBRE</v>
          </cell>
          <cell r="D3084" t="str">
            <v>2016</v>
          </cell>
          <cell r="E3084">
            <v>200</v>
          </cell>
          <cell r="F3084" t="str">
            <v>TALLER</v>
          </cell>
          <cell r="G3084" t="str">
            <v>TALLER</v>
          </cell>
          <cell r="H3084" t="str">
            <v>TALLER</v>
          </cell>
          <cell r="I3084" t="str">
            <v>TALLER</v>
          </cell>
          <cell r="J3084" t="str">
            <v>REPUESTO</v>
          </cell>
          <cell r="K3084" t="str">
            <v>DADO DE AUTOROSCANTE</v>
          </cell>
          <cell r="L3084">
            <v>1</v>
          </cell>
          <cell r="M3084" t="str">
            <v>UNID.</v>
          </cell>
          <cell r="N3084" t="str">
            <v>TALLER</v>
          </cell>
          <cell r="O3084">
            <v>67</v>
          </cell>
          <cell r="P3084" t="str">
            <v>S1</v>
          </cell>
          <cell r="Q3084" t="str">
            <v>J2</v>
          </cell>
          <cell r="R3084" t="str">
            <v>J6</v>
          </cell>
          <cell r="S3084" t="str">
            <v>ENTREGADO</v>
          </cell>
          <cell r="T3084">
            <v>0</v>
          </cell>
          <cell r="U3084" t="str">
            <v>BAYONA CRUZ CRISTIAN ARMANDO</v>
          </cell>
          <cell r="V3084" t="str">
            <v>CORIHUAMAN SURCO  ERICK ROBERT</v>
          </cell>
        </row>
        <row r="3085">
          <cell r="A3085">
            <v>3097</v>
          </cell>
          <cell r="B3085">
            <v>42723</v>
          </cell>
          <cell r="C3085" t="str">
            <v>DICIEMBRE</v>
          </cell>
          <cell r="D3085" t="str">
            <v>2016</v>
          </cell>
          <cell r="E3085">
            <v>200</v>
          </cell>
          <cell r="F3085" t="str">
            <v>TALLER</v>
          </cell>
          <cell r="G3085" t="str">
            <v>TALLER</v>
          </cell>
          <cell r="H3085" t="str">
            <v>TALLER</v>
          </cell>
          <cell r="I3085" t="str">
            <v>TALLER</v>
          </cell>
          <cell r="J3085" t="str">
            <v>MATERIALES</v>
          </cell>
          <cell r="K3085" t="str">
            <v>CINTA AISLANTE NEGRA</v>
          </cell>
          <cell r="L3085">
            <v>1</v>
          </cell>
          <cell r="M3085" t="str">
            <v>UNID.</v>
          </cell>
          <cell r="N3085" t="str">
            <v>TRACTO</v>
          </cell>
          <cell r="O3085">
            <v>67</v>
          </cell>
          <cell r="P3085" t="str">
            <v>E3</v>
          </cell>
          <cell r="Q3085" t="str">
            <v>J2</v>
          </cell>
          <cell r="R3085" t="str">
            <v>J2</v>
          </cell>
          <cell r="S3085" t="str">
            <v>ENTREGADO</v>
          </cell>
          <cell r="T3085">
            <v>0</v>
          </cell>
          <cell r="U3085" t="str">
            <v>CONDORI CHURATA ALEX</v>
          </cell>
          <cell r="V3085" t="str">
            <v>CORIHUAMAN SURCO  ERICK ROBERT</v>
          </cell>
        </row>
        <row r="3086">
          <cell r="A3086">
            <v>3092</v>
          </cell>
          <cell r="B3086">
            <v>42723</v>
          </cell>
          <cell r="C3086" t="str">
            <v>DICIEMBRE</v>
          </cell>
          <cell r="D3086" t="str">
            <v>2016</v>
          </cell>
          <cell r="E3086">
            <v>620</v>
          </cell>
          <cell r="F3086" t="str">
            <v>X2W-762</v>
          </cell>
          <cell r="G3086" t="str">
            <v>C5V-998</v>
          </cell>
          <cell r="H3086" t="str">
            <v>LAS BAMBAS</v>
          </cell>
          <cell r="I3086">
            <v>159103</v>
          </cell>
          <cell r="J3086" t="str">
            <v>REPUESTO</v>
          </cell>
          <cell r="K3086" t="str">
            <v>LLANTAS REENCAUCHADAS IZY2</v>
          </cell>
          <cell r="L3086">
            <v>12</v>
          </cell>
          <cell r="M3086" t="str">
            <v>UNID.</v>
          </cell>
          <cell r="N3086" t="str">
            <v>CISTERNA</v>
          </cell>
          <cell r="O3086">
            <v>67</v>
          </cell>
          <cell r="P3086" t="str">
            <v>N2</v>
          </cell>
          <cell r="Q3086" t="str">
            <v>J3</v>
          </cell>
          <cell r="R3086" t="str">
            <v>J5</v>
          </cell>
          <cell r="S3086" t="str">
            <v>PENDIENTE</v>
          </cell>
          <cell r="T3086">
            <v>0</v>
          </cell>
          <cell r="U3086" t="str">
            <v>MAMANI LARICO  EDUARDO ALVARO</v>
          </cell>
          <cell r="V3086" t="str">
            <v>CHURA PIZARRO ALBERTO</v>
          </cell>
        </row>
        <row r="3087">
          <cell r="A3087">
            <v>3035</v>
          </cell>
          <cell r="B3087">
            <v>42723</v>
          </cell>
          <cell r="C3087" t="str">
            <v>DICIEMBRE</v>
          </cell>
          <cell r="D3087" t="str">
            <v>2016</v>
          </cell>
          <cell r="E3087">
            <v>620</v>
          </cell>
          <cell r="F3087" t="str">
            <v>X2W-762</v>
          </cell>
          <cell r="G3087" t="str">
            <v>C5V-998</v>
          </cell>
          <cell r="H3087" t="str">
            <v>LAS BAMBAS</v>
          </cell>
          <cell r="I3087">
            <v>159103</v>
          </cell>
          <cell r="J3087" t="str">
            <v>REPUESTO</v>
          </cell>
          <cell r="K3087" t="str">
            <v>TERMINALES HEMBRA</v>
          </cell>
          <cell r="L3087">
            <v>5</v>
          </cell>
          <cell r="M3087" t="str">
            <v>UNID.</v>
          </cell>
          <cell r="N3087" t="str">
            <v>TRACTO</v>
          </cell>
          <cell r="O3087">
            <v>67</v>
          </cell>
          <cell r="P3087" t="str">
            <v>E3</v>
          </cell>
          <cell r="Q3087" t="str">
            <v>J2</v>
          </cell>
          <cell r="R3087" t="str">
            <v>J5</v>
          </cell>
          <cell r="S3087" t="str">
            <v>ENTREGADO</v>
          </cell>
          <cell r="T3087">
            <v>0</v>
          </cell>
          <cell r="U3087" t="str">
            <v>CONDORI CHURATA ALEX</v>
          </cell>
          <cell r="V3087" t="str">
            <v>CORIHUAMAN SURCO  ERICK ROBERT</v>
          </cell>
        </row>
        <row r="3088">
          <cell r="A3088">
            <v>3036</v>
          </cell>
          <cell r="B3088">
            <v>42723</v>
          </cell>
          <cell r="C3088" t="str">
            <v>DICIEMBRE</v>
          </cell>
          <cell r="D3088" t="str">
            <v>2016</v>
          </cell>
          <cell r="E3088">
            <v>620</v>
          </cell>
          <cell r="F3088" t="str">
            <v>X2W-762</v>
          </cell>
          <cell r="G3088" t="str">
            <v>C5V-998</v>
          </cell>
          <cell r="H3088" t="str">
            <v>LAS BAMBAS</v>
          </cell>
          <cell r="I3088">
            <v>159103</v>
          </cell>
          <cell r="J3088" t="str">
            <v>REPUESTO</v>
          </cell>
          <cell r="K3088" t="str">
            <v>CABLE NRO. 14</v>
          </cell>
          <cell r="L3088">
            <v>1</v>
          </cell>
          <cell r="M3088" t="str">
            <v>M</v>
          </cell>
          <cell r="N3088" t="str">
            <v>TRACTO</v>
          </cell>
          <cell r="O3088">
            <v>67</v>
          </cell>
          <cell r="P3088" t="str">
            <v>E3</v>
          </cell>
          <cell r="Q3088" t="str">
            <v>J2</v>
          </cell>
          <cell r="R3088" t="str">
            <v>J5</v>
          </cell>
          <cell r="S3088" t="str">
            <v>ENTREGADO</v>
          </cell>
          <cell r="T3088">
            <v>0</v>
          </cell>
          <cell r="U3088" t="str">
            <v>CONDORI CHURATA ALEX</v>
          </cell>
          <cell r="V3088" t="str">
            <v>CORIHUAMAN SURCO  ERICK ROBERT</v>
          </cell>
        </row>
        <row r="3089">
          <cell r="A3089">
            <v>3037</v>
          </cell>
          <cell r="B3089">
            <v>42723</v>
          </cell>
          <cell r="C3089" t="str">
            <v>DICIEMBRE</v>
          </cell>
          <cell r="D3089" t="str">
            <v>2016</v>
          </cell>
          <cell r="E3089">
            <v>620</v>
          </cell>
          <cell r="F3089" t="str">
            <v>X2W-762</v>
          </cell>
          <cell r="G3089" t="str">
            <v>C5V-998</v>
          </cell>
          <cell r="H3089" t="str">
            <v>LAS BAMBAS</v>
          </cell>
          <cell r="I3089">
            <v>159103</v>
          </cell>
          <cell r="J3089" t="str">
            <v>REPUESTO</v>
          </cell>
          <cell r="K3089" t="str">
            <v>PRECINTOS 200</v>
          </cell>
          <cell r="L3089">
            <v>5</v>
          </cell>
          <cell r="M3089" t="str">
            <v>UNID.</v>
          </cell>
          <cell r="N3089" t="str">
            <v>TRACTO</v>
          </cell>
          <cell r="O3089">
            <v>67</v>
          </cell>
          <cell r="P3089" t="str">
            <v>E3</v>
          </cell>
          <cell r="Q3089" t="str">
            <v>J2</v>
          </cell>
          <cell r="R3089" t="str">
            <v>J5</v>
          </cell>
          <cell r="S3089" t="str">
            <v>ENTREGADO</v>
          </cell>
          <cell r="T3089">
            <v>0</v>
          </cell>
          <cell r="U3089" t="str">
            <v>CONDORI CHURATA ALEX</v>
          </cell>
          <cell r="V3089" t="str">
            <v>CORIHUAMAN SURCO  ERICK ROBERT</v>
          </cell>
        </row>
        <row r="3090">
          <cell r="A3090">
            <v>3038</v>
          </cell>
          <cell r="B3090">
            <v>42723</v>
          </cell>
          <cell r="C3090" t="str">
            <v>DICIEMBRE</v>
          </cell>
          <cell r="D3090" t="str">
            <v>2016</v>
          </cell>
          <cell r="E3090">
            <v>635</v>
          </cell>
          <cell r="F3090" t="str">
            <v>X2W-763</v>
          </cell>
          <cell r="G3090" t="str">
            <v>C5V-997</v>
          </cell>
          <cell r="H3090" t="str">
            <v>LAS BAMBAS</v>
          </cell>
          <cell r="I3090">
            <v>157697</v>
          </cell>
          <cell r="J3090" t="str">
            <v>REPUESTO</v>
          </cell>
          <cell r="K3090" t="str">
            <v>FAROS PIRATAS</v>
          </cell>
          <cell r="L3090">
            <v>2</v>
          </cell>
          <cell r="M3090" t="str">
            <v>UNID.</v>
          </cell>
          <cell r="N3090" t="str">
            <v>CISTERNA</v>
          </cell>
          <cell r="O3090">
            <v>67</v>
          </cell>
          <cell r="P3090" t="str">
            <v>E2</v>
          </cell>
          <cell r="Q3090" t="str">
            <v>J2</v>
          </cell>
          <cell r="R3090" t="str">
            <v>J5</v>
          </cell>
          <cell r="S3090" t="str">
            <v>ENTREGADO</v>
          </cell>
          <cell r="T3090">
            <v>0</v>
          </cell>
          <cell r="U3090" t="str">
            <v>YUCA BELLIDO BORIS YERSY</v>
          </cell>
          <cell r="V3090" t="str">
            <v>CORIHUAMAN SURCO  ERICK ROBERT</v>
          </cell>
        </row>
        <row r="3091">
          <cell r="A3091">
            <v>3039</v>
          </cell>
          <cell r="B3091">
            <v>42723</v>
          </cell>
          <cell r="C3091" t="str">
            <v>DICIEMBRE</v>
          </cell>
          <cell r="D3091" t="str">
            <v>2016</v>
          </cell>
          <cell r="E3091">
            <v>635</v>
          </cell>
          <cell r="F3091" t="str">
            <v>X2W-763</v>
          </cell>
          <cell r="G3091" t="str">
            <v>C5V-997</v>
          </cell>
          <cell r="H3091" t="str">
            <v>LAS BAMBAS</v>
          </cell>
          <cell r="I3091">
            <v>157697</v>
          </cell>
          <cell r="J3091" t="str">
            <v>REPUESTO</v>
          </cell>
          <cell r="K3091" t="str">
            <v xml:space="preserve">PERNO 5/16 C/ TUERCA Y VOLANDA </v>
          </cell>
          <cell r="L3091">
            <v>2</v>
          </cell>
          <cell r="M3091" t="str">
            <v>UNID.</v>
          </cell>
          <cell r="N3091" t="str">
            <v>CISTERNA</v>
          </cell>
          <cell r="O3091">
            <v>67</v>
          </cell>
          <cell r="P3091" t="str">
            <v>E2</v>
          </cell>
          <cell r="Q3091" t="str">
            <v>J2</v>
          </cell>
          <cell r="R3091" t="str">
            <v>J5</v>
          </cell>
          <cell r="S3091" t="str">
            <v>ENTREGADO</v>
          </cell>
          <cell r="T3091">
            <v>0</v>
          </cell>
          <cell r="U3091" t="str">
            <v>YUCA BELLIDO BORIS YERSY</v>
          </cell>
          <cell r="V3091" t="str">
            <v>CORIHUAMAN SURCO  ERICK ROBERT</v>
          </cell>
        </row>
        <row r="3092">
          <cell r="A3092">
            <v>3040</v>
          </cell>
          <cell r="B3092">
            <v>42723</v>
          </cell>
          <cell r="C3092" t="str">
            <v>DICIEMBRE</v>
          </cell>
          <cell r="D3092" t="str">
            <v>2016</v>
          </cell>
          <cell r="E3092">
            <v>635</v>
          </cell>
          <cell r="F3092" t="str">
            <v>X2W-763</v>
          </cell>
          <cell r="G3092" t="str">
            <v>C5V-997</v>
          </cell>
          <cell r="H3092" t="str">
            <v>LAS BAMBAS</v>
          </cell>
          <cell r="I3092">
            <v>157697</v>
          </cell>
          <cell r="J3092" t="str">
            <v>REPUESTO</v>
          </cell>
          <cell r="K3092" t="str">
            <v>TUERCA 5/16</v>
          </cell>
          <cell r="L3092">
            <v>2</v>
          </cell>
          <cell r="M3092" t="str">
            <v>UNID.</v>
          </cell>
          <cell r="N3092" t="str">
            <v>CISTERNA</v>
          </cell>
          <cell r="O3092">
            <v>67</v>
          </cell>
          <cell r="P3092" t="str">
            <v>E2</v>
          </cell>
          <cell r="Q3092" t="str">
            <v>J2</v>
          </cell>
          <cell r="R3092" t="str">
            <v>J5</v>
          </cell>
          <cell r="S3092" t="str">
            <v>ENTREGADO</v>
          </cell>
          <cell r="T3092">
            <v>0</v>
          </cell>
          <cell r="U3092" t="str">
            <v>YUCA BELLIDO BORIS YERSY</v>
          </cell>
          <cell r="V3092" t="str">
            <v>CORIHUAMAN SURCO  ERICK ROBERT</v>
          </cell>
        </row>
        <row r="3093">
          <cell r="A3093">
            <v>3041</v>
          </cell>
          <cell r="B3093">
            <v>42723</v>
          </cell>
          <cell r="C3093" t="str">
            <v>DICIEMBRE</v>
          </cell>
          <cell r="D3093" t="str">
            <v>2016</v>
          </cell>
          <cell r="E3093">
            <v>635</v>
          </cell>
          <cell r="F3093" t="str">
            <v>X2W-763</v>
          </cell>
          <cell r="G3093" t="str">
            <v>C5V-997</v>
          </cell>
          <cell r="H3093" t="str">
            <v>LAS BAMBAS</v>
          </cell>
          <cell r="I3093">
            <v>157697</v>
          </cell>
          <cell r="J3093" t="str">
            <v>REPUESTO</v>
          </cell>
          <cell r="K3093" t="str">
            <v>VOLANDA 5/16</v>
          </cell>
          <cell r="L3093">
            <v>2</v>
          </cell>
          <cell r="M3093" t="str">
            <v>UNID.</v>
          </cell>
          <cell r="N3093" t="str">
            <v>CISTERNA</v>
          </cell>
          <cell r="O3093">
            <v>67</v>
          </cell>
          <cell r="P3093" t="str">
            <v>E2</v>
          </cell>
          <cell r="Q3093" t="str">
            <v>J2</v>
          </cell>
          <cell r="R3093" t="str">
            <v>J5</v>
          </cell>
          <cell r="S3093" t="str">
            <v>ENTREGADO</v>
          </cell>
          <cell r="T3093">
            <v>0</v>
          </cell>
          <cell r="U3093" t="str">
            <v>YUCA BELLIDO BORIS YERSY</v>
          </cell>
          <cell r="V3093" t="str">
            <v>CORIHUAMAN SURCO  ERICK ROBERT</v>
          </cell>
        </row>
        <row r="3094">
          <cell r="A3094">
            <v>3042</v>
          </cell>
          <cell r="B3094">
            <v>42723</v>
          </cell>
          <cell r="C3094" t="str">
            <v>DICIEMBRE</v>
          </cell>
          <cell r="D3094" t="str">
            <v>2016</v>
          </cell>
          <cell r="E3094">
            <v>635</v>
          </cell>
          <cell r="F3094" t="str">
            <v>X2W-763</v>
          </cell>
          <cell r="G3094" t="str">
            <v>C5V-997</v>
          </cell>
          <cell r="H3094" t="str">
            <v>LAS BAMBAS</v>
          </cell>
          <cell r="I3094">
            <v>157697</v>
          </cell>
          <cell r="J3094" t="str">
            <v>REPUESTO</v>
          </cell>
          <cell r="K3094" t="str">
            <v>MINIFUSIBLES 10A</v>
          </cell>
          <cell r="L3094">
            <v>5</v>
          </cell>
          <cell r="M3094" t="str">
            <v>UNID.</v>
          </cell>
          <cell r="N3094" t="str">
            <v>CISTERNA</v>
          </cell>
          <cell r="O3094">
            <v>67</v>
          </cell>
          <cell r="P3094" t="str">
            <v>E2</v>
          </cell>
          <cell r="Q3094" t="str">
            <v>J2</v>
          </cell>
          <cell r="R3094" t="str">
            <v>J5</v>
          </cell>
          <cell r="S3094" t="str">
            <v>ENTREGADO</v>
          </cell>
          <cell r="T3094">
            <v>0</v>
          </cell>
          <cell r="U3094" t="str">
            <v>YUCA BELLIDO BORIS YERSY</v>
          </cell>
          <cell r="V3094" t="str">
            <v>CORIHUAMAN SURCO  ERICK ROBERT</v>
          </cell>
        </row>
        <row r="3095">
          <cell r="A3095">
            <v>3069</v>
          </cell>
          <cell r="B3095">
            <v>42723</v>
          </cell>
          <cell r="C3095" t="str">
            <v>DICIEMBRE</v>
          </cell>
          <cell r="D3095" t="str">
            <v>2016</v>
          </cell>
          <cell r="E3095">
            <v>635</v>
          </cell>
          <cell r="F3095" t="str">
            <v>X2W-763</v>
          </cell>
          <cell r="G3095" t="str">
            <v>C5V-997</v>
          </cell>
          <cell r="H3095" t="str">
            <v>LAS BAMBAS</v>
          </cell>
          <cell r="I3095">
            <v>157697</v>
          </cell>
          <cell r="J3095" t="str">
            <v>REPUESTO</v>
          </cell>
          <cell r="K3095" t="str">
            <v xml:space="preserve">GUARDAFANGO </v>
          </cell>
          <cell r="L3095">
            <v>1</v>
          </cell>
          <cell r="M3095" t="str">
            <v>UNID.</v>
          </cell>
          <cell r="N3095" t="str">
            <v>CISTERNA</v>
          </cell>
          <cell r="O3095">
            <v>67</v>
          </cell>
          <cell r="P3095" t="str">
            <v>J2</v>
          </cell>
          <cell r="Q3095" t="str">
            <v>J1</v>
          </cell>
          <cell r="R3095" t="str">
            <v>J5</v>
          </cell>
          <cell r="S3095" t="str">
            <v>ENTREGADO</v>
          </cell>
          <cell r="T3095">
            <v>0</v>
          </cell>
          <cell r="U3095" t="str">
            <v>CORIHUAMAN SURCO  ERICK ROBERT</v>
          </cell>
          <cell r="V3095" t="str">
            <v>FLOREZ CONDORI  JOSE WILLIANS</v>
          </cell>
        </row>
        <row r="3096">
          <cell r="A3096">
            <v>1588</v>
          </cell>
          <cell r="B3096">
            <v>42723</v>
          </cell>
          <cell r="C3096" t="str">
            <v>DICIEMBRE</v>
          </cell>
          <cell r="D3096" t="str">
            <v>2016</v>
          </cell>
          <cell r="E3096">
            <v>419</v>
          </cell>
          <cell r="F3096" t="str">
            <v>X2W-788</v>
          </cell>
          <cell r="G3096" t="str">
            <v>C5V-994</v>
          </cell>
          <cell r="H3096" t="str">
            <v>LAS BAMBAS</v>
          </cell>
          <cell r="I3096">
            <v>138993</v>
          </cell>
          <cell r="J3096" t="str">
            <v>REPUESTO</v>
          </cell>
          <cell r="K3096" t="str">
            <v>LLANTA REENCAUCHADA IZY2</v>
          </cell>
          <cell r="L3096">
            <v>1</v>
          </cell>
          <cell r="M3096" t="str">
            <v>UNID.</v>
          </cell>
          <cell r="N3096" t="str">
            <v>CISTERNA</v>
          </cell>
          <cell r="O3096">
            <v>-25</v>
          </cell>
          <cell r="P3096" t="str">
            <v>N1</v>
          </cell>
          <cell r="Q3096" t="str">
            <v>J3</v>
          </cell>
          <cell r="R3096" t="str">
            <v>J5</v>
          </cell>
          <cell r="S3096" t="str">
            <v>ENTREGADO</v>
          </cell>
          <cell r="T3096">
            <v>42698</v>
          </cell>
          <cell r="U3096" t="str">
            <v>AGUILAR CCANTUTA WILLY</v>
          </cell>
          <cell r="V3096" t="str">
            <v>CHURA PIZARRO ALBERTO</v>
          </cell>
        </row>
        <row r="3097">
          <cell r="A3097">
            <v>2344</v>
          </cell>
          <cell r="B3097">
            <v>42723</v>
          </cell>
          <cell r="C3097" t="str">
            <v>DICIEMBRE</v>
          </cell>
          <cell r="D3097" t="str">
            <v>2016</v>
          </cell>
          <cell r="E3097">
            <v>526</v>
          </cell>
          <cell r="F3097" t="str">
            <v>X2W-788</v>
          </cell>
          <cell r="G3097" t="str">
            <v>C5V-994</v>
          </cell>
          <cell r="H3097" t="str">
            <v>LAS BAMBAS</v>
          </cell>
          <cell r="I3097">
            <v>140363</v>
          </cell>
          <cell r="J3097" t="str">
            <v>REPUESTO</v>
          </cell>
          <cell r="K3097" t="str">
            <v>LLANTAS REENCUACHADAS DE TRACCION</v>
          </cell>
          <cell r="L3097">
            <v>4</v>
          </cell>
          <cell r="M3097" t="str">
            <v>UNID.</v>
          </cell>
          <cell r="N3097" t="str">
            <v>TRACTO</v>
          </cell>
          <cell r="O3097">
            <v>-10</v>
          </cell>
          <cell r="P3097" t="str">
            <v>N2</v>
          </cell>
          <cell r="Q3097" t="str">
            <v>J2</v>
          </cell>
          <cell r="R3097" t="str">
            <v>J6</v>
          </cell>
          <cell r="S3097" t="str">
            <v>ENTREGADO</v>
          </cell>
          <cell r="T3097">
            <v>42713</v>
          </cell>
          <cell r="U3097" t="str">
            <v>MAMANI LARICO  EDUARDO ALVARO</v>
          </cell>
          <cell r="V3097" t="str">
            <v>CORIHUAMAN SURCO  ERICK ROBERT</v>
          </cell>
        </row>
        <row r="3098">
          <cell r="A3098">
            <v>3081</v>
          </cell>
          <cell r="B3098">
            <v>42723</v>
          </cell>
          <cell r="C3098" t="str">
            <v>DICIEMBRE</v>
          </cell>
          <cell r="D3098" t="str">
            <v>2016</v>
          </cell>
          <cell r="E3098">
            <v>644</v>
          </cell>
          <cell r="F3098" t="str">
            <v>X2W-788</v>
          </cell>
          <cell r="G3098" t="str">
            <v>C5V-994</v>
          </cell>
          <cell r="H3098" t="str">
            <v>LAS BAMBAS</v>
          </cell>
          <cell r="I3098">
            <v>141678</v>
          </cell>
          <cell r="J3098" t="str">
            <v>REPUESTO</v>
          </cell>
          <cell r="K3098" t="str">
            <v>FAROS PIRATAS</v>
          </cell>
          <cell r="L3098">
            <v>2</v>
          </cell>
          <cell r="M3098" t="str">
            <v>UNID.</v>
          </cell>
          <cell r="N3098" t="str">
            <v>CISTERNA</v>
          </cell>
          <cell r="O3098">
            <v>67</v>
          </cell>
          <cell r="P3098" t="str">
            <v>E3</v>
          </cell>
          <cell r="Q3098" t="str">
            <v>J1</v>
          </cell>
          <cell r="R3098" t="str">
            <v>J5</v>
          </cell>
          <cell r="S3098" t="str">
            <v>ENTREGADO</v>
          </cell>
          <cell r="T3098">
            <v>0</v>
          </cell>
          <cell r="U3098" t="str">
            <v>CONDORI CHURATA ALEX</v>
          </cell>
          <cell r="V3098" t="str">
            <v>FLOREZ CONDORI  JOSE WILLIANS</v>
          </cell>
        </row>
        <row r="3099">
          <cell r="A3099">
            <v>3082</v>
          </cell>
          <cell r="B3099">
            <v>42723</v>
          </cell>
          <cell r="C3099" t="str">
            <v>DICIEMBRE</v>
          </cell>
          <cell r="D3099" t="str">
            <v>2016</v>
          </cell>
          <cell r="E3099">
            <v>644</v>
          </cell>
          <cell r="F3099" t="str">
            <v>X2W-788</v>
          </cell>
          <cell r="G3099" t="str">
            <v>C5V-994</v>
          </cell>
          <cell r="H3099" t="str">
            <v>LAS BAMBAS</v>
          </cell>
          <cell r="I3099">
            <v>141678</v>
          </cell>
          <cell r="J3099" t="str">
            <v>REPUESTO</v>
          </cell>
          <cell r="K3099" t="str">
            <v>PERNO 5/16 C/TUERCA Y VOLANDA</v>
          </cell>
          <cell r="L3099">
            <v>2</v>
          </cell>
          <cell r="M3099" t="str">
            <v>UNID.</v>
          </cell>
          <cell r="N3099" t="str">
            <v>CISTERNA</v>
          </cell>
          <cell r="O3099">
            <v>67</v>
          </cell>
          <cell r="P3099" t="str">
            <v>E3</v>
          </cell>
          <cell r="Q3099" t="str">
            <v>J1</v>
          </cell>
          <cell r="R3099" t="str">
            <v>J5</v>
          </cell>
          <cell r="S3099" t="str">
            <v>ENTREGADO</v>
          </cell>
          <cell r="T3099">
            <v>0</v>
          </cell>
          <cell r="U3099" t="str">
            <v>CONDORI CHURATA ALEX</v>
          </cell>
          <cell r="V3099" t="str">
            <v>FLOREZ CONDORI  JOSE WILLIANS</v>
          </cell>
        </row>
        <row r="3100">
          <cell r="A3100">
            <v>3083</v>
          </cell>
          <cell r="B3100">
            <v>42723</v>
          </cell>
          <cell r="C3100" t="str">
            <v>DICIEMBRE</v>
          </cell>
          <cell r="D3100" t="str">
            <v>2016</v>
          </cell>
          <cell r="E3100">
            <v>644</v>
          </cell>
          <cell r="F3100" t="str">
            <v>X2W-788</v>
          </cell>
          <cell r="G3100" t="str">
            <v>C5V-994</v>
          </cell>
          <cell r="H3100" t="str">
            <v>LAS BAMBAS</v>
          </cell>
          <cell r="I3100">
            <v>141678</v>
          </cell>
          <cell r="J3100" t="str">
            <v>REPUESTO</v>
          </cell>
          <cell r="K3100" t="str">
            <v xml:space="preserve">CABLE VULCANIZADO </v>
          </cell>
          <cell r="L3100">
            <v>3</v>
          </cell>
          <cell r="M3100" t="str">
            <v>M</v>
          </cell>
          <cell r="N3100" t="str">
            <v>CISTERNA</v>
          </cell>
          <cell r="O3100">
            <v>67</v>
          </cell>
          <cell r="P3100" t="str">
            <v>E3</v>
          </cell>
          <cell r="Q3100" t="str">
            <v>J1</v>
          </cell>
          <cell r="R3100" t="str">
            <v>J5</v>
          </cell>
          <cell r="S3100" t="str">
            <v>ENTREGADO</v>
          </cell>
          <cell r="T3100">
            <v>0</v>
          </cell>
          <cell r="U3100" t="str">
            <v>CONDORI CHURATA ALEX</v>
          </cell>
          <cell r="V3100" t="str">
            <v>FLOREZ CONDORI  JOSE WILLIANS</v>
          </cell>
        </row>
        <row r="3101">
          <cell r="A3101">
            <v>1735</v>
          </cell>
          <cell r="B3101">
            <v>42723</v>
          </cell>
          <cell r="C3101" t="str">
            <v>DICIEMBRE</v>
          </cell>
          <cell r="D3101" t="str">
            <v>2016</v>
          </cell>
          <cell r="E3101">
            <v>444</v>
          </cell>
          <cell r="F3101" t="str">
            <v>X2W-791</v>
          </cell>
          <cell r="G3101" t="str">
            <v>C5V-989</v>
          </cell>
          <cell r="H3101" t="str">
            <v>LAS BAMBAS</v>
          </cell>
          <cell r="I3101">
            <v>145997</v>
          </cell>
          <cell r="J3101" t="str">
            <v>REPUESTO</v>
          </cell>
          <cell r="K3101" t="str">
            <v>LLANTA REENCACUCHADA IDY</v>
          </cell>
          <cell r="L3101">
            <v>1</v>
          </cell>
          <cell r="M3101" t="str">
            <v>UNID.</v>
          </cell>
          <cell r="N3101" t="str">
            <v>TRACTO</v>
          </cell>
          <cell r="O3101">
            <v>67</v>
          </cell>
          <cell r="P3101" t="str">
            <v>N1</v>
          </cell>
          <cell r="Q3101" t="str">
            <v>J3</v>
          </cell>
          <cell r="R3101" t="str">
            <v>J5</v>
          </cell>
          <cell r="S3101" t="str">
            <v>ENTREGADO</v>
          </cell>
          <cell r="T3101">
            <v>0</v>
          </cell>
          <cell r="U3101" t="str">
            <v>AGUILAR CCANTUTA WILLY</v>
          </cell>
          <cell r="V3101" t="str">
            <v>CHURA PIZARRO ALBERTO</v>
          </cell>
        </row>
        <row r="3102">
          <cell r="A3102">
            <v>3125</v>
          </cell>
          <cell r="B3102">
            <v>42724</v>
          </cell>
          <cell r="C3102" t="str">
            <v>DICIEMBRE</v>
          </cell>
          <cell r="D3102" t="str">
            <v>2016</v>
          </cell>
          <cell r="E3102">
            <v>601</v>
          </cell>
          <cell r="F3102" t="str">
            <v>AKW-731</v>
          </cell>
          <cell r="G3102" t="str">
            <v>TCR-989</v>
          </cell>
          <cell r="H3102" t="str">
            <v>LAS BAMBAS CONC.</v>
          </cell>
          <cell r="I3102">
            <v>25998</v>
          </cell>
          <cell r="J3102" t="str">
            <v>REPUESTO</v>
          </cell>
          <cell r="K3102" t="str">
            <v>MEDIDOR DE PRESION DE 120 PSI MODELO CURVO</v>
          </cell>
          <cell r="L3102">
            <v>1</v>
          </cell>
          <cell r="M3102" t="str">
            <v>UNID.</v>
          </cell>
          <cell r="N3102" t="str">
            <v>TRACTO</v>
          </cell>
          <cell r="O3102">
            <v>66</v>
          </cell>
          <cell r="P3102" t="str">
            <v>J3</v>
          </cell>
          <cell r="Q3102" t="str">
            <v>J3</v>
          </cell>
          <cell r="R3102" t="str">
            <v>J6</v>
          </cell>
          <cell r="S3102" t="str">
            <v>PENDIENTE</v>
          </cell>
          <cell r="T3102">
            <v>0</v>
          </cell>
          <cell r="U3102" t="str">
            <v>CHURA PIZARRO ALBERTO</v>
          </cell>
          <cell r="V3102" t="str">
            <v>CHURA PIZARRO ALBERTO</v>
          </cell>
        </row>
        <row r="3103">
          <cell r="A3103">
            <v>3126</v>
          </cell>
          <cell r="B3103">
            <v>42724</v>
          </cell>
          <cell r="C3103" t="str">
            <v>DICIEMBRE</v>
          </cell>
          <cell r="D3103" t="str">
            <v>2016</v>
          </cell>
          <cell r="E3103">
            <v>601</v>
          </cell>
          <cell r="F3103" t="str">
            <v>AKW-731</v>
          </cell>
          <cell r="G3103" t="str">
            <v>TCR-989</v>
          </cell>
          <cell r="H3103" t="str">
            <v>LAS BAMBAS CONC.</v>
          </cell>
          <cell r="I3103">
            <v>25998</v>
          </cell>
          <cell r="J3103" t="str">
            <v>REPUESTO</v>
          </cell>
          <cell r="K3103" t="str">
            <v>CHUT DE INFLADO PARA NIVELAR PRESIONES MODELO CURVO</v>
          </cell>
          <cell r="L3103">
            <v>1</v>
          </cell>
          <cell r="M3103" t="str">
            <v>UNID.</v>
          </cell>
          <cell r="N3103" t="str">
            <v>TRACTO</v>
          </cell>
          <cell r="O3103">
            <v>66</v>
          </cell>
          <cell r="P3103" t="str">
            <v>J3</v>
          </cell>
          <cell r="Q3103" t="str">
            <v>J3</v>
          </cell>
          <cell r="R3103" t="str">
            <v>J6</v>
          </cell>
          <cell r="S3103" t="str">
            <v>PENDIENTE</v>
          </cell>
          <cell r="T3103">
            <v>0</v>
          </cell>
          <cell r="U3103" t="str">
            <v>CHURA PIZARRO ALBERTO</v>
          </cell>
          <cell r="V3103" t="str">
            <v>CHURA PIZARRO ALBERTO</v>
          </cell>
        </row>
        <row r="3104">
          <cell r="A3104">
            <v>3121</v>
          </cell>
          <cell r="B3104">
            <v>42724</v>
          </cell>
          <cell r="C3104" t="str">
            <v>DICIEMBRE</v>
          </cell>
          <cell r="D3104" t="str">
            <v>2016</v>
          </cell>
          <cell r="E3104">
            <v>623</v>
          </cell>
          <cell r="F3104" t="str">
            <v>AKX-767</v>
          </cell>
          <cell r="G3104" t="str">
            <v>TCR-993</v>
          </cell>
          <cell r="H3104" t="str">
            <v>LAS BAMBAS CONC.</v>
          </cell>
          <cell r="I3104">
            <v>24897</v>
          </cell>
          <cell r="J3104" t="str">
            <v>REPUESTO</v>
          </cell>
          <cell r="K3104" t="str">
            <v>MEDIDOR DE PRESION DE 120 PSI MODELO CURVO</v>
          </cell>
          <cell r="L3104">
            <v>1</v>
          </cell>
          <cell r="M3104" t="str">
            <v>UNID.</v>
          </cell>
          <cell r="N3104" t="str">
            <v>TRACTO</v>
          </cell>
          <cell r="O3104">
            <v>66</v>
          </cell>
          <cell r="P3104" t="str">
            <v>J3</v>
          </cell>
          <cell r="Q3104" t="str">
            <v>J3</v>
          </cell>
          <cell r="R3104" t="str">
            <v>J6</v>
          </cell>
          <cell r="S3104" t="str">
            <v>PENDIENTE</v>
          </cell>
          <cell r="T3104">
            <v>0</v>
          </cell>
          <cell r="U3104" t="str">
            <v>CHURA PIZARRO ALBERTO</v>
          </cell>
          <cell r="V3104" t="str">
            <v>CHURA PIZARRO ALBERTO</v>
          </cell>
        </row>
        <row r="3105">
          <cell r="A3105">
            <v>3122</v>
          </cell>
          <cell r="B3105">
            <v>42724</v>
          </cell>
          <cell r="C3105" t="str">
            <v>DICIEMBRE</v>
          </cell>
          <cell r="D3105" t="str">
            <v>2016</v>
          </cell>
          <cell r="E3105">
            <v>623</v>
          </cell>
          <cell r="F3105" t="str">
            <v>AKX-767</v>
          </cell>
          <cell r="G3105" t="str">
            <v>TCR-993</v>
          </cell>
          <cell r="H3105" t="str">
            <v>LAS BAMBAS CONC.</v>
          </cell>
          <cell r="I3105">
            <v>24897</v>
          </cell>
          <cell r="J3105" t="str">
            <v>REPUESTO</v>
          </cell>
          <cell r="K3105" t="str">
            <v>CHUT DE INFLADO PARA NIVELAR PRESIONES MODELO CURVO</v>
          </cell>
          <cell r="L3105">
            <v>1</v>
          </cell>
          <cell r="M3105" t="str">
            <v>UNID.</v>
          </cell>
          <cell r="N3105" t="str">
            <v>TRACTO</v>
          </cell>
          <cell r="O3105">
            <v>66</v>
          </cell>
          <cell r="P3105" t="str">
            <v>J3</v>
          </cell>
          <cell r="Q3105" t="str">
            <v>J3</v>
          </cell>
          <cell r="R3105" t="str">
            <v>J6</v>
          </cell>
          <cell r="S3105" t="str">
            <v>PENDIENTE</v>
          </cell>
          <cell r="T3105">
            <v>0</v>
          </cell>
          <cell r="U3105" t="str">
            <v>CHURA PIZARRO ALBERTO</v>
          </cell>
          <cell r="V3105" t="str">
            <v>CHURA PIZARRO ALBERTO</v>
          </cell>
        </row>
        <row r="3106">
          <cell r="A3106">
            <v>3110</v>
          </cell>
          <cell r="B3106">
            <v>42724</v>
          </cell>
          <cell r="C3106" t="str">
            <v>DICIEMBRE</v>
          </cell>
          <cell r="D3106" t="str">
            <v>2016</v>
          </cell>
          <cell r="E3106">
            <v>594</v>
          </cell>
          <cell r="F3106" t="str">
            <v>B2M-948</v>
          </cell>
          <cell r="G3106" t="str">
            <v>CAMION</v>
          </cell>
          <cell r="H3106" t="str">
            <v>TAMBOMAYO</v>
          </cell>
          <cell r="I3106">
            <v>114956</v>
          </cell>
          <cell r="J3106" t="str">
            <v>REPUESTO</v>
          </cell>
          <cell r="K3106" t="str">
            <v>CABLES 3 X 16</v>
          </cell>
          <cell r="L3106">
            <v>4</v>
          </cell>
          <cell r="M3106" t="str">
            <v>M</v>
          </cell>
          <cell r="N3106" t="str">
            <v>CAMION</v>
          </cell>
          <cell r="O3106">
            <v>66</v>
          </cell>
          <cell r="P3106" t="str">
            <v>E1</v>
          </cell>
          <cell r="Q3106" t="str">
            <v>J2</v>
          </cell>
          <cell r="R3106" t="str">
            <v>J6</v>
          </cell>
          <cell r="S3106" t="str">
            <v>PENDIENTE</v>
          </cell>
          <cell r="T3106">
            <v>0</v>
          </cell>
          <cell r="U3106" t="str">
            <v>PALOMINO CARDENAS JUAN CARLOS</v>
          </cell>
          <cell r="V3106" t="str">
            <v>CORIHUAMAN SURCO  ERICK ROBERT</v>
          </cell>
        </row>
        <row r="3107">
          <cell r="A3107">
            <v>3111</v>
          </cell>
          <cell r="B3107">
            <v>42724</v>
          </cell>
          <cell r="C3107" t="str">
            <v>DICIEMBRE</v>
          </cell>
          <cell r="D3107" t="str">
            <v>2016</v>
          </cell>
          <cell r="E3107">
            <v>594</v>
          </cell>
          <cell r="F3107" t="str">
            <v>B2M-948</v>
          </cell>
          <cell r="G3107" t="str">
            <v>CAMION</v>
          </cell>
          <cell r="H3107" t="str">
            <v>TAMBOMAYO</v>
          </cell>
          <cell r="I3107">
            <v>114956</v>
          </cell>
          <cell r="J3107" t="str">
            <v>REPUESTO</v>
          </cell>
          <cell r="K3107" t="str">
            <v>TERMINALES OJO 1/4</v>
          </cell>
          <cell r="L3107">
            <v>3</v>
          </cell>
          <cell r="M3107" t="str">
            <v>UNID.</v>
          </cell>
          <cell r="N3107" t="str">
            <v>CAMION</v>
          </cell>
          <cell r="O3107">
            <v>66</v>
          </cell>
          <cell r="P3107" t="str">
            <v>E1</v>
          </cell>
          <cell r="Q3107" t="str">
            <v>J2</v>
          </cell>
          <cell r="R3107" t="str">
            <v>J6</v>
          </cell>
          <cell r="S3107" t="str">
            <v>PENDIENTE</v>
          </cell>
          <cell r="T3107">
            <v>0</v>
          </cell>
          <cell r="U3107" t="str">
            <v>PALOMINO CARDENAS JUAN CARLOS</v>
          </cell>
          <cell r="V3107" t="str">
            <v>CORIHUAMAN SURCO  ERICK ROBERT</v>
          </cell>
        </row>
        <row r="3108">
          <cell r="A3108">
            <v>3112</v>
          </cell>
          <cell r="B3108">
            <v>42724</v>
          </cell>
          <cell r="C3108" t="str">
            <v>DICIEMBRE</v>
          </cell>
          <cell r="D3108" t="str">
            <v>2016</v>
          </cell>
          <cell r="E3108">
            <v>594</v>
          </cell>
          <cell r="F3108" t="str">
            <v>B2M-948</v>
          </cell>
          <cell r="G3108" t="str">
            <v>CAMION</v>
          </cell>
          <cell r="H3108" t="str">
            <v>TAMBOMAYO</v>
          </cell>
          <cell r="I3108">
            <v>114956</v>
          </cell>
          <cell r="J3108" t="str">
            <v>REPUESTO</v>
          </cell>
          <cell r="K3108" t="str">
            <v>PRESINTOS 300</v>
          </cell>
          <cell r="L3108">
            <v>30</v>
          </cell>
          <cell r="M3108" t="str">
            <v>UNID.</v>
          </cell>
          <cell r="N3108" t="str">
            <v>CAMION</v>
          </cell>
          <cell r="O3108">
            <v>66</v>
          </cell>
          <cell r="P3108" t="str">
            <v>E1</v>
          </cell>
          <cell r="Q3108" t="str">
            <v>J2</v>
          </cell>
          <cell r="R3108" t="str">
            <v>J6</v>
          </cell>
          <cell r="S3108" t="str">
            <v>PENDIENTE</v>
          </cell>
          <cell r="T3108">
            <v>0</v>
          </cell>
          <cell r="U3108" t="str">
            <v>PALOMINO CARDENAS JUAN CARLOS</v>
          </cell>
          <cell r="V3108" t="str">
            <v>CORIHUAMAN SURCO  ERICK ROBERT</v>
          </cell>
        </row>
        <row r="3109">
          <cell r="A3109">
            <v>3113</v>
          </cell>
          <cell r="B3109">
            <v>42724</v>
          </cell>
          <cell r="C3109" t="str">
            <v>DICIEMBRE</v>
          </cell>
          <cell r="D3109" t="str">
            <v>2016</v>
          </cell>
          <cell r="E3109">
            <v>594</v>
          </cell>
          <cell r="F3109" t="str">
            <v>B2M-948</v>
          </cell>
          <cell r="G3109" t="str">
            <v>CAMION</v>
          </cell>
          <cell r="H3109" t="str">
            <v>TAMBOMAYO</v>
          </cell>
          <cell r="I3109">
            <v>114956</v>
          </cell>
          <cell r="J3109" t="str">
            <v>REPUESTO</v>
          </cell>
          <cell r="K3109" t="str">
            <v>FUSIBLES AEREOS</v>
          </cell>
          <cell r="L3109">
            <v>2</v>
          </cell>
          <cell r="M3109" t="str">
            <v>UNID.</v>
          </cell>
          <cell r="N3109" t="str">
            <v>CAMION</v>
          </cell>
          <cell r="O3109">
            <v>66</v>
          </cell>
          <cell r="P3109" t="str">
            <v>E1</v>
          </cell>
          <cell r="Q3109" t="str">
            <v>J2</v>
          </cell>
          <cell r="R3109" t="str">
            <v>J6</v>
          </cell>
          <cell r="S3109" t="str">
            <v>PENDIENTE</v>
          </cell>
          <cell r="T3109">
            <v>0</v>
          </cell>
          <cell r="U3109" t="str">
            <v>PALOMINO CARDENAS JUAN CARLOS</v>
          </cell>
          <cell r="V3109" t="str">
            <v>CORIHUAMAN SURCO  ERICK ROBERT</v>
          </cell>
        </row>
        <row r="3110">
          <cell r="A3110">
            <v>3114</v>
          </cell>
          <cell r="B3110">
            <v>42724</v>
          </cell>
          <cell r="C3110" t="str">
            <v>DICIEMBRE</v>
          </cell>
          <cell r="D3110" t="str">
            <v>2016</v>
          </cell>
          <cell r="E3110">
            <v>594</v>
          </cell>
          <cell r="F3110" t="str">
            <v>B2M-948</v>
          </cell>
          <cell r="G3110" t="str">
            <v>CAMION</v>
          </cell>
          <cell r="H3110" t="str">
            <v>TAMBOMAYO</v>
          </cell>
          <cell r="I3110">
            <v>114956</v>
          </cell>
          <cell r="J3110" t="str">
            <v>REPUESTO</v>
          </cell>
          <cell r="K3110" t="str">
            <v>FUSIBLES 20 AMP</v>
          </cell>
          <cell r="L3110">
            <v>2</v>
          </cell>
          <cell r="M3110" t="str">
            <v>UNID.</v>
          </cell>
          <cell r="N3110" t="str">
            <v>CAMION</v>
          </cell>
          <cell r="O3110">
            <v>66</v>
          </cell>
          <cell r="P3110" t="str">
            <v>E1</v>
          </cell>
          <cell r="Q3110" t="str">
            <v>J2</v>
          </cell>
          <cell r="R3110" t="str">
            <v>J6</v>
          </cell>
          <cell r="S3110" t="str">
            <v>PENDIENTE</v>
          </cell>
          <cell r="T3110">
            <v>0</v>
          </cell>
          <cell r="U3110" t="str">
            <v>PALOMINO CARDENAS JUAN CARLOS</v>
          </cell>
          <cell r="V3110" t="str">
            <v>CORIHUAMAN SURCO  ERICK ROBERT</v>
          </cell>
        </row>
        <row r="3111">
          <cell r="A3111">
            <v>3117</v>
          </cell>
          <cell r="B3111">
            <v>42724</v>
          </cell>
          <cell r="C3111" t="str">
            <v>DICIEMBRE</v>
          </cell>
          <cell r="D3111" t="str">
            <v>2016</v>
          </cell>
          <cell r="E3111">
            <v>594</v>
          </cell>
          <cell r="F3111" t="str">
            <v>B2M-948</v>
          </cell>
          <cell r="G3111" t="str">
            <v>CAMION</v>
          </cell>
          <cell r="H3111" t="str">
            <v>TAMBOMAYO</v>
          </cell>
          <cell r="I3111">
            <v>114956</v>
          </cell>
          <cell r="J3111" t="str">
            <v>REPUESTO</v>
          </cell>
          <cell r="K3111" t="str">
            <v>TERMINALES DE ENCHFE HEMBRA CON FORRO</v>
          </cell>
          <cell r="L3111">
            <v>10</v>
          </cell>
          <cell r="M3111" t="str">
            <v>UNID.</v>
          </cell>
          <cell r="N3111" t="str">
            <v>CAMION</v>
          </cell>
          <cell r="O3111">
            <v>66</v>
          </cell>
          <cell r="P3111" t="str">
            <v>E1</v>
          </cell>
          <cell r="Q3111" t="str">
            <v>J2</v>
          </cell>
          <cell r="R3111" t="str">
            <v>J6</v>
          </cell>
          <cell r="S3111" t="str">
            <v>PENDIENTE</v>
          </cell>
          <cell r="T3111">
            <v>0</v>
          </cell>
          <cell r="U3111" t="str">
            <v>PALOMINO CARDENAS JUAN CARLOS</v>
          </cell>
          <cell r="V3111" t="str">
            <v>CORIHUAMAN SURCO  ERICK ROBERT</v>
          </cell>
        </row>
        <row r="3112">
          <cell r="A3112">
            <v>3161</v>
          </cell>
          <cell r="B3112">
            <v>42724</v>
          </cell>
          <cell r="C3112" t="str">
            <v>DICIEMBRE</v>
          </cell>
          <cell r="D3112" t="str">
            <v>2016</v>
          </cell>
          <cell r="E3112">
            <v>594</v>
          </cell>
          <cell r="F3112" t="str">
            <v>B2M-948</v>
          </cell>
          <cell r="G3112" t="str">
            <v>CAMION</v>
          </cell>
          <cell r="H3112" t="str">
            <v>TAMBOMAYO</v>
          </cell>
          <cell r="I3112">
            <v>114956</v>
          </cell>
          <cell r="J3112" t="str">
            <v>REPUESTO</v>
          </cell>
          <cell r="K3112" t="str">
            <v>CABLE VULCANIZADO</v>
          </cell>
          <cell r="L3112">
            <v>10</v>
          </cell>
          <cell r="M3112" t="str">
            <v>M</v>
          </cell>
          <cell r="N3112" t="str">
            <v>CAMION</v>
          </cell>
          <cell r="O3112">
            <v>66</v>
          </cell>
          <cell r="P3112" t="str">
            <v>E2</v>
          </cell>
          <cell r="Q3112" t="str">
            <v>J2</v>
          </cell>
          <cell r="R3112" t="str">
            <v>J5</v>
          </cell>
          <cell r="S3112" t="str">
            <v>PENDIENTE</v>
          </cell>
          <cell r="T3112">
            <v>0</v>
          </cell>
          <cell r="U3112" t="str">
            <v>YUCA BELLIDO BORIS YERSY</v>
          </cell>
          <cell r="V3112" t="str">
            <v>CORIHUAMAN SURCO  ERICK ROBERT</v>
          </cell>
        </row>
        <row r="3113">
          <cell r="A3113">
            <v>3162</v>
          </cell>
          <cell r="B3113">
            <v>42724</v>
          </cell>
          <cell r="C3113" t="str">
            <v>DICIEMBRE</v>
          </cell>
          <cell r="D3113" t="str">
            <v>2016</v>
          </cell>
          <cell r="E3113">
            <v>594</v>
          </cell>
          <cell r="F3113" t="str">
            <v>B2M-948</v>
          </cell>
          <cell r="G3113" t="str">
            <v>CAMION</v>
          </cell>
          <cell r="H3113" t="str">
            <v>TAMBOMAYO</v>
          </cell>
          <cell r="I3113">
            <v>114956</v>
          </cell>
          <cell r="J3113" t="str">
            <v>REPUESTO</v>
          </cell>
          <cell r="K3113" t="str">
            <v>TERMINALES HEMBRA</v>
          </cell>
          <cell r="L3113">
            <v>8</v>
          </cell>
          <cell r="M3113" t="str">
            <v>UNID.</v>
          </cell>
          <cell r="N3113" t="str">
            <v>CAMION</v>
          </cell>
          <cell r="O3113">
            <v>66</v>
          </cell>
          <cell r="P3113" t="str">
            <v>E2</v>
          </cell>
          <cell r="Q3113" t="str">
            <v>J2</v>
          </cell>
          <cell r="R3113" t="str">
            <v>J5</v>
          </cell>
          <cell r="S3113" t="str">
            <v>PENDIENTE</v>
          </cell>
          <cell r="T3113">
            <v>0</v>
          </cell>
          <cell r="U3113" t="str">
            <v>YUCA BELLIDO BORIS YERSY</v>
          </cell>
          <cell r="V3113" t="str">
            <v>CORIHUAMAN SURCO  ERICK ROBERT</v>
          </cell>
        </row>
        <row r="3114">
          <cell r="A3114">
            <v>3163</v>
          </cell>
          <cell r="B3114">
            <v>42724</v>
          </cell>
          <cell r="C3114" t="str">
            <v>DICIEMBRE</v>
          </cell>
          <cell r="D3114" t="str">
            <v>2016</v>
          </cell>
          <cell r="E3114">
            <v>594</v>
          </cell>
          <cell r="F3114" t="str">
            <v>B2M-948</v>
          </cell>
          <cell r="G3114" t="str">
            <v>CAMION</v>
          </cell>
          <cell r="H3114" t="str">
            <v>TAMBOMAYO</v>
          </cell>
          <cell r="I3114">
            <v>114956</v>
          </cell>
          <cell r="J3114" t="str">
            <v>REPUESTO</v>
          </cell>
          <cell r="K3114" t="str">
            <v>RELAY 12V</v>
          </cell>
          <cell r="L3114">
            <v>1</v>
          </cell>
          <cell r="M3114" t="str">
            <v>UNID.</v>
          </cell>
          <cell r="N3114" t="str">
            <v>CAMION</v>
          </cell>
          <cell r="O3114">
            <v>66</v>
          </cell>
          <cell r="P3114" t="str">
            <v>E2</v>
          </cell>
          <cell r="Q3114" t="str">
            <v>J2</v>
          </cell>
          <cell r="R3114" t="str">
            <v>J5</v>
          </cell>
          <cell r="S3114" t="str">
            <v>PENDIENTE</v>
          </cell>
          <cell r="T3114">
            <v>0</v>
          </cell>
          <cell r="U3114" t="str">
            <v>YUCA BELLIDO BORIS YERSY</v>
          </cell>
          <cell r="V3114" t="str">
            <v>CORIHUAMAN SURCO  ERICK ROBERT</v>
          </cell>
        </row>
        <row r="3115">
          <cell r="A3115">
            <v>3164</v>
          </cell>
          <cell r="B3115">
            <v>42724</v>
          </cell>
          <cell r="C3115" t="str">
            <v>DICIEMBRE</v>
          </cell>
          <cell r="D3115" t="str">
            <v>2016</v>
          </cell>
          <cell r="E3115">
            <v>594</v>
          </cell>
          <cell r="F3115" t="str">
            <v>B2M-948</v>
          </cell>
          <cell r="G3115" t="str">
            <v>CAMION</v>
          </cell>
          <cell r="H3115" t="str">
            <v>TAMBOMAYO</v>
          </cell>
          <cell r="I3115">
            <v>114956</v>
          </cell>
          <cell r="J3115" t="str">
            <v>REPUESTO</v>
          </cell>
          <cell r="K3115" t="str">
            <v>FUSIBLE 20A</v>
          </cell>
          <cell r="L3115">
            <v>1</v>
          </cell>
          <cell r="M3115" t="str">
            <v>UNID.</v>
          </cell>
          <cell r="N3115" t="str">
            <v>CAMION</v>
          </cell>
          <cell r="O3115">
            <v>66</v>
          </cell>
          <cell r="P3115" t="str">
            <v>E2</v>
          </cell>
          <cell r="Q3115" t="str">
            <v>J2</v>
          </cell>
          <cell r="R3115" t="str">
            <v>J5</v>
          </cell>
          <cell r="S3115" t="str">
            <v>PENDIENTE</v>
          </cell>
          <cell r="T3115">
            <v>0</v>
          </cell>
          <cell r="U3115" t="str">
            <v>YUCA BELLIDO BORIS YERSY</v>
          </cell>
          <cell r="V3115" t="str">
            <v>CORIHUAMAN SURCO  ERICK ROBERT</v>
          </cell>
        </row>
        <row r="3116">
          <cell r="A3116">
            <v>3165</v>
          </cell>
          <cell r="B3116">
            <v>42724</v>
          </cell>
          <cell r="C3116" t="str">
            <v>DICIEMBRE</v>
          </cell>
          <cell r="D3116" t="str">
            <v>2016</v>
          </cell>
          <cell r="E3116">
            <v>594</v>
          </cell>
          <cell r="F3116" t="str">
            <v>B2M-948</v>
          </cell>
          <cell r="G3116" t="str">
            <v>CAMION</v>
          </cell>
          <cell r="H3116" t="str">
            <v>TAMBOMAYO</v>
          </cell>
          <cell r="I3116">
            <v>114956</v>
          </cell>
          <cell r="J3116" t="str">
            <v>REPUESTO</v>
          </cell>
          <cell r="K3116" t="str">
            <v>TECLA DE LUCES DE DOS TIPOS</v>
          </cell>
          <cell r="L3116">
            <v>1</v>
          </cell>
          <cell r="M3116" t="str">
            <v>UNID.</v>
          </cell>
          <cell r="N3116" t="str">
            <v>CAMION</v>
          </cell>
          <cell r="O3116">
            <v>66</v>
          </cell>
          <cell r="P3116" t="str">
            <v>E2</v>
          </cell>
          <cell r="Q3116" t="str">
            <v>J2</v>
          </cell>
          <cell r="R3116" t="str">
            <v>J5</v>
          </cell>
          <cell r="S3116" t="str">
            <v>PENDIENTE</v>
          </cell>
          <cell r="T3116">
            <v>0</v>
          </cell>
          <cell r="U3116" t="str">
            <v>YUCA BELLIDO BORIS YERSY</v>
          </cell>
          <cell r="V3116" t="str">
            <v>CORIHUAMAN SURCO  ERICK ROBERT</v>
          </cell>
        </row>
        <row r="3117">
          <cell r="A3117">
            <v>3150</v>
          </cell>
          <cell r="B3117">
            <v>42724</v>
          </cell>
          <cell r="C3117" t="str">
            <v>DICIEMBRE</v>
          </cell>
          <cell r="D3117" t="str">
            <v>2016</v>
          </cell>
          <cell r="E3117">
            <v>530</v>
          </cell>
          <cell r="F3117" t="str">
            <v>C5R-892</v>
          </cell>
          <cell r="G3117" t="str">
            <v>A0T-983</v>
          </cell>
          <cell r="H3117" t="str">
            <v>LAS BAMBAS</v>
          </cell>
          <cell r="I3117">
            <v>226743</v>
          </cell>
          <cell r="J3117" t="str">
            <v>REPUESTO</v>
          </cell>
          <cell r="K3117" t="str">
            <v>LLANTAS NUEVAS 11R22.5 LING LONG</v>
          </cell>
          <cell r="L3117">
            <v>12</v>
          </cell>
          <cell r="M3117" t="str">
            <v>UNID.</v>
          </cell>
          <cell r="N3117" t="str">
            <v>CISTERNA</v>
          </cell>
          <cell r="O3117">
            <v>66</v>
          </cell>
          <cell r="P3117" t="str">
            <v>E1</v>
          </cell>
          <cell r="Q3117" t="str">
            <v>J2</v>
          </cell>
          <cell r="R3117" t="str">
            <v>J5</v>
          </cell>
          <cell r="S3117" t="str">
            <v>PENDIENTE</v>
          </cell>
          <cell r="T3117">
            <v>0</v>
          </cell>
          <cell r="U3117" t="str">
            <v>PALOMINO CARDENAS JUAN CARLOS</v>
          </cell>
          <cell r="V3117" t="str">
            <v>CORIHUAMAN SURCO  ERICK ROBERT</v>
          </cell>
        </row>
        <row r="3118">
          <cell r="A3118">
            <v>3115</v>
          </cell>
          <cell r="B3118">
            <v>42724</v>
          </cell>
          <cell r="C3118" t="str">
            <v>DICIEMBRE</v>
          </cell>
          <cell r="D3118" t="str">
            <v>2016</v>
          </cell>
          <cell r="E3118">
            <v>530</v>
          </cell>
          <cell r="F3118" t="str">
            <v>C5R-892</v>
          </cell>
          <cell r="G3118" t="str">
            <v>A0T-983</v>
          </cell>
          <cell r="H3118" t="str">
            <v>LAS BAMBAS</v>
          </cell>
          <cell r="I3118">
            <v>226743</v>
          </cell>
          <cell r="J3118" t="str">
            <v>REPUESTO</v>
          </cell>
          <cell r="K3118" t="str">
            <v>JUEGO DE CHAPA LADO DRECHO</v>
          </cell>
          <cell r="L3118">
            <v>1</v>
          </cell>
          <cell r="M3118" t="str">
            <v>UNID.</v>
          </cell>
          <cell r="N3118" t="str">
            <v>TRACTO</v>
          </cell>
          <cell r="O3118">
            <v>66</v>
          </cell>
          <cell r="P3118" t="str">
            <v>J2</v>
          </cell>
          <cell r="Q3118" t="str">
            <v>J2</v>
          </cell>
          <cell r="R3118" t="str">
            <v>J6</v>
          </cell>
          <cell r="S3118" t="str">
            <v>PENDIENTE</v>
          </cell>
          <cell r="T3118">
            <v>0</v>
          </cell>
          <cell r="U3118" t="str">
            <v>CORIHUAMAN SURCO  ERICK ROBERT</v>
          </cell>
          <cell r="V3118" t="str">
            <v>CORIHUAMAN SURCO  ERICK ROBERT</v>
          </cell>
        </row>
        <row r="3119">
          <cell r="A3119">
            <v>3116</v>
          </cell>
          <cell r="B3119">
            <v>42724</v>
          </cell>
          <cell r="C3119" t="str">
            <v>DICIEMBRE</v>
          </cell>
          <cell r="D3119" t="str">
            <v>2016</v>
          </cell>
          <cell r="E3119">
            <v>530</v>
          </cell>
          <cell r="F3119" t="str">
            <v>C5R-892</v>
          </cell>
          <cell r="G3119" t="str">
            <v>A0T-983</v>
          </cell>
          <cell r="H3119" t="str">
            <v>LAS BAMBAS</v>
          </cell>
          <cell r="I3119">
            <v>226743</v>
          </cell>
          <cell r="J3119" t="str">
            <v>REPUESTO</v>
          </cell>
          <cell r="K3119" t="str">
            <v>JUEGO DE CHAPA LADO IZQUIERDO</v>
          </cell>
          <cell r="L3119">
            <v>1</v>
          </cell>
          <cell r="M3119" t="str">
            <v>UNID.</v>
          </cell>
          <cell r="N3119" t="str">
            <v>TRACTO</v>
          </cell>
          <cell r="O3119">
            <v>66</v>
          </cell>
          <cell r="P3119" t="str">
            <v>J2</v>
          </cell>
          <cell r="Q3119" t="str">
            <v>J2</v>
          </cell>
          <cell r="R3119" t="str">
            <v>J6</v>
          </cell>
          <cell r="S3119" t="str">
            <v>PENDIENTE</v>
          </cell>
          <cell r="T3119">
            <v>0</v>
          </cell>
          <cell r="U3119" t="str">
            <v>CORIHUAMAN SURCO  ERICK ROBERT</v>
          </cell>
          <cell r="V3119" t="str">
            <v>CORIHUAMAN SURCO  ERICK ROBERT</v>
          </cell>
        </row>
        <row r="3120">
          <cell r="A3120">
            <v>3133</v>
          </cell>
          <cell r="B3120">
            <v>42724</v>
          </cell>
          <cell r="C3120" t="str">
            <v>DICIEMBRE</v>
          </cell>
          <cell r="D3120" t="str">
            <v>2016</v>
          </cell>
          <cell r="E3120">
            <v>638</v>
          </cell>
          <cell r="F3120" t="str">
            <v>C5R-895</v>
          </cell>
          <cell r="G3120" t="str">
            <v>TBL-976</v>
          </cell>
          <cell r="H3120" t="str">
            <v>LAS BAMBAS</v>
          </cell>
          <cell r="I3120">
            <v>171517</v>
          </cell>
          <cell r="J3120" t="str">
            <v>REPUESTO</v>
          </cell>
          <cell r="K3120" t="str">
            <v>ABRAZADERAS DE INTERCOOLER</v>
          </cell>
          <cell r="L3120">
            <v>2</v>
          </cell>
          <cell r="M3120" t="str">
            <v>UNID.</v>
          </cell>
          <cell r="N3120" t="str">
            <v>TRACTO</v>
          </cell>
          <cell r="O3120">
            <v>66</v>
          </cell>
          <cell r="P3120" t="str">
            <v>M4</v>
          </cell>
          <cell r="Q3120" t="str">
            <v>J2</v>
          </cell>
          <cell r="R3120" t="str">
            <v>J6</v>
          </cell>
          <cell r="S3120" t="str">
            <v>PENDIENTE</v>
          </cell>
          <cell r="T3120">
            <v>0</v>
          </cell>
          <cell r="U3120" t="str">
            <v>JULLIRI APAZA UBALDO</v>
          </cell>
          <cell r="V3120" t="str">
            <v>CORIHUAMAN SURCO  ERICK ROBERT</v>
          </cell>
        </row>
        <row r="3121">
          <cell r="A3121">
            <v>3136</v>
          </cell>
          <cell r="B3121">
            <v>42724</v>
          </cell>
          <cell r="C3121" t="str">
            <v>DICIEMBRE</v>
          </cell>
          <cell r="D3121" t="str">
            <v>2016</v>
          </cell>
          <cell r="E3121">
            <v>638</v>
          </cell>
          <cell r="F3121" t="str">
            <v>C5R-895</v>
          </cell>
          <cell r="G3121" t="str">
            <v>TBL-976</v>
          </cell>
          <cell r="H3121" t="str">
            <v>LAS BAMBAS</v>
          </cell>
          <cell r="I3121">
            <v>171517</v>
          </cell>
          <cell r="J3121" t="str">
            <v>REPUESTO</v>
          </cell>
          <cell r="K3121" t="str">
            <v>PERNO 1/4 X 1</v>
          </cell>
          <cell r="L3121">
            <v>4</v>
          </cell>
          <cell r="M3121" t="str">
            <v>UNID.</v>
          </cell>
          <cell r="N3121" t="str">
            <v>TRACTO</v>
          </cell>
          <cell r="O3121">
            <v>66</v>
          </cell>
          <cell r="P3121" t="str">
            <v>M4</v>
          </cell>
          <cell r="Q3121" t="str">
            <v>J2</v>
          </cell>
          <cell r="R3121" t="str">
            <v>J6</v>
          </cell>
          <cell r="S3121" t="str">
            <v>PENDIENTE</v>
          </cell>
          <cell r="T3121">
            <v>0</v>
          </cell>
          <cell r="U3121" t="str">
            <v>JULLIRI APAZA UBALDO</v>
          </cell>
          <cell r="V3121" t="str">
            <v>CORIHUAMAN SURCO  ERICK ROBERT</v>
          </cell>
        </row>
        <row r="3122">
          <cell r="A3122">
            <v>3137</v>
          </cell>
          <cell r="B3122">
            <v>42724</v>
          </cell>
          <cell r="C3122" t="str">
            <v>DICIEMBRE</v>
          </cell>
          <cell r="D3122" t="str">
            <v>2016</v>
          </cell>
          <cell r="E3122">
            <v>638</v>
          </cell>
          <cell r="F3122" t="str">
            <v>C5R-895</v>
          </cell>
          <cell r="G3122" t="str">
            <v>TBL-976</v>
          </cell>
          <cell r="H3122" t="str">
            <v>LAS BAMBAS</v>
          </cell>
          <cell r="I3122">
            <v>171517</v>
          </cell>
          <cell r="J3122" t="str">
            <v>REPUESTO</v>
          </cell>
          <cell r="K3122" t="str">
            <v>TUERCA SEGURO 1/4</v>
          </cell>
          <cell r="L3122">
            <v>4</v>
          </cell>
          <cell r="M3122" t="str">
            <v>UNID.</v>
          </cell>
          <cell r="N3122" t="str">
            <v>TRACTO</v>
          </cell>
          <cell r="O3122">
            <v>66</v>
          </cell>
          <cell r="P3122" t="str">
            <v>M4</v>
          </cell>
          <cell r="Q3122" t="str">
            <v>J2</v>
          </cell>
          <cell r="R3122" t="str">
            <v>J6</v>
          </cell>
          <cell r="S3122" t="str">
            <v>PENDIENTE</v>
          </cell>
          <cell r="T3122">
            <v>0</v>
          </cell>
          <cell r="U3122" t="str">
            <v>JULLIRI APAZA UBALDO</v>
          </cell>
          <cell r="V3122" t="str">
            <v>CORIHUAMAN SURCO  ERICK ROBERT</v>
          </cell>
        </row>
        <row r="3123">
          <cell r="A3123">
            <v>3138</v>
          </cell>
          <cell r="B3123">
            <v>42724</v>
          </cell>
          <cell r="C3123" t="str">
            <v>DICIEMBRE</v>
          </cell>
          <cell r="D3123" t="str">
            <v>2016</v>
          </cell>
          <cell r="E3123">
            <v>638</v>
          </cell>
          <cell r="F3123" t="str">
            <v>C5R-895</v>
          </cell>
          <cell r="G3123" t="str">
            <v>TBL-976</v>
          </cell>
          <cell r="H3123" t="str">
            <v>LAS BAMBAS</v>
          </cell>
          <cell r="I3123">
            <v>171517</v>
          </cell>
          <cell r="J3123" t="str">
            <v>REPUESTO</v>
          </cell>
          <cell r="K3123" t="str">
            <v>ARANDELA PLANA 1/4</v>
          </cell>
          <cell r="L3123">
            <v>8</v>
          </cell>
          <cell r="M3123" t="str">
            <v>UNID.</v>
          </cell>
          <cell r="N3123" t="str">
            <v>TRACTO</v>
          </cell>
          <cell r="O3123">
            <v>66</v>
          </cell>
          <cell r="P3123" t="str">
            <v>M4</v>
          </cell>
          <cell r="Q3123" t="str">
            <v>J2</v>
          </cell>
          <cell r="R3123" t="str">
            <v>J6</v>
          </cell>
          <cell r="S3123" t="str">
            <v>PENDIENTE</v>
          </cell>
          <cell r="T3123">
            <v>0</v>
          </cell>
          <cell r="U3123" t="str">
            <v>JULLIRI APAZA UBALDO</v>
          </cell>
          <cell r="V3123" t="str">
            <v>CORIHUAMAN SURCO  ERICK ROBERT</v>
          </cell>
        </row>
        <row r="3124">
          <cell r="A3124">
            <v>3139</v>
          </cell>
          <cell r="B3124">
            <v>42724</v>
          </cell>
          <cell r="C3124" t="str">
            <v>DICIEMBRE</v>
          </cell>
          <cell r="D3124" t="str">
            <v>2016</v>
          </cell>
          <cell r="E3124">
            <v>638</v>
          </cell>
          <cell r="F3124" t="str">
            <v>C5R-895</v>
          </cell>
          <cell r="G3124" t="str">
            <v>TBL-976</v>
          </cell>
          <cell r="H3124" t="str">
            <v>LAS BAMBAS</v>
          </cell>
          <cell r="I3124">
            <v>171517</v>
          </cell>
          <cell r="J3124" t="str">
            <v>REPUESTO</v>
          </cell>
          <cell r="K3124" t="str">
            <v>PERNO 1/2 X 1/4</v>
          </cell>
          <cell r="L3124">
            <v>4</v>
          </cell>
          <cell r="M3124" t="str">
            <v>UNID.</v>
          </cell>
          <cell r="N3124" t="str">
            <v>TRACTO</v>
          </cell>
          <cell r="O3124">
            <v>66</v>
          </cell>
          <cell r="P3124" t="str">
            <v>M4</v>
          </cell>
          <cell r="Q3124" t="str">
            <v>J2</v>
          </cell>
          <cell r="R3124" t="str">
            <v>J6</v>
          </cell>
          <cell r="S3124" t="str">
            <v>PENDIENTE</v>
          </cell>
          <cell r="T3124">
            <v>0</v>
          </cell>
          <cell r="U3124" t="str">
            <v>JULLIRI APAZA UBALDO</v>
          </cell>
          <cell r="V3124" t="str">
            <v>CORIHUAMAN SURCO  ERICK ROBERT</v>
          </cell>
        </row>
        <row r="3125">
          <cell r="A3125">
            <v>3140</v>
          </cell>
          <cell r="B3125">
            <v>42724</v>
          </cell>
          <cell r="C3125" t="str">
            <v>DICIEMBRE</v>
          </cell>
          <cell r="D3125" t="str">
            <v>2016</v>
          </cell>
          <cell r="E3125">
            <v>638</v>
          </cell>
          <cell r="F3125" t="str">
            <v>C5R-895</v>
          </cell>
          <cell r="G3125" t="str">
            <v>TBL-976</v>
          </cell>
          <cell r="H3125" t="str">
            <v>LAS BAMBAS</v>
          </cell>
          <cell r="I3125">
            <v>171517</v>
          </cell>
          <cell r="J3125" t="str">
            <v>REPUESTO</v>
          </cell>
          <cell r="K3125" t="str">
            <v>ARANDELA PLANA 1/2</v>
          </cell>
          <cell r="L3125">
            <v>4</v>
          </cell>
          <cell r="M3125" t="str">
            <v>UNID.</v>
          </cell>
          <cell r="N3125" t="str">
            <v>TRACTO</v>
          </cell>
          <cell r="O3125">
            <v>66</v>
          </cell>
          <cell r="P3125" t="str">
            <v>M4</v>
          </cell>
          <cell r="Q3125" t="str">
            <v>J2</v>
          </cell>
          <cell r="R3125" t="str">
            <v>J6</v>
          </cell>
          <cell r="S3125" t="str">
            <v>PENDIENTE</v>
          </cell>
          <cell r="T3125">
            <v>0</v>
          </cell>
          <cell r="U3125" t="str">
            <v>JULLIRI APAZA UBALDO</v>
          </cell>
          <cell r="V3125" t="str">
            <v>CORIHUAMAN SURCO  ERICK ROBERT</v>
          </cell>
        </row>
        <row r="3126">
          <cell r="A3126">
            <v>3141</v>
          </cell>
          <cell r="B3126">
            <v>42724</v>
          </cell>
          <cell r="C3126" t="str">
            <v>DICIEMBRE</v>
          </cell>
          <cell r="D3126" t="str">
            <v>2016</v>
          </cell>
          <cell r="E3126">
            <v>638</v>
          </cell>
          <cell r="F3126" t="str">
            <v>C5R-895</v>
          </cell>
          <cell r="G3126" t="str">
            <v>TBL-976</v>
          </cell>
          <cell r="H3126" t="str">
            <v>LAS BAMBAS</v>
          </cell>
          <cell r="I3126">
            <v>171517</v>
          </cell>
          <cell r="J3126" t="str">
            <v>REPUESTO</v>
          </cell>
          <cell r="K3126" t="str">
            <v>PERNO 3/8 X 4 1/2</v>
          </cell>
          <cell r="L3126">
            <v>5</v>
          </cell>
          <cell r="M3126" t="str">
            <v>UNID.</v>
          </cell>
          <cell r="N3126" t="str">
            <v>TRACTO</v>
          </cell>
          <cell r="O3126">
            <v>66</v>
          </cell>
          <cell r="P3126" t="str">
            <v>M4</v>
          </cell>
          <cell r="Q3126" t="str">
            <v>J2</v>
          </cell>
          <cell r="R3126" t="str">
            <v>J6</v>
          </cell>
          <cell r="S3126" t="str">
            <v>PENDIENTE</v>
          </cell>
          <cell r="T3126">
            <v>0</v>
          </cell>
          <cell r="U3126" t="str">
            <v>JULLIRI APAZA UBALDO</v>
          </cell>
          <cell r="V3126" t="str">
            <v>CORIHUAMAN SURCO  ERICK ROBERT</v>
          </cell>
        </row>
        <row r="3127">
          <cell r="A3127">
            <v>3142</v>
          </cell>
          <cell r="B3127">
            <v>42724</v>
          </cell>
          <cell r="C3127" t="str">
            <v>DICIEMBRE</v>
          </cell>
          <cell r="D3127" t="str">
            <v>2016</v>
          </cell>
          <cell r="E3127">
            <v>638</v>
          </cell>
          <cell r="F3127" t="str">
            <v>C5R-895</v>
          </cell>
          <cell r="G3127" t="str">
            <v>TBL-976</v>
          </cell>
          <cell r="H3127" t="str">
            <v>LAS BAMBAS</v>
          </cell>
          <cell r="I3127">
            <v>171517</v>
          </cell>
          <cell r="J3127" t="str">
            <v>REPUESTO</v>
          </cell>
          <cell r="K3127" t="str">
            <v>TUERCA SEGURO 3/8</v>
          </cell>
          <cell r="L3127">
            <v>5</v>
          </cell>
          <cell r="M3127" t="str">
            <v>UNID.</v>
          </cell>
          <cell r="N3127" t="str">
            <v>TRACTO</v>
          </cell>
          <cell r="O3127">
            <v>66</v>
          </cell>
          <cell r="P3127" t="str">
            <v>M4</v>
          </cell>
          <cell r="Q3127" t="str">
            <v>J2</v>
          </cell>
          <cell r="R3127" t="str">
            <v>J6</v>
          </cell>
          <cell r="S3127" t="str">
            <v>PENDIENTE</v>
          </cell>
          <cell r="T3127">
            <v>0</v>
          </cell>
          <cell r="U3127" t="str">
            <v>JULLIRI APAZA UBALDO</v>
          </cell>
          <cell r="V3127" t="str">
            <v>CORIHUAMAN SURCO  ERICK ROBERT</v>
          </cell>
        </row>
        <row r="3128">
          <cell r="A3128">
            <v>3143</v>
          </cell>
          <cell r="B3128">
            <v>42724</v>
          </cell>
          <cell r="C3128" t="str">
            <v>DICIEMBRE</v>
          </cell>
          <cell r="D3128" t="str">
            <v>2016</v>
          </cell>
          <cell r="E3128">
            <v>638</v>
          </cell>
          <cell r="F3128" t="str">
            <v>C5R-895</v>
          </cell>
          <cell r="G3128" t="str">
            <v>TBL-976</v>
          </cell>
          <cell r="H3128" t="str">
            <v>LAS BAMBAS</v>
          </cell>
          <cell r="I3128">
            <v>171517</v>
          </cell>
          <cell r="J3128" t="str">
            <v>REPUESTO</v>
          </cell>
          <cell r="K3128" t="str">
            <v>ARANDELA PLANA 3/8</v>
          </cell>
          <cell r="L3128">
            <v>10</v>
          </cell>
          <cell r="M3128" t="str">
            <v>UNID.</v>
          </cell>
          <cell r="N3128" t="str">
            <v>TRACTO</v>
          </cell>
          <cell r="O3128">
            <v>66</v>
          </cell>
          <cell r="P3128" t="str">
            <v>M4</v>
          </cell>
          <cell r="Q3128" t="str">
            <v>J2</v>
          </cell>
          <cell r="R3128" t="str">
            <v>J6</v>
          </cell>
          <cell r="S3128" t="str">
            <v>PENDIENTE</v>
          </cell>
          <cell r="T3128">
            <v>0</v>
          </cell>
          <cell r="U3128" t="str">
            <v>JULLIRI APAZA UBALDO</v>
          </cell>
          <cell r="V3128" t="str">
            <v>CORIHUAMAN SURCO  ERICK ROBERT</v>
          </cell>
        </row>
        <row r="3129">
          <cell r="A3129">
            <v>3123</v>
          </cell>
          <cell r="B3129">
            <v>42724</v>
          </cell>
          <cell r="C3129" t="str">
            <v>DICIEMBRE</v>
          </cell>
          <cell r="D3129" t="str">
            <v>2016</v>
          </cell>
          <cell r="E3129">
            <v>639</v>
          </cell>
          <cell r="F3129" t="str">
            <v>C6X-739</v>
          </cell>
          <cell r="G3129" t="str">
            <v>TCS-988</v>
          </cell>
          <cell r="H3129" t="str">
            <v>LAS BAMBAS CONC.</v>
          </cell>
          <cell r="I3129">
            <v>231385</v>
          </cell>
          <cell r="J3129" t="str">
            <v>REPUESTO</v>
          </cell>
          <cell r="K3129" t="str">
            <v>MEDIDOR DE PRESION DE 120 PSI MODELO CURVO</v>
          </cell>
          <cell r="L3129">
            <v>1</v>
          </cell>
          <cell r="M3129" t="str">
            <v>UNID.</v>
          </cell>
          <cell r="N3129" t="str">
            <v>TRACTO</v>
          </cell>
          <cell r="O3129">
            <v>66</v>
          </cell>
          <cell r="P3129" t="str">
            <v>J3</v>
          </cell>
          <cell r="Q3129" t="str">
            <v>J3</v>
          </cell>
          <cell r="R3129" t="str">
            <v>J6</v>
          </cell>
          <cell r="S3129" t="str">
            <v>PENDIENTE</v>
          </cell>
          <cell r="T3129">
            <v>0</v>
          </cell>
          <cell r="U3129" t="str">
            <v>CHURA PIZARRO ALBERTO</v>
          </cell>
          <cell r="V3129" t="str">
            <v>CHURA PIZARRO ALBERTO</v>
          </cell>
        </row>
        <row r="3130">
          <cell r="A3130">
            <v>3124</v>
          </cell>
          <cell r="B3130">
            <v>42724</v>
          </cell>
          <cell r="C3130" t="str">
            <v>DICIEMBRE</v>
          </cell>
          <cell r="D3130" t="str">
            <v>2016</v>
          </cell>
          <cell r="E3130">
            <v>639</v>
          </cell>
          <cell r="F3130" t="str">
            <v>C6X-739</v>
          </cell>
          <cell r="G3130" t="str">
            <v>TCS-988</v>
          </cell>
          <cell r="H3130" t="str">
            <v>LAS BAMBAS CONC.</v>
          </cell>
          <cell r="I3130">
            <v>231385</v>
          </cell>
          <cell r="J3130" t="str">
            <v>REPUESTO</v>
          </cell>
          <cell r="K3130" t="str">
            <v>CHUT DE INFLADO PARA NIVELAR PRESIONES MODELO CURVO</v>
          </cell>
          <cell r="L3130">
            <v>1</v>
          </cell>
          <cell r="M3130" t="str">
            <v>UNID.</v>
          </cell>
          <cell r="N3130" t="str">
            <v>TRACTO</v>
          </cell>
          <cell r="O3130">
            <v>66</v>
          </cell>
          <cell r="P3130" t="str">
            <v>J3</v>
          </cell>
          <cell r="Q3130" t="str">
            <v>J3</v>
          </cell>
          <cell r="R3130" t="str">
            <v>J6</v>
          </cell>
          <cell r="S3130" t="str">
            <v>PENDIENTE</v>
          </cell>
          <cell r="T3130">
            <v>0</v>
          </cell>
          <cell r="U3130" t="str">
            <v>CHURA PIZARRO ALBERTO</v>
          </cell>
          <cell r="V3130" t="str">
            <v>CHURA PIZARRO ALBERTO</v>
          </cell>
        </row>
        <row r="3131">
          <cell r="A3131">
            <v>3154</v>
          </cell>
          <cell r="B3131">
            <v>42724</v>
          </cell>
          <cell r="C3131" t="str">
            <v>DICIEMBRE</v>
          </cell>
          <cell r="D3131" t="str">
            <v>2016</v>
          </cell>
          <cell r="E3131">
            <v>639</v>
          </cell>
          <cell r="F3131" t="str">
            <v>C6X-739</v>
          </cell>
          <cell r="G3131" t="str">
            <v>TCS-988</v>
          </cell>
          <cell r="H3131" t="str">
            <v>LAS BAMBAS CONC.</v>
          </cell>
          <cell r="I3131">
            <v>231385</v>
          </cell>
          <cell r="J3131" t="str">
            <v>REPUESTO</v>
          </cell>
          <cell r="K3131" t="str">
            <v>GASOLINA</v>
          </cell>
          <cell r="L3131">
            <v>1</v>
          </cell>
          <cell r="M3131" t="str">
            <v>GLNS.</v>
          </cell>
          <cell r="N3131" t="str">
            <v>TRACTO</v>
          </cell>
          <cell r="O3131">
            <v>66</v>
          </cell>
          <cell r="P3131" t="str">
            <v>M1</v>
          </cell>
          <cell r="Q3131" t="str">
            <v>J2</v>
          </cell>
          <cell r="R3131" t="str">
            <v>J5</v>
          </cell>
          <cell r="S3131" t="str">
            <v>PENDIENTE</v>
          </cell>
          <cell r="T3131">
            <v>0</v>
          </cell>
          <cell r="U3131" t="str">
            <v>CABEZAS SANCHEZ JEAN JHONATAN</v>
          </cell>
          <cell r="V3131" t="str">
            <v>CORIHUAMAN SURCO  ERICK ROBERT</v>
          </cell>
        </row>
        <row r="3132">
          <cell r="A3132">
            <v>3118</v>
          </cell>
          <cell r="B3132">
            <v>42724</v>
          </cell>
          <cell r="C3132" t="str">
            <v>DICIEMBRE</v>
          </cell>
          <cell r="D3132" t="str">
            <v>2016</v>
          </cell>
          <cell r="E3132">
            <v>646</v>
          </cell>
          <cell r="F3132" t="str">
            <v>D3O-742</v>
          </cell>
          <cell r="G3132" t="str">
            <v>B8L-971</v>
          </cell>
          <cell r="H3132" t="str">
            <v>LAS BAMBAS</v>
          </cell>
          <cell r="I3132">
            <v>188120</v>
          </cell>
          <cell r="J3132" t="str">
            <v>REPUESTO</v>
          </cell>
          <cell r="K3132" t="str">
            <v>PERNO 5/8 X 6</v>
          </cell>
          <cell r="L3132">
            <v>1</v>
          </cell>
          <cell r="M3132" t="str">
            <v>UNID.</v>
          </cell>
          <cell r="N3132" t="str">
            <v>TRACTO</v>
          </cell>
          <cell r="O3132">
            <v>66</v>
          </cell>
          <cell r="P3132" t="str">
            <v>M6</v>
          </cell>
          <cell r="Q3132" t="str">
            <v>J2</v>
          </cell>
          <cell r="R3132" t="str">
            <v>J6</v>
          </cell>
          <cell r="S3132" t="str">
            <v>PENDIENTE</v>
          </cell>
          <cell r="T3132">
            <v>0</v>
          </cell>
          <cell r="U3132" t="str">
            <v>PARI VENTURA  EDSON ORLANDO</v>
          </cell>
          <cell r="V3132" t="str">
            <v>CORIHUAMAN SURCO  ERICK ROBERT</v>
          </cell>
        </row>
        <row r="3133">
          <cell r="A3133">
            <v>3119</v>
          </cell>
          <cell r="B3133">
            <v>42724</v>
          </cell>
          <cell r="C3133" t="str">
            <v>DICIEMBRE</v>
          </cell>
          <cell r="D3133" t="str">
            <v>2016</v>
          </cell>
          <cell r="E3133">
            <v>646</v>
          </cell>
          <cell r="F3133" t="str">
            <v>D3O-742</v>
          </cell>
          <cell r="G3133" t="str">
            <v>B8L-971</v>
          </cell>
          <cell r="H3133" t="str">
            <v>LAS BAMBAS</v>
          </cell>
          <cell r="I3133">
            <v>188120</v>
          </cell>
          <cell r="J3133" t="str">
            <v>REPUESTO</v>
          </cell>
          <cell r="K3133" t="str">
            <v>TUERCA SEGURO 5/8</v>
          </cell>
          <cell r="L3133">
            <v>1</v>
          </cell>
          <cell r="M3133" t="str">
            <v>UNID.</v>
          </cell>
          <cell r="N3133" t="str">
            <v>TRACTO</v>
          </cell>
          <cell r="O3133">
            <v>66</v>
          </cell>
          <cell r="P3133" t="str">
            <v>M6</v>
          </cell>
          <cell r="Q3133" t="str">
            <v>J2</v>
          </cell>
          <cell r="R3133" t="str">
            <v>J6</v>
          </cell>
          <cell r="S3133" t="str">
            <v>PENDIENTE</v>
          </cell>
          <cell r="T3133">
            <v>0</v>
          </cell>
          <cell r="U3133" t="str">
            <v>PARI VENTURA  EDSON ORLANDO</v>
          </cell>
          <cell r="V3133" t="str">
            <v>CORIHUAMAN SURCO  ERICK ROBERT</v>
          </cell>
        </row>
        <row r="3134">
          <cell r="A3134">
            <v>3120</v>
          </cell>
          <cell r="B3134">
            <v>42724</v>
          </cell>
          <cell r="C3134" t="str">
            <v>DICIEMBRE</v>
          </cell>
          <cell r="D3134" t="str">
            <v>2016</v>
          </cell>
          <cell r="E3134">
            <v>646</v>
          </cell>
          <cell r="F3134" t="str">
            <v>D3O-742</v>
          </cell>
          <cell r="G3134" t="str">
            <v>B8L-971</v>
          </cell>
          <cell r="H3134" t="str">
            <v>LAS BAMBAS</v>
          </cell>
          <cell r="I3134">
            <v>188120</v>
          </cell>
          <cell r="J3134" t="str">
            <v>REPUESTO</v>
          </cell>
          <cell r="K3134" t="str">
            <v>LIQUIDO LIMPIAPARABRISAS</v>
          </cell>
          <cell r="L3134">
            <v>0.5</v>
          </cell>
          <cell r="M3134" t="str">
            <v>GLNS.</v>
          </cell>
          <cell r="N3134" t="str">
            <v>TRACTO</v>
          </cell>
          <cell r="O3134">
            <v>66</v>
          </cell>
          <cell r="P3134" t="str">
            <v>M6</v>
          </cell>
          <cell r="Q3134" t="str">
            <v>J2</v>
          </cell>
          <cell r="R3134" t="str">
            <v>J6</v>
          </cell>
          <cell r="S3134" t="str">
            <v>PENDIENTE</v>
          </cell>
          <cell r="T3134">
            <v>0</v>
          </cell>
          <cell r="U3134" t="str">
            <v>PARI VENTURA  EDSON ORLANDO</v>
          </cell>
          <cell r="V3134" t="str">
            <v>CORIHUAMAN SURCO  ERICK ROBERT</v>
          </cell>
        </row>
        <row r="3135">
          <cell r="A3135">
            <v>3108</v>
          </cell>
          <cell r="B3135">
            <v>42724</v>
          </cell>
          <cell r="C3135" t="str">
            <v>DICIEMBRE</v>
          </cell>
          <cell r="D3135" t="str">
            <v>2016</v>
          </cell>
          <cell r="E3135">
            <v>632</v>
          </cell>
          <cell r="F3135" t="str">
            <v>D3P-747</v>
          </cell>
          <cell r="G3135" t="str">
            <v>A0T-985</v>
          </cell>
          <cell r="H3135" t="str">
            <v>LAS BAMBAS</v>
          </cell>
          <cell r="I3135">
            <v>186478</v>
          </cell>
          <cell r="J3135" t="str">
            <v>REPUESTO</v>
          </cell>
          <cell r="K3135" t="str">
            <v>RACHET DE FRENO DE 10 DIENTES</v>
          </cell>
          <cell r="L3135">
            <v>1</v>
          </cell>
          <cell r="M3135" t="str">
            <v>UNID.</v>
          </cell>
          <cell r="N3135" t="str">
            <v>CISTERNA</v>
          </cell>
          <cell r="O3135">
            <v>66</v>
          </cell>
          <cell r="P3135" t="str">
            <v>M3</v>
          </cell>
          <cell r="Q3135" t="str">
            <v>J2</v>
          </cell>
          <cell r="R3135" t="str">
            <v>J6</v>
          </cell>
          <cell r="S3135" t="str">
            <v>PENDIENTE</v>
          </cell>
          <cell r="T3135">
            <v>0</v>
          </cell>
          <cell r="U3135" t="str">
            <v>GARCIA PASQUEL  JOSE LUIS</v>
          </cell>
          <cell r="V3135" t="str">
            <v>CORIHUAMAN SURCO  ERICK ROBERT</v>
          </cell>
        </row>
        <row r="3136">
          <cell r="A3136">
            <v>3129</v>
          </cell>
          <cell r="B3136">
            <v>42724</v>
          </cell>
          <cell r="C3136" t="str">
            <v>DICIEMBRE</v>
          </cell>
          <cell r="D3136" t="str">
            <v>2016</v>
          </cell>
          <cell r="E3136">
            <v>632</v>
          </cell>
          <cell r="F3136" t="str">
            <v>D3P-747</v>
          </cell>
          <cell r="G3136" t="str">
            <v>A0T-985</v>
          </cell>
          <cell r="H3136" t="str">
            <v>LAS BAMBAS</v>
          </cell>
          <cell r="I3136">
            <v>186478</v>
          </cell>
          <cell r="J3136" t="str">
            <v>REPUESTO</v>
          </cell>
          <cell r="K3136" t="str">
            <v>MANGUERA DE AIRE 3/8</v>
          </cell>
          <cell r="L3136">
            <v>3</v>
          </cell>
          <cell r="M3136" t="str">
            <v>M</v>
          </cell>
          <cell r="N3136" t="str">
            <v>CISTERNA</v>
          </cell>
          <cell r="O3136">
            <v>66</v>
          </cell>
          <cell r="P3136" t="str">
            <v>M3</v>
          </cell>
          <cell r="Q3136" t="str">
            <v>J2</v>
          </cell>
          <cell r="R3136" t="str">
            <v>J6</v>
          </cell>
          <cell r="S3136" t="str">
            <v>PENDIENTE</v>
          </cell>
          <cell r="T3136">
            <v>0</v>
          </cell>
          <cell r="U3136" t="str">
            <v>GARCIA PASQUEL  JOSE LUIS</v>
          </cell>
          <cell r="V3136" t="str">
            <v>CORIHUAMAN SURCO  ERICK ROBERT</v>
          </cell>
        </row>
        <row r="3137">
          <cell r="A3137">
            <v>3130</v>
          </cell>
          <cell r="B3137">
            <v>42724</v>
          </cell>
          <cell r="C3137" t="str">
            <v>DICIEMBRE</v>
          </cell>
          <cell r="D3137" t="str">
            <v>2016</v>
          </cell>
          <cell r="E3137">
            <v>632</v>
          </cell>
          <cell r="F3137" t="str">
            <v>D3P-747</v>
          </cell>
          <cell r="G3137" t="str">
            <v>A0T-985</v>
          </cell>
          <cell r="H3137" t="str">
            <v>LAS BAMBAS</v>
          </cell>
          <cell r="I3137">
            <v>186478</v>
          </cell>
          <cell r="J3137" t="str">
            <v>REPUESTO</v>
          </cell>
          <cell r="K3137" t="str">
            <v>CONOS 3/8</v>
          </cell>
          <cell r="L3137">
            <v>2</v>
          </cell>
          <cell r="M3137" t="str">
            <v>UNID.</v>
          </cell>
          <cell r="N3137" t="str">
            <v>CISTERNA</v>
          </cell>
          <cell r="O3137">
            <v>66</v>
          </cell>
          <cell r="P3137" t="str">
            <v>M3</v>
          </cell>
          <cell r="Q3137" t="str">
            <v>J2</v>
          </cell>
          <cell r="R3137" t="str">
            <v>J6</v>
          </cell>
          <cell r="S3137" t="str">
            <v>PENDIENTE</v>
          </cell>
          <cell r="T3137">
            <v>0</v>
          </cell>
          <cell r="U3137" t="str">
            <v>GARCIA PASQUEL  JOSE LUIS</v>
          </cell>
          <cell r="V3137" t="str">
            <v>CORIHUAMAN SURCO  ERICK ROBERT</v>
          </cell>
        </row>
        <row r="3138">
          <cell r="A3138">
            <v>3131</v>
          </cell>
          <cell r="B3138">
            <v>42724</v>
          </cell>
          <cell r="C3138" t="str">
            <v>DICIEMBRE</v>
          </cell>
          <cell r="D3138" t="str">
            <v>2016</v>
          </cell>
          <cell r="E3138">
            <v>632</v>
          </cell>
          <cell r="F3138" t="str">
            <v>D3P-747</v>
          </cell>
          <cell r="G3138" t="str">
            <v>A0T-985</v>
          </cell>
          <cell r="H3138" t="str">
            <v>LAS BAMBAS</v>
          </cell>
          <cell r="I3138">
            <v>186478</v>
          </cell>
          <cell r="J3138" t="str">
            <v>REPUESTO</v>
          </cell>
          <cell r="K3138" t="str">
            <v>GUIA 3/8</v>
          </cell>
          <cell r="L3138">
            <v>2</v>
          </cell>
          <cell r="M3138" t="str">
            <v>UNID.</v>
          </cell>
          <cell r="N3138" t="str">
            <v>CISTERNA</v>
          </cell>
          <cell r="O3138">
            <v>66</v>
          </cell>
          <cell r="P3138" t="str">
            <v>M3</v>
          </cell>
          <cell r="Q3138" t="str">
            <v>J2</v>
          </cell>
          <cell r="R3138" t="str">
            <v>J6</v>
          </cell>
          <cell r="S3138" t="str">
            <v>PENDIENTE</v>
          </cell>
          <cell r="T3138">
            <v>0</v>
          </cell>
          <cell r="U3138" t="str">
            <v>GARCIA PASQUEL  JOSE LUIS</v>
          </cell>
          <cell r="V3138" t="str">
            <v>CORIHUAMAN SURCO  ERICK ROBERT</v>
          </cell>
        </row>
        <row r="3139">
          <cell r="A3139">
            <v>3132</v>
          </cell>
          <cell r="B3139">
            <v>42724</v>
          </cell>
          <cell r="C3139" t="str">
            <v>DICIEMBRE</v>
          </cell>
          <cell r="D3139" t="str">
            <v>2016</v>
          </cell>
          <cell r="E3139">
            <v>632</v>
          </cell>
          <cell r="F3139" t="str">
            <v>D3P-747</v>
          </cell>
          <cell r="G3139" t="str">
            <v>A0T-985</v>
          </cell>
          <cell r="H3139" t="str">
            <v>LAS BAMBAS</v>
          </cell>
          <cell r="I3139">
            <v>186478</v>
          </cell>
          <cell r="J3139" t="str">
            <v>REPUESTO</v>
          </cell>
          <cell r="K3139" t="str">
            <v>TUERCA 3/8</v>
          </cell>
          <cell r="L3139">
            <v>2</v>
          </cell>
          <cell r="M3139" t="str">
            <v>UNID.</v>
          </cell>
          <cell r="N3139" t="str">
            <v>CISTERNA</v>
          </cell>
          <cell r="O3139">
            <v>66</v>
          </cell>
          <cell r="P3139" t="str">
            <v>M3</v>
          </cell>
          <cell r="Q3139" t="str">
            <v>J2</v>
          </cell>
          <cell r="R3139" t="str">
            <v>J6</v>
          </cell>
          <cell r="S3139" t="str">
            <v>PENDIENTE</v>
          </cell>
          <cell r="T3139">
            <v>0</v>
          </cell>
          <cell r="U3139" t="str">
            <v>GARCIA PASQUEL  JOSE LUIS</v>
          </cell>
          <cell r="V3139" t="str">
            <v>CORIHUAMAN SURCO  ERICK ROBERT</v>
          </cell>
        </row>
        <row r="3140">
          <cell r="A3140">
            <v>3134</v>
          </cell>
          <cell r="B3140">
            <v>42724</v>
          </cell>
          <cell r="C3140" t="str">
            <v>DICIEMBRE</v>
          </cell>
          <cell r="D3140" t="str">
            <v>2016</v>
          </cell>
          <cell r="E3140">
            <v>632</v>
          </cell>
          <cell r="F3140" t="str">
            <v>D3P-747</v>
          </cell>
          <cell r="G3140" t="str">
            <v>A0T-985</v>
          </cell>
          <cell r="H3140" t="str">
            <v>LAS BAMBAS</v>
          </cell>
          <cell r="I3140">
            <v>186478</v>
          </cell>
          <cell r="J3140" t="str">
            <v>REPUESTO</v>
          </cell>
          <cell r="K3140" t="str">
            <v>FOCOS LAGRIMONES AMBAR 12 V</v>
          </cell>
          <cell r="L3140">
            <v>2</v>
          </cell>
          <cell r="M3140" t="str">
            <v>UNID.</v>
          </cell>
          <cell r="N3140" t="str">
            <v>TRACTO</v>
          </cell>
          <cell r="O3140">
            <v>66</v>
          </cell>
          <cell r="P3140" t="str">
            <v>E2</v>
          </cell>
          <cell r="Q3140" t="str">
            <v>J2</v>
          </cell>
          <cell r="R3140" t="str">
            <v>J6</v>
          </cell>
          <cell r="S3140" t="str">
            <v>PENDIENTE</v>
          </cell>
          <cell r="T3140">
            <v>0</v>
          </cell>
          <cell r="U3140" t="str">
            <v>YUCA BELLIDO BORIS YERSY</v>
          </cell>
          <cell r="V3140" t="str">
            <v>CORIHUAMAN SURCO  ERICK ROBERT</v>
          </cell>
        </row>
        <row r="3141">
          <cell r="A3141">
            <v>3144</v>
          </cell>
          <cell r="B3141">
            <v>42724</v>
          </cell>
          <cell r="C3141" t="str">
            <v>DICIEMBRE</v>
          </cell>
          <cell r="D3141" t="str">
            <v>2016</v>
          </cell>
          <cell r="E3141">
            <v>632</v>
          </cell>
          <cell r="F3141" t="str">
            <v>D3P-747</v>
          </cell>
          <cell r="G3141" t="str">
            <v>A0T-985</v>
          </cell>
          <cell r="H3141" t="str">
            <v>LAS BAMBAS</v>
          </cell>
          <cell r="I3141">
            <v>186478</v>
          </cell>
          <cell r="J3141" t="str">
            <v>REPUESTO</v>
          </cell>
          <cell r="K3141" t="str">
            <v>ACCESORIOS PARA PULPO DE AIRE</v>
          </cell>
          <cell r="L3141">
            <v>1</v>
          </cell>
          <cell r="M3141" t="str">
            <v>UNID.</v>
          </cell>
          <cell r="N3141" t="str">
            <v>CISTERNA</v>
          </cell>
          <cell r="O3141">
            <v>66</v>
          </cell>
          <cell r="P3141" t="str">
            <v>M3</v>
          </cell>
          <cell r="Q3141" t="str">
            <v>J2</v>
          </cell>
          <cell r="R3141" t="str">
            <v>J6</v>
          </cell>
          <cell r="S3141" t="str">
            <v>PENDIENTE</v>
          </cell>
          <cell r="T3141">
            <v>0</v>
          </cell>
          <cell r="U3141" t="str">
            <v>GARCIA PASQUEL  JOSE LUIS</v>
          </cell>
          <cell r="V3141" t="str">
            <v>CORIHUAMAN SURCO  ERICK ROBERT</v>
          </cell>
        </row>
        <row r="3142">
          <cell r="A3142">
            <v>3155</v>
          </cell>
          <cell r="B3142">
            <v>42724</v>
          </cell>
          <cell r="C3142" t="str">
            <v>DICIEMBRE</v>
          </cell>
          <cell r="D3142" t="str">
            <v>2016</v>
          </cell>
          <cell r="E3142">
            <v>631</v>
          </cell>
          <cell r="F3142" t="str">
            <v>D3R-791</v>
          </cell>
          <cell r="G3142" t="str">
            <v>B1M-993</v>
          </cell>
          <cell r="H3142" t="str">
            <v>LAS BAMBAS</v>
          </cell>
          <cell r="I3142">
            <v>141416</v>
          </cell>
          <cell r="J3142" t="str">
            <v>REPUESTO</v>
          </cell>
          <cell r="K3142" t="str">
            <v>LIQUIDO REFRIGERANTE</v>
          </cell>
          <cell r="L3142">
            <v>2</v>
          </cell>
          <cell r="M3142" t="str">
            <v>GLNS.</v>
          </cell>
          <cell r="N3142" t="str">
            <v>TRACTO</v>
          </cell>
          <cell r="O3142">
            <v>66</v>
          </cell>
          <cell r="P3142" t="str">
            <v>M8</v>
          </cell>
          <cell r="Q3142" t="str">
            <v>J2</v>
          </cell>
          <cell r="R3142" t="str">
            <v>J5</v>
          </cell>
          <cell r="S3142" t="str">
            <v>PENDIENTE</v>
          </cell>
          <cell r="T3142">
            <v>0</v>
          </cell>
          <cell r="U3142" t="str">
            <v>VARILLAS GAGO  OSCAR ALBERTO</v>
          </cell>
          <cell r="V3142" t="str">
            <v>CORIHUAMAN SURCO  ERICK ROBERT</v>
          </cell>
        </row>
        <row r="3143">
          <cell r="A3143">
            <v>3109</v>
          </cell>
          <cell r="B3143">
            <v>42724</v>
          </cell>
          <cell r="C3143" t="str">
            <v>DICIEMBRE</v>
          </cell>
          <cell r="D3143" t="str">
            <v>2016</v>
          </cell>
          <cell r="E3143">
            <v>634</v>
          </cell>
          <cell r="F3143" t="str">
            <v>D3S-767</v>
          </cell>
          <cell r="G3143" t="str">
            <v>B8L-973</v>
          </cell>
          <cell r="H3143" t="str">
            <v>LAS BAMBAS</v>
          </cell>
          <cell r="I3143">
            <v>186850</v>
          </cell>
          <cell r="J3143" t="str">
            <v>REPUESTO</v>
          </cell>
          <cell r="K3143" t="str">
            <v>FAJA DE ALTERNADOR</v>
          </cell>
          <cell r="L3143">
            <v>1</v>
          </cell>
          <cell r="M3143" t="str">
            <v>UNID.</v>
          </cell>
          <cell r="N3143" t="str">
            <v>TRACTO</v>
          </cell>
          <cell r="O3143">
            <v>66</v>
          </cell>
          <cell r="P3143" t="str">
            <v>M2</v>
          </cell>
          <cell r="Q3143" t="str">
            <v>J2</v>
          </cell>
          <cell r="R3143" t="str">
            <v>J6</v>
          </cell>
          <cell r="S3143" t="str">
            <v>PENDIENTE</v>
          </cell>
          <cell r="T3143">
            <v>0</v>
          </cell>
          <cell r="U3143" t="str">
            <v>CHUMPITAZ GAGO JULIO ENRIQUE</v>
          </cell>
          <cell r="V3143" t="str">
            <v>CORIHUAMAN SURCO  ERICK ROBERT</v>
          </cell>
        </row>
        <row r="3144">
          <cell r="A3144">
            <v>3152</v>
          </cell>
          <cell r="B3144">
            <v>42724</v>
          </cell>
          <cell r="C3144" t="str">
            <v>DICIEMBRE</v>
          </cell>
          <cell r="D3144" t="str">
            <v>2016</v>
          </cell>
          <cell r="E3144">
            <v>634</v>
          </cell>
          <cell r="F3144" t="str">
            <v>D3S-767</v>
          </cell>
          <cell r="G3144" t="str">
            <v>B8L-973</v>
          </cell>
          <cell r="H3144" t="str">
            <v>LAS BAMBAS</v>
          </cell>
          <cell r="I3144">
            <v>186850</v>
          </cell>
          <cell r="J3144" t="str">
            <v>REPUESTO</v>
          </cell>
          <cell r="K3144" t="str">
            <v xml:space="preserve">ACCESORIOS PARA PULPO </v>
          </cell>
          <cell r="L3144">
            <v>1</v>
          </cell>
          <cell r="M3144" t="str">
            <v>UNID.</v>
          </cell>
          <cell r="N3144" t="str">
            <v>CISTERNA</v>
          </cell>
          <cell r="O3144">
            <v>66</v>
          </cell>
          <cell r="P3144" t="str">
            <v>M2</v>
          </cell>
          <cell r="Q3144" t="str">
            <v>J2</v>
          </cell>
          <cell r="R3144" t="str">
            <v>J5</v>
          </cell>
          <cell r="S3144" t="str">
            <v>PENDIENTE</v>
          </cell>
          <cell r="T3144">
            <v>0</v>
          </cell>
          <cell r="U3144" t="str">
            <v>CHUMPITAZ GAGO JULIO ENRIQUE</v>
          </cell>
          <cell r="V3144" t="str">
            <v>CORIHUAMAN SURCO  ERICK ROBERT</v>
          </cell>
        </row>
        <row r="3145">
          <cell r="A3145">
            <v>3101</v>
          </cell>
          <cell r="B3145">
            <v>42724</v>
          </cell>
          <cell r="C3145" t="str">
            <v>DICIEMBRE</v>
          </cell>
          <cell r="D3145" t="str">
            <v>2016</v>
          </cell>
          <cell r="E3145">
            <v>200</v>
          </cell>
          <cell r="F3145" t="str">
            <v>TALLER</v>
          </cell>
          <cell r="G3145" t="str">
            <v>TALLER</v>
          </cell>
          <cell r="H3145" t="str">
            <v>TALLER</v>
          </cell>
          <cell r="I3145" t="str">
            <v>TALLER</v>
          </cell>
          <cell r="J3145" t="str">
            <v>INSUMO TALLER</v>
          </cell>
          <cell r="K3145" t="str">
            <v>PERNO AURROSCANTE 3/16 X 3/4 CON SU DADO</v>
          </cell>
          <cell r="L3145">
            <v>1</v>
          </cell>
          <cell r="M3145" t="str">
            <v>UNID.</v>
          </cell>
          <cell r="N3145" t="str">
            <v>TALLER</v>
          </cell>
          <cell r="O3145">
            <v>66</v>
          </cell>
          <cell r="P3145" t="str">
            <v>S1</v>
          </cell>
          <cell r="Q3145" t="str">
            <v>J2</v>
          </cell>
          <cell r="R3145" t="str">
            <v>J6</v>
          </cell>
          <cell r="S3145" t="str">
            <v>PENDIENTE</v>
          </cell>
          <cell r="T3145">
            <v>0</v>
          </cell>
          <cell r="U3145" t="str">
            <v>BAYONA CRUZ CRISTIAN ARMANDO</v>
          </cell>
          <cell r="V3145" t="str">
            <v>CORIHUAMAN SURCO  ERICK ROBERT</v>
          </cell>
        </row>
        <row r="3146">
          <cell r="A3146">
            <v>3102</v>
          </cell>
          <cell r="B3146">
            <v>42724</v>
          </cell>
          <cell r="C3146" t="str">
            <v>DICIEMBRE</v>
          </cell>
          <cell r="D3146" t="str">
            <v>2016</v>
          </cell>
          <cell r="E3146">
            <v>200</v>
          </cell>
          <cell r="F3146" t="str">
            <v>TALLER</v>
          </cell>
          <cell r="G3146" t="str">
            <v>TALLER</v>
          </cell>
          <cell r="H3146" t="str">
            <v>TALLER</v>
          </cell>
          <cell r="I3146" t="str">
            <v>TALLER</v>
          </cell>
          <cell r="J3146" t="str">
            <v>INSUMO TALLER</v>
          </cell>
          <cell r="K3146" t="str">
            <v>FLUORESCENTES</v>
          </cell>
          <cell r="L3146">
            <v>2</v>
          </cell>
          <cell r="M3146" t="str">
            <v>UNID.</v>
          </cell>
          <cell r="N3146" t="str">
            <v>TALLER</v>
          </cell>
          <cell r="O3146">
            <v>66</v>
          </cell>
          <cell r="P3146" t="str">
            <v>S1</v>
          </cell>
          <cell r="Q3146" t="str">
            <v>J2</v>
          </cell>
          <cell r="R3146" t="str">
            <v>J6</v>
          </cell>
          <cell r="S3146" t="str">
            <v>PENDIENTE</v>
          </cell>
          <cell r="T3146">
            <v>0</v>
          </cell>
          <cell r="U3146" t="str">
            <v>BAYONA CRUZ CRISTIAN ARMANDO</v>
          </cell>
          <cell r="V3146" t="str">
            <v>CORIHUAMAN SURCO  ERICK ROBERT</v>
          </cell>
        </row>
        <row r="3147">
          <cell r="A3147">
            <v>3103</v>
          </cell>
          <cell r="B3147">
            <v>42724</v>
          </cell>
          <cell r="C3147" t="str">
            <v>DICIEMBRE</v>
          </cell>
          <cell r="D3147" t="str">
            <v>2016</v>
          </cell>
          <cell r="E3147">
            <v>200</v>
          </cell>
          <cell r="F3147" t="str">
            <v>TALLER</v>
          </cell>
          <cell r="G3147" t="str">
            <v>TALLER</v>
          </cell>
          <cell r="H3147" t="str">
            <v>TALLER</v>
          </cell>
          <cell r="I3147" t="str">
            <v>TALLER</v>
          </cell>
          <cell r="J3147" t="str">
            <v>INSUMO TALLER</v>
          </cell>
          <cell r="K3147" t="str">
            <v>CABLE DE LUZ NRO. 12</v>
          </cell>
          <cell r="L3147">
            <v>40</v>
          </cell>
          <cell r="M3147" t="str">
            <v>M</v>
          </cell>
          <cell r="N3147" t="str">
            <v>TALLER</v>
          </cell>
          <cell r="O3147">
            <v>66</v>
          </cell>
          <cell r="P3147" t="str">
            <v>S1</v>
          </cell>
          <cell r="Q3147" t="str">
            <v>J2</v>
          </cell>
          <cell r="R3147" t="str">
            <v>J6</v>
          </cell>
          <cell r="S3147" t="str">
            <v>PENDIENTE</v>
          </cell>
          <cell r="T3147">
            <v>0</v>
          </cell>
          <cell r="U3147" t="str">
            <v>BAYONA CRUZ CRISTIAN ARMANDO</v>
          </cell>
          <cell r="V3147" t="str">
            <v>CORIHUAMAN SURCO  ERICK ROBERT</v>
          </cell>
        </row>
        <row r="3148">
          <cell r="A3148">
            <v>3104</v>
          </cell>
          <cell r="B3148">
            <v>42724</v>
          </cell>
          <cell r="C3148" t="str">
            <v>DICIEMBRE</v>
          </cell>
          <cell r="D3148" t="str">
            <v>2016</v>
          </cell>
          <cell r="E3148">
            <v>200</v>
          </cell>
          <cell r="F3148" t="str">
            <v>TALLER</v>
          </cell>
          <cell r="G3148" t="str">
            <v>TALLER</v>
          </cell>
          <cell r="H3148" t="str">
            <v>TALLER</v>
          </cell>
          <cell r="I3148" t="str">
            <v>TALLER</v>
          </cell>
          <cell r="J3148" t="str">
            <v>INSUMO TALLER</v>
          </cell>
          <cell r="K3148" t="str">
            <v>MENNEKES HEMBRA MONOFASICO</v>
          </cell>
          <cell r="L3148">
            <v>1</v>
          </cell>
          <cell r="M3148" t="str">
            <v>UNID.</v>
          </cell>
          <cell r="N3148" t="str">
            <v>TALLER</v>
          </cell>
          <cell r="O3148">
            <v>66</v>
          </cell>
          <cell r="P3148" t="str">
            <v>S1</v>
          </cell>
          <cell r="Q3148" t="str">
            <v>J2</v>
          </cell>
          <cell r="R3148" t="str">
            <v>J6</v>
          </cell>
          <cell r="S3148" t="str">
            <v>PENDIENTE</v>
          </cell>
          <cell r="T3148">
            <v>0</v>
          </cell>
          <cell r="U3148" t="str">
            <v>BAYONA CRUZ CRISTIAN ARMANDO</v>
          </cell>
          <cell r="V3148" t="str">
            <v>CORIHUAMAN SURCO  ERICK ROBERT</v>
          </cell>
        </row>
        <row r="3149">
          <cell r="A3149">
            <v>3105</v>
          </cell>
          <cell r="B3149">
            <v>42724</v>
          </cell>
          <cell r="C3149" t="str">
            <v>DICIEMBRE</v>
          </cell>
          <cell r="D3149" t="str">
            <v>2016</v>
          </cell>
          <cell r="E3149">
            <v>200</v>
          </cell>
          <cell r="F3149" t="str">
            <v>TALLER</v>
          </cell>
          <cell r="G3149" t="str">
            <v>TALLER</v>
          </cell>
          <cell r="H3149" t="str">
            <v>TALLER</v>
          </cell>
          <cell r="I3149" t="str">
            <v>TALLER</v>
          </cell>
          <cell r="J3149" t="str">
            <v>INSUMO TALLER</v>
          </cell>
          <cell r="K3149" t="str">
            <v>MENNEKES MACHO MONOFASICO</v>
          </cell>
          <cell r="L3149">
            <v>1</v>
          </cell>
          <cell r="M3149" t="str">
            <v>UNID.</v>
          </cell>
          <cell r="N3149" t="str">
            <v>TALLER</v>
          </cell>
          <cell r="O3149">
            <v>66</v>
          </cell>
          <cell r="P3149" t="str">
            <v>S1</v>
          </cell>
          <cell r="Q3149" t="str">
            <v>J2</v>
          </cell>
          <cell r="R3149" t="str">
            <v>J6</v>
          </cell>
          <cell r="S3149" t="str">
            <v>PENDIENTE</v>
          </cell>
          <cell r="T3149">
            <v>0</v>
          </cell>
          <cell r="U3149" t="str">
            <v>BAYONA CRUZ CRISTIAN ARMANDO</v>
          </cell>
          <cell r="V3149" t="str">
            <v>CORIHUAMAN SURCO  ERICK ROBERT</v>
          </cell>
        </row>
        <row r="3150">
          <cell r="A3150">
            <v>3106</v>
          </cell>
          <cell r="B3150">
            <v>42724</v>
          </cell>
          <cell r="C3150" t="str">
            <v>DICIEMBRE</v>
          </cell>
          <cell r="D3150" t="str">
            <v>2016</v>
          </cell>
          <cell r="E3150">
            <v>200</v>
          </cell>
          <cell r="F3150" t="str">
            <v>TALLER</v>
          </cell>
          <cell r="G3150" t="str">
            <v>TALLER</v>
          </cell>
          <cell r="H3150" t="str">
            <v>TALLER</v>
          </cell>
          <cell r="I3150" t="str">
            <v>TALLER</v>
          </cell>
          <cell r="J3150" t="str">
            <v>INSUMO TALLER</v>
          </cell>
          <cell r="K3150" t="str">
            <v>MENNEKES HEMBRA TRIFASICO</v>
          </cell>
          <cell r="L3150">
            <v>1</v>
          </cell>
          <cell r="M3150" t="str">
            <v>UNID.</v>
          </cell>
          <cell r="N3150" t="str">
            <v>CISTERNA</v>
          </cell>
          <cell r="O3150">
            <v>66</v>
          </cell>
          <cell r="P3150" t="str">
            <v>S1</v>
          </cell>
          <cell r="Q3150" t="str">
            <v>J2</v>
          </cell>
          <cell r="R3150" t="str">
            <v>J6</v>
          </cell>
          <cell r="S3150" t="str">
            <v>PENDIENTE</v>
          </cell>
          <cell r="T3150">
            <v>0</v>
          </cell>
          <cell r="U3150" t="str">
            <v>BAYONA CRUZ CRISTIAN ARMANDO</v>
          </cell>
          <cell r="V3150" t="str">
            <v>CORIHUAMAN SURCO  ERICK ROBERT</v>
          </cell>
        </row>
        <row r="3151">
          <cell r="A3151">
            <v>3107</v>
          </cell>
          <cell r="B3151">
            <v>42724</v>
          </cell>
          <cell r="C3151" t="str">
            <v>DICIEMBRE</v>
          </cell>
          <cell r="D3151" t="str">
            <v>2016</v>
          </cell>
          <cell r="E3151">
            <v>200</v>
          </cell>
          <cell r="F3151" t="str">
            <v>TALLER</v>
          </cell>
          <cell r="G3151" t="str">
            <v>TALLER</v>
          </cell>
          <cell r="H3151" t="str">
            <v>TALLER</v>
          </cell>
          <cell r="I3151" t="str">
            <v>TALLER</v>
          </cell>
          <cell r="J3151" t="str">
            <v>INSUMO TALLER</v>
          </cell>
          <cell r="K3151" t="str">
            <v>MENNEKES MACHO TRIFASICO</v>
          </cell>
          <cell r="L3151">
            <v>1</v>
          </cell>
          <cell r="M3151" t="str">
            <v>UNID.</v>
          </cell>
          <cell r="N3151" t="str">
            <v>TRACTO</v>
          </cell>
          <cell r="O3151">
            <v>66</v>
          </cell>
          <cell r="P3151" t="str">
            <v>S1</v>
          </cell>
          <cell r="Q3151" t="str">
            <v>J2</v>
          </cell>
          <cell r="R3151" t="str">
            <v>J6</v>
          </cell>
          <cell r="S3151" t="str">
            <v>PENDIENTE</v>
          </cell>
          <cell r="T3151">
            <v>0</v>
          </cell>
          <cell r="U3151" t="str">
            <v>BAYONA CRUZ CRISTIAN ARMANDO</v>
          </cell>
          <cell r="V3151" t="str">
            <v>CORIHUAMAN SURCO  ERICK ROBERT</v>
          </cell>
        </row>
        <row r="3152">
          <cell r="A3152">
            <v>3145</v>
          </cell>
          <cell r="B3152">
            <v>42724</v>
          </cell>
          <cell r="C3152" t="str">
            <v>DICIEMBRE</v>
          </cell>
          <cell r="D3152" t="str">
            <v>2016</v>
          </cell>
          <cell r="E3152">
            <v>200</v>
          </cell>
          <cell r="F3152" t="str">
            <v>TALLER</v>
          </cell>
          <cell r="G3152" t="str">
            <v>TALLER</v>
          </cell>
          <cell r="H3152" t="str">
            <v>TALLER</v>
          </cell>
          <cell r="I3152" t="str">
            <v>TALLER</v>
          </cell>
          <cell r="J3152" t="str">
            <v>INSUMO TALLER</v>
          </cell>
          <cell r="K3152" t="str">
            <v>TRAPOS SUELTOS</v>
          </cell>
          <cell r="L3152">
            <v>1</v>
          </cell>
          <cell r="M3152" t="str">
            <v>KG.</v>
          </cell>
          <cell r="N3152" t="str">
            <v>TALLER</v>
          </cell>
          <cell r="O3152">
            <v>66</v>
          </cell>
          <cell r="P3152" t="str">
            <v>J6</v>
          </cell>
          <cell r="Q3152" t="str">
            <v>J2</v>
          </cell>
          <cell r="R3152" t="str">
            <v>J6</v>
          </cell>
          <cell r="S3152" t="str">
            <v>PENDIENTE</v>
          </cell>
          <cell r="T3152">
            <v>0</v>
          </cell>
          <cell r="U3152" t="str">
            <v>VILLANUEVA BEJAR  YHORDAN MICHEL</v>
          </cell>
          <cell r="V3152" t="str">
            <v>CORIHUAMAN SURCO  ERICK ROBERT</v>
          </cell>
        </row>
        <row r="3153">
          <cell r="A3153">
            <v>3146</v>
          </cell>
          <cell r="B3153">
            <v>42724</v>
          </cell>
          <cell r="C3153" t="str">
            <v>DICIEMBRE</v>
          </cell>
          <cell r="D3153" t="str">
            <v>2016</v>
          </cell>
          <cell r="E3153">
            <v>200</v>
          </cell>
          <cell r="F3153" t="str">
            <v>TALLER</v>
          </cell>
          <cell r="G3153" t="str">
            <v>TALLER</v>
          </cell>
          <cell r="H3153" t="str">
            <v>TALLER</v>
          </cell>
          <cell r="I3153" t="str">
            <v>TALLER</v>
          </cell>
          <cell r="J3153" t="str">
            <v>INSUMO TALLER</v>
          </cell>
          <cell r="K3153" t="str">
            <v>MALLA METALICA  ( COCO DE 2 X 2) ESPESOR DE 1/8 ALTURA 3 M</v>
          </cell>
          <cell r="L3153">
            <v>19</v>
          </cell>
          <cell r="M3153" t="str">
            <v>M</v>
          </cell>
          <cell r="N3153" t="str">
            <v>TALLER</v>
          </cell>
          <cell r="O3153">
            <v>66</v>
          </cell>
          <cell r="P3153" t="str">
            <v>S1</v>
          </cell>
          <cell r="Q3153" t="str">
            <v>J2</v>
          </cell>
          <cell r="R3153" t="str">
            <v>J6</v>
          </cell>
          <cell r="S3153" t="str">
            <v>PENDIENTE</v>
          </cell>
          <cell r="T3153">
            <v>0</v>
          </cell>
          <cell r="U3153" t="str">
            <v>BAYONA CRUZ CRISTIAN ARMANDO</v>
          </cell>
          <cell r="V3153" t="str">
            <v>CORIHUAMAN SURCO  ERICK ROBERT</v>
          </cell>
        </row>
        <row r="3154">
          <cell r="A3154">
            <v>3151</v>
          </cell>
          <cell r="B3154">
            <v>42724</v>
          </cell>
          <cell r="C3154" t="str">
            <v>DICIEMBRE</v>
          </cell>
          <cell r="D3154" t="str">
            <v>2016</v>
          </cell>
          <cell r="E3154">
            <v>200</v>
          </cell>
          <cell r="F3154" t="str">
            <v>TALLER</v>
          </cell>
          <cell r="G3154" t="str">
            <v>TALLER</v>
          </cell>
          <cell r="H3154" t="str">
            <v>TALLER</v>
          </cell>
          <cell r="I3154" t="str">
            <v>TALLER</v>
          </cell>
          <cell r="J3154" t="str">
            <v>INSUMO TALLER</v>
          </cell>
          <cell r="K3154" t="str">
            <v>PLUMON NEGRO</v>
          </cell>
          <cell r="L3154">
            <v>1</v>
          </cell>
          <cell r="M3154" t="str">
            <v>UNID.</v>
          </cell>
          <cell r="N3154" t="str">
            <v>TALLER</v>
          </cell>
          <cell r="O3154">
            <v>66</v>
          </cell>
          <cell r="P3154" t="str">
            <v>N2</v>
          </cell>
          <cell r="Q3154" t="str">
            <v>J3</v>
          </cell>
          <cell r="R3154" t="str">
            <v>J5</v>
          </cell>
          <cell r="S3154" t="str">
            <v>PENDIENTE</v>
          </cell>
          <cell r="T3154">
            <v>0</v>
          </cell>
          <cell r="U3154" t="str">
            <v>MAMANI LARICO  EDUARDO ALVARO</v>
          </cell>
          <cell r="V3154" t="str">
            <v>CHURA PIZARRO ALBERTO</v>
          </cell>
        </row>
        <row r="3155">
          <cell r="A3155">
            <v>3153</v>
          </cell>
          <cell r="B3155">
            <v>42724</v>
          </cell>
          <cell r="C3155" t="str">
            <v>DICIEMBRE</v>
          </cell>
          <cell r="D3155" t="str">
            <v>2016</v>
          </cell>
          <cell r="E3155">
            <v>200</v>
          </cell>
          <cell r="F3155" t="str">
            <v>TALLER</v>
          </cell>
          <cell r="G3155" t="str">
            <v>TALLER</v>
          </cell>
          <cell r="H3155" t="str">
            <v>TALLER</v>
          </cell>
          <cell r="I3155" t="str">
            <v>TALLER</v>
          </cell>
          <cell r="J3155" t="str">
            <v>REPUESTO</v>
          </cell>
          <cell r="K3155" t="str">
            <v>LIMPIACONTACTO</v>
          </cell>
          <cell r="L3155">
            <v>1</v>
          </cell>
          <cell r="M3155" t="str">
            <v>UNID.</v>
          </cell>
          <cell r="N3155" t="str">
            <v>TALLER</v>
          </cell>
          <cell r="O3155">
            <v>66</v>
          </cell>
          <cell r="P3155" t="str">
            <v>M8</v>
          </cell>
          <cell r="Q3155" t="str">
            <v>J2</v>
          </cell>
          <cell r="R3155" t="str">
            <v>J5</v>
          </cell>
          <cell r="S3155" t="str">
            <v>PENDIENTE</v>
          </cell>
          <cell r="T3155">
            <v>0</v>
          </cell>
          <cell r="U3155" t="str">
            <v>VARILLAS GAGO  OSCAR ALBERTO</v>
          </cell>
          <cell r="V3155" t="str">
            <v>CORIHUAMAN SURCO  ERICK ROBERT</v>
          </cell>
        </row>
        <row r="3156">
          <cell r="A3156">
            <v>3156</v>
          </cell>
          <cell r="B3156">
            <v>42724</v>
          </cell>
          <cell r="C3156" t="str">
            <v>DICIEMBRE</v>
          </cell>
          <cell r="D3156" t="str">
            <v>2016</v>
          </cell>
          <cell r="E3156">
            <v>200</v>
          </cell>
          <cell r="F3156" t="str">
            <v>TALLER</v>
          </cell>
          <cell r="G3156" t="str">
            <v>TALLER</v>
          </cell>
          <cell r="H3156" t="str">
            <v>TALLER</v>
          </cell>
          <cell r="I3156" t="str">
            <v>TALLER</v>
          </cell>
          <cell r="J3156" t="str">
            <v>REPUESTO</v>
          </cell>
          <cell r="K3156" t="str">
            <v xml:space="preserve">DISCO DE CORTE 4" </v>
          </cell>
          <cell r="L3156">
            <v>1</v>
          </cell>
          <cell r="M3156" t="str">
            <v>UNID.</v>
          </cell>
          <cell r="N3156" t="str">
            <v>TALLER</v>
          </cell>
          <cell r="O3156">
            <v>66</v>
          </cell>
          <cell r="P3156" t="str">
            <v>S3</v>
          </cell>
          <cell r="Q3156" t="str">
            <v>J2</v>
          </cell>
          <cell r="R3156" t="str">
            <v>J5</v>
          </cell>
          <cell r="S3156" t="str">
            <v>PENDIENTE</v>
          </cell>
          <cell r="T3156">
            <v>0</v>
          </cell>
          <cell r="U3156" t="str">
            <v>JIMENEZ MACHACA JAVIER</v>
          </cell>
          <cell r="V3156" t="str">
            <v>CORIHUAMAN SURCO  ERICK ROBERT</v>
          </cell>
        </row>
        <row r="3157">
          <cell r="A3157">
            <v>3157</v>
          </cell>
          <cell r="B3157">
            <v>42724</v>
          </cell>
          <cell r="C3157" t="str">
            <v>DICIEMBRE</v>
          </cell>
          <cell r="D3157" t="str">
            <v>2016</v>
          </cell>
          <cell r="E3157">
            <v>200</v>
          </cell>
          <cell r="F3157" t="str">
            <v>TALLER</v>
          </cell>
          <cell r="G3157" t="str">
            <v>TALLER</v>
          </cell>
          <cell r="H3157" t="str">
            <v>TALLER</v>
          </cell>
          <cell r="I3157" t="str">
            <v>TALLER</v>
          </cell>
          <cell r="J3157" t="str">
            <v>REPUESTO</v>
          </cell>
          <cell r="K3157" t="str">
            <v>TIZA DE CALDERO</v>
          </cell>
          <cell r="L3157">
            <v>1</v>
          </cell>
          <cell r="M3157" t="str">
            <v>UNID.</v>
          </cell>
          <cell r="N3157" t="str">
            <v>TALLER</v>
          </cell>
          <cell r="O3157">
            <v>66</v>
          </cell>
          <cell r="P3157" t="str">
            <v>S3</v>
          </cell>
          <cell r="Q3157" t="str">
            <v>J2</v>
          </cell>
          <cell r="R3157" t="str">
            <v>J5</v>
          </cell>
          <cell r="S3157" t="str">
            <v>PENDIENTE</v>
          </cell>
          <cell r="T3157">
            <v>0</v>
          </cell>
          <cell r="U3157" t="str">
            <v>JIMENEZ MACHACA JAVIER</v>
          </cell>
          <cell r="V3157" t="str">
            <v>CORIHUAMAN SURCO  ERICK ROBERT</v>
          </cell>
        </row>
        <row r="3158">
          <cell r="A3158">
            <v>3158</v>
          </cell>
          <cell r="B3158">
            <v>42724</v>
          </cell>
          <cell r="C3158" t="str">
            <v>DICIEMBRE</v>
          </cell>
          <cell r="D3158" t="str">
            <v>2016</v>
          </cell>
          <cell r="E3158">
            <v>200</v>
          </cell>
          <cell r="F3158" t="str">
            <v>TALLER</v>
          </cell>
          <cell r="G3158" t="str">
            <v>TALLER</v>
          </cell>
          <cell r="H3158" t="str">
            <v>TALLER</v>
          </cell>
          <cell r="I3158" t="str">
            <v>TALLER</v>
          </cell>
          <cell r="J3158" t="str">
            <v>REPUESTO</v>
          </cell>
          <cell r="K3158" t="str">
            <v>PERNO 1/4 X 1</v>
          </cell>
          <cell r="L3158">
            <v>8</v>
          </cell>
          <cell r="M3158" t="str">
            <v>UNID.</v>
          </cell>
          <cell r="N3158" t="str">
            <v>TALLER</v>
          </cell>
          <cell r="O3158">
            <v>66</v>
          </cell>
          <cell r="P3158" t="str">
            <v>S3</v>
          </cell>
          <cell r="Q3158" t="str">
            <v>J2</v>
          </cell>
          <cell r="R3158" t="str">
            <v>J5</v>
          </cell>
          <cell r="S3158" t="str">
            <v>PENDIENTE</v>
          </cell>
          <cell r="T3158">
            <v>0</v>
          </cell>
          <cell r="U3158" t="str">
            <v>JIMENEZ MACHACA JAVIER</v>
          </cell>
          <cell r="V3158" t="str">
            <v>CORIHUAMAN SURCO  ERICK ROBERT</v>
          </cell>
        </row>
        <row r="3159">
          <cell r="A3159">
            <v>3159</v>
          </cell>
          <cell r="B3159">
            <v>42724</v>
          </cell>
          <cell r="C3159" t="str">
            <v>DICIEMBRE</v>
          </cell>
          <cell r="D3159" t="str">
            <v>2016</v>
          </cell>
          <cell r="E3159">
            <v>200</v>
          </cell>
          <cell r="F3159" t="str">
            <v>TALLER</v>
          </cell>
          <cell r="G3159" t="str">
            <v>TALLER</v>
          </cell>
          <cell r="H3159" t="str">
            <v>TALLER</v>
          </cell>
          <cell r="I3159" t="str">
            <v>TALLER</v>
          </cell>
          <cell r="J3159" t="str">
            <v>REPUESTO</v>
          </cell>
          <cell r="K3159" t="str">
            <v xml:space="preserve">TUERCAS 1/4 </v>
          </cell>
          <cell r="L3159">
            <v>8</v>
          </cell>
          <cell r="M3159" t="str">
            <v>UNID.</v>
          </cell>
          <cell r="N3159" t="str">
            <v>TALLER</v>
          </cell>
          <cell r="O3159">
            <v>66</v>
          </cell>
          <cell r="P3159" t="str">
            <v>S3</v>
          </cell>
          <cell r="Q3159" t="str">
            <v>J2</v>
          </cell>
          <cell r="R3159" t="str">
            <v>J5</v>
          </cell>
          <cell r="S3159" t="str">
            <v>PENDIENTE</v>
          </cell>
          <cell r="T3159">
            <v>0</v>
          </cell>
          <cell r="U3159" t="str">
            <v>JIMENEZ MACHACA JAVIER</v>
          </cell>
          <cell r="V3159" t="str">
            <v>CORIHUAMAN SURCO  ERICK ROBERT</v>
          </cell>
        </row>
        <row r="3160">
          <cell r="A3160">
            <v>3160</v>
          </cell>
          <cell r="B3160">
            <v>42724</v>
          </cell>
          <cell r="C3160" t="str">
            <v>DICIEMBRE</v>
          </cell>
          <cell r="D3160" t="str">
            <v>2016</v>
          </cell>
          <cell r="E3160">
            <v>200</v>
          </cell>
          <cell r="F3160" t="str">
            <v>TALLER</v>
          </cell>
          <cell r="G3160" t="str">
            <v>TALLER</v>
          </cell>
          <cell r="H3160" t="str">
            <v>TALLER</v>
          </cell>
          <cell r="I3160" t="str">
            <v>TALLER</v>
          </cell>
          <cell r="J3160" t="str">
            <v>REPUESTO</v>
          </cell>
          <cell r="K3160" t="str">
            <v>TUERCA MARIPOSA 3/8</v>
          </cell>
          <cell r="L3160">
            <v>8</v>
          </cell>
          <cell r="M3160" t="str">
            <v>UNID.</v>
          </cell>
          <cell r="N3160" t="str">
            <v>TALLER</v>
          </cell>
          <cell r="O3160">
            <v>66</v>
          </cell>
          <cell r="P3160" t="str">
            <v>S3</v>
          </cell>
          <cell r="Q3160" t="str">
            <v>J2</v>
          </cell>
          <cell r="R3160" t="str">
            <v>J5</v>
          </cell>
          <cell r="S3160" t="str">
            <v>PENDIENTE</v>
          </cell>
          <cell r="T3160">
            <v>0</v>
          </cell>
          <cell r="U3160" t="str">
            <v>JIMENEZ MACHACA JAVIER</v>
          </cell>
          <cell r="V3160" t="str">
            <v>CORIHUAMAN SURCO  ERICK ROBERT</v>
          </cell>
        </row>
        <row r="3161">
          <cell r="A3161">
            <v>3166</v>
          </cell>
          <cell r="B3161">
            <v>42724</v>
          </cell>
          <cell r="C3161" t="str">
            <v>DICIEMBRE</v>
          </cell>
          <cell r="D3161" t="str">
            <v>2016</v>
          </cell>
          <cell r="E3161">
            <v>200</v>
          </cell>
          <cell r="F3161" t="str">
            <v>TALLER</v>
          </cell>
          <cell r="G3161" t="str">
            <v>TALLER</v>
          </cell>
          <cell r="H3161" t="str">
            <v>TALLER</v>
          </cell>
          <cell r="I3161" t="str">
            <v>TALLER</v>
          </cell>
          <cell r="J3161" t="str">
            <v>REPUESTO</v>
          </cell>
          <cell r="K3161" t="str">
            <v>TUERCAS 3/8</v>
          </cell>
          <cell r="L3161">
            <v>2</v>
          </cell>
          <cell r="M3161" t="str">
            <v>UNID.</v>
          </cell>
          <cell r="N3161" t="str">
            <v>TALLER</v>
          </cell>
          <cell r="O3161">
            <v>66</v>
          </cell>
          <cell r="P3161" t="str">
            <v>S3</v>
          </cell>
          <cell r="Q3161" t="str">
            <v>J2</v>
          </cell>
          <cell r="R3161" t="str">
            <v>J5</v>
          </cell>
          <cell r="S3161" t="str">
            <v>PENDIENTE</v>
          </cell>
          <cell r="T3161">
            <v>0</v>
          </cell>
          <cell r="U3161" t="str">
            <v>JIMENEZ MACHACA JAVIER</v>
          </cell>
          <cell r="V3161" t="str">
            <v>CORIHUAMAN SURCO  ERICK ROBERT</v>
          </cell>
        </row>
        <row r="3162">
          <cell r="A3162">
            <v>3167</v>
          </cell>
          <cell r="B3162">
            <v>42724</v>
          </cell>
          <cell r="C3162" t="str">
            <v>DICIEMBRE</v>
          </cell>
          <cell r="D3162" t="str">
            <v>2016</v>
          </cell>
          <cell r="E3162">
            <v>200</v>
          </cell>
          <cell r="F3162" t="str">
            <v>TALLER</v>
          </cell>
          <cell r="G3162" t="str">
            <v>TALLER</v>
          </cell>
          <cell r="H3162" t="str">
            <v>TALLER</v>
          </cell>
          <cell r="I3162" t="str">
            <v>TALLER</v>
          </cell>
          <cell r="J3162" t="str">
            <v>REPUESTO</v>
          </cell>
          <cell r="K3162" t="str">
            <v>PERNO 3/8 X 2</v>
          </cell>
          <cell r="L3162">
            <v>1</v>
          </cell>
          <cell r="M3162" t="str">
            <v>UNID.</v>
          </cell>
          <cell r="N3162" t="str">
            <v>TALLER</v>
          </cell>
          <cell r="O3162">
            <v>66</v>
          </cell>
          <cell r="P3162" t="str">
            <v>S3</v>
          </cell>
          <cell r="Q3162" t="str">
            <v>J2</v>
          </cell>
          <cell r="R3162" t="str">
            <v>J5</v>
          </cell>
          <cell r="S3162" t="str">
            <v>PENDIENTE</v>
          </cell>
          <cell r="T3162">
            <v>0</v>
          </cell>
          <cell r="U3162" t="str">
            <v>JIMENEZ MACHACA JAVIER</v>
          </cell>
          <cell r="V3162" t="str">
            <v>CORIHUAMAN SURCO  ERICK ROBERT</v>
          </cell>
        </row>
        <row r="3163">
          <cell r="A3163">
            <v>3168</v>
          </cell>
          <cell r="B3163">
            <v>42724</v>
          </cell>
          <cell r="C3163" t="str">
            <v>DICIEMBRE</v>
          </cell>
          <cell r="D3163" t="str">
            <v>2016</v>
          </cell>
          <cell r="E3163">
            <v>200</v>
          </cell>
          <cell r="F3163" t="str">
            <v>TALLER</v>
          </cell>
          <cell r="G3163" t="str">
            <v>TALLER</v>
          </cell>
          <cell r="H3163" t="str">
            <v>TALLER</v>
          </cell>
          <cell r="I3163" t="str">
            <v>TALLER</v>
          </cell>
          <cell r="J3163" t="str">
            <v>REPUESTO</v>
          </cell>
          <cell r="K3163" t="str">
            <v>SPRAY ALUMINIO</v>
          </cell>
          <cell r="L3163">
            <v>1</v>
          </cell>
          <cell r="M3163" t="str">
            <v>UNID.</v>
          </cell>
          <cell r="N3163" t="str">
            <v>TALLER</v>
          </cell>
          <cell r="O3163">
            <v>66</v>
          </cell>
          <cell r="P3163" t="str">
            <v>N2</v>
          </cell>
          <cell r="Q3163" t="str">
            <v>J3</v>
          </cell>
          <cell r="R3163" t="str">
            <v>J5</v>
          </cell>
          <cell r="S3163" t="str">
            <v>PENDIENTE</v>
          </cell>
          <cell r="T3163">
            <v>0</v>
          </cell>
          <cell r="U3163" t="str">
            <v>MAMANI LARICO  EDUARDO ALVARO</v>
          </cell>
          <cell r="V3163" t="str">
            <v>CHURA PIZARRO ALBERTO</v>
          </cell>
        </row>
        <row r="3164">
          <cell r="A3164">
            <v>3127</v>
          </cell>
          <cell r="B3164">
            <v>42724</v>
          </cell>
          <cell r="C3164" t="str">
            <v>DICIEMBRE</v>
          </cell>
          <cell r="D3164" t="str">
            <v>2016</v>
          </cell>
          <cell r="E3164">
            <v>615</v>
          </cell>
          <cell r="F3164" t="str">
            <v>X2W-759</v>
          </cell>
          <cell r="G3164" t="str">
            <v>C5V-999</v>
          </cell>
          <cell r="H3164" t="str">
            <v>LAS BAMBAS</v>
          </cell>
          <cell r="I3164">
            <v>155017</v>
          </cell>
          <cell r="J3164" t="str">
            <v>REPUESTO</v>
          </cell>
          <cell r="K3164" t="str">
            <v xml:space="preserve">PITONES RECTOS </v>
          </cell>
          <cell r="L3164">
            <v>4</v>
          </cell>
          <cell r="M3164" t="str">
            <v>UNID.</v>
          </cell>
          <cell r="N3164" t="str">
            <v>CISTERNA</v>
          </cell>
          <cell r="O3164">
            <v>66</v>
          </cell>
          <cell r="P3164" t="str">
            <v>N1</v>
          </cell>
          <cell r="Q3164" t="str">
            <v>J3</v>
          </cell>
          <cell r="R3164" t="str">
            <v>J6</v>
          </cell>
          <cell r="S3164" t="str">
            <v>PENDIENTE</v>
          </cell>
          <cell r="T3164">
            <v>0</v>
          </cell>
          <cell r="U3164" t="str">
            <v>AGUILAR CCANTUTA WILLY</v>
          </cell>
          <cell r="V3164" t="str">
            <v>CHURA PIZARRO ALBERTO</v>
          </cell>
        </row>
        <row r="3165">
          <cell r="A3165">
            <v>3128</v>
          </cell>
          <cell r="B3165">
            <v>42724</v>
          </cell>
          <cell r="C3165" t="str">
            <v>DICIEMBRE</v>
          </cell>
          <cell r="D3165" t="str">
            <v>2016</v>
          </cell>
          <cell r="E3165">
            <v>615</v>
          </cell>
          <cell r="F3165" t="str">
            <v>X2W-759</v>
          </cell>
          <cell r="G3165" t="str">
            <v>C5V-999</v>
          </cell>
          <cell r="H3165" t="str">
            <v>LAS BAMBAS</v>
          </cell>
          <cell r="I3165">
            <v>155017</v>
          </cell>
          <cell r="J3165" t="str">
            <v>REPUESTO</v>
          </cell>
          <cell r="K3165" t="str">
            <v>VALVULA DE PITON</v>
          </cell>
          <cell r="L3165">
            <v>8</v>
          </cell>
          <cell r="M3165" t="str">
            <v>UNID.</v>
          </cell>
          <cell r="N3165" t="str">
            <v>CISTERNA</v>
          </cell>
          <cell r="O3165">
            <v>66</v>
          </cell>
          <cell r="P3165" t="str">
            <v>N1</v>
          </cell>
          <cell r="Q3165" t="str">
            <v>J3</v>
          </cell>
          <cell r="R3165" t="str">
            <v>J6</v>
          </cell>
          <cell r="S3165" t="str">
            <v>PENDIENTE</v>
          </cell>
          <cell r="T3165">
            <v>0</v>
          </cell>
          <cell r="U3165" t="str">
            <v>AGUILAR CCANTUTA WILLY</v>
          </cell>
          <cell r="V3165" t="str">
            <v>CHURA PIZARRO ALBERTO</v>
          </cell>
        </row>
        <row r="3166">
          <cell r="A3166">
            <v>3147</v>
          </cell>
          <cell r="B3166">
            <v>42724</v>
          </cell>
          <cell r="C3166" t="str">
            <v>DICIEMBRE</v>
          </cell>
          <cell r="D3166" t="str">
            <v>2016</v>
          </cell>
          <cell r="E3166">
            <v>615</v>
          </cell>
          <cell r="F3166" t="str">
            <v>X2W-759</v>
          </cell>
          <cell r="G3166" t="str">
            <v>C5V-999</v>
          </cell>
          <cell r="H3166" t="str">
            <v>LAS BAMBAS</v>
          </cell>
          <cell r="I3166">
            <v>155017</v>
          </cell>
          <cell r="J3166" t="str">
            <v>REPUESTO</v>
          </cell>
          <cell r="K3166" t="str">
            <v>PERNO 1/4 X 1</v>
          </cell>
          <cell r="L3166">
            <v>1</v>
          </cell>
          <cell r="M3166" t="str">
            <v>UNID.</v>
          </cell>
          <cell r="N3166" t="str">
            <v>TRACTO</v>
          </cell>
          <cell r="O3166">
            <v>66</v>
          </cell>
          <cell r="P3166" t="str">
            <v>M4</v>
          </cell>
          <cell r="Q3166" t="str">
            <v>J2</v>
          </cell>
          <cell r="R3166" t="str">
            <v>J6</v>
          </cell>
          <cell r="S3166" t="str">
            <v>PENDIENTE</v>
          </cell>
          <cell r="T3166">
            <v>0</v>
          </cell>
          <cell r="U3166" t="str">
            <v>JULLIRI APAZA UBALDO</v>
          </cell>
          <cell r="V3166" t="str">
            <v>CORIHUAMAN SURCO  ERICK ROBERT</v>
          </cell>
        </row>
        <row r="3167">
          <cell r="A3167">
            <v>3148</v>
          </cell>
          <cell r="B3167">
            <v>42724</v>
          </cell>
          <cell r="C3167" t="str">
            <v>DICIEMBRE</v>
          </cell>
          <cell r="D3167" t="str">
            <v>2016</v>
          </cell>
          <cell r="E3167">
            <v>615</v>
          </cell>
          <cell r="F3167" t="str">
            <v>X2W-759</v>
          </cell>
          <cell r="G3167" t="str">
            <v>C5V-999</v>
          </cell>
          <cell r="H3167" t="str">
            <v>LAS BAMBAS</v>
          </cell>
          <cell r="I3167">
            <v>155017</v>
          </cell>
          <cell r="J3167" t="str">
            <v>REPUESTO</v>
          </cell>
          <cell r="K3167" t="str">
            <v>TUERCA SEGURO 1/4</v>
          </cell>
          <cell r="L3167">
            <v>1</v>
          </cell>
          <cell r="M3167" t="str">
            <v>UNID.</v>
          </cell>
          <cell r="N3167" t="str">
            <v>TRACTO</v>
          </cell>
          <cell r="O3167">
            <v>66</v>
          </cell>
          <cell r="P3167" t="str">
            <v>M4</v>
          </cell>
          <cell r="Q3167" t="str">
            <v>J2</v>
          </cell>
          <cell r="R3167" t="str">
            <v>J6</v>
          </cell>
          <cell r="S3167" t="str">
            <v>PENDIENTE</v>
          </cell>
          <cell r="T3167">
            <v>0</v>
          </cell>
          <cell r="U3167" t="str">
            <v>JULLIRI APAZA UBALDO</v>
          </cell>
          <cell r="V3167" t="str">
            <v>CORIHUAMAN SURCO  ERICK ROBERT</v>
          </cell>
        </row>
        <row r="3168">
          <cell r="A3168">
            <v>3149</v>
          </cell>
          <cell r="B3168">
            <v>42724</v>
          </cell>
          <cell r="C3168" t="str">
            <v>DICIEMBRE</v>
          </cell>
          <cell r="D3168" t="str">
            <v>2016</v>
          </cell>
          <cell r="E3168">
            <v>615</v>
          </cell>
          <cell r="F3168" t="str">
            <v>X2W-759</v>
          </cell>
          <cell r="G3168" t="str">
            <v>C5V-999</v>
          </cell>
          <cell r="H3168" t="str">
            <v>LAS BAMBAS</v>
          </cell>
          <cell r="I3168">
            <v>155017</v>
          </cell>
          <cell r="J3168" t="str">
            <v>REPUESTO</v>
          </cell>
          <cell r="K3168" t="str">
            <v>ARANDELA PLANA 1/4</v>
          </cell>
          <cell r="L3168">
            <v>2</v>
          </cell>
          <cell r="M3168" t="str">
            <v>UNID.</v>
          </cell>
          <cell r="N3168" t="str">
            <v>TRACTO</v>
          </cell>
          <cell r="O3168">
            <v>66</v>
          </cell>
          <cell r="P3168" t="str">
            <v>M4</v>
          </cell>
          <cell r="Q3168" t="str">
            <v>J2</v>
          </cell>
          <cell r="R3168" t="str">
            <v>J6</v>
          </cell>
          <cell r="S3168" t="str">
            <v>PENDIENTE</v>
          </cell>
          <cell r="T3168">
            <v>0</v>
          </cell>
          <cell r="U3168" t="str">
            <v>JULLIRI APAZA UBALDO</v>
          </cell>
          <cell r="V3168" t="str">
            <v>CORIHUAMAN SURCO  ERICK ROBERT</v>
          </cell>
        </row>
        <row r="3169">
          <cell r="A3169">
            <v>3135</v>
          </cell>
          <cell r="B3169">
            <v>42724</v>
          </cell>
          <cell r="C3169" t="str">
            <v>DICIEMBRE</v>
          </cell>
          <cell r="D3169" t="str">
            <v>2016</v>
          </cell>
          <cell r="E3169">
            <v>644</v>
          </cell>
          <cell r="F3169" t="str">
            <v>X2W-788</v>
          </cell>
          <cell r="G3169" t="str">
            <v>C5V-994</v>
          </cell>
          <cell r="H3169" t="str">
            <v>LAS BAMBAS</v>
          </cell>
          <cell r="I3169">
            <v>141678</v>
          </cell>
          <cell r="J3169" t="str">
            <v>REPUESTO</v>
          </cell>
          <cell r="K3169" t="str">
            <v>GUARDAFANGO COLOR NEGRO</v>
          </cell>
          <cell r="L3169">
            <v>1</v>
          </cell>
          <cell r="M3169" t="str">
            <v>UNID.</v>
          </cell>
          <cell r="N3169" t="str">
            <v>CISTERNA</v>
          </cell>
          <cell r="O3169">
            <v>66</v>
          </cell>
          <cell r="P3169" t="str">
            <v>M6</v>
          </cell>
          <cell r="Q3169" t="str">
            <v>J2</v>
          </cell>
          <cell r="R3169" t="str">
            <v>J6</v>
          </cell>
          <cell r="S3169" t="str">
            <v>PENDIENTE</v>
          </cell>
          <cell r="T3169">
            <v>0</v>
          </cell>
          <cell r="U3169" t="str">
            <v>PARI VENTURA  EDSON ORLANDO</v>
          </cell>
          <cell r="V3169" t="str">
            <v>CORIHUAMAN SURCO  ERICK ROBERT</v>
          </cell>
        </row>
        <row r="3170">
          <cell r="A3170">
            <v>3185</v>
          </cell>
          <cell r="B3170">
            <v>42725</v>
          </cell>
          <cell r="C3170" t="str">
            <v>DICIEMBRE</v>
          </cell>
          <cell r="D3170" t="str">
            <v>2016</v>
          </cell>
          <cell r="E3170">
            <v>538</v>
          </cell>
          <cell r="F3170" t="str">
            <v>A5O-859</v>
          </cell>
          <cell r="G3170" t="str">
            <v>B6Y-971</v>
          </cell>
          <cell r="H3170" t="str">
            <v>LAS BAMBAS</v>
          </cell>
          <cell r="I3170">
            <v>116556</v>
          </cell>
          <cell r="J3170" t="str">
            <v>REPUESTO</v>
          </cell>
          <cell r="K3170" t="str">
            <v>ELECTROVALVULA</v>
          </cell>
          <cell r="L3170">
            <v>1</v>
          </cell>
          <cell r="M3170" t="str">
            <v>UNID.</v>
          </cell>
          <cell r="N3170" t="str">
            <v>TRACTO</v>
          </cell>
          <cell r="O3170">
            <v>65</v>
          </cell>
          <cell r="P3170" t="str">
            <v>E1</v>
          </cell>
          <cell r="Q3170" t="str">
            <v>J2</v>
          </cell>
          <cell r="R3170" t="str">
            <v>J6</v>
          </cell>
          <cell r="S3170" t="str">
            <v>PENDIENTE</v>
          </cell>
          <cell r="T3170">
            <v>0</v>
          </cell>
          <cell r="U3170" t="str">
            <v>PALOMINO CARDENAS JUAN CARLOS</v>
          </cell>
          <cell r="V3170" t="str">
            <v>CORIHUAMAN SURCO  ERICK ROBERT</v>
          </cell>
        </row>
        <row r="3171">
          <cell r="A3171">
            <v>3196</v>
          </cell>
          <cell r="B3171">
            <v>42725</v>
          </cell>
          <cell r="C3171" t="str">
            <v>DICIEMBRE</v>
          </cell>
          <cell r="D3171" t="str">
            <v>2016</v>
          </cell>
          <cell r="E3171">
            <v>538</v>
          </cell>
          <cell r="F3171" t="str">
            <v>A5O-859</v>
          </cell>
          <cell r="G3171" t="str">
            <v>B6Y-971</v>
          </cell>
          <cell r="H3171" t="str">
            <v>LAS BAMBAS</v>
          </cell>
          <cell r="I3171">
            <v>116556</v>
          </cell>
          <cell r="J3171" t="str">
            <v>REPUESTO</v>
          </cell>
          <cell r="K3171" t="str">
            <v>NIPLE DE 1/4 X 1/4, 90 GRADOS (COMPLETO)</v>
          </cell>
          <cell r="L3171">
            <v>1</v>
          </cell>
          <cell r="M3171" t="str">
            <v>UNID.</v>
          </cell>
          <cell r="N3171" t="str">
            <v>TRACTO</v>
          </cell>
          <cell r="O3171">
            <v>65</v>
          </cell>
          <cell r="P3171" t="str">
            <v>M8</v>
          </cell>
          <cell r="Q3171" t="str">
            <v>J2</v>
          </cell>
          <cell r="R3171" t="str">
            <v>J6</v>
          </cell>
          <cell r="S3171" t="str">
            <v>PENDIENTE</v>
          </cell>
          <cell r="T3171">
            <v>0</v>
          </cell>
          <cell r="U3171" t="str">
            <v>VARILLAS GAGO  OSCAR ALBERTO</v>
          </cell>
          <cell r="V3171" t="str">
            <v>CORIHUAMAN SURCO  ERICK ROBERT</v>
          </cell>
        </row>
        <row r="3172">
          <cell r="A3172">
            <v>3200</v>
          </cell>
          <cell r="B3172">
            <v>42725</v>
          </cell>
          <cell r="C3172" t="str">
            <v>DICIEMBRE</v>
          </cell>
          <cell r="D3172" t="str">
            <v>2016</v>
          </cell>
          <cell r="E3172">
            <v>538</v>
          </cell>
          <cell r="F3172" t="str">
            <v>A5O-859</v>
          </cell>
          <cell r="G3172" t="str">
            <v>B6Y-971</v>
          </cell>
          <cell r="H3172" t="str">
            <v>LAS BAMBAS</v>
          </cell>
          <cell r="I3172">
            <v>116556</v>
          </cell>
          <cell r="J3172" t="str">
            <v>REPUESTO</v>
          </cell>
          <cell r="K3172" t="str">
            <v>MINIFUSIBLES 20 AMP</v>
          </cell>
          <cell r="L3172">
            <v>7</v>
          </cell>
          <cell r="M3172" t="str">
            <v>UNID.</v>
          </cell>
          <cell r="N3172" t="str">
            <v>TRACTO</v>
          </cell>
          <cell r="O3172">
            <v>65</v>
          </cell>
          <cell r="P3172" t="str">
            <v>E1</v>
          </cell>
          <cell r="Q3172" t="str">
            <v>J2</v>
          </cell>
          <cell r="R3172" t="str">
            <v>J6</v>
          </cell>
          <cell r="S3172" t="str">
            <v>PENDIENTE</v>
          </cell>
          <cell r="T3172">
            <v>0</v>
          </cell>
          <cell r="U3172" t="str">
            <v>PALOMINO CARDENAS JUAN CARLOS</v>
          </cell>
          <cell r="V3172" t="str">
            <v>CORIHUAMAN SURCO  ERICK ROBERT</v>
          </cell>
        </row>
        <row r="3173">
          <cell r="A3173">
            <v>3222</v>
          </cell>
          <cell r="B3173">
            <v>42725</v>
          </cell>
          <cell r="C3173" t="str">
            <v>DICIEMBRE</v>
          </cell>
          <cell r="D3173" t="str">
            <v>2016</v>
          </cell>
          <cell r="E3173">
            <v>649</v>
          </cell>
          <cell r="F3173" t="str">
            <v>AKW-731</v>
          </cell>
          <cell r="G3173" t="str">
            <v>TCR-989</v>
          </cell>
          <cell r="H3173" t="str">
            <v>LAS BAMBAS CONC.</v>
          </cell>
          <cell r="I3173">
            <v>27349</v>
          </cell>
          <cell r="J3173" t="str">
            <v>REPUESTO</v>
          </cell>
          <cell r="K3173" t="str">
            <v xml:space="preserve">MANGUERA EN ESPIRAL </v>
          </cell>
          <cell r="L3173">
            <v>1</v>
          </cell>
          <cell r="M3173" t="str">
            <v>UNID.</v>
          </cell>
          <cell r="N3173" t="str">
            <v>TRACTO</v>
          </cell>
          <cell r="O3173">
            <v>65</v>
          </cell>
          <cell r="P3173" t="str">
            <v>M1</v>
          </cell>
          <cell r="Q3173" t="str">
            <v>J2</v>
          </cell>
          <cell r="R3173" t="str">
            <v>J2</v>
          </cell>
          <cell r="S3173" t="str">
            <v>PENDIENTE</v>
          </cell>
          <cell r="T3173">
            <v>0</v>
          </cell>
          <cell r="U3173" t="str">
            <v>CABEZAS SANCHEZ JEAN JHONATAN</v>
          </cell>
          <cell r="V3173" t="str">
            <v>CORIHUAMAN SURCO  ERICK ROBERT</v>
          </cell>
        </row>
        <row r="3174">
          <cell r="A3174">
            <v>3223</v>
          </cell>
          <cell r="B3174">
            <v>42725</v>
          </cell>
          <cell r="C3174" t="str">
            <v>DICIEMBRE</v>
          </cell>
          <cell r="D3174" t="str">
            <v>2016</v>
          </cell>
          <cell r="E3174">
            <v>649</v>
          </cell>
          <cell r="F3174" t="str">
            <v>AKW-731</v>
          </cell>
          <cell r="G3174" t="str">
            <v>TCR-989</v>
          </cell>
          <cell r="H3174" t="str">
            <v>LAS BAMBAS CONC.</v>
          </cell>
          <cell r="I3174">
            <v>27349</v>
          </cell>
          <cell r="J3174" t="str">
            <v>REPUESTO</v>
          </cell>
          <cell r="K3174" t="str">
            <v>ACOPLE RAPIRO EN T DE 1/4</v>
          </cell>
          <cell r="L3174">
            <v>1</v>
          </cell>
          <cell r="M3174" t="str">
            <v>UNID.</v>
          </cell>
          <cell r="N3174" t="str">
            <v>TRACTO</v>
          </cell>
          <cell r="O3174">
            <v>65</v>
          </cell>
          <cell r="P3174" t="str">
            <v>M1</v>
          </cell>
          <cell r="Q3174" t="str">
            <v>J2</v>
          </cell>
          <cell r="R3174" t="str">
            <v>J2</v>
          </cell>
          <cell r="S3174" t="str">
            <v>PENDIENTE</v>
          </cell>
          <cell r="T3174">
            <v>0</v>
          </cell>
          <cell r="U3174" t="str">
            <v>CABEZAS SANCHEZ JEAN JHONATAN</v>
          </cell>
          <cell r="V3174" t="str">
            <v>CORIHUAMAN SURCO  ERICK ROBERT</v>
          </cell>
        </row>
        <row r="3175">
          <cell r="A3175">
            <v>3186</v>
          </cell>
          <cell r="B3175">
            <v>42725</v>
          </cell>
          <cell r="C3175" t="str">
            <v>DICIEMBRE</v>
          </cell>
          <cell r="D3175" t="str">
            <v>2016</v>
          </cell>
          <cell r="E3175">
            <v>645</v>
          </cell>
          <cell r="F3175" t="str">
            <v>AKW-894</v>
          </cell>
          <cell r="G3175" t="str">
            <v>TBN-978</v>
          </cell>
          <cell r="H3175" t="str">
            <v>LAS BAMBAS</v>
          </cell>
          <cell r="I3175">
            <v>41745</v>
          </cell>
          <cell r="J3175" t="str">
            <v>REPUESTO</v>
          </cell>
          <cell r="K3175" t="str">
            <v>PERNOS 1/4 X 1</v>
          </cell>
          <cell r="L3175">
            <v>4</v>
          </cell>
          <cell r="M3175" t="str">
            <v>UNID.</v>
          </cell>
          <cell r="N3175" t="str">
            <v>TRACTO</v>
          </cell>
          <cell r="O3175">
            <v>65</v>
          </cell>
          <cell r="P3175" t="str">
            <v>M3</v>
          </cell>
          <cell r="Q3175" t="str">
            <v>J2</v>
          </cell>
          <cell r="R3175" t="str">
            <v>J6</v>
          </cell>
          <cell r="S3175" t="str">
            <v>PENDIENTE</v>
          </cell>
          <cell r="T3175">
            <v>0</v>
          </cell>
          <cell r="U3175" t="str">
            <v>GARCIA PASQUEL  JOSE LUIS</v>
          </cell>
          <cell r="V3175" t="str">
            <v>CORIHUAMAN SURCO  ERICK ROBERT</v>
          </cell>
        </row>
        <row r="3176">
          <cell r="A3176">
            <v>3187</v>
          </cell>
          <cell r="B3176">
            <v>42725</v>
          </cell>
          <cell r="C3176" t="str">
            <v>DICIEMBRE</v>
          </cell>
          <cell r="D3176" t="str">
            <v>2016</v>
          </cell>
          <cell r="E3176">
            <v>645</v>
          </cell>
          <cell r="F3176" t="str">
            <v>AKW-894</v>
          </cell>
          <cell r="G3176" t="str">
            <v>TBN-978</v>
          </cell>
          <cell r="H3176" t="str">
            <v>LAS BAMBAS</v>
          </cell>
          <cell r="I3176">
            <v>41745</v>
          </cell>
          <cell r="J3176" t="str">
            <v>REPUESTO</v>
          </cell>
          <cell r="K3176" t="str">
            <v>TUERCA 1/4</v>
          </cell>
          <cell r="L3176">
            <v>4</v>
          </cell>
          <cell r="M3176" t="str">
            <v>UNID.</v>
          </cell>
          <cell r="N3176" t="str">
            <v>TRACTO</v>
          </cell>
          <cell r="O3176">
            <v>65</v>
          </cell>
          <cell r="P3176" t="str">
            <v>M3</v>
          </cell>
          <cell r="Q3176" t="str">
            <v>J2</v>
          </cell>
          <cell r="R3176" t="str">
            <v>J6</v>
          </cell>
          <cell r="S3176" t="str">
            <v>PENDIENTE</v>
          </cell>
          <cell r="T3176">
            <v>0</v>
          </cell>
          <cell r="U3176" t="str">
            <v>GARCIA PASQUEL  JOSE LUIS</v>
          </cell>
          <cell r="V3176" t="str">
            <v>CORIHUAMAN SURCO  ERICK ROBERT</v>
          </cell>
        </row>
        <row r="3177">
          <cell r="A3177">
            <v>3188</v>
          </cell>
          <cell r="B3177">
            <v>42725</v>
          </cell>
          <cell r="C3177" t="str">
            <v>DICIEMBRE</v>
          </cell>
          <cell r="D3177" t="str">
            <v>2016</v>
          </cell>
          <cell r="E3177">
            <v>645</v>
          </cell>
          <cell r="F3177" t="str">
            <v>AKW-894</v>
          </cell>
          <cell r="G3177" t="str">
            <v>TBN-978</v>
          </cell>
          <cell r="H3177" t="str">
            <v>LAS BAMBAS</v>
          </cell>
          <cell r="I3177">
            <v>41745</v>
          </cell>
          <cell r="J3177" t="str">
            <v>REPUESTO</v>
          </cell>
          <cell r="K3177" t="str">
            <v>ARANDELA PLANA 1/4</v>
          </cell>
          <cell r="L3177">
            <v>8</v>
          </cell>
          <cell r="M3177" t="str">
            <v>UNID.</v>
          </cell>
          <cell r="N3177" t="str">
            <v>TRACTO</v>
          </cell>
          <cell r="O3177">
            <v>65</v>
          </cell>
          <cell r="P3177" t="str">
            <v>M3</v>
          </cell>
          <cell r="Q3177" t="str">
            <v>J2</v>
          </cell>
          <cell r="R3177" t="str">
            <v>J6</v>
          </cell>
          <cell r="S3177" t="str">
            <v>PENDIENTE</v>
          </cell>
          <cell r="T3177">
            <v>0</v>
          </cell>
          <cell r="U3177" t="str">
            <v>GARCIA PASQUEL  JOSE LUIS</v>
          </cell>
          <cell r="V3177" t="str">
            <v>CORIHUAMAN SURCO  ERICK ROBERT</v>
          </cell>
        </row>
        <row r="3178">
          <cell r="A3178">
            <v>3189</v>
          </cell>
          <cell r="B3178">
            <v>42725</v>
          </cell>
          <cell r="C3178" t="str">
            <v>DICIEMBRE</v>
          </cell>
          <cell r="D3178" t="str">
            <v>2016</v>
          </cell>
          <cell r="E3178">
            <v>645</v>
          </cell>
          <cell r="F3178" t="str">
            <v>AKW-894</v>
          </cell>
          <cell r="G3178" t="str">
            <v>TBN-978</v>
          </cell>
          <cell r="H3178" t="str">
            <v>LAS BAMBAS</v>
          </cell>
          <cell r="I3178">
            <v>41745</v>
          </cell>
          <cell r="J3178" t="str">
            <v>REPUESTO</v>
          </cell>
          <cell r="K3178" t="str">
            <v>FOCO DE UN CONTACTO DE 12 V</v>
          </cell>
          <cell r="L3178">
            <v>1</v>
          </cell>
          <cell r="M3178" t="str">
            <v>UNID.</v>
          </cell>
          <cell r="N3178" t="str">
            <v>TALLER</v>
          </cell>
          <cell r="O3178">
            <v>65</v>
          </cell>
          <cell r="P3178" t="str">
            <v>E2</v>
          </cell>
          <cell r="Q3178" t="str">
            <v>J2</v>
          </cell>
          <cell r="R3178" t="str">
            <v>J6</v>
          </cell>
          <cell r="S3178" t="str">
            <v>PENDIENTE</v>
          </cell>
          <cell r="T3178">
            <v>0</v>
          </cell>
          <cell r="U3178" t="str">
            <v>YUCA BELLIDO BORIS YERSY</v>
          </cell>
          <cell r="V3178" t="str">
            <v>CORIHUAMAN SURCO  ERICK ROBERT</v>
          </cell>
        </row>
        <row r="3179">
          <cell r="A3179">
            <v>3190</v>
          </cell>
          <cell r="B3179">
            <v>42725</v>
          </cell>
          <cell r="C3179" t="str">
            <v>DICIEMBRE</v>
          </cell>
          <cell r="D3179" t="str">
            <v>2016</v>
          </cell>
          <cell r="E3179">
            <v>645</v>
          </cell>
          <cell r="F3179" t="str">
            <v>AKW-894</v>
          </cell>
          <cell r="G3179" t="str">
            <v>TBN-978</v>
          </cell>
          <cell r="H3179" t="str">
            <v>LAS BAMBAS</v>
          </cell>
          <cell r="I3179">
            <v>41745</v>
          </cell>
          <cell r="J3179" t="str">
            <v>REPUESTO</v>
          </cell>
          <cell r="K3179" t="str">
            <v>CINTA NEGRA</v>
          </cell>
          <cell r="L3179">
            <v>1</v>
          </cell>
          <cell r="M3179" t="str">
            <v>UNID.</v>
          </cell>
          <cell r="N3179" t="str">
            <v>TALLER</v>
          </cell>
          <cell r="O3179">
            <v>65</v>
          </cell>
          <cell r="P3179" t="str">
            <v>E2</v>
          </cell>
          <cell r="Q3179" t="str">
            <v>J2</v>
          </cell>
          <cell r="R3179" t="str">
            <v>J6</v>
          </cell>
          <cell r="S3179" t="str">
            <v>PENDIENTE</v>
          </cell>
          <cell r="T3179">
            <v>0</v>
          </cell>
          <cell r="U3179" t="str">
            <v>YUCA BELLIDO BORIS YERSY</v>
          </cell>
          <cell r="V3179" t="str">
            <v>CORIHUAMAN SURCO  ERICK ROBERT</v>
          </cell>
        </row>
        <row r="3180">
          <cell r="A3180">
            <v>3191</v>
          </cell>
          <cell r="B3180">
            <v>42725</v>
          </cell>
          <cell r="C3180" t="str">
            <v>DICIEMBRE</v>
          </cell>
          <cell r="D3180" t="str">
            <v>2016</v>
          </cell>
          <cell r="E3180">
            <v>645</v>
          </cell>
          <cell r="F3180" t="str">
            <v>AKW-894</v>
          </cell>
          <cell r="G3180" t="str">
            <v>TBN-978</v>
          </cell>
          <cell r="H3180" t="str">
            <v>LAS BAMBAS</v>
          </cell>
          <cell r="I3180">
            <v>41745</v>
          </cell>
          <cell r="J3180" t="str">
            <v>REPUESTO</v>
          </cell>
          <cell r="K3180" t="str">
            <v>SOLDIMIX</v>
          </cell>
          <cell r="L3180">
            <v>1</v>
          </cell>
          <cell r="M3180" t="str">
            <v>UNID.</v>
          </cell>
          <cell r="N3180" t="str">
            <v>TALLER</v>
          </cell>
          <cell r="O3180">
            <v>65</v>
          </cell>
          <cell r="P3180" t="str">
            <v>E2</v>
          </cell>
          <cell r="Q3180" t="str">
            <v>J2</v>
          </cell>
          <cell r="R3180" t="str">
            <v>J6</v>
          </cell>
          <cell r="S3180" t="str">
            <v>PENDIENTE</v>
          </cell>
          <cell r="T3180">
            <v>0</v>
          </cell>
          <cell r="U3180" t="str">
            <v>YUCA BELLIDO BORIS YERSY</v>
          </cell>
          <cell r="V3180" t="str">
            <v>CORIHUAMAN SURCO  ERICK ROBERT</v>
          </cell>
        </row>
        <row r="3181">
          <cell r="A3181">
            <v>3192</v>
          </cell>
          <cell r="B3181">
            <v>42725</v>
          </cell>
          <cell r="C3181" t="str">
            <v>DICIEMBRE</v>
          </cell>
          <cell r="D3181" t="str">
            <v>2016</v>
          </cell>
          <cell r="E3181">
            <v>645</v>
          </cell>
          <cell r="F3181" t="str">
            <v>AKW-894</v>
          </cell>
          <cell r="G3181" t="str">
            <v>TBN-978</v>
          </cell>
          <cell r="H3181" t="str">
            <v>LAS BAMBAS</v>
          </cell>
          <cell r="I3181">
            <v>41745</v>
          </cell>
          <cell r="J3181" t="str">
            <v>REPUESTO</v>
          </cell>
          <cell r="K3181" t="str">
            <v>TRIZ</v>
          </cell>
          <cell r="L3181">
            <v>1</v>
          </cell>
          <cell r="M3181" t="str">
            <v>UNID.</v>
          </cell>
          <cell r="N3181" t="str">
            <v>TALLER</v>
          </cell>
          <cell r="O3181">
            <v>65</v>
          </cell>
          <cell r="P3181" t="str">
            <v>E2</v>
          </cell>
          <cell r="Q3181" t="str">
            <v>J2</v>
          </cell>
          <cell r="R3181" t="str">
            <v>J6</v>
          </cell>
          <cell r="S3181" t="str">
            <v>PENDIENTE</v>
          </cell>
          <cell r="T3181">
            <v>0</v>
          </cell>
          <cell r="U3181" t="str">
            <v>YUCA BELLIDO BORIS YERSY</v>
          </cell>
          <cell r="V3181" t="str">
            <v>CORIHUAMAN SURCO  ERICK ROBERT</v>
          </cell>
        </row>
        <row r="3182">
          <cell r="A3182">
            <v>3220</v>
          </cell>
          <cell r="B3182">
            <v>42725</v>
          </cell>
          <cell r="C3182" t="str">
            <v>DICIEMBRE</v>
          </cell>
          <cell r="D3182" t="str">
            <v>2016</v>
          </cell>
          <cell r="E3182">
            <v>633</v>
          </cell>
          <cell r="F3182" t="str">
            <v>AKX-805</v>
          </cell>
          <cell r="G3182" t="str">
            <v>F5Z-985</v>
          </cell>
          <cell r="H3182" t="str">
            <v>LAS BAMBAS</v>
          </cell>
          <cell r="I3182">
            <v>37238</v>
          </cell>
          <cell r="J3182" t="str">
            <v>REPUESTO</v>
          </cell>
          <cell r="K3182" t="str">
            <v>DISCO DE CORTE DE 4"</v>
          </cell>
          <cell r="L3182">
            <v>2</v>
          </cell>
          <cell r="M3182" t="str">
            <v>UNID.</v>
          </cell>
          <cell r="N3182" t="str">
            <v>TALLER</v>
          </cell>
          <cell r="O3182">
            <v>65</v>
          </cell>
          <cell r="P3182" t="str">
            <v>S4</v>
          </cell>
          <cell r="Q3182" t="str">
            <v>J2</v>
          </cell>
          <cell r="R3182" t="str">
            <v>J6</v>
          </cell>
          <cell r="S3182" t="str">
            <v>PENDIENTE</v>
          </cell>
          <cell r="T3182">
            <v>0</v>
          </cell>
          <cell r="U3182" t="str">
            <v>SURCO QUISPE JOHNNY</v>
          </cell>
          <cell r="V3182" t="str">
            <v>CORIHUAMAN SURCO  ERICK ROBERT</v>
          </cell>
        </row>
        <row r="3183">
          <cell r="A3183">
            <v>3221</v>
          </cell>
          <cell r="B3183">
            <v>42725</v>
          </cell>
          <cell r="C3183" t="str">
            <v>DICIEMBRE</v>
          </cell>
          <cell r="D3183" t="str">
            <v>2016</v>
          </cell>
          <cell r="E3183">
            <v>633</v>
          </cell>
          <cell r="F3183" t="str">
            <v>AKX-805</v>
          </cell>
          <cell r="G3183" t="str">
            <v>F5Z-985</v>
          </cell>
          <cell r="H3183" t="str">
            <v>LAS BAMBAS</v>
          </cell>
          <cell r="I3183">
            <v>37238</v>
          </cell>
          <cell r="J3183" t="str">
            <v>REPUESTO</v>
          </cell>
          <cell r="K3183" t="str">
            <v xml:space="preserve">PERNO M24 X5" CON TUERCA </v>
          </cell>
          <cell r="L3183">
            <v>1</v>
          </cell>
          <cell r="M3183" t="str">
            <v>UNID.</v>
          </cell>
          <cell r="N3183" t="str">
            <v>CISTERNA</v>
          </cell>
          <cell r="O3183">
            <v>65</v>
          </cell>
          <cell r="P3183" t="str">
            <v>M1</v>
          </cell>
          <cell r="Q3183" t="str">
            <v>J2</v>
          </cell>
          <cell r="R3183" t="str">
            <v>J1</v>
          </cell>
          <cell r="S3183" t="str">
            <v>PENDIENTE</v>
          </cell>
          <cell r="T3183">
            <v>0</v>
          </cell>
          <cell r="U3183" t="str">
            <v>CABEZAS SANCHEZ JEAN JHONATAN</v>
          </cell>
          <cell r="V3183" t="str">
            <v>CORIHUAMAN SURCO  ERICK ROBERT</v>
          </cell>
        </row>
        <row r="3184">
          <cell r="A3184">
            <v>3178</v>
          </cell>
          <cell r="B3184">
            <v>42725</v>
          </cell>
          <cell r="C3184" t="str">
            <v>DICIEMBRE</v>
          </cell>
          <cell r="D3184" t="str">
            <v>2016</v>
          </cell>
          <cell r="E3184">
            <v>530</v>
          </cell>
          <cell r="F3184" t="str">
            <v>C5R-892</v>
          </cell>
          <cell r="G3184" t="str">
            <v>A0T-983</v>
          </cell>
          <cell r="H3184" t="str">
            <v>LAS BAMBAS</v>
          </cell>
          <cell r="I3184">
            <v>226743</v>
          </cell>
          <cell r="J3184" t="str">
            <v>SERVICIO</v>
          </cell>
          <cell r="K3184" t="str">
            <v>SERVICIO DE TAPIZADO DE PISO DE CABINA</v>
          </cell>
          <cell r="L3184">
            <v>1</v>
          </cell>
          <cell r="M3184" t="str">
            <v>UNID.</v>
          </cell>
          <cell r="N3184" t="str">
            <v>TRACTO</v>
          </cell>
          <cell r="O3184">
            <v>65</v>
          </cell>
          <cell r="P3184" t="str">
            <v>J2</v>
          </cell>
          <cell r="Q3184" t="str">
            <v>J2</v>
          </cell>
          <cell r="R3184" t="str">
            <v>J6</v>
          </cell>
          <cell r="S3184" t="str">
            <v>PENDIENTE</v>
          </cell>
          <cell r="T3184">
            <v>0</v>
          </cell>
          <cell r="U3184" t="str">
            <v>CORIHUAMAN SURCO  ERICK ROBERT</v>
          </cell>
          <cell r="V3184" t="str">
            <v>CORIHUAMAN SURCO  ERICK ROBERT</v>
          </cell>
        </row>
        <row r="3185">
          <cell r="A3185">
            <v>3179</v>
          </cell>
          <cell r="B3185">
            <v>42725</v>
          </cell>
          <cell r="C3185" t="str">
            <v>DICIEMBRE</v>
          </cell>
          <cell r="D3185" t="str">
            <v>2016</v>
          </cell>
          <cell r="E3185">
            <v>530</v>
          </cell>
          <cell r="F3185" t="str">
            <v>C5R-892</v>
          </cell>
          <cell r="G3185" t="str">
            <v>A0T-983</v>
          </cell>
          <cell r="H3185" t="str">
            <v>LAS BAMBAS</v>
          </cell>
          <cell r="I3185">
            <v>226743</v>
          </cell>
          <cell r="J3185" t="str">
            <v>SERVICIO</v>
          </cell>
          <cell r="K3185" t="str">
            <v>SERVICIO DE REPARACION DE FALDON LADO DERECHO</v>
          </cell>
          <cell r="L3185">
            <v>1</v>
          </cell>
          <cell r="M3185" t="str">
            <v>UNID.</v>
          </cell>
          <cell r="N3185" t="str">
            <v>CISTERNA</v>
          </cell>
          <cell r="O3185">
            <v>65</v>
          </cell>
          <cell r="P3185" t="str">
            <v>J2</v>
          </cell>
          <cell r="Q3185" t="str">
            <v>J2</v>
          </cell>
          <cell r="R3185" t="str">
            <v>J6</v>
          </cell>
          <cell r="S3185" t="str">
            <v>PENDIENTE</v>
          </cell>
          <cell r="T3185">
            <v>0</v>
          </cell>
          <cell r="U3185" t="str">
            <v>CORIHUAMAN SURCO  ERICK ROBERT</v>
          </cell>
          <cell r="V3185" t="str">
            <v>CORIHUAMAN SURCO  ERICK ROBERT</v>
          </cell>
        </row>
        <row r="3186">
          <cell r="A3186">
            <v>3197</v>
          </cell>
          <cell r="B3186">
            <v>42725</v>
          </cell>
          <cell r="C3186" t="str">
            <v>DICIEMBRE</v>
          </cell>
          <cell r="D3186" t="str">
            <v>2016</v>
          </cell>
          <cell r="E3186">
            <v>530</v>
          </cell>
          <cell r="F3186" t="str">
            <v>C5R-892</v>
          </cell>
          <cell r="G3186" t="str">
            <v>A0T-983</v>
          </cell>
          <cell r="H3186" t="str">
            <v>LAS BAMBAS</v>
          </cell>
          <cell r="I3186">
            <v>226743</v>
          </cell>
          <cell r="J3186" t="str">
            <v>REPUESTO</v>
          </cell>
          <cell r="K3186" t="str">
            <v>NIPLE DE 1/4 X 1/4, 90 GRADOS (COMPLETO)</v>
          </cell>
          <cell r="L3186">
            <v>1</v>
          </cell>
          <cell r="M3186" t="str">
            <v>UNID.</v>
          </cell>
          <cell r="N3186" t="str">
            <v>TRACTO</v>
          </cell>
          <cell r="O3186">
            <v>65</v>
          </cell>
          <cell r="P3186" t="str">
            <v>M8</v>
          </cell>
          <cell r="Q3186" t="str">
            <v>J2</v>
          </cell>
          <cell r="R3186" t="str">
            <v>J6</v>
          </cell>
          <cell r="S3186" t="str">
            <v>PENDIENTE</v>
          </cell>
          <cell r="T3186">
            <v>0</v>
          </cell>
          <cell r="U3186" t="str">
            <v>VARILLAS GAGO  OSCAR ALBERTO</v>
          </cell>
          <cell r="V3186" t="str">
            <v>CORIHUAMAN SURCO  ERICK ROBERT</v>
          </cell>
        </row>
        <row r="3187">
          <cell r="A3187">
            <v>3203</v>
          </cell>
          <cell r="B3187">
            <v>42725</v>
          </cell>
          <cell r="C3187" t="str">
            <v>DICIEMBRE</v>
          </cell>
          <cell r="D3187" t="str">
            <v>2016</v>
          </cell>
          <cell r="E3187">
            <v>530</v>
          </cell>
          <cell r="F3187" t="str">
            <v>C5R-892</v>
          </cell>
          <cell r="G3187" t="str">
            <v>A0T-983</v>
          </cell>
          <cell r="H3187" t="str">
            <v>LAS BAMBAS</v>
          </cell>
          <cell r="I3187">
            <v>226743</v>
          </cell>
          <cell r="J3187" t="str">
            <v>REPUESTO</v>
          </cell>
          <cell r="K3187" t="str">
            <v>PERNO 5/16 X 1</v>
          </cell>
          <cell r="L3187">
            <v>4</v>
          </cell>
          <cell r="M3187" t="str">
            <v>UNID.</v>
          </cell>
          <cell r="N3187" t="str">
            <v>TRACTO</v>
          </cell>
          <cell r="O3187">
            <v>65</v>
          </cell>
          <cell r="P3187" t="str">
            <v>E3</v>
          </cell>
          <cell r="Q3187" t="str">
            <v>J2</v>
          </cell>
          <cell r="R3187" t="str">
            <v>J6</v>
          </cell>
          <cell r="S3187" t="str">
            <v>PENDIENTE</v>
          </cell>
          <cell r="T3187">
            <v>0</v>
          </cell>
          <cell r="U3187" t="str">
            <v>CONDORI CHURATA ALEX</v>
          </cell>
          <cell r="V3187" t="str">
            <v>CORIHUAMAN SURCO  ERICK ROBERT</v>
          </cell>
        </row>
        <row r="3188">
          <cell r="A3188">
            <v>3204</v>
          </cell>
          <cell r="B3188">
            <v>42725</v>
          </cell>
          <cell r="C3188" t="str">
            <v>DICIEMBRE</v>
          </cell>
          <cell r="D3188" t="str">
            <v>2016</v>
          </cell>
          <cell r="E3188">
            <v>530</v>
          </cell>
          <cell r="F3188" t="str">
            <v>C5R-892</v>
          </cell>
          <cell r="G3188" t="str">
            <v>A0T-983</v>
          </cell>
          <cell r="H3188" t="str">
            <v>LAS BAMBAS</v>
          </cell>
          <cell r="I3188">
            <v>226743</v>
          </cell>
          <cell r="J3188" t="str">
            <v>REPUESTO</v>
          </cell>
          <cell r="K3188" t="str">
            <v>TUERCA 5/16</v>
          </cell>
          <cell r="L3188">
            <v>4</v>
          </cell>
          <cell r="M3188" t="str">
            <v>UNID.</v>
          </cell>
          <cell r="N3188" t="str">
            <v>TRACTO</v>
          </cell>
          <cell r="O3188">
            <v>65</v>
          </cell>
          <cell r="P3188" t="str">
            <v>E3</v>
          </cell>
          <cell r="Q3188" t="str">
            <v>J2</v>
          </cell>
          <cell r="R3188" t="str">
            <v>J6</v>
          </cell>
          <cell r="S3188" t="str">
            <v>PENDIENTE</v>
          </cell>
          <cell r="T3188">
            <v>0</v>
          </cell>
          <cell r="U3188" t="str">
            <v>CONDORI CHURATA ALEX</v>
          </cell>
          <cell r="V3188" t="str">
            <v>CORIHUAMAN SURCO  ERICK ROBERT</v>
          </cell>
        </row>
        <row r="3189">
          <cell r="A3189">
            <v>3205</v>
          </cell>
          <cell r="B3189">
            <v>42725</v>
          </cell>
          <cell r="C3189" t="str">
            <v>DICIEMBRE</v>
          </cell>
          <cell r="D3189" t="str">
            <v>2016</v>
          </cell>
          <cell r="E3189">
            <v>530</v>
          </cell>
          <cell r="F3189" t="str">
            <v>C5R-892</v>
          </cell>
          <cell r="G3189" t="str">
            <v>A0T-983</v>
          </cell>
          <cell r="H3189" t="str">
            <v>LAS BAMBAS</v>
          </cell>
          <cell r="I3189">
            <v>226743</v>
          </cell>
          <cell r="J3189" t="str">
            <v>REPUESTO</v>
          </cell>
          <cell r="K3189" t="str">
            <v>ARANDELA PLANA 5/16</v>
          </cell>
          <cell r="L3189">
            <v>8</v>
          </cell>
          <cell r="M3189" t="str">
            <v>UNID.</v>
          </cell>
          <cell r="N3189" t="str">
            <v>TRACTO</v>
          </cell>
          <cell r="O3189">
            <v>65</v>
          </cell>
          <cell r="P3189" t="str">
            <v>E3</v>
          </cell>
          <cell r="Q3189" t="str">
            <v>J2</v>
          </cell>
          <cell r="R3189" t="str">
            <v>J6</v>
          </cell>
          <cell r="S3189" t="str">
            <v>PENDIENTE</v>
          </cell>
          <cell r="T3189">
            <v>0</v>
          </cell>
          <cell r="U3189" t="str">
            <v>CONDORI CHURATA ALEX</v>
          </cell>
          <cell r="V3189" t="str">
            <v>CORIHUAMAN SURCO  ERICK ROBERT</v>
          </cell>
        </row>
        <row r="3190">
          <cell r="A3190">
            <v>3206</v>
          </cell>
          <cell r="B3190">
            <v>42725</v>
          </cell>
          <cell r="C3190" t="str">
            <v>DICIEMBRE</v>
          </cell>
          <cell r="D3190" t="str">
            <v>2016</v>
          </cell>
          <cell r="E3190">
            <v>530</v>
          </cell>
          <cell r="F3190" t="str">
            <v>C5R-892</v>
          </cell>
          <cell r="G3190" t="str">
            <v>A0T-983</v>
          </cell>
          <cell r="H3190" t="str">
            <v>LAS BAMBAS</v>
          </cell>
          <cell r="I3190">
            <v>226743</v>
          </cell>
          <cell r="J3190" t="str">
            <v>REPUESTO</v>
          </cell>
          <cell r="K3190" t="str">
            <v>PERNO 5/8 X 6</v>
          </cell>
          <cell r="L3190">
            <v>2</v>
          </cell>
          <cell r="M3190" t="str">
            <v>UNID.</v>
          </cell>
          <cell r="N3190" t="str">
            <v>TRACTO</v>
          </cell>
          <cell r="O3190">
            <v>65</v>
          </cell>
          <cell r="P3190" t="str">
            <v>M3</v>
          </cell>
          <cell r="Q3190" t="str">
            <v>J2</v>
          </cell>
          <cell r="R3190" t="str">
            <v>J6</v>
          </cell>
          <cell r="S3190" t="str">
            <v>PENDIENTE</v>
          </cell>
          <cell r="T3190">
            <v>0</v>
          </cell>
          <cell r="U3190" t="str">
            <v>GARCIA PASQUEL  JOSE LUIS</v>
          </cell>
          <cell r="V3190" t="str">
            <v>CORIHUAMAN SURCO  ERICK ROBERT</v>
          </cell>
        </row>
        <row r="3191">
          <cell r="A3191">
            <v>3207</v>
          </cell>
          <cell r="B3191">
            <v>42725</v>
          </cell>
          <cell r="C3191" t="str">
            <v>DICIEMBRE</v>
          </cell>
          <cell r="D3191" t="str">
            <v>2016</v>
          </cell>
          <cell r="E3191">
            <v>530</v>
          </cell>
          <cell r="F3191" t="str">
            <v>C5R-892</v>
          </cell>
          <cell r="G3191" t="str">
            <v>A0T-983</v>
          </cell>
          <cell r="H3191" t="str">
            <v>LAS BAMBAS</v>
          </cell>
          <cell r="I3191">
            <v>226743</v>
          </cell>
          <cell r="J3191" t="str">
            <v>REPUESTO</v>
          </cell>
          <cell r="K3191" t="str">
            <v>TUERCA 5/8 X 6</v>
          </cell>
          <cell r="L3191">
            <v>2</v>
          </cell>
          <cell r="M3191" t="str">
            <v>UNID.</v>
          </cell>
          <cell r="N3191" t="str">
            <v>TRACTO</v>
          </cell>
          <cell r="O3191">
            <v>65</v>
          </cell>
          <cell r="P3191" t="str">
            <v>M3</v>
          </cell>
          <cell r="Q3191" t="str">
            <v>J2</v>
          </cell>
          <cell r="R3191" t="str">
            <v>J6</v>
          </cell>
          <cell r="S3191" t="str">
            <v>PENDIENTE</v>
          </cell>
          <cell r="T3191">
            <v>0</v>
          </cell>
          <cell r="U3191" t="str">
            <v>GARCIA PASQUEL  JOSE LUIS</v>
          </cell>
          <cell r="V3191" t="str">
            <v>CORIHUAMAN SURCO  ERICK ROBERT</v>
          </cell>
        </row>
        <row r="3192">
          <cell r="A3192">
            <v>3208</v>
          </cell>
          <cell r="B3192">
            <v>42725</v>
          </cell>
          <cell r="C3192" t="str">
            <v>DICIEMBRE</v>
          </cell>
          <cell r="D3192" t="str">
            <v>2016</v>
          </cell>
          <cell r="E3192">
            <v>530</v>
          </cell>
          <cell r="F3192" t="str">
            <v>C5R-892</v>
          </cell>
          <cell r="G3192" t="str">
            <v>A0T-983</v>
          </cell>
          <cell r="H3192" t="str">
            <v>LAS BAMBAS</v>
          </cell>
          <cell r="I3192">
            <v>226743</v>
          </cell>
          <cell r="J3192" t="str">
            <v>REPUESTO</v>
          </cell>
          <cell r="K3192" t="str">
            <v>ARANDELA PLANA 5/8</v>
          </cell>
          <cell r="L3192">
            <v>4</v>
          </cell>
          <cell r="M3192" t="str">
            <v>UNID.</v>
          </cell>
          <cell r="N3192" t="str">
            <v>TRACTO</v>
          </cell>
          <cell r="O3192">
            <v>65</v>
          </cell>
          <cell r="P3192" t="str">
            <v>M3</v>
          </cell>
          <cell r="Q3192" t="str">
            <v>J2</v>
          </cell>
          <cell r="R3192" t="str">
            <v>J6</v>
          </cell>
          <cell r="S3192" t="str">
            <v>PENDIENTE</v>
          </cell>
          <cell r="T3192">
            <v>0</v>
          </cell>
          <cell r="U3192" t="str">
            <v>GARCIA PASQUEL  JOSE LUIS</v>
          </cell>
          <cell r="V3192" t="str">
            <v>CORIHUAMAN SURCO  ERICK ROBERT</v>
          </cell>
        </row>
        <row r="3193">
          <cell r="A3193">
            <v>3212</v>
          </cell>
          <cell r="B3193">
            <v>42725</v>
          </cell>
          <cell r="C3193" t="str">
            <v>DICIEMBRE</v>
          </cell>
          <cell r="D3193" t="str">
            <v>2016</v>
          </cell>
          <cell r="E3193">
            <v>530</v>
          </cell>
          <cell r="F3193" t="str">
            <v>C5R-892</v>
          </cell>
          <cell r="G3193" t="str">
            <v>A0T-983</v>
          </cell>
          <cell r="H3193" t="str">
            <v>LAS BAMBAS</v>
          </cell>
          <cell r="I3193">
            <v>226743</v>
          </cell>
          <cell r="J3193" t="str">
            <v>REPUESTO</v>
          </cell>
          <cell r="K3193" t="str">
            <v>JUEGOS DE ZAPATAS</v>
          </cell>
          <cell r="L3193">
            <v>3</v>
          </cell>
          <cell r="M3193" t="str">
            <v>JUEGO</v>
          </cell>
          <cell r="N3193" t="str">
            <v>CISTERNA</v>
          </cell>
          <cell r="O3193">
            <v>65</v>
          </cell>
          <cell r="P3193" t="str">
            <v>M8</v>
          </cell>
          <cell r="Q3193" t="str">
            <v>J2</v>
          </cell>
          <cell r="R3193" t="str">
            <v>J6</v>
          </cell>
          <cell r="S3193" t="str">
            <v>PENDIENTE</v>
          </cell>
          <cell r="T3193">
            <v>0</v>
          </cell>
          <cell r="U3193" t="str">
            <v>VARILLAS GAGO  OSCAR ALBERTO</v>
          </cell>
          <cell r="V3193" t="str">
            <v>CORIHUAMAN SURCO  ERICK ROBERT</v>
          </cell>
        </row>
        <row r="3194">
          <cell r="A3194">
            <v>3213</v>
          </cell>
          <cell r="B3194">
            <v>42725</v>
          </cell>
          <cell r="C3194" t="str">
            <v>DICIEMBRE</v>
          </cell>
          <cell r="D3194" t="str">
            <v>2016</v>
          </cell>
          <cell r="E3194">
            <v>530</v>
          </cell>
          <cell r="F3194" t="str">
            <v>C5R-892</v>
          </cell>
          <cell r="G3194" t="str">
            <v>A0T-983</v>
          </cell>
          <cell r="H3194" t="str">
            <v>LAS BAMBAS</v>
          </cell>
          <cell r="I3194">
            <v>226743</v>
          </cell>
          <cell r="J3194" t="str">
            <v>REPUESTO</v>
          </cell>
          <cell r="K3194" t="str">
            <v>RESORTES GRANDES DE ZAPATAS</v>
          </cell>
          <cell r="L3194">
            <v>6</v>
          </cell>
          <cell r="M3194" t="str">
            <v>UNID.</v>
          </cell>
          <cell r="N3194" t="str">
            <v>CISTERNA</v>
          </cell>
          <cell r="O3194">
            <v>65</v>
          </cell>
          <cell r="P3194" t="str">
            <v>M8</v>
          </cell>
          <cell r="Q3194" t="str">
            <v>J2</v>
          </cell>
          <cell r="R3194" t="str">
            <v>J6</v>
          </cell>
          <cell r="S3194" t="str">
            <v>PENDIENTE</v>
          </cell>
          <cell r="T3194">
            <v>0</v>
          </cell>
          <cell r="U3194" t="str">
            <v>VARILLAS GAGO  OSCAR ALBERTO</v>
          </cell>
          <cell r="V3194" t="str">
            <v>CORIHUAMAN SURCO  ERICK ROBERT</v>
          </cell>
        </row>
        <row r="3195">
          <cell r="A3195">
            <v>3214</v>
          </cell>
          <cell r="B3195">
            <v>42725</v>
          </cell>
          <cell r="C3195" t="str">
            <v>DICIEMBRE</v>
          </cell>
          <cell r="D3195" t="str">
            <v>2016</v>
          </cell>
          <cell r="E3195">
            <v>530</v>
          </cell>
          <cell r="F3195" t="str">
            <v>C5R-892</v>
          </cell>
          <cell r="G3195" t="str">
            <v>A0T-983</v>
          </cell>
          <cell r="H3195" t="str">
            <v>LAS BAMBAS</v>
          </cell>
          <cell r="I3195">
            <v>226743</v>
          </cell>
          <cell r="J3195" t="str">
            <v>REPUESTO</v>
          </cell>
          <cell r="K3195" t="str">
            <v>RESORTES CHICOS DE ZAPATAS</v>
          </cell>
          <cell r="L3195">
            <v>4</v>
          </cell>
          <cell r="M3195" t="str">
            <v>UNID.</v>
          </cell>
          <cell r="N3195" t="str">
            <v>CISTERNA</v>
          </cell>
          <cell r="O3195">
            <v>65</v>
          </cell>
          <cell r="P3195" t="str">
            <v>M8</v>
          </cell>
          <cell r="Q3195" t="str">
            <v>J2</v>
          </cell>
          <cell r="R3195" t="str">
            <v>J6</v>
          </cell>
          <cell r="S3195" t="str">
            <v>PENDIENTE</v>
          </cell>
          <cell r="T3195">
            <v>0</v>
          </cell>
          <cell r="U3195" t="str">
            <v>VARILLAS GAGO  OSCAR ALBERTO</v>
          </cell>
          <cell r="V3195" t="str">
            <v>CORIHUAMAN SURCO  ERICK ROBERT</v>
          </cell>
        </row>
        <row r="3196">
          <cell r="A3196">
            <v>3215</v>
          </cell>
          <cell r="B3196">
            <v>42725</v>
          </cell>
          <cell r="C3196" t="str">
            <v>DICIEMBRE</v>
          </cell>
          <cell r="D3196" t="str">
            <v>2016</v>
          </cell>
          <cell r="E3196">
            <v>530</v>
          </cell>
          <cell r="F3196" t="str">
            <v>C5R-892</v>
          </cell>
          <cell r="G3196" t="str">
            <v>A0T-983</v>
          </cell>
          <cell r="H3196" t="str">
            <v>LAS BAMBAS</v>
          </cell>
          <cell r="I3196">
            <v>226743</v>
          </cell>
          <cell r="J3196" t="str">
            <v>REPUESTO</v>
          </cell>
          <cell r="K3196" t="str">
            <v>RETENES DE RUEDA PARA CARRETA</v>
          </cell>
          <cell r="L3196">
            <v>6</v>
          </cell>
          <cell r="M3196" t="str">
            <v>UNID.</v>
          </cell>
          <cell r="N3196" t="str">
            <v>CISTERNA</v>
          </cell>
          <cell r="O3196">
            <v>65</v>
          </cell>
          <cell r="P3196" t="str">
            <v>M8</v>
          </cell>
          <cell r="Q3196" t="str">
            <v>J2</v>
          </cell>
          <cell r="R3196" t="str">
            <v>J6</v>
          </cell>
          <cell r="S3196" t="str">
            <v>PENDIENTE</v>
          </cell>
          <cell r="T3196">
            <v>0</v>
          </cell>
          <cell r="U3196" t="str">
            <v>VARILLAS GAGO  OSCAR ALBERTO</v>
          </cell>
          <cell r="V3196" t="str">
            <v>CORIHUAMAN SURCO  ERICK ROBERT</v>
          </cell>
        </row>
        <row r="3197">
          <cell r="A3197">
            <v>3216</v>
          </cell>
          <cell r="B3197">
            <v>42725</v>
          </cell>
          <cell r="C3197" t="str">
            <v>DICIEMBRE</v>
          </cell>
          <cell r="D3197" t="str">
            <v>2016</v>
          </cell>
          <cell r="E3197">
            <v>530</v>
          </cell>
          <cell r="F3197" t="str">
            <v>C5R-892</v>
          </cell>
          <cell r="G3197" t="str">
            <v>A0T-983</v>
          </cell>
          <cell r="H3197" t="str">
            <v>LAS BAMBAS</v>
          </cell>
          <cell r="I3197">
            <v>226743</v>
          </cell>
          <cell r="J3197" t="str">
            <v>REPUESTO</v>
          </cell>
          <cell r="K3197" t="str">
            <v>GRASA MARFAK HEAVY DUTY 3B NLGI 3</v>
          </cell>
          <cell r="L3197">
            <v>15</v>
          </cell>
          <cell r="M3197" t="str">
            <v>KG.</v>
          </cell>
          <cell r="N3197" t="str">
            <v>CISTERNA</v>
          </cell>
          <cell r="O3197">
            <v>65</v>
          </cell>
          <cell r="P3197" t="str">
            <v>M8</v>
          </cell>
          <cell r="Q3197" t="str">
            <v>J2</v>
          </cell>
          <cell r="R3197" t="str">
            <v>J6</v>
          </cell>
          <cell r="S3197" t="str">
            <v>PENDIENTE</v>
          </cell>
          <cell r="T3197">
            <v>0</v>
          </cell>
          <cell r="U3197" t="str">
            <v>VARILLAS GAGO  OSCAR ALBERTO</v>
          </cell>
          <cell r="V3197" t="str">
            <v>CORIHUAMAN SURCO  ERICK ROBERT</v>
          </cell>
        </row>
        <row r="3198">
          <cell r="A3198">
            <v>3217</v>
          </cell>
          <cell r="B3198">
            <v>42725</v>
          </cell>
          <cell r="C3198" t="str">
            <v>DICIEMBRE</v>
          </cell>
          <cell r="D3198" t="str">
            <v>2016</v>
          </cell>
          <cell r="E3198">
            <v>530</v>
          </cell>
          <cell r="F3198" t="str">
            <v>C5R-892</v>
          </cell>
          <cell r="G3198" t="str">
            <v>A0T-983</v>
          </cell>
          <cell r="H3198" t="str">
            <v>LAS BAMBAS</v>
          </cell>
          <cell r="I3198">
            <v>226743</v>
          </cell>
          <cell r="J3198" t="str">
            <v>REPUESTO</v>
          </cell>
          <cell r="K3198" t="str">
            <v>RODILLOS PARA ZAPATA</v>
          </cell>
          <cell r="L3198">
            <v>8</v>
          </cell>
          <cell r="M3198" t="str">
            <v>UNID.</v>
          </cell>
          <cell r="N3198" t="str">
            <v>CISTERNA</v>
          </cell>
          <cell r="O3198">
            <v>65</v>
          </cell>
          <cell r="P3198" t="str">
            <v>M8</v>
          </cell>
          <cell r="Q3198" t="str">
            <v>J2</v>
          </cell>
          <cell r="R3198" t="str">
            <v>J6</v>
          </cell>
          <cell r="S3198" t="str">
            <v>PENDIENTE</v>
          </cell>
          <cell r="T3198">
            <v>0</v>
          </cell>
          <cell r="U3198" t="str">
            <v>VARILLAS GAGO  OSCAR ALBERTO</v>
          </cell>
          <cell r="V3198" t="str">
            <v>CORIHUAMAN SURCO  ERICK ROBERT</v>
          </cell>
        </row>
        <row r="3199">
          <cell r="A3199">
            <v>3169</v>
          </cell>
          <cell r="B3199">
            <v>42725</v>
          </cell>
          <cell r="C3199" t="str">
            <v>DICIEMBRE</v>
          </cell>
          <cell r="D3199" t="str">
            <v>2016</v>
          </cell>
          <cell r="E3199">
            <v>638</v>
          </cell>
          <cell r="F3199" t="str">
            <v>C5R-895</v>
          </cell>
          <cell r="G3199" t="str">
            <v>TBL-976</v>
          </cell>
          <cell r="H3199" t="str">
            <v>LAS BAMBAS</v>
          </cell>
          <cell r="I3199">
            <v>171517</v>
          </cell>
          <cell r="J3199" t="str">
            <v>REPUESTO</v>
          </cell>
          <cell r="K3199" t="str">
            <v>KINGPIN DE 2" PARA PLANCHA DE 1/2</v>
          </cell>
          <cell r="L3199">
            <v>1</v>
          </cell>
          <cell r="M3199" t="str">
            <v>UNID.</v>
          </cell>
          <cell r="N3199" t="str">
            <v>CISTERNA</v>
          </cell>
          <cell r="O3199">
            <v>65</v>
          </cell>
          <cell r="P3199" t="str">
            <v>S1</v>
          </cell>
          <cell r="Q3199" t="str">
            <v>J2</v>
          </cell>
          <cell r="R3199" t="str">
            <v>J6</v>
          </cell>
          <cell r="S3199" t="str">
            <v>PENDIENTE</v>
          </cell>
          <cell r="T3199">
            <v>0</v>
          </cell>
          <cell r="U3199" t="str">
            <v>BAYONA CRUZ CRISTIAN ARMANDO</v>
          </cell>
          <cell r="V3199" t="str">
            <v>CORIHUAMAN SURCO  ERICK ROBERT</v>
          </cell>
        </row>
        <row r="3200">
          <cell r="A3200">
            <v>3170</v>
          </cell>
          <cell r="B3200">
            <v>42725</v>
          </cell>
          <cell r="C3200" t="str">
            <v>DICIEMBRE</v>
          </cell>
          <cell r="D3200" t="str">
            <v>2016</v>
          </cell>
          <cell r="E3200">
            <v>638</v>
          </cell>
          <cell r="F3200" t="str">
            <v>C5R-895</v>
          </cell>
          <cell r="G3200" t="str">
            <v>TBL-976</v>
          </cell>
          <cell r="H3200" t="str">
            <v>LAS BAMBAS</v>
          </cell>
          <cell r="I3200">
            <v>171517</v>
          </cell>
          <cell r="J3200" t="str">
            <v>REPUESTO</v>
          </cell>
          <cell r="K3200" t="str">
            <v>SUPERCITO GRUESO</v>
          </cell>
          <cell r="L3200">
            <v>5</v>
          </cell>
          <cell r="M3200" t="str">
            <v>KG.</v>
          </cell>
          <cell r="N3200" t="str">
            <v>CISTERNA</v>
          </cell>
          <cell r="O3200">
            <v>65</v>
          </cell>
          <cell r="P3200" t="str">
            <v>S1</v>
          </cell>
          <cell r="Q3200" t="str">
            <v>J2</v>
          </cell>
          <cell r="R3200" t="str">
            <v>J6</v>
          </cell>
          <cell r="S3200" t="str">
            <v>PENDIENTE</v>
          </cell>
          <cell r="T3200">
            <v>0</v>
          </cell>
          <cell r="U3200" t="str">
            <v>BAYONA CRUZ CRISTIAN ARMANDO</v>
          </cell>
          <cell r="V3200" t="str">
            <v>CORIHUAMAN SURCO  ERICK ROBERT</v>
          </cell>
        </row>
        <row r="3201">
          <cell r="A3201">
            <v>3171</v>
          </cell>
          <cell r="B3201">
            <v>42725</v>
          </cell>
          <cell r="C3201" t="str">
            <v>DICIEMBRE</v>
          </cell>
          <cell r="D3201" t="str">
            <v>2016</v>
          </cell>
          <cell r="E3201">
            <v>638</v>
          </cell>
          <cell r="F3201" t="str">
            <v>C5R-895</v>
          </cell>
          <cell r="G3201" t="str">
            <v>TBL-976</v>
          </cell>
          <cell r="H3201" t="str">
            <v>LAS BAMBAS</v>
          </cell>
          <cell r="I3201">
            <v>171517</v>
          </cell>
          <cell r="J3201" t="str">
            <v>REPUESTO</v>
          </cell>
          <cell r="K3201" t="str">
            <v>CELLOCORD 1/8</v>
          </cell>
          <cell r="L3201">
            <v>2</v>
          </cell>
          <cell r="M3201" t="str">
            <v>KG.</v>
          </cell>
          <cell r="N3201" t="str">
            <v>CISTERNA</v>
          </cell>
          <cell r="O3201">
            <v>65</v>
          </cell>
          <cell r="P3201" t="str">
            <v>S1</v>
          </cell>
          <cell r="Q3201" t="str">
            <v>J2</v>
          </cell>
          <cell r="R3201" t="str">
            <v>J6</v>
          </cell>
          <cell r="S3201" t="str">
            <v>PENDIENTE</v>
          </cell>
          <cell r="T3201">
            <v>0</v>
          </cell>
          <cell r="U3201" t="str">
            <v>BAYONA CRUZ CRISTIAN ARMANDO</v>
          </cell>
          <cell r="V3201" t="str">
            <v>CORIHUAMAN SURCO  ERICK ROBERT</v>
          </cell>
        </row>
        <row r="3202">
          <cell r="A3202">
            <v>3172</v>
          </cell>
          <cell r="B3202">
            <v>42725</v>
          </cell>
          <cell r="C3202" t="str">
            <v>DICIEMBRE</v>
          </cell>
          <cell r="D3202" t="str">
            <v>2016</v>
          </cell>
          <cell r="E3202">
            <v>638</v>
          </cell>
          <cell r="F3202" t="str">
            <v>C5R-895</v>
          </cell>
          <cell r="G3202" t="str">
            <v>TBL-976</v>
          </cell>
          <cell r="H3202" t="str">
            <v>LAS BAMBAS</v>
          </cell>
          <cell r="I3202">
            <v>171517</v>
          </cell>
          <cell r="J3202" t="str">
            <v>REPUESTO</v>
          </cell>
          <cell r="K3202" t="str">
            <v>DISCO DE CORTE DE 7"</v>
          </cell>
          <cell r="L3202">
            <v>1</v>
          </cell>
          <cell r="M3202" t="str">
            <v>UNID.</v>
          </cell>
          <cell r="N3202" t="str">
            <v>CISTERNA</v>
          </cell>
          <cell r="O3202">
            <v>65</v>
          </cell>
          <cell r="P3202" t="str">
            <v>S1</v>
          </cell>
          <cell r="Q3202" t="str">
            <v>J2</v>
          </cell>
          <cell r="R3202" t="str">
            <v>J6</v>
          </cell>
          <cell r="S3202" t="str">
            <v>PENDIENTE</v>
          </cell>
          <cell r="T3202">
            <v>0</v>
          </cell>
          <cell r="U3202" t="str">
            <v>BAYONA CRUZ CRISTIAN ARMANDO</v>
          </cell>
          <cell r="V3202" t="str">
            <v>CORIHUAMAN SURCO  ERICK ROBERT</v>
          </cell>
        </row>
        <row r="3203">
          <cell r="A3203">
            <v>3193</v>
          </cell>
          <cell r="B3203">
            <v>42725</v>
          </cell>
          <cell r="C3203" t="str">
            <v>DICIEMBRE</v>
          </cell>
          <cell r="D3203" t="str">
            <v>2016</v>
          </cell>
          <cell r="E3203">
            <v>638</v>
          </cell>
          <cell r="F3203" t="str">
            <v>C5R-895</v>
          </cell>
          <cell r="G3203" t="str">
            <v>TBL-976</v>
          </cell>
          <cell r="H3203" t="str">
            <v>LAS BAMBAS</v>
          </cell>
          <cell r="I3203">
            <v>171517</v>
          </cell>
          <cell r="J3203" t="str">
            <v>REPUESTO</v>
          </cell>
          <cell r="K3203" t="str">
            <v>DISCO DE CORTE 7"</v>
          </cell>
          <cell r="L3203">
            <v>1</v>
          </cell>
          <cell r="M3203" t="str">
            <v>UNID.</v>
          </cell>
          <cell r="N3203" t="str">
            <v>CISTERNA</v>
          </cell>
          <cell r="O3203">
            <v>65</v>
          </cell>
          <cell r="P3203" t="str">
            <v>S1</v>
          </cell>
          <cell r="Q3203" t="str">
            <v>J2</v>
          </cell>
          <cell r="R3203" t="str">
            <v>J6</v>
          </cell>
          <cell r="S3203" t="str">
            <v>PENDIENTE</v>
          </cell>
          <cell r="T3203">
            <v>0</v>
          </cell>
          <cell r="U3203" t="str">
            <v>BAYONA CRUZ CRISTIAN ARMANDO</v>
          </cell>
          <cell r="V3203" t="str">
            <v>CORIHUAMAN SURCO  ERICK ROBERT</v>
          </cell>
        </row>
        <row r="3204">
          <cell r="A3204">
            <v>3194</v>
          </cell>
          <cell r="B3204">
            <v>42725</v>
          </cell>
          <cell r="C3204" t="str">
            <v>DICIEMBRE</v>
          </cell>
          <cell r="D3204" t="str">
            <v>2016</v>
          </cell>
          <cell r="E3204">
            <v>638</v>
          </cell>
          <cell r="F3204" t="str">
            <v>C5R-895</v>
          </cell>
          <cell r="G3204" t="str">
            <v>TBL-976</v>
          </cell>
          <cell r="H3204" t="str">
            <v>LAS BAMBAS</v>
          </cell>
          <cell r="I3204">
            <v>171517</v>
          </cell>
          <cell r="J3204" t="str">
            <v>REPUESTO</v>
          </cell>
          <cell r="K3204" t="str">
            <v>PERNO 5/8 X 2</v>
          </cell>
          <cell r="L3204">
            <v>8</v>
          </cell>
          <cell r="M3204" t="str">
            <v>UNID.</v>
          </cell>
          <cell r="N3204" t="str">
            <v>CISTERNA</v>
          </cell>
          <cell r="O3204">
            <v>65</v>
          </cell>
          <cell r="P3204" t="str">
            <v>S1</v>
          </cell>
          <cell r="Q3204" t="str">
            <v>J2</v>
          </cell>
          <cell r="R3204" t="str">
            <v>J6</v>
          </cell>
          <cell r="S3204" t="str">
            <v>PENDIENTE</v>
          </cell>
          <cell r="T3204">
            <v>0</v>
          </cell>
          <cell r="U3204" t="str">
            <v>BAYONA CRUZ CRISTIAN ARMANDO</v>
          </cell>
          <cell r="V3204" t="str">
            <v>CORIHUAMAN SURCO  ERICK ROBERT</v>
          </cell>
        </row>
        <row r="3205">
          <cell r="A3205">
            <v>3195</v>
          </cell>
          <cell r="B3205">
            <v>42725</v>
          </cell>
          <cell r="C3205" t="str">
            <v>DICIEMBRE</v>
          </cell>
          <cell r="D3205" t="str">
            <v>2016</v>
          </cell>
          <cell r="E3205">
            <v>638</v>
          </cell>
          <cell r="F3205" t="str">
            <v>C5R-895</v>
          </cell>
          <cell r="G3205" t="str">
            <v>TBL-976</v>
          </cell>
          <cell r="H3205" t="str">
            <v>LAS BAMBAS</v>
          </cell>
          <cell r="I3205">
            <v>171517</v>
          </cell>
          <cell r="J3205" t="str">
            <v>REPUESTO</v>
          </cell>
          <cell r="K3205" t="str">
            <v>TUERCA SEGURO 5/8</v>
          </cell>
          <cell r="L3205">
            <v>8</v>
          </cell>
          <cell r="M3205" t="str">
            <v>UNID.</v>
          </cell>
          <cell r="N3205" t="str">
            <v>CISTERNA</v>
          </cell>
          <cell r="O3205">
            <v>65</v>
          </cell>
          <cell r="P3205" t="str">
            <v>S1</v>
          </cell>
          <cell r="Q3205" t="str">
            <v>J2</v>
          </cell>
          <cell r="R3205" t="str">
            <v>J6</v>
          </cell>
          <cell r="S3205" t="str">
            <v>PENDIENTE</v>
          </cell>
          <cell r="T3205">
            <v>0</v>
          </cell>
          <cell r="U3205" t="str">
            <v>BAYONA CRUZ CRISTIAN ARMANDO</v>
          </cell>
          <cell r="V3205" t="str">
            <v>CORIHUAMAN SURCO  ERICK ROBERT</v>
          </cell>
        </row>
        <row r="3206">
          <cell r="A3206">
            <v>3174</v>
          </cell>
          <cell r="B3206">
            <v>42725</v>
          </cell>
          <cell r="C3206" t="str">
            <v>DICIEMBRE</v>
          </cell>
          <cell r="D3206" t="str">
            <v>2016</v>
          </cell>
          <cell r="E3206">
            <v>639</v>
          </cell>
          <cell r="F3206" t="str">
            <v>C6X-739</v>
          </cell>
          <cell r="G3206" t="str">
            <v>TCS-988</v>
          </cell>
          <cell r="H3206" t="str">
            <v>LAS BAMBAS CONC.</v>
          </cell>
          <cell r="I3206">
            <v>231385</v>
          </cell>
          <cell r="J3206" t="str">
            <v>REPUESTO</v>
          </cell>
          <cell r="K3206" t="str">
            <v>JUEGO DE EMPAQUETADURA PARA MULTIPLE DE ESCAPE</v>
          </cell>
          <cell r="L3206">
            <v>1</v>
          </cell>
          <cell r="M3206" t="str">
            <v>JUEGO</v>
          </cell>
          <cell r="N3206" t="str">
            <v>TRACTO</v>
          </cell>
          <cell r="O3206">
            <v>65</v>
          </cell>
          <cell r="P3206" t="str">
            <v>M8</v>
          </cell>
          <cell r="Q3206" t="str">
            <v>J2</v>
          </cell>
          <cell r="R3206" t="str">
            <v>J6</v>
          </cell>
          <cell r="S3206" t="str">
            <v>PENDIENTE</v>
          </cell>
          <cell r="T3206">
            <v>0</v>
          </cell>
          <cell r="U3206" t="str">
            <v>VARILLAS GAGO  OSCAR ALBERTO</v>
          </cell>
          <cell r="V3206" t="str">
            <v>CORIHUAMAN SURCO  ERICK ROBERT</v>
          </cell>
        </row>
        <row r="3207">
          <cell r="A3207">
            <v>3175</v>
          </cell>
          <cell r="B3207">
            <v>42725</v>
          </cell>
          <cell r="C3207" t="str">
            <v>DICIEMBRE</v>
          </cell>
          <cell r="D3207" t="str">
            <v>2016</v>
          </cell>
          <cell r="E3207">
            <v>639</v>
          </cell>
          <cell r="F3207" t="str">
            <v>C6X-739</v>
          </cell>
          <cell r="G3207" t="str">
            <v>TCS-988</v>
          </cell>
          <cell r="H3207" t="str">
            <v>LAS BAMBAS CONC.</v>
          </cell>
          <cell r="I3207">
            <v>231385</v>
          </cell>
          <cell r="J3207" t="str">
            <v>REPUESTO</v>
          </cell>
          <cell r="K3207" t="str">
            <v>EMPAQUETADURA RECTANGULAR DE TURBO</v>
          </cell>
          <cell r="L3207">
            <v>1</v>
          </cell>
          <cell r="M3207" t="str">
            <v>UNID.</v>
          </cell>
          <cell r="N3207" t="str">
            <v>TRACTO</v>
          </cell>
          <cell r="O3207">
            <v>65</v>
          </cell>
          <cell r="P3207" t="str">
            <v>M8</v>
          </cell>
          <cell r="Q3207" t="str">
            <v>J2</v>
          </cell>
          <cell r="R3207" t="str">
            <v>J6</v>
          </cell>
          <cell r="S3207" t="str">
            <v>PENDIENTE</v>
          </cell>
          <cell r="T3207">
            <v>0</v>
          </cell>
          <cell r="U3207" t="str">
            <v>VARILLAS GAGO  OSCAR ALBERTO</v>
          </cell>
          <cell r="V3207" t="str">
            <v>CORIHUAMAN SURCO  ERICK ROBERT</v>
          </cell>
        </row>
        <row r="3208">
          <cell r="A3208">
            <v>3176</v>
          </cell>
          <cell r="B3208">
            <v>42725</v>
          </cell>
          <cell r="C3208" t="str">
            <v>DICIEMBRE</v>
          </cell>
          <cell r="D3208" t="str">
            <v>2016</v>
          </cell>
          <cell r="E3208">
            <v>639</v>
          </cell>
          <cell r="F3208" t="str">
            <v>C6X-739</v>
          </cell>
          <cell r="G3208" t="str">
            <v>TCS-988</v>
          </cell>
          <cell r="H3208" t="str">
            <v>LAS BAMBAS CONC.</v>
          </cell>
          <cell r="I3208">
            <v>231385</v>
          </cell>
          <cell r="J3208" t="str">
            <v>REPUESTO</v>
          </cell>
          <cell r="K3208" t="str">
            <v>EMPAQUETADURA DE RETORNO DE ACEITE</v>
          </cell>
          <cell r="L3208">
            <v>1</v>
          </cell>
          <cell r="M3208" t="str">
            <v>UNID.</v>
          </cell>
          <cell r="N3208" t="str">
            <v>TRACTO</v>
          </cell>
          <cell r="O3208">
            <v>65</v>
          </cell>
          <cell r="P3208" t="str">
            <v>M8</v>
          </cell>
          <cell r="Q3208" t="str">
            <v>J2</v>
          </cell>
          <cell r="R3208" t="str">
            <v>J6</v>
          </cell>
          <cell r="S3208" t="str">
            <v>PENDIENTE</v>
          </cell>
          <cell r="T3208">
            <v>0</v>
          </cell>
          <cell r="U3208" t="str">
            <v>VARILLAS GAGO  OSCAR ALBERTO</v>
          </cell>
          <cell r="V3208" t="str">
            <v>CORIHUAMAN SURCO  ERICK ROBERT</v>
          </cell>
        </row>
        <row r="3209">
          <cell r="A3209">
            <v>3177</v>
          </cell>
          <cell r="B3209">
            <v>42725</v>
          </cell>
          <cell r="C3209" t="str">
            <v>DICIEMBRE</v>
          </cell>
          <cell r="D3209" t="str">
            <v>2016</v>
          </cell>
          <cell r="E3209">
            <v>639</v>
          </cell>
          <cell r="F3209" t="str">
            <v>C6X-739</v>
          </cell>
          <cell r="G3209" t="str">
            <v>TCS-988</v>
          </cell>
          <cell r="H3209" t="str">
            <v>LAS BAMBAS CONC.</v>
          </cell>
          <cell r="I3209">
            <v>231385</v>
          </cell>
          <cell r="J3209" t="str">
            <v>REPUESTO</v>
          </cell>
          <cell r="K3209" t="str">
            <v>PERNO DE MULTIPLE DE ESCAPE</v>
          </cell>
          <cell r="L3209">
            <v>12</v>
          </cell>
          <cell r="M3209" t="str">
            <v>UNID.</v>
          </cell>
          <cell r="N3209" t="str">
            <v>TRACTO</v>
          </cell>
          <cell r="O3209">
            <v>65</v>
          </cell>
          <cell r="P3209" t="str">
            <v>M8</v>
          </cell>
          <cell r="Q3209" t="str">
            <v>J2</v>
          </cell>
          <cell r="R3209" t="str">
            <v>J6</v>
          </cell>
          <cell r="S3209" t="str">
            <v>PENDIENTE</v>
          </cell>
          <cell r="T3209">
            <v>0</v>
          </cell>
          <cell r="U3209" t="str">
            <v>VARILLAS GAGO  OSCAR ALBERTO</v>
          </cell>
          <cell r="V3209" t="str">
            <v>CORIHUAMAN SURCO  ERICK ROBERT</v>
          </cell>
        </row>
        <row r="3210">
          <cell r="A3210">
            <v>3180</v>
          </cell>
          <cell r="B3210">
            <v>42725</v>
          </cell>
          <cell r="C3210" t="str">
            <v>DICIEMBRE</v>
          </cell>
          <cell r="D3210" t="str">
            <v>2016</v>
          </cell>
          <cell r="E3210">
            <v>202</v>
          </cell>
          <cell r="F3210" t="str">
            <v>D3P-752</v>
          </cell>
          <cell r="G3210" t="str">
            <v>C5Y-985</v>
          </cell>
          <cell r="H3210" t="str">
            <v>LAS BAMBAS</v>
          </cell>
          <cell r="I3210">
            <v>150504</v>
          </cell>
          <cell r="J3210" t="str">
            <v>REPUESTO</v>
          </cell>
          <cell r="K3210" t="str">
            <v>SENSOR DE TEMPERATURA</v>
          </cell>
          <cell r="L3210">
            <v>1</v>
          </cell>
          <cell r="M3210" t="str">
            <v>UNID.</v>
          </cell>
          <cell r="N3210" t="str">
            <v>TRACTO</v>
          </cell>
          <cell r="O3210">
            <v>0</v>
          </cell>
          <cell r="P3210" t="str">
            <v>M2</v>
          </cell>
          <cell r="Q3210" t="str">
            <v>J2</v>
          </cell>
          <cell r="R3210" t="str">
            <v>J6</v>
          </cell>
          <cell r="S3210" t="str">
            <v>ENTREGADO</v>
          </cell>
          <cell r="T3210">
            <v>42725</v>
          </cell>
          <cell r="U3210" t="str">
            <v>CHUMPITAZ GAGO JULIO ENRIQUE</v>
          </cell>
          <cell r="V3210" t="str">
            <v>CORIHUAMAN SURCO  ERICK ROBERT</v>
          </cell>
        </row>
        <row r="3211">
          <cell r="A3211">
            <v>3181</v>
          </cell>
          <cell r="B3211">
            <v>42725</v>
          </cell>
          <cell r="C3211" t="str">
            <v>DICIEMBRE</v>
          </cell>
          <cell r="D3211" t="str">
            <v>2016</v>
          </cell>
          <cell r="E3211">
            <v>202</v>
          </cell>
          <cell r="F3211" t="str">
            <v>D3P-752</v>
          </cell>
          <cell r="G3211" t="str">
            <v>C5Y-985</v>
          </cell>
          <cell r="H3211" t="str">
            <v>LAS BAMBAS</v>
          </cell>
          <cell r="I3211">
            <v>150504</v>
          </cell>
          <cell r="J3211" t="str">
            <v>REPUESTO</v>
          </cell>
          <cell r="K3211" t="str">
            <v>SENSOR DE AGUA REFRIGERANTE</v>
          </cell>
          <cell r="L3211">
            <v>1</v>
          </cell>
          <cell r="M3211" t="str">
            <v>UNID.</v>
          </cell>
          <cell r="N3211" t="str">
            <v>TRACTO</v>
          </cell>
          <cell r="O3211">
            <v>0</v>
          </cell>
          <cell r="P3211" t="str">
            <v>M2</v>
          </cell>
          <cell r="Q3211" t="str">
            <v>J2</v>
          </cell>
          <cell r="R3211" t="str">
            <v>J6</v>
          </cell>
          <cell r="S3211" t="str">
            <v>ENTREGADO</v>
          </cell>
          <cell r="T3211">
            <v>42725</v>
          </cell>
          <cell r="U3211" t="str">
            <v>CHUMPITAZ GAGO JULIO ENRIQUE</v>
          </cell>
          <cell r="V3211" t="str">
            <v>CORIHUAMAN SURCO  ERICK ROBERT</v>
          </cell>
        </row>
        <row r="3212">
          <cell r="A3212">
            <v>3182</v>
          </cell>
          <cell r="B3212">
            <v>42725</v>
          </cell>
          <cell r="C3212" t="str">
            <v>DICIEMBRE</v>
          </cell>
          <cell r="D3212" t="str">
            <v>2016</v>
          </cell>
          <cell r="E3212">
            <v>202</v>
          </cell>
          <cell r="F3212" t="str">
            <v>D3P-752</v>
          </cell>
          <cell r="G3212" t="str">
            <v>C5Y-985</v>
          </cell>
          <cell r="H3212" t="str">
            <v>LAS BAMBAS</v>
          </cell>
          <cell r="I3212">
            <v>150504</v>
          </cell>
          <cell r="J3212" t="str">
            <v>REPUESTO</v>
          </cell>
          <cell r="K3212" t="str">
            <v>TAPA DE DEPOSITO DE AGUA</v>
          </cell>
          <cell r="L3212">
            <v>1</v>
          </cell>
          <cell r="M3212" t="str">
            <v>UNID.</v>
          </cell>
          <cell r="N3212" t="str">
            <v>TRACTO</v>
          </cell>
          <cell r="O3212">
            <v>0</v>
          </cell>
          <cell r="P3212" t="str">
            <v>M2</v>
          </cell>
          <cell r="Q3212" t="str">
            <v>J2</v>
          </cell>
          <cell r="R3212" t="str">
            <v>J6</v>
          </cell>
          <cell r="S3212" t="str">
            <v>ENTREGADO</v>
          </cell>
          <cell r="T3212">
            <v>42725</v>
          </cell>
          <cell r="U3212" t="str">
            <v>CHUMPITAZ GAGO JULIO ENRIQUE</v>
          </cell>
          <cell r="V3212" t="str">
            <v>CORIHUAMAN SURCO  ERICK ROBERT</v>
          </cell>
        </row>
        <row r="3213">
          <cell r="A3213">
            <v>3183</v>
          </cell>
          <cell r="B3213">
            <v>42725</v>
          </cell>
          <cell r="C3213" t="str">
            <v>DICIEMBRE</v>
          </cell>
          <cell r="D3213" t="str">
            <v>2016</v>
          </cell>
          <cell r="E3213">
            <v>202</v>
          </cell>
          <cell r="F3213" t="str">
            <v>D3P-752</v>
          </cell>
          <cell r="G3213" t="str">
            <v>C5Y-985</v>
          </cell>
          <cell r="H3213" t="str">
            <v>LAS BAMBAS</v>
          </cell>
          <cell r="I3213">
            <v>150504</v>
          </cell>
          <cell r="J3213" t="str">
            <v>REPUESTO</v>
          </cell>
          <cell r="K3213" t="str">
            <v>HIDROLINA</v>
          </cell>
          <cell r="L3213">
            <v>1</v>
          </cell>
          <cell r="M3213" t="str">
            <v>GLNS.</v>
          </cell>
          <cell r="N3213" t="str">
            <v>TRACTO</v>
          </cell>
          <cell r="O3213">
            <v>65</v>
          </cell>
          <cell r="P3213" t="str">
            <v>M2</v>
          </cell>
          <cell r="Q3213" t="str">
            <v>J2</v>
          </cell>
          <cell r="R3213" t="str">
            <v>J6</v>
          </cell>
          <cell r="S3213" t="str">
            <v>PENDIENTE</v>
          </cell>
          <cell r="T3213">
            <v>0</v>
          </cell>
          <cell r="U3213" t="str">
            <v>CHUMPITAZ GAGO JULIO ENRIQUE</v>
          </cell>
          <cell r="V3213" t="str">
            <v>CORIHUAMAN SURCO  ERICK ROBERT</v>
          </cell>
        </row>
        <row r="3214">
          <cell r="A3214">
            <v>3184</v>
          </cell>
          <cell r="B3214">
            <v>42725</v>
          </cell>
          <cell r="C3214" t="str">
            <v>DICIEMBRE</v>
          </cell>
          <cell r="D3214" t="str">
            <v>2016</v>
          </cell>
          <cell r="E3214">
            <v>202</v>
          </cell>
          <cell r="F3214" t="str">
            <v>D3P-752</v>
          </cell>
          <cell r="G3214" t="str">
            <v>C5Y-985</v>
          </cell>
          <cell r="H3214" t="str">
            <v>LAS BAMBAS</v>
          </cell>
          <cell r="I3214">
            <v>150504</v>
          </cell>
          <cell r="J3214" t="str">
            <v>REPUESTO</v>
          </cell>
          <cell r="K3214" t="str">
            <v>FILTRO DE HIDROLINA</v>
          </cell>
          <cell r="L3214">
            <v>1</v>
          </cell>
          <cell r="M3214" t="str">
            <v>UNID.</v>
          </cell>
          <cell r="N3214" t="str">
            <v>TRACTO</v>
          </cell>
          <cell r="O3214">
            <v>65</v>
          </cell>
          <cell r="P3214" t="str">
            <v>M2</v>
          </cell>
          <cell r="Q3214" t="str">
            <v>J2</v>
          </cell>
          <cell r="R3214" t="str">
            <v>J6</v>
          </cell>
          <cell r="S3214" t="str">
            <v>PENDIENTE</v>
          </cell>
          <cell r="T3214">
            <v>0</v>
          </cell>
          <cell r="U3214" t="str">
            <v>CHUMPITAZ GAGO JULIO ENRIQUE</v>
          </cell>
          <cell r="V3214" t="str">
            <v>CORIHUAMAN SURCO  ERICK ROBERT</v>
          </cell>
        </row>
        <row r="3215">
          <cell r="A3215">
            <v>3198</v>
          </cell>
          <cell r="B3215">
            <v>42725</v>
          </cell>
          <cell r="C3215" t="str">
            <v>DICIEMBRE</v>
          </cell>
          <cell r="D3215" t="str">
            <v>2016</v>
          </cell>
          <cell r="E3215">
            <v>202</v>
          </cell>
          <cell r="F3215" t="str">
            <v>D3P-752</v>
          </cell>
          <cell r="G3215" t="str">
            <v>C5Y-985</v>
          </cell>
          <cell r="H3215" t="str">
            <v>LAS BAMBAS</v>
          </cell>
          <cell r="I3215">
            <v>150504</v>
          </cell>
          <cell r="J3215" t="str">
            <v>REPUESTO</v>
          </cell>
          <cell r="K3215" t="str">
            <v>PERNO 3/8 X 1 1/2, M10</v>
          </cell>
          <cell r="L3215">
            <v>2</v>
          </cell>
          <cell r="M3215" t="str">
            <v>UNID.</v>
          </cell>
          <cell r="N3215" t="str">
            <v>TRACTO</v>
          </cell>
          <cell r="O3215">
            <v>65</v>
          </cell>
          <cell r="P3215" t="str">
            <v>M2</v>
          </cell>
          <cell r="Q3215" t="str">
            <v>J2</v>
          </cell>
          <cell r="R3215" t="str">
            <v>J6</v>
          </cell>
          <cell r="S3215" t="str">
            <v>PENDIENTE</v>
          </cell>
          <cell r="T3215">
            <v>0</v>
          </cell>
          <cell r="U3215" t="str">
            <v>CHUMPITAZ GAGO JULIO ENRIQUE</v>
          </cell>
          <cell r="V3215" t="str">
            <v>CORIHUAMAN SURCO  ERICK ROBERT</v>
          </cell>
        </row>
        <row r="3216">
          <cell r="A3216">
            <v>3199</v>
          </cell>
          <cell r="B3216">
            <v>42725</v>
          </cell>
          <cell r="C3216" t="str">
            <v>DICIEMBRE</v>
          </cell>
          <cell r="D3216" t="str">
            <v>2016</v>
          </cell>
          <cell r="E3216">
            <v>202</v>
          </cell>
          <cell r="F3216" t="str">
            <v>D3P-752</v>
          </cell>
          <cell r="G3216" t="str">
            <v>C5Y-985</v>
          </cell>
          <cell r="H3216" t="str">
            <v>LAS BAMBAS</v>
          </cell>
          <cell r="I3216">
            <v>150504</v>
          </cell>
          <cell r="J3216" t="str">
            <v>REPUESTO</v>
          </cell>
          <cell r="K3216" t="str">
            <v>ARANDELA PLANA 3/8</v>
          </cell>
          <cell r="L3216">
            <v>2</v>
          </cell>
          <cell r="M3216" t="str">
            <v>UNID.</v>
          </cell>
          <cell r="N3216" t="str">
            <v>TRACTO</v>
          </cell>
          <cell r="O3216">
            <v>65</v>
          </cell>
          <cell r="P3216" t="str">
            <v>M2</v>
          </cell>
          <cell r="Q3216" t="str">
            <v>J2</v>
          </cell>
          <cell r="R3216" t="str">
            <v>J6</v>
          </cell>
          <cell r="S3216" t="str">
            <v>PENDIENTE</v>
          </cell>
          <cell r="T3216">
            <v>0</v>
          </cell>
          <cell r="U3216" t="str">
            <v>CHUMPITAZ GAGO JULIO ENRIQUE</v>
          </cell>
          <cell r="V3216" t="str">
            <v>CORIHUAMAN SURCO  ERICK ROBERT</v>
          </cell>
        </row>
        <row r="3217">
          <cell r="A3217">
            <v>3218</v>
          </cell>
          <cell r="B3217">
            <v>42725</v>
          </cell>
          <cell r="C3217" t="str">
            <v>DICIEMBRE</v>
          </cell>
          <cell r="D3217" t="str">
            <v>2016</v>
          </cell>
          <cell r="E3217">
            <v>634</v>
          </cell>
          <cell r="F3217" t="str">
            <v>D3S-767</v>
          </cell>
          <cell r="G3217" t="str">
            <v>B8L-973</v>
          </cell>
          <cell r="H3217" t="str">
            <v>LAS BAMBAS</v>
          </cell>
          <cell r="I3217">
            <v>186850</v>
          </cell>
          <cell r="J3217" t="str">
            <v>REPUESTO</v>
          </cell>
          <cell r="K3217" t="str">
            <v>TAPON PURGADOR DE AIRE</v>
          </cell>
          <cell r="L3217">
            <v>1</v>
          </cell>
          <cell r="M3217" t="str">
            <v>UNID.</v>
          </cell>
          <cell r="N3217" t="str">
            <v>TRACTO</v>
          </cell>
          <cell r="O3217">
            <v>65</v>
          </cell>
          <cell r="P3217" t="str">
            <v>M2</v>
          </cell>
          <cell r="Q3217" t="str">
            <v>J2</v>
          </cell>
          <cell r="R3217" t="str">
            <v>J6</v>
          </cell>
          <cell r="S3217" t="str">
            <v>PENDIENTE</v>
          </cell>
          <cell r="T3217">
            <v>0</v>
          </cell>
          <cell r="U3217" t="str">
            <v>CHUMPITAZ GAGO JULIO ENRIQUE</v>
          </cell>
          <cell r="V3217" t="str">
            <v>CORIHUAMAN SURCO  ERICK ROBERT</v>
          </cell>
        </row>
        <row r="3218">
          <cell r="A3218">
            <v>3173</v>
          </cell>
          <cell r="B3218">
            <v>42725</v>
          </cell>
          <cell r="C3218" t="str">
            <v>DICIEMBRE</v>
          </cell>
          <cell r="D3218" t="str">
            <v>2016</v>
          </cell>
          <cell r="E3218">
            <v>200</v>
          </cell>
          <cell r="F3218" t="str">
            <v>TALLER</v>
          </cell>
          <cell r="G3218" t="str">
            <v>TALLER</v>
          </cell>
          <cell r="H3218" t="str">
            <v>TALLER</v>
          </cell>
          <cell r="I3218" t="str">
            <v>TALLER</v>
          </cell>
          <cell r="J3218" t="str">
            <v>REPUESTO</v>
          </cell>
          <cell r="K3218" t="str">
            <v>CABLE TRIFASICO ESPESOR DE 1"</v>
          </cell>
          <cell r="L3218">
            <v>20</v>
          </cell>
          <cell r="M3218" t="str">
            <v>M</v>
          </cell>
          <cell r="N3218" t="str">
            <v>TALLER</v>
          </cell>
          <cell r="O3218">
            <v>65</v>
          </cell>
          <cell r="P3218" t="str">
            <v>J7</v>
          </cell>
          <cell r="Q3218" t="str">
            <v>J7</v>
          </cell>
          <cell r="R3218" t="str">
            <v>J6</v>
          </cell>
          <cell r="S3218" t="str">
            <v>PENDIENTE</v>
          </cell>
          <cell r="T3218">
            <v>0</v>
          </cell>
          <cell r="U3218" t="str">
            <v>DONAYRE INGA PEDRO</v>
          </cell>
          <cell r="V3218" t="str">
            <v>DONAYRE INGA PEDRO</v>
          </cell>
        </row>
        <row r="3219">
          <cell r="A3219">
            <v>3201</v>
          </cell>
          <cell r="B3219">
            <v>42725</v>
          </cell>
          <cell r="C3219" t="str">
            <v>DICIEMBRE</v>
          </cell>
          <cell r="D3219" t="str">
            <v>2016</v>
          </cell>
          <cell r="E3219">
            <v>200</v>
          </cell>
          <cell r="F3219" t="str">
            <v>TALLER</v>
          </cell>
          <cell r="G3219" t="str">
            <v>TALLER</v>
          </cell>
          <cell r="H3219" t="str">
            <v>TALLER</v>
          </cell>
          <cell r="I3219" t="str">
            <v>TALLER</v>
          </cell>
          <cell r="J3219" t="str">
            <v>SERVICIO</v>
          </cell>
          <cell r="K3219" t="str">
            <v>CAMBIO Y PRENSADO DE ACOPLE RAPIDO A MANGUERA DE 5/8</v>
          </cell>
          <cell r="L3219">
            <v>1</v>
          </cell>
          <cell r="M3219" t="str">
            <v>UNID.</v>
          </cell>
          <cell r="N3219" t="str">
            <v>TALLER</v>
          </cell>
          <cell r="O3219">
            <v>65</v>
          </cell>
          <cell r="P3219" t="str">
            <v>J3</v>
          </cell>
          <cell r="Q3219" t="str">
            <v>J3</v>
          </cell>
          <cell r="R3219" t="str">
            <v>J6</v>
          </cell>
          <cell r="S3219" t="str">
            <v>PENDIENTE</v>
          </cell>
          <cell r="T3219">
            <v>0</v>
          </cell>
          <cell r="U3219" t="str">
            <v>CHURA PIZARRO ALBERTO</v>
          </cell>
          <cell r="V3219" t="str">
            <v>CHURA PIZARRO ALBERTO</v>
          </cell>
        </row>
        <row r="3220">
          <cell r="A3220">
            <v>3209</v>
          </cell>
          <cell r="B3220">
            <v>42725</v>
          </cell>
          <cell r="C3220" t="str">
            <v>DICIEMBRE</v>
          </cell>
          <cell r="D3220" t="str">
            <v>2016</v>
          </cell>
          <cell r="E3220">
            <v>200</v>
          </cell>
          <cell r="F3220" t="str">
            <v>TALLER</v>
          </cell>
          <cell r="G3220" t="str">
            <v>TALLER</v>
          </cell>
          <cell r="H3220" t="str">
            <v>TALLER</v>
          </cell>
          <cell r="I3220" t="str">
            <v>TALLER</v>
          </cell>
          <cell r="J3220" t="str">
            <v>REPUESTO</v>
          </cell>
          <cell r="K3220" t="str">
            <v>PERNO 3/8 X 2</v>
          </cell>
          <cell r="L3220">
            <v>10</v>
          </cell>
          <cell r="M3220" t="str">
            <v>UNID.</v>
          </cell>
          <cell r="N3220" t="str">
            <v>TALLER</v>
          </cell>
          <cell r="O3220">
            <v>65</v>
          </cell>
          <cell r="P3220" t="str">
            <v>S3</v>
          </cell>
          <cell r="Q3220" t="str">
            <v>J2</v>
          </cell>
          <cell r="R3220" t="str">
            <v>J6</v>
          </cell>
          <cell r="S3220" t="str">
            <v>PENDIENTE</v>
          </cell>
          <cell r="T3220">
            <v>0</v>
          </cell>
          <cell r="U3220" t="str">
            <v>JIMENEZ MACHACA JAVIER</v>
          </cell>
          <cell r="V3220" t="str">
            <v>CORIHUAMAN SURCO  ERICK ROBERT</v>
          </cell>
        </row>
        <row r="3221">
          <cell r="A3221">
            <v>3210</v>
          </cell>
          <cell r="B3221">
            <v>42725</v>
          </cell>
          <cell r="C3221" t="str">
            <v>DICIEMBRE</v>
          </cell>
          <cell r="D3221" t="str">
            <v>2016</v>
          </cell>
          <cell r="E3221">
            <v>200</v>
          </cell>
          <cell r="F3221" t="str">
            <v>TALLER</v>
          </cell>
          <cell r="G3221" t="str">
            <v>TALLER</v>
          </cell>
          <cell r="H3221" t="str">
            <v>TALLER</v>
          </cell>
          <cell r="I3221" t="str">
            <v>TALLER</v>
          </cell>
          <cell r="J3221" t="str">
            <v>REPUESTO</v>
          </cell>
          <cell r="K3221" t="str">
            <v>TUERCA 3/8</v>
          </cell>
          <cell r="L3221">
            <v>10</v>
          </cell>
          <cell r="M3221" t="str">
            <v>UNID.</v>
          </cell>
          <cell r="N3221" t="str">
            <v>TALLER</v>
          </cell>
          <cell r="O3221">
            <v>65</v>
          </cell>
          <cell r="P3221" t="str">
            <v>S3</v>
          </cell>
          <cell r="Q3221" t="str">
            <v>J2</v>
          </cell>
          <cell r="R3221" t="str">
            <v>J6</v>
          </cell>
          <cell r="S3221" t="str">
            <v>PENDIENTE</v>
          </cell>
          <cell r="T3221">
            <v>0</v>
          </cell>
          <cell r="U3221" t="str">
            <v>JIMENEZ MACHACA JAVIER</v>
          </cell>
          <cell r="V3221" t="str">
            <v>CORIHUAMAN SURCO  ERICK ROBERT</v>
          </cell>
        </row>
        <row r="3222">
          <cell r="A3222">
            <v>3211</v>
          </cell>
          <cell r="B3222">
            <v>42725</v>
          </cell>
          <cell r="C3222" t="str">
            <v>DICIEMBRE</v>
          </cell>
          <cell r="D3222" t="str">
            <v>2016</v>
          </cell>
          <cell r="E3222">
            <v>200</v>
          </cell>
          <cell r="F3222" t="str">
            <v>TALLER</v>
          </cell>
          <cell r="G3222" t="str">
            <v>TALLER</v>
          </cell>
          <cell r="H3222" t="str">
            <v>TALLER</v>
          </cell>
          <cell r="I3222" t="str">
            <v>TALLER</v>
          </cell>
          <cell r="J3222" t="str">
            <v>REPUESTO</v>
          </cell>
          <cell r="K3222" t="str">
            <v>DISCO DE CORTE 4" X 1/16</v>
          </cell>
          <cell r="L3222">
            <v>3</v>
          </cell>
          <cell r="M3222" t="str">
            <v>UNID.</v>
          </cell>
          <cell r="N3222" t="str">
            <v>TALLER</v>
          </cell>
          <cell r="O3222">
            <v>65</v>
          </cell>
          <cell r="P3222" t="str">
            <v>S3</v>
          </cell>
          <cell r="Q3222" t="str">
            <v>J2</v>
          </cell>
          <cell r="R3222" t="str">
            <v>J6</v>
          </cell>
          <cell r="S3222" t="str">
            <v>PENDIENTE</v>
          </cell>
          <cell r="T3222">
            <v>0</v>
          </cell>
          <cell r="U3222" t="str">
            <v>JIMENEZ MACHACA JAVIER</v>
          </cell>
          <cell r="V3222" t="str">
            <v>CORIHUAMAN SURCO  ERICK ROBERT</v>
          </cell>
        </row>
        <row r="3223">
          <cell r="A3223">
            <v>3219</v>
          </cell>
          <cell r="B3223">
            <v>42725</v>
          </cell>
          <cell r="C3223" t="str">
            <v>DICIEMBRE</v>
          </cell>
          <cell r="D3223" t="str">
            <v>2016</v>
          </cell>
          <cell r="E3223">
            <v>200</v>
          </cell>
          <cell r="F3223" t="str">
            <v>TALLER</v>
          </cell>
          <cell r="G3223" t="str">
            <v>TALLER</v>
          </cell>
          <cell r="H3223" t="str">
            <v>TALLER</v>
          </cell>
          <cell r="I3223" t="str">
            <v>TALLER</v>
          </cell>
          <cell r="J3223" t="str">
            <v>INSUMO TALLER</v>
          </cell>
          <cell r="K3223" t="str">
            <v>SPRAY COLOR ROJO</v>
          </cell>
          <cell r="L3223">
            <v>1</v>
          </cell>
          <cell r="M3223" t="str">
            <v>UNID.</v>
          </cell>
          <cell r="N3223" t="str">
            <v>TALLER</v>
          </cell>
          <cell r="O3223">
            <v>65</v>
          </cell>
          <cell r="P3223" t="str">
            <v>S4</v>
          </cell>
          <cell r="Q3223" t="str">
            <v>J2</v>
          </cell>
          <cell r="R3223" t="str">
            <v>J6</v>
          </cell>
          <cell r="S3223" t="str">
            <v>PENDIENTE</v>
          </cell>
          <cell r="T3223">
            <v>0</v>
          </cell>
          <cell r="U3223" t="str">
            <v>SURCO QUISPE JOHNNY</v>
          </cell>
          <cell r="V3223" t="str">
            <v>CORIHUAMAN SURCO  ERICK ROBERT</v>
          </cell>
        </row>
        <row r="3224">
          <cell r="A3224">
            <v>3202</v>
          </cell>
          <cell r="B3224">
            <v>42725</v>
          </cell>
          <cell r="C3224" t="str">
            <v>DICIEMBRE</v>
          </cell>
          <cell r="D3224" t="str">
            <v>2016</v>
          </cell>
          <cell r="E3224">
            <v>648</v>
          </cell>
          <cell r="F3224" t="str">
            <v>X2W-763</v>
          </cell>
          <cell r="G3224" t="str">
            <v>C5V-997</v>
          </cell>
          <cell r="H3224" t="str">
            <v>LAS BAMBAS</v>
          </cell>
          <cell r="I3224">
            <v>157956</v>
          </cell>
          <cell r="J3224" t="str">
            <v>REPUESTO</v>
          </cell>
          <cell r="K3224" t="str">
            <v>LIQUIDO REFRIGERANTE</v>
          </cell>
          <cell r="L3224">
            <v>4</v>
          </cell>
          <cell r="M3224" t="str">
            <v>GLNS.</v>
          </cell>
          <cell r="N3224" t="str">
            <v>TRACTO</v>
          </cell>
          <cell r="O3224">
            <v>65</v>
          </cell>
          <cell r="P3224" t="str">
            <v>M4</v>
          </cell>
          <cell r="Q3224" t="str">
            <v>J2</v>
          </cell>
          <cell r="R3224" t="str">
            <v>J6</v>
          </cell>
          <cell r="S3224" t="str">
            <v>PENDIENTE</v>
          </cell>
          <cell r="T3224">
            <v>0</v>
          </cell>
          <cell r="U3224" t="str">
            <v>JULLIRI APAZA UBALDO</v>
          </cell>
          <cell r="V3224" t="str">
            <v>CORIHUAMAN SURCO  ERICK ROBERT</v>
          </cell>
        </row>
        <row r="3225">
          <cell r="A3225">
            <v>3272</v>
          </cell>
          <cell r="B3225">
            <v>42726</v>
          </cell>
          <cell r="C3225" t="str">
            <v>DICIEMBRE</v>
          </cell>
          <cell r="D3225" t="str">
            <v>2016</v>
          </cell>
          <cell r="E3225">
            <v>658</v>
          </cell>
          <cell r="F3225" t="str">
            <v>AAN-801</v>
          </cell>
          <cell r="G3225" t="str">
            <v>CAMIONETA</v>
          </cell>
          <cell r="H3225" t="str">
            <v>LAS BAMBAS</v>
          </cell>
          <cell r="I3225">
            <v>117588</v>
          </cell>
          <cell r="J3225" t="str">
            <v>REPUESTO</v>
          </cell>
          <cell r="K3225" t="str">
            <v>FILTRO DE ACEITE</v>
          </cell>
          <cell r="L3225">
            <v>1</v>
          </cell>
          <cell r="M3225" t="str">
            <v>UNID.</v>
          </cell>
          <cell r="N3225" t="str">
            <v>CAMIONETA</v>
          </cell>
          <cell r="O3225">
            <v>64</v>
          </cell>
          <cell r="P3225" t="str">
            <v>J1</v>
          </cell>
          <cell r="Q3225" t="str">
            <v>J1</v>
          </cell>
          <cell r="R3225" t="str">
            <v>J5</v>
          </cell>
          <cell r="S3225" t="str">
            <v>PENDIENTE</v>
          </cell>
          <cell r="T3225">
            <v>0</v>
          </cell>
          <cell r="U3225" t="str">
            <v>FLOREZ CONDORI  JOSE WILLIANS</v>
          </cell>
          <cell r="V3225" t="str">
            <v>FLOREZ CONDORI  JOSE WILLIANS</v>
          </cell>
        </row>
        <row r="3226">
          <cell r="A3226">
            <v>3273</v>
          </cell>
          <cell r="B3226">
            <v>42726</v>
          </cell>
          <cell r="C3226" t="str">
            <v>DICIEMBRE</v>
          </cell>
          <cell r="D3226" t="str">
            <v>2016</v>
          </cell>
          <cell r="E3226">
            <v>658</v>
          </cell>
          <cell r="F3226" t="str">
            <v>AAN-801</v>
          </cell>
          <cell r="G3226" t="str">
            <v>CAMIONETA</v>
          </cell>
          <cell r="H3226" t="str">
            <v>LAS BAMBAS</v>
          </cell>
          <cell r="I3226">
            <v>117588</v>
          </cell>
          <cell r="J3226" t="str">
            <v>REPUESTO</v>
          </cell>
          <cell r="K3226" t="str">
            <v>FILTRO DE COMBUSTIBLE</v>
          </cell>
          <cell r="L3226">
            <v>1</v>
          </cell>
          <cell r="M3226" t="str">
            <v>UNID.</v>
          </cell>
          <cell r="N3226" t="str">
            <v>CAMIONETA</v>
          </cell>
          <cell r="O3226">
            <v>64</v>
          </cell>
          <cell r="P3226" t="str">
            <v>J1</v>
          </cell>
          <cell r="Q3226" t="str">
            <v>J1</v>
          </cell>
          <cell r="R3226" t="str">
            <v>J5</v>
          </cell>
          <cell r="S3226" t="str">
            <v>PENDIENTE</v>
          </cell>
          <cell r="T3226">
            <v>0</v>
          </cell>
          <cell r="U3226" t="str">
            <v>FLOREZ CONDORI  JOSE WILLIANS</v>
          </cell>
          <cell r="V3226" t="str">
            <v>FLOREZ CONDORI  JOSE WILLIANS</v>
          </cell>
        </row>
        <row r="3227">
          <cell r="A3227">
            <v>3274</v>
          </cell>
          <cell r="B3227">
            <v>42726</v>
          </cell>
          <cell r="C3227" t="str">
            <v>DICIEMBRE</v>
          </cell>
          <cell r="D3227" t="str">
            <v>2016</v>
          </cell>
          <cell r="E3227">
            <v>658</v>
          </cell>
          <cell r="F3227" t="str">
            <v>AAN-801</v>
          </cell>
          <cell r="G3227" t="str">
            <v>CAMIONETA</v>
          </cell>
          <cell r="H3227" t="str">
            <v>LAS BAMBAS</v>
          </cell>
          <cell r="I3227">
            <v>117588</v>
          </cell>
          <cell r="J3227" t="str">
            <v>REPUESTO</v>
          </cell>
          <cell r="K3227" t="str">
            <v>FILTRO DE AIRE</v>
          </cell>
          <cell r="L3227">
            <v>1</v>
          </cell>
          <cell r="M3227" t="str">
            <v>UNID.</v>
          </cell>
          <cell r="N3227" t="str">
            <v>CAMIONETA</v>
          </cell>
          <cell r="O3227">
            <v>64</v>
          </cell>
          <cell r="P3227" t="str">
            <v>J1</v>
          </cell>
          <cell r="Q3227" t="str">
            <v>J1</v>
          </cell>
          <cell r="R3227" t="str">
            <v>J5</v>
          </cell>
          <cell r="S3227" t="str">
            <v>PENDIENTE</v>
          </cell>
          <cell r="T3227">
            <v>0</v>
          </cell>
          <cell r="U3227" t="str">
            <v>FLOREZ CONDORI  JOSE WILLIANS</v>
          </cell>
          <cell r="V3227" t="str">
            <v>FLOREZ CONDORI  JOSE WILLIANS</v>
          </cell>
        </row>
        <row r="3228">
          <cell r="A3228">
            <v>3275</v>
          </cell>
          <cell r="B3228">
            <v>42726</v>
          </cell>
          <cell r="C3228" t="str">
            <v>DICIEMBRE</v>
          </cell>
          <cell r="D3228" t="str">
            <v>2016</v>
          </cell>
          <cell r="E3228">
            <v>658</v>
          </cell>
          <cell r="F3228" t="str">
            <v>AAN-801</v>
          </cell>
          <cell r="G3228" t="str">
            <v>CAMIONETA</v>
          </cell>
          <cell r="H3228" t="str">
            <v>LAS BAMBAS</v>
          </cell>
          <cell r="I3228">
            <v>117588</v>
          </cell>
          <cell r="J3228" t="str">
            <v>REPUESTO</v>
          </cell>
          <cell r="K3228" t="str">
            <v>ACEITE 15W40</v>
          </cell>
          <cell r="L3228">
            <v>2</v>
          </cell>
          <cell r="M3228" t="str">
            <v>GLNS.</v>
          </cell>
          <cell r="N3228" t="str">
            <v>CAMIONETA</v>
          </cell>
          <cell r="O3228">
            <v>64</v>
          </cell>
          <cell r="P3228" t="str">
            <v>J1</v>
          </cell>
          <cell r="Q3228" t="str">
            <v>J1</v>
          </cell>
          <cell r="R3228" t="str">
            <v>J5</v>
          </cell>
          <cell r="S3228" t="str">
            <v>PENDIENTE</v>
          </cell>
          <cell r="T3228">
            <v>0</v>
          </cell>
          <cell r="U3228" t="str">
            <v>FLOREZ CONDORI  JOSE WILLIANS</v>
          </cell>
          <cell r="V3228" t="str">
            <v>FLOREZ CONDORI  JOSE WILLIANS</v>
          </cell>
        </row>
        <row r="3229">
          <cell r="A3229">
            <v>3265</v>
          </cell>
          <cell r="B3229">
            <v>42726</v>
          </cell>
          <cell r="C3229" t="str">
            <v>DICIEMBRE</v>
          </cell>
          <cell r="D3229" t="str">
            <v>2016</v>
          </cell>
          <cell r="E3229">
            <v>576</v>
          </cell>
          <cell r="F3229" t="str">
            <v>ABQ-704</v>
          </cell>
          <cell r="G3229" t="str">
            <v>TBB-995</v>
          </cell>
          <cell r="H3229" t="str">
            <v>LAS BAMBAS</v>
          </cell>
          <cell r="I3229">
            <v>111397</v>
          </cell>
          <cell r="J3229" t="str">
            <v>SERVICIO</v>
          </cell>
          <cell r="K3229" t="str">
            <v>REPARACION DE RADIADOR</v>
          </cell>
          <cell r="L3229">
            <v>1</v>
          </cell>
          <cell r="M3229" t="str">
            <v>UNID.</v>
          </cell>
          <cell r="N3229" t="str">
            <v>CISTERNA</v>
          </cell>
          <cell r="O3229">
            <v>64</v>
          </cell>
          <cell r="P3229" t="str">
            <v>J1</v>
          </cell>
          <cell r="Q3229" t="str">
            <v>J1</v>
          </cell>
          <cell r="R3229" t="str">
            <v>J5</v>
          </cell>
          <cell r="S3229" t="str">
            <v>PENDIENTE</v>
          </cell>
          <cell r="T3229">
            <v>0</v>
          </cell>
          <cell r="U3229" t="str">
            <v>FLOREZ CONDORI  JOSE WILLIANS</v>
          </cell>
          <cell r="V3229" t="str">
            <v>FLOREZ CONDORI  JOSE WILLIANS</v>
          </cell>
        </row>
        <row r="3230">
          <cell r="A3230">
            <v>3251</v>
          </cell>
          <cell r="B3230">
            <v>42726</v>
          </cell>
          <cell r="C3230" t="str">
            <v>DICIEMBRE</v>
          </cell>
          <cell r="D3230" t="str">
            <v>2016</v>
          </cell>
          <cell r="E3230">
            <v>655</v>
          </cell>
          <cell r="F3230" t="str">
            <v>AEH-888</v>
          </cell>
          <cell r="G3230" t="str">
            <v>CAMIONETA</v>
          </cell>
          <cell r="H3230" t="str">
            <v>LAS BAMBAS</v>
          </cell>
          <cell r="I3230">
            <v>95338</v>
          </cell>
          <cell r="J3230" t="str">
            <v>REPUESTO</v>
          </cell>
          <cell r="K3230" t="str">
            <v>FILTRO DE ACEITE</v>
          </cell>
          <cell r="L3230">
            <v>1</v>
          </cell>
          <cell r="M3230" t="str">
            <v>UNID.</v>
          </cell>
          <cell r="N3230" t="str">
            <v>CAMIONETA</v>
          </cell>
          <cell r="O3230">
            <v>64</v>
          </cell>
          <cell r="P3230" t="str">
            <v>M6</v>
          </cell>
          <cell r="Q3230" t="str">
            <v>J1</v>
          </cell>
          <cell r="R3230" t="str">
            <v>J5</v>
          </cell>
          <cell r="S3230" t="str">
            <v>PENDIENTE</v>
          </cell>
          <cell r="T3230">
            <v>0</v>
          </cell>
          <cell r="U3230" t="str">
            <v>PARI VENTURA  EDSON ORLANDO</v>
          </cell>
          <cell r="V3230" t="str">
            <v>FLOREZ CONDORI  JOSE WILLIANS</v>
          </cell>
        </row>
        <row r="3231">
          <cell r="A3231">
            <v>3252</v>
          </cell>
          <cell r="B3231">
            <v>42726</v>
          </cell>
          <cell r="C3231" t="str">
            <v>DICIEMBRE</v>
          </cell>
          <cell r="D3231" t="str">
            <v>2016</v>
          </cell>
          <cell r="E3231">
            <v>655</v>
          </cell>
          <cell r="F3231" t="str">
            <v>AEH-888</v>
          </cell>
          <cell r="G3231" t="str">
            <v>CAMIONETA</v>
          </cell>
          <cell r="H3231" t="str">
            <v>LAS BAMBAS</v>
          </cell>
          <cell r="I3231">
            <v>95338</v>
          </cell>
          <cell r="J3231" t="str">
            <v>REPUESTO</v>
          </cell>
          <cell r="K3231" t="str">
            <v>FILTRO DE COMBUSTIBLE</v>
          </cell>
          <cell r="L3231">
            <v>1</v>
          </cell>
          <cell r="M3231" t="str">
            <v>UNID.</v>
          </cell>
          <cell r="N3231" t="str">
            <v>CAMIONETA</v>
          </cell>
          <cell r="O3231">
            <v>64</v>
          </cell>
          <cell r="P3231" t="str">
            <v>M6</v>
          </cell>
          <cell r="Q3231" t="str">
            <v>J1</v>
          </cell>
          <cell r="R3231" t="str">
            <v>J5</v>
          </cell>
          <cell r="S3231" t="str">
            <v>PENDIENTE</v>
          </cell>
          <cell r="T3231">
            <v>0</v>
          </cell>
          <cell r="U3231" t="str">
            <v>PARI VENTURA  EDSON ORLANDO</v>
          </cell>
          <cell r="V3231" t="str">
            <v>FLOREZ CONDORI  JOSE WILLIANS</v>
          </cell>
        </row>
        <row r="3232">
          <cell r="A3232">
            <v>3253</v>
          </cell>
          <cell r="B3232">
            <v>42726</v>
          </cell>
          <cell r="C3232" t="str">
            <v>DICIEMBRE</v>
          </cell>
          <cell r="D3232" t="str">
            <v>2016</v>
          </cell>
          <cell r="E3232">
            <v>655</v>
          </cell>
          <cell r="F3232" t="str">
            <v>AEH-888</v>
          </cell>
          <cell r="G3232" t="str">
            <v>CAMIONETA</v>
          </cell>
          <cell r="H3232" t="str">
            <v>LAS BAMBAS</v>
          </cell>
          <cell r="I3232">
            <v>95338</v>
          </cell>
          <cell r="J3232" t="str">
            <v>REPUESTO</v>
          </cell>
          <cell r="K3232" t="str">
            <v>FILTRO DE AIRE</v>
          </cell>
          <cell r="L3232">
            <v>1</v>
          </cell>
          <cell r="M3232" t="str">
            <v>UNID.</v>
          </cell>
          <cell r="N3232" t="str">
            <v>CAMIONETA</v>
          </cell>
          <cell r="O3232">
            <v>64</v>
          </cell>
          <cell r="P3232" t="str">
            <v>M6</v>
          </cell>
          <cell r="Q3232" t="str">
            <v>J1</v>
          </cell>
          <cell r="R3232" t="str">
            <v>J5</v>
          </cell>
          <cell r="S3232" t="str">
            <v>PENDIENTE</v>
          </cell>
          <cell r="T3232">
            <v>0</v>
          </cell>
          <cell r="U3232" t="str">
            <v>PARI VENTURA  EDSON ORLANDO</v>
          </cell>
          <cell r="V3232" t="str">
            <v>FLOREZ CONDORI  JOSE WILLIANS</v>
          </cell>
        </row>
        <row r="3233">
          <cell r="A3233">
            <v>3254</v>
          </cell>
          <cell r="B3233">
            <v>42726</v>
          </cell>
          <cell r="C3233" t="str">
            <v>DICIEMBRE</v>
          </cell>
          <cell r="D3233" t="str">
            <v>2016</v>
          </cell>
          <cell r="E3233">
            <v>655</v>
          </cell>
          <cell r="F3233" t="str">
            <v>AEH-888</v>
          </cell>
          <cell r="G3233" t="str">
            <v>CAMIONETA</v>
          </cell>
          <cell r="H3233" t="str">
            <v>LAS BAMBAS</v>
          </cell>
          <cell r="I3233">
            <v>95338</v>
          </cell>
          <cell r="J3233" t="str">
            <v>REPUESTO</v>
          </cell>
          <cell r="K3233" t="str">
            <v>ACEITE 15W40</v>
          </cell>
          <cell r="L3233">
            <v>2</v>
          </cell>
          <cell r="M3233" t="str">
            <v>GLNS.</v>
          </cell>
          <cell r="N3233" t="str">
            <v>CAMIONETA</v>
          </cell>
          <cell r="O3233">
            <v>64</v>
          </cell>
          <cell r="P3233" t="str">
            <v>M6</v>
          </cell>
          <cell r="Q3233" t="str">
            <v>J1</v>
          </cell>
          <cell r="R3233" t="str">
            <v>J5</v>
          </cell>
          <cell r="S3233" t="str">
            <v>PENDIENTE</v>
          </cell>
          <cell r="T3233">
            <v>0</v>
          </cell>
          <cell r="U3233" t="str">
            <v>PARI VENTURA  EDSON ORLANDO</v>
          </cell>
          <cell r="V3233" t="str">
            <v>FLOREZ CONDORI  JOSE WILLIANS</v>
          </cell>
        </row>
        <row r="3234">
          <cell r="A3234">
            <v>3259</v>
          </cell>
          <cell r="B3234">
            <v>42726</v>
          </cell>
          <cell r="C3234" t="str">
            <v>DICIEMBRE</v>
          </cell>
          <cell r="D3234" t="str">
            <v>2016</v>
          </cell>
          <cell r="E3234">
            <v>655</v>
          </cell>
          <cell r="F3234" t="str">
            <v>AEH-888</v>
          </cell>
          <cell r="G3234" t="str">
            <v>CAMIONETA</v>
          </cell>
          <cell r="H3234" t="str">
            <v>LAS BAMBAS</v>
          </cell>
          <cell r="I3234">
            <v>95338</v>
          </cell>
          <cell r="J3234" t="str">
            <v>SERVICIO</v>
          </cell>
          <cell r="K3234" t="str">
            <v xml:space="preserve">SERVICIO DE ESCANEO DE UNIDAD </v>
          </cell>
          <cell r="L3234">
            <v>1</v>
          </cell>
          <cell r="M3234" t="str">
            <v>UNID.</v>
          </cell>
          <cell r="N3234" t="str">
            <v>CAMIONETA</v>
          </cell>
          <cell r="O3234">
            <v>64</v>
          </cell>
          <cell r="P3234" t="str">
            <v>J1</v>
          </cell>
          <cell r="Q3234" t="str">
            <v>J1</v>
          </cell>
          <cell r="R3234" t="str">
            <v>J5</v>
          </cell>
          <cell r="S3234" t="str">
            <v>PENDIENTE</v>
          </cell>
          <cell r="T3234">
            <v>0</v>
          </cell>
          <cell r="U3234" t="str">
            <v>FLOREZ CONDORI  JOSE WILLIANS</v>
          </cell>
          <cell r="V3234" t="str">
            <v>FLOREZ CONDORI  JOSE WILLIANS</v>
          </cell>
        </row>
        <row r="3235">
          <cell r="A3235">
            <v>3227</v>
          </cell>
          <cell r="B3235">
            <v>42726</v>
          </cell>
          <cell r="C3235" t="str">
            <v>DICIEMBRE</v>
          </cell>
          <cell r="D3235" t="str">
            <v>2016</v>
          </cell>
          <cell r="E3235">
            <v>649</v>
          </cell>
          <cell r="F3235" t="str">
            <v>AKW-731</v>
          </cell>
          <cell r="G3235" t="str">
            <v>TCR-989</v>
          </cell>
          <cell r="H3235" t="str">
            <v>LAS BAMBAS CONC.</v>
          </cell>
          <cell r="I3235">
            <v>27349</v>
          </cell>
          <cell r="J3235" t="str">
            <v>REPUESTO</v>
          </cell>
          <cell r="K3235" t="str">
            <v>PRECINTOS 300</v>
          </cell>
          <cell r="L3235">
            <v>4</v>
          </cell>
          <cell r="M3235" t="str">
            <v>UNID.</v>
          </cell>
          <cell r="N3235" t="str">
            <v>TRACTO</v>
          </cell>
          <cell r="O3235">
            <v>64</v>
          </cell>
          <cell r="P3235" t="str">
            <v>M3</v>
          </cell>
          <cell r="Q3235" t="str">
            <v>J1</v>
          </cell>
          <cell r="R3235" t="str">
            <v>J5</v>
          </cell>
          <cell r="S3235" t="str">
            <v>PENDIENTE</v>
          </cell>
          <cell r="T3235">
            <v>0</v>
          </cell>
          <cell r="U3235" t="str">
            <v>GARCIA PASQUEL  JOSE LUIS</v>
          </cell>
          <cell r="V3235" t="str">
            <v>FLOREZ CONDORI  JOSE WILLIANS</v>
          </cell>
        </row>
        <row r="3236">
          <cell r="A3236">
            <v>3241</v>
          </cell>
          <cell r="B3236">
            <v>42726</v>
          </cell>
          <cell r="C3236" t="str">
            <v>DICIEMBRE</v>
          </cell>
          <cell r="D3236" t="str">
            <v>2016</v>
          </cell>
          <cell r="E3236">
            <v>633</v>
          </cell>
          <cell r="F3236" t="str">
            <v>AKX-805</v>
          </cell>
          <cell r="G3236" t="str">
            <v>F5Z-985</v>
          </cell>
          <cell r="H3236" t="str">
            <v>LAS BAMBAS</v>
          </cell>
          <cell r="I3236">
            <v>37238</v>
          </cell>
          <cell r="J3236" t="str">
            <v>REPUESTO</v>
          </cell>
          <cell r="K3236" t="str">
            <v xml:space="preserve">ODOMETRO </v>
          </cell>
          <cell r="L3236">
            <v>1</v>
          </cell>
          <cell r="M3236" t="str">
            <v>UNID.</v>
          </cell>
          <cell r="N3236" t="str">
            <v>CISTERNA</v>
          </cell>
          <cell r="O3236">
            <v>64</v>
          </cell>
          <cell r="P3236" t="str">
            <v>N1</v>
          </cell>
          <cell r="Q3236" t="str">
            <v>J3</v>
          </cell>
          <cell r="R3236" t="str">
            <v>J5</v>
          </cell>
          <cell r="S3236" t="str">
            <v>PENDIENTE</v>
          </cell>
          <cell r="T3236">
            <v>0</v>
          </cell>
          <cell r="U3236" t="str">
            <v>AGUILAR CCANTUTA WILLY</v>
          </cell>
          <cell r="V3236" t="str">
            <v>CHURA PIZARRO ALBERTO</v>
          </cell>
        </row>
        <row r="3237">
          <cell r="A3237">
            <v>3244</v>
          </cell>
          <cell r="B3237">
            <v>42726</v>
          </cell>
          <cell r="C3237" t="str">
            <v>DICIEMBRE</v>
          </cell>
          <cell r="D3237" t="str">
            <v>2016</v>
          </cell>
          <cell r="E3237">
            <v>633</v>
          </cell>
          <cell r="F3237" t="str">
            <v>AKX-805</v>
          </cell>
          <cell r="G3237" t="str">
            <v>F5Z-985</v>
          </cell>
          <cell r="H3237" t="str">
            <v>LAS BAMBAS</v>
          </cell>
          <cell r="I3237">
            <v>37238</v>
          </cell>
          <cell r="J3237" t="str">
            <v>REPUESTO</v>
          </cell>
          <cell r="K3237" t="str">
            <v>PERNOS 3/8 X 4"</v>
          </cell>
          <cell r="L3237">
            <v>2</v>
          </cell>
          <cell r="M3237" t="str">
            <v>UNID.</v>
          </cell>
          <cell r="N3237" t="str">
            <v>TRACTO</v>
          </cell>
          <cell r="O3237">
            <v>64</v>
          </cell>
          <cell r="P3237" t="str">
            <v>M3</v>
          </cell>
          <cell r="Q3237" t="str">
            <v>J1</v>
          </cell>
          <cell r="R3237" t="str">
            <v>J5</v>
          </cell>
          <cell r="S3237" t="str">
            <v>PENDIENTE</v>
          </cell>
          <cell r="T3237">
            <v>0</v>
          </cell>
          <cell r="U3237" t="str">
            <v>GARCIA PASQUEL  JOSE LUIS</v>
          </cell>
          <cell r="V3237" t="str">
            <v>FLOREZ CONDORI  JOSE WILLIANS</v>
          </cell>
        </row>
        <row r="3238">
          <cell r="A3238">
            <v>3245</v>
          </cell>
          <cell r="B3238">
            <v>42726</v>
          </cell>
          <cell r="C3238" t="str">
            <v>DICIEMBRE</v>
          </cell>
          <cell r="D3238" t="str">
            <v>2016</v>
          </cell>
          <cell r="E3238">
            <v>633</v>
          </cell>
          <cell r="F3238" t="str">
            <v>AKX-805</v>
          </cell>
          <cell r="G3238" t="str">
            <v>F5Z-985</v>
          </cell>
          <cell r="H3238" t="str">
            <v>LAS BAMBAS</v>
          </cell>
          <cell r="I3238">
            <v>37238</v>
          </cell>
          <cell r="J3238" t="str">
            <v>REPUESTO</v>
          </cell>
          <cell r="K3238" t="str">
            <v>PERNOS 3/8 X 3"</v>
          </cell>
          <cell r="L3238">
            <v>2</v>
          </cell>
          <cell r="M3238" t="str">
            <v>UNID.</v>
          </cell>
          <cell r="N3238" t="str">
            <v>TRACTO</v>
          </cell>
          <cell r="O3238">
            <v>64</v>
          </cell>
          <cell r="P3238" t="str">
            <v>M3</v>
          </cell>
          <cell r="Q3238" t="str">
            <v>J1</v>
          </cell>
          <cell r="R3238" t="str">
            <v>J5</v>
          </cell>
          <cell r="S3238" t="str">
            <v>PENDIENTE</v>
          </cell>
          <cell r="T3238">
            <v>0</v>
          </cell>
          <cell r="U3238" t="str">
            <v>GARCIA PASQUEL  JOSE LUIS</v>
          </cell>
          <cell r="V3238" t="str">
            <v>FLOREZ CONDORI  JOSE WILLIANS</v>
          </cell>
        </row>
        <row r="3239">
          <cell r="A3239">
            <v>3246</v>
          </cell>
          <cell r="B3239">
            <v>42726</v>
          </cell>
          <cell r="C3239" t="str">
            <v>DICIEMBRE</v>
          </cell>
          <cell r="D3239" t="str">
            <v>2016</v>
          </cell>
          <cell r="E3239">
            <v>633</v>
          </cell>
          <cell r="F3239" t="str">
            <v>AKX-805</v>
          </cell>
          <cell r="G3239" t="str">
            <v>F5Z-985</v>
          </cell>
          <cell r="H3239" t="str">
            <v>LAS BAMBAS</v>
          </cell>
          <cell r="I3239">
            <v>37238</v>
          </cell>
          <cell r="J3239" t="str">
            <v>REPUESTO</v>
          </cell>
          <cell r="K3239" t="str">
            <v>TUERCA SEGURO 3/8</v>
          </cell>
          <cell r="L3239">
            <v>8</v>
          </cell>
          <cell r="M3239" t="str">
            <v>UNID.</v>
          </cell>
          <cell r="N3239" t="str">
            <v>TRACTO</v>
          </cell>
          <cell r="O3239">
            <v>64</v>
          </cell>
          <cell r="P3239" t="str">
            <v>M3</v>
          </cell>
          <cell r="Q3239" t="str">
            <v>J1</v>
          </cell>
          <cell r="R3239" t="str">
            <v>J5</v>
          </cell>
          <cell r="S3239" t="str">
            <v>PENDIENTE</v>
          </cell>
          <cell r="T3239">
            <v>0</v>
          </cell>
          <cell r="U3239" t="str">
            <v>GARCIA PASQUEL  JOSE LUIS</v>
          </cell>
          <cell r="V3239" t="str">
            <v>FLOREZ CONDORI  JOSE WILLIANS</v>
          </cell>
        </row>
        <row r="3240">
          <cell r="A3240">
            <v>3247</v>
          </cell>
          <cell r="B3240">
            <v>42726</v>
          </cell>
          <cell r="C3240" t="str">
            <v>DICIEMBRE</v>
          </cell>
          <cell r="D3240" t="str">
            <v>2016</v>
          </cell>
          <cell r="E3240">
            <v>633</v>
          </cell>
          <cell r="F3240" t="str">
            <v>AKX-805</v>
          </cell>
          <cell r="G3240" t="str">
            <v>F5Z-985</v>
          </cell>
          <cell r="H3240" t="str">
            <v>LAS BAMBAS</v>
          </cell>
          <cell r="I3240">
            <v>37238</v>
          </cell>
          <cell r="J3240" t="str">
            <v>REPUESTO</v>
          </cell>
          <cell r="K3240" t="str">
            <v>ARANDELAS 3/8</v>
          </cell>
          <cell r="L3240">
            <v>8</v>
          </cell>
          <cell r="M3240" t="str">
            <v>UNID.</v>
          </cell>
          <cell r="N3240" t="str">
            <v>TRACTO</v>
          </cell>
          <cell r="O3240">
            <v>64</v>
          </cell>
          <cell r="P3240" t="str">
            <v>M3</v>
          </cell>
          <cell r="Q3240" t="str">
            <v>J1</v>
          </cell>
          <cell r="R3240" t="str">
            <v>J5</v>
          </cell>
          <cell r="S3240" t="str">
            <v>PENDIENTE</v>
          </cell>
          <cell r="T3240">
            <v>0</v>
          </cell>
          <cell r="U3240" t="str">
            <v>GARCIA PASQUEL  JOSE LUIS</v>
          </cell>
          <cell r="V3240" t="str">
            <v>FLOREZ CONDORI  JOSE WILLIANS</v>
          </cell>
        </row>
        <row r="3241">
          <cell r="A3241">
            <v>3261</v>
          </cell>
          <cell r="B3241">
            <v>42726</v>
          </cell>
          <cell r="C3241" t="str">
            <v>DICIEMBRE</v>
          </cell>
          <cell r="D3241" t="str">
            <v>2016</v>
          </cell>
          <cell r="E3241">
            <v>557</v>
          </cell>
          <cell r="F3241" t="str">
            <v>APF-776</v>
          </cell>
          <cell r="G3241" t="str">
            <v>CAMIONETA</v>
          </cell>
          <cell r="H3241" t="str">
            <v>LAS BAMBAS</v>
          </cell>
          <cell r="I3241">
            <v>4085</v>
          </cell>
          <cell r="J3241" t="str">
            <v>REPUESTO</v>
          </cell>
          <cell r="K3241" t="str">
            <v xml:space="preserve">ALARMA DE RETROCESO </v>
          </cell>
          <cell r="L3241">
            <v>1</v>
          </cell>
          <cell r="M3241" t="str">
            <v>UNID.</v>
          </cell>
          <cell r="N3241" t="str">
            <v>CAMIONETA</v>
          </cell>
          <cell r="O3241">
            <v>64</v>
          </cell>
          <cell r="P3241" t="str">
            <v>E2</v>
          </cell>
          <cell r="Q3241" t="str">
            <v>J1</v>
          </cell>
          <cell r="R3241" t="str">
            <v>J5</v>
          </cell>
          <cell r="S3241" t="str">
            <v>PENDIENTE</v>
          </cell>
          <cell r="T3241">
            <v>0</v>
          </cell>
          <cell r="U3241" t="str">
            <v>YUCA BELLIDO BORIS YERSY</v>
          </cell>
          <cell r="V3241" t="str">
            <v>FLOREZ CONDORI  JOSE WILLIANS</v>
          </cell>
        </row>
        <row r="3242">
          <cell r="A3242">
            <v>3225</v>
          </cell>
          <cell r="B3242">
            <v>42726</v>
          </cell>
          <cell r="C3242" t="str">
            <v>DICIEMBRE</v>
          </cell>
          <cell r="D3242" t="str">
            <v>2016</v>
          </cell>
          <cell r="E3242">
            <v>638</v>
          </cell>
          <cell r="F3242" t="str">
            <v>C5R-895</v>
          </cell>
          <cell r="G3242" t="str">
            <v>TBL-976</v>
          </cell>
          <cell r="H3242" t="str">
            <v>LAS BAMBAS</v>
          </cell>
          <cell r="I3242">
            <v>171517</v>
          </cell>
          <cell r="J3242" t="str">
            <v>REPUESTO</v>
          </cell>
          <cell r="K3242" t="str">
            <v>FAROS NEBLINEROS</v>
          </cell>
          <cell r="L3242">
            <v>2</v>
          </cell>
          <cell r="M3242" t="str">
            <v>UNID.</v>
          </cell>
          <cell r="N3242" t="str">
            <v>TRACTO</v>
          </cell>
          <cell r="O3242">
            <v>64</v>
          </cell>
          <cell r="P3242" t="str">
            <v>E2</v>
          </cell>
          <cell r="Q3242" t="str">
            <v>J1</v>
          </cell>
          <cell r="R3242" t="str">
            <v>J6</v>
          </cell>
          <cell r="S3242" t="str">
            <v>PENDIENTE</v>
          </cell>
          <cell r="T3242">
            <v>0</v>
          </cell>
          <cell r="U3242" t="str">
            <v>YUCA BELLIDO BORIS YERSY</v>
          </cell>
          <cell r="V3242" t="str">
            <v>FLOREZ CONDORI  JOSE WILLIANS</v>
          </cell>
        </row>
        <row r="3243">
          <cell r="A3243">
            <v>3230</v>
          </cell>
          <cell r="B3243">
            <v>42726</v>
          </cell>
          <cell r="C3243" t="str">
            <v>DICIEMBRE</v>
          </cell>
          <cell r="D3243" t="str">
            <v>2016</v>
          </cell>
          <cell r="E3243">
            <v>638</v>
          </cell>
          <cell r="F3243" t="str">
            <v>C5R-895</v>
          </cell>
          <cell r="G3243" t="str">
            <v>TBL-976</v>
          </cell>
          <cell r="H3243" t="str">
            <v>LAS BAMBAS</v>
          </cell>
          <cell r="I3243">
            <v>171517</v>
          </cell>
          <cell r="J3243" t="str">
            <v>INSUMO TALLER</v>
          </cell>
          <cell r="K3243" t="str">
            <v>CELLOCORD 5/32</v>
          </cell>
          <cell r="L3243">
            <v>1</v>
          </cell>
          <cell r="M3243" t="str">
            <v>KG.</v>
          </cell>
          <cell r="N3243" t="str">
            <v>CISTERNA</v>
          </cell>
          <cell r="O3243">
            <v>64</v>
          </cell>
          <cell r="P3243" t="str">
            <v>S2</v>
          </cell>
          <cell r="Q3243" t="str">
            <v>J1</v>
          </cell>
          <cell r="R3243" t="str">
            <v>J5</v>
          </cell>
          <cell r="S3243" t="str">
            <v>PENDIENTE</v>
          </cell>
          <cell r="T3243">
            <v>0</v>
          </cell>
          <cell r="U3243" t="str">
            <v>PALOMINO ESTRADA  MICHEL</v>
          </cell>
          <cell r="V3243" t="str">
            <v>FLOREZ CONDORI  JOSE WILLIANS</v>
          </cell>
        </row>
        <row r="3244">
          <cell r="A3244">
            <v>3260</v>
          </cell>
          <cell r="B3244">
            <v>42726</v>
          </cell>
          <cell r="C3244" t="str">
            <v>DICIEMBRE</v>
          </cell>
          <cell r="D3244" t="str">
            <v>2016</v>
          </cell>
          <cell r="E3244">
            <v>638</v>
          </cell>
          <cell r="F3244" t="str">
            <v>C5R-895</v>
          </cell>
          <cell r="G3244" t="str">
            <v>TBL-976</v>
          </cell>
          <cell r="H3244" t="str">
            <v>LAS BAMBAS</v>
          </cell>
          <cell r="I3244">
            <v>171517</v>
          </cell>
          <cell r="J3244" t="str">
            <v>REPUESTO</v>
          </cell>
          <cell r="K3244" t="str">
            <v>DISCO DE QUINTA RUEDA C/ SEGURO</v>
          </cell>
          <cell r="L3244">
            <v>1</v>
          </cell>
          <cell r="M3244" t="str">
            <v>UNID.</v>
          </cell>
          <cell r="N3244" t="str">
            <v>TRACTO</v>
          </cell>
          <cell r="O3244">
            <v>64</v>
          </cell>
          <cell r="P3244" t="str">
            <v>S1</v>
          </cell>
          <cell r="Q3244" t="str">
            <v>J1</v>
          </cell>
          <cell r="R3244" t="str">
            <v>J5</v>
          </cell>
          <cell r="S3244" t="str">
            <v>PENDIENTE</v>
          </cell>
          <cell r="T3244">
            <v>0</v>
          </cell>
          <cell r="U3244" t="str">
            <v>BAYONA CRUZ CRISTIAN ARMANDO</v>
          </cell>
          <cell r="V3244" t="str">
            <v>FLOREZ CONDORI  JOSE WILLIANS</v>
          </cell>
        </row>
        <row r="3245">
          <cell r="A3245">
            <v>3226</v>
          </cell>
          <cell r="B3245">
            <v>42726</v>
          </cell>
          <cell r="C3245" t="str">
            <v>DICIEMBRE</v>
          </cell>
          <cell r="D3245" t="str">
            <v>2016</v>
          </cell>
          <cell r="E3245">
            <v>639</v>
          </cell>
          <cell r="F3245" t="str">
            <v>C6X-739</v>
          </cell>
          <cell r="G3245" t="str">
            <v>TCS-988</v>
          </cell>
          <cell r="H3245" t="str">
            <v>LAS BAMBAS CONC.</v>
          </cell>
          <cell r="I3245">
            <v>231385</v>
          </cell>
          <cell r="J3245" t="str">
            <v>REPUESTO</v>
          </cell>
          <cell r="K3245" t="str">
            <v>ABRAZADERAS (SEGÚN MUESTRA)</v>
          </cell>
          <cell r="L3245">
            <v>2</v>
          </cell>
          <cell r="M3245" t="str">
            <v>UNID.</v>
          </cell>
          <cell r="N3245" t="str">
            <v>TRACTO</v>
          </cell>
          <cell r="O3245">
            <v>64</v>
          </cell>
          <cell r="P3245" t="str">
            <v>M2</v>
          </cell>
          <cell r="Q3245" t="str">
            <v>J1</v>
          </cell>
          <cell r="R3245" t="str">
            <v>J6</v>
          </cell>
          <cell r="S3245" t="str">
            <v>PENDIENTE</v>
          </cell>
          <cell r="T3245">
            <v>0</v>
          </cell>
          <cell r="U3245" t="str">
            <v>CHUMPITAZ GAGO JULIO ENRIQUE</v>
          </cell>
          <cell r="V3245" t="str">
            <v>FLOREZ CONDORI  JOSE WILLIANS</v>
          </cell>
        </row>
        <row r="3246">
          <cell r="A3246">
            <v>3240</v>
          </cell>
          <cell r="B3246">
            <v>42726</v>
          </cell>
          <cell r="C3246" t="str">
            <v>DICIEMBRE</v>
          </cell>
          <cell r="D3246" t="str">
            <v>2016</v>
          </cell>
          <cell r="E3246">
            <v>639</v>
          </cell>
          <cell r="F3246" t="str">
            <v>C6X-739</v>
          </cell>
          <cell r="G3246" t="str">
            <v>TCS-988</v>
          </cell>
          <cell r="H3246" t="str">
            <v>LAS BAMBAS CONC.</v>
          </cell>
          <cell r="I3246">
            <v>231385</v>
          </cell>
          <cell r="J3246" t="str">
            <v>SERVICIO</v>
          </cell>
          <cell r="K3246" t="str">
            <v>REPARACION DE CAJA DE DIRECCION</v>
          </cell>
          <cell r="L3246">
            <v>1</v>
          </cell>
          <cell r="M3246" t="str">
            <v>UNID.</v>
          </cell>
          <cell r="N3246" t="str">
            <v>TRACTO</v>
          </cell>
          <cell r="O3246">
            <v>64</v>
          </cell>
          <cell r="P3246" t="str">
            <v>J1</v>
          </cell>
          <cell r="Q3246" t="str">
            <v>J7</v>
          </cell>
          <cell r="R3246" t="str">
            <v>J5</v>
          </cell>
          <cell r="S3246" t="str">
            <v>PENDIENTE</v>
          </cell>
          <cell r="T3246">
            <v>0</v>
          </cell>
          <cell r="U3246" t="str">
            <v>FLOREZ CONDORI  JOSE WILLIANS</v>
          </cell>
          <cell r="V3246" t="str">
            <v>DONAYRE INGA PEDRO</v>
          </cell>
        </row>
        <row r="3247">
          <cell r="A3247">
            <v>3288</v>
          </cell>
          <cell r="B3247">
            <v>42726</v>
          </cell>
          <cell r="C3247" t="str">
            <v>DICIEMBRE</v>
          </cell>
          <cell r="D3247" t="str">
            <v>2016</v>
          </cell>
          <cell r="E3247">
            <v>664</v>
          </cell>
          <cell r="F3247" t="str">
            <v>D3O-742</v>
          </cell>
          <cell r="G3247" t="str">
            <v>B8L-971</v>
          </cell>
          <cell r="H3247" t="str">
            <v>LAS BAMBAS</v>
          </cell>
          <cell r="I3247">
            <v>188385</v>
          </cell>
          <cell r="J3247" t="str">
            <v>REPUESTO</v>
          </cell>
          <cell r="K3247" t="str">
            <v>TAPA DE RECUPERADOR DE VAPORES</v>
          </cell>
          <cell r="L3247">
            <v>1</v>
          </cell>
          <cell r="M3247" t="str">
            <v>UNID.</v>
          </cell>
          <cell r="N3247" t="str">
            <v>CISTERNA</v>
          </cell>
          <cell r="O3247">
            <v>64</v>
          </cell>
          <cell r="P3247" t="str">
            <v>M3</v>
          </cell>
          <cell r="Q3247" t="str">
            <v>J1</v>
          </cell>
          <cell r="R3247" t="str">
            <v>J5</v>
          </cell>
          <cell r="S3247" t="str">
            <v>PENDIENTE</v>
          </cell>
          <cell r="T3247">
            <v>0</v>
          </cell>
          <cell r="U3247" t="str">
            <v>GARCIA PASQUEL  JOSE LUIS</v>
          </cell>
          <cell r="V3247" t="str">
            <v>FLOREZ CONDORI  JOSE WILLIANS</v>
          </cell>
        </row>
        <row r="3248">
          <cell r="A3248">
            <v>3262</v>
          </cell>
          <cell r="B3248">
            <v>42726</v>
          </cell>
          <cell r="C3248" t="str">
            <v>DICIEMBRE</v>
          </cell>
          <cell r="D3248" t="str">
            <v>2016</v>
          </cell>
          <cell r="E3248">
            <v>627</v>
          </cell>
          <cell r="F3248" t="str">
            <v>D3P-730</v>
          </cell>
          <cell r="G3248" t="str">
            <v>TBM-980</v>
          </cell>
          <cell r="H3248" t="str">
            <v>LAS BAMBAS</v>
          </cell>
          <cell r="I3248">
            <v>109105</v>
          </cell>
          <cell r="J3248" t="str">
            <v>REPUESTO</v>
          </cell>
          <cell r="K3248" t="str">
            <v>LLANTAS REENCAUCHADAS</v>
          </cell>
          <cell r="L3248">
            <v>12</v>
          </cell>
          <cell r="M3248" t="str">
            <v>UNID.</v>
          </cell>
          <cell r="N3248" t="str">
            <v>CISTERNA</v>
          </cell>
          <cell r="O3248">
            <v>64</v>
          </cell>
          <cell r="P3248" t="str">
            <v>N2</v>
          </cell>
          <cell r="Q3248" t="str">
            <v>J3</v>
          </cell>
          <cell r="R3248" t="str">
            <v>J5</v>
          </cell>
          <cell r="S3248" t="str">
            <v>PENDIENTE</v>
          </cell>
          <cell r="T3248">
            <v>0</v>
          </cell>
          <cell r="U3248" t="str">
            <v>MAMANI LARICO  EDUARDO ALVARO</v>
          </cell>
          <cell r="V3248" t="str">
            <v>CHURA PIZARRO ALBERTO</v>
          </cell>
        </row>
        <row r="3249">
          <cell r="A3249">
            <v>3248</v>
          </cell>
          <cell r="B3249">
            <v>42726</v>
          </cell>
          <cell r="C3249" t="str">
            <v>DICIEMBRE</v>
          </cell>
          <cell r="D3249" t="str">
            <v>2016</v>
          </cell>
          <cell r="E3249">
            <v>561</v>
          </cell>
          <cell r="F3249" t="str">
            <v>D3P-744</v>
          </cell>
          <cell r="G3249" t="str">
            <v>A0F-996</v>
          </cell>
          <cell r="H3249" t="str">
            <v>LAS BAMBAS</v>
          </cell>
          <cell r="I3249">
            <v>154431</v>
          </cell>
          <cell r="J3249" t="str">
            <v>REPUESTO</v>
          </cell>
          <cell r="K3249" t="str">
            <v>FILTRO HIDRAULICO P550830</v>
          </cell>
          <cell r="L3249">
            <v>1</v>
          </cell>
          <cell r="M3249" t="str">
            <v>UNID.</v>
          </cell>
          <cell r="N3249" t="str">
            <v>TRACTO</v>
          </cell>
          <cell r="O3249">
            <v>64</v>
          </cell>
          <cell r="P3249" t="str">
            <v>M8</v>
          </cell>
          <cell r="Q3249" t="str">
            <v>J1</v>
          </cell>
          <cell r="R3249" t="str">
            <v>J6</v>
          </cell>
          <cell r="S3249" t="str">
            <v>PENDIENTE</v>
          </cell>
          <cell r="T3249">
            <v>0</v>
          </cell>
          <cell r="U3249" t="str">
            <v>VARILLAS GAGO  OSCAR ALBERTO</v>
          </cell>
          <cell r="V3249" t="str">
            <v>FLOREZ CONDORI  JOSE WILLIANS</v>
          </cell>
        </row>
        <row r="3250">
          <cell r="A3250">
            <v>3249</v>
          </cell>
          <cell r="B3250">
            <v>42726</v>
          </cell>
          <cell r="C3250" t="str">
            <v>DICIEMBRE</v>
          </cell>
          <cell r="D3250" t="str">
            <v>2016</v>
          </cell>
          <cell r="E3250">
            <v>561</v>
          </cell>
          <cell r="F3250" t="str">
            <v>D3P-744</v>
          </cell>
          <cell r="G3250" t="str">
            <v>A0F-996</v>
          </cell>
          <cell r="H3250" t="str">
            <v>LAS BAMBAS</v>
          </cell>
          <cell r="I3250">
            <v>154431</v>
          </cell>
          <cell r="J3250" t="str">
            <v>REPUESTO</v>
          </cell>
          <cell r="K3250" t="str">
            <v>HIDROLINA</v>
          </cell>
          <cell r="L3250">
            <v>1</v>
          </cell>
          <cell r="M3250" t="str">
            <v>GLNS.</v>
          </cell>
          <cell r="N3250" t="str">
            <v>TRACTO</v>
          </cell>
          <cell r="O3250">
            <v>64</v>
          </cell>
          <cell r="P3250" t="str">
            <v>M8</v>
          </cell>
          <cell r="Q3250" t="str">
            <v>J1</v>
          </cell>
          <cell r="R3250" t="str">
            <v>J6</v>
          </cell>
          <cell r="S3250" t="str">
            <v>PENDIENTE</v>
          </cell>
          <cell r="T3250">
            <v>0</v>
          </cell>
          <cell r="U3250" t="str">
            <v>VARILLAS GAGO  OSCAR ALBERTO</v>
          </cell>
          <cell r="V3250" t="str">
            <v>FLOREZ CONDORI  JOSE WILLIANS</v>
          </cell>
        </row>
        <row r="3251">
          <cell r="A3251">
            <v>3250</v>
          </cell>
          <cell r="B3251">
            <v>42726</v>
          </cell>
          <cell r="C3251" t="str">
            <v>DICIEMBRE</v>
          </cell>
          <cell r="D3251" t="str">
            <v>2016</v>
          </cell>
          <cell r="E3251">
            <v>561</v>
          </cell>
          <cell r="F3251" t="str">
            <v>D3P-744</v>
          </cell>
          <cell r="G3251" t="str">
            <v>A0F-996</v>
          </cell>
          <cell r="H3251" t="str">
            <v>LAS BAMBAS</v>
          </cell>
          <cell r="I3251">
            <v>154431</v>
          </cell>
          <cell r="J3251" t="str">
            <v>REPUESTO</v>
          </cell>
          <cell r="K3251" t="str">
            <v>ABRAZADERA DE 3/4</v>
          </cell>
          <cell r="L3251">
            <v>1</v>
          </cell>
          <cell r="M3251" t="str">
            <v>UNID.</v>
          </cell>
          <cell r="N3251" t="str">
            <v>TRACTO</v>
          </cell>
          <cell r="O3251">
            <v>64</v>
          </cell>
          <cell r="P3251" t="str">
            <v>M8</v>
          </cell>
          <cell r="Q3251" t="str">
            <v>J1</v>
          </cell>
          <cell r="R3251" t="str">
            <v>J6</v>
          </cell>
          <cell r="S3251" t="str">
            <v>PENDIENTE</v>
          </cell>
          <cell r="T3251">
            <v>0</v>
          </cell>
          <cell r="U3251" t="str">
            <v>VARILLAS GAGO  OSCAR ALBERTO</v>
          </cell>
          <cell r="V3251" t="str">
            <v>FLOREZ CONDORI  JOSE WILLIANS</v>
          </cell>
        </row>
        <row r="3252">
          <cell r="A3252">
            <v>3270</v>
          </cell>
          <cell r="B3252">
            <v>42726</v>
          </cell>
          <cell r="C3252" t="str">
            <v>DICIEMBRE</v>
          </cell>
          <cell r="D3252" t="str">
            <v>2016</v>
          </cell>
          <cell r="E3252">
            <v>632</v>
          </cell>
          <cell r="F3252" t="str">
            <v>D3P-747</v>
          </cell>
          <cell r="G3252" t="str">
            <v>A0T-985</v>
          </cell>
          <cell r="H3252" t="str">
            <v>LAS BAMBAS</v>
          </cell>
          <cell r="I3252">
            <v>186478</v>
          </cell>
          <cell r="J3252" t="str">
            <v>REPUESTO</v>
          </cell>
          <cell r="K3252" t="str">
            <v>LLANTAS REENCAUCHADAS IZY2</v>
          </cell>
          <cell r="L3252">
            <v>4</v>
          </cell>
          <cell r="M3252" t="str">
            <v>UNID.</v>
          </cell>
          <cell r="N3252" t="str">
            <v>CISTERNA</v>
          </cell>
          <cell r="O3252">
            <v>64</v>
          </cell>
          <cell r="P3252" t="str">
            <v>N2</v>
          </cell>
          <cell r="Q3252" t="str">
            <v>J3</v>
          </cell>
          <cell r="R3252" t="str">
            <v>J5</v>
          </cell>
          <cell r="S3252" t="str">
            <v>PENDIENTE</v>
          </cell>
          <cell r="T3252">
            <v>0</v>
          </cell>
          <cell r="U3252" t="str">
            <v>MAMANI LARICO  EDUARDO ALVARO</v>
          </cell>
          <cell r="V3252" t="str">
            <v>CHURA PIZARRO ALBERTO</v>
          </cell>
        </row>
        <row r="3253">
          <cell r="A3253">
            <v>3279</v>
          </cell>
          <cell r="B3253">
            <v>42726</v>
          </cell>
          <cell r="C3253" t="str">
            <v>DICIEMBRE</v>
          </cell>
          <cell r="D3253" t="str">
            <v>2016</v>
          </cell>
          <cell r="E3253">
            <v>202</v>
          </cell>
          <cell r="F3253" t="str">
            <v>D3P-752</v>
          </cell>
          <cell r="G3253" t="str">
            <v>C5Y-985</v>
          </cell>
          <cell r="H3253" t="str">
            <v>LAS BAMBAS</v>
          </cell>
          <cell r="I3253">
            <v>150504</v>
          </cell>
          <cell r="J3253" t="str">
            <v>REPUESTO</v>
          </cell>
          <cell r="K3253" t="str">
            <v>SEGURO DE BOMBA DE AGUA</v>
          </cell>
          <cell r="L3253">
            <v>1</v>
          </cell>
          <cell r="M3253" t="str">
            <v>UNID.</v>
          </cell>
          <cell r="N3253" t="str">
            <v>TRACTO</v>
          </cell>
          <cell r="O3253">
            <v>64</v>
          </cell>
          <cell r="P3253" t="str">
            <v>M2</v>
          </cell>
          <cell r="Q3253" t="str">
            <v>J1</v>
          </cell>
          <cell r="R3253" t="str">
            <v>J6</v>
          </cell>
          <cell r="S3253" t="str">
            <v>PENDIENTE</v>
          </cell>
          <cell r="T3253">
            <v>0</v>
          </cell>
          <cell r="U3253" t="str">
            <v>CHUMPITAZ GAGO JULIO ENRIQUE</v>
          </cell>
          <cell r="V3253" t="str">
            <v>FLOREZ CONDORI  JOSE WILLIANS</v>
          </cell>
        </row>
        <row r="3254">
          <cell r="A3254">
            <v>3280</v>
          </cell>
          <cell r="B3254">
            <v>42726</v>
          </cell>
          <cell r="C3254" t="str">
            <v>DICIEMBRE</v>
          </cell>
          <cell r="D3254" t="str">
            <v>2016</v>
          </cell>
          <cell r="E3254">
            <v>202</v>
          </cell>
          <cell r="F3254" t="str">
            <v>D3P-752</v>
          </cell>
          <cell r="G3254" t="str">
            <v>C5Y-985</v>
          </cell>
          <cell r="H3254" t="str">
            <v>LAS BAMBAS</v>
          </cell>
          <cell r="I3254">
            <v>150504</v>
          </cell>
          <cell r="J3254" t="str">
            <v>REPUESTO</v>
          </cell>
          <cell r="K3254" t="str">
            <v>VALVULA  RELAY DE PULPO</v>
          </cell>
          <cell r="L3254">
            <v>1</v>
          </cell>
          <cell r="M3254" t="str">
            <v>UNID.</v>
          </cell>
          <cell r="N3254" t="str">
            <v>TRACTO</v>
          </cell>
          <cell r="O3254">
            <v>64</v>
          </cell>
          <cell r="P3254" t="str">
            <v>M2</v>
          </cell>
          <cell r="Q3254" t="str">
            <v>J1</v>
          </cell>
          <cell r="R3254" t="str">
            <v>J6</v>
          </cell>
          <cell r="S3254" t="str">
            <v>PENDIENTE</v>
          </cell>
          <cell r="T3254">
            <v>0</v>
          </cell>
          <cell r="U3254" t="str">
            <v>CHUMPITAZ GAGO JULIO ENRIQUE</v>
          </cell>
          <cell r="V3254" t="str">
            <v>FLOREZ CONDORI  JOSE WILLIANS</v>
          </cell>
        </row>
        <row r="3255">
          <cell r="A3255">
            <v>3281</v>
          </cell>
          <cell r="B3255">
            <v>42726</v>
          </cell>
          <cell r="C3255" t="str">
            <v>DICIEMBRE</v>
          </cell>
          <cell r="D3255" t="str">
            <v>2016</v>
          </cell>
          <cell r="E3255">
            <v>202</v>
          </cell>
          <cell r="F3255" t="str">
            <v>D3P-752</v>
          </cell>
          <cell r="G3255" t="str">
            <v>C5Y-985</v>
          </cell>
          <cell r="H3255" t="str">
            <v>LAS BAMBAS</v>
          </cell>
          <cell r="I3255">
            <v>150504</v>
          </cell>
          <cell r="J3255" t="str">
            <v>REPUESTO</v>
          </cell>
          <cell r="K3255" t="str">
            <v>PURGADOR DE AIRE</v>
          </cell>
          <cell r="L3255">
            <v>1</v>
          </cell>
          <cell r="M3255" t="str">
            <v>UNID.</v>
          </cell>
          <cell r="N3255" t="str">
            <v>TRACTO</v>
          </cell>
          <cell r="O3255">
            <v>64</v>
          </cell>
          <cell r="P3255" t="str">
            <v>M2</v>
          </cell>
          <cell r="Q3255" t="str">
            <v>J1</v>
          </cell>
          <cell r="R3255" t="str">
            <v>J6</v>
          </cell>
          <cell r="S3255" t="str">
            <v>PENDIENTE</v>
          </cell>
          <cell r="T3255">
            <v>0</v>
          </cell>
          <cell r="U3255" t="str">
            <v>CHUMPITAZ GAGO JULIO ENRIQUE</v>
          </cell>
          <cell r="V3255" t="str">
            <v>FLOREZ CONDORI  JOSE WILLIANS</v>
          </cell>
        </row>
        <row r="3256">
          <cell r="A3256">
            <v>3282</v>
          </cell>
          <cell r="B3256">
            <v>42726</v>
          </cell>
          <cell r="C3256" t="str">
            <v>DICIEMBRE</v>
          </cell>
          <cell r="D3256" t="str">
            <v>2016</v>
          </cell>
          <cell r="E3256">
            <v>202</v>
          </cell>
          <cell r="F3256" t="str">
            <v>D3P-752</v>
          </cell>
          <cell r="G3256" t="str">
            <v>C5Y-985</v>
          </cell>
          <cell r="H3256" t="str">
            <v>LAS BAMBAS</v>
          </cell>
          <cell r="I3256">
            <v>150504</v>
          </cell>
          <cell r="J3256" t="str">
            <v>REPUESTO</v>
          </cell>
          <cell r="K3256" t="str">
            <v>MANGUERA CODO (SALE DEL TERMOSTATO)</v>
          </cell>
          <cell r="L3256">
            <v>1</v>
          </cell>
          <cell r="M3256" t="str">
            <v>UNID.</v>
          </cell>
          <cell r="N3256" t="str">
            <v>TRACTO</v>
          </cell>
          <cell r="O3256">
            <v>64</v>
          </cell>
          <cell r="P3256" t="str">
            <v>M2</v>
          </cell>
          <cell r="Q3256" t="str">
            <v>J1</v>
          </cell>
          <cell r="R3256" t="str">
            <v>J6</v>
          </cell>
          <cell r="S3256" t="str">
            <v>PENDIENTE</v>
          </cell>
          <cell r="T3256">
            <v>0</v>
          </cell>
          <cell r="U3256" t="str">
            <v>CHUMPITAZ GAGO JULIO ENRIQUE</v>
          </cell>
          <cell r="V3256" t="str">
            <v>FLOREZ CONDORI  JOSE WILLIANS</v>
          </cell>
        </row>
        <row r="3257">
          <cell r="A3257">
            <v>3283</v>
          </cell>
          <cell r="B3257">
            <v>42726</v>
          </cell>
          <cell r="C3257" t="str">
            <v>DICIEMBRE</v>
          </cell>
          <cell r="D3257" t="str">
            <v>2016</v>
          </cell>
          <cell r="E3257">
            <v>202</v>
          </cell>
          <cell r="F3257" t="str">
            <v>D3P-752</v>
          </cell>
          <cell r="G3257" t="str">
            <v>C5Y-985</v>
          </cell>
          <cell r="H3257" t="str">
            <v>LAS BAMBAS</v>
          </cell>
          <cell r="I3257">
            <v>150504</v>
          </cell>
          <cell r="J3257" t="str">
            <v>REPUESTO</v>
          </cell>
          <cell r="K3257" t="str">
            <v>GUARDAPOLVO NEGRO LADO DRECHO</v>
          </cell>
          <cell r="L3257">
            <v>1</v>
          </cell>
          <cell r="M3257" t="str">
            <v>UNID.</v>
          </cell>
          <cell r="N3257" t="str">
            <v>TRACTO</v>
          </cell>
          <cell r="O3257">
            <v>64</v>
          </cell>
          <cell r="P3257" t="str">
            <v>M2</v>
          </cell>
          <cell r="Q3257" t="str">
            <v>J1</v>
          </cell>
          <cell r="R3257" t="str">
            <v>J6</v>
          </cell>
          <cell r="S3257" t="str">
            <v>PENDIENTE</v>
          </cell>
          <cell r="T3257">
            <v>0</v>
          </cell>
          <cell r="U3257" t="str">
            <v>CHUMPITAZ GAGO JULIO ENRIQUE</v>
          </cell>
          <cell r="V3257" t="str">
            <v>FLOREZ CONDORI  JOSE WILLIANS</v>
          </cell>
        </row>
        <row r="3258">
          <cell r="A3258">
            <v>3284</v>
          </cell>
          <cell r="B3258">
            <v>42726</v>
          </cell>
          <cell r="C3258" t="str">
            <v>DICIEMBRE</v>
          </cell>
          <cell r="D3258" t="str">
            <v>2016</v>
          </cell>
          <cell r="E3258">
            <v>202</v>
          </cell>
          <cell r="F3258" t="str">
            <v>D3P-752</v>
          </cell>
          <cell r="G3258" t="str">
            <v>C5Y-985</v>
          </cell>
          <cell r="H3258" t="str">
            <v>LAS BAMBAS</v>
          </cell>
          <cell r="I3258">
            <v>150504</v>
          </cell>
          <cell r="J3258" t="str">
            <v>REPUESTO</v>
          </cell>
          <cell r="K3258" t="str">
            <v>SOPORTE DE CAPOT DERECHO</v>
          </cell>
          <cell r="L3258">
            <v>1</v>
          </cell>
          <cell r="M3258" t="str">
            <v>UNID.</v>
          </cell>
          <cell r="N3258" t="str">
            <v>TRACTO</v>
          </cell>
          <cell r="O3258">
            <v>22</v>
          </cell>
          <cell r="P3258" t="str">
            <v>M2</v>
          </cell>
          <cell r="Q3258" t="str">
            <v>J1</v>
          </cell>
          <cell r="R3258" t="str">
            <v>J6</v>
          </cell>
          <cell r="S3258" t="str">
            <v>ENTREGADO</v>
          </cell>
          <cell r="T3258">
            <v>42748</v>
          </cell>
          <cell r="U3258" t="str">
            <v>CHUMPITAZ GAGO JULIO ENRIQUE</v>
          </cell>
          <cell r="V3258" t="str">
            <v>FLOREZ CONDORI  JOSE WILLIANS</v>
          </cell>
        </row>
        <row r="3259">
          <cell r="A3259">
            <v>3285</v>
          </cell>
          <cell r="B3259">
            <v>42726</v>
          </cell>
          <cell r="C3259" t="str">
            <v>DICIEMBRE</v>
          </cell>
          <cell r="D3259" t="str">
            <v>2016</v>
          </cell>
          <cell r="E3259">
            <v>202</v>
          </cell>
          <cell r="F3259" t="str">
            <v>D3P-752</v>
          </cell>
          <cell r="G3259" t="str">
            <v>C5Y-985</v>
          </cell>
          <cell r="H3259" t="str">
            <v>LAS BAMBAS</v>
          </cell>
          <cell r="I3259">
            <v>150504</v>
          </cell>
          <cell r="J3259" t="str">
            <v>REPUESTO</v>
          </cell>
          <cell r="K3259" t="str">
            <v>SOPORTE DE CAPOT IZQUIERDO</v>
          </cell>
          <cell r="L3259">
            <v>1</v>
          </cell>
          <cell r="M3259" t="str">
            <v>UNID.</v>
          </cell>
          <cell r="N3259" t="str">
            <v>TRACTO</v>
          </cell>
          <cell r="O3259">
            <v>22</v>
          </cell>
          <cell r="P3259" t="str">
            <v>M2</v>
          </cell>
          <cell r="Q3259" t="str">
            <v>J1</v>
          </cell>
          <cell r="R3259" t="str">
            <v>J6</v>
          </cell>
          <cell r="S3259" t="str">
            <v>ENTREGADO</v>
          </cell>
          <cell r="T3259">
            <v>42748</v>
          </cell>
          <cell r="U3259" t="str">
            <v>CHUMPITAZ GAGO JULIO ENRIQUE</v>
          </cell>
          <cell r="V3259" t="str">
            <v>FLOREZ CONDORI  JOSE WILLIANS</v>
          </cell>
        </row>
        <row r="3260">
          <cell r="A3260">
            <v>3286</v>
          </cell>
          <cell r="B3260">
            <v>42726</v>
          </cell>
          <cell r="C3260" t="str">
            <v>DICIEMBRE</v>
          </cell>
          <cell r="D3260" t="str">
            <v>2016</v>
          </cell>
          <cell r="E3260">
            <v>202</v>
          </cell>
          <cell r="F3260" t="str">
            <v>D3P-752</v>
          </cell>
          <cell r="G3260" t="str">
            <v>C5Y-985</v>
          </cell>
          <cell r="H3260" t="str">
            <v>LAS BAMBAS</v>
          </cell>
          <cell r="I3260">
            <v>150504</v>
          </cell>
          <cell r="J3260" t="str">
            <v>REPUESTO</v>
          </cell>
          <cell r="K3260" t="str">
            <v>SOPORTE DE CABINA POSTERIOR</v>
          </cell>
          <cell r="L3260">
            <v>1</v>
          </cell>
          <cell r="M3260" t="str">
            <v>UNID.</v>
          </cell>
          <cell r="N3260" t="str">
            <v>TRACTO</v>
          </cell>
          <cell r="O3260">
            <v>64</v>
          </cell>
          <cell r="P3260" t="str">
            <v>M2</v>
          </cell>
          <cell r="Q3260" t="str">
            <v>J1</v>
          </cell>
          <cell r="R3260" t="str">
            <v>J6</v>
          </cell>
          <cell r="S3260" t="str">
            <v>PENDIENTE</v>
          </cell>
          <cell r="T3260">
            <v>0</v>
          </cell>
          <cell r="U3260" t="str">
            <v>CHUMPITAZ GAGO JULIO ENRIQUE</v>
          </cell>
          <cell r="V3260" t="str">
            <v>FLOREZ CONDORI  JOSE WILLIANS</v>
          </cell>
        </row>
        <row r="3261">
          <cell r="A3261">
            <v>3287</v>
          </cell>
          <cell r="B3261">
            <v>42726</v>
          </cell>
          <cell r="C3261" t="str">
            <v>DICIEMBRE</v>
          </cell>
          <cell r="D3261" t="str">
            <v>2016</v>
          </cell>
          <cell r="E3261">
            <v>202</v>
          </cell>
          <cell r="F3261" t="str">
            <v>D3P-752</v>
          </cell>
          <cell r="G3261" t="str">
            <v>C5Y-985</v>
          </cell>
          <cell r="H3261" t="str">
            <v>LAS BAMBAS</v>
          </cell>
          <cell r="I3261">
            <v>150504</v>
          </cell>
          <cell r="J3261" t="str">
            <v>REPUESTO</v>
          </cell>
          <cell r="K3261" t="str">
            <v>ABRAZADERA PARA INTERCOOLER</v>
          </cell>
          <cell r="L3261">
            <v>3</v>
          </cell>
          <cell r="M3261" t="str">
            <v>UNID.</v>
          </cell>
          <cell r="N3261" t="str">
            <v>TRACTO</v>
          </cell>
          <cell r="O3261">
            <v>64</v>
          </cell>
          <cell r="P3261" t="str">
            <v>M2</v>
          </cell>
          <cell r="Q3261" t="str">
            <v>J1</v>
          </cell>
          <cell r="R3261" t="str">
            <v>J6</v>
          </cell>
          <cell r="S3261" t="str">
            <v>PENDIENTE</v>
          </cell>
          <cell r="T3261">
            <v>0</v>
          </cell>
          <cell r="U3261" t="str">
            <v>CHUMPITAZ GAGO JULIO ENRIQUE</v>
          </cell>
          <cell r="V3261" t="str">
            <v>FLOREZ CONDORI  JOSE WILLIANS</v>
          </cell>
        </row>
        <row r="3262">
          <cell r="A3262">
            <v>3228</v>
          </cell>
          <cell r="B3262">
            <v>42726</v>
          </cell>
          <cell r="C3262" t="str">
            <v>DICIEMBRE</v>
          </cell>
          <cell r="D3262" t="str">
            <v>2016</v>
          </cell>
          <cell r="E3262">
            <v>631</v>
          </cell>
          <cell r="F3262" t="str">
            <v>D3R-791</v>
          </cell>
          <cell r="G3262" t="str">
            <v>B1M-993</v>
          </cell>
          <cell r="H3262" t="str">
            <v>LAS BAMBAS</v>
          </cell>
          <cell r="I3262">
            <v>141416</v>
          </cell>
          <cell r="J3262" t="str">
            <v>REPUESTO</v>
          </cell>
          <cell r="K3262" t="str">
            <v>FAROS NEBLINEROS</v>
          </cell>
          <cell r="L3262">
            <v>2</v>
          </cell>
          <cell r="M3262" t="str">
            <v>UNID.</v>
          </cell>
          <cell r="N3262" t="str">
            <v>TRACTO</v>
          </cell>
          <cell r="O3262">
            <v>64</v>
          </cell>
          <cell r="P3262" t="str">
            <v>E1</v>
          </cell>
          <cell r="Q3262" t="str">
            <v>J1</v>
          </cell>
          <cell r="R3262" t="str">
            <v>J5</v>
          </cell>
          <cell r="S3262" t="str">
            <v>PENDIENTE</v>
          </cell>
          <cell r="T3262">
            <v>0</v>
          </cell>
          <cell r="U3262" t="str">
            <v>PALOMINO CARDENAS JUAN CARLOS</v>
          </cell>
          <cell r="V3262" t="str">
            <v>FLOREZ CONDORI  JOSE WILLIANS</v>
          </cell>
        </row>
        <row r="3263">
          <cell r="A3263">
            <v>3231</v>
          </cell>
          <cell r="B3263">
            <v>42726</v>
          </cell>
          <cell r="C3263" t="str">
            <v>DICIEMBRE</v>
          </cell>
          <cell r="D3263" t="str">
            <v>2016</v>
          </cell>
          <cell r="E3263">
            <v>653</v>
          </cell>
          <cell r="F3263" t="str">
            <v>D4W-805</v>
          </cell>
          <cell r="G3263" t="str">
            <v>CAMIONETA</v>
          </cell>
          <cell r="H3263" t="str">
            <v>MANTENIMIENTO</v>
          </cell>
          <cell r="I3263">
            <v>0</v>
          </cell>
          <cell r="J3263" t="str">
            <v>SERVICIO</v>
          </cell>
          <cell r="K3263" t="str">
            <v>CAMBIO DE LLANTAS</v>
          </cell>
          <cell r="L3263">
            <v>1</v>
          </cell>
          <cell r="M3263" t="str">
            <v>UNID.</v>
          </cell>
          <cell r="N3263" t="str">
            <v>CAMIONETA</v>
          </cell>
          <cell r="O3263">
            <v>64</v>
          </cell>
          <cell r="P3263" t="str">
            <v>J3</v>
          </cell>
          <cell r="Q3263" t="str">
            <v>J7</v>
          </cell>
          <cell r="R3263" t="str">
            <v>J5</v>
          </cell>
          <cell r="S3263" t="str">
            <v>PENDIENTE</v>
          </cell>
          <cell r="T3263">
            <v>0</v>
          </cell>
          <cell r="U3263" t="str">
            <v>CHURA PIZARRO ALBERTO</v>
          </cell>
          <cell r="V3263" t="str">
            <v>DONAYRE INGA PEDRO</v>
          </cell>
        </row>
        <row r="3264">
          <cell r="A3264">
            <v>3232</v>
          </cell>
          <cell r="B3264">
            <v>42726</v>
          </cell>
          <cell r="C3264" t="str">
            <v>DICIEMBRE</v>
          </cell>
          <cell r="D3264" t="str">
            <v>2016</v>
          </cell>
          <cell r="E3264">
            <v>653</v>
          </cell>
          <cell r="F3264" t="str">
            <v>D4W-805</v>
          </cell>
          <cell r="G3264" t="str">
            <v>CAMIONETA</v>
          </cell>
          <cell r="H3264" t="str">
            <v>MANTENIMIENTO</v>
          </cell>
          <cell r="I3264">
            <v>0</v>
          </cell>
          <cell r="J3264" t="str">
            <v>SERVICIO</v>
          </cell>
          <cell r="K3264" t="str">
            <v>LAVADO DE CAMIONETA</v>
          </cell>
          <cell r="L3264">
            <v>1</v>
          </cell>
          <cell r="M3264" t="str">
            <v>UNID.</v>
          </cell>
          <cell r="N3264" t="str">
            <v>CAMIONETA</v>
          </cell>
          <cell r="O3264">
            <v>64</v>
          </cell>
          <cell r="P3264" t="str">
            <v>J3</v>
          </cell>
          <cell r="Q3264" t="str">
            <v>J7</v>
          </cell>
          <cell r="R3264" t="str">
            <v>J5</v>
          </cell>
          <cell r="S3264" t="str">
            <v>PENDIENTE</v>
          </cell>
          <cell r="T3264">
            <v>0</v>
          </cell>
          <cell r="U3264" t="str">
            <v>CHURA PIZARRO ALBERTO</v>
          </cell>
          <cell r="V3264" t="str">
            <v>DONAYRE INGA PEDRO</v>
          </cell>
        </row>
        <row r="3265">
          <cell r="A3265">
            <v>3289</v>
          </cell>
          <cell r="B3265">
            <v>42726</v>
          </cell>
          <cell r="C3265" t="str">
            <v>DICIEMBRE</v>
          </cell>
          <cell r="D3265" t="str">
            <v>2016</v>
          </cell>
          <cell r="E3265">
            <v>657</v>
          </cell>
          <cell r="F3265" t="str">
            <v>D6F-825</v>
          </cell>
          <cell r="G3265" t="str">
            <v>T2Y-992</v>
          </cell>
          <cell r="H3265" t="str">
            <v>LAS BAMBAS</v>
          </cell>
          <cell r="I3265">
            <v>187788</v>
          </cell>
          <cell r="J3265" t="str">
            <v>REPUESTO</v>
          </cell>
          <cell r="K3265" t="str">
            <v>FOCO DE DOBLE CONTACTO 12V</v>
          </cell>
          <cell r="L3265">
            <v>1</v>
          </cell>
          <cell r="M3265" t="str">
            <v>UNID.</v>
          </cell>
          <cell r="N3265" t="str">
            <v>CISTERNA</v>
          </cell>
          <cell r="O3265">
            <v>64</v>
          </cell>
          <cell r="P3265" t="str">
            <v>E2</v>
          </cell>
          <cell r="Q3265" t="str">
            <v>J1</v>
          </cell>
          <cell r="R3265" t="str">
            <v>J5</v>
          </cell>
          <cell r="S3265" t="str">
            <v>PENDIENTE</v>
          </cell>
          <cell r="T3265">
            <v>0</v>
          </cell>
          <cell r="U3265" t="str">
            <v>YUCA BELLIDO BORIS YERSY</v>
          </cell>
          <cell r="V3265" t="str">
            <v>FLOREZ CONDORI  JOSE WILLIANS</v>
          </cell>
        </row>
        <row r="3266">
          <cell r="A3266">
            <v>3290</v>
          </cell>
          <cell r="B3266">
            <v>42726</v>
          </cell>
          <cell r="C3266" t="str">
            <v>DICIEMBRE</v>
          </cell>
          <cell r="D3266" t="str">
            <v>2016</v>
          </cell>
          <cell r="E3266">
            <v>657</v>
          </cell>
          <cell r="F3266" t="str">
            <v>D6F-825</v>
          </cell>
          <cell r="G3266" t="str">
            <v>T2Y-992</v>
          </cell>
          <cell r="H3266" t="str">
            <v>LAS BAMBAS</v>
          </cell>
          <cell r="I3266">
            <v>187788</v>
          </cell>
          <cell r="J3266" t="str">
            <v>REPUESTO</v>
          </cell>
          <cell r="K3266" t="str">
            <v>FARO RECTANGULAR AMBAR</v>
          </cell>
          <cell r="L3266">
            <v>1</v>
          </cell>
          <cell r="M3266" t="str">
            <v>UNID.</v>
          </cell>
          <cell r="N3266" t="str">
            <v>CISTERNA</v>
          </cell>
          <cell r="O3266">
            <v>64</v>
          </cell>
          <cell r="P3266" t="str">
            <v>E2</v>
          </cell>
          <cell r="Q3266" t="str">
            <v>J1</v>
          </cell>
          <cell r="R3266" t="str">
            <v>J5</v>
          </cell>
          <cell r="S3266" t="str">
            <v>PENDIENTE</v>
          </cell>
          <cell r="T3266">
            <v>0</v>
          </cell>
          <cell r="U3266" t="str">
            <v>YUCA BELLIDO BORIS YERSY</v>
          </cell>
          <cell r="V3266" t="str">
            <v>FLOREZ CONDORI  JOSE WILLIANS</v>
          </cell>
        </row>
        <row r="3267">
          <cell r="A3267">
            <v>3291</v>
          </cell>
          <cell r="B3267">
            <v>42726</v>
          </cell>
          <cell r="C3267" t="str">
            <v>DICIEMBRE</v>
          </cell>
          <cell r="D3267" t="str">
            <v>2016</v>
          </cell>
          <cell r="E3267">
            <v>657</v>
          </cell>
          <cell r="F3267" t="str">
            <v>D6F-825</v>
          </cell>
          <cell r="G3267" t="str">
            <v>T2Y-992</v>
          </cell>
          <cell r="H3267" t="str">
            <v>LAS BAMBAS</v>
          </cell>
          <cell r="I3267">
            <v>187788</v>
          </cell>
          <cell r="J3267" t="str">
            <v>REPUESTO</v>
          </cell>
          <cell r="K3267" t="str">
            <v>LIQUIDO REFRIGERANTE</v>
          </cell>
          <cell r="L3267">
            <v>1</v>
          </cell>
          <cell r="M3267" t="str">
            <v>UNID.</v>
          </cell>
          <cell r="N3267" t="str">
            <v>TRACTO</v>
          </cell>
          <cell r="O3267">
            <v>64</v>
          </cell>
          <cell r="P3267" t="str">
            <v>M8</v>
          </cell>
          <cell r="Q3267" t="str">
            <v>J1</v>
          </cell>
          <cell r="R3267" t="str">
            <v>J5</v>
          </cell>
          <cell r="S3267" t="str">
            <v>PENDIENTE</v>
          </cell>
          <cell r="T3267">
            <v>0</v>
          </cell>
          <cell r="U3267" t="str">
            <v>VARILLAS GAGO  OSCAR ALBERTO</v>
          </cell>
          <cell r="V3267" t="str">
            <v>FLOREZ CONDORI  JOSE WILLIANS</v>
          </cell>
        </row>
        <row r="3268">
          <cell r="A3268">
            <v>3292</v>
          </cell>
          <cell r="B3268">
            <v>42726</v>
          </cell>
          <cell r="C3268" t="str">
            <v>DICIEMBRE</v>
          </cell>
          <cell r="D3268" t="str">
            <v>2016</v>
          </cell>
          <cell r="E3268">
            <v>657</v>
          </cell>
          <cell r="F3268" t="str">
            <v>D6F-825</v>
          </cell>
          <cell r="G3268" t="str">
            <v>T2Y-992</v>
          </cell>
          <cell r="H3268" t="str">
            <v>LAS BAMBAS</v>
          </cell>
          <cell r="I3268">
            <v>187788</v>
          </cell>
          <cell r="J3268" t="str">
            <v>REPUESTO</v>
          </cell>
          <cell r="K3268" t="str">
            <v>TAPA DE TANQUE DE EXPANSION</v>
          </cell>
          <cell r="L3268">
            <v>1</v>
          </cell>
          <cell r="M3268" t="str">
            <v>UNID.</v>
          </cell>
          <cell r="N3268" t="str">
            <v>TRACTO</v>
          </cell>
          <cell r="O3268">
            <v>64</v>
          </cell>
          <cell r="P3268" t="str">
            <v>M8</v>
          </cell>
          <cell r="Q3268" t="str">
            <v>J1</v>
          </cell>
          <cell r="R3268" t="str">
            <v>J5</v>
          </cell>
          <cell r="S3268" t="str">
            <v>PENDIENTE</v>
          </cell>
          <cell r="T3268">
            <v>0</v>
          </cell>
          <cell r="U3268" t="str">
            <v>VARILLAS GAGO  OSCAR ALBERTO</v>
          </cell>
          <cell r="V3268" t="str">
            <v>FLOREZ CONDORI  JOSE WILLIANS</v>
          </cell>
        </row>
        <row r="3269">
          <cell r="A3269">
            <v>3224</v>
          </cell>
          <cell r="B3269">
            <v>42726</v>
          </cell>
          <cell r="C3269" t="str">
            <v>DICIEMBRE</v>
          </cell>
          <cell r="D3269" t="str">
            <v>2016</v>
          </cell>
          <cell r="E3269">
            <v>200</v>
          </cell>
          <cell r="F3269" t="str">
            <v>TALLER</v>
          </cell>
          <cell r="G3269" t="str">
            <v>TALLER</v>
          </cell>
          <cell r="H3269" t="str">
            <v>TALLER</v>
          </cell>
          <cell r="I3269" t="str">
            <v>TALLER</v>
          </cell>
          <cell r="J3269" t="str">
            <v>HERRAMIENTAS</v>
          </cell>
          <cell r="K3269" t="str">
            <v>LLAVE NRO. 24</v>
          </cell>
          <cell r="L3269">
            <v>2</v>
          </cell>
          <cell r="M3269" t="str">
            <v>UNID.</v>
          </cell>
          <cell r="N3269" t="str">
            <v>TALLER</v>
          </cell>
          <cell r="O3269">
            <v>64</v>
          </cell>
          <cell r="P3269" t="str">
            <v>J7</v>
          </cell>
          <cell r="Q3269" t="str">
            <v>J7</v>
          </cell>
          <cell r="R3269" t="str">
            <v>J2</v>
          </cell>
          <cell r="S3269" t="str">
            <v>PENDIENTE</v>
          </cell>
          <cell r="T3269">
            <v>0</v>
          </cell>
          <cell r="U3269" t="str">
            <v>DONAYRE INGA PEDRO</v>
          </cell>
          <cell r="V3269" t="str">
            <v>DONAYRE INGA PEDRO</v>
          </cell>
        </row>
        <row r="3270">
          <cell r="A3270">
            <v>3229</v>
          </cell>
          <cell r="B3270">
            <v>42726</v>
          </cell>
          <cell r="C3270" t="str">
            <v>DICIEMBRE</v>
          </cell>
          <cell r="D3270" t="str">
            <v>2016</v>
          </cell>
          <cell r="E3270">
            <v>200</v>
          </cell>
          <cell r="F3270" t="str">
            <v>TALLER</v>
          </cell>
          <cell r="G3270" t="str">
            <v>TALLER</v>
          </cell>
          <cell r="H3270" t="str">
            <v>TALLER</v>
          </cell>
          <cell r="I3270" t="str">
            <v>TALLER</v>
          </cell>
          <cell r="J3270" t="str">
            <v>REPUESTO</v>
          </cell>
          <cell r="K3270" t="str">
            <v>TEE' GALVANIZADO DE 1/2</v>
          </cell>
          <cell r="L3270">
            <v>1</v>
          </cell>
          <cell r="M3270" t="str">
            <v>UNID.</v>
          </cell>
          <cell r="N3270" t="str">
            <v>TALLER</v>
          </cell>
          <cell r="O3270">
            <v>64</v>
          </cell>
          <cell r="P3270" t="str">
            <v>M8</v>
          </cell>
          <cell r="Q3270" t="str">
            <v>J1</v>
          </cell>
          <cell r="R3270" t="str">
            <v>J5</v>
          </cell>
          <cell r="S3270" t="str">
            <v>PENDIENTE</v>
          </cell>
          <cell r="T3270">
            <v>0</v>
          </cell>
          <cell r="U3270" t="str">
            <v>VARILLAS GAGO  OSCAR ALBERTO</v>
          </cell>
          <cell r="V3270" t="str">
            <v>FLOREZ CONDORI  JOSE WILLIANS</v>
          </cell>
        </row>
        <row r="3271">
          <cell r="A3271">
            <v>3233</v>
          </cell>
          <cell r="B3271">
            <v>42726</v>
          </cell>
          <cell r="C3271" t="str">
            <v>DICIEMBRE</v>
          </cell>
          <cell r="D3271" t="str">
            <v>2016</v>
          </cell>
          <cell r="E3271">
            <v>200</v>
          </cell>
          <cell r="F3271" t="str">
            <v>TALLER</v>
          </cell>
          <cell r="G3271" t="str">
            <v>TALLER</v>
          </cell>
          <cell r="H3271" t="str">
            <v>TALLER</v>
          </cell>
          <cell r="I3271" t="str">
            <v>TALLER</v>
          </cell>
          <cell r="J3271" t="str">
            <v>INSUMO TALLER</v>
          </cell>
          <cell r="K3271" t="str">
            <v>DISCO DE CORTE 4"</v>
          </cell>
          <cell r="L3271">
            <v>1</v>
          </cell>
          <cell r="M3271" t="str">
            <v>UNID.</v>
          </cell>
          <cell r="N3271" t="str">
            <v>TALLER</v>
          </cell>
          <cell r="O3271">
            <v>64</v>
          </cell>
          <cell r="P3271" t="str">
            <v>M3</v>
          </cell>
          <cell r="Q3271" t="str">
            <v>J1</v>
          </cell>
          <cell r="R3271" t="str">
            <v>J5</v>
          </cell>
          <cell r="S3271" t="str">
            <v>PENDIENTE</v>
          </cell>
          <cell r="T3271">
            <v>0</v>
          </cell>
          <cell r="U3271" t="str">
            <v>GARCIA PASQUEL  JOSE LUIS</v>
          </cell>
          <cell r="V3271" t="str">
            <v>FLOREZ CONDORI  JOSE WILLIANS</v>
          </cell>
        </row>
        <row r="3272">
          <cell r="A3272">
            <v>3242</v>
          </cell>
          <cell r="B3272">
            <v>42726</v>
          </cell>
          <cell r="C3272" t="str">
            <v>DICIEMBRE</v>
          </cell>
          <cell r="D3272" t="str">
            <v>2016</v>
          </cell>
          <cell r="E3272">
            <v>200</v>
          </cell>
          <cell r="F3272" t="str">
            <v>TALLER</v>
          </cell>
          <cell r="G3272" t="str">
            <v>TALLER</v>
          </cell>
          <cell r="H3272" t="str">
            <v>TALLER</v>
          </cell>
          <cell r="I3272" t="str">
            <v>TALLER</v>
          </cell>
          <cell r="J3272" t="str">
            <v>INSUMO TALLER</v>
          </cell>
          <cell r="K3272" t="str">
            <v>LUNAS TRANSPARENTES</v>
          </cell>
          <cell r="L3272">
            <v>1</v>
          </cell>
          <cell r="M3272" t="str">
            <v>UNID.</v>
          </cell>
          <cell r="N3272" t="str">
            <v>TALLER</v>
          </cell>
          <cell r="O3272">
            <v>64</v>
          </cell>
          <cell r="P3272" t="str">
            <v>S3</v>
          </cell>
          <cell r="Q3272" t="str">
            <v>J1</v>
          </cell>
          <cell r="R3272" t="str">
            <v>J5</v>
          </cell>
          <cell r="S3272" t="str">
            <v>PENDIENTE</v>
          </cell>
          <cell r="T3272">
            <v>0</v>
          </cell>
          <cell r="U3272" t="str">
            <v>JIMENEZ MACHACA JAVIER</v>
          </cell>
          <cell r="V3272" t="str">
            <v>FLOREZ CONDORI  JOSE WILLIANS</v>
          </cell>
        </row>
        <row r="3273">
          <cell r="A3273">
            <v>3243</v>
          </cell>
          <cell r="B3273">
            <v>42726</v>
          </cell>
          <cell r="C3273" t="str">
            <v>DICIEMBRE</v>
          </cell>
          <cell r="D3273" t="str">
            <v>2016</v>
          </cell>
          <cell r="E3273">
            <v>200</v>
          </cell>
          <cell r="F3273" t="str">
            <v>TALLER</v>
          </cell>
          <cell r="G3273" t="str">
            <v>TALLER</v>
          </cell>
          <cell r="H3273" t="str">
            <v>TALLER</v>
          </cell>
          <cell r="I3273" t="str">
            <v>TALLER</v>
          </cell>
          <cell r="J3273" t="str">
            <v>INSUMO TALLER</v>
          </cell>
          <cell r="K3273" t="str">
            <v>LUNAS OSCURAS</v>
          </cell>
          <cell r="L3273">
            <v>1</v>
          </cell>
          <cell r="M3273" t="str">
            <v>UNID.</v>
          </cell>
          <cell r="N3273" t="str">
            <v>TALLER</v>
          </cell>
          <cell r="O3273">
            <v>64</v>
          </cell>
          <cell r="P3273" t="str">
            <v>S3</v>
          </cell>
          <cell r="Q3273" t="str">
            <v>J1</v>
          </cell>
          <cell r="R3273" t="str">
            <v>J5</v>
          </cell>
          <cell r="S3273" t="str">
            <v>PENDIENTE</v>
          </cell>
          <cell r="T3273">
            <v>0</v>
          </cell>
          <cell r="U3273" t="str">
            <v>JIMENEZ MACHACA JAVIER</v>
          </cell>
          <cell r="V3273" t="str">
            <v>FLOREZ CONDORI  JOSE WILLIANS</v>
          </cell>
        </row>
        <row r="3274">
          <cell r="A3274">
            <v>3258</v>
          </cell>
          <cell r="B3274">
            <v>42726</v>
          </cell>
          <cell r="C3274" t="str">
            <v>DICIEMBRE</v>
          </cell>
          <cell r="D3274" t="str">
            <v>2016</v>
          </cell>
          <cell r="E3274">
            <v>200</v>
          </cell>
          <cell r="F3274" t="str">
            <v>TALLER</v>
          </cell>
          <cell r="G3274" t="str">
            <v>TALLER</v>
          </cell>
          <cell r="H3274" t="str">
            <v>TALLER</v>
          </cell>
          <cell r="I3274" t="str">
            <v>TALLER</v>
          </cell>
          <cell r="J3274" t="str">
            <v>INSUMO TALLER</v>
          </cell>
          <cell r="K3274" t="str">
            <v xml:space="preserve">SIKAFLEX </v>
          </cell>
          <cell r="L3274">
            <v>1</v>
          </cell>
          <cell r="M3274" t="str">
            <v>UNID.</v>
          </cell>
          <cell r="N3274" t="str">
            <v>TALLER</v>
          </cell>
          <cell r="O3274">
            <v>64</v>
          </cell>
          <cell r="P3274" t="str">
            <v>E1</v>
          </cell>
          <cell r="Q3274" t="str">
            <v>J1</v>
          </cell>
          <cell r="R3274" t="str">
            <v>J5</v>
          </cell>
          <cell r="S3274" t="str">
            <v>PENDIENTE</v>
          </cell>
          <cell r="T3274">
            <v>0</v>
          </cell>
          <cell r="U3274" t="str">
            <v>PALOMINO CARDENAS JUAN CARLOS</v>
          </cell>
          <cell r="V3274" t="str">
            <v>FLOREZ CONDORI  JOSE WILLIANS</v>
          </cell>
        </row>
        <row r="3275">
          <cell r="A3275">
            <v>3276</v>
          </cell>
          <cell r="B3275">
            <v>42726</v>
          </cell>
          <cell r="C3275" t="str">
            <v>DICIEMBRE</v>
          </cell>
          <cell r="D3275" t="str">
            <v>2016</v>
          </cell>
          <cell r="E3275">
            <v>200</v>
          </cell>
          <cell r="F3275" t="str">
            <v>TALLER</v>
          </cell>
          <cell r="G3275" t="str">
            <v>TALLER</v>
          </cell>
          <cell r="H3275" t="str">
            <v>TALLER</v>
          </cell>
          <cell r="I3275" t="str">
            <v>TALLER</v>
          </cell>
          <cell r="J3275" t="str">
            <v>REPUESTO</v>
          </cell>
          <cell r="K3275" t="str">
            <v>TIZA DE CALDERO</v>
          </cell>
          <cell r="L3275">
            <v>1</v>
          </cell>
          <cell r="M3275" t="str">
            <v>UNID.</v>
          </cell>
          <cell r="N3275" t="str">
            <v>TALLER</v>
          </cell>
          <cell r="O3275">
            <v>64</v>
          </cell>
          <cell r="P3275" t="str">
            <v>S1</v>
          </cell>
          <cell r="Q3275" t="str">
            <v>J1</v>
          </cell>
          <cell r="R3275" t="str">
            <v>J5</v>
          </cell>
          <cell r="S3275" t="str">
            <v>PENDIENTE</v>
          </cell>
          <cell r="T3275">
            <v>0</v>
          </cell>
          <cell r="U3275" t="str">
            <v>BAYONA CRUZ CRISTIAN ARMANDO</v>
          </cell>
          <cell r="V3275" t="str">
            <v>FLOREZ CONDORI  JOSE WILLIANS</v>
          </cell>
        </row>
        <row r="3276">
          <cell r="A3276">
            <v>3255</v>
          </cell>
          <cell r="B3276">
            <v>42726</v>
          </cell>
          <cell r="C3276" t="str">
            <v>DICIEMBRE</v>
          </cell>
          <cell r="D3276" t="str">
            <v>2016</v>
          </cell>
          <cell r="E3276">
            <v>654</v>
          </cell>
          <cell r="F3276" t="str">
            <v>X2W-760</v>
          </cell>
          <cell r="G3276" t="str">
            <v>C5V-992</v>
          </cell>
          <cell r="H3276" t="str">
            <v>LAS BAMBAS</v>
          </cell>
          <cell r="I3276">
            <v>151954</v>
          </cell>
          <cell r="J3276" t="str">
            <v>REPUESTO</v>
          </cell>
          <cell r="K3276" t="str">
            <v>CABLE 3 X 16</v>
          </cell>
          <cell r="L3276">
            <v>5</v>
          </cell>
          <cell r="M3276" t="str">
            <v>M</v>
          </cell>
          <cell r="N3276" t="str">
            <v>CISTERNA</v>
          </cell>
          <cell r="O3276">
            <v>64</v>
          </cell>
          <cell r="P3276" t="str">
            <v>E1</v>
          </cell>
          <cell r="Q3276" t="str">
            <v>J1</v>
          </cell>
          <cell r="R3276" t="str">
            <v>J5</v>
          </cell>
          <cell r="S3276" t="str">
            <v>PENDIENTE</v>
          </cell>
          <cell r="T3276">
            <v>0</v>
          </cell>
          <cell r="U3276" t="str">
            <v>PALOMINO CARDENAS JUAN CARLOS</v>
          </cell>
          <cell r="V3276" t="str">
            <v>FLOREZ CONDORI  JOSE WILLIANS</v>
          </cell>
        </row>
        <row r="3277">
          <cell r="A3277">
            <v>3256</v>
          </cell>
          <cell r="B3277">
            <v>42726</v>
          </cell>
          <cell r="C3277" t="str">
            <v>DICIEMBRE</v>
          </cell>
          <cell r="D3277" t="str">
            <v>2016</v>
          </cell>
          <cell r="E3277">
            <v>654</v>
          </cell>
          <cell r="F3277" t="str">
            <v>X2W-760</v>
          </cell>
          <cell r="G3277" t="str">
            <v>C5V-992</v>
          </cell>
          <cell r="H3277" t="str">
            <v>LAS BAMBAS</v>
          </cell>
          <cell r="I3277">
            <v>151954</v>
          </cell>
          <cell r="J3277" t="str">
            <v>INSUMO TALLER</v>
          </cell>
          <cell r="K3277" t="str">
            <v>SOLDIMIX</v>
          </cell>
          <cell r="L3277">
            <v>1</v>
          </cell>
          <cell r="M3277" t="str">
            <v>UNID.</v>
          </cell>
          <cell r="N3277" t="str">
            <v>CISTERNA</v>
          </cell>
          <cell r="O3277">
            <v>64</v>
          </cell>
          <cell r="P3277" t="str">
            <v>E1</v>
          </cell>
          <cell r="Q3277" t="str">
            <v>J1</v>
          </cell>
          <cell r="R3277" t="str">
            <v>J5</v>
          </cell>
          <cell r="S3277" t="str">
            <v>PENDIENTE</v>
          </cell>
          <cell r="T3277">
            <v>0</v>
          </cell>
          <cell r="U3277" t="str">
            <v>PALOMINO CARDENAS JUAN CARLOS</v>
          </cell>
          <cell r="V3277" t="str">
            <v>FLOREZ CONDORI  JOSE WILLIANS</v>
          </cell>
        </row>
        <row r="3278">
          <cell r="A3278">
            <v>3257</v>
          </cell>
          <cell r="B3278">
            <v>42726</v>
          </cell>
          <cell r="C3278" t="str">
            <v>DICIEMBRE</v>
          </cell>
          <cell r="D3278" t="str">
            <v>2016</v>
          </cell>
          <cell r="E3278">
            <v>654</v>
          </cell>
          <cell r="F3278" t="str">
            <v>X2W-760</v>
          </cell>
          <cell r="G3278" t="str">
            <v>C5V-992</v>
          </cell>
          <cell r="H3278" t="str">
            <v>LAS BAMBAS</v>
          </cell>
          <cell r="I3278">
            <v>151954</v>
          </cell>
          <cell r="J3278" t="str">
            <v>REPUESTO</v>
          </cell>
          <cell r="K3278" t="str">
            <v>FAROS PIRATAS</v>
          </cell>
          <cell r="L3278">
            <v>2</v>
          </cell>
          <cell r="M3278" t="str">
            <v>UNID.</v>
          </cell>
          <cell r="N3278" t="str">
            <v>CISTERNA</v>
          </cell>
          <cell r="O3278">
            <v>64</v>
          </cell>
          <cell r="P3278" t="str">
            <v>E1</v>
          </cell>
          <cell r="Q3278" t="str">
            <v>J1</v>
          </cell>
          <cell r="R3278" t="str">
            <v>J5</v>
          </cell>
          <cell r="S3278" t="str">
            <v>PENDIENTE</v>
          </cell>
          <cell r="T3278">
            <v>0</v>
          </cell>
          <cell r="U3278" t="str">
            <v>PALOMINO CARDENAS JUAN CARLOS</v>
          </cell>
          <cell r="V3278" t="str">
            <v>FLOREZ CONDORI  JOSE WILLIANS</v>
          </cell>
        </row>
        <row r="3279">
          <cell r="A3279">
            <v>3271</v>
          </cell>
          <cell r="B3279">
            <v>42726</v>
          </cell>
          <cell r="C3279" t="str">
            <v>DICIEMBRE</v>
          </cell>
          <cell r="D3279" t="str">
            <v>2016</v>
          </cell>
          <cell r="E3279">
            <v>654</v>
          </cell>
          <cell r="F3279" t="str">
            <v>X2W-760</v>
          </cell>
          <cell r="G3279" t="str">
            <v>C5V-992</v>
          </cell>
          <cell r="H3279" t="str">
            <v>LAS BAMBAS</v>
          </cell>
          <cell r="I3279">
            <v>151954</v>
          </cell>
          <cell r="J3279" t="str">
            <v>REPUESTO</v>
          </cell>
          <cell r="K3279" t="str">
            <v xml:space="preserve">FARO LATERAL LED AMBAR </v>
          </cell>
          <cell r="L3279">
            <v>1</v>
          </cell>
          <cell r="M3279" t="str">
            <v>UNID.</v>
          </cell>
          <cell r="N3279" t="str">
            <v>TRACTO</v>
          </cell>
          <cell r="O3279">
            <v>64</v>
          </cell>
          <cell r="P3279" t="str">
            <v>E1</v>
          </cell>
          <cell r="Q3279" t="str">
            <v>J1</v>
          </cell>
          <cell r="R3279" t="str">
            <v>J5</v>
          </cell>
          <cell r="S3279" t="str">
            <v>PENDIENTE</v>
          </cell>
          <cell r="T3279">
            <v>0</v>
          </cell>
          <cell r="U3279" t="str">
            <v>PALOMINO CARDENAS JUAN CARLOS</v>
          </cell>
          <cell r="V3279" t="str">
            <v>FLOREZ CONDORI  JOSE WILLIANS</v>
          </cell>
        </row>
        <row r="3280">
          <cell r="A3280">
            <v>3234</v>
          </cell>
          <cell r="B3280">
            <v>42726</v>
          </cell>
          <cell r="C3280" t="str">
            <v>DICIEMBRE</v>
          </cell>
          <cell r="D3280" t="str">
            <v>2016</v>
          </cell>
          <cell r="E3280">
            <v>651</v>
          </cell>
          <cell r="F3280" t="str">
            <v>X2W-765</v>
          </cell>
          <cell r="G3280" t="str">
            <v>C5V-993</v>
          </cell>
          <cell r="H3280" t="str">
            <v>LAS BAMBAS</v>
          </cell>
          <cell r="I3280">
            <v>159021</v>
          </cell>
          <cell r="J3280" t="str">
            <v>REPUESTO</v>
          </cell>
          <cell r="K3280" t="str">
            <v>FAROS PIRATAS</v>
          </cell>
          <cell r="L3280">
            <v>2</v>
          </cell>
          <cell r="M3280" t="str">
            <v>UNID.</v>
          </cell>
          <cell r="N3280" t="str">
            <v>TRACTO</v>
          </cell>
          <cell r="O3280">
            <v>64</v>
          </cell>
          <cell r="P3280" t="str">
            <v>E2</v>
          </cell>
          <cell r="Q3280" t="str">
            <v>J1</v>
          </cell>
          <cell r="R3280" t="str">
            <v>J5</v>
          </cell>
          <cell r="S3280" t="str">
            <v>PENDIENTE</v>
          </cell>
          <cell r="T3280">
            <v>0</v>
          </cell>
          <cell r="U3280" t="str">
            <v>YUCA BELLIDO BORIS YERSY</v>
          </cell>
          <cell r="V3280" t="str">
            <v>FLOREZ CONDORI  JOSE WILLIANS</v>
          </cell>
        </row>
        <row r="3281">
          <cell r="A3281">
            <v>3235</v>
          </cell>
          <cell r="B3281">
            <v>42726</v>
          </cell>
          <cell r="C3281" t="str">
            <v>DICIEMBRE</v>
          </cell>
          <cell r="D3281" t="str">
            <v>2016</v>
          </cell>
          <cell r="E3281">
            <v>651</v>
          </cell>
          <cell r="F3281" t="str">
            <v>X2W-765</v>
          </cell>
          <cell r="G3281" t="str">
            <v>C5V-993</v>
          </cell>
          <cell r="H3281" t="str">
            <v>LAS BAMBAS</v>
          </cell>
          <cell r="I3281">
            <v>159021</v>
          </cell>
          <cell r="J3281" t="str">
            <v>REPUESTO</v>
          </cell>
          <cell r="K3281" t="str">
            <v>PERNOS 5/16 X 1 1/2"</v>
          </cell>
          <cell r="L3281">
            <v>2</v>
          </cell>
          <cell r="M3281" t="str">
            <v>UNID.</v>
          </cell>
          <cell r="N3281" t="str">
            <v>TRACTO</v>
          </cell>
          <cell r="O3281">
            <v>64</v>
          </cell>
          <cell r="P3281" t="str">
            <v>E2</v>
          </cell>
          <cell r="Q3281" t="str">
            <v>J1</v>
          </cell>
          <cell r="R3281" t="str">
            <v>J5</v>
          </cell>
          <cell r="S3281" t="str">
            <v>PENDIENTE</v>
          </cell>
          <cell r="T3281">
            <v>0</v>
          </cell>
          <cell r="U3281" t="str">
            <v>YUCA BELLIDO BORIS YERSY</v>
          </cell>
          <cell r="V3281" t="str">
            <v>FLOREZ CONDORI  JOSE WILLIANS</v>
          </cell>
        </row>
        <row r="3282">
          <cell r="A3282">
            <v>3236</v>
          </cell>
          <cell r="B3282">
            <v>42726</v>
          </cell>
          <cell r="C3282" t="str">
            <v>DICIEMBRE</v>
          </cell>
          <cell r="D3282" t="str">
            <v>2016</v>
          </cell>
          <cell r="E3282">
            <v>651</v>
          </cell>
          <cell r="F3282" t="str">
            <v>X2W-765</v>
          </cell>
          <cell r="G3282" t="str">
            <v>C5V-993</v>
          </cell>
          <cell r="H3282" t="str">
            <v>LAS BAMBAS</v>
          </cell>
          <cell r="I3282">
            <v>159021</v>
          </cell>
          <cell r="J3282" t="str">
            <v>REPUESTO</v>
          </cell>
          <cell r="K3282" t="str">
            <v>TUERCAS 5/16</v>
          </cell>
          <cell r="L3282">
            <v>2</v>
          </cell>
          <cell r="M3282" t="str">
            <v>UNID.</v>
          </cell>
          <cell r="N3282" t="str">
            <v>TRACTO</v>
          </cell>
          <cell r="O3282">
            <v>64</v>
          </cell>
          <cell r="P3282" t="str">
            <v>E2</v>
          </cell>
          <cell r="Q3282" t="str">
            <v>J1</v>
          </cell>
          <cell r="R3282" t="str">
            <v>J5</v>
          </cell>
          <cell r="S3282" t="str">
            <v>PENDIENTE</v>
          </cell>
          <cell r="T3282">
            <v>0</v>
          </cell>
          <cell r="U3282" t="str">
            <v>YUCA BELLIDO BORIS YERSY</v>
          </cell>
          <cell r="V3282" t="str">
            <v>FLOREZ CONDORI  JOSE WILLIANS</v>
          </cell>
        </row>
        <row r="3283">
          <cell r="A3283">
            <v>3237</v>
          </cell>
          <cell r="B3283">
            <v>42726</v>
          </cell>
          <cell r="C3283" t="str">
            <v>DICIEMBRE</v>
          </cell>
          <cell r="D3283" t="str">
            <v>2016</v>
          </cell>
          <cell r="E3283">
            <v>651</v>
          </cell>
          <cell r="F3283" t="str">
            <v>X2W-765</v>
          </cell>
          <cell r="G3283" t="str">
            <v>C5V-993</v>
          </cell>
          <cell r="H3283" t="str">
            <v>LAS BAMBAS</v>
          </cell>
          <cell r="I3283">
            <v>159021</v>
          </cell>
          <cell r="J3283" t="str">
            <v>REPUESTO</v>
          </cell>
          <cell r="K3283" t="str">
            <v xml:space="preserve">CABLE VULCANIZADO </v>
          </cell>
          <cell r="L3283">
            <v>2</v>
          </cell>
          <cell r="M3283" t="str">
            <v>M</v>
          </cell>
          <cell r="N3283" t="str">
            <v>TRACTO</v>
          </cell>
          <cell r="O3283">
            <v>64</v>
          </cell>
          <cell r="P3283" t="str">
            <v>E2</v>
          </cell>
          <cell r="Q3283" t="str">
            <v>J1</v>
          </cell>
          <cell r="R3283" t="str">
            <v>J5</v>
          </cell>
          <cell r="S3283" t="str">
            <v>PENDIENTE</v>
          </cell>
          <cell r="T3283">
            <v>0</v>
          </cell>
          <cell r="U3283" t="str">
            <v>YUCA BELLIDO BORIS YERSY</v>
          </cell>
          <cell r="V3283" t="str">
            <v>FLOREZ CONDORI  JOSE WILLIANS</v>
          </cell>
        </row>
        <row r="3284">
          <cell r="A3284">
            <v>3238</v>
          </cell>
          <cell r="B3284">
            <v>42726</v>
          </cell>
          <cell r="C3284" t="str">
            <v>DICIEMBRE</v>
          </cell>
          <cell r="D3284" t="str">
            <v>2016</v>
          </cell>
          <cell r="E3284">
            <v>651</v>
          </cell>
          <cell r="F3284" t="str">
            <v>X2W-765</v>
          </cell>
          <cell r="G3284" t="str">
            <v>C5V-993</v>
          </cell>
          <cell r="H3284" t="str">
            <v>LAS BAMBAS</v>
          </cell>
          <cell r="I3284">
            <v>159021</v>
          </cell>
          <cell r="J3284" t="str">
            <v>REPUESTO</v>
          </cell>
          <cell r="K3284" t="str">
            <v>FARO LED ROJO GRANDE</v>
          </cell>
          <cell r="L3284">
            <v>1</v>
          </cell>
          <cell r="M3284" t="str">
            <v>UNID.</v>
          </cell>
          <cell r="N3284" t="str">
            <v>TRACTO</v>
          </cell>
          <cell r="O3284">
            <v>64</v>
          </cell>
          <cell r="P3284" t="str">
            <v>E2</v>
          </cell>
          <cell r="Q3284" t="str">
            <v>J1</v>
          </cell>
          <cell r="R3284" t="str">
            <v>J5</v>
          </cell>
          <cell r="S3284" t="str">
            <v>PENDIENTE</v>
          </cell>
          <cell r="T3284">
            <v>0</v>
          </cell>
          <cell r="U3284" t="str">
            <v>YUCA BELLIDO BORIS YERSY</v>
          </cell>
          <cell r="V3284" t="str">
            <v>FLOREZ CONDORI  JOSE WILLIANS</v>
          </cell>
        </row>
        <row r="3285">
          <cell r="A3285">
            <v>3239</v>
          </cell>
          <cell r="B3285">
            <v>42726</v>
          </cell>
          <cell r="C3285" t="str">
            <v>DICIEMBRE</v>
          </cell>
          <cell r="D3285" t="str">
            <v>2016</v>
          </cell>
          <cell r="E3285">
            <v>651</v>
          </cell>
          <cell r="F3285" t="str">
            <v>X2W-765</v>
          </cell>
          <cell r="G3285" t="str">
            <v>C5V-993</v>
          </cell>
          <cell r="H3285" t="str">
            <v>LAS BAMBAS</v>
          </cell>
          <cell r="I3285">
            <v>159021</v>
          </cell>
          <cell r="J3285" t="str">
            <v>REPUESTO</v>
          </cell>
          <cell r="K3285" t="str">
            <v>FARO LED REDONDO PEQUEÑO</v>
          </cell>
          <cell r="L3285">
            <v>1</v>
          </cell>
          <cell r="M3285" t="str">
            <v>UNID.</v>
          </cell>
          <cell r="N3285" t="str">
            <v>TRACTO</v>
          </cell>
          <cell r="O3285">
            <v>64</v>
          </cell>
          <cell r="P3285" t="str">
            <v>E2</v>
          </cell>
          <cell r="Q3285" t="str">
            <v>J1</v>
          </cell>
          <cell r="R3285" t="str">
            <v>J5</v>
          </cell>
          <cell r="S3285" t="str">
            <v>PENDIENTE</v>
          </cell>
          <cell r="T3285">
            <v>0</v>
          </cell>
          <cell r="U3285" t="str">
            <v>YUCA BELLIDO BORIS YERSY</v>
          </cell>
          <cell r="V3285" t="str">
            <v>FLOREZ CONDORI  JOSE WILLIANS</v>
          </cell>
        </row>
        <row r="3286">
          <cell r="A3286">
            <v>3263</v>
          </cell>
          <cell r="B3286">
            <v>42726</v>
          </cell>
          <cell r="C3286" t="str">
            <v>DICIEMBRE</v>
          </cell>
          <cell r="D3286" t="str">
            <v>2016</v>
          </cell>
          <cell r="E3286">
            <v>651</v>
          </cell>
          <cell r="F3286" t="str">
            <v>X2W-765</v>
          </cell>
          <cell r="G3286" t="str">
            <v>C5V-993</v>
          </cell>
          <cell r="H3286" t="str">
            <v>LAS BAMBAS</v>
          </cell>
          <cell r="I3286">
            <v>159021</v>
          </cell>
          <cell r="J3286" t="str">
            <v>REPUESTO</v>
          </cell>
          <cell r="K3286" t="str">
            <v>PERNO 1 X 9"</v>
          </cell>
          <cell r="L3286">
            <v>1</v>
          </cell>
          <cell r="M3286" t="str">
            <v>UNID.</v>
          </cell>
          <cell r="N3286" t="str">
            <v>CISTERNA</v>
          </cell>
          <cell r="O3286">
            <v>64</v>
          </cell>
          <cell r="P3286" t="str">
            <v>S3</v>
          </cell>
          <cell r="Q3286" t="str">
            <v>J1</v>
          </cell>
          <cell r="R3286" t="str">
            <v>J5</v>
          </cell>
          <cell r="S3286" t="str">
            <v>PENDIENTE</v>
          </cell>
          <cell r="T3286">
            <v>0</v>
          </cell>
          <cell r="U3286" t="str">
            <v>JIMENEZ MACHACA JAVIER</v>
          </cell>
          <cell r="V3286" t="str">
            <v>FLOREZ CONDORI  JOSE WILLIANS</v>
          </cell>
        </row>
        <row r="3287">
          <cell r="A3287">
            <v>3264</v>
          </cell>
          <cell r="B3287">
            <v>42726</v>
          </cell>
          <cell r="C3287" t="str">
            <v>DICIEMBRE</v>
          </cell>
          <cell r="D3287" t="str">
            <v>2016</v>
          </cell>
          <cell r="E3287">
            <v>651</v>
          </cell>
          <cell r="F3287" t="str">
            <v>X2W-765</v>
          </cell>
          <cell r="G3287" t="str">
            <v>C5V-993</v>
          </cell>
          <cell r="H3287" t="str">
            <v>LAS BAMBAS</v>
          </cell>
          <cell r="I3287">
            <v>159021</v>
          </cell>
          <cell r="J3287" t="str">
            <v>REPUESTO</v>
          </cell>
          <cell r="K3287" t="str">
            <v>TUERCA SEGURO 1"</v>
          </cell>
          <cell r="L3287">
            <v>1</v>
          </cell>
          <cell r="M3287" t="str">
            <v>UNID.</v>
          </cell>
          <cell r="N3287" t="str">
            <v>CISTERNA</v>
          </cell>
          <cell r="O3287">
            <v>64</v>
          </cell>
          <cell r="P3287" t="str">
            <v>S3</v>
          </cell>
          <cell r="Q3287" t="str">
            <v>J1</v>
          </cell>
          <cell r="R3287" t="str">
            <v>J5</v>
          </cell>
          <cell r="S3287" t="str">
            <v>PENDIENTE</v>
          </cell>
          <cell r="T3287">
            <v>0</v>
          </cell>
          <cell r="U3287" t="str">
            <v>JIMENEZ MACHACA JAVIER</v>
          </cell>
          <cell r="V3287" t="str">
            <v>FLOREZ CONDORI  JOSE WILLIANS</v>
          </cell>
        </row>
        <row r="3288">
          <cell r="A3288">
            <v>3266</v>
          </cell>
          <cell r="B3288">
            <v>42726</v>
          </cell>
          <cell r="C3288" t="str">
            <v>DICIEMBRE</v>
          </cell>
          <cell r="D3288" t="str">
            <v>2016</v>
          </cell>
          <cell r="E3288">
            <v>651</v>
          </cell>
          <cell r="F3288" t="str">
            <v>X2W-765</v>
          </cell>
          <cell r="G3288" t="str">
            <v>C5V-993</v>
          </cell>
          <cell r="H3288" t="str">
            <v>LAS BAMBAS</v>
          </cell>
          <cell r="I3288">
            <v>159021</v>
          </cell>
          <cell r="J3288" t="str">
            <v>REPUESTO</v>
          </cell>
          <cell r="K3288" t="str">
            <v>EMPAQUETADURA DE TAPA MANHOLE GRANDE</v>
          </cell>
          <cell r="L3288">
            <v>1</v>
          </cell>
          <cell r="M3288" t="str">
            <v>UNID.</v>
          </cell>
          <cell r="N3288" t="str">
            <v>CISTERNA</v>
          </cell>
          <cell r="O3288">
            <v>64</v>
          </cell>
          <cell r="P3288" t="str">
            <v>M8</v>
          </cell>
          <cell r="Q3288" t="str">
            <v>J1</v>
          </cell>
          <cell r="R3288" t="str">
            <v>J6</v>
          </cell>
          <cell r="S3288" t="str">
            <v>PENDIENTE</v>
          </cell>
          <cell r="T3288">
            <v>0</v>
          </cell>
          <cell r="U3288" t="str">
            <v>VARILLAS GAGO  OSCAR ALBERTO</v>
          </cell>
          <cell r="V3288" t="str">
            <v>FLOREZ CONDORI  JOSE WILLIANS</v>
          </cell>
        </row>
        <row r="3289">
          <cell r="A3289">
            <v>3267</v>
          </cell>
          <cell r="B3289">
            <v>42726</v>
          </cell>
          <cell r="C3289" t="str">
            <v>DICIEMBRE</v>
          </cell>
          <cell r="D3289" t="str">
            <v>2016</v>
          </cell>
          <cell r="E3289">
            <v>651</v>
          </cell>
          <cell r="F3289" t="str">
            <v>X2W-765</v>
          </cell>
          <cell r="G3289" t="str">
            <v>C5V-993</v>
          </cell>
          <cell r="H3289" t="str">
            <v>LAS BAMBAS</v>
          </cell>
          <cell r="I3289">
            <v>159021</v>
          </cell>
          <cell r="J3289" t="str">
            <v>REPUESTO</v>
          </cell>
          <cell r="K3289" t="str">
            <v>EMPAQUETADURA DE TAPA MANHOLE PEQUEÑA</v>
          </cell>
          <cell r="L3289">
            <v>1</v>
          </cell>
          <cell r="M3289" t="str">
            <v>UNID.</v>
          </cell>
          <cell r="N3289" t="str">
            <v>CISTERNA</v>
          </cell>
          <cell r="O3289">
            <v>64</v>
          </cell>
          <cell r="P3289" t="str">
            <v>M8</v>
          </cell>
          <cell r="Q3289" t="str">
            <v>J1</v>
          </cell>
          <cell r="R3289" t="str">
            <v>J6</v>
          </cell>
          <cell r="S3289" t="str">
            <v>PENDIENTE</v>
          </cell>
          <cell r="T3289">
            <v>0</v>
          </cell>
          <cell r="U3289" t="str">
            <v>VARILLAS GAGO  OSCAR ALBERTO</v>
          </cell>
          <cell r="V3289" t="str">
            <v>FLOREZ CONDORI  JOSE WILLIANS</v>
          </cell>
        </row>
        <row r="3290">
          <cell r="A3290">
            <v>3268</v>
          </cell>
          <cell r="B3290">
            <v>42726</v>
          </cell>
          <cell r="C3290" t="str">
            <v>DICIEMBRE</v>
          </cell>
          <cell r="D3290" t="str">
            <v>2016</v>
          </cell>
          <cell r="E3290">
            <v>651</v>
          </cell>
          <cell r="F3290" t="str">
            <v>X2W-765</v>
          </cell>
          <cell r="G3290" t="str">
            <v>C5V-993</v>
          </cell>
          <cell r="H3290" t="str">
            <v>LAS BAMBAS</v>
          </cell>
          <cell r="I3290">
            <v>159021</v>
          </cell>
          <cell r="J3290" t="str">
            <v>REPUESTO</v>
          </cell>
          <cell r="K3290" t="str">
            <v>PERNO PARA TAPA MANHOLE</v>
          </cell>
          <cell r="L3290">
            <v>1</v>
          </cell>
          <cell r="M3290" t="str">
            <v>UNID.</v>
          </cell>
          <cell r="N3290" t="str">
            <v>CISTERNA</v>
          </cell>
          <cell r="O3290">
            <v>64</v>
          </cell>
          <cell r="P3290" t="str">
            <v>M8</v>
          </cell>
          <cell r="Q3290" t="str">
            <v>J1</v>
          </cell>
          <cell r="R3290" t="str">
            <v>J6</v>
          </cell>
          <cell r="S3290" t="str">
            <v>PENDIENTE</v>
          </cell>
          <cell r="T3290">
            <v>0</v>
          </cell>
          <cell r="U3290" t="str">
            <v>VARILLAS GAGO  OSCAR ALBERTO</v>
          </cell>
          <cell r="V3290" t="str">
            <v>FLOREZ CONDORI  JOSE WILLIANS</v>
          </cell>
        </row>
        <row r="3291">
          <cell r="A3291">
            <v>3269</v>
          </cell>
          <cell r="B3291">
            <v>42726</v>
          </cell>
          <cell r="C3291" t="str">
            <v>DICIEMBRE</v>
          </cell>
          <cell r="D3291" t="str">
            <v>2016</v>
          </cell>
          <cell r="E3291">
            <v>651</v>
          </cell>
          <cell r="F3291" t="str">
            <v>X2W-765</v>
          </cell>
          <cell r="G3291" t="str">
            <v>C5V-993</v>
          </cell>
          <cell r="H3291" t="str">
            <v>LAS BAMBAS</v>
          </cell>
          <cell r="I3291">
            <v>159021</v>
          </cell>
          <cell r="J3291" t="str">
            <v>REPUESTO</v>
          </cell>
          <cell r="K3291" t="str">
            <v>ACEITE 15W40</v>
          </cell>
          <cell r="L3291">
            <v>1</v>
          </cell>
          <cell r="M3291" t="str">
            <v>GLNS.</v>
          </cell>
          <cell r="N3291" t="str">
            <v>TRACTO</v>
          </cell>
          <cell r="O3291">
            <v>64</v>
          </cell>
          <cell r="P3291" t="str">
            <v>M8</v>
          </cell>
          <cell r="Q3291" t="str">
            <v>J1</v>
          </cell>
          <cell r="R3291" t="str">
            <v>J6</v>
          </cell>
          <cell r="S3291" t="str">
            <v>PENDIENTE</v>
          </cell>
          <cell r="T3291">
            <v>0</v>
          </cell>
          <cell r="U3291" t="str">
            <v>VARILLAS GAGO  OSCAR ALBERTO</v>
          </cell>
          <cell r="V3291" t="str">
            <v>FLOREZ CONDORI  JOSE WILLIANS</v>
          </cell>
        </row>
        <row r="3292">
          <cell r="A3292">
            <v>3277</v>
          </cell>
          <cell r="B3292">
            <v>42726</v>
          </cell>
          <cell r="C3292" t="str">
            <v>DICIEMBRE</v>
          </cell>
          <cell r="D3292" t="str">
            <v>2016</v>
          </cell>
          <cell r="E3292">
            <v>663</v>
          </cell>
          <cell r="F3292" t="str">
            <v>X2W-788</v>
          </cell>
          <cell r="G3292" t="str">
            <v>C5V-994</v>
          </cell>
          <cell r="H3292" t="str">
            <v>LAS BAMBAS</v>
          </cell>
          <cell r="I3292">
            <v>141938</v>
          </cell>
          <cell r="J3292" t="str">
            <v>REPUESTO</v>
          </cell>
          <cell r="K3292" t="str">
            <v>PERNO 5/16 X 1"</v>
          </cell>
          <cell r="L3292">
            <v>1</v>
          </cell>
          <cell r="M3292" t="str">
            <v>UNID.</v>
          </cell>
          <cell r="N3292" t="str">
            <v>TRACTO</v>
          </cell>
          <cell r="O3292">
            <v>64</v>
          </cell>
          <cell r="P3292" t="str">
            <v>M3</v>
          </cell>
          <cell r="Q3292" t="str">
            <v>J1</v>
          </cell>
          <cell r="R3292" t="str">
            <v>J5</v>
          </cell>
          <cell r="S3292" t="str">
            <v>PENDIENTE</v>
          </cell>
          <cell r="T3292">
            <v>0</v>
          </cell>
          <cell r="U3292" t="str">
            <v>GARCIA PASQUEL  JOSE LUIS</v>
          </cell>
          <cell r="V3292" t="str">
            <v>FLOREZ CONDORI  JOSE WILLIANS</v>
          </cell>
        </row>
        <row r="3293">
          <cell r="A3293">
            <v>3278</v>
          </cell>
          <cell r="B3293">
            <v>42726</v>
          </cell>
          <cell r="C3293" t="str">
            <v>DICIEMBRE</v>
          </cell>
          <cell r="D3293" t="str">
            <v>2016</v>
          </cell>
          <cell r="E3293">
            <v>663</v>
          </cell>
          <cell r="F3293" t="str">
            <v>X2W-788</v>
          </cell>
          <cell r="G3293" t="str">
            <v>C5V-994</v>
          </cell>
          <cell r="H3293" t="str">
            <v>LAS BAMBAS</v>
          </cell>
          <cell r="I3293">
            <v>141938</v>
          </cell>
          <cell r="J3293" t="str">
            <v>REPUESTO</v>
          </cell>
          <cell r="K3293" t="str">
            <v>TUERCA SEGURO 5/16</v>
          </cell>
          <cell r="L3293">
            <v>1</v>
          </cell>
          <cell r="M3293" t="str">
            <v>UNID.</v>
          </cell>
          <cell r="N3293" t="str">
            <v>TRACTO</v>
          </cell>
          <cell r="O3293">
            <v>64</v>
          </cell>
          <cell r="P3293" t="str">
            <v>M3</v>
          </cell>
          <cell r="Q3293" t="str">
            <v>J1</v>
          </cell>
          <cell r="R3293" t="str">
            <v>J5</v>
          </cell>
          <cell r="S3293" t="str">
            <v>PENDIENTE</v>
          </cell>
          <cell r="T3293">
            <v>0</v>
          </cell>
          <cell r="U3293" t="str">
            <v>GARCIA PASQUEL  JOSE LUIS</v>
          </cell>
          <cell r="V3293" t="str">
            <v>FLOREZ CONDORI  JOSE WILLIANS</v>
          </cell>
        </row>
        <row r="3294">
          <cell r="A3294">
            <v>3310</v>
          </cell>
          <cell r="B3294">
            <v>42727</v>
          </cell>
          <cell r="C3294" t="str">
            <v>DICIEMBRE</v>
          </cell>
          <cell r="D3294" t="str">
            <v>2016</v>
          </cell>
          <cell r="E3294">
            <v>661</v>
          </cell>
          <cell r="F3294" t="str">
            <v>ABQ-704</v>
          </cell>
          <cell r="G3294" t="str">
            <v>TBB-995</v>
          </cell>
          <cell r="H3294" t="str">
            <v>LAS BAMBAS</v>
          </cell>
          <cell r="I3294">
            <v>112720</v>
          </cell>
          <cell r="J3294" t="str">
            <v>REPUESTO</v>
          </cell>
          <cell r="K3294" t="str">
            <v>CABLE NRO. 16</v>
          </cell>
          <cell r="L3294">
            <v>14</v>
          </cell>
          <cell r="M3294" t="str">
            <v>M</v>
          </cell>
          <cell r="N3294" t="str">
            <v>TRACTO</v>
          </cell>
          <cell r="O3294">
            <v>63</v>
          </cell>
          <cell r="P3294" t="str">
            <v>E1</v>
          </cell>
          <cell r="Q3294" t="str">
            <v>J1</v>
          </cell>
          <cell r="R3294" t="str">
            <v>J5</v>
          </cell>
          <cell r="S3294" t="str">
            <v>PENDIENTE</v>
          </cell>
          <cell r="T3294">
            <v>0</v>
          </cell>
          <cell r="U3294" t="str">
            <v>PALOMINO CARDENAS JUAN CARLOS</v>
          </cell>
          <cell r="V3294" t="str">
            <v>FLOREZ CONDORI  JOSE WILLIANS</v>
          </cell>
        </row>
        <row r="3295">
          <cell r="A3295">
            <v>3311</v>
          </cell>
          <cell r="B3295">
            <v>42727</v>
          </cell>
          <cell r="C3295" t="str">
            <v>DICIEMBRE</v>
          </cell>
          <cell r="D3295" t="str">
            <v>2016</v>
          </cell>
          <cell r="E3295">
            <v>661</v>
          </cell>
          <cell r="F3295" t="str">
            <v>ABQ-704</v>
          </cell>
          <cell r="G3295" t="str">
            <v>TBB-995</v>
          </cell>
          <cell r="H3295" t="str">
            <v>LAS BAMBAS</v>
          </cell>
          <cell r="I3295">
            <v>112720</v>
          </cell>
          <cell r="J3295" t="str">
            <v>REPUESTO</v>
          </cell>
          <cell r="K3295" t="str">
            <v>TERMINALES DE ENCHFE HEMBRA CON FORRO</v>
          </cell>
          <cell r="L3295">
            <v>6</v>
          </cell>
          <cell r="M3295" t="str">
            <v>UNID.</v>
          </cell>
          <cell r="N3295" t="str">
            <v>TRACTO</v>
          </cell>
          <cell r="O3295">
            <v>63</v>
          </cell>
          <cell r="P3295" t="str">
            <v>E1</v>
          </cell>
          <cell r="Q3295" t="str">
            <v>J1</v>
          </cell>
          <cell r="R3295" t="str">
            <v>J5</v>
          </cell>
          <cell r="S3295" t="str">
            <v>PENDIENTE</v>
          </cell>
          <cell r="T3295">
            <v>0</v>
          </cell>
          <cell r="U3295" t="str">
            <v>PALOMINO CARDENAS JUAN CARLOS</v>
          </cell>
          <cell r="V3295" t="str">
            <v>FLOREZ CONDORI  JOSE WILLIANS</v>
          </cell>
        </row>
        <row r="3296">
          <cell r="A3296">
            <v>3312</v>
          </cell>
          <cell r="B3296">
            <v>42727</v>
          </cell>
          <cell r="C3296" t="str">
            <v>DICIEMBRE</v>
          </cell>
          <cell r="D3296" t="str">
            <v>2016</v>
          </cell>
          <cell r="E3296">
            <v>661</v>
          </cell>
          <cell r="F3296" t="str">
            <v>ABQ-704</v>
          </cell>
          <cell r="G3296" t="str">
            <v>TBB-995</v>
          </cell>
          <cell r="H3296" t="str">
            <v>LAS BAMBAS</v>
          </cell>
          <cell r="I3296">
            <v>112720</v>
          </cell>
          <cell r="J3296" t="str">
            <v>REPUESTO</v>
          </cell>
          <cell r="K3296" t="str">
            <v>TECLA DE LUZ DE UN TIEMPO</v>
          </cell>
          <cell r="L3296">
            <v>1</v>
          </cell>
          <cell r="M3296" t="str">
            <v>UNID.</v>
          </cell>
          <cell r="N3296" t="str">
            <v>TRACTO</v>
          </cell>
          <cell r="O3296">
            <v>63</v>
          </cell>
          <cell r="P3296" t="str">
            <v>E1</v>
          </cell>
          <cell r="Q3296" t="str">
            <v>J1</v>
          </cell>
          <cell r="R3296" t="str">
            <v>J5</v>
          </cell>
          <cell r="S3296" t="str">
            <v>PENDIENTE</v>
          </cell>
          <cell r="T3296">
            <v>0</v>
          </cell>
          <cell r="U3296" t="str">
            <v>PALOMINO CARDENAS JUAN CARLOS</v>
          </cell>
          <cell r="V3296" t="str">
            <v>FLOREZ CONDORI  JOSE WILLIANS</v>
          </cell>
        </row>
        <row r="3297">
          <cell r="A3297">
            <v>3313</v>
          </cell>
          <cell r="B3297">
            <v>42727</v>
          </cell>
          <cell r="C3297" t="str">
            <v>DICIEMBRE</v>
          </cell>
          <cell r="D3297" t="str">
            <v>2016</v>
          </cell>
          <cell r="E3297">
            <v>661</v>
          </cell>
          <cell r="F3297" t="str">
            <v>ABQ-704</v>
          </cell>
          <cell r="G3297" t="str">
            <v>TBB-995</v>
          </cell>
          <cell r="H3297" t="str">
            <v>LAS BAMBAS</v>
          </cell>
          <cell r="I3297">
            <v>112720</v>
          </cell>
          <cell r="J3297" t="str">
            <v>REPUESTO</v>
          </cell>
          <cell r="K3297" t="str">
            <v>RELAY DE 12 V</v>
          </cell>
          <cell r="L3297">
            <v>1</v>
          </cell>
          <cell r="M3297" t="str">
            <v>UNID.</v>
          </cell>
          <cell r="N3297" t="str">
            <v>TRACTO</v>
          </cell>
          <cell r="O3297">
            <v>63</v>
          </cell>
          <cell r="P3297" t="str">
            <v>E1</v>
          </cell>
          <cell r="Q3297" t="str">
            <v>J1</v>
          </cell>
          <cell r="R3297" t="str">
            <v>J5</v>
          </cell>
          <cell r="S3297" t="str">
            <v>PENDIENTE</v>
          </cell>
          <cell r="T3297">
            <v>0</v>
          </cell>
          <cell r="U3297" t="str">
            <v>PALOMINO CARDENAS JUAN CARLOS</v>
          </cell>
          <cell r="V3297" t="str">
            <v>FLOREZ CONDORI  JOSE WILLIANS</v>
          </cell>
        </row>
        <row r="3298">
          <cell r="A3298">
            <v>3314</v>
          </cell>
          <cell r="B3298">
            <v>42727</v>
          </cell>
          <cell r="C3298" t="str">
            <v>DICIEMBRE</v>
          </cell>
          <cell r="D3298" t="str">
            <v>2016</v>
          </cell>
          <cell r="E3298">
            <v>661</v>
          </cell>
          <cell r="F3298" t="str">
            <v>ABQ-704</v>
          </cell>
          <cell r="G3298" t="str">
            <v>TBB-995</v>
          </cell>
          <cell r="H3298" t="str">
            <v>LAS BAMBAS</v>
          </cell>
          <cell r="I3298">
            <v>112720</v>
          </cell>
          <cell r="J3298" t="str">
            <v>REPUESTO</v>
          </cell>
          <cell r="K3298" t="str">
            <v>PORTAFUSIBLE</v>
          </cell>
          <cell r="L3298">
            <v>1</v>
          </cell>
          <cell r="M3298" t="str">
            <v>UNID.</v>
          </cell>
          <cell r="N3298" t="str">
            <v>TRACTO</v>
          </cell>
          <cell r="O3298">
            <v>63</v>
          </cell>
          <cell r="P3298" t="str">
            <v>E1</v>
          </cell>
          <cell r="Q3298" t="str">
            <v>J1</v>
          </cell>
          <cell r="R3298" t="str">
            <v>J5</v>
          </cell>
          <cell r="S3298" t="str">
            <v>PENDIENTE</v>
          </cell>
          <cell r="T3298">
            <v>0</v>
          </cell>
          <cell r="U3298" t="str">
            <v>PALOMINO CARDENAS JUAN CARLOS</v>
          </cell>
          <cell r="V3298" t="str">
            <v>FLOREZ CONDORI  JOSE WILLIANS</v>
          </cell>
        </row>
        <row r="3299">
          <cell r="A3299">
            <v>3315</v>
          </cell>
          <cell r="B3299">
            <v>42727</v>
          </cell>
          <cell r="C3299" t="str">
            <v>DICIEMBRE</v>
          </cell>
          <cell r="D3299" t="str">
            <v>2016</v>
          </cell>
          <cell r="E3299">
            <v>661</v>
          </cell>
          <cell r="F3299" t="str">
            <v>ABQ-704</v>
          </cell>
          <cell r="G3299" t="str">
            <v>TBB-995</v>
          </cell>
          <cell r="H3299" t="str">
            <v>LAS BAMBAS</v>
          </cell>
          <cell r="I3299">
            <v>112720</v>
          </cell>
          <cell r="J3299" t="str">
            <v>REPUESTO</v>
          </cell>
          <cell r="K3299" t="str">
            <v>FUSIBLE 20A</v>
          </cell>
          <cell r="L3299">
            <v>1</v>
          </cell>
          <cell r="M3299" t="str">
            <v>UNID.</v>
          </cell>
          <cell r="N3299" t="str">
            <v>TRACTO</v>
          </cell>
          <cell r="O3299">
            <v>63</v>
          </cell>
          <cell r="P3299" t="str">
            <v>E1</v>
          </cell>
          <cell r="Q3299" t="str">
            <v>J1</v>
          </cell>
          <cell r="R3299" t="str">
            <v>J5</v>
          </cell>
          <cell r="S3299" t="str">
            <v>PENDIENTE</v>
          </cell>
          <cell r="T3299">
            <v>0</v>
          </cell>
          <cell r="U3299" t="str">
            <v>PALOMINO CARDENAS JUAN CARLOS</v>
          </cell>
          <cell r="V3299" t="str">
            <v>FLOREZ CONDORI  JOSE WILLIANS</v>
          </cell>
        </row>
        <row r="3300">
          <cell r="A3300">
            <v>3316</v>
          </cell>
          <cell r="B3300">
            <v>42727</v>
          </cell>
          <cell r="C3300" t="str">
            <v>DICIEMBRE</v>
          </cell>
          <cell r="D3300" t="str">
            <v>2016</v>
          </cell>
          <cell r="E3300">
            <v>661</v>
          </cell>
          <cell r="F3300" t="str">
            <v>ABQ-704</v>
          </cell>
          <cell r="G3300" t="str">
            <v>TBB-995</v>
          </cell>
          <cell r="H3300" t="str">
            <v>LAS BAMBAS</v>
          </cell>
          <cell r="I3300">
            <v>112720</v>
          </cell>
          <cell r="J3300" t="str">
            <v>REPUESTO</v>
          </cell>
          <cell r="K3300" t="str">
            <v>FOCOS 896</v>
          </cell>
          <cell r="L3300">
            <v>2</v>
          </cell>
          <cell r="M3300" t="str">
            <v>UNID.</v>
          </cell>
          <cell r="N3300" t="str">
            <v>TRACTO</v>
          </cell>
          <cell r="O3300">
            <v>63</v>
          </cell>
          <cell r="P3300" t="str">
            <v>E1</v>
          </cell>
          <cell r="Q3300" t="str">
            <v>J1</v>
          </cell>
          <cell r="R3300" t="str">
            <v>J5</v>
          </cell>
          <cell r="S3300" t="str">
            <v>PENDIENTE</v>
          </cell>
          <cell r="T3300">
            <v>0</v>
          </cell>
          <cell r="U3300" t="str">
            <v>PALOMINO CARDENAS JUAN CARLOS</v>
          </cell>
          <cell r="V3300" t="str">
            <v>FLOREZ CONDORI  JOSE WILLIANS</v>
          </cell>
        </row>
        <row r="3301">
          <cell r="A3301">
            <v>3317</v>
          </cell>
          <cell r="B3301">
            <v>42727</v>
          </cell>
          <cell r="C3301" t="str">
            <v>DICIEMBRE</v>
          </cell>
          <cell r="D3301" t="str">
            <v>2016</v>
          </cell>
          <cell r="E3301">
            <v>661</v>
          </cell>
          <cell r="F3301" t="str">
            <v>ABQ-704</v>
          </cell>
          <cell r="G3301" t="str">
            <v>TBB-995</v>
          </cell>
          <cell r="H3301" t="str">
            <v>LAS BAMBAS</v>
          </cell>
          <cell r="I3301">
            <v>112720</v>
          </cell>
          <cell r="J3301" t="str">
            <v>REPUESTO</v>
          </cell>
          <cell r="K3301" t="str">
            <v>PRECINTOS 200</v>
          </cell>
          <cell r="L3301">
            <v>20</v>
          </cell>
          <cell r="M3301" t="str">
            <v>UNID.</v>
          </cell>
          <cell r="N3301" t="str">
            <v>TRACTO</v>
          </cell>
          <cell r="O3301">
            <v>63</v>
          </cell>
          <cell r="P3301" t="str">
            <v>E1</v>
          </cell>
          <cell r="Q3301" t="str">
            <v>J1</v>
          </cell>
          <cell r="R3301" t="str">
            <v>J5</v>
          </cell>
          <cell r="S3301" t="str">
            <v>PENDIENTE</v>
          </cell>
          <cell r="T3301">
            <v>0</v>
          </cell>
          <cell r="U3301" t="str">
            <v>PALOMINO CARDENAS JUAN CARLOS</v>
          </cell>
          <cell r="V3301" t="str">
            <v>FLOREZ CONDORI  JOSE WILLIANS</v>
          </cell>
        </row>
        <row r="3302">
          <cell r="A3302">
            <v>3318</v>
          </cell>
          <cell r="B3302">
            <v>42727</v>
          </cell>
          <cell r="C3302" t="str">
            <v>DICIEMBRE</v>
          </cell>
          <cell r="D3302" t="str">
            <v>2016</v>
          </cell>
          <cell r="E3302">
            <v>661</v>
          </cell>
          <cell r="F3302" t="str">
            <v>ABQ-704</v>
          </cell>
          <cell r="G3302" t="str">
            <v>TBB-995</v>
          </cell>
          <cell r="H3302" t="str">
            <v>LAS BAMBAS</v>
          </cell>
          <cell r="I3302">
            <v>112720</v>
          </cell>
          <cell r="J3302" t="str">
            <v>HERRAMIENTAS</v>
          </cell>
          <cell r="K3302" t="str">
            <v>COOTER</v>
          </cell>
          <cell r="L3302">
            <v>1</v>
          </cell>
          <cell r="M3302" t="str">
            <v>UNID.</v>
          </cell>
          <cell r="N3302" t="str">
            <v>TRACTO</v>
          </cell>
          <cell r="O3302">
            <v>63</v>
          </cell>
          <cell r="P3302" t="str">
            <v>E1</v>
          </cell>
          <cell r="Q3302" t="str">
            <v>J1</v>
          </cell>
          <cell r="R3302" t="str">
            <v>J5</v>
          </cell>
          <cell r="S3302" t="str">
            <v>PENDIENTE</v>
          </cell>
          <cell r="T3302">
            <v>0</v>
          </cell>
          <cell r="U3302" t="str">
            <v>PALOMINO CARDENAS JUAN CARLOS</v>
          </cell>
          <cell r="V3302" t="str">
            <v>FLOREZ CONDORI  JOSE WILLIANS</v>
          </cell>
        </row>
        <row r="3303">
          <cell r="A3303">
            <v>3319</v>
          </cell>
          <cell r="B3303">
            <v>42727</v>
          </cell>
          <cell r="C3303" t="str">
            <v>DICIEMBRE</v>
          </cell>
          <cell r="D3303" t="str">
            <v>2016</v>
          </cell>
          <cell r="E3303">
            <v>661</v>
          </cell>
          <cell r="F3303" t="str">
            <v>ABQ-704</v>
          </cell>
          <cell r="G3303" t="str">
            <v>TBB-995</v>
          </cell>
          <cell r="H3303" t="str">
            <v>LAS BAMBAS</v>
          </cell>
          <cell r="I3303">
            <v>112720</v>
          </cell>
          <cell r="J3303" t="str">
            <v>REPUESTO</v>
          </cell>
          <cell r="K3303" t="str">
            <v xml:space="preserve">TUBO CORRUGADO 1/4 </v>
          </cell>
          <cell r="L3303">
            <v>6</v>
          </cell>
          <cell r="M3303" t="str">
            <v>M</v>
          </cell>
          <cell r="N3303" t="str">
            <v>TRACTO</v>
          </cell>
          <cell r="O3303">
            <v>63</v>
          </cell>
          <cell r="P3303" t="str">
            <v>E1</v>
          </cell>
          <cell r="Q3303" t="str">
            <v>J1</v>
          </cell>
          <cell r="R3303" t="str">
            <v>J5</v>
          </cell>
          <cell r="S3303" t="str">
            <v>PENDIENTE</v>
          </cell>
          <cell r="T3303">
            <v>0</v>
          </cell>
          <cell r="U3303" t="str">
            <v>PALOMINO CARDENAS JUAN CARLOS</v>
          </cell>
          <cell r="V3303" t="str">
            <v>FLOREZ CONDORI  JOSE WILLIANS</v>
          </cell>
        </row>
        <row r="3304">
          <cell r="A3304">
            <v>3336</v>
          </cell>
          <cell r="B3304">
            <v>42727</v>
          </cell>
          <cell r="C3304" t="str">
            <v>DICIEMBRE</v>
          </cell>
          <cell r="D3304" t="str">
            <v>2016</v>
          </cell>
          <cell r="E3304">
            <v>668</v>
          </cell>
          <cell r="F3304" t="str">
            <v>ABR-741</v>
          </cell>
          <cell r="G3304" t="str">
            <v>T3N-974</v>
          </cell>
          <cell r="H3304" t="str">
            <v>LAS BAMBAS</v>
          </cell>
          <cell r="I3304">
            <v>111179</v>
          </cell>
          <cell r="J3304" t="str">
            <v>REPUESTO</v>
          </cell>
          <cell r="K3304" t="str">
            <v>SPRAY VERDE</v>
          </cell>
          <cell r="L3304">
            <v>1</v>
          </cell>
          <cell r="M3304" t="str">
            <v>UNID.</v>
          </cell>
          <cell r="N3304" t="str">
            <v>CISTERNA</v>
          </cell>
          <cell r="O3304">
            <v>63</v>
          </cell>
          <cell r="P3304" t="str">
            <v>S1</v>
          </cell>
          <cell r="Q3304" t="str">
            <v>J1</v>
          </cell>
          <cell r="R3304" t="str">
            <v>J5</v>
          </cell>
          <cell r="S3304" t="str">
            <v>PENDIENTE</v>
          </cell>
          <cell r="T3304">
            <v>0</v>
          </cell>
          <cell r="U3304" t="str">
            <v>BAYONA CRUZ CRISTIAN ARMANDO</v>
          </cell>
          <cell r="V3304" t="str">
            <v>FLOREZ CONDORI  JOSE WILLIANS</v>
          </cell>
        </row>
        <row r="3305">
          <cell r="A3305">
            <v>3340</v>
          </cell>
          <cell r="B3305">
            <v>42727</v>
          </cell>
          <cell r="C3305" t="str">
            <v>DICIEMBRE</v>
          </cell>
          <cell r="D3305" t="str">
            <v>2016</v>
          </cell>
          <cell r="E3305">
            <v>668</v>
          </cell>
          <cell r="F3305" t="str">
            <v>ABR-741</v>
          </cell>
          <cell r="G3305" t="str">
            <v>T3N-974</v>
          </cell>
          <cell r="H3305" t="str">
            <v>LAS BAMBAS</v>
          </cell>
          <cell r="I3305">
            <v>111179</v>
          </cell>
          <cell r="J3305" t="str">
            <v>REPUESTO</v>
          </cell>
          <cell r="K3305" t="str">
            <v>LIQUIDO LIMPIAPARABRISAS</v>
          </cell>
          <cell r="L3305">
            <v>1</v>
          </cell>
          <cell r="M3305" t="str">
            <v>GLNS.</v>
          </cell>
          <cell r="N3305" t="str">
            <v>TRACTO</v>
          </cell>
          <cell r="O3305">
            <v>63</v>
          </cell>
          <cell r="P3305" t="str">
            <v>M2</v>
          </cell>
          <cell r="Q3305" t="str">
            <v>J1</v>
          </cell>
          <cell r="R3305" t="str">
            <v>J5</v>
          </cell>
          <cell r="S3305" t="str">
            <v>PENDIENTE</v>
          </cell>
          <cell r="T3305">
            <v>0</v>
          </cell>
          <cell r="U3305" t="str">
            <v>CHUMPITAZ GAGO JULIO ENRIQUE</v>
          </cell>
          <cell r="V3305" t="str">
            <v>FLOREZ CONDORI  JOSE WILLIANS</v>
          </cell>
        </row>
        <row r="3306">
          <cell r="A3306">
            <v>3341</v>
          </cell>
          <cell r="B3306">
            <v>42727</v>
          </cell>
          <cell r="C3306" t="str">
            <v>DICIEMBRE</v>
          </cell>
          <cell r="D3306" t="str">
            <v>2016</v>
          </cell>
          <cell r="E3306">
            <v>668</v>
          </cell>
          <cell r="F3306" t="str">
            <v>ABR-741</v>
          </cell>
          <cell r="G3306" t="str">
            <v>T3N-974</v>
          </cell>
          <cell r="H3306" t="str">
            <v>LAS BAMBAS</v>
          </cell>
          <cell r="I3306">
            <v>111179</v>
          </cell>
          <cell r="J3306" t="str">
            <v>REPUESTO</v>
          </cell>
          <cell r="K3306" t="str">
            <v>LIQUIDO REFRIGERANTE</v>
          </cell>
          <cell r="L3306">
            <v>0.5</v>
          </cell>
          <cell r="M3306" t="str">
            <v>GLNS.</v>
          </cell>
          <cell r="N3306" t="str">
            <v>TRACTO</v>
          </cell>
          <cell r="O3306">
            <v>63</v>
          </cell>
          <cell r="P3306" t="str">
            <v>M2</v>
          </cell>
          <cell r="Q3306" t="str">
            <v>J1</v>
          </cell>
          <cell r="R3306" t="str">
            <v>J5</v>
          </cell>
          <cell r="S3306" t="str">
            <v>PENDIENTE</v>
          </cell>
          <cell r="T3306">
            <v>0</v>
          </cell>
          <cell r="U3306" t="str">
            <v>CHUMPITAZ GAGO JULIO ENRIQUE</v>
          </cell>
          <cell r="V3306" t="str">
            <v>FLOREZ CONDORI  JOSE WILLIANS</v>
          </cell>
        </row>
        <row r="3307">
          <cell r="A3307">
            <v>3309</v>
          </cell>
          <cell r="B3307">
            <v>42727</v>
          </cell>
          <cell r="C3307" t="str">
            <v>DICIEMBRE</v>
          </cell>
          <cell r="D3307" t="str">
            <v>2016</v>
          </cell>
          <cell r="E3307">
            <v>652</v>
          </cell>
          <cell r="F3307" t="str">
            <v>ABS-700</v>
          </cell>
          <cell r="G3307" t="str">
            <v>TBC-971</v>
          </cell>
          <cell r="H3307" t="str">
            <v>LAS BAMBAS</v>
          </cell>
          <cell r="I3307">
            <v>102512</v>
          </cell>
          <cell r="J3307" t="str">
            <v>REPUESTO</v>
          </cell>
          <cell r="K3307" t="str">
            <v>QUINTA RUEDA</v>
          </cell>
          <cell r="L3307">
            <v>1</v>
          </cell>
          <cell r="M3307" t="str">
            <v>UNID.</v>
          </cell>
          <cell r="N3307" t="str">
            <v>TRACTO</v>
          </cell>
          <cell r="O3307">
            <v>63</v>
          </cell>
          <cell r="P3307" t="str">
            <v>M3</v>
          </cell>
          <cell r="Q3307" t="str">
            <v>J1</v>
          </cell>
          <cell r="R3307" t="str">
            <v>J5</v>
          </cell>
          <cell r="S3307" t="str">
            <v>PENDIENTE</v>
          </cell>
          <cell r="T3307">
            <v>0</v>
          </cell>
          <cell r="U3307" t="str">
            <v>GARCIA PASQUEL  JOSE LUIS</v>
          </cell>
          <cell r="V3307" t="str">
            <v>FLOREZ CONDORI  JOSE WILLIANS</v>
          </cell>
        </row>
        <row r="3308">
          <cell r="A3308">
            <v>3293</v>
          </cell>
          <cell r="B3308">
            <v>42727</v>
          </cell>
          <cell r="C3308" t="str">
            <v>DICIEMBRE</v>
          </cell>
          <cell r="D3308" t="str">
            <v>2016</v>
          </cell>
          <cell r="E3308">
            <v>655</v>
          </cell>
          <cell r="F3308" t="str">
            <v>AEH-888</v>
          </cell>
          <cell r="G3308" t="str">
            <v>CAMIONETA</v>
          </cell>
          <cell r="H3308" t="str">
            <v>LAS BAMBAS</v>
          </cell>
          <cell r="I3308">
            <v>95338</v>
          </cell>
          <cell r="J3308" t="str">
            <v>REPUESTO</v>
          </cell>
          <cell r="K3308" t="str">
            <v>FAROS NEBLINEROS</v>
          </cell>
          <cell r="L3308">
            <v>2</v>
          </cell>
          <cell r="M3308" t="str">
            <v>UNID.</v>
          </cell>
          <cell r="N3308" t="str">
            <v>CAMIONETA</v>
          </cell>
          <cell r="O3308">
            <v>63</v>
          </cell>
          <cell r="P3308" t="str">
            <v>E2</v>
          </cell>
          <cell r="Q3308" t="str">
            <v>J1</v>
          </cell>
          <cell r="R3308" t="str">
            <v>J6</v>
          </cell>
          <cell r="S3308" t="str">
            <v>PENDIENTE</v>
          </cell>
          <cell r="T3308">
            <v>0</v>
          </cell>
          <cell r="U3308" t="str">
            <v>YUCA BELLIDO BORIS YERSY</v>
          </cell>
          <cell r="V3308" t="str">
            <v>FLOREZ CONDORI  JOSE WILLIANS</v>
          </cell>
        </row>
        <row r="3309">
          <cell r="A3309">
            <v>3333</v>
          </cell>
          <cell r="B3309">
            <v>42727</v>
          </cell>
          <cell r="C3309" t="str">
            <v>DICIEMBRE</v>
          </cell>
          <cell r="D3309" t="str">
            <v>2016</v>
          </cell>
          <cell r="E3309">
            <v>655</v>
          </cell>
          <cell r="F3309" t="str">
            <v>AEH-888</v>
          </cell>
          <cell r="G3309" t="str">
            <v>CAMIONETA</v>
          </cell>
          <cell r="H3309" t="str">
            <v>LAS BAMBAS</v>
          </cell>
          <cell r="I3309">
            <v>95338</v>
          </cell>
          <cell r="J3309" t="str">
            <v>REPUESTO</v>
          </cell>
          <cell r="K3309" t="str">
            <v>MINIFUSIBLES 10A</v>
          </cell>
          <cell r="L3309">
            <v>1</v>
          </cell>
          <cell r="M3309" t="str">
            <v>UNID.</v>
          </cell>
          <cell r="N3309" t="str">
            <v>TRACTO</v>
          </cell>
          <cell r="O3309">
            <v>63</v>
          </cell>
          <cell r="P3309" t="str">
            <v>E3</v>
          </cell>
          <cell r="Q3309" t="str">
            <v>J1</v>
          </cell>
          <cell r="R3309" t="str">
            <v>J5</v>
          </cell>
          <cell r="S3309" t="str">
            <v>PENDIENTE</v>
          </cell>
          <cell r="T3309">
            <v>0</v>
          </cell>
          <cell r="U3309" t="str">
            <v>CONDORI CHURATA ALEX</v>
          </cell>
          <cell r="V3309" t="str">
            <v>FLOREZ CONDORI  JOSE WILLIANS</v>
          </cell>
        </row>
        <row r="3310">
          <cell r="A3310">
            <v>3337</v>
          </cell>
          <cell r="B3310">
            <v>42727</v>
          </cell>
          <cell r="C3310" t="str">
            <v>DICIEMBRE</v>
          </cell>
          <cell r="D3310" t="str">
            <v>2016</v>
          </cell>
          <cell r="E3310">
            <v>655</v>
          </cell>
          <cell r="F3310" t="str">
            <v>AEH-888</v>
          </cell>
          <cell r="G3310" t="str">
            <v>CAMIONETA</v>
          </cell>
          <cell r="H3310" t="str">
            <v>LAS BAMBAS</v>
          </cell>
          <cell r="I3310">
            <v>95338</v>
          </cell>
          <cell r="J3310" t="str">
            <v>REPUESTO</v>
          </cell>
          <cell r="K3310" t="str">
            <v>FOCO H4</v>
          </cell>
          <cell r="L3310">
            <v>1</v>
          </cell>
          <cell r="M3310" t="str">
            <v>UNID.</v>
          </cell>
          <cell r="N3310" t="str">
            <v>TRACTO</v>
          </cell>
          <cell r="O3310">
            <v>63</v>
          </cell>
          <cell r="P3310" t="str">
            <v>E3</v>
          </cell>
          <cell r="Q3310" t="str">
            <v>J1</v>
          </cell>
          <cell r="R3310" t="str">
            <v>J5</v>
          </cell>
          <cell r="S3310" t="str">
            <v>PENDIENTE</v>
          </cell>
          <cell r="T3310">
            <v>0</v>
          </cell>
          <cell r="U3310" t="str">
            <v>CONDORI CHURATA ALEX</v>
          </cell>
          <cell r="V3310" t="str">
            <v>FLOREZ CONDORI  JOSE WILLIANS</v>
          </cell>
        </row>
        <row r="3311">
          <cell r="A3311">
            <v>3339</v>
          </cell>
          <cell r="B3311">
            <v>42727</v>
          </cell>
          <cell r="C3311" t="str">
            <v>DICIEMBRE</v>
          </cell>
          <cell r="D3311" t="str">
            <v>2016</v>
          </cell>
          <cell r="E3311">
            <v>655</v>
          </cell>
          <cell r="F3311" t="str">
            <v>AEH-888</v>
          </cell>
          <cell r="G3311" t="str">
            <v>CAMIONETA</v>
          </cell>
          <cell r="H3311" t="str">
            <v>LAS BAMBAS</v>
          </cell>
          <cell r="I3311">
            <v>95338</v>
          </cell>
          <cell r="J3311" t="str">
            <v>REPUESTO</v>
          </cell>
          <cell r="K3311" t="str">
            <v>FOCOS PILOTO DOBLE CONTACTO</v>
          </cell>
          <cell r="L3311">
            <v>2</v>
          </cell>
          <cell r="M3311" t="str">
            <v>UNID.</v>
          </cell>
          <cell r="N3311" t="str">
            <v>TRACTO</v>
          </cell>
          <cell r="O3311">
            <v>63</v>
          </cell>
          <cell r="P3311" t="str">
            <v>E3</v>
          </cell>
          <cell r="Q3311" t="str">
            <v>J1</v>
          </cell>
          <cell r="R3311" t="str">
            <v>J5</v>
          </cell>
          <cell r="S3311" t="str">
            <v>PENDIENTE</v>
          </cell>
          <cell r="T3311">
            <v>0</v>
          </cell>
          <cell r="U3311" t="str">
            <v>CONDORI CHURATA ALEX</v>
          </cell>
          <cell r="V3311" t="str">
            <v>FLOREZ CONDORI  JOSE WILLIANS</v>
          </cell>
        </row>
        <row r="3312">
          <cell r="A3312">
            <v>3343</v>
          </cell>
          <cell r="B3312">
            <v>42727</v>
          </cell>
          <cell r="C3312" t="str">
            <v>DICIEMBRE</v>
          </cell>
          <cell r="D3312" t="str">
            <v>2016</v>
          </cell>
          <cell r="E3312">
            <v>674</v>
          </cell>
          <cell r="F3312" t="str">
            <v>APH-782</v>
          </cell>
          <cell r="G3312" t="str">
            <v>CAMIONETA</v>
          </cell>
          <cell r="H3312" t="str">
            <v>LAS BAMBAS</v>
          </cell>
          <cell r="I3312">
            <v>4631</v>
          </cell>
          <cell r="J3312" t="str">
            <v>REPUESTO</v>
          </cell>
          <cell r="K3312" t="str">
            <v>FILTRO DE ACEITE</v>
          </cell>
          <cell r="L3312">
            <v>1</v>
          </cell>
          <cell r="M3312" t="str">
            <v>UNID.</v>
          </cell>
          <cell r="N3312" t="str">
            <v>CAMIONETA</v>
          </cell>
          <cell r="O3312">
            <v>63</v>
          </cell>
          <cell r="P3312" t="str">
            <v>J1</v>
          </cell>
          <cell r="Q3312" t="str">
            <v>J1</v>
          </cell>
          <cell r="R3312" t="str">
            <v>J5</v>
          </cell>
          <cell r="S3312" t="str">
            <v>PENDIENTE</v>
          </cell>
          <cell r="T3312">
            <v>0</v>
          </cell>
          <cell r="U3312" t="str">
            <v>FLOREZ CONDORI  JOSE WILLIANS</v>
          </cell>
          <cell r="V3312" t="str">
            <v>FLOREZ CONDORI  JOSE WILLIANS</v>
          </cell>
        </row>
        <row r="3313">
          <cell r="A3313">
            <v>3344</v>
          </cell>
          <cell r="B3313">
            <v>42727</v>
          </cell>
          <cell r="C3313" t="str">
            <v>DICIEMBRE</v>
          </cell>
          <cell r="D3313" t="str">
            <v>2016</v>
          </cell>
          <cell r="E3313">
            <v>674</v>
          </cell>
          <cell r="F3313" t="str">
            <v>APH-782</v>
          </cell>
          <cell r="G3313" t="str">
            <v>CAMIONETA</v>
          </cell>
          <cell r="H3313" t="str">
            <v>LAS BAMBAS</v>
          </cell>
          <cell r="I3313">
            <v>4631</v>
          </cell>
          <cell r="J3313" t="str">
            <v>REPUESTO</v>
          </cell>
          <cell r="K3313" t="str">
            <v>FILTRO DE COMBUSTIBLE</v>
          </cell>
          <cell r="L3313">
            <v>1</v>
          </cell>
          <cell r="M3313" t="str">
            <v>UNID.</v>
          </cell>
          <cell r="N3313" t="str">
            <v>CAMIONETA</v>
          </cell>
          <cell r="O3313">
            <v>63</v>
          </cell>
          <cell r="P3313" t="str">
            <v>J1</v>
          </cell>
          <cell r="Q3313" t="str">
            <v>J1</v>
          </cell>
          <cell r="R3313" t="str">
            <v>J5</v>
          </cell>
          <cell r="S3313" t="str">
            <v>PENDIENTE</v>
          </cell>
          <cell r="T3313">
            <v>0</v>
          </cell>
          <cell r="U3313" t="str">
            <v>FLOREZ CONDORI  JOSE WILLIANS</v>
          </cell>
          <cell r="V3313" t="str">
            <v>FLOREZ CONDORI  JOSE WILLIANS</v>
          </cell>
        </row>
        <row r="3314">
          <cell r="A3314">
            <v>3345</v>
          </cell>
          <cell r="B3314">
            <v>42727</v>
          </cell>
          <cell r="C3314" t="str">
            <v>DICIEMBRE</v>
          </cell>
          <cell r="D3314" t="str">
            <v>2016</v>
          </cell>
          <cell r="E3314">
            <v>674</v>
          </cell>
          <cell r="F3314" t="str">
            <v>APH-782</v>
          </cell>
          <cell r="G3314" t="str">
            <v>CAMIONETA</v>
          </cell>
          <cell r="H3314" t="str">
            <v>LAS BAMBAS</v>
          </cell>
          <cell r="I3314">
            <v>4631</v>
          </cell>
          <cell r="J3314" t="str">
            <v>REPUESTO</v>
          </cell>
          <cell r="K3314" t="str">
            <v>FILTRO DE AIRE</v>
          </cell>
          <cell r="L3314">
            <v>1</v>
          </cell>
          <cell r="M3314" t="str">
            <v>UNID.</v>
          </cell>
          <cell r="N3314" t="str">
            <v>CAMIONETA</v>
          </cell>
          <cell r="O3314">
            <v>63</v>
          </cell>
          <cell r="P3314" t="str">
            <v>J1</v>
          </cell>
          <cell r="Q3314" t="str">
            <v>J1</v>
          </cell>
          <cell r="R3314" t="str">
            <v>J5</v>
          </cell>
          <cell r="S3314" t="str">
            <v>PENDIENTE</v>
          </cell>
          <cell r="T3314">
            <v>0</v>
          </cell>
          <cell r="U3314" t="str">
            <v>FLOREZ CONDORI  JOSE WILLIANS</v>
          </cell>
          <cell r="V3314" t="str">
            <v>FLOREZ CONDORI  JOSE WILLIANS</v>
          </cell>
        </row>
        <row r="3315">
          <cell r="A3315">
            <v>3346</v>
          </cell>
          <cell r="B3315">
            <v>42727</v>
          </cell>
          <cell r="C3315" t="str">
            <v>DICIEMBRE</v>
          </cell>
          <cell r="D3315" t="str">
            <v>2016</v>
          </cell>
          <cell r="E3315">
            <v>674</v>
          </cell>
          <cell r="F3315" t="str">
            <v>APH-782</v>
          </cell>
          <cell r="G3315" t="str">
            <v>CAMIONETA</v>
          </cell>
          <cell r="H3315" t="str">
            <v>LAS BAMBAS</v>
          </cell>
          <cell r="I3315">
            <v>4631</v>
          </cell>
          <cell r="J3315" t="str">
            <v>REPUESTO</v>
          </cell>
          <cell r="K3315" t="str">
            <v>ACEITE 15W40</v>
          </cell>
          <cell r="L3315">
            <v>2</v>
          </cell>
          <cell r="M3315" t="str">
            <v>GLNS.</v>
          </cell>
          <cell r="N3315" t="str">
            <v>CAMIONETA</v>
          </cell>
          <cell r="O3315">
            <v>63</v>
          </cell>
          <cell r="P3315" t="str">
            <v>J1</v>
          </cell>
          <cell r="Q3315" t="str">
            <v>J1</v>
          </cell>
          <cell r="R3315" t="str">
            <v>J5</v>
          </cell>
          <cell r="S3315" t="str">
            <v>PENDIENTE</v>
          </cell>
          <cell r="T3315">
            <v>0</v>
          </cell>
          <cell r="U3315" t="str">
            <v>FLOREZ CONDORI  JOSE WILLIANS</v>
          </cell>
          <cell r="V3315" t="str">
            <v>FLOREZ CONDORI  JOSE WILLIANS</v>
          </cell>
        </row>
        <row r="3316">
          <cell r="A3316">
            <v>3354</v>
          </cell>
          <cell r="B3316">
            <v>42727</v>
          </cell>
          <cell r="C3316" t="str">
            <v>DICIEMBRE</v>
          </cell>
          <cell r="D3316" t="str">
            <v>2016</v>
          </cell>
          <cell r="E3316">
            <v>530</v>
          </cell>
          <cell r="F3316" t="str">
            <v>C5R-892</v>
          </cell>
          <cell r="G3316" t="str">
            <v>A0T-983</v>
          </cell>
          <cell r="H3316" t="str">
            <v>LAS BAMBAS</v>
          </cell>
          <cell r="I3316">
            <v>226743</v>
          </cell>
          <cell r="J3316" t="str">
            <v>REPUESTO</v>
          </cell>
          <cell r="K3316" t="str">
            <v>CONOS 3/8</v>
          </cell>
          <cell r="L3316">
            <v>4</v>
          </cell>
          <cell r="M3316" t="str">
            <v>UNID.</v>
          </cell>
          <cell r="N3316" t="str">
            <v>TRACTO</v>
          </cell>
          <cell r="O3316">
            <v>63</v>
          </cell>
          <cell r="P3316" t="str">
            <v>M8</v>
          </cell>
          <cell r="Q3316" t="str">
            <v>J2</v>
          </cell>
          <cell r="R3316" t="str">
            <v>J5</v>
          </cell>
          <cell r="S3316" t="str">
            <v>PENDIENTE</v>
          </cell>
          <cell r="T3316">
            <v>0</v>
          </cell>
          <cell r="U3316" t="str">
            <v>VARILLAS GAGO  OSCAR ALBERTO</v>
          </cell>
          <cell r="V3316" t="str">
            <v>CORIHUAMAN SURCO  ERICK ROBERT</v>
          </cell>
        </row>
        <row r="3317">
          <cell r="A3317">
            <v>3355</v>
          </cell>
          <cell r="B3317">
            <v>42727</v>
          </cell>
          <cell r="C3317" t="str">
            <v>DICIEMBRE</v>
          </cell>
          <cell r="D3317" t="str">
            <v>2016</v>
          </cell>
          <cell r="E3317">
            <v>530</v>
          </cell>
          <cell r="F3317" t="str">
            <v>C5R-892</v>
          </cell>
          <cell r="G3317" t="str">
            <v>A0T-983</v>
          </cell>
          <cell r="H3317" t="str">
            <v>LAS BAMBAS</v>
          </cell>
          <cell r="I3317">
            <v>226743</v>
          </cell>
          <cell r="J3317" t="str">
            <v>REPUESTO</v>
          </cell>
          <cell r="K3317" t="str">
            <v>GUIAS 3/8</v>
          </cell>
          <cell r="L3317">
            <v>4</v>
          </cell>
          <cell r="M3317" t="str">
            <v>UNID.</v>
          </cell>
          <cell r="N3317" t="str">
            <v>TRACTO</v>
          </cell>
          <cell r="O3317">
            <v>63</v>
          </cell>
          <cell r="P3317" t="str">
            <v>M8</v>
          </cell>
          <cell r="Q3317" t="str">
            <v>J2</v>
          </cell>
          <cell r="R3317" t="str">
            <v>J5</v>
          </cell>
          <cell r="S3317" t="str">
            <v>PENDIENTE</v>
          </cell>
          <cell r="T3317">
            <v>0</v>
          </cell>
          <cell r="U3317" t="str">
            <v>VARILLAS GAGO  OSCAR ALBERTO</v>
          </cell>
          <cell r="V3317" t="str">
            <v>CORIHUAMAN SURCO  ERICK ROBERT</v>
          </cell>
        </row>
        <row r="3318">
          <cell r="A3318">
            <v>3357</v>
          </cell>
          <cell r="B3318">
            <v>42727</v>
          </cell>
          <cell r="C3318" t="str">
            <v>DICIEMBRE</v>
          </cell>
          <cell r="D3318" t="str">
            <v>2016</v>
          </cell>
          <cell r="E3318">
            <v>530</v>
          </cell>
          <cell r="F3318" t="str">
            <v>C5R-892</v>
          </cell>
          <cell r="G3318" t="str">
            <v>A0T-983</v>
          </cell>
          <cell r="H3318" t="str">
            <v>LAS BAMBAS</v>
          </cell>
          <cell r="I3318">
            <v>226743</v>
          </cell>
          <cell r="J3318" t="str">
            <v>REPUESTO</v>
          </cell>
          <cell r="K3318" t="str">
            <v>PERNO 3/8X 4"</v>
          </cell>
          <cell r="L3318">
            <v>1</v>
          </cell>
          <cell r="M3318" t="str">
            <v>UNID.</v>
          </cell>
          <cell r="N3318" t="str">
            <v>TRACTO</v>
          </cell>
          <cell r="O3318">
            <v>63</v>
          </cell>
          <cell r="P3318" t="str">
            <v>E3</v>
          </cell>
          <cell r="Q3318" t="str">
            <v>J1</v>
          </cell>
          <cell r="R3318" t="str">
            <v>J5</v>
          </cell>
          <cell r="S3318" t="str">
            <v>PENDIENTE</v>
          </cell>
          <cell r="T3318">
            <v>0</v>
          </cell>
          <cell r="U3318" t="str">
            <v>CONDORI CHURATA ALEX</v>
          </cell>
          <cell r="V3318" t="str">
            <v>FLOREZ CONDORI  JOSE WILLIANS</v>
          </cell>
        </row>
        <row r="3319">
          <cell r="A3319">
            <v>3358</v>
          </cell>
          <cell r="B3319">
            <v>42727</v>
          </cell>
          <cell r="C3319" t="str">
            <v>DICIEMBRE</v>
          </cell>
          <cell r="D3319" t="str">
            <v>2016</v>
          </cell>
          <cell r="E3319">
            <v>530</v>
          </cell>
          <cell r="F3319" t="str">
            <v>C5R-892</v>
          </cell>
          <cell r="G3319" t="str">
            <v>A0T-983</v>
          </cell>
          <cell r="H3319" t="str">
            <v>LAS BAMBAS</v>
          </cell>
          <cell r="I3319">
            <v>226743</v>
          </cell>
          <cell r="J3319" t="str">
            <v>REPUESTO</v>
          </cell>
          <cell r="K3319" t="str">
            <v>PERNO 3/8X 5"</v>
          </cell>
          <cell r="L3319">
            <v>1</v>
          </cell>
          <cell r="M3319" t="str">
            <v>UNID.</v>
          </cell>
          <cell r="N3319" t="str">
            <v>TRACTO</v>
          </cell>
          <cell r="O3319">
            <v>63</v>
          </cell>
          <cell r="P3319" t="str">
            <v>E3</v>
          </cell>
          <cell r="Q3319" t="str">
            <v>J1</v>
          </cell>
          <cell r="R3319" t="str">
            <v>J5</v>
          </cell>
          <cell r="S3319" t="str">
            <v>PENDIENTE</v>
          </cell>
          <cell r="T3319">
            <v>0</v>
          </cell>
          <cell r="U3319" t="str">
            <v>CONDORI CHURATA ALEX</v>
          </cell>
          <cell r="V3319" t="str">
            <v>FLOREZ CONDORI  JOSE WILLIANS</v>
          </cell>
        </row>
        <row r="3320">
          <cell r="A3320">
            <v>3359</v>
          </cell>
          <cell r="B3320">
            <v>42727</v>
          </cell>
          <cell r="C3320" t="str">
            <v>DICIEMBRE</v>
          </cell>
          <cell r="D3320" t="str">
            <v>2016</v>
          </cell>
          <cell r="E3320">
            <v>530</v>
          </cell>
          <cell r="F3320" t="str">
            <v>C5R-892</v>
          </cell>
          <cell r="G3320" t="str">
            <v>A0T-983</v>
          </cell>
          <cell r="H3320" t="str">
            <v>LAS BAMBAS</v>
          </cell>
          <cell r="I3320">
            <v>226743</v>
          </cell>
          <cell r="J3320" t="str">
            <v>REPUESTO</v>
          </cell>
          <cell r="K3320" t="str">
            <v>ARANDELAS 3/8</v>
          </cell>
          <cell r="L3320">
            <v>2</v>
          </cell>
          <cell r="M3320" t="str">
            <v>UNID.</v>
          </cell>
          <cell r="N3320" t="str">
            <v>TRACTO</v>
          </cell>
          <cell r="O3320">
            <v>63</v>
          </cell>
          <cell r="P3320" t="str">
            <v>E3</v>
          </cell>
          <cell r="Q3320" t="str">
            <v>J1</v>
          </cell>
          <cell r="R3320" t="str">
            <v>J5</v>
          </cell>
          <cell r="S3320" t="str">
            <v>PENDIENTE</v>
          </cell>
          <cell r="T3320">
            <v>0</v>
          </cell>
          <cell r="U3320" t="str">
            <v>CONDORI CHURATA ALEX</v>
          </cell>
          <cell r="V3320" t="str">
            <v>FLOREZ CONDORI  JOSE WILLIANS</v>
          </cell>
        </row>
        <row r="3321">
          <cell r="A3321">
            <v>3360</v>
          </cell>
          <cell r="B3321">
            <v>42727</v>
          </cell>
          <cell r="C3321" t="str">
            <v>DICIEMBRE</v>
          </cell>
          <cell r="D3321" t="str">
            <v>2016</v>
          </cell>
          <cell r="E3321">
            <v>530</v>
          </cell>
          <cell r="F3321" t="str">
            <v>C5R-892</v>
          </cell>
          <cell r="G3321" t="str">
            <v>A0T-983</v>
          </cell>
          <cell r="H3321" t="str">
            <v>LAS BAMBAS</v>
          </cell>
          <cell r="I3321">
            <v>226743</v>
          </cell>
          <cell r="J3321" t="str">
            <v>REPUESTO</v>
          </cell>
          <cell r="K3321" t="str">
            <v>TUERCAS 3/8</v>
          </cell>
          <cell r="L3321">
            <v>2</v>
          </cell>
          <cell r="M3321" t="str">
            <v>UNID.</v>
          </cell>
          <cell r="N3321" t="str">
            <v>TRACTO</v>
          </cell>
          <cell r="O3321">
            <v>63</v>
          </cell>
          <cell r="P3321" t="str">
            <v>E3</v>
          </cell>
          <cell r="Q3321" t="str">
            <v>J1</v>
          </cell>
          <cell r="R3321" t="str">
            <v>J5</v>
          </cell>
          <cell r="S3321" t="str">
            <v>PENDIENTE</v>
          </cell>
          <cell r="T3321">
            <v>0</v>
          </cell>
          <cell r="U3321" t="str">
            <v>CONDORI CHURATA ALEX</v>
          </cell>
          <cell r="V3321" t="str">
            <v>FLOREZ CONDORI  JOSE WILLIANS</v>
          </cell>
        </row>
        <row r="3322">
          <cell r="A3322">
            <v>3297</v>
          </cell>
          <cell r="B3322">
            <v>42727</v>
          </cell>
          <cell r="C3322" t="str">
            <v>DICIEMBRE</v>
          </cell>
          <cell r="D3322" t="str">
            <v>2016</v>
          </cell>
          <cell r="E3322">
            <v>638</v>
          </cell>
          <cell r="F3322" t="str">
            <v>C5R-895</v>
          </cell>
          <cell r="G3322" t="str">
            <v>TBL-976</v>
          </cell>
          <cell r="H3322" t="str">
            <v>LAS BAMBAS</v>
          </cell>
          <cell r="I3322">
            <v>171517</v>
          </cell>
          <cell r="J3322" t="str">
            <v>REPUESTO</v>
          </cell>
          <cell r="K3322" t="str">
            <v>CELLOCORD 5/32</v>
          </cell>
          <cell r="L3322">
            <v>2</v>
          </cell>
          <cell r="M3322" t="str">
            <v>KG.</v>
          </cell>
          <cell r="N3322" t="str">
            <v>CISTERNA</v>
          </cell>
          <cell r="O3322">
            <v>63</v>
          </cell>
          <cell r="P3322" t="str">
            <v>S1</v>
          </cell>
          <cell r="Q3322" t="str">
            <v>J1</v>
          </cell>
          <cell r="R3322" t="str">
            <v>J5</v>
          </cell>
          <cell r="S3322" t="str">
            <v>PENDIENTE</v>
          </cell>
          <cell r="T3322">
            <v>0</v>
          </cell>
          <cell r="U3322" t="str">
            <v>BAYONA CRUZ CRISTIAN ARMANDO</v>
          </cell>
          <cell r="V3322" t="str">
            <v>FLOREZ CONDORI  JOSE WILLIANS</v>
          </cell>
        </row>
        <row r="3323">
          <cell r="A3323">
            <v>3298</v>
          </cell>
          <cell r="B3323">
            <v>42727</v>
          </cell>
          <cell r="C3323" t="str">
            <v>DICIEMBRE</v>
          </cell>
          <cell r="D3323" t="str">
            <v>2016</v>
          </cell>
          <cell r="E3323">
            <v>638</v>
          </cell>
          <cell r="F3323" t="str">
            <v>C5R-895</v>
          </cell>
          <cell r="G3323" t="str">
            <v>TBL-976</v>
          </cell>
          <cell r="H3323" t="str">
            <v>LAS BAMBAS</v>
          </cell>
          <cell r="I3323">
            <v>171517</v>
          </cell>
          <cell r="J3323" t="str">
            <v>REPUESTO</v>
          </cell>
          <cell r="K3323" t="str">
            <v>DISCO DE CORTE 7"</v>
          </cell>
          <cell r="L3323">
            <v>2</v>
          </cell>
          <cell r="M3323" t="str">
            <v>UNID.</v>
          </cell>
          <cell r="N3323" t="str">
            <v>CISTERNA</v>
          </cell>
          <cell r="O3323">
            <v>63</v>
          </cell>
          <cell r="P3323" t="str">
            <v>S1</v>
          </cell>
          <cell r="Q3323" t="str">
            <v>J1</v>
          </cell>
          <cell r="R3323" t="str">
            <v>J5</v>
          </cell>
          <cell r="S3323" t="str">
            <v>PENDIENTE</v>
          </cell>
          <cell r="T3323">
            <v>0</v>
          </cell>
          <cell r="U3323" t="str">
            <v>BAYONA CRUZ CRISTIAN ARMANDO</v>
          </cell>
          <cell r="V3323" t="str">
            <v>FLOREZ CONDORI  JOSE WILLIANS</v>
          </cell>
        </row>
        <row r="3324">
          <cell r="A3324">
            <v>3299</v>
          </cell>
          <cell r="B3324">
            <v>42727</v>
          </cell>
          <cell r="C3324" t="str">
            <v>DICIEMBRE</v>
          </cell>
          <cell r="D3324" t="str">
            <v>2016</v>
          </cell>
          <cell r="E3324">
            <v>638</v>
          </cell>
          <cell r="F3324" t="str">
            <v>C5R-895</v>
          </cell>
          <cell r="G3324" t="str">
            <v>TBL-976</v>
          </cell>
          <cell r="H3324" t="str">
            <v>LAS BAMBAS</v>
          </cell>
          <cell r="I3324">
            <v>171517</v>
          </cell>
          <cell r="J3324" t="str">
            <v>REPUESTO</v>
          </cell>
          <cell r="K3324" t="str">
            <v>DISCO DE DESBASTE 7"</v>
          </cell>
          <cell r="L3324">
            <v>1</v>
          </cell>
          <cell r="M3324" t="str">
            <v>UNID.</v>
          </cell>
          <cell r="N3324" t="str">
            <v>CISTERNA</v>
          </cell>
          <cell r="O3324">
            <v>63</v>
          </cell>
          <cell r="P3324" t="str">
            <v>S1</v>
          </cell>
          <cell r="Q3324" t="str">
            <v>J1</v>
          </cell>
          <cell r="R3324" t="str">
            <v>J5</v>
          </cell>
          <cell r="S3324" t="str">
            <v>PENDIENTE</v>
          </cell>
          <cell r="T3324">
            <v>0</v>
          </cell>
          <cell r="U3324" t="str">
            <v>BAYONA CRUZ CRISTIAN ARMANDO</v>
          </cell>
          <cell r="V3324" t="str">
            <v>FLOREZ CONDORI  JOSE WILLIANS</v>
          </cell>
        </row>
        <row r="3325">
          <cell r="A3325">
            <v>3295</v>
          </cell>
          <cell r="B3325">
            <v>42727</v>
          </cell>
          <cell r="C3325" t="str">
            <v>DICIEMBRE</v>
          </cell>
          <cell r="D3325" t="str">
            <v>2016</v>
          </cell>
          <cell r="E3325">
            <v>656</v>
          </cell>
          <cell r="F3325" t="str">
            <v>C5R-896</v>
          </cell>
          <cell r="G3325" t="str">
            <v>A0U-977</v>
          </cell>
          <cell r="H3325" t="str">
            <v>LAS BAMBAS</v>
          </cell>
          <cell r="I3325">
            <v>213713</v>
          </cell>
          <cell r="J3325" t="str">
            <v>REPUESTO</v>
          </cell>
          <cell r="K3325" t="str">
            <v>CIRCULINA</v>
          </cell>
          <cell r="L3325">
            <v>1</v>
          </cell>
          <cell r="M3325" t="str">
            <v>UNID.</v>
          </cell>
          <cell r="N3325" t="str">
            <v>TRACTO</v>
          </cell>
          <cell r="O3325">
            <v>63</v>
          </cell>
          <cell r="P3325" t="str">
            <v>E2</v>
          </cell>
          <cell r="Q3325" t="str">
            <v>J1</v>
          </cell>
          <cell r="R3325" t="str">
            <v>J5</v>
          </cell>
          <cell r="S3325" t="str">
            <v>PENDIENTE</v>
          </cell>
          <cell r="T3325">
            <v>0</v>
          </cell>
          <cell r="U3325" t="str">
            <v>YUCA BELLIDO BORIS YERSY</v>
          </cell>
          <cell r="V3325" t="str">
            <v>FLOREZ CONDORI  JOSE WILLIANS</v>
          </cell>
        </row>
        <row r="3326">
          <cell r="A3326">
            <v>3300</v>
          </cell>
          <cell r="B3326">
            <v>42727</v>
          </cell>
          <cell r="C3326" t="str">
            <v>DICIEMBRE</v>
          </cell>
          <cell r="D3326" t="str">
            <v>2016</v>
          </cell>
          <cell r="E3326">
            <v>650</v>
          </cell>
          <cell r="F3326" t="str">
            <v>D3P-730</v>
          </cell>
          <cell r="G3326" t="str">
            <v>TBM-980</v>
          </cell>
          <cell r="H3326" t="str">
            <v>LAS BAMBAS</v>
          </cell>
          <cell r="I3326">
            <v>109105</v>
          </cell>
          <cell r="J3326" t="str">
            <v>REPUESTO</v>
          </cell>
          <cell r="K3326" t="str">
            <v>RETEN DE RUEDA PARA CARRETA</v>
          </cell>
          <cell r="L3326">
            <v>1</v>
          </cell>
          <cell r="M3326" t="str">
            <v>UNID.</v>
          </cell>
          <cell r="N3326" t="str">
            <v>CISTERNA</v>
          </cell>
          <cell r="O3326">
            <v>63</v>
          </cell>
          <cell r="P3326" t="str">
            <v>M8</v>
          </cell>
          <cell r="Q3326" t="str">
            <v>J1</v>
          </cell>
          <cell r="R3326" t="str">
            <v>J5</v>
          </cell>
          <cell r="S3326" t="str">
            <v>PENDIENTE</v>
          </cell>
          <cell r="T3326">
            <v>0</v>
          </cell>
          <cell r="U3326" t="str">
            <v>VARILLAS GAGO  OSCAR ALBERTO</v>
          </cell>
          <cell r="V3326" t="str">
            <v>FLOREZ CONDORI  JOSE WILLIANS</v>
          </cell>
        </row>
        <row r="3327">
          <cell r="A3327">
            <v>3301</v>
          </cell>
          <cell r="B3327">
            <v>42727</v>
          </cell>
          <cell r="C3327" t="str">
            <v>DICIEMBRE</v>
          </cell>
          <cell r="D3327" t="str">
            <v>2016</v>
          </cell>
          <cell r="E3327">
            <v>650</v>
          </cell>
          <cell r="F3327" t="str">
            <v>D3P-730</v>
          </cell>
          <cell r="G3327" t="str">
            <v>TBM-980</v>
          </cell>
          <cell r="H3327" t="str">
            <v>LAS BAMBAS</v>
          </cell>
          <cell r="I3327">
            <v>109105</v>
          </cell>
          <cell r="J3327" t="str">
            <v>REPUESTO</v>
          </cell>
          <cell r="K3327" t="str">
            <v>GRASA MARFAK HEAVY DUTY 3B NLGI 3</v>
          </cell>
          <cell r="L3327">
            <v>15</v>
          </cell>
          <cell r="M3327" t="str">
            <v>KG.</v>
          </cell>
          <cell r="N3327" t="str">
            <v>CISTERNA</v>
          </cell>
          <cell r="O3327">
            <v>63</v>
          </cell>
          <cell r="P3327" t="str">
            <v>M8</v>
          </cell>
          <cell r="Q3327" t="str">
            <v>J1</v>
          </cell>
          <cell r="R3327" t="str">
            <v>J5</v>
          </cell>
          <cell r="S3327" t="str">
            <v>PENDIENTE</v>
          </cell>
          <cell r="T3327">
            <v>0</v>
          </cell>
          <cell r="U3327" t="str">
            <v>VARILLAS GAGO  OSCAR ALBERTO</v>
          </cell>
          <cell r="V3327" t="str">
            <v>FLOREZ CONDORI  JOSE WILLIANS</v>
          </cell>
        </row>
        <row r="3328">
          <cell r="A3328">
            <v>3302</v>
          </cell>
          <cell r="B3328">
            <v>42727</v>
          </cell>
          <cell r="C3328" t="str">
            <v>DICIEMBRE</v>
          </cell>
          <cell r="D3328" t="str">
            <v>2016</v>
          </cell>
          <cell r="E3328">
            <v>650</v>
          </cell>
          <cell r="F3328" t="str">
            <v>D3P-730</v>
          </cell>
          <cell r="G3328" t="str">
            <v>TBM-980</v>
          </cell>
          <cell r="H3328" t="str">
            <v>LAS BAMBAS</v>
          </cell>
          <cell r="I3328">
            <v>109105</v>
          </cell>
          <cell r="J3328" t="str">
            <v>REPUESTO</v>
          </cell>
          <cell r="K3328" t="str">
            <v>BOCINAS METALICAS PARA EJE EXCENTRICO (SEGÚN MUESTRA)</v>
          </cell>
          <cell r="L3328">
            <v>6</v>
          </cell>
          <cell r="M3328" t="str">
            <v>UNID.</v>
          </cell>
          <cell r="N3328" t="str">
            <v>CISTERNA</v>
          </cell>
          <cell r="O3328">
            <v>63</v>
          </cell>
          <cell r="P3328" t="str">
            <v>M8</v>
          </cell>
          <cell r="Q3328" t="str">
            <v>J1</v>
          </cell>
          <cell r="R3328" t="str">
            <v>J5</v>
          </cell>
          <cell r="S3328" t="str">
            <v>PENDIENTE</v>
          </cell>
          <cell r="T3328">
            <v>0</v>
          </cell>
          <cell r="U3328" t="str">
            <v>VARILLAS GAGO  OSCAR ALBERTO</v>
          </cell>
          <cell r="V3328" t="str">
            <v>FLOREZ CONDORI  JOSE WILLIANS</v>
          </cell>
        </row>
        <row r="3329">
          <cell r="A3329">
            <v>3303</v>
          </cell>
          <cell r="B3329">
            <v>42727</v>
          </cell>
          <cell r="C3329" t="str">
            <v>DICIEMBRE</v>
          </cell>
          <cell r="D3329" t="str">
            <v>2016</v>
          </cell>
          <cell r="E3329">
            <v>650</v>
          </cell>
          <cell r="F3329" t="str">
            <v>D3P-730</v>
          </cell>
          <cell r="G3329" t="str">
            <v>TBM-980</v>
          </cell>
          <cell r="H3329" t="str">
            <v>LAS BAMBAS</v>
          </cell>
          <cell r="I3329">
            <v>109105</v>
          </cell>
          <cell r="J3329" t="str">
            <v>REPUESTO</v>
          </cell>
          <cell r="K3329" t="str">
            <v xml:space="preserve">RETENES PARA BOCINA DE EJE EXCENTRICO </v>
          </cell>
          <cell r="L3329">
            <v>12</v>
          </cell>
          <cell r="M3329" t="str">
            <v>UNID.</v>
          </cell>
          <cell r="N3329" t="str">
            <v>CISTERNA</v>
          </cell>
          <cell r="O3329">
            <v>63</v>
          </cell>
          <cell r="P3329" t="str">
            <v>M8</v>
          </cell>
          <cell r="Q3329" t="str">
            <v>J1</v>
          </cell>
          <cell r="R3329" t="str">
            <v>J5</v>
          </cell>
          <cell r="S3329" t="str">
            <v>PENDIENTE</v>
          </cell>
          <cell r="T3329">
            <v>0</v>
          </cell>
          <cell r="U3329" t="str">
            <v>VARILLAS GAGO  OSCAR ALBERTO</v>
          </cell>
          <cell r="V3329" t="str">
            <v>FLOREZ CONDORI  JOSE WILLIANS</v>
          </cell>
        </row>
        <row r="3330">
          <cell r="A3330">
            <v>3304</v>
          </cell>
          <cell r="B3330">
            <v>42727</v>
          </cell>
          <cell r="C3330" t="str">
            <v>DICIEMBRE</v>
          </cell>
          <cell r="D3330" t="str">
            <v>2016</v>
          </cell>
          <cell r="E3330">
            <v>650</v>
          </cell>
          <cell r="F3330" t="str">
            <v>D3P-730</v>
          </cell>
          <cell r="G3330" t="str">
            <v>TBM-980</v>
          </cell>
          <cell r="H3330" t="str">
            <v>LAS BAMBAS</v>
          </cell>
          <cell r="I3330">
            <v>109105</v>
          </cell>
          <cell r="J3330" t="str">
            <v>REPUESTO</v>
          </cell>
          <cell r="K3330" t="str">
            <v>LAINAS DE EJE EXCENTRICO (SEGÚN MUESTRA)</v>
          </cell>
          <cell r="L3330">
            <v>12</v>
          </cell>
          <cell r="M3330" t="str">
            <v>UNID.</v>
          </cell>
          <cell r="N3330" t="str">
            <v>CISTERNA</v>
          </cell>
          <cell r="O3330">
            <v>63</v>
          </cell>
          <cell r="P3330" t="str">
            <v>M8</v>
          </cell>
          <cell r="Q3330" t="str">
            <v>J1</v>
          </cell>
          <cell r="R3330" t="str">
            <v>J5</v>
          </cell>
          <cell r="S3330" t="str">
            <v>PENDIENTE</v>
          </cell>
          <cell r="T3330">
            <v>0</v>
          </cell>
          <cell r="U3330" t="str">
            <v>VARILLAS GAGO  OSCAR ALBERTO</v>
          </cell>
          <cell r="V3330" t="str">
            <v>FLOREZ CONDORI  JOSE WILLIANS</v>
          </cell>
        </row>
        <row r="3331">
          <cell r="A3331">
            <v>3305</v>
          </cell>
          <cell r="B3331">
            <v>42727</v>
          </cell>
          <cell r="C3331" t="str">
            <v>DICIEMBRE</v>
          </cell>
          <cell r="D3331" t="str">
            <v>2016</v>
          </cell>
          <cell r="E3331">
            <v>650</v>
          </cell>
          <cell r="F3331" t="str">
            <v>D3P-730</v>
          </cell>
          <cell r="G3331" t="str">
            <v>TBM-980</v>
          </cell>
          <cell r="H3331" t="str">
            <v>LAS BAMBAS</v>
          </cell>
          <cell r="I3331">
            <v>109105</v>
          </cell>
          <cell r="J3331" t="str">
            <v>REPUESTO</v>
          </cell>
          <cell r="K3331" t="str">
            <v>SEGUROS EXTERIORES PARA EJE EXCENTRICO (SEGÚN MUESTRA)</v>
          </cell>
          <cell r="L3331">
            <v>6</v>
          </cell>
          <cell r="M3331" t="str">
            <v>UNID.</v>
          </cell>
          <cell r="N3331" t="str">
            <v>CISTERNA</v>
          </cell>
          <cell r="O3331">
            <v>63</v>
          </cell>
          <cell r="P3331" t="str">
            <v>M8</v>
          </cell>
          <cell r="Q3331" t="str">
            <v>J1</v>
          </cell>
          <cell r="R3331" t="str">
            <v>J5</v>
          </cell>
          <cell r="S3331" t="str">
            <v>PENDIENTE</v>
          </cell>
          <cell r="T3331">
            <v>0</v>
          </cell>
          <cell r="U3331" t="str">
            <v>VARILLAS GAGO  OSCAR ALBERTO</v>
          </cell>
          <cell r="V3331" t="str">
            <v>FLOREZ CONDORI  JOSE WILLIANS</v>
          </cell>
        </row>
        <row r="3332">
          <cell r="A3332">
            <v>3306</v>
          </cell>
          <cell r="B3332">
            <v>42727</v>
          </cell>
          <cell r="C3332" t="str">
            <v>DICIEMBRE</v>
          </cell>
          <cell r="D3332" t="str">
            <v>2016</v>
          </cell>
          <cell r="E3332">
            <v>650</v>
          </cell>
          <cell r="F3332" t="str">
            <v>D3P-730</v>
          </cell>
          <cell r="G3332" t="str">
            <v>TBM-980</v>
          </cell>
          <cell r="H3332" t="str">
            <v>LAS BAMBAS</v>
          </cell>
          <cell r="I3332">
            <v>109105</v>
          </cell>
          <cell r="J3332" t="str">
            <v>REPUESTO</v>
          </cell>
          <cell r="K3332" t="str">
            <v>JUEGO DE ZAPATA</v>
          </cell>
          <cell r="L3332">
            <v>3</v>
          </cell>
          <cell r="M3332" t="str">
            <v>JUEGO</v>
          </cell>
          <cell r="N3332" t="str">
            <v>CISTERNA</v>
          </cell>
          <cell r="O3332">
            <v>63</v>
          </cell>
          <cell r="P3332" t="str">
            <v>M8</v>
          </cell>
          <cell r="Q3332" t="str">
            <v>J1</v>
          </cell>
          <cell r="R3332" t="str">
            <v>J5</v>
          </cell>
          <cell r="S3332" t="str">
            <v>PENDIENTE</v>
          </cell>
          <cell r="T3332">
            <v>0</v>
          </cell>
          <cell r="U3332" t="str">
            <v>VARILLAS GAGO  OSCAR ALBERTO</v>
          </cell>
          <cell r="V3332" t="str">
            <v>FLOREZ CONDORI  JOSE WILLIANS</v>
          </cell>
        </row>
        <row r="3333">
          <cell r="A3333">
            <v>3307</v>
          </cell>
          <cell r="B3333">
            <v>42727</v>
          </cell>
          <cell r="C3333" t="str">
            <v>DICIEMBRE</v>
          </cell>
          <cell r="D3333" t="str">
            <v>2016</v>
          </cell>
          <cell r="E3333">
            <v>650</v>
          </cell>
          <cell r="F3333" t="str">
            <v>D3P-730</v>
          </cell>
          <cell r="G3333" t="str">
            <v>TBM-980</v>
          </cell>
          <cell r="H3333" t="str">
            <v>LAS BAMBAS</v>
          </cell>
          <cell r="I3333">
            <v>109105</v>
          </cell>
          <cell r="J3333" t="str">
            <v>REPUESTO</v>
          </cell>
          <cell r="K3333" t="str">
            <v>RESORTES GRANDES DE ZAPATAS</v>
          </cell>
          <cell r="L3333">
            <v>6</v>
          </cell>
          <cell r="M3333" t="str">
            <v>UNID.</v>
          </cell>
          <cell r="N3333" t="str">
            <v>CISTERNA</v>
          </cell>
          <cell r="O3333">
            <v>63</v>
          </cell>
          <cell r="P3333" t="str">
            <v>M8</v>
          </cell>
          <cell r="Q3333" t="str">
            <v>J1</v>
          </cell>
          <cell r="R3333" t="str">
            <v>J5</v>
          </cell>
          <cell r="S3333" t="str">
            <v>PENDIENTE</v>
          </cell>
          <cell r="T3333">
            <v>0</v>
          </cell>
          <cell r="U3333" t="str">
            <v>VARILLAS GAGO  OSCAR ALBERTO</v>
          </cell>
          <cell r="V3333" t="str">
            <v>FLOREZ CONDORI  JOSE WILLIANS</v>
          </cell>
        </row>
        <row r="3334">
          <cell r="A3334">
            <v>3308</v>
          </cell>
          <cell r="B3334">
            <v>42727</v>
          </cell>
          <cell r="C3334" t="str">
            <v>DICIEMBRE</v>
          </cell>
          <cell r="D3334" t="str">
            <v>2016</v>
          </cell>
          <cell r="E3334">
            <v>650</v>
          </cell>
          <cell r="F3334" t="str">
            <v>D3P-730</v>
          </cell>
          <cell r="G3334" t="str">
            <v>TBM-980</v>
          </cell>
          <cell r="H3334" t="str">
            <v>LAS BAMBAS</v>
          </cell>
          <cell r="I3334">
            <v>109105</v>
          </cell>
          <cell r="J3334" t="str">
            <v>REPUESTO</v>
          </cell>
          <cell r="K3334" t="str">
            <v>RESORTES CHICOS DE ZAPATAS</v>
          </cell>
          <cell r="L3334">
            <v>12</v>
          </cell>
          <cell r="M3334" t="str">
            <v>UNID.</v>
          </cell>
          <cell r="N3334" t="str">
            <v>CISTERNA</v>
          </cell>
          <cell r="O3334">
            <v>63</v>
          </cell>
          <cell r="P3334" t="str">
            <v>M8</v>
          </cell>
          <cell r="Q3334" t="str">
            <v>J1</v>
          </cell>
          <cell r="R3334" t="str">
            <v>J5</v>
          </cell>
          <cell r="S3334" t="str">
            <v>PENDIENTE</v>
          </cell>
          <cell r="T3334">
            <v>0</v>
          </cell>
          <cell r="U3334" t="str">
            <v>VARILLAS GAGO  OSCAR ALBERTO</v>
          </cell>
          <cell r="V3334" t="str">
            <v>FLOREZ CONDORI  JOSE WILLIANS</v>
          </cell>
        </row>
        <row r="3335">
          <cell r="A3335">
            <v>3332</v>
          </cell>
          <cell r="B3335">
            <v>42727</v>
          </cell>
          <cell r="C3335" t="str">
            <v>DICIEMBRE</v>
          </cell>
          <cell r="D3335" t="str">
            <v>2016</v>
          </cell>
          <cell r="E3335">
            <v>650</v>
          </cell>
          <cell r="F3335" t="str">
            <v>D3P-730</v>
          </cell>
          <cell r="G3335" t="str">
            <v>TBM-980</v>
          </cell>
          <cell r="H3335" t="str">
            <v>LAS BAMBAS</v>
          </cell>
          <cell r="I3335">
            <v>109105</v>
          </cell>
          <cell r="J3335" t="str">
            <v>REPUESTO</v>
          </cell>
          <cell r="K3335" t="str">
            <v>KIT DE VALVULA PULPO</v>
          </cell>
          <cell r="L3335">
            <v>1</v>
          </cell>
          <cell r="M3335" t="str">
            <v>UNID.</v>
          </cell>
          <cell r="N3335" t="str">
            <v>TRACTO</v>
          </cell>
          <cell r="O3335">
            <v>63</v>
          </cell>
          <cell r="P3335" t="str">
            <v>M8</v>
          </cell>
          <cell r="Q3335" t="str">
            <v>J1</v>
          </cell>
          <cell r="R3335" t="str">
            <v>J5</v>
          </cell>
          <cell r="S3335" t="str">
            <v>PENDIENTE</v>
          </cell>
          <cell r="T3335">
            <v>0</v>
          </cell>
          <cell r="U3335" t="str">
            <v>VARILLAS GAGO  OSCAR ALBERTO</v>
          </cell>
          <cell r="V3335" t="str">
            <v>FLOREZ CONDORI  JOSE WILLIANS</v>
          </cell>
        </row>
        <row r="3336">
          <cell r="A3336">
            <v>3362</v>
          </cell>
          <cell r="B3336">
            <v>42727</v>
          </cell>
          <cell r="C3336" t="str">
            <v>DICIEMBRE</v>
          </cell>
          <cell r="D3336" t="str">
            <v>2016</v>
          </cell>
          <cell r="E3336">
            <v>202</v>
          </cell>
          <cell r="F3336" t="str">
            <v>D3P-752</v>
          </cell>
          <cell r="G3336" t="str">
            <v>C5Y-985</v>
          </cell>
          <cell r="H3336" t="str">
            <v>LAS BAMBAS</v>
          </cell>
          <cell r="I3336">
            <v>150504</v>
          </cell>
          <cell r="J3336" t="str">
            <v>REPUESTO</v>
          </cell>
          <cell r="K3336" t="str">
            <v xml:space="preserve">LLANTAS REENCAUCHADAS BZY2 </v>
          </cell>
          <cell r="L3336">
            <v>8</v>
          </cell>
          <cell r="M3336" t="str">
            <v>UNID.</v>
          </cell>
          <cell r="N3336" t="str">
            <v>CISTERNA</v>
          </cell>
          <cell r="O3336">
            <v>63</v>
          </cell>
          <cell r="P3336" t="str">
            <v>N1</v>
          </cell>
          <cell r="Q3336" t="str">
            <v>J2</v>
          </cell>
          <cell r="R3336" t="str">
            <v>J5</v>
          </cell>
          <cell r="S3336" t="str">
            <v>PENDIENTE</v>
          </cell>
          <cell r="T3336">
            <v>0</v>
          </cell>
          <cell r="U3336" t="str">
            <v>AGUILAR CCANTUTA WILLY</v>
          </cell>
          <cell r="V3336" t="str">
            <v>CORIHUAMAN SURCO  ERICK ROBERT</v>
          </cell>
        </row>
        <row r="3337">
          <cell r="A3337">
            <v>3363</v>
          </cell>
          <cell r="B3337">
            <v>42727</v>
          </cell>
          <cell r="C3337" t="str">
            <v>DICIEMBRE</v>
          </cell>
          <cell r="D3337" t="str">
            <v>2016</v>
          </cell>
          <cell r="E3337">
            <v>202</v>
          </cell>
          <cell r="F3337" t="str">
            <v>D3P-752</v>
          </cell>
          <cell r="G3337" t="str">
            <v>C5Y-985</v>
          </cell>
          <cell r="H3337" t="str">
            <v>LAS BAMBAS</v>
          </cell>
          <cell r="I3337">
            <v>150504</v>
          </cell>
          <cell r="J3337" t="str">
            <v>REPUESTO</v>
          </cell>
          <cell r="K3337" t="str">
            <v>AROS R22.5</v>
          </cell>
          <cell r="L3337">
            <v>2</v>
          </cell>
          <cell r="M3337" t="str">
            <v>UNID.</v>
          </cell>
          <cell r="N3337" t="str">
            <v>CISTERNA</v>
          </cell>
          <cell r="O3337">
            <v>63</v>
          </cell>
          <cell r="P3337" t="str">
            <v>N1</v>
          </cell>
          <cell r="Q3337" t="str">
            <v>J2</v>
          </cell>
          <cell r="R3337" t="str">
            <v>J5</v>
          </cell>
          <cell r="S3337" t="str">
            <v>PENDIENTE</v>
          </cell>
          <cell r="T3337">
            <v>0</v>
          </cell>
          <cell r="U3337" t="str">
            <v>AGUILAR CCANTUTA WILLY</v>
          </cell>
          <cell r="V3337" t="str">
            <v>CORIHUAMAN SURCO  ERICK ROBERT</v>
          </cell>
        </row>
        <row r="3338">
          <cell r="A3338">
            <v>3364</v>
          </cell>
          <cell r="B3338">
            <v>42727</v>
          </cell>
          <cell r="C3338" t="str">
            <v>DICIEMBRE</v>
          </cell>
          <cell r="D3338" t="str">
            <v>2016</v>
          </cell>
          <cell r="E3338">
            <v>202</v>
          </cell>
          <cell r="F3338" t="str">
            <v>D3P-752</v>
          </cell>
          <cell r="G3338" t="str">
            <v>C5Y-985</v>
          </cell>
          <cell r="H3338" t="str">
            <v>LAS BAMBAS</v>
          </cell>
          <cell r="I3338">
            <v>150504</v>
          </cell>
          <cell r="J3338" t="str">
            <v>REPUESTO</v>
          </cell>
          <cell r="K3338" t="str">
            <v>VALVULAS DE PITON</v>
          </cell>
          <cell r="L3338">
            <v>8</v>
          </cell>
          <cell r="M3338" t="str">
            <v>UNID.</v>
          </cell>
          <cell r="N3338" t="str">
            <v>CISTERNA</v>
          </cell>
          <cell r="O3338">
            <v>63</v>
          </cell>
          <cell r="P3338" t="str">
            <v>N1</v>
          </cell>
          <cell r="Q3338" t="str">
            <v>J2</v>
          </cell>
          <cell r="R3338" t="str">
            <v>J5</v>
          </cell>
          <cell r="S3338" t="str">
            <v>PENDIENTE</v>
          </cell>
          <cell r="T3338">
            <v>0</v>
          </cell>
          <cell r="U3338" t="str">
            <v>AGUILAR CCANTUTA WILLY</v>
          </cell>
          <cell r="V3338" t="str">
            <v>CORIHUAMAN SURCO  ERICK ROBERT</v>
          </cell>
        </row>
        <row r="3339">
          <cell r="A3339">
            <v>3365</v>
          </cell>
          <cell r="B3339">
            <v>42727</v>
          </cell>
          <cell r="C3339" t="str">
            <v>DICIEMBRE</v>
          </cell>
          <cell r="D3339" t="str">
            <v>2016</v>
          </cell>
          <cell r="E3339">
            <v>202</v>
          </cell>
          <cell r="F3339" t="str">
            <v>D3P-752</v>
          </cell>
          <cell r="G3339" t="str">
            <v>C5Y-985</v>
          </cell>
          <cell r="H3339" t="str">
            <v>LAS BAMBAS</v>
          </cell>
          <cell r="I3339">
            <v>150504</v>
          </cell>
          <cell r="J3339" t="str">
            <v>REPUESTO</v>
          </cell>
          <cell r="K3339" t="str">
            <v>SPRAY BLANCO</v>
          </cell>
          <cell r="L3339">
            <v>1</v>
          </cell>
          <cell r="M3339" t="str">
            <v>UNID.</v>
          </cell>
          <cell r="N3339" t="str">
            <v>TALLER</v>
          </cell>
          <cell r="O3339">
            <v>63</v>
          </cell>
          <cell r="P3339" t="str">
            <v>N1</v>
          </cell>
          <cell r="Q3339" t="str">
            <v>J2</v>
          </cell>
          <cell r="R3339" t="str">
            <v>J5</v>
          </cell>
          <cell r="S3339" t="str">
            <v>PENDIENTE</v>
          </cell>
          <cell r="T3339">
            <v>0</v>
          </cell>
          <cell r="U3339" t="str">
            <v>AGUILAR CCANTUTA WILLY</v>
          </cell>
          <cell r="V3339" t="str">
            <v>CORIHUAMAN SURCO  ERICK ROBERT</v>
          </cell>
        </row>
        <row r="3340">
          <cell r="A3340">
            <v>3366</v>
          </cell>
          <cell r="B3340">
            <v>42727</v>
          </cell>
          <cell r="C3340" t="str">
            <v>DICIEMBRE</v>
          </cell>
          <cell r="D3340" t="str">
            <v>2016</v>
          </cell>
          <cell r="E3340">
            <v>202</v>
          </cell>
          <cell r="F3340" t="str">
            <v>D3P-752</v>
          </cell>
          <cell r="G3340" t="str">
            <v>C5Y-985</v>
          </cell>
          <cell r="H3340" t="str">
            <v>LAS BAMBAS</v>
          </cell>
          <cell r="I3340">
            <v>150504</v>
          </cell>
          <cell r="J3340" t="str">
            <v>REPUESTO</v>
          </cell>
          <cell r="K3340" t="str">
            <v>SPRAY ALUMINIO</v>
          </cell>
          <cell r="L3340">
            <v>1</v>
          </cell>
          <cell r="M3340" t="str">
            <v>UNID.</v>
          </cell>
          <cell r="N3340" t="str">
            <v>TALLER</v>
          </cell>
          <cell r="O3340">
            <v>63</v>
          </cell>
          <cell r="P3340" t="str">
            <v>N1</v>
          </cell>
          <cell r="Q3340" t="str">
            <v>J2</v>
          </cell>
          <cell r="R3340" t="str">
            <v>J5</v>
          </cell>
          <cell r="S3340" t="str">
            <v>PENDIENTE</v>
          </cell>
          <cell r="T3340">
            <v>0</v>
          </cell>
          <cell r="U3340" t="str">
            <v>AGUILAR CCANTUTA WILLY</v>
          </cell>
          <cell r="V3340" t="str">
            <v>CORIHUAMAN SURCO  ERICK ROBERT</v>
          </cell>
        </row>
        <row r="3341">
          <cell r="A3341">
            <v>3367</v>
          </cell>
          <cell r="B3341">
            <v>42727</v>
          </cell>
          <cell r="C3341" t="str">
            <v>DICIEMBRE</v>
          </cell>
          <cell r="D3341" t="str">
            <v>2016</v>
          </cell>
          <cell r="E3341">
            <v>202</v>
          </cell>
          <cell r="F3341" t="str">
            <v>D3P-752</v>
          </cell>
          <cell r="G3341" t="str">
            <v>C5Y-985</v>
          </cell>
          <cell r="H3341" t="str">
            <v>LAS BAMBAS</v>
          </cell>
          <cell r="I3341">
            <v>150504</v>
          </cell>
          <cell r="J3341" t="str">
            <v>REPUESTO</v>
          </cell>
          <cell r="K3341" t="str">
            <v>PLUMON INDELEBLE</v>
          </cell>
          <cell r="L3341">
            <v>1</v>
          </cell>
          <cell r="M3341" t="str">
            <v>UNID.</v>
          </cell>
          <cell r="N3341" t="str">
            <v>TALLER</v>
          </cell>
          <cell r="O3341">
            <v>63</v>
          </cell>
          <cell r="P3341" t="str">
            <v>N1</v>
          </cell>
          <cell r="Q3341" t="str">
            <v>J2</v>
          </cell>
          <cell r="R3341" t="str">
            <v>J5</v>
          </cell>
          <cell r="S3341" t="str">
            <v>PENDIENTE</v>
          </cell>
          <cell r="T3341">
            <v>0</v>
          </cell>
          <cell r="U3341" t="str">
            <v>AGUILAR CCANTUTA WILLY</v>
          </cell>
          <cell r="V3341" t="str">
            <v>CORIHUAMAN SURCO  ERICK ROBERT</v>
          </cell>
        </row>
        <row r="3342">
          <cell r="A3342">
            <v>3322</v>
          </cell>
          <cell r="B3342">
            <v>42727</v>
          </cell>
          <cell r="C3342" t="str">
            <v>DICIEMBRE</v>
          </cell>
          <cell r="D3342" t="str">
            <v>2016</v>
          </cell>
          <cell r="E3342">
            <v>660</v>
          </cell>
          <cell r="F3342" t="str">
            <v>D3P-754</v>
          </cell>
          <cell r="G3342" t="str">
            <v>C0V-971</v>
          </cell>
          <cell r="H3342" t="str">
            <v>LAS BAMBAS</v>
          </cell>
          <cell r="I3342">
            <v>164878</v>
          </cell>
          <cell r="J3342" t="str">
            <v>REPUESTO</v>
          </cell>
          <cell r="K3342" t="str">
            <v>FILTRO DE AIRE PRIMARIO</v>
          </cell>
          <cell r="L3342">
            <v>1</v>
          </cell>
          <cell r="M3342" t="str">
            <v>UNID.</v>
          </cell>
          <cell r="N3342" t="str">
            <v>TRACTO</v>
          </cell>
          <cell r="O3342">
            <v>63</v>
          </cell>
          <cell r="P3342" t="str">
            <v>J1</v>
          </cell>
          <cell r="Q3342" t="str">
            <v>J1</v>
          </cell>
          <cell r="R3342" t="str">
            <v>J5</v>
          </cell>
          <cell r="S3342" t="str">
            <v>PENDIENTE</v>
          </cell>
          <cell r="T3342">
            <v>0</v>
          </cell>
          <cell r="U3342" t="str">
            <v>FLOREZ CONDORI  JOSE WILLIANS</v>
          </cell>
          <cell r="V3342" t="str">
            <v>FLOREZ CONDORI  JOSE WILLIANS</v>
          </cell>
        </row>
        <row r="3343">
          <cell r="A3343">
            <v>3323</v>
          </cell>
          <cell r="B3343">
            <v>42727</v>
          </cell>
          <cell r="C3343" t="str">
            <v>DICIEMBRE</v>
          </cell>
          <cell r="D3343" t="str">
            <v>2016</v>
          </cell>
          <cell r="E3343">
            <v>660</v>
          </cell>
          <cell r="F3343" t="str">
            <v>D3P-754</v>
          </cell>
          <cell r="G3343" t="str">
            <v>C0V-971</v>
          </cell>
          <cell r="H3343" t="str">
            <v>LAS BAMBAS</v>
          </cell>
          <cell r="I3343">
            <v>164878</v>
          </cell>
          <cell r="J3343" t="str">
            <v>REPUESTO</v>
          </cell>
          <cell r="K3343" t="str">
            <v>ACEITE DE MOTOR 15W40</v>
          </cell>
          <cell r="L3343">
            <v>10</v>
          </cell>
          <cell r="M3343" t="str">
            <v>GLNS.</v>
          </cell>
          <cell r="N3343" t="str">
            <v>TRACTO</v>
          </cell>
          <cell r="O3343">
            <v>63</v>
          </cell>
          <cell r="P3343" t="str">
            <v>J1</v>
          </cell>
          <cell r="Q3343" t="str">
            <v>J1</v>
          </cell>
          <cell r="R3343" t="str">
            <v>J5</v>
          </cell>
          <cell r="S3343" t="str">
            <v>PENDIENTE</v>
          </cell>
          <cell r="T3343">
            <v>0</v>
          </cell>
          <cell r="U3343" t="str">
            <v>FLOREZ CONDORI  JOSE WILLIANS</v>
          </cell>
          <cell r="V3343" t="str">
            <v>FLOREZ CONDORI  JOSE WILLIANS</v>
          </cell>
        </row>
        <row r="3344">
          <cell r="A3344">
            <v>3324</v>
          </cell>
          <cell r="B3344">
            <v>42727</v>
          </cell>
          <cell r="C3344" t="str">
            <v>DICIEMBRE</v>
          </cell>
          <cell r="D3344" t="str">
            <v>2016</v>
          </cell>
          <cell r="E3344">
            <v>660</v>
          </cell>
          <cell r="F3344" t="str">
            <v>D3P-754</v>
          </cell>
          <cell r="G3344" t="str">
            <v>C0V-971</v>
          </cell>
          <cell r="H3344" t="str">
            <v>LAS BAMBAS</v>
          </cell>
          <cell r="I3344">
            <v>164878</v>
          </cell>
          <cell r="J3344" t="str">
            <v>REPUESTO</v>
          </cell>
          <cell r="K3344" t="str">
            <v>FILTRO DE COMBUSTIBLE</v>
          </cell>
          <cell r="L3344">
            <v>1</v>
          </cell>
          <cell r="M3344" t="str">
            <v>UNID.</v>
          </cell>
          <cell r="N3344" t="str">
            <v>TRACTO</v>
          </cell>
          <cell r="O3344">
            <v>63</v>
          </cell>
          <cell r="P3344" t="str">
            <v>J1</v>
          </cell>
          <cell r="Q3344" t="str">
            <v>J1</v>
          </cell>
          <cell r="R3344" t="str">
            <v>J5</v>
          </cell>
          <cell r="S3344" t="str">
            <v>PENDIENTE</v>
          </cell>
          <cell r="T3344">
            <v>0</v>
          </cell>
          <cell r="U3344" t="str">
            <v>FLOREZ CONDORI  JOSE WILLIANS</v>
          </cell>
          <cell r="V3344" t="str">
            <v>FLOREZ CONDORI  JOSE WILLIANS</v>
          </cell>
        </row>
        <row r="3345">
          <cell r="A3345">
            <v>3325</v>
          </cell>
          <cell r="B3345">
            <v>42727</v>
          </cell>
          <cell r="C3345" t="str">
            <v>DICIEMBRE</v>
          </cell>
          <cell r="D3345" t="str">
            <v>2016</v>
          </cell>
          <cell r="E3345">
            <v>660</v>
          </cell>
          <cell r="F3345" t="str">
            <v>D3P-754</v>
          </cell>
          <cell r="G3345" t="str">
            <v>C0V-971</v>
          </cell>
          <cell r="H3345" t="str">
            <v>LAS BAMBAS</v>
          </cell>
          <cell r="I3345">
            <v>164878</v>
          </cell>
          <cell r="J3345" t="str">
            <v>REPUESTO</v>
          </cell>
          <cell r="K3345" t="str">
            <v>FILTRO SEPARADOR DE AGUA</v>
          </cell>
          <cell r="L3345">
            <v>1</v>
          </cell>
          <cell r="M3345" t="str">
            <v>UNID.</v>
          </cell>
          <cell r="N3345" t="str">
            <v>TRACTO</v>
          </cell>
          <cell r="O3345">
            <v>63</v>
          </cell>
          <cell r="P3345" t="str">
            <v>J1</v>
          </cell>
          <cell r="Q3345" t="str">
            <v>J1</v>
          </cell>
          <cell r="R3345" t="str">
            <v>J5</v>
          </cell>
          <cell r="S3345" t="str">
            <v>PENDIENTE</v>
          </cell>
          <cell r="T3345">
            <v>0</v>
          </cell>
          <cell r="U3345" t="str">
            <v>FLOREZ CONDORI  JOSE WILLIANS</v>
          </cell>
          <cell r="V3345" t="str">
            <v>FLOREZ CONDORI  JOSE WILLIANS</v>
          </cell>
        </row>
        <row r="3346">
          <cell r="A3346">
            <v>3326</v>
          </cell>
          <cell r="B3346">
            <v>42727</v>
          </cell>
          <cell r="C3346" t="str">
            <v>DICIEMBRE</v>
          </cell>
          <cell r="D3346" t="str">
            <v>2016</v>
          </cell>
          <cell r="E3346">
            <v>660</v>
          </cell>
          <cell r="F3346" t="str">
            <v>D3P-754</v>
          </cell>
          <cell r="G3346" t="str">
            <v>C0V-971</v>
          </cell>
          <cell r="H3346" t="str">
            <v>LAS BAMBAS</v>
          </cell>
          <cell r="I3346">
            <v>164878</v>
          </cell>
          <cell r="J3346" t="str">
            <v>REPUESTO</v>
          </cell>
          <cell r="K3346" t="str">
            <v>FILTRO DE ACEITE</v>
          </cell>
          <cell r="L3346">
            <v>2</v>
          </cell>
          <cell r="M3346" t="str">
            <v>UNID.</v>
          </cell>
          <cell r="N3346" t="str">
            <v>TRACTO</v>
          </cell>
          <cell r="O3346">
            <v>63</v>
          </cell>
          <cell r="P3346" t="str">
            <v>J1</v>
          </cell>
          <cell r="Q3346" t="str">
            <v>J1</v>
          </cell>
          <cell r="R3346" t="str">
            <v>J5</v>
          </cell>
          <cell r="S3346" t="str">
            <v>PENDIENTE</v>
          </cell>
          <cell r="T3346">
            <v>0</v>
          </cell>
          <cell r="U3346" t="str">
            <v>FLOREZ CONDORI  JOSE WILLIANS</v>
          </cell>
          <cell r="V3346" t="str">
            <v>FLOREZ CONDORI  JOSE WILLIANS</v>
          </cell>
        </row>
        <row r="3347">
          <cell r="A3347">
            <v>3330</v>
          </cell>
          <cell r="B3347">
            <v>42727</v>
          </cell>
          <cell r="C3347" t="str">
            <v>DICIEMBRE</v>
          </cell>
          <cell r="D3347" t="str">
            <v>2016</v>
          </cell>
          <cell r="E3347">
            <v>660</v>
          </cell>
          <cell r="F3347" t="str">
            <v>D3P-754</v>
          </cell>
          <cell r="G3347" t="str">
            <v>C0V-971</v>
          </cell>
          <cell r="H3347" t="str">
            <v>LAS BAMBAS</v>
          </cell>
          <cell r="I3347">
            <v>164878</v>
          </cell>
          <cell r="J3347" t="str">
            <v>SERVICIO</v>
          </cell>
          <cell r="K3347" t="str">
            <v>REPARACION DE RADIADOR</v>
          </cell>
          <cell r="L3347">
            <v>1</v>
          </cell>
          <cell r="M3347" t="str">
            <v>UNID.</v>
          </cell>
          <cell r="N3347" t="str">
            <v>TRACTO</v>
          </cell>
          <cell r="O3347">
            <v>63</v>
          </cell>
          <cell r="P3347" t="str">
            <v>M2</v>
          </cell>
          <cell r="Q3347" t="str">
            <v>J1</v>
          </cell>
          <cell r="R3347" t="str">
            <v>J5</v>
          </cell>
          <cell r="S3347" t="str">
            <v>PENDIENTE</v>
          </cell>
          <cell r="T3347">
            <v>0</v>
          </cell>
          <cell r="U3347" t="str">
            <v>CHUMPITAZ GAGO JULIO ENRIQUE</v>
          </cell>
          <cell r="V3347" t="str">
            <v>FLOREZ CONDORI  JOSE WILLIANS</v>
          </cell>
        </row>
        <row r="3348">
          <cell r="A3348">
            <v>3331</v>
          </cell>
          <cell r="B3348">
            <v>42727</v>
          </cell>
          <cell r="C3348" t="str">
            <v>DICIEMBRE</v>
          </cell>
          <cell r="D3348" t="str">
            <v>2016</v>
          </cell>
          <cell r="E3348">
            <v>671</v>
          </cell>
          <cell r="F3348" t="str">
            <v>D3Q-741</v>
          </cell>
          <cell r="G3348" t="str">
            <v>D2E-976</v>
          </cell>
          <cell r="H3348" t="str">
            <v>LAS BAMBAS</v>
          </cell>
          <cell r="I3348">
            <v>165383</v>
          </cell>
          <cell r="J3348" t="str">
            <v>REPUESTO</v>
          </cell>
          <cell r="K3348" t="str">
            <v>TURBO COMPRESOR</v>
          </cell>
          <cell r="L3348">
            <v>1</v>
          </cell>
          <cell r="M3348" t="str">
            <v>UNID.</v>
          </cell>
          <cell r="N3348" t="str">
            <v>TRACTO</v>
          </cell>
          <cell r="O3348">
            <v>63</v>
          </cell>
          <cell r="P3348" t="str">
            <v>M8</v>
          </cell>
          <cell r="Q3348" t="str">
            <v>J1</v>
          </cell>
          <cell r="R3348" t="str">
            <v>J5</v>
          </cell>
          <cell r="S3348" t="str">
            <v>PENDIENTE</v>
          </cell>
          <cell r="T3348">
            <v>0</v>
          </cell>
          <cell r="U3348" t="str">
            <v>VARILLAS GAGO  OSCAR ALBERTO</v>
          </cell>
          <cell r="V3348" t="str">
            <v>FLOREZ CONDORI  JOSE WILLIANS</v>
          </cell>
        </row>
        <row r="3349">
          <cell r="A3349">
            <v>3294</v>
          </cell>
          <cell r="B3349">
            <v>42727</v>
          </cell>
          <cell r="C3349" t="str">
            <v>DICIEMBRE</v>
          </cell>
          <cell r="D3349" t="str">
            <v>2016</v>
          </cell>
          <cell r="E3349">
            <v>653</v>
          </cell>
          <cell r="F3349" t="str">
            <v>D4W-805</v>
          </cell>
          <cell r="G3349" t="str">
            <v>CAMIONETA</v>
          </cell>
          <cell r="H3349" t="str">
            <v>MANTENIMIENTO</v>
          </cell>
          <cell r="I3349">
            <v>0</v>
          </cell>
          <cell r="J3349" t="str">
            <v>REPUESTO</v>
          </cell>
          <cell r="K3349" t="str">
            <v>ESPARRAGOS DE RUEDA CON TUERCA</v>
          </cell>
          <cell r="L3349">
            <v>6</v>
          </cell>
          <cell r="M3349" t="str">
            <v>UNID.</v>
          </cell>
          <cell r="N3349" t="str">
            <v>CAMIONETA</v>
          </cell>
          <cell r="O3349">
            <v>63</v>
          </cell>
          <cell r="P3349" t="str">
            <v>N1</v>
          </cell>
          <cell r="Q3349" t="str">
            <v>J3</v>
          </cell>
          <cell r="R3349" t="str">
            <v>J6</v>
          </cell>
          <cell r="S3349" t="str">
            <v>PENDIENTE</v>
          </cell>
          <cell r="T3349">
            <v>0</v>
          </cell>
          <cell r="U3349" t="str">
            <v>AGUILAR CCANTUTA WILLY</v>
          </cell>
          <cell r="V3349" t="str">
            <v>CHURA PIZARRO ALBERTO</v>
          </cell>
        </row>
        <row r="3350">
          <cell r="A3350">
            <v>3338</v>
          </cell>
          <cell r="B3350">
            <v>42727</v>
          </cell>
          <cell r="C3350" t="str">
            <v>DICIEMBRE</v>
          </cell>
          <cell r="D3350" t="str">
            <v>2016</v>
          </cell>
          <cell r="E3350">
            <v>657</v>
          </cell>
          <cell r="F3350" t="str">
            <v>D6F-825</v>
          </cell>
          <cell r="G3350" t="str">
            <v>T2Y-992</v>
          </cell>
          <cell r="H3350" t="str">
            <v>LAS BAMBAS</v>
          </cell>
          <cell r="I3350">
            <v>187788</v>
          </cell>
          <cell r="J3350" t="str">
            <v>REPUESTO</v>
          </cell>
          <cell r="K3350" t="str">
            <v>TEE RAPIDA DE 1/4</v>
          </cell>
          <cell r="L3350">
            <v>1</v>
          </cell>
          <cell r="M3350" t="str">
            <v>UNID.</v>
          </cell>
          <cell r="N3350" t="str">
            <v>TRACTO</v>
          </cell>
          <cell r="O3350">
            <v>63</v>
          </cell>
          <cell r="P3350" t="str">
            <v>M8</v>
          </cell>
          <cell r="Q3350" t="str">
            <v>J1</v>
          </cell>
          <cell r="R3350" t="str">
            <v>J5</v>
          </cell>
          <cell r="S3350" t="str">
            <v>PENDIENTE</v>
          </cell>
          <cell r="T3350">
            <v>0</v>
          </cell>
          <cell r="U3350" t="str">
            <v>VARILLAS GAGO  OSCAR ALBERTO</v>
          </cell>
          <cell r="V3350" t="str">
            <v>FLOREZ CONDORI  JOSE WILLIANS</v>
          </cell>
        </row>
        <row r="3351">
          <cell r="A3351">
            <v>3320</v>
          </cell>
          <cell r="B3351">
            <v>42727</v>
          </cell>
          <cell r="C3351" t="str">
            <v>DICIEMBRE</v>
          </cell>
          <cell r="D3351" t="str">
            <v>2016</v>
          </cell>
          <cell r="E3351">
            <v>665</v>
          </cell>
          <cell r="F3351" t="str">
            <v>D6F-907</v>
          </cell>
          <cell r="G3351" t="str">
            <v>T2Y-979</v>
          </cell>
          <cell r="H3351" t="str">
            <v>LAS BAMBAS</v>
          </cell>
          <cell r="I3351">
            <v>202119</v>
          </cell>
          <cell r="J3351" t="str">
            <v>REPUESTO</v>
          </cell>
          <cell r="K3351" t="str">
            <v>LLANTAS NUEVAS</v>
          </cell>
          <cell r="L3351">
            <v>8</v>
          </cell>
          <cell r="M3351" t="str">
            <v>UNID.</v>
          </cell>
          <cell r="N3351" t="str">
            <v>TRACTO</v>
          </cell>
          <cell r="O3351">
            <v>63</v>
          </cell>
          <cell r="P3351" t="str">
            <v>N1</v>
          </cell>
          <cell r="Q3351" t="str">
            <v>J2</v>
          </cell>
          <cell r="R3351" t="str">
            <v>J6</v>
          </cell>
          <cell r="S3351" t="str">
            <v>PENDIENTE</v>
          </cell>
          <cell r="T3351">
            <v>0</v>
          </cell>
          <cell r="U3351" t="str">
            <v>AGUILAR CCANTUTA WILLY</v>
          </cell>
          <cell r="V3351" t="str">
            <v>CORIHUAMAN SURCO  ERICK ROBERT</v>
          </cell>
        </row>
        <row r="3352">
          <cell r="A3352">
            <v>3334</v>
          </cell>
          <cell r="B3352">
            <v>42727</v>
          </cell>
          <cell r="C3352" t="str">
            <v>DICIEMBRE</v>
          </cell>
          <cell r="D3352" t="str">
            <v>2016</v>
          </cell>
          <cell r="E3352">
            <v>665</v>
          </cell>
          <cell r="F3352" t="str">
            <v>D6F-907</v>
          </cell>
          <cell r="G3352" t="str">
            <v>T2Y-979</v>
          </cell>
          <cell r="H3352" t="str">
            <v>LAS BAMBAS</v>
          </cell>
          <cell r="I3352">
            <v>202119</v>
          </cell>
          <cell r="J3352" t="str">
            <v>REPUESTO</v>
          </cell>
          <cell r="K3352" t="str">
            <v>RELAY DE 12 V</v>
          </cell>
          <cell r="L3352">
            <v>1</v>
          </cell>
          <cell r="M3352" t="str">
            <v>UNID.</v>
          </cell>
          <cell r="N3352" t="str">
            <v>TRACTO</v>
          </cell>
          <cell r="O3352">
            <v>63</v>
          </cell>
          <cell r="P3352" t="str">
            <v>E2</v>
          </cell>
          <cell r="Q3352" t="str">
            <v>J1</v>
          </cell>
          <cell r="R3352" t="str">
            <v>J5</v>
          </cell>
          <cell r="S3352" t="str">
            <v>PENDIENTE</v>
          </cell>
          <cell r="T3352">
            <v>0</v>
          </cell>
          <cell r="U3352" t="str">
            <v>YUCA BELLIDO BORIS YERSY</v>
          </cell>
          <cell r="V3352" t="str">
            <v>FLOREZ CONDORI  JOSE WILLIANS</v>
          </cell>
        </row>
        <row r="3353">
          <cell r="A3353">
            <v>3335</v>
          </cell>
          <cell r="B3353">
            <v>42727</v>
          </cell>
          <cell r="C3353" t="str">
            <v>DICIEMBRE</v>
          </cell>
          <cell r="D3353" t="str">
            <v>2016</v>
          </cell>
          <cell r="E3353">
            <v>665</v>
          </cell>
          <cell r="F3353" t="str">
            <v>D6F-907</v>
          </cell>
          <cell r="G3353" t="str">
            <v>T2Y-979</v>
          </cell>
          <cell r="H3353" t="str">
            <v>LAS BAMBAS</v>
          </cell>
          <cell r="I3353">
            <v>202119</v>
          </cell>
          <cell r="J3353" t="str">
            <v>REPUESTO</v>
          </cell>
          <cell r="K3353" t="str">
            <v>PRECINTOS 300</v>
          </cell>
          <cell r="L3353">
            <v>20</v>
          </cell>
          <cell r="M3353" t="str">
            <v>UNID.</v>
          </cell>
          <cell r="N3353" t="str">
            <v>TRACTO</v>
          </cell>
          <cell r="O3353">
            <v>63</v>
          </cell>
          <cell r="P3353" t="str">
            <v>E2</v>
          </cell>
          <cell r="Q3353" t="str">
            <v>J1</v>
          </cell>
          <cell r="R3353" t="str">
            <v>J5</v>
          </cell>
          <cell r="S3353" t="str">
            <v>PENDIENTE</v>
          </cell>
          <cell r="T3353">
            <v>0</v>
          </cell>
          <cell r="U3353" t="str">
            <v>YUCA BELLIDO BORIS YERSY</v>
          </cell>
          <cell r="V3353" t="str">
            <v>FLOREZ CONDORI  JOSE WILLIANS</v>
          </cell>
        </row>
        <row r="3354">
          <cell r="A3354">
            <v>3296</v>
          </cell>
          <cell r="B3354">
            <v>42727</v>
          </cell>
          <cell r="C3354" t="str">
            <v>DICIEMBRE</v>
          </cell>
          <cell r="D3354" t="str">
            <v>2016</v>
          </cell>
          <cell r="E3354">
            <v>200</v>
          </cell>
          <cell r="F3354" t="str">
            <v>TALLER</v>
          </cell>
          <cell r="G3354" t="str">
            <v>TALLER</v>
          </cell>
          <cell r="H3354" t="str">
            <v>TALLER</v>
          </cell>
          <cell r="I3354" t="str">
            <v>TALLER</v>
          </cell>
          <cell r="J3354" t="str">
            <v>REPUESTO</v>
          </cell>
          <cell r="K3354" t="str">
            <v>DISCO DE CORTE 4" X 1/16</v>
          </cell>
          <cell r="L3354">
            <v>3</v>
          </cell>
          <cell r="M3354" t="str">
            <v>UNID.</v>
          </cell>
          <cell r="N3354" t="str">
            <v>TALLER</v>
          </cell>
          <cell r="O3354">
            <v>63</v>
          </cell>
          <cell r="P3354" t="str">
            <v>S3</v>
          </cell>
          <cell r="Q3354" t="str">
            <v>J1</v>
          </cell>
          <cell r="R3354" t="str">
            <v>J5</v>
          </cell>
          <cell r="S3354" t="str">
            <v>PENDIENTE</v>
          </cell>
          <cell r="T3354">
            <v>0</v>
          </cell>
          <cell r="U3354" t="str">
            <v>JIMENEZ MACHACA JAVIER</v>
          </cell>
          <cell r="V3354" t="str">
            <v>FLOREZ CONDORI  JOSE WILLIANS</v>
          </cell>
        </row>
        <row r="3355">
          <cell r="A3355">
            <v>3321</v>
          </cell>
          <cell r="B3355">
            <v>42727</v>
          </cell>
          <cell r="C3355" t="str">
            <v>DICIEMBRE</v>
          </cell>
          <cell r="D3355" t="str">
            <v>2016</v>
          </cell>
          <cell r="E3355">
            <v>200</v>
          </cell>
          <cell r="F3355" t="str">
            <v>TALLER</v>
          </cell>
          <cell r="G3355" t="str">
            <v>TALLER</v>
          </cell>
          <cell r="H3355" t="str">
            <v>TALLER</v>
          </cell>
          <cell r="I3355" t="str">
            <v>TALLER</v>
          </cell>
          <cell r="J3355" t="str">
            <v>REPUESTO</v>
          </cell>
          <cell r="K3355" t="str">
            <v>TRAPOS SUELTOS</v>
          </cell>
          <cell r="L3355">
            <v>1</v>
          </cell>
          <cell r="M3355" t="str">
            <v>KG.</v>
          </cell>
          <cell r="N3355" t="str">
            <v>TALLER</v>
          </cell>
          <cell r="O3355">
            <v>63</v>
          </cell>
          <cell r="P3355" t="str">
            <v>J1</v>
          </cell>
          <cell r="Q3355" t="str">
            <v>J1</v>
          </cell>
          <cell r="R3355" t="str">
            <v>J5</v>
          </cell>
          <cell r="S3355" t="str">
            <v>PENDIENTE</v>
          </cell>
          <cell r="T3355">
            <v>0</v>
          </cell>
          <cell r="U3355" t="str">
            <v>FLOREZ CONDORI  JOSE WILLIANS</v>
          </cell>
          <cell r="V3355" t="str">
            <v>FLOREZ CONDORI  JOSE WILLIANS</v>
          </cell>
        </row>
        <row r="3356">
          <cell r="A3356">
            <v>3327</v>
          </cell>
          <cell r="B3356">
            <v>42727</v>
          </cell>
          <cell r="C3356" t="str">
            <v>DICIEMBRE</v>
          </cell>
          <cell r="D3356" t="str">
            <v>2016</v>
          </cell>
          <cell r="E3356">
            <v>200</v>
          </cell>
          <cell r="F3356" t="str">
            <v>TALLER</v>
          </cell>
          <cell r="G3356" t="str">
            <v>TALLER</v>
          </cell>
          <cell r="H3356" t="str">
            <v>TALLER</v>
          </cell>
          <cell r="I3356" t="str">
            <v>TALLER</v>
          </cell>
          <cell r="J3356" t="str">
            <v>REPUESTO</v>
          </cell>
          <cell r="K3356" t="str">
            <v>PERNOS 3/8 X 1"</v>
          </cell>
          <cell r="L3356">
            <v>2</v>
          </cell>
          <cell r="M3356" t="str">
            <v>UNID.</v>
          </cell>
          <cell r="N3356" t="str">
            <v>TALLER</v>
          </cell>
          <cell r="O3356">
            <v>63</v>
          </cell>
          <cell r="P3356" t="str">
            <v>S1</v>
          </cell>
          <cell r="Q3356" t="str">
            <v>J1</v>
          </cell>
          <cell r="R3356" t="str">
            <v>J5</v>
          </cell>
          <cell r="S3356" t="str">
            <v>PENDIENTE</v>
          </cell>
          <cell r="T3356">
            <v>0</v>
          </cell>
          <cell r="U3356" t="str">
            <v>BAYONA CRUZ CRISTIAN ARMANDO</v>
          </cell>
          <cell r="V3356" t="str">
            <v>FLOREZ CONDORI  JOSE WILLIANS</v>
          </cell>
        </row>
        <row r="3357">
          <cell r="A3357">
            <v>3328</v>
          </cell>
          <cell r="B3357">
            <v>42727</v>
          </cell>
          <cell r="C3357" t="str">
            <v>DICIEMBRE</v>
          </cell>
          <cell r="D3357" t="str">
            <v>2016</v>
          </cell>
          <cell r="E3357">
            <v>200</v>
          </cell>
          <cell r="F3357" t="str">
            <v>TALLER</v>
          </cell>
          <cell r="G3357" t="str">
            <v>TALLER</v>
          </cell>
          <cell r="H3357" t="str">
            <v>TALLER</v>
          </cell>
          <cell r="I3357" t="str">
            <v>TALLER</v>
          </cell>
          <cell r="J3357" t="str">
            <v>REPUESTO</v>
          </cell>
          <cell r="K3357" t="str">
            <v>ARANDELA PLANA</v>
          </cell>
          <cell r="L3357">
            <v>4</v>
          </cell>
          <cell r="M3357" t="str">
            <v>UNID.</v>
          </cell>
          <cell r="N3357" t="str">
            <v>TALLER</v>
          </cell>
          <cell r="O3357">
            <v>63</v>
          </cell>
          <cell r="P3357" t="str">
            <v>S1</v>
          </cell>
          <cell r="Q3357" t="str">
            <v>J1</v>
          </cell>
          <cell r="R3357" t="str">
            <v>J5</v>
          </cell>
          <cell r="S3357" t="str">
            <v>PENDIENTE</v>
          </cell>
          <cell r="T3357">
            <v>0</v>
          </cell>
          <cell r="U3357" t="str">
            <v>BAYONA CRUZ CRISTIAN ARMANDO</v>
          </cell>
          <cell r="V3357" t="str">
            <v>FLOREZ CONDORI  JOSE WILLIANS</v>
          </cell>
        </row>
        <row r="3358">
          <cell r="A3358">
            <v>3329</v>
          </cell>
          <cell r="B3358">
            <v>42727</v>
          </cell>
          <cell r="C3358" t="str">
            <v>DICIEMBRE</v>
          </cell>
          <cell r="D3358" t="str">
            <v>2016</v>
          </cell>
          <cell r="E3358">
            <v>200</v>
          </cell>
          <cell r="F3358" t="str">
            <v>TALLER</v>
          </cell>
          <cell r="G3358" t="str">
            <v>TALLER</v>
          </cell>
          <cell r="H3358" t="str">
            <v>TALLER</v>
          </cell>
          <cell r="I3358" t="str">
            <v>TALLER</v>
          </cell>
          <cell r="J3358" t="str">
            <v>REPUESTO</v>
          </cell>
          <cell r="K3358" t="str">
            <v xml:space="preserve">TUERCA SEGURO </v>
          </cell>
          <cell r="L3358">
            <v>4</v>
          </cell>
          <cell r="M3358" t="str">
            <v>UNID.</v>
          </cell>
          <cell r="N3358" t="str">
            <v>TALLER</v>
          </cell>
          <cell r="O3358">
            <v>63</v>
          </cell>
          <cell r="P3358" t="str">
            <v>S1</v>
          </cell>
          <cell r="Q3358" t="str">
            <v>J1</v>
          </cell>
          <cell r="R3358" t="str">
            <v>J5</v>
          </cell>
          <cell r="S3358" t="str">
            <v>PENDIENTE</v>
          </cell>
          <cell r="T3358">
            <v>0</v>
          </cell>
          <cell r="U3358" t="str">
            <v>BAYONA CRUZ CRISTIAN ARMANDO</v>
          </cell>
          <cell r="V3358" t="str">
            <v>FLOREZ CONDORI  JOSE WILLIANS</v>
          </cell>
        </row>
        <row r="3359">
          <cell r="A3359">
            <v>3342</v>
          </cell>
          <cell r="B3359">
            <v>42727</v>
          </cell>
          <cell r="C3359" t="str">
            <v>DICIEMBRE</v>
          </cell>
          <cell r="D3359" t="str">
            <v>2016</v>
          </cell>
          <cell r="E3359">
            <v>200</v>
          </cell>
          <cell r="F3359" t="str">
            <v>TALLER</v>
          </cell>
          <cell r="G3359" t="str">
            <v>TALLER</v>
          </cell>
          <cell r="H3359" t="str">
            <v>TALLER</v>
          </cell>
          <cell r="I3359" t="str">
            <v>TALLER</v>
          </cell>
          <cell r="J3359" t="str">
            <v>REPUESTO</v>
          </cell>
          <cell r="K3359" t="str">
            <v>CINTA AISLANTE NEGRA</v>
          </cell>
          <cell r="L3359">
            <v>1</v>
          </cell>
          <cell r="M3359" t="str">
            <v>UNID.</v>
          </cell>
          <cell r="N3359" t="str">
            <v>TALLER</v>
          </cell>
          <cell r="O3359">
            <v>63</v>
          </cell>
          <cell r="P3359" t="str">
            <v>E3</v>
          </cell>
          <cell r="Q3359" t="str">
            <v>J1</v>
          </cell>
          <cell r="R3359" t="str">
            <v>J5</v>
          </cell>
          <cell r="S3359" t="str">
            <v>PENDIENTE</v>
          </cell>
          <cell r="T3359">
            <v>0</v>
          </cell>
          <cell r="U3359" t="str">
            <v>CONDORI CHURATA ALEX</v>
          </cell>
          <cell r="V3359" t="str">
            <v>FLOREZ CONDORI  JOSE WILLIANS</v>
          </cell>
        </row>
        <row r="3360">
          <cell r="A3360">
            <v>3347</v>
          </cell>
          <cell r="B3360">
            <v>42727</v>
          </cell>
          <cell r="C3360" t="str">
            <v>DICIEMBRE</v>
          </cell>
          <cell r="D3360" t="str">
            <v>2016</v>
          </cell>
          <cell r="E3360">
            <v>200</v>
          </cell>
          <cell r="F3360" t="str">
            <v>TALLER</v>
          </cell>
          <cell r="G3360" t="str">
            <v>TALLER</v>
          </cell>
          <cell r="H3360" t="str">
            <v>TALLER</v>
          </cell>
          <cell r="I3360" t="str">
            <v>TALLER</v>
          </cell>
          <cell r="J3360" t="str">
            <v>INSUMO TALLER</v>
          </cell>
          <cell r="K3360" t="str">
            <v>PRESIENTOS 300</v>
          </cell>
          <cell r="L3360">
            <v>10</v>
          </cell>
          <cell r="M3360" t="str">
            <v>UNID.</v>
          </cell>
          <cell r="N3360" t="str">
            <v>TALLER</v>
          </cell>
          <cell r="O3360">
            <v>63</v>
          </cell>
          <cell r="P3360" t="str">
            <v>E3</v>
          </cell>
          <cell r="Q3360" t="str">
            <v>J2</v>
          </cell>
          <cell r="R3360" t="str">
            <v>J6</v>
          </cell>
          <cell r="S3360" t="str">
            <v>PENDIENTE</v>
          </cell>
          <cell r="T3360">
            <v>0</v>
          </cell>
          <cell r="U3360" t="str">
            <v>CONDORI CHURATA ALEX</v>
          </cell>
          <cell r="V3360" t="str">
            <v>CORIHUAMAN SURCO  ERICK ROBERT</v>
          </cell>
        </row>
        <row r="3361">
          <cell r="A3361">
            <v>3356</v>
          </cell>
          <cell r="B3361">
            <v>42727</v>
          </cell>
          <cell r="C3361" t="str">
            <v>DICIEMBRE</v>
          </cell>
          <cell r="D3361" t="str">
            <v>2016</v>
          </cell>
          <cell r="E3361">
            <v>200</v>
          </cell>
          <cell r="F3361" t="str">
            <v>TALLER</v>
          </cell>
          <cell r="G3361" t="str">
            <v>TALLER</v>
          </cell>
          <cell r="H3361" t="str">
            <v>TALLER</v>
          </cell>
          <cell r="I3361" t="str">
            <v>TALLER</v>
          </cell>
          <cell r="J3361" t="str">
            <v>REPUESTO</v>
          </cell>
          <cell r="K3361" t="str">
            <v>CALAMINAS 3.60 (LARGO) X 80 (ANCHO) GALVANIZADA</v>
          </cell>
          <cell r="L3361">
            <v>3</v>
          </cell>
          <cell r="M3361" t="str">
            <v>UNID.</v>
          </cell>
          <cell r="N3361" t="str">
            <v>TALLER</v>
          </cell>
          <cell r="O3361">
            <v>63</v>
          </cell>
          <cell r="P3361" t="str">
            <v>S1</v>
          </cell>
          <cell r="Q3361" t="str">
            <v>J1</v>
          </cell>
          <cell r="R3361" t="str">
            <v>J5</v>
          </cell>
          <cell r="S3361" t="str">
            <v>PENDIENTE</v>
          </cell>
          <cell r="T3361">
            <v>0</v>
          </cell>
          <cell r="U3361" t="str">
            <v>BAYONA CRUZ CRISTIAN ARMANDO</v>
          </cell>
          <cell r="V3361" t="str">
            <v>FLOREZ CONDORI  JOSE WILLIANS</v>
          </cell>
        </row>
        <row r="3362">
          <cell r="A3362">
            <v>3361</v>
          </cell>
          <cell r="B3362">
            <v>42727</v>
          </cell>
          <cell r="C3362" t="str">
            <v>DICIEMBRE</v>
          </cell>
          <cell r="D3362" t="str">
            <v>2016</v>
          </cell>
          <cell r="E3362">
            <v>200</v>
          </cell>
          <cell r="F3362" t="str">
            <v>TALLER</v>
          </cell>
          <cell r="G3362" t="str">
            <v>TALLER</v>
          </cell>
          <cell r="H3362" t="str">
            <v>TALLER</v>
          </cell>
          <cell r="I3362" t="str">
            <v>TALLER</v>
          </cell>
          <cell r="J3362" t="str">
            <v>REPUESTO</v>
          </cell>
          <cell r="K3362" t="str">
            <v>DISCO DE CORTE 7"</v>
          </cell>
          <cell r="L3362">
            <v>2</v>
          </cell>
          <cell r="M3362" t="str">
            <v>UNID.</v>
          </cell>
          <cell r="N3362" t="str">
            <v>TALLER</v>
          </cell>
          <cell r="O3362">
            <v>63</v>
          </cell>
          <cell r="P3362" t="str">
            <v>S3</v>
          </cell>
          <cell r="Q3362" t="str">
            <v>J2</v>
          </cell>
          <cell r="R3362" t="str">
            <v>J5</v>
          </cell>
          <cell r="S3362" t="str">
            <v>PENDIENTE</v>
          </cell>
          <cell r="T3362">
            <v>0</v>
          </cell>
          <cell r="U3362" t="str">
            <v>JIMENEZ MACHACA JAVIER</v>
          </cell>
          <cell r="V3362" t="str">
            <v>CORIHUAMAN SURCO  ERICK ROBERT</v>
          </cell>
        </row>
        <row r="3363">
          <cell r="A3363">
            <v>3368</v>
          </cell>
          <cell r="B3363">
            <v>42727</v>
          </cell>
          <cell r="C3363" t="str">
            <v>DICIEMBRE</v>
          </cell>
          <cell r="D3363" t="str">
            <v>2016</v>
          </cell>
          <cell r="E3363">
            <v>200</v>
          </cell>
          <cell r="F3363" t="str">
            <v>TALLER</v>
          </cell>
          <cell r="G3363" t="str">
            <v>TALLER</v>
          </cell>
          <cell r="H3363" t="str">
            <v>TALLER</v>
          </cell>
          <cell r="I3363" t="str">
            <v>TALLER</v>
          </cell>
          <cell r="J3363" t="str">
            <v>REPUESTO</v>
          </cell>
          <cell r="K3363" t="str">
            <v>TORNILLO DE BANCO DE 10"</v>
          </cell>
          <cell r="L3363">
            <v>1</v>
          </cell>
          <cell r="M3363" t="str">
            <v>UNID.</v>
          </cell>
          <cell r="N3363" t="str">
            <v>TALLER</v>
          </cell>
          <cell r="O3363">
            <v>63</v>
          </cell>
          <cell r="P3363" t="str">
            <v>S1</v>
          </cell>
          <cell r="Q3363" t="str">
            <v>J2</v>
          </cell>
          <cell r="R3363" t="str">
            <v>J5</v>
          </cell>
          <cell r="S3363" t="str">
            <v>PENDIENTE</v>
          </cell>
          <cell r="T3363">
            <v>0</v>
          </cell>
          <cell r="U3363" t="str">
            <v>BAYONA CRUZ CRISTIAN ARMANDO</v>
          </cell>
          <cell r="V3363" t="str">
            <v>CORIHUAMAN SURCO  ERICK ROBERT</v>
          </cell>
        </row>
        <row r="3364">
          <cell r="A3364">
            <v>3370</v>
          </cell>
          <cell r="B3364">
            <v>42727</v>
          </cell>
          <cell r="C3364" t="str">
            <v>DICIEMBRE</v>
          </cell>
          <cell r="D3364" t="str">
            <v>2016</v>
          </cell>
          <cell r="E3364">
            <v>200</v>
          </cell>
          <cell r="F3364" t="str">
            <v>TALLER</v>
          </cell>
          <cell r="G3364" t="str">
            <v>TALLER</v>
          </cell>
          <cell r="H3364" t="str">
            <v>TALLER</v>
          </cell>
          <cell r="I3364" t="str">
            <v>TALLER</v>
          </cell>
          <cell r="J3364" t="str">
            <v>EPPS</v>
          </cell>
          <cell r="K3364" t="str">
            <v xml:space="preserve">MASCARA DE SOLDAR </v>
          </cell>
          <cell r="L3364">
            <v>3</v>
          </cell>
          <cell r="M3364" t="str">
            <v>UNID.</v>
          </cell>
          <cell r="N3364" t="str">
            <v>TALLER</v>
          </cell>
          <cell r="O3364">
            <v>63</v>
          </cell>
          <cell r="P3364" t="str">
            <v>S1</v>
          </cell>
          <cell r="Q3364" t="str">
            <v>J1</v>
          </cell>
          <cell r="R3364" t="str">
            <v>J5</v>
          </cell>
          <cell r="S3364" t="str">
            <v>PENDIENTE</v>
          </cell>
          <cell r="T3364">
            <v>0</v>
          </cell>
          <cell r="U3364" t="str">
            <v>BAYONA CRUZ CRISTIAN ARMANDO</v>
          </cell>
          <cell r="V3364" t="str">
            <v>FLOREZ CONDORI  JOSE WILLIANS</v>
          </cell>
        </row>
        <row r="3365">
          <cell r="A3365">
            <v>3371</v>
          </cell>
          <cell r="B3365">
            <v>42727</v>
          </cell>
          <cell r="C3365" t="str">
            <v>DICIEMBRE</v>
          </cell>
          <cell r="D3365" t="str">
            <v>2016</v>
          </cell>
          <cell r="E3365">
            <v>200</v>
          </cell>
          <cell r="F3365" t="str">
            <v>TALLER</v>
          </cell>
          <cell r="G3365" t="str">
            <v>TALLER</v>
          </cell>
          <cell r="H3365" t="str">
            <v>TALLER</v>
          </cell>
          <cell r="I3365" t="str">
            <v>TALLER</v>
          </cell>
          <cell r="J3365" t="str">
            <v>INSUMO TALLER</v>
          </cell>
          <cell r="K3365" t="str">
            <v>TUBO CUADRADO 1/2 X 1/2</v>
          </cell>
          <cell r="L3365">
            <v>16</v>
          </cell>
          <cell r="M3365" t="str">
            <v>UNID.</v>
          </cell>
          <cell r="N3365" t="str">
            <v>TALLER</v>
          </cell>
          <cell r="O3365">
            <v>63</v>
          </cell>
          <cell r="P3365" t="str">
            <v>S1</v>
          </cell>
          <cell r="Q3365" t="str">
            <v>J1</v>
          </cell>
          <cell r="R3365" t="str">
            <v>J5</v>
          </cell>
          <cell r="S3365" t="str">
            <v>PENDIENTE</v>
          </cell>
          <cell r="T3365">
            <v>0</v>
          </cell>
          <cell r="U3365" t="str">
            <v>BAYONA CRUZ CRISTIAN ARMANDO</v>
          </cell>
          <cell r="V3365" t="str">
            <v>FLOREZ CONDORI  JOSE WILLIANS</v>
          </cell>
        </row>
        <row r="3366">
          <cell r="A3366">
            <v>3372</v>
          </cell>
          <cell r="B3366">
            <v>42727</v>
          </cell>
          <cell r="C3366" t="str">
            <v>DICIEMBRE</v>
          </cell>
          <cell r="D3366" t="str">
            <v>2016</v>
          </cell>
          <cell r="E3366">
            <v>200</v>
          </cell>
          <cell r="F3366" t="str">
            <v>TALLER</v>
          </cell>
          <cell r="G3366" t="str">
            <v>TALLER</v>
          </cell>
          <cell r="H3366" t="str">
            <v>TALLER</v>
          </cell>
          <cell r="I3366" t="str">
            <v>TALLER</v>
          </cell>
          <cell r="J3366" t="str">
            <v>INSUMO TALLER</v>
          </cell>
          <cell r="K3366" t="str">
            <v>CALAMINAS 3.60 (LARGO) X 80 (ANCHO) GALVANIZADA</v>
          </cell>
          <cell r="L3366">
            <v>15</v>
          </cell>
          <cell r="M3366" t="str">
            <v>UNID.</v>
          </cell>
          <cell r="N3366" t="str">
            <v>TALLER</v>
          </cell>
          <cell r="O3366">
            <v>63</v>
          </cell>
          <cell r="P3366" t="str">
            <v>S1</v>
          </cell>
          <cell r="Q3366" t="str">
            <v>J1</v>
          </cell>
          <cell r="R3366" t="str">
            <v>J5</v>
          </cell>
          <cell r="S3366" t="str">
            <v>PENDIENTE</v>
          </cell>
          <cell r="T3366">
            <v>0</v>
          </cell>
          <cell r="U3366" t="str">
            <v>BAYONA CRUZ CRISTIAN ARMANDO</v>
          </cell>
          <cell r="V3366" t="str">
            <v>FLOREZ CONDORI  JOSE WILLIANS</v>
          </cell>
        </row>
        <row r="3367">
          <cell r="A3367">
            <v>3348</v>
          </cell>
          <cell r="B3367">
            <v>42727</v>
          </cell>
          <cell r="C3367" t="str">
            <v>DICIEMBRE</v>
          </cell>
          <cell r="D3367" t="str">
            <v>2016</v>
          </cell>
          <cell r="E3367">
            <v>672</v>
          </cell>
          <cell r="F3367" t="str">
            <v>X2W-791</v>
          </cell>
          <cell r="G3367" t="str">
            <v>C5V-989</v>
          </cell>
          <cell r="H3367" t="str">
            <v>LAS BAMBAS</v>
          </cell>
          <cell r="I3367">
            <v>148619</v>
          </cell>
          <cell r="J3367" t="str">
            <v>REPUESTO</v>
          </cell>
          <cell r="K3367" t="str">
            <v>FAROS PIRATAS</v>
          </cell>
          <cell r="L3367">
            <v>2</v>
          </cell>
          <cell r="M3367" t="str">
            <v>UNID.</v>
          </cell>
          <cell r="N3367" t="str">
            <v>TRACTO</v>
          </cell>
          <cell r="O3367">
            <v>63</v>
          </cell>
          <cell r="P3367" t="str">
            <v>E2</v>
          </cell>
          <cell r="Q3367" t="str">
            <v>J2</v>
          </cell>
          <cell r="R3367" t="str">
            <v>J6</v>
          </cell>
          <cell r="S3367" t="str">
            <v>PENDIENTE</v>
          </cell>
          <cell r="T3367">
            <v>0</v>
          </cell>
          <cell r="U3367" t="str">
            <v>YUCA BELLIDO BORIS YERSY</v>
          </cell>
          <cell r="V3367" t="str">
            <v>CORIHUAMAN SURCO  ERICK ROBERT</v>
          </cell>
        </row>
        <row r="3368">
          <cell r="A3368">
            <v>3349</v>
          </cell>
          <cell r="B3368">
            <v>42727</v>
          </cell>
          <cell r="C3368" t="str">
            <v>DICIEMBRE</v>
          </cell>
          <cell r="D3368" t="str">
            <v>2016</v>
          </cell>
          <cell r="E3368">
            <v>672</v>
          </cell>
          <cell r="F3368" t="str">
            <v>X2W-791</v>
          </cell>
          <cell r="G3368" t="str">
            <v>C5V-989</v>
          </cell>
          <cell r="H3368" t="str">
            <v>LAS BAMBAS</v>
          </cell>
          <cell r="I3368">
            <v>148619</v>
          </cell>
          <cell r="J3368" t="str">
            <v>REPUESTO</v>
          </cell>
          <cell r="K3368" t="str">
            <v>PERNOS 5/16 X 1 1/2"</v>
          </cell>
          <cell r="L3368">
            <v>2</v>
          </cell>
          <cell r="M3368" t="str">
            <v>UNID.</v>
          </cell>
          <cell r="N3368" t="str">
            <v>TRACTO</v>
          </cell>
          <cell r="O3368">
            <v>63</v>
          </cell>
          <cell r="P3368" t="str">
            <v>E2</v>
          </cell>
          <cell r="Q3368" t="str">
            <v>J2</v>
          </cell>
          <cell r="R3368" t="str">
            <v>J6</v>
          </cell>
          <cell r="S3368" t="str">
            <v>PENDIENTE</v>
          </cell>
          <cell r="T3368">
            <v>0</v>
          </cell>
          <cell r="U3368" t="str">
            <v>YUCA BELLIDO BORIS YERSY</v>
          </cell>
          <cell r="V3368" t="str">
            <v>CORIHUAMAN SURCO  ERICK ROBERT</v>
          </cell>
        </row>
        <row r="3369">
          <cell r="A3369">
            <v>3350</v>
          </cell>
          <cell r="B3369">
            <v>42727</v>
          </cell>
          <cell r="C3369" t="str">
            <v>DICIEMBRE</v>
          </cell>
          <cell r="D3369" t="str">
            <v>2016</v>
          </cell>
          <cell r="E3369">
            <v>672</v>
          </cell>
          <cell r="F3369" t="str">
            <v>X2W-791</v>
          </cell>
          <cell r="G3369" t="str">
            <v>C5V-989</v>
          </cell>
          <cell r="H3369" t="str">
            <v>LAS BAMBAS</v>
          </cell>
          <cell r="I3369">
            <v>148619</v>
          </cell>
          <cell r="J3369" t="str">
            <v>REPUESTO</v>
          </cell>
          <cell r="K3369" t="str">
            <v>TUERCAS 5/16</v>
          </cell>
          <cell r="L3369">
            <v>2</v>
          </cell>
          <cell r="M3369" t="str">
            <v>UNID.</v>
          </cell>
          <cell r="N3369" t="str">
            <v>TRACTO</v>
          </cell>
          <cell r="O3369">
            <v>63</v>
          </cell>
          <cell r="P3369" t="str">
            <v>E2</v>
          </cell>
          <cell r="Q3369" t="str">
            <v>J2</v>
          </cell>
          <cell r="R3369" t="str">
            <v>J6</v>
          </cell>
          <cell r="S3369" t="str">
            <v>PENDIENTE</v>
          </cell>
          <cell r="T3369">
            <v>0</v>
          </cell>
          <cell r="U3369" t="str">
            <v>YUCA BELLIDO BORIS YERSY</v>
          </cell>
          <cell r="V3369" t="str">
            <v>CORIHUAMAN SURCO  ERICK ROBERT</v>
          </cell>
        </row>
        <row r="3370">
          <cell r="A3370">
            <v>3351</v>
          </cell>
          <cell r="B3370">
            <v>42727</v>
          </cell>
          <cell r="C3370" t="str">
            <v>DICIEMBRE</v>
          </cell>
          <cell r="D3370" t="str">
            <v>2016</v>
          </cell>
          <cell r="E3370">
            <v>672</v>
          </cell>
          <cell r="F3370" t="str">
            <v>X2W-791</v>
          </cell>
          <cell r="G3370" t="str">
            <v>C5V-989</v>
          </cell>
          <cell r="H3370" t="str">
            <v>LAS BAMBAS</v>
          </cell>
          <cell r="I3370">
            <v>148619</v>
          </cell>
          <cell r="J3370" t="str">
            <v>REPUESTO</v>
          </cell>
          <cell r="K3370" t="str">
            <v>ARANDELAS 5/16</v>
          </cell>
          <cell r="L3370">
            <v>2</v>
          </cell>
          <cell r="M3370" t="str">
            <v>UNID.</v>
          </cell>
          <cell r="N3370" t="str">
            <v>TRACTO</v>
          </cell>
          <cell r="O3370">
            <v>63</v>
          </cell>
          <cell r="P3370" t="str">
            <v>E2</v>
          </cell>
          <cell r="Q3370" t="str">
            <v>J2</v>
          </cell>
          <cell r="R3370" t="str">
            <v>J6</v>
          </cell>
          <cell r="S3370" t="str">
            <v>PENDIENTE</v>
          </cell>
          <cell r="T3370">
            <v>0</v>
          </cell>
          <cell r="U3370" t="str">
            <v>YUCA BELLIDO BORIS YERSY</v>
          </cell>
          <cell r="V3370" t="str">
            <v>CORIHUAMAN SURCO  ERICK ROBERT</v>
          </cell>
        </row>
        <row r="3371">
          <cell r="A3371">
            <v>3352</v>
          </cell>
          <cell r="B3371">
            <v>42727</v>
          </cell>
          <cell r="C3371" t="str">
            <v>DICIEMBRE</v>
          </cell>
          <cell r="D3371" t="str">
            <v>2016</v>
          </cell>
          <cell r="E3371">
            <v>672</v>
          </cell>
          <cell r="F3371" t="str">
            <v>X2W-791</v>
          </cell>
          <cell r="G3371" t="str">
            <v>C5V-989</v>
          </cell>
          <cell r="H3371" t="str">
            <v>LAS BAMBAS</v>
          </cell>
          <cell r="I3371">
            <v>148619</v>
          </cell>
          <cell r="J3371" t="str">
            <v>REPUESTO</v>
          </cell>
          <cell r="K3371" t="str">
            <v>CABLE VULCANIZADO</v>
          </cell>
          <cell r="L3371">
            <v>1</v>
          </cell>
          <cell r="M3371" t="str">
            <v>M</v>
          </cell>
          <cell r="N3371" t="str">
            <v>TRACTO</v>
          </cell>
          <cell r="O3371">
            <v>63</v>
          </cell>
          <cell r="P3371" t="str">
            <v>E2</v>
          </cell>
          <cell r="Q3371" t="str">
            <v>J2</v>
          </cell>
          <cell r="R3371" t="str">
            <v>J6</v>
          </cell>
          <cell r="S3371" t="str">
            <v>PENDIENTE</v>
          </cell>
          <cell r="T3371">
            <v>0</v>
          </cell>
          <cell r="U3371" t="str">
            <v>YUCA BELLIDO BORIS YERSY</v>
          </cell>
          <cell r="V3371" t="str">
            <v>CORIHUAMAN SURCO  ERICK ROBERT</v>
          </cell>
        </row>
        <row r="3372">
          <cell r="A3372">
            <v>3353</v>
          </cell>
          <cell r="B3372">
            <v>42727</v>
          </cell>
          <cell r="C3372" t="str">
            <v>DICIEMBRE</v>
          </cell>
          <cell r="D3372" t="str">
            <v>2016</v>
          </cell>
          <cell r="E3372">
            <v>672</v>
          </cell>
          <cell r="F3372" t="str">
            <v>X2W-791</v>
          </cell>
          <cell r="G3372" t="str">
            <v>C5V-989</v>
          </cell>
          <cell r="H3372" t="str">
            <v>LAS BAMBAS</v>
          </cell>
          <cell r="I3372">
            <v>148619</v>
          </cell>
          <cell r="J3372" t="str">
            <v>REPUESTO</v>
          </cell>
          <cell r="K3372" t="str">
            <v xml:space="preserve">FILTRO DE AIRE MERCEDES BENZ </v>
          </cell>
          <cell r="L3372">
            <v>1</v>
          </cell>
          <cell r="M3372" t="str">
            <v>UNID.</v>
          </cell>
          <cell r="N3372" t="str">
            <v>TRACTO</v>
          </cell>
          <cell r="O3372">
            <v>63</v>
          </cell>
          <cell r="P3372" t="str">
            <v>M1</v>
          </cell>
          <cell r="Q3372" t="str">
            <v>J2</v>
          </cell>
          <cell r="R3372" t="str">
            <v>J5</v>
          </cell>
          <cell r="S3372" t="str">
            <v>PENDIENTE</v>
          </cell>
          <cell r="T3372">
            <v>0</v>
          </cell>
          <cell r="U3372" t="str">
            <v>CABEZAS SANCHEZ JEAN JHONATAN</v>
          </cell>
          <cell r="V3372" t="str">
            <v>CORIHUAMAN SURCO  ERICK ROBERT</v>
          </cell>
        </row>
        <row r="3373">
          <cell r="A3373">
            <v>3369</v>
          </cell>
          <cell r="B3373">
            <v>42728</v>
          </cell>
          <cell r="C3373" t="str">
            <v>DICIEMBRE</v>
          </cell>
          <cell r="D3373" t="str">
            <v>2016</v>
          </cell>
          <cell r="E3373">
            <v>530</v>
          </cell>
          <cell r="F3373" t="str">
            <v>C5R-892</v>
          </cell>
          <cell r="G3373" t="str">
            <v>A0T-983</v>
          </cell>
          <cell r="H3373" t="str">
            <v>LAS BAMBAS</v>
          </cell>
          <cell r="I3373">
            <v>226743</v>
          </cell>
          <cell r="J3373" t="str">
            <v>REPUESTO</v>
          </cell>
          <cell r="K3373" t="str">
            <v>TAPA DE SCULLY</v>
          </cell>
          <cell r="L3373">
            <v>1</v>
          </cell>
          <cell r="M3373" t="str">
            <v>UNID.</v>
          </cell>
          <cell r="N3373" t="str">
            <v>CISTERNA</v>
          </cell>
          <cell r="O3373">
            <v>62</v>
          </cell>
          <cell r="P3373" t="str">
            <v>E3</v>
          </cell>
          <cell r="Q3373" t="str">
            <v>J2</v>
          </cell>
          <cell r="R3373" t="str">
            <v>J5</v>
          </cell>
          <cell r="S3373" t="str">
            <v>PENDIENTE</v>
          </cell>
          <cell r="T3373">
            <v>0</v>
          </cell>
          <cell r="U3373" t="str">
            <v>CONDORI CHURATA ALEX</v>
          </cell>
          <cell r="V3373" t="str">
            <v>CORIHUAMAN SURCO  ERICK ROBERT</v>
          </cell>
        </row>
        <row r="3374">
          <cell r="A3374">
            <v>3375</v>
          </cell>
          <cell r="B3374">
            <v>42729</v>
          </cell>
          <cell r="C3374" t="str">
            <v>DICIEMBRE</v>
          </cell>
          <cell r="D3374" t="str">
            <v>2016</v>
          </cell>
          <cell r="E3374">
            <v>606</v>
          </cell>
          <cell r="F3374" t="str">
            <v>C5R-899</v>
          </cell>
          <cell r="G3374" t="str">
            <v>A0U-978</v>
          </cell>
          <cell r="H3374" t="str">
            <v>LAS BAMBAS</v>
          </cell>
          <cell r="I3374">
            <v>154986</v>
          </cell>
          <cell r="J3374" t="str">
            <v>REPUESTO</v>
          </cell>
          <cell r="K3374" t="str">
            <v>BOCINA (Dimensiones según Grafico)</v>
          </cell>
          <cell r="L3374">
            <v>1</v>
          </cell>
          <cell r="M3374" t="str">
            <v>UNID.</v>
          </cell>
          <cell r="N3374" t="str">
            <v>CISTERNA</v>
          </cell>
          <cell r="O3374">
            <v>61</v>
          </cell>
          <cell r="P3374" t="str">
            <v>S1</v>
          </cell>
          <cell r="Q3374" t="str">
            <v>J1</v>
          </cell>
          <cell r="R3374" t="str">
            <v>J1</v>
          </cell>
          <cell r="S3374" t="str">
            <v>PENDIENTE</v>
          </cell>
          <cell r="T3374">
            <v>0</v>
          </cell>
          <cell r="U3374" t="str">
            <v>BAYONA CRUZ CRISTIAN ARMANDO</v>
          </cell>
          <cell r="V3374" t="str">
            <v>FLOREZ CONDORI  JOSE WILLIANS</v>
          </cell>
        </row>
        <row r="3375">
          <cell r="A3375">
            <v>3376</v>
          </cell>
          <cell r="B3375">
            <v>42729</v>
          </cell>
          <cell r="C3375" t="str">
            <v>DICIEMBRE</v>
          </cell>
          <cell r="D3375" t="str">
            <v>2016</v>
          </cell>
          <cell r="E3375">
            <v>606</v>
          </cell>
          <cell r="F3375" t="str">
            <v>C5R-899</v>
          </cell>
          <cell r="G3375" t="str">
            <v>A0U-978</v>
          </cell>
          <cell r="H3375" t="str">
            <v>LAS BAMBAS</v>
          </cell>
          <cell r="I3375">
            <v>154986</v>
          </cell>
          <cell r="J3375" t="str">
            <v>REPUESTO</v>
          </cell>
          <cell r="K3375" t="str">
            <v>EJE (Dimensiones según Grafico)</v>
          </cell>
          <cell r="L3375">
            <v>1</v>
          </cell>
          <cell r="M3375" t="str">
            <v>UNID.</v>
          </cell>
          <cell r="N3375" t="str">
            <v>CISTERNA</v>
          </cell>
          <cell r="O3375">
            <v>61</v>
          </cell>
          <cell r="P3375" t="str">
            <v>S1</v>
          </cell>
          <cell r="Q3375" t="str">
            <v>J1</v>
          </cell>
          <cell r="R3375" t="str">
            <v>J1</v>
          </cell>
          <cell r="S3375" t="str">
            <v>PENDIENTE</v>
          </cell>
          <cell r="T3375">
            <v>0</v>
          </cell>
          <cell r="U3375" t="str">
            <v>BAYONA CRUZ CRISTIAN ARMANDO</v>
          </cell>
          <cell r="V3375" t="str">
            <v>FLOREZ CONDORI  JOSE WILLIANS</v>
          </cell>
        </row>
        <row r="3376">
          <cell r="A3376">
            <v>3377</v>
          </cell>
          <cell r="B3376">
            <v>42729</v>
          </cell>
          <cell r="C3376" t="str">
            <v>DICIEMBRE</v>
          </cell>
          <cell r="D3376" t="str">
            <v>2016</v>
          </cell>
          <cell r="E3376">
            <v>606</v>
          </cell>
          <cell r="F3376" t="str">
            <v>C5R-899</v>
          </cell>
          <cell r="G3376" t="str">
            <v>A0U-978</v>
          </cell>
          <cell r="H3376" t="str">
            <v>LAS BAMBAS</v>
          </cell>
          <cell r="I3376">
            <v>154986</v>
          </cell>
          <cell r="J3376" t="str">
            <v>REPUESTO</v>
          </cell>
          <cell r="K3376" t="str">
            <v>BOCINA (Dimensiones según Grafico)</v>
          </cell>
          <cell r="L3376">
            <v>2</v>
          </cell>
          <cell r="M3376" t="str">
            <v>UNID.</v>
          </cell>
          <cell r="N3376" t="str">
            <v>CISTERNA</v>
          </cell>
          <cell r="O3376">
            <v>61</v>
          </cell>
          <cell r="P3376" t="str">
            <v>S1</v>
          </cell>
          <cell r="Q3376" t="str">
            <v>J1</v>
          </cell>
          <cell r="R3376" t="str">
            <v>J1</v>
          </cell>
          <cell r="S3376" t="str">
            <v>PENDIENTE</v>
          </cell>
          <cell r="T3376">
            <v>0</v>
          </cell>
          <cell r="U3376" t="str">
            <v>BAYONA CRUZ CRISTIAN ARMANDO</v>
          </cell>
          <cell r="V3376" t="str">
            <v>FLOREZ CONDORI  JOSE WILLIANS</v>
          </cell>
        </row>
        <row r="3377">
          <cell r="A3377">
            <v>3373</v>
          </cell>
          <cell r="B3377">
            <v>42729</v>
          </cell>
          <cell r="C3377" t="str">
            <v>DICIEMBRE</v>
          </cell>
          <cell r="D3377" t="str">
            <v>2016</v>
          </cell>
          <cell r="E3377">
            <v>631</v>
          </cell>
          <cell r="F3377" t="str">
            <v>D3R-791</v>
          </cell>
          <cell r="G3377" t="str">
            <v>B1M-993</v>
          </cell>
          <cell r="H3377" t="str">
            <v>LAS BAMBAS</v>
          </cell>
          <cell r="I3377">
            <v>141416</v>
          </cell>
          <cell r="J3377" t="str">
            <v>REPUESTO</v>
          </cell>
          <cell r="K3377" t="str">
            <v>HOJA MADRE 44"X3 1/2 X 1/2</v>
          </cell>
          <cell r="L3377">
            <v>1</v>
          </cell>
          <cell r="M3377" t="str">
            <v>UNID.</v>
          </cell>
          <cell r="N3377" t="str">
            <v>CISTERNA</v>
          </cell>
          <cell r="O3377">
            <v>61</v>
          </cell>
          <cell r="P3377" t="str">
            <v>M8</v>
          </cell>
          <cell r="Q3377" t="str">
            <v>J1</v>
          </cell>
          <cell r="R3377" t="str">
            <v>J1</v>
          </cell>
          <cell r="S3377" t="str">
            <v>PENDIENTE</v>
          </cell>
          <cell r="T3377">
            <v>0</v>
          </cell>
          <cell r="U3377" t="str">
            <v>VARILLAS GAGO  OSCAR ALBERTO</v>
          </cell>
          <cell r="V3377" t="str">
            <v>FLOREZ CONDORI  JOSE WILLIANS</v>
          </cell>
        </row>
        <row r="3378">
          <cell r="A3378">
            <v>3374</v>
          </cell>
          <cell r="B3378">
            <v>42729</v>
          </cell>
          <cell r="C3378" t="str">
            <v>DICIEMBRE</v>
          </cell>
          <cell r="D3378" t="str">
            <v>2016</v>
          </cell>
          <cell r="E3378">
            <v>631</v>
          </cell>
          <cell r="F3378" t="str">
            <v>D3R-791</v>
          </cell>
          <cell r="G3378" t="str">
            <v>B1M-993</v>
          </cell>
          <cell r="H3378" t="str">
            <v>LAS BAMBAS</v>
          </cell>
          <cell r="I3378">
            <v>141416</v>
          </cell>
          <cell r="J3378" t="str">
            <v>REPUESTO</v>
          </cell>
          <cell r="K3378" t="str">
            <v>PERNO CENTRO 9/16X6" CON TUERCA</v>
          </cell>
          <cell r="L3378">
            <v>1</v>
          </cell>
          <cell r="M3378" t="str">
            <v>UNID.</v>
          </cell>
          <cell r="N3378" t="str">
            <v>CISTERNA</v>
          </cell>
          <cell r="O3378">
            <v>61</v>
          </cell>
          <cell r="P3378" t="str">
            <v>M8</v>
          </cell>
          <cell r="Q3378" t="str">
            <v>J1</v>
          </cell>
          <cell r="R3378" t="str">
            <v>J1</v>
          </cell>
          <cell r="S3378" t="str">
            <v>PENDIENTE</v>
          </cell>
          <cell r="T3378">
            <v>0</v>
          </cell>
          <cell r="U3378" t="str">
            <v>VARILLAS GAGO  OSCAR ALBERTO</v>
          </cell>
          <cell r="V3378" t="str">
            <v>FLOREZ CONDORI  JOSE WILLIANS</v>
          </cell>
        </row>
        <row r="3379">
          <cell r="A3379">
            <v>3446</v>
          </cell>
          <cell r="B3379">
            <v>42730</v>
          </cell>
          <cell r="C3379" t="str">
            <v>DICIEMBRE</v>
          </cell>
          <cell r="D3379" t="str">
            <v>2016</v>
          </cell>
          <cell r="E3379">
            <v>661</v>
          </cell>
          <cell r="F3379" t="str">
            <v>ABQ-704</v>
          </cell>
          <cell r="G3379" t="str">
            <v>TBB-995</v>
          </cell>
          <cell r="H3379" t="str">
            <v>LAS BAMBAS</v>
          </cell>
          <cell r="I3379">
            <v>112720</v>
          </cell>
          <cell r="J3379" t="str">
            <v>REPUESTO</v>
          </cell>
          <cell r="K3379" t="str">
            <v>LIQUIDO REFRIGERANTE</v>
          </cell>
          <cell r="L3379">
            <v>1</v>
          </cell>
          <cell r="M3379" t="str">
            <v>GLNS.</v>
          </cell>
          <cell r="N3379" t="str">
            <v>TRACTO</v>
          </cell>
          <cell r="O3379">
            <v>60</v>
          </cell>
          <cell r="P3379" t="str">
            <v>M8</v>
          </cell>
          <cell r="Q3379" t="str">
            <v>J1</v>
          </cell>
          <cell r="R3379" t="str">
            <v>J5</v>
          </cell>
          <cell r="S3379" t="str">
            <v>PENDIENTE</v>
          </cell>
          <cell r="T3379">
            <v>0</v>
          </cell>
          <cell r="U3379" t="str">
            <v>VARILLAS GAGO  OSCAR ALBERTO</v>
          </cell>
          <cell r="V3379" t="str">
            <v>FLOREZ CONDORI  JOSE WILLIANS</v>
          </cell>
        </row>
        <row r="3380">
          <cell r="A3380">
            <v>3428</v>
          </cell>
          <cell r="B3380">
            <v>42730</v>
          </cell>
          <cell r="C3380" t="str">
            <v>DICIEMBRE</v>
          </cell>
          <cell r="D3380" t="str">
            <v>2016</v>
          </cell>
          <cell r="E3380">
            <v>680</v>
          </cell>
          <cell r="F3380" t="str">
            <v>ABR-759</v>
          </cell>
          <cell r="G3380" t="str">
            <v>D0Z-995</v>
          </cell>
          <cell r="H3380" t="str">
            <v>LAS BAMBAS</v>
          </cell>
          <cell r="I3380">
            <v>114414</v>
          </cell>
          <cell r="J3380" t="str">
            <v>REPUESTO</v>
          </cell>
          <cell r="K3380" t="str">
            <v>LLANTAS REENCAUCHADAS IZY2</v>
          </cell>
          <cell r="L3380">
            <v>4</v>
          </cell>
          <cell r="M3380" t="str">
            <v>UNID.</v>
          </cell>
          <cell r="N3380" t="str">
            <v>CISTERNA</v>
          </cell>
          <cell r="O3380">
            <v>60</v>
          </cell>
          <cell r="P3380" t="str">
            <v>N2</v>
          </cell>
          <cell r="Q3380" t="str">
            <v>J3</v>
          </cell>
          <cell r="R3380" t="str">
            <v>J5</v>
          </cell>
          <cell r="S3380" t="str">
            <v>PENDIENTE</v>
          </cell>
          <cell r="T3380">
            <v>0</v>
          </cell>
          <cell r="U3380" t="str">
            <v>MAMANI LARICO  EDUARDO ALVARO</v>
          </cell>
          <cell r="V3380" t="str">
            <v>CHURA PIZARRO ALBERTO</v>
          </cell>
        </row>
        <row r="3381">
          <cell r="A3381">
            <v>3429</v>
          </cell>
          <cell r="B3381">
            <v>42730</v>
          </cell>
          <cell r="C3381" t="str">
            <v>DICIEMBRE</v>
          </cell>
          <cell r="D3381" t="str">
            <v>2016</v>
          </cell>
          <cell r="E3381">
            <v>680</v>
          </cell>
          <cell r="F3381" t="str">
            <v>ABR-759</v>
          </cell>
          <cell r="G3381" t="str">
            <v>D0Z-995</v>
          </cell>
          <cell r="H3381" t="str">
            <v>LAS BAMBAS</v>
          </cell>
          <cell r="I3381">
            <v>114414</v>
          </cell>
          <cell r="J3381" t="str">
            <v>REPUESTO</v>
          </cell>
          <cell r="K3381" t="str">
            <v xml:space="preserve">PITONES RECTOS </v>
          </cell>
          <cell r="L3381">
            <v>4</v>
          </cell>
          <cell r="M3381" t="str">
            <v>UNID.</v>
          </cell>
          <cell r="N3381" t="str">
            <v>CISTERNA</v>
          </cell>
          <cell r="O3381">
            <v>60</v>
          </cell>
          <cell r="P3381" t="str">
            <v>N2</v>
          </cell>
          <cell r="Q3381" t="str">
            <v>J3</v>
          </cell>
          <cell r="R3381" t="str">
            <v>J5</v>
          </cell>
          <cell r="S3381" t="str">
            <v>PENDIENTE</v>
          </cell>
          <cell r="T3381">
            <v>0</v>
          </cell>
          <cell r="U3381" t="str">
            <v>MAMANI LARICO  EDUARDO ALVARO</v>
          </cell>
          <cell r="V3381" t="str">
            <v>CHURA PIZARRO ALBERTO</v>
          </cell>
        </row>
        <row r="3382">
          <cell r="A3382">
            <v>3436</v>
          </cell>
          <cell r="B3382">
            <v>42730</v>
          </cell>
          <cell r="C3382" t="str">
            <v>DICIEMBRE</v>
          </cell>
          <cell r="D3382" t="str">
            <v>2016</v>
          </cell>
          <cell r="E3382">
            <v>652</v>
          </cell>
          <cell r="F3382" t="str">
            <v>ABS-700</v>
          </cell>
          <cell r="G3382" t="str">
            <v>TBC-971</v>
          </cell>
          <cell r="H3382" t="str">
            <v>LAS BAMBAS</v>
          </cell>
          <cell r="I3382">
            <v>102512</v>
          </cell>
          <cell r="J3382" t="str">
            <v>REPUESTO</v>
          </cell>
          <cell r="K3382" t="str">
            <v>SUPERCITO 1/8</v>
          </cell>
          <cell r="L3382">
            <v>0.5</v>
          </cell>
          <cell r="M3382" t="str">
            <v>KG.</v>
          </cell>
          <cell r="N3382" t="str">
            <v>CISTERNA</v>
          </cell>
          <cell r="O3382">
            <v>60</v>
          </cell>
          <cell r="P3382" t="str">
            <v>S1</v>
          </cell>
          <cell r="Q3382" t="str">
            <v>J2</v>
          </cell>
          <cell r="R3382" t="str">
            <v>J5</v>
          </cell>
          <cell r="S3382" t="str">
            <v>PENDIENTE</v>
          </cell>
          <cell r="T3382">
            <v>0</v>
          </cell>
          <cell r="U3382" t="str">
            <v>BAYONA CRUZ CRISTIAN ARMANDO</v>
          </cell>
          <cell r="V3382" t="str">
            <v>CORIHUAMAN SURCO  ERICK ROBERT</v>
          </cell>
        </row>
        <row r="3383">
          <cell r="A3383">
            <v>3445</v>
          </cell>
          <cell r="B3383">
            <v>42730</v>
          </cell>
          <cell r="C3383" t="str">
            <v>DICIEMBRE</v>
          </cell>
          <cell r="D3383" t="str">
            <v>2016</v>
          </cell>
          <cell r="E3383">
            <v>690</v>
          </cell>
          <cell r="F3383" t="str">
            <v>AEH-801</v>
          </cell>
          <cell r="G3383" t="str">
            <v>CAMIONETA</v>
          </cell>
          <cell r="H3383" t="str">
            <v>LAS BAMBAS</v>
          </cell>
          <cell r="I3383">
            <v>93447</v>
          </cell>
          <cell r="J3383" t="str">
            <v>REPUESTO</v>
          </cell>
          <cell r="K3383" t="str">
            <v>LIQUIDO LIMPIAPARABRISAS</v>
          </cell>
          <cell r="L3383">
            <v>1</v>
          </cell>
          <cell r="M3383" t="str">
            <v>GLNS.</v>
          </cell>
          <cell r="N3383" t="str">
            <v>TRACTO</v>
          </cell>
          <cell r="O3383">
            <v>60</v>
          </cell>
          <cell r="P3383" t="str">
            <v>M8</v>
          </cell>
          <cell r="Q3383" t="str">
            <v>J1</v>
          </cell>
          <cell r="R3383" t="str">
            <v>J5</v>
          </cell>
          <cell r="S3383" t="str">
            <v>PENDIENTE</v>
          </cell>
          <cell r="T3383">
            <v>0</v>
          </cell>
          <cell r="U3383" t="str">
            <v>VARILLAS GAGO  OSCAR ALBERTO</v>
          </cell>
          <cell r="V3383" t="str">
            <v>FLOREZ CONDORI  JOSE WILLIANS</v>
          </cell>
        </row>
        <row r="3384">
          <cell r="A3384">
            <v>3400</v>
          </cell>
          <cell r="B3384">
            <v>42730</v>
          </cell>
          <cell r="C3384" t="str">
            <v>DICIEMBRE</v>
          </cell>
          <cell r="D3384" t="str">
            <v>2016</v>
          </cell>
          <cell r="E3384">
            <v>597</v>
          </cell>
          <cell r="F3384" t="str">
            <v>AEJ-949</v>
          </cell>
          <cell r="G3384" t="str">
            <v>CAMIONETA</v>
          </cell>
          <cell r="H3384" t="str">
            <v>LAS BAMBAS</v>
          </cell>
          <cell r="I3384">
            <v>92385</v>
          </cell>
          <cell r="J3384" t="str">
            <v>REPUESTO</v>
          </cell>
          <cell r="K3384" t="str">
            <v>FILTRO DE ACEITE</v>
          </cell>
          <cell r="L3384">
            <v>1</v>
          </cell>
          <cell r="M3384" t="str">
            <v>UNID.</v>
          </cell>
          <cell r="N3384" t="str">
            <v>CAMIONETA</v>
          </cell>
          <cell r="O3384">
            <v>60</v>
          </cell>
          <cell r="P3384" t="str">
            <v>M6</v>
          </cell>
          <cell r="Q3384" t="str">
            <v>J1</v>
          </cell>
          <cell r="R3384" t="str">
            <v>J6</v>
          </cell>
          <cell r="S3384" t="str">
            <v>PENDIENTE</v>
          </cell>
          <cell r="T3384">
            <v>0</v>
          </cell>
          <cell r="U3384" t="str">
            <v>PARI VENTURA  EDSON ORLANDO</v>
          </cell>
          <cell r="V3384" t="str">
            <v>FLOREZ CONDORI  JOSE WILLIANS</v>
          </cell>
        </row>
        <row r="3385">
          <cell r="A3385">
            <v>3401</v>
          </cell>
          <cell r="B3385">
            <v>42730</v>
          </cell>
          <cell r="C3385" t="str">
            <v>DICIEMBRE</v>
          </cell>
          <cell r="D3385" t="str">
            <v>2016</v>
          </cell>
          <cell r="E3385">
            <v>597</v>
          </cell>
          <cell r="F3385" t="str">
            <v>AEJ-949</v>
          </cell>
          <cell r="G3385" t="str">
            <v>CAMIONETA</v>
          </cell>
          <cell r="H3385" t="str">
            <v>LAS BAMBAS</v>
          </cell>
          <cell r="I3385">
            <v>92385</v>
          </cell>
          <cell r="J3385" t="str">
            <v>REPUESTO</v>
          </cell>
          <cell r="K3385" t="str">
            <v>FILTRO DE COMBUSTIBLE</v>
          </cell>
          <cell r="L3385">
            <v>1</v>
          </cell>
          <cell r="M3385" t="str">
            <v>UNID.</v>
          </cell>
          <cell r="N3385" t="str">
            <v>CAMIONETA</v>
          </cell>
          <cell r="O3385">
            <v>60</v>
          </cell>
          <cell r="P3385" t="str">
            <v>M6</v>
          </cell>
          <cell r="Q3385" t="str">
            <v>J1</v>
          </cell>
          <cell r="R3385" t="str">
            <v>J6</v>
          </cell>
          <cell r="S3385" t="str">
            <v>PENDIENTE</v>
          </cell>
          <cell r="T3385">
            <v>0</v>
          </cell>
          <cell r="U3385" t="str">
            <v>PARI VENTURA  EDSON ORLANDO</v>
          </cell>
          <cell r="V3385" t="str">
            <v>FLOREZ CONDORI  JOSE WILLIANS</v>
          </cell>
        </row>
        <row r="3386">
          <cell r="A3386">
            <v>3402</v>
          </cell>
          <cell r="B3386">
            <v>42730</v>
          </cell>
          <cell r="C3386" t="str">
            <v>DICIEMBRE</v>
          </cell>
          <cell r="D3386" t="str">
            <v>2016</v>
          </cell>
          <cell r="E3386">
            <v>597</v>
          </cell>
          <cell r="F3386" t="str">
            <v>AEJ-949</v>
          </cell>
          <cell r="G3386" t="str">
            <v>CAMIONETA</v>
          </cell>
          <cell r="H3386" t="str">
            <v>LAS BAMBAS</v>
          </cell>
          <cell r="I3386">
            <v>92385</v>
          </cell>
          <cell r="J3386" t="str">
            <v>REPUESTO</v>
          </cell>
          <cell r="K3386" t="str">
            <v>FILTRO DE AIRE</v>
          </cell>
          <cell r="L3386">
            <v>1</v>
          </cell>
          <cell r="M3386" t="str">
            <v>UNID.</v>
          </cell>
          <cell r="N3386" t="str">
            <v>CAMIONETA</v>
          </cell>
          <cell r="O3386">
            <v>60</v>
          </cell>
          <cell r="P3386" t="str">
            <v>M6</v>
          </cell>
          <cell r="Q3386" t="str">
            <v>J1</v>
          </cell>
          <cell r="R3386" t="str">
            <v>J6</v>
          </cell>
          <cell r="S3386" t="str">
            <v>PENDIENTE</v>
          </cell>
          <cell r="T3386">
            <v>0</v>
          </cell>
          <cell r="U3386" t="str">
            <v>PARI VENTURA  EDSON ORLANDO</v>
          </cell>
          <cell r="V3386" t="str">
            <v>FLOREZ CONDORI  JOSE WILLIANS</v>
          </cell>
        </row>
        <row r="3387">
          <cell r="A3387">
            <v>3403</v>
          </cell>
          <cell r="B3387">
            <v>42730</v>
          </cell>
          <cell r="C3387" t="str">
            <v>DICIEMBRE</v>
          </cell>
          <cell r="D3387" t="str">
            <v>2016</v>
          </cell>
          <cell r="E3387">
            <v>597</v>
          </cell>
          <cell r="F3387" t="str">
            <v>AEJ-949</v>
          </cell>
          <cell r="G3387" t="str">
            <v>CAMIONETA</v>
          </cell>
          <cell r="H3387" t="str">
            <v>LAS BAMBAS</v>
          </cell>
          <cell r="I3387">
            <v>92385</v>
          </cell>
          <cell r="J3387" t="str">
            <v>REPUESTO</v>
          </cell>
          <cell r="K3387" t="str">
            <v>ACEITE 15W40</v>
          </cell>
          <cell r="L3387">
            <v>2</v>
          </cell>
          <cell r="M3387" t="str">
            <v>GLNS.</v>
          </cell>
          <cell r="N3387" t="str">
            <v>CAMIONETA</v>
          </cell>
          <cell r="O3387">
            <v>60</v>
          </cell>
          <cell r="P3387" t="str">
            <v>M6</v>
          </cell>
          <cell r="Q3387" t="str">
            <v>J1</v>
          </cell>
          <cell r="R3387" t="str">
            <v>J6</v>
          </cell>
          <cell r="S3387" t="str">
            <v>PENDIENTE</v>
          </cell>
          <cell r="T3387">
            <v>0</v>
          </cell>
          <cell r="U3387" t="str">
            <v>PARI VENTURA  EDSON ORLANDO</v>
          </cell>
          <cell r="V3387" t="str">
            <v>FLOREZ CONDORI  JOSE WILLIANS</v>
          </cell>
        </row>
        <row r="3388">
          <cell r="A3388">
            <v>3430</v>
          </cell>
          <cell r="B3388">
            <v>42730</v>
          </cell>
          <cell r="C3388" t="str">
            <v>DICIEMBRE</v>
          </cell>
          <cell r="D3388" t="str">
            <v>2016</v>
          </cell>
          <cell r="E3388">
            <v>633</v>
          </cell>
          <cell r="F3388" t="str">
            <v>AKX-805</v>
          </cell>
          <cell r="G3388" t="str">
            <v>F5Z-985</v>
          </cell>
          <cell r="H3388" t="str">
            <v>LAS BAMBAS</v>
          </cell>
          <cell r="I3388">
            <v>37238</v>
          </cell>
          <cell r="J3388" t="str">
            <v>REPUESTO</v>
          </cell>
          <cell r="K3388" t="str">
            <v xml:space="preserve">BATERIAS </v>
          </cell>
          <cell r="L3388">
            <v>3</v>
          </cell>
          <cell r="M3388" t="str">
            <v>UNID.</v>
          </cell>
          <cell r="N3388" t="str">
            <v>TRACTO</v>
          </cell>
          <cell r="O3388">
            <v>60</v>
          </cell>
          <cell r="P3388" t="str">
            <v>E1</v>
          </cell>
          <cell r="Q3388" t="str">
            <v>J2</v>
          </cell>
          <cell r="R3388" t="str">
            <v>J5</v>
          </cell>
          <cell r="S3388" t="str">
            <v>PENDIENTE</v>
          </cell>
          <cell r="T3388">
            <v>0</v>
          </cell>
          <cell r="U3388" t="str">
            <v>PALOMINO CARDENAS JUAN CARLOS</v>
          </cell>
          <cell r="V3388" t="str">
            <v>CORIHUAMAN SURCO  ERICK ROBERT</v>
          </cell>
        </row>
        <row r="3389">
          <cell r="A3389">
            <v>3414</v>
          </cell>
          <cell r="B3389">
            <v>42730</v>
          </cell>
          <cell r="C3389" t="str">
            <v>DICIEMBRE</v>
          </cell>
          <cell r="D3389" t="str">
            <v>2016</v>
          </cell>
          <cell r="E3389">
            <v>681</v>
          </cell>
          <cell r="F3389" t="str">
            <v>C5R-899</v>
          </cell>
          <cell r="G3389" t="str">
            <v>A0U-978</v>
          </cell>
          <cell r="H3389" t="str">
            <v>LAS BAMBAS</v>
          </cell>
          <cell r="I3389">
            <v>256482</v>
          </cell>
          <cell r="J3389" t="str">
            <v>REPUESTO</v>
          </cell>
          <cell r="K3389" t="str">
            <v>LIQUIDO REFRIGERANTE</v>
          </cell>
          <cell r="L3389">
            <v>1</v>
          </cell>
          <cell r="M3389" t="str">
            <v>GLNS.</v>
          </cell>
          <cell r="N3389" t="str">
            <v>TRACTO</v>
          </cell>
          <cell r="O3389">
            <v>60</v>
          </cell>
          <cell r="P3389" t="str">
            <v>M8</v>
          </cell>
          <cell r="Q3389" t="str">
            <v>J2</v>
          </cell>
          <cell r="R3389" t="str">
            <v>J5</v>
          </cell>
          <cell r="S3389" t="str">
            <v>PENDIENTE</v>
          </cell>
          <cell r="T3389">
            <v>0</v>
          </cell>
          <cell r="U3389" t="str">
            <v>VARILLAS GAGO  OSCAR ALBERTO</v>
          </cell>
          <cell r="V3389" t="str">
            <v>CORIHUAMAN SURCO  ERICK ROBERT</v>
          </cell>
        </row>
        <row r="3390">
          <cell r="A3390">
            <v>3386</v>
          </cell>
          <cell r="B3390">
            <v>42730</v>
          </cell>
          <cell r="C3390" t="str">
            <v>DICIEMBRE</v>
          </cell>
          <cell r="D3390" t="str">
            <v>2016</v>
          </cell>
          <cell r="E3390">
            <v>675</v>
          </cell>
          <cell r="F3390" t="str">
            <v>C9P-948</v>
          </cell>
          <cell r="G3390" t="str">
            <v>B4O-995</v>
          </cell>
          <cell r="H3390" t="str">
            <v>LAS BAMBAS</v>
          </cell>
          <cell r="I3390">
            <v>158571</v>
          </cell>
          <cell r="J3390" t="str">
            <v>REPUESTO</v>
          </cell>
          <cell r="K3390" t="str">
            <v>PERNO 3/8 X 2</v>
          </cell>
          <cell r="L3390">
            <v>2</v>
          </cell>
          <cell r="M3390" t="str">
            <v>UNID.</v>
          </cell>
          <cell r="N3390" t="str">
            <v>CISTERNA</v>
          </cell>
          <cell r="O3390">
            <v>60</v>
          </cell>
          <cell r="P3390" t="str">
            <v>S1</v>
          </cell>
          <cell r="Q3390" t="str">
            <v>J2</v>
          </cell>
          <cell r="R3390" t="str">
            <v>J6</v>
          </cell>
          <cell r="S3390" t="str">
            <v>PENDIENTE</v>
          </cell>
          <cell r="T3390">
            <v>0</v>
          </cell>
          <cell r="U3390" t="str">
            <v>BAYONA CRUZ CRISTIAN ARMANDO</v>
          </cell>
          <cell r="V3390" t="str">
            <v>CORIHUAMAN SURCO  ERICK ROBERT</v>
          </cell>
        </row>
        <row r="3391">
          <cell r="A3391">
            <v>3387</v>
          </cell>
          <cell r="B3391">
            <v>42730</v>
          </cell>
          <cell r="C3391" t="str">
            <v>DICIEMBRE</v>
          </cell>
          <cell r="D3391" t="str">
            <v>2016</v>
          </cell>
          <cell r="E3391">
            <v>675</v>
          </cell>
          <cell r="F3391" t="str">
            <v>C9P-948</v>
          </cell>
          <cell r="G3391" t="str">
            <v>B4O-995</v>
          </cell>
          <cell r="H3391" t="str">
            <v>LAS BAMBAS</v>
          </cell>
          <cell r="I3391">
            <v>158571</v>
          </cell>
          <cell r="J3391" t="str">
            <v>REPUESTO</v>
          </cell>
          <cell r="K3391" t="str">
            <v>TUERCA 9/16</v>
          </cell>
          <cell r="L3391">
            <v>4</v>
          </cell>
          <cell r="M3391" t="str">
            <v>UNID.</v>
          </cell>
          <cell r="N3391" t="str">
            <v>CISTERNA</v>
          </cell>
          <cell r="O3391">
            <v>60</v>
          </cell>
          <cell r="P3391" t="str">
            <v>S1</v>
          </cell>
          <cell r="Q3391" t="str">
            <v>J2</v>
          </cell>
          <cell r="R3391" t="str">
            <v>J6</v>
          </cell>
          <cell r="S3391" t="str">
            <v>PENDIENTE</v>
          </cell>
          <cell r="T3391">
            <v>0</v>
          </cell>
          <cell r="U3391" t="str">
            <v>BAYONA CRUZ CRISTIAN ARMANDO</v>
          </cell>
          <cell r="V3391" t="str">
            <v>CORIHUAMAN SURCO  ERICK ROBERT</v>
          </cell>
        </row>
        <row r="3392">
          <cell r="A3392">
            <v>3388</v>
          </cell>
          <cell r="B3392">
            <v>42730</v>
          </cell>
          <cell r="C3392" t="str">
            <v>DICIEMBRE</v>
          </cell>
          <cell r="D3392" t="str">
            <v>2016</v>
          </cell>
          <cell r="E3392">
            <v>675</v>
          </cell>
          <cell r="F3392" t="str">
            <v>C9P-948</v>
          </cell>
          <cell r="G3392" t="str">
            <v>B4O-995</v>
          </cell>
          <cell r="H3392" t="str">
            <v>LAS BAMBAS</v>
          </cell>
          <cell r="I3392">
            <v>158571</v>
          </cell>
          <cell r="J3392" t="str">
            <v>REPUESTO</v>
          </cell>
          <cell r="K3392" t="str">
            <v>PERNO 3/8 X 1 1/2</v>
          </cell>
          <cell r="L3392">
            <v>2</v>
          </cell>
          <cell r="M3392" t="str">
            <v>UNID.</v>
          </cell>
          <cell r="N3392" t="str">
            <v>CISTERNA</v>
          </cell>
          <cell r="O3392">
            <v>60</v>
          </cell>
          <cell r="P3392" t="str">
            <v>S1</v>
          </cell>
          <cell r="Q3392" t="str">
            <v>J2</v>
          </cell>
          <cell r="R3392" t="str">
            <v>J6</v>
          </cell>
          <cell r="S3392" t="str">
            <v>PENDIENTE</v>
          </cell>
          <cell r="T3392">
            <v>0</v>
          </cell>
          <cell r="U3392" t="str">
            <v>BAYONA CRUZ CRISTIAN ARMANDO</v>
          </cell>
          <cell r="V3392" t="str">
            <v>CORIHUAMAN SURCO  ERICK ROBERT</v>
          </cell>
        </row>
        <row r="3393">
          <cell r="A3393">
            <v>3389</v>
          </cell>
          <cell r="B3393">
            <v>42730</v>
          </cell>
          <cell r="C3393" t="str">
            <v>DICIEMBRE</v>
          </cell>
          <cell r="D3393" t="str">
            <v>2016</v>
          </cell>
          <cell r="E3393">
            <v>675</v>
          </cell>
          <cell r="F3393" t="str">
            <v>C9P-948</v>
          </cell>
          <cell r="G3393" t="str">
            <v>B4O-995</v>
          </cell>
          <cell r="H3393" t="str">
            <v>LAS BAMBAS</v>
          </cell>
          <cell r="I3393">
            <v>158571</v>
          </cell>
          <cell r="J3393" t="str">
            <v>REPUESTO</v>
          </cell>
          <cell r="K3393" t="str">
            <v>TUERCA 3/8</v>
          </cell>
          <cell r="L3393">
            <v>2</v>
          </cell>
          <cell r="M3393" t="str">
            <v>UNID.</v>
          </cell>
          <cell r="N3393" t="str">
            <v>CISTERNA</v>
          </cell>
          <cell r="O3393">
            <v>60</v>
          </cell>
          <cell r="P3393" t="str">
            <v>S1</v>
          </cell>
          <cell r="Q3393" t="str">
            <v>J2</v>
          </cell>
          <cell r="R3393" t="str">
            <v>J6</v>
          </cell>
          <cell r="S3393" t="str">
            <v>PENDIENTE</v>
          </cell>
          <cell r="T3393">
            <v>0</v>
          </cell>
          <cell r="U3393" t="str">
            <v>BAYONA CRUZ CRISTIAN ARMANDO</v>
          </cell>
          <cell r="V3393" t="str">
            <v>CORIHUAMAN SURCO  ERICK ROBERT</v>
          </cell>
        </row>
        <row r="3394">
          <cell r="A3394">
            <v>3390</v>
          </cell>
          <cell r="B3394">
            <v>42730</v>
          </cell>
          <cell r="C3394" t="str">
            <v>DICIEMBRE</v>
          </cell>
          <cell r="D3394" t="str">
            <v>2016</v>
          </cell>
          <cell r="E3394">
            <v>675</v>
          </cell>
          <cell r="F3394" t="str">
            <v>C9P-948</v>
          </cell>
          <cell r="G3394" t="str">
            <v>B4O-995</v>
          </cell>
          <cell r="H3394" t="str">
            <v>LAS BAMBAS</v>
          </cell>
          <cell r="I3394">
            <v>158571</v>
          </cell>
          <cell r="J3394" t="str">
            <v>REPUESTO</v>
          </cell>
          <cell r="K3394" t="str">
            <v>TUERCA MARIPOSA 3/8</v>
          </cell>
          <cell r="L3394">
            <v>3</v>
          </cell>
          <cell r="M3394" t="str">
            <v>UNID.</v>
          </cell>
          <cell r="N3394" t="str">
            <v>CISTERNA</v>
          </cell>
          <cell r="O3394">
            <v>60</v>
          </cell>
          <cell r="P3394" t="str">
            <v>S1</v>
          </cell>
          <cell r="Q3394" t="str">
            <v>J2</v>
          </cell>
          <cell r="R3394" t="str">
            <v>J6</v>
          </cell>
          <cell r="S3394" t="str">
            <v>PENDIENTE</v>
          </cell>
          <cell r="T3394">
            <v>0</v>
          </cell>
          <cell r="U3394" t="str">
            <v>BAYONA CRUZ CRISTIAN ARMANDO</v>
          </cell>
          <cell r="V3394" t="str">
            <v>CORIHUAMAN SURCO  ERICK ROBERT</v>
          </cell>
        </row>
        <row r="3395">
          <cell r="A3395">
            <v>3407</v>
          </cell>
          <cell r="B3395">
            <v>42730</v>
          </cell>
          <cell r="C3395" t="str">
            <v>DICIEMBRE</v>
          </cell>
          <cell r="D3395" t="str">
            <v>2016</v>
          </cell>
          <cell r="E3395">
            <v>675</v>
          </cell>
          <cell r="F3395" t="str">
            <v>C9P-948</v>
          </cell>
          <cell r="G3395" t="str">
            <v>B4O-995</v>
          </cell>
          <cell r="H3395" t="str">
            <v>LAS BAMBAS</v>
          </cell>
          <cell r="I3395">
            <v>158571</v>
          </cell>
          <cell r="J3395" t="str">
            <v>HERRAMIENTAS</v>
          </cell>
          <cell r="K3395" t="str">
            <v>DISCO DE CORTE DE 7"</v>
          </cell>
          <cell r="L3395">
            <v>1</v>
          </cell>
          <cell r="M3395" t="str">
            <v>UNID.</v>
          </cell>
          <cell r="N3395" t="str">
            <v>CISTERNA</v>
          </cell>
          <cell r="O3395">
            <v>60</v>
          </cell>
          <cell r="P3395" t="str">
            <v>S3</v>
          </cell>
          <cell r="Q3395" t="str">
            <v>J2</v>
          </cell>
          <cell r="R3395" t="str">
            <v>J5</v>
          </cell>
          <cell r="S3395" t="str">
            <v>PENDIENTE</v>
          </cell>
          <cell r="T3395">
            <v>0</v>
          </cell>
          <cell r="U3395" t="str">
            <v>JIMENEZ MACHACA JAVIER</v>
          </cell>
          <cell r="V3395" t="str">
            <v>CORIHUAMAN SURCO  ERICK ROBERT</v>
          </cell>
        </row>
        <row r="3396">
          <cell r="A3396">
            <v>3408</v>
          </cell>
          <cell r="B3396">
            <v>42730</v>
          </cell>
          <cell r="C3396" t="str">
            <v>DICIEMBRE</v>
          </cell>
          <cell r="D3396" t="str">
            <v>2016</v>
          </cell>
          <cell r="E3396">
            <v>675</v>
          </cell>
          <cell r="F3396" t="str">
            <v>C9P-948</v>
          </cell>
          <cell r="G3396" t="str">
            <v>B4O-995</v>
          </cell>
          <cell r="H3396" t="str">
            <v>LAS BAMBAS</v>
          </cell>
          <cell r="I3396">
            <v>158571</v>
          </cell>
          <cell r="J3396" t="str">
            <v>REPUESTO</v>
          </cell>
          <cell r="K3396" t="str">
            <v xml:space="preserve">PERNO 5/16 X 2" </v>
          </cell>
          <cell r="L3396">
            <v>1</v>
          </cell>
          <cell r="M3396" t="str">
            <v>UNID.</v>
          </cell>
          <cell r="N3396" t="str">
            <v>CISTERNA</v>
          </cell>
          <cell r="O3396">
            <v>60</v>
          </cell>
          <cell r="P3396" t="str">
            <v>S1</v>
          </cell>
          <cell r="Q3396" t="str">
            <v>J2</v>
          </cell>
          <cell r="R3396" t="str">
            <v>J5</v>
          </cell>
          <cell r="S3396" t="str">
            <v>PENDIENTE</v>
          </cell>
          <cell r="T3396">
            <v>0</v>
          </cell>
          <cell r="U3396" t="str">
            <v>BAYONA CRUZ CRISTIAN ARMANDO</v>
          </cell>
          <cell r="V3396" t="str">
            <v>CORIHUAMAN SURCO  ERICK ROBERT</v>
          </cell>
        </row>
        <row r="3397">
          <cell r="A3397">
            <v>3409</v>
          </cell>
          <cell r="B3397">
            <v>42730</v>
          </cell>
          <cell r="C3397" t="str">
            <v>DICIEMBRE</v>
          </cell>
          <cell r="D3397" t="str">
            <v>2016</v>
          </cell>
          <cell r="E3397">
            <v>675</v>
          </cell>
          <cell r="F3397" t="str">
            <v>C9P-948</v>
          </cell>
          <cell r="G3397" t="str">
            <v>B4O-995</v>
          </cell>
          <cell r="H3397" t="str">
            <v>LAS BAMBAS</v>
          </cell>
          <cell r="I3397">
            <v>158571</v>
          </cell>
          <cell r="J3397" t="str">
            <v>REPUESTO</v>
          </cell>
          <cell r="K3397" t="str">
            <v xml:space="preserve">ARANDELA PLANA </v>
          </cell>
          <cell r="L3397">
            <v>2</v>
          </cell>
          <cell r="M3397" t="str">
            <v>UNID.</v>
          </cell>
          <cell r="N3397" t="str">
            <v>CISTERNA</v>
          </cell>
          <cell r="O3397">
            <v>60</v>
          </cell>
          <cell r="P3397" t="str">
            <v>S1</v>
          </cell>
          <cell r="Q3397" t="str">
            <v>J2</v>
          </cell>
          <cell r="R3397" t="str">
            <v>J5</v>
          </cell>
          <cell r="S3397" t="str">
            <v>PENDIENTE</v>
          </cell>
          <cell r="T3397">
            <v>0</v>
          </cell>
          <cell r="U3397" t="str">
            <v>BAYONA CRUZ CRISTIAN ARMANDO</v>
          </cell>
          <cell r="V3397" t="str">
            <v>CORIHUAMAN SURCO  ERICK ROBERT</v>
          </cell>
        </row>
        <row r="3398">
          <cell r="A3398">
            <v>3410</v>
          </cell>
          <cell r="B3398">
            <v>42730</v>
          </cell>
          <cell r="C3398" t="str">
            <v>DICIEMBRE</v>
          </cell>
          <cell r="D3398" t="str">
            <v>2016</v>
          </cell>
          <cell r="E3398">
            <v>675</v>
          </cell>
          <cell r="F3398" t="str">
            <v>C9P-948</v>
          </cell>
          <cell r="G3398" t="str">
            <v>B4O-995</v>
          </cell>
          <cell r="H3398" t="str">
            <v>LAS BAMBAS</v>
          </cell>
          <cell r="I3398">
            <v>158571</v>
          </cell>
          <cell r="J3398" t="str">
            <v>REPUESTO</v>
          </cell>
          <cell r="K3398" t="str">
            <v xml:space="preserve">TUERCA SEGURO </v>
          </cell>
          <cell r="L3398">
            <v>2</v>
          </cell>
          <cell r="M3398" t="str">
            <v>UNID.</v>
          </cell>
          <cell r="N3398" t="str">
            <v>CISTERNA</v>
          </cell>
          <cell r="O3398">
            <v>60</v>
          </cell>
          <cell r="P3398" t="str">
            <v>S1</v>
          </cell>
          <cell r="Q3398" t="str">
            <v>J2</v>
          </cell>
          <cell r="R3398" t="str">
            <v>J5</v>
          </cell>
          <cell r="S3398" t="str">
            <v>PENDIENTE</v>
          </cell>
          <cell r="T3398">
            <v>0</v>
          </cell>
          <cell r="U3398" t="str">
            <v>BAYONA CRUZ CRISTIAN ARMANDO</v>
          </cell>
          <cell r="V3398" t="str">
            <v>CORIHUAMAN SURCO  ERICK ROBERT</v>
          </cell>
        </row>
        <row r="3399">
          <cell r="A3399">
            <v>3415</v>
          </cell>
          <cell r="B3399">
            <v>42730</v>
          </cell>
          <cell r="C3399" t="str">
            <v>DICIEMBRE</v>
          </cell>
          <cell r="D3399" t="str">
            <v>2016</v>
          </cell>
          <cell r="E3399">
            <v>675</v>
          </cell>
          <cell r="F3399" t="str">
            <v>C9P-948</v>
          </cell>
          <cell r="G3399" t="str">
            <v>B4O-995</v>
          </cell>
          <cell r="H3399" t="str">
            <v>LAS BAMBAS</v>
          </cell>
          <cell r="I3399">
            <v>158571</v>
          </cell>
          <cell r="J3399" t="str">
            <v>REPUESTO</v>
          </cell>
          <cell r="K3399" t="str">
            <v>DISCO DE CORTE 7"</v>
          </cell>
          <cell r="L3399">
            <v>1</v>
          </cell>
          <cell r="M3399" t="str">
            <v>UNID.</v>
          </cell>
          <cell r="N3399" t="str">
            <v>CISTERNA</v>
          </cell>
          <cell r="O3399">
            <v>60</v>
          </cell>
          <cell r="P3399" t="str">
            <v>S4</v>
          </cell>
          <cell r="Q3399" t="str">
            <v>J2</v>
          </cell>
          <cell r="R3399" t="str">
            <v>J5</v>
          </cell>
          <cell r="S3399" t="str">
            <v>PENDIENTE</v>
          </cell>
          <cell r="T3399">
            <v>0</v>
          </cell>
          <cell r="U3399" t="str">
            <v>SURCO QUISPE JOHNNY</v>
          </cell>
          <cell r="V3399" t="str">
            <v>CORIHUAMAN SURCO  ERICK ROBERT</v>
          </cell>
        </row>
        <row r="3400">
          <cell r="A3400">
            <v>3416</v>
          </cell>
          <cell r="B3400">
            <v>42730</v>
          </cell>
          <cell r="C3400" t="str">
            <v>DICIEMBRE</v>
          </cell>
          <cell r="D3400" t="str">
            <v>2016</v>
          </cell>
          <cell r="E3400">
            <v>675</v>
          </cell>
          <cell r="F3400" t="str">
            <v>C9P-948</v>
          </cell>
          <cell r="G3400" t="str">
            <v>B4O-995</v>
          </cell>
          <cell r="H3400" t="str">
            <v>LAS BAMBAS</v>
          </cell>
          <cell r="I3400">
            <v>158571</v>
          </cell>
          <cell r="J3400" t="str">
            <v>REPUESTO</v>
          </cell>
          <cell r="K3400" t="str">
            <v>DISCO DE DESBASTE 7"</v>
          </cell>
          <cell r="L3400">
            <v>1</v>
          </cell>
          <cell r="M3400" t="str">
            <v>UNID.</v>
          </cell>
          <cell r="N3400" t="str">
            <v>CISTERNA</v>
          </cell>
          <cell r="O3400">
            <v>60</v>
          </cell>
          <cell r="P3400" t="str">
            <v>S4</v>
          </cell>
          <cell r="Q3400" t="str">
            <v>J2</v>
          </cell>
          <cell r="R3400" t="str">
            <v>J5</v>
          </cell>
          <cell r="S3400" t="str">
            <v>PENDIENTE</v>
          </cell>
          <cell r="T3400">
            <v>0</v>
          </cell>
          <cell r="U3400" t="str">
            <v>SURCO QUISPE JOHNNY</v>
          </cell>
          <cell r="V3400" t="str">
            <v>CORIHUAMAN SURCO  ERICK ROBERT</v>
          </cell>
        </row>
        <row r="3401">
          <cell r="A3401">
            <v>3417</v>
          </cell>
          <cell r="B3401">
            <v>42730</v>
          </cell>
          <cell r="C3401" t="str">
            <v>DICIEMBRE</v>
          </cell>
          <cell r="D3401" t="str">
            <v>2016</v>
          </cell>
          <cell r="E3401">
            <v>675</v>
          </cell>
          <cell r="F3401" t="str">
            <v>C9P-948</v>
          </cell>
          <cell r="G3401" t="str">
            <v>B4O-995</v>
          </cell>
          <cell r="H3401" t="str">
            <v>LAS BAMBAS</v>
          </cell>
          <cell r="I3401">
            <v>158571</v>
          </cell>
          <cell r="J3401" t="str">
            <v>REPUESTO</v>
          </cell>
          <cell r="K3401" t="str">
            <v>BISAGRAS 3/8 X 2 "</v>
          </cell>
          <cell r="L3401">
            <v>2</v>
          </cell>
          <cell r="M3401" t="str">
            <v>UNID.</v>
          </cell>
          <cell r="N3401" t="str">
            <v>CISTERNA</v>
          </cell>
          <cell r="O3401">
            <v>60</v>
          </cell>
          <cell r="P3401" t="str">
            <v>S4</v>
          </cell>
          <cell r="Q3401" t="str">
            <v>J2</v>
          </cell>
          <cell r="R3401" t="str">
            <v>J5</v>
          </cell>
          <cell r="S3401" t="str">
            <v>PENDIENTE</v>
          </cell>
          <cell r="T3401">
            <v>0</v>
          </cell>
          <cell r="U3401" t="str">
            <v>SURCO QUISPE JOHNNY</v>
          </cell>
          <cell r="V3401" t="str">
            <v>CORIHUAMAN SURCO  ERICK ROBERT</v>
          </cell>
        </row>
        <row r="3402">
          <cell r="A3402">
            <v>3418</v>
          </cell>
          <cell r="B3402">
            <v>42730</v>
          </cell>
          <cell r="C3402" t="str">
            <v>DICIEMBRE</v>
          </cell>
          <cell r="D3402" t="str">
            <v>2016</v>
          </cell>
          <cell r="E3402">
            <v>675</v>
          </cell>
          <cell r="F3402" t="str">
            <v>C9P-948</v>
          </cell>
          <cell r="G3402" t="str">
            <v>B4O-995</v>
          </cell>
          <cell r="H3402" t="str">
            <v>LAS BAMBAS</v>
          </cell>
          <cell r="I3402">
            <v>158571</v>
          </cell>
          <cell r="J3402" t="str">
            <v>REPUESTO</v>
          </cell>
          <cell r="K3402" t="str">
            <v>MANUBRIOS</v>
          </cell>
          <cell r="L3402">
            <v>2</v>
          </cell>
          <cell r="M3402" t="str">
            <v>UNID.</v>
          </cell>
          <cell r="N3402" t="str">
            <v>CISTERNA</v>
          </cell>
          <cell r="O3402">
            <v>60</v>
          </cell>
          <cell r="P3402" t="str">
            <v>S4</v>
          </cell>
          <cell r="Q3402" t="str">
            <v>J2</v>
          </cell>
          <cell r="R3402" t="str">
            <v>J5</v>
          </cell>
          <cell r="S3402" t="str">
            <v>PENDIENTE</v>
          </cell>
          <cell r="T3402">
            <v>0</v>
          </cell>
          <cell r="U3402" t="str">
            <v>SURCO QUISPE JOHNNY</v>
          </cell>
          <cell r="V3402" t="str">
            <v>CORIHUAMAN SURCO  ERICK ROBERT</v>
          </cell>
        </row>
        <row r="3403">
          <cell r="A3403">
            <v>3420</v>
          </cell>
          <cell r="B3403">
            <v>42730</v>
          </cell>
          <cell r="C3403" t="str">
            <v>DICIEMBRE</v>
          </cell>
          <cell r="D3403" t="str">
            <v>2016</v>
          </cell>
          <cell r="E3403">
            <v>675</v>
          </cell>
          <cell r="F3403" t="str">
            <v>C9P-948</v>
          </cell>
          <cell r="G3403" t="str">
            <v>B4O-995</v>
          </cell>
          <cell r="H3403" t="str">
            <v>LAS BAMBAS</v>
          </cell>
          <cell r="I3403">
            <v>158571</v>
          </cell>
          <cell r="J3403" t="str">
            <v>REPUESTO</v>
          </cell>
          <cell r="K3403" t="str">
            <v>PERNO 3/8 X 3"</v>
          </cell>
          <cell r="L3403">
            <v>1</v>
          </cell>
          <cell r="M3403" t="str">
            <v>UNID.</v>
          </cell>
          <cell r="N3403" t="str">
            <v>CISTERNA</v>
          </cell>
          <cell r="O3403">
            <v>60</v>
          </cell>
          <cell r="P3403" t="str">
            <v>S1</v>
          </cell>
          <cell r="Q3403" t="str">
            <v>J2</v>
          </cell>
          <cell r="R3403" t="str">
            <v>J5</v>
          </cell>
          <cell r="S3403" t="str">
            <v>PENDIENTE</v>
          </cell>
          <cell r="T3403">
            <v>0</v>
          </cell>
          <cell r="U3403" t="str">
            <v>BAYONA CRUZ CRISTIAN ARMANDO</v>
          </cell>
          <cell r="V3403" t="str">
            <v>CORIHUAMAN SURCO  ERICK ROBERT</v>
          </cell>
        </row>
        <row r="3404">
          <cell r="A3404">
            <v>3421</v>
          </cell>
          <cell r="B3404">
            <v>42730</v>
          </cell>
          <cell r="C3404" t="str">
            <v>DICIEMBRE</v>
          </cell>
          <cell r="D3404" t="str">
            <v>2016</v>
          </cell>
          <cell r="E3404">
            <v>675</v>
          </cell>
          <cell r="F3404" t="str">
            <v>C9P-948</v>
          </cell>
          <cell r="G3404" t="str">
            <v>B4O-995</v>
          </cell>
          <cell r="H3404" t="str">
            <v>LAS BAMBAS</v>
          </cell>
          <cell r="I3404">
            <v>158571</v>
          </cell>
          <cell r="J3404" t="str">
            <v>REPUESTO</v>
          </cell>
          <cell r="K3404" t="str">
            <v>ARANDELA PRESION 3/8</v>
          </cell>
          <cell r="L3404">
            <v>2</v>
          </cell>
          <cell r="M3404" t="str">
            <v>UNID.</v>
          </cell>
          <cell r="N3404" t="str">
            <v>CISTERNA</v>
          </cell>
          <cell r="O3404">
            <v>60</v>
          </cell>
          <cell r="P3404" t="str">
            <v>S1</v>
          </cell>
          <cell r="Q3404" t="str">
            <v>J2</v>
          </cell>
          <cell r="R3404" t="str">
            <v>J5</v>
          </cell>
          <cell r="S3404" t="str">
            <v>PENDIENTE</v>
          </cell>
          <cell r="T3404">
            <v>0</v>
          </cell>
          <cell r="U3404" t="str">
            <v>BAYONA CRUZ CRISTIAN ARMANDO</v>
          </cell>
          <cell r="V3404" t="str">
            <v>CORIHUAMAN SURCO  ERICK ROBERT</v>
          </cell>
        </row>
        <row r="3405">
          <cell r="A3405">
            <v>3422</v>
          </cell>
          <cell r="B3405">
            <v>42730</v>
          </cell>
          <cell r="C3405" t="str">
            <v>DICIEMBRE</v>
          </cell>
          <cell r="D3405" t="str">
            <v>2016</v>
          </cell>
          <cell r="E3405">
            <v>675</v>
          </cell>
          <cell r="F3405" t="str">
            <v>C9P-948</v>
          </cell>
          <cell r="G3405" t="str">
            <v>B4O-995</v>
          </cell>
          <cell r="H3405" t="str">
            <v>LAS BAMBAS</v>
          </cell>
          <cell r="I3405">
            <v>158571</v>
          </cell>
          <cell r="J3405" t="str">
            <v>REPUESTO</v>
          </cell>
          <cell r="K3405" t="str">
            <v>TUERCA SEGURO 3/8</v>
          </cell>
          <cell r="L3405">
            <v>2</v>
          </cell>
          <cell r="M3405" t="str">
            <v>UNID.</v>
          </cell>
          <cell r="N3405" t="str">
            <v>CISTERNA</v>
          </cell>
          <cell r="O3405">
            <v>60</v>
          </cell>
          <cell r="P3405" t="str">
            <v>S1</v>
          </cell>
          <cell r="Q3405" t="str">
            <v>J2</v>
          </cell>
          <cell r="R3405" t="str">
            <v>J5</v>
          </cell>
          <cell r="S3405" t="str">
            <v>PENDIENTE</v>
          </cell>
          <cell r="T3405">
            <v>0</v>
          </cell>
          <cell r="U3405" t="str">
            <v>BAYONA CRUZ CRISTIAN ARMANDO</v>
          </cell>
          <cell r="V3405" t="str">
            <v>CORIHUAMAN SURCO  ERICK ROBERT</v>
          </cell>
        </row>
        <row r="3406">
          <cell r="A3406">
            <v>3423</v>
          </cell>
          <cell r="B3406">
            <v>42730</v>
          </cell>
          <cell r="C3406" t="str">
            <v>DICIEMBRE</v>
          </cell>
          <cell r="D3406" t="str">
            <v>2016</v>
          </cell>
          <cell r="E3406">
            <v>675</v>
          </cell>
          <cell r="F3406" t="str">
            <v>C9P-948</v>
          </cell>
          <cell r="G3406" t="str">
            <v>B4O-995</v>
          </cell>
          <cell r="H3406" t="str">
            <v>LAS BAMBAS</v>
          </cell>
          <cell r="I3406">
            <v>158571</v>
          </cell>
          <cell r="J3406" t="str">
            <v>REPUESTO</v>
          </cell>
          <cell r="K3406" t="str">
            <v xml:space="preserve">PERNO 5/16 X 2" </v>
          </cell>
          <cell r="L3406">
            <v>1</v>
          </cell>
          <cell r="M3406" t="str">
            <v>UNID.</v>
          </cell>
          <cell r="N3406" t="str">
            <v>CISTERNA</v>
          </cell>
          <cell r="O3406">
            <v>60</v>
          </cell>
          <cell r="P3406" t="str">
            <v>S1</v>
          </cell>
          <cell r="Q3406" t="str">
            <v>J2</v>
          </cell>
          <cell r="R3406" t="str">
            <v>J5</v>
          </cell>
          <cell r="S3406" t="str">
            <v>PENDIENTE</v>
          </cell>
          <cell r="T3406">
            <v>0</v>
          </cell>
          <cell r="U3406" t="str">
            <v>BAYONA CRUZ CRISTIAN ARMANDO</v>
          </cell>
          <cell r="V3406" t="str">
            <v>CORIHUAMAN SURCO  ERICK ROBERT</v>
          </cell>
        </row>
        <row r="3407">
          <cell r="A3407">
            <v>3424</v>
          </cell>
          <cell r="B3407">
            <v>42730</v>
          </cell>
          <cell r="C3407" t="str">
            <v>DICIEMBRE</v>
          </cell>
          <cell r="D3407" t="str">
            <v>2016</v>
          </cell>
          <cell r="E3407">
            <v>675</v>
          </cell>
          <cell r="F3407" t="str">
            <v>C9P-948</v>
          </cell>
          <cell r="G3407" t="str">
            <v>B4O-995</v>
          </cell>
          <cell r="H3407" t="str">
            <v>LAS BAMBAS</v>
          </cell>
          <cell r="I3407">
            <v>158571</v>
          </cell>
          <cell r="J3407" t="str">
            <v>REPUESTO</v>
          </cell>
          <cell r="K3407" t="str">
            <v>ARANDELA PRESION 5/16</v>
          </cell>
          <cell r="L3407">
            <v>2</v>
          </cell>
          <cell r="M3407" t="str">
            <v>UNID.</v>
          </cell>
          <cell r="N3407" t="str">
            <v>CISTERNA</v>
          </cell>
          <cell r="O3407">
            <v>60</v>
          </cell>
          <cell r="P3407" t="str">
            <v>S1</v>
          </cell>
          <cell r="Q3407" t="str">
            <v>J2</v>
          </cell>
          <cell r="R3407" t="str">
            <v>J5</v>
          </cell>
          <cell r="S3407" t="str">
            <v>PENDIENTE</v>
          </cell>
          <cell r="T3407">
            <v>0</v>
          </cell>
          <cell r="U3407" t="str">
            <v>BAYONA CRUZ CRISTIAN ARMANDO</v>
          </cell>
          <cell r="V3407" t="str">
            <v>CORIHUAMAN SURCO  ERICK ROBERT</v>
          </cell>
        </row>
        <row r="3408">
          <cell r="A3408">
            <v>3425</v>
          </cell>
          <cell r="B3408">
            <v>42730</v>
          </cell>
          <cell r="C3408" t="str">
            <v>DICIEMBRE</v>
          </cell>
          <cell r="D3408" t="str">
            <v>2016</v>
          </cell>
          <cell r="E3408">
            <v>675</v>
          </cell>
          <cell r="F3408" t="str">
            <v>C9P-948</v>
          </cell>
          <cell r="G3408" t="str">
            <v>B4O-995</v>
          </cell>
          <cell r="H3408" t="str">
            <v>LAS BAMBAS</v>
          </cell>
          <cell r="I3408">
            <v>158571</v>
          </cell>
          <cell r="J3408" t="str">
            <v>REPUESTO</v>
          </cell>
          <cell r="K3408" t="str">
            <v>TUERCA SEGURO 5/16</v>
          </cell>
          <cell r="L3408">
            <v>2</v>
          </cell>
          <cell r="M3408" t="str">
            <v>UNID.</v>
          </cell>
          <cell r="N3408" t="str">
            <v>CISTERNA</v>
          </cell>
          <cell r="O3408">
            <v>60</v>
          </cell>
          <cell r="P3408" t="str">
            <v>S1</v>
          </cell>
          <cell r="Q3408" t="str">
            <v>J2</v>
          </cell>
          <cell r="R3408" t="str">
            <v>J5</v>
          </cell>
          <cell r="S3408" t="str">
            <v>PENDIENTE</v>
          </cell>
          <cell r="T3408">
            <v>0</v>
          </cell>
          <cell r="U3408" t="str">
            <v>BAYONA CRUZ CRISTIAN ARMANDO</v>
          </cell>
          <cell r="V3408" t="str">
            <v>CORIHUAMAN SURCO  ERICK ROBERT</v>
          </cell>
        </row>
        <row r="3409">
          <cell r="A3409">
            <v>3438</v>
          </cell>
          <cell r="B3409">
            <v>42730</v>
          </cell>
          <cell r="C3409" t="str">
            <v>DICIEMBRE</v>
          </cell>
          <cell r="D3409" t="str">
            <v>2016</v>
          </cell>
          <cell r="E3409">
            <v>675</v>
          </cell>
          <cell r="F3409" t="str">
            <v>C9P-948</v>
          </cell>
          <cell r="G3409" t="str">
            <v>B4O-995</v>
          </cell>
          <cell r="H3409" t="str">
            <v>LAS BAMBAS</v>
          </cell>
          <cell r="I3409">
            <v>158571</v>
          </cell>
          <cell r="J3409" t="str">
            <v>REPUESTO</v>
          </cell>
          <cell r="K3409" t="str">
            <v>CELLORCORD 1/8</v>
          </cell>
          <cell r="L3409">
            <v>3</v>
          </cell>
          <cell r="M3409" t="str">
            <v>KG.</v>
          </cell>
          <cell r="N3409" t="str">
            <v>CISTERNA</v>
          </cell>
          <cell r="O3409">
            <v>60</v>
          </cell>
          <cell r="P3409" t="str">
            <v>S3</v>
          </cell>
          <cell r="Q3409" t="str">
            <v>J2</v>
          </cell>
          <cell r="R3409" t="str">
            <v>J6</v>
          </cell>
          <cell r="S3409" t="str">
            <v>PENDIENTE</v>
          </cell>
          <cell r="T3409">
            <v>0</v>
          </cell>
          <cell r="U3409" t="str">
            <v>JIMENEZ MACHACA JAVIER</v>
          </cell>
          <cell r="V3409" t="str">
            <v>CORIHUAMAN SURCO  ERICK ROBERT</v>
          </cell>
        </row>
        <row r="3410">
          <cell r="A3410">
            <v>3392</v>
          </cell>
          <cell r="B3410">
            <v>42730</v>
          </cell>
          <cell r="C3410" t="str">
            <v>DICIEMBRE</v>
          </cell>
          <cell r="D3410" t="str">
            <v>2016</v>
          </cell>
          <cell r="E3410">
            <v>679</v>
          </cell>
          <cell r="F3410" t="str">
            <v>D3P-743</v>
          </cell>
          <cell r="G3410" t="str">
            <v>B8L-972</v>
          </cell>
          <cell r="H3410" t="str">
            <v>LAS BAMBAS</v>
          </cell>
          <cell r="I3410">
            <v>185764</v>
          </cell>
          <cell r="J3410" t="str">
            <v>REPUESTO</v>
          </cell>
          <cell r="K3410" t="str">
            <v>ZAPATAS DE CARRETA</v>
          </cell>
          <cell r="L3410">
            <v>0.5</v>
          </cell>
          <cell r="M3410" t="str">
            <v>JUEGO</v>
          </cell>
          <cell r="N3410" t="str">
            <v>CISTERNA</v>
          </cell>
          <cell r="O3410">
            <v>60</v>
          </cell>
          <cell r="P3410" t="str">
            <v>M8</v>
          </cell>
          <cell r="Q3410" t="str">
            <v>J2</v>
          </cell>
          <cell r="R3410" t="str">
            <v>J6</v>
          </cell>
          <cell r="S3410" t="str">
            <v>PENDIENTE</v>
          </cell>
          <cell r="T3410">
            <v>0</v>
          </cell>
          <cell r="U3410" t="str">
            <v>VARILLAS GAGO  OSCAR ALBERTO</v>
          </cell>
          <cell r="V3410" t="str">
            <v>CORIHUAMAN SURCO  ERICK ROBERT</v>
          </cell>
        </row>
        <row r="3411">
          <cell r="A3411">
            <v>3393</v>
          </cell>
          <cell r="B3411">
            <v>42730</v>
          </cell>
          <cell r="C3411" t="str">
            <v>DICIEMBRE</v>
          </cell>
          <cell r="D3411" t="str">
            <v>2016</v>
          </cell>
          <cell r="E3411">
            <v>679</v>
          </cell>
          <cell r="F3411" t="str">
            <v>D3P-743</v>
          </cell>
          <cell r="G3411" t="str">
            <v>B8L-972</v>
          </cell>
          <cell r="H3411" t="str">
            <v>LAS BAMBAS</v>
          </cell>
          <cell r="I3411">
            <v>185764</v>
          </cell>
          <cell r="J3411" t="str">
            <v>REPUESTO</v>
          </cell>
          <cell r="K3411" t="str">
            <v>PERNO 5/8 X 6</v>
          </cell>
          <cell r="L3411">
            <v>1</v>
          </cell>
          <cell r="M3411" t="str">
            <v>UNID.</v>
          </cell>
          <cell r="N3411" t="str">
            <v>CISTERNA</v>
          </cell>
          <cell r="O3411">
            <v>60</v>
          </cell>
          <cell r="P3411" t="str">
            <v>M8</v>
          </cell>
          <cell r="Q3411" t="str">
            <v>J2</v>
          </cell>
          <cell r="R3411" t="str">
            <v>J6</v>
          </cell>
          <cell r="S3411" t="str">
            <v>PENDIENTE</v>
          </cell>
          <cell r="T3411">
            <v>0</v>
          </cell>
          <cell r="U3411" t="str">
            <v>VARILLAS GAGO  OSCAR ALBERTO</v>
          </cell>
          <cell r="V3411" t="str">
            <v>CORIHUAMAN SURCO  ERICK ROBERT</v>
          </cell>
        </row>
        <row r="3412">
          <cell r="A3412">
            <v>3394</v>
          </cell>
          <cell r="B3412">
            <v>42730</v>
          </cell>
          <cell r="C3412" t="str">
            <v>DICIEMBRE</v>
          </cell>
          <cell r="D3412" t="str">
            <v>2016</v>
          </cell>
          <cell r="E3412">
            <v>679</v>
          </cell>
          <cell r="F3412" t="str">
            <v>D3P-743</v>
          </cell>
          <cell r="G3412" t="str">
            <v>B8L-972</v>
          </cell>
          <cell r="H3412" t="str">
            <v>LAS BAMBAS</v>
          </cell>
          <cell r="I3412">
            <v>185764</v>
          </cell>
          <cell r="J3412" t="str">
            <v>REPUESTO</v>
          </cell>
          <cell r="K3412" t="str">
            <v>TUERCA SEGURA 5/8</v>
          </cell>
          <cell r="L3412">
            <v>1</v>
          </cell>
          <cell r="M3412" t="str">
            <v>UNID.</v>
          </cell>
          <cell r="N3412" t="str">
            <v>CISTERNA</v>
          </cell>
          <cell r="O3412">
            <v>60</v>
          </cell>
          <cell r="P3412" t="str">
            <v>M8</v>
          </cell>
          <cell r="Q3412" t="str">
            <v>J2</v>
          </cell>
          <cell r="R3412" t="str">
            <v>J6</v>
          </cell>
          <cell r="S3412" t="str">
            <v>PENDIENTE</v>
          </cell>
          <cell r="T3412">
            <v>0</v>
          </cell>
          <cell r="U3412" t="str">
            <v>VARILLAS GAGO  OSCAR ALBERTO</v>
          </cell>
          <cell r="V3412" t="str">
            <v>CORIHUAMAN SURCO  ERICK ROBERT</v>
          </cell>
        </row>
        <row r="3413">
          <cell r="A3413">
            <v>3395</v>
          </cell>
          <cell r="B3413">
            <v>42730</v>
          </cell>
          <cell r="C3413" t="str">
            <v>DICIEMBRE</v>
          </cell>
          <cell r="D3413" t="str">
            <v>2016</v>
          </cell>
          <cell r="E3413">
            <v>679</v>
          </cell>
          <cell r="F3413" t="str">
            <v>D3P-743</v>
          </cell>
          <cell r="G3413" t="str">
            <v>B8L-972</v>
          </cell>
          <cell r="H3413" t="str">
            <v>LAS BAMBAS</v>
          </cell>
          <cell r="I3413">
            <v>185764</v>
          </cell>
          <cell r="J3413" t="str">
            <v>REPUESTO</v>
          </cell>
          <cell r="K3413" t="str">
            <v>MULTIPLE DE ESCAPE EN Y</v>
          </cell>
          <cell r="L3413">
            <v>1</v>
          </cell>
          <cell r="M3413" t="str">
            <v>UNID.</v>
          </cell>
          <cell r="N3413" t="str">
            <v>TRACTO</v>
          </cell>
          <cell r="O3413">
            <v>60</v>
          </cell>
          <cell r="P3413" t="str">
            <v>M8</v>
          </cell>
          <cell r="Q3413" t="str">
            <v>J2</v>
          </cell>
          <cell r="R3413" t="str">
            <v>J6</v>
          </cell>
          <cell r="S3413" t="str">
            <v>PENDIENTE</v>
          </cell>
          <cell r="T3413">
            <v>0</v>
          </cell>
          <cell r="U3413" t="str">
            <v>VARILLAS GAGO  OSCAR ALBERTO</v>
          </cell>
          <cell r="V3413" t="str">
            <v>CORIHUAMAN SURCO  ERICK ROBERT</v>
          </cell>
        </row>
        <row r="3414">
          <cell r="A3414">
            <v>3396</v>
          </cell>
          <cell r="B3414">
            <v>42730</v>
          </cell>
          <cell r="C3414" t="str">
            <v>DICIEMBRE</v>
          </cell>
          <cell r="D3414" t="str">
            <v>2016</v>
          </cell>
          <cell r="E3414">
            <v>679</v>
          </cell>
          <cell r="F3414" t="str">
            <v>D3P-743</v>
          </cell>
          <cell r="G3414" t="str">
            <v>B8L-972</v>
          </cell>
          <cell r="H3414" t="str">
            <v>LAS BAMBAS</v>
          </cell>
          <cell r="I3414">
            <v>185764</v>
          </cell>
          <cell r="J3414" t="str">
            <v>REPUESTO</v>
          </cell>
          <cell r="K3414" t="str">
            <v>JUEGO DE EMPAQUETADURA DE MULTIPLE DE ESCAPE</v>
          </cell>
          <cell r="L3414">
            <v>1</v>
          </cell>
          <cell r="M3414" t="str">
            <v>JUEGO</v>
          </cell>
          <cell r="N3414" t="str">
            <v>TRACTO</v>
          </cell>
          <cell r="O3414">
            <v>60</v>
          </cell>
          <cell r="P3414" t="str">
            <v>M8</v>
          </cell>
          <cell r="Q3414" t="str">
            <v>J2</v>
          </cell>
          <cell r="R3414" t="str">
            <v>J6</v>
          </cell>
          <cell r="S3414" t="str">
            <v>PENDIENTE</v>
          </cell>
          <cell r="T3414">
            <v>0</v>
          </cell>
          <cell r="U3414" t="str">
            <v>VARILLAS GAGO  OSCAR ALBERTO</v>
          </cell>
          <cell r="V3414" t="str">
            <v>CORIHUAMAN SURCO  ERICK ROBERT</v>
          </cell>
        </row>
        <row r="3415">
          <cell r="A3415">
            <v>3397</v>
          </cell>
          <cell r="B3415">
            <v>42730</v>
          </cell>
          <cell r="C3415" t="str">
            <v>DICIEMBRE</v>
          </cell>
          <cell r="D3415" t="str">
            <v>2016</v>
          </cell>
          <cell r="E3415">
            <v>679</v>
          </cell>
          <cell r="F3415" t="str">
            <v>D3P-743</v>
          </cell>
          <cell r="G3415" t="str">
            <v>B8L-972</v>
          </cell>
          <cell r="H3415" t="str">
            <v>LAS BAMBAS</v>
          </cell>
          <cell r="I3415">
            <v>185764</v>
          </cell>
          <cell r="J3415" t="str">
            <v>REPUESTO</v>
          </cell>
          <cell r="K3415" t="str">
            <v>EMPAQUETADURA RECTANGULAR DE TURBO</v>
          </cell>
          <cell r="L3415">
            <v>1</v>
          </cell>
          <cell r="M3415" t="str">
            <v>UNID.</v>
          </cell>
          <cell r="N3415" t="str">
            <v>TRACTO</v>
          </cell>
          <cell r="O3415">
            <v>60</v>
          </cell>
          <cell r="P3415" t="str">
            <v>M8</v>
          </cell>
          <cell r="Q3415" t="str">
            <v>J2</v>
          </cell>
          <cell r="R3415" t="str">
            <v>J6</v>
          </cell>
          <cell r="S3415" t="str">
            <v>PENDIENTE</v>
          </cell>
          <cell r="T3415">
            <v>0</v>
          </cell>
          <cell r="U3415" t="str">
            <v>VARILLAS GAGO  OSCAR ALBERTO</v>
          </cell>
          <cell r="V3415" t="str">
            <v>CORIHUAMAN SURCO  ERICK ROBERT</v>
          </cell>
        </row>
        <row r="3416">
          <cell r="A3416">
            <v>3398</v>
          </cell>
          <cell r="B3416">
            <v>42730</v>
          </cell>
          <cell r="C3416" t="str">
            <v>DICIEMBRE</v>
          </cell>
          <cell r="D3416" t="str">
            <v>2016</v>
          </cell>
          <cell r="E3416">
            <v>679</v>
          </cell>
          <cell r="F3416" t="str">
            <v>D3P-743</v>
          </cell>
          <cell r="G3416" t="str">
            <v>B8L-972</v>
          </cell>
          <cell r="H3416" t="str">
            <v>LAS BAMBAS</v>
          </cell>
          <cell r="I3416">
            <v>185764</v>
          </cell>
          <cell r="J3416" t="str">
            <v>REPUESTO</v>
          </cell>
          <cell r="K3416" t="str">
            <v>EMPAQUETADUR  PARA RETORNO DE ACEITE DE TURBO</v>
          </cell>
          <cell r="L3416">
            <v>1</v>
          </cell>
          <cell r="M3416" t="str">
            <v>UNID.</v>
          </cell>
          <cell r="N3416" t="str">
            <v>TRACTO</v>
          </cell>
          <cell r="O3416">
            <v>60</v>
          </cell>
          <cell r="P3416" t="str">
            <v>M8</v>
          </cell>
          <cell r="Q3416" t="str">
            <v>J2</v>
          </cell>
          <cell r="R3416" t="str">
            <v>J6</v>
          </cell>
          <cell r="S3416" t="str">
            <v>PENDIENTE</v>
          </cell>
          <cell r="T3416">
            <v>0</v>
          </cell>
          <cell r="U3416" t="str">
            <v>VARILLAS GAGO  OSCAR ALBERTO</v>
          </cell>
          <cell r="V3416" t="str">
            <v>CORIHUAMAN SURCO  ERICK ROBERT</v>
          </cell>
        </row>
        <row r="3417">
          <cell r="A3417">
            <v>3399</v>
          </cell>
          <cell r="B3417">
            <v>42730</v>
          </cell>
          <cell r="C3417" t="str">
            <v>DICIEMBRE</v>
          </cell>
          <cell r="D3417" t="str">
            <v>2016</v>
          </cell>
          <cell r="E3417">
            <v>679</v>
          </cell>
          <cell r="F3417" t="str">
            <v>D3P-743</v>
          </cell>
          <cell r="G3417" t="str">
            <v>B8L-972</v>
          </cell>
          <cell r="H3417" t="str">
            <v>LAS BAMBAS</v>
          </cell>
          <cell r="I3417">
            <v>185764</v>
          </cell>
          <cell r="J3417" t="str">
            <v>REPUESTO</v>
          </cell>
          <cell r="K3417" t="str">
            <v>PERNO DE MULTIPLE DE ESCAPE</v>
          </cell>
          <cell r="L3417">
            <v>12</v>
          </cell>
          <cell r="M3417" t="str">
            <v>UNID.</v>
          </cell>
          <cell r="N3417" t="str">
            <v>TRACTO</v>
          </cell>
          <cell r="O3417">
            <v>60</v>
          </cell>
          <cell r="P3417" t="str">
            <v>M8</v>
          </cell>
          <cell r="Q3417" t="str">
            <v>J2</v>
          </cell>
          <cell r="R3417" t="str">
            <v>J6</v>
          </cell>
          <cell r="S3417" t="str">
            <v>PENDIENTE</v>
          </cell>
          <cell r="T3417">
            <v>0</v>
          </cell>
          <cell r="U3417" t="str">
            <v>VARILLAS GAGO  OSCAR ALBERTO</v>
          </cell>
          <cell r="V3417" t="str">
            <v>CORIHUAMAN SURCO  ERICK ROBERT</v>
          </cell>
        </row>
        <row r="3418">
          <cell r="A3418">
            <v>3419</v>
          </cell>
          <cell r="B3418">
            <v>42730</v>
          </cell>
          <cell r="C3418" t="str">
            <v>DICIEMBRE</v>
          </cell>
          <cell r="D3418" t="str">
            <v>2016</v>
          </cell>
          <cell r="E3418">
            <v>689</v>
          </cell>
          <cell r="F3418" t="str">
            <v>D4X-872</v>
          </cell>
          <cell r="G3418" t="str">
            <v>B4P-976</v>
          </cell>
          <cell r="H3418" t="str">
            <v>LAS BAMBAS</v>
          </cell>
          <cell r="I3418">
            <v>185914</v>
          </cell>
          <cell r="J3418" t="str">
            <v>REPUESTO</v>
          </cell>
          <cell r="K3418" t="str">
            <v>FOCO DOBLE CONTACTO DE 12 V</v>
          </cell>
          <cell r="L3418">
            <v>2</v>
          </cell>
          <cell r="M3418" t="str">
            <v>UNID.</v>
          </cell>
          <cell r="N3418" t="str">
            <v>TRACTO</v>
          </cell>
          <cell r="O3418">
            <v>60</v>
          </cell>
          <cell r="P3418" t="str">
            <v>E2</v>
          </cell>
          <cell r="Q3418" t="str">
            <v>J2</v>
          </cell>
          <cell r="R3418" t="str">
            <v>J5</v>
          </cell>
          <cell r="S3418" t="str">
            <v>PENDIENTE</v>
          </cell>
          <cell r="T3418">
            <v>0</v>
          </cell>
          <cell r="U3418" t="str">
            <v>YUCA BELLIDO BORIS YERSY</v>
          </cell>
          <cell r="V3418" t="str">
            <v>CORIHUAMAN SURCO  ERICK ROBERT</v>
          </cell>
        </row>
        <row r="3419">
          <cell r="A3419">
            <v>3431</v>
          </cell>
          <cell r="B3419">
            <v>42730</v>
          </cell>
          <cell r="C3419" t="str">
            <v>DICIEMBRE</v>
          </cell>
          <cell r="D3419" t="str">
            <v>2016</v>
          </cell>
          <cell r="E3419">
            <v>684</v>
          </cell>
          <cell r="F3419" t="str">
            <v>D6F-903</v>
          </cell>
          <cell r="G3419" t="str">
            <v>B8K-997</v>
          </cell>
          <cell r="H3419" t="str">
            <v>LAS BAMBAS</v>
          </cell>
          <cell r="I3419">
            <v>220397</v>
          </cell>
          <cell r="J3419" t="str">
            <v>REPUESTO</v>
          </cell>
          <cell r="K3419" t="str">
            <v xml:space="preserve">TECLA ELEVALUNA LADO DERECHO </v>
          </cell>
          <cell r="L3419">
            <v>1</v>
          </cell>
          <cell r="M3419" t="str">
            <v>UNID.</v>
          </cell>
          <cell r="N3419" t="str">
            <v>TRACTO</v>
          </cell>
          <cell r="O3419">
            <v>60</v>
          </cell>
          <cell r="P3419" t="str">
            <v>E1</v>
          </cell>
          <cell r="Q3419" t="str">
            <v>J2</v>
          </cell>
          <cell r="R3419" t="str">
            <v>J5</v>
          </cell>
          <cell r="S3419" t="str">
            <v>PENDIENTE</v>
          </cell>
          <cell r="T3419">
            <v>0</v>
          </cell>
          <cell r="U3419" t="str">
            <v>PALOMINO CARDENAS JUAN CARLOS</v>
          </cell>
          <cell r="V3419" t="str">
            <v>CORIHUAMAN SURCO  ERICK ROBERT</v>
          </cell>
        </row>
        <row r="3420">
          <cell r="A3420">
            <v>3432</v>
          </cell>
          <cell r="B3420">
            <v>42730</v>
          </cell>
          <cell r="C3420" t="str">
            <v>DICIEMBRE</v>
          </cell>
          <cell r="D3420" t="str">
            <v>2016</v>
          </cell>
          <cell r="E3420">
            <v>684</v>
          </cell>
          <cell r="F3420" t="str">
            <v>D6F-903</v>
          </cell>
          <cell r="G3420" t="str">
            <v>B8K-997</v>
          </cell>
          <cell r="H3420" t="str">
            <v>LAS BAMBAS</v>
          </cell>
          <cell r="I3420">
            <v>220397</v>
          </cell>
          <cell r="J3420" t="str">
            <v>REPUESTO</v>
          </cell>
          <cell r="K3420" t="str">
            <v>TECLA ELEVALUNA LADO IZQUIERDO</v>
          </cell>
          <cell r="L3420">
            <v>1</v>
          </cell>
          <cell r="M3420" t="str">
            <v>UNID.</v>
          </cell>
          <cell r="N3420" t="str">
            <v>TRACTO</v>
          </cell>
          <cell r="O3420">
            <v>60</v>
          </cell>
          <cell r="P3420" t="str">
            <v>E1</v>
          </cell>
          <cell r="Q3420" t="str">
            <v>J2</v>
          </cell>
          <cell r="R3420" t="str">
            <v>J5</v>
          </cell>
          <cell r="S3420" t="str">
            <v>PENDIENTE</v>
          </cell>
          <cell r="T3420">
            <v>0</v>
          </cell>
          <cell r="U3420" t="str">
            <v>PALOMINO CARDENAS JUAN CARLOS</v>
          </cell>
          <cell r="V3420" t="str">
            <v>CORIHUAMAN SURCO  ERICK ROBERT</v>
          </cell>
        </row>
        <row r="3421">
          <cell r="A3421">
            <v>3381</v>
          </cell>
          <cell r="B3421">
            <v>42730</v>
          </cell>
          <cell r="C3421" t="str">
            <v>DICIEMBRE</v>
          </cell>
          <cell r="D3421" t="str">
            <v>2016</v>
          </cell>
          <cell r="E3421">
            <v>678</v>
          </cell>
          <cell r="F3421" t="str">
            <v>D6G-805</v>
          </cell>
          <cell r="G3421" t="str">
            <v>T4Z-996</v>
          </cell>
          <cell r="H3421" t="str">
            <v>LAS BAMBAS</v>
          </cell>
          <cell r="I3421">
            <v>225601</v>
          </cell>
          <cell r="J3421" t="str">
            <v>REPUESTO</v>
          </cell>
          <cell r="K3421" t="str">
            <v>PERNO 3/8 X 1</v>
          </cell>
          <cell r="L3421">
            <v>1</v>
          </cell>
          <cell r="M3421" t="str">
            <v>UNID.</v>
          </cell>
          <cell r="N3421" t="str">
            <v>TRACTO</v>
          </cell>
          <cell r="O3421">
            <v>60</v>
          </cell>
          <cell r="P3421" t="str">
            <v>E3</v>
          </cell>
          <cell r="Q3421" t="str">
            <v>J2</v>
          </cell>
          <cell r="R3421" t="str">
            <v>J6</v>
          </cell>
          <cell r="S3421" t="str">
            <v>PENDIENTE</v>
          </cell>
          <cell r="T3421">
            <v>0</v>
          </cell>
          <cell r="U3421" t="str">
            <v>CONDORI CHURATA ALEX</v>
          </cell>
          <cell r="V3421" t="str">
            <v>CORIHUAMAN SURCO  ERICK ROBERT</v>
          </cell>
        </row>
        <row r="3422">
          <cell r="A3422">
            <v>3382</v>
          </cell>
          <cell r="B3422">
            <v>42730</v>
          </cell>
          <cell r="C3422" t="str">
            <v>DICIEMBRE</v>
          </cell>
          <cell r="D3422" t="str">
            <v>2016</v>
          </cell>
          <cell r="E3422">
            <v>678</v>
          </cell>
          <cell r="F3422" t="str">
            <v>D6G-805</v>
          </cell>
          <cell r="G3422" t="str">
            <v>T4Z-996</v>
          </cell>
          <cell r="H3422" t="str">
            <v>LAS BAMBAS</v>
          </cell>
          <cell r="I3422">
            <v>225601</v>
          </cell>
          <cell r="J3422" t="str">
            <v>REPUESTO</v>
          </cell>
          <cell r="K3422" t="str">
            <v>TUERCA 3/8</v>
          </cell>
          <cell r="L3422">
            <v>1</v>
          </cell>
          <cell r="M3422" t="str">
            <v>UNID.</v>
          </cell>
          <cell r="N3422" t="str">
            <v>TRACTO</v>
          </cell>
          <cell r="O3422">
            <v>60</v>
          </cell>
          <cell r="P3422" t="str">
            <v>E3</v>
          </cell>
          <cell r="Q3422" t="str">
            <v>J2</v>
          </cell>
          <cell r="R3422" t="str">
            <v>J6</v>
          </cell>
          <cell r="S3422" t="str">
            <v>PENDIENTE</v>
          </cell>
          <cell r="T3422">
            <v>0</v>
          </cell>
          <cell r="U3422" t="str">
            <v>CONDORI CHURATA ALEX</v>
          </cell>
          <cell r="V3422" t="str">
            <v>CORIHUAMAN SURCO  ERICK ROBERT</v>
          </cell>
        </row>
        <row r="3423">
          <cell r="A3423">
            <v>3383</v>
          </cell>
          <cell r="B3423">
            <v>42730</v>
          </cell>
          <cell r="C3423" t="str">
            <v>DICIEMBRE</v>
          </cell>
          <cell r="D3423" t="str">
            <v>2016</v>
          </cell>
          <cell r="E3423">
            <v>678</v>
          </cell>
          <cell r="F3423" t="str">
            <v>D6G-805</v>
          </cell>
          <cell r="G3423" t="str">
            <v>T4Z-996</v>
          </cell>
          <cell r="H3423" t="str">
            <v>LAS BAMBAS</v>
          </cell>
          <cell r="I3423">
            <v>225601</v>
          </cell>
          <cell r="J3423" t="str">
            <v>REPUESTO</v>
          </cell>
          <cell r="K3423" t="str">
            <v>ARANDELA PLANA 3/8</v>
          </cell>
          <cell r="L3423">
            <v>1</v>
          </cell>
          <cell r="M3423" t="str">
            <v>UNID.</v>
          </cell>
          <cell r="N3423" t="str">
            <v>TRACTO</v>
          </cell>
          <cell r="O3423">
            <v>60</v>
          </cell>
          <cell r="P3423" t="str">
            <v>E3</v>
          </cell>
          <cell r="Q3423" t="str">
            <v>J2</v>
          </cell>
          <cell r="R3423" t="str">
            <v>J6</v>
          </cell>
          <cell r="S3423" t="str">
            <v>PENDIENTE</v>
          </cell>
          <cell r="T3423">
            <v>0</v>
          </cell>
          <cell r="U3423" t="str">
            <v>CONDORI CHURATA ALEX</v>
          </cell>
          <cell r="V3423" t="str">
            <v>CORIHUAMAN SURCO  ERICK ROBERT</v>
          </cell>
        </row>
        <row r="3424">
          <cell r="A3424">
            <v>3433</v>
          </cell>
          <cell r="B3424">
            <v>42730</v>
          </cell>
          <cell r="C3424" t="str">
            <v>DICIEMBRE</v>
          </cell>
          <cell r="D3424" t="str">
            <v>2016</v>
          </cell>
          <cell r="E3424">
            <v>678</v>
          </cell>
          <cell r="F3424" t="str">
            <v>D6G-805</v>
          </cell>
          <cell r="G3424" t="str">
            <v>T4Z-996</v>
          </cell>
          <cell r="H3424" t="str">
            <v>LAS BAMBAS</v>
          </cell>
          <cell r="I3424">
            <v>225601</v>
          </cell>
          <cell r="J3424" t="str">
            <v>REPUESTO</v>
          </cell>
          <cell r="K3424" t="str">
            <v>TECLA ELEVALUNA LADO IZQUIERDO</v>
          </cell>
          <cell r="L3424">
            <v>1</v>
          </cell>
          <cell r="M3424" t="str">
            <v>UNID.</v>
          </cell>
          <cell r="N3424" t="str">
            <v>TRACTO</v>
          </cell>
          <cell r="O3424">
            <v>60</v>
          </cell>
          <cell r="P3424" t="str">
            <v>E1</v>
          </cell>
          <cell r="Q3424" t="str">
            <v>J2</v>
          </cell>
          <cell r="R3424" t="str">
            <v>J5</v>
          </cell>
          <cell r="S3424" t="str">
            <v>PENDIENTE</v>
          </cell>
          <cell r="T3424">
            <v>0</v>
          </cell>
          <cell r="U3424" t="str">
            <v>PALOMINO CARDENAS JUAN CARLOS</v>
          </cell>
          <cell r="V3424" t="str">
            <v>CORIHUAMAN SURCO  ERICK ROBERT</v>
          </cell>
        </row>
        <row r="3425">
          <cell r="A3425">
            <v>3434</v>
          </cell>
          <cell r="B3425">
            <v>42730</v>
          </cell>
          <cell r="C3425" t="str">
            <v>DICIEMBRE</v>
          </cell>
          <cell r="D3425" t="str">
            <v>2016</v>
          </cell>
          <cell r="E3425">
            <v>678</v>
          </cell>
          <cell r="F3425" t="str">
            <v>D6G-805</v>
          </cell>
          <cell r="G3425" t="str">
            <v>T4Z-996</v>
          </cell>
          <cell r="H3425" t="str">
            <v>LAS BAMBAS</v>
          </cell>
          <cell r="I3425">
            <v>225601</v>
          </cell>
          <cell r="J3425" t="str">
            <v>REPUESTO</v>
          </cell>
          <cell r="K3425" t="str">
            <v>TECLA ELEVALUNA LADO IZQUIERDO</v>
          </cell>
          <cell r="L3425">
            <v>1</v>
          </cell>
          <cell r="M3425" t="str">
            <v>UNID.</v>
          </cell>
          <cell r="N3425" t="str">
            <v>TRACTO</v>
          </cell>
          <cell r="O3425">
            <v>60</v>
          </cell>
          <cell r="P3425" t="str">
            <v>E1</v>
          </cell>
          <cell r="Q3425" t="str">
            <v>J2</v>
          </cell>
          <cell r="R3425" t="str">
            <v>J5</v>
          </cell>
          <cell r="S3425" t="str">
            <v>PENDIENTE</v>
          </cell>
          <cell r="T3425">
            <v>0</v>
          </cell>
          <cell r="U3425" t="str">
            <v>PALOMINO CARDENAS JUAN CARLOS</v>
          </cell>
          <cell r="V3425" t="str">
            <v>CORIHUAMAN SURCO  ERICK ROBERT</v>
          </cell>
        </row>
        <row r="3426">
          <cell r="A3426">
            <v>3378</v>
          </cell>
          <cell r="B3426">
            <v>42730</v>
          </cell>
          <cell r="C3426" t="str">
            <v>DICIEMBRE</v>
          </cell>
          <cell r="D3426" t="str">
            <v>2016</v>
          </cell>
          <cell r="E3426">
            <v>200</v>
          </cell>
          <cell r="F3426" t="str">
            <v>TALLER</v>
          </cell>
          <cell r="G3426" t="str">
            <v>TALLER</v>
          </cell>
          <cell r="H3426" t="str">
            <v>TALLER</v>
          </cell>
          <cell r="I3426" t="str">
            <v>TALLER</v>
          </cell>
          <cell r="J3426" t="str">
            <v>INSUMO TALLER</v>
          </cell>
          <cell r="K3426" t="str">
            <v>SACAVALVULA COLOR AZUL</v>
          </cell>
          <cell r="L3426">
            <v>1</v>
          </cell>
          <cell r="M3426" t="str">
            <v>UNID.</v>
          </cell>
          <cell r="N3426" t="str">
            <v>TALLER</v>
          </cell>
          <cell r="O3426">
            <v>60</v>
          </cell>
          <cell r="P3426" t="str">
            <v>N2</v>
          </cell>
          <cell r="Q3426" t="str">
            <v>J3</v>
          </cell>
          <cell r="R3426" t="str">
            <v>J6</v>
          </cell>
          <cell r="S3426" t="str">
            <v>PENDIENTE</v>
          </cell>
          <cell r="T3426">
            <v>0</v>
          </cell>
          <cell r="U3426" t="str">
            <v>MAMANI LARICO  EDUARDO ALVARO</v>
          </cell>
          <cell r="V3426" t="str">
            <v>CHURA PIZARRO ALBERTO</v>
          </cell>
        </row>
        <row r="3427">
          <cell r="A3427">
            <v>3379</v>
          </cell>
          <cell r="B3427">
            <v>42730</v>
          </cell>
          <cell r="C3427" t="str">
            <v>DICIEMBRE</v>
          </cell>
          <cell r="D3427" t="str">
            <v>2016</v>
          </cell>
          <cell r="E3427">
            <v>200</v>
          </cell>
          <cell r="F3427" t="str">
            <v>TALLER</v>
          </cell>
          <cell r="G3427" t="str">
            <v>TALLER</v>
          </cell>
          <cell r="H3427" t="str">
            <v>TALLER</v>
          </cell>
          <cell r="I3427" t="str">
            <v>TALLER</v>
          </cell>
          <cell r="J3427" t="str">
            <v>INSUMO TALLER</v>
          </cell>
          <cell r="K3427" t="str">
            <v>CINTA NEGRA</v>
          </cell>
          <cell r="L3427">
            <v>1</v>
          </cell>
          <cell r="M3427" t="str">
            <v>UNID.</v>
          </cell>
          <cell r="N3427" t="str">
            <v>TALLER</v>
          </cell>
          <cell r="O3427">
            <v>60</v>
          </cell>
          <cell r="P3427" t="str">
            <v>E2</v>
          </cell>
          <cell r="Q3427" t="str">
            <v>J2</v>
          </cell>
          <cell r="R3427" t="str">
            <v>J6</v>
          </cell>
          <cell r="S3427" t="str">
            <v>PENDIENTE</v>
          </cell>
          <cell r="T3427">
            <v>0</v>
          </cell>
          <cell r="U3427" t="str">
            <v>YUCA BELLIDO BORIS YERSY</v>
          </cell>
          <cell r="V3427" t="str">
            <v>CORIHUAMAN SURCO  ERICK ROBERT</v>
          </cell>
        </row>
        <row r="3428">
          <cell r="A3428">
            <v>3380</v>
          </cell>
          <cell r="B3428">
            <v>42730</v>
          </cell>
          <cell r="C3428" t="str">
            <v>DICIEMBRE</v>
          </cell>
          <cell r="D3428" t="str">
            <v>2016</v>
          </cell>
          <cell r="E3428">
            <v>200</v>
          </cell>
          <cell r="F3428" t="str">
            <v>TALLER</v>
          </cell>
          <cell r="G3428" t="str">
            <v>TALLER</v>
          </cell>
          <cell r="H3428" t="str">
            <v>TALLER</v>
          </cell>
          <cell r="I3428" t="str">
            <v>TALLER</v>
          </cell>
          <cell r="J3428" t="str">
            <v>INSUMO TALLER</v>
          </cell>
          <cell r="K3428" t="str">
            <v>FOCO DE UN CONTACTO DE 12 V</v>
          </cell>
          <cell r="L3428">
            <v>1</v>
          </cell>
          <cell r="M3428" t="str">
            <v>UNID.</v>
          </cell>
          <cell r="N3428" t="str">
            <v>TALLER</v>
          </cell>
          <cell r="O3428">
            <v>60</v>
          </cell>
          <cell r="P3428" t="str">
            <v>E2</v>
          </cell>
          <cell r="Q3428" t="str">
            <v>J2</v>
          </cell>
          <cell r="R3428" t="str">
            <v>J6</v>
          </cell>
          <cell r="S3428" t="str">
            <v>PENDIENTE</v>
          </cell>
          <cell r="T3428">
            <v>0</v>
          </cell>
          <cell r="U3428" t="str">
            <v>YUCA BELLIDO BORIS YERSY</v>
          </cell>
          <cell r="V3428" t="str">
            <v>CORIHUAMAN SURCO  ERICK ROBERT</v>
          </cell>
        </row>
        <row r="3429">
          <cell r="A3429">
            <v>3384</v>
          </cell>
          <cell r="B3429">
            <v>42730</v>
          </cell>
          <cell r="C3429" t="str">
            <v>DICIEMBRE</v>
          </cell>
          <cell r="D3429" t="str">
            <v>2016</v>
          </cell>
          <cell r="E3429">
            <v>200</v>
          </cell>
          <cell r="F3429" t="str">
            <v>TALLER</v>
          </cell>
          <cell r="G3429" t="str">
            <v>TALLER</v>
          </cell>
          <cell r="H3429" t="str">
            <v>TALLER</v>
          </cell>
          <cell r="I3429" t="str">
            <v>TALLER</v>
          </cell>
          <cell r="J3429" t="str">
            <v>INSUMO TALLER</v>
          </cell>
          <cell r="K3429" t="str">
            <v>PLATINA 1 1/2 X 1/8 X 6</v>
          </cell>
          <cell r="L3429">
            <v>3</v>
          </cell>
          <cell r="M3429" t="str">
            <v>UNID.</v>
          </cell>
          <cell r="N3429" t="str">
            <v>TALLER</v>
          </cell>
          <cell r="O3429">
            <v>60</v>
          </cell>
          <cell r="P3429" t="str">
            <v>J1</v>
          </cell>
          <cell r="Q3429" t="str">
            <v>J1</v>
          </cell>
          <cell r="R3429" t="str">
            <v>J6</v>
          </cell>
          <cell r="S3429" t="str">
            <v>PENDIENTE</v>
          </cell>
          <cell r="T3429">
            <v>0</v>
          </cell>
          <cell r="U3429" t="str">
            <v>FLOREZ CONDORI  JOSE WILLIANS</v>
          </cell>
          <cell r="V3429" t="str">
            <v>FLOREZ CONDORI  JOSE WILLIANS</v>
          </cell>
        </row>
        <row r="3430">
          <cell r="A3430">
            <v>3385</v>
          </cell>
          <cell r="B3430">
            <v>42730</v>
          </cell>
          <cell r="C3430" t="str">
            <v>DICIEMBRE</v>
          </cell>
          <cell r="D3430" t="str">
            <v>2016</v>
          </cell>
          <cell r="E3430">
            <v>200</v>
          </cell>
          <cell r="F3430" t="str">
            <v>TALLER</v>
          </cell>
          <cell r="G3430" t="str">
            <v>TALLER</v>
          </cell>
          <cell r="H3430" t="str">
            <v>TALLER</v>
          </cell>
          <cell r="I3430" t="str">
            <v>TALLER</v>
          </cell>
          <cell r="J3430" t="str">
            <v>INSUMO TALLER</v>
          </cell>
          <cell r="K3430" t="str">
            <v>VARILLALISA REDONDA 3/8</v>
          </cell>
          <cell r="L3430">
            <v>3</v>
          </cell>
          <cell r="M3430" t="str">
            <v>UNID.</v>
          </cell>
          <cell r="N3430" t="str">
            <v>TALLER</v>
          </cell>
          <cell r="O3430">
            <v>60</v>
          </cell>
          <cell r="P3430" t="str">
            <v>J1</v>
          </cell>
          <cell r="Q3430" t="str">
            <v>J1</v>
          </cell>
          <cell r="R3430" t="str">
            <v>J6</v>
          </cell>
          <cell r="S3430" t="str">
            <v>PENDIENTE</v>
          </cell>
          <cell r="T3430">
            <v>0</v>
          </cell>
          <cell r="U3430" t="str">
            <v>FLOREZ CONDORI  JOSE WILLIANS</v>
          </cell>
          <cell r="V3430" t="str">
            <v>FLOREZ CONDORI  JOSE WILLIANS</v>
          </cell>
        </row>
        <row r="3431">
          <cell r="A3431">
            <v>3391</v>
          </cell>
          <cell r="B3431">
            <v>42730</v>
          </cell>
          <cell r="C3431" t="str">
            <v>DICIEMBRE</v>
          </cell>
          <cell r="D3431" t="str">
            <v>2016</v>
          </cell>
          <cell r="E3431">
            <v>200</v>
          </cell>
          <cell r="F3431" t="str">
            <v>TALLER</v>
          </cell>
          <cell r="G3431" t="str">
            <v>TALLER</v>
          </cell>
          <cell r="H3431" t="str">
            <v>TALLER</v>
          </cell>
          <cell r="I3431" t="str">
            <v>TALLER</v>
          </cell>
          <cell r="J3431" t="str">
            <v>UNIFORMES</v>
          </cell>
          <cell r="K3431" t="str">
            <v>TAIVEX "L"</v>
          </cell>
          <cell r="L3431">
            <v>2</v>
          </cell>
          <cell r="M3431" t="str">
            <v>UNID.</v>
          </cell>
          <cell r="N3431" t="str">
            <v>TALLER</v>
          </cell>
          <cell r="O3431">
            <v>60</v>
          </cell>
          <cell r="P3431" t="str">
            <v>J3</v>
          </cell>
          <cell r="Q3431" t="str">
            <v>J3</v>
          </cell>
          <cell r="R3431" t="str">
            <v>J6</v>
          </cell>
          <cell r="S3431" t="str">
            <v>PENDIENTE</v>
          </cell>
          <cell r="T3431">
            <v>0</v>
          </cell>
          <cell r="U3431" t="str">
            <v>CHURA PIZARRO ALBERTO</v>
          </cell>
          <cell r="V3431" t="str">
            <v>CHURA PIZARRO ALBERTO</v>
          </cell>
        </row>
        <row r="3432">
          <cell r="A3432">
            <v>3404</v>
          </cell>
          <cell r="B3432">
            <v>42730</v>
          </cell>
          <cell r="C3432" t="str">
            <v>DICIEMBRE</v>
          </cell>
          <cell r="D3432" t="str">
            <v>2016</v>
          </cell>
          <cell r="E3432">
            <v>200</v>
          </cell>
          <cell r="F3432" t="str">
            <v>TALLER</v>
          </cell>
          <cell r="G3432" t="str">
            <v>TALLER</v>
          </cell>
          <cell r="H3432" t="str">
            <v>TALLER</v>
          </cell>
          <cell r="I3432" t="str">
            <v>TALLER</v>
          </cell>
          <cell r="J3432" t="str">
            <v>HERRAMIENTAS</v>
          </cell>
          <cell r="K3432" t="str">
            <v>LUNAS TRANSPARENTES</v>
          </cell>
          <cell r="L3432">
            <v>2</v>
          </cell>
          <cell r="M3432" t="str">
            <v>UNID.</v>
          </cell>
          <cell r="N3432" t="str">
            <v>TALLER</v>
          </cell>
          <cell r="O3432">
            <v>60</v>
          </cell>
          <cell r="P3432" t="str">
            <v>S1</v>
          </cell>
          <cell r="Q3432" t="str">
            <v>J2</v>
          </cell>
          <cell r="R3432" t="str">
            <v>J6</v>
          </cell>
          <cell r="S3432" t="str">
            <v>PENDIENTE</v>
          </cell>
          <cell r="T3432">
            <v>0</v>
          </cell>
          <cell r="U3432" t="str">
            <v>BAYONA CRUZ CRISTIAN ARMANDO</v>
          </cell>
          <cell r="V3432" t="str">
            <v>CORIHUAMAN SURCO  ERICK ROBERT</v>
          </cell>
        </row>
        <row r="3433">
          <cell r="A3433">
            <v>3439</v>
          </cell>
          <cell r="B3433">
            <v>42730</v>
          </cell>
          <cell r="C3433" t="str">
            <v>DICIEMBRE</v>
          </cell>
          <cell r="D3433" t="str">
            <v>2016</v>
          </cell>
          <cell r="E3433">
            <v>200</v>
          </cell>
          <cell r="F3433" t="str">
            <v>TALLER</v>
          </cell>
          <cell r="G3433" t="str">
            <v>TALLER</v>
          </cell>
          <cell r="H3433" t="str">
            <v>TALLER</v>
          </cell>
          <cell r="I3433" t="str">
            <v>TALLER</v>
          </cell>
          <cell r="J3433" t="str">
            <v>INSUMO TALLER</v>
          </cell>
          <cell r="K3433" t="str">
            <v xml:space="preserve">PINTURA ROJA </v>
          </cell>
          <cell r="L3433">
            <v>1</v>
          </cell>
          <cell r="M3433" t="str">
            <v>GLNS.</v>
          </cell>
          <cell r="N3433" t="str">
            <v>TALLER</v>
          </cell>
          <cell r="O3433">
            <v>60</v>
          </cell>
          <cell r="P3433" t="str">
            <v>S4</v>
          </cell>
          <cell r="Q3433" t="str">
            <v>J2</v>
          </cell>
          <cell r="R3433" t="str">
            <v>J5</v>
          </cell>
          <cell r="S3433" t="str">
            <v>PENDIENTE</v>
          </cell>
          <cell r="T3433">
            <v>0</v>
          </cell>
          <cell r="U3433" t="str">
            <v>SURCO QUISPE JOHNNY</v>
          </cell>
          <cell r="V3433" t="str">
            <v>CORIHUAMAN SURCO  ERICK ROBERT</v>
          </cell>
        </row>
        <row r="3434">
          <cell r="A3434">
            <v>3440</v>
          </cell>
          <cell r="B3434">
            <v>42730</v>
          </cell>
          <cell r="C3434" t="str">
            <v>DICIEMBRE</v>
          </cell>
          <cell r="D3434" t="str">
            <v>2016</v>
          </cell>
          <cell r="E3434">
            <v>200</v>
          </cell>
          <cell r="F3434" t="str">
            <v>TALLER</v>
          </cell>
          <cell r="G3434" t="str">
            <v>TALLER</v>
          </cell>
          <cell r="H3434" t="str">
            <v>TALLER</v>
          </cell>
          <cell r="I3434" t="str">
            <v>TALLER</v>
          </cell>
          <cell r="J3434" t="str">
            <v>INSUMO TALLER</v>
          </cell>
          <cell r="K3434" t="str">
            <v>PINTURA BASE VERDE</v>
          </cell>
          <cell r="L3434">
            <v>1</v>
          </cell>
          <cell r="M3434" t="str">
            <v>GLNS.</v>
          </cell>
          <cell r="N3434" t="str">
            <v>TALLER</v>
          </cell>
          <cell r="O3434">
            <v>60</v>
          </cell>
          <cell r="P3434" t="str">
            <v>S4</v>
          </cell>
          <cell r="Q3434" t="str">
            <v>J2</v>
          </cell>
          <cell r="R3434" t="str">
            <v>J5</v>
          </cell>
          <cell r="S3434" t="str">
            <v>PENDIENTE</v>
          </cell>
          <cell r="T3434">
            <v>0</v>
          </cell>
          <cell r="U3434" t="str">
            <v>SURCO QUISPE JOHNNY</v>
          </cell>
          <cell r="V3434" t="str">
            <v>CORIHUAMAN SURCO  ERICK ROBERT</v>
          </cell>
        </row>
        <row r="3435">
          <cell r="A3435">
            <v>3441</v>
          </cell>
          <cell r="B3435">
            <v>42730</v>
          </cell>
          <cell r="C3435" t="str">
            <v>DICIEMBRE</v>
          </cell>
          <cell r="D3435" t="str">
            <v>2016</v>
          </cell>
          <cell r="E3435">
            <v>200</v>
          </cell>
          <cell r="F3435" t="str">
            <v>TALLER</v>
          </cell>
          <cell r="G3435" t="str">
            <v>TALLER</v>
          </cell>
          <cell r="H3435" t="str">
            <v>TALLER</v>
          </cell>
          <cell r="I3435" t="str">
            <v>TALLER</v>
          </cell>
          <cell r="J3435" t="str">
            <v>INSUMO TALLER</v>
          </cell>
          <cell r="K3435" t="str">
            <v>THINNER</v>
          </cell>
          <cell r="L3435">
            <v>2</v>
          </cell>
          <cell r="M3435" t="str">
            <v>GLNS.</v>
          </cell>
          <cell r="N3435" t="str">
            <v>TALLER</v>
          </cell>
          <cell r="O3435">
            <v>60</v>
          </cell>
          <cell r="P3435" t="str">
            <v>S4</v>
          </cell>
          <cell r="Q3435" t="str">
            <v>J2</v>
          </cell>
          <cell r="R3435" t="str">
            <v>J5</v>
          </cell>
          <cell r="S3435" t="str">
            <v>PENDIENTE</v>
          </cell>
          <cell r="T3435">
            <v>0</v>
          </cell>
          <cell r="U3435" t="str">
            <v>SURCO QUISPE JOHNNY</v>
          </cell>
          <cell r="V3435" t="str">
            <v>CORIHUAMAN SURCO  ERICK ROBERT</v>
          </cell>
        </row>
        <row r="3436">
          <cell r="A3436">
            <v>3442</v>
          </cell>
          <cell r="B3436">
            <v>42730</v>
          </cell>
          <cell r="C3436" t="str">
            <v>DICIEMBRE</v>
          </cell>
          <cell r="D3436" t="str">
            <v>2016</v>
          </cell>
          <cell r="E3436">
            <v>200</v>
          </cell>
          <cell r="F3436" t="str">
            <v>TALLER</v>
          </cell>
          <cell r="G3436" t="str">
            <v>TALLER</v>
          </cell>
          <cell r="H3436" t="str">
            <v>TALLER</v>
          </cell>
          <cell r="I3436" t="str">
            <v>TALLER</v>
          </cell>
          <cell r="J3436" t="str">
            <v>SERVICIO</v>
          </cell>
          <cell r="K3436" t="str">
            <v>REPARACION DE ESMERIL</v>
          </cell>
          <cell r="L3436">
            <v>1</v>
          </cell>
          <cell r="M3436" t="str">
            <v>UNID.</v>
          </cell>
          <cell r="N3436" t="str">
            <v>TALLER</v>
          </cell>
          <cell r="O3436">
            <v>60</v>
          </cell>
          <cell r="P3436" t="str">
            <v>S1</v>
          </cell>
          <cell r="Q3436" t="str">
            <v>J1</v>
          </cell>
          <cell r="R3436" t="str">
            <v>J5</v>
          </cell>
          <cell r="S3436" t="str">
            <v>PENDIENTE</v>
          </cell>
          <cell r="T3436">
            <v>0</v>
          </cell>
          <cell r="U3436" t="str">
            <v>BAYONA CRUZ CRISTIAN ARMANDO</v>
          </cell>
          <cell r="V3436" t="str">
            <v>FLOREZ CONDORI  JOSE WILLIANS</v>
          </cell>
        </row>
        <row r="3437">
          <cell r="A3437">
            <v>3435</v>
          </cell>
          <cell r="B3437">
            <v>42730</v>
          </cell>
          <cell r="C3437" t="str">
            <v>DICIEMBRE</v>
          </cell>
          <cell r="D3437" t="str">
            <v>2016</v>
          </cell>
          <cell r="E3437">
            <v>654</v>
          </cell>
          <cell r="F3437" t="str">
            <v>X2W-760</v>
          </cell>
          <cell r="G3437" t="str">
            <v>C5V-992</v>
          </cell>
          <cell r="H3437" t="str">
            <v>LAS BAMBAS</v>
          </cell>
          <cell r="I3437">
            <v>151954</v>
          </cell>
          <cell r="J3437" t="str">
            <v>REPUESTO</v>
          </cell>
          <cell r="K3437" t="str">
            <v>BOLSA DE AIRE DE CABINA POSTERIOR (MERCEDES FREIGHTLINER)</v>
          </cell>
          <cell r="L3437">
            <v>1</v>
          </cell>
          <cell r="M3437" t="str">
            <v>UNID.</v>
          </cell>
          <cell r="N3437" t="str">
            <v>TRACTO</v>
          </cell>
          <cell r="O3437">
            <v>60</v>
          </cell>
          <cell r="P3437" t="str">
            <v>M4</v>
          </cell>
          <cell r="Q3437" t="str">
            <v>J2</v>
          </cell>
          <cell r="R3437" t="str">
            <v>J6</v>
          </cell>
          <cell r="S3437" t="str">
            <v>PENDIENTE</v>
          </cell>
          <cell r="T3437">
            <v>0</v>
          </cell>
          <cell r="U3437" t="str">
            <v>JULLIRI APAZA UBALDO</v>
          </cell>
          <cell r="V3437" t="str">
            <v>CORIHUAMAN SURCO  ERICK ROBERT</v>
          </cell>
        </row>
        <row r="3438">
          <cell r="A3438">
            <v>3437</v>
          </cell>
          <cell r="B3438">
            <v>42730</v>
          </cell>
          <cell r="C3438" t="str">
            <v>DICIEMBRE</v>
          </cell>
          <cell r="D3438" t="str">
            <v>2016</v>
          </cell>
          <cell r="E3438">
            <v>654</v>
          </cell>
          <cell r="F3438" t="str">
            <v>X2W-760</v>
          </cell>
          <cell r="G3438" t="str">
            <v>C5V-992</v>
          </cell>
          <cell r="H3438" t="str">
            <v>LAS BAMBAS</v>
          </cell>
          <cell r="I3438">
            <v>151954</v>
          </cell>
          <cell r="J3438" t="str">
            <v>REPUESTO</v>
          </cell>
          <cell r="K3438" t="str">
            <v>FILTRO DE COMBUSTIBLE PRIMARIO TIPO CARTUCHO</v>
          </cell>
          <cell r="L3438">
            <v>1</v>
          </cell>
          <cell r="M3438" t="str">
            <v>UNID.</v>
          </cell>
          <cell r="N3438" t="str">
            <v>TRACTO</v>
          </cell>
          <cell r="O3438">
            <v>60</v>
          </cell>
          <cell r="P3438" t="str">
            <v>M4</v>
          </cell>
          <cell r="Q3438" t="str">
            <v>J2</v>
          </cell>
          <cell r="R3438" t="str">
            <v>J6</v>
          </cell>
          <cell r="S3438" t="str">
            <v>PENDIENTE</v>
          </cell>
          <cell r="T3438">
            <v>0</v>
          </cell>
          <cell r="U3438" t="str">
            <v>JULLIRI APAZA UBALDO</v>
          </cell>
          <cell r="V3438" t="str">
            <v>CORIHUAMAN SURCO  ERICK ROBERT</v>
          </cell>
        </row>
        <row r="3439">
          <cell r="A3439">
            <v>3443</v>
          </cell>
          <cell r="B3439">
            <v>42730</v>
          </cell>
          <cell r="C3439" t="str">
            <v>DICIEMBRE</v>
          </cell>
          <cell r="D3439" t="str">
            <v>2016</v>
          </cell>
          <cell r="E3439">
            <v>654</v>
          </cell>
          <cell r="F3439" t="str">
            <v>X2W-760</v>
          </cell>
          <cell r="G3439" t="str">
            <v>C5V-992</v>
          </cell>
          <cell r="H3439" t="str">
            <v>LAS BAMBAS</v>
          </cell>
          <cell r="I3439">
            <v>151954</v>
          </cell>
          <cell r="J3439" t="str">
            <v>REPUESTO</v>
          </cell>
          <cell r="K3439" t="str">
            <v>KIT DE REPARACION DE SECADOR MODELO AD-9</v>
          </cell>
          <cell r="L3439">
            <v>1</v>
          </cell>
          <cell r="M3439" t="str">
            <v>UNID.</v>
          </cell>
          <cell r="N3439" t="str">
            <v>TRACTO</v>
          </cell>
          <cell r="O3439">
            <v>60</v>
          </cell>
          <cell r="P3439" t="str">
            <v>M4</v>
          </cell>
          <cell r="Q3439" t="str">
            <v>J1</v>
          </cell>
          <cell r="R3439" t="str">
            <v>J5</v>
          </cell>
          <cell r="S3439" t="str">
            <v>PENDIENTE</v>
          </cell>
          <cell r="T3439">
            <v>0</v>
          </cell>
          <cell r="U3439" t="str">
            <v>JULLIRI APAZA UBALDO</v>
          </cell>
          <cell r="V3439" t="str">
            <v>FLOREZ CONDORI  JOSE WILLIANS</v>
          </cell>
        </row>
        <row r="3440">
          <cell r="A3440">
            <v>3444</v>
          </cell>
          <cell r="B3440">
            <v>42730</v>
          </cell>
          <cell r="C3440" t="str">
            <v>DICIEMBRE</v>
          </cell>
          <cell r="D3440" t="str">
            <v>2016</v>
          </cell>
          <cell r="E3440">
            <v>654</v>
          </cell>
          <cell r="F3440" t="str">
            <v>X2W-760</v>
          </cell>
          <cell r="G3440" t="str">
            <v>C5V-992</v>
          </cell>
          <cell r="H3440" t="str">
            <v>LAS BAMBAS</v>
          </cell>
          <cell r="I3440">
            <v>151954</v>
          </cell>
          <cell r="J3440" t="str">
            <v>REPUESTO</v>
          </cell>
          <cell r="K3440" t="str">
            <v>FILTRO DE SECADOR</v>
          </cell>
          <cell r="L3440">
            <v>1</v>
          </cell>
          <cell r="M3440" t="str">
            <v>UNID.</v>
          </cell>
          <cell r="N3440" t="str">
            <v>TRACTO</v>
          </cell>
          <cell r="O3440">
            <v>60</v>
          </cell>
          <cell r="P3440" t="str">
            <v>M4</v>
          </cell>
          <cell r="Q3440" t="str">
            <v>J1</v>
          </cell>
          <cell r="R3440" t="str">
            <v>J5</v>
          </cell>
          <cell r="S3440" t="str">
            <v>PENDIENTE</v>
          </cell>
          <cell r="T3440">
            <v>0</v>
          </cell>
          <cell r="U3440" t="str">
            <v>JULLIRI APAZA UBALDO</v>
          </cell>
          <cell r="V3440" t="str">
            <v>FLOREZ CONDORI  JOSE WILLIANS</v>
          </cell>
        </row>
        <row r="3441">
          <cell r="A3441">
            <v>3405</v>
          </cell>
          <cell r="B3441">
            <v>42730</v>
          </cell>
          <cell r="C3441" t="str">
            <v>DICIEMBRE</v>
          </cell>
          <cell r="D3441" t="str">
            <v>2016</v>
          </cell>
          <cell r="E3441">
            <v>682</v>
          </cell>
          <cell r="F3441" t="str">
            <v>X2W-761</v>
          </cell>
          <cell r="G3441" t="str">
            <v>C5V-996</v>
          </cell>
          <cell r="H3441" t="str">
            <v>LAS BAMBAS</v>
          </cell>
          <cell r="I3441">
            <v>146329</v>
          </cell>
          <cell r="J3441" t="str">
            <v>REPUESTO</v>
          </cell>
          <cell r="K3441" t="str">
            <v>SOCKET DE FOCO LAGRIMON</v>
          </cell>
          <cell r="L3441">
            <v>1</v>
          </cell>
          <cell r="M3441" t="str">
            <v>UNID.</v>
          </cell>
          <cell r="N3441" t="str">
            <v>TRACTO</v>
          </cell>
          <cell r="O3441">
            <v>60</v>
          </cell>
          <cell r="P3441" t="str">
            <v>E1</v>
          </cell>
          <cell r="Q3441" t="str">
            <v>J2</v>
          </cell>
          <cell r="R3441" t="str">
            <v>J5</v>
          </cell>
          <cell r="S3441" t="str">
            <v>PENDIENTE</v>
          </cell>
          <cell r="T3441">
            <v>0</v>
          </cell>
          <cell r="U3441" t="str">
            <v>PALOMINO CARDENAS JUAN CARLOS</v>
          </cell>
          <cell r="V3441" t="str">
            <v>CORIHUAMAN SURCO  ERICK ROBERT</v>
          </cell>
        </row>
        <row r="3442">
          <cell r="A3442">
            <v>3406</v>
          </cell>
          <cell r="B3442">
            <v>42730</v>
          </cell>
          <cell r="C3442" t="str">
            <v>DICIEMBRE</v>
          </cell>
          <cell r="D3442" t="str">
            <v>2016</v>
          </cell>
          <cell r="E3442">
            <v>682</v>
          </cell>
          <cell r="F3442" t="str">
            <v>X2W-761</v>
          </cell>
          <cell r="G3442" t="str">
            <v>C5V-996</v>
          </cell>
          <cell r="H3442" t="str">
            <v>LAS BAMBAS</v>
          </cell>
          <cell r="I3442">
            <v>146329</v>
          </cell>
          <cell r="J3442" t="str">
            <v>REPUESTO</v>
          </cell>
          <cell r="K3442" t="str">
            <v>FOCO LAGRIMON AMBAR DE 12 V</v>
          </cell>
          <cell r="L3442">
            <v>1</v>
          </cell>
          <cell r="M3442" t="str">
            <v>UNID.</v>
          </cell>
          <cell r="N3442" t="str">
            <v>TRACTO</v>
          </cell>
          <cell r="O3442">
            <v>60</v>
          </cell>
          <cell r="P3442" t="str">
            <v>E1</v>
          </cell>
          <cell r="Q3442" t="str">
            <v>J2</v>
          </cell>
          <cell r="R3442" t="str">
            <v>J5</v>
          </cell>
          <cell r="S3442" t="str">
            <v>PENDIENTE</v>
          </cell>
          <cell r="T3442">
            <v>0</v>
          </cell>
          <cell r="U3442" t="str">
            <v>PALOMINO CARDENAS JUAN CARLOS</v>
          </cell>
          <cell r="V3442" t="str">
            <v>CORIHUAMAN SURCO  ERICK ROBERT</v>
          </cell>
        </row>
        <row r="3443">
          <cell r="A3443">
            <v>3411</v>
          </cell>
          <cell r="B3443">
            <v>42730</v>
          </cell>
          <cell r="C3443" t="str">
            <v>DICIEMBRE</v>
          </cell>
          <cell r="D3443" t="str">
            <v>2016</v>
          </cell>
          <cell r="E3443">
            <v>682</v>
          </cell>
          <cell r="F3443" t="str">
            <v>X2W-761</v>
          </cell>
          <cell r="G3443" t="str">
            <v>C5V-996</v>
          </cell>
          <cell r="H3443" t="str">
            <v>LAS BAMBAS</v>
          </cell>
          <cell r="I3443">
            <v>146329</v>
          </cell>
          <cell r="J3443" t="str">
            <v>REPUESTO</v>
          </cell>
          <cell r="K3443" t="str">
            <v>LIQUIDO LIMPIAPARABRISAS</v>
          </cell>
          <cell r="L3443">
            <v>1</v>
          </cell>
          <cell r="M3443" t="str">
            <v>UNID.</v>
          </cell>
          <cell r="N3443" t="str">
            <v>TRACTO</v>
          </cell>
          <cell r="O3443">
            <v>60</v>
          </cell>
          <cell r="P3443" t="str">
            <v>M1</v>
          </cell>
          <cell r="Q3443" t="str">
            <v>J2</v>
          </cell>
          <cell r="R3443" t="str">
            <v>J5</v>
          </cell>
          <cell r="S3443" t="str">
            <v>PENDIENTE</v>
          </cell>
          <cell r="T3443">
            <v>0</v>
          </cell>
          <cell r="U3443" t="str">
            <v>CABEZAS SANCHEZ JEAN JHONATAN</v>
          </cell>
          <cell r="V3443" t="str">
            <v>CORIHUAMAN SURCO  ERICK ROBERT</v>
          </cell>
        </row>
        <row r="3444">
          <cell r="A3444">
            <v>3412</v>
          </cell>
          <cell r="B3444">
            <v>42730</v>
          </cell>
          <cell r="C3444" t="str">
            <v>DICIEMBRE</v>
          </cell>
          <cell r="D3444" t="str">
            <v>2016</v>
          </cell>
          <cell r="E3444">
            <v>682</v>
          </cell>
          <cell r="F3444" t="str">
            <v>X2W-761</v>
          </cell>
          <cell r="G3444" t="str">
            <v>C5V-996</v>
          </cell>
          <cell r="H3444" t="str">
            <v>LAS BAMBAS</v>
          </cell>
          <cell r="I3444">
            <v>146329</v>
          </cell>
          <cell r="J3444" t="str">
            <v>REPUESTO</v>
          </cell>
          <cell r="K3444" t="str">
            <v>LIQUIDO REFRIGERANTE</v>
          </cell>
          <cell r="L3444">
            <v>1</v>
          </cell>
          <cell r="M3444" t="str">
            <v>UNID.</v>
          </cell>
          <cell r="N3444" t="str">
            <v>TRACTO</v>
          </cell>
          <cell r="O3444">
            <v>60</v>
          </cell>
          <cell r="P3444" t="str">
            <v>M1</v>
          </cell>
          <cell r="Q3444" t="str">
            <v>J2</v>
          </cell>
          <cell r="R3444" t="str">
            <v>J5</v>
          </cell>
          <cell r="S3444" t="str">
            <v>PENDIENTE</v>
          </cell>
          <cell r="T3444">
            <v>0</v>
          </cell>
          <cell r="U3444" t="str">
            <v>CABEZAS SANCHEZ JEAN JHONATAN</v>
          </cell>
          <cell r="V3444" t="str">
            <v>CORIHUAMAN SURCO  ERICK ROBERT</v>
          </cell>
        </row>
        <row r="3445">
          <cell r="A3445">
            <v>3413</v>
          </cell>
          <cell r="B3445">
            <v>42730</v>
          </cell>
          <cell r="C3445" t="str">
            <v>DICIEMBRE</v>
          </cell>
          <cell r="D3445" t="str">
            <v>2016</v>
          </cell>
          <cell r="E3445">
            <v>682</v>
          </cell>
          <cell r="F3445" t="str">
            <v>X2W-761</v>
          </cell>
          <cell r="G3445" t="str">
            <v>C5V-996</v>
          </cell>
          <cell r="H3445" t="str">
            <v>LAS BAMBAS</v>
          </cell>
          <cell r="I3445">
            <v>146329</v>
          </cell>
          <cell r="J3445" t="str">
            <v>REPUESTO</v>
          </cell>
          <cell r="K3445" t="str">
            <v>ACEITE 15W40</v>
          </cell>
          <cell r="L3445">
            <v>1</v>
          </cell>
          <cell r="M3445" t="str">
            <v>UNID.</v>
          </cell>
          <cell r="N3445" t="str">
            <v>TRACTO</v>
          </cell>
          <cell r="O3445">
            <v>60</v>
          </cell>
          <cell r="P3445" t="str">
            <v>M1</v>
          </cell>
          <cell r="Q3445" t="str">
            <v>J2</v>
          </cell>
          <cell r="R3445" t="str">
            <v>J5</v>
          </cell>
          <cell r="S3445" t="str">
            <v>PENDIENTE</v>
          </cell>
          <cell r="T3445">
            <v>0</v>
          </cell>
          <cell r="U3445" t="str">
            <v>CABEZAS SANCHEZ JEAN JHONATAN</v>
          </cell>
          <cell r="V3445" t="str">
            <v>CORIHUAMAN SURCO  ERICK ROBERT</v>
          </cell>
        </row>
        <row r="3446">
          <cell r="A3446">
            <v>3426</v>
          </cell>
          <cell r="B3446">
            <v>42730</v>
          </cell>
          <cell r="C3446" t="str">
            <v>DICIEMBRE</v>
          </cell>
          <cell r="D3446" t="str">
            <v>2016</v>
          </cell>
          <cell r="E3446">
            <v>682</v>
          </cell>
          <cell r="F3446" t="str">
            <v>X2W-761</v>
          </cell>
          <cell r="G3446" t="str">
            <v>C5V-996</v>
          </cell>
          <cell r="H3446" t="str">
            <v>LAS BAMBAS</v>
          </cell>
          <cell r="I3446">
            <v>146329</v>
          </cell>
          <cell r="J3446" t="str">
            <v>REPUESTO</v>
          </cell>
          <cell r="K3446" t="str">
            <v>TERMINAL OJO 3/8</v>
          </cell>
          <cell r="L3446">
            <v>1</v>
          </cell>
          <cell r="M3446" t="str">
            <v>UNID.</v>
          </cell>
          <cell r="N3446" t="str">
            <v>TRACTO</v>
          </cell>
          <cell r="O3446">
            <v>60</v>
          </cell>
          <cell r="P3446" t="str">
            <v>E3</v>
          </cell>
          <cell r="Q3446" t="str">
            <v>J2</v>
          </cell>
          <cell r="R3446" t="str">
            <v>J5</v>
          </cell>
          <cell r="S3446" t="str">
            <v>PENDIENTE</v>
          </cell>
          <cell r="T3446">
            <v>0</v>
          </cell>
          <cell r="U3446" t="str">
            <v>CONDORI CHURATA ALEX</v>
          </cell>
          <cell r="V3446" t="str">
            <v>CORIHUAMAN SURCO  ERICK ROBERT</v>
          </cell>
        </row>
        <row r="3447">
          <cell r="A3447">
            <v>3427</v>
          </cell>
          <cell r="B3447">
            <v>42730</v>
          </cell>
          <cell r="C3447" t="str">
            <v>DICIEMBRE</v>
          </cell>
          <cell r="D3447" t="str">
            <v>2016</v>
          </cell>
          <cell r="E3447">
            <v>682</v>
          </cell>
          <cell r="F3447" t="str">
            <v>X2W-761</v>
          </cell>
          <cell r="G3447" t="str">
            <v>C5V-996</v>
          </cell>
          <cell r="H3447" t="str">
            <v>LAS BAMBAS</v>
          </cell>
          <cell r="I3447">
            <v>146329</v>
          </cell>
          <cell r="J3447" t="str">
            <v>REPUESTO</v>
          </cell>
          <cell r="K3447" t="str">
            <v>PRECINTOS 200</v>
          </cell>
          <cell r="L3447">
            <v>10</v>
          </cell>
          <cell r="M3447" t="str">
            <v>UNID.</v>
          </cell>
          <cell r="N3447" t="str">
            <v>TRACTO</v>
          </cell>
          <cell r="O3447">
            <v>60</v>
          </cell>
          <cell r="P3447" t="str">
            <v>E3</v>
          </cell>
          <cell r="Q3447" t="str">
            <v>J2</v>
          </cell>
          <cell r="R3447" t="str">
            <v>J5</v>
          </cell>
          <cell r="S3447" t="str">
            <v>PENDIENTE</v>
          </cell>
          <cell r="T3447">
            <v>0</v>
          </cell>
          <cell r="U3447" t="str">
            <v>CONDORI CHURATA ALEX</v>
          </cell>
          <cell r="V3447" t="str">
            <v>CORIHUAMAN SURCO  ERICK ROBERT</v>
          </cell>
        </row>
        <row r="3448">
          <cell r="A3448">
            <v>3447</v>
          </cell>
          <cell r="B3448">
            <v>42731</v>
          </cell>
          <cell r="C3448" t="str">
            <v>DICIEMBRE</v>
          </cell>
          <cell r="D3448" t="str">
            <v>2016</v>
          </cell>
          <cell r="E3448">
            <v>641</v>
          </cell>
          <cell r="F3448" t="str">
            <v>ABQ-780</v>
          </cell>
          <cell r="G3448" t="str">
            <v>C9S-990</v>
          </cell>
          <cell r="H3448" t="str">
            <v>LAS BAMBAS</v>
          </cell>
          <cell r="I3448">
            <v>118246</v>
          </cell>
          <cell r="J3448" t="str">
            <v>REPUESTO</v>
          </cell>
          <cell r="K3448" t="str">
            <v>PERNO MANHOLE 3/8 X 6</v>
          </cell>
          <cell r="L3448">
            <v>1</v>
          </cell>
          <cell r="M3448" t="str">
            <v>UNID.</v>
          </cell>
          <cell r="N3448" t="str">
            <v>TRACTO</v>
          </cell>
          <cell r="O3448">
            <v>59</v>
          </cell>
          <cell r="P3448" t="str">
            <v>S2</v>
          </cell>
          <cell r="Q3448" t="str">
            <v>J2</v>
          </cell>
          <cell r="R3448" t="str">
            <v>J6</v>
          </cell>
          <cell r="S3448" t="str">
            <v>PENDIENTE</v>
          </cell>
          <cell r="T3448">
            <v>0</v>
          </cell>
          <cell r="U3448" t="str">
            <v>PALOMINO ESTRADA  MICHEL</v>
          </cell>
          <cell r="V3448" t="str">
            <v>CORIHUAMAN SURCO  ERICK ROBERT</v>
          </cell>
        </row>
        <row r="3449">
          <cell r="A3449">
            <v>3448</v>
          </cell>
          <cell r="B3449">
            <v>42731</v>
          </cell>
          <cell r="C3449" t="str">
            <v>DICIEMBRE</v>
          </cell>
          <cell r="D3449" t="str">
            <v>2016</v>
          </cell>
          <cell r="E3449">
            <v>641</v>
          </cell>
          <cell r="F3449" t="str">
            <v>ABQ-780</v>
          </cell>
          <cell r="G3449" t="str">
            <v>C9S-990</v>
          </cell>
          <cell r="H3449" t="str">
            <v>LAS BAMBAS</v>
          </cell>
          <cell r="I3449">
            <v>118246</v>
          </cell>
          <cell r="J3449" t="str">
            <v>REPUESTO</v>
          </cell>
          <cell r="K3449" t="str">
            <v>TUERCA 3/8</v>
          </cell>
          <cell r="L3449">
            <v>1</v>
          </cell>
          <cell r="M3449" t="str">
            <v>UNID.</v>
          </cell>
          <cell r="N3449" t="str">
            <v>TRACTO</v>
          </cell>
          <cell r="O3449">
            <v>59</v>
          </cell>
          <cell r="P3449" t="str">
            <v>S2</v>
          </cell>
          <cell r="Q3449" t="str">
            <v>J2</v>
          </cell>
          <cell r="R3449" t="str">
            <v>J6</v>
          </cell>
          <cell r="S3449" t="str">
            <v>PENDIENTE</v>
          </cell>
          <cell r="T3449">
            <v>0</v>
          </cell>
          <cell r="U3449" t="str">
            <v>PALOMINO ESTRADA  MICHEL</v>
          </cell>
          <cell r="V3449" t="str">
            <v>CORIHUAMAN SURCO  ERICK ROBERT</v>
          </cell>
        </row>
        <row r="3450">
          <cell r="A3450">
            <v>3464</v>
          </cell>
          <cell r="B3450">
            <v>42731</v>
          </cell>
          <cell r="C3450" t="str">
            <v>DICIEMBRE</v>
          </cell>
          <cell r="D3450" t="str">
            <v>2016</v>
          </cell>
          <cell r="E3450">
            <v>641</v>
          </cell>
          <cell r="F3450" t="str">
            <v>ABQ-780</v>
          </cell>
          <cell r="G3450" t="str">
            <v>C9S-990</v>
          </cell>
          <cell r="H3450" t="str">
            <v>LAS BAMBAS</v>
          </cell>
          <cell r="I3450">
            <v>118246</v>
          </cell>
          <cell r="J3450" t="str">
            <v>INSUMO TALLER</v>
          </cell>
          <cell r="K3450" t="str">
            <v>SPRAY VERDE</v>
          </cell>
          <cell r="L3450">
            <v>1</v>
          </cell>
          <cell r="M3450" t="str">
            <v>UNID.</v>
          </cell>
          <cell r="N3450" t="str">
            <v>CISTERNA</v>
          </cell>
          <cell r="O3450">
            <v>59</v>
          </cell>
          <cell r="P3450" t="str">
            <v>S1</v>
          </cell>
          <cell r="Q3450" t="str">
            <v>J2</v>
          </cell>
          <cell r="R3450" t="str">
            <v>J5</v>
          </cell>
          <cell r="S3450" t="str">
            <v>PENDIENTE</v>
          </cell>
          <cell r="T3450">
            <v>0</v>
          </cell>
          <cell r="U3450" t="str">
            <v>BAYONA CRUZ CRISTIAN ARMANDO</v>
          </cell>
          <cell r="V3450" t="str">
            <v>CORIHUAMAN SURCO  ERICK ROBERT</v>
          </cell>
        </row>
        <row r="3451">
          <cell r="A3451">
            <v>3474</v>
          </cell>
          <cell r="B3451">
            <v>42731</v>
          </cell>
          <cell r="C3451" t="str">
            <v>DICIEMBRE</v>
          </cell>
          <cell r="D3451" t="str">
            <v>2016</v>
          </cell>
          <cell r="E3451">
            <v>641</v>
          </cell>
          <cell r="F3451" t="str">
            <v>ABQ-780</v>
          </cell>
          <cell r="G3451" t="str">
            <v>C9S-990</v>
          </cell>
          <cell r="H3451" t="str">
            <v>LAS BAMBAS</v>
          </cell>
          <cell r="I3451">
            <v>118246</v>
          </cell>
          <cell r="J3451" t="str">
            <v>REPUESTO</v>
          </cell>
          <cell r="K3451" t="str">
            <v>PERNO MANHOLE 3/8 X 6</v>
          </cell>
          <cell r="L3451">
            <v>1</v>
          </cell>
          <cell r="M3451" t="str">
            <v>UNID.</v>
          </cell>
          <cell r="N3451" t="str">
            <v>CISTERNA</v>
          </cell>
          <cell r="O3451">
            <v>59</v>
          </cell>
          <cell r="P3451" t="str">
            <v>S3</v>
          </cell>
          <cell r="Q3451" t="str">
            <v>J2</v>
          </cell>
          <cell r="R3451" t="str">
            <v>J5</v>
          </cell>
          <cell r="S3451" t="str">
            <v>PENDIENTE</v>
          </cell>
          <cell r="T3451">
            <v>0</v>
          </cell>
          <cell r="U3451" t="str">
            <v>JIMENEZ MACHACA JAVIER</v>
          </cell>
          <cell r="V3451" t="str">
            <v>CORIHUAMAN SURCO  ERICK ROBERT</v>
          </cell>
        </row>
        <row r="3452">
          <cell r="A3452">
            <v>3475</v>
          </cell>
          <cell r="B3452">
            <v>42731</v>
          </cell>
          <cell r="C3452" t="str">
            <v>DICIEMBRE</v>
          </cell>
          <cell r="D3452" t="str">
            <v>2016</v>
          </cell>
          <cell r="E3452">
            <v>641</v>
          </cell>
          <cell r="F3452" t="str">
            <v>ABQ-780</v>
          </cell>
          <cell r="G3452" t="str">
            <v>C9S-990</v>
          </cell>
          <cell r="H3452" t="str">
            <v>LAS BAMBAS</v>
          </cell>
          <cell r="I3452">
            <v>118246</v>
          </cell>
          <cell r="J3452" t="str">
            <v>REPUESTO</v>
          </cell>
          <cell r="K3452" t="str">
            <v>TUERCA 3/8</v>
          </cell>
          <cell r="L3452">
            <v>2</v>
          </cell>
          <cell r="M3452" t="str">
            <v>UNID.</v>
          </cell>
          <cell r="N3452" t="str">
            <v>CISTERNA</v>
          </cell>
          <cell r="O3452">
            <v>59</v>
          </cell>
          <cell r="P3452" t="str">
            <v>S3</v>
          </cell>
          <cell r="Q3452" t="str">
            <v>J2</v>
          </cell>
          <cell r="R3452" t="str">
            <v>J5</v>
          </cell>
          <cell r="S3452" t="str">
            <v>PENDIENTE</v>
          </cell>
          <cell r="T3452">
            <v>0</v>
          </cell>
          <cell r="U3452" t="str">
            <v>JIMENEZ MACHACA JAVIER</v>
          </cell>
          <cell r="V3452" t="str">
            <v>CORIHUAMAN SURCO  ERICK ROBERT</v>
          </cell>
        </row>
        <row r="3453">
          <cell r="A3453">
            <v>3476</v>
          </cell>
          <cell r="B3453">
            <v>42731</v>
          </cell>
          <cell r="C3453" t="str">
            <v>DICIEMBRE</v>
          </cell>
          <cell r="D3453" t="str">
            <v>2016</v>
          </cell>
          <cell r="E3453">
            <v>641</v>
          </cell>
          <cell r="F3453" t="str">
            <v>ABQ-780</v>
          </cell>
          <cell r="G3453" t="str">
            <v>C9S-990</v>
          </cell>
          <cell r="H3453" t="str">
            <v>LAS BAMBAS</v>
          </cell>
          <cell r="I3453">
            <v>118246</v>
          </cell>
          <cell r="J3453" t="str">
            <v>REPUESTO</v>
          </cell>
          <cell r="K3453" t="str">
            <v>VOLANDA 3/8</v>
          </cell>
          <cell r="L3453">
            <v>1</v>
          </cell>
          <cell r="M3453" t="str">
            <v>UNID.</v>
          </cell>
          <cell r="N3453" t="str">
            <v>CISTERNA</v>
          </cell>
          <cell r="O3453">
            <v>59</v>
          </cell>
          <cell r="P3453" t="str">
            <v>S3</v>
          </cell>
          <cell r="Q3453" t="str">
            <v>J2</v>
          </cell>
          <cell r="R3453" t="str">
            <v>J5</v>
          </cell>
          <cell r="S3453" t="str">
            <v>PENDIENTE</v>
          </cell>
          <cell r="T3453">
            <v>0</v>
          </cell>
          <cell r="U3453" t="str">
            <v>JIMENEZ MACHACA JAVIER</v>
          </cell>
          <cell r="V3453" t="str">
            <v>CORIHUAMAN SURCO  ERICK ROBERT</v>
          </cell>
        </row>
        <row r="3454">
          <cell r="A3454">
            <v>3472</v>
          </cell>
          <cell r="B3454">
            <v>42731</v>
          </cell>
          <cell r="C3454" t="str">
            <v>DICIEMBRE</v>
          </cell>
          <cell r="D3454" t="str">
            <v>2016</v>
          </cell>
          <cell r="E3454">
            <v>701</v>
          </cell>
          <cell r="F3454" t="str">
            <v>ABR-727</v>
          </cell>
          <cell r="G3454" t="str">
            <v>C9S-989</v>
          </cell>
          <cell r="H3454" t="str">
            <v>LAS BAMBAS</v>
          </cell>
          <cell r="I3454">
            <v>102661</v>
          </cell>
          <cell r="J3454" t="str">
            <v>REPUESTO</v>
          </cell>
          <cell r="K3454" t="str">
            <v xml:space="preserve">FARO LUZ DE PLACA </v>
          </cell>
          <cell r="L3454">
            <v>1</v>
          </cell>
          <cell r="M3454" t="str">
            <v>UNID.</v>
          </cell>
          <cell r="N3454" t="str">
            <v>CISTERNA</v>
          </cell>
          <cell r="O3454">
            <v>59</v>
          </cell>
          <cell r="P3454" t="str">
            <v>E1</v>
          </cell>
          <cell r="Q3454" t="str">
            <v>J2</v>
          </cell>
          <cell r="R3454" t="str">
            <v>J5</v>
          </cell>
          <cell r="S3454" t="str">
            <v>PENDIENTE</v>
          </cell>
          <cell r="T3454">
            <v>0</v>
          </cell>
          <cell r="U3454" t="str">
            <v>PALOMINO CARDENAS JUAN CARLOS</v>
          </cell>
          <cell r="V3454" t="str">
            <v>CORIHUAMAN SURCO  ERICK ROBERT</v>
          </cell>
        </row>
        <row r="3455">
          <cell r="A3455">
            <v>3449</v>
          </cell>
          <cell r="B3455">
            <v>42731</v>
          </cell>
          <cell r="C3455" t="str">
            <v>DICIEMBRE</v>
          </cell>
          <cell r="D3455" t="str">
            <v>2016</v>
          </cell>
          <cell r="E3455">
            <v>681</v>
          </cell>
          <cell r="F3455" t="str">
            <v>C5R-899</v>
          </cell>
          <cell r="G3455" t="str">
            <v>A0U-978</v>
          </cell>
          <cell r="H3455" t="str">
            <v>LAS BAMBAS</v>
          </cell>
          <cell r="I3455">
            <v>256482</v>
          </cell>
          <cell r="J3455" t="str">
            <v>REPUESTO</v>
          </cell>
          <cell r="K3455" t="str">
            <v>CABLE NRO. 2</v>
          </cell>
          <cell r="L3455">
            <v>2</v>
          </cell>
          <cell r="M3455" t="str">
            <v>M</v>
          </cell>
          <cell r="N3455" t="str">
            <v>TRACTO</v>
          </cell>
          <cell r="O3455">
            <v>59</v>
          </cell>
          <cell r="P3455" t="str">
            <v>E1</v>
          </cell>
          <cell r="Q3455" t="str">
            <v>J1</v>
          </cell>
          <cell r="R3455" t="str">
            <v>J5</v>
          </cell>
          <cell r="S3455" t="str">
            <v>PENDIENTE</v>
          </cell>
          <cell r="T3455">
            <v>0</v>
          </cell>
          <cell r="U3455" t="str">
            <v>PALOMINO CARDENAS JUAN CARLOS</v>
          </cell>
          <cell r="V3455" t="str">
            <v>FLOREZ CONDORI  JOSE WILLIANS</v>
          </cell>
        </row>
        <row r="3456">
          <cell r="A3456">
            <v>3450</v>
          </cell>
          <cell r="B3456">
            <v>42731</v>
          </cell>
          <cell r="C3456" t="str">
            <v>DICIEMBRE</v>
          </cell>
          <cell r="D3456" t="str">
            <v>2016</v>
          </cell>
          <cell r="E3456">
            <v>681</v>
          </cell>
          <cell r="F3456" t="str">
            <v>C5R-899</v>
          </cell>
          <cell r="G3456" t="str">
            <v>A0U-978</v>
          </cell>
          <cell r="H3456" t="str">
            <v>LAS BAMBAS</v>
          </cell>
          <cell r="I3456">
            <v>256482</v>
          </cell>
          <cell r="J3456" t="str">
            <v>REPUESTO</v>
          </cell>
          <cell r="K3456" t="str">
            <v>TERMINALES DE OJO 3/8 DE 225 AMP</v>
          </cell>
          <cell r="L3456">
            <v>12</v>
          </cell>
          <cell r="M3456" t="str">
            <v>UNID.</v>
          </cell>
          <cell r="N3456" t="str">
            <v>TRACTO</v>
          </cell>
          <cell r="O3456">
            <v>59</v>
          </cell>
          <cell r="P3456" t="str">
            <v>E1</v>
          </cell>
          <cell r="Q3456" t="str">
            <v>J1</v>
          </cell>
          <cell r="R3456" t="str">
            <v>J5</v>
          </cell>
          <cell r="S3456" t="str">
            <v>PENDIENTE</v>
          </cell>
          <cell r="T3456">
            <v>0</v>
          </cell>
          <cell r="U3456" t="str">
            <v>PALOMINO CARDENAS JUAN CARLOS</v>
          </cell>
          <cell r="V3456" t="str">
            <v>FLOREZ CONDORI  JOSE WILLIANS</v>
          </cell>
        </row>
        <row r="3457">
          <cell r="A3457">
            <v>3460</v>
          </cell>
          <cell r="B3457">
            <v>42731</v>
          </cell>
          <cell r="C3457" t="str">
            <v>DICIEMBRE</v>
          </cell>
          <cell r="D3457" t="str">
            <v>2016</v>
          </cell>
          <cell r="E3457">
            <v>676</v>
          </cell>
          <cell r="F3457" t="str">
            <v>C9N-807</v>
          </cell>
          <cell r="G3457" t="str">
            <v>B4O-994</v>
          </cell>
          <cell r="H3457" t="str">
            <v>LAS BAMBAS</v>
          </cell>
          <cell r="I3457">
            <v>212850</v>
          </cell>
          <cell r="J3457" t="str">
            <v>REPUESTO</v>
          </cell>
          <cell r="K3457" t="str">
            <v xml:space="preserve">MICA DE FARO POSTERIOR </v>
          </cell>
          <cell r="L3457">
            <v>1</v>
          </cell>
          <cell r="M3457" t="str">
            <v>UNID.</v>
          </cell>
          <cell r="N3457" t="str">
            <v>TRACTO</v>
          </cell>
          <cell r="O3457">
            <v>59</v>
          </cell>
          <cell r="P3457" t="str">
            <v>E1</v>
          </cell>
          <cell r="Q3457" t="str">
            <v>J1</v>
          </cell>
          <cell r="R3457" t="str">
            <v>J5</v>
          </cell>
          <cell r="S3457" t="str">
            <v>PENDIENTE</v>
          </cell>
          <cell r="T3457">
            <v>0</v>
          </cell>
          <cell r="U3457" t="str">
            <v>PALOMINO CARDENAS JUAN CARLOS</v>
          </cell>
          <cell r="V3457" t="str">
            <v>FLOREZ CONDORI  JOSE WILLIANS</v>
          </cell>
        </row>
        <row r="3458">
          <cell r="A3458">
            <v>3461</v>
          </cell>
          <cell r="B3458">
            <v>42731</v>
          </cell>
          <cell r="C3458" t="str">
            <v>DICIEMBRE</v>
          </cell>
          <cell r="D3458" t="str">
            <v>2016</v>
          </cell>
          <cell r="E3458">
            <v>676</v>
          </cell>
          <cell r="F3458" t="str">
            <v>C9N-807</v>
          </cell>
          <cell r="G3458" t="str">
            <v>B4O-994</v>
          </cell>
          <cell r="H3458" t="str">
            <v>LAS BAMBAS</v>
          </cell>
          <cell r="I3458">
            <v>212850</v>
          </cell>
          <cell r="J3458" t="str">
            <v>REPUESTO</v>
          </cell>
          <cell r="K3458" t="str">
            <v>PRECINTOS N° 200</v>
          </cell>
          <cell r="L3458">
            <v>1</v>
          </cell>
          <cell r="M3458" t="str">
            <v>JUEGO</v>
          </cell>
          <cell r="N3458" t="str">
            <v>TRACTO</v>
          </cell>
          <cell r="O3458">
            <v>59</v>
          </cell>
          <cell r="P3458" t="str">
            <v>E1</v>
          </cell>
          <cell r="Q3458" t="str">
            <v>J1</v>
          </cell>
          <cell r="R3458" t="str">
            <v>J5</v>
          </cell>
          <cell r="S3458" t="str">
            <v>PENDIENTE</v>
          </cell>
          <cell r="T3458">
            <v>0</v>
          </cell>
          <cell r="U3458" t="str">
            <v>PALOMINO CARDENAS JUAN CARLOS</v>
          </cell>
          <cell r="V3458" t="str">
            <v>FLOREZ CONDORI  JOSE WILLIANS</v>
          </cell>
        </row>
        <row r="3459">
          <cell r="A3459">
            <v>3470</v>
          </cell>
          <cell r="B3459">
            <v>42731</v>
          </cell>
          <cell r="C3459" t="str">
            <v>DICIEMBRE</v>
          </cell>
          <cell r="D3459" t="str">
            <v>2016</v>
          </cell>
          <cell r="E3459">
            <v>697</v>
          </cell>
          <cell r="F3459" t="str">
            <v>D3P-744</v>
          </cell>
          <cell r="G3459" t="str">
            <v>A0F-996</v>
          </cell>
          <cell r="H3459" t="str">
            <v>LAS BAMBAS</v>
          </cell>
          <cell r="I3459">
            <v>157040</v>
          </cell>
          <cell r="J3459" t="str">
            <v>REPUESTO</v>
          </cell>
          <cell r="K3459" t="str">
            <v>LLANTA REENCAUCHADAS 11R22.5 IZY2</v>
          </cell>
          <cell r="L3459">
            <v>12</v>
          </cell>
          <cell r="M3459" t="str">
            <v>UNID.</v>
          </cell>
          <cell r="N3459" t="str">
            <v>CISTERNA</v>
          </cell>
          <cell r="O3459">
            <v>59</v>
          </cell>
          <cell r="P3459" t="str">
            <v>N1</v>
          </cell>
          <cell r="Q3459" t="str">
            <v>J3</v>
          </cell>
          <cell r="R3459" t="str">
            <v>J5</v>
          </cell>
          <cell r="S3459" t="str">
            <v>PENDIENTE</v>
          </cell>
          <cell r="T3459">
            <v>0</v>
          </cell>
          <cell r="U3459" t="str">
            <v>AGUILAR CCANTUTA WILLY</v>
          </cell>
          <cell r="V3459" t="str">
            <v>CHURA PIZARRO ALBERTO</v>
          </cell>
        </row>
        <row r="3460">
          <cell r="A3460">
            <v>3483</v>
          </cell>
          <cell r="B3460">
            <v>42731</v>
          </cell>
          <cell r="C3460" t="str">
            <v>DICIEMBRE</v>
          </cell>
          <cell r="D3460" t="str">
            <v>2016</v>
          </cell>
          <cell r="E3460">
            <v>697</v>
          </cell>
          <cell r="F3460" t="str">
            <v>D3P-744</v>
          </cell>
          <cell r="G3460" t="str">
            <v>A0F-996</v>
          </cell>
          <cell r="H3460" t="str">
            <v>LAS BAMBAS</v>
          </cell>
          <cell r="I3460">
            <v>157040</v>
          </cell>
          <cell r="J3460" t="str">
            <v>REPUESTO</v>
          </cell>
          <cell r="K3460" t="str">
            <v>VALVULA DE PITON</v>
          </cell>
          <cell r="L3460">
            <v>12</v>
          </cell>
          <cell r="M3460" t="str">
            <v>UNID.</v>
          </cell>
          <cell r="N3460" t="str">
            <v>CISTERNA</v>
          </cell>
          <cell r="O3460">
            <v>59</v>
          </cell>
          <cell r="P3460" t="str">
            <v>N1</v>
          </cell>
          <cell r="Q3460" t="str">
            <v>J3</v>
          </cell>
          <cell r="R3460" t="str">
            <v>J6</v>
          </cell>
          <cell r="S3460" t="str">
            <v>PENDIENTE</v>
          </cell>
          <cell r="T3460">
            <v>0</v>
          </cell>
          <cell r="U3460" t="str">
            <v>AGUILAR CCANTUTA WILLY</v>
          </cell>
          <cell r="V3460" t="str">
            <v>CHURA PIZARRO ALBERTO</v>
          </cell>
        </row>
        <row r="3461">
          <cell r="A3461">
            <v>3473</v>
          </cell>
          <cell r="B3461">
            <v>42731</v>
          </cell>
          <cell r="C3461" t="str">
            <v>DICIEMBRE</v>
          </cell>
          <cell r="D3461" t="str">
            <v>2016</v>
          </cell>
          <cell r="E3461">
            <v>632</v>
          </cell>
          <cell r="F3461" t="str">
            <v>D3P-747</v>
          </cell>
          <cell r="G3461" t="str">
            <v>A0T-985</v>
          </cell>
          <cell r="H3461" t="str">
            <v>LAS BAMBAS</v>
          </cell>
          <cell r="I3461">
            <v>186478</v>
          </cell>
          <cell r="J3461" t="str">
            <v>REPUESTO</v>
          </cell>
          <cell r="K3461" t="str">
            <v>VISOR DE VALVULA DE DESCARGA</v>
          </cell>
          <cell r="L3461">
            <v>1</v>
          </cell>
          <cell r="M3461" t="str">
            <v>UNID.</v>
          </cell>
          <cell r="N3461" t="str">
            <v>CISTERNA</v>
          </cell>
          <cell r="O3461">
            <v>59</v>
          </cell>
          <cell r="P3461" t="str">
            <v>J1</v>
          </cell>
          <cell r="Q3461" t="str">
            <v>J7</v>
          </cell>
          <cell r="R3461" t="str">
            <v>J5</v>
          </cell>
          <cell r="S3461" t="str">
            <v>PENDIENTE</v>
          </cell>
          <cell r="T3461">
            <v>0</v>
          </cell>
          <cell r="U3461" t="str">
            <v>FLOREZ CONDORI  JOSE WILLIANS</v>
          </cell>
          <cell r="V3461" t="str">
            <v>DONAYRE INGA PEDRO</v>
          </cell>
        </row>
        <row r="3462">
          <cell r="A3462">
            <v>3452</v>
          </cell>
          <cell r="B3462">
            <v>42731</v>
          </cell>
          <cell r="C3462" t="str">
            <v>DICIEMBRE</v>
          </cell>
          <cell r="D3462" t="str">
            <v>2016</v>
          </cell>
          <cell r="E3462">
            <v>202</v>
          </cell>
          <cell r="F3462" t="str">
            <v>D3P-752</v>
          </cell>
          <cell r="G3462" t="str">
            <v>C5Y-985</v>
          </cell>
          <cell r="H3462" t="str">
            <v>LAS BAMBAS</v>
          </cell>
          <cell r="I3462">
            <v>150504</v>
          </cell>
          <cell r="J3462" t="str">
            <v>REPUESTO</v>
          </cell>
          <cell r="K3462" t="str">
            <v>FOCO LAGRIMON AMBAR DE 12 V</v>
          </cell>
          <cell r="L3462">
            <v>4</v>
          </cell>
          <cell r="M3462" t="str">
            <v>UNID.</v>
          </cell>
          <cell r="N3462" t="str">
            <v>TRACTO</v>
          </cell>
          <cell r="O3462">
            <v>59</v>
          </cell>
          <cell r="P3462" t="str">
            <v>E1</v>
          </cell>
          <cell r="Q3462" t="str">
            <v>J1</v>
          </cell>
          <cell r="R3462" t="str">
            <v>J5</v>
          </cell>
          <cell r="S3462" t="str">
            <v>PENDIENTE</v>
          </cell>
          <cell r="T3462">
            <v>0</v>
          </cell>
          <cell r="U3462" t="str">
            <v>PALOMINO CARDENAS JUAN CARLOS</v>
          </cell>
          <cell r="V3462" t="str">
            <v>FLOREZ CONDORI  JOSE WILLIANS</v>
          </cell>
        </row>
        <row r="3463">
          <cell r="A3463">
            <v>3453</v>
          </cell>
          <cell r="B3463">
            <v>42731</v>
          </cell>
          <cell r="C3463" t="str">
            <v>DICIEMBRE</v>
          </cell>
          <cell r="D3463" t="str">
            <v>2016</v>
          </cell>
          <cell r="E3463">
            <v>202</v>
          </cell>
          <cell r="F3463" t="str">
            <v>D3P-752</v>
          </cell>
          <cell r="G3463" t="str">
            <v>C5Y-985</v>
          </cell>
          <cell r="H3463" t="str">
            <v>LAS BAMBAS</v>
          </cell>
          <cell r="I3463">
            <v>150504</v>
          </cell>
          <cell r="J3463" t="str">
            <v>REPUESTO</v>
          </cell>
          <cell r="K3463" t="str">
            <v>FOCO 9006</v>
          </cell>
          <cell r="L3463">
            <v>2</v>
          </cell>
          <cell r="M3463" t="str">
            <v>UNID.</v>
          </cell>
          <cell r="N3463" t="str">
            <v>TRACTO</v>
          </cell>
          <cell r="O3463">
            <v>59</v>
          </cell>
          <cell r="P3463" t="str">
            <v>E1</v>
          </cell>
          <cell r="Q3463" t="str">
            <v>J1</v>
          </cell>
          <cell r="R3463" t="str">
            <v>J5</v>
          </cell>
          <cell r="S3463" t="str">
            <v>PENDIENTE</v>
          </cell>
          <cell r="T3463">
            <v>0</v>
          </cell>
          <cell r="U3463" t="str">
            <v>PALOMINO CARDENAS JUAN CARLOS</v>
          </cell>
          <cell r="V3463" t="str">
            <v>FLOREZ CONDORI  JOSE WILLIANS</v>
          </cell>
        </row>
        <row r="3464">
          <cell r="A3464">
            <v>3454</v>
          </cell>
          <cell r="B3464">
            <v>42731</v>
          </cell>
          <cell r="C3464" t="str">
            <v>DICIEMBRE</v>
          </cell>
          <cell r="D3464" t="str">
            <v>2016</v>
          </cell>
          <cell r="E3464">
            <v>202</v>
          </cell>
          <cell r="F3464" t="str">
            <v>D3P-752</v>
          </cell>
          <cell r="G3464" t="str">
            <v>C5Y-985</v>
          </cell>
          <cell r="H3464" t="str">
            <v>LAS BAMBAS</v>
          </cell>
          <cell r="I3464">
            <v>150504</v>
          </cell>
          <cell r="J3464" t="str">
            <v>REPUESTO</v>
          </cell>
          <cell r="K3464" t="str">
            <v>FOCO 9005</v>
          </cell>
          <cell r="L3464">
            <v>2</v>
          </cell>
          <cell r="M3464" t="str">
            <v>UNID.</v>
          </cell>
          <cell r="N3464" t="str">
            <v>TRACTO</v>
          </cell>
          <cell r="O3464">
            <v>59</v>
          </cell>
          <cell r="P3464" t="str">
            <v>E1</v>
          </cell>
          <cell r="Q3464" t="str">
            <v>J1</v>
          </cell>
          <cell r="R3464" t="str">
            <v>J5</v>
          </cell>
          <cell r="S3464" t="str">
            <v>PENDIENTE</v>
          </cell>
          <cell r="T3464">
            <v>0</v>
          </cell>
          <cell r="U3464" t="str">
            <v>PALOMINO CARDENAS JUAN CARLOS</v>
          </cell>
          <cell r="V3464" t="str">
            <v>FLOREZ CONDORI  JOSE WILLIANS</v>
          </cell>
        </row>
        <row r="3465">
          <cell r="A3465">
            <v>3455</v>
          </cell>
          <cell r="B3465">
            <v>42731</v>
          </cell>
          <cell r="C3465" t="str">
            <v>DICIEMBRE</v>
          </cell>
          <cell r="D3465" t="str">
            <v>2016</v>
          </cell>
          <cell r="E3465">
            <v>202</v>
          </cell>
          <cell r="F3465" t="str">
            <v>D3P-752</v>
          </cell>
          <cell r="G3465" t="str">
            <v>C5Y-985</v>
          </cell>
          <cell r="H3465" t="str">
            <v>LAS BAMBAS</v>
          </cell>
          <cell r="I3465">
            <v>150504</v>
          </cell>
          <cell r="J3465" t="str">
            <v>REPUESTO</v>
          </cell>
          <cell r="K3465" t="str">
            <v>SOCKET 9006</v>
          </cell>
          <cell r="L3465">
            <v>2</v>
          </cell>
          <cell r="M3465" t="str">
            <v>UNID.</v>
          </cell>
          <cell r="N3465" t="str">
            <v>TRACTO</v>
          </cell>
          <cell r="O3465">
            <v>59</v>
          </cell>
          <cell r="P3465" t="str">
            <v>E1</v>
          </cell>
          <cell r="Q3465" t="str">
            <v>J1</v>
          </cell>
          <cell r="R3465" t="str">
            <v>J5</v>
          </cell>
          <cell r="S3465" t="str">
            <v>PENDIENTE</v>
          </cell>
          <cell r="T3465">
            <v>0</v>
          </cell>
          <cell r="U3465" t="str">
            <v>PALOMINO CARDENAS JUAN CARLOS</v>
          </cell>
          <cell r="V3465" t="str">
            <v>FLOREZ CONDORI  JOSE WILLIANS</v>
          </cell>
        </row>
        <row r="3466">
          <cell r="A3466">
            <v>3456</v>
          </cell>
          <cell r="B3466">
            <v>42731</v>
          </cell>
          <cell r="C3466" t="str">
            <v>DICIEMBRE</v>
          </cell>
          <cell r="D3466" t="str">
            <v>2016</v>
          </cell>
          <cell r="E3466">
            <v>202</v>
          </cell>
          <cell r="F3466" t="str">
            <v>D3P-752</v>
          </cell>
          <cell r="G3466" t="str">
            <v>C5Y-985</v>
          </cell>
          <cell r="H3466" t="str">
            <v>LAS BAMBAS</v>
          </cell>
          <cell r="I3466">
            <v>150504</v>
          </cell>
          <cell r="J3466" t="str">
            <v>REPUESTO</v>
          </cell>
          <cell r="K3466" t="str">
            <v>SOCKET 9005</v>
          </cell>
          <cell r="L3466">
            <v>2</v>
          </cell>
          <cell r="M3466" t="str">
            <v>UNID.</v>
          </cell>
          <cell r="N3466" t="str">
            <v>TRACTO</v>
          </cell>
          <cell r="O3466">
            <v>59</v>
          </cell>
          <cell r="P3466" t="str">
            <v>E1</v>
          </cell>
          <cell r="Q3466" t="str">
            <v>J1</v>
          </cell>
          <cell r="R3466" t="str">
            <v>J5</v>
          </cell>
          <cell r="S3466" t="str">
            <v>PENDIENTE</v>
          </cell>
          <cell r="T3466">
            <v>0</v>
          </cell>
          <cell r="U3466" t="str">
            <v>PALOMINO CARDENAS JUAN CARLOS</v>
          </cell>
          <cell r="V3466" t="str">
            <v>FLOREZ CONDORI  JOSE WILLIANS</v>
          </cell>
        </row>
        <row r="3467">
          <cell r="A3467">
            <v>3457</v>
          </cell>
          <cell r="B3467">
            <v>42731</v>
          </cell>
          <cell r="C3467" t="str">
            <v>DICIEMBRE</v>
          </cell>
          <cell r="D3467" t="str">
            <v>2016</v>
          </cell>
          <cell r="E3467">
            <v>202</v>
          </cell>
          <cell r="F3467" t="str">
            <v>D3P-752</v>
          </cell>
          <cell r="G3467" t="str">
            <v>C5Y-985</v>
          </cell>
          <cell r="H3467" t="str">
            <v>LAS BAMBAS</v>
          </cell>
          <cell r="I3467">
            <v>150504</v>
          </cell>
          <cell r="J3467" t="str">
            <v>REPUESTO</v>
          </cell>
          <cell r="K3467" t="str">
            <v xml:space="preserve">TAPA FARO DELANTERO DERECHO </v>
          </cell>
          <cell r="L3467">
            <v>1</v>
          </cell>
          <cell r="M3467" t="str">
            <v>UNID.</v>
          </cell>
          <cell r="N3467" t="str">
            <v>TRACTO</v>
          </cell>
          <cell r="O3467">
            <v>59</v>
          </cell>
          <cell r="P3467" t="str">
            <v>E1</v>
          </cell>
          <cell r="Q3467" t="str">
            <v>J1</v>
          </cell>
          <cell r="R3467" t="str">
            <v>J5</v>
          </cell>
          <cell r="S3467" t="str">
            <v>PENDIENTE</v>
          </cell>
          <cell r="T3467">
            <v>0</v>
          </cell>
          <cell r="U3467" t="str">
            <v>PALOMINO CARDENAS JUAN CARLOS</v>
          </cell>
          <cell r="V3467" t="str">
            <v>FLOREZ CONDORI  JOSE WILLIANS</v>
          </cell>
        </row>
        <row r="3468">
          <cell r="A3468">
            <v>3458</v>
          </cell>
          <cell r="B3468">
            <v>42731</v>
          </cell>
          <cell r="C3468" t="str">
            <v>DICIEMBRE</v>
          </cell>
          <cell r="D3468" t="str">
            <v>2016</v>
          </cell>
          <cell r="E3468">
            <v>202</v>
          </cell>
          <cell r="F3468" t="str">
            <v>D3P-752</v>
          </cell>
          <cell r="G3468" t="str">
            <v>C5Y-985</v>
          </cell>
          <cell r="H3468" t="str">
            <v>LAS BAMBAS</v>
          </cell>
          <cell r="I3468">
            <v>150504</v>
          </cell>
          <cell r="J3468" t="str">
            <v>REPUESTO</v>
          </cell>
          <cell r="K3468" t="str">
            <v>TAPA FARO DELANTERO IZQUIERDO</v>
          </cell>
          <cell r="L3468">
            <v>1</v>
          </cell>
          <cell r="M3468" t="str">
            <v>UNID.</v>
          </cell>
          <cell r="N3468" t="str">
            <v>TRACTO</v>
          </cell>
          <cell r="O3468">
            <v>59</v>
          </cell>
          <cell r="P3468" t="str">
            <v>E1</v>
          </cell>
          <cell r="Q3468" t="str">
            <v>J1</v>
          </cell>
          <cell r="R3468" t="str">
            <v>J5</v>
          </cell>
          <cell r="S3468" t="str">
            <v>PENDIENTE</v>
          </cell>
          <cell r="T3468">
            <v>0</v>
          </cell>
          <cell r="U3468" t="str">
            <v>PALOMINO CARDENAS JUAN CARLOS</v>
          </cell>
          <cell r="V3468" t="str">
            <v>FLOREZ CONDORI  JOSE WILLIANS</v>
          </cell>
        </row>
        <row r="3469">
          <cell r="A3469">
            <v>3462</v>
          </cell>
          <cell r="B3469">
            <v>42731</v>
          </cell>
          <cell r="C3469" t="str">
            <v>DICIEMBRE</v>
          </cell>
          <cell r="D3469" t="str">
            <v>2016</v>
          </cell>
          <cell r="E3469">
            <v>696</v>
          </cell>
          <cell r="F3469" t="str">
            <v>D3R-742</v>
          </cell>
          <cell r="G3469" t="str">
            <v>D2E-975</v>
          </cell>
          <cell r="H3469" t="str">
            <v>LAS BAMBAS</v>
          </cell>
          <cell r="I3469">
            <v>155514</v>
          </cell>
          <cell r="J3469" t="str">
            <v>REPUESTO</v>
          </cell>
          <cell r="K3469" t="str">
            <v>ACEITE 15W40</v>
          </cell>
          <cell r="L3469">
            <v>10</v>
          </cell>
          <cell r="M3469" t="str">
            <v>GLNS.</v>
          </cell>
          <cell r="N3469" t="str">
            <v>TRACTO</v>
          </cell>
          <cell r="O3469">
            <v>59</v>
          </cell>
          <cell r="P3469" t="str">
            <v>M8</v>
          </cell>
          <cell r="Q3469" t="str">
            <v>J2</v>
          </cell>
          <cell r="R3469" t="str">
            <v>J5</v>
          </cell>
          <cell r="S3469" t="str">
            <v>PENDIENTE</v>
          </cell>
          <cell r="T3469">
            <v>0</v>
          </cell>
          <cell r="U3469" t="str">
            <v>VARILLAS GAGO  OSCAR ALBERTO</v>
          </cell>
          <cell r="V3469" t="str">
            <v>CORIHUAMAN SURCO  ERICK ROBERT</v>
          </cell>
        </row>
        <row r="3470">
          <cell r="A3470">
            <v>3463</v>
          </cell>
          <cell r="B3470">
            <v>42731</v>
          </cell>
          <cell r="C3470" t="str">
            <v>DICIEMBRE</v>
          </cell>
          <cell r="D3470" t="str">
            <v>2016</v>
          </cell>
          <cell r="E3470">
            <v>696</v>
          </cell>
          <cell r="F3470" t="str">
            <v>D3R-742</v>
          </cell>
          <cell r="G3470" t="str">
            <v>D2E-975</v>
          </cell>
          <cell r="H3470" t="str">
            <v>LAS BAMBAS</v>
          </cell>
          <cell r="I3470">
            <v>155514</v>
          </cell>
          <cell r="J3470" t="str">
            <v>REPUESTO</v>
          </cell>
          <cell r="K3470" t="str">
            <v>FILTRO DE ACEITE</v>
          </cell>
          <cell r="L3470">
            <v>2</v>
          </cell>
          <cell r="M3470" t="str">
            <v>UNID.</v>
          </cell>
          <cell r="N3470" t="str">
            <v>TRACTO</v>
          </cell>
          <cell r="O3470">
            <v>59</v>
          </cell>
          <cell r="P3470" t="str">
            <v>M8</v>
          </cell>
          <cell r="Q3470" t="str">
            <v>J2</v>
          </cell>
          <cell r="R3470" t="str">
            <v>J5</v>
          </cell>
          <cell r="S3470" t="str">
            <v>PENDIENTE</v>
          </cell>
          <cell r="T3470">
            <v>0</v>
          </cell>
          <cell r="U3470" t="str">
            <v>VARILLAS GAGO  OSCAR ALBERTO</v>
          </cell>
          <cell r="V3470" t="str">
            <v>CORIHUAMAN SURCO  ERICK ROBERT</v>
          </cell>
        </row>
        <row r="3471">
          <cell r="A3471">
            <v>3465</v>
          </cell>
          <cell r="B3471">
            <v>42731</v>
          </cell>
          <cell r="C3471" t="str">
            <v>DICIEMBRE</v>
          </cell>
          <cell r="D3471" t="str">
            <v>2016</v>
          </cell>
          <cell r="E3471">
            <v>696</v>
          </cell>
          <cell r="F3471" t="str">
            <v>D3R-742</v>
          </cell>
          <cell r="G3471" t="str">
            <v>D2E-975</v>
          </cell>
          <cell r="H3471" t="str">
            <v>LAS BAMBAS</v>
          </cell>
          <cell r="I3471">
            <v>155514</v>
          </cell>
          <cell r="J3471" t="str">
            <v>REPUESTO</v>
          </cell>
          <cell r="K3471" t="str">
            <v>PARCHE RACK 14</v>
          </cell>
          <cell r="L3471">
            <v>1</v>
          </cell>
          <cell r="M3471" t="str">
            <v>UNID.</v>
          </cell>
          <cell r="N3471" t="str">
            <v>TRACTO</v>
          </cell>
          <cell r="O3471">
            <v>59</v>
          </cell>
          <cell r="P3471" t="str">
            <v>N1</v>
          </cell>
          <cell r="Q3471" t="str">
            <v>J2</v>
          </cell>
          <cell r="R3471" t="str">
            <v>J6</v>
          </cell>
          <cell r="S3471" t="str">
            <v>PENDIENTE</v>
          </cell>
          <cell r="T3471">
            <v>0</v>
          </cell>
          <cell r="U3471" t="str">
            <v>AGUILAR CCANTUTA WILLY</v>
          </cell>
          <cell r="V3471" t="str">
            <v>CORIHUAMAN SURCO  ERICK ROBERT</v>
          </cell>
        </row>
        <row r="3472">
          <cell r="A3472">
            <v>3466</v>
          </cell>
          <cell r="B3472">
            <v>42731</v>
          </cell>
          <cell r="C3472" t="str">
            <v>DICIEMBRE</v>
          </cell>
          <cell r="D3472" t="str">
            <v>2016</v>
          </cell>
          <cell r="E3472">
            <v>696</v>
          </cell>
          <cell r="F3472" t="str">
            <v>D3R-742</v>
          </cell>
          <cell r="G3472" t="str">
            <v>D2E-975</v>
          </cell>
          <cell r="H3472" t="str">
            <v>LAS BAMBAS</v>
          </cell>
          <cell r="I3472">
            <v>155514</v>
          </cell>
          <cell r="J3472" t="str">
            <v>REPUESTO</v>
          </cell>
          <cell r="K3472" t="str">
            <v>PARCHE RACK 12</v>
          </cell>
          <cell r="L3472">
            <v>1</v>
          </cell>
          <cell r="M3472" t="str">
            <v>UNID.</v>
          </cell>
          <cell r="N3472" t="str">
            <v>TRACTO</v>
          </cell>
          <cell r="O3472">
            <v>0</v>
          </cell>
          <cell r="P3472" t="str">
            <v>N1</v>
          </cell>
          <cell r="Q3472" t="str">
            <v>J2</v>
          </cell>
          <cell r="R3472" t="str">
            <v>J6</v>
          </cell>
          <cell r="S3472" t="str">
            <v>PENDIENTE</v>
          </cell>
          <cell r="T3472">
            <v>0</v>
          </cell>
          <cell r="U3472" t="str">
            <v>AGUILAR CCANTUTA WILLY</v>
          </cell>
          <cell r="V3472" t="str">
            <v>CORIHUAMAN SURCO  ERICK ROBERT</v>
          </cell>
        </row>
        <row r="3473">
          <cell r="A3473">
            <v>3467</v>
          </cell>
          <cell r="B3473">
            <v>42731</v>
          </cell>
          <cell r="C3473" t="str">
            <v>DICIEMBRE</v>
          </cell>
          <cell r="D3473" t="str">
            <v>2016</v>
          </cell>
          <cell r="E3473">
            <v>696</v>
          </cell>
          <cell r="F3473" t="str">
            <v>D3R-742</v>
          </cell>
          <cell r="G3473" t="str">
            <v>D2E-975</v>
          </cell>
          <cell r="H3473" t="str">
            <v>LAS BAMBAS</v>
          </cell>
          <cell r="I3473">
            <v>155514</v>
          </cell>
          <cell r="J3473" t="str">
            <v>REPUESTO</v>
          </cell>
          <cell r="K3473" t="str">
            <v>PARCHE RACK 10</v>
          </cell>
          <cell r="L3473">
            <v>1</v>
          </cell>
          <cell r="M3473" t="str">
            <v>UNID.</v>
          </cell>
          <cell r="N3473" t="str">
            <v>TRACTO</v>
          </cell>
          <cell r="O3473">
            <v>0</v>
          </cell>
          <cell r="P3473" t="str">
            <v>N1</v>
          </cell>
          <cell r="Q3473" t="str">
            <v>J2</v>
          </cell>
          <cell r="R3473" t="str">
            <v>J6</v>
          </cell>
          <cell r="S3473" t="str">
            <v>PENDIENTE</v>
          </cell>
          <cell r="T3473">
            <v>0</v>
          </cell>
          <cell r="U3473" t="str">
            <v>AGUILAR CCANTUTA WILLY</v>
          </cell>
          <cell r="V3473" t="str">
            <v>CORIHUAMAN SURCO  ERICK ROBERT</v>
          </cell>
        </row>
        <row r="3474">
          <cell r="A3474">
            <v>3469</v>
          </cell>
          <cell r="B3474">
            <v>42731</v>
          </cell>
          <cell r="C3474" t="str">
            <v>DICIEMBRE</v>
          </cell>
          <cell r="D3474" t="str">
            <v>2016</v>
          </cell>
          <cell r="E3474">
            <v>684</v>
          </cell>
          <cell r="F3474" t="str">
            <v>D6F-903</v>
          </cell>
          <cell r="G3474" t="str">
            <v>B8K-997</v>
          </cell>
          <cell r="H3474" t="str">
            <v>LAS BAMBAS</v>
          </cell>
          <cell r="I3474">
            <v>220397</v>
          </cell>
          <cell r="J3474" t="str">
            <v>SERVICIO</v>
          </cell>
          <cell r="K3474" t="str">
            <v>REPARACION DE TAPABARROS</v>
          </cell>
          <cell r="L3474">
            <v>1</v>
          </cell>
          <cell r="M3474" t="str">
            <v>UNID.</v>
          </cell>
          <cell r="N3474" t="str">
            <v>TRACTO</v>
          </cell>
          <cell r="O3474">
            <v>59</v>
          </cell>
          <cell r="P3474" t="str">
            <v>M1</v>
          </cell>
          <cell r="Q3474" t="str">
            <v>J2</v>
          </cell>
          <cell r="R3474" t="str">
            <v>J6</v>
          </cell>
          <cell r="S3474" t="str">
            <v>PENDIENTE</v>
          </cell>
          <cell r="T3474">
            <v>0</v>
          </cell>
          <cell r="U3474" t="str">
            <v>CABEZAS SANCHEZ JEAN JHONATAN</v>
          </cell>
          <cell r="V3474" t="str">
            <v>CORIHUAMAN SURCO  ERICK ROBERT</v>
          </cell>
        </row>
        <row r="3475">
          <cell r="A3475">
            <v>3484</v>
          </cell>
          <cell r="B3475">
            <v>42731</v>
          </cell>
          <cell r="C3475" t="str">
            <v>DICIEMBRE</v>
          </cell>
          <cell r="D3475" t="str">
            <v>2016</v>
          </cell>
          <cell r="E3475">
            <v>678</v>
          </cell>
          <cell r="F3475" t="str">
            <v>D6G-805</v>
          </cell>
          <cell r="G3475" t="str">
            <v>T4Z-996</v>
          </cell>
          <cell r="H3475" t="str">
            <v>LAS BAMBAS</v>
          </cell>
          <cell r="I3475">
            <v>225601</v>
          </cell>
          <cell r="J3475" t="str">
            <v>SERVICIO</v>
          </cell>
          <cell r="K3475" t="str">
            <v xml:space="preserve">REPARACION DE ASIENTO </v>
          </cell>
          <cell r="L3475">
            <v>1</v>
          </cell>
          <cell r="M3475" t="str">
            <v>UNID.</v>
          </cell>
          <cell r="N3475" t="str">
            <v>TRACTO</v>
          </cell>
          <cell r="O3475">
            <v>59</v>
          </cell>
          <cell r="P3475" t="str">
            <v>J1</v>
          </cell>
          <cell r="Q3475" t="str">
            <v>J1</v>
          </cell>
          <cell r="R3475" t="str">
            <v>J5</v>
          </cell>
          <cell r="S3475" t="str">
            <v>PENDIENTE</v>
          </cell>
          <cell r="T3475">
            <v>0</v>
          </cell>
          <cell r="U3475" t="str">
            <v>FLOREZ CONDORI  JOSE WILLIANS</v>
          </cell>
          <cell r="V3475" t="str">
            <v>FLOREZ CONDORI  JOSE WILLIANS</v>
          </cell>
        </row>
        <row r="3476">
          <cell r="A3476">
            <v>3477</v>
          </cell>
          <cell r="B3476">
            <v>42731</v>
          </cell>
          <cell r="C3476" t="str">
            <v>DICIEMBRE</v>
          </cell>
          <cell r="D3476" t="str">
            <v>2016</v>
          </cell>
          <cell r="E3476">
            <v>692</v>
          </cell>
          <cell r="F3476" t="str">
            <v>D7N-755</v>
          </cell>
          <cell r="G3476" t="str">
            <v>F7L-983</v>
          </cell>
          <cell r="H3476" t="str">
            <v>LAS BAMBAS</v>
          </cell>
          <cell r="I3476">
            <v>52778</v>
          </cell>
          <cell r="J3476" t="str">
            <v>REPUESTO</v>
          </cell>
          <cell r="K3476" t="str">
            <v>FILTRO DE ACEITE</v>
          </cell>
          <cell r="L3476">
            <v>2</v>
          </cell>
          <cell r="M3476" t="str">
            <v>UNID.</v>
          </cell>
          <cell r="N3476" t="str">
            <v>TRACTO</v>
          </cell>
          <cell r="O3476">
            <v>59</v>
          </cell>
          <cell r="P3476" t="str">
            <v>M8</v>
          </cell>
          <cell r="Q3476" t="str">
            <v>J2</v>
          </cell>
          <cell r="R3476" t="str">
            <v>J5</v>
          </cell>
          <cell r="S3476" t="str">
            <v>PENDIENTE</v>
          </cell>
          <cell r="T3476">
            <v>0</v>
          </cell>
          <cell r="U3476" t="str">
            <v>VARILLAS GAGO  OSCAR ALBERTO</v>
          </cell>
          <cell r="V3476" t="str">
            <v>CORIHUAMAN SURCO  ERICK ROBERT</v>
          </cell>
        </row>
        <row r="3477">
          <cell r="A3477">
            <v>3478</v>
          </cell>
          <cell r="B3477">
            <v>42731</v>
          </cell>
          <cell r="C3477" t="str">
            <v>DICIEMBRE</v>
          </cell>
          <cell r="D3477" t="str">
            <v>2016</v>
          </cell>
          <cell r="E3477">
            <v>692</v>
          </cell>
          <cell r="F3477" t="str">
            <v>D7N-755</v>
          </cell>
          <cell r="G3477" t="str">
            <v>F7L-983</v>
          </cell>
          <cell r="H3477" t="str">
            <v>LAS BAMBAS</v>
          </cell>
          <cell r="I3477">
            <v>52778</v>
          </cell>
          <cell r="J3477" t="str">
            <v>REPUESTO</v>
          </cell>
          <cell r="K3477" t="str">
            <v xml:space="preserve">FILTRO BYPASS </v>
          </cell>
          <cell r="L3477">
            <v>1</v>
          </cell>
          <cell r="M3477" t="str">
            <v>UNID.</v>
          </cell>
          <cell r="N3477" t="str">
            <v>TRACTO</v>
          </cell>
          <cell r="O3477">
            <v>59</v>
          </cell>
          <cell r="P3477" t="str">
            <v>M8</v>
          </cell>
          <cell r="Q3477" t="str">
            <v>J2</v>
          </cell>
          <cell r="R3477" t="str">
            <v>J5</v>
          </cell>
          <cell r="S3477" t="str">
            <v>PENDIENTE</v>
          </cell>
          <cell r="T3477">
            <v>0</v>
          </cell>
          <cell r="U3477" t="str">
            <v>VARILLAS GAGO  OSCAR ALBERTO</v>
          </cell>
          <cell r="V3477" t="str">
            <v>CORIHUAMAN SURCO  ERICK ROBERT</v>
          </cell>
        </row>
        <row r="3478">
          <cell r="A3478">
            <v>3479</v>
          </cell>
          <cell r="B3478">
            <v>42731</v>
          </cell>
          <cell r="C3478" t="str">
            <v>DICIEMBRE</v>
          </cell>
          <cell r="D3478" t="str">
            <v>2016</v>
          </cell>
          <cell r="E3478">
            <v>692</v>
          </cell>
          <cell r="F3478" t="str">
            <v>D7N-755</v>
          </cell>
          <cell r="G3478" t="str">
            <v>F7L-983</v>
          </cell>
          <cell r="H3478" t="str">
            <v>LAS BAMBAS</v>
          </cell>
          <cell r="I3478">
            <v>52778</v>
          </cell>
          <cell r="J3478" t="str">
            <v>REPUESTO</v>
          </cell>
          <cell r="K3478" t="str">
            <v xml:space="preserve">FILTRO DE COMBUSTIBLE </v>
          </cell>
          <cell r="L3478">
            <v>1</v>
          </cell>
          <cell r="M3478" t="str">
            <v>UNID.</v>
          </cell>
          <cell r="N3478" t="str">
            <v>TRACTO</v>
          </cell>
          <cell r="O3478">
            <v>59</v>
          </cell>
          <cell r="P3478" t="str">
            <v>M8</v>
          </cell>
          <cell r="Q3478" t="str">
            <v>J2</v>
          </cell>
          <cell r="R3478" t="str">
            <v>J5</v>
          </cell>
          <cell r="S3478" t="str">
            <v>PENDIENTE</v>
          </cell>
          <cell r="T3478">
            <v>0</v>
          </cell>
          <cell r="U3478" t="str">
            <v>VARILLAS GAGO  OSCAR ALBERTO</v>
          </cell>
          <cell r="V3478" t="str">
            <v>CORIHUAMAN SURCO  ERICK ROBERT</v>
          </cell>
        </row>
        <row r="3479">
          <cell r="A3479">
            <v>3480</v>
          </cell>
          <cell r="B3479">
            <v>42731</v>
          </cell>
          <cell r="C3479" t="str">
            <v>DICIEMBRE</v>
          </cell>
          <cell r="D3479" t="str">
            <v>2016</v>
          </cell>
          <cell r="E3479">
            <v>692</v>
          </cell>
          <cell r="F3479" t="str">
            <v>D7N-755</v>
          </cell>
          <cell r="G3479" t="str">
            <v>F7L-983</v>
          </cell>
          <cell r="H3479" t="str">
            <v>LAS BAMBAS</v>
          </cell>
          <cell r="I3479">
            <v>52778</v>
          </cell>
          <cell r="J3479" t="str">
            <v>REPUESTO</v>
          </cell>
          <cell r="K3479" t="str">
            <v xml:space="preserve">FILTRO SEPARADOR DE AGUA </v>
          </cell>
          <cell r="L3479">
            <v>1</v>
          </cell>
          <cell r="M3479" t="str">
            <v>UNID.</v>
          </cell>
          <cell r="N3479" t="str">
            <v>TRACTO</v>
          </cell>
          <cell r="O3479">
            <v>59</v>
          </cell>
          <cell r="P3479" t="str">
            <v>M8</v>
          </cell>
          <cell r="Q3479" t="str">
            <v>J2</v>
          </cell>
          <cell r="R3479" t="str">
            <v>J5</v>
          </cell>
          <cell r="S3479" t="str">
            <v>PENDIENTE</v>
          </cell>
          <cell r="T3479">
            <v>0</v>
          </cell>
          <cell r="U3479" t="str">
            <v>VARILLAS GAGO  OSCAR ALBERTO</v>
          </cell>
          <cell r="V3479" t="str">
            <v>CORIHUAMAN SURCO  ERICK ROBERT</v>
          </cell>
        </row>
        <row r="3480">
          <cell r="A3480">
            <v>3481</v>
          </cell>
          <cell r="B3480">
            <v>42731</v>
          </cell>
          <cell r="C3480" t="str">
            <v>DICIEMBRE</v>
          </cell>
          <cell r="D3480" t="str">
            <v>2016</v>
          </cell>
          <cell r="E3480">
            <v>692</v>
          </cell>
          <cell r="F3480" t="str">
            <v>D7N-755</v>
          </cell>
          <cell r="G3480" t="str">
            <v>F7L-983</v>
          </cell>
          <cell r="H3480" t="str">
            <v>LAS BAMBAS</v>
          </cell>
          <cell r="I3480">
            <v>52778</v>
          </cell>
          <cell r="J3480" t="str">
            <v>REPUESTO</v>
          </cell>
          <cell r="K3480" t="str">
            <v>FILTRO DE AIRE PRIMARIO</v>
          </cell>
          <cell r="L3480">
            <v>1</v>
          </cell>
          <cell r="M3480" t="str">
            <v>UNID.</v>
          </cell>
          <cell r="N3480" t="str">
            <v>TRACTO</v>
          </cell>
          <cell r="O3480">
            <v>59</v>
          </cell>
          <cell r="P3480" t="str">
            <v>M8</v>
          </cell>
          <cell r="Q3480" t="str">
            <v>J2</v>
          </cell>
          <cell r="R3480" t="str">
            <v>J5</v>
          </cell>
          <cell r="S3480" t="str">
            <v>PENDIENTE</v>
          </cell>
          <cell r="T3480">
            <v>0</v>
          </cell>
          <cell r="U3480" t="str">
            <v>VARILLAS GAGO  OSCAR ALBERTO</v>
          </cell>
          <cell r="V3480" t="str">
            <v>CORIHUAMAN SURCO  ERICK ROBERT</v>
          </cell>
        </row>
        <row r="3481">
          <cell r="A3481">
            <v>3482</v>
          </cell>
          <cell r="B3481">
            <v>42731</v>
          </cell>
          <cell r="C3481" t="str">
            <v>DICIEMBRE</v>
          </cell>
          <cell r="D3481" t="str">
            <v>2016</v>
          </cell>
          <cell r="E3481">
            <v>692</v>
          </cell>
          <cell r="F3481" t="str">
            <v>D7N-755</v>
          </cell>
          <cell r="G3481" t="str">
            <v>F7L-983</v>
          </cell>
          <cell r="H3481" t="str">
            <v>LAS BAMBAS</v>
          </cell>
          <cell r="I3481">
            <v>52778</v>
          </cell>
          <cell r="J3481" t="str">
            <v>REPUESTO</v>
          </cell>
          <cell r="K3481" t="str">
            <v>FILTRO DE AIRE SECUNDARIO</v>
          </cell>
          <cell r="L3481">
            <v>1</v>
          </cell>
          <cell r="M3481" t="str">
            <v>UNID.</v>
          </cell>
          <cell r="N3481" t="str">
            <v>TRACTO</v>
          </cell>
          <cell r="O3481">
            <v>59</v>
          </cell>
          <cell r="P3481" t="str">
            <v>M8</v>
          </cell>
          <cell r="Q3481" t="str">
            <v>J2</v>
          </cell>
          <cell r="R3481" t="str">
            <v>J5</v>
          </cell>
          <cell r="S3481" t="str">
            <v>PENDIENTE</v>
          </cell>
          <cell r="T3481">
            <v>0</v>
          </cell>
          <cell r="U3481" t="str">
            <v>VARILLAS GAGO  OSCAR ALBERTO</v>
          </cell>
          <cell r="V3481" t="str">
            <v>CORIHUAMAN SURCO  ERICK ROBERT</v>
          </cell>
        </row>
        <row r="3482">
          <cell r="A3482">
            <v>3468</v>
          </cell>
          <cell r="B3482">
            <v>42731</v>
          </cell>
          <cell r="C3482" t="str">
            <v>DICIEMBRE</v>
          </cell>
          <cell r="D3482" t="str">
            <v>2016</v>
          </cell>
          <cell r="E3482">
            <v>200</v>
          </cell>
          <cell r="F3482" t="str">
            <v>TALLER</v>
          </cell>
          <cell r="G3482" t="str">
            <v>TALLER</v>
          </cell>
          <cell r="H3482" t="str">
            <v>TALLER</v>
          </cell>
          <cell r="I3482" t="str">
            <v>TALLER</v>
          </cell>
          <cell r="J3482" t="str">
            <v>UNIFORMES</v>
          </cell>
          <cell r="K3482" t="str">
            <v>TAIVEX "L"</v>
          </cell>
          <cell r="L3482">
            <v>1</v>
          </cell>
          <cell r="M3482" t="str">
            <v>UNID.</v>
          </cell>
          <cell r="N3482" t="str">
            <v>TALLER</v>
          </cell>
          <cell r="O3482">
            <v>59</v>
          </cell>
          <cell r="P3482" t="str">
            <v>M1</v>
          </cell>
          <cell r="Q3482" t="str">
            <v>J2</v>
          </cell>
          <cell r="R3482" t="str">
            <v>J6</v>
          </cell>
          <cell r="S3482" t="str">
            <v>PENDIENTE</v>
          </cell>
          <cell r="T3482">
            <v>0</v>
          </cell>
          <cell r="U3482" t="str">
            <v>CABEZAS SANCHEZ JEAN JHONATAN</v>
          </cell>
          <cell r="V3482" t="str">
            <v>CORIHUAMAN SURCO  ERICK ROBERT</v>
          </cell>
        </row>
        <row r="3483">
          <cell r="A3483">
            <v>3485</v>
          </cell>
          <cell r="B3483">
            <v>42731</v>
          </cell>
          <cell r="C3483" t="str">
            <v>DICIEMBRE</v>
          </cell>
          <cell r="D3483" t="str">
            <v>2016</v>
          </cell>
          <cell r="E3483">
            <v>694</v>
          </cell>
          <cell r="F3483" t="str">
            <v>X2W-762</v>
          </cell>
          <cell r="G3483" t="str">
            <v>C5V-998</v>
          </cell>
          <cell r="H3483" t="str">
            <v>LAS BAMBAS</v>
          </cell>
          <cell r="I3483">
            <v>160413</v>
          </cell>
          <cell r="J3483" t="str">
            <v>REPUESTO</v>
          </cell>
          <cell r="K3483" t="str">
            <v>FILTRO DE ACEITE</v>
          </cell>
          <cell r="L3483">
            <v>1</v>
          </cell>
          <cell r="M3483" t="str">
            <v>UNID.</v>
          </cell>
          <cell r="N3483" t="str">
            <v>TRACTO</v>
          </cell>
          <cell r="O3483">
            <v>59</v>
          </cell>
          <cell r="P3483" t="str">
            <v>J1</v>
          </cell>
          <cell r="Q3483" t="str">
            <v>J1</v>
          </cell>
          <cell r="R3483" t="str">
            <v>J5</v>
          </cell>
          <cell r="S3483" t="str">
            <v>PENDIENTE</v>
          </cell>
          <cell r="T3483">
            <v>0</v>
          </cell>
          <cell r="U3483" t="str">
            <v>FLOREZ CONDORI  JOSE WILLIANS</v>
          </cell>
          <cell r="V3483" t="str">
            <v>FLOREZ CONDORI  JOSE WILLIANS</v>
          </cell>
        </row>
        <row r="3484">
          <cell r="A3484">
            <v>3486</v>
          </cell>
          <cell r="B3484">
            <v>42731</v>
          </cell>
          <cell r="C3484" t="str">
            <v>DICIEMBRE</v>
          </cell>
          <cell r="D3484" t="str">
            <v>2016</v>
          </cell>
          <cell r="E3484">
            <v>694</v>
          </cell>
          <cell r="F3484" t="str">
            <v>X2W-762</v>
          </cell>
          <cell r="G3484" t="str">
            <v>C5V-998</v>
          </cell>
          <cell r="H3484" t="str">
            <v>LAS BAMBAS</v>
          </cell>
          <cell r="I3484">
            <v>160413</v>
          </cell>
          <cell r="J3484" t="str">
            <v>REPUESTO</v>
          </cell>
          <cell r="K3484" t="str">
            <v>FILTRO DE COMBUSTIBLE</v>
          </cell>
          <cell r="L3484">
            <v>1</v>
          </cell>
          <cell r="M3484" t="str">
            <v>UNID.</v>
          </cell>
          <cell r="N3484" t="str">
            <v>TRACTO</v>
          </cell>
          <cell r="O3484">
            <v>59</v>
          </cell>
          <cell r="P3484" t="str">
            <v>J1</v>
          </cell>
          <cell r="Q3484" t="str">
            <v>J1</v>
          </cell>
          <cell r="R3484" t="str">
            <v>J5</v>
          </cell>
          <cell r="S3484" t="str">
            <v>PENDIENTE</v>
          </cell>
          <cell r="T3484">
            <v>0</v>
          </cell>
          <cell r="U3484" t="str">
            <v>FLOREZ CONDORI  JOSE WILLIANS</v>
          </cell>
          <cell r="V3484" t="str">
            <v>FLOREZ CONDORI  JOSE WILLIANS</v>
          </cell>
        </row>
        <row r="3485">
          <cell r="A3485">
            <v>3487</v>
          </cell>
          <cell r="B3485">
            <v>42731</v>
          </cell>
          <cell r="C3485" t="str">
            <v>DICIEMBRE</v>
          </cell>
          <cell r="D3485" t="str">
            <v>2016</v>
          </cell>
          <cell r="E3485">
            <v>694</v>
          </cell>
          <cell r="F3485" t="str">
            <v>X2W-762</v>
          </cell>
          <cell r="G3485" t="str">
            <v>C5V-998</v>
          </cell>
          <cell r="H3485" t="str">
            <v>LAS BAMBAS</v>
          </cell>
          <cell r="I3485">
            <v>160413</v>
          </cell>
          <cell r="J3485" t="str">
            <v>REPUESTO</v>
          </cell>
          <cell r="K3485" t="str">
            <v>ACEITE 15W40</v>
          </cell>
          <cell r="L3485">
            <v>10</v>
          </cell>
          <cell r="M3485" t="str">
            <v>GLNS.</v>
          </cell>
          <cell r="N3485" t="str">
            <v>TRACTO</v>
          </cell>
          <cell r="O3485">
            <v>59</v>
          </cell>
          <cell r="P3485" t="str">
            <v>J1</v>
          </cell>
          <cell r="Q3485" t="str">
            <v>J1</v>
          </cell>
          <cell r="R3485" t="str">
            <v>J5</v>
          </cell>
          <cell r="S3485" t="str">
            <v>PENDIENTE</v>
          </cell>
          <cell r="T3485">
            <v>0</v>
          </cell>
          <cell r="U3485" t="str">
            <v>FLOREZ CONDORI  JOSE WILLIANS</v>
          </cell>
          <cell r="V3485" t="str">
            <v>FLOREZ CONDORI  JOSE WILLIANS</v>
          </cell>
        </row>
        <row r="3486">
          <cell r="A3486">
            <v>3488</v>
          </cell>
          <cell r="B3486">
            <v>42731</v>
          </cell>
          <cell r="C3486" t="str">
            <v>DICIEMBRE</v>
          </cell>
          <cell r="D3486" t="str">
            <v>2016</v>
          </cell>
          <cell r="E3486">
            <v>694</v>
          </cell>
          <cell r="F3486" t="str">
            <v>X2W-762</v>
          </cell>
          <cell r="G3486" t="str">
            <v>C5V-998</v>
          </cell>
          <cell r="H3486" t="str">
            <v>LAS BAMBAS</v>
          </cell>
          <cell r="I3486">
            <v>160413</v>
          </cell>
          <cell r="J3486" t="str">
            <v>REPUESTO</v>
          </cell>
          <cell r="K3486" t="str">
            <v>FILTRO DE AIRE</v>
          </cell>
          <cell r="L3486">
            <v>1</v>
          </cell>
          <cell r="M3486" t="str">
            <v>UNID.</v>
          </cell>
          <cell r="N3486" t="str">
            <v>TRACTO</v>
          </cell>
          <cell r="O3486">
            <v>59</v>
          </cell>
          <cell r="P3486" t="str">
            <v>J1</v>
          </cell>
          <cell r="Q3486" t="str">
            <v>J1</v>
          </cell>
          <cell r="R3486" t="str">
            <v>J5</v>
          </cell>
          <cell r="S3486" t="str">
            <v>PENDIENTE</v>
          </cell>
          <cell r="T3486">
            <v>0</v>
          </cell>
          <cell r="U3486" t="str">
            <v>FLOREZ CONDORI  JOSE WILLIANS</v>
          </cell>
          <cell r="V3486" t="str">
            <v>FLOREZ CONDORI  JOSE WILLIANS</v>
          </cell>
        </row>
        <row r="3487">
          <cell r="A3487">
            <v>3451</v>
          </cell>
          <cell r="B3487">
            <v>42731</v>
          </cell>
          <cell r="C3487" t="str">
            <v>DICIEMBRE</v>
          </cell>
          <cell r="D3487" t="str">
            <v>2016</v>
          </cell>
          <cell r="E3487">
            <v>648</v>
          </cell>
          <cell r="F3487" t="str">
            <v>X2W-763</v>
          </cell>
          <cell r="G3487" t="str">
            <v>C5V-997</v>
          </cell>
          <cell r="H3487" t="str">
            <v>LAS BAMBAS</v>
          </cell>
          <cell r="I3487">
            <v>157956</v>
          </cell>
          <cell r="J3487" t="str">
            <v>REPUESTO</v>
          </cell>
          <cell r="K3487" t="str">
            <v xml:space="preserve">BATERIAS </v>
          </cell>
          <cell r="L3487">
            <v>3</v>
          </cell>
          <cell r="M3487" t="str">
            <v>UNID.</v>
          </cell>
          <cell r="N3487" t="str">
            <v>TRACTO</v>
          </cell>
          <cell r="O3487">
            <v>59</v>
          </cell>
          <cell r="P3487" t="str">
            <v>E1</v>
          </cell>
          <cell r="Q3487" t="str">
            <v>J1</v>
          </cell>
          <cell r="R3487" t="str">
            <v>J5</v>
          </cell>
          <cell r="S3487" t="str">
            <v>PENDIENTE</v>
          </cell>
          <cell r="T3487">
            <v>0</v>
          </cell>
          <cell r="U3487" t="str">
            <v>PALOMINO CARDENAS JUAN CARLOS</v>
          </cell>
          <cell r="V3487" t="str">
            <v>FLOREZ CONDORI  JOSE WILLIANS</v>
          </cell>
        </row>
        <row r="3488">
          <cell r="A3488">
            <v>3459</v>
          </cell>
          <cell r="B3488">
            <v>42731</v>
          </cell>
          <cell r="C3488" t="str">
            <v>DICIEMBRE</v>
          </cell>
          <cell r="D3488" t="str">
            <v>2016</v>
          </cell>
          <cell r="E3488">
            <v>648</v>
          </cell>
          <cell r="F3488" t="str">
            <v>X2W-763</v>
          </cell>
          <cell r="G3488" t="str">
            <v>C5V-997</v>
          </cell>
          <cell r="H3488" t="str">
            <v>LAS BAMBAS</v>
          </cell>
          <cell r="I3488">
            <v>157956</v>
          </cell>
          <cell r="J3488" t="str">
            <v>REPUESTO</v>
          </cell>
          <cell r="K3488" t="str">
            <v>FARO LED ROJO DE 4"</v>
          </cell>
          <cell r="L3488">
            <v>1</v>
          </cell>
          <cell r="M3488" t="str">
            <v>UNID.</v>
          </cell>
          <cell r="N3488" t="str">
            <v>TRACTO</v>
          </cell>
          <cell r="O3488">
            <v>59</v>
          </cell>
          <cell r="P3488" t="str">
            <v>E1</v>
          </cell>
          <cell r="Q3488" t="str">
            <v>J1</v>
          </cell>
          <cell r="R3488" t="str">
            <v>J5</v>
          </cell>
          <cell r="S3488" t="str">
            <v>PENDIENTE</v>
          </cell>
          <cell r="T3488">
            <v>0</v>
          </cell>
          <cell r="U3488" t="str">
            <v>PALOMINO CARDENAS JUAN CARLOS</v>
          </cell>
          <cell r="V3488" t="str">
            <v>FLOREZ CONDORI  JOSE WILLIANS</v>
          </cell>
        </row>
        <row r="3489">
          <cell r="A3489">
            <v>3471</v>
          </cell>
          <cell r="B3489">
            <v>42731</v>
          </cell>
          <cell r="C3489" t="str">
            <v>DICIEMBRE</v>
          </cell>
          <cell r="D3489" t="str">
            <v>2016</v>
          </cell>
          <cell r="E3489">
            <v>648</v>
          </cell>
          <cell r="F3489" t="str">
            <v>X2W-763</v>
          </cell>
          <cell r="G3489" t="str">
            <v>C5V-997</v>
          </cell>
          <cell r="H3489" t="str">
            <v>LAS BAMBAS</v>
          </cell>
          <cell r="I3489">
            <v>157956</v>
          </cell>
          <cell r="J3489" t="str">
            <v>REPUESTO</v>
          </cell>
          <cell r="K3489" t="str">
            <v>TUBO CORRUGADO 1/4</v>
          </cell>
          <cell r="L3489">
            <v>2</v>
          </cell>
          <cell r="M3489" t="str">
            <v>M</v>
          </cell>
          <cell r="N3489" t="str">
            <v>CISTERNA</v>
          </cell>
          <cell r="O3489">
            <v>59</v>
          </cell>
          <cell r="P3489" t="str">
            <v>E3</v>
          </cell>
          <cell r="Q3489" t="str">
            <v>J2</v>
          </cell>
          <cell r="R3489" t="str">
            <v>J6</v>
          </cell>
          <cell r="S3489" t="str">
            <v>PENDIENTE</v>
          </cell>
          <cell r="T3489">
            <v>0</v>
          </cell>
          <cell r="U3489" t="str">
            <v>CONDORI CHURATA ALEX</v>
          </cell>
          <cell r="V3489" t="str">
            <v>CORIHUAMAN SURCO  ERICK ROBERT</v>
          </cell>
        </row>
        <row r="3490">
          <cell r="A3490">
            <v>3489</v>
          </cell>
          <cell r="B3490">
            <v>42732</v>
          </cell>
          <cell r="C3490" t="str">
            <v>DICIEMBRE</v>
          </cell>
          <cell r="D3490" t="str">
            <v>2016</v>
          </cell>
          <cell r="E3490">
            <v>704</v>
          </cell>
          <cell r="F3490" t="str">
            <v>A5O-859</v>
          </cell>
          <cell r="G3490" t="str">
            <v>B6Y-971</v>
          </cell>
          <cell r="H3490" t="str">
            <v>LAS BAMBAS</v>
          </cell>
          <cell r="I3490">
            <v>118134</v>
          </cell>
          <cell r="J3490" t="str">
            <v>SERVICIO</v>
          </cell>
          <cell r="K3490" t="str">
            <v>SERVICIO DE REPARACION DE PETETE</v>
          </cell>
          <cell r="L3490">
            <v>1</v>
          </cell>
          <cell r="M3490" t="str">
            <v>UNID.</v>
          </cell>
          <cell r="N3490" t="str">
            <v>TRACTO</v>
          </cell>
          <cell r="O3490">
            <v>58</v>
          </cell>
          <cell r="P3490" t="str">
            <v>J1</v>
          </cell>
          <cell r="Q3490" t="str">
            <v>J1</v>
          </cell>
          <cell r="R3490" t="str">
            <v>J6</v>
          </cell>
          <cell r="S3490" t="str">
            <v>PENDIENTE</v>
          </cell>
          <cell r="T3490">
            <v>0</v>
          </cell>
          <cell r="U3490" t="str">
            <v>FLOREZ CONDORI  JOSE WILLIANS</v>
          </cell>
          <cell r="V3490" t="str">
            <v>FLOREZ CONDORI  JOSE WILLIANS</v>
          </cell>
        </row>
        <row r="3491">
          <cell r="A3491">
            <v>3517</v>
          </cell>
          <cell r="B3491">
            <v>42732</v>
          </cell>
          <cell r="C3491" t="str">
            <v>DICIEMBRE</v>
          </cell>
          <cell r="D3491" t="str">
            <v>2016</v>
          </cell>
          <cell r="E3491">
            <v>704</v>
          </cell>
          <cell r="F3491" t="str">
            <v>A5O-859</v>
          </cell>
          <cell r="G3491" t="str">
            <v>B6Y-971</v>
          </cell>
          <cell r="H3491" t="str">
            <v>LAS BAMBAS</v>
          </cell>
          <cell r="I3491">
            <v>118134</v>
          </cell>
          <cell r="J3491" t="str">
            <v>REPUESTO</v>
          </cell>
          <cell r="K3491" t="str">
            <v>PERNO 5/32 X 2"</v>
          </cell>
          <cell r="L3491">
            <v>1</v>
          </cell>
          <cell r="M3491" t="str">
            <v>UNID.</v>
          </cell>
          <cell r="N3491" t="str">
            <v>TRACTO</v>
          </cell>
          <cell r="O3491">
            <v>58</v>
          </cell>
          <cell r="P3491" t="str">
            <v>S3</v>
          </cell>
          <cell r="Q3491" t="str">
            <v>J1</v>
          </cell>
          <cell r="R3491" t="str">
            <v>J6</v>
          </cell>
          <cell r="S3491" t="str">
            <v>PENDIENTE</v>
          </cell>
          <cell r="T3491">
            <v>0</v>
          </cell>
          <cell r="U3491" t="str">
            <v>JIMENEZ MACHACA JAVIER</v>
          </cell>
          <cell r="V3491" t="str">
            <v>FLOREZ CONDORI  JOSE WILLIANS</v>
          </cell>
        </row>
        <row r="3492">
          <cell r="A3492">
            <v>3518</v>
          </cell>
          <cell r="B3492">
            <v>42732</v>
          </cell>
          <cell r="C3492" t="str">
            <v>DICIEMBRE</v>
          </cell>
          <cell r="D3492" t="str">
            <v>2016</v>
          </cell>
          <cell r="E3492">
            <v>704</v>
          </cell>
          <cell r="F3492" t="str">
            <v>A5O-859</v>
          </cell>
          <cell r="G3492" t="str">
            <v>B6Y-971</v>
          </cell>
          <cell r="H3492" t="str">
            <v>LAS BAMBAS</v>
          </cell>
          <cell r="I3492">
            <v>118134</v>
          </cell>
          <cell r="J3492" t="str">
            <v>REPUESTO</v>
          </cell>
          <cell r="K3492" t="str">
            <v>TUERCAS 5/32</v>
          </cell>
          <cell r="L3492">
            <v>2</v>
          </cell>
          <cell r="M3492" t="str">
            <v>UNID.</v>
          </cell>
          <cell r="N3492" t="str">
            <v>TRACTO</v>
          </cell>
          <cell r="O3492">
            <v>58</v>
          </cell>
          <cell r="P3492" t="str">
            <v>S3</v>
          </cell>
          <cell r="Q3492" t="str">
            <v>J1</v>
          </cell>
          <cell r="R3492" t="str">
            <v>J6</v>
          </cell>
          <cell r="S3492" t="str">
            <v>PENDIENTE</v>
          </cell>
          <cell r="T3492">
            <v>0</v>
          </cell>
          <cell r="U3492" t="str">
            <v>JIMENEZ MACHACA JAVIER</v>
          </cell>
          <cell r="V3492" t="str">
            <v>FLOREZ CONDORI  JOSE WILLIANS</v>
          </cell>
        </row>
        <row r="3493">
          <cell r="A3493">
            <v>3526</v>
          </cell>
          <cell r="B3493">
            <v>42732</v>
          </cell>
          <cell r="C3493" t="str">
            <v>DICIEMBRE</v>
          </cell>
          <cell r="D3493" t="str">
            <v>2016</v>
          </cell>
          <cell r="E3493">
            <v>704</v>
          </cell>
          <cell r="F3493" t="str">
            <v>A5O-859</v>
          </cell>
          <cell r="G3493" t="str">
            <v>B6Y-971</v>
          </cell>
          <cell r="H3493" t="str">
            <v>LAS BAMBAS</v>
          </cell>
          <cell r="I3493">
            <v>118134</v>
          </cell>
          <cell r="J3493" t="str">
            <v>REPUESTO</v>
          </cell>
          <cell r="K3493" t="str">
            <v>MATACHISPA</v>
          </cell>
          <cell r="L3493">
            <v>1</v>
          </cell>
          <cell r="M3493" t="str">
            <v>UNID.</v>
          </cell>
          <cell r="N3493" t="str">
            <v>TRACTO</v>
          </cell>
          <cell r="O3493">
            <v>58</v>
          </cell>
          <cell r="P3493" t="str">
            <v>M6</v>
          </cell>
          <cell r="Q3493" t="str">
            <v>J1</v>
          </cell>
          <cell r="R3493" t="str">
            <v>J6</v>
          </cell>
          <cell r="S3493" t="str">
            <v>PENDIENTE</v>
          </cell>
          <cell r="T3493">
            <v>0</v>
          </cell>
          <cell r="U3493" t="str">
            <v>PARI VENTURA  EDSON ORLANDO</v>
          </cell>
          <cell r="V3493" t="str">
            <v>FLOREZ CONDORI  JOSE WILLIANS</v>
          </cell>
        </row>
        <row r="3494">
          <cell r="A3494">
            <v>3527</v>
          </cell>
          <cell r="B3494">
            <v>42732</v>
          </cell>
          <cell r="C3494" t="str">
            <v>DICIEMBRE</v>
          </cell>
          <cell r="D3494" t="str">
            <v>2016</v>
          </cell>
          <cell r="E3494">
            <v>704</v>
          </cell>
          <cell r="F3494" t="str">
            <v>A5O-859</v>
          </cell>
          <cell r="G3494" t="str">
            <v>B6Y-971</v>
          </cell>
          <cell r="H3494" t="str">
            <v>LAS BAMBAS</v>
          </cell>
          <cell r="I3494">
            <v>118134</v>
          </cell>
          <cell r="J3494" t="str">
            <v>REPUESTO</v>
          </cell>
          <cell r="K3494" t="str">
            <v>FOCOS LAGRIMONES AMBAR 12 V</v>
          </cell>
          <cell r="L3494">
            <v>2</v>
          </cell>
          <cell r="M3494" t="str">
            <v>UNID.</v>
          </cell>
          <cell r="N3494" t="str">
            <v>TRACTO</v>
          </cell>
          <cell r="O3494">
            <v>58</v>
          </cell>
          <cell r="P3494" t="str">
            <v>E2</v>
          </cell>
          <cell r="Q3494" t="str">
            <v>J1</v>
          </cell>
          <cell r="R3494" t="str">
            <v>J6</v>
          </cell>
          <cell r="S3494" t="str">
            <v>PENDIENTE</v>
          </cell>
          <cell r="T3494">
            <v>0</v>
          </cell>
          <cell r="U3494" t="str">
            <v>YUCA BELLIDO BORIS YERSY</v>
          </cell>
          <cell r="V3494" t="str">
            <v>FLOREZ CONDORI  JOSE WILLIANS</v>
          </cell>
        </row>
        <row r="3495">
          <cell r="A3495">
            <v>3528</v>
          </cell>
          <cell r="B3495">
            <v>42732</v>
          </cell>
          <cell r="C3495" t="str">
            <v>DICIEMBRE</v>
          </cell>
          <cell r="D3495" t="str">
            <v>2016</v>
          </cell>
          <cell r="E3495">
            <v>704</v>
          </cell>
          <cell r="F3495" t="str">
            <v>A5O-859</v>
          </cell>
          <cell r="G3495" t="str">
            <v>B6Y-971</v>
          </cell>
          <cell r="H3495" t="str">
            <v>LAS BAMBAS</v>
          </cell>
          <cell r="I3495">
            <v>118134</v>
          </cell>
          <cell r="J3495" t="str">
            <v>REPUESTO</v>
          </cell>
          <cell r="K3495" t="str">
            <v>FOCOS DE DOBLE CONTACTO DE 12 V</v>
          </cell>
          <cell r="L3495">
            <v>2</v>
          </cell>
          <cell r="M3495" t="str">
            <v>UNID.</v>
          </cell>
          <cell r="N3495" t="str">
            <v>TRACTO</v>
          </cell>
          <cell r="O3495">
            <v>58</v>
          </cell>
          <cell r="P3495" t="str">
            <v>E2</v>
          </cell>
          <cell r="Q3495" t="str">
            <v>J1</v>
          </cell>
          <cell r="R3495" t="str">
            <v>J6</v>
          </cell>
          <cell r="S3495" t="str">
            <v>PENDIENTE</v>
          </cell>
          <cell r="T3495">
            <v>0</v>
          </cell>
          <cell r="U3495" t="str">
            <v>YUCA BELLIDO BORIS YERSY</v>
          </cell>
          <cell r="V3495" t="str">
            <v>FLOREZ CONDORI  JOSE WILLIANS</v>
          </cell>
        </row>
        <row r="3496">
          <cell r="A3496">
            <v>3529</v>
          </cell>
          <cell r="B3496">
            <v>42732</v>
          </cell>
          <cell r="C3496" t="str">
            <v>DICIEMBRE</v>
          </cell>
          <cell r="D3496" t="str">
            <v>2016</v>
          </cell>
          <cell r="E3496">
            <v>704</v>
          </cell>
          <cell r="F3496" t="str">
            <v>A5O-859</v>
          </cell>
          <cell r="G3496" t="str">
            <v>B6Y-971</v>
          </cell>
          <cell r="H3496" t="str">
            <v>LAS BAMBAS</v>
          </cell>
          <cell r="I3496">
            <v>118134</v>
          </cell>
          <cell r="J3496" t="str">
            <v>REPUESTO</v>
          </cell>
          <cell r="K3496" t="str">
            <v>PRESINTOS 300</v>
          </cell>
          <cell r="L3496">
            <v>20</v>
          </cell>
          <cell r="M3496" t="str">
            <v>UNID.</v>
          </cell>
          <cell r="N3496" t="str">
            <v>TRACTO</v>
          </cell>
          <cell r="O3496">
            <v>58</v>
          </cell>
          <cell r="P3496" t="str">
            <v>E2</v>
          </cell>
          <cell r="Q3496" t="str">
            <v>J1</v>
          </cell>
          <cell r="R3496" t="str">
            <v>J6</v>
          </cell>
          <cell r="S3496" t="str">
            <v>PENDIENTE</v>
          </cell>
          <cell r="T3496">
            <v>0</v>
          </cell>
          <cell r="U3496" t="str">
            <v>YUCA BELLIDO BORIS YERSY</v>
          </cell>
          <cell r="V3496" t="str">
            <v>FLOREZ CONDORI  JOSE WILLIANS</v>
          </cell>
        </row>
        <row r="3497">
          <cell r="A3497">
            <v>3520</v>
          </cell>
          <cell r="B3497">
            <v>42732</v>
          </cell>
          <cell r="C3497" t="str">
            <v>DICIEMBRE</v>
          </cell>
          <cell r="D3497" t="str">
            <v>2016</v>
          </cell>
          <cell r="E3497">
            <v>699</v>
          </cell>
          <cell r="F3497" t="str">
            <v>ABP-783</v>
          </cell>
          <cell r="G3497" t="str">
            <v>C9S-988</v>
          </cell>
          <cell r="H3497" t="str">
            <v>LAS BAMBAS</v>
          </cell>
          <cell r="I3497">
            <v>129575</v>
          </cell>
          <cell r="J3497" t="str">
            <v>REPUESTO</v>
          </cell>
          <cell r="K3497" t="str">
            <v>FARO NEBLINERO AAA</v>
          </cell>
          <cell r="L3497">
            <v>2</v>
          </cell>
          <cell r="M3497" t="str">
            <v>UNID.</v>
          </cell>
          <cell r="N3497" t="str">
            <v>TRACTO</v>
          </cell>
          <cell r="O3497">
            <v>58</v>
          </cell>
          <cell r="P3497" t="str">
            <v>E2</v>
          </cell>
          <cell r="Q3497" t="str">
            <v>J1</v>
          </cell>
          <cell r="R3497" t="str">
            <v>J5</v>
          </cell>
          <cell r="S3497" t="str">
            <v>PENDIENTE</v>
          </cell>
          <cell r="T3497">
            <v>0</v>
          </cell>
          <cell r="U3497" t="str">
            <v>YUCA BELLIDO BORIS YERSY</v>
          </cell>
          <cell r="V3497" t="str">
            <v>FLOREZ CONDORI  JOSE WILLIANS</v>
          </cell>
        </row>
        <row r="3498">
          <cell r="A3498">
            <v>3540</v>
          </cell>
          <cell r="B3498">
            <v>42732</v>
          </cell>
          <cell r="C3498" t="str">
            <v>DICIEMBRE</v>
          </cell>
          <cell r="D3498" t="str">
            <v>2016</v>
          </cell>
          <cell r="E3498">
            <v>643</v>
          </cell>
          <cell r="F3498" t="str">
            <v>ABP-783</v>
          </cell>
          <cell r="G3498" t="str">
            <v>C9S-988</v>
          </cell>
          <cell r="H3498" t="str">
            <v>LAS BAMBAS</v>
          </cell>
          <cell r="I3498">
            <v>128252</v>
          </cell>
          <cell r="J3498" t="str">
            <v>REPUESTO</v>
          </cell>
          <cell r="K3498" t="str">
            <v>FAROS NEBLINEROS</v>
          </cell>
          <cell r="L3498">
            <v>2</v>
          </cell>
          <cell r="M3498" t="str">
            <v>UNID.</v>
          </cell>
          <cell r="N3498" t="str">
            <v>TRACTO</v>
          </cell>
          <cell r="O3498">
            <v>58</v>
          </cell>
          <cell r="P3498" t="str">
            <v>E1</v>
          </cell>
          <cell r="Q3498" t="str">
            <v>J1</v>
          </cell>
          <cell r="R3498" t="str">
            <v>J6</v>
          </cell>
          <cell r="S3498" t="str">
            <v>ENTREGADO</v>
          </cell>
          <cell r="T3498">
            <v>0</v>
          </cell>
          <cell r="U3498" t="str">
            <v>PALOMINO CARDENAS JUAN CARLOS</v>
          </cell>
          <cell r="V3498" t="str">
            <v>FLOREZ CONDORI  JOSE WILLIANS</v>
          </cell>
        </row>
        <row r="3499">
          <cell r="A3499">
            <v>3541</v>
          </cell>
          <cell r="B3499">
            <v>42732</v>
          </cell>
          <cell r="C3499" t="str">
            <v>DICIEMBRE</v>
          </cell>
          <cell r="D3499" t="str">
            <v>2016</v>
          </cell>
          <cell r="E3499">
            <v>643</v>
          </cell>
          <cell r="F3499" t="str">
            <v>ABP-783</v>
          </cell>
          <cell r="G3499" t="str">
            <v>C9S-988</v>
          </cell>
          <cell r="H3499" t="str">
            <v>LAS BAMBAS</v>
          </cell>
          <cell r="I3499">
            <v>128252</v>
          </cell>
          <cell r="J3499" t="str">
            <v>REPUESTO</v>
          </cell>
          <cell r="K3499" t="str">
            <v>PERNOS 5/16 X 2</v>
          </cell>
          <cell r="L3499">
            <v>4</v>
          </cell>
          <cell r="M3499" t="str">
            <v>UNID.</v>
          </cell>
          <cell r="N3499" t="str">
            <v>TRACTO</v>
          </cell>
          <cell r="O3499">
            <v>58</v>
          </cell>
          <cell r="P3499" t="str">
            <v>E1</v>
          </cell>
          <cell r="Q3499" t="str">
            <v>J1</v>
          </cell>
          <cell r="R3499" t="str">
            <v>J6</v>
          </cell>
          <cell r="S3499" t="str">
            <v>ENTREGADO</v>
          </cell>
          <cell r="T3499">
            <v>0</v>
          </cell>
          <cell r="U3499" t="str">
            <v>PALOMINO CARDENAS JUAN CARLOS</v>
          </cell>
          <cell r="V3499" t="str">
            <v>FLOREZ CONDORI  JOSE WILLIANS</v>
          </cell>
        </row>
        <row r="3500">
          <cell r="A3500">
            <v>3542</v>
          </cell>
          <cell r="B3500">
            <v>42732</v>
          </cell>
          <cell r="C3500" t="str">
            <v>DICIEMBRE</v>
          </cell>
          <cell r="D3500" t="str">
            <v>2016</v>
          </cell>
          <cell r="E3500">
            <v>643</v>
          </cell>
          <cell r="F3500" t="str">
            <v>ABP-783</v>
          </cell>
          <cell r="G3500" t="str">
            <v>C9S-988</v>
          </cell>
          <cell r="H3500" t="str">
            <v>LAS BAMBAS</v>
          </cell>
          <cell r="I3500">
            <v>128252</v>
          </cell>
          <cell r="J3500" t="str">
            <v>REPUESTO</v>
          </cell>
          <cell r="K3500" t="str">
            <v>TUERCA SEGURO 5/16</v>
          </cell>
          <cell r="L3500">
            <v>4</v>
          </cell>
          <cell r="M3500" t="str">
            <v>UNID.</v>
          </cell>
          <cell r="N3500" t="str">
            <v>TRACTO</v>
          </cell>
          <cell r="O3500">
            <v>58</v>
          </cell>
          <cell r="P3500" t="str">
            <v>E1</v>
          </cell>
          <cell r="Q3500" t="str">
            <v>J1</v>
          </cell>
          <cell r="R3500" t="str">
            <v>J6</v>
          </cell>
          <cell r="S3500" t="str">
            <v>ENTREGADO</v>
          </cell>
          <cell r="T3500">
            <v>0</v>
          </cell>
          <cell r="U3500" t="str">
            <v>PALOMINO CARDENAS JUAN CARLOS</v>
          </cell>
          <cell r="V3500" t="str">
            <v>FLOREZ CONDORI  JOSE WILLIANS</v>
          </cell>
        </row>
        <row r="3501">
          <cell r="A3501">
            <v>3543</v>
          </cell>
          <cell r="B3501">
            <v>42732</v>
          </cell>
          <cell r="C3501" t="str">
            <v>DICIEMBRE</v>
          </cell>
          <cell r="D3501" t="str">
            <v>2016</v>
          </cell>
          <cell r="E3501">
            <v>643</v>
          </cell>
          <cell r="F3501" t="str">
            <v>ABP-783</v>
          </cell>
          <cell r="G3501" t="str">
            <v>C9S-988</v>
          </cell>
          <cell r="H3501" t="str">
            <v>LAS BAMBAS</v>
          </cell>
          <cell r="I3501">
            <v>128252</v>
          </cell>
          <cell r="J3501" t="str">
            <v>REPUESTO</v>
          </cell>
          <cell r="K3501" t="str">
            <v>ARANDELA PLANA 5/16</v>
          </cell>
          <cell r="L3501">
            <v>2</v>
          </cell>
          <cell r="M3501" t="str">
            <v>UNID.</v>
          </cell>
          <cell r="N3501" t="str">
            <v>TRACTO</v>
          </cell>
          <cell r="O3501">
            <v>58</v>
          </cell>
          <cell r="P3501" t="str">
            <v>E1</v>
          </cell>
          <cell r="Q3501" t="str">
            <v>J1</v>
          </cell>
          <cell r="R3501" t="str">
            <v>J6</v>
          </cell>
          <cell r="S3501" t="str">
            <v>ENTREGADO</v>
          </cell>
          <cell r="T3501">
            <v>0</v>
          </cell>
          <cell r="U3501" t="str">
            <v>PALOMINO CARDENAS JUAN CARLOS</v>
          </cell>
          <cell r="V3501" t="str">
            <v>FLOREZ CONDORI  JOSE WILLIANS</v>
          </cell>
        </row>
        <row r="3502">
          <cell r="A3502">
            <v>3493</v>
          </cell>
          <cell r="B3502">
            <v>42732</v>
          </cell>
          <cell r="C3502" t="str">
            <v>DICIEMBRE</v>
          </cell>
          <cell r="D3502" t="str">
            <v>2016</v>
          </cell>
          <cell r="E3502">
            <v>701</v>
          </cell>
          <cell r="F3502" t="str">
            <v>ABR-727</v>
          </cell>
          <cell r="G3502" t="str">
            <v>C9S-989</v>
          </cell>
          <cell r="H3502" t="str">
            <v>LAS BAMBAS</v>
          </cell>
          <cell r="I3502">
            <v>102661</v>
          </cell>
          <cell r="J3502" t="str">
            <v>REPUESTO</v>
          </cell>
          <cell r="K3502" t="str">
            <v>LIQUIDO LIMPIAPARABRISAS</v>
          </cell>
          <cell r="L3502">
            <v>1</v>
          </cell>
          <cell r="M3502" t="str">
            <v>GLNS.</v>
          </cell>
          <cell r="N3502" t="str">
            <v>TRACTO</v>
          </cell>
          <cell r="O3502">
            <v>58</v>
          </cell>
          <cell r="P3502" t="str">
            <v>M1</v>
          </cell>
          <cell r="Q3502" t="str">
            <v>J1</v>
          </cell>
          <cell r="R3502" t="str">
            <v>J6</v>
          </cell>
          <cell r="S3502" t="str">
            <v>PENDIENTE</v>
          </cell>
          <cell r="T3502">
            <v>0</v>
          </cell>
          <cell r="U3502" t="str">
            <v>CABEZAS SANCHEZ JEAN JHONATAN</v>
          </cell>
          <cell r="V3502" t="str">
            <v>FLOREZ CONDORI  JOSE WILLIANS</v>
          </cell>
        </row>
        <row r="3503">
          <cell r="A3503">
            <v>3494</v>
          </cell>
          <cell r="B3503">
            <v>42732</v>
          </cell>
          <cell r="C3503" t="str">
            <v>DICIEMBRE</v>
          </cell>
          <cell r="D3503" t="str">
            <v>2016</v>
          </cell>
          <cell r="E3503">
            <v>701</v>
          </cell>
          <cell r="F3503" t="str">
            <v>ABR-727</v>
          </cell>
          <cell r="G3503" t="str">
            <v>C9S-989</v>
          </cell>
          <cell r="H3503" t="str">
            <v>LAS BAMBAS</v>
          </cell>
          <cell r="I3503">
            <v>102661</v>
          </cell>
          <cell r="J3503" t="str">
            <v>REPUESTO</v>
          </cell>
          <cell r="K3503" t="str">
            <v>TUERCA 5/32</v>
          </cell>
          <cell r="L3503">
            <v>2</v>
          </cell>
          <cell r="M3503" t="str">
            <v>UNID.</v>
          </cell>
          <cell r="N3503" t="str">
            <v>TRACTO</v>
          </cell>
          <cell r="O3503">
            <v>58</v>
          </cell>
          <cell r="P3503" t="str">
            <v>S3</v>
          </cell>
          <cell r="Q3503" t="str">
            <v>J1</v>
          </cell>
          <cell r="R3503" t="str">
            <v>J6</v>
          </cell>
          <cell r="S3503" t="str">
            <v>PENDIENTE</v>
          </cell>
          <cell r="T3503">
            <v>0</v>
          </cell>
          <cell r="U3503" t="str">
            <v>JIMENEZ MACHACA JAVIER</v>
          </cell>
          <cell r="V3503" t="str">
            <v>FLOREZ CONDORI  JOSE WILLIANS</v>
          </cell>
        </row>
        <row r="3504">
          <cell r="A3504">
            <v>3500</v>
          </cell>
          <cell r="B3504">
            <v>42732</v>
          </cell>
          <cell r="C3504" t="str">
            <v>DICIEMBRE</v>
          </cell>
          <cell r="D3504" t="str">
            <v>2016</v>
          </cell>
          <cell r="E3504">
            <v>701</v>
          </cell>
          <cell r="F3504" t="str">
            <v>ABR-727</v>
          </cell>
          <cell r="G3504" t="str">
            <v>C9S-989</v>
          </cell>
          <cell r="H3504" t="str">
            <v>LAS BAMBAS</v>
          </cell>
          <cell r="I3504">
            <v>102661</v>
          </cell>
          <cell r="J3504" t="str">
            <v>REPUESTO</v>
          </cell>
          <cell r="K3504" t="str">
            <v>SOPORTE DE CAPOT</v>
          </cell>
          <cell r="L3504">
            <v>1</v>
          </cell>
          <cell r="M3504" t="str">
            <v>UNID.</v>
          </cell>
          <cell r="N3504" t="str">
            <v>TRACTO</v>
          </cell>
          <cell r="O3504">
            <v>58</v>
          </cell>
          <cell r="P3504" t="str">
            <v>M1</v>
          </cell>
          <cell r="Q3504" t="str">
            <v>J1</v>
          </cell>
          <cell r="R3504" t="str">
            <v>J5</v>
          </cell>
          <cell r="S3504" t="str">
            <v>PENDIENTE</v>
          </cell>
          <cell r="T3504">
            <v>0</v>
          </cell>
          <cell r="U3504" t="str">
            <v>CABEZAS SANCHEZ JEAN JHONATAN</v>
          </cell>
          <cell r="V3504" t="str">
            <v>FLOREZ CONDORI  JOSE WILLIANS</v>
          </cell>
        </row>
        <row r="3505">
          <cell r="A3505">
            <v>3495</v>
          </cell>
          <cell r="B3505">
            <v>42732</v>
          </cell>
          <cell r="C3505" t="str">
            <v>DICIEMBRE</v>
          </cell>
          <cell r="D3505" t="str">
            <v>2016</v>
          </cell>
          <cell r="E3505">
            <v>690</v>
          </cell>
          <cell r="F3505" t="str">
            <v>AEH-801</v>
          </cell>
          <cell r="G3505" t="str">
            <v>CAMIONETA</v>
          </cell>
          <cell r="H3505" t="str">
            <v>LAS BAMBAS</v>
          </cell>
          <cell r="I3505">
            <v>93447</v>
          </cell>
          <cell r="J3505" t="str">
            <v>REPUESTO</v>
          </cell>
          <cell r="K3505" t="str">
            <v xml:space="preserve">FOCO PILOTO DE UN CONTACTO 12V </v>
          </cell>
          <cell r="L3505">
            <v>1</v>
          </cell>
          <cell r="M3505" t="str">
            <v>UNID.</v>
          </cell>
          <cell r="N3505" t="str">
            <v>TRACTO</v>
          </cell>
          <cell r="O3505">
            <v>58</v>
          </cell>
          <cell r="P3505" t="str">
            <v>E3</v>
          </cell>
          <cell r="Q3505" t="str">
            <v>J1</v>
          </cell>
          <cell r="R3505" t="str">
            <v>J5</v>
          </cell>
          <cell r="S3505" t="str">
            <v>PENDIENTE</v>
          </cell>
          <cell r="T3505">
            <v>0</v>
          </cell>
          <cell r="U3505" t="str">
            <v>CONDORI CHURATA ALEX</v>
          </cell>
          <cell r="V3505" t="str">
            <v>FLOREZ CONDORI  JOSE WILLIANS</v>
          </cell>
        </row>
        <row r="3506">
          <cell r="A3506">
            <v>3496</v>
          </cell>
          <cell r="B3506">
            <v>42732</v>
          </cell>
          <cell r="C3506" t="str">
            <v>DICIEMBRE</v>
          </cell>
          <cell r="D3506" t="str">
            <v>2016</v>
          </cell>
          <cell r="E3506">
            <v>690</v>
          </cell>
          <cell r="F3506" t="str">
            <v>AEH-801</v>
          </cell>
          <cell r="G3506" t="str">
            <v>CAMIONETA</v>
          </cell>
          <cell r="H3506" t="str">
            <v>LAS BAMBAS</v>
          </cell>
          <cell r="I3506">
            <v>93447</v>
          </cell>
          <cell r="J3506" t="str">
            <v>REPUESTO</v>
          </cell>
          <cell r="K3506" t="str">
            <v xml:space="preserve">CABLE NRO 14 </v>
          </cell>
          <cell r="L3506">
            <v>1</v>
          </cell>
          <cell r="M3506" t="str">
            <v>M</v>
          </cell>
          <cell r="N3506" t="str">
            <v>TRACTO</v>
          </cell>
          <cell r="O3506">
            <v>58</v>
          </cell>
          <cell r="P3506" t="str">
            <v>E3</v>
          </cell>
          <cell r="Q3506" t="str">
            <v>J1</v>
          </cell>
          <cell r="R3506" t="str">
            <v>J5</v>
          </cell>
          <cell r="S3506" t="str">
            <v>PENDIENTE</v>
          </cell>
          <cell r="T3506">
            <v>0</v>
          </cell>
          <cell r="U3506" t="str">
            <v>CONDORI CHURATA ALEX</v>
          </cell>
          <cell r="V3506" t="str">
            <v>FLOREZ CONDORI  JOSE WILLIANS</v>
          </cell>
        </row>
        <row r="3507">
          <cell r="A3507">
            <v>3497</v>
          </cell>
          <cell r="B3507">
            <v>42732</v>
          </cell>
          <cell r="C3507" t="str">
            <v>DICIEMBRE</v>
          </cell>
          <cell r="D3507" t="str">
            <v>2016</v>
          </cell>
          <cell r="E3507">
            <v>690</v>
          </cell>
          <cell r="F3507" t="str">
            <v>AEH-801</v>
          </cell>
          <cell r="G3507" t="str">
            <v>CAMIONETA</v>
          </cell>
          <cell r="H3507" t="str">
            <v>LAS BAMBAS</v>
          </cell>
          <cell r="I3507">
            <v>93447</v>
          </cell>
          <cell r="J3507" t="str">
            <v>REPUESTO</v>
          </cell>
          <cell r="K3507" t="str">
            <v>MICA PARA FARO PERTIGA</v>
          </cell>
          <cell r="L3507">
            <v>1</v>
          </cell>
          <cell r="M3507" t="str">
            <v>UNID.</v>
          </cell>
          <cell r="N3507" t="str">
            <v>TRACTO</v>
          </cell>
          <cell r="O3507">
            <v>58</v>
          </cell>
          <cell r="P3507" t="str">
            <v>E3</v>
          </cell>
          <cell r="Q3507" t="str">
            <v>J1</v>
          </cell>
          <cell r="R3507" t="str">
            <v>J5</v>
          </cell>
          <cell r="S3507" t="str">
            <v>PENDIENTE</v>
          </cell>
          <cell r="T3507">
            <v>0</v>
          </cell>
          <cell r="U3507" t="str">
            <v>CONDORI CHURATA ALEX</v>
          </cell>
          <cell r="V3507" t="str">
            <v>FLOREZ CONDORI  JOSE WILLIANS</v>
          </cell>
        </row>
        <row r="3508">
          <cell r="A3508">
            <v>3498</v>
          </cell>
          <cell r="B3508">
            <v>42732</v>
          </cell>
          <cell r="C3508" t="str">
            <v>DICIEMBRE</v>
          </cell>
          <cell r="D3508" t="str">
            <v>2016</v>
          </cell>
          <cell r="E3508">
            <v>690</v>
          </cell>
          <cell r="F3508" t="str">
            <v>AEH-801</v>
          </cell>
          <cell r="G3508" t="str">
            <v>CAMIONETA</v>
          </cell>
          <cell r="H3508" t="str">
            <v>LAS BAMBAS</v>
          </cell>
          <cell r="I3508">
            <v>93447</v>
          </cell>
          <cell r="J3508" t="str">
            <v>REPUESTO</v>
          </cell>
          <cell r="K3508" t="str">
            <v>FARO NEBLINERO AAA</v>
          </cell>
          <cell r="L3508">
            <v>2</v>
          </cell>
          <cell r="M3508" t="str">
            <v>UNID.</v>
          </cell>
          <cell r="N3508" t="str">
            <v>TRACTO</v>
          </cell>
          <cell r="O3508">
            <v>58</v>
          </cell>
          <cell r="P3508" t="str">
            <v>E3</v>
          </cell>
          <cell r="Q3508" t="str">
            <v>J1</v>
          </cell>
          <cell r="R3508" t="str">
            <v>J5</v>
          </cell>
          <cell r="S3508" t="str">
            <v>PENDIENTE</v>
          </cell>
          <cell r="T3508">
            <v>0</v>
          </cell>
          <cell r="U3508" t="str">
            <v>CONDORI CHURATA ALEX</v>
          </cell>
          <cell r="V3508" t="str">
            <v>FLOREZ CONDORI  JOSE WILLIANS</v>
          </cell>
        </row>
        <row r="3509">
          <cell r="A3509">
            <v>3501</v>
          </cell>
          <cell r="B3509">
            <v>42732</v>
          </cell>
          <cell r="C3509" t="str">
            <v>DICIEMBRE</v>
          </cell>
          <cell r="D3509" t="str">
            <v>2016</v>
          </cell>
          <cell r="E3509">
            <v>690</v>
          </cell>
          <cell r="F3509" t="str">
            <v>AEH-801</v>
          </cell>
          <cell r="G3509" t="str">
            <v>CAMIONETA</v>
          </cell>
          <cell r="H3509" t="str">
            <v>LAS BAMBAS</v>
          </cell>
          <cell r="I3509">
            <v>93447</v>
          </cell>
          <cell r="J3509" t="str">
            <v>REPUESTO</v>
          </cell>
          <cell r="K3509" t="str">
            <v>TERMINALES 3/8</v>
          </cell>
          <cell r="L3509">
            <v>2</v>
          </cell>
          <cell r="M3509" t="str">
            <v>UNID.</v>
          </cell>
          <cell r="N3509" t="str">
            <v>CAMIONETA</v>
          </cell>
          <cell r="O3509">
            <v>58</v>
          </cell>
          <cell r="P3509" t="str">
            <v>E3</v>
          </cell>
          <cell r="Q3509" t="str">
            <v>J1</v>
          </cell>
          <cell r="R3509" t="str">
            <v>J6</v>
          </cell>
          <cell r="S3509" t="str">
            <v>PENDIENTE</v>
          </cell>
          <cell r="T3509">
            <v>0</v>
          </cell>
          <cell r="U3509" t="str">
            <v>CONDORI CHURATA ALEX</v>
          </cell>
          <cell r="V3509" t="str">
            <v>FLOREZ CONDORI  JOSE WILLIANS</v>
          </cell>
        </row>
        <row r="3510">
          <cell r="A3510">
            <v>3530</v>
          </cell>
          <cell r="B3510">
            <v>42732</v>
          </cell>
          <cell r="C3510" t="str">
            <v>DICIEMBRE</v>
          </cell>
          <cell r="D3510" t="str">
            <v>2016</v>
          </cell>
          <cell r="E3510">
            <v>687</v>
          </cell>
          <cell r="F3510" t="str">
            <v>AEH-862</v>
          </cell>
          <cell r="G3510" t="str">
            <v>CAMIONETA</v>
          </cell>
          <cell r="H3510" t="str">
            <v>LAS BAMBAS</v>
          </cell>
          <cell r="I3510">
            <v>102287</v>
          </cell>
          <cell r="J3510" t="str">
            <v>REPUESTO</v>
          </cell>
          <cell r="K3510" t="str">
            <v>FAROS NEBLINEROS</v>
          </cell>
          <cell r="L3510">
            <v>2</v>
          </cell>
          <cell r="M3510" t="str">
            <v>UNID.</v>
          </cell>
          <cell r="N3510" t="str">
            <v>CAMIONETA</v>
          </cell>
          <cell r="O3510">
            <v>58</v>
          </cell>
          <cell r="P3510" t="str">
            <v>E3</v>
          </cell>
          <cell r="Q3510" t="str">
            <v>J1</v>
          </cell>
          <cell r="R3510" t="str">
            <v>J6</v>
          </cell>
          <cell r="S3510" t="str">
            <v>PENDIENTE</v>
          </cell>
          <cell r="T3510">
            <v>0</v>
          </cell>
          <cell r="U3510" t="str">
            <v>CONDORI CHURATA ALEX</v>
          </cell>
          <cell r="V3510" t="str">
            <v>FLOREZ CONDORI  JOSE WILLIANS</v>
          </cell>
        </row>
        <row r="3511">
          <cell r="A3511">
            <v>3521</v>
          </cell>
          <cell r="B3511">
            <v>42732</v>
          </cell>
          <cell r="C3511" t="str">
            <v>DICIEMBRE</v>
          </cell>
          <cell r="D3511" t="str">
            <v>2016</v>
          </cell>
          <cell r="E3511">
            <v>706</v>
          </cell>
          <cell r="F3511" t="str">
            <v>AKW-894</v>
          </cell>
          <cell r="G3511" t="str">
            <v>TBN-978</v>
          </cell>
          <cell r="H3511" t="str">
            <v>LAS BAMBAS</v>
          </cell>
          <cell r="I3511">
            <v>43041</v>
          </cell>
          <cell r="J3511" t="str">
            <v>REPUESTO</v>
          </cell>
          <cell r="K3511" t="str">
            <v>JEBE PARA ESCARPIN</v>
          </cell>
          <cell r="L3511">
            <v>1</v>
          </cell>
          <cell r="M3511" t="str">
            <v>UNID.</v>
          </cell>
          <cell r="N3511" t="str">
            <v>TRACTO</v>
          </cell>
          <cell r="O3511">
            <v>58</v>
          </cell>
          <cell r="P3511" t="str">
            <v>M1</v>
          </cell>
          <cell r="Q3511" t="str">
            <v>J1</v>
          </cell>
          <cell r="R3511" t="str">
            <v>J5</v>
          </cell>
          <cell r="S3511" t="str">
            <v>PENDIENTE</v>
          </cell>
          <cell r="T3511">
            <v>0</v>
          </cell>
          <cell r="U3511" t="str">
            <v>CABEZAS SANCHEZ JEAN JHONATAN</v>
          </cell>
          <cell r="V3511" t="str">
            <v>FLOREZ CONDORI  JOSE WILLIANS</v>
          </cell>
        </row>
        <row r="3512">
          <cell r="A3512">
            <v>3522</v>
          </cell>
          <cell r="B3512">
            <v>42732</v>
          </cell>
          <cell r="C3512" t="str">
            <v>DICIEMBRE</v>
          </cell>
          <cell r="D3512" t="str">
            <v>2016</v>
          </cell>
          <cell r="E3512">
            <v>706</v>
          </cell>
          <cell r="F3512" t="str">
            <v>AKW-894</v>
          </cell>
          <cell r="G3512" t="str">
            <v>TBN-978</v>
          </cell>
          <cell r="H3512" t="str">
            <v>LAS BAMBAS</v>
          </cell>
          <cell r="I3512">
            <v>43041</v>
          </cell>
          <cell r="J3512" t="str">
            <v>REPUESTO</v>
          </cell>
          <cell r="K3512" t="str">
            <v xml:space="preserve">STICKER EXTINTOR </v>
          </cell>
          <cell r="L3512">
            <v>1</v>
          </cell>
          <cell r="M3512" t="str">
            <v>UNID.</v>
          </cell>
          <cell r="N3512" t="str">
            <v>CISTERNA</v>
          </cell>
          <cell r="O3512">
            <v>58</v>
          </cell>
          <cell r="P3512" t="str">
            <v>M1</v>
          </cell>
          <cell r="Q3512" t="str">
            <v>J1</v>
          </cell>
          <cell r="R3512" t="str">
            <v>J5</v>
          </cell>
          <cell r="S3512" t="str">
            <v>PENDIENTE</v>
          </cell>
          <cell r="T3512">
            <v>0</v>
          </cell>
          <cell r="U3512" t="str">
            <v>CABEZAS SANCHEZ JEAN JHONATAN</v>
          </cell>
          <cell r="V3512" t="str">
            <v>FLOREZ CONDORI  JOSE WILLIANS</v>
          </cell>
        </row>
        <row r="3513">
          <cell r="A3513">
            <v>3523</v>
          </cell>
          <cell r="B3513">
            <v>42732</v>
          </cell>
          <cell r="C3513" t="str">
            <v>DICIEMBRE</v>
          </cell>
          <cell r="D3513" t="str">
            <v>2016</v>
          </cell>
          <cell r="E3513">
            <v>530</v>
          </cell>
          <cell r="F3513" t="str">
            <v>C5R-892</v>
          </cell>
          <cell r="G3513" t="str">
            <v>A0T-983</v>
          </cell>
          <cell r="H3513" t="str">
            <v>LAS BAMBAS</v>
          </cell>
          <cell r="I3513">
            <v>226743</v>
          </cell>
          <cell r="J3513" t="str">
            <v>SERVICIO</v>
          </cell>
          <cell r="K3513" t="str">
            <v>PINTURA CISTERNA</v>
          </cell>
          <cell r="L3513">
            <v>1</v>
          </cell>
          <cell r="M3513" t="str">
            <v>UNID.</v>
          </cell>
          <cell r="N3513" t="str">
            <v>CISTERNA</v>
          </cell>
          <cell r="O3513">
            <v>58</v>
          </cell>
          <cell r="P3513" t="str">
            <v>J1</v>
          </cell>
          <cell r="Q3513" t="str">
            <v>J1</v>
          </cell>
          <cell r="R3513" t="str">
            <v>J5</v>
          </cell>
          <cell r="S3513" t="str">
            <v>PENDIENTE</v>
          </cell>
          <cell r="T3513">
            <v>0</v>
          </cell>
          <cell r="U3513" t="str">
            <v>FLOREZ CONDORI  JOSE WILLIANS</v>
          </cell>
          <cell r="V3513" t="str">
            <v>FLOREZ CONDORI  JOSE WILLIANS</v>
          </cell>
        </row>
        <row r="3514">
          <cell r="A3514">
            <v>3551</v>
          </cell>
          <cell r="B3514">
            <v>42732</v>
          </cell>
          <cell r="C3514" t="str">
            <v>DICIEMBRE</v>
          </cell>
          <cell r="D3514" t="str">
            <v>2016</v>
          </cell>
          <cell r="E3514">
            <v>656</v>
          </cell>
          <cell r="F3514" t="str">
            <v>C5R-896</v>
          </cell>
          <cell r="G3514" t="str">
            <v>A0U-977</v>
          </cell>
          <cell r="H3514" t="str">
            <v>LAS BAMBAS</v>
          </cell>
          <cell r="I3514">
            <v>213713</v>
          </cell>
          <cell r="J3514" t="str">
            <v>REPUESTO</v>
          </cell>
          <cell r="K3514" t="str">
            <v>CERRADURA DE PUERTA LADO IZQUIERDO</v>
          </cell>
          <cell r="L3514">
            <v>1</v>
          </cell>
          <cell r="M3514" t="str">
            <v>UNID.</v>
          </cell>
          <cell r="N3514" t="str">
            <v>TRACTO</v>
          </cell>
          <cell r="O3514">
            <v>58</v>
          </cell>
          <cell r="P3514" t="str">
            <v>J1</v>
          </cell>
          <cell r="Q3514" t="str">
            <v>J1</v>
          </cell>
          <cell r="R3514" t="str">
            <v>J1</v>
          </cell>
          <cell r="S3514" t="str">
            <v>PENDIENTE</v>
          </cell>
          <cell r="T3514">
            <v>0</v>
          </cell>
          <cell r="U3514" t="str">
            <v>FLOREZ CONDORI  JOSE WILLIANS</v>
          </cell>
          <cell r="V3514" t="str">
            <v>FLOREZ CONDORI  JOSE WILLIANS</v>
          </cell>
        </row>
        <row r="3515">
          <cell r="A3515">
            <v>3552</v>
          </cell>
          <cell r="B3515">
            <v>42732</v>
          </cell>
          <cell r="C3515" t="str">
            <v>DICIEMBRE</v>
          </cell>
          <cell r="D3515" t="str">
            <v>2016</v>
          </cell>
          <cell r="E3515">
            <v>656</v>
          </cell>
          <cell r="F3515" t="str">
            <v>C5R-896</v>
          </cell>
          <cell r="G3515" t="str">
            <v>A0U-977</v>
          </cell>
          <cell r="H3515" t="str">
            <v>LAS BAMBAS</v>
          </cell>
          <cell r="I3515">
            <v>213713</v>
          </cell>
          <cell r="J3515" t="str">
            <v>REPUESTO</v>
          </cell>
          <cell r="K3515" t="str">
            <v>SERVICIO DE REPARACION DE RADIOCOMUNICACION</v>
          </cell>
          <cell r="L3515">
            <v>1</v>
          </cell>
          <cell r="M3515" t="str">
            <v>UNID.</v>
          </cell>
          <cell r="N3515" t="str">
            <v>TRACTO</v>
          </cell>
          <cell r="O3515">
            <v>58</v>
          </cell>
          <cell r="P3515" t="str">
            <v>J1</v>
          </cell>
          <cell r="Q3515" t="str">
            <v>J1</v>
          </cell>
          <cell r="R3515" t="str">
            <v>J1</v>
          </cell>
          <cell r="S3515" t="str">
            <v>ENTREGADO</v>
          </cell>
          <cell r="T3515">
            <v>0</v>
          </cell>
          <cell r="U3515" t="str">
            <v>FLOREZ CONDORI  JOSE WILLIANS</v>
          </cell>
          <cell r="V3515" t="str">
            <v>FLOREZ CONDORI  JOSE WILLIANS</v>
          </cell>
        </row>
        <row r="3516">
          <cell r="A3516">
            <v>3519</v>
          </cell>
          <cell r="B3516">
            <v>42732</v>
          </cell>
          <cell r="C3516" t="str">
            <v>DICIEMBRE</v>
          </cell>
          <cell r="D3516" t="str">
            <v>2016</v>
          </cell>
          <cell r="E3516">
            <v>697</v>
          </cell>
          <cell r="F3516" t="str">
            <v>D3P-744</v>
          </cell>
          <cell r="G3516" t="str">
            <v>A0F-996</v>
          </cell>
          <cell r="H3516" t="str">
            <v>LAS BAMBAS</v>
          </cell>
          <cell r="I3516">
            <v>157040</v>
          </cell>
          <cell r="J3516" t="str">
            <v>REPUESTO</v>
          </cell>
          <cell r="K3516" t="str">
            <v>FARO NEBLINERO AAA</v>
          </cell>
          <cell r="L3516">
            <v>2</v>
          </cell>
          <cell r="M3516" t="str">
            <v>UNID.</v>
          </cell>
          <cell r="N3516" t="str">
            <v>TRACTO</v>
          </cell>
          <cell r="O3516">
            <v>58</v>
          </cell>
          <cell r="P3516" t="str">
            <v>E2</v>
          </cell>
          <cell r="Q3516" t="str">
            <v>J1</v>
          </cell>
          <cell r="R3516" t="str">
            <v>J5</v>
          </cell>
          <cell r="S3516" t="str">
            <v>PENDIENTE</v>
          </cell>
          <cell r="T3516">
            <v>0</v>
          </cell>
          <cell r="U3516" t="str">
            <v>YUCA BELLIDO BORIS YERSY</v>
          </cell>
          <cell r="V3516" t="str">
            <v>FLOREZ CONDORI  JOSE WILLIANS</v>
          </cell>
        </row>
        <row r="3517">
          <cell r="A3517">
            <v>3558</v>
          </cell>
          <cell r="B3517">
            <v>42732</v>
          </cell>
          <cell r="C3517" t="str">
            <v>DICIEMBRE</v>
          </cell>
          <cell r="D3517" t="str">
            <v>2016</v>
          </cell>
          <cell r="E3517">
            <v>653</v>
          </cell>
          <cell r="F3517" t="str">
            <v>D4W-805</v>
          </cell>
          <cell r="G3517" t="str">
            <v>CAMIONETA</v>
          </cell>
          <cell r="H3517" t="str">
            <v>MANTENIMIENTO</v>
          </cell>
          <cell r="I3517">
            <v>0</v>
          </cell>
          <cell r="J3517" t="str">
            <v>REPUESTO</v>
          </cell>
          <cell r="K3517" t="str">
            <v xml:space="preserve">STICKERS LATERALES DE PLACA </v>
          </cell>
          <cell r="L3517">
            <v>1</v>
          </cell>
          <cell r="M3517" t="str">
            <v>UNID.</v>
          </cell>
          <cell r="N3517" t="str">
            <v>CAMIONETA</v>
          </cell>
          <cell r="O3517">
            <v>58</v>
          </cell>
          <cell r="P3517" t="str">
            <v>J3</v>
          </cell>
          <cell r="Q3517" t="str">
            <v>J1</v>
          </cell>
          <cell r="R3517" t="str">
            <v>J5</v>
          </cell>
          <cell r="S3517" t="str">
            <v>PENDIENTE</v>
          </cell>
          <cell r="T3517">
            <v>0</v>
          </cell>
          <cell r="U3517" t="str">
            <v>CHURA PIZARRO ALBERTO</v>
          </cell>
          <cell r="V3517" t="str">
            <v>FLOREZ CONDORI  JOSE WILLIANS</v>
          </cell>
        </row>
        <row r="3518">
          <cell r="A3518">
            <v>3547</v>
          </cell>
          <cell r="B3518">
            <v>42732</v>
          </cell>
          <cell r="C3518" t="str">
            <v>DICIEMBRE</v>
          </cell>
          <cell r="D3518" t="str">
            <v>2016</v>
          </cell>
          <cell r="E3518">
            <v>693</v>
          </cell>
          <cell r="F3518" t="str">
            <v>D6G-806</v>
          </cell>
          <cell r="G3518" t="str">
            <v>B8K-998</v>
          </cell>
          <cell r="H3518" t="str">
            <v>LAS BAMBAS</v>
          </cell>
          <cell r="I3518">
            <v>220955</v>
          </cell>
          <cell r="J3518" t="str">
            <v>REPUESTO</v>
          </cell>
          <cell r="K3518" t="str">
            <v>LLANTAS REENCAUCHADAS</v>
          </cell>
          <cell r="L3518">
            <v>4</v>
          </cell>
          <cell r="M3518" t="str">
            <v>UNID.</v>
          </cell>
          <cell r="N3518" t="str">
            <v>TRACTO</v>
          </cell>
          <cell r="O3518">
            <v>58</v>
          </cell>
          <cell r="P3518" t="str">
            <v>N1</v>
          </cell>
          <cell r="Q3518" t="str">
            <v>J3</v>
          </cell>
          <cell r="R3518" t="str">
            <v>J6</v>
          </cell>
          <cell r="S3518" t="str">
            <v>ENTREGADO</v>
          </cell>
          <cell r="T3518">
            <v>0</v>
          </cell>
          <cell r="U3518" t="str">
            <v>AGUILAR CCANTUTA WILLY</v>
          </cell>
          <cell r="V3518" t="str">
            <v>CHURA PIZARRO ALBERTO</v>
          </cell>
        </row>
        <row r="3519">
          <cell r="A3519">
            <v>3548</v>
          </cell>
          <cell r="B3519">
            <v>42732</v>
          </cell>
          <cell r="C3519" t="str">
            <v>DICIEMBRE</v>
          </cell>
          <cell r="D3519" t="str">
            <v>2016</v>
          </cell>
          <cell r="E3519">
            <v>693</v>
          </cell>
          <cell r="F3519" t="str">
            <v>D6G-806</v>
          </cell>
          <cell r="G3519" t="str">
            <v>B8K-998</v>
          </cell>
          <cell r="H3519" t="str">
            <v>LAS BAMBAS</v>
          </cell>
          <cell r="I3519">
            <v>220955</v>
          </cell>
          <cell r="J3519" t="str">
            <v>REPUESTO</v>
          </cell>
          <cell r="K3519" t="str">
            <v xml:space="preserve">PITONES RECTOS </v>
          </cell>
          <cell r="L3519">
            <v>4</v>
          </cell>
          <cell r="M3519" t="str">
            <v>UNID.</v>
          </cell>
          <cell r="N3519" t="str">
            <v>TRACTO</v>
          </cell>
          <cell r="O3519">
            <v>58</v>
          </cell>
          <cell r="P3519" t="str">
            <v>N1</v>
          </cell>
          <cell r="Q3519" t="str">
            <v>J3</v>
          </cell>
          <cell r="R3519" t="str">
            <v>J6</v>
          </cell>
          <cell r="S3519" t="str">
            <v>ENTREGADO</v>
          </cell>
          <cell r="T3519">
            <v>0</v>
          </cell>
          <cell r="U3519" t="str">
            <v>AGUILAR CCANTUTA WILLY</v>
          </cell>
          <cell r="V3519" t="str">
            <v>CHURA PIZARRO ALBERTO</v>
          </cell>
        </row>
        <row r="3520">
          <cell r="A3520">
            <v>3531</v>
          </cell>
          <cell r="B3520">
            <v>42732</v>
          </cell>
          <cell r="C3520" t="str">
            <v>DICIEMBRE</v>
          </cell>
          <cell r="D3520" t="str">
            <v>2016</v>
          </cell>
          <cell r="E3520">
            <v>707</v>
          </cell>
          <cell r="F3520" t="str">
            <v>D7V-714</v>
          </cell>
          <cell r="G3520" t="str">
            <v>F7M-971</v>
          </cell>
          <cell r="H3520" t="str">
            <v>LAS BAMBAS</v>
          </cell>
          <cell r="I3520">
            <v>52416</v>
          </cell>
          <cell r="J3520" t="str">
            <v>REPUESTO</v>
          </cell>
          <cell r="K3520" t="str">
            <v xml:space="preserve">FARO PIRATA </v>
          </cell>
          <cell r="L3520">
            <v>2</v>
          </cell>
          <cell r="M3520" t="str">
            <v>UNID.</v>
          </cell>
          <cell r="N3520" t="str">
            <v>CISTERNA</v>
          </cell>
          <cell r="O3520">
            <v>58</v>
          </cell>
          <cell r="P3520" t="str">
            <v>E3</v>
          </cell>
          <cell r="Q3520" t="str">
            <v>J1</v>
          </cell>
          <cell r="R3520" t="str">
            <v>J6</v>
          </cell>
          <cell r="S3520" t="str">
            <v>PENDIENTE</v>
          </cell>
          <cell r="T3520">
            <v>0</v>
          </cell>
          <cell r="U3520" t="str">
            <v>CONDORI CHURATA ALEX</v>
          </cell>
          <cell r="V3520" t="str">
            <v>FLOREZ CONDORI  JOSE WILLIANS</v>
          </cell>
        </row>
        <row r="3521">
          <cell r="A3521">
            <v>3532</v>
          </cell>
          <cell r="B3521">
            <v>42732</v>
          </cell>
          <cell r="C3521" t="str">
            <v>DICIEMBRE</v>
          </cell>
          <cell r="D3521" t="str">
            <v>2016</v>
          </cell>
          <cell r="E3521">
            <v>707</v>
          </cell>
          <cell r="F3521" t="str">
            <v>D7V-714</v>
          </cell>
          <cell r="G3521" t="str">
            <v>F7M-971</v>
          </cell>
          <cell r="H3521" t="str">
            <v>LAS BAMBAS</v>
          </cell>
          <cell r="I3521">
            <v>52416</v>
          </cell>
          <cell r="J3521" t="str">
            <v>REPUESTO</v>
          </cell>
          <cell r="K3521" t="str">
            <v>CABLE NRO. 14</v>
          </cell>
          <cell r="L3521">
            <v>3</v>
          </cell>
          <cell r="M3521" t="str">
            <v>M</v>
          </cell>
          <cell r="N3521" t="str">
            <v>CISTERNA</v>
          </cell>
          <cell r="O3521">
            <v>58</v>
          </cell>
          <cell r="P3521" t="str">
            <v>E3</v>
          </cell>
          <cell r="Q3521" t="str">
            <v>J1</v>
          </cell>
          <cell r="R3521" t="str">
            <v>J6</v>
          </cell>
          <cell r="S3521" t="str">
            <v>PENDIENTE</v>
          </cell>
          <cell r="T3521">
            <v>0</v>
          </cell>
          <cell r="U3521" t="str">
            <v>CONDORI CHURATA ALEX</v>
          </cell>
          <cell r="V3521" t="str">
            <v>FLOREZ CONDORI  JOSE WILLIANS</v>
          </cell>
        </row>
        <row r="3522">
          <cell r="A3522">
            <v>3533</v>
          </cell>
          <cell r="B3522">
            <v>42732</v>
          </cell>
          <cell r="C3522" t="str">
            <v>DICIEMBRE</v>
          </cell>
          <cell r="D3522" t="str">
            <v>2016</v>
          </cell>
          <cell r="E3522">
            <v>707</v>
          </cell>
          <cell r="F3522" t="str">
            <v>D7V-714</v>
          </cell>
          <cell r="G3522" t="str">
            <v>F7M-971</v>
          </cell>
          <cell r="H3522" t="str">
            <v>LAS BAMBAS</v>
          </cell>
          <cell r="I3522">
            <v>52416</v>
          </cell>
          <cell r="J3522" t="str">
            <v>REPUESTO</v>
          </cell>
          <cell r="K3522" t="str">
            <v>TUBO CORRUGADO 1/4</v>
          </cell>
          <cell r="L3522">
            <v>3</v>
          </cell>
          <cell r="M3522" t="str">
            <v>M</v>
          </cell>
          <cell r="N3522" t="str">
            <v>CISTERNA</v>
          </cell>
          <cell r="O3522">
            <v>58</v>
          </cell>
          <cell r="P3522" t="str">
            <v>E3</v>
          </cell>
          <cell r="Q3522" t="str">
            <v>J1</v>
          </cell>
          <cell r="R3522" t="str">
            <v>J6</v>
          </cell>
          <cell r="S3522" t="str">
            <v>PENDIENTE</v>
          </cell>
          <cell r="T3522">
            <v>0</v>
          </cell>
          <cell r="U3522" t="str">
            <v>CONDORI CHURATA ALEX</v>
          </cell>
          <cell r="V3522" t="str">
            <v>FLOREZ CONDORI  JOSE WILLIANS</v>
          </cell>
        </row>
        <row r="3523">
          <cell r="A3523">
            <v>3534</v>
          </cell>
          <cell r="B3523">
            <v>42732</v>
          </cell>
          <cell r="C3523" t="str">
            <v>DICIEMBRE</v>
          </cell>
          <cell r="D3523" t="str">
            <v>2016</v>
          </cell>
          <cell r="E3523">
            <v>707</v>
          </cell>
          <cell r="F3523" t="str">
            <v>D7V-714</v>
          </cell>
          <cell r="G3523" t="str">
            <v>F7M-971</v>
          </cell>
          <cell r="H3523" t="str">
            <v>LAS BAMBAS</v>
          </cell>
          <cell r="I3523">
            <v>52416</v>
          </cell>
          <cell r="J3523" t="str">
            <v>REPUESTO</v>
          </cell>
          <cell r="K3523" t="str">
            <v>PERNO 5/16 X 1 1/2</v>
          </cell>
          <cell r="L3523">
            <v>2</v>
          </cell>
          <cell r="M3523" t="str">
            <v>UNID.</v>
          </cell>
          <cell r="N3523" t="str">
            <v>CISTERNA</v>
          </cell>
          <cell r="O3523">
            <v>58</v>
          </cell>
          <cell r="P3523" t="str">
            <v>E3</v>
          </cell>
          <cell r="Q3523" t="str">
            <v>J1</v>
          </cell>
          <cell r="R3523" t="str">
            <v>J6</v>
          </cell>
          <cell r="S3523" t="str">
            <v>PENDIENTE</v>
          </cell>
          <cell r="T3523">
            <v>0</v>
          </cell>
          <cell r="U3523" t="str">
            <v>CONDORI CHURATA ALEX</v>
          </cell>
          <cell r="V3523" t="str">
            <v>FLOREZ CONDORI  JOSE WILLIANS</v>
          </cell>
        </row>
        <row r="3524">
          <cell r="A3524">
            <v>3535</v>
          </cell>
          <cell r="B3524">
            <v>42732</v>
          </cell>
          <cell r="C3524" t="str">
            <v>DICIEMBRE</v>
          </cell>
          <cell r="D3524" t="str">
            <v>2016</v>
          </cell>
          <cell r="E3524">
            <v>707</v>
          </cell>
          <cell r="F3524" t="str">
            <v>D7V-714</v>
          </cell>
          <cell r="G3524" t="str">
            <v>F7M-971</v>
          </cell>
          <cell r="H3524" t="str">
            <v>LAS BAMBAS</v>
          </cell>
          <cell r="I3524">
            <v>52416</v>
          </cell>
          <cell r="J3524" t="str">
            <v>REPUESTO</v>
          </cell>
          <cell r="K3524" t="str">
            <v>TUERCA SEGURA 5/16</v>
          </cell>
          <cell r="L3524">
            <v>2</v>
          </cell>
          <cell r="M3524" t="str">
            <v>UNID.</v>
          </cell>
          <cell r="N3524" t="str">
            <v>CISTERNA</v>
          </cell>
          <cell r="O3524">
            <v>58</v>
          </cell>
          <cell r="P3524" t="str">
            <v>E3</v>
          </cell>
          <cell r="Q3524" t="str">
            <v>J1</v>
          </cell>
          <cell r="R3524" t="str">
            <v>J6</v>
          </cell>
          <cell r="S3524" t="str">
            <v>PENDIENTE</v>
          </cell>
          <cell r="T3524">
            <v>0</v>
          </cell>
          <cell r="U3524" t="str">
            <v>CONDORI CHURATA ALEX</v>
          </cell>
          <cell r="V3524" t="str">
            <v>FLOREZ CONDORI  JOSE WILLIANS</v>
          </cell>
        </row>
        <row r="3525">
          <cell r="A3525">
            <v>3536</v>
          </cell>
          <cell r="B3525">
            <v>42732</v>
          </cell>
          <cell r="C3525" t="str">
            <v>DICIEMBRE</v>
          </cell>
          <cell r="D3525" t="str">
            <v>2016</v>
          </cell>
          <cell r="E3525">
            <v>707</v>
          </cell>
          <cell r="F3525" t="str">
            <v>D7V-714</v>
          </cell>
          <cell r="G3525" t="str">
            <v>F7M-971</v>
          </cell>
          <cell r="H3525" t="str">
            <v>LAS BAMBAS</v>
          </cell>
          <cell r="I3525">
            <v>52416</v>
          </cell>
          <cell r="J3525" t="str">
            <v>REPUESTO</v>
          </cell>
          <cell r="K3525" t="str">
            <v>ARANDELA PLANA 5/16</v>
          </cell>
          <cell r="L3525">
            <v>4</v>
          </cell>
          <cell r="M3525" t="str">
            <v>UNID.</v>
          </cell>
          <cell r="N3525" t="str">
            <v>CISTERNA</v>
          </cell>
          <cell r="O3525">
            <v>58</v>
          </cell>
          <cell r="P3525" t="str">
            <v>E3</v>
          </cell>
          <cell r="Q3525" t="str">
            <v>J1</v>
          </cell>
          <cell r="R3525" t="str">
            <v>J6</v>
          </cell>
          <cell r="S3525" t="str">
            <v>PENDIENTE</v>
          </cell>
          <cell r="T3525">
            <v>0</v>
          </cell>
          <cell r="U3525" t="str">
            <v>CONDORI CHURATA ALEX</v>
          </cell>
          <cell r="V3525" t="str">
            <v>FLOREZ CONDORI  JOSE WILLIANS</v>
          </cell>
        </row>
        <row r="3526">
          <cell r="A3526">
            <v>3538</v>
          </cell>
          <cell r="B3526">
            <v>42732</v>
          </cell>
          <cell r="C3526" t="str">
            <v>DICIEMBRE</v>
          </cell>
          <cell r="D3526" t="str">
            <v>2016</v>
          </cell>
          <cell r="E3526">
            <v>707</v>
          </cell>
          <cell r="F3526" t="str">
            <v>D7V-714</v>
          </cell>
          <cell r="G3526" t="str">
            <v>F7M-971</v>
          </cell>
          <cell r="H3526" t="str">
            <v>LAS BAMBAS</v>
          </cell>
          <cell r="I3526">
            <v>52416</v>
          </cell>
          <cell r="J3526" t="str">
            <v>REPUESTO</v>
          </cell>
          <cell r="K3526" t="str">
            <v xml:space="preserve">ALARMA DE RETROCESO </v>
          </cell>
          <cell r="L3526">
            <v>1</v>
          </cell>
          <cell r="M3526" t="str">
            <v>UNID.</v>
          </cell>
          <cell r="N3526" t="str">
            <v>CISTERNA</v>
          </cell>
          <cell r="O3526">
            <v>58</v>
          </cell>
          <cell r="P3526" t="str">
            <v>E3</v>
          </cell>
          <cell r="Q3526" t="str">
            <v>J1</v>
          </cell>
          <cell r="R3526" t="str">
            <v>J6</v>
          </cell>
          <cell r="S3526" t="str">
            <v>ENTREGADO</v>
          </cell>
          <cell r="T3526">
            <v>0</v>
          </cell>
          <cell r="U3526" t="str">
            <v>CONDORI CHURATA ALEX</v>
          </cell>
          <cell r="V3526" t="str">
            <v>FLOREZ CONDORI  JOSE WILLIANS</v>
          </cell>
        </row>
        <row r="3527">
          <cell r="A3527">
            <v>3539</v>
          </cell>
          <cell r="B3527">
            <v>42732</v>
          </cell>
          <cell r="C3527" t="str">
            <v>DICIEMBRE</v>
          </cell>
          <cell r="D3527" t="str">
            <v>2016</v>
          </cell>
          <cell r="E3527">
            <v>707</v>
          </cell>
          <cell r="F3527" t="str">
            <v>D7V-714</v>
          </cell>
          <cell r="G3527" t="str">
            <v>F7M-971</v>
          </cell>
          <cell r="H3527" t="str">
            <v>LAS BAMBAS</v>
          </cell>
          <cell r="I3527">
            <v>52416</v>
          </cell>
          <cell r="J3527" t="str">
            <v>REPUESTO</v>
          </cell>
          <cell r="K3527" t="str">
            <v>TERMINAL OJO 1/4</v>
          </cell>
          <cell r="L3527">
            <v>1</v>
          </cell>
          <cell r="M3527" t="str">
            <v>UNID.</v>
          </cell>
          <cell r="N3527" t="str">
            <v>CISTERNA</v>
          </cell>
          <cell r="O3527">
            <v>58</v>
          </cell>
          <cell r="P3527" t="str">
            <v>E3</v>
          </cell>
          <cell r="Q3527" t="str">
            <v>J1</v>
          </cell>
          <cell r="R3527" t="str">
            <v>J6</v>
          </cell>
          <cell r="S3527" t="str">
            <v>ENTREGADO</v>
          </cell>
          <cell r="T3527">
            <v>0</v>
          </cell>
          <cell r="U3527" t="str">
            <v>CONDORI CHURATA ALEX</v>
          </cell>
          <cell r="V3527" t="str">
            <v>FLOREZ CONDORI  JOSE WILLIANS</v>
          </cell>
        </row>
        <row r="3528">
          <cell r="A3528">
            <v>3499</v>
          </cell>
          <cell r="B3528">
            <v>42732</v>
          </cell>
          <cell r="C3528" t="str">
            <v>DICIEMBRE</v>
          </cell>
          <cell r="D3528" t="str">
            <v>2016</v>
          </cell>
          <cell r="E3528">
            <v>200</v>
          </cell>
          <cell r="F3528" t="str">
            <v>TALLER</v>
          </cell>
          <cell r="G3528" t="str">
            <v>TALLER</v>
          </cell>
          <cell r="H3528" t="str">
            <v>TALLER</v>
          </cell>
          <cell r="I3528" t="str">
            <v>TALLER</v>
          </cell>
          <cell r="J3528" t="str">
            <v>INSUMO TALLER</v>
          </cell>
          <cell r="K3528" t="str">
            <v xml:space="preserve">LIMPIA CONTACTO </v>
          </cell>
          <cell r="L3528">
            <v>1</v>
          </cell>
          <cell r="M3528" t="str">
            <v>UNID.</v>
          </cell>
          <cell r="N3528" t="str">
            <v>TRACTO</v>
          </cell>
          <cell r="O3528">
            <v>58</v>
          </cell>
          <cell r="P3528" t="str">
            <v>M4</v>
          </cell>
          <cell r="Q3528" t="str">
            <v>J1</v>
          </cell>
          <cell r="R3528" t="str">
            <v>J5</v>
          </cell>
          <cell r="S3528" t="str">
            <v>PENDIENTE</v>
          </cell>
          <cell r="T3528">
            <v>0</v>
          </cell>
          <cell r="U3528" t="str">
            <v>JULLIRI APAZA UBALDO</v>
          </cell>
          <cell r="V3528" t="str">
            <v>FLOREZ CONDORI  JOSE WILLIANS</v>
          </cell>
        </row>
        <row r="3529">
          <cell r="A3529">
            <v>3502</v>
          </cell>
          <cell r="B3529">
            <v>42732</v>
          </cell>
          <cell r="C3529" t="str">
            <v>DICIEMBRE</v>
          </cell>
          <cell r="D3529" t="str">
            <v>2016</v>
          </cell>
          <cell r="E3529">
            <v>200</v>
          </cell>
          <cell r="F3529" t="str">
            <v>TALLER</v>
          </cell>
          <cell r="G3529" t="str">
            <v>TALLER</v>
          </cell>
          <cell r="H3529" t="str">
            <v>TALLER</v>
          </cell>
          <cell r="I3529" t="str">
            <v>TALLER</v>
          </cell>
          <cell r="J3529" t="str">
            <v>REPUESTO</v>
          </cell>
          <cell r="K3529" t="str">
            <v>CINTA AISLANTE NEGRA</v>
          </cell>
          <cell r="L3529">
            <v>1</v>
          </cell>
          <cell r="M3529" t="str">
            <v>UNID.</v>
          </cell>
          <cell r="N3529" t="str">
            <v>CAMIONETA</v>
          </cell>
          <cell r="O3529">
            <v>58</v>
          </cell>
          <cell r="P3529" t="str">
            <v>E3</v>
          </cell>
          <cell r="Q3529" t="str">
            <v>J1</v>
          </cell>
          <cell r="R3529" t="str">
            <v>J6</v>
          </cell>
          <cell r="S3529" t="str">
            <v>PENDIENTE</v>
          </cell>
          <cell r="T3529">
            <v>0</v>
          </cell>
          <cell r="U3529" t="str">
            <v>CONDORI CHURATA ALEX</v>
          </cell>
          <cell r="V3529" t="str">
            <v>FLOREZ CONDORI  JOSE WILLIANS</v>
          </cell>
        </row>
        <row r="3530">
          <cell r="A3530">
            <v>3507</v>
          </cell>
          <cell r="B3530">
            <v>42732</v>
          </cell>
          <cell r="C3530" t="str">
            <v>DICIEMBRE</v>
          </cell>
          <cell r="D3530" t="str">
            <v>2016</v>
          </cell>
          <cell r="E3530">
            <v>200</v>
          </cell>
          <cell r="F3530" t="str">
            <v>TALLER</v>
          </cell>
          <cell r="G3530" t="str">
            <v>TALLER</v>
          </cell>
          <cell r="H3530" t="str">
            <v>TALLER</v>
          </cell>
          <cell r="I3530" t="str">
            <v>TALLER</v>
          </cell>
          <cell r="J3530" t="str">
            <v>INSUMO TALLER</v>
          </cell>
          <cell r="K3530" t="str">
            <v>SPRAY COLOR VERDE</v>
          </cell>
          <cell r="L3530">
            <v>1</v>
          </cell>
          <cell r="M3530" t="str">
            <v>UNID.</v>
          </cell>
          <cell r="N3530" t="str">
            <v>TALLER</v>
          </cell>
          <cell r="O3530">
            <v>58</v>
          </cell>
          <cell r="P3530" t="str">
            <v>S3</v>
          </cell>
          <cell r="Q3530" t="str">
            <v>J1</v>
          </cell>
          <cell r="R3530" t="str">
            <v>J6</v>
          </cell>
          <cell r="S3530" t="str">
            <v>PENDIENTE</v>
          </cell>
          <cell r="T3530">
            <v>0</v>
          </cell>
          <cell r="U3530" t="str">
            <v>JIMENEZ MACHACA JAVIER</v>
          </cell>
          <cell r="V3530" t="str">
            <v>FLOREZ CONDORI  JOSE WILLIANS</v>
          </cell>
        </row>
        <row r="3531">
          <cell r="A3531">
            <v>3508</v>
          </cell>
          <cell r="B3531">
            <v>42732</v>
          </cell>
          <cell r="C3531" t="str">
            <v>DICIEMBRE</v>
          </cell>
          <cell r="D3531" t="str">
            <v>2016</v>
          </cell>
          <cell r="E3531">
            <v>200</v>
          </cell>
          <cell r="F3531" t="str">
            <v>TALLER</v>
          </cell>
          <cell r="G3531" t="str">
            <v>TALLER</v>
          </cell>
          <cell r="H3531" t="str">
            <v>TALLER</v>
          </cell>
          <cell r="I3531" t="str">
            <v>TALLER</v>
          </cell>
          <cell r="J3531" t="str">
            <v>INSUMO TALLER</v>
          </cell>
          <cell r="K3531" t="str">
            <v>SPRAY COLOR BLANCO</v>
          </cell>
          <cell r="L3531">
            <v>1</v>
          </cell>
          <cell r="M3531" t="str">
            <v>UNID.</v>
          </cell>
          <cell r="N3531" t="str">
            <v>TALLER</v>
          </cell>
          <cell r="O3531">
            <v>58</v>
          </cell>
          <cell r="P3531" t="str">
            <v>S3</v>
          </cell>
          <cell r="Q3531" t="str">
            <v>J1</v>
          </cell>
          <cell r="R3531" t="str">
            <v>J6</v>
          </cell>
          <cell r="S3531" t="str">
            <v>PENDIENTE</v>
          </cell>
          <cell r="T3531">
            <v>0</v>
          </cell>
          <cell r="U3531" t="str">
            <v>JIMENEZ MACHACA JAVIER</v>
          </cell>
          <cell r="V3531" t="str">
            <v>FLOREZ CONDORI  JOSE WILLIANS</v>
          </cell>
        </row>
        <row r="3532">
          <cell r="A3532">
            <v>3544</v>
          </cell>
          <cell r="B3532">
            <v>42732</v>
          </cell>
          <cell r="C3532" t="str">
            <v>DICIEMBRE</v>
          </cell>
          <cell r="D3532" t="str">
            <v>2016</v>
          </cell>
          <cell r="E3532">
            <v>200</v>
          </cell>
          <cell r="F3532" t="str">
            <v>TALLER</v>
          </cell>
          <cell r="G3532" t="str">
            <v>TALLER</v>
          </cell>
          <cell r="H3532" t="str">
            <v>TALLER</v>
          </cell>
          <cell r="I3532" t="str">
            <v>TALLER</v>
          </cell>
          <cell r="J3532" t="str">
            <v>INSUMO TALLER</v>
          </cell>
          <cell r="K3532" t="str">
            <v>BASE COLOR VERDE</v>
          </cell>
          <cell r="L3532">
            <v>1</v>
          </cell>
          <cell r="M3532" t="str">
            <v>GLNS.</v>
          </cell>
          <cell r="N3532" t="str">
            <v>TALLER</v>
          </cell>
          <cell r="O3532">
            <v>58</v>
          </cell>
          <cell r="P3532" t="str">
            <v>S4</v>
          </cell>
          <cell r="Q3532" t="str">
            <v>J1</v>
          </cell>
          <cell r="R3532" t="str">
            <v>J6</v>
          </cell>
          <cell r="S3532" t="str">
            <v>ENTREGADO</v>
          </cell>
          <cell r="T3532">
            <v>0</v>
          </cell>
          <cell r="U3532" t="str">
            <v>SURCO QUISPE JOHNNY</v>
          </cell>
          <cell r="V3532" t="str">
            <v>FLOREZ CONDORI  JOSE WILLIANS</v>
          </cell>
        </row>
        <row r="3533">
          <cell r="A3533">
            <v>3545</v>
          </cell>
          <cell r="B3533">
            <v>42732</v>
          </cell>
          <cell r="C3533" t="str">
            <v>DICIEMBRE</v>
          </cell>
          <cell r="D3533" t="str">
            <v>2016</v>
          </cell>
          <cell r="E3533">
            <v>200</v>
          </cell>
          <cell r="F3533" t="str">
            <v>TALLER</v>
          </cell>
          <cell r="G3533" t="str">
            <v>TALLER</v>
          </cell>
          <cell r="H3533" t="str">
            <v>TALLER</v>
          </cell>
          <cell r="I3533" t="str">
            <v>TALLER</v>
          </cell>
          <cell r="J3533" t="str">
            <v>INSUMO TALLER</v>
          </cell>
          <cell r="K3533" t="str">
            <v>PINTURA COLOR ROJO ESMALTE</v>
          </cell>
          <cell r="L3533">
            <v>1</v>
          </cell>
          <cell r="M3533" t="str">
            <v>GLNS.</v>
          </cell>
          <cell r="N3533" t="str">
            <v>TALLER</v>
          </cell>
          <cell r="O3533">
            <v>58</v>
          </cell>
          <cell r="P3533" t="str">
            <v>S4</v>
          </cell>
          <cell r="Q3533" t="str">
            <v>J1</v>
          </cell>
          <cell r="R3533" t="str">
            <v>J6</v>
          </cell>
          <cell r="S3533" t="str">
            <v>ENTREGADO</v>
          </cell>
          <cell r="T3533">
            <v>0</v>
          </cell>
          <cell r="U3533" t="str">
            <v>SURCO QUISPE JOHNNY</v>
          </cell>
          <cell r="V3533" t="str">
            <v>FLOREZ CONDORI  JOSE WILLIANS</v>
          </cell>
        </row>
        <row r="3534">
          <cell r="A3534">
            <v>3546</v>
          </cell>
          <cell r="B3534">
            <v>42732</v>
          </cell>
          <cell r="C3534" t="str">
            <v>DICIEMBRE</v>
          </cell>
          <cell r="D3534" t="str">
            <v>2016</v>
          </cell>
          <cell r="E3534">
            <v>200</v>
          </cell>
          <cell r="F3534" t="str">
            <v>TALLER</v>
          </cell>
          <cell r="G3534" t="str">
            <v>TALLER</v>
          </cell>
          <cell r="H3534" t="str">
            <v>TALLER</v>
          </cell>
          <cell r="I3534" t="str">
            <v>TALLER</v>
          </cell>
          <cell r="J3534" t="str">
            <v>INSUMO TALLER</v>
          </cell>
          <cell r="K3534" t="str">
            <v>THINNER</v>
          </cell>
          <cell r="L3534">
            <v>2</v>
          </cell>
          <cell r="M3534" t="str">
            <v>GLNS.</v>
          </cell>
          <cell r="N3534" t="str">
            <v>TALLER</v>
          </cell>
          <cell r="O3534">
            <v>58</v>
          </cell>
          <cell r="P3534" t="str">
            <v>S4</v>
          </cell>
          <cell r="Q3534" t="str">
            <v>J1</v>
          </cell>
          <cell r="R3534" t="str">
            <v>J6</v>
          </cell>
          <cell r="S3534" t="str">
            <v>ENTREGADO</v>
          </cell>
          <cell r="T3534">
            <v>0</v>
          </cell>
          <cell r="U3534" t="str">
            <v>SURCO QUISPE JOHNNY</v>
          </cell>
          <cell r="V3534" t="str">
            <v>FLOREZ CONDORI  JOSE WILLIANS</v>
          </cell>
        </row>
        <row r="3535">
          <cell r="A3535">
            <v>3549</v>
          </cell>
          <cell r="B3535">
            <v>42732</v>
          </cell>
          <cell r="C3535" t="str">
            <v>DICIEMBRE</v>
          </cell>
          <cell r="D3535" t="str">
            <v>2016</v>
          </cell>
          <cell r="E3535">
            <v>200</v>
          </cell>
          <cell r="F3535" t="str">
            <v>TALLER</v>
          </cell>
          <cell r="G3535" t="str">
            <v>TALLER</v>
          </cell>
          <cell r="H3535" t="str">
            <v>TALLER</v>
          </cell>
          <cell r="I3535" t="str">
            <v>TALLER</v>
          </cell>
          <cell r="J3535" t="str">
            <v>INSUMO TALLER</v>
          </cell>
          <cell r="K3535" t="str">
            <v>SPRAY BLANCO</v>
          </cell>
          <cell r="L3535">
            <v>1</v>
          </cell>
          <cell r="M3535" t="str">
            <v>UNID.</v>
          </cell>
          <cell r="N3535" t="str">
            <v>TALLER</v>
          </cell>
          <cell r="O3535">
            <v>58</v>
          </cell>
          <cell r="P3535" t="str">
            <v>N1</v>
          </cell>
          <cell r="Q3535" t="str">
            <v>J3</v>
          </cell>
          <cell r="R3535" t="str">
            <v>J6</v>
          </cell>
          <cell r="S3535" t="str">
            <v>ENTREGADO</v>
          </cell>
          <cell r="T3535">
            <v>0</v>
          </cell>
          <cell r="U3535" t="str">
            <v>AGUILAR CCANTUTA WILLY</v>
          </cell>
          <cell r="V3535" t="str">
            <v>CHURA PIZARRO ALBERTO</v>
          </cell>
        </row>
        <row r="3536">
          <cell r="A3536">
            <v>3550</v>
          </cell>
          <cell r="B3536">
            <v>42732</v>
          </cell>
          <cell r="C3536" t="str">
            <v>DICIEMBRE</v>
          </cell>
          <cell r="D3536" t="str">
            <v>2016</v>
          </cell>
          <cell r="E3536">
            <v>200</v>
          </cell>
          <cell r="F3536" t="str">
            <v>TALLER</v>
          </cell>
          <cell r="G3536" t="str">
            <v>TALLER</v>
          </cell>
          <cell r="H3536" t="str">
            <v>TALLER</v>
          </cell>
          <cell r="I3536" t="str">
            <v>TALLER</v>
          </cell>
          <cell r="J3536" t="str">
            <v>INSUMO TALLER</v>
          </cell>
          <cell r="K3536" t="str">
            <v>AFLOJATODO</v>
          </cell>
          <cell r="L3536">
            <v>1</v>
          </cell>
          <cell r="M3536" t="str">
            <v>UNID.</v>
          </cell>
          <cell r="N3536" t="str">
            <v>TALLER</v>
          </cell>
          <cell r="O3536">
            <v>58</v>
          </cell>
          <cell r="P3536" t="str">
            <v>N1</v>
          </cell>
          <cell r="Q3536" t="str">
            <v>J3</v>
          </cell>
          <cell r="R3536" t="str">
            <v>J6</v>
          </cell>
          <cell r="S3536" t="str">
            <v>ENTREGADO</v>
          </cell>
          <cell r="T3536">
            <v>0</v>
          </cell>
          <cell r="U3536" t="str">
            <v>AGUILAR CCANTUTA WILLY</v>
          </cell>
          <cell r="V3536" t="str">
            <v>CHURA PIZARRO ALBERTO</v>
          </cell>
        </row>
        <row r="3537">
          <cell r="A3537">
            <v>3557</v>
          </cell>
          <cell r="B3537">
            <v>42732</v>
          </cell>
          <cell r="C3537" t="str">
            <v>DICIEMBRE</v>
          </cell>
          <cell r="D3537" t="str">
            <v>2016</v>
          </cell>
          <cell r="E3537">
            <v>200</v>
          </cell>
          <cell r="F3537" t="str">
            <v>TALLER</v>
          </cell>
          <cell r="G3537" t="str">
            <v>TALLER</v>
          </cell>
          <cell r="H3537" t="str">
            <v>TALLER</v>
          </cell>
          <cell r="I3537" t="str">
            <v>TALLER</v>
          </cell>
          <cell r="J3537" t="str">
            <v>INSUMO TALLER</v>
          </cell>
          <cell r="K3537" t="str">
            <v>CINTA AISLANTE NEGRA</v>
          </cell>
          <cell r="L3537">
            <v>1</v>
          </cell>
          <cell r="M3537" t="str">
            <v>UNID.</v>
          </cell>
          <cell r="N3537" t="str">
            <v>TALLER</v>
          </cell>
          <cell r="O3537">
            <v>58</v>
          </cell>
          <cell r="P3537" t="str">
            <v>E2</v>
          </cell>
          <cell r="Q3537" t="str">
            <v>J1</v>
          </cell>
          <cell r="R3537" t="str">
            <v>J5</v>
          </cell>
          <cell r="S3537" t="str">
            <v>ENTREGADO</v>
          </cell>
          <cell r="T3537">
            <v>0</v>
          </cell>
          <cell r="U3537" t="str">
            <v>YUCA BELLIDO BORIS YERSY</v>
          </cell>
          <cell r="V3537" t="str">
            <v>FLOREZ CONDORI  JOSE WILLIANS</v>
          </cell>
        </row>
        <row r="3538">
          <cell r="A3538">
            <v>3509</v>
          </cell>
          <cell r="B3538">
            <v>42732</v>
          </cell>
          <cell r="C3538" t="str">
            <v>DICIEMBRE</v>
          </cell>
          <cell r="D3538" t="str">
            <v>2016</v>
          </cell>
          <cell r="E3538">
            <v>705</v>
          </cell>
          <cell r="F3538" t="str">
            <v>X2W-759</v>
          </cell>
          <cell r="G3538" t="str">
            <v>C5V-999</v>
          </cell>
          <cell r="H3538" t="str">
            <v>LAS BAMBAS</v>
          </cell>
          <cell r="I3538">
            <v>156078</v>
          </cell>
          <cell r="J3538" t="str">
            <v>REPUESTO</v>
          </cell>
          <cell r="K3538" t="str">
            <v>SOPORTE DE TRAVESAÑO POSTERIOR</v>
          </cell>
          <cell r="L3538">
            <v>2</v>
          </cell>
          <cell r="M3538" t="str">
            <v>UNID.</v>
          </cell>
          <cell r="N3538" t="str">
            <v>TRACTO</v>
          </cell>
          <cell r="O3538">
            <v>58</v>
          </cell>
          <cell r="P3538" t="str">
            <v>M8</v>
          </cell>
          <cell r="Q3538" t="str">
            <v>J1</v>
          </cell>
          <cell r="R3538" t="str">
            <v>J6</v>
          </cell>
          <cell r="S3538" t="str">
            <v>PENDIENTE</v>
          </cell>
          <cell r="T3538">
            <v>0</v>
          </cell>
          <cell r="U3538" t="str">
            <v>VARILLAS GAGO  OSCAR ALBERTO</v>
          </cell>
          <cell r="V3538" t="str">
            <v>FLOREZ CONDORI  JOSE WILLIANS</v>
          </cell>
        </row>
        <row r="3539">
          <cell r="A3539">
            <v>3510</v>
          </cell>
          <cell r="B3539">
            <v>42732</v>
          </cell>
          <cell r="C3539" t="str">
            <v>DICIEMBRE</v>
          </cell>
          <cell r="D3539" t="str">
            <v>2016</v>
          </cell>
          <cell r="E3539">
            <v>705</v>
          </cell>
          <cell r="F3539" t="str">
            <v>X2W-759</v>
          </cell>
          <cell r="G3539" t="str">
            <v>C5V-999</v>
          </cell>
          <cell r="H3539" t="str">
            <v>LAS BAMBAS</v>
          </cell>
          <cell r="I3539">
            <v>156078</v>
          </cell>
          <cell r="J3539" t="str">
            <v>REPUESTO</v>
          </cell>
          <cell r="K3539" t="str">
            <v>PERNO 5/8 X 2</v>
          </cell>
          <cell r="L3539">
            <v>4</v>
          </cell>
          <cell r="M3539" t="str">
            <v>UNID.</v>
          </cell>
          <cell r="N3539" t="str">
            <v>TRACTO</v>
          </cell>
          <cell r="O3539">
            <v>58</v>
          </cell>
          <cell r="P3539" t="str">
            <v>M8</v>
          </cell>
          <cell r="Q3539" t="str">
            <v>J1</v>
          </cell>
          <cell r="R3539" t="str">
            <v>J6</v>
          </cell>
          <cell r="S3539" t="str">
            <v>PENDIENTE</v>
          </cell>
          <cell r="T3539">
            <v>0</v>
          </cell>
          <cell r="U3539" t="str">
            <v>VARILLAS GAGO  OSCAR ALBERTO</v>
          </cell>
          <cell r="V3539" t="str">
            <v>FLOREZ CONDORI  JOSE WILLIANS</v>
          </cell>
        </row>
        <row r="3540">
          <cell r="A3540">
            <v>3511</v>
          </cell>
          <cell r="B3540">
            <v>42732</v>
          </cell>
          <cell r="C3540" t="str">
            <v>DICIEMBRE</v>
          </cell>
          <cell r="D3540" t="str">
            <v>2016</v>
          </cell>
          <cell r="E3540">
            <v>705</v>
          </cell>
          <cell r="F3540" t="str">
            <v>X2W-759</v>
          </cell>
          <cell r="G3540" t="str">
            <v>C5V-999</v>
          </cell>
          <cell r="H3540" t="str">
            <v>LAS BAMBAS</v>
          </cell>
          <cell r="I3540">
            <v>156078</v>
          </cell>
          <cell r="J3540" t="str">
            <v>REPUESTO</v>
          </cell>
          <cell r="K3540" t="str">
            <v>TUERCA SEGURO 5/8</v>
          </cell>
          <cell r="L3540">
            <v>5</v>
          </cell>
          <cell r="M3540" t="str">
            <v>UNID.</v>
          </cell>
          <cell r="N3540" t="str">
            <v>TRACTO</v>
          </cell>
          <cell r="O3540">
            <v>58</v>
          </cell>
          <cell r="P3540" t="str">
            <v>M8</v>
          </cell>
          <cell r="Q3540" t="str">
            <v>J1</v>
          </cell>
          <cell r="R3540" t="str">
            <v>J6</v>
          </cell>
          <cell r="S3540" t="str">
            <v>PENDIENTE</v>
          </cell>
          <cell r="T3540">
            <v>0</v>
          </cell>
          <cell r="U3540" t="str">
            <v>VARILLAS GAGO  OSCAR ALBERTO</v>
          </cell>
          <cell r="V3540" t="str">
            <v>FLOREZ CONDORI  JOSE WILLIANS</v>
          </cell>
        </row>
        <row r="3541">
          <cell r="A3541">
            <v>3512</v>
          </cell>
          <cell r="B3541">
            <v>42732</v>
          </cell>
          <cell r="C3541" t="str">
            <v>DICIEMBRE</v>
          </cell>
          <cell r="D3541" t="str">
            <v>2016</v>
          </cell>
          <cell r="E3541">
            <v>705</v>
          </cell>
          <cell r="F3541" t="str">
            <v>X2W-759</v>
          </cell>
          <cell r="G3541" t="str">
            <v>C5V-999</v>
          </cell>
          <cell r="H3541" t="str">
            <v>LAS BAMBAS</v>
          </cell>
          <cell r="I3541">
            <v>156078</v>
          </cell>
          <cell r="J3541" t="str">
            <v>REPUESTO</v>
          </cell>
          <cell r="K3541" t="str">
            <v>ARANDELA PLANA 5/8</v>
          </cell>
          <cell r="L3541">
            <v>8</v>
          </cell>
          <cell r="M3541" t="str">
            <v>UNID.</v>
          </cell>
          <cell r="N3541" t="str">
            <v>TRACTO</v>
          </cell>
          <cell r="O3541">
            <v>58</v>
          </cell>
          <cell r="P3541" t="str">
            <v>M8</v>
          </cell>
          <cell r="Q3541" t="str">
            <v>J1</v>
          </cell>
          <cell r="R3541" t="str">
            <v>J6</v>
          </cell>
          <cell r="S3541" t="str">
            <v>PENDIENTE</v>
          </cell>
          <cell r="T3541">
            <v>0</v>
          </cell>
          <cell r="U3541" t="str">
            <v>VARILLAS GAGO  OSCAR ALBERTO</v>
          </cell>
          <cell r="V3541" t="str">
            <v>FLOREZ CONDORI  JOSE WILLIANS</v>
          </cell>
        </row>
        <row r="3542">
          <cell r="A3542">
            <v>3513</v>
          </cell>
          <cell r="B3542">
            <v>42732</v>
          </cell>
          <cell r="C3542" t="str">
            <v>DICIEMBRE</v>
          </cell>
          <cell r="D3542" t="str">
            <v>2016</v>
          </cell>
          <cell r="E3542">
            <v>705</v>
          </cell>
          <cell r="F3542" t="str">
            <v>X2W-759</v>
          </cell>
          <cell r="G3542" t="str">
            <v>C5V-999</v>
          </cell>
          <cell r="H3542" t="str">
            <v>LAS BAMBAS</v>
          </cell>
          <cell r="I3542">
            <v>156078</v>
          </cell>
          <cell r="J3542" t="str">
            <v>REPUESTO</v>
          </cell>
          <cell r="K3542" t="str">
            <v>PERNO 5/8 X 6</v>
          </cell>
          <cell r="L3542">
            <v>1</v>
          </cell>
          <cell r="M3542" t="str">
            <v>UNID.</v>
          </cell>
          <cell r="N3542" t="str">
            <v>TRACTO</v>
          </cell>
          <cell r="O3542">
            <v>58</v>
          </cell>
          <cell r="P3542" t="str">
            <v>M8</v>
          </cell>
          <cell r="Q3542" t="str">
            <v>J1</v>
          </cell>
          <cell r="R3542" t="str">
            <v>J6</v>
          </cell>
          <cell r="S3542" t="str">
            <v>PENDIENTE</v>
          </cell>
          <cell r="T3542">
            <v>0</v>
          </cell>
          <cell r="U3542" t="str">
            <v>VARILLAS GAGO  OSCAR ALBERTO</v>
          </cell>
          <cell r="V3542" t="str">
            <v>FLOREZ CONDORI  JOSE WILLIANS</v>
          </cell>
        </row>
        <row r="3543">
          <cell r="A3543">
            <v>3559</v>
          </cell>
          <cell r="B3543">
            <v>42732</v>
          </cell>
          <cell r="C3543" t="str">
            <v>DICIEMBRE</v>
          </cell>
          <cell r="D3543" t="str">
            <v>2016</v>
          </cell>
          <cell r="E3543">
            <v>654</v>
          </cell>
          <cell r="F3543" t="str">
            <v>X2W-760</v>
          </cell>
          <cell r="G3543" t="str">
            <v>C5V-992</v>
          </cell>
          <cell r="H3543" t="str">
            <v>LAS BAMBAS</v>
          </cell>
          <cell r="I3543">
            <v>151954</v>
          </cell>
          <cell r="J3543" t="str">
            <v>REPUESTO</v>
          </cell>
          <cell r="K3543" t="str">
            <v>GOBERNADOR DE AIRE DE 120 PSI</v>
          </cell>
          <cell r="L3543">
            <v>1</v>
          </cell>
          <cell r="M3543" t="str">
            <v>UNID.</v>
          </cell>
          <cell r="N3543" t="str">
            <v>TRACTO</v>
          </cell>
          <cell r="O3543">
            <v>58</v>
          </cell>
          <cell r="P3543" t="str">
            <v>M4</v>
          </cell>
          <cell r="Q3543" t="str">
            <v>J1</v>
          </cell>
          <cell r="R3543" t="str">
            <v>J5</v>
          </cell>
          <cell r="S3543" t="str">
            <v>ENTREGADO</v>
          </cell>
          <cell r="T3543">
            <v>0</v>
          </cell>
          <cell r="U3543" t="str">
            <v>JULLIRI APAZA UBALDO</v>
          </cell>
          <cell r="V3543" t="str">
            <v>FLOREZ CONDORI  JOSE WILLIANS</v>
          </cell>
        </row>
        <row r="3544">
          <cell r="A3544">
            <v>3553</v>
          </cell>
          <cell r="B3544">
            <v>42732</v>
          </cell>
          <cell r="C3544" t="str">
            <v>DICIEMBRE</v>
          </cell>
          <cell r="D3544" t="str">
            <v>2016</v>
          </cell>
          <cell r="E3544">
            <v>694</v>
          </cell>
          <cell r="F3544" t="str">
            <v>X2W-762</v>
          </cell>
          <cell r="G3544" t="str">
            <v>C5V-998</v>
          </cell>
          <cell r="H3544" t="str">
            <v>LAS BAMBAS</v>
          </cell>
          <cell r="I3544">
            <v>160413</v>
          </cell>
          <cell r="J3544" t="str">
            <v>REPUESTO</v>
          </cell>
          <cell r="K3544" t="str">
            <v>AMORTIGUADOR (471700002809) (16-18708-000)</v>
          </cell>
          <cell r="L3544">
            <v>1</v>
          </cell>
          <cell r="M3544" t="str">
            <v>UNID.</v>
          </cell>
          <cell r="N3544" t="str">
            <v>CISTERNA</v>
          </cell>
          <cell r="O3544">
            <v>58</v>
          </cell>
          <cell r="P3544" t="str">
            <v>M9</v>
          </cell>
          <cell r="Q3544" t="str">
            <v>J1</v>
          </cell>
          <cell r="R3544" t="str">
            <v>J5</v>
          </cell>
          <cell r="S3544" t="str">
            <v>ENTREGADO</v>
          </cell>
          <cell r="T3544">
            <v>0</v>
          </cell>
          <cell r="U3544" t="str">
            <v>POMA SALAZAR CIRO</v>
          </cell>
          <cell r="V3544" t="str">
            <v>FLOREZ CONDORI  JOSE WILLIANS</v>
          </cell>
        </row>
        <row r="3545">
          <cell r="A3545">
            <v>3554</v>
          </cell>
          <cell r="B3545">
            <v>42732</v>
          </cell>
          <cell r="C3545" t="str">
            <v>DICIEMBRE</v>
          </cell>
          <cell r="D3545" t="str">
            <v>2016</v>
          </cell>
          <cell r="E3545">
            <v>694</v>
          </cell>
          <cell r="F3545" t="str">
            <v>X2W-762</v>
          </cell>
          <cell r="G3545" t="str">
            <v>C5V-998</v>
          </cell>
          <cell r="H3545" t="str">
            <v>LAS BAMBAS</v>
          </cell>
          <cell r="I3545">
            <v>160413</v>
          </cell>
          <cell r="J3545" t="str">
            <v>REPUESTO</v>
          </cell>
          <cell r="K3545" t="str">
            <v>ABRAZADERA DE MUELLE</v>
          </cell>
          <cell r="L3545">
            <v>1</v>
          </cell>
          <cell r="M3545" t="str">
            <v>UNID.</v>
          </cell>
          <cell r="N3545" t="str">
            <v>CISTERNA</v>
          </cell>
          <cell r="O3545">
            <v>58</v>
          </cell>
          <cell r="P3545" t="str">
            <v>M9</v>
          </cell>
          <cell r="Q3545" t="str">
            <v>J1</v>
          </cell>
          <cell r="R3545" t="str">
            <v>J5</v>
          </cell>
          <cell r="S3545" t="str">
            <v>ENTREGADO</v>
          </cell>
          <cell r="T3545">
            <v>0</v>
          </cell>
          <cell r="U3545" t="str">
            <v>POMA SALAZAR CIRO</v>
          </cell>
          <cell r="V3545" t="str">
            <v>FLOREZ CONDORI  JOSE WILLIANS</v>
          </cell>
        </row>
        <row r="3546">
          <cell r="A3546">
            <v>3555</v>
          </cell>
          <cell r="B3546">
            <v>42732</v>
          </cell>
          <cell r="C3546" t="str">
            <v>DICIEMBRE</v>
          </cell>
          <cell r="D3546" t="str">
            <v>2016</v>
          </cell>
          <cell r="E3546">
            <v>694</v>
          </cell>
          <cell r="F3546" t="str">
            <v>X2W-762</v>
          </cell>
          <cell r="G3546" t="str">
            <v>C5V-998</v>
          </cell>
          <cell r="H3546" t="str">
            <v>LAS BAMBAS</v>
          </cell>
          <cell r="I3546">
            <v>160413</v>
          </cell>
          <cell r="J3546" t="str">
            <v>REPUESTO</v>
          </cell>
          <cell r="K3546" t="str">
            <v>NIPLE DE ACOPLE RAPIDO 3/8</v>
          </cell>
          <cell r="L3546">
            <v>1</v>
          </cell>
          <cell r="M3546" t="str">
            <v>UNID.</v>
          </cell>
          <cell r="N3546" t="str">
            <v>CISTERNA</v>
          </cell>
          <cell r="O3546">
            <v>58</v>
          </cell>
          <cell r="P3546" t="str">
            <v>M9</v>
          </cell>
          <cell r="Q3546" t="str">
            <v>J1</v>
          </cell>
          <cell r="R3546" t="str">
            <v>J5</v>
          </cell>
          <cell r="S3546" t="str">
            <v>ENTREGADO</v>
          </cell>
          <cell r="T3546">
            <v>0</v>
          </cell>
          <cell r="U3546" t="str">
            <v>POMA SALAZAR CIRO</v>
          </cell>
          <cell r="V3546" t="str">
            <v>FLOREZ CONDORI  JOSE WILLIANS</v>
          </cell>
        </row>
        <row r="3547">
          <cell r="A3547">
            <v>3556</v>
          </cell>
          <cell r="B3547">
            <v>42732</v>
          </cell>
          <cell r="C3547" t="str">
            <v>DICIEMBRE</v>
          </cell>
          <cell r="D3547" t="str">
            <v>2016</v>
          </cell>
          <cell r="E3547">
            <v>694</v>
          </cell>
          <cell r="F3547" t="str">
            <v>X2W-762</v>
          </cell>
          <cell r="G3547" t="str">
            <v>C5V-998</v>
          </cell>
          <cell r="H3547" t="str">
            <v>LAS BAMBAS</v>
          </cell>
          <cell r="I3547">
            <v>160413</v>
          </cell>
          <cell r="J3547" t="str">
            <v>REPUESTO</v>
          </cell>
          <cell r="K3547" t="str">
            <v>GOMAS DE ESCAPE</v>
          </cell>
          <cell r="L3547">
            <v>2</v>
          </cell>
          <cell r="M3547" t="str">
            <v>UNID.</v>
          </cell>
          <cell r="N3547" t="str">
            <v>CISTERNA</v>
          </cell>
          <cell r="O3547">
            <v>58</v>
          </cell>
          <cell r="P3547" t="str">
            <v>M9</v>
          </cell>
          <cell r="Q3547" t="str">
            <v>J1</v>
          </cell>
          <cell r="R3547" t="str">
            <v>J5</v>
          </cell>
          <cell r="S3547" t="str">
            <v>ENTREGADO</v>
          </cell>
          <cell r="T3547">
            <v>0</v>
          </cell>
          <cell r="U3547" t="str">
            <v>POMA SALAZAR CIRO</v>
          </cell>
          <cell r="V3547" t="str">
            <v>FLOREZ CONDORI  JOSE WILLIANS</v>
          </cell>
        </row>
        <row r="3548">
          <cell r="A3548">
            <v>3490</v>
          </cell>
          <cell r="B3548">
            <v>42732</v>
          </cell>
          <cell r="C3548" t="str">
            <v>DICIEMBRE</v>
          </cell>
          <cell r="D3548" t="str">
            <v>2016</v>
          </cell>
          <cell r="E3548">
            <v>700</v>
          </cell>
          <cell r="F3548" t="str">
            <v>X2W-763</v>
          </cell>
          <cell r="G3548" t="str">
            <v>C5V-997</v>
          </cell>
          <cell r="H3548" t="str">
            <v>LAS BAMBAS</v>
          </cell>
          <cell r="I3548">
            <v>159006</v>
          </cell>
          <cell r="J3548" t="str">
            <v>REPUESTO</v>
          </cell>
          <cell r="K3548" t="str">
            <v>TAPABARRO PARA CISTERNA</v>
          </cell>
          <cell r="L3548">
            <v>1</v>
          </cell>
          <cell r="M3548" t="str">
            <v>UNID.</v>
          </cell>
          <cell r="N3548" t="str">
            <v>CISTERNA</v>
          </cell>
          <cell r="O3548">
            <v>58</v>
          </cell>
          <cell r="P3548" t="str">
            <v>M8</v>
          </cell>
          <cell r="Q3548" t="str">
            <v>J1</v>
          </cell>
          <cell r="R3548" t="str">
            <v>J6</v>
          </cell>
          <cell r="S3548" t="str">
            <v>PENDIENTE</v>
          </cell>
          <cell r="T3548">
            <v>0</v>
          </cell>
          <cell r="U3548" t="str">
            <v>VARILLAS GAGO  OSCAR ALBERTO</v>
          </cell>
          <cell r="V3548" t="str">
            <v>FLOREZ CONDORI  JOSE WILLIANS</v>
          </cell>
        </row>
        <row r="3549">
          <cell r="A3549">
            <v>3491</v>
          </cell>
          <cell r="B3549">
            <v>42732</v>
          </cell>
          <cell r="C3549" t="str">
            <v>DICIEMBRE</v>
          </cell>
          <cell r="D3549" t="str">
            <v>2016</v>
          </cell>
          <cell r="E3549">
            <v>700</v>
          </cell>
          <cell r="F3549" t="str">
            <v>X2W-763</v>
          </cell>
          <cell r="G3549" t="str">
            <v>C5V-997</v>
          </cell>
          <cell r="H3549" t="str">
            <v>LAS BAMBAS</v>
          </cell>
          <cell r="I3549">
            <v>159006</v>
          </cell>
          <cell r="J3549" t="str">
            <v>REPUESTO</v>
          </cell>
          <cell r="K3549" t="str">
            <v>PERNO 5/8 X 6</v>
          </cell>
          <cell r="L3549">
            <v>1</v>
          </cell>
          <cell r="M3549" t="str">
            <v>UNID.</v>
          </cell>
          <cell r="N3549" t="str">
            <v>CISTERNA</v>
          </cell>
          <cell r="O3549">
            <v>58</v>
          </cell>
          <cell r="P3549" t="str">
            <v>M8</v>
          </cell>
          <cell r="Q3549" t="str">
            <v>J1</v>
          </cell>
          <cell r="R3549" t="str">
            <v>J6</v>
          </cell>
          <cell r="S3549" t="str">
            <v>PENDIENTE</v>
          </cell>
          <cell r="T3549">
            <v>0</v>
          </cell>
          <cell r="U3549" t="str">
            <v>VARILLAS GAGO  OSCAR ALBERTO</v>
          </cell>
          <cell r="V3549" t="str">
            <v>FLOREZ CONDORI  JOSE WILLIANS</v>
          </cell>
        </row>
        <row r="3550">
          <cell r="A3550">
            <v>3492</v>
          </cell>
          <cell r="B3550">
            <v>42732</v>
          </cell>
          <cell r="C3550" t="str">
            <v>DICIEMBRE</v>
          </cell>
          <cell r="D3550" t="str">
            <v>2016</v>
          </cell>
          <cell r="E3550">
            <v>700</v>
          </cell>
          <cell r="F3550" t="str">
            <v>X2W-763</v>
          </cell>
          <cell r="G3550" t="str">
            <v>C5V-997</v>
          </cell>
          <cell r="H3550" t="str">
            <v>LAS BAMBAS</v>
          </cell>
          <cell r="I3550">
            <v>159006</v>
          </cell>
          <cell r="J3550" t="str">
            <v>REPUESTO</v>
          </cell>
          <cell r="K3550" t="str">
            <v>TUERCA SEGURO 5/8</v>
          </cell>
          <cell r="L3550">
            <v>1</v>
          </cell>
          <cell r="M3550" t="str">
            <v>UNID.</v>
          </cell>
          <cell r="N3550" t="str">
            <v>CISTERNA</v>
          </cell>
          <cell r="O3550">
            <v>58</v>
          </cell>
          <cell r="P3550" t="str">
            <v>M8</v>
          </cell>
          <cell r="Q3550" t="str">
            <v>J1</v>
          </cell>
          <cell r="R3550" t="str">
            <v>J6</v>
          </cell>
          <cell r="S3550" t="str">
            <v>PENDIENTE</v>
          </cell>
          <cell r="T3550">
            <v>0</v>
          </cell>
          <cell r="U3550" t="str">
            <v>VARILLAS GAGO  OSCAR ALBERTO</v>
          </cell>
          <cell r="V3550" t="str">
            <v>FLOREZ CONDORI  JOSE WILLIANS</v>
          </cell>
        </row>
        <row r="3551">
          <cell r="A3551">
            <v>3560</v>
          </cell>
          <cell r="B3551">
            <v>42732</v>
          </cell>
          <cell r="C3551" t="str">
            <v>DICIEMBRE</v>
          </cell>
          <cell r="D3551" t="str">
            <v>2016</v>
          </cell>
          <cell r="E3551">
            <v>700</v>
          </cell>
          <cell r="F3551" t="str">
            <v>X2W-763</v>
          </cell>
          <cell r="G3551" t="str">
            <v>C5V-997</v>
          </cell>
          <cell r="H3551" t="str">
            <v>LAS BAMBAS</v>
          </cell>
          <cell r="I3551">
            <v>159006</v>
          </cell>
          <cell r="J3551" t="str">
            <v>REPUESTO</v>
          </cell>
          <cell r="K3551" t="str">
            <v xml:space="preserve">GUARDAFANGO </v>
          </cell>
          <cell r="L3551">
            <v>1</v>
          </cell>
          <cell r="M3551" t="str">
            <v>UNID.</v>
          </cell>
          <cell r="N3551" t="str">
            <v>CISTERNA</v>
          </cell>
          <cell r="O3551">
            <v>58</v>
          </cell>
          <cell r="P3551" t="str">
            <v>M8</v>
          </cell>
          <cell r="Q3551" t="str">
            <v>J1</v>
          </cell>
          <cell r="R3551" t="str">
            <v>J5</v>
          </cell>
          <cell r="S3551" t="str">
            <v>ENTREGADO</v>
          </cell>
          <cell r="T3551">
            <v>0</v>
          </cell>
          <cell r="U3551" t="str">
            <v>VARILLAS GAGO  OSCAR ALBERTO</v>
          </cell>
          <cell r="V3551" t="str">
            <v>FLOREZ CONDORI  JOSE WILLIANS</v>
          </cell>
        </row>
        <row r="3552">
          <cell r="A3552">
            <v>3503</v>
          </cell>
          <cell r="B3552">
            <v>42732</v>
          </cell>
          <cell r="C3552" t="str">
            <v>DICIEMBRE</v>
          </cell>
          <cell r="D3552" t="str">
            <v>2016</v>
          </cell>
          <cell r="E3552">
            <v>651</v>
          </cell>
          <cell r="F3552" t="str">
            <v>X2W-765</v>
          </cell>
          <cell r="G3552" t="str">
            <v>C5V-993</v>
          </cell>
          <cell r="H3552" t="str">
            <v>LAS BAMBAS</v>
          </cell>
          <cell r="I3552">
            <v>159021</v>
          </cell>
          <cell r="J3552" t="str">
            <v>REPUESTO</v>
          </cell>
          <cell r="K3552" t="str">
            <v>PERNO 3/8 X 1 1/2</v>
          </cell>
          <cell r="L3552">
            <v>2</v>
          </cell>
          <cell r="M3552" t="str">
            <v>UNID.</v>
          </cell>
          <cell r="N3552" t="str">
            <v>TRACTO</v>
          </cell>
          <cell r="O3552">
            <v>58</v>
          </cell>
          <cell r="P3552" t="str">
            <v>M4</v>
          </cell>
          <cell r="Q3552" t="str">
            <v>J1</v>
          </cell>
          <cell r="R3552" t="str">
            <v>J6</v>
          </cell>
          <cell r="S3552" t="str">
            <v>PENDIENTE</v>
          </cell>
          <cell r="T3552">
            <v>0</v>
          </cell>
          <cell r="U3552" t="str">
            <v>JULLIRI APAZA UBALDO</v>
          </cell>
          <cell r="V3552" t="str">
            <v>FLOREZ CONDORI  JOSE WILLIANS</v>
          </cell>
        </row>
        <row r="3553">
          <cell r="A3553">
            <v>3504</v>
          </cell>
          <cell r="B3553">
            <v>42732</v>
          </cell>
          <cell r="C3553" t="str">
            <v>DICIEMBRE</v>
          </cell>
          <cell r="D3553" t="str">
            <v>2016</v>
          </cell>
          <cell r="E3553">
            <v>651</v>
          </cell>
          <cell r="F3553" t="str">
            <v>X2W-765</v>
          </cell>
          <cell r="G3553" t="str">
            <v>C5V-993</v>
          </cell>
          <cell r="H3553" t="str">
            <v>LAS BAMBAS</v>
          </cell>
          <cell r="I3553">
            <v>159021</v>
          </cell>
          <cell r="J3553" t="str">
            <v>REPUESTO</v>
          </cell>
          <cell r="K3553" t="str">
            <v>ARANDELA PLANA 3/8</v>
          </cell>
          <cell r="L3553">
            <v>4</v>
          </cell>
          <cell r="M3553" t="str">
            <v>UNID.</v>
          </cell>
          <cell r="N3553" t="str">
            <v>TRACTO</v>
          </cell>
          <cell r="O3553">
            <v>58</v>
          </cell>
          <cell r="P3553" t="str">
            <v>M4</v>
          </cell>
          <cell r="Q3553" t="str">
            <v>J1</v>
          </cell>
          <cell r="R3553" t="str">
            <v>J6</v>
          </cell>
          <cell r="S3553" t="str">
            <v>PENDIENTE</v>
          </cell>
          <cell r="T3553">
            <v>0</v>
          </cell>
          <cell r="U3553" t="str">
            <v>JULLIRI APAZA UBALDO</v>
          </cell>
          <cell r="V3553" t="str">
            <v>FLOREZ CONDORI  JOSE WILLIANS</v>
          </cell>
        </row>
        <row r="3554">
          <cell r="A3554">
            <v>3505</v>
          </cell>
          <cell r="B3554">
            <v>42732</v>
          </cell>
          <cell r="C3554" t="str">
            <v>DICIEMBRE</v>
          </cell>
          <cell r="D3554" t="str">
            <v>2016</v>
          </cell>
          <cell r="E3554">
            <v>651</v>
          </cell>
          <cell r="F3554" t="str">
            <v>X2W-765</v>
          </cell>
          <cell r="G3554" t="str">
            <v>C5V-993</v>
          </cell>
          <cell r="H3554" t="str">
            <v>LAS BAMBAS</v>
          </cell>
          <cell r="I3554">
            <v>159021</v>
          </cell>
          <cell r="J3554" t="str">
            <v>REPUESTO</v>
          </cell>
          <cell r="K3554" t="str">
            <v>TUERCA SEGURO 3/8</v>
          </cell>
          <cell r="L3554">
            <v>2</v>
          </cell>
          <cell r="M3554" t="str">
            <v>UNID.</v>
          </cell>
          <cell r="N3554" t="str">
            <v>TRACTO</v>
          </cell>
          <cell r="O3554">
            <v>58</v>
          </cell>
          <cell r="P3554" t="str">
            <v>M4</v>
          </cell>
          <cell r="Q3554" t="str">
            <v>J1</v>
          </cell>
          <cell r="R3554" t="str">
            <v>J6</v>
          </cell>
          <cell r="S3554" t="str">
            <v>PENDIENTE</v>
          </cell>
          <cell r="T3554">
            <v>0</v>
          </cell>
          <cell r="U3554" t="str">
            <v>JULLIRI APAZA UBALDO</v>
          </cell>
          <cell r="V3554" t="str">
            <v>FLOREZ CONDORI  JOSE WILLIANS</v>
          </cell>
        </row>
        <row r="3555">
          <cell r="A3555">
            <v>3506</v>
          </cell>
          <cell r="B3555">
            <v>42732</v>
          </cell>
          <cell r="C3555" t="str">
            <v>DICIEMBRE</v>
          </cell>
          <cell r="D3555" t="str">
            <v>2016</v>
          </cell>
          <cell r="E3555">
            <v>651</v>
          </cell>
          <cell r="F3555" t="str">
            <v>X2W-765</v>
          </cell>
          <cell r="G3555" t="str">
            <v>C5V-993</v>
          </cell>
          <cell r="H3555" t="str">
            <v>LAS BAMBAS</v>
          </cell>
          <cell r="I3555">
            <v>159021</v>
          </cell>
          <cell r="J3555" t="str">
            <v>REPUESTO</v>
          </cell>
          <cell r="K3555" t="str">
            <v>ARANDELA PLANA 1/2</v>
          </cell>
          <cell r="L3555">
            <v>3</v>
          </cell>
          <cell r="M3555" t="str">
            <v>UNID.</v>
          </cell>
          <cell r="N3555" t="str">
            <v>TRACTO</v>
          </cell>
          <cell r="O3555">
            <v>58</v>
          </cell>
          <cell r="P3555" t="str">
            <v>M4</v>
          </cell>
          <cell r="Q3555" t="str">
            <v>J1</v>
          </cell>
          <cell r="R3555" t="str">
            <v>J6</v>
          </cell>
          <cell r="S3555" t="str">
            <v>PENDIENTE</v>
          </cell>
          <cell r="T3555">
            <v>0</v>
          </cell>
          <cell r="U3555" t="str">
            <v>JULLIRI APAZA UBALDO</v>
          </cell>
          <cell r="V3555" t="str">
            <v>FLOREZ CONDORI  JOSE WILLIANS</v>
          </cell>
        </row>
        <row r="3556">
          <cell r="A3556">
            <v>3514</v>
          </cell>
          <cell r="B3556">
            <v>42732</v>
          </cell>
          <cell r="C3556" t="str">
            <v>DICIEMBRE</v>
          </cell>
          <cell r="D3556" t="str">
            <v>2016</v>
          </cell>
          <cell r="E3556">
            <v>651</v>
          </cell>
          <cell r="F3556" t="str">
            <v>X2W-765</v>
          </cell>
          <cell r="G3556" t="str">
            <v>C5V-993</v>
          </cell>
          <cell r="H3556" t="str">
            <v>LAS BAMBAS</v>
          </cell>
          <cell r="I3556">
            <v>159021</v>
          </cell>
          <cell r="J3556" t="str">
            <v>REPUESTO</v>
          </cell>
          <cell r="K3556" t="str">
            <v>NIPLE M 17 SALIDA 3/8 EN L COMPLETO</v>
          </cell>
          <cell r="L3556">
            <v>2</v>
          </cell>
          <cell r="M3556" t="str">
            <v>UNID.</v>
          </cell>
          <cell r="N3556" t="str">
            <v>CISTERNA</v>
          </cell>
          <cell r="O3556">
            <v>58</v>
          </cell>
          <cell r="P3556" t="str">
            <v>M4</v>
          </cell>
          <cell r="Q3556" t="str">
            <v>J1</v>
          </cell>
          <cell r="R3556" t="str">
            <v>J6</v>
          </cell>
          <cell r="S3556" t="str">
            <v>PENDIENTE</v>
          </cell>
          <cell r="T3556">
            <v>0</v>
          </cell>
          <cell r="U3556" t="str">
            <v>JULLIRI APAZA UBALDO</v>
          </cell>
          <cell r="V3556" t="str">
            <v>FLOREZ CONDORI  JOSE WILLIANS</v>
          </cell>
        </row>
        <row r="3557">
          <cell r="A3557">
            <v>3515</v>
          </cell>
          <cell r="B3557">
            <v>42732</v>
          </cell>
          <cell r="C3557" t="str">
            <v>DICIEMBRE</v>
          </cell>
          <cell r="D3557" t="str">
            <v>2016</v>
          </cell>
          <cell r="E3557">
            <v>651</v>
          </cell>
          <cell r="F3557" t="str">
            <v>X2W-765</v>
          </cell>
          <cell r="G3557" t="str">
            <v>C5V-993</v>
          </cell>
          <cell r="H3557" t="str">
            <v>LAS BAMBAS</v>
          </cell>
          <cell r="I3557">
            <v>159021</v>
          </cell>
          <cell r="J3557" t="str">
            <v>REPUESTO</v>
          </cell>
          <cell r="K3557" t="str">
            <v>PRESINTOS 300</v>
          </cell>
          <cell r="L3557">
            <v>6</v>
          </cell>
          <cell r="M3557" t="str">
            <v>UNID.</v>
          </cell>
          <cell r="N3557" t="str">
            <v>CISTERNA</v>
          </cell>
          <cell r="O3557">
            <v>58</v>
          </cell>
          <cell r="P3557" t="str">
            <v>M4</v>
          </cell>
          <cell r="Q3557" t="str">
            <v>J1</v>
          </cell>
          <cell r="R3557" t="str">
            <v>J6</v>
          </cell>
          <cell r="S3557" t="str">
            <v>PENDIENTE</v>
          </cell>
          <cell r="T3557">
            <v>0</v>
          </cell>
          <cell r="U3557" t="str">
            <v>JULLIRI APAZA UBALDO</v>
          </cell>
          <cell r="V3557" t="str">
            <v>FLOREZ CONDORI  JOSE WILLIANS</v>
          </cell>
        </row>
        <row r="3558">
          <cell r="A3558">
            <v>3516</v>
          </cell>
          <cell r="B3558">
            <v>42732</v>
          </cell>
          <cell r="C3558" t="str">
            <v>DICIEMBRE</v>
          </cell>
          <cell r="D3558" t="str">
            <v>2016</v>
          </cell>
          <cell r="E3558">
            <v>651</v>
          </cell>
          <cell r="F3558" t="str">
            <v>X2W-765</v>
          </cell>
          <cell r="G3558" t="str">
            <v>C5V-993</v>
          </cell>
          <cell r="H3558" t="str">
            <v>LAS BAMBAS</v>
          </cell>
          <cell r="I3558">
            <v>159021</v>
          </cell>
          <cell r="J3558" t="str">
            <v>REPUESTO</v>
          </cell>
          <cell r="K3558" t="str">
            <v>MANGUERA SINFLEX 3/8</v>
          </cell>
          <cell r="L3558">
            <v>2</v>
          </cell>
          <cell r="M3558" t="str">
            <v>M</v>
          </cell>
          <cell r="N3558" t="str">
            <v>CISTERNA</v>
          </cell>
          <cell r="O3558">
            <v>58</v>
          </cell>
          <cell r="P3558" t="str">
            <v>M4</v>
          </cell>
          <cell r="Q3558" t="str">
            <v>J1</v>
          </cell>
          <cell r="R3558" t="str">
            <v>J6</v>
          </cell>
          <cell r="S3558" t="str">
            <v>PENDIENTE</v>
          </cell>
          <cell r="T3558">
            <v>0</v>
          </cell>
          <cell r="U3558" t="str">
            <v>JULLIRI APAZA UBALDO</v>
          </cell>
          <cell r="V3558" t="str">
            <v>FLOREZ CONDORI  JOSE WILLIANS</v>
          </cell>
        </row>
        <row r="3559">
          <cell r="A3559">
            <v>3524</v>
          </cell>
          <cell r="B3559">
            <v>42732</v>
          </cell>
          <cell r="C3559" t="str">
            <v>DICIEMBRE</v>
          </cell>
          <cell r="D3559" t="str">
            <v>2016</v>
          </cell>
          <cell r="E3559">
            <v>651</v>
          </cell>
          <cell r="F3559" t="str">
            <v>X2W-765</v>
          </cell>
          <cell r="G3559" t="str">
            <v>C5V-993</v>
          </cell>
          <cell r="H3559" t="str">
            <v>LAS BAMBAS</v>
          </cell>
          <cell r="I3559">
            <v>159021</v>
          </cell>
          <cell r="J3559" t="str">
            <v>REPUESTO</v>
          </cell>
          <cell r="K3559" t="str">
            <v>FOCO 9006 H</v>
          </cell>
          <cell r="L3559">
            <v>1</v>
          </cell>
          <cell r="M3559" t="str">
            <v>UNID.</v>
          </cell>
          <cell r="N3559" t="str">
            <v>TRACTO</v>
          </cell>
          <cell r="O3559">
            <v>58</v>
          </cell>
          <cell r="P3559" t="str">
            <v>E3</v>
          </cell>
          <cell r="Q3559" t="str">
            <v>J1</v>
          </cell>
          <cell r="R3559" t="str">
            <v>J6</v>
          </cell>
          <cell r="S3559" t="str">
            <v>PENDIENTE</v>
          </cell>
          <cell r="T3559">
            <v>0</v>
          </cell>
          <cell r="U3559" t="str">
            <v>CONDORI CHURATA ALEX</v>
          </cell>
          <cell r="V3559" t="str">
            <v>FLOREZ CONDORI  JOSE WILLIANS</v>
          </cell>
        </row>
        <row r="3560">
          <cell r="A3560">
            <v>3525</v>
          </cell>
          <cell r="B3560">
            <v>42732</v>
          </cell>
          <cell r="C3560" t="str">
            <v>DICIEMBRE</v>
          </cell>
          <cell r="D3560" t="str">
            <v>2016</v>
          </cell>
          <cell r="E3560">
            <v>651</v>
          </cell>
          <cell r="F3560" t="str">
            <v>X2W-765</v>
          </cell>
          <cell r="G3560" t="str">
            <v>C5V-993</v>
          </cell>
          <cell r="H3560" t="str">
            <v>LAS BAMBAS</v>
          </cell>
          <cell r="I3560">
            <v>159021</v>
          </cell>
          <cell r="J3560" t="str">
            <v>REPUESTO</v>
          </cell>
          <cell r="K3560" t="str">
            <v>CONO , GUIA Y TUERCA 1/4</v>
          </cell>
          <cell r="L3560">
            <v>1</v>
          </cell>
          <cell r="M3560" t="str">
            <v>UNID.</v>
          </cell>
          <cell r="N3560" t="str">
            <v>CISTERNA</v>
          </cell>
          <cell r="O3560">
            <v>58</v>
          </cell>
          <cell r="P3560" t="str">
            <v>M4</v>
          </cell>
          <cell r="Q3560" t="str">
            <v>J1</v>
          </cell>
          <cell r="R3560" t="str">
            <v>J5</v>
          </cell>
          <cell r="S3560" t="str">
            <v>PENDIENTE</v>
          </cell>
          <cell r="T3560">
            <v>0</v>
          </cell>
          <cell r="U3560" t="str">
            <v>JULLIRI APAZA UBALDO</v>
          </cell>
          <cell r="V3560" t="str">
            <v>FLOREZ CONDORI  JOSE WILLIANS</v>
          </cell>
        </row>
        <row r="3561">
          <cell r="A3561">
            <v>3537</v>
          </cell>
          <cell r="B3561">
            <v>42732</v>
          </cell>
          <cell r="C3561" t="str">
            <v>DICIEMBRE</v>
          </cell>
          <cell r="D3561" t="str">
            <v>2016</v>
          </cell>
          <cell r="E3561">
            <v>651</v>
          </cell>
          <cell r="F3561" t="str">
            <v>X2W-765</v>
          </cell>
          <cell r="G3561" t="str">
            <v>C5V-993</v>
          </cell>
          <cell r="H3561" t="str">
            <v>LAS BAMBAS</v>
          </cell>
          <cell r="I3561">
            <v>159021</v>
          </cell>
          <cell r="J3561" t="str">
            <v>REPUESTO</v>
          </cell>
          <cell r="K3561" t="str">
            <v>GOBERNADOR 120 LIBRAS</v>
          </cell>
          <cell r="L3561">
            <v>1</v>
          </cell>
          <cell r="M3561" t="str">
            <v>UNID.</v>
          </cell>
          <cell r="N3561" t="str">
            <v>TRACTO</v>
          </cell>
          <cell r="O3561">
            <v>58</v>
          </cell>
          <cell r="P3561" t="str">
            <v>M4</v>
          </cell>
          <cell r="Q3561" t="str">
            <v>J1</v>
          </cell>
          <cell r="R3561" t="str">
            <v>J6</v>
          </cell>
          <cell r="S3561" t="str">
            <v>ENTREGADO</v>
          </cell>
          <cell r="T3561">
            <v>0</v>
          </cell>
          <cell r="U3561" t="str">
            <v>JULLIRI APAZA UBALDO</v>
          </cell>
          <cell r="V3561" t="str">
            <v>FLOREZ CONDORI  JOSE WILLIANS</v>
          </cell>
        </row>
        <row r="3562">
          <cell r="A3562">
            <v>3571</v>
          </cell>
          <cell r="B3562">
            <v>42733</v>
          </cell>
          <cell r="C3562" t="str">
            <v>DICIEMBRE</v>
          </cell>
          <cell r="D3562" t="str">
            <v>2016</v>
          </cell>
          <cell r="E3562">
            <v>702</v>
          </cell>
          <cell r="F3562" t="str">
            <v>A9H-889</v>
          </cell>
          <cell r="G3562" t="str">
            <v>CAMION</v>
          </cell>
          <cell r="H3562" t="str">
            <v>TAMBOMAYO</v>
          </cell>
          <cell r="I3562">
            <v>127053</v>
          </cell>
          <cell r="J3562" t="str">
            <v>REPUESTO</v>
          </cell>
          <cell r="K3562" t="str">
            <v>ACEITE 15W40</v>
          </cell>
          <cell r="L3562">
            <v>1.25</v>
          </cell>
          <cell r="M3562" t="str">
            <v>GLNS.</v>
          </cell>
          <cell r="N3562" t="str">
            <v>CAMION</v>
          </cell>
          <cell r="O3562">
            <v>57</v>
          </cell>
          <cell r="P3562" t="str">
            <v>M4</v>
          </cell>
          <cell r="Q3562" t="str">
            <v>J1</v>
          </cell>
          <cell r="R3562" t="str">
            <v>J5</v>
          </cell>
          <cell r="S3562" t="str">
            <v>ENTREGADO</v>
          </cell>
          <cell r="T3562">
            <v>0</v>
          </cell>
          <cell r="U3562" t="str">
            <v>JULLIRI APAZA UBALDO</v>
          </cell>
          <cell r="V3562" t="str">
            <v>FLOREZ CONDORI  JOSE WILLIANS</v>
          </cell>
        </row>
        <row r="3563">
          <cell r="A3563">
            <v>3572</v>
          </cell>
          <cell r="B3563">
            <v>42733</v>
          </cell>
          <cell r="C3563" t="str">
            <v>DICIEMBRE</v>
          </cell>
          <cell r="D3563" t="str">
            <v>2016</v>
          </cell>
          <cell r="E3563">
            <v>702</v>
          </cell>
          <cell r="F3563" t="str">
            <v>A9H-889</v>
          </cell>
          <cell r="G3563" t="str">
            <v>CAMION</v>
          </cell>
          <cell r="H3563" t="str">
            <v>TAMBOMAYO</v>
          </cell>
          <cell r="I3563">
            <v>127053</v>
          </cell>
          <cell r="J3563" t="str">
            <v>REPUESTO</v>
          </cell>
          <cell r="K3563" t="str">
            <v>LIQUIDO REFRIGERANTE</v>
          </cell>
          <cell r="L3563">
            <v>1</v>
          </cell>
          <cell r="M3563" t="str">
            <v>GLNS.</v>
          </cell>
          <cell r="N3563" t="str">
            <v>CAMION</v>
          </cell>
          <cell r="O3563">
            <v>57</v>
          </cell>
          <cell r="P3563" t="str">
            <v>M4</v>
          </cell>
          <cell r="Q3563" t="str">
            <v>J1</v>
          </cell>
          <cell r="R3563" t="str">
            <v>J5</v>
          </cell>
          <cell r="S3563" t="str">
            <v>ENTREGADO</v>
          </cell>
          <cell r="T3563">
            <v>0</v>
          </cell>
          <cell r="U3563" t="str">
            <v>JULLIRI APAZA UBALDO</v>
          </cell>
          <cell r="V3563" t="str">
            <v>FLOREZ CONDORI  JOSE WILLIANS</v>
          </cell>
        </row>
        <row r="3564">
          <cell r="A3564">
            <v>3573</v>
          </cell>
          <cell r="B3564">
            <v>42733</v>
          </cell>
          <cell r="C3564" t="str">
            <v>DICIEMBRE</v>
          </cell>
          <cell r="D3564" t="str">
            <v>2016</v>
          </cell>
          <cell r="E3564">
            <v>702</v>
          </cell>
          <cell r="F3564" t="str">
            <v>A9H-889</v>
          </cell>
          <cell r="G3564" t="str">
            <v>CAMION</v>
          </cell>
          <cell r="H3564" t="str">
            <v>TAMBOMAYO</v>
          </cell>
          <cell r="I3564">
            <v>127053</v>
          </cell>
          <cell r="J3564" t="str">
            <v>REPUESTO</v>
          </cell>
          <cell r="K3564" t="str">
            <v>PRECINTOS 300</v>
          </cell>
          <cell r="L3564">
            <v>4</v>
          </cell>
          <cell r="M3564" t="str">
            <v>UNID.</v>
          </cell>
          <cell r="N3564" t="str">
            <v>CAMION</v>
          </cell>
          <cell r="O3564">
            <v>57</v>
          </cell>
          <cell r="P3564" t="str">
            <v>M4</v>
          </cell>
          <cell r="Q3564" t="str">
            <v>J1</v>
          </cell>
          <cell r="R3564" t="str">
            <v>J5</v>
          </cell>
          <cell r="S3564" t="str">
            <v>ENTREGADO</v>
          </cell>
          <cell r="T3564">
            <v>0</v>
          </cell>
          <cell r="U3564" t="str">
            <v>JULLIRI APAZA UBALDO</v>
          </cell>
          <cell r="V3564" t="str">
            <v>FLOREZ CONDORI  JOSE WILLIANS</v>
          </cell>
        </row>
        <row r="3565">
          <cell r="A3565">
            <v>3574</v>
          </cell>
          <cell r="B3565">
            <v>42733</v>
          </cell>
          <cell r="C3565" t="str">
            <v>DICIEMBRE</v>
          </cell>
          <cell r="D3565" t="str">
            <v>2016</v>
          </cell>
          <cell r="E3565">
            <v>702</v>
          </cell>
          <cell r="F3565" t="str">
            <v>A9H-889</v>
          </cell>
          <cell r="G3565" t="str">
            <v>CAMION</v>
          </cell>
          <cell r="H3565" t="str">
            <v>TAMBOMAYO</v>
          </cell>
          <cell r="I3565">
            <v>127053</v>
          </cell>
          <cell r="J3565" t="str">
            <v>REPUESTO</v>
          </cell>
          <cell r="K3565" t="str">
            <v>FOCO H4 24V</v>
          </cell>
          <cell r="L3565">
            <v>1</v>
          </cell>
          <cell r="M3565" t="str">
            <v>UNID.</v>
          </cell>
          <cell r="N3565" t="str">
            <v>CAMION</v>
          </cell>
          <cell r="O3565">
            <v>57</v>
          </cell>
          <cell r="P3565" t="str">
            <v>E3</v>
          </cell>
          <cell r="Q3565" t="str">
            <v>J1</v>
          </cell>
          <cell r="R3565" t="str">
            <v>J5</v>
          </cell>
          <cell r="S3565" t="str">
            <v>ENTREGADO</v>
          </cell>
          <cell r="T3565">
            <v>0</v>
          </cell>
          <cell r="U3565" t="str">
            <v>CONDORI CHURATA ALEX</v>
          </cell>
          <cell r="V3565" t="str">
            <v>FLOREZ CONDORI  JOSE WILLIANS</v>
          </cell>
        </row>
        <row r="3566">
          <cell r="A3566">
            <v>3575</v>
          </cell>
          <cell r="B3566">
            <v>42733</v>
          </cell>
          <cell r="C3566" t="str">
            <v>DICIEMBRE</v>
          </cell>
          <cell r="D3566" t="str">
            <v>2016</v>
          </cell>
          <cell r="E3566">
            <v>702</v>
          </cell>
          <cell r="F3566" t="str">
            <v>A9H-889</v>
          </cell>
          <cell r="G3566" t="str">
            <v>CAMION</v>
          </cell>
          <cell r="H3566" t="str">
            <v>TAMBOMAYO</v>
          </cell>
          <cell r="I3566">
            <v>127053</v>
          </cell>
          <cell r="J3566" t="str">
            <v>REPUESTO</v>
          </cell>
          <cell r="K3566" t="str">
            <v>FOCO H3 24V</v>
          </cell>
          <cell r="L3566">
            <v>4</v>
          </cell>
          <cell r="M3566" t="str">
            <v>UNID.</v>
          </cell>
          <cell r="N3566" t="str">
            <v>CAMION</v>
          </cell>
          <cell r="O3566">
            <v>57</v>
          </cell>
          <cell r="P3566" t="str">
            <v>E3</v>
          </cell>
          <cell r="Q3566" t="str">
            <v>J1</v>
          </cell>
          <cell r="R3566" t="str">
            <v>J5</v>
          </cell>
          <cell r="S3566" t="str">
            <v>ENTREGADO</v>
          </cell>
          <cell r="T3566">
            <v>0</v>
          </cell>
          <cell r="U3566" t="str">
            <v>CONDORI CHURATA ALEX</v>
          </cell>
          <cell r="V3566" t="str">
            <v>FLOREZ CONDORI  JOSE WILLIANS</v>
          </cell>
        </row>
        <row r="3567">
          <cell r="A3567">
            <v>3577</v>
          </cell>
          <cell r="B3567">
            <v>42733</v>
          </cell>
          <cell r="C3567" t="str">
            <v>DICIEMBRE</v>
          </cell>
          <cell r="D3567" t="str">
            <v>2016</v>
          </cell>
          <cell r="E3567">
            <v>702</v>
          </cell>
          <cell r="F3567" t="str">
            <v>A9H-889</v>
          </cell>
          <cell r="G3567" t="str">
            <v>CAMION</v>
          </cell>
          <cell r="H3567" t="str">
            <v>TAMBOMAYO</v>
          </cell>
          <cell r="I3567">
            <v>127053</v>
          </cell>
          <cell r="J3567" t="str">
            <v>REPUESTO</v>
          </cell>
          <cell r="K3567" t="str">
            <v>FOCO PILOTO DE UN CONTACTO 24V</v>
          </cell>
          <cell r="L3567">
            <v>1</v>
          </cell>
          <cell r="M3567" t="str">
            <v>UNID.</v>
          </cell>
          <cell r="N3567" t="str">
            <v>CAMION</v>
          </cell>
          <cell r="O3567">
            <v>57</v>
          </cell>
          <cell r="P3567" t="str">
            <v>E3</v>
          </cell>
          <cell r="Q3567" t="str">
            <v>J1</v>
          </cell>
          <cell r="R3567" t="str">
            <v>J5</v>
          </cell>
          <cell r="S3567" t="str">
            <v>ENTREGADO</v>
          </cell>
          <cell r="T3567">
            <v>0</v>
          </cell>
          <cell r="U3567" t="str">
            <v>CONDORI CHURATA ALEX</v>
          </cell>
          <cell r="V3567" t="str">
            <v>FLOREZ CONDORI  JOSE WILLIANS</v>
          </cell>
        </row>
        <row r="3568">
          <cell r="A3568">
            <v>3578</v>
          </cell>
          <cell r="B3568">
            <v>42733</v>
          </cell>
          <cell r="C3568" t="str">
            <v>DICIEMBRE</v>
          </cell>
          <cell r="D3568" t="str">
            <v>2016</v>
          </cell>
          <cell r="E3568">
            <v>702</v>
          </cell>
          <cell r="F3568" t="str">
            <v>A9H-889</v>
          </cell>
          <cell r="G3568" t="str">
            <v>CAMION</v>
          </cell>
          <cell r="H3568" t="str">
            <v>TAMBOMAYO</v>
          </cell>
          <cell r="I3568">
            <v>127053</v>
          </cell>
          <cell r="J3568" t="str">
            <v>REPUESTO</v>
          </cell>
          <cell r="K3568" t="str">
            <v>FOCO H4 24V</v>
          </cell>
          <cell r="L3568">
            <v>1</v>
          </cell>
          <cell r="M3568" t="str">
            <v>UNID.</v>
          </cell>
          <cell r="N3568" t="str">
            <v>CAMION</v>
          </cell>
          <cell r="O3568">
            <v>57</v>
          </cell>
          <cell r="P3568" t="str">
            <v>E3</v>
          </cell>
          <cell r="Q3568" t="str">
            <v>J1</v>
          </cell>
          <cell r="R3568" t="str">
            <v>J5</v>
          </cell>
          <cell r="S3568" t="str">
            <v>ENTREGADO</v>
          </cell>
          <cell r="T3568">
            <v>0</v>
          </cell>
          <cell r="U3568" t="str">
            <v>CONDORI CHURATA ALEX</v>
          </cell>
          <cell r="V3568" t="str">
            <v>FLOREZ CONDORI  JOSE WILLIANS</v>
          </cell>
        </row>
        <row r="3569">
          <cell r="A3569">
            <v>3591</v>
          </cell>
          <cell r="B3569">
            <v>42733</v>
          </cell>
          <cell r="C3569" t="str">
            <v>DICIEMBRE</v>
          </cell>
          <cell r="D3569" t="str">
            <v>2016</v>
          </cell>
          <cell r="E3569">
            <v>702</v>
          </cell>
          <cell r="F3569" t="str">
            <v>A9H-889</v>
          </cell>
          <cell r="G3569" t="str">
            <v>CAMION</v>
          </cell>
          <cell r="H3569" t="str">
            <v>TAMBOMAYO</v>
          </cell>
          <cell r="I3569">
            <v>127053</v>
          </cell>
          <cell r="J3569" t="str">
            <v>REPUESTO</v>
          </cell>
          <cell r="K3569" t="str">
            <v>ABRAZADERA 4 1/2"</v>
          </cell>
          <cell r="L3569">
            <v>1</v>
          </cell>
          <cell r="M3569" t="str">
            <v>UNID.</v>
          </cell>
          <cell r="N3569" t="str">
            <v>TRACTO</v>
          </cell>
          <cell r="O3569">
            <v>57</v>
          </cell>
          <cell r="P3569" t="str">
            <v>M4</v>
          </cell>
          <cell r="Q3569" t="str">
            <v>J1</v>
          </cell>
          <cell r="R3569" t="str">
            <v>J5</v>
          </cell>
          <cell r="S3569" t="str">
            <v>ENTREGADO</v>
          </cell>
          <cell r="T3569">
            <v>0</v>
          </cell>
          <cell r="U3569" t="str">
            <v>JULLIRI APAZA UBALDO</v>
          </cell>
          <cell r="V3569" t="str">
            <v>FLOREZ CONDORI  JOSE WILLIANS</v>
          </cell>
        </row>
        <row r="3570">
          <cell r="A3570">
            <v>3592</v>
          </cell>
          <cell r="B3570">
            <v>42733</v>
          </cell>
          <cell r="C3570" t="str">
            <v>DICIEMBRE</v>
          </cell>
          <cell r="D3570" t="str">
            <v>2016</v>
          </cell>
          <cell r="E3570">
            <v>702</v>
          </cell>
          <cell r="F3570" t="str">
            <v>A9H-889</v>
          </cell>
          <cell r="G3570" t="str">
            <v>CAMION</v>
          </cell>
          <cell r="H3570" t="str">
            <v>TAMBOMAYO</v>
          </cell>
          <cell r="I3570">
            <v>127053</v>
          </cell>
          <cell r="J3570" t="str">
            <v>REPUESTO</v>
          </cell>
          <cell r="K3570" t="str">
            <v>ABRAZADERA 5 1/2"</v>
          </cell>
          <cell r="L3570">
            <v>1</v>
          </cell>
          <cell r="M3570" t="str">
            <v>UNID.</v>
          </cell>
          <cell r="N3570" t="str">
            <v>TRACTO</v>
          </cell>
          <cell r="O3570">
            <v>57</v>
          </cell>
          <cell r="P3570" t="str">
            <v>M4</v>
          </cell>
          <cell r="Q3570" t="str">
            <v>J1</v>
          </cell>
          <cell r="R3570" t="str">
            <v>J5</v>
          </cell>
          <cell r="S3570" t="str">
            <v>ENTREGADO</v>
          </cell>
          <cell r="T3570">
            <v>0</v>
          </cell>
          <cell r="U3570" t="str">
            <v>JULLIRI APAZA UBALDO</v>
          </cell>
          <cell r="V3570" t="str">
            <v>FLOREZ CONDORI  JOSE WILLIANS</v>
          </cell>
        </row>
        <row r="3571">
          <cell r="A3571">
            <v>3595</v>
          </cell>
          <cell r="B3571">
            <v>42733</v>
          </cell>
          <cell r="C3571" t="str">
            <v>DICIEMBRE</v>
          </cell>
          <cell r="D3571" t="str">
            <v>2016</v>
          </cell>
          <cell r="E3571">
            <v>683</v>
          </cell>
          <cell r="F3571" t="str">
            <v>ABQ-705</v>
          </cell>
          <cell r="G3571" t="str">
            <v>D0Z-996</v>
          </cell>
          <cell r="H3571" t="str">
            <v>LAS BAMBAS</v>
          </cell>
          <cell r="I3571">
            <v>112157</v>
          </cell>
          <cell r="J3571" t="str">
            <v>REPUESTO</v>
          </cell>
          <cell r="K3571" t="str">
            <v>SOPORTE DE TRAVESAÑO POSTERIOR</v>
          </cell>
          <cell r="L3571">
            <v>1</v>
          </cell>
          <cell r="M3571" t="str">
            <v>UNID.</v>
          </cell>
          <cell r="N3571" t="str">
            <v>TRACTO</v>
          </cell>
          <cell r="O3571">
            <v>57</v>
          </cell>
          <cell r="P3571" t="str">
            <v>M8</v>
          </cell>
          <cell r="Q3571" t="str">
            <v>J2</v>
          </cell>
          <cell r="R3571" t="str">
            <v>J6</v>
          </cell>
          <cell r="S3571" t="str">
            <v>ENTREGADO</v>
          </cell>
          <cell r="T3571">
            <v>0</v>
          </cell>
          <cell r="U3571" t="str">
            <v>VARILLAS GAGO  OSCAR ALBERTO</v>
          </cell>
          <cell r="V3571" t="str">
            <v>CORIHUAMAN SURCO  ERICK ROBERT</v>
          </cell>
        </row>
        <row r="3572">
          <cell r="A3572">
            <v>3596</v>
          </cell>
          <cell r="B3572">
            <v>42733</v>
          </cell>
          <cell r="C3572" t="str">
            <v>DICIEMBRE</v>
          </cell>
          <cell r="D3572" t="str">
            <v>2016</v>
          </cell>
          <cell r="E3572">
            <v>683</v>
          </cell>
          <cell r="F3572" t="str">
            <v>ABQ-705</v>
          </cell>
          <cell r="G3572" t="str">
            <v>D0Z-996</v>
          </cell>
          <cell r="H3572" t="str">
            <v>LAS BAMBAS</v>
          </cell>
          <cell r="I3572">
            <v>112157</v>
          </cell>
          <cell r="J3572" t="str">
            <v>REPUESTO</v>
          </cell>
          <cell r="K3572" t="str">
            <v>PERNO 5/8 X 2</v>
          </cell>
          <cell r="L3572">
            <v>2</v>
          </cell>
          <cell r="M3572" t="str">
            <v>UNID.</v>
          </cell>
          <cell r="N3572" t="str">
            <v>TRACTO</v>
          </cell>
          <cell r="O3572">
            <v>57</v>
          </cell>
          <cell r="P3572" t="str">
            <v>M8</v>
          </cell>
          <cell r="Q3572" t="str">
            <v>J2</v>
          </cell>
          <cell r="R3572" t="str">
            <v>J6</v>
          </cell>
          <cell r="S3572" t="str">
            <v>ENTREGADO</v>
          </cell>
          <cell r="T3572">
            <v>0</v>
          </cell>
          <cell r="U3572" t="str">
            <v>VARILLAS GAGO  OSCAR ALBERTO</v>
          </cell>
          <cell r="V3572" t="str">
            <v>CORIHUAMAN SURCO  ERICK ROBERT</v>
          </cell>
        </row>
        <row r="3573">
          <cell r="A3573">
            <v>3597</v>
          </cell>
          <cell r="B3573">
            <v>42733</v>
          </cell>
          <cell r="C3573" t="str">
            <v>DICIEMBRE</v>
          </cell>
          <cell r="D3573" t="str">
            <v>2016</v>
          </cell>
          <cell r="E3573">
            <v>683</v>
          </cell>
          <cell r="F3573" t="str">
            <v>ABQ-705</v>
          </cell>
          <cell r="G3573" t="str">
            <v>D0Z-996</v>
          </cell>
          <cell r="H3573" t="str">
            <v>LAS BAMBAS</v>
          </cell>
          <cell r="I3573">
            <v>112157</v>
          </cell>
          <cell r="J3573" t="str">
            <v>REPUESTO</v>
          </cell>
          <cell r="K3573" t="str">
            <v>TUERCA SEGURO 5/8</v>
          </cell>
          <cell r="L3573">
            <v>2</v>
          </cell>
          <cell r="M3573" t="str">
            <v>UNID.</v>
          </cell>
          <cell r="N3573" t="str">
            <v>TRACTO</v>
          </cell>
          <cell r="O3573">
            <v>57</v>
          </cell>
          <cell r="P3573" t="str">
            <v>M8</v>
          </cell>
          <cell r="Q3573" t="str">
            <v>J2</v>
          </cell>
          <cell r="R3573" t="str">
            <v>J6</v>
          </cell>
          <cell r="S3573" t="str">
            <v>ENTREGADO</v>
          </cell>
          <cell r="T3573">
            <v>0</v>
          </cell>
          <cell r="U3573" t="str">
            <v>VARILLAS GAGO  OSCAR ALBERTO</v>
          </cell>
          <cell r="V3573" t="str">
            <v>CORIHUAMAN SURCO  ERICK ROBERT</v>
          </cell>
        </row>
        <row r="3574">
          <cell r="A3574">
            <v>3598</v>
          </cell>
          <cell r="B3574">
            <v>42733</v>
          </cell>
          <cell r="C3574" t="str">
            <v>DICIEMBRE</v>
          </cell>
          <cell r="D3574" t="str">
            <v>2016</v>
          </cell>
          <cell r="E3574">
            <v>683</v>
          </cell>
          <cell r="F3574" t="str">
            <v>ABQ-705</v>
          </cell>
          <cell r="G3574" t="str">
            <v>D0Z-996</v>
          </cell>
          <cell r="H3574" t="str">
            <v>LAS BAMBAS</v>
          </cell>
          <cell r="I3574">
            <v>112157</v>
          </cell>
          <cell r="J3574" t="str">
            <v>REPUESTO</v>
          </cell>
          <cell r="K3574" t="str">
            <v>ARANDELA PLANA 5/8</v>
          </cell>
          <cell r="L3574">
            <v>4</v>
          </cell>
          <cell r="M3574" t="str">
            <v>UNID.</v>
          </cell>
          <cell r="N3574" t="str">
            <v>TRACTO</v>
          </cell>
          <cell r="O3574">
            <v>57</v>
          </cell>
          <cell r="P3574" t="str">
            <v>M8</v>
          </cell>
          <cell r="Q3574" t="str">
            <v>J2</v>
          </cell>
          <cell r="R3574" t="str">
            <v>J6</v>
          </cell>
          <cell r="S3574" t="str">
            <v>ENTREGADO</v>
          </cell>
          <cell r="T3574">
            <v>0</v>
          </cell>
          <cell r="U3574" t="str">
            <v>VARILLAS GAGO  OSCAR ALBERTO</v>
          </cell>
          <cell r="V3574" t="str">
            <v>CORIHUAMAN SURCO  ERICK ROBERT</v>
          </cell>
        </row>
        <row r="3575">
          <cell r="A3575">
            <v>3599</v>
          </cell>
          <cell r="B3575">
            <v>42733</v>
          </cell>
          <cell r="C3575" t="str">
            <v>DICIEMBRE</v>
          </cell>
          <cell r="D3575" t="str">
            <v>2016</v>
          </cell>
          <cell r="E3575">
            <v>683</v>
          </cell>
          <cell r="F3575" t="str">
            <v>ABQ-705</v>
          </cell>
          <cell r="G3575" t="str">
            <v>D0Z-996</v>
          </cell>
          <cell r="H3575" t="str">
            <v>LAS BAMBAS</v>
          </cell>
          <cell r="I3575">
            <v>112157</v>
          </cell>
          <cell r="J3575" t="str">
            <v>REPUESTO</v>
          </cell>
          <cell r="K3575" t="str">
            <v>FILTRO HIDRAULICO P550830</v>
          </cell>
          <cell r="L3575">
            <v>1</v>
          </cell>
          <cell r="M3575" t="str">
            <v>UNID.</v>
          </cell>
          <cell r="N3575" t="str">
            <v>TRACTO</v>
          </cell>
          <cell r="O3575">
            <v>57</v>
          </cell>
          <cell r="P3575" t="str">
            <v>M8</v>
          </cell>
          <cell r="Q3575" t="str">
            <v>J2</v>
          </cell>
          <cell r="R3575" t="str">
            <v>J6</v>
          </cell>
          <cell r="S3575" t="str">
            <v>ENTREGADO</v>
          </cell>
          <cell r="T3575">
            <v>0</v>
          </cell>
          <cell r="U3575" t="str">
            <v>VARILLAS GAGO  OSCAR ALBERTO</v>
          </cell>
          <cell r="V3575" t="str">
            <v>CORIHUAMAN SURCO  ERICK ROBERT</v>
          </cell>
        </row>
        <row r="3576">
          <cell r="A3576">
            <v>3600</v>
          </cell>
          <cell r="B3576">
            <v>42733</v>
          </cell>
          <cell r="C3576" t="str">
            <v>DICIEMBRE</v>
          </cell>
          <cell r="D3576" t="str">
            <v>2016</v>
          </cell>
          <cell r="E3576">
            <v>683</v>
          </cell>
          <cell r="F3576" t="str">
            <v>ABQ-705</v>
          </cell>
          <cell r="G3576" t="str">
            <v>D0Z-996</v>
          </cell>
          <cell r="H3576" t="str">
            <v>LAS BAMBAS</v>
          </cell>
          <cell r="I3576">
            <v>112157</v>
          </cell>
          <cell r="J3576" t="str">
            <v>REPUESTO</v>
          </cell>
          <cell r="K3576" t="str">
            <v>ACEITE HIDRULICO</v>
          </cell>
          <cell r="L3576">
            <v>1</v>
          </cell>
          <cell r="M3576" t="str">
            <v>GLNS.</v>
          </cell>
          <cell r="N3576" t="str">
            <v>TRACTO</v>
          </cell>
          <cell r="O3576">
            <v>57</v>
          </cell>
          <cell r="P3576" t="str">
            <v>M8</v>
          </cell>
          <cell r="Q3576" t="str">
            <v>J2</v>
          </cell>
          <cell r="R3576" t="str">
            <v>J6</v>
          </cell>
          <cell r="S3576" t="str">
            <v>ENTREGADO</v>
          </cell>
          <cell r="T3576">
            <v>0</v>
          </cell>
          <cell r="U3576" t="str">
            <v>VARILLAS GAGO  OSCAR ALBERTO</v>
          </cell>
          <cell r="V3576" t="str">
            <v>CORIHUAMAN SURCO  ERICK ROBERT</v>
          </cell>
        </row>
        <row r="3577">
          <cell r="A3577">
            <v>3601</v>
          </cell>
          <cell r="B3577">
            <v>42733</v>
          </cell>
          <cell r="C3577" t="str">
            <v>DICIEMBRE</v>
          </cell>
          <cell r="D3577" t="str">
            <v>2016</v>
          </cell>
          <cell r="E3577">
            <v>683</v>
          </cell>
          <cell r="F3577" t="str">
            <v>ABQ-705</v>
          </cell>
          <cell r="G3577" t="str">
            <v>D0Z-996</v>
          </cell>
          <cell r="H3577" t="str">
            <v>LAS BAMBAS</v>
          </cell>
          <cell r="I3577">
            <v>112157</v>
          </cell>
          <cell r="J3577" t="str">
            <v>REPUESTO</v>
          </cell>
          <cell r="K3577" t="str">
            <v>MANGUERA 3/4 X 25 CM</v>
          </cell>
          <cell r="L3577">
            <v>1</v>
          </cell>
          <cell r="M3577" t="str">
            <v>UNID.</v>
          </cell>
          <cell r="N3577" t="str">
            <v>TRACTO</v>
          </cell>
          <cell r="O3577">
            <v>57</v>
          </cell>
          <cell r="P3577" t="str">
            <v>M8</v>
          </cell>
          <cell r="Q3577" t="str">
            <v>J2</v>
          </cell>
          <cell r="R3577" t="str">
            <v>J6</v>
          </cell>
          <cell r="S3577" t="str">
            <v>ENTREGADO</v>
          </cell>
          <cell r="T3577">
            <v>0</v>
          </cell>
          <cell r="U3577" t="str">
            <v>VARILLAS GAGO  OSCAR ALBERTO</v>
          </cell>
          <cell r="V3577" t="str">
            <v>CORIHUAMAN SURCO  ERICK ROBERT</v>
          </cell>
        </row>
        <row r="3578">
          <cell r="A3578">
            <v>3588</v>
          </cell>
          <cell r="B3578">
            <v>42733</v>
          </cell>
          <cell r="C3578" t="str">
            <v>DICIEMBRE</v>
          </cell>
          <cell r="D3578" t="str">
            <v>2016</v>
          </cell>
          <cell r="E3578">
            <v>652</v>
          </cell>
          <cell r="F3578" t="str">
            <v>ABS-700</v>
          </cell>
          <cell r="G3578" t="str">
            <v>TBC-971</v>
          </cell>
          <cell r="H3578" t="str">
            <v>LAS BAMBAS</v>
          </cell>
          <cell r="I3578">
            <v>102512</v>
          </cell>
          <cell r="J3578" t="str">
            <v>REPUESTO</v>
          </cell>
          <cell r="K3578" t="str">
            <v>TECLA ELEVA LUNA LADO DERECHO</v>
          </cell>
          <cell r="L3578">
            <v>1</v>
          </cell>
          <cell r="M3578" t="str">
            <v>UNID.</v>
          </cell>
          <cell r="N3578" t="str">
            <v>TRACTO</v>
          </cell>
          <cell r="O3578">
            <v>57</v>
          </cell>
          <cell r="P3578" t="str">
            <v>E2</v>
          </cell>
          <cell r="Q3578" t="str">
            <v>J2</v>
          </cell>
          <cell r="R3578" t="str">
            <v>J6</v>
          </cell>
          <cell r="S3578" t="str">
            <v>ENTREGADO</v>
          </cell>
          <cell r="T3578">
            <v>0</v>
          </cell>
          <cell r="U3578" t="str">
            <v>YUCA BELLIDO BORIS YERSY</v>
          </cell>
          <cell r="V3578" t="str">
            <v>CORIHUAMAN SURCO  ERICK ROBERT</v>
          </cell>
        </row>
        <row r="3579">
          <cell r="A3579">
            <v>3576</v>
          </cell>
          <cell r="B3579">
            <v>42733</v>
          </cell>
          <cell r="C3579" t="str">
            <v>DICIEMBRE</v>
          </cell>
          <cell r="D3579" t="str">
            <v>2016</v>
          </cell>
          <cell r="E3579">
            <v>520</v>
          </cell>
          <cell r="F3579" t="str">
            <v>AEG-922</v>
          </cell>
          <cell r="G3579" t="str">
            <v>CAMIONETA</v>
          </cell>
          <cell r="H3579" t="str">
            <v>LAS BAMBAS</v>
          </cell>
          <cell r="I3579">
            <v>98089</v>
          </cell>
          <cell r="J3579" t="str">
            <v>REPUESTO</v>
          </cell>
          <cell r="K3579" t="str">
            <v>FOCO LADO IZQUIERDO (PARA LUZ ALTA Y BAJA)</v>
          </cell>
          <cell r="L3579">
            <v>1</v>
          </cell>
          <cell r="M3579" t="str">
            <v>UNID.</v>
          </cell>
          <cell r="N3579" t="str">
            <v>CAMIONETA</v>
          </cell>
          <cell r="O3579">
            <v>57</v>
          </cell>
          <cell r="P3579" t="str">
            <v>J1</v>
          </cell>
          <cell r="Q3579" t="str">
            <v>J1</v>
          </cell>
          <cell r="R3579" t="str">
            <v>J5</v>
          </cell>
          <cell r="S3579" t="str">
            <v>ENTREGADO</v>
          </cell>
          <cell r="T3579">
            <v>0</v>
          </cell>
          <cell r="U3579" t="str">
            <v>FLOREZ CONDORI  JOSE WILLIANS</v>
          </cell>
          <cell r="V3579" t="str">
            <v>FLOREZ CONDORI  JOSE WILLIANS</v>
          </cell>
        </row>
        <row r="3580">
          <cell r="A3580">
            <v>3569</v>
          </cell>
          <cell r="B3580">
            <v>42733</v>
          </cell>
          <cell r="C3580" t="str">
            <v>DICIEMBRE</v>
          </cell>
          <cell r="D3580" t="str">
            <v>2016</v>
          </cell>
          <cell r="E3580">
            <v>570</v>
          </cell>
          <cell r="F3580" t="str">
            <v>AKX-731</v>
          </cell>
          <cell r="G3580" t="str">
            <v>TCD-980</v>
          </cell>
          <cell r="H3580" t="str">
            <v>LAS BAMBAS</v>
          </cell>
          <cell r="I3580">
            <v>35205</v>
          </cell>
          <cell r="J3580" t="str">
            <v>REPUESTO</v>
          </cell>
          <cell r="K3580" t="str">
            <v>TAPA DE DEPOSITO DE HIDROLINA</v>
          </cell>
          <cell r="L3580">
            <v>1</v>
          </cell>
          <cell r="M3580" t="str">
            <v>UNID.</v>
          </cell>
          <cell r="N3580" t="str">
            <v>TRACTO</v>
          </cell>
          <cell r="O3580">
            <v>57</v>
          </cell>
          <cell r="P3580" t="str">
            <v>J1</v>
          </cell>
          <cell r="Q3580" t="str">
            <v>J1</v>
          </cell>
          <cell r="R3580" t="str">
            <v>J5</v>
          </cell>
          <cell r="S3580" t="str">
            <v>PENDIENTE</v>
          </cell>
          <cell r="T3580">
            <v>0</v>
          </cell>
          <cell r="U3580" t="str">
            <v>FLOREZ CONDORI  JOSE WILLIANS</v>
          </cell>
          <cell r="V3580" t="str">
            <v>FLOREZ CONDORI  JOSE WILLIANS</v>
          </cell>
        </row>
        <row r="3581">
          <cell r="A3581">
            <v>3570</v>
          </cell>
          <cell r="B3581">
            <v>42733</v>
          </cell>
          <cell r="C3581" t="str">
            <v>DICIEMBRE</v>
          </cell>
          <cell r="D3581" t="str">
            <v>2016</v>
          </cell>
          <cell r="E3581">
            <v>711</v>
          </cell>
          <cell r="F3581" t="str">
            <v>AKX-767</v>
          </cell>
          <cell r="G3581" t="str">
            <v>TCR-993</v>
          </cell>
          <cell r="H3581" t="str">
            <v>LAS BAMBAS CONC.</v>
          </cell>
          <cell r="I3581">
            <v>27574</v>
          </cell>
          <cell r="J3581" t="str">
            <v>REPUESTO</v>
          </cell>
          <cell r="K3581" t="str">
            <v>FARO LATERAL LED ROJO</v>
          </cell>
          <cell r="L3581">
            <v>1</v>
          </cell>
          <cell r="M3581" t="str">
            <v>UNID.</v>
          </cell>
          <cell r="N3581" t="str">
            <v>TOLVA</v>
          </cell>
          <cell r="O3581">
            <v>57</v>
          </cell>
          <cell r="P3581" t="str">
            <v>E3</v>
          </cell>
          <cell r="Q3581" t="str">
            <v>J1</v>
          </cell>
          <cell r="R3581" t="str">
            <v>J5</v>
          </cell>
          <cell r="S3581" t="str">
            <v>ENTREGADO</v>
          </cell>
          <cell r="T3581">
            <v>0</v>
          </cell>
          <cell r="U3581" t="str">
            <v>CONDORI CHURATA ALEX</v>
          </cell>
          <cell r="V3581" t="str">
            <v>FLOREZ CONDORI  JOSE WILLIANS</v>
          </cell>
        </row>
        <row r="3582">
          <cell r="A3582">
            <v>3606</v>
          </cell>
          <cell r="B3582">
            <v>42733</v>
          </cell>
          <cell r="C3582" t="str">
            <v>DICIEMBRE</v>
          </cell>
          <cell r="D3582" t="str">
            <v>2016</v>
          </cell>
          <cell r="E3582">
            <v>720</v>
          </cell>
          <cell r="F3582" t="str">
            <v>B2M-948</v>
          </cell>
          <cell r="G3582" t="str">
            <v>CAMION</v>
          </cell>
          <cell r="H3582" t="str">
            <v>TAMBOMAYO</v>
          </cell>
          <cell r="I3582">
            <v>115814</v>
          </cell>
          <cell r="J3582" t="str">
            <v>REPUESTO</v>
          </cell>
          <cell r="K3582" t="str">
            <v>FOCO H3 24 V</v>
          </cell>
          <cell r="L3582">
            <v>2</v>
          </cell>
          <cell r="M3582" t="str">
            <v>UNID.</v>
          </cell>
          <cell r="N3582" t="str">
            <v>CAMION</v>
          </cell>
          <cell r="O3582">
            <v>57</v>
          </cell>
          <cell r="P3582" t="str">
            <v>E3</v>
          </cell>
          <cell r="Q3582" t="str">
            <v>J2</v>
          </cell>
          <cell r="R3582" t="str">
            <v>J6</v>
          </cell>
          <cell r="S3582" t="str">
            <v>ENTREGADO</v>
          </cell>
          <cell r="T3582">
            <v>0</v>
          </cell>
          <cell r="U3582" t="str">
            <v>CONDORI CHURATA ALEX</v>
          </cell>
          <cell r="V3582" t="str">
            <v>CORIHUAMAN SURCO  ERICK ROBERT</v>
          </cell>
        </row>
        <row r="3583">
          <cell r="A3583">
            <v>3581</v>
          </cell>
          <cell r="B3583">
            <v>42733</v>
          </cell>
          <cell r="C3583" t="str">
            <v>DICIEMBRE</v>
          </cell>
          <cell r="D3583" t="str">
            <v>2016</v>
          </cell>
          <cell r="E3583">
            <v>709</v>
          </cell>
          <cell r="F3583" t="str">
            <v>D4T-927</v>
          </cell>
          <cell r="G3583" t="str">
            <v>B4Q-976</v>
          </cell>
          <cell r="H3583" t="str">
            <v>LAS BAMBAS</v>
          </cell>
          <cell r="I3583">
            <v>193122</v>
          </cell>
          <cell r="J3583" t="str">
            <v>REPUESTO</v>
          </cell>
          <cell r="K3583" t="str">
            <v>LIQUIDO LIMPIAPARABRISAS</v>
          </cell>
          <cell r="L3583">
            <v>1</v>
          </cell>
          <cell r="M3583" t="str">
            <v>GLNS.</v>
          </cell>
          <cell r="N3583" t="str">
            <v>TRACTO</v>
          </cell>
          <cell r="O3583">
            <v>57</v>
          </cell>
          <cell r="P3583" t="str">
            <v>M8</v>
          </cell>
          <cell r="Q3583" t="str">
            <v>J2</v>
          </cell>
          <cell r="R3583" t="str">
            <v>J6</v>
          </cell>
          <cell r="S3583" t="str">
            <v>ENTREGADO</v>
          </cell>
          <cell r="T3583">
            <v>0</v>
          </cell>
          <cell r="U3583" t="str">
            <v>VARILLAS GAGO  OSCAR ALBERTO</v>
          </cell>
          <cell r="V3583" t="str">
            <v>CORIHUAMAN SURCO  ERICK ROBERT</v>
          </cell>
        </row>
        <row r="3584">
          <cell r="A3584">
            <v>3582</v>
          </cell>
          <cell r="B3584">
            <v>42733</v>
          </cell>
          <cell r="C3584" t="str">
            <v>DICIEMBRE</v>
          </cell>
          <cell r="D3584" t="str">
            <v>2016</v>
          </cell>
          <cell r="E3584">
            <v>709</v>
          </cell>
          <cell r="F3584" t="str">
            <v>D4T-927</v>
          </cell>
          <cell r="G3584" t="str">
            <v>B4Q-976</v>
          </cell>
          <cell r="H3584" t="str">
            <v>LAS BAMBAS</v>
          </cell>
          <cell r="I3584">
            <v>193122</v>
          </cell>
          <cell r="J3584" t="str">
            <v>REPUESTO</v>
          </cell>
          <cell r="K3584" t="str">
            <v>LIQUIDO REFRIGERANTE</v>
          </cell>
          <cell r="L3584">
            <v>0.5</v>
          </cell>
          <cell r="M3584" t="str">
            <v>GLNS.</v>
          </cell>
          <cell r="N3584" t="str">
            <v>TRACTO</v>
          </cell>
          <cell r="O3584">
            <v>57</v>
          </cell>
          <cell r="P3584" t="str">
            <v>M8</v>
          </cell>
          <cell r="Q3584" t="str">
            <v>J2</v>
          </cell>
          <cell r="R3584" t="str">
            <v>J6</v>
          </cell>
          <cell r="S3584" t="str">
            <v>ENTREGADO</v>
          </cell>
          <cell r="T3584">
            <v>0</v>
          </cell>
          <cell r="U3584" t="str">
            <v>VARILLAS GAGO  OSCAR ALBERTO</v>
          </cell>
          <cell r="V3584" t="str">
            <v>CORIHUAMAN SURCO  ERICK ROBERT</v>
          </cell>
        </row>
        <row r="3585">
          <cell r="A3585">
            <v>3583</v>
          </cell>
          <cell r="B3585">
            <v>42733</v>
          </cell>
          <cell r="C3585" t="str">
            <v>DICIEMBRE</v>
          </cell>
          <cell r="D3585" t="str">
            <v>2016</v>
          </cell>
          <cell r="E3585">
            <v>709</v>
          </cell>
          <cell r="F3585" t="str">
            <v>D4T-927</v>
          </cell>
          <cell r="G3585" t="str">
            <v>B4Q-976</v>
          </cell>
          <cell r="H3585" t="str">
            <v>LAS BAMBAS</v>
          </cell>
          <cell r="I3585">
            <v>193122</v>
          </cell>
          <cell r="J3585" t="str">
            <v>REPUESTO</v>
          </cell>
          <cell r="K3585" t="str">
            <v>PERNO 5/8 X 6</v>
          </cell>
          <cell r="L3585">
            <v>2</v>
          </cell>
          <cell r="M3585" t="str">
            <v>GLNS.</v>
          </cell>
          <cell r="N3585" t="str">
            <v>TRACTO</v>
          </cell>
          <cell r="O3585">
            <v>57</v>
          </cell>
          <cell r="P3585" t="str">
            <v>M8</v>
          </cell>
          <cell r="Q3585" t="str">
            <v>J2</v>
          </cell>
          <cell r="R3585" t="str">
            <v>J6</v>
          </cell>
          <cell r="S3585" t="str">
            <v>ENTREGADO</v>
          </cell>
          <cell r="T3585">
            <v>0</v>
          </cell>
          <cell r="U3585" t="str">
            <v>VARILLAS GAGO  OSCAR ALBERTO</v>
          </cell>
          <cell r="V3585" t="str">
            <v>CORIHUAMAN SURCO  ERICK ROBERT</v>
          </cell>
        </row>
        <row r="3586">
          <cell r="A3586">
            <v>3584</v>
          </cell>
          <cell r="B3586">
            <v>42733</v>
          </cell>
          <cell r="C3586" t="str">
            <v>DICIEMBRE</v>
          </cell>
          <cell r="D3586" t="str">
            <v>2016</v>
          </cell>
          <cell r="E3586">
            <v>709</v>
          </cell>
          <cell r="F3586" t="str">
            <v>D4T-927</v>
          </cell>
          <cell r="G3586" t="str">
            <v>B4Q-976</v>
          </cell>
          <cell r="H3586" t="str">
            <v>LAS BAMBAS</v>
          </cell>
          <cell r="I3586">
            <v>193122</v>
          </cell>
          <cell r="J3586" t="str">
            <v>REPUESTO</v>
          </cell>
          <cell r="K3586" t="str">
            <v>TUERCA SEGURO 5/8</v>
          </cell>
          <cell r="L3586">
            <v>2</v>
          </cell>
          <cell r="M3586" t="str">
            <v>GLNS.</v>
          </cell>
          <cell r="N3586" t="str">
            <v>TRACTO</v>
          </cell>
          <cell r="O3586">
            <v>57</v>
          </cell>
          <cell r="P3586" t="str">
            <v>M8</v>
          </cell>
          <cell r="Q3586" t="str">
            <v>J2</v>
          </cell>
          <cell r="R3586" t="str">
            <v>J6</v>
          </cell>
          <cell r="S3586" t="str">
            <v>ENTREGADO</v>
          </cell>
          <cell r="T3586">
            <v>0</v>
          </cell>
          <cell r="U3586" t="str">
            <v>VARILLAS GAGO  OSCAR ALBERTO</v>
          </cell>
          <cell r="V3586" t="str">
            <v>CORIHUAMAN SURCO  ERICK ROBERT</v>
          </cell>
        </row>
        <row r="3587">
          <cell r="A3587">
            <v>3580</v>
          </cell>
          <cell r="B3587">
            <v>42733</v>
          </cell>
          <cell r="C3587" t="str">
            <v>DICIEMBRE</v>
          </cell>
          <cell r="D3587" t="str">
            <v>2016</v>
          </cell>
          <cell r="E3587">
            <v>715</v>
          </cell>
          <cell r="F3587" t="str">
            <v>D6F-898</v>
          </cell>
          <cell r="G3587" t="str">
            <v>T4L-996</v>
          </cell>
          <cell r="H3587" t="str">
            <v>LAS BAMBAS</v>
          </cell>
          <cell r="I3587">
            <v>165556</v>
          </cell>
          <cell r="J3587" t="str">
            <v>REPUESTO</v>
          </cell>
          <cell r="K3587" t="str">
            <v>LIQUIDO LIMPIAPARABRISAS</v>
          </cell>
          <cell r="L3587">
            <v>1.25</v>
          </cell>
          <cell r="M3587" t="str">
            <v>GLNS.</v>
          </cell>
          <cell r="N3587" t="str">
            <v>TRACTO</v>
          </cell>
          <cell r="O3587">
            <v>57</v>
          </cell>
          <cell r="P3587" t="str">
            <v>M4</v>
          </cell>
          <cell r="Q3587" t="str">
            <v>J1</v>
          </cell>
          <cell r="R3587" t="str">
            <v>J5</v>
          </cell>
          <cell r="S3587" t="str">
            <v>ENTREGADO</v>
          </cell>
          <cell r="T3587">
            <v>0</v>
          </cell>
          <cell r="U3587" t="str">
            <v>JULLIRI APAZA UBALDO</v>
          </cell>
          <cell r="V3587" t="str">
            <v>FLOREZ CONDORI  JOSE WILLIANS</v>
          </cell>
        </row>
        <row r="3588">
          <cell r="A3588">
            <v>3585</v>
          </cell>
          <cell r="B3588">
            <v>42733</v>
          </cell>
          <cell r="C3588" t="str">
            <v>DICIEMBRE</v>
          </cell>
          <cell r="D3588" t="str">
            <v>2016</v>
          </cell>
          <cell r="E3588">
            <v>715</v>
          </cell>
          <cell r="F3588" t="str">
            <v>D6F-898</v>
          </cell>
          <cell r="G3588" t="str">
            <v>T4L-996</v>
          </cell>
          <cell r="H3588" t="str">
            <v>LAS BAMBAS</v>
          </cell>
          <cell r="I3588">
            <v>165556</v>
          </cell>
          <cell r="J3588" t="str">
            <v>REPUESTO</v>
          </cell>
          <cell r="K3588" t="str">
            <v>FOCO H3</v>
          </cell>
          <cell r="L3588">
            <v>1</v>
          </cell>
          <cell r="M3588" t="str">
            <v>UNID.</v>
          </cell>
          <cell r="N3588" t="str">
            <v>TRACTO</v>
          </cell>
          <cell r="O3588">
            <v>57</v>
          </cell>
          <cell r="P3588" t="str">
            <v>E3</v>
          </cell>
          <cell r="Q3588" t="str">
            <v>J2</v>
          </cell>
          <cell r="R3588" t="str">
            <v>J6</v>
          </cell>
          <cell r="S3588" t="str">
            <v>ENTREGADO</v>
          </cell>
          <cell r="T3588">
            <v>0</v>
          </cell>
          <cell r="U3588" t="str">
            <v>CONDORI CHURATA ALEX</v>
          </cell>
          <cell r="V3588" t="str">
            <v>CORIHUAMAN SURCO  ERICK ROBERT</v>
          </cell>
        </row>
        <row r="3589">
          <cell r="A3589">
            <v>3587</v>
          </cell>
          <cell r="B3589">
            <v>42733</v>
          </cell>
          <cell r="C3589" t="str">
            <v>DICIEMBRE</v>
          </cell>
          <cell r="D3589" t="str">
            <v>2016</v>
          </cell>
          <cell r="E3589">
            <v>715</v>
          </cell>
          <cell r="F3589" t="str">
            <v>D6F-898</v>
          </cell>
          <cell r="G3589" t="str">
            <v>T4L-996</v>
          </cell>
          <cell r="H3589" t="str">
            <v>LAS BAMBAS</v>
          </cell>
          <cell r="I3589">
            <v>165556</v>
          </cell>
          <cell r="J3589" t="str">
            <v>REPUESTO</v>
          </cell>
          <cell r="K3589" t="str">
            <v>FARO LATERAL RECTANGULAR</v>
          </cell>
          <cell r="L3589">
            <v>1</v>
          </cell>
          <cell r="M3589" t="str">
            <v>UNID.</v>
          </cell>
          <cell r="N3589" t="str">
            <v>CISTERNA</v>
          </cell>
          <cell r="O3589">
            <v>57</v>
          </cell>
          <cell r="P3589" t="str">
            <v>E3</v>
          </cell>
          <cell r="Q3589" t="str">
            <v>J2</v>
          </cell>
          <cell r="R3589" t="str">
            <v>J6</v>
          </cell>
          <cell r="S3589" t="str">
            <v>ENTREGADO</v>
          </cell>
          <cell r="T3589">
            <v>0</v>
          </cell>
          <cell r="U3589" t="str">
            <v>CONDORI CHURATA ALEX</v>
          </cell>
          <cell r="V3589" t="str">
            <v>CORIHUAMAN SURCO  ERICK ROBERT</v>
          </cell>
        </row>
        <row r="3590">
          <cell r="A3590">
            <v>3602</v>
          </cell>
          <cell r="B3590">
            <v>42733</v>
          </cell>
          <cell r="C3590" t="str">
            <v>DICIEMBRE</v>
          </cell>
          <cell r="D3590" t="str">
            <v>2016</v>
          </cell>
          <cell r="E3590">
            <v>715</v>
          </cell>
          <cell r="F3590" t="str">
            <v>D6F-898</v>
          </cell>
          <cell r="G3590" t="str">
            <v>T4L-996</v>
          </cell>
          <cell r="H3590" t="str">
            <v>LAS BAMBAS</v>
          </cell>
          <cell r="I3590">
            <v>165556</v>
          </cell>
          <cell r="J3590" t="str">
            <v>REPUESTO</v>
          </cell>
          <cell r="K3590" t="str">
            <v>PERNO 3/8 X 4</v>
          </cell>
          <cell r="L3590">
            <v>1</v>
          </cell>
          <cell r="M3590" t="str">
            <v>UNID.</v>
          </cell>
          <cell r="N3590" t="str">
            <v>TRACTO</v>
          </cell>
          <cell r="O3590">
            <v>57</v>
          </cell>
          <cell r="P3590" t="str">
            <v>E3</v>
          </cell>
          <cell r="Q3590" t="str">
            <v>J2</v>
          </cell>
          <cell r="R3590" t="str">
            <v>J6</v>
          </cell>
          <cell r="S3590" t="str">
            <v>ENTREGADO</v>
          </cell>
          <cell r="T3590">
            <v>0</v>
          </cell>
          <cell r="U3590" t="str">
            <v>CONDORI CHURATA ALEX</v>
          </cell>
          <cell r="V3590" t="str">
            <v>CORIHUAMAN SURCO  ERICK ROBERT</v>
          </cell>
        </row>
        <row r="3591">
          <cell r="A3591">
            <v>3603</v>
          </cell>
          <cell r="B3591">
            <v>42733</v>
          </cell>
          <cell r="C3591" t="str">
            <v>DICIEMBRE</v>
          </cell>
          <cell r="D3591" t="str">
            <v>2016</v>
          </cell>
          <cell r="E3591">
            <v>715</v>
          </cell>
          <cell r="F3591" t="str">
            <v>D6F-898</v>
          </cell>
          <cell r="G3591" t="str">
            <v>T4L-996</v>
          </cell>
          <cell r="H3591" t="str">
            <v>LAS BAMBAS</v>
          </cell>
          <cell r="I3591">
            <v>165556</v>
          </cell>
          <cell r="J3591" t="str">
            <v>REPUESTO</v>
          </cell>
          <cell r="K3591" t="str">
            <v>PERNO 3/8 X 5</v>
          </cell>
          <cell r="L3591">
            <v>1</v>
          </cell>
          <cell r="M3591" t="str">
            <v>UNID.</v>
          </cell>
          <cell r="N3591" t="str">
            <v>TRACTO</v>
          </cell>
          <cell r="O3591">
            <v>57</v>
          </cell>
          <cell r="P3591" t="str">
            <v>E3</v>
          </cell>
          <cell r="Q3591" t="str">
            <v>J2</v>
          </cell>
          <cell r="R3591" t="str">
            <v>J6</v>
          </cell>
          <cell r="S3591" t="str">
            <v>ENTREGADO</v>
          </cell>
          <cell r="T3591">
            <v>0</v>
          </cell>
          <cell r="U3591" t="str">
            <v>CONDORI CHURATA ALEX</v>
          </cell>
          <cell r="V3591" t="str">
            <v>CORIHUAMAN SURCO  ERICK ROBERT</v>
          </cell>
        </row>
        <row r="3592">
          <cell r="A3592">
            <v>3604</v>
          </cell>
          <cell r="B3592">
            <v>42733</v>
          </cell>
          <cell r="C3592" t="str">
            <v>DICIEMBRE</v>
          </cell>
          <cell r="D3592" t="str">
            <v>2016</v>
          </cell>
          <cell r="E3592">
            <v>715</v>
          </cell>
          <cell r="F3592" t="str">
            <v>D6F-898</v>
          </cell>
          <cell r="G3592" t="str">
            <v>T4L-996</v>
          </cell>
          <cell r="H3592" t="str">
            <v>LAS BAMBAS</v>
          </cell>
          <cell r="I3592">
            <v>165556</v>
          </cell>
          <cell r="J3592" t="str">
            <v>REPUESTO</v>
          </cell>
          <cell r="K3592" t="str">
            <v>TUERCA SEGURA 3/8</v>
          </cell>
          <cell r="L3592">
            <v>2</v>
          </cell>
          <cell r="M3592" t="str">
            <v>UNID.</v>
          </cell>
          <cell r="N3592" t="str">
            <v>TRACTO</v>
          </cell>
          <cell r="O3592">
            <v>57</v>
          </cell>
          <cell r="P3592" t="str">
            <v>E3</v>
          </cell>
          <cell r="Q3592" t="str">
            <v>J2</v>
          </cell>
          <cell r="R3592" t="str">
            <v>J6</v>
          </cell>
          <cell r="S3592" t="str">
            <v>ENTREGADO</v>
          </cell>
          <cell r="T3592">
            <v>0</v>
          </cell>
          <cell r="U3592" t="str">
            <v>CONDORI CHURATA ALEX</v>
          </cell>
          <cell r="V3592" t="str">
            <v>CORIHUAMAN SURCO  ERICK ROBERT</v>
          </cell>
        </row>
        <row r="3593">
          <cell r="A3593">
            <v>3605</v>
          </cell>
          <cell r="B3593">
            <v>42733</v>
          </cell>
          <cell r="C3593" t="str">
            <v>DICIEMBRE</v>
          </cell>
          <cell r="D3593" t="str">
            <v>2016</v>
          </cell>
          <cell r="E3593">
            <v>715</v>
          </cell>
          <cell r="F3593" t="str">
            <v>D6F-898</v>
          </cell>
          <cell r="G3593" t="str">
            <v>T4L-996</v>
          </cell>
          <cell r="H3593" t="str">
            <v>LAS BAMBAS</v>
          </cell>
          <cell r="I3593">
            <v>165556</v>
          </cell>
          <cell r="J3593" t="str">
            <v>REPUESTO</v>
          </cell>
          <cell r="K3593" t="str">
            <v>ARANDELA PLANA 3/8</v>
          </cell>
          <cell r="L3593">
            <v>4</v>
          </cell>
          <cell r="M3593" t="str">
            <v>UNID.</v>
          </cell>
          <cell r="N3593" t="str">
            <v>TRACTO</v>
          </cell>
          <cell r="O3593">
            <v>57</v>
          </cell>
          <cell r="P3593" t="str">
            <v>E3</v>
          </cell>
          <cell r="Q3593" t="str">
            <v>J2</v>
          </cell>
          <cell r="R3593" t="str">
            <v>J6</v>
          </cell>
          <cell r="S3593" t="str">
            <v>ENTREGADO</v>
          </cell>
          <cell r="T3593">
            <v>0</v>
          </cell>
          <cell r="U3593" t="str">
            <v>CONDORI CHURATA ALEX</v>
          </cell>
          <cell r="V3593" t="str">
            <v>CORIHUAMAN SURCO  ERICK ROBERT</v>
          </cell>
        </row>
        <row r="3594">
          <cell r="A3594">
            <v>3561</v>
          </cell>
          <cell r="B3594">
            <v>42733</v>
          </cell>
          <cell r="C3594" t="str">
            <v>DICIEMBRE</v>
          </cell>
          <cell r="D3594" t="str">
            <v>2016</v>
          </cell>
          <cell r="E3594">
            <v>693</v>
          </cell>
          <cell r="F3594" t="str">
            <v>D6G-806</v>
          </cell>
          <cell r="G3594" t="str">
            <v>B8K-998</v>
          </cell>
          <cell r="H3594" t="str">
            <v>LAS BAMBAS</v>
          </cell>
          <cell r="I3594">
            <v>220955</v>
          </cell>
          <cell r="J3594" t="str">
            <v>REPUESTO</v>
          </cell>
          <cell r="K3594" t="str">
            <v>PERNO 5/8 X 2</v>
          </cell>
          <cell r="L3594">
            <v>1</v>
          </cell>
          <cell r="M3594" t="str">
            <v>UNID.</v>
          </cell>
          <cell r="N3594" t="str">
            <v>TRACTO</v>
          </cell>
          <cell r="O3594">
            <v>57</v>
          </cell>
          <cell r="P3594" t="str">
            <v>S3</v>
          </cell>
          <cell r="Q3594" t="str">
            <v>J2</v>
          </cell>
          <cell r="R3594" t="str">
            <v>J6</v>
          </cell>
          <cell r="S3594" t="str">
            <v>ENTREGADO</v>
          </cell>
          <cell r="T3594">
            <v>0</v>
          </cell>
          <cell r="U3594" t="str">
            <v>JIMENEZ MACHACA JAVIER</v>
          </cell>
          <cell r="V3594" t="str">
            <v>CORIHUAMAN SURCO  ERICK ROBERT</v>
          </cell>
        </row>
        <row r="3595">
          <cell r="A3595">
            <v>3562</v>
          </cell>
          <cell r="B3595">
            <v>42733</v>
          </cell>
          <cell r="C3595" t="str">
            <v>DICIEMBRE</v>
          </cell>
          <cell r="D3595" t="str">
            <v>2016</v>
          </cell>
          <cell r="E3595">
            <v>693</v>
          </cell>
          <cell r="F3595" t="str">
            <v>D6G-806</v>
          </cell>
          <cell r="G3595" t="str">
            <v>B8K-998</v>
          </cell>
          <cell r="H3595" t="str">
            <v>LAS BAMBAS</v>
          </cell>
          <cell r="I3595">
            <v>220955</v>
          </cell>
          <cell r="J3595" t="str">
            <v>REPUESTO</v>
          </cell>
          <cell r="K3595" t="str">
            <v>TUERCA 3/4</v>
          </cell>
          <cell r="L3595">
            <v>1</v>
          </cell>
          <cell r="M3595" t="str">
            <v>UNID.</v>
          </cell>
          <cell r="N3595" t="str">
            <v>TRACTO</v>
          </cell>
          <cell r="O3595">
            <v>57</v>
          </cell>
          <cell r="P3595" t="str">
            <v>S3</v>
          </cell>
          <cell r="Q3595" t="str">
            <v>J2</v>
          </cell>
          <cell r="R3595" t="str">
            <v>J6</v>
          </cell>
          <cell r="S3595" t="str">
            <v>ENTREGADO</v>
          </cell>
          <cell r="T3595">
            <v>0</v>
          </cell>
          <cell r="U3595" t="str">
            <v>JIMENEZ MACHACA JAVIER</v>
          </cell>
          <cell r="V3595" t="str">
            <v>CORIHUAMAN SURCO  ERICK ROBERT</v>
          </cell>
        </row>
        <row r="3596">
          <cell r="A3596">
            <v>3563</v>
          </cell>
          <cell r="B3596">
            <v>42733</v>
          </cell>
          <cell r="C3596" t="str">
            <v>DICIEMBRE</v>
          </cell>
          <cell r="D3596" t="str">
            <v>2016</v>
          </cell>
          <cell r="E3596">
            <v>200</v>
          </cell>
          <cell r="F3596" t="str">
            <v>TALLER</v>
          </cell>
          <cell r="G3596" t="str">
            <v>TALLER</v>
          </cell>
          <cell r="H3596" t="str">
            <v>TALLER</v>
          </cell>
          <cell r="I3596" t="str">
            <v>TALLER</v>
          </cell>
          <cell r="J3596" t="str">
            <v>REPUESTO</v>
          </cell>
          <cell r="K3596" t="str">
            <v>TAIVEX "L"</v>
          </cell>
          <cell r="L3596">
            <v>1</v>
          </cell>
          <cell r="M3596" t="str">
            <v>UNID.</v>
          </cell>
          <cell r="N3596" t="str">
            <v>TALLER</v>
          </cell>
          <cell r="O3596">
            <v>57</v>
          </cell>
          <cell r="P3596" t="str">
            <v>N1</v>
          </cell>
          <cell r="Q3596" t="str">
            <v>J2</v>
          </cell>
          <cell r="R3596" t="str">
            <v>J6</v>
          </cell>
          <cell r="S3596" t="str">
            <v>ENTREGADO</v>
          </cell>
          <cell r="T3596">
            <v>0</v>
          </cell>
          <cell r="U3596" t="str">
            <v>AGUILAR CCANTUTA WILLY</v>
          </cell>
          <cell r="V3596" t="str">
            <v>CORIHUAMAN SURCO  ERICK ROBERT</v>
          </cell>
        </row>
        <row r="3597">
          <cell r="A3597">
            <v>3564</v>
          </cell>
          <cell r="B3597">
            <v>42733</v>
          </cell>
          <cell r="C3597" t="str">
            <v>DICIEMBRE</v>
          </cell>
          <cell r="D3597" t="str">
            <v>2016</v>
          </cell>
          <cell r="E3597">
            <v>200</v>
          </cell>
          <cell r="F3597" t="str">
            <v>TALLER</v>
          </cell>
          <cell r="G3597" t="str">
            <v>TALLER</v>
          </cell>
          <cell r="H3597" t="str">
            <v>TALLER</v>
          </cell>
          <cell r="I3597" t="str">
            <v>TALLER</v>
          </cell>
          <cell r="J3597" t="str">
            <v>REPUESTO</v>
          </cell>
          <cell r="K3597" t="str">
            <v>TAIVEX "L"</v>
          </cell>
          <cell r="L3597">
            <v>1</v>
          </cell>
          <cell r="M3597" t="str">
            <v>UNID.</v>
          </cell>
          <cell r="N3597" t="str">
            <v>TALLER</v>
          </cell>
          <cell r="O3597">
            <v>57</v>
          </cell>
          <cell r="P3597" t="str">
            <v>N2</v>
          </cell>
          <cell r="Q3597" t="str">
            <v>J2</v>
          </cell>
          <cell r="R3597" t="str">
            <v>J6</v>
          </cell>
          <cell r="S3597" t="str">
            <v>ENTREGADO</v>
          </cell>
          <cell r="T3597">
            <v>0</v>
          </cell>
          <cell r="U3597" t="str">
            <v>MAMANI LARICO  EDUARDO ALVARO</v>
          </cell>
          <cell r="V3597" t="str">
            <v>CORIHUAMAN SURCO  ERICK ROBERT</v>
          </cell>
        </row>
        <row r="3598">
          <cell r="A3598">
            <v>3565</v>
          </cell>
          <cell r="B3598">
            <v>42733</v>
          </cell>
          <cell r="C3598" t="str">
            <v>DICIEMBRE</v>
          </cell>
          <cell r="D3598" t="str">
            <v>2016</v>
          </cell>
          <cell r="E3598">
            <v>200</v>
          </cell>
          <cell r="F3598" t="str">
            <v>TALLER</v>
          </cell>
          <cell r="G3598" t="str">
            <v>TALLER</v>
          </cell>
          <cell r="H3598" t="str">
            <v>TALLER</v>
          </cell>
          <cell r="I3598" t="str">
            <v>TALLER</v>
          </cell>
          <cell r="J3598" t="str">
            <v>REPUESTO</v>
          </cell>
          <cell r="K3598" t="str">
            <v>SPRAY COLOR BLANCO</v>
          </cell>
          <cell r="L3598">
            <v>1</v>
          </cell>
          <cell r="M3598" t="str">
            <v>UNID.</v>
          </cell>
          <cell r="N3598" t="str">
            <v>TALLER</v>
          </cell>
          <cell r="O3598">
            <v>57</v>
          </cell>
          <cell r="P3598" t="str">
            <v>N2</v>
          </cell>
          <cell r="Q3598" t="str">
            <v>J2</v>
          </cell>
          <cell r="R3598" t="str">
            <v>J6</v>
          </cell>
          <cell r="S3598" t="str">
            <v>ENTREGADO</v>
          </cell>
          <cell r="T3598">
            <v>0</v>
          </cell>
          <cell r="U3598" t="str">
            <v>MAMANI LARICO  EDUARDO ALVARO</v>
          </cell>
          <cell r="V3598" t="str">
            <v>CORIHUAMAN SURCO  ERICK ROBERT</v>
          </cell>
        </row>
        <row r="3599">
          <cell r="A3599">
            <v>3566</v>
          </cell>
          <cell r="B3599">
            <v>42733</v>
          </cell>
          <cell r="C3599" t="str">
            <v>DICIEMBRE</v>
          </cell>
          <cell r="D3599" t="str">
            <v>2016</v>
          </cell>
          <cell r="E3599">
            <v>200</v>
          </cell>
          <cell r="F3599" t="str">
            <v>TALLER</v>
          </cell>
          <cell r="G3599" t="str">
            <v>TALLER</v>
          </cell>
          <cell r="H3599" t="str">
            <v>TALLER</v>
          </cell>
          <cell r="I3599" t="str">
            <v>TALLER</v>
          </cell>
          <cell r="J3599" t="str">
            <v>REPUESTO</v>
          </cell>
          <cell r="K3599" t="str">
            <v>SPRAY COLOR ALUMINIO</v>
          </cell>
          <cell r="L3599">
            <v>1</v>
          </cell>
          <cell r="M3599" t="str">
            <v>UNID.</v>
          </cell>
          <cell r="N3599" t="str">
            <v>TALLER</v>
          </cell>
          <cell r="O3599">
            <v>57</v>
          </cell>
          <cell r="P3599" t="str">
            <v>N2</v>
          </cell>
          <cell r="Q3599" t="str">
            <v>J2</v>
          </cell>
          <cell r="R3599" t="str">
            <v>J6</v>
          </cell>
          <cell r="S3599" t="str">
            <v>ENTREGADO</v>
          </cell>
          <cell r="T3599">
            <v>0</v>
          </cell>
          <cell r="U3599" t="str">
            <v>MAMANI LARICO  EDUARDO ALVARO</v>
          </cell>
          <cell r="V3599" t="str">
            <v>CORIHUAMAN SURCO  ERICK ROBERT</v>
          </cell>
        </row>
        <row r="3600">
          <cell r="A3600">
            <v>3567</v>
          </cell>
          <cell r="B3600">
            <v>42733</v>
          </cell>
          <cell r="C3600" t="str">
            <v>DICIEMBRE</v>
          </cell>
          <cell r="D3600" t="str">
            <v>2016</v>
          </cell>
          <cell r="E3600">
            <v>200</v>
          </cell>
          <cell r="F3600" t="str">
            <v>TALLER</v>
          </cell>
          <cell r="G3600" t="str">
            <v>TALLER</v>
          </cell>
          <cell r="H3600" t="str">
            <v>TALLER</v>
          </cell>
          <cell r="I3600" t="str">
            <v>TALLER</v>
          </cell>
          <cell r="J3600" t="str">
            <v>INSUMO TALLER</v>
          </cell>
          <cell r="K3600" t="str">
            <v>DISCO DE CORTE DE 7"</v>
          </cell>
          <cell r="L3600">
            <v>3</v>
          </cell>
          <cell r="M3600" t="str">
            <v>UNID.</v>
          </cell>
          <cell r="N3600" t="str">
            <v>TALLER</v>
          </cell>
          <cell r="O3600">
            <v>57</v>
          </cell>
          <cell r="P3600" t="str">
            <v>S3</v>
          </cell>
          <cell r="Q3600" t="str">
            <v>J2</v>
          </cell>
          <cell r="R3600" t="str">
            <v>J6</v>
          </cell>
          <cell r="S3600" t="str">
            <v>ENTREGADO</v>
          </cell>
          <cell r="T3600">
            <v>0</v>
          </cell>
          <cell r="U3600" t="str">
            <v>JIMENEZ MACHACA JAVIER</v>
          </cell>
          <cell r="V3600" t="str">
            <v>CORIHUAMAN SURCO  ERICK ROBERT</v>
          </cell>
        </row>
        <row r="3601">
          <cell r="A3601">
            <v>3579</v>
          </cell>
          <cell r="B3601">
            <v>42733</v>
          </cell>
          <cell r="C3601" t="str">
            <v>DICIEMBRE</v>
          </cell>
          <cell r="D3601" t="str">
            <v>2016</v>
          </cell>
          <cell r="E3601">
            <v>200</v>
          </cell>
          <cell r="F3601" t="str">
            <v>TALLER</v>
          </cell>
          <cell r="G3601" t="str">
            <v>TALLER</v>
          </cell>
          <cell r="H3601" t="str">
            <v>TALLER</v>
          </cell>
          <cell r="I3601" t="str">
            <v>TALLER</v>
          </cell>
          <cell r="J3601" t="str">
            <v>INSUMO TALLER</v>
          </cell>
          <cell r="K3601" t="str">
            <v xml:space="preserve">LIMPIA CONTACTO </v>
          </cell>
          <cell r="L3601">
            <v>1</v>
          </cell>
          <cell r="M3601" t="str">
            <v>UNID.</v>
          </cell>
          <cell r="N3601" t="str">
            <v>CAMION</v>
          </cell>
          <cell r="O3601">
            <v>57</v>
          </cell>
          <cell r="P3601" t="str">
            <v>E2</v>
          </cell>
          <cell r="Q3601" t="str">
            <v>J1</v>
          </cell>
          <cell r="R3601" t="str">
            <v>J5</v>
          </cell>
          <cell r="S3601" t="str">
            <v>ENTREGADO</v>
          </cell>
          <cell r="T3601">
            <v>0</v>
          </cell>
          <cell r="U3601" t="str">
            <v>YUCA BELLIDO BORIS YERSY</v>
          </cell>
          <cell r="V3601" t="str">
            <v>FLOREZ CONDORI  JOSE WILLIANS</v>
          </cell>
        </row>
        <row r="3602">
          <cell r="A3602">
            <v>3586</v>
          </cell>
          <cell r="B3602">
            <v>42733</v>
          </cell>
          <cell r="C3602" t="str">
            <v>DICIEMBRE</v>
          </cell>
          <cell r="D3602" t="str">
            <v>2016</v>
          </cell>
          <cell r="E3602">
            <v>200</v>
          </cell>
          <cell r="F3602" t="str">
            <v>TALLER</v>
          </cell>
          <cell r="G3602" t="str">
            <v>TALLER</v>
          </cell>
          <cell r="H3602" t="str">
            <v>TALLER</v>
          </cell>
          <cell r="I3602" t="str">
            <v>TALLER</v>
          </cell>
          <cell r="J3602" t="str">
            <v>INSUMO TALLER</v>
          </cell>
          <cell r="K3602" t="str">
            <v>SPRAY COLOR ROJO</v>
          </cell>
          <cell r="L3602">
            <v>1</v>
          </cell>
          <cell r="M3602" t="str">
            <v>UNID.</v>
          </cell>
          <cell r="N3602" t="str">
            <v>TALLER</v>
          </cell>
          <cell r="O3602">
            <v>57</v>
          </cell>
          <cell r="P3602" t="str">
            <v>J6</v>
          </cell>
          <cell r="Q3602" t="str">
            <v>J2</v>
          </cell>
          <cell r="R3602" t="str">
            <v>J6</v>
          </cell>
          <cell r="S3602" t="str">
            <v>ENTREGADO</v>
          </cell>
          <cell r="T3602">
            <v>0</v>
          </cell>
          <cell r="U3602" t="str">
            <v>VILLANUEVA BEJAR  YHORDAN MICHEL</v>
          </cell>
          <cell r="V3602" t="str">
            <v>CORIHUAMAN SURCO  ERICK ROBERT</v>
          </cell>
        </row>
        <row r="3603">
          <cell r="A3603">
            <v>3589</v>
          </cell>
          <cell r="B3603">
            <v>42733</v>
          </cell>
          <cell r="C3603" t="str">
            <v>DICIEMBRE</v>
          </cell>
          <cell r="D3603" t="str">
            <v>2016</v>
          </cell>
          <cell r="E3603">
            <v>200</v>
          </cell>
          <cell r="F3603" t="str">
            <v>TALLER</v>
          </cell>
          <cell r="G3603" t="str">
            <v>TALLER</v>
          </cell>
          <cell r="H3603" t="str">
            <v>TALLER</v>
          </cell>
          <cell r="I3603" t="str">
            <v>TALLER</v>
          </cell>
          <cell r="J3603" t="str">
            <v>REPUESTO</v>
          </cell>
          <cell r="K3603" t="str">
            <v>SPRAY COLOR VERDE</v>
          </cell>
          <cell r="L3603">
            <v>1</v>
          </cell>
          <cell r="M3603" t="str">
            <v>UNID.</v>
          </cell>
          <cell r="N3603" t="str">
            <v>TALLER</v>
          </cell>
          <cell r="O3603">
            <v>57</v>
          </cell>
          <cell r="P3603" t="str">
            <v>J5</v>
          </cell>
          <cell r="Q3603" t="str">
            <v>J2</v>
          </cell>
          <cell r="R3603" t="str">
            <v>J6</v>
          </cell>
          <cell r="S3603" t="str">
            <v>ENTREGADO</v>
          </cell>
          <cell r="T3603">
            <v>0</v>
          </cell>
          <cell r="U3603" t="str">
            <v>CONZA HUALLA NOELIA</v>
          </cell>
          <cell r="V3603" t="str">
            <v>CORIHUAMAN SURCO  ERICK ROBERT</v>
          </cell>
        </row>
        <row r="3604">
          <cell r="A3604">
            <v>3590</v>
          </cell>
          <cell r="B3604">
            <v>42733</v>
          </cell>
          <cell r="C3604" t="str">
            <v>DICIEMBRE</v>
          </cell>
          <cell r="D3604" t="str">
            <v>2016</v>
          </cell>
          <cell r="E3604">
            <v>200</v>
          </cell>
          <cell r="F3604" t="str">
            <v>TALLER</v>
          </cell>
          <cell r="G3604" t="str">
            <v>TALLER</v>
          </cell>
          <cell r="H3604" t="str">
            <v>TALLER</v>
          </cell>
          <cell r="I3604" t="str">
            <v>TALLER</v>
          </cell>
          <cell r="J3604" t="str">
            <v>REPUESTO</v>
          </cell>
          <cell r="K3604" t="str">
            <v>PRECINTOS 200</v>
          </cell>
          <cell r="L3604">
            <v>20</v>
          </cell>
          <cell r="M3604" t="str">
            <v>UNID.</v>
          </cell>
          <cell r="N3604" t="str">
            <v>TALLER</v>
          </cell>
          <cell r="O3604">
            <v>57</v>
          </cell>
          <cell r="P3604" t="str">
            <v>E3</v>
          </cell>
          <cell r="Q3604" t="str">
            <v>J2</v>
          </cell>
          <cell r="R3604" t="str">
            <v>J5</v>
          </cell>
          <cell r="S3604" t="str">
            <v>ENTREGADO</v>
          </cell>
          <cell r="T3604">
            <v>0</v>
          </cell>
          <cell r="U3604" t="str">
            <v>CONDORI CHURATA ALEX</v>
          </cell>
          <cell r="V3604" t="str">
            <v>CORIHUAMAN SURCO  ERICK ROBERT</v>
          </cell>
        </row>
        <row r="3605">
          <cell r="A3605">
            <v>3568</v>
          </cell>
          <cell r="B3605">
            <v>42733</v>
          </cell>
          <cell r="C3605" t="str">
            <v>DICIEMBRE</v>
          </cell>
          <cell r="D3605" t="str">
            <v>2016</v>
          </cell>
          <cell r="E3605">
            <v>705</v>
          </cell>
          <cell r="F3605" t="str">
            <v>X2W-759</v>
          </cell>
          <cell r="G3605" t="str">
            <v>C5V-999</v>
          </cell>
          <cell r="H3605" t="str">
            <v>LAS BAMBAS</v>
          </cell>
          <cell r="I3605">
            <v>156078</v>
          </cell>
          <cell r="J3605" t="str">
            <v>REPUESTO</v>
          </cell>
          <cell r="K3605" t="str">
            <v xml:space="preserve">GUARDAFANGO NEGRO </v>
          </cell>
          <cell r="L3605">
            <v>2</v>
          </cell>
          <cell r="M3605" t="str">
            <v>UNID.</v>
          </cell>
          <cell r="N3605" t="str">
            <v>CISTERNA</v>
          </cell>
          <cell r="O3605">
            <v>57</v>
          </cell>
          <cell r="P3605" t="str">
            <v>M8</v>
          </cell>
          <cell r="Q3605" t="str">
            <v>J1</v>
          </cell>
          <cell r="R3605" t="str">
            <v>J5</v>
          </cell>
          <cell r="S3605" t="str">
            <v>ENTREGADO</v>
          </cell>
          <cell r="T3605">
            <v>0</v>
          </cell>
          <cell r="U3605" t="str">
            <v>VARILLAS GAGO  OSCAR ALBERTO</v>
          </cell>
          <cell r="V3605" t="str">
            <v>FLOREZ CONDORI  JOSE WILLIANS</v>
          </cell>
        </row>
        <row r="3606">
          <cell r="A3606">
            <v>3607</v>
          </cell>
          <cell r="B3606">
            <v>42733</v>
          </cell>
          <cell r="C3606" t="str">
            <v>DICIEMBRE</v>
          </cell>
          <cell r="D3606" t="str">
            <v>2016</v>
          </cell>
          <cell r="E3606">
            <v>654</v>
          </cell>
          <cell r="F3606" t="str">
            <v>X2W-760</v>
          </cell>
          <cell r="G3606" t="str">
            <v>C5V-992</v>
          </cell>
          <cell r="H3606" t="str">
            <v>LAS BAMBAS</v>
          </cell>
          <cell r="I3606">
            <v>151954</v>
          </cell>
          <cell r="J3606" t="str">
            <v>REPUESTO</v>
          </cell>
          <cell r="K3606" t="str">
            <v>RACHET DE 10 DIENTES</v>
          </cell>
          <cell r="L3606">
            <v>1</v>
          </cell>
          <cell r="M3606" t="str">
            <v>UNID.</v>
          </cell>
          <cell r="N3606" t="str">
            <v>CISTERNA</v>
          </cell>
          <cell r="O3606">
            <v>57</v>
          </cell>
          <cell r="P3606" t="str">
            <v>M4</v>
          </cell>
          <cell r="Q3606" t="str">
            <v>J2</v>
          </cell>
          <cell r="R3606" t="str">
            <v>J5</v>
          </cell>
          <cell r="S3606" t="str">
            <v>ENTREGADO</v>
          </cell>
          <cell r="T3606">
            <v>0</v>
          </cell>
          <cell r="U3606" t="str">
            <v>JULLIRI APAZA UBALDO</v>
          </cell>
          <cell r="V3606" t="str">
            <v>CORIHUAMAN SURCO  ERICK ROBERT</v>
          </cell>
        </row>
        <row r="3607">
          <cell r="A3607">
            <v>3593</v>
          </cell>
          <cell r="B3607">
            <v>42733</v>
          </cell>
          <cell r="C3607" t="str">
            <v>DICIEMBRE</v>
          </cell>
          <cell r="D3607" t="str">
            <v>2016</v>
          </cell>
          <cell r="E3607">
            <v>651</v>
          </cell>
          <cell r="F3607" t="str">
            <v>X2W-765</v>
          </cell>
          <cell r="G3607" t="str">
            <v>C5V-993</v>
          </cell>
          <cell r="H3607" t="str">
            <v>LAS BAMBAS</v>
          </cell>
          <cell r="I3607">
            <v>159021</v>
          </cell>
          <cell r="J3607" t="str">
            <v>REPUESTO</v>
          </cell>
          <cell r="K3607" t="str">
            <v>TAPA DE FARO IZQUIERDO</v>
          </cell>
          <cell r="L3607">
            <v>1</v>
          </cell>
          <cell r="M3607" t="str">
            <v>UNID.</v>
          </cell>
          <cell r="N3607" t="str">
            <v>TRACTO</v>
          </cell>
          <cell r="O3607">
            <v>57</v>
          </cell>
          <cell r="P3607" t="str">
            <v>E3</v>
          </cell>
          <cell r="Q3607" t="str">
            <v>J2</v>
          </cell>
          <cell r="R3607" t="str">
            <v>J6</v>
          </cell>
          <cell r="S3607" t="str">
            <v>ENTREGADO</v>
          </cell>
          <cell r="T3607">
            <v>0</v>
          </cell>
          <cell r="U3607" t="str">
            <v>CONDORI CHURATA ALEX</v>
          </cell>
          <cell r="V3607" t="str">
            <v>CORIHUAMAN SURCO  ERICK ROBERT</v>
          </cell>
        </row>
        <row r="3608">
          <cell r="A3608">
            <v>3608</v>
          </cell>
          <cell r="B3608">
            <v>42733</v>
          </cell>
          <cell r="C3608" t="str">
            <v>DICIEMBRE</v>
          </cell>
          <cell r="D3608" t="str">
            <v>2016</v>
          </cell>
          <cell r="E3608">
            <v>651</v>
          </cell>
          <cell r="F3608" t="str">
            <v>X2W-765</v>
          </cell>
          <cell r="G3608" t="str">
            <v>C5V-993</v>
          </cell>
          <cell r="H3608" t="str">
            <v>LAS BAMBAS</v>
          </cell>
          <cell r="I3608">
            <v>159021</v>
          </cell>
          <cell r="J3608" t="str">
            <v>REPUESTO</v>
          </cell>
          <cell r="K3608" t="str">
            <v>TAPA DE FARO DERECHO</v>
          </cell>
          <cell r="L3608">
            <v>1</v>
          </cell>
          <cell r="M3608" t="str">
            <v>UNID.</v>
          </cell>
          <cell r="N3608" t="str">
            <v>TRACTO</v>
          </cell>
          <cell r="O3608">
            <v>57</v>
          </cell>
          <cell r="P3608" t="str">
            <v>E3</v>
          </cell>
          <cell r="Q3608" t="str">
            <v>J2</v>
          </cell>
          <cell r="R3608" t="str">
            <v>J6</v>
          </cell>
          <cell r="S3608" t="str">
            <v>ENTREGADO</v>
          </cell>
          <cell r="T3608">
            <v>0</v>
          </cell>
          <cell r="U3608" t="str">
            <v>CONDORI CHURATA ALEX</v>
          </cell>
          <cell r="V3608" t="str">
            <v>CORIHUAMAN SURCO  ERICK ROBERT</v>
          </cell>
        </row>
        <row r="3609">
          <cell r="A3609">
            <v>3594</v>
          </cell>
          <cell r="B3609">
            <v>42733</v>
          </cell>
          <cell r="C3609" t="str">
            <v>DICIEMBRE</v>
          </cell>
          <cell r="D3609" t="str">
            <v>2016</v>
          </cell>
          <cell r="E3609">
            <v>719</v>
          </cell>
          <cell r="F3609" t="str">
            <v>X2W-788</v>
          </cell>
          <cell r="G3609" t="str">
            <v>C5V-994</v>
          </cell>
          <cell r="H3609" t="str">
            <v>LAS BAMBAS</v>
          </cell>
          <cell r="I3609">
            <v>142988</v>
          </cell>
          <cell r="J3609" t="str">
            <v>REPUESTO</v>
          </cell>
          <cell r="K3609" t="str">
            <v>TAPA DE COMBUSTIBLE DE TANQUE DE CO NSUMO</v>
          </cell>
          <cell r="L3609">
            <v>1</v>
          </cell>
          <cell r="M3609" t="str">
            <v>UNID.</v>
          </cell>
          <cell r="N3609" t="str">
            <v>TRACTO</v>
          </cell>
          <cell r="O3609">
            <v>57</v>
          </cell>
          <cell r="P3609" t="str">
            <v>J2</v>
          </cell>
          <cell r="Q3609" t="str">
            <v>J1</v>
          </cell>
          <cell r="R3609" t="str">
            <v>J6</v>
          </cell>
          <cell r="S3609" t="str">
            <v>PENDIENTE</v>
          </cell>
          <cell r="T3609">
            <v>0</v>
          </cell>
          <cell r="U3609" t="str">
            <v>CORIHUAMAN SURCO  ERICK ROBERT</v>
          </cell>
          <cell r="V3609" t="str">
            <v>FLOREZ CONDORI  JOSE WILLIANS</v>
          </cell>
        </row>
        <row r="3610">
          <cell r="A3610">
            <v>3612</v>
          </cell>
          <cell r="B3610">
            <v>42734</v>
          </cell>
          <cell r="C3610" t="str">
            <v>DICIEMBRE</v>
          </cell>
          <cell r="D3610" t="str">
            <v>2016</v>
          </cell>
          <cell r="E3610">
            <v>706</v>
          </cell>
          <cell r="F3610" t="str">
            <v>AKW-894</v>
          </cell>
          <cell r="G3610" t="str">
            <v>TBN-978</v>
          </cell>
          <cell r="H3610" t="str">
            <v>LAS BAMBAS</v>
          </cell>
          <cell r="I3610">
            <v>43041</v>
          </cell>
          <cell r="J3610" t="str">
            <v>REPUESTO</v>
          </cell>
          <cell r="K3610" t="str">
            <v>BOLSA DE AIRE</v>
          </cell>
          <cell r="L3610">
            <v>1</v>
          </cell>
          <cell r="M3610" t="str">
            <v>UNID.</v>
          </cell>
          <cell r="N3610" t="str">
            <v>TRACTO</v>
          </cell>
          <cell r="O3610">
            <v>56</v>
          </cell>
          <cell r="P3610" t="str">
            <v>M8</v>
          </cell>
          <cell r="Q3610" t="str">
            <v>J2</v>
          </cell>
          <cell r="R3610" t="str">
            <v>J6</v>
          </cell>
          <cell r="S3610" t="str">
            <v>ENTREGADO</v>
          </cell>
          <cell r="T3610">
            <v>0</v>
          </cell>
          <cell r="U3610" t="str">
            <v>VARILLAS GAGO  OSCAR ALBERTO</v>
          </cell>
          <cell r="V3610" t="str">
            <v>CORIHUAMAN SURCO  ERICK ROBERT</v>
          </cell>
        </row>
        <row r="3611">
          <cell r="A3611">
            <v>3615</v>
          </cell>
          <cell r="B3611">
            <v>42734</v>
          </cell>
          <cell r="C3611" t="str">
            <v>DICIEMBRE</v>
          </cell>
          <cell r="D3611" t="str">
            <v>2016</v>
          </cell>
          <cell r="E3611">
            <v>441</v>
          </cell>
          <cell r="F3611" t="str">
            <v>AMT-876</v>
          </cell>
          <cell r="G3611" t="str">
            <v>CAMIONETA</v>
          </cell>
          <cell r="H3611" t="str">
            <v>LAS BAMBAS</v>
          </cell>
          <cell r="I3611">
            <v>30167</v>
          </cell>
          <cell r="J3611" t="str">
            <v>REPUESTO</v>
          </cell>
          <cell r="K3611" t="str">
            <v>FILTRO DE ACEITE</v>
          </cell>
          <cell r="L3611">
            <v>1</v>
          </cell>
          <cell r="M3611" t="str">
            <v>UNID.</v>
          </cell>
          <cell r="N3611" t="str">
            <v>CAMIONETA</v>
          </cell>
          <cell r="O3611">
            <v>56</v>
          </cell>
          <cell r="P3611" t="str">
            <v>J1</v>
          </cell>
          <cell r="Q3611" t="str">
            <v>J1</v>
          </cell>
          <cell r="R3611" t="str">
            <v>J5</v>
          </cell>
          <cell r="S3611" t="str">
            <v>PENDIENTE</v>
          </cell>
          <cell r="T3611">
            <v>0</v>
          </cell>
          <cell r="U3611" t="str">
            <v>FLOREZ CONDORI  JOSE WILLIANS</v>
          </cell>
          <cell r="V3611" t="str">
            <v>FLOREZ CONDORI  JOSE WILLIANS</v>
          </cell>
        </row>
        <row r="3612">
          <cell r="A3612">
            <v>3616</v>
          </cell>
          <cell r="B3612">
            <v>42734</v>
          </cell>
          <cell r="C3612" t="str">
            <v>DICIEMBRE</v>
          </cell>
          <cell r="D3612" t="str">
            <v>2016</v>
          </cell>
          <cell r="E3612">
            <v>441</v>
          </cell>
          <cell r="F3612" t="str">
            <v>AMT-876</v>
          </cell>
          <cell r="G3612" t="str">
            <v>CAMIONETA</v>
          </cell>
          <cell r="H3612" t="str">
            <v>LAS BAMBAS</v>
          </cell>
          <cell r="I3612">
            <v>30167</v>
          </cell>
          <cell r="J3612" t="str">
            <v>REPUESTO</v>
          </cell>
          <cell r="K3612" t="str">
            <v>FILTRO DE COMBUSTIBLE</v>
          </cell>
          <cell r="L3612">
            <v>1</v>
          </cell>
          <cell r="M3612" t="str">
            <v>UNID.</v>
          </cell>
          <cell r="N3612" t="str">
            <v>CAMIONETA</v>
          </cell>
          <cell r="O3612">
            <v>56</v>
          </cell>
          <cell r="P3612" t="str">
            <v>J1</v>
          </cell>
          <cell r="Q3612" t="str">
            <v>J1</v>
          </cell>
          <cell r="R3612" t="str">
            <v>J5</v>
          </cell>
          <cell r="S3612" t="str">
            <v>PENDIENTE</v>
          </cell>
          <cell r="T3612">
            <v>0</v>
          </cell>
          <cell r="U3612" t="str">
            <v>FLOREZ CONDORI  JOSE WILLIANS</v>
          </cell>
          <cell r="V3612" t="str">
            <v>FLOREZ CONDORI  JOSE WILLIANS</v>
          </cell>
        </row>
        <row r="3613">
          <cell r="A3613">
            <v>3617</v>
          </cell>
          <cell r="B3613">
            <v>42734</v>
          </cell>
          <cell r="C3613" t="str">
            <v>DICIEMBRE</v>
          </cell>
          <cell r="D3613" t="str">
            <v>2016</v>
          </cell>
          <cell r="E3613">
            <v>441</v>
          </cell>
          <cell r="F3613" t="str">
            <v>AMT-876</v>
          </cell>
          <cell r="G3613" t="str">
            <v>CAMIONETA</v>
          </cell>
          <cell r="H3613" t="str">
            <v>LAS BAMBAS</v>
          </cell>
          <cell r="I3613">
            <v>30167</v>
          </cell>
          <cell r="J3613" t="str">
            <v>REPUESTO</v>
          </cell>
          <cell r="K3613" t="str">
            <v>FILTRO DE AIRE</v>
          </cell>
          <cell r="L3613">
            <v>1</v>
          </cell>
          <cell r="M3613" t="str">
            <v>UNID.</v>
          </cell>
          <cell r="N3613" t="str">
            <v>CAMIONETA</v>
          </cell>
          <cell r="O3613">
            <v>56</v>
          </cell>
          <cell r="P3613" t="str">
            <v>J1</v>
          </cell>
          <cell r="Q3613" t="str">
            <v>J1</v>
          </cell>
          <cell r="R3613" t="str">
            <v>J5</v>
          </cell>
          <cell r="S3613" t="str">
            <v>PENDIENTE</v>
          </cell>
          <cell r="T3613">
            <v>0</v>
          </cell>
          <cell r="U3613" t="str">
            <v>FLOREZ CONDORI  JOSE WILLIANS</v>
          </cell>
          <cell r="V3613" t="str">
            <v>FLOREZ CONDORI  JOSE WILLIANS</v>
          </cell>
        </row>
        <row r="3614">
          <cell r="A3614">
            <v>3618</v>
          </cell>
          <cell r="B3614">
            <v>42734</v>
          </cell>
          <cell r="C3614" t="str">
            <v>DICIEMBRE</v>
          </cell>
          <cell r="D3614" t="str">
            <v>2016</v>
          </cell>
          <cell r="E3614">
            <v>441</v>
          </cell>
          <cell r="F3614" t="str">
            <v>AMT-876</v>
          </cell>
          <cell r="G3614" t="str">
            <v>CAMIONETA</v>
          </cell>
          <cell r="H3614" t="str">
            <v>LAS BAMBAS</v>
          </cell>
          <cell r="I3614">
            <v>30167</v>
          </cell>
          <cell r="J3614" t="str">
            <v>REPUESTO</v>
          </cell>
          <cell r="K3614" t="str">
            <v>ACEITE 15W40</v>
          </cell>
          <cell r="L3614">
            <v>2</v>
          </cell>
          <cell r="M3614" t="str">
            <v>GLNS.</v>
          </cell>
          <cell r="N3614" t="str">
            <v>CAMIONETA</v>
          </cell>
          <cell r="O3614">
            <v>56</v>
          </cell>
          <cell r="P3614" t="str">
            <v>J1</v>
          </cell>
          <cell r="Q3614" t="str">
            <v>J1</v>
          </cell>
          <cell r="R3614" t="str">
            <v>J5</v>
          </cell>
          <cell r="S3614" t="str">
            <v>ENTREGADO</v>
          </cell>
          <cell r="T3614">
            <v>0</v>
          </cell>
          <cell r="U3614" t="str">
            <v>FLOREZ CONDORI  JOSE WILLIANS</v>
          </cell>
          <cell r="V3614" t="str">
            <v>FLOREZ CONDORI  JOSE WILLIANS</v>
          </cell>
        </row>
        <row r="3615">
          <cell r="A3615">
            <v>3611</v>
          </cell>
          <cell r="B3615">
            <v>42734</v>
          </cell>
          <cell r="C3615" t="str">
            <v>DICIEMBRE</v>
          </cell>
          <cell r="D3615" t="str">
            <v>2016</v>
          </cell>
          <cell r="E3615">
            <v>716</v>
          </cell>
          <cell r="F3615" t="str">
            <v>C9M-902</v>
          </cell>
          <cell r="G3615" t="str">
            <v>B8L-970</v>
          </cell>
          <cell r="H3615" t="str">
            <v>LAS BAMBAS</v>
          </cell>
          <cell r="I3615">
            <v>212499</v>
          </cell>
          <cell r="J3615" t="str">
            <v>REPUESTO</v>
          </cell>
          <cell r="K3615" t="str">
            <v>LLANTAS</v>
          </cell>
          <cell r="L3615">
            <v>4</v>
          </cell>
          <cell r="M3615" t="str">
            <v>UNID.</v>
          </cell>
          <cell r="N3615" t="str">
            <v>CISTERNA</v>
          </cell>
          <cell r="O3615">
            <v>56</v>
          </cell>
          <cell r="P3615" t="str">
            <v>N1</v>
          </cell>
          <cell r="Q3615" t="str">
            <v>J3</v>
          </cell>
          <cell r="R3615" t="str">
            <v>J6</v>
          </cell>
          <cell r="S3615" t="str">
            <v>ENTREGADO</v>
          </cell>
          <cell r="T3615">
            <v>0</v>
          </cell>
          <cell r="U3615" t="str">
            <v>AGUILAR CCANTUTA WILLY</v>
          </cell>
          <cell r="V3615" t="str">
            <v>CHURA PIZARRO ALBERTO</v>
          </cell>
        </row>
        <row r="3616">
          <cell r="A3616">
            <v>3614</v>
          </cell>
          <cell r="B3616">
            <v>42734</v>
          </cell>
          <cell r="C3616" t="str">
            <v>DICIEMBRE</v>
          </cell>
          <cell r="D3616" t="str">
            <v>2016</v>
          </cell>
          <cell r="E3616">
            <v>714</v>
          </cell>
          <cell r="F3616" t="str">
            <v>D3P-747</v>
          </cell>
          <cell r="G3616" t="str">
            <v>A0T-985</v>
          </cell>
          <cell r="H3616" t="str">
            <v>LAS BAMBAS</v>
          </cell>
          <cell r="I3616">
            <v>187778</v>
          </cell>
          <cell r="J3616" t="str">
            <v>REPUESTO</v>
          </cell>
          <cell r="K3616" t="str">
            <v>VALVULA RELAY DE FRENO</v>
          </cell>
          <cell r="L3616">
            <v>1</v>
          </cell>
          <cell r="M3616" t="str">
            <v>UNID.</v>
          </cell>
          <cell r="N3616" t="str">
            <v>TRACTO</v>
          </cell>
          <cell r="O3616">
            <v>56</v>
          </cell>
          <cell r="P3616" t="str">
            <v>M8</v>
          </cell>
          <cell r="Q3616" t="str">
            <v>J2</v>
          </cell>
          <cell r="R3616" t="str">
            <v>J6</v>
          </cell>
          <cell r="S3616" t="str">
            <v>ENTREGADO</v>
          </cell>
          <cell r="T3616">
            <v>0</v>
          </cell>
          <cell r="U3616" t="str">
            <v>VARILLAS GAGO  OSCAR ALBERTO</v>
          </cell>
          <cell r="V3616" t="str">
            <v>CORIHUAMAN SURCO  ERICK ROBERT</v>
          </cell>
        </row>
        <row r="3617">
          <cell r="A3617">
            <v>3609</v>
          </cell>
          <cell r="B3617">
            <v>42734</v>
          </cell>
          <cell r="C3617" t="str">
            <v>DICIEMBRE</v>
          </cell>
          <cell r="D3617" t="str">
            <v>2016</v>
          </cell>
          <cell r="E3617">
            <v>200</v>
          </cell>
          <cell r="F3617" t="str">
            <v>TALLER</v>
          </cell>
          <cell r="G3617" t="str">
            <v>TALLER</v>
          </cell>
          <cell r="H3617" t="str">
            <v>TALLER</v>
          </cell>
          <cell r="I3617" t="str">
            <v>TALLER</v>
          </cell>
          <cell r="J3617" t="str">
            <v>INSUMO TALLER</v>
          </cell>
          <cell r="K3617" t="str">
            <v>SPRAY COLOR BLANCO</v>
          </cell>
          <cell r="L3617">
            <v>1</v>
          </cell>
          <cell r="M3617" t="str">
            <v>UNID.</v>
          </cell>
          <cell r="N3617" t="str">
            <v>TALLER</v>
          </cell>
          <cell r="O3617">
            <v>56</v>
          </cell>
          <cell r="P3617" t="str">
            <v>N2</v>
          </cell>
          <cell r="Q3617" t="str">
            <v>J3</v>
          </cell>
          <cell r="R3617" t="str">
            <v>J6</v>
          </cell>
          <cell r="S3617" t="str">
            <v>ENTREGADO</v>
          </cell>
          <cell r="T3617">
            <v>0</v>
          </cell>
          <cell r="U3617" t="str">
            <v>MAMANI LARICO  EDUARDO ALVARO</v>
          </cell>
          <cell r="V3617" t="str">
            <v>CHURA PIZARRO ALBERTO</v>
          </cell>
        </row>
        <row r="3618">
          <cell r="A3618">
            <v>3610</v>
          </cell>
          <cell r="B3618">
            <v>42734</v>
          </cell>
          <cell r="C3618" t="str">
            <v>DICIEMBRE</v>
          </cell>
          <cell r="D3618" t="str">
            <v>2016</v>
          </cell>
          <cell r="E3618">
            <v>200</v>
          </cell>
          <cell r="F3618" t="str">
            <v>TALLER</v>
          </cell>
          <cell r="G3618" t="str">
            <v>TALLER</v>
          </cell>
          <cell r="H3618" t="str">
            <v>TALLER</v>
          </cell>
          <cell r="I3618" t="str">
            <v>TALLER</v>
          </cell>
          <cell r="J3618" t="str">
            <v>INSUMO TALLER</v>
          </cell>
          <cell r="K3618" t="str">
            <v>SPRAY COLOR ALUMINIO</v>
          </cell>
          <cell r="L3618">
            <v>1</v>
          </cell>
          <cell r="M3618" t="str">
            <v>UNID.</v>
          </cell>
          <cell r="N3618" t="str">
            <v>TALLER</v>
          </cell>
          <cell r="O3618">
            <v>56</v>
          </cell>
          <cell r="P3618" t="str">
            <v>N2</v>
          </cell>
          <cell r="Q3618" t="str">
            <v>J3</v>
          </cell>
          <cell r="R3618" t="str">
            <v>J6</v>
          </cell>
          <cell r="S3618" t="str">
            <v>ENTREGADO</v>
          </cell>
          <cell r="T3618">
            <v>0</v>
          </cell>
          <cell r="U3618" t="str">
            <v>MAMANI LARICO  EDUARDO ALVARO</v>
          </cell>
          <cell r="V3618" t="str">
            <v>CHURA PIZARRO ALBERTO</v>
          </cell>
        </row>
        <row r="3619">
          <cell r="A3619">
            <v>3613</v>
          </cell>
          <cell r="B3619">
            <v>42734</v>
          </cell>
          <cell r="C3619" t="str">
            <v>DICIEMBRE</v>
          </cell>
          <cell r="D3619" t="str">
            <v>2016</v>
          </cell>
          <cell r="E3619">
            <v>654</v>
          </cell>
          <cell r="F3619" t="str">
            <v>X2W-760</v>
          </cell>
          <cell r="G3619" t="str">
            <v>C5V-992</v>
          </cell>
          <cell r="H3619" t="str">
            <v>LAS BAMBAS</v>
          </cell>
          <cell r="I3619">
            <v>151954</v>
          </cell>
          <cell r="J3619" t="str">
            <v>REPUESTO</v>
          </cell>
          <cell r="K3619" t="str">
            <v>PULMON DE FRENO FREIGHTLINER MOTOR MERCEDES</v>
          </cell>
          <cell r="L3619">
            <v>2</v>
          </cell>
          <cell r="M3619" t="str">
            <v>UNID.</v>
          </cell>
          <cell r="N3619" t="str">
            <v>TRACTO</v>
          </cell>
          <cell r="O3619">
            <v>56</v>
          </cell>
          <cell r="P3619" t="str">
            <v>J2</v>
          </cell>
          <cell r="Q3619" t="str">
            <v>J2</v>
          </cell>
          <cell r="R3619" t="str">
            <v>J6</v>
          </cell>
          <cell r="S3619" t="str">
            <v>ENTREGADO</v>
          </cell>
          <cell r="T3619">
            <v>0</v>
          </cell>
          <cell r="U3619" t="str">
            <v>CORIHUAMAN SURCO  ERICK ROBERT</v>
          </cell>
          <cell r="V3619" t="str">
            <v>CORIHUAMAN SURCO  ERICK ROBERT</v>
          </cell>
        </row>
        <row r="3620">
          <cell r="A3620">
            <v>3619</v>
          </cell>
          <cell r="B3620">
            <v>42734</v>
          </cell>
          <cell r="C3620" t="str">
            <v>DICIEMBRE</v>
          </cell>
          <cell r="D3620" t="str">
            <v>2016</v>
          </cell>
          <cell r="E3620">
            <v>654</v>
          </cell>
          <cell r="F3620" t="str">
            <v>X2W-760</v>
          </cell>
          <cell r="G3620" t="str">
            <v>C5V-992</v>
          </cell>
          <cell r="H3620" t="str">
            <v>LAS BAMBAS</v>
          </cell>
          <cell r="I3620">
            <v>151954</v>
          </cell>
          <cell r="J3620" t="str">
            <v>REPUESTO</v>
          </cell>
          <cell r="K3620" t="str">
            <v>SOPORTE DE GOMA DE TUBO DE ESCAPE</v>
          </cell>
          <cell r="L3620">
            <v>2</v>
          </cell>
          <cell r="M3620" t="str">
            <v>UNID.</v>
          </cell>
          <cell r="N3620" t="str">
            <v>TRACTO</v>
          </cell>
          <cell r="O3620">
            <v>56</v>
          </cell>
          <cell r="P3620" t="str">
            <v>M8</v>
          </cell>
          <cell r="Q3620" t="str">
            <v>J2</v>
          </cell>
          <cell r="R3620" t="str">
            <v>J6</v>
          </cell>
          <cell r="S3620" t="str">
            <v>PENDIENTE</v>
          </cell>
          <cell r="T3620">
            <v>0</v>
          </cell>
          <cell r="U3620" t="str">
            <v>VARILLAS GAGO  OSCAR ALBERTO</v>
          </cell>
          <cell r="V3620" t="str">
            <v>CORIHUAMAN SURCO  ERICK ROBERT</v>
          </cell>
        </row>
        <row r="3621">
          <cell r="A3621">
            <v>3631</v>
          </cell>
          <cell r="B3621">
            <v>42735</v>
          </cell>
          <cell r="C3621" t="str">
            <v>DICIEMBRE</v>
          </cell>
          <cell r="D3621" t="str">
            <v>2016</v>
          </cell>
          <cell r="E3621">
            <v>728</v>
          </cell>
          <cell r="F3621" t="str">
            <v>ABQ-703</v>
          </cell>
          <cell r="G3621" t="str">
            <v>D0Z-994</v>
          </cell>
          <cell r="H3621" t="str">
            <v>LAS BAMBAS</v>
          </cell>
          <cell r="I3621">
            <v>105170</v>
          </cell>
          <cell r="J3621" t="str">
            <v>REPUESTO</v>
          </cell>
          <cell r="K3621" t="str">
            <v>BOMBA DE TRANSFERENCIA DE COMBUSTIBLE</v>
          </cell>
          <cell r="L3621">
            <v>1</v>
          </cell>
          <cell r="M3621" t="str">
            <v>UNID.</v>
          </cell>
          <cell r="N3621" t="str">
            <v>TRACTO</v>
          </cell>
          <cell r="O3621">
            <v>55</v>
          </cell>
          <cell r="P3621" t="str">
            <v>M8</v>
          </cell>
          <cell r="Q3621" t="str">
            <v>J1</v>
          </cell>
          <cell r="R3621" t="str">
            <v>J6</v>
          </cell>
          <cell r="S3621" t="str">
            <v>PENDIENTE</v>
          </cell>
          <cell r="T3621">
            <v>0</v>
          </cell>
          <cell r="U3621" t="str">
            <v>VARILLAS GAGO  OSCAR ALBERTO</v>
          </cell>
          <cell r="V3621" t="str">
            <v>FLOREZ CONDORI  JOSE WILLIANS</v>
          </cell>
        </row>
        <row r="3622">
          <cell r="A3622">
            <v>3645</v>
          </cell>
          <cell r="B3622">
            <v>42735</v>
          </cell>
          <cell r="C3622" t="str">
            <v>DICIEMBRE</v>
          </cell>
          <cell r="D3622" t="str">
            <v>2016</v>
          </cell>
          <cell r="E3622">
            <v>652</v>
          </cell>
          <cell r="F3622" t="str">
            <v>ABS-700</v>
          </cell>
          <cell r="G3622" t="str">
            <v>TBC-971</v>
          </cell>
          <cell r="H3622" t="str">
            <v>LAS BAMBAS</v>
          </cell>
          <cell r="I3622">
            <v>102512</v>
          </cell>
          <cell r="J3622" t="str">
            <v>REPUESTO</v>
          </cell>
          <cell r="K3622" t="str">
            <v xml:space="preserve">MANGUERA RADIADOR CODO </v>
          </cell>
          <cell r="L3622">
            <v>1</v>
          </cell>
          <cell r="M3622" t="str">
            <v>UNID.</v>
          </cell>
          <cell r="N3622" t="str">
            <v>TRACTO</v>
          </cell>
          <cell r="O3622">
            <v>55</v>
          </cell>
          <cell r="P3622" t="str">
            <v>M8</v>
          </cell>
          <cell r="Q3622" t="str">
            <v>J1</v>
          </cell>
          <cell r="R3622" t="str">
            <v>J5</v>
          </cell>
          <cell r="S3622" t="str">
            <v>PENDIENTE</v>
          </cell>
          <cell r="T3622">
            <v>0</v>
          </cell>
          <cell r="U3622" t="str">
            <v>VARILLAS GAGO  OSCAR ALBERTO</v>
          </cell>
          <cell r="V3622" t="str">
            <v>FLOREZ CONDORI  JOSE WILLIANS</v>
          </cell>
        </row>
        <row r="3623">
          <cell r="A3623">
            <v>3646</v>
          </cell>
          <cell r="B3623">
            <v>42735</v>
          </cell>
          <cell r="C3623" t="str">
            <v>DICIEMBRE</v>
          </cell>
          <cell r="D3623" t="str">
            <v>2016</v>
          </cell>
          <cell r="E3623">
            <v>652</v>
          </cell>
          <cell r="F3623" t="str">
            <v>ABS-700</v>
          </cell>
          <cell r="G3623" t="str">
            <v>TBC-971</v>
          </cell>
          <cell r="H3623" t="str">
            <v>LAS BAMBAS</v>
          </cell>
          <cell r="I3623">
            <v>102512</v>
          </cell>
          <cell r="J3623" t="str">
            <v>REPUESTO</v>
          </cell>
          <cell r="K3623" t="str">
            <v xml:space="preserve">ABRAZADERAS </v>
          </cell>
          <cell r="L3623">
            <v>2</v>
          </cell>
          <cell r="M3623" t="str">
            <v>UNID.</v>
          </cell>
          <cell r="N3623" t="str">
            <v>TRACTO</v>
          </cell>
          <cell r="O3623">
            <v>55</v>
          </cell>
          <cell r="P3623" t="str">
            <v>M8</v>
          </cell>
          <cell r="Q3623" t="str">
            <v>J1</v>
          </cell>
          <cell r="R3623" t="str">
            <v>J5</v>
          </cell>
          <cell r="S3623" t="str">
            <v>PENDIENTE</v>
          </cell>
          <cell r="T3623">
            <v>0</v>
          </cell>
          <cell r="U3623" t="str">
            <v>VARILLAS GAGO  OSCAR ALBERTO</v>
          </cell>
          <cell r="V3623" t="str">
            <v>FLOREZ CONDORI  JOSE WILLIANS</v>
          </cell>
        </row>
        <row r="3624">
          <cell r="A3624">
            <v>3644</v>
          </cell>
          <cell r="B3624">
            <v>42735</v>
          </cell>
          <cell r="C3624" t="str">
            <v>DICIEMBRE</v>
          </cell>
          <cell r="D3624" t="str">
            <v>2016</v>
          </cell>
          <cell r="E3624">
            <v>731</v>
          </cell>
          <cell r="F3624" t="str">
            <v>C6X-739</v>
          </cell>
          <cell r="G3624" t="str">
            <v>TCS-988</v>
          </cell>
          <cell r="H3624" t="str">
            <v>LAS BAMBAS CONC.</v>
          </cell>
          <cell r="I3624">
            <v>231434</v>
          </cell>
          <cell r="J3624" t="str">
            <v>REPUESTO</v>
          </cell>
          <cell r="K3624" t="str">
            <v>FILTRO DE CABINA</v>
          </cell>
          <cell r="L3624">
            <v>1</v>
          </cell>
          <cell r="M3624" t="str">
            <v>UNID.</v>
          </cell>
          <cell r="N3624" t="str">
            <v>TRACTO</v>
          </cell>
          <cell r="O3624">
            <v>55</v>
          </cell>
          <cell r="P3624" t="str">
            <v>M6</v>
          </cell>
          <cell r="Q3624" t="str">
            <v>J1</v>
          </cell>
          <cell r="R3624" t="str">
            <v>J6</v>
          </cell>
          <cell r="S3624" t="str">
            <v>PENDIENTE</v>
          </cell>
          <cell r="T3624">
            <v>0</v>
          </cell>
          <cell r="U3624" t="str">
            <v>PARI VENTURA  EDSON ORLANDO</v>
          </cell>
          <cell r="V3624" t="str">
            <v>FLOREZ CONDORI  JOSE WILLIANS</v>
          </cell>
        </row>
        <row r="3625">
          <cell r="A3625">
            <v>3620</v>
          </cell>
          <cell r="B3625">
            <v>42735</v>
          </cell>
          <cell r="C3625" t="str">
            <v>DICIEMBRE</v>
          </cell>
          <cell r="D3625" t="str">
            <v>2016</v>
          </cell>
          <cell r="E3625">
            <v>716</v>
          </cell>
          <cell r="F3625" t="str">
            <v>C9M-902</v>
          </cell>
          <cell r="G3625" t="str">
            <v>B8L-970</v>
          </cell>
          <cell r="H3625" t="str">
            <v>LAS BAMBAS</v>
          </cell>
          <cell r="I3625">
            <v>212499</v>
          </cell>
          <cell r="J3625" t="str">
            <v>REPUESTO</v>
          </cell>
          <cell r="K3625" t="str">
            <v>TERMOSTATOS</v>
          </cell>
          <cell r="L3625">
            <v>2</v>
          </cell>
          <cell r="M3625" t="str">
            <v>UNID.</v>
          </cell>
          <cell r="N3625" t="str">
            <v>TRACTO</v>
          </cell>
          <cell r="O3625">
            <v>55</v>
          </cell>
          <cell r="P3625" t="str">
            <v>M8</v>
          </cell>
          <cell r="Q3625" t="str">
            <v>J1</v>
          </cell>
          <cell r="R3625" t="str">
            <v>J6</v>
          </cell>
          <cell r="S3625" t="str">
            <v>PENDIENTE</v>
          </cell>
          <cell r="T3625">
            <v>0</v>
          </cell>
          <cell r="U3625" t="str">
            <v>VARILLAS GAGO  OSCAR ALBERTO</v>
          </cell>
          <cell r="V3625" t="str">
            <v>FLOREZ CONDORI  JOSE WILLIANS</v>
          </cell>
        </row>
        <row r="3626">
          <cell r="A3626">
            <v>3621</v>
          </cell>
          <cell r="B3626">
            <v>42735</v>
          </cell>
          <cell r="C3626" t="str">
            <v>DICIEMBRE</v>
          </cell>
          <cell r="D3626" t="str">
            <v>2016</v>
          </cell>
          <cell r="E3626">
            <v>716</v>
          </cell>
          <cell r="F3626" t="str">
            <v>C9M-902</v>
          </cell>
          <cell r="G3626" t="str">
            <v>B8L-970</v>
          </cell>
          <cell r="H3626" t="str">
            <v>LAS BAMBAS</v>
          </cell>
          <cell r="I3626">
            <v>212499</v>
          </cell>
          <cell r="J3626" t="str">
            <v>REPUESTO</v>
          </cell>
          <cell r="K3626" t="str">
            <v>CORREA DE ALTERNADOR</v>
          </cell>
          <cell r="L3626">
            <v>1</v>
          </cell>
          <cell r="M3626" t="str">
            <v>UNID.</v>
          </cell>
          <cell r="N3626" t="str">
            <v>TRACTO</v>
          </cell>
          <cell r="O3626">
            <v>55</v>
          </cell>
          <cell r="P3626" t="str">
            <v>M8</v>
          </cell>
          <cell r="Q3626" t="str">
            <v>J1</v>
          </cell>
          <cell r="R3626" t="str">
            <v>J6</v>
          </cell>
          <cell r="S3626" t="str">
            <v>PENDIENTE</v>
          </cell>
          <cell r="T3626">
            <v>0</v>
          </cell>
          <cell r="U3626" t="str">
            <v>VARILLAS GAGO  OSCAR ALBERTO</v>
          </cell>
          <cell r="V3626" t="str">
            <v>FLOREZ CONDORI  JOSE WILLIANS</v>
          </cell>
        </row>
        <row r="3627">
          <cell r="A3627">
            <v>3622</v>
          </cell>
          <cell r="B3627">
            <v>42735</v>
          </cell>
          <cell r="C3627" t="str">
            <v>DICIEMBRE</v>
          </cell>
          <cell r="D3627" t="str">
            <v>2016</v>
          </cell>
          <cell r="E3627">
            <v>716</v>
          </cell>
          <cell r="F3627" t="str">
            <v>C9M-902</v>
          </cell>
          <cell r="G3627" t="str">
            <v>B8L-970</v>
          </cell>
          <cell r="H3627" t="str">
            <v>LAS BAMBAS</v>
          </cell>
          <cell r="I3627">
            <v>212499</v>
          </cell>
          <cell r="J3627" t="str">
            <v>REPUESTO</v>
          </cell>
          <cell r="K3627" t="str">
            <v>BUJES DE VALANCIN (MUESTRA)</v>
          </cell>
          <cell r="L3627">
            <v>2</v>
          </cell>
          <cell r="M3627" t="str">
            <v>UNID.</v>
          </cell>
          <cell r="N3627" t="str">
            <v>TRACTO</v>
          </cell>
          <cell r="O3627">
            <v>55</v>
          </cell>
          <cell r="P3627" t="str">
            <v>M8</v>
          </cell>
          <cell r="Q3627" t="str">
            <v>J1</v>
          </cell>
          <cell r="R3627" t="str">
            <v>J6</v>
          </cell>
          <cell r="S3627" t="str">
            <v>PENDIENTE</v>
          </cell>
          <cell r="T3627">
            <v>0</v>
          </cell>
          <cell r="U3627" t="str">
            <v>VARILLAS GAGO  OSCAR ALBERTO</v>
          </cell>
          <cell r="V3627" t="str">
            <v>FLOREZ CONDORI  JOSE WILLIANS</v>
          </cell>
        </row>
        <row r="3628">
          <cell r="A3628">
            <v>3623</v>
          </cell>
          <cell r="B3628">
            <v>42735</v>
          </cell>
          <cell r="C3628" t="str">
            <v>DICIEMBRE</v>
          </cell>
          <cell r="D3628" t="str">
            <v>2016</v>
          </cell>
          <cell r="E3628">
            <v>716</v>
          </cell>
          <cell r="F3628" t="str">
            <v>C9M-902</v>
          </cell>
          <cell r="G3628" t="str">
            <v>B8L-970</v>
          </cell>
          <cell r="H3628" t="str">
            <v>LAS BAMBAS</v>
          </cell>
          <cell r="I3628">
            <v>212499</v>
          </cell>
          <cell r="J3628" t="str">
            <v>REPUESTO</v>
          </cell>
          <cell r="K3628" t="str">
            <v>TUERCA 1" HILO FINO</v>
          </cell>
          <cell r="L3628">
            <v>1</v>
          </cell>
          <cell r="M3628" t="str">
            <v>UNID.</v>
          </cell>
          <cell r="N3628" t="str">
            <v>TRACTO</v>
          </cell>
          <cell r="O3628">
            <v>55</v>
          </cell>
          <cell r="P3628" t="str">
            <v>M8</v>
          </cell>
          <cell r="Q3628" t="str">
            <v>J1</v>
          </cell>
          <cell r="R3628" t="str">
            <v>J6</v>
          </cell>
          <cell r="S3628" t="str">
            <v>PENDIENTE</v>
          </cell>
          <cell r="T3628">
            <v>0</v>
          </cell>
          <cell r="U3628" t="str">
            <v>VARILLAS GAGO  OSCAR ALBERTO</v>
          </cell>
          <cell r="V3628" t="str">
            <v>FLOREZ CONDORI  JOSE WILLIANS</v>
          </cell>
        </row>
        <row r="3629">
          <cell r="A3629">
            <v>3624</v>
          </cell>
          <cell r="B3629">
            <v>42735</v>
          </cell>
          <cell r="C3629" t="str">
            <v>DICIEMBRE</v>
          </cell>
          <cell r="D3629" t="str">
            <v>2016</v>
          </cell>
          <cell r="E3629">
            <v>716</v>
          </cell>
          <cell r="F3629" t="str">
            <v>C9M-902</v>
          </cell>
          <cell r="G3629" t="str">
            <v>B8L-970</v>
          </cell>
          <cell r="H3629" t="str">
            <v>LAS BAMBAS</v>
          </cell>
          <cell r="I3629">
            <v>212499</v>
          </cell>
          <cell r="J3629" t="str">
            <v>REPUESTO</v>
          </cell>
          <cell r="K3629" t="str">
            <v>PERNO 5/8 X 6</v>
          </cell>
          <cell r="L3629">
            <v>4</v>
          </cell>
          <cell r="M3629" t="str">
            <v>UNID.</v>
          </cell>
          <cell r="N3629" t="str">
            <v>TRACTO</v>
          </cell>
          <cell r="O3629">
            <v>55</v>
          </cell>
          <cell r="P3629" t="str">
            <v>M8</v>
          </cell>
          <cell r="Q3629" t="str">
            <v>J1</v>
          </cell>
          <cell r="R3629" t="str">
            <v>J6</v>
          </cell>
          <cell r="S3629" t="str">
            <v>PENDIENTE</v>
          </cell>
          <cell r="T3629">
            <v>0</v>
          </cell>
          <cell r="U3629" t="str">
            <v>VARILLAS GAGO  OSCAR ALBERTO</v>
          </cell>
          <cell r="V3629" t="str">
            <v>FLOREZ CONDORI  JOSE WILLIANS</v>
          </cell>
        </row>
        <row r="3630">
          <cell r="A3630">
            <v>3625</v>
          </cell>
          <cell r="B3630">
            <v>42735</v>
          </cell>
          <cell r="C3630" t="str">
            <v>DICIEMBRE</v>
          </cell>
          <cell r="D3630" t="str">
            <v>2016</v>
          </cell>
          <cell r="E3630">
            <v>716</v>
          </cell>
          <cell r="F3630" t="str">
            <v>C9M-902</v>
          </cell>
          <cell r="G3630" t="str">
            <v>B8L-970</v>
          </cell>
          <cell r="H3630" t="str">
            <v>LAS BAMBAS</v>
          </cell>
          <cell r="I3630">
            <v>212499</v>
          </cell>
          <cell r="J3630" t="str">
            <v>REPUESTO</v>
          </cell>
          <cell r="K3630" t="str">
            <v>TUERCA SEGURO 5/8</v>
          </cell>
          <cell r="L3630">
            <v>4</v>
          </cell>
          <cell r="M3630" t="str">
            <v>UNID.</v>
          </cell>
          <cell r="N3630" t="str">
            <v>TRACTO</v>
          </cell>
          <cell r="O3630">
            <v>55</v>
          </cell>
          <cell r="P3630" t="str">
            <v>M8</v>
          </cell>
          <cell r="Q3630" t="str">
            <v>J1</v>
          </cell>
          <cell r="R3630" t="str">
            <v>J6</v>
          </cell>
          <cell r="S3630" t="str">
            <v>PENDIENTE</v>
          </cell>
          <cell r="T3630">
            <v>0</v>
          </cell>
          <cell r="U3630" t="str">
            <v>VARILLAS GAGO  OSCAR ALBERTO</v>
          </cell>
          <cell r="V3630" t="str">
            <v>FLOREZ CONDORI  JOSE WILLIANS</v>
          </cell>
        </row>
        <row r="3631">
          <cell r="A3631">
            <v>3630</v>
          </cell>
          <cell r="B3631">
            <v>42735</v>
          </cell>
          <cell r="C3631" t="str">
            <v>DICIEMBRE</v>
          </cell>
          <cell r="D3631" t="str">
            <v>2016</v>
          </cell>
          <cell r="E3631">
            <v>716</v>
          </cell>
          <cell r="F3631" t="str">
            <v>C9M-902</v>
          </cell>
          <cell r="G3631" t="str">
            <v>B8L-970</v>
          </cell>
          <cell r="H3631" t="str">
            <v>LAS BAMBAS</v>
          </cell>
          <cell r="I3631">
            <v>212499</v>
          </cell>
          <cell r="J3631" t="str">
            <v>REPUESTO</v>
          </cell>
          <cell r="K3631" t="str">
            <v>RETENEDOR DE PUERTA</v>
          </cell>
          <cell r="L3631">
            <v>1</v>
          </cell>
          <cell r="M3631" t="str">
            <v>UNID.</v>
          </cell>
          <cell r="N3631" t="str">
            <v>TRACTO</v>
          </cell>
          <cell r="O3631">
            <v>55</v>
          </cell>
          <cell r="P3631" t="str">
            <v>M8</v>
          </cell>
          <cell r="Q3631" t="str">
            <v>J1</v>
          </cell>
          <cell r="R3631" t="str">
            <v>J6</v>
          </cell>
          <cell r="S3631" t="str">
            <v>PENDIENTE</v>
          </cell>
          <cell r="T3631">
            <v>0</v>
          </cell>
          <cell r="U3631" t="str">
            <v>VARILLAS GAGO  OSCAR ALBERTO</v>
          </cell>
          <cell r="V3631" t="str">
            <v>FLOREZ CONDORI  JOSE WILLIANS</v>
          </cell>
        </row>
        <row r="3632">
          <cell r="A3632">
            <v>3647</v>
          </cell>
          <cell r="B3632">
            <v>42735</v>
          </cell>
          <cell r="C3632" t="str">
            <v>DICIEMBRE</v>
          </cell>
          <cell r="D3632" t="str">
            <v>2016</v>
          </cell>
          <cell r="E3632">
            <v>722</v>
          </cell>
          <cell r="F3632" t="str">
            <v>D3N-721</v>
          </cell>
          <cell r="G3632" t="str">
            <v>C4S-979</v>
          </cell>
          <cell r="H3632" t="str">
            <v>LAS BAMBAS</v>
          </cell>
          <cell r="I3632">
            <v>139487</v>
          </cell>
          <cell r="J3632" t="str">
            <v>REPUESTO</v>
          </cell>
          <cell r="K3632" t="str">
            <v>CIRCULINA</v>
          </cell>
          <cell r="L3632">
            <v>1</v>
          </cell>
          <cell r="M3632" t="str">
            <v>UNID.</v>
          </cell>
          <cell r="N3632" t="str">
            <v>TRACTO</v>
          </cell>
          <cell r="O3632">
            <v>55</v>
          </cell>
          <cell r="P3632" t="str">
            <v>E2</v>
          </cell>
          <cell r="Q3632" t="str">
            <v>J1</v>
          </cell>
          <cell r="R3632" t="str">
            <v>J5</v>
          </cell>
          <cell r="S3632" t="str">
            <v>PENDIENTE</v>
          </cell>
          <cell r="T3632">
            <v>0</v>
          </cell>
          <cell r="U3632" t="str">
            <v>YUCA BELLIDO BORIS YERSY</v>
          </cell>
          <cell r="V3632" t="str">
            <v>FLOREZ CONDORI  JOSE WILLIANS</v>
          </cell>
        </row>
        <row r="3633">
          <cell r="A3633">
            <v>3642</v>
          </cell>
          <cell r="B3633">
            <v>42735</v>
          </cell>
          <cell r="C3633" t="str">
            <v>DICIEMBRE</v>
          </cell>
          <cell r="D3633" t="str">
            <v>2016</v>
          </cell>
          <cell r="E3633">
            <v>725</v>
          </cell>
          <cell r="F3633" t="str">
            <v>D3P-754</v>
          </cell>
          <cell r="G3633" t="str">
            <v>C0V-971</v>
          </cell>
          <cell r="H3633" t="str">
            <v>LAS BAMBAS</v>
          </cell>
          <cell r="I3633">
            <v>166370</v>
          </cell>
          <cell r="J3633" t="str">
            <v>REPUESTO</v>
          </cell>
          <cell r="K3633" t="str">
            <v>RELAY DE 12 V</v>
          </cell>
          <cell r="L3633">
            <v>1</v>
          </cell>
          <cell r="M3633" t="str">
            <v>UNID.</v>
          </cell>
          <cell r="N3633" t="str">
            <v>TRACTO</v>
          </cell>
          <cell r="O3633">
            <v>55</v>
          </cell>
          <cell r="P3633" t="str">
            <v>E1</v>
          </cell>
          <cell r="Q3633" t="str">
            <v>J1</v>
          </cell>
          <cell r="R3633" t="str">
            <v>J6</v>
          </cell>
          <cell r="S3633" t="str">
            <v>PENDIENTE</v>
          </cell>
          <cell r="T3633">
            <v>0</v>
          </cell>
          <cell r="U3633" t="str">
            <v>PALOMINO CARDENAS JUAN CARLOS</v>
          </cell>
          <cell r="V3633" t="str">
            <v>FLOREZ CONDORI  JOSE WILLIANS</v>
          </cell>
        </row>
        <row r="3634">
          <cell r="A3634">
            <v>3643</v>
          </cell>
          <cell r="B3634">
            <v>42735</v>
          </cell>
          <cell r="C3634" t="str">
            <v>DICIEMBRE</v>
          </cell>
          <cell r="D3634" t="str">
            <v>2016</v>
          </cell>
          <cell r="E3634">
            <v>725</v>
          </cell>
          <cell r="F3634" t="str">
            <v>D3P-754</v>
          </cell>
          <cell r="G3634" t="str">
            <v>C0V-971</v>
          </cell>
          <cell r="H3634" t="str">
            <v>LAS BAMBAS</v>
          </cell>
          <cell r="I3634">
            <v>166370</v>
          </cell>
          <cell r="J3634" t="str">
            <v>REPUESTO</v>
          </cell>
          <cell r="K3634" t="str">
            <v>TERMINALES HEMBRA ENCHUFE CON FORRO</v>
          </cell>
          <cell r="L3634">
            <v>4</v>
          </cell>
          <cell r="M3634" t="str">
            <v>UNID.</v>
          </cell>
          <cell r="N3634" t="str">
            <v>TRACTO</v>
          </cell>
          <cell r="O3634">
            <v>55</v>
          </cell>
          <cell r="P3634" t="str">
            <v>E1</v>
          </cell>
          <cell r="Q3634" t="str">
            <v>J1</v>
          </cell>
          <cell r="R3634" t="str">
            <v>J6</v>
          </cell>
          <cell r="S3634" t="str">
            <v>PENDIENTE</v>
          </cell>
          <cell r="T3634">
            <v>0</v>
          </cell>
          <cell r="U3634" t="str">
            <v>PALOMINO CARDENAS JUAN CARLOS</v>
          </cell>
          <cell r="V3634" t="str">
            <v>FLOREZ CONDORI  JOSE WILLIANS</v>
          </cell>
        </row>
        <row r="3635">
          <cell r="A3635">
            <v>3632</v>
          </cell>
          <cell r="B3635">
            <v>42735</v>
          </cell>
          <cell r="C3635" t="str">
            <v>DICIEMBRE</v>
          </cell>
          <cell r="D3635" t="str">
            <v>2016</v>
          </cell>
          <cell r="E3635">
            <v>727</v>
          </cell>
          <cell r="F3635" t="str">
            <v>D3Q-741</v>
          </cell>
          <cell r="G3635" t="str">
            <v>D2E-976</v>
          </cell>
          <cell r="H3635" t="str">
            <v>LAS BAMBAS</v>
          </cell>
          <cell r="I3635">
            <v>166717</v>
          </cell>
          <cell r="J3635" t="str">
            <v>SERVICIO</v>
          </cell>
          <cell r="K3635" t="str">
            <v>SERVICIO DE REPARACION DE CHAPA DE PUERTA (PILOTO Y COPILOTO)</v>
          </cell>
          <cell r="L3635">
            <v>1</v>
          </cell>
          <cell r="M3635" t="str">
            <v>UNID.</v>
          </cell>
          <cell r="N3635" t="str">
            <v>TRACTO</v>
          </cell>
          <cell r="O3635">
            <v>55</v>
          </cell>
          <cell r="P3635" t="str">
            <v>E1</v>
          </cell>
          <cell r="Q3635" t="str">
            <v>J1</v>
          </cell>
          <cell r="R3635" t="str">
            <v>J6</v>
          </cell>
          <cell r="S3635" t="str">
            <v>PENDIENTE</v>
          </cell>
          <cell r="T3635">
            <v>0</v>
          </cell>
          <cell r="U3635" t="str">
            <v>PALOMINO CARDENAS JUAN CARLOS</v>
          </cell>
          <cell r="V3635" t="str">
            <v>FLOREZ CONDORI  JOSE WILLIANS</v>
          </cell>
        </row>
        <row r="3636">
          <cell r="A3636">
            <v>3634</v>
          </cell>
          <cell r="B3636">
            <v>42735</v>
          </cell>
          <cell r="C3636" t="str">
            <v>DICIEMBRE</v>
          </cell>
          <cell r="D3636" t="str">
            <v>2016</v>
          </cell>
          <cell r="E3636">
            <v>726</v>
          </cell>
          <cell r="F3636" t="str">
            <v>D6F-825</v>
          </cell>
          <cell r="G3636" t="str">
            <v>T2Y-992</v>
          </cell>
          <cell r="H3636" t="str">
            <v>LAS BAMBAS</v>
          </cell>
          <cell r="I3636">
            <v>188775</v>
          </cell>
          <cell r="J3636" t="str">
            <v>REPUESTO</v>
          </cell>
          <cell r="K3636" t="str">
            <v>FARO LAGRIMON DE DOBLE CONTACTO</v>
          </cell>
          <cell r="L3636">
            <v>1</v>
          </cell>
          <cell r="M3636" t="str">
            <v>UNID.</v>
          </cell>
          <cell r="N3636" t="str">
            <v>TRACTO</v>
          </cell>
          <cell r="O3636">
            <v>55</v>
          </cell>
          <cell r="P3636" t="str">
            <v>E3</v>
          </cell>
          <cell r="Q3636" t="str">
            <v>J1</v>
          </cell>
          <cell r="R3636" t="str">
            <v>J6</v>
          </cell>
          <cell r="S3636" t="str">
            <v>PENDIENTE</v>
          </cell>
          <cell r="T3636">
            <v>0</v>
          </cell>
          <cell r="U3636" t="str">
            <v>CONDORI CHURATA ALEX</v>
          </cell>
          <cell r="V3636" t="str">
            <v>FLOREZ CONDORI  JOSE WILLIANS</v>
          </cell>
        </row>
        <row r="3637">
          <cell r="A3637">
            <v>3635</v>
          </cell>
          <cell r="B3637">
            <v>42735</v>
          </cell>
          <cell r="C3637" t="str">
            <v>DICIEMBRE</v>
          </cell>
          <cell r="D3637" t="str">
            <v>2016</v>
          </cell>
          <cell r="E3637">
            <v>726</v>
          </cell>
          <cell r="F3637" t="str">
            <v>D6F-825</v>
          </cell>
          <cell r="G3637" t="str">
            <v>T2Y-992</v>
          </cell>
          <cell r="H3637" t="str">
            <v>LAS BAMBAS</v>
          </cell>
          <cell r="I3637">
            <v>188775</v>
          </cell>
          <cell r="J3637" t="str">
            <v>REPUESTO</v>
          </cell>
          <cell r="K3637" t="str">
            <v>FARO LATERAL RECTANGULAR AMBAR</v>
          </cell>
          <cell r="L3637">
            <v>1</v>
          </cell>
          <cell r="M3637" t="str">
            <v>UNID.</v>
          </cell>
          <cell r="N3637" t="str">
            <v>TRACTO</v>
          </cell>
          <cell r="O3637">
            <v>55</v>
          </cell>
          <cell r="P3637" t="str">
            <v>E3</v>
          </cell>
          <cell r="Q3637" t="str">
            <v>J1</v>
          </cell>
          <cell r="R3637" t="str">
            <v>J6</v>
          </cell>
          <cell r="S3637" t="str">
            <v>PENDIENTE</v>
          </cell>
          <cell r="T3637">
            <v>0</v>
          </cell>
          <cell r="U3637" t="str">
            <v>CONDORI CHURATA ALEX</v>
          </cell>
          <cell r="V3637" t="str">
            <v>FLOREZ CONDORI  JOSE WILLIANS</v>
          </cell>
        </row>
        <row r="3638">
          <cell r="A3638">
            <v>3636</v>
          </cell>
          <cell r="B3638">
            <v>42735</v>
          </cell>
          <cell r="C3638" t="str">
            <v>DICIEMBRE</v>
          </cell>
          <cell r="D3638" t="str">
            <v>2016</v>
          </cell>
          <cell r="E3638">
            <v>726</v>
          </cell>
          <cell r="F3638" t="str">
            <v>D6F-825</v>
          </cell>
          <cell r="G3638" t="str">
            <v>T2Y-992</v>
          </cell>
          <cell r="H3638" t="str">
            <v>LAS BAMBAS</v>
          </cell>
          <cell r="I3638">
            <v>188775</v>
          </cell>
          <cell r="J3638" t="str">
            <v>REPUESTO</v>
          </cell>
          <cell r="K3638" t="str">
            <v>TERMINAL OJO 3/8</v>
          </cell>
          <cell r="L3638">
            <v>1</v>
          </cell>
          <cell r="M3638" t="str">
            <v>UNID.</v>
          </cell>
          <cell r="N3638" t="str">
            <v>TRACTO</v>
          </cell>
          <cell r="O3638">
            <v>55</v>
          </cell>
          <cell r="P3638" t="str">
            <v>E3</v>
          </cell>
          <cell r="Q3638" t="str">
            <v>J1</v>
          </cell>
          <cell r="R3638" t="str">
            <v>J6</v>
          </cell>
          <cell r="S3638" t="str">
            <v>PENDIENTE</v>
          </cell>
          <cell r="T3638">
            <v>0</v>
          </cell>
          <cell r="U3638" t="str">
            <v>CONDORI CHURATA ALEX</v>
          </cell>
          <cell r="V3638" t="str">
            <v>FLOREZ CONDORI  JOSE WILLIANS</v>
          </cell>
        </row>
        <row r="3639">
          <cell r="A3639">
            <v>3637</v>
          </cell>
          <cell r="B3639">
            <v>42735</v>
          </cell>
          <cell r="C3639" t="str">
            <v>DICIEMBRE</v>
          </cell>
          <cell r="D3639" t="str">
            <v>2016</v>
          </cell>
          <cell r="E3639">
            <v>726</v>
          </cell>
          <cell r="F3639" t="str">
            <v>D6F-825</v>
          </cell>
          <cell r="G3639" t="str">
            <v>T2Y-992</v>
          </cell>
          <cell r="H3639" t="str">
            <v>LAS BAMBAS</v>
          </cell>
          <cell r="I3639">
            <v>188775</v>
          </cell>
          <cell r="J3639" t="str">
            <v>REPUESTO</v>
          </cell>
          <cell r="K3639" t="str">
            <v>TAPABARRO DE FARO IZQUIERDO</v>
          </cell>
          <cell r="L3639">
            <v>1</v>
          </cell>
          <cell r="M3639" t="str">
            <v>UNID.</v>
          </cell>
          <cell r="N3639" t="str">
            <v>TRACTO</v>
          </cell>
          <cell r="O3639">
            <v>55</v>
          </cell>
          <cell r="P3639" t="str">
            <v>M4</v>
          </cell>
          <cell r="Q3639" t="str">
            <v>J1</v>
          </cell>
          <cell r="R3639" t="str">
            <v>J6</v>
          </cell>
          <cell r="S3639" t="str">
            <v>PENDIENTE</v>
          </cell>
          <cell r="T3639">
            <v>0</v>
          </cell>
          <cell r="U3639" t="str">
            <v>JULLIRI APAZA UBALDO</v>
          </cell>
          <cell r="V3639" t="str">
            <v>FLOREZ CONDORI  JOSE WILLIANS</v>
          </cell>
        </row>
        <row r="3640">
          <cell r="A3640">
            <v>3638</v>
          </cell>
          <cell r="B3640">
            <v>42735</v>
          </cell>
          <cell r="C3640" t="str">
            <v>DICIEMBRE</v>
          </cell>
          <cell r="D3640" t="str">
            <v>2016</v>
          </cell>
          <cell r="E3640">
            <v>726</v>
          </cell>
          <cell r="F3640" t="str">
            <v>D6F-825</v>
          </cell>
          <cell r="G3640" t="str">
            <v>T2Y-992</v>
          </cell>
          <cell r="H3640" t="str">
            <v>LAS BAMBAS</v>
          </cell>
          <cell r="I3640">
            <v>188775</v>
          </cell>
          <cell r="J3640" t="str">
            <v>REPUESTO</v>
          </cell>
          <cell r="K3640" t="str">
            <v>LIQUIDO REFRIGERANTE</v>
          </cell>
          <cell r="L3640">
            <v>0.25</v>
          </cell>
          <cell r="M3640" t="str">
            <v>GLNS.</v>
          </cell>
          <cell r="N3640" t="str">
            <v>TRACTO</v>
          </cell>
          <cell r="O3640">
            <v>55</v>
          </cell>
          <cell r="P3640" t="str">
            <v>M4</v>
          </cell>
          <cell r="Q3640" t="str">
            <v>J1</v>
          </cell>
          <cell r="R3640" t="str">
            <v>J6</v>
          </cell>
          <cell r="S3640" t="str">
            <v>PENDIENTE</v>
          </cell>
          <cell r="T3640">
            <v>0</v>
          </cell>
          <cell r="U3640" t="str">
            <v>JULLIRI APAZA UBALDO</v>
          </cell>
          <cell r="V3640" t="str">
            <v>FLOREZ CONDORI  JOSE WILLIANS</v>
          </cell>
        </row>
        <row r="3641">
          <cell r="A3641">
            <v>3639</v>
          </cell>
          <cell r="B3641">
            <v>42735</v>
          </cell>
          <cell r="C3641" t="str">
            <v>DICIEMBRE</v>
          </cell>
          <cell r="D3641" t="str">
            <v>2016</v>
          </cell>
          <cell r="E3641">
            <v>726</v>
          </cell>
          <cell r="F3641" t="str">
            <v>D6F-825</v>
          </cell>
          <cell r="G3641" t="str">
            <v>T2Y-992</v>
          </cell>
          <cell r="H3641" t="str">
            <v>LAS BAMBAS</v>
          </cell>
          <cell r="I3641">
            <v>188775</v>
          </cell>
          <cell r="J3641" t="str">
            <v>REPUESTO</v>
          </cell>
          <cell r="K3641" t="str">
            <v>PERNOS 5/16 X 1</v>
          </cell>
          <cell r="L3641">
            <v>4</v>
          </cell>
          <cell r="M3641" t="str">
            <v>UNID.</v>
          </cell>
          <cell r="N3641" t="str">
            <v>TRACTO</v>
          </cell>
          <cell r="O3641">
            <v>55</v>
          </cell>
          <cell r="P3641" t="str">
            <v>M4</v>
          </cell>
          <cell r="Q3641" t="str">
            <v>J1</v>
          </cell>
          <cell r="R3641" t="str">
            <v>J6</v>
          </cell>
          <cell r="S3641" t="str">
            <v>PENDIENTE</v>
          </cell>
          <cell r="T3641">
            <v>0</v>
          </cell>
          <cell r="U3641" t="str">
            <v>JULLIRI APAZA UBALDO</v>
          </cell>
          <cell r="V3641" t="str">
            <v>FLOREZ CONDORI  JOSE WILLIANS</v>
          </cell>
        </row>
        <row r="3642">
          <cell r="A3642">
            <v>3640</v>
          </cell>
          <cell r="B3642">
            <v>42735</v>
          </cell>
          <cell r="C3642" t="str">
            <v>DICIEMBRE</v>
          </cell>
          <cell r="D3642" t="str">
            <v>2016</v>
          </cell>
          <cell r="E3642">
            <v>726</v>
          </cell>
          <cell r="F3642" t="str">
            <v>D6F-825</v>
          </cell>
          <cell r="G3642" t="str">
            <v>T2Y-992</v>
          </cell>
          <cell r="H3642" t="str">
            <v>LAS BAMBAS</v>
          </cell>
          <cell r="I3642">
            <v>188775</v>
          </cell>
          <cell r="J3642" t="str">
            <v>REPUESTO</v>
          </cell>
          <cell r="K3642" t="str">
            <v>TUERCA SEGURO 5/16</v>
          </cell>
          <cell r="L3642">
            <v>4</v>
          </cell>
          <cell r="M3642" t="str">
            <v>UNID.</v>
          </cell>
          <cell r="N3642" t="str">
            <v>TRACTO</v>
          </cell>
          <cell r="O3642">
            <v>55</v>
          </cell>
          <cell r="P3642" t="str">
            <v>M4</v>
          </cell>
          <cell r="Q3642" t="str">
            <v>J1</v>
          </cell>
          <cell r="R3642" t="str">
            <v>J6</v>
          </cell>
          <cell r="S3642" t="str">
            <v>PENDIENTE</v>
          </cell>
          <cell r="T3642">
            <v>0</v>
          </cell>
          <cell r="U3642" t="str">
            <v>JULLIRI APAZA UBALDO</v>
          </cell>
          <cell r="V3642" t="str">
            <v>FLOREZ CONDORI  JOSE WILLIANS</v>
          </cell>
        </row>
        <row r="3643">
          <cell r="A3643">
            <v>3641</v>
          </cell>
          <cell r="B3643">
            <v>42735</v>
          </cell>
          <cell r="C3643" t="str">
            <v>DICIEMBRE</v>
          </cell>
          <cell r="D3643" t="str">
            <v>2016</v>
          </cell>
          <cell r="E3643">
            <v>726</v>
          </cell>
          <cell r="F3643" t="str">
            <v>D6F-825</v>
          </cell>
          <cell r="G3643" t="str">
            <v>T2Y-992</v>
          </cell>
          <cell r="H3643" t="str">
            <v>LAS BAMBAS</v>
          </cell>
          <cell r="I3643">
            <v>188775</v>
          </cell>
          <cell r="J3643" t="str">
            <v>REPUESTO</v>
          </cell>
          <cell r="K3643" t="str">
            <v>ARANDELA PLANA 5/16</v>
          </cell>
          <cell r="L3643">
            <v>8</v>
          </cell>
          <cell r="M3643" t="str">
            <v>UNID.</v>
          </cell>
          <cell r="N3643" t="str">
            <v>TRACTO</v>
          </cell>
          <cell r="O3643">
            <v>55</v>
          </cell>
          <cell r="P3643" t="str">
            <v>M4</v>
          </cell>
          <cell r="Q3643" t="str">
            <v>J1</v>
          </cell>
          <cell r="R3643" t="str">
            <v>J6</v>
          </cell>
          <cell r="S3643" t="str">
            <v>PENDIENTE</v>
          </cell>
          <cell r="T3643">
            <v>0</v>
          </cell>
          <cell r="U3643" t="str">
            <v>JULLIRI APAZA UBALDO</v>
          </cell>
          <cell r="V3643" t="str">
            <v>FLOREZ CONDORI  JOSE WILLIANS</v>
          </cell>
        </row>
        <row r="3644">
          <cell r="A3644">
            <v>3633</v>
          </cell>
          <cell r="B3644">
            <v>42735</v>
          </cell>
          <cell r="C3644" t="str">
            <v>DICIEMBRE</v>
          </cell>
          <cell r="D3644" t="str">
            <v>2016</v>
          </cell>
          <cell r="E3644">
            <v>693</v>
          </cell>
          <cell r="F3644" t="str">
            <v>D6G-806</v>
          </cell>
          <cell r="G3644" t="str">
            <v>B8K-998</v>
          </cell>
          <cell r="H3644" t="str">
            <v>LAS BAMBAS</v>
          </cell>
          <cell r="I3644">
            <v>220955</v>
          </cell>
          <cell r="J3644" t="str">
            <v>REPUESTO</v>
          </cell>
          <cell r="K3644" t="str">
            <v>FARO NEBLINERO AAA</v>
          </cell>
          <cell r="L3644">
            <v>2</v>
          </cell>
          <cell r="M3644" t="str">
            <v>UNID.</v>
          </cell>
          <cell r="N3644" t="str">
            <v>TRACTO</v>
          </cell>
          <cell r="O3644">
            <v>55</v>
          </cell>
          <cell r="P3644" t="str">
            <v>E1</v>
          </cell>
          <cell r="Q3644" t="str">
            <v>J1</v>
          </cell>
          <cell r="R3644" t="str">
            <v>J6</v>
          </cell>
          <cell r="S3644" t="str">
            <v>PENDIENTE</v>
          </cell>
          <cell r="T3644">
            <v>0</v>
          </cell>
          <cell r="U3644" t="str">
            <v>PALOMINO CARDENAS JUAN CARLOS</v>
          </cell>
          <cell r="V3644" t="str">
            <v>FLOREZ CONDORI  JOSE WILLIANS</v>
          </cell>
        </row>
        <row r="3645">
          <cell r="A3645">
            <v>3626</v>
          </cell>
          <cell r="B3645">
            <v>42735</v>
          </cell>
          <cell r="C3645" t="str">
            <v>DICIEMBRE</v>
          </cell>
          <cell r="D3645" t="str">
            <v>2016</v>
          </cell>
          <cell r="E3645">
            <v>200</v>
          </cell>
          <cell r="F3645" t="str">
            <v>TALLER</v>
          </cell>
          <cell r="G3645" t="str">
            <v>TALLER</v>
          </cell>
          <cell r="H3645" t="str">
            <v>TALLER</v>
          </cell>
          <cell r="I3645" t="str">
            <v>TALLER</v>
          </cell>
          <cell r="J3645" t="str">
            <v>REPUESTO</v>
          </cell>
          <cell r="K3645" t="str">
            <v>DISCO DE CORTE DE 4"</v>
          </cell>
          <cell r="L3645">
            <v>3</v>
          </cell>
          <cell r="M3645" t="str">
            <v>UNID.</v>
          </cell>
          <cell r="N3645" t="str">
            <v>TALLER</v>
          </cell>
          <cell r="O3645">
            <v>55</v>
          </cell>
          <cell r="P3645" t="str">
            <v>S3</v>
          </cell>
          <cell r="Q3645" t="str">
            <v>J1</v>
          </cell>
          <cell r="R3645" t="str">
            <v>J5</v>
          </cell>
          <cell r="S3645" t="str">
            <v>PENDIENTE</v>
          </cell>
          <cell r="T3645">
            <v>0</v>
          </cell>
          <cell r="U3645" t="str">
            <v>JIMENEZ MACHACA JAVIER</v>
          </cell>
          <cell r="V3645" t="str">
            <v>FLOREZ CONDORI  JOSE WILLIANS</v>
          </cell>
        </row>
        <row r="3646">
          <cell r="A3646">
            <v>3627</v>
          </cell>
          <cell r="B3646">
            <v>42735</v>
          </cell>
          <cell r="C3646" t="str">
            <v>DICIEMBRE</v>
          </cell>
          <cell r="D3646" t="str">
            <v>2016</v>
          </cell>
          <cell r="E3646">
            <v>200</v>
          </cell>
          <cell r="F3646" t="str">
            <v>TALLER</v>
          </cell>
          <cell r="G3646" t="str">
            <v>TALLER</v>
          </cell>
          <cell r="H3646" t="str">
            <v>TALLER</v>
          </cell>
          <cell r="I3646" t="str">
            <v>TALLER</v>
          </cell>
          <cell r="J3646" t="str">
            <v>REPUESTO</v>
          </cell>
          <cell r="K3646" t="str">
            <v>TIZA CALDERO</v>
          </cell>
          <cell r="L3646">
            <v>1</v>
          </cell>
          <cell r="M3646" t="str">
            <v>UNID.</v>
          </cell>
          <cell r="N3646" t="str">
            <v>TALLER</v>
          </cell>
          <cell r="O3646">
            <v>55</v>
          </cell>
          <cell r="P3646" t="str">
            <v>S3</v>
          </cell>
          <cell r="Q3646" t="str">
            <v>J1</v>
          </cell>
          <cell r="R3646" t="str">
            <v>J5</v>
          </cell>
          <cell r="S3646" t="str">
            <v>PENDIENTE</v>
          </cell>
          <cell r="T3646">
            <v>0</v>
          </cell>
          <cell r="U3646" t="str">
            <v>JIMENEZ MACHACA JAVIER</v>
          </cell>
          <cell r="V3646" t="str">
            <v>FLOREZ CONDORI  JOSE WILLIANS</v>
          </cell>
        </row>
        <row r="3647">
          <cell r="A3647">
            <v>3628</v>
          </cell>
          <cell r="B3647">
            <v>42735</v>
          </cell>
          <cell r="C3647" t="str">
            <v>DICIEMBRE</v>
          </cell>
          <cell r="D3647" t="str">
            <v>2016</v>
          </cell>
          <cell r="E3647">
            <v>200</v>
          </cell>
          <cell r="F3647" t="str">
            <v>TALLER</v>
          </cell>
          <cell r="G3647" t="str">
            <v>TALLER</v>
          </cell>
          <cell r="H3647" t="str">
            <v>TALLER</v>
          </cell>
          <cell r="I3647" t="str">
            <v>TALLER</v>
          </cell>
          <cell r="J3647" t="str">
            <v>INSUMO TALLER</v>
          </cell>
          <cell r="K3647" t="str">
            <v>BOTELLA DE OXIGENO DE 10 M3</v>
          </cell>
          <cell r="L3647">
            <v>2</v>
          </cell>
          <cell r="M3647" t="str">
            <v>UNID.</v>
          </cell>
          <cell r="N3647" t="str">
            <v>TALLER</v>
          </cell>
          <cell r="O3647">
            <v>55</v>
          </cell>
          <cell r="P3647" t="str">
            <v>S2</v>
          </cell>
          <cell r="Q3647" t="str">
            <v>J1</v>
          </cell>
          <cell r="R3647" t="str">
            <v>J6</v>
          </cell>
          <cell r="S3647" t="str">
            <v>PENDIENTE</v>
          </cell>
          <cell r="T3647">
            <v>0</v>
          </cell>
          <cell r="U3647" t="str">
            <v>PALOMINO ESTRADA  MICHEL</v>
          </cell>
          <cell r="V3647" t="str">
            <v>FLOREZ CONDORI  JOSE WILLIANS</v>
          </cell>
        </row>
        <row r="3648">
          <cell r="A3648">
            <v>3629</v>
          </cell>
          <cell r="B3648">
            <v>42735</v>
          </cell>
          <cell r="C3648" t="str">
            <v>DICIEMBRE</v>
          </cell>
          <cell r="D3648" t="str">
            <v>2016</v>
          </cell>
          <cell r="E3648">
            <v>200</v>
          </cell>
          <cell r="F3648" t="str">
            <v>TALLER</v>
          </cell>
          <cell r="G3648" t="str">
            <v>TALLER</v>
          </cell>
          <cell r="H3648" t="str">
            <v>TALLER</v>
          </cell>
          <cell r="I3648" t="str">
            <v>TALLER</v>
          </cell>
          <cell r="J3648" t="str">
            <v>INSUMO TALLER</v>
          </cell>
          <cell r="K3648" t="str">
            <v>CHAMFERCORD</v>
          </cell>
          <cell r="L3648">
            <v>1</v>
          </cell>
          <cell r="M3648" t="str">
            <v>KG.</v>
          </cell>
          <cell r="N3648" t="str">
            <v>TALLER</v>
          </cell>
          <cell r="O3648">
            <v>55</v>
          </cell>
          <cell r="P3648" t="str">
            <v>S2</v>
          </cell>
          <cell r="Q3648" t="str">
            <v>J1</v>
          </cell>
          <cell r="R3648" t="str">
            <v>J6</v>
          </cell>
          <cell r="S3648" t="str">
            <v>PENDIENTE</v>
          </cell>
          <cell r="T3648">
            <v>0</v>
          </cell>
          <cell r="U3648" t="str">
            <v>PALOMINO ESTRADA  MICHEL</v>
          </cell>
          <cell r="V3648" t="str">
            <v>FLOREZ CONDORI  JOSE WILLIANS</v>
          </cell>
        </row>
        <row r="3649">
          <cell r="A3649">
            <v>3661</v>
          </cell>
          <cell r="B3649">
            <v>42737</v>
          </cell>
          <cell r="C3649" t="str">
            <v>ENERO</v>
          </cell>
          <cell r="D3649" t="str">
            <v>2017</v>
          </cell>
          <cell r="E3649">
            <v>728</v>
          </cell>
          <cell r="F3649" t="str">
            <v>ABQ-703</v>
          </cell>
          <cell r="G3649" t="str">
            <v>D0Z-994</v>
          </cell>
          <cell r="H3649" t="str">
            <v>LAS BAMBAS</v>
          </cell>
          <cell r="I3649">
            <v>105170</v>
          </cell>
          <cell r="J3649" t="str">
            <v>REPUESTO</v>
          </cell>
          <cell r="K3649" t="str">
            <v>NEBLINEROS</v>
          </cell>
          <cell r="L3649">
            <v>2</v>
          </cell>
          <cell r="M3649" t="str">
            <v>UNID.</v>
          </cell>
          <cell r="N3649" t="str">
            <v>TRACTO</v>
          </cell>
          <cell r="O3649">
            <v>0</v>
          </cell>
          <cell r="P3649" t="str">
            <v>J7</v>
          </cell>
          <cell r="Q3649" t="str">
            <v>J7</v>
          </cell>
          <cell r="R3649" t="str">
            <v>J5</v>
          </cell>
          <cell r="S3649" t="str">
            <v>ENTREGADO</v>
          </cell>
          <cell r="T3649">
            <v>42737</v>
          </cell>
          <cell r="U3649" t="str">
            <v>DONAYRE INGA PEDRO</v>
          </cell>
          <cell r="V3649" t="str">
            <v>DONAYRE INGA PEDRO</v>
          </cell>
        </row>
        <row r="3650">
          <cell r="A3650">
            <v>3699</v>
          </cell>
          <cell r="B3650">
            <v>42737</v>
          </cell>
          <cell r="C3650" t="str">
            <v>ENERO</v>
          </cell>
          <cell r="D3650" t="str">
            <v>2017</v>
          </cell>
          <cell r="E3650">
            <v>737</v>
          </cell>
          <cell r="F3650" t="str">
            <v>ABR-741</v>
          </cell>
          <cell r="G3650" t="str">
            <v>T3N-974</v>
          </cell>
          <cell r="H3650" t="str">
            <v>LAS BAMBAS</v>
          </cell>
          <cell r="I3650">
            <v>112772</v>
          </cell>
          <cell r="J3650" t="str">
            <v>REPUESTO</v>
          </cell>
          <cell r="K3650" t="str">
            <v>PARCHE RACK 10</v>
          </cell>
          <cell r="L3650">
            <v>1</v>
          </cell>
          <cell r="M3650" t="str">
            <v>UNID.</v>
          </cell>
          <cell r="N3650" t="str">
            <v>CISTERNA</v>
          </cell>
          <cell r="O3650">
            <v>0</v>
          </cell>
          <cell r="P3650" t="str">
            <v>J3</v>
          </cell>
          <cell r="Q3650" t="str">
            <v>J3</v>
          </cell>
          <cell r="R3650" t="str">
            <v>J6</v>
          </cell>
          <cell r="S3650" t="str">
            <v>ENTREGADO</v>
          </cell>
          <cell r="T3650">
            <v>42737</v>
          </cell>
          <cell r="U3650" t="str">
            <v>CHURA PIZARRO ALBERTO</v>
          </cell>
          <cell r="V3650" t="str">
            <v>CHURA PIZARRO ALBERTO</v>
          </cell>
        </row>
        <row r="3651">
          <cell r="A3651">
            <v>3700</v>
          </cell>
          <cell r="B3651">
            <v>42737</v>
          </cell>
          <cell r="C3651" t="str">
            <v>ENERO</v>
          </cell>
          <cell r="D3651" t="str">
            <v>2017</v>
          </cell>
          <cell r="E3651">
            <v>737</v>
          </cell>
          <cell r="F3651" t="str">
            <v>ABR-741</v>
          </cell>
          <cell r="G3651" t="str">
            <v>T3N-974</v>
          </cell>
          <cell r="H3651" t="str">
            <v>LAS BAMBAS</v>
          </cell>
          <cell r="I3651">
            <v>112772</v>
          </cell>
          <cell r="J3651" t="str">
            <v>REPUESTO</v>
          </cell>
          <cell r="K3651" t="str">
            <v>PARCHE RACK 12</v>
          </cell>
          <cell r="L3651">
            <v>1</v>
          </cell>
          <cell r="M3651" t="str">
            <v>UNID.</v>
          </cell>
          <cell r="N3651" t="str">
            <v>CISTERNA</v>
          </cell>
          <cell r="O3651">
            <v>0</v>
          </cell>
          <cell r="P3651" t="str">
            <v>J3</v>
          </cell>
          <cell r="Q3651" t="str">
            <v>J3</v>
          </cell>
          <cell r="R3651" t="str">
            <v>J6</v>
          </cell>
          <cell r="S3651" t="str">
            <v>ENTREGADO</v>
          </cell>
          <cell r="T3651">
            <v>42737</v>
          </cell>
          <cell r="U3651" t="str">
            <v>CHURA PIZARRO ALBERTO</v>
          </cell>
          <cell r="V3651" t="str">
            <v>CHURA PIZARRO ALBERTO</v>
          </cell>
        </row>
        <row r="3652">
          <cell r="A3652">
            <v>3701</v>
          </cell>
          <cell r="B3652">
            <v>42737</v>
          </cell>
          <cell r="C3652" t="str">
            <v>ENERO</v>
          </cell>
          <cell r="D3652" t="str">
            <v>2017</v>
          </cell>
          <cell r="E3652">
            <v>737</v>
          </cell>
          <cell r="F3652" t="str">
            <v>ABR-741</v>
          </cell>
          <cell r="G3652" t="str">
            <v>T3N-974</v>
          </cell>
          <cell r="H3652" t="str">
            <v>LAS BAMBAS</v>
          </cell>
          <cell r="I3652">
            <v>112772</v>
          </cell>
          <cell r="J3652" t="str">
            <v>REPUESTO</v>
          </cell>
          <cell r="K3652" t="str">
            <v>PARCHE RACK 14</v>
          </cell>
          <cell r="L3652">
            <v>1</v>
          </cell>
          <cell r="M3652" t="str">
            <v>UNID.</v>
          </cell>
          <cell r="N3652" t="str">
            <v>CISTERNA</v>
          </cell>
          <cell r="O3652">
            <v>0</v>
          </cell>
          <cell r="P3652" t="str">
            <v>J3</v>
          </cell>
          <cell r="Q3652" t="str">
            <v>J3</v>
          </cell>
          <cell r="R3652" t="str">
            <v>J6</v>
          </cell>
          <cell r="S3652" t="str">
            <v>ENTREGADO</v>
          </cell>
          <cell r="T3652">
            <v>42737</v>
          </cell>
          <cell r="U3652" t="str">
            <v>CHURA PIZARRO ALBERTO</v>
          </cell>
          <cell r="V3652" t="str">
            <v>CHURA PIZARRO ALBERTO</v>
          </cell>
        </row>
        <row r="3653">
          <cell r="A3653">
            <v>3660</v>
          </cell>
          <cell r="B3653">
            <v>42737</v>
          </cell>
          <cell r="C3653" t="str">
            <v>ENERO</v>
          </cell>
          <cell r="D3653" t="str">
            <v>2017</v>
          </cell>
          <cell r="E3653">
            <v>732</v>
          </cell>
          <cell r="F3653" t="str">
            <v>AKW-731</v>
          </cell>
          <cell r="G3653" t="str">
            <v>TCR-989</v>
          </cell>
          <cell r="H3653" t="str">
            <v>LAS BAMBAS CONC.</v>
          </cell>
          <cell r="I3653">
            <v>30052</v>
          </cell>
          <cell r="J3653" t="str">
            <v>REPUESTO</v>
          </cell>
          <cell r="K3653" t="str">
            <v>FOCOS 9006</v>
          </cell>
          <cell r="L3653">
            <v>2</v>
          </cell>
          <cell r="M3653" t="str">
            <v>UNID.</v>
          </cell>
          <cell r="N3653" t="str">
            <v>TRACTO</v>
          </cell>
          <cell r="O3653">
            <v>0</v>
          </cell>
          <cell r="P3653" t="str">
            <v>E3</v>
          </cell>
          <cell r="Q3653" t="str">
            <v>J1</v>
          </cell>
          <cell r="R3653" t="str">
            <v>J5</v>
          </cell>
          <cell r="S3653" t="str">
            <v>ENTREGADO</v>
          </cell>
          <cell r="T3653">
            <v>42737</v>
          </cell>
          <cell r="U3653" t="str">
            <v>CONDORI CHURATA ALEX</v>
          </cell>
          <cell r="V3653" t="str">
            <v>FLOREZ CONDORI  JOSE WILLIANS</v>
          </cell>
        </row>
        <row r="3654">
          <cell r="A3654">
            <v>3662</v>
          </cell>
          <cell r="B3654">
            <v>42737</v>
          </cell>
          <cell r="C3654" t="str">
            <v>ENERO</v>
          </cell>
          <cell r="D3654" t="str">
            <v>2017</v>
          </cell>
          <cell r="E3654">
            <v>732</v>
          </cell>
          <cell r="F3654" t="str">
            <v>AKW-731</v>
          </cell>
          <cell r="G3654" t="str">
            <v>TCR-989</v>
          </cell>
          <cell r="H3654" t="str">
            <v>LAS BAMBAS CONC.</v>
          </cell>
          <cell r="I3654">
            <v>30052</v>
          </cell>
          <cell r="J3654" t="str">
            <v>REPUESTO</v>
          </cell>
          <cell r="K3654" t="str">
            <v>NEBLINEROS</v>
          </cell>
          <cell r="L3654">
            <v>2</v>
          </cell>
          <cell r="M3654" t="str">
            <v>UNID.</v>
          </cell>
          <cell r="N3654" t="str">
            <v>TRACTO</v>
          </cell>
          <cell r="O3654">
            <v>0</v>
          </cell>
          <cell r="P3654" t="str">
            <v>E3</v>
          </cell>
          <cell r="Q3654" t="str">
            <v>J1</v>
          </cell>
          <cell r="R3654" t="str">
            <v>J5</v>
          </cell>
          <cell r="S3654" t="str">
            <v>ENTREGADO</v>
          </cell>
          <cell r="T3654">
            <v>42737</v>
          </cell>
          <cell r="U3654" t="str">
            <v>CONDORI CHURATA ALEX</v>
          </cell>
          <cell r="V3654" t="str">
            <v>FLOREZ CONDORI  JOSE WILLIANS</v>
          </cell>
        </row>
        <row r="3655">
          <cell r="A3655">
            <v>3687</v>
          </cell>
          <cell r="B3655">
            <v>42737</v>
          </cell>
          <cell r="C3655" t="str">
            <v>ENERO</v>
          </cell>
          <cell r="D3655" t="str">
            <v>2017</v>
          </cell>
          <cell r="E3655">
            <v>723</v>
          </cell>
          <cell r="F3655" t="str">
            <v>AKW-860</v>
          </cell>
          <cell r="G3655" t="str">
            <v>F5Z-991</v>
          </cell>
          <cell r="H3655" t="str">
            <v>LAS BAMBAS</v>
          </cell>
          <cell r="I3655">
            <v>41739</v>
          </cell>
          <cell r="J3655" t="str">
            <v>REPUESTO</v>
          </cell>
          <cell r="K3655" t="str">
            <v>TERMINALES OJOS 3/16</v>
          </cell>
          <cell r="L3655">
            <v>2</v>
          </cell>
          <cell r="M3655" t="str">
            <v>UNID.</v>
          </cell>
          <cell r="N3655" t="str">
            <v>TRACTO</v>
          </cell>
          <cell r="O3655">
            <v>0</v>
          </cell>
          <cell r="P3655" t="str">
            <v>E2</v>
          </cell>
          <cell r="Q3655" t="str">
            <v>J1</v>
          </cell>
          <cell r="R3655" t="str">
            <v>J6</v>
          </cell>
          <cell r="S3655" t="str">
            <v>ENTREGADO</v>
          </cell>
          <cell r="T3655">
            <v>42737</v>
          </cell>
          <cell r="U3655" t="str">
            <v>YUCA BELLIDO BORIS YERSY</v>
          </cell>
          <cell r="V3655" t="str">
            <v>FLOREZ CONDORI  JOSE WILLIANS</v>
          </cell>
        </row>
        <row r="3656">
          <cell r="A3656">
            <v>3679</v>
          </cell>
          <cell r="B3656">
            <v>42737</v>
          </cell>
          <cell r="C3656" t="str">
            <v>ENERO</v>
          </cell>
          <cell r="D3656" t="str">
            <v>2017</v>
          </cell>
          <cell r="E3656">
            <v>716</v>
          </cell>
          <cell r="F3656" t="str">
            <v>C9M-902</v>
          </cell>
          <cell r="G3656" t="str">
            <v>B8L-970</v>
          </cell>
          <cell r="H3656" t="str">
            <v>LAS BAMBAS</v>
          </cell>
          <cell r="I3656">
            <v>212499</v>
          </cell>
          <cell r="J3656" t="str">
            <v>SERVICIO</v>
          </cell>
          <cell r="K3656" t="str">
            <v>SERVICIO DE HERMETICIDAD DE INTERCOOLER</v>
          </cell>
          <cell r="L3656">
            <v>1</v>
          </cell>
          <cell r="M3656" t="str">
            <v>UNID.</v>
          </cell>
          <cell r="N3656" t="str">
            <v>TRACTO</v>
          </cell>
          <cell r="O3656">
            <v>0</v>
          </cell>
          <cell r="P3656" t="str">
            <v>M8</v>
          </cell>
          <cell r="Q3656" t="str">
            <v>J1</v>
          </cell>
          <cell r="R3656" t="str">
            <v>J6</v>
          </cell>
          <cell r="S3656" t="str">
            <v>ENTREGADO</v>
          </cell>
          <cell r="T3656">
            <v>42737</v>
          </cell>
          <cell r="U3656" t="str">
            <v>VARILLAS GAGO  OSCAR ALBERTO</v>
          </cell>
          <cell r="V3656" t="str">
            <v>FLOREZ CONDORI  JOSE WILLIANS</v>
          </cell>
        </row>
        <row r="3657">
          <cell r="A3657">
            <v>3688</v>
          </cell>
          <cell r="B3657">
            <v>42737</v>
          </cell>
          <cell r="C3657" t="str">
            <v>ENERO</v>
          </cell>
          <cell r="D3657" t="str">
            <v>2017</v>
          </cell>
          <cell r="E3657">
            <v>716</v>
          </cell>
          <cell r="F3657" t="str">
            <v>C9M-902</v>
          </cell>
          <cell r="G3657" t="str">
            <v>B8L-970</v>
          </cell>
          <cell r="H3657" t="str">
            <v>LAS BAMBAS</v>
          </cell>
          <cell r="I3657">
            <v>212499</v>
          </cell>
          <cell r="J3657" t="str">
            <v>REPUESTO</v>
          </cell>
          <cell r="K3657" t="str">
            <v>KIT SECADOR DE AIRE</v>
          </cell>
          <cell r="L3657">
            <v>1</v>
          </cell>
          <cell r="M3657" t="str">
            <v>UNID.</v>
          </cell>
          <cell r="N3657" t="str">
            <v>TRACTO</v>
          </cell>
          <cell r="O3657">
            <v>0</v>
          </cell>
          <cell r="P3657" t="str">
            <v>M8</v>
          </cell>
          <cell r="Q3657" t="str">
            <v>J1</v>
          </cell>
          <cell r="R3657" t="str">
            <v>J1</v>
          </cell>
          <cell r="S3657" t="str">
            <v>ENTREGADO</v>
          </cell>
          <cell r="T3657">
            <v>42737</v>
          </cell>
          <cell r="U3657" t="str">
            <v>VARILLAS GAGO  OSCAR ALBERTO</v>
          </cell>
          <cell r="V3657" t="str">
            <v>FLOREZ CONDORI  JOSE WILLIANS</v>
          </cell>
        </row>
        <row r="3658">
          <cell r="A3658">
            <v>3689</v>
          </cell>
          <cell r="B3658">
            <v>42737</v>
          </cell>
          <cell r="C3658" t="str">
            <v>ENERO</v>
          </cell>
          <cell r="D3658" t="str">
            <v>2017</v>
          </cell>
          <cell r="E3658">
            <v>716</v>
          </cell>
          <cell r="F3658" t="str">
            <v>C9M-902</v>
          </cell>
          <cell r="G3658" t="str">
            <v>B8L-970</v>
          </cell>
          <cell r="H3658" t="str">
            <v>LAS BAMBAS</v>
          </cell>
          <cell r="I3658">
            <v>212499</v>
          </cell>
          <cell r="J3658" t="str">
            <v>REPUESTO</v>
          </cell>
          <cell r="K3658" t="str">
            <v>FILTRO SECADOR AIRE</v>
          </cell>
          <cell r="L3658">
            <v>1</v>
          </cell>
          <cell r="M3658" t="str">
            <v>UNID.</v>
          </cell>
          <cell r="N3658" t="str">
            <v>TRACTO</v>
          </cell>
          <cell r="O3658">
            <v>0</v>
          </cell>
          <cell r="P3658" t="str">
            <v>M8</v>
          </cell>
          <cell r="Q3658" t="str">
            <v>J1</v>
          </cell>
          <cell r="R3658" t="str">
            <v>J1</v>
          </cell>
          <cell r="S3658" t="str">
            <v>ENTREGADO</v>
          </cell>
          <cell r="T3658">
            <v>42737</v>
          </cell>
          <cell r="U3658" t="str">
            <v>VARILLAS GAGO  OSCAR ALBERTO</v>
          </cell>
          <cell r="V3658" t="str">
            <v>FLOREZ CONDORI  JOSE WILLIANS</v>
          </cell>
        </row>
        <row r="3659">
          <cell r="A3659">
            <v>3693</v>
          </cell>
          <cell r="B3659">
            <v>42737</v>
          </cell>
          <cell r="C3659" t="str">
            <v>ENERO</v>
          </cell>
          <cell r="D3659" t="str">
            <v>2017</v>
          </cell>
          <cell r="E3659">
            <v>736</v>
          </cell>
          <cell r="F3659" t="str">
            <v>C9P-948</v>
          </cell>
          <cell r="G3659" t="str">
            <v>B4O-995</v>
          </cell>
          <cell r="H3659" t="str">
            <v>LAS BAMBAS</v>
          </cell>
          <cell r="I3659">
            <v>158838</v>
          </cell>
          <cell r="J3659" t="str">
            <v>REPUESTO</v>
          </cell>
          <cell r="K3659" t="str">
            <v>FILTRO SEPARADOR CON VALVULA</v>
          </cell>
          <cell r="L3659">
            <v>1</v>
          </cell>
          <cell r="M3659" t="str">
            <v>UNID.</v>
          </cell>
          <cell r="N3659" t="str">
            <v>TRACTO</v>
          </cell>
          <cell r="O3659">
            <v>0</v>
          </cell>
          <cell r="P3659" t="str">
            <v>M8</v>
          </cell>
          <cell r="Q3659" t="str">
            <v>J1</v>
          </cell>
          <cell r="R3659" t="str">
            <v>J6</v>
          </cell>
          <cell r="S3659" t="str">
            <v>ENTREGADO</v>
          </cell>
          <cell r="T3659">
            <v>42737</v>
          </cell>
          <cell r="U3659" t="str">
            <v>VARILLAS GAGO  OSCAR ALBERTO</v>
          </cell>
          <cell r="V3659" t="str">
            <v>FLOREZ CONDORI  JOSE WILLIANS</v>
          </cell>
        </row>
        <row r="3660">
          <cell r="A3660">
            <v>3694</v>
          </cell>
          <cell r="B3660">
            <v>42737</v>
          </cell>
          <cell r="C3660" t="str">
            <v>ENERO</v>
          </cell>
          <cell r="D3660" t="str">
            <v>2017</v>
          </cell>
          <cell r="E3660">
            <v>736</v>
          </cell>
          <cell r="F3660" t="str">
            <v>C9P-948</v>
          </cell>
          <cell r="G3660" t="str">
            <v>B4O-995</v>
          </cell>
          <cell r="H3660" t="str">
            <v>LAS BAMBAS</v>
          </cell>
          <cell r="I3660">
            <v>158838</v>
          </cell>
          <cell r="J3660" t="str">
            <v>REPUESTO</v>
          </cell>
          <cell r="K3660" t="str">
            <v>FILTRO DE COMBUSTIBLE</v>
          </cell>
          <cell r="L3660">
            <v>1</v>
          </cell>
          <cell r="M3660" t="str">
            <v>UNID.</v>
          </cell>
          <cell r="N3660" t="str">
            <v>TRACTO</v>
          </cell>
          <cell r="O3660">
            <v>0</v>
          </cell>
          <cell r="P3660" t="str">
            <v>M8</v>
          </cell>
          <cell r="Q3660" t="str">
            <v>J1</v>
          </cell>
          <cell r="R3660" t="str">
            <v>J6</v>
          </cell>
          <cell r="S3660" t="str">
            <v>ENTREGADO</v>
          </cell>
          <cell r="T3660">
            <v>42737</v>
          </cell>
          <cell r="U3660" t="str">
            <v>VARILLAS GAGO  OSCAR ALBERTO</v>
          </cell>
          <cell r="V3660" t="str">
            <v>FLOREZ CONDORI  JOSE WILLIANS</v>
          </cell>
        </row>
        <row r="3661">
          <cell r="A3661">
            <v>3702</v>
          </cell>
          <cell r="B3661">
            <v>42737</v>
          </cell>
          <cell r="C3661" t="str">
            <v>ENERO</v>
          </cell>
          <cell r="D3661" t="str">
            <v>2017</v>
          </cell>
          <cell r="E3661">
            <v>736</v>
          </cell>
          <cell r="F3661" t="str">
            <v>C9P-948</v>
          </cell>
          <cell r="G3661" t="str">
            <v>B4O-995</v>
          </cell>
          <cell r="H3661" t="str">
            <v>LAS BAMBAS</v>
          </cell>
          <cell r="I3661">
            <v>158838</v>
          </cell>
          <cell r="J3661" t="str">
            <v>REPUESTO</v>
          </cell>
          <cell r="K3661" t="str">
            <v>ABRAZADERA ESCAPE A TURBO</v>
          </cell>
          <cell r="L3661">
            <v>1</v>
          </cell>
          <cell r="M3661" t="str">
            <v>UNID.</v>
          </cell>
          <cell r="N3661" t="str">
            <v>TRACTO</v>
          </cell>
          <cell r="O3661">
            <v>0</v>
          </cell>
          <cell r="P3661" t="str">
            <v>M8</v>
          </cell>
          <cell r="Q3661" t="str">
            <v>J1</v>
          </cell>
          <cell r="R3661" t="str">
            <v>J6</v>
          </cell>
          <cell r="S3661" t="str">
            <v>ENTREGADO</v>
          </cell>
          <cell r="T3661">
            <v>42737</v>
          </cell>
          <cell r="U3661" t="str">
            <v>VARILLAS GAGO  OSCAR ALBERTO</v>
          </cell>
          <cell r="V3661" t="str">
            <v>FLOREZ CONDORI  JOSE WILLIANS</v>
          </cell>
        </row>
        <row r="3662">
          <cell r="A3662">
            <v>3653</v>
          </cell>
          <cell r="B3662">
            <v>42737</v>
          </cell>
          <cell r="C3662" t="str">
            <v>ENERO</v>
          </cell>
          <cell r="D3662" t="str">
            <v>2017</v>
          </cell>
          <cell r="E3662">
            <v>722</v>
          </cell>
          <cell r="F3662" t="str">
            <v>D3N-721</v>
          </cell>
          <cell r="G3662" t="str">
            <v>C4S-979</v>
          </cell>
          <cell r="H3662" t="str">
            <v>LAS BAMBAS</v>
          </cell>
          <cell r="I3662">
            <v>139487</v>
          </cell>
          <cell r="J3662" t="str">
            <v>REPUESTO</v>
          </cell>
          <cell r="K3662" t="str">
            <v>EMPAQUE DE TAPA MANHOLE PEQUEÑO</v>
          </cell>
          <cell r="L3662">
            <v>1</v>
          </cell>
          <cell r="M3662" t="str">
            <v>UNID.</v>
          </cell>
          <cell r="N3662" t="str">
            <v>CISTERNA</v>
          </cell>
          <cell r="O3662">
            <v>0</v>
          </cell>
          <cell r="P3662" t="str">
            <v>M8</v>
          </cell>
          <cell r="Q3662" t="str">
            <v>J1</v>
          </cell>
          <cell r="R3662" t="str">
            <v>J6</v>
          </cell>
          <cell r="S3662" t="str">
            <v>ENTREGADO</v>
          </cell>
          <cell r="T3662">
            <v>42737</v>
          </cell>
          <cell r="U3662" t="str">
            <v>VARILLAS GAGO  OSCAR ALBERTO</v>
          </cell>
          <cell r="V3662" t="str">
            <v>FLOREZ CONDORI  JOSE WILLIANS</v>
          </cell>
        </row>
        <row r="3663">
          <cell r="A3663">
            <v>3656</v>
          </cell>
          <cell r="B3663">
            <v>42737</v>
          </cell>
          <cell r="C3663" t="str">
            <v>ENERO</v>
          </cell>
          <cell r="D3663" t="str">
            <v>2017</v>
          </cell>
          <cell r="E3663">
            <v>722</v>
          </cell>
          <cell r="F3663" t="str">
            <v>D3N-721</v>
          </cell>
          <cell r="G3663" t="str">
            <v>C4S-979</v>
          </cell>
          <cell r="H3663" t="str">
            <v>LAS BAMBAS</v>
          </cell>
          <cell r="I3663">
            <v>139487</v>
          </cell>
          <cell r="J3663" t="str">
            <v>REPUESTO</v>
          </cell>
          <cell r="K3663" t="str">
            <v>LIQUIDO REFRIGERANTE</v>
          </cell>
          <cell r="L3663">
            <v>1</v>
          </cell>
          <cell r="M3663" t="str">
            <v>GLNS.</v>
          </cell>
          <cell r="N3663" t="str">
            <v>TRACTO</v>
          </cell>
          <cell r="O3663">
            <v>0</v>
          </cell>
          <cell r="P3663" t="str">
            <v>J1</v>
          </cell>
          <cell r="Q3663" t="str">
            <v>J1</v>
          </cell>
          <cell r="R3663" t="str">
            <v>J6</v>
          </cell>
          <cell r="S3663" t="str">
            <v>ENTREGADO</v>
          </cell>
          <cell r="T3663">
            <v>42737</v>
          </cell>
          <cell r="U3663" t="str">
            <v>FLOREZ CONDORI  JOSE WILLIANS</v>
          </cell>
          <cell r="V3663" t="str">
            <v>FLOREZ CONDORI  JOSE WILLIANS</v>
          </cell>
        </row>
        <row r="3664">
          <cell r="A3664">
            <v>3657</v>
          </cell>
          <cell r="B3664">
            <v>42737</v>
          </cell>
          <cell r="C3664" t="str">
            <v>ENERO</v>
          </cell>
          <cell r="D3664" t="str">
            <v>2017</v>
          </cell>
          <cell r="E3664">
            <v>722</v>
          </cell>
          <cell r="F3664" t="str">
            <v>D3N-721</v>
          </cell>
          <cell r="G3664" t="str">
            <v>C4S-979</v>
          </cell>
          <cell r="H3664" t="str">
            <v>LAS BAMBAS</v>
          </cell>
          <cell r="I3664">
            <v>139487</v>
          </cell>
          <cell r="J3664" t="str">
            <v>REPUESTO</v>
          </cell>
          <cell r="K3664" t="str">
            <v>LIQUIDO LIMPIAPARABRISAS</v>
          </cell>
          <cell r="L3664">
            <v>1</v>
          </cell>
          <cell r="M3664" t="str">
            <v>GLNS.</v>
          </cell>
          <cell r="N3664" t="str">
            <v>TRACTO</v>
          </cell>
          <cell r="O3664">
            <v>0</v>
          </cell>
          <cell r="P3664" t="str">
            <v>M8</v>
          </cell>
          <cell r="Q3664" t="str">
            <v>J1</v>
          </cell>
          <cell r="R3664" t="str">
            <v>J6</v>
          </cell>
          <cell r="S3664" t="str">
            <v>ENTREGADO</v>
          </cell>
          <cell r="T3664">
            <v>42737</v>
          </cell>
          <cell r="U3664" t="str">
            <v>VARILLAS GAGO  OSCAR ALBERTO</v>
          </cell>
          <cell r="V3664" t="str">
            <v>FLOREZ CONDORI  JOSE WILLIANS</v>
          </cell>
        </row>
        <row r="3665">
          <cell r="A3665">
            <v>3658</v>
          </cell>
          <cell r="B3665">
            <v>42737</v>
          </cell>
          <cell r="C3665" t="str">
            <v>ENERO</v>
          </cell>
          <cell r="D3665" t="str">
            <v>2017</v>
          </cell>
          <cell r="E3665">
            <v>722</v>
          </cell>
          <cell r="F3665" t="str">
            <v>D3N-721</v>
          </cell>
          <cell r="G3665" t="str">
            <v>C4S-979</v>
          </cell>
          <cell r="H3665" t="str">
            <v>LAS BAMBAS</v>
          </cell>
          <cell r="I3665">
            <v>139487</v>
          </cell>
          <cell r="J3665" t="str">
            <v>REPUESTO</v>
          </cell>
          <cell r="K3665" t="str">
            <v>PERNO 5/8 X 6</v>
          </cell>
          <cell r="L3665">
            <v>1</v>
          </cell>
          <cell r="M3665" t="str">
            <v>UNID.</v>
          </cell>
          <cell r="N3665" t="str">
            <v>CISTERNA</v>
          </cell>
          <cell r="O3665">
            <v>0</v>
          </cell>
          <cell r="P3665" t="str">
            <v>M8</v>
          </cell>
          <cell r="Q3665" t="str">
            <v>J1</v>
          </cell>
          <cell r="R3665" t="str">
            <v>J6</v>
          </cell>
          <cell r="S3665" t="str">
            <v>ENTREGADO</v>
          </cell>
          <cell r="T3665">
            <v>42737</v>
          </cell>
          <cell r="U3665" t="str">
            <v>VARILLAS GAGO  OSCAR ALBERTO</v>
          </cell>
          <cell r="V3665" t="str">
            <v>FLOREZ CONDORI  JOSE WILLIANS</v>
          </cell>
        </row>
        <row r="3666">
          <cell r="A3666">
            <v>3659</v>
          </cell>
          <cell r="B3666">
            <v>42737</v>
          </cell>
          <cell r="C3666" t="str">
            <v>ENERO</v>
          </cell>
          <cell r="D3666" t="str">
            <v>2017</v>
          </cell>
          <cell r="E3666">
            <v>722</v>
          </cell>
          <cell r="F3666" t="str">
            <v>D3N-721</v>
          </cell>
          <cell r="G3666" t="str">
            <v>C4S-979</v>
          </cell>
          <cell r="H3666" t="str">
            <v>LAS BAMBAS</v>
          </cell>
          <cell r="I3666">
            <v>139487</v>
          </cell>
          <cell r="J3666" t="str">
            <v>REPUESTO</v>
          </cell>
          <cell r="K3666" t="str">
            <v>TUERCA SEGURO 5/8</v>
          </cell>
          <cell r="L3666">
            <v>1</v>
          </cell>
          <cell r="M3666" t="str">
            <v>UNID.</v>
          </cell>
          <cell r="N3666" t="str">
            <v>CISTERNA</v>
          </cell>
          <cell r="O3666">
            <v>0</v>
          </cell>
          <cell r="P3666" t="str">
            <v>M8</v>
          </cell>
          <cell r="Q3666" t="str">
            <v>J1</v>
          </cell>
          <cell r="R3666" t="str">
            <v>J6</v>
          </cell>
          <cell r="S3666" t="str">
            <v>ENTREGADO</v>
          </cell>
          <cell r="T3666">
            <v>42737</v>
          </cell>
          <cell r="U3666" t="str">
            <v>VARILLAS GAGO  OSCAR ALBERTO</v>
          </cell>
          <cell r="V3666" t="str">
            <v>FLOREZ CONDORI  JOSE WILLIANS</v>
          </cell>
        </row>
        <row r="3667">
          <cell r="A3667">
            <v>3672</v>
          </cell>
          <cell r="B3667">
            <v>42737</v>
          </cell>
          <cell r="C3667" t="str">
            <v>ENERO</v>
          </cell>
          <cell r="D3667" t="str">
            <v>2017</v>
          </cell>
          <cell r="E3667">
            <v>722</v>
          </cell>
          <cell r="F3667" t="str">
            <v>D3N-721</v>
          </cell>
          <cell r="G3667" t="str">
            <v>C4S-979</v>
          </cell>
          <cell r="H3667" t="str">
            <v>LAS BAMBAS</v>
          </cell>
          <cell r="I3667">
            <v>139487</v>
          </cell>
          <cell r="J3667" t="str">
            <v>REPUESTO</v>
          </cell>
          <cell r="K3667" t="str">
            <v>FILTRO DE REFRIGERANTE</v>
          </cell>
          <cell r="L3667">
            <v>1</v>
          </cell>
          <cell r="M3667" t="str">
            <v>UNID.</v>
          </cell>
          <cell r="N3667" t="str">
            <v>TRACTO</v>
          </cell>
          <cell r="O3667">
            <v>0</v>
          </cell>
          <cell r="P3667" t="str">
            <v>M8</v>
          </cell>
          <cell r="Q3667" t="str">
            <v>J1</v>
          </cell>
          <cell r="R3667" t="str">
            <v>J6</v>
          </cell>
          <cell r="S3667" t="str">
            <v>ENTREGADO</v>
          </cell>
          <cell r="T3667">
            <v>42737</v>
          </cell>
          <cell r="U3667" t="str">
            <v>VARILLAS GAGO  OSCAR ALBERTO</v>
          </cell>
          <cell r="V3667" t="str">
            <v>FLOREZ CONDORI  JOSE WILLIANS</v>
          </cell>
        </row>
        <row r="3668">
          <cell r="A3668">
            <v>3684</v>
          </cell>
          <cell r="B3668">
            <v>42737</v>
          </cell>
          <cell r="C3668" t="str">
            <v>ENERO</v>
          </cell>
          <cell r="D3668" t="str">
            <v>2017</v>
          </cell>
          <cell r="E3668">
            <v>722</v>
          </cell>
          <cell r="F3668" t="str">
            <v>D3N-721</v>
          </cell>
          <cell r="G3668" t="str">
            <v>C4S-979</v>
          </cell>
          <cell r="H3668" t="str">
            <v>LAS BAMBAS</v>
          </cell>
          <cell r="I3668">
            <v>139487</v>
          </cell>
          <cell r="J3668" t="str">
            <v>REPUESTO</v>
          </cell>
          <cell r="K3668" t="str">
            <v>LLANTAS DELANTERAS</v>
          </cell>
          <cell r="L3668">
            <v>2</v>
          </cell>
          <cell r="M3668" t="str">
            <v>UNID.</v>
          </cell>
          <cell r="N3668" t="str">
            <v>TRACTO</v>
          </cell>
          <cell r="O3668">
            <v>0</v>
          </cell>
          <cell r="P3668" t="str">
            <v>N1</v>
          </cell>
          <cell r="Q3668" t="str">
            <v>J3</v>
          </cell>
          <cell r="R3668" t="str">
            <v>J6</v>
          </cell>
          <cell r="S3668" t="str">
            <v>ENTREGADO</v>
          </cell>
          <cell r="T3668">
            <v>42737</v>
          </cell>
          <cell r="U3668" t="str">
            <v>AGUILAR CCANTUTA WILLY</v>
          </cell>
          <cell r="V3668" t="str">
            <v>CHURA PIZARRO ALBERTO</v>
          </cell>
        </row>
        <row r="3669">
          <cell r="A3669">
            <v>3703</v>
          </cell>
          <cell r="B3669">
            <v>42737</v>
          </cell>
          <cell r="C3669" t="str">
            <v>ENERO</v>
          </cell>
          <cell r="D3669" t="str">
            <v>2017</v>
          </cell>
          <cell r="E3669">
            <v>725</v>
          </cell>
          <cell r="F3669" t="str">
            <v>D3P-754</v>
          </cell>
          <cell r="G3669" t="str">
            <v>C0V-971</v>
          </cell>
          <cell r="H3669" t="str">
            <v>LAS BAMBAS</v>
          </cell>
          <cell r="I3669">
            <v>166370</v>
          </cell>
          <cell r="J3669" t="str">
            <v>REPUESTO</v>
          </cell>
          <cell r="K3669" t="str">
            <v>PERNO MANHOLE 3/8 X 6</v>
          </cell>
          <cell r="L3669">
            <v>1</v>
          </cell>
          <cell r="M3669" t="str">
            <v>UNID.</v>
          </cell>
          <cell r="N3669" t="str">
            <v>CISTERNA</v>
          </cell>
          <cell r="O3669">
            <v>0</v>
          </cell>
          <cell r="P3669" t="str">
            <v>S2</v>
          </cell>
          <cell r="Q3669" t="str">
            <v>J1</v>
          </cell>
          <cell r="R3669" t="str">
            <v>J6</v>
          </cell>
          <cell r="S3669" t="str">
            <v>ENTREGADO</v>
          </cell>
          <cell r="T3669">
            <v>42737</v>
          </cell>
          <cell r="U3669" t="str">
            <v>PALOMINO ESTRADA  MICHEL</v>
          </cell>
          <cell r="V3669" t="str">
            <v>FLOREZ CONDORI  JOSE WILLIANS</v>
          </cell>
        </row>
        <row r="3670">
          <cell r="A3670">
            <v>3704</v>
          </cell>
          <cell r="B3670">
            <v>42737</v>
          </cell>
          <cell r="C3670" t="str">
            <v>ENERO</v>
          </cell>
          <cell r="D3670" t="str">
            <v>2017</v>
          </cell>
          <cell r="E3670">
            <v>725</v>
          </cell>
          <cell r="F3670" t="str">
            <v>D3P-754</v>
          </cell>
          <cell r="G3670" t="str">
            <v>C0V-971</v>
          </cell>
          <cell r="H3670" t="str">
            <v>LAS BAMBAS</v>
          </cell>
          <cell r="I3670">
            <v>166370</v>
          </cell>
          <cell r="J3670" t="str">
            <v>REPUESTO</v>
          </cell>
          <cell r="K3670" t="str">
            <v>TUERCA 3/8</v>
          </cell>
          <cell r="L3670">
            <v>2</v>
          </cell>
          <cell r="M3670" t="str">
            <v>UNID.</v>
          </cell>
          <cell r="N3670" t="str">
            <v>CISTERNA</v>
          </cell>
          <cell r="O3670">
            <v>0</v>
          </cell>
          <cell r="P3670" t="str">
            <v>S2</v>
          </cell>
          <cell r="Q3670" t="str">
            <v>J1</v>
          </cell>
          <cell r="R3670" t="str">
            <v>J6</v>
          </cell>
          <cell r="S3670" t="str">
            <v>ENTREGADO</v>
          </cell>
          <cell r="T3670">
            <v>42737</v>
          </cell>
          <cell r="U3670" t="str">
            <v>PALOMINO ESTRADA  MICHEL</v>
          </cell>
          <cell r="V3670" t="str">
            <v>FLOREZ CONDORI  JOSE WILLIANS</v>
          </cell>
        </row>
        <row r="3671">
          <cell r="A3671">
            <v>3654</v>
          </cell>
          <cell r="B3671">
            <v>42737</v>
          </cell>
          <cell r="C3671" t="str">
            <v>ENERO</v>
          </cell>
          <cell r="D3671" t="str">
            <v>2017</v>
          </cell>
          <cell r="E3671">
            <v>727</v>
          </cell>
          <cell r="F3671" t="str">
            <v>D3Q-741</v>
          </cell>
          <cell r="G3671" t="str">
            <v>D2E-976</v>
          </cell>
          <cell r="H3671" t="str">
            <v>LAS BAMBAS</v>
          </cell>
          <cell r="I3671">
            <v>166717</v>
          </cell>
          <cell r="J3671" t="str">
            <v>REPUESTO</v>
          </cell>
          <cell r="K3671" t="str">
            <v>FILTRO DE AIRE PRIMARIO</v>
          </cell>
          <cell r="L3671">
            <v>1</v>
          </cell>
          <cell r="M3671" t="str">
            <v>UNID.</v>
          </cell>
          <cell r="N3671" t="str">
            <v>TRACTO</v>
          </cell>
          <cell r="O3671">
            <v>0</v>
          </cell>
          <cell r="P3671" t="str">
            <v>M9</v>
          </cell>
          <cell r="Q3671" t="str">
            <v>J1</v>
          </cell>
          <cell r="R3671" t="str">
            <v>J6</v>
          </cell>
          <cell r="S3671" t="str">
            <v>ENTREGADO</v>
          </cell>
          <cell r="T3671">
            <v>42737</v>
          </cell>
          <cell r="U3671" t="str">
            <v>POMA SALAZAR CIRO</v>
          </cell>
          <cell r="V3671" t="str">
            <v>FLOREZ CONDORI  JOSE WILLIANS</v>
          </cell>
        </row>
        <row r="3672">
          <cell r="A3672">
            <v>3680</v>
          </cell>
          <cell r="B3672">
            <v>42737</v>
          </cell>
          <cell r="C3672" t="str">
            <v>ENERO</v>
          </cell>
          <cell r="D3672" t="str">
            <v>2017</v>
          </cell>
          <cell r="E3672">
            <v>727</v>
          </cell>
          <cell r="F3672" t="str">
            <v>D3Q-741</v>
          </cell>
          <cell r="G3672" t="str">
            <v>D2E-976</v>
          </cell>
          <cell r="H3672" t="str">
            <v>LAS BAMBAS</v>
          </cell>
          <cell r="I3672">
            <v>166717</v>
          </cell>
          <cell r="J3672" t="str">
            <v>REPUESTO</v>
          </cell>
          <cell r="K3672" t="str">
            <v>TECLA ELEVALUNA LADO IZQUIERDO</v>
          </cell>
          <cell r="L3672">
            <v>1</v>
          </cell>
          <cell r="M3672" t="str">
            <v>UNID.</v>
          </cell>
          <cell r="N3672" t="str">
            <v>TRACTO</v>
          </cell>
          <cell r="O3672">
            <v>0</v>
          </cell>
          <cell r="P3672" t="str">
            <v>E2</v>
          </cell>
          <cell r="Q3672" t="str">
            <v>J1</v>
          </cell>
          <cell r="R3672" t="str">
            <v>J6</v>
          </cell>
          <cell r="S3672" t="str">
            <v>ENTREGADO</v>
          </cell>
          <cell r="T3672">
            <v>42737</v>
          </cell>
          <cell r="U3672" t="str">
            <v>YUCA BELLIDO BORIS YERSY</v>
          </cell>
          <cell r="V3672" t="str">
            <v>FLOREZ CONDORI  JOSE WILLIANS</v>
          </cell>
        </row>
        <row r="3673">
          <cell r="A3673">
            <v>3681</v>
          </cell>
          <cell r="B3673">
            <v>42737</v>
          </cell>
          <cell r="C3673" t="str">
            <v>ENERO</v>
          </cell>
          <cell r="D3673" t="str">
            <v>2017</v>
          </cell>
          <cell r="E3673">
            <v>727</v>
          </cell>
          <cell r="F3673" t="str">
            <v>D3Q-741</v>
          </cell>
          <cell r="G3673" t="str">
            <v>D2E-976</v>
          </cell>
          <cell r="H3673" t="str">
            <v>LAS BAMBAS</v>
          </cell>
          <cell r="I3673">
            <v>166717</v>
          </cell>
          <cell r="J3673" t="str">
            <v>REPUESTO</v>
          </cell>
          <cell r="K3673" t="str">
            <v>FOCO LAGRIMON AMBAR DE 12 V</v>
          </cell>
          <cell r="L3673">
            <v>1</v>
          </cell>
          <cell r="M3673" t="str">
            <v>UNID.</v>
          </cell>
          <cell r="N3673" t="str">
            <v>TRACTO</v>
          </cell>
          <cell r="O3673">
            <v>0</v>
          </cell>
          <cell r="P3673" t="str">
            <v>E2</v>
          </cell>
          <cell r="Q3673" t="str">
            <v>J1</v>
          </cell>
          <cell r="R3673" t="str">
            <v>J6</v>
          </cell>
          <cell r="S3673" t="str">
            <v>ENTREGADO</v>
          </cell>
          <cell r="T3673">
            <v>42737</v>
          </cell>
          <cell r="U3673" t="str">
            <v>YUCA BELLIDO BORIS YERSY</v>
          </cell>
          <cell r="V3673" t="str">
            <v>FLOREZ CONDORI  JOSE WILLIANS</v>
          </cell>
        </row>
        <row r="3674">
          <cell r="A3674">
            <v>3682</v>
          </cell>
          <cell r="B3674">
            <v>42737</v>
          </cell>
          <cell r="C3674" t="str">
            <v>ENERO</v>
          </cell>
          <cell r="D3674" t="str">
            <v>2017</v>
          </cell>
          <cell r="E3674">
            <v>727</v>
          </cell>
          <cell r="F3674" t="str">
            <v>D3Q-741</v>
          </cell>
          <cell r="G3674" t="str">
            <v>D2E-976</v>
          </cell>
          <cell r="H3674" t="str">
            <v>LAS BAMBAS</v>
          </cell>
          <cell r="I3674">
            <v>166717</v>
          </cell>
          <cell r="J3674" t="str">
            <v>SERVICIO</v>
          </cell>
          <cell r="K3674" t="str">
            <v>SERVICIO DE CAMBIO DE TINA DE RADIADOR</v>
          </cell>
          <cell r="L3674">
            <v>1</v>
          </cell>
          <cell r="M3674" t="str">
            <v>UNID.</v>
          </cell>
          <cell r="N3674" t="str">
            <v>TRACTO</v>
          </cell>
          <cell r="O3674">
            <v>0</v>
          </cell>
          <cell r="P3674" t="str">
            <v>M9</v>
          </cell>
          <cell r="Q3674" t="str">
            <v>J1</v>
          </cell>
          <cell r="R3674" t="str">
            <v>J6</v>
          </cell>
          <cell r="S3674" t="str">
            <v>ENTREGADO</v>
          </cell>
          <cell r="T3674">
            <v>42737</v>
          </cell>
          <cell r="U3674" t="str">
            <v>POMA SALAZAR CIRO</v>
          </cell>
          <cell r="V3674" t="str">
            <v>FLOREZ CONDORI  JOSE WILLIANS</v>
          </cell>
        </row>
        <row r="3675">
          <cell r="A3675">
            <v>3683</v>
          </cell>
          <cell r="B3675">
            <v>42737</v>
          </cell>
          <cell r="C3675" t="str">
            <v>ENERO</v>
          </cell>
          <cell r="D3675" t="str">
            <v>2017</v>
          </cell>
          <cell r="E3675">
            <v>727</v>
          </cell>
          <cell r="F3675" t="str">
            <v>D3Q-741</v>
          </cell>
          <cell r="G3675" t="str">
            <v>D2E-976</v>
          </cell>
          <cell r="H3675" t="str">
            <v>LAS BAMBAS</v>
          </cell>
          <cell r="I3675">
            <v>166717</v>
          </cell>
          <cell r="J3675" t="str">
            <v>SERVICIO</v>
          </cell>
          <cell r="K3675" t="str">
            <v>SERVICIO DE HERMETICIDAD DE INTERCOOLER</v>
          </cell>
          <cell r="L3675">
            <v>1</v>
          </cell>
          <cell r="M3675" t="str">
            <v>UNID.</v>
          </cell>
          <cell r="N3675" t="str">
            <v>TRACTO</v>
          </cell>
          <cell r="O3675">
            <v>0</v>
          </cell>
          <cell r="P3675" t="str">
            <v>M9</v>
          </cell>
          <cell r="Q3675" t="str">
            <v>J1</v>
          </cell>
          <cell r="R3675" t="str">
            <v>J6</v>
          </cell>
          <cell r="S3675" t="str">
            <v>ENTREGADO</v>
          </cell>
          <cell r="T3675">
            <v>42737</v>
          </cell>
          <cell r="U3675" t="str">
            <v>POMA SALAZAR CIRO</v>
          </cell>
          <cell r="V3675" t="str">
            <v>FLOREZ CONDORI  JOSE WILLIANS</v>
          </cell>
        </row>
        <row r="3676">
          <cell r="A3676">
            <v>3652</v>
          </cell>
          <cell r="B3676">
            <v>42737</v>
          </cell>
          <cell r="C3676" t="str">
            <v>ENERO</v>
          </cell>
          <cell r="D3676" t="str">
            <v>2017</v>
          </cell>
          <cell r="E3676">
            <v>730</v>
          </cell>
          <cell r="F3676" t="str">
            <v>D3S-767</v>
          </cell>
          <cell r="G3676" t="str">
            <v>B8L-973</v>
          </cell>
          <cell r="H3676" t="str">
            <v>LAS BAMBAS</v>
          </cell>
          <cell r="I3676">
            <v>188177</v>
          </cell>
          <cell r="J3676" t="str">
            <v>REPUESTO</v>
          </cell>
          <cell r="K3676" t="str">
            <v>FAROS NEBLINEROS</v>
          </cell>
          <cell r="L3676">
            <v>2</v>
          </cell>
          <cell r="M3676" t="str">
            <v>UNID.</v>
          </cell>
          <cell r="N3676" t="str">
            <v>TRACTO</v>
          </cell>
          <cell r="O3676">
            <v>0</v>
          </cell>
          <cell r="P3676" t="str">
            <v>E2</v>
          </cell>
          <cell r="Q3676" t="str">
            <v>J1</v>
          </cell>
          <cell r="R3676" t="str">
            <v>J6</v>
          </cell>
          <cell r="S3676" t="str">
            <v>ENTREGADO</v>
          </cell>
          <cell r="T3676">
            <v>42737</v>
          </cell>
          <cell r="U3676" t="str">
            <v>YUCA BELLIDO BORIS YERSY</v>
          </cell>
          <cell r="V3676" t="str">
            <v>FLOREZ CONDORI  JOSE WILLIANS</v>
          </cell>
        </row>
        <row r="3677">
          <cell r="A3677">
            <v>3673</v>
          </cell>
          <cell r="B3677">
            <v>42737</v>
          </cell>
          <cell r="C3677" t="str">
            <v>ENERO</v>
          </cell>
          <cell r="D3677" t="str">
            <v>2017</v>
          </cell>
          <cell r="E3677">
            <v>730</v>
          </cell>
          <cell r="F3677" t="str">
            <v>D3S-767</v>
          </cell>
          <cell r="G3677" t="str">
            <v>B8L-973</v>
          </cell>
          <cell r="H3677" t="str">
            <v>LAS BAMBAS</v>
          </cell>
          <cell r="I3677">
            <v>188177</v>
          </cell>
          <cell r="J3677" t="str">
            <v>REPUESTO</v>
          </cell>
          <cell r="K3677" t="str">
            <v>MATACHISPA</v>
          </cell>
          <cell r="L3677">
            <v>1</v>
          </cell>
          <cell r="M3677" t="str">
            <v>UNID.</v>
          </cell>
          <cell r="N3677" t="str">
            <v>TRACTO</v>
          </cell>
          <cell r="O3677">
            <v>0</v>
          </cell>
          <cell r="P3677" t="str">
            <v>M6</v>
          </cell>
          <cell r="Q3677" t="str">
            <v>J1</v>
          </cell>
          <cell r="R3677" t="str">
            <v>J6</v>
          </cell>
          <cell r="S3677" t="str">
            <v>ENTREGADO</v>
          </cell>
          <cell r="T3677">
            <v>42737</v>
          </cell>
          <cell r="U3677" t="str">
            <v>PARI VENTURA  EDSON ORLANDO</v>
          </cell>
          <cell r="V3677" t="str">
            <v>FLOREZ CONDORI  JOSE WILLIANS</v>
          </cell>
        </row>
        <row r="3678">
          <cell r="A3678">
            <v>3695</v>
          </cell>
          <cell r="B3678">
            <v>42737</v>
          </cell>
          <cell r="C3678" t="str">
            <v>ENERO</v>
          </cell>
          <cell r="D3678" t="str">
            <v>2017</v>
          </cell>
          <cell r="E3678">
            <v>730</v>
          </cell>
          <cell r="F3678" t="str">
            <v>D3S-767</v>
          </cell>
          <cell r="G3678" t="str">
            <v>B8L-973</v>
          </cell>
          <cell r="H3678" t="str">
            <v>LAS BAMBAS</v>
          </cell>
          <cell r="I3678">
            <v>188177</v>
          </cell>
          <cell r="J3678" t="str">
            <v>REPUESTO</v>
          </cell>
          <cell r="K3678" t="str">
            <v>ZAPATAS DE CARRETA</v>
          </cell>
          <cell r="L3678">
            <v>0.5</v>
          </cell>
          <cell r="M3678" t="str">
            <v>JUEGO</v>
          </cell>
          <cell r="N3678" t="str">
            <v>CISTERNA</v>
          </cell>
          <cell r="O3678">
            <v>0</v>
          </cell>
          <cell r="P3678" t="str">
            <v>M6</v>
          </cell>
          <cell r="Q3678" t="str">
            <v>J1</v>
          </cell>
          <cell r="R3678" t="str">
            <v>J1</v>
          </cell>
          <cell r="S3678" t="str">
            <v>ENTREGADO</v>
          </cell>
          <cell r="T3678">
            <v>42737</v>
          </cell>
          <cell r="U3678" t="str">
            <v>PARI VENTURA  EDSON ORLANDO</v>
          </cell>
          <cell r="V3678" t="str">
            <v>FLOREZ CONDORI  JOSE WILLIANS</v>
          </cell>
        </row>
        <row r="3679">
          <cell r="A3679">
            <v>3696</v>
          </cell>
          <cell r="B3679">
            <v>42737</v>
          </cell>
          <cell r="C3679" t="str">
            <v>ENERO</v>
          </cell>
          <cell r="D3679" t="str">
            <v>2017</v>
          </cell>
          <cell r="E3679">
            <v>730</v>
          </cell>
          <cell r="F3679" t="str">
            <v>D3S-767</v>
          </cell>
          <cell r="G3679" t="str">
            <v>B8L-973</v>
          </cell>
          <cell r="H3679" t="str">
            <v>LAS BAMBAS</v>
          </cell>
          <cell r="I3679">
            <v>188177</v>
          </cell>
          <cell r="J3679" t="str">
            <v>REPUESTO</v>
          </cell>
          <cell r="K3679" t="str">
            <v>RESORTE PEQUEÑO DE ZAPATA</v>
          </cell>
          <cell r="L3679">
            <v>2</v>
          </cell>
          <cell r="M3679" t="str">
            <v>UNID.</v>
          </cell>
          <cell r="N3679" t="str">
            <v>CISTERNA</v>
          </cell>
          <cell r="O3679">
            <v>0</v>
          </cell>
          <cell r="P3679" t="str">
            <v>M6</v>
          </cell>
          <cell r="Q3679" t="str">
            <v>J1</v>
          </cell>
          <cell r="R3679" t="str">
            <v>J1</v>
          </cell>
          <cell r="S3679" t="str">
            <v>ENTREGADO</v>
          </cell>
          <cell r="T3679">
            <v>42737</v>
          </cell>
          <cell r="U3679" t="str">
            <v>PARI VENTURA  EDSON ORLANDO</v>
          </cell>
          <cell r="V3679" t="str">
            <v>FLOREZ CONDORI  JOSE WILLIANS</v>
          </cell>
        </row>
        <row r="3680">
          <cell r="A3680">
            <v>3697</v>
          </cell>
          <cell r="B3680">
            <v>42737</v>
          </cell>
          <cell r="C3680" t="str">
            <v>ENERO</v>
          </cell>
          <cell r="D3680" t="str">
            <v>2017</v>
          </cell>
          <cell r="E3680">
            <v>730</v>
          </cell>
          <cell r="F3680" t="str">
            <v>D3S-767</v>
          </cell>
          <cell r="G3680" t="str">
            <v>B8L-973</v>
          </cell>
          <cell r="H3680" t="str">
            <v>LAS BAMBAS</v>
          </cell>
          <cell r="I3680">
            <v>188177</v>
          </cell>
          <cell r="J3680" t="str">
            <v>REPUESTO</v>
          </cell>
          <cell r="K3680" t="str">
            <v>RESORTE GRANDE DE ZAPATA</v>
          </cell>
          <cell r="L3680">
            <v>1</v>
          </cell>
          <cell r="M3680" t="str">
            <v>UNID.</v>
          </cell>
          <cell r="N3680" t="str">
            <v>CISTERNA</v>
          </cell>
          <cell r="O3680">
            <v>0</v>
          </cell>
          <cell r="P3680" t="str">
            <v>M6</v>
          </cell>
          <cell r="Q3680" t="str">
            <v>J1</v>
          </cell>
          <cell r="R3680" t="str">
            <v>J1</v>
          </cell>
          <cell r="S3680" t="str">
            <v>ENTREGADO</v>
          </cell>
          <cell r="T3680">
            <v>42737</v>
          </cell>
          <cell r="U3680" t="str">
            <v>PARI VENTURA  EDSON ORLANDO</v>
          </cell>
          <cell r="V3680" t="str">
            <v>FLOREZ CONDORI  JOSE WILLIANS</v>
          </cell>
        </row>
        <row r="3681">
          <cell r="A3681">
            <v>3698</v>
          </cell>
          <cell r="B3681">
            <v>42737</v>
          </cell>
          <cell r="C3681" t="str">
            <v>ENERO</v>
          </cell>
          <cell r="D3681" t="str">
            <v>2017</v>
          </cell>
          <cell r="E3681">
            <v>726</v>
          </cell>
          <cell r="F3681" t="str">
            <v>D6F-825</v>
          </cell>
          <cell r="G3681" t="str">
            <v>T2Y-992</v>
          </cell>
          <cell r="H3681" t="str">
            <v>LAS BAMBAS</v>
          </cell>
          <cell r="I3681">
            <v>188775</v>
          </cell>
          <cell r="J3681" t="str">
            <v>REPUESTO</v>
          </cell>
          <cell r="K3681" t="str">
            <v>CELLOCORD 5/32</v>
          </cell>
          <cell r="L3681">
            <v>5</v>
          </cell>
          <cell r="M3681" t="str">
            <v>KG.</v>
          </cell>
          <cell r="N3681" t="str">
            <v>CISTERNA</v>
          </cell>
          <cell r="O3681">
            <v>0</v>
          </cell>
          <cell r="P3681" t="str">
            <v>S3</v>
          </cell>
          <cell r="Q3681" t="str">
            <v>J1</v>
          </cell>
          <cell r="R3681" t="str">
            <v>J6</v>
          </cell>
          <cell r="S3681" t="str">
            <v>ENTREGADO</v>
          </cell>
          <cell r="T3681">
            <v>42737</v>
          </cell>
          <cell r="U3681" t="str">
            <v>JIMENEZ MACHACA JAVIER</v>
          </cell>
          <cell r="V3681" t="str">
            <v>FLOREZ CONDORI  JOSE WILLIANS</v>
          </cell>
        </row>
        <row r="3682">
          <cell r="A3682">
            <v>3648</v>
          </cell>
          <cell r="B3682">
            <v>42737</v>
          </cell>
          <cell r="C3682" t="str">
            <v>ENERO</v>
          </cell>
          <cell r="D3682" t="str">
            <v>2017</v>
          </cell>
          <cell r="E3682">
            <v>707</v>
          </cell>
          <cell r="F3682" t="str">
            <v>D7V-714</v>
          </cell>
          <cell r="G3682" t="str">
            <v>F7M-971</v>
          </cell>
          <cell r="H3682" t="str">
            <v>LAS BAMBAS</v>
          </cell>
          <cell r="I3682">
            <v>52416</v>
          </cell>
          <cell r="J3682" t="str">
            <v>REPUESTO</v>
          </cell>
          <cell r="K3682" t="str">
            <v>BOCINA DE TEMPLADOR 1X2X76</v>
          </cell>
          <cell r="L3682">
            <v>5</v>
          </cell>
          <cell r="M3682" t="str">
            <v>UNID.</v>
          </cell>
          <cell r="N3682" t="str">
            <v>CISTERNA</v>
          </cell>
          <cell r="O3682">
            <v>1</v>
          </cell>
          <cell r="P3682" t="str">
            <v>S2</v>
          </cell>
          <cell r="Q3682" t="str">
            <v>J1</v>
          </cell>
          <cell r="R3682" t="str">
            <v>J6</v>
          </cell>
          <cell r="S3682" t="str">
            <v>ENTREGADO</v>
          </cell>
          <cell r="T3682">
            <v>42738</v>
          </cell>
          <cell r="U3682" t="str">
            <v>PALOMINO ESTRADA  MICHEL</v>
          </cell>
          <cell r="V3682" t="str">
            <v>FLOREZ CONDORI  JOSE WILLIANS</v>
          </cell>
        </row>
        <row r="3683">
          <cell r="A3683">
            <v>3649</v>
          </cell>
          <cell r="B3683">
            <v>42737</v>
          </cell>
          <cell r="C3683" t="str">
            <v>ENERO</v>
          </cell>
          <cell r="D3683" t="str">
            <v>2017</v>
          </cell>
          <cell r="E3683">
            <v>707</v>
          </cell>
          <cell r="F3683" t="str">
            <v>D7V-714</v>
          </cell>
          <cell r="G3683" t="str">
            <v>F7M-971</v>
          </cell>
          <cell r="H3683" t="str">
            <v>LAS BAMBAS</v>
          </cell>
          <cell r="I3683">
            <v>52416</v>
          </cell>
          <cell r="J3683" t="str">
            <v>REPUESTO</v>
          </cell>
          <cell r="K3683" t="str">
            <v>BOCINA DE TEMPLADOR 1X2X80</v>
          </cell>
          <cell r="L3683">
            <v>5</v>
          </cell>
          <cell r="M3683" t="str">
            <v>UNID.</v>
          </cell>
          <cell r="N3683" t="str">
            <v>CISTERNA</v>
          </cell>
          <cell r="O3683">
            <v>1</v>
          </cell>
          <cell r="P3683" t="str">
            <v>S2</v>
          </cell>
          <cell r="Q3683" t="str">
            <v>J1</v>
          </cell>
          <cell r="R3683" t="str">
            <v>J6</v>
          </cell>
          <cell r="S3683" t="str">
            <v>ENTREGADO</v>
          </cell>
          <cell r="T3683">
            <v>42738</v>
          </cell>
          <cell r="U3683" t="str">
            <v>PALOMINO ESTRADA  MICHEL</v>
          </cell>
          <cell r="V3683" t="str">
            <v>FLOREZ CONDORI  JOSE WILLIANS</v>
          </cell>
        </row>
        <row r="3684">
          <cell r="A3684">
            <v>3650</v>
          </cell>
          <cell r="B3684">
            <v>42737</v>
          </cell>
          <cell r="C3684" t="str">
            <v>ENERO</v>
          </cell>
          <cell r="D3684" t="str">
            <v>2017</v>
          </cell>
          <cell r="E3684">
            <v>707</v>
          </cell>
          <cell r="F3684" t="str">
            <v>D7V-714</v>
          </cell>
          <cell r="G3684" t="str">
            <v>F7M-971</v>
          </cell>
          <cell r="H3684" t="str">
            <v>LAS BAMBAS</v>
          </cell>
          <cell r="I3684">
            <v>52416</v>
          </cell>
          <cell r="J3684" t="str">
            <v>REPUESTO</v>
          </cell>
          <cell r="K3684" t="str">
            <v>PIN 1 X 8</v>
          </cell>
          <cell r="L3684">
            <v>5</v>
          </cell>
          <cell r="M3684" t="str">
            <v>UNID.</v>
          </cell>
          <cell r="N3684" t="str">
            <v>CISTERNA</v>
          </cell>
          <cell r="O3684">
            <v>1</v>
          </cell>
          <cell r="P3684" t="str">
            <v>S2</v>
          </cell>
          <cell r="Q3684" t="str">
            <v>J1</v>
          </cell>
          <cell r="R3684" t="str">
            <v>J6</v>
          </cell>
          <cell r="S3684" t="str">
            <v>ENTREGADO</v>
          </cell>
          <cell r="T3684">
            <v>42738</v>
          </cell>
          <cell r="U3684" t="str">
            <v>PALOMINO ESTRADA  MICHEL</v>
          </cell>
          <cell r="V3684" t="str">
            <v>FLOREZ CONDORI  JOSE WILLIANS</v>
          </cell>
        </row>
        <row r="3685">
          <cell r="A3685">
            <v>3651</v>
          </cell>
          <cell r="B3685">
            <v>42737</v>
          </cell>
          <cell r="C3685" t="str">
            <v>ENERO</v>
          </cell>
          <cell r="D3685" t="str">
            <v>2017</v>
          </cell>
          <cell r="E3685">
            <v>707</v>
          </cell>
          <cell r="F3685" t="str">
            <v>D7V-714</v>
          </cell>
          <cell r="G3685" t="str">
            <v>F7M-971</v>
          </cell>
          <cell r="H3685" t="str">
            <v>LAS BAMBAS</v>
          </cell>
          <cell r="I3685">
            <v>52416</v>
          </cell>
          <cell r="J3685" t="str">
            <v>REPUESTO</v>
          </cell>
          <cell r="K3685" t="str">
            <v>PIN 1 X 9</v>
          </cell>
          <cell r="L3685">
            <v>5</v>
          </cell>
          <cell r="M3685" t="str">
            <v>UNID.</v>
          </cell>
          <cell r="N3685" t="str">
            <v>CISTERNA</v>
          </cell>
          <cell r="O3685">
            <v>1</v>
          </cell>
          <cell r="P3685" t="str">
            <v>S2</v>
          </cell>
          <cell r="Q3685" t="str">
            <v>J1</v>
          </cell>
          <cell r="R3685" t="str">
            <v>J6</v>
          </cell>
          <cell r="S3685" t="str">
            <v>ENTREGADO</v>
          </cell>
          <cell r="T3685">
            <v>42738</v>
          </cell>
          <cell r="U3685" t="str">
            <v>PALOMINO ESTRADA  MICHEL</v>
          </cell>
          <cell r="V3685" t="str">
            <v>FLOREZ CONDORI  JOSE WILLIANS</v>
          </cell>
        </row>
        <row r="3686">
          <cell r="A3686">
            <v>3655</v>
          </cell>
          <cell r="B3686">
            <v>42737</v>
          </cell>
          <cell r="C3686" t="str">
            <v>ENERO</v>
          </cell>
          <cell r="D3686" t="str">
            <v>2017</v>
          </cell>
          <cell r="E3686">
            <v>200</v>
          </cell>
          <cell r="F3686" t="str">
            <v>TALLER</v>
          </cell>
          <cell r="G3686" t="str">
            <v>TALLER</v>
          </cell>
          <cell r="H3686" t="str">
            <v>TALLER</v>
          </cell>
          <cell r="I3686" t="str">
            <v>TALLER</v>
          </cell>
          <cell r="J3686" t="str">
            <v>INSUMO TALLER</v>
          </cell>
          <cell r="K3686" t="str">
            <v>ROLLO DE CABLE NRO. 14</v>
          </cell>
          <cell r="L3686">
            <v>1</v>
          </cell>
          <cell r="M3686" t="str">
            <v>UNID.</v>
          </cell>
          <cell r="N3686" t="str">
            <v>TRACTO</v>
          </cell>
          <cell r="O3686">
            <v>0</v>
          </cell>
          <cell r="P3686" t="str">
            <v>J1</v>
          </cell>
          <cell r="Q3686" t="str">
            <v>J1</v>
          </cell>
          <cell r="R3686" t="str">
            <v>J6</v>
          </cell>
          <cell r="S3686" t="str">
            <v>ENTREGADO</v>
          </cell>
          <cell r="T3686">
            <v>42737</v>
          </cell>
          <cell r="U3686" t="str">
            <v>FLOREZ CONDORI  JOSE WILLIANS</v>
          </cell>
          <cell r="V3686" t="str">
            <v>FLOREZ CONDORI  JOSE WILLIANS</v>
          </cell>
        </row>
        <row r="3687">
          <cell r="A3687">
            <v>3663</v>
          </cell>
          <cell r="B3687">
            <v>42737</v>
          </cell>
          <cell r="C3687" t="str">
            <v>ENERO</v>
          </cell>
          <cell r="D3687" t="str">
            <v>2017</v>
          </cell>
          <cell r="E3687">
            <v>200</v>
          </cell>
          <cell r="F3687" t="str">
            <v>TALLER</v>
          </cell>
          <cell r="G3687" t="str">
            <v>TALLER</v>
          </cell>
          <cell r="H3687" t="str">
            <v>TALLER</v>
          </cell>
          <cell r="I3687" t="str">
            <v>TALLER</v>
          </cell>
          <cell r="J3687" t="str">
            <v>REPUESTO</v>
          </cell>
          <cell r="K3687" t="str">
            <v>SIKAFLEX</v>
          </cell>
          <cell r="L3687">
            <v>1</v>
          </cell>
          <cell r="M3687" t="str">
            <v>UNID.</v>
          </cell>
          <cell r="N3687" t="str">
            <v>TALLER</v>
          </cell>
          <cell r="O3687">
            <v>2</v>
          </cell>
          <cell r="P3687" t="str">
            <v>J2</v>
          </cell>
          <cell r="Q3687" t="str">
            <v>J2</v>
          </cell>
          <cell r="R3687" t="str">
            <v>J5</v>
          </cell>
          <cell r="S3687" t="str">
            <v>ENTREGADO</v>
          </cell>
          <cell r="T3687">
            <v>42739</v>
          </cell>
          <cell r="U3687" t="str">
            <v>CORIHUAMAN SURCO  ERICK ROBERT</v>
          </cell>
          <cell r="V3687" t="str">
            <v>CORIHUAMAN SURCO  ERICK ROBERT</v>
          </cell>
        </row>
        <row r="3688">
          <cell r="A3688">
            <v>3669</v>
          </cell>
          <cell r="B3688">
            <v>42737</v>
          </cell>
          <cell r="C3688" t="str">
            <v>ENERO</v>
          </cell>
          <cell r="D3688" t="str">
            <v>2017</v>
          </cell>
          <cell r="E3688">
            <v>200</v>
          </cell>
          <cell r="F3688" t="str">
            <v>TALLER</v>
          </cell>
          <cell r="G3688" t="str">
            <v>TALLER</v>
          </cell>
          <cell r="H3688" t="str">
            <v>TALLER</v>
          </cell>
          <cell r="I3688" t="str">
            <v>TALLER</v>
          </cell>
          <cell r="J3688" t="str">
            <v>INSUMO TALLER</v>
          </cell>
          <cell r="K3688" t="str">
            <v>DISCO DE CORTE 7"</v>
          </cell>
          <cell r="L3688">
            <v>1</v>
          </cell>
          <cell r="M3688" t="str">
            <v>UNID.</v>
          </cell>
          <cell r="N3688" t="str">
            <v>TALLER</v>
          </cell>
          <cell r="O3688">
            <v>0</v>
          </cell>
          <cell r="P3688" t="str">
            <v>S2</v>
          </cell>
          <cell r="Q3688" t="str">
            <v>J1</v>
          </cell>
          <cell r="R3688" t="str">
            <v>J6</v>
          </cell>
          <cell r="S3688" t="str">
            <v>ENTREGADO</v>
          </cell>
          <cell r="T3688">
            <v>42737</v>
          </cell>
          <cell r="U3688" t="str">
            <v>PALOMINO ESTRADA  MICHEL</v>
          </cell>
          <cell r="V3688" t="str">
            <v>FLOREZ CONDORI  JOSE WILLIANS</v>
          </cell>
        </row>
        <row r="3689">
          <cell r="A3689">
            <v>3674</v>
          </cell>
          <cell r="B3689">
            <v>42737</v>
          </cell>
          <cell r="C3689" t="str">
            <v>ENERO</v>
          </cell>
          <cell r="D3689" t="str">
            <v>2017</v>
          </cell>
          <cell r="E3689">
            <v>200</v>
          </cell>
          <cell r="F3689" t="str">
            <v>TALLER</v>
          </cell>
          <cell r="G3689" t="str">
            <v>TALLER</v>
          </cell>
          <cell r="H3689" t="str">
            <v>TALLER</v>
          </cell>
          <cell r="I3689" t="str">
            <v>TALLER</v>
          </cell>
          <cell r="J3689" t="str">
            <v>INSUMO TALLER</v>
          </cell>
          <cell r="K3689" t="str">
            <v>SPRAY ROJO</v>
          </cell>
          <cell r="L3689">
            <v>1</v>
          </cell>
          <cell r="M3689" t="str">
            <v>UNID.</v>
          </cell>
          <cell r="N3689" t="str">
            <v>TALLER</v>
          </cell>
          <cell r="O3689">
            <v>0</v>
          </cell>
          <cell r="P3689" t="str">
            <v>S3</v>
          </cell>
          <cell r="Q3689" t="str">
            <v>J1</v>
          </cell>
          <cell r="R3689" t="str">
            <v>J5</v>
          </cell>
          <cell r="S3689" t="str">
            <v>ENTREGADO</v>
          </cell>
          <cell r="T3689">
            <v>42737</v>
          </cell>
          <cell r="U3689" t="str">
            <v>JIMENEZ MACHACA JAVIER</v>
          </cell>
          <cell r="V3689" t="str">
            <v>FLOREZ CONDORI  JOSE WILLIANS</v>
          </cell>
        </row>
        <row r="3690">
          <cell r="A3690">
            <v>3675</v>
          </cell>
          <cell r="B3690">
            <v>42737</v>
          </cell>
          <cell r="C3690" t="str">
            <v>ENERO</v>
          </cell>
          <cell r="D3690" t="str">
            <v>2017</v>
          </cell>
          <cell r="E3690">
            <v>200</v>
          </cell>
          <cell r="F3690" t="str">
            <v>TALLER</v>
          </cell>
          <cell r="G3690" t="str">
            <v>TALLER</v>
          </cell>
          <cell r="H3690" t="str">
            <v>TALLER</v>
          </cell>
          <cell r="I3690" t="str">
            <v>TALLER</v>
          </cell>
          <cell r="J3690" t="str">
            <v>INSUMO TALLER</v>
          </cell>
          <cell r="K3690" t="str">
            <v>SPRAY VERDE</v>
          </cell>
          <cell r="L3690">
            <v>1</v>
          </cell>
          <cell r="M3690" t="str">
            <v>UNID.</v>
          </cell>
          <cell r="N3690" t="str">
            <v>TALLER</v>
          </cell>
          <cell r="O3690">
            <v>0</v>
          </cell>
          <cell r="P3690" t="str">
            <v>S3</v>
          </cell>
          <cell r="Q3690" t="str">
            <v>J1</v>
          </cell>
          <cell r="R3690" t="str">
            <v>J5</v>
          </cell>
          <cell r="S3690" t="str">
            <v>ENTREGADO</v>
          </cell>
          <cell r="T3690">
            <v>42737</v>
          </cell>
          <cell r="U3690" t="str">
            <v>JIMENEZ MACHACA JAVIER</v>
          </cell>
          <cell r="V3690" t="str">
            <v>FLOREZ CONDORI  JOSE WILLIANS</v>
          </cell>
        </row>
        <row r="3691">
          <cell r="A3691">
            <v>3690</v>
          </cell>
          <cell r="B3691">
            <v>42737</v>
          </cell>
          <cell r="C3691" t="str">
            <v>ENERO</v>
          </cell>
          <cell r="D3691" t="str">
            <v>2017</v>
          </cell>
          <cell r="E3691">
            <v>200</v>
          </cell>
          <cell r="F3691" t="str">
            <v>TALLER</v>
          </cell>
          <cell r="G3691" t="str">
            <v>TALLER</v>
          </cell>
          <cell r="H3691" t="str">
            <v>TALLER</v>
          </cell>
          <cell r="I3691" t="str">
            <v>TALLER</v>
          </cell>
          <cell r="J3691" t="str">
            <v>EPPS</v>
          </cell>
          <cell r="K3691" t="str">
            <v>FAJAS LUMBARES TALLA M</v>
          </cell>
          <cell r="L3691">
            <v>2</v>
          </cell>
          <cell r="M3691" t="str">
            <v>UNID.</v>
          </cell>
          <cell r="N3691" t="str">
            <v>TALLER</v>
          </cell>
          <cell r="O3691">
            <v>4</v>
          </cell>
          <cell r="P3691" t="str">
            <v>J3</v>
          </cell>
          <cell r="Q3691" t="str">
            <v>J3</v>
          </cell>
          <cell r="R3691" t="str">
            <v>J6</v>
          </cell>
          <cell r="S3691" t="str">
            <v>ENTREGADO</v>
          </cell>
          <cell r="T3691">
            <v>42741</v>
          </cell>
          <cell r="U3691" t="str">
            <v>CHURA PIZARRO ALBERTO</v>
          </cell>
          <cell r="V3691" t="str">
            <v>CHURA PIZARRO ALBERTO</v>
          </cell>
        </row>
        <row r="3692">
          <cell r="A3692">
            <v>3685</v>
          </cell>
          <cell r="B3692">
            <v>42737</v>
          </cell>
          <cell r="C3692" t="str">
            <v>ENERO</v>
          </cell>
          <cell r="D3692" t="str">
            <v>2017</v>
          </cell>
          <cell r="E3692">
            <v>700</v>
          </cell>
          <cell r="F3692" t="str">
            <v>X2W-763</v>
          </cell>
          <cell r="G3692" t="str">
            <v>C5V-997</v>
          </cell>
          <cell r="H3692" t="str">
            <v>LAS BAMBAS</v>
          </cell>
          <cell r="I3692">
            <v>159006</v>
          </cell>
          <cell r="J3692" t="str">
            <v>REPUESTO</v>
          </cell>
          <cell r="K3692" t="str">
            <v>DISCO DE FRICCION</v>
          </cell>
          <cell r="L3692">
            <v>1</v>
          </cell>
          <cell r="M3692" t="str">
            <v>UNID.</v>
          </cell>
          <cell r="N3692" t="str">
            <v>TRACTO</v>
          </cell>
          <cell r="O3692">
            <v>0</v>
          </cell>
          <cell r="P3692" t="str">
            <v>M8</v>
          </cell>
          <cell r="Q3692" t="str">
            <v>J1</v>
          </cell>
          <cell r="R3692" t="str">
            <v>J5</v>
          </cell>
          <cell r="S3692" t="str">
            <v>ENTREGADO</v>
          </cell>
          <cell r="T3692">
            <v>42737</v>
          </cell>
          <cell r="U3692" t="str">
            <v>VARILLAS GAGO  OSCAR ALBERTO</v>
          </cell>
          <cell r="V3692" t="str">
            <v>FLOREZ CONDORI  JOSE WILLIANS</v>
          </cell>
        </row>
        <row r="3693">
          <cell r="A3693">
            <v>3686</v>
          </cell>
          <cell r="B3693">
            <v>42737</v>
          </cell>
          <cell r="C3693" t="str">
            <v>ENERO</v>
          </cell>
          <cell r="D3693" t="str">
            <v>2017</v>
          </cell>
          <cell r="E3693">
            <v>700</v>
          </cell>
          <cell r="F3693" t="str">
            <v>X2W-763</v>
          </cell>
          <cell r="G3693" t="str">
            <v>C5V-997</v>
          </cell>
          <cell r="H3693" t="str">
            <v>LAS BAMBAS</v>
          </cell>
          <cell r="I3693">
            <v>159006</v>
          </cell>
          <cell r="J3693" t="str">
            <v>REPUESTO</v>
          </cell>
          <cell r="K3693" t="str">
            <v>SEGURO DE DISCO</v>
          </cell>
          <cell r="L3693">
            <v>1</v>
          </cell>
          <cell r="M3693" t="str">
            <v>UNID.</v>
          </cell>
          <cell r="N3693" t="str">
            <v>TRACTO</v>
          </cell>
          <cell r="O3693">
            <v>0</v>
          </cell>
          <cell r="P3693" t="str">
            <v>M8</v>
          </cell>
          <cell r="Q3693" t="str">
            <v>J1</v>
          </cell>
          <cell r="R3693" t="str">
            <v>J5</v>
          </cell>
          <cell r="S3693" t="str">
            <v>ENTREGADO</v>
          </cell>
          <cell r="T3693">
            <v>42737</v>
          </cell>
          <cell r="U3693" t="str">
            <v>VARILLAS GAGO  OSCAR ALBERTO</v>
          </cell>
          <cell r="V3693" t="str">
            <v>FLOREZ CONDORI  JOSE WILLIANS</v>
          </cell>
        </row>
        <row r="3694">
          <cell r="A3694">
            <v>3664</v>
          </cell>
          <cell r="B3694">
            <v>42737</v>
          </cell>
          <cell r="C3694" t="str">
            <v>ENERO</v>
          </cell>
          <cell r="D3694" t="str">
            <v>2017</v>
          </cell>
          <cell r="E3694">
            <v>719</v>
          </cell>
          <cell r="F3694" t="str">
            <v>X2W-788</v>
          </cell>
          <cell r="G3694" t="str">
            <v>C5V-994</v>
          </cell>
          <cell r="H3694" t="str">
            <v>LAS BAMBAS</v>
          </cell>
          <cell r="I3694">
            <v>142988</v>
          </cell>
          <cell r="J3694" t="str">
            <v>REPUESTO</v>
          </cell>
          <cell r="K3694" t="str">
            <v>FARO LATERAL AMBAR 12V</v>
          </cell>
          <cell r="L3694">
            <v>4</v>
          </cell>
          <cell r="M3694" t="str">
            <v>UNID.</v>
          </cell>
          <cell r="N3694" t="str">
            <v>TRACTO</v>
          </cell>
          <cell r="O3694">
            <v>0</v>
          </cell>
          <cell r="P3694" t="str">
            <v>E3</v>
          </cell>
          <cell r="Q3694" t="str">
            <v>J1</v>
          </cell>
          <cell r="R3694" t="str">
            <v>J5</v>
          </cell>
          <cell r="S3694" t="str">
            <v>ENTREGADO</v>
          </cell>
          <cell r="T3694">
            <v>42737</v>
          </cell>
          <cell r="U3694" t="str">
            <v>CONDORI CHURATA ALEX</v>
          </cell>
          <cell r="V3694" t="str">
            <v>FLOREZ CONDORI  JOSE WILLIANS</v>
          </cell>
        </row>
        <row r="3695">
          <cell r="A3695">
            <v>3665</v>
          </cell>
          <cell r="B3695">
            <v>42737</v>
          </cell>
          <cell r="C3695" t="str">
            <v>ENERO</v>
          </cell>
          <cell r="D3695" t="str">
            <v>2017</v>
          </cell>
          <cell r="E3695">
            <v>719</v>
          </cell>
          <cell r="F3695" t="str">
            <v>X2W-788</v>
          </cell>
          <cell r="G3695" t="str">
            <v>C5V-994</v>
          </cell>
          <cell r="H3695" t="str">
            <v>LAS BAMBAS</v>
          </cell>
          <cell r="I3695">
            <v>142988</v>
          </cell>
          <cell r="J3695" t="str">
            <v>REPUESTO</v>
          </cell>
          <cell r="K3695" t="str">
            <v>FARO LATERAL ROJO 12V</v>
          </cell>
          <cell r="L3695">
            <v>2</v>
          </cell>
          <cell r="M3695" t="str">
            <v>UNID.</v>
          </cell>
          <cell r="N3695" t="str">
            <v>TRACTO</v>
          </cell>
          <cell r="O3695">
            <v>0</v>
          </cell>
          <cell r="P3695" t="str">
            <v>E3</v>
          </cell>
          <cell r="Q3695" t="str">
            <v>J1</v>
          </cell>
          <cell r="R3695" t="str">
            <v>J5</v>
          </cell>
          <cell r="S3695" t="str">
            <v>ENTREGADO</v>
          </cell>
          <cell r="T3695">
            <v>42737</v>
          </cell>
          <cell r="U3695" t="str">
            <v>CONDORI CHURATA ALEX</v>
          </cell>
          <cell r="V3695" t="str">
            <v>FLOREZ CONDORI  JOSE WILLIANS</v>
          </cell>
        </row>
        <row r="3696">
          <cell r="A3696">
            <v>3666</v>
          </cell>
          <cell r="B3696">
            <v>42737</v>
          </cell>
          <cell r="C3696" t="str">
            <v>ENERO</v>
          </cell>
          <cell r="D3696" t="str">
            <v>2017</v>
          </cell>
          <cell r="E3696">
            <v>719</v>
          </cell>
          <cell r="F3696" t="str">
            <v>X2W-788</v>
          </cell>
          <cell r="G3696" t="str">
            <v>C5V-994</v>
          </cell>
          <cell r="H3696" t="str">
            <v>LAS BAMBAS</v>
          </cell>
          <cell r="I3696">
            <v>142988</v>
          </cell>
          <cell r="J3696" t="str">
            <v>REPUESTO</v>
          </cell>
          <cell r="K3696" t="str">
            <v>CABLE NRO. 14</v>
          </cell>
          <cell r="L3696">
            <v>6</v>
          </cell>
          <cell r="M3696" t="str">
            <v>M</v>
          </cell>
          <cell r="N3696" t="str">
            <v>TRACTO</v>
          </cell>
          <cell r="O3696">
            <v>0</v>
          </cell>
          <cell r="P3696" t="str">
            <v>E3</v>
          </cell>
          <cell r="Q3696" t="str">
            <v>J1</v>
          </cell>
          <cell r="R3696" t="str">
            <v>J5</v>
          </cell>
          <cell r="S3696" t="str">
            <v>ENTREGADO</v>
          </cell>
          <cell r="T3696">
            <v>42737</v>
          </cell>
          <cell r="U3696" t="str">
            <v>CONDORI CHURATA ALEX</v>
          </cell>
          <cell r="V3696" t="str">
            <v>FLOREZ CONDORI  JOSE WILLIANS</v>
          </cell>
        </row>
        <row r="3697">
          <cell r="A3697">
            <v>3667</v>
          </cell>
          <cell r="B3697">
            <v>42737</v>
          </cell>
          <cell r="C3697" t="str">
            <v>ENERO</v>
          </cell>
          <cell r="D3697" t="str">
            <v>2017</v>
          </cell>
          <cell r="E3697">
            <v>719</v>
          </cell>
          <cell r="F3697" t="str">
            <v>X2W-788</v>
          </cell>
          <cell r="G3697" t="str">
            <v>C5V-994</v>
          </cell>
          <cell r="H3697" t="str">
            <v>LAS BAMBAS</v>
          </cell>
          <cell r="I3697">
            <v>142988</v>
          </cell>
          <cell r="J3697" t="str">
            <v>REPUESTO</v>
          </cell>
          <cell r="K3697" t="str">
            <v>TUBO CORRUGADO 1/4</v>
          </cell>
          <cell r="L3697">
            <v>3</v>
          </cell>
          <cell r="M3697" t="str">
            <v>M</v>
          </cell>
          <cell r="N3697" t="str">
            <v>TRACTO</v>
          </cell>
          <cell r="O3697">
            <v>0</v>
          </cell>
          <cell r="P3697" t="str">
            <v>E3</v>
          </cell>
          <cell r="Q3697" t="str">
            <v>J1</v>
          </cell>
          <cell r="R3697" t="str">
            <v>J5</v>
          </cell>
          <cell r="S3697" t="str">
            <v>ENTREGADO</v>
          </cell>
          <cell r="T3697">
            <v>42737</v>
          </cell>
          <cell r="U3697" t="str">
            <v>CONDORI CHURATA ALEX</v>
          </cell>
          <cell r="V3697" t="str">
            <v>FLOREZ CONDORI  JOSE WILLIANS</v>
          </cell>
        </row>
        <row r="3698">
          <cell r="A3698">
            <v>3668</v>
          </cell>
          <cell r="B3698">
            <v>42737</v>
          </cell>
          <cell r="C3698" t="str">
            <v>ENERO</v>
          </cell>
          <cell r="D3698" t="str">
            <v>2017</v>
          </cell>
          <cell r="E3698">
            <v>719</v>
          </cell>
          <cell r="F3698" t="str">
            <v>X2W-788</v>
          </cell>
          <cell r="G3698" t="str">
            <v>C5V-994</v>
          </cell>
          <cell r="H3698" t="str">
            <v>LAS BAMBAS</v>
          </cell>
          <cell r="I3698">
            <v>142988</v>
          </cell>
          <cell r="J3698" t="str">
            <v>REPUESTO</v>
          </cell>
          <cell r="K3698" t="str">
            <v>CINTA AISLANTE NEGRA</v>
          </cell>
          <cell r="L3698">
            <v>1</v>
          </cell>
          <cell r="M3698" t="str">
            <v>UNID.</v>
          </cell>
          <cell r="N3698" t="str">
            <v>TRACTO</v>
          </cell>
          <cell r="O3698">
            <v>0</v>
          </cell>
          <cell r="P3698" t="str">
            <v>E3</v>
          </cell>
          <cell r="Q3698" t="str">
            <v>J1</v>
          </cell>
          <cell r="R3698" t="str">
            <v>J5</v>
          </cell>
          <cell r="S3698" t="str">
            <v>ENTREGADO</v>
          </cell>
          <cell r="T3698">
            <v>42737</v>
          </cell>
          <cell r="U3698" t="str">
            <v>CONDORI CHURATA ALEX</v>
          </cell>
          <cell r="V3698" t="str">
            <v>FLOREZ CONDORI  JOSE WILLIANS</v>
          </cell>
        </row>
        <row r="3699">
          <cell r="A3699">
            <v>3670</v>
          </cell>
          <cell r="B3699">
            <v>42737</v>
          </cell>
          <cell r="C3699" t="str">
            <v>ENERO</v>
          </cell>
          <cell r="D3699" t="str">
            <v>2017</v>
          </cell>
          <cell r="E3699">
            <v>719</v>
          </cell>
          <cell r="F3699" t="str">
            <v>X2W-788</v>
          </cell>
          <cell r="G3699" t="str">
            <v>C5V-994</v>
          </cell>
          <cell r="H3699" t="str">
            <v>LAS BAMBAS</v>
          </cell>
          <cell r="I3699">
            <v>142988</v>
          </cell>
          <cell r="J3699" t="str">
            <v>REPUESTO</v>
          </cell>
          <cell r="K3699" t="str">
            <v>CABLE NRO. 14</v>
          </cell>
          <cell r="L3699">
            <v>6</v>
          </cell>
          <cell r="M3699" t="str">
            <v>M</v>
          </cell>
          <cell r="N3699" t="str">
            <v>CISTERNA</v>
          </cell>
          <cell r="O3699">
            <v>0</v>
          </cell>
          <cell r="P3699" t="str">
            <v>E3</v>
          </cell>
          <cell r="Q3699" t="str">
            <v>J1</v>
          </cell>
          <cell r="R3699" t="str">
            <v>J6</v>
          </cell>
          <cell r="S3699" t="str">
            <v>ENTREGADO</v>
          </cell>
          <cell r="T3699">
            <v>42737</v>
          </cell>
          <cell r="U3699" t="str">
            <v>CONDORI CHURATA ALEX</v>
          </cell>
          <cell r="V3699" t="str">
            <v>FLOREZ CONDORI  JOSE WILLIANS</v>
          </cell>
        </row>
        <row r="3700">
          <cell r="A3700">
            <v>3671</v>
          </cell>
          <cell r="B3700">
            <v>42737</v>
          </cell>
          <cell r="C3700" t="str">
            <v>ENERO</v>
          </cell>
          <cell r="D3700" t="str">
            <v>2017</v>
          </cell>
          <cell r="E3700">
            <v>719</v>
          </cell>
          <cell r="F3700" t="str">
            <v>X2W-788</v>
          </cell>
          <cell r="G3700" t="str">
            <v>C5V-994</v>
          </cell>
          <cell r="H3700" t="str">
            <v>LAS BAMBAS</v>
          </cell>
          <cell r="I3700">
            <v>142988</v>
          </cell>
          <cell r="J3700" t="str">
            <v>REPUESTO</v>
          </cell>
          <cell r="K3700" t="str">
            <v>TUBO CORRUGADO 1/4</v>
          </cell>
          <cell r="L3700">
            <v>3</v>
          </cell>
          <cell r="M3700" t="str">
            <v>M</v>
          </cell>
          <cell r="N3700" t="str">
            <v>CISTERNA</v>
          </cell>
          <cell r="O3700">
            <v>0</v>
          </cell>
          <cell r="P3700" t="str">
            <v>E3</v>
          </cell>
          <cell r="Q3700" t="str">
            <v>J1</v>
          </cell>
          <cell r="R3700" t="str">
            <v>J6</v>
          </cell>
          <cell r="S3700" t="str">
            <v>ENTREGADO</v>
          </cell>
          <cell r="T3700">
            <v>42737</v>
          </cell>
          <cell r="U3700" t="str">
            <v>CONDORI CHURATA ALEX</v>
          </cell>
          <cell r="V3700" t="str">
            <v>FLOREZ CONDORI  JOSE WILLIANS</v>
          </cell>
        </row>
        <row r="3701">
          <cell r="A3701">
            <v>3676</v>
          </cell>
          <cell r="B3701">
            <v>42737</v>
          </cell>
          <cell r="C3701" t="str">
            <v>ENERO</v>
          </cell>
          <cell r="D3701" t="str">
            <v>2017</v>
          </cell>
          <cell r="E3701">
            <v>719</v>
          </cell>
          <cell r="F3701" t="str">
            <v>X2W-788</v>
          </cell>
          <cell r="G3701" t="str">
            <v>C5V-994</v>
          </cell>
          <cell r="H3701" t="str">
            <v>LAS BAMBAS</v>
          </cell>
          <cell r="I3701">
            <v>142988</v>
          </cell>
          <cell r="J3701" t="str">
            <v>REPUESTO</v>
          </cell>
          <cell r="K3701" t="str">
            <v>UNION RAPIDA 3/8</v>
          </cell>
          <cell r="L3701">
            <v>5</v>
          </cell>
          <cell r="M3701" t="str">
            <v>UNID.</v>
          </cell>
          <cell r="N3701" t="str">
            <v>CISTERNA</v>
          </cell>
          <cell r="O3701">
            <v>0</v>
          </cell>
          <cell r="P3701" t="str">
            <v>S2</v>
          </cell>
          <cell r="Q3701" t="str">
            <v>J1</v>
          </cell>
          <cell r="R3701" t="str">
            <v>J6</v>
          </cell>
          <cell r="S3701" t="str">
            <v>ENTREGADO</v>
          </cell>
          <cell r="T3701">
            <v>42737</v>
          </cell>
          <cell r="U3701" t="str">
            <v>PALOMINO ESTRADA  MICHEL</v>
          </cell>
          <cell r="V3701" t="str">
            <v>FLOREZ CONDORI  JOSE WILLIANS</v>
          </cell>
        </row>
        <row r="3702">
          <cell r="A3702">
            <v>3677</v>
          </cell>
          <cell r="B3702">
            <v>42737</v>
          </cell>
          <cell r="C3702" t="str">
            <v>ENERO</v>
          </cell>
          <cell r="D3702" t="str">
            <v>2017</v>
          </cell>
          <cell r="E3702">
            <v>719</v>
          </cell>
          <cell r="F3702" t="str">
            <v>X2W-788</v>
          </cell>
          <cell r="G3702" t="str">
            <v>C5V-994</v>
          </cell>
          <cell r="H3702" t="str">
            <v>LAS BAMBAS</v>
          </cell>
          <cell r="I3702">
            <v>142988</v>
          </cell>
          <cell r="J3702" t="str">
            <v>REPUESTO</v>
          </cell>
          <cell r="K3702" t="str">
            <v>CABLE NRO. 14</v>
          </cell>
          <cell r="L3702">
            <v>14</v>
          </cell>
          <cell r="M3702" t="str">
            <v>M</v>
          </cell>
          <cell r="N3702" t="str">
            <v>CISTERNA</v>
          </cell>
          <cell r="O3702">
            <v>0</v>
          </cell>
          <cell r="P3702" t="str">
            <v>E3</v>
          </cell>
          <cell r="Q3702" t="str">
            <v>J1</v>
          </cell>
          <cell r="R3702" t="str">
            <v>J6</v>
          </cell>
          <cell r="S3702" t="str">
            <v>ENTREGADO</v>
          </cell>
          <cell r="T3702">
            <v>42737</v>
          </cell>
          <cell r="U3702" t="str">
            <v>CONDORI CHURATA ALEX</v>
          </cell>
          <cell r="V3702" t="str">
            <v>FLOREZ CONDORI  JOSE WILLIANS</v>
          </cell>
        </row>
        <row r="3703">
          <cell r="A3703">
            <v>3678</v>
          </cell>
          <cell r="B3703">
            <v>42737</v>
          </cell>
          <cell r="C3703" t="str">
            <v>ENERO</v>
          </cell>
          <cell r="D3703" t="str">
            <v>2017</v>
          </cell>
          <cell r="E3703">
            <v>719</v>
          </cell>
          <cell r="F3703" t="str">
            <v>X2W-788</v>
          </cell>
          <cell r="G3703" t="str">
            <v>C5V-994</v>
          </cell>
          <cell r="H3703" t="str">
            <v>LAS BAMBAS</v>
          </cell>
          <cell r="I3703">
            <v>142988</v>
          </cell>
          <cell r="J3703" t="str">
            <v>REPUESTO</v>
          </cell>
          <cell r="K3703" t="str">
            <v>TUBO CORRUGADO 1/4</v>
          </cell>
          <cell r="L3703">
            <v>7</v>
          </cell>
          <cell r="M3703" t="str">
            <v>M</v>
          </cell>
          <cell r="N3703" t="str">
            <v>CISTERNA</v>
          </cell>
          <cell r="O3703">
            <v>0</v>
          </cell>
          <cell r="P3703" t="str">
            <v>E3</v>
          </cell>
          <cell r="Q3703" t="str">
            <v>J1</v>
          </cell>
          <cell r="R3703" t="str">
            <v>J6</v>
          </cell>
          <cell r="S3703" t="str">
            <v>ENTREGADO</v>
          </cell>
          <cell r="T3703">
            <v>42737</v>
          </cell>
          <cell r="U3703" t="str">
            <v>CONDORI CHURATA ALEX</v>
          </cell>
          <cell r="V3703" t="str">
            <v>FLOREZ CONDORI  JOSE WILLIANS</v>
          </cell>
        </row>
        <row r="3704">
          <cell r="A3704">
            <v>3691</v>
          </cell>
          <cell r="B3704">
            <v>42737</v>
          </cell>
          <cell r="C3704" t="str">
            <v>ENERO</v>
          </cell>
          <cell r="D3704" t="str">
            <v>2017</v>
          </cell>
          <cell r="E3704">
            <v>719</v>
          </cell>
          <cell r="F3704" t="str">
            <v>X2W-788</v>
          </cell>
          <cell r="G3704" t="str">
            <v>C5V-994</v>
          </cell>
          <cell r="H3704" t="str">
            <v>LAS BAMBAS</v>
          </cell>
          <cell r="I3704">
            <v>142988</v>
          </cell>
          <cell r="J3704" t="str">
            <v>REPUESTO</v>
          </cell>
          <cell r="K3704" t="str">
            <v>PRESINTOS 300</v>
          </cell>
          <cell r="L3704">
            <v>20</v>
          </cell>
          <cell r="M3704" t="str">
            <v>UNID.</v>
          </cell>
          <cell r="N3704" t="str">
            <v>TALLER</v>
          </cell>
          <cell r="O3704">
            <v>0</v>
          </cell>
          <cell r="P3704" t="str">
            <v>E3</v>
          </cell>
          <cell r="Q3704" t="str">
            <v>J1</v>
          </cell>
          <cell r="R3704" t="str">
            <v>J6</v>
          </cell>
          <cell r="S3704" t="str">
            <v>ENTREGADO</v>
          </cell>
          <cell r="T3704">
            <v>42737</v>
          </cell>
          <cell r="U3704" t="str">
            <v>CONDORI CHURATA ALEX</v>
          </cell>
          <cell r="V3704" t="str">
            <v>FLOREZ CONDORI  JOSE WILLIANS</v>
          </cell>
        </row>
        <row r="3705">
          <cell r="A3705">
            <v>3692</v>
          </cell>
          <cell r="B3705">
            <v>42737</v>
          </cell>
          <cell r="C3705" t="str">
            <v>ENERO</v>
          </cell>
          <cell r="D3705" t="str">
            <v>2017</v>
          </cell>
          <cell r="E3705">
            <v>719</v>
          </cell>
          <cell r="F3705" t="str">
            <v>X2W-788</v>
          </cell>
          <cell r="G3705" t="str">
            <v>C5V-994</v>
          </cell>
          <cell r="H3705" t="str">
            <v>LAS BAMBAS</v>
          </cell>
          <cell r="I3705">
            <v>142988</v>
          </cell>
          <cell r="J3705" t="str">
            <v>REPUESTO</v>
          </cell>
          <cell r="K3705" t="str">
            <v>FUSIBLES 20 AMP</v>
          </cell>
          <cell r="L3705">
            <v>2</v>
          </cell>
          <cell r="M3705" t="str">
            <v>UNID.</v>
          </cell>
          <cell r="N3705" t="str">
            <v>TRACTO</v>
          </cell>
          <cell r="O3705">
            <v>0</v>
          </cell>
          <cell r="P3705" t="str">
            <v>E3</v>
          </cell>
          <cell r="Q3705" t="str">
            <v>J1</v>
          </cell>
          <cell r="R3705" t="str">
            <v>J6</v>
          </cell>
          <cell r="S3705" t="str">
            <v>ENTREGADO</v>
          </cell>
          <cell r="T3705">
            <v>42737</v>
          </cell>
          <cell r="U3705" t="str">
            <v>CONDORI CHURATA ALEX</v>
          </cell>
          <cell r="V3705" t="str">
            <v>FLOREZ CONDORI  JOSE WILLIANS</v>
          </cell>
        </row>
        <row r="3706">
          <cell r="A3706">
            <v>3735</v>
          </cell>
          <cell r="B3706">
            <v>42738</v>
          </cell>
          <cell r="C3706" t="str">
            <v>ENERO</v>
          </cell>
          <cell r="D3706" t="str">
            <v>2017</v>
          </cell>
          <cell r="E3706">
            <v>738</v>
          </cell>
          <cell r="F3706" t="str">
            <v>ABP-729</v>
          </cell>
          <cell r="G3706" t="str">
            <v>D8K-985</v>
          </cell>
          <cell r="H3706" t="str">
            <v>LAS BAMBAS</v>
          </cell>
          <cell r="I3706">
            <v>114046</v>
          </cell>
          <cell r="J3706" t="str">
            <v>REPUESTO</v>
          </cell>
          <cell r="K3706" t="str">
            <v>TAPA DE FARO DELANBTERO IZQUIERDO</v>
          </cell>
          <cell r="L3706">
            <v>1</v>
          </cell>
          <cell r="M3706" t="str">
            <v>UNID.</v>
          </cell>
          <cell r="N3706" t="str">
            <v>TRACTO</v>
          </cell>
          <cell r="O3706">
            <v>52</v>
          </cell>
          <cell r="P3706" t="str">
            <v>E2</v>
          </cell>
          <cell r="Q3706" t="str">
            <v>J1</v>
          </cell>
          <cell r="R3706" t="str">
            <v>J6</v>
          </cell>
          <cell r="S3706" t="str">
            <v>ENTREGADO</v>
          </cell>
          <cell r="T3706">
            <v>0</v>
          </cell>
          <cell r="U3706" t="str">
            <v>YUCA BELLIDO BORIS YERSY</v>
          </cell>
          <cell r="V3706" t="str">
            <v>FLOREZ CONDORI  JOSE WILLIANS</v>
          </cell>
        </row>
        <row r="3707">
          <cell r="A3707">
            <v>3737</v>
          </cell>
          <cell r="B3707">
            <v>42738</v>
          </cell>
          <cell r="C3707" t="str">
            <v>ENERO</v>
          </cell>
          <cell r="D3707" t="str">
            <v>2017</v>
          </cell>
          <cell r="E3707">
            <v>738</v>
          </cell>
          <cell r="F3707" t="str">
            <v>ABP-729</v>
          </cell>
          <cell r="G3707" t="str">
            <v>D8K-985</v>
          </cell>
          <cell r="H3707" t="str">
            <v>LAS BAMBAS</v>
          </cell>
          <cell r="I3707">
            <v>114046</v>
          </cell>
          <cell r="J3707" t="str">
            <v>REPUESTO</v>
          </cell>
          <cell r="K3707" t="str">
            <v>PERNOS 3/8 X 3</v>
          </cell>
          <cell r="L3707">
            <v>3</v>
          </cell>
          <cell r="M3707" t="str">
            <v>UNID.</v>
          </cell>
          <cell r="N3707" t="str">
            <v>TRACTO</v>
          </cell>
          <cell r="O3707">
            <v>52</v>
          </cell>
          <cell r="P3707" t="str">
            <v>S3</v>
          </cell>
          <cell r="Q3707" t="str">
            <v>J1</v>
          </cell>
          <cell r="R3707" t="str">
            <v>J6</v>
          </cell>
          <cell r="S3707" t="str">
            <v>ENTREGADO</v>
          </cell>
          <cell r="T3707">
            <v>0</v>
          </cell>
          <cell r="U3707" t="str">
            <v>JIMENEZ MACHACA JAVIER</v>
          </cell>
          <cell r="V3707" t="str">
            <v>FLOREZ CONDORI  JOSE WILLIANS</v>
          </cell>
        </row>
        <row r="3708">
          <cell r="A3708">
            <v>3738</v>
          </cell>
          <cell r="B3708">
            <v>42738</v>
          </cell>
          <cell r="C3708" t="str">
            <v>ENERO</v>
          </cell>
          <cell r="D3708" t="str">
            <v>2017</v>
          </cell>
          <cell r="E3708">
            <v>738</v>
          </cell>
          <cell r="F3708" t="str">
            <v>ABP-729</v>
          </cell>
          <cell r="G3708" t="str">
            <v>D8K-985</v>
          </cell>
          <cell r="H3708" t="str">
            <v>LAS BAMBAS</v>
          </cell>
          <cell r="I3708">
            <v>114046</v>
          </cell>
          <cell r="J3708" t="str">
            <v>REPUESTO</v>
          </cell>
          <cell r="K3708" t="str">
            <v>TUERCA SEGURO 3/8</v>
          </cell>
          <cell r="L3708">
            <v>3</v>
          </cell>
          <cell r="M3708" t="str">
            <v>UNID.</v>
          </cell>
          <cell r="N3708" t="str">
            <v>TRACTO</v>
          </cell>
          <cell r="O3708">
            <v>52</v>
          </cell>
          <cell r="P3708" t="str">
            <v>S3</v>
          </cell>
          <cell r="Q3708" t="str">
            <v>J1</v>
          </cell>
          <cell r="R3708" t="str">
            <v>J6</v>
          </cell>
          <cell r="S3708" t="str">
            <v>ENTREGADO</v>
          </cell>
          <cell r="T3708">
            <v>0</v>
          </cell>
          <cell r="U3708" t="str">
            <v>JIMENEZ MACHACA JAVIER</v>
          </cell>
          <cell r="V3708" t="str">
            <v>FLOREZ CONDORI  JOSE WILLIANS</v>
          </cell>
        </row>
        <row r="3709">
          <cell r="A3709">
            <v>3739</v>
          </cell>
          <cell r="B3709">
            <v>42738</v>
          </cell>
          <cell r="C3709" t="str">
            <v>ENERO</v>
          </cell>
          <cell r="D3709" t="str">
            <v>2017</v>
          </cell>
          <cell r="E3709">
            <v>738</v>
          </cell>
          <cell r="F3709" t="str">
            <v>ABP-729</v>
          </cell>
          <cell r="G3709" t="str">
            <v>D8K-985</v>
          </cell>
          <cell r="H3709" t="str">
            <v>LAS BAMBAS</v>
          </cell>
          <cell r="I3709">
            <v>114046</v>
          </cell>
          <cell r="J3709" t="str">
            <v>REPUESTO</v>
          </cell>
          <cell r="K3709" t="str">
            <v>ARANDELA PLANA 3/8</v>
          </cell>
          <cell r="L3709">
            <v>6</v>
          </cell>
          <cell r="M3709" t="str">
            <v>UNID.</v>
          </cell>
          <cell r="N3709" t="str">
            <v>TRACTO</v>
          </cell>
          <cell r="O3709">
            <v>52</v>
          </cell>
          <cell r="P3709" t="str">
            <v>S3</v>
          </cell>
          <cell r="Q3709" t="str">
            <v>J1</v>
          </cell>
          <cell r="R3709" t="str">
            <v>J6</v>
          </cell>
          <cell r="S3709" t="str">
            <v>ENTREGADO</v>
          </cell>
          <cell r="T3709">
            <v>0</v>
          </cell>
          <cell r="U3709" t="str">
            <v>JIMENEZ MACHACA JAVIER</v>
          </cell>
          <cell r="V3709" t="str">
            <v>FLOREZ CONDORI  JOSE WILLIANS</v>
          </cell>
        </row>
        <row r="3710">
          <cell r="A3710">
            <v>3768</v>
          </cell>
          <cell r="B3710">
            <v>42738</v>
          </cell>
          <cell r="C3710" t="str">
            <v>ENERO</v>
          </cell>
          <cell r="D3710" t="str">
            <v>2017</v>
          </cell>
          <cell r="E3710">
            <v>745</v>
          </cell>
          <cell r="F3710" t="str">
            <v>ABR-759</v>
          </cell>
          <cell r="G3710" t="str">
            <v>D0Z-995</v>
          </cell>
          <cell r="H3710" t="str">
            <v>LAS BAMBAS</v>
          </cell>
          <cell r="I3710">
            <v>115751</v>
          </cell>
          <cell r="J3710" t="str">
            <v>REPUESTO</v>
          </cell>
          <cell r="K3710" t="str">
            <v>MULTIPLE DE ESCAPE FRONTAL</v>
          </cell>
          <cell r="L3710">
            <v>1</v>
          </cell>
          <cell r="M3710" t="str">
            <v>UNID.</v>
          </cell>
          <cell r="N3710" t="str">
            <v>TRACTO</v>
          </cell>
          <cell r="O3710">
            <v>52</v>
          </cell>
          <cell r="P3710" t="str">
            <v>M8</v>
          </cell>
          <cell r="Q3710" t="str">
            <v>J1</v>
          </cell>
          <cell r="R3710" t="str">
            <v>J6</v>
          </cell>
          <cell r="S3710" t="str">
            <v>ENTREGADO</v>
          </cell>
          <cell r="T3710">
            <v>0</v>
          </cell>
          <cell r="U3710" t="str">
            <v>VARILLAS GAGO  OSCAR ALBERTO</v>
          </cell>
          <cell r="V3710" t="str">
            <v>FLOREZ CONDORI  JOSE WILLIANS</v>
          </cell>
        </row>
        <row r="3711">
          <cell r="A3711">
            <v>3769</v>
          </cell>
          <cell r="B3711">
            <v>42738</v>
          </cell>
          <cell r="C3711" t="str">
            <v>ENERO</v>
          </cell>
          <cell r="D3711" t="str">
            <v>2017</v>
          </cell>
          <cell r="E3711">
            <v>745</v>
          </cell>
          <cell r="F3711" t="str">
            <v>ABR-759</v>
          </cell>
          <cell r="G3711" t="str">
            <v>D0Z-995</v>
          </cell>
          <cell r="H3711" t="str">
            <v>LAS BAMBAS</v>
          </cell>
          <cell r="I3711">
            <v>115751</v>
          </cell>
          <cell r="J3711" t="str">
            <v>REPUESTO</v>
          </cell>
          <cell r="K3711" t="str">
            <v>JUEGO DE EMPAQUE MULTIPLE DE ESCAPE</v>
          </cell>
          <cell r="L3711">
            <v>1</v>
          </cell>
          <cell r="M3711" t="str">
            <v>UNID.</v>
          </cell>
          <cell r="N3711" t="str">
            <v>TRACTO</v>
          </cell>
          <cell r="O3711">
            <v>52</v>
          </cell>
          <cell r="P3711" t="str">
            <v>M8</v>
          </cell>
          <cell r="Q3711" t="str">
            <v>J1</v>
          </cell>
          <cell r="R3711" t="str">
            <v>J6</v>
          </cell>
          <cell r="S3711" t="str">
            <v>ENTREGADO</v>
          </cell>
          <cell r="T3711">
            <v>0</v>
          </cell>
          <cell r="U3711" t="str">
            <v>VARILLAS GAGO  OSCAR ALBERTO</v>
          </cell>
          <cell r="V3711" t="str">
            <v>FLOREZ CONDORI  JOSE WILLIANS</v>
          </cell>
        </row>
        <row r="3712">
          <cell r="A3712">
            <v>3770</v>
          </cell>
          <cell r="B3712">
            <v>42738</v>
          </cell>
          <cell r="C3712" t="str">
            <v>ENERO</v>
          </cell>
          <cell r="D3712" t="str">
            <v>2017</v>
          </cell>
          <cell r="E3712">
            <v>745</v>
          </cell>
          <cell r="F3712" t="str">
            <v>ABR-759</v>
          </cell>
          <cell r="G3712" t="str">
            <v>D0Z-995</v>
          </cell>
          <cell r="H3712" t="str">
            <v>LAS BAMBAS</v>
          </cell>
          <cell r="I3712">
            <v>115751</v>
          </cell>
          <cell r="J3712" t="str">
            <v>REPUESTO</v>
          </cell>
          <cell r="K3712" t="str">
            <v>EMPAQUE RECTANGULAR DE TURBO</v>
          </cell>
          <cell r="L3712">
            <v>1</v>
          </cell>
          <cell r="M3712" t="str">
            <v>UNID.</v>
          </cell>
          <cell r="N3712" t="str">
            <v>TRACTO</v>
          </cell>
          <cell r="O3712">
            <v>52</v>
          </cell>
          <cell r="P3712" t="str">
            <v>M8</v>
          </cell>
          <cell r="Q3712" t="str">
            <v>J1</v>
          </cell>
          <cell r="R3712" t="str">
            <v>J6</v>
          </cell>
          <cell r="S3712" t="str">
            <v>ENTREGADO</v>
          </cell>
          <cell r="T3712">
            <v>0</v>
          </cell>
          <cell r="U3712" t="str">
            <v>VARILLAS GAGO  OSCAR ALBERTO</v>
          </cell>
          <cell r="V3712" t="str">
            <v>FLOREZ CONDORI  JOSE WILLIANS</v>
          </cell>
        </row>
        <row r="3713">
          <cell r="A3713">
            <v>3771</v>
          </cell>
          <cell r="B3713">
            <v>42738</v>
          </cell>
          <cell r="C3713" t="str">
            <v>ENERO</v>
          </cell>
          <cell r="D3713" t="str">
            <v>2017</v>
          </cell>
          <cell r="E3713">
            <v>745</v>
          </cell>
          <cell r="F3713" t="str">
            <v>ABR-759</v>
          </cell>
          <cell r="G3713" t="str">
            <v>D0Z-995</v>
          </cell>
          <cell r="H3713" t="str">
            <v>LAS BAMBAS</v>
          </cell>
          <cell r="I3713">
            <v>115751</v>
          </cell>
          <cell r="J3713" t="str">
            <v>REPUESTO</v>
          </cell>
          <cell r="K3713" t="str">
            <v>EMPAQUE DE RETORNO DE ACEITE TURBO</v>
          </cell>
          <cell r="L3713">
            <v>1</v>
          </cell>
          <cell r="M3713" t="str">
            <v>UNID.</v>
          </cell>
          <cell r="N3713" t="str">
            <v>TRACTO</v>
          </cell>
          <cell r="O3713">
            <v>52</v>
          </cell>
          <cell r="P3713" t="str">
            <v>M8</v>
          </cell>
          <cell r="Q3713" t="str">
            <v>J1</v>
          </cell>
          <cell r="R3713" t="str">
            <v>J6</v>
          </cell>
          <cell r="S3713" t="str">
            <v>ENTREGADO</v>
          </cell>
          <cell r="T3713">
            <v>0</v>
          </cell>
          <cell r="U3713" t="str">
            <v>VARILLAS GAGO  OSCAR ALBERTO</v>
          </cell>
          <cell r="V3713" t="str">
            <v>FLOREZ CONDORI  JOSE WILLIANS</v>
          </cell>
        </row>
        <row r="3714">
          <cell r="A3714">
            <v>3772</v>
          </cell>
          <cell r="B3714">
            <v>42738</v>
          </cell>
          <cell r="C3714" t="str">
            <v>ENERO</v>
          </cell>
          <cell r="D3714" t="str">
            <v>2017</v>
          </cell>
          <cell r="E3714">
            <v>745</v>
          </cell>
          <cell r="F3714" t="str">
            <v>ABR-759</v>
          </cell>
          <cell r="G3714" t="str">
            <v>D0Z-995</v>
          </cell>
          <cell r="H3714" t="str">
            <v>LAS BAMBAS</v>
          </cell>
          <cell r="I3714">
            <v>115751</v>
          </cell>
          <cell r="J3714" t="str">
            <v>REPUESTO</v>
          </cell>
          <cell r="K3714" t="str">
            <v>PERNOS DE MULTIPLE DE ESCAPE</v>
          </cell>
          <cell r="L3714">
            <v>12</v>
          </cell>
          <cell r="M3714" t="str">
            <v>UNID.</v>
          </cell>
          <cell r="N3714" t="str">
            <v>TRACTO</v>
          </cell>
          <cell r="O3714">
            <v>52</v>
          </cell>
          <cell r="P3714" t="str">
            <v>M8</v>
          </cell>
          <cell r="Q3714" t="str">
            <v>J1</v>
          </cell>
          <cell r="R3714" t="str">
            <v>J6</v>
          </cell>
          <cell r="S3714" t="str">
            <v>ENTREGADO</v>
          </cell>
          <cell r="T3714">
            <v>0</v>
          </cell>
          <cell r="U3714" t="str">
            <v>VARILLAS GAGO  OSCAR ALBERTO</v>
          </cell>
          <cell r="V3714" t="str">
            <v>FLOREZ CONDORI  JOSE WILLIANS</v>
          </cell>
        </row>
        <row r="3715">
          <cell r="A3715">
            <v>3756</v>
          </cell>
          <cell r="B3715">
            <v>42738</v>
          </cell>
          <cell r="C3715" t="str">
            <v>ENERO</v>
          </cell>
          <cell r="D3715" t="str">
            <v>2017</v>
          </cell>
          <cell r="E3715">
            <v>687</v>
          </cell>
          <cell r="F3715" t="str">
            <v>AEH-862</v>
          </cell>
          <cell r="G3715" t="str">
            <v>CAMIONETA</v>
          </cell>
          <cell r="H3715" t="str">
            <v>LAS BAMBAS</v>
          </cell>
          <cell r="I3715">
            <v>102287</v>
          </cell>
          <cell r="J3715" t="str">
            <v>REPUESTO</v>
          </cell>
          <cell r="K3715" t="str">
            <v>FOCO DOBLE CONTACTO DE 12 V</v>
          </cell>
          <cell r="L3715">
            <v>1</v>
          </cell>
          <cell r="M3715" t="str">
            <v>UNID.</v>
          </cell>
          <cell r="N3715" t="str">
            <v>CAMIONETA</v>
          </cell>
          <cell r="O3715">
            <v>52</v>
          </cell>
          <cell r="P3715" t="str">
            <v>E3</v>
          </cell>
          <cell r="Q3715" t="str">
            <v>J1</v>
          </cell>
          <cell r="R3715" t="str">
            <v>J6</v>
          </cell>
          <cell r="S3715" t="str">
            <v>ENTREGADO</v>
          </cell>
          <cell r="T3715">
            <v>0</v>
          </cell>
          <cell r="U3715" t="str">
            <v>CONDORI CHURATA ALEX</v>
          </cell>
          <cell r="V3715" t="str">
            <v>FLOREZ CONDORI  JOSE WILLIANS</v>
          </cell>
        </row>
        <row r="3716">
          <cell r="A3716">
            <v>3710</v>
          </cell>
          <cell r="B3716">
            <v>42738</v>
          </cell>
          <cell r="C3716" t="str">
            <v>ENERO</v>
          </cell>
          <cell r="D3716" t="str">
            <v>2017</v>
          </cell>
          <cell r="E3716">
            <v>739</v>
          </cell>
          <cell r="F3716" t="str">
            <v>C5R-895</v>
          </cell>
          <cell r="G3716" t="str">
            <v>TBL-976</v>
          </cell>
          <cell r="H3716" t="str">
            <v>LAS BAMBAS</v>
          </cell>
          <cell r="I3716">
            <v>172840</v>
          </cell>
          <cell r="J3716" t="str">
            <v>REPUESTO</v>
          </cell>
          <cell r="K3716" t="str">
            <v>FOCO LAGRIMON DOBLE CONTACTO</v>
          </cell>
          <cell r="L3716">
            <v>1</v>
          </cell>
          <cell r="M3716" t="str">
            <v>UNID.</v>
          </cell>
          <cell r="N3716" t="str">
            <v>TRACTO</v>
          </cell>
          <cell r="O3716">
            <v>52</v>
          </cell>
          <cell r="P3716" t="str">
            <v>E3</v>
          </cell>
          <cell r="Q3716" t="str">
            <v>J1</v>
          </cell>
          <cell r="R3716" t="str">
            <v>J6</v>
          </cell>
          <cell r="S3716" t="str">
            <v>ENTREGADO</v>
          </cell>
          <cell r="T3716">
            <v>0</v>
          </cell>
          <cell r="U3716" t="str">
            <v>CONDORI CHURATA ALEX</v>
          </cell>
          <cell r="V3716" t="str">
            <v>FLOREZ CONDORI  JOSE WILLIANS</v>
          </cell>
        </row>
        <row r="3717">
          <cell r="A3717">
            <v>3764</v>
          </cell>
          <cell r="B3717">
            <v>42738</v>
          </cell>
          <cell r="C3717" t="str">
            <v>ENERO</v>
          </cell>
          <cell r="D3717" t="str">
            <v>2017</v>
          </cell>
          <cell r="E3717">
            <v>744</v>
          </cell>
          <cell r="F3717" t="str">
            <v>C5R-899</v>
          </cell>
          <cell r="G3717" t="str">
            <v>A0U-978</v>
          </cell>
          <cell r="H3717" t="str">
            <v>LAS BAMBAS</v>
          </cell>
          <cell r="I3717">
            <v>257974</v>
          </cell>
          <cell r="J3717" t="str">
            <v>REPUESTO</v>
          </cell>
          <cell r="K3717" t="str">
            <v>CABLE NRO. 14</v>
          </cell>
          <cell r="L3717">
            <v>5</v>
          </cell>
          <cell r="M3717" t="str">
            <v>M</v>
          </cell>
          <cell r="N3717" t="str">
            <v>CISTERNA</v>
          </cell>
          <cell r="O3717">
            <v>52</v>
          </cell>
          <cell r="P3717" t="str">
            <v>E2</v>
          </cell>
          <cell r="Q3717" t="str">
            <v>J1</v>
          </cell>
          <cell r="R3717" t="str">
            <v>J6</v>
          </cell>
          <cell r="S3717" t="str">
            <v>ENTREGADO</v>
          </cell>
          <cell r="T3717">
            <v>0</v>
          </cell>
          <cell r="U3717" t="str">
            <v>YUCA BELLIDO BORIS YERSY</v>
          </cell>
          <cell r="V3717" t="str">
            <v>FLOREZ CONDORI  JOSE WILLIANS</v>
          </cell>
        </row>
        <row r="3718">
          <cell r="A3718">
            <v>3765</v>
          </cell>
          <cell r="B3718">
            <v>42738</v>
          </cell>
          <cell r="C3718" t="str">
            <v>ENERO</v>
          </cell>
          <cell r="D3718" t="str">
            <v>2017</v>
          </cell>
          <cell r="E3718">
            <v>744</v>
          </cell>
          <cell r="F3718" t="str">
            <v>C5R-899</v>
          </cell>
          <cell r="G3718" t="str">
            <v>A0U-978</v>
          </cell>
          <cell r="H3718" t="str">
            <v>LAS BAMBAS</v>
          </cell>
          <cell r="I3718">
            <v>257974</v>
          </cell>
          <cell r="J3718" t="str">
            <v>REPUESTO</v>
          </cell>
          <cell r="K3718" t="str">
            <v>FOCO DE DOBLE CONTACTO DE 12 V</v>
          </cell>
          <cell r="L3718">
            <v>1</v>
          </cell>
          <cell r="M3718" t="str">
            <v>UNID.</v>
          </cell>
          <cell r="N3718" t="str">
            <v>TRACTO</v>
          </cell>
          <cell r="O3718">
            <v>52</v>
          </cell>
          <cell r="P3718" t="str">
            <v>E2</v>
          </cell>
          <cell r="Q3718" t="str">
            <v>J1</v>
          </cell>
          <cell r="R3718" t="str">
            <v>J6</v>
          </cell>
          <cell r="S3718" t="str">
            <v>ENTREGADO</v>
          </cell>
          <cell r="T3718">
            <v>0</v>
          </cell>
          <cell r="U3718" t="str">
            <v>YUCA BELLIDO BORIS YERSY</v>
          </cell>
          <cell r="V3718" t="str">
            <v>FLOREZ CONDORI  JOSE WILLIANS</v>
          </cell>
        </row>
        <row r="3719">
          <cell r="A3719">
            <v>3767</v>
          </cell>
          <cell r="B3719">
            <v>42738</v>
          </cell>
          <cell r="C3719" t="str">
            <v>ENERO</v>
          </cell>
          <cell r="D3719" t="str">
            <v>2017</v>
          </cell>
          <cell r="E3719">
            <v>744</v>
          </cell>
          <cell r="F3719" t="str">
            <v>C5R-899</v>
          </cell>
          <cell r="G3719" t="str">
            <v>A0U-978</v>
          </cell>
          <cell r="H3719" t="str">
            <v>LAS BAMBAS</v>
          </cell>
          <cell r="I3719">
            <v>257974</v>
          </cell>
          <cell r="J3719" t="str">
            <v>REPUESTO</v>
          </cell>
          <cell r="K3719" t="str">
            <v>RETEN DE RUEDA DE TRACCION 47691SKF</v>
          </cell>
          <cell r="L3719">
            <v>1</v>
          </cell>
          <cell r="M3719" t="str">
            <v>UNID.</v>
          </cell>
          <cell r="N3719" t="str">
            <v>TRACTO</v>
          </cell>
          <cell r="O3719">
            <v>52</v>
          </cell>
          <cell r="P3719" t="str">
            <v>M8</v>
          </cell>
          <cell r="Q3719" t="str">
            <v>J1</v>
          </cell>
          <cell r="R3719" t="str">
            <v>J6</v>
          </cell>
          <cell r="S3719" t="str">
            <v>ENTREGADO</v>
          </cell>
          <cell r="T3719">
            <v>0</v>
          </cell>
          <cell r="U3719" t="str">
            <v>VARILLAS GAGO  OSCAR ALBERTO</v>
          </cell>
          <cell r="V3719" t="str">
            <v>FLOREZ CONDORI  JOSE WILLIANS</v>
          </cell>
        </row>
        <row r="3720">
          <cell r="A3720">
            <v>3731</v>
          </cell>
          <cell r="B3720">
            <v>42738</v>
          </cell>
          <cell r="C3720" t="str">
            <v>ENERO</v>
          </cell>
          <cell r="D3720" t="str">
            <v>2017</v>
          </cell>
          <cell r="E3720">
            <v>733</v>
          </cell>
          <cell r="F3720" t="str">
            <v>C9N-807</v>
          </cell>
          <cell r="G3720" t="str">
            <v>B4O-994</v>
          </cell>
          <cell r="H3720" t="str">
            <v>LAS BAMBAS</v>
          </cell>
          <cell r="I3720">
            <v>214163</v>
          </cell>
          <cell r="J3720" t="str">
            <v>REPUESTO</v>
          </cell>
          <cell r="K3720" t="str">
            <v>FARO RECTANGULAR AMBAR</v>
          </cell>
          <cell r="L3720">
            <v>1</v>
          </cell>
          <cell r="M3720" t="str">
            <v>UNID.</v>
          </cell>
          <cell r="N3720" t="str">
            <v>TRACTO</v>
          </cell>
          <cell r="O3720">
            <v>52</v>
          </cell>
          <cell r="P3720" t="str">
            <v>E2</v>
          </cell>
          <cell r="Q3720" t="str">
            <v>J1</v>
          </cell>
          <cell r="R3720" t="str">
            <v>J5</v>
          </cell>
          <cell r="S3720" t="str">
            <v>ENTREGADO</v>
          </cell>
          <cell r="T3720">
            <v>0</v>
          </cell>
          <cell r="U3720" t="str">
            <v>YUCA BELLIDO BORIS YERSY</v>
          </cell>
          <cell r="V3720" t="str">
            <v>FLOREZ CONDORI  JOSE WILLIANS</v>
          </cell>
        </row>
        <row r="3721">
          <cell r="A3721">
            <v>3740</v>
          </cell>
          <cell r="B3721">
            <v>42738</v>
          </cell>
          <cell r="C3721" t="str">
            <v>ENERO</v>
          </cell>
          <cell r="D3721" t="str">
            <v>2017</v>
          </cell>
          <cell r="E3721">
            <v>733</v>
          </cell>
          <cell r="F3721" t="str">
            <v>C9N-807</v>
          </cell>
          <cell r="G3721" t="str">
            <v>B4O-994</v>
          </cell>
          <cell r="H3721" t="str">
            <v>LAS BAMBAS</v>
          </cell>
          <cell r="I3721">
            <v>214163</v>
          </cell>
          <cell r="J3721" t="str">
            <v>REPUESTO</v>
          </cell>
          <cell r="K3721" t="str">
            <v>PERNO 5/8 X 6</v>
          </cell>
          <cell r="L3721">
            <v>2</v>
          </cell>
          <cell r="M3721" t="str">
            <v>UNID.</v>
          </cell>
          <cell r="N3721" t="str">
            <v>TRACTO</v>
          </cell>
          <cell r="O3721">
            <v>52</v>
          </cell>
          <cell r="P3721" t="str">
            <v>M4</v>
          </cell>
          <cell r="Q3721" t="str">
            <v>J1</v>
          </cell>
          <cell r="R3721" t="str">
            <v>J6</v>
          </cell>
          <cell r="S3721" t="str">
            <v>ENTREGADO</v>
          </cell>
          <cell r="T3721">
            <v>0</v>
          </cell>
          <cell r="U3721" t="str">
            <v>JULLIRI APAZA UBALDO</v>
          </cell>
          <cell r="V3721" t="str">
            <v>FLOREZ CONDORI  JOSE WILLIANS</v>
          </cell>
        </row>
        <row r="3722">
          <cell r="A3722">
            <v>3741</v>
          </cell>
          <cell r="B3722">
            <v>42738</v>
          </cell>
          <cell r="C3722" t="str">
            <v>ENERO</v>
          </cell>
          <cell r="D3722" t="str">
            <v>2017</v>
          </cell>
          <cell r="E3722">
            <v>733</v>
          </cell>
          <cell r="F3722" t="str">
            <v>C9N-807</v>
          </cell>
          <cell r="G3722" t="str">
            <v>B4O-994</v>
          </cell>
          <cell r="H3722" t="str">
            <v>LAS BAMBAS</v>
          </cell>
          <cell r="I3722">
            <v>214163</v>
          </cell>
          <cell r="J3722" t="str">
            <v>REPUESTO</v>
          </cell>
          <cell r="K3722" t="str">
            <v>TUERCA SEGURO 5/8</v>
          </cell>
          <cell r="L3722">
            <v>2</v>
          </cell>
          <cell r="M3722" t="str">
            <v>UNID.</v>
          </cell>
          <cell r="N3722" t="str">
            <v>TRACTO</v>
          </cell>
          <cell r="O3722">
            <v>52</v>
          </cell>
          <cell r="P3722" t="str">
            <v>M4</v>
          </cell>
          <cell r="Q3722" t="str">
            <v>J1</v>
          </cell>
          <cell r="R3722" t="str">
            <v>J6</v>
          </cell>
          <cell r="S3722" t="str">
            <v>ENTREGADO</v>
          </cell>
          <cell r="T3722">
            <v>0</v>
          </cell>
          <cell r="U3722" t="str">
            <v>JULLIRI APAZA UBALDO</v>
          </cell>
          <cell r="V3722" t="str">
            <v>FLOREZ CONDORI  JOSE WILLIANS</v>
          </cell>
        </row>
        <row r="3723">
          <cell r="A3723">
            <v>3742</v>
          </cell>
          <cell r="B3723">
            <v>42738</v>
          </cell>
          <cell r="C3723" t="str">
            <v>ENERO</v>
          </cell>
          <cell r="D3723" t="str">
            <v>2017</v>
          </cell>
          <cell r="E3723">
            <v>733</v>
          </cell>
          <cell r="F3723" t="str">
            <v>C9N-807</v>
          </cell>
          <cell r="G3723" t="str">
            <v>B4O-994</v>
          </cell>
          <cell r="H3723" t="str">
            <v>LAS BAMBAS</v>
          </cell>
          <cell r="I3723">
            <v>214163</v>
          </cell>
          <cell r="J3723" t="str">
            <v>REPUESTO</v>
          </cell>
          <cell r="K3723" t="str">
            <v>ARANDELA PLANA 5/8</v>
          </cell>
          <cell r="L3723">
            <v>4</v>
          </cell>
          <cell r="M3723" t="str">
            <v>UNID.</v>
          </cell>
          <cell r="N3723" t="str">
            <v>TRACTO</v>
          </cell>
          <cell r="O3723">
            <v>52</v>
          </cell>
          <cell r="P3723" t="str">
            <v>M4</v>
          </cell>
          <cell r="Q3723" t="str">
            <v>J1</v>
          </cell>
          <cell r="R3723" t="str">
            <v>J6</v>
          </cell>
          <cell r="S3723" t="str">
            <v>ENTREGADO</v>
          </cell>
          <cell r="T3723">
            <v>0</v>
          </cell>
          <cell r="U3723" t="str">
            <v>JULLIRI APAZA UBALDO</v>
          </cell>
          <cell r="V3723" t="str">
            <v>FLOREZ CONDORI  JOSE WILLIANS</v>
          </cell>
        </row>
        <row r="3724">
          <cell r="A3724">
            <v>3743</v>
          </cell>
          <cell r="B3724">
            <v>42738</v>
          </cell>
          <cell r="C3724" t="str">
            <v>ENERO</v>
          </cell>
          <cell r="D3724" t="str">
            <v>2017</v>
          </cell>
          <cell r="E3724">
            <v>733</v>
          </cell>
          <cell r="F3724" t="str">
            <v>C9N-807</v>
          </cell>
          <cell r="G3724" t="str">
            <v>B4O-994</v>
          </cell>
          <cell r="H3724" t="str">
            <v>LAS BAMBAS</v>
          </cell>
          <cell r="I3724">
            <v>214163</v>
          </cell>
          <cell r="J3724" t="str">
            <v>REPUESTO</v>
          </cell>
          <cell r="K3724" t="str">
            <v>PERNOS 5/16 X 3"</v>
          </cell>
          <cell r="L3724">
            <v>2</v>
          </cell>
          <cell r="M3724" t="str">
            <v>UNID.</v>
          </cell>
          <cell r="N3724" t="str">
            <v>TRACTO</v>
          </cell>
          <cell r="O3724">
            <v>52</v>
          </cell>
          <cell r="P3724" t="str">
            <v>S3</v>
          </cell>
          <cell r="Q3724" t="str">
            <v>J1</v>
          </cell>
          <cell r="R3724" t="str">
            <v>J5</v>
          </cell>
          <cell r="S3724" t="str">
            <v>ENTREGADO</v>
          </cell>
          <cell r="T3724">
            <v>0</v>
          </cell>
          <cell r="U3724" t="str">
            <v>JIMENEZ MACHACA JAVIER</v>
          </cell>
          <cell r="V3724" t="str">
            <v>FLOREZ CONDORI  JOSE WILLIANS</v>
          </cell>
        </row>
        <row r="3725">
          <cell r="A3725">
            <v>3744</v>
          </cell>
          <cell r="B3725">
            <v>42738</v>
          </cell>
          <cell r="C3725" t="str">
            <v>ENERO</v>
          </cell>
          <cell r="D3725" t="str">
            <v>2017</v>
          </cell>
          <cell r="E3725">
            <v>733</v>
          </cell>
          <cell r="F3725" t="str">
            <v>C9N-807</v>
          </cell>
          <cell r="G3725" t="str">
            <v>B4O-994</v>
          </cell>
          <cell r="H3725" t="str">
            <v>LAS BAMBAS</v>
          </cell>
          <cell r="I3725">
            <v>214163</v>
          </cell>
          <cell r="J3725" t="str">
            <v>REPUESTO</v>
          </cell>
          <cell r="K3725" t="str">
            <v>VOLANDAS 5/16</v>
          </cell>
          <cell r="L3725">
            <v>4</v>
          </cell>
          <cell r="M3725" t="str">
            <v>UNID.</v>
          </cell>
          <cell r="N3725" t="str">
            <v>TRACTO</v>
          </cell>
          <cell r="O3725">
            <v>52</v>
          </cell>
          <cell r="P3725" t="str">
            <v>S3</v>
          </cell>
          <cell r="Q3725" t="str">
            <v>J1</v>
          </cell>
          <cell r="R3725" t="str">
            <v>J5</v>
          </cell>
          <cell r="S3725" t="str">
            <v>ENTREGADO</v>
          </cell>
          <cell r="T3725">
            <v>0</v>
          </cell>
          <cell r="U3725" t="str">
            <v>JIMENEZ MACHACA JAVIER</v>
          </cell>
          <cell r="V3725" t="str">
            <v>FLOREZ CONDORI  JOSE WILLIANS</v>
          </cell>
        </row>
        <row r="3726">
          <cell r="A3726">
            <v>3745</v>
          </cell>
          <cell r="B3726">
            <v>42738</v>
          </cell>
          <cell r="C3726" t="str">
            <v>ENERO</v>
          </cell>
          <cell r="D3726" t="str">
            <v>2017</v>
          </cell>
          <cell r="E3726">
            <v>733</v>
          </cell>
          <cell r="F3726" t="str">
            <v>C9N-807</v>
          </cell>
          <cell r="G3726" t="str">
            <v>B4O-994</v>
          </cell>
          <cell r="H3726" t="str">
            <v>LAS BAMBAS</v>
          </cell>
          <cell r="I3726">
            <v>214163</v>
          </cell>
          <cell r="J3726" t="str">
            <v>REPUESTO</v>
          </cell>
          <cell r="K3726" t="str">
            <v>TUERCAS 5/16</v>
          </cell>
          <cell r="L3726">
            <v>2</v>
          </cell>
          <cell r="M3726" t="str">
            <v>UNID.</v>
          </cell>
          <cell r="N3726" t="str">
            <v>TRACTO</v>
          </cell>
          <cell r="O3726">
            <v>52</v>
          </cell>
          <cell r="P3726" t="str">
            <v>S3</v>
          </cell>
          <cell r="Q3726" t="str">
            <v>J1</v>
          </cell>
          <cell r="R3726" t="str">
            <v>J5</v>
          </cell>
          <cell r="S3726" t="str">
            <v>ENTREGADO</v>
          </cell>
          <cell r="T3726">
            <v>0</v>
          </cell>
          <cell r="U3726" t="str">
            <v>JIMENEZ MACHACA JAVIER</v>
          </cell>
          <cell r="V3726" t="str">
            <v>FLOREZ CONDORI  JOSE WILLIANS</v>
          </cell>
        </row>
        <row r="3727">
          <cell r="A3727">
            <v>3746</v>
          </cell>
          <cell r="B3727">
            <v>42738</v>
          </cell>
          <cell r="C3727" t="str">
            <v>ENERO</v>
          </cell>
          <cell r="D3727" t="str">
            <v>2017</v>
          </cell>
          <cell r="E3727">
            <v>733</v>
          </cell>
          <cell r="F3727" t="str">
            <v>C9N-807</v>
          </cell>
          <cell r="G3727" t="str">
            <v>B4O-994</v>
          </cell>
          <cell r="H3727" t="str">
            <v>LAS BAMBAS</v>
          </cell>
          <cell r="I3727">
            <v>214163</v>
          </cell>
          <cell r="J3727" t="str">
            <v>SERVICIO</v>
          </cell>
          <cell r="K3727" t="str">
            <v>SERVICIO DE REPARACIOND DE PETETE RADIO</v>
          </cell>
          <cell r="L3727">
            <v>1</v>
          </cell>
          <cell r="M3727" t="str">
            <v>UNID.</v>
          </cell>
          <cell r="N3727" t="str">
            <v>TRACTO</v>
          </cell>
          <cell r="O3727">
            <v>52</v>
          </cell>
          <cell r="P3727" t="str">
            <v>J1</v>
          </cell>
          <cell r="Q3727" t="str">
            <v>J1</v>
          </cell>
          <cell r="R3727" t="str">
            <v>J6</v>
          </cell>
          <cell r="S3727" t="str">
            <v>ENTREGADO</v>
          </cell>
          <cell r="T3727">
            <v>0</v>
          </cell>
          <cell r="U3727" t="str">
            <v>FLOREZ CONDORI  JOSE WILLIANS</v>
          </cell>
          <cell r="V3727" t="str">
            <v>FLOREZ CONDORI  JOSE WILLIANS</v>
          </cell>
        </row>
        <row r="3728">
          <cell r="A3728">
            <v>3762</v>
          </cell>
          <cell r="B3728">
            <v>42738</v>
          </cell>
          <cell r="C3728" t="str">
            <v>ENERO</v>
          </cell>
          <cell r="D3728" t="str">
            <v>2017</v>
          </cell>
          <cell r="E3728">
            <v>650</v>
          </cell>
          <cell r="F3728" t="str">
            <v>D3P-730</v>
          </cell>
          <cell r="G3728" t="str">
            <v>TBM-980</v>
          </cell>
          <cell r="H3728" t="str">
            <v>LAS BAMBAS</v>
          </cell>
          <cell r="I3728">
            <v>109105</v>
          </cell>
          <cell r="J3728" t="str">
            <v>REPUESTO</v>
          </cell>
          <cell r="K3728" t="str">
            <v>FOCO DE DOBLE CONTACTO LAGRIMON AMBAR</v>
          </cell>
          <cell r="L3728">
            <v>1</v>
          </cell>
          <cell r="M3728" t="str">
            <v>UNID.</v>
          </cell>
          <cell r="N3728" t="str">
            <v>TRACTO</v>
          </cell>
          <cell r="O3728">
            <v>52</v>
          </cell>
          <cell r="P3728" t="str">
            <v>E3</v>
          </cell>
          <cell r="Q3728" t="str">
            <v>J1</v>
          </cell>
          <cell r="R3728" t="str">
            <v>J6</v>
          </cell>
          <cell r="S3728" t="str">
            <v>ENTREGADO</v>
          </cell>
          <cell r="T3728">
            <v>0</v>
          </cell>
          <cell r="U3728" t="str">
            <v>CONDORI CHURATA ALEX</v>
          </cell>
          <cell r="V3728" t="str">
            <v>FLOREZ CONDORI  JOSE WILLIANS</v>
          </cell>
        </row>
        <row r="3729">
          <cell r="A3729">
            <v>3763</v>
          </cell>
          <cell r="B3729">
            <v>42738</v>
          </cell>
          <cell r="C3729" t="str">
            <v>ENERO</v>
          </cell>
          <cell r="D3729" t="str">
            <v>2017</v>
          </cell>
          <cell r="E3729">
            <v>650</v>
          </cell>
          <cell r="F3729" t="str">
            <v>D3P-730</v>
          </cell>
          <cell r="G3729" t="str">
            <v>TBM-980</v>
          </cell>
          <cell r="H3729" t="str">
            <v>LAS BAMBAS</v>
          </cell>
          <cell r="I3729">
            <v>109105</v>
          </cell>
          <cell r="J3729" t="str">
            <v>REPUESTO</v>
          </cell>
          <cell r="K3729" t="str">
            <v>FOCO PIRATA DE UN CONTACTO</v>
          </cell>
          <cell r="L3729">
            <v>1</v>
          </cell>
          <cell r="M3729" t="str">
            <v>UNID.</v>
          </cell>
          <cell r="N3729" t="str">
            <v>TRACTO</v>
          </cell>
          <cell r="O3729">
            <v>52</v>
          </cell>
          <cell r="P3729" t="str">
            <v>E3</v>
          </cell>
          <cell r="Q3729" t="str">
            <v>J1</v>
          </cell>
          <cell r="R3729" t="str">
            <v>J6</v>
          </cell>
          <cell r="S3729" t="str">
            <v>ENTREGADO</v>
          </cell>
          <cell r="T3729">
            <v>0</v>
          </cell>
          <cell r="U3729" t="str">
            <v>CONDORI CHURATA ALEX</v>
          </cell>
          <cell r="V3729" t="str">
            <v>FLOREZ CONDORI  JOSE WILLIANS</v>
          </cell>
        </row>
        <row r="3730">
          <cell r="A3730">
            <v>3705</v>
          </cell>
          <cell r="B3730">
            <v>42738</v>
          </cell>
          <cell r="C3730" t="str">
            <v>ENERO</v>
          </cell>
          <cell r="D3730" t="str">
            <v>2017</v>
          </cell>
          <cell r="E3730">
            <v>735</v>
          </cell>
          <cell r="F3730" t="str">
            <v>D3P-743</v>
          </cell>
          <cell r="G3730" t="str">
            <v>B8L-972</v>
          </cell>
          <cell r="H3730" t="str">
            <v>LAS BAMBAS</v>
          </cell>
          <cell r="I3730">
            <v>187087</v>
          </cell>
          <cell r="J3730" t="str">
            <v>REPUESTO</v>
          </cell>
          <cell r="K3730" t="str">
            <v>VALVULA DE PEDAL DE FRENO</v>
          </cell>
          <cell r="L3730">
            <v>1</v>
          </cell>
          <cell r="M3730" t="str">
            <v>UNID.</v>
          </cell>
          <cell r="N3730" t="str">
            <v>TRACTO</v>
          </cell>
          <cell r="O3730">
            <v>52</v>
          </cell>
          <cell r="P3730" t="str">
            <v>M8</v>
          </cell>
          <cell r="Q3730" t="str">
            <v>J1</v>
          </cell>
          <cell r="R3730" t="str">
            <v>J6</v>
          </cell>
          <cell r="S3730" t="str">
            <v>ENTREGADO</v>
          </cell>
          <cell r="T3730">
            <v>0</v>
          </cell>
          <cell r="U3730" t="str">
            <v>VARILLAS GAGO  OSCAR ALBERTO</v>
          </cell>
          <cell r="V3730" t="str">
            <v>FLOREZ CONDORI  JOSE WILLIANS</v>
          </cell>
        </row>
        <row r="3731">
          <cell r="A3731">
            <v>3706</v>
          </cell>
          <cell r="B3731">
            <v>42738</v>
          </cell>
          <cell r="C3731" t="str">
            <v>ENERO</v>
          </cell>
          <cell r="D3731" t="str">
            <v>2017</v>
          </cell>
          <cell r="E3731">
            <v>735</v>
          </cell>
          <cell r="F3731" t="str">
            <v>D3P-743</v>
          </cell>
          <cell r="G3731" t="str">
            <v>B8L-972</v>
          </cell>
          <cell r="H3731" t="str">
            <v>LAS BAMBAS</v>
          </cell>
          <cell r="I3731">
            <v>187087</v>
          </cell>
          <cell r="J3731" t="str">
            <v>REPUESTO</v>
          </cell>
          <cell r="K3731" t="str">
            <v>LLANTAS RENCAUCHADAS</v>
          </cell>
          <cell r="L3731">
            <v>4</v>
          </cell>
          <cell r="M3731" t="str">
            <v>UNID.</v>
          </cell>
          <cell r="N3731" t="str">
            <v>CISTERNA</v>
          </cell>
          <cell r="O3731">
            <v>52</v>
          </cell>
          <cell r="P3731" t="str">
            <v>N2</v>
          </cell>
          <cell r="Q3731" t="str">
            <v>J3</v>
          </cell>
          <cell r="R3731" t="str">
            <v>J6</v>
          </cell>
          <cell r="S3731" t="str">
            <v>ENTREGADO</v>
          </cell>
          <cell r="T3731">
            <v>0</v>
          </cell>
          <cell r="U3731" t="str">
            <v>MAMANI LARICO  EDUARDO ALVARO</v>
          </cell>
          <cell r="V3731" t="str">
            <v>CHURA PIZARRO ALBERTO</v>
          </cell>
        </row>
        <row r="3732">
          <cell r="A3732">
            <v>3707</v>
          </cell>
          <cell r="B3732">
            <v>42738</v>
          </cell>
          <cell r="C3732" t="str">
            <v>ENERO</v>
          </cell>
          <cell r="D3732" t="str">
            <v>2017</v>
          </cell>
          <cell r="E3732">
            <v>735</v>
          </cell>
          <cell r="F3732" t="str">
            <v>D3P-743</v>
          </cell>
          <cell r="G3732" t="str">
            <v>B8L-972</v>
          </cell>
          <cell r="H3732" t="str">
            <v>LAS BAMBAS</v>
          </cell>
          <cell r="I3732">
            <v>187087</v>
          </cell>
          <cell r="J3732" t="str">
            <v>REPUESTO</v>
          </cell>
          <cell r="K3732" t="str">
            <v>SPRAY COLOR BLANCO</v>
          </cell>
          <cell r="L3732">
            <v>1</v>
          </cell>
          <cell r="M3732" t="str">
            <v>UNID.</v>
          </cell>
          <cell r="N3732" t="str">
            <v>TALLER</v>
          </cell>
          <cell r="O3732">
            <v>52</v>
          </cell>
          <cell r="P3732" t="str">
            <v>N2</v>
          </cell>
          <cell r="Q3732" t="str">
            <v>J3</v>
          </cell>
          <cell r="R3732" t="str">
            <v>J6</v>
          </cell>
          <cell r="S3732" t="str">
            <v>ENTREGADO</v>
          </cell>
          <cell r="T3732">
            <v>0</v>
          </cell>
          <cell r="U3732" t="str">
            <v>MAMANI LARICO  EDUARDO ALVARO</v>
          </cell>
          <cell r="V3732" t="str">
            <v>CHURA PIZARRO ALBERTO</v>
          </cell>
        </row>
        <row r="3733">
          <cell r="A3733">
            <v>3708</v>
          </cell>
          <cell r="B3733">
            <v>42738</v>
          </cell>
          <cell r="C3733" t="str">
            <v>ENERO</v>
          </cell>
          <cell r="D3733" t="str">
            <v>2017</v>
          </cell>
          <cell r="E3733">
            <v>735</v>
          </cell>
          <cell r="F3733" t="str">
            <v>D3P-743</v>
          </cell>
          <cell r="G3733" t="str">
            <v>B8L-972</v>
          </cell>
          <cell r="H3733" t="str">
            <v>LAS BAMBAS</v>
          </cell>
          <cell r="I3733">
            <v>187087</v>
          </cell>
          <cell r="J3733" t="str">
            <v>REPUESTO</v>
          </cell>
          <cell r="K3733" t="str">
            <v>SPRAY COLOR ALUMINIO</v>
          </cell>
          <cell r="L3733">
            <v>1</v>
          </cell>
          <cell r="M3733" t="str">
            <v>UNID.</v>
          </cell>
          <cell r="N3733" t="str">
            <v>TALLER</v>
          </cell>
          <cell r="O3733">
            <v>52</v>
          </cell>
          <cell r="P3733" t="str">
            <v>N2</v>
          </cell>
          <cell r="Q3733" t="str">
            <v>J3</v>
          </cell>
          <cell r="R3733" t="str">
            <v>J6</v>
          </cell>
          <cell r="S3733" t="str">
            <v>ENTREGADO</v>
          </cell>
          <cell r="T3733">
            <v>0</v>
          </cell>
          <cell r="U3733" t="str">
            <v>MAMANI LARICO  EDUARDO ALVARO</v>
          </cell>
          <cell r="V3733" t="str">
            <v>CHURA PIZARRO ALBERTO</v>
          </cell>
        </row>
        <row r="3734">
          <cell r="A3734">
            <v>3709</v>
          </cell>
          <cell r="B3734">
            <v>42738</v>
          </cell>
          <cell r="C3734" t="str">
            <v>ENERO</v>
          </cell>
          <cell r="D3734" t="str">
            <v>2017</v>
          </cell>
          <cell r="E3734">
            <v>735</v>
          </cell>
          <cell r="F3734" t="str">
            <v>D3P-743</v>
          </cell>
          <cell r="G3734" t="str">
            <v>B8L-972</v>
          </cell>
          <cell r="H3734" t="str">
            <v>LAS BAMBAS</v>
          </cell>
          <cell r="I3734">
            <v>187087</v>
          </cell>
          <cell r="J3734" t="str">
            <v>REPUESTO</v>
          </cell>
          <cell r="K3734" t="str">
            <v>AGUJAS PARA PITON</v>
          </cell>
          <cell r="L3734">
            <v>4</v>
          </cell>
          <cell r="M3734" t="str">
            <v>UNID.</v>
          </cell>
          <cell r="N3734" t="str">
            <v>CISTERNA</v>
          </cell>
          <cell r="O3734">
            <v>52</v>
          </cell>
          <cell r="P3734" t="str">
            <v>N2</v>
          </cell>
          <cell r="Q3734" t="str">
            <v>J3</v>
          </cell>
          <cell r="R3734" t="str">
            <v>J6</v>
          </cell>
          <cell r="S3734" t="str">
            <v>ENTREGADO</v>
          </cell>
          <cell r="T3734">
            <v>0</v>
          </cell>
          <cell r="U3734" t="str">
            <v>MAMANI LARICO  EDUARDO ALVARO</v>
          </cell>
          <cell r="V3734" t="str">
            <v>CHURA PIZARRO ALBERTO</v>
          </cell>
        </row>
        <row r="3735">
          <cell r="A3735">
            <v>3718</v>
          </cell>
          <cell r="B3735">
            <v>42738</v>
          </cell>
          <cell r="C3735" t="str">
            <v>ENERO</v>
          </cell>
          <cell r="D3735" t="str">
            <v>2017</v>
          </cell>
          <cell r="E3735">
            <v>735</v>
          </cell>
          <cell r="F3735" t="str">
            <v>D3P-743</v>
          </cell>
          <cell r="G3735" t="str">
            <v>B8L-972</v>
          </cell>
          <cell r="H3735" t="str">
            <v>LAS BAMBAS</v>
          </cell>
          <cell r="I3735">
            <v>187087</v>
          </cell>
          <cell r="J3735" t="str">
            <v>REPUESTO</v>
          </cell>
          <cell r="K3735" t="str">
            <v>MULTIPLE DE ESCAPE EN Y CENTRAL</v>
          </cell>
          <cell r="L3735">
            <v>1</v>
          </cell>
          <cell r="M3735" t="str">
            <v>UNID.</v>
          </cell>
          <cell r="N3735" t="str">
            <v>TRACTO</v>
          </cell>
          <cell r="O3735">
            <v>52</v>
          </cell>
          <cell r="P3735" t="str">
            <v>M8</v>
          </cell>
          <cell r="Q3735" t="str">
            <v>J1</v>
          </cell>
          <cell r="R3735" t="str">
            <v>J6</v>
          </cell>
          <cell r="S3735" t="str">
            <v>ENTREGADO</v>
          </cell>
          <cell r="T3735">
            <v>0</v>
          </cell>
          <cell r="U3735" t="str">
            <v>VARILLAS GAGO  OSCAR ALBERTO</v>
          </cell>
          <cell r="V3735" t="str">
            <v>FLOREZ CONDORI  JOSE WILLIANS</v>
          </cell>
        </row>
        <row r="3736">
          <cell r="A3736">
            <v>3719</v>
          </cell>
          <cell r="B3736">
            <v>42738</v>
          </cell>
          <cell r="C3736" t="str">
            <v>ENERO</v>
          </cell>
          <cell r="D3736" t="str">
            <v>2017</v>
          </cell>
          <cell r="E3736">
            <v>735</v>
          </cell>
          <cell r="F3736" t="str">
            <v>D3P-743</v>
          </cell>
          <cell r="G3736" t="str">
            <v>B8L-972</v>
          </cell>
          <cell r="H3736" t="str">
            <v>LAS BAMBAS</v>
          </cell>
          <cell r="I3736">
            <v>187087</v>
          </cell>
          <cell r="J3736" t="str">
            <v>REPUESTO</v>
          </cell>
          <cell r="K3736" t="str">
            <v>JUEGO DE EMPAQUETADURA MULTIPLE DE ESCAPE</v>
          </cell>
          <cell r="L3736">
            <v>1</v>
          </cell>
          <cell r="M3736" t="str">
            <v>JUEGO</v>
          </cell>
          <cell r="N3736" t="str">
            <v>TRACTO</v>
          </cell>
          <cell r="O3736">
            <v>52</v>
          </cell>
          <cell r="P3736" t="str">
            <v>M8</v>
          </cell>
          <cell r="Q3736" t="str">
            <v>J1</v>
          </cell>
          <cell r="R3736" t="str">
            <v>J6</v>
          </cell>
          <cell r="S3736" t="str">
            <v>ENTREGADO</v>
          </cell>
          <cell r="T3736">
            <v>0</v>
          </cell>
          <cell r="U3736" t="str">
            <v>VARILLAS GAGO  OSCAR ALBERTO</v>
          </cell>
          <cell r="V3736" t="str">
            <v>FLOREZ CONDORI  JOSE WILLIANS</v>
          </cell>
        </row>
        <row r="3737">
          <cell r="A3737">
            <v>3720</v>
          </cell>
          <cell r="B3737">
            <v>42738</v>
          </cell>
          <cell r="C3737" t="str">
            <v>ENERO</v>
          </cell>
          <cell r="D3737" t="str">
            <v>2017</v>
          </cell>
          <cell r="E3737">
            <v>735</v>
          </cell>
          <cell r="F3737" t="str">
            <v>D3P-743</v>
          </cell>
          <cell r="G3737" t="str">
            <v>B8L-972</v>
          </cell>
          <cell r="H3737" t="str">
            <v>LAS BAMBAS</v>
          </cell>
          <cell r="I3737">
            <v>187087</v>
          </cell>
          <cell r="J3737" t="str">
            <v>REPUESTO</v>
          </cell>
          <cell r="K3737" t="str">
            <v>EMPAQUE RECTANGULAR DE TURBO</v>
          </cell>
          <cell r="L3737">
            <v>1</v>
          </cell>
          <cell r="M3737" t="str">
            <v>UNID.</v>
          </cell>
          <cell r="N3737" t="str">
            <v>TRACTO</v>
          </cell>
          <cell r="O3737">
            <v>52</v>
          </cell>
          <cell r="P3737" t="str">
            <v>M8</v>
          </cell>
          <cell r="Q3737" t="str">
            <v>J1</v>
          </cell>
          <cell r="R3737" t="str">
            <v>J6</v>
          </cell>
          <cell r="S3737" t="str">
            <v>ENTREGADO</v>
          </cell>
          <cell r="T3737">
            <v>0</v>
          </cell>
          <cell r="U3737" t="str">
            <v>VARILLAS GAGO  OSCAR ALBERTO</v>
          </cell>
          <cell r="V3737" t="str">
            <v>FLOREZ CONDORI  JOSE WILLIANS</v>
          </cell>
        </row>
        <row r="3738">
          <cell r="A3738">
            <v>3721</v>
          </cell>
          <cell r="B3738">
            <v>42738</v>
          </cell>
          <cell r="C3738" t="str">
            <v>ENERO</v>
          </cell>
          <cell r="D3738" t="str">
            <v>2017</v>
          </cell>
          <cell r="E3738">
            <v>735</v>
          </cell>
          <cell r="F3738" t="str">
            <v>D3P-743</v>
          </cell>
          <cell r="G3738" t="str">
            <v>B8L-972</v>
          </cell>
          <cell r="H3738" t="str">
            <v>LAS BAMBAS</v>
          </cell>
          <cell r="I3738">
            <v>187087</v>
          </cell>
          <cell r="J3738" t="str">
            <v>REPUESTO</v>
          </cell>
          <cell r="K3738" t="str">
            <v>EMPAQUE DE RETORNO DE ACEITE</v>
          </cell>
          <cell r="L3738">
            <v>1</v>
          </cell>
          <cell r="M3738" t="str">
            <v>UNID.</v>
          </cell>
          <cell r="N3738" t="str">
            <v>TRACTO</v>
          </cell>
          <cell r="O3738">
            <v>52</v>
          </cell>
          <cell r="P3738" t="str">
            <v>M8</v>
          </cell>
          <cell r="Q3738" t="str">
            <v>J1</v>
          </cell>
          <cell r="R3738" t="str">
            <v>J6</v>
          </cell>
          <cell r="S3738" t="str">
            <v>ENTREGADO</v>
          </cell>
          <cell r="T3738">
            <v>0</v>
          </cell>
          <cell r="U3738" t="str">
            <v>VARILLAS GAGO  OSCAR ALBERTO</v>
          </cell>
          <cell r="V3738" t="str">
            <v>FLOREZ CONDORI  JOSE WILLIANS</v>
          </cell>
        </row>
        <row r="3739">
          <cell r="A3739">
            <v>3722</v>
          </cell>
          <cell r="B3739">
            <v>42738</v>
          </cell>
          <cell r="C3739" t="str">
            <v>ENERO</v>
          </cell>
          <cell r="D3739" t="str">
            <v>2017</v>
          </cell>
          <cell r="E3739">
            <v>735</v>
          </cell>
          <cell r="F3739" t="str">
            <v>D3P-743</v>
          </cell>
          <cell r="G3739" t="str">
            <v>B8L-972</v>
          </cell>
          <cell r="H3739" t="str">
            <v>LAS BAMBAS</v>
          </cell>
          <cell r="I3739">
            <v>187087</v>
          </cell>
          <cell r="J3739" t="str">
            <v>REPUESTO</v>
          </cell>
          <cell r="K3739" t="str">
            <v>PERNOS DE MULTIPLE DE ESCAPE</v>
          </cell>
          <cell r="L3739">
            <v>12</v>
          </cell>
          <cell r="M3739" t="str">
            <v>UNID.</v>
          </cell>
          <cell r="N3739" t="str">
            <v>TRACTO</v>
          </cell>
          <cell r="O3739">
            <v>52</v>
          </cell>
          <cell r="P3739" t="str">
            <v>M8</v>
          </cell>
          <cell r="Q3739" t="str">
            <v>J1</v>
          </cell>
          <cell r="R3739" t="str">
            <v>J6</v>
          </cell>
          <cell r="S3739" t="str">
            <v>ENTREGADO</v>
          </cell>
          <cell r="T3739">
            <v>0</v>
          </cell>
          <cell r="U3739" t="str">
            <v>VARILLAS GAGO  OSCAR ALBERTO</v>
          </cell>
          <cell r="V3739" t="str">
            <v>FLOREZ CONDORI  JOSE WILLIANS</v>
          </cell>
        </row>
        <row r="3740">
          <cell r="A3740">
            <v>3723</v>
          </cell>
          <cell r="B3740">
            <v>42738</v>
          </cell>
          <cell r="C3740" t="str">
            <v>ENERO</v>
          </cell>
          <cell r="D3740" t="str">
            <v>2017</v>
          </cell>
          <cell r="E3740">
            <v>735</v>
          </cell>
          <cell r="F3740" t="str">
            <v>D3P-743</v>
          </cell>
          <cell r="G3740" t="str">
            <v>B8L-972</v>
          </cell>
          <cell r="H3740" t="str">
            <v>LAS BAMBAS</v>
          </cell>
          <cell r="I3740">
            <v>187087</v>
          </cell>
          <cell r="J3740" t="str">
            <v>REPUESTO</v>
          </cell>
          <cell r="K3740" t="str">
            <v>CELLADOR DE MULTIPLE DE ESCAPE</v>
          </cell>
          <cell r="L3740">
            <v>1</v>
          </cell>
          <cell r="M3740" t="str">
            <v>UNID.</v>
          </cell>
          <cell r="N3740" t="str">
            <v>TRACTO</v>
          </cell>
          <cell r="O3740">
            <v>52</v>
          </cell>
          <cell r="P3740" t="str">
            <v>M8</v>
          </cell>
          <cell r="Q3740" t="str">
            <v>J1</v>
          </cell>
          <cell r="R3740" t="str">
            <v>J6</v>
          </cell>
          <cell r="S3740" t="str">
            <v>PENDIENTE</v>
          </cell>
          <cell r="T3740">
            <v>0</v>
          </cell>
          <cell r="U3740" t="str">
            <v>VARILLAS GAGO  OSCAR ALBERTO</v>
          </cell>
          <cell r="V3740" t="str">
            <v>FLOREZ CONDORI  JOSE WILLIANS</v>
          </cell>
        </row>
        <row r="3741">
          <cell r="A3741">
            <v>3724</v>
          </cell>
          <cell r="B3741">
            <v>42738</v>
          </cell>
          <cell r="C3741" t="str">
            <v>ENERO</v>
          </cell>
          <cell r="D3741" t="str">
            <v>2017</v>
          </cell>
          <cell r="E3741">
            <v>735</v>
          </cell>
          <cell r="F3741" t="str">
            <v>D3P-743</v>
          </cell>
          <cell r="G3741" t="str">
            <v>B8L-972</v>
          </cell>
          <cell r="H3741" t="str">
            <v>LAS BAMBAS</v>
          </cell>
          <cell r="I3741">
            <v>187087</v>
          </cell>
          <cell r="J3741" t="str">
            <v>REPUESTO</v>
          </cell>
          <cell r="K3741" t="str">
            <v>CINTA TEFLON</v>
          </cell>
          <cell r="L3741">
            <v>1</v>
          </cell>
          <cell r="M3741" t="str">
            <v>UNID.</v>
          </cell>
          <cell r="N3741" t="str">
            <v>TRACTO</v>
          </cell>
          <cell r="O3741">
            <v>52</v>
          </cell>
          <cell r="P3741" t="str">
            <v>M8</v>
          </cell>
          <cell r="Q3741" t="str">
            <v>J1</v>
          </cell>
          <cell r="R3741" t="str">
            <v>J6</v>
          </cell>
          <cell r="S3741" t="str">
            <v>ENTREGADO</v>
          </cell>
          <cell r="T3741">
            <v>0</v>
          </cell>
          <cell r="U3741" t="str">
            <v>VARILLAS GAGO  OSCAR ALBERTO</v>
          </cell>
          <cell r="V3741" t="str">
            <v>FLOREZ CONDORI  JOSE WILLIANS</v>
          </cell>
        </row>
        <row r="3742">
          <cell r="A3742">
            <v>3725</v>
          </cell>
          <cell r="B3742">
            <v>42738</v>
          </cell>
          <cell r="C3742" t="str">
            <v>ENERO</v>
          </cell>
          <cell r="D3742" t="str">
            <v>2017</v>
          </cell>
          <cell r="E3742">
            <v>735</v>
          </cell>
          <cell r="F3742" t="str">
            <v>D3P-743</v>
          </cell>
          <cell r="G3742" t="str">
            <v>B8L-972</v>
          </cell>
          <cell r="H3742" t="str">
            <v>LAS BAMBAS</v>
          </cell>
          <cell r="I3742">
            <v>187087</v>
          </cell>
          <cell r="J3742" t="str">
            <v>REPUESTO</v>
          </cell>
          <cell r="K3742" t="str">
            <v>NIPLE 3/8 A 5/8 X 45 GRADOS</v>
          </cell>
          <cell r="L3742">
            <v>1</v>
          </cell>
          <cell r="M3742" t="str">
            <v>UNID.</v>
          </cell>
          <cell r="N3742" t="str">
            <v>TRACTO</v>
          </cell>
          <cell r="O3742">
            <v>52</v>
          </cell>
          <cell r="P3742" t="str">
            <v>M8</v>
          </cell>
          <cell r="Q3742" t="str">
            <v>J1</v>
          </cell>
          <cell r="R3742" t="str">
            <v>J6</v>
          </cell>
          <cell r="S3742" t="str">
            <v>ENTREGADO</v>
          </cell>
          <cell r="T3742">
            <v>0</v>
          </cell>
          <cell r="U3742" t="str">
            <v>VARILLAS GAGO  OSCAR ALBERTO</v>
          </cell>
          <cell r="V3742" t="str">
            <v>FLOREZ CONDORI  JOSE WILLIANS</v>
          </cell>
        </row>
        <row r="3743">
          <cell r="A3743">
            <v>3726</v>
          </cell>
          <cell r="B3743">
            <v>42738</v>
          </cell>
          <cell r="C3743" t="str">
            <v>ENERO</v>
          </cell>
          <cell r="D3743" t="str">
            <v>2017</v>
          </cell>
          <cell r="E3743">
            <v>735</v>
          </cell>
          <cell r="F3743" t="str">
            <v>D3P-743</v>
          </cell>
          <cell r="G3743" t="str">
            <v>B8L-972</v>
          </cell>
          <cell r="H3743" t="str">
            <v>LAS BAMBAS</v>
          </cell>
          <cell r="I3743">
            <v>187087</v>
          </cell>
          <cell r="J3743" t="str">
            <v>REPUESTO</v>
          </cell>
          <cell r="K3743" t="str">
            <v>CONO 5/8</v>
          </cell>
          <cell r="L3743">
            <v>1</v>
          </cell>
          <cell r="M3743" t="str">
            <v>UNID.</v>
          </cell>
          <cell r="N3743" t="str">
            <v>TRACTO</v>
          </cell>
          <cell r="O3743">
            <v>52</v>
          </cell>
          <cell r="P3743" t="str">
            <v>M8</v>
          </cell>
          <cell r="Q3743" t="str">
            <v>J1</v>
          </cell>
          <cell r="R3743" t="str">
            <v>J6</v>
          </cell>
          <cell r="S3743" t="str">
            <v>ENTREGADO</v>
          </cell>
          <cell r="T3743">
            <v>0</v>
          </cell>
          <cell r="U3743" t="str">
            <v>VARILLAS GAGO  OSCAR ALBERTO</v>
          </cell>
          <cell r="V3743" t="str">
            <v>FLOREZ CONDORI  JOSE WILLIANS</v>
          </cell>
        </row>
        <row r="3744">
          <cell r="A3744">
            <v>3727</v>
          </cell>
          <cell r="B3744">
            <v>42738</v>
          </cell>
          <cell r="C3744" t="str">
            <v>ENERO</v>
          </cell>
          <cell r="D3744" t="str">
            <v>2017</v>
          </cell>
          <cell r="E3744">
            <v>735</v>
          </cell>
          <cell r="F3744" t="str">
            <v>D3P-743</v>
          </cell>
          <cell r="G3744" t="str">
            <v>B8L-972</v>
          </cell>
          <cell r="H3744" t="str">
            <v>LAS BAMBAS</v>
          </cell>
          <cell r="I3744">
            <v>187087</v>
          </cell>
          <cell r="J3744" t="str">
            <v>REPUESTO</v>
          </cell>
          <cell r="K3744" t="str">
            <v>GUI 5/8</v>
          </cell>
          <cell r="L3744">
            <v>1</v>
          </cell>
          <cell r="M3744" t="str">
            <v>UNID.</v>
          </cell>
          <cell r="N3744" t="str">
            <v>TRACTO</v>
          </cell>
          <cell r="O3744">
            <v>52</v>
          </cell>
          <cell r="P3744" t="str">
            <v>M8</v>
          </cell>
          <cell r="Q3744" t="str">
            <v>J1</v>
          </cell>
          <cell r="R3744" t="str">
            <v>J6</v>
          </cell>
          <cell r="S3744" t="str">
            <v>ENTREGADO</v>
          </cell>
          <cell r="T3744">
            <v>0</v>
          </cell>
          <cell r="U3744" t="str">
            <v>VARILLAS GAGO  OSCAR ALBERTO</v>
          </cell>
          <cell r="V3744" t="str">
            <v>FLOREZ CONDORI  JOSE WILLIANS</v>
          </cell>
        </row>
        <row r="3745">
          <cell r="A3745">
            <v>3728</v>
          </cell>
          <cell r="B3745">
            <v>42738</v>
          </cell>
          <cell r="C3745" t="str">
            <v>ENERO</v>
          </cell>
          <cell r="D3745" t="str">
            <v>2017</v>
          </cell>
          <cell r="E3745">
            <v>735</v>
          </cell>
          <cell r="F3745" t="str">
            <v>D3P-743</v>
          </cell>
          <cell r="G3745" t="str">
            <v>B8L-972</v>
          </cell>
          <cell r="H3745" t="str">
            <v>LAS BAMBAS</v>
          </cell>
          <cell r="I3745">
            <v>187087</v>
          </cell>
          <cell r="J3745" t="str">
            <v>REPUESTO</v>
          </cell>
          <cell r="K3745" t="str">
            <v>TUERCA 5/8</v>
          </cell>
          <cell r="L3745">
            <v>1</v>
          </cell>
          <cell r="M3745" t="str">
            <v>UNID.</v>
          </cell>
          <cell r="N3745" t="str">
            <v>TRACTO</v>
          </cell>
          <cell r="O3745">
            <v>52</v>
          </cell>
          <cell r="P3745" t="str">
            <v>M8</v>
          </cell>
          <cell r="Q3745" t="str">
            <v>J1</v>
          </cell>
          <cell r="R3745" t="str">
            <v>J6</v>
          </cell>
          <cell r="S3745" t="str">
            <v>ENTREGADO</v>
          </cell>
          <cell r="T3745">
            <v>0</v>
          </cell>
          <cell r="U3745" t="str">
            <v>VARILLAS GAGO  OSCAR ALBERTO</v>
          </cell>
          <cell r="V3745" t="str">
            <v>FLOREZ CONDORI  JOSE WILLIANS</v>
          </cell>
        </row>
        <row r="3746">
          <cell r="A3746">
            <v>3747</v>
          </cell>
          <cell r="B3746">
            <v>42738</v>
          </cell>
          <cell r="C3746" t="str">
            <v>ENERO</v>
          </cell>
          <cell r="D3746" t="str">
            <v>2017</v>
          </cell>
          <cell r="E3746">
            <v>735</v>
          </cell>
          <cell r="F3746" t="str">
            <v>D3P-743</v>
          </cell>
          <cell r="G3746" t="str">
            <v>B8L-972</v>
          </cell>
          <cell r="H3746" t="str">
            <v>LAS BAMBAS</v>
          </cell>
          <cell r="I3746">
            <v>187087</v>
          </cell>
          <cell r="J3746" t="str">
            <v>REPUESTO</v>
          </cell>
          <cell r="K3746" t="str">
            <v>FILTRO DE AIRE PRIMARIO</v>
          </cell>
          <cell r="L3746">
            <v>1</v>
          </cell>
          <cell r="M3746" t="str">
            <v>UNID.</v>
          </cell>
          <cell r="N3746" t="str">
            <v>TRACTO</v>
          </cell>
          <cell r="O3746">
            <v>52</v>
          </cell>
          <cell r="P3746" t="str">
            <v>M8</v>
          </cell>
          <cell r="Q3746" t="str">
            <v>J1</v>
          </cell>
          <cell r="R3746" t="str">
            <v>J6</v>
          </cell>
          <cell r="S3746" t="str">
            <v>PENDIENTE</v>
          </cell>
          <cell r="T3746">
            <v>0</v>
          </cell>
          <cell r="U3746" t="str">
            <v>VARILLAS GAGO  OSCAR ALBERTO</v>
          </cell>
          <cell r="V3746" t="str">
            <v>FLOREZ CONDORI  JOSE WILLIANS</v>
          </cell>
        </row>
        <row r="3747">
          <cell r="A3747">
            <v>3748</v>
          </cell>
          <cell r="B3747">
            <v>42738</v>
          </cell>
          <cell r="C3747" t="str">
            <v>ENERO</v>
          </cell>
          <cell r="D3747" t="str">
            <v>2017</v>
          </cell>
          <cell r="E3747">
            <v>735</v>
          </cell>
          <cell r="F3747" t="str">
            <v>D3P-743</v>
          </cell>
          <cell r="G3747" t="str">
            <v>B8L-972</v>
          </cell>
          <cell r="H3747" t="str">
            <v>LAS BAMBAS</v>
          </cell>
          <cell r="I3747">
            <v>187087</v>
          </cell>
          <cell r="J3747" t="str">
            <v>REPUESTO</v>
          </cell>
          <cell r="K3747" t="str">
            <v>FILTRO DE AIRE SECUNDARIO</v>
          </cell>
          <cell r="L3747">
            <v>1</v>
          </cell>
          <cell r="M3747" t="str">
            <v>UNID.</v>
          </cell>
          <cell r="N3747" t="str">
            <v>TRACTO</v>
          </cell>
          <cell r="O3747">
            <v>52</v>
          </cell>
          <cell r="P3747" t="str">
            <v>M8</v>
          </cell>
          <cell r="Q3747" t="str">
            <v>J1</v>
          </cell>
          <cell r="R3747" t="str">
            <v>J6</v>
          </cell>
          <cell r="S3747" t="str">
            <v>ENTREGADO</v>
          </cell>
          <cell r="T3747">
            <v>0</v>
          </cell>
          <cell r="U3747" t="str">
            <v>VARILLAS GAGO  OSCAR ALBERTO</v>
          </cell>
          <cell r="V3747" t="str">
            <v>FLOREZ CONDORI  JOSE WILLIANS</v>
          </cell>
        </row>
        <row r="3748">
          <cell r="A3748">
            <v>3749</v>
          </cell>
          <cell r="B3748">
            <v>42738</v>
          </cell>
          <cell r="C3748" t="str">
            <v>ENERO</v>
          </cell>
          <cell r="D3748" t="str">
            <v>2017</v>
          </cell>
          <cell r="E3748">
            <v>735</v>
          </cell>
          <cell r="F3748" t="str">
            <v>D3P-743</v>
          </cell>
          <cell r="G3748" t="str">
            <v>B8L-972</v>
          </cell>
          <cell r="H3748" t="str">
            <v>LAS BAMBAS</v>
          </cell>
          <cell r="I3748">
            <v>187087</v>
          </cell>
          <cell r="J3748" t="str">
            <v>REPUESTO</v>
          </cell>
          <cell r="K3748" t="str">
            <v>FILTRO DE ACEITE</v>
          </cell>
          <cell r="L3748">
            <v>2</v>
          </cell>
          <cell r="M3748" t="str">
            <v>UNID.</v>
          </cell>
          <cell r="N3748" t="str">
            <v>TRACTO</v>
          </cell>
          <cell r="O3748">
            <v>52</v>
          </cell>
          <cell r="P3748" t="str">
            <v>M8</v>
          </cell>
          <cell r="Q3748" t="str">
            <v>J1</v>
          </cell>
          <cell r="R3748" t="str">
            <v>J6</v>
          </cell>
          <cell r="S3748" t="str">
            <v>ENTREGADO</v>
          </cell>
          <cell r="T3748">
            <v>0</v>
          </cell>
          <cell r="U3748" t="str">
            <v>VARILLAS GAGO  OSCAR ALBERTO</v>
          </cell>
          <cell r="V3748" t="str">
            <v>FLOREZ CONDORI  JOSE WILLIANS</v>
          </cell>
        </row>
        <row r="3749">
          <cell r="A3749">
            <v>3750</v>
          </cell>
          <cell r="B3749">
            <v>42738</v>
          </cell>
          <cell r="C3749" t="str">
            <v>ENERO</v>
          </cell>
          <cell r="D3749" t="str">
            <v>2017</v>
          </cell>
          <cell r="E3749">
            <v>735</v>
          </cell>
          <cell r="F3749" t="str">
            <v>D3P-743</v>
          </cell>
          <cell r="G3749" t="str">
            <v>B8L-972</v>
          </cell>
          <cell r="H3749" t="str">
            <v>LAS BAMBAS</v>
          </cell>
          <cell r="I3749">
            <v>187087</v>
          </cell>
          <cell r="J3749" t="str">
            <v>REPUESTO</v>
          </cell>
          <cell r="K3749" t="str">
            <v>FILTRO DIFERENCIAL</v>
          </cell>
          <cell r="L3749">
            <v>1</v>
          </cell>
          <cell r="M3749" t="str">
            <v>UNID.</v>
          </cell>
          <cell r="N3749" t="str">
            <v>TRACTO</v>
          </cell>
          <cell r="O3749">
            <v>52</v>
          </cell>
          <cell r="P3749" t="str">
            <v>M8</v>
          </cell>
          <cell r="Q3749" t="str">
            <v>J1</v>
          </cell>
          <cell r="R3749" t="str">
            <v>J6</v>
          </cell>
          <cell r="S3749" t="str">
            <v>ENTREGADO</v>
          </cell>
          <cell r="T3749">
            <v>0</v>
          </cell>
          <cell r="U3749" t="str">
            <v>VARILLAS GAGO  OSCAR ALBERTO</v>
          </cell>
          <cell r="V3749" t="str">
            <v>FLOREZ CONDORI  JOSE WILLIANS</v>
          </cell>
        </row>
        <row r="3750">
          <cell r="A3750">
            <v>3751</v>
          </cell>
          <cell r="B3750">
            <v>42738</v>
          </cell>
          <cell r="C3750" t="str">
            <v>ENERO</v>
          </cell>
          <cell r="D3750" t="str">
            <v>2017</v>
          </cell>
          <cell r="E3750">
            <v>735</v>
          </cell>
          <cell r="F3750" t="str">
            <v>D3P-743</v>
          </cell>
          <cell r="G3750" t="str">
            <v>B8L-972</v>
          </cell>
          <cell r="H3750" t="str">
            <v>LAS BAMBAS</v>
          </cell>
          <cell r="I3750">
            <v>187087</v>
          </cell>
          <cell r="J3750" t="str">
            <v>REPUESTO</v>
          </cell>
          <cell r="K3750" t="str">
            <v>ACEITE DE MOTOR 15W40</v>
          </cell>
          <cell r="L3750">
            <v>10</v>
          </cell>
          <cell r="M3750" t="str">
            <v>GLNS.</v>
          </cell>
          <cell r="N3750" t="str">
            <v>TRACTO</v>
          </cell>
          <cell r="O3750">
            <v>52</v>
          </cell>
          <cell r="P3750" t="str">
            <v>M8</v>
          </cell>
          <cell r="Q3750" t="str">
            <v>J1</v>
          </cell>
          <cell r="R3750" t="str">
            <v>J6</v>
          </cell>
          <cell r="S3750" t="str">
            <v>ENTREGADO</v>
          </cell>
          <cell r="T3750">
            <v>0</v>
          </cell>
          <cell r="U3750" t="str">
            <v>VARILLAS GAGO  OSCAR ALBERTO</v>
          </cell>
          <cell r="V3750" t="str">
            <v>FLOREZ CONDORI  JOSE WILLIANS</v>
          </cell>
        </row>
        <row r="3751">
          <cell r="A3751">
            <v>3752</v>
          </cell>
          <cell r="B3751">
            <v>42738</v>
          </cell>
          <cell r="C3751" t="str">
            <v>ENERO</v>
          </cell>
          <cell r="D3751" t="str">
            <v>2017</v>
          </cell>
          <cell r="E3751">
            <v>735</v>
          </cell>
          <cell r="F3751" t="str">
            <v>D3P-743</v>
          </cell>
          <cell r="G3751" t="str">
            <v>B8L-972</v>
          </cell>
          <cell r="H3751" t="str">
            <v>LAS BAMBAS</v>
          </cell>
          <cell r="I3751">
            <v>187087</v>
          </cell>
          <cell r="J3751" t="str">
            <v>REPUESTO</v>
          </cell>
          <cell r="K3751" t="str">
            <v>ACEITE 1450</v>
          </cell>
          <cell r="L3751">
            <v>4</v>
          </cell>
          <cell r="M3751" t="str">
            <v>GLNS.</v>
          </cell>
          <cell r="N3751" t="str">
            <v>TRACTO</v>
          </cell>
          <cell r="O3751">
            <v>52</v>
          </cell>
          <cell r="P3751" t="str">
            <v>M8</v>
          </cell>
          <cell r="Q3751" t="str">
            <v>J1</v>
          </cell>
          <cell r="R3751" t="str">
            <v>J6</v>
          </cell>
          <cell r="S3751" t="str">
            <v>ENTREGADO</v>
          </cell>
          <cell r="T3751">
            <v>0</v>
          </cell>
          <cell r="U3751" t="str">
            <v>VARILLAS GAGO  OSCAR ALBERTO</v>
          </cell>
          <cell r="V3751" t="str">
            <v>FLOREZ CONDORI  JOSE WILLIANS</v>
          </cell>
        </row>
        <row r="3752">
          <cell r="A3752">
            <v>3753</v>
          </cell>
          <cell r="B3752">
            <v>42738</v>
          </cell>
          <cell r="C3752" t="str">
            <v>ENERO</v>
          </cell>
          <cell r="D3752" t="str">
            <v>2017</v>
          </cell>
          <cell r="E3752">
            <v>735</v>
          </cell>
          <cell r="F3752" t="str">
            <v>D3P-743</v>
          </cell>
          <cell r="G3752" t="str">
            <v>B8L-972</v>
          </cell>
          <cell r="H3752" t="str">
            <v>LAS BAMBAS</v>
          </cell>
          <cell r="I3752">
            <v>187087</v>
          </cell>
          <cell r="J3752" t="str">
            <v>REPUESTO</v>
          </cell>
          <cell r="K3752" t="str">
            <v>ACEITE 85W140</v>
          </cell>
          <cell r="L3752">
            <v>10</v>
          </cell>
          <cell r="M3752" t="str">
            <v>GLNS.</v>
          </cell>
          <cell r="N3752" t="str">
            <v>TRACTO</v>
          </cell>
          <cell r="O3752">
            <v>52</v>
          </cell>
          <cell r="P3752" t="str">
            <v>M8</v>
          </cell>
          <cell r="Q3752" t="str">
            <v>J1</v>
          </cell>
          <cell r="R3752" t="str">
            <v>J6</v>
          </cell>
          <cell r="S3752" t="str">
            <v>ENTREGADO</v>
          </cell>
          <cell r="T3752">
            <v>0</v>
          </cell>
          <cell r="U3752" t="str">
            <v>VARILLAS GAGO  OSCAR ALBERTO</v>
          </cell>
          <cell r="V3752" t="str">
            <v>FLOREZ CONDORI  JOSE WILLIANS</v>
          </cell>
        </row>
        <row r="3753">
          <cell r="A3753">
            <v>3766</v>
          </cell>
          <cell r="B3753">
            <v>42738</v>
          </cell>
          <cell r="C3753" t="str">
            <v>ENERO</v>
          </cell>
          <cell r="D3753" t="str">
            <v>2017</v>
          </cell>
          <cell r="E3753">
            <v>735</v>
          </cell>
          <cell r="F3753" t="str">
            <v>D3P-743</v>
          </cell>
          <cell r="G3753" t="str">
            <v>B8L-972</v>
          </cell>
          <cell r="H3753" t="str">
            <v>LAS BAMBAS</v>
          </cell>
          <cell r="I3753">
            <v>187087</v>
          </cell>
          <cell r="J3753" t="str">
            <v>REPUESTO</v>
          </cell>
          <cell r="K3753" t="str">
            <v>VALVULA DE RELAY DE FRENO</v>
          </cell>
          <cell r="L3753">
            <v>1</v>
          </cell>
          <cell r="M3753" t="str">
            <v>UNID.</v>
          </cell>
          <cell r="N3753" t="str">
            <v>TRACTO</v>
          </cell>
          <cell r="O3753">
            <v>52</v>
          </cell>
          <cell r="P3753" t="str">
            <v>M8</v>
          </cell>
          <cell r="Q3753" t="str">
            <v>J1</v>
          </cell>
          <cell r="R3753" t="str">
            <v>J6</v>
          </cell>
          <cell r="S3753" t="str">
            <v>ENTREGADO</v>
          </cell>
          <cell r="T3753">
            <v>0</v>
          </cell>
          <cell r="U3753" t="str">
            <v>VARILLAS GAGO  OSCAR ALBERTO</v>
          </cell>
          <cell r="V3753" t="str">
            <v>FLOREZ CONDORI  JOSE WILLIANS</v>
          </cell>
        </row>
        <row r="3754">
          <cell r="A3754">
            <v>3773</v>
          </cell>
          <cell r="B3754">
            <v>42738</v>
          </cell>
          <cell r="C3754" t="str">
            <v>ENERO</v>
          </cell>
          <cell r="D3754" t="str">
            <v>2017</v>
          </cell>
          <cell r="E3754">
            <v>727</v>
          </cell>
          <cell r="F3754" t="str">
            <v>D3Q-741</v>
          </cell>
          <cell r="G3754" t="str">
            <v>D2E-976</v>
          </cell>
          <cell r="H3754" t="str">
            <v>LAS BAMBAS</v>
          </cell>
          <cell r="I3754">
            <v>166717</v>
          </cell>
          <cell r="J3754" t="str">
            <v>REPUESTO</v>
          </cell>
          <cell r="K3754" t="str">
            <v>JUEGO DE EMPAQUE MULTIPLE DE ESCAPE</v>
          </cell>
          <cell r="L3754">
            <v>1</v>
          </cell>
          <cell r="M3754" t="str">
            <v>JUEGO</v>
          </cell>
          <cell r="N3754" t="str">
            <v>TRACTO</v>
          </cell>
          <cell r="O3754">
            <v>52</v>
          </cell>
          <cell r="P3754" t="str">
            <v>M9</v>
          </cell>
          <cell r="Q3754" t="str">
            <v>J1</v>
          </cell>
          <cell r="R3754" t="str">
            <v>J6</v>
          </cell>
          <cell r="S3754" t="str">
            <v>ENTREGADO</v>
          </cell>
          <cell r="T3754">
            <v>0</v>
          </cell>
          <cell r="U3754" t="str">
            <v>POMA SALAZAR CIRO</v>
          </cell>
          <cell r="V3754" t="str">
            <v>FLOREZ CONDORI  JOSE WILLIANS</v>
          </cell>
        </row>
        <row r="3755">
          <cell r="A3755">
            <v>3774</v>
          </cell>
          <cell r="B3755">
            <v>42738</v>
          </cell>
          <cell r="C3755" t="str">
            <v>ENERO</v>
          </cell>
          <cell r="D3755" t="str">
            <v>2017</v>
          </cell>
          <cell r="E3755">
            <v>727</v>
          </cell>
          <cell r="F3755" t="str">
            <v>D3Q-741</v>
          </cell>
          <cell r="G3755" t="str">
            <v>D2E-976</v>
          </cell>
          <cell r="H3755" t="str">
            <v>LAS BAMBAS</v>
          </cell>
          <cell r="I3755">
            <v>166717</v>
          </cell>
          <cell r="J3755" t="str">
            <v>REPUESTO</v>
          </cell>
          <cell r="K3755" t="str">
            <v>EMPAQUE RECTANGULAR DE TURBO</v>
          </cell>
          <cell r="L3755">
            <v>1</v>
          </cell>
          <cell r="M3755" t="str">
            <v>UNID.</v>
          </cell>
          <cell r="N3755" t="str">
            <v>TRACTO</v>
          </cell>
          <cell r="O3755">
            <v>52</v>
          </cell>
          <cell r="P3755" t="str">
            <v>M9</v>
          </cell>
          <cell r="Q3755" t="str">
            <v>J1</v>
          </cell>
          <cell r="R3755" t="str">
            <v>J6</v>
          </cell>
          <cell r="S3755" t="str">
            <v>ENTREGADO</v>
          </cell>
          <cell r="T3755">
            <v>0</v>
          </cell>
          <cell r="U3755" t="str">
            <v>POMA SALAZAR CIRO</v>
          </cell>
          <cell r="V3755" t="str">
            <v>FLOREZ CONDORI  JOSE WILLIANS</v>
          </cell>
        </row>
        <row r="3756">
          <cell r="A3756">
            <v>3775</v>
          </cell>
          <cell r="B3756">
            <v>42738</v>
          </cell>
          <cell r="C3756" t="str">
            <v>ENERO</v>
          </cell>
          <cell r="D3756" t="str">
            <v>2017</v>
          </cell>
          <cell r="E3756">
            <v>727</v>
          </cell>
          <cell r="F3756" t="str">
            <v>D3Q-741</v>
          </cell>
          <cell r="G3756" t="str">
            <v>D2E-976</v>
          </cell>
          <cell r="H3756" t="str">
            <v>LAS BAMBAS</v>
          </cell>
          <cell r="I3756">
            <v>166717</v>
          </cell>
          <cell r="J3756" t="str">
            <v>REPUESTO</v>
          </cell>
          <cell r="K3756" t="str">
            <v>PERNOS DE MULTIPLE DE ESCAPE</v>
          </cell>
          <cell r="L3756">
            <v>12</v>
          </cell>
          <cell r="M3756" t="str">
            <v>UNID.</v>
          </cell>
          <cell r="N3756" t="str">
            <v>TRACTO</v>
          </cell>
          <cell r="O3756">
            <v>52</v>
          </cell>
          <cell r="P3756" t="str">
            <v>M9</v>
          </cell>
          <cell r="Q3756" t="str">
            <v>J1</v>
          </cell>
          <cell r="R3756" t="str">
            <v>J6</v>
          </cell>
          <cell r="S3756" t="str">
            <v>ENTREGADO</v>
          </cell>
          <cell r="T3756">
            <v>0</v>
          </cell>
          <cell r="U3756" t="str">
            <v>POMA SALAZAR CIRO</v>
          </cell>
          <cell r="V3756" t="str">
            <v>FLOREZ CONDORI  JOSE WILLIANS</v>
          </cell>
        </row>
        <row r="3757">
          <cell r="A3757">
            <v>3784</v>
          </cell>
          <cell r="B3757">
            <v>42738</v>
          </cell>
          <cell r="C3757" t="str">
            <v>ENERO</v>
          </cell>
          <cell r="D3757" t="str">
            <v>2017</v>
          </cell>
          <cell r="E3757">
            <v>727</v>
          </cell>
          <cell r="F3757" t="str">
            <v>D3Q-741</v>
          </cell>
          <cell r="G3757" t="str">
            <v>D2E-976</v>
          </cell>
          <cell r="H3757" t="str">
            <v>LAS BAMBAS</v>
          </cell>
          <cell r="I3757">
            <v>166717</v>
          </cell>
          <cell r="J3757" t="str">
            <v>REPUESTO</v>
          </cell>
          <cell r="K3757" t="str">
            <v>JUEGO DE EMPAQUE MULTIPLE DE ESCAPE</v>
          </cell>
          <cell r="L3757">
            <v>1</v>
          </cell>
          <cell r="M3757" t="str">
            <v>JUEGO</v>
          </cell>
          <cell r="N3757" t="str">
            <v>TRACTO</v>
          </cell>
          <cell r="O3757">
            <v>52</v>
          </cell>
          <cell r="P3757" t="str">
            <v>M9</v>
          </cell>
          <cell r="Q3757" t="str">
            <v>J1</v>
          </cell>
          <cell r="R3757" t="str">
            <v>J6</v>
          </cell>
          <cell r="S3757" t="str">
            <v>ENTREGADO</v>
          </cell>
          <cell r="T3757">
            <v>0</v>
          </cell>
          <cell r="U3757" t="str">
            <v>POMA SALAZAR CIRO</v>
          </cell>
          <cell r="V3757" t="str">
            <v>FLOREZ CONDORI  JOSE WILLIANS</v>
          </cell>
        </row>
        <row r="3758">
          <cell r="A3758">
            <v>3785</v>
          </cell>
          <cell r="B3758">
            <v>42738</v>
          </cell>
          <cell r="C3758" t="str">
            <v>ENERO</v>
          </cell>
          <cell r="D3758" t="str">
            <v>2017</v>
          </cell>
          <cell r="E3758">
            <v>727</v>
          </cell>
          <cell r="F3758" t="str">
            <v>D3Q-741</v>
          </cell>
          <cell r="G3758" t="str">
            <v>D2E-976</v>
          </cell>
          <cell r="H3758" t="str">
            <v>LAS BAMBAS</v>
          </cell>
          <cell r="I3758">
            <v>166717</v>
          </cell>
          <cell r="J3758" t="str">
            <v>REPUESTO</v>
          </cell>
          <cell r="K3758" t="str">
            <v>EMPAQUE RECTANGULAR DE TURBO</v>
          </cell>
          <cell r="L3758">
            <v>1</v>
          </cell>
          <cell r="M3758" t="str">
            <v>UNID.</v>
          </cell>
          <cell r="N3758" t="str">
            <v>TRACTO</v>
          </cell>
          <cell r="O3758">
            <v>52</v>
          </cell>
          <cell r="P3758" t="str">
            <v>M9</v>
          </cell>
          <cell r="Q3758" t="str">
            <v>J1</v>
          </cell>
          <cell r="R3758" t="str">
            <v>J6</v>
          </cell>
          <cell r="S3758" t="str">
            <v>ENTREGADO</v>
          </cell>
          <cell r="T3758">
            <v>0</v>
          </cell>
          <cell r="U3758" t="str">
            <v>POMA SALAZAR CIRO</v>
          </cell>
          <cell r="V3758" t="str">
            <v>FLOREZ CONDORI  JOSE WILLIANS</v>
          </cell>
        </row>
        <row r="3759">
          <cell r="A3759">
            <v>3786</v>
          </cell>
          <cell r="B3759">
            <v>42738</v>
          </cell>
          <cell r="C3759" t="str">
            <v>ENERO</v>
          </cell>
          <cell r="D3759" t="str">
            <v>2017</v>
          </cell>
          <cell r="E3759">
            <v>727</v>
          </cell>
          <cell r="F3759" t="str">
            <v>D3Q-741</v>
          </cell>
          <cell r="G3759" t="str">
            <v>D2E-976</v>
          </cell>
          <cell r="H3759" t="str">
            <v>LAS BAMBAS</v>
          </cell>
          <cell r="I3759">
            <v>166717</v>
          </cell>
          <cell r="J3759" t="str">
            <v>REPUESTO</v>
          </cell>
          <cell r="K3759" t="str">
            <v>PERNOS DE MULTIPLE DE ESCAPE</v>
          </cell>
          <cell r="L3759">
            <v>12</v>
          </cell>
          <cell r="M3759" t="str">
            <v>UNID.</v>
          </cell>
          <cell r="N3759" t="str">
            <v>TRACTO</v>
          </cell>
          <cell r="O3759">
            <v>52</v>
          </cell>
          <cell r="P3759" t="str">
            <v>M9</v>
          </cell>
          <cell r="Q3759" t="str">
            <v>J1</v>
          </cell>
          <cell r="R3759" t="str">
            <v>J6</v>
          </cell>
          <cell r="S3759" t="str">
            <v>ENTREGADO</v>
          </cell>
          <cell r="T3759">
            <v>0</v>
          </cell>
          <cell r="U3759" t="str">
            <v>POMA SALAZAR CIRO</v>
          </cell>
          <cell r="V3759" t="str">
            <v>FLOREZ CONDORI  JOSE WILLIANS</v>
          </cell>
        </row>
        <row r="3760">
          <cell r="A3760">
            <v>3757</v>
          </cell>
          <cell r="B3760">
            <v>42738</v>
          </cell>
          <cell r="C3760" t="str">
            <v>ENERO</v>
          </cell>
          <cell r="D3760" t="str">
            <v>2017</v>
          </cell>
          <cell r="E3760">
            <v>696</v>
          </cell>
          <cell r="F3760" t="str">
            <v>D3R-742</v>
          </cell>
          <cell r="G3760" t="str">
            <v>D2E-975</v>
          </cell>
          <cell r="H3760" t="str">
            <v>LAS BAMBAS</v>
          </cell>
          <cell r="I3760">
            <v>155514</v>
          </cell>
          <cell r="J3760" t="str">
            <v>REPUESTO</v>
          </cell>
          <cell r="K3760" t="str">
            <v xml:space="preserve">PERNO 5/16 X 2" </v>
          </cell>
          <cell r="L3760">
            <v>5</v>
          </cell>
          <cell r="M3760" t="str">
            <v>UNID.</v>
          </cell>
          <cell r="N3760" t="str">
            <v>CISTERNA</v>
          </cell>
          <cell r="O3760">
            <v>52</v>
          </cell>
          <cell r="P3760" t="str">
            <v>S3</v>
          </cell>
          <cell r="Q3760" t="str">
            <v>J1</v>
          </cell>
          <cell r="R3760" t="str">
            <v>J6</v>
          </cell>
          <cell r="S3760" t="str">
            <v>ENTREGADO</v>
          </cell>
          <cell r="T3760">
            <v>0</v>
          </cell>
          <cell r="U3760" t="str">
            <v>JIMENEZ MACHACA JAVIER</v>
          </cell>
          <cell r="V3760" t="str">
            <v>FLOREZ CONDORI  JOSE WILLIANS</v>
          </cell>
        </row>
        <row r="3761">
          <cell r="A3761">
            <v>3758</v>
          </cell>
          <cell r="B3761">
            <v>42738</v>
          </cell>
          <cell r="C3761" t="str">
            <v>ENERO</v>
          </cell>
          <cell r="D3761" t="str">
            <v>2017</v>
          </cell>
          <cell r="E3761">
            <v>696</v>
          </cell>
          <cell r="F3761" t="str">
            <v>D3R-742</v>
          </cell>
          <cell r="G3761" t="str">
            <v>D2E-975</v>
          </cell>
          <cell r="H3761" t="str">
            <v>LAS BAMBAS</v>
          </cell>
          <cell r="I3761">
            <v>155514</v>
          </cell>
          <cell r="J3761" t="str">
            <v>REPUESTO</v>
          </cell>
          <cell r="K3761" t="str">
            <v>TUERCA 5/16</v>
          </cell>
          <cell r="L3761">
            <v>5</v>
          </cell>
          <cell r="M3761" t="str">
            <v>UNID.</v>
          </cell>
          <cell r="N3761" t="str">
            <v>CISTERNA</v>
          </cell>
          <cell r="O3761">
            <v>52</v>
          </cell>
          <cell r="P3761" t="str">
            <v>S3</v>
          </cell>
          <cell r="Q3761" t="str">
            <v>J1</v>
          </cell>
          <cell r="R3761" t="str">
            <v>J6</v>
          </cell>
          <cell r="S3761" t="str">
            <v>ENTREGADO</v>
          </cell>
          <cell r="T3761">
            <v>0</v>
          </cell>
          <cell r="U3761" t="str">
            <v>JIMENEZ MACHACA JAVIER</v>
          </cell>
          <cell r="V3761" t="str">
            <v>FLOREZ CONDORI  JOSE WILLIANS</v>
          </cell>
        </row>
        <row r="3762">
          <cell r="A3762">
            <v>3759</v>
          </cell>
          <cell r="B3762">
            <v>42738</v>
          </cell>
          <cell r="C3762" t="str">
            <v>ENERO</v>
          </cell>
          <cell r="D3762" t="str">
            <v>2017</v>
          </cell>
          <cell r="E3762">
            <v>696</v>
          </cell>
          <cell r="F3762" t="str">
            <v>D3R-742</v>
          </cell>
          <cell r="G3762" t="str">
            <v>D2E-975</v>
          </cell>
          <cell r="H3762" t="str">
            <v>LAS BAMBAS</v>
          </cell>
          <cell r="I3762">
            <v>155514</v>
          </cell>
          <cell r="J3762" t="str">
            <v>REPUESTO</v>
          </cell>
          <cell r="K3762" t="str">
            <v>ARANDELA PLANA</v>
          </cell>
          <cell r="L3762">
            <v>10</v>
          </cell>
          <cell r="M3762" t="str">
            <v>UNID.</v>
          </cell>
          <cell r="N3762" t="str">
            <v>CISTERNA</v>
          </cell>
          <cell r="O3762">
            <v>52</v>
          </cell>
          <cell r="P3762" t="str">
            <v>S3</v>
          </cell>
          <cell r="Q3762" t="str">
            <v>J1</v>
          </cell>
          <cell r="R3762" t="str">
            <v>J6</v>
          </cell>
          <cell r="S3762" t="str">
            <v>ENTREGADO</v>
          </cell>
          <cell r="T3762">
            <v>0</v>
          </cell>
          <cell r="U3762" t="str">
            <v>JIMENEZ MACHACA JAVIER</v>
          </cell>
          <cell r="V3762" t="str">
            <v>FLOREZ CONDORI  JOSE WILLIANS</v>
          </cell>
        </row>
        <row r="3763">
          <cell r="A3763">
            <v>3761</v>
          </cell>
          <cell r="B3763">
            <v>42738</v>
          </cell>
          <cell r="C3763" t="str">
            <v>ENERO</v>
          </cell>
          <cell r="D3763" t="str">
            <v>2017</v>
          </cell>
          <cell r="E3763">
            <v>741</v>
          </cell>
          <cell r="F3763" t="str">
            <v>D3R-742</v>
          </cell>
          <cell r="G3763" t="str">
            <v>D2E-975</v>
          </cell>
          <cell r="H3763" t="str">
            <v>LAS BAMBAS</v>
          </cell>
          <cell r="I3763">
            <v>156832</v>
          </cell>
          <cell r="J3763" t="str">
            <v>REPUESTO</v>
          </cell>
          <cell r="K3763" t="str">
            <v>LLANTAS REENCAUCHADAS</v>
          </cell>
          <cell r="L3763">
            <v>4</v>
          </cell>
          <cell r="M3763" t="str">
            <v>UNID.</v>
          </cell>
          <cell r="N3763" t="str">
            <v>TRACTO</v>
          </cell>
          <cell r="O3763">
            <v>52</v>
          </cell>
          <cell r="P3763" t="str">
            <v>N1</v>
          </cell>
          <cell r="Q3763" t="str">
            <v>J3</v>
          </cell>
          <cell r="R3763" t="str">
            <v>J6</v>
          </cell>
          <cell r="S3763" t="str">
            <v>ENTREGADO</v>
          </cell>
          <cell r="T3763">
            <v>0</v>
          </cell>
          <cell r="U3763" t="str">
            <v>AGUILAR CCANTUTA WILLY</v>
          </cell>
          <cell r="V3763" t="str">
            <v>CHURA PIZARRO ALBERTO</v>
          </cell>
        </row>
        <row r="3764">
          <cell r="A3764">
            <v>3729</v>
          </cell>
          <cell r="B3764">
            <v>42738</v>
          </cell>
          <cell r="C3764" t="str">
            <v>ENERO</v>
          </cell>
          <cell r="D3764" t="str">
            <v>2017</v>
          </cell>
          <cell r="E3764">
            <v>730</v>
          </cell>
          <cell r="F3764" t="str">
            <v>D3S-767</v>
          </cell>
          <cell r="G3764" t="str">
            <v>B8L-973</v>
          </cell>
          <cell r="H3764" t="str">
            <v>LAS BAMBAS</v>
          </cell>
          <cell r="I3764">
            <v>188177</v>
          </cell>
          <cell r="J3764" t="str">
            <v>REPUESTO</v>
          </cell>
          <cell r="K3764" t="str">
            <v>LLANTAS REENCACUCHADAS</v>
          </cell>
          <cell r="L3764">
            <v>8</v>
          </cell>
          <cell r="M3764" t="str">
            <v>UNID.</v>
          </cell>
          <cell r="N3764" t="str">
            <v>CISTERNA</v>
          </cell>
          <cell r="O3764">
            <v>52</v>
          </cell>
          <cell r="P3764" t="str">
            <v>N1</v>
          </cell>
          <cell r="Q3764" t="str">
            <v>J3</v>
          </cell>
          <cell r="R3764" t="str">
            <v>J6</v>
          </cell>
          <cell r="S3764" t="str">
            <v>ENTREGADO</v>
          </cell>
          <cell r="T3764">
            <v>0</v>
          </cell>
          <cell r="U3764" t="str">
            <v>AGUILAR CCANTUTA WILLY</v>
          </cell>
          <cell r="V3764" t="str">
            <v>CHURA PIZARRO ALBERTO</v>
          </cell>
        </row>
        <row r="3765">
          <cell r="A3765">
            <v>3730</v>
          </cell>
          <cell r="B3765">
            <v>42738</v>
          </cell>
          <cell r="C3765" t="str">
            <v>ENERO</v>
          </cell>
          <cell r="D3765" t="str">
            <v>2017</v>
          </cell>
          <cell r="E3765">
            <v>730</v>
          </cell>
          <cell r="F3765" t="str">
            <v>D3S-767</v>
          </cell>
          <cell r="G3765" t="str">
            <v>B8L-973</v>
          </cell>
          <cell r="H3765" t="str">
            <v>LAS BAMBAS</v>
          </cell>
          <cell r="I3765">
            <v>188177</v>
          </cell>
          <cell r="J3765" t="str">
            <v>REPUESTO</v>
          </cell>
          <cell r="K3765" t="str">
            <v>VALVULA DE PITON</v>
          </cell>
          <cell r="L3765">
            <v>8</v>
          </cell>
          <cell r="M3765" t="str">
            <v>UNID.</v>
          </cell>
          <cell r="N3765" t="str">
            <v>CISTERNA</v>
          </cell>
          <cell r="O3765">
            <v>52</v>
          </cell>
          <cell r="P3765" t="str">
            <v>N1</v>
          </cell>
          <cell r="Q3765" t="str">
            <v>J3</v>
          </cell>
          <cell r="R3765" t="str">
            <v>J6</v>
          </cell>
          <cell r="S3765" t="str">
            <v>ENTREGADO</v>
          </cell>
          <cell r="T3765">
            <v>0</v>
          </cell>
          <cell r="U3765" t="str">
            <v>AGUILAR CCANTUTA WILLY</v>
          </cell>
          <cell r="V3765" t="str">
            <v>CHURA PIZARRO ALBERTO</v>
          </cell>
        </row>
        <row r="3766">
          <cell r="A3766">
            <v>3711</v>
          </cell>
          <cell r="B3766">
            <v>42738</v>
          </cell>
          <cell r="C3766" t="str">
            <v>ENERO</v>
          </cell>
          <cell r="D3766" t="str">
            <v>2017</v>
          </cell>
          <cell r="E3766">
            <v>200</v>
          </cell>
          <cell r="F3766" t="str">
            <v>TALLER</v>
          </cell>
          <cell r="G3766" t="str">
            <v>TALLER</v>
          </cell>
          <cell r="H3766" t="str">
            <v>TALLER</v>
          </cell>
          <cell r="I3766" t="str">
            <v>TALLER</v>
          </cell>
          <cell r="J3766" t="str">
            <v>INSUMO TALLER</v>
          </cell>
          <cell r="K3766" t="str">
            <v xml:space="preserve">BASE SIN CROMATO VERDE </v>
          </cell>
          <cell r="L3766">
            <v>2</v>
          </cell>
          <cell r="M3766" t="str">
            <v>GLNS.</v>
          </cell>
          <cell r="N3766" t="str">
            <v>TALLER</v>
          </cell>
          <cell r="O3766">
            <v>52</v>
          </cell>
          <cell r="P3766" t="str">
            <v>S4</v>
          </cell>
          <cell r="Q3766" t="str">
            <v>J1</v>
          </cell>
          <cell r="R3766" t="str">
            <v>J5</v>
          </cell>
          <cell r="S3766" t="str">
            <v>ENTREGADO</v>
          </cell>
          <cell r="T3766">
            <v>0</v>
          </cell>
          <cell r="U3766" t="str">
            <v>SURCO QUISPE JOHNNY</v>
          </cell>
          <cell r="V3766" t="str">
            <v>FLOREZ CONDORI  JOSE WILLIANS</v>
          </cell>
        </row>
        <row r="3767">
          <cell r="A3767">
            <v>3712</v>
          </cell>
          <cell r="B3767">
            <v>42738</v>
          </cell>
          <cell r="C3767" t="str">
            <v>ENERO</v>
          </cell>
          <cell r="D3767" t="str">
            <v>2017</v>
          </cell>
          <cell r="E3767">
            <v>200</v>
          </cell>
          <cell r="F3767" t="str">
            <v>TALLER</v>
          </cell>
          <cell r="G3767" t="str">
            <v>TALLER</v>
          </cell>
          <cell r="H3767" t="str">
            <v>TALLER</v>
          </cell>
          <cell r="I3767" t="str">
            <v>TALLER</v>
          </cell>
          <cell r="J3767" t="str">
            <v>INSUMO TALLER</v>
          </cell>
          <cell r="K3767" t="str">
            <v xml:space="preserve">THINNER ACRILICO </v>
          </cell>
          <cell r="L3767">
            <v>4</v>
          </cell>
          <cell r="M3767" t="str">
            <v>GLNS.</v>
          </cell>
          <cell r="N3767" t="str">
            <v>TALLER</v>
          </cell>
          <cell r="O3767">
            <v>52</v>
          </cell>
          <cell r="P3767" t="str">
            <v>S4</v>
          </cell>
          <cell r="Q3767" t="str">
            <v>J1</v>
          </cell>
          <cell r="R3767" t="str">
            <v>J5</v>
          </cell>
          <cell r="S3767" t="str">
            <v>ENTREGADO</v>
          </cell>
          <cell r="T3767">
            <v>0</v>
          </cell>
          <cell r="U3767" t="str">
            <v>SURCO QUISPE JOHNNY</v>
          </cell>
          <cell r="V3767" t="str">
            <v>FLOREZ CONDORI  JOSE WILLIANS</v>
          </cell>
        </row>
        <row r="3768">
          <cell r="A3768">
            <v>3713</v>
          </cell>
          <cell r="B3768">
            <v>42738</v>
          </cell>
          <cell r="C3768" t="str">
            <v>ENERO</v>
          </cell>
          <cell r="D3768" t="str">
            <v>2017</v>
          </cell>
          <cell r="E3768">
            <v>200</v>
          </cell>
          <cell r="F3768" t="str">
            <v>TALLER</v>
          </cell>
          <cell r="G3768" t="str">
            <v>TALLER</v>
          </cell>
          <cell r="H3768" t="str">
            <v>TALLER</v>
          </cell>
          <cell r="I3768" t="str">
            <v>TALLER</v>
          </cell>
          <cell r="J3768" t="str">
            <v>INSUMO TALLER</v>
          </cell>
          <cell r="K3768" t="str">
            <v>ESMALTE ROJO</v>
          </cell>
          <cell r="L3768">
            <v>2</v>
          </cell>
          <cell r="M3768" t="str">
            <v>GLNS.</v>
          </cell>
          <cell r="N3768" t="str">
            <v>TALLER</v>
          </cell>
          <cell r="O3768">
            <v>52</v>
          </cell>
          <cell r="P3768" t="str">
            <v>S4</v>
          </cell>
          <cell r="Q3768" t="str">
            <v>J1</v>
          </cell>
          <cell r="R3768" t="str">
            <v>J5</v>
          </cell>
          <cell r="S3768" t="str">
            <v>ENTREGADO</v>
          </cell>
          <cell r="T3768">
            <v>0</v>
          </cell>
          <cell r="U3768" t="str">
            <v>SURCO QUISPE JOHNNY</v>
          </cell>
          <cell r="V3768" t="str">
            <v>FLOREZ CONDORI  JOSE WILLIANS</v>
          </cell>
        </row>
        <row r="3769">
          <cell r="A3769">
            <v>3714</v>
          </cell>
          <cell r="B3769">
            <v>42738</v>
          </cell>
          <cell r="C3769" t="str">
            <v>ENERO</v>
          </cell>
          <cell r="D3769" t="str">
            <v>2017</v>
          </cell>
          <cell r="E3769">
            <v>200</v>
          </cell>
          <cell r="F3769" t="str">
            <v>TALLER</v>
          </cell>
          <cell r="G3769" t="str">
            <v>TALLER</v>
          </cell>
          <cell r="H3769" t="str">
            <v>TALLER</v>
          </cell>
          <cell r="I3769" t="str">
            <v>TALLER</v>
          </cell>
          <cell r="J3769" t="str">
            <v>INSUMO TALLER</v>
          </cell>
          <cell r="K3769" t="str">
            <v>LIJAR N° 60</v>
          </cell>
          <cell r="L3769">
            <v>5</v>
          </cell>
          <cell r="M3769" t="str">
            <v>UNID.</v>
          </cell>
          <cell r="N3769" t="str">
            <v>TALLER</v>
          </cell>
          <cell r="O3769">
            <v>52</v>
          </cell>
          <cell r="P3769" t="str">
            <v>S4</v>
          </cell>
          <cell r="Q3769" t="str">
            <v>J1</v>
          </cell>
          <cell r="R3769" t="str">
            <v>J5</v>
          </cell>
          <cell r="S3769" t="str">
            <v>ENTREGADO</v>
          </cell>
          <cell r="T3769">
            <v>0</v>
          </cell>
          <cell r="U3769" t="str">
            <v>SURCO QUISPE JOHNNY</v>
          </cell>
          <cell r="V3769" t="str">
            <v>FLOREZ CONDORI  JOSE WILLIANS</v>
          </cell>
        </row>
        <row r="3770">
          <cell r="A3770">
            <v>3754</v>
          </cell>
          <cell r="B3770">
            <v>42738</v>
          </cell>
          <cell r="C3770" t="str">
            <v>ENERO</v>
          </cell>
          <cell r="D3770" t="str">
            <v>2017</v>
          </cell>
          <cell r="E3770">
            <v>200</v>
          </cell>
          <cell r="F3770" t="str">
            <v>TALLER</v>
          </cell>
          <cell r="G3770" t="str">
            <v>TALLER</v>
          </cell>
          <cell r="H3770" t="str">
            <v>TALLER</v>
          </cell>
          <cell r="I3770" t="str">
            <v>TALLER</v>
          </cell>
          <cell r="J3770" t="str">
            <v>INSUMO TALLER</v>
          </cell>
          <cell r="K3770" t="str">
            <v>FOCO DE UN CONTACTO DE 12 V</v>
          </cell>
          <cell r="L3770">
            <v>1</v>
          </cell>
          <cell r="M3770" t="str">
            <v>UNID.</v>
          </cell>
          <cell r="N3770" t="str">
            <v>TRACTO</v>
          </cell>
          <cell r="O3770">
            <v>52</v>
          </cell>
          <cell r="P3770" t="str">
            <v>E2</v>
          </cell>
          <cell r="Q3770" t="str">
            <v>J1</v>
          </cell>
          <cell r="R3770" t="str">
            <v>J6</v>
          </cell>
          <cell r="S3770" t="str">
            <v>ENTREGADO</v>
          </cell>
          <cell r="T3770">
            <v>0</v>
          </cell>
          <cell r="U3770" t="str">
            <v>YUCA BELLIDO BORIS YERSY</v>
          </cell>
          <cell r="V3770" t="str">
            <v>FLOREZ CONDORI  JOSE WILLIANS</v>
          </cell>
        </row>
        <row r="3771">
          <cell r="A3771">
            <v>3755</v>
          </cell>
          <cell r="B3771">
            <v>42738</v>
          </cell>
          <cell r="C3771" t="str">
            <v>ENERO</v>
          </cell>
          <cell r="D3771" t="str">
            <v>2017</v>
          </cell>
          <cell r="E3771">
            <v>200</v>
          </cell>
          <cell r="F3771" t="str">
            <v>TALLER</v>
          </cell>
          <cell r="G3771" t="str">
            <v>TALLER</v>
          </cell>
          <cell r="H3771" t="str">
            <v>TALLER</v>
          </cell>
          <cell r="I3771" t="str">
            <v>TALLER</v>
          </cell>
          <cell r="J3771" t="str">
            <v>INSUMO TALLER</v>
          </cell>
          <cell r="K3771" t="str">
            <v>CINTA NEGRA</v>
          </cell>
          <cell r="L3771">
            <v>1</v>
          </cell>
          <cell r="M3771" t="str">
            <v>UNID.</v>
          </cell>
          <cell r="N3771" t="str">
            <v>TRACTO</v>
          </cell>
          <cell r="O3771">
            <v>52</v>
          </cell>
          <cell r="P3771" t="str">
            <v>E2</v>
          </cell>
          <cell r="Q3771" t="str">
            <v>J1</v>
          </cell>
          <cell r="R3771" t="str">
            <v>J6</v>
          </cell>
          <cell r="S3771" t="str">
            <v>ENTREGADO</v>
          </cell>
          <cell r="T3771">
            <v>0</v>
          </cell>
          <cell r="U3771" t="str">
            <v>YUCA BELLIDO BORIS YERSY</v>
          </cell>
          <cell r="V3771" t="str">
            <v>FLOREZ CONDORI  JOSE WILLIANS</v>
          </cell>
        </row>
        <row r="3772">
          <cell r="A3772">
            <v>3760</v>
          </cell>
          <cell r="B3772">
            <v>42738</v>
          </cell>
          <cell r="C3772" t="str">
            <v>ENERO</v>
          </cell>
          <cell r="D3772" t="str">
            <v>2017</v>
          </cell>
          <cell r="E3772">
            <v>200</v>
          </cell>
          <cell r="F3772" t="str">
            <v>TALLER</v>
          </cell>
          <cell r="G3772" t="str">
            <v>TALLER</v>
          </cell>
          <cell r="H3772" t="str">
            <v>TALLER</v>
          </cell>
          <cell r="I3772" t="str">
            <v>TALLER</v>
          </cell>
          <cell r="J3772" t="str">
            <v>INSUMO TALLER</v>
          </cell>
          <cell r="K3772" t="str">
            <v>TRAPOS SUELTOS</v>
          </cell>
          <cell r="L3772">
            <v>1</v>
          </cell>
          <cell r="M3772" t="str">
            <v>KG.</v>
          </cell>
          <cell r="N3772" t="str">
            <v>TALLER</v>
          </cell>
          <cell r="O3772">
            <v>52</v>
          </cell>
          <cell r="P3772" t="str">
            <v>J6</v>
          </cell>
          <cell r="Q3772" t="str">
            <v>J6</v>
          </cell>
          <cell r="R3772" t="str">
            <v>J6</v>
          </cell>
          <cell r="S3772" t="str">
            <v>ENTREGADO</v>
          </cell>
          <cell r="T3772">
            <v>0</v>
          </cell>
          <cell r="U3772" t="str">
            <v>VILLANUEVA BEJAR  YHORDAN MICHEL</v>
          </cell>
          <cell r="V3772" t="str">
            <v>VILLANUEVA BEJAR  YHORDAN MICHEL</v>
          </cell>
        </row>
        <row r="3773">
          <cell r="A3773">
            <v>3736</v>
          </cell>
          <cell r="B3773">
            <v>42738</v>
          </cell>
          <cell r="C3773" t="str">
            <v>ENERO</v>
          </cell>
          <cell r="D3773" t="str">
            <v>2017</v>
          </cell>
          <cell r="E3773">
            <v>705</v>
          </cell>
          <cell r="F3773" t="str">
            <v>X2W-759</v>
          </cell>
          <cell r="G3773" t="str">
            <v>C5V-999</v>
          </cell>
          <cell r="H3773" t="str">
            <v>LAS BAMBAS</v>
          </cell>
          <cell r="I3773">
            <v>156078</v>
          </cell>
          <cell r="J3773" t="str">
            <v>REPUESTO</v>
          </cell>
          <cell r="K3773" t="str">
            <v xml:space="preserve">BATERIAS </v>
          </cell>
          <cell r="L3773">
            <v>3</v>
          </cell>
          <cell r="M3773" t="str">
            <v>UNID.</v>
          </cell>
          <cell r="N3773" t="str">
            <v>TRACTO</v>
          </cell>
          <cell r="O3773">
            <v>52</v>
          </cell>
          <cell r="P3773" t="str">
            <v>E3</v>
          </cell>
          <cell r="Q3773" t="str">
            <v>J1</v>
          </cell>
          <cell r="R3773" t="str">
            <v>J6</v>
          </cell>
          <cell r="S3773" t="str">
            <v>ENTREGADO</v>
          </cell>
          <cell r="T3773">
            <v>0</v>
          </cell>
          <cell r="U3773" t="str">
            <v>CONDORI CHURATA ALEX</v>
          </cell>
          <cell r="V3773" t="str">
            <v>FLOREZ CONDORI  JOSE WILLIANS</v>
          </cell>
        </row>
        <row r="3774">
          <cell r="A3774">
            <v>3732</v>
          </cell>
          <cell r="B3774">
            <v>42738</v>
          </cell>
          <cell r="C3774" t="str">
            <v>ENERO</v>
          </cell>
          <cell r="D3774" t="str">
            <v>2017</v>
          </cell>
          <cell r="E3774">
            <v>654</v>
          </cell>
          <cell r="F3774" t="str">
            <v>X2W-760</v>
          </cell>
          <cell r="G3774" t="str">
            <v>C5V-992</v>
          </cell>
          <cell r="H3774" t="str">
            <v>LAS BAMBAS</v>
          </cell>
          <cell r="I3774">
            <v>151954</v>
          </cell>
          <cell r="J3774" t="str">
            <v>REPUESTO</v>
          </cell>
          <cell r="K3774" t="str">
            <v>PRESINTOS 300</v>
          </cell>
          <cell r="L3774">
            <v>8</v>
          </cell>
          <cell r="M3774" t="str">
            <v>UNID.</v>
          </cell>
          <cell r="N3774" t="str">
            <v>TRACTO</v>
          </cell>
          <cell r="O3774">
            <v>52</v>
          </cell>
          <cell r="P3774" t="str">
            <v>M4</v>
          </cell>
          <cell r="Q3774" t="str">
            <v>J1</v>
          </cell>
          <cell r="R3774" t="str">
            <v>J6</v>
          </cell>
          <cell r="S3774" t="str">
            <v>ENTREGADO</v>
          </cell>
          <cell r="T3774">
            <v>0</v>
          </cell>
          <cell r="U3774" t="str">
            <v>JULLIRI APAZA UBALDO</v>
          </cell>
          <cell r="V3774" t="str">
            <v>FLOREZ CONDORI  JOSE WILLIANS</v>
          </cell>
        </row>
        <row r="3775">
          <cell r="A3775">
            <v>3715</v>
          </cell>
          <cell r="B3775">
            <v>42738</v>
          </cell>
          <cell r="C3775" t="str">
            <v>ENERO</v>
          </cell>
          <cell r="D3775" t="str">
            <v>2017</v>
          </cell>
          <cell r="E3775">
            <v>740</v>
          </cell>
          <cell r="F3775" t="str">
            <v>X2W-761</v>
          </cell>
          <cell r="G3775" t="str">
            <v>C5V-996</v>
          </cell>
          <cell r="H3775" t="str">
            <v>LAS BAMBAS</v>
          </cell>
          <cell r="I3775">
            <v>147661</v>
          </cell>
          <cell r="J3775" t="str">
            <v>REPUESTO</v>
          </cell>
          <cell r="K3775" t="str">
            <v>FARO LATERAL AMBAR 12V</v>
          </cell>
          <cell r="L3775">
            <v>1</v>
          </cell>
          <cell r="M3775" t="str">
            <v>UNID.</v>
          </cell>
          <cell r="N3775" t="str">
            <v>CISTERNA</v>
          </cell>
          <cell r="O3775">
            <v>52</v>
          </cell>
          <cell r="P3775" t="str">
            <v>E3</v>
          </cell>
          <cell r="Q3775" t="str">
            <v>J1</v>
          </cell>
          <cell r="R3775" t="str">
            <v>J6</v>
          </cell>
          <cell r="S3775" t="str">
            <v>PENDIENTE</v>
          </cell>
          <cell r="T3775">
            <v>0</v>
          </cell>
          <cell r="U3775" t="str">
            <v>CONDORI CHURATA ALEX</v>
          </cell>
          <cell r="V3775" t="str">
            <v>FLOREZ CONDORI  JOSE WILLIANS</v>
          </cell>
        </row>
        <row r="3776">
          <cell r="A3776">
            <v>3716</v>
          </cell>
          <cell r="B3776">
            <v>42738</v>
          </cell>
          <cell r="C3776" t="str">
            <v>ENERO</v>
          </cell>
          <cell r="D3776" t="str">
            <v>2017</v>
          </cell>
          <cell r="E3776">
            <v>740</v>
          </cell>
          <cell r="F3776" t="str">
            <v>X2W-761</v>
          </cell>
          <cell r="G3776" t="str">
            <v>C5V-996</v>
          </cell>
          <cell r="H3776" t="str">
            <v>LAS BAMBAS</v>
          </cell>
          <cell r="I3776">
            <v>147661</v>
          </cell>
          <cell r="J3776" t="str">
            <v>REPUESTO</v>
          </cell>
          <cell r="K3776" t="str">
            <v>FOCO PILOTO DOBLE CONTACTO</v>
          </cell>
          <cell r="L3776">
            <v>1</v>
          </cell>
          <cell r="M3776" t="str">
            <v>UNID.</v>
          </cell>
          <cell r="N3776" t="str">
            <v>TRACTO</v>
          </cell>
          <cell r="O3776">
            <v>52</v>
          </cell>
          <cell r="P3776" t="str">
            <v>E3</v>
          </cell>
          <cell r="Q3776" t="str">
            <v>J1</v>
          </cell>
          <cell r="R3776" t="str">
            <v>J6</v>
          </cell>
          <cell r="S3776" t="str">
            <v>ENTREGADO</v>
          </cell>
          <cell r="T3776">
            <v>0</v>
          </cell>
          <cell r="U3776" t="str">
            <v>CONDORI CHURATA ALEX</v>
          </cell>
          <cell r="V3776" t="str">
            <v>FLOREZ CONDORI  JOSE WILLIANS</v>
          </cell>
        </row>
        <row r="3777">
          <cell r="A3777">
            <v>3717</v>
          </cell>
          <cell r="B3777">
            <v>42738</v>
          </cell>
          <cell r="C3777" t="str">
            <v>ENERO</v>
          </cell>
          <cell r="D3777" t="str">
            <v>2017</v>
          </cell>
          <cell r="E3777">
            <v>740</v>
          </cell>
          <cell r="F3777" t="str">
            <v>X2W-761</v>
          </cell>
          <cell r="G3777" t="str">
            <v>C5V-996</v>
          </cell>
          <cell r="H3777" t="str">
            <v>LAS BAMBAS</v>
          </cell>
          <cell r="I3777">
            <v>147661</v>
          </cell>
          <cell r="J3777" t="str">
            <v>REPUESTO</v>
          </cell>
          <cell r="K3777" t="str">
            <v>FOCOS LAGRIMONES DOBLE CONTACTO AMBAR</v>
          </cell>
          <cell r="L3777">
            <v>1</v>
          </cell>
          <cell r="M3777" t="str">
            <v>UNID.</v>
          </cell>
          <cell r="N3777" t="str">
            <v>TRACTO</v>
          </cell>
          <cell r="O3777">
            <v>52</v>
          </cell>
          <cell r="P3777" t="str">
            <v>E3</v>
          </cell>
          <cell r="Q3777" t="str">
            <v>J1</v>
          </cell>
          <cell r="R3777" t="str">
            <v>J6</v>
          </cell>
          <cell r="S3777" t="str">
            <v>ENTREGADO</v>
          </cell>
          <cell r="T3777">
            <v>0</v>
          </cell>
          <cell r="U3777" t="str">
            <v>CONDORI CHURATA ALEX</v>
          </cell>
          <cell r="V3777" t="str">
            <v>FLOREZ CONDORI  JOSE WILLIANS</v>
          </cell>
        </row>
        <row r="3778">
          <cell r="A3778">
            <v>3733</v>
          </cell>
          <cell r="B3778">
            <v>42738</v>
          </cell>
          <cell r="C3778" t="str">
            <v>ENERO</v>
          </cell>
          <cell r="D3778" t="str">
            <v>2017</v>
          </cell>
          <cell r="E3778">
            <v>740</v>
          </cell>
          <cell r="F3778" t="str">
            <v>X2W-761</v>
          </cell>
          <cell r="G3778" t="str">
            <v>C5V-996</v>
          </cell>
          <cell r="H3778" t="str">
            <v>LAS BAMBAS</v>
          </cell>
          <cell r="I3778">
            <v>147661</v>
          </cell>
          <cell r="J3778" t="str">
            <v>REPUESTO</v>
          </cell>
          <cell r="K3778" t="str">
            <v>TAPA DE FARO DELANTERO DERECHO</v>
          </cell>
          <cell r="L3778">
            <v>1</v>
          </cell>
          <cell r="M3778" t="str">
            <v>UNID.</v>
          </cell>
          <cell r="N3778" t="str">
            <v>TRACTO</v>
          </cell>
          <cell r="O3778">
            <v>52</v>
          </cell>
          <cell r="P3778" t="str">
            <v>E3</v>
          </cell>
          <cell r="Q3778" t="str">
            <v>J1</v>
          </cell>
          <cell r="R3778" t="str">
            <v>J6</v>
          </cell>
          <cell r="S3778" t="str">
            <v>ENTREGADO</v>
          </cell>
          <cell r="T3778">
            <v>0</v>
          </cell>
          <cell r="U3778" t="str">
            <v>CONDORI CHURATA ALEX</v>
          </cell>
          <cell r="V3778" t="str">
            <v>FLOREZ CONDORI  JOSE WILLIANS</v>
          </cell>
        </row>
        <row r="3779">
          <cell r="A3779">
            <v>3734</v>
          </cell>
          <cell r="B3779">
            <v>42738</v>
          </cell>
          <cell r="C3779" t="str">
            <v>ENERO</v>
          </cell>
          <cell r="D3779" t="str">
            <v>2017</v>
          </cell>
          <cell r="E3779">
            <v>740</v>
          </cell>
          <cell r="F3779" t="str">
            <v>X2W-761</v>
          </cell>
          <cell r="G3779" t="str">
            <v>C5V-996</v>
          </cell>
          <cell r="H3779" t="str">
            <v>LAS BAMBAS</v>
          </cell>
          <cell r="I3779">
            <v>147661</v>
          </cell>
          <cell r="J3779" t="str">
            <v>REPUESTO</v>
          </cell>
          <cell r="K3779" t="str">
            <v>TAPA DE FARO DELANTERO IZQUIERDO</v>
          </cell>
          <cell r="L3779">
            <v>1</v>
          </cell>
          <cell r="M3779" t="str">
            <v>UNID.</v>
          </cell>
          <cell r="N3779" t="str">
            <v>TRACTO</v>
          </cell>
          <cell r="O3779">
            <v>52</v>
          </cell>
          <cell r="P3779" t="str">
            <v>E3</v>
          </cell>
          <cell r="Q3779" t="str">
            <v>J1</v>
          </cell>
          <cell r="R3779" t="str">
            <v>J6</v>
          </cell>
          <cell r="S3779" t="str">
            <v>ENTREGADO</v>
          </cell>
          <cell r="T3779">
            <v>0</v>
          </cell>
          <cell r="U3779" t="str">
            <v>CONDORI CHURATA ALEX</v>
          </cell>
          <cell r="V3779" t="str">
            <v>FLOREZ CONDORI  JOSE WILLIANS</v>
          </cell>
        </row>
        <row r="3780">
          <cell r="A3780">
            <v>3817</v>
          </cell>
          <cell r="B3780">
            <v>42739</v>
          </cell>
          <cell r="C3780" t="str">
            <v>ENERO</v>
          </cell>
          <cell r="D3780" t="str">
            <v>2017</v>
          </cell>
          <cell r="E3780">
            <v>734</v>
          </cell>
          <cell r="F3780" t="str">
            <v>ABR-796</v>
          </cell>
          <cell r="G3780" t="str">
            <v>C9S-994</v>
          </cell>
          <cell r="H3780" t="str">
            <v>LAS BAMBAS</v>
          </cell>
          <cell r="I3780">
            <v>115053</v>
          </cell>
          <cell r="J3780" t="str">
            <v>REPUESTO</v>
          </cell>
          <cell r="K3780" t="str">
            <v>FAROS NEBLINEROS</v>
          </cell>
          <cell r="L3780">
            <v>2</v>
          </cell>
          <cell r="M3780" t="str">
            <v>UNID.</v>
          </cell>
          <cell r="N3780" t="str">
            <v>TRACTO</v>
          </cell>
          <cell r="O3780">
            <v>51</v>
          </cell>
          <cell r="P3780" t="str">
            <v>E3</v>
          </cell>
          <cell r="Q3780" t="str">
            <v>J1</v>
          </cell>
          <cell r="R3780" t="str">
            <v>J6</v>
          </cell>
          <cell r="S3780" t="str">
            <v>ENTREGADO</v>
          </cell>
          <cell r="T3780">
            <v>0</v>
          </cell>
          <cell r="U3780" t="str">
            <v>CONDORI CHURATA ALEX</v>
          </cell>
          <cell r="V3780" t="str">
            <v>FLOREZ CONDORI  JOSE WILLIANS</v>
          </cell>
        </row>
        <row r="3781">
          <cell r="A3781">
            <v>3809</v>
          </cell>
          <cell r="B3781">
            <v>42739</v>
          </cell>
          <cell r="C3781" t="str">
            <v>ENERO</v>
          </cell>
          <cell r="D3781" t="str">
            <v>2017</v>
          </cell>
          <cell r="E3781">
            <v>748</v>
          </cell>
          <cell r="F3781" t="str">
            <v>C5R-896</v>
          </cell>
          <cell r="G3781" t="str">
            <v>A0U-977</v>
          </cell>
          <cell r="H3781" t="str">
            <v>LAS BAMBAS</v>
          </cell>
          <cell r="I3781">
            <v>215026</v>
          </cell>
          <cell r="J3781" t="str">
            <v>REPUESTO</v>
          </cell>
          <cell r="K3781" t="str">
            <v>TAPA DE TANQUE DE COMBUSTIBLE DERECHO</v>
          </cell>
          <cell r="L3781">
            <v>1</v>
          </cell>
          <cell r="M3781" t="str">
            <v>UNID.</v>
          </cell>
          <cell r="N3781" t="str">
            <v>TRACTO</v>
          </cell>
          <cell r="O3781">
            <v>51</v>
          </cell>
          <cell r="P3781" t="str">
            <v>M9</v>
          </cell>
          <cell r="Q3781" t="str">
            <v>J1</v>
          </cell>
          <cell r="R3781" t="str">
            <v>J6</v>
          </cell>
          <cell r="S3781" t="str">
            <v>PENDIENTE</v>
          </cell>
          <cell r="T3781">
            <v>0</v>
          </cell>
          <cell r="U3781" t="str">
            <v>POMA SALAZAR CIRO</v>
          </cell>
          <cell r="V3781" t="str">
            <v>FLOREZ CONDORI  JOSE WILLIANS</v>
          </cell>
        </row>
        <row r="3782">
          <cell r="A3782">
            <v>3810</v>
          </cell>
          <cell r="B3782">
            <v>42739</v>
          </cell>
          <cell r="C3782" t="str">
            <v>ENERO</v>
          </cell>
          <cell r="D3782" t="str">
            <v>2017</v>
          </cell>
          <cell r="E3782">
            <v>748</v>
          </cell>
          <cell r="F3782" t="str">
            <v>C5R-896</v>
          </cell>
          <cell r="G3782" t="str">
            <v>A0U-977</v>
          </cell>
          <cell r="H3782" t="str">
            <v>LAS BAMBAS</v>
          </cell>
          <cell r="I3782">
            <v>215026</v>
          </cell>
          <cell r="J3782" t="str">
            <v>REPUESTO</v>
          </cell>
          <cell r="K3782" t="str">
            <v>TAPA DE TANQUE DE COMBUSTIBLE IZQUIERDO</v>
          </cell>
          <cell r="L3782">
            <v>1</v>
          </cell>
          <cell r="M3782" t="str">
            <v>UNID.</v>
          </cell>
          <cell r="N3782" t="str">
            <v>TRACTO</v>
          </cell>
          <cell r="O3782">
            <v>51</v>
          </cell>
          <cell r="P3782" t="str">
            <v>M9</v>
          </cell>
          <cell r="Q3782" t="str">
            <v>J1</v>
          </cell>
          <cell r="R3782" t="str">
            <v>J6</v>
          </cell>
          <cell r="S3782" t="str">
            <v>PENDIENTE</v>
          </cell>
          <cell r="T3782">
            <v>0</v>
          </cell>
          <cell r="U3782" t="str">
            <v>POMA SALAZAR CIRO</v>
          </cell>
          <cell r="V3782" t="str">
            <v>FLOREZ CONDORI  JOSE WILLIANS</v>
          </cell>
        </row>
        <row r="3783">
          <cell r="A3783">
            <v>3819</v>
          </cell>
          <cell r="B3783">
            <v>42739</v>
          </cell>
          <cell r="C3783" t="str">
            <v>ENERO</v>
          </cell>
          <cell r="D3783" t="str">
            <v>2017</v>
          </cell>
          <cell r="E3783">
            <v>716</v>
          </cell>
          <cell r="F3783" t="str">
            <v>C9M-902</v>
          </cell>
          <cell r="G3783" t="str">
            <v>B8L-970</v>
          </cell>
          <cell r="H3783" t="str">
            <v>LAS BAMBAS</v>
          </cell>
          <cell r="I3783">
            <v>212499</v>
          </cell>
          <cell r="J3783" t="str">
            <v>REPUESTO</v>
          </cell>
          <cell r="K3783" t="str">
            <v xml:space="preserve">BATERIAS </v>
          </cell>
          <cell r="L3783">
            <v>4</v>
          </cell>
          <cell r="M3783" t="str">
            <v>UNID.</v>
          </cell>
          <cell r="N3783" t="str">
            <v>TRACTO</v>
          </cell>
          <cell r="O3783">
            <v>51</v>
          </cell>
          <cell r="P3783" t="str">
            <v>E3</v>
          </cell>
          <cell r="Q3783" t="str">
            <v>J1</v>
          </cell>
          <cell r="R3783" t="str">
            <v>J6</v>
          </cell>
          <cell r="S3783" t="str">
            <v>ENTREGADO</v>
          </cell>
          <cell r="T3783">
            <v>0</v>
          </cell>
          <cell r="U3783" t="str">
            <v>CONDORI CHURATA ALEX</v>
          </cell>
          <cell r="V3783" t="str">
            <v>FLOREZ CONDORI  JOSE WILLIANS</v>
          </cell>
        </row>
        <row r="3784">
          <cell r="A3784">
            <v>3839</v>
          </cell>
          <cell r="B3784">
            <v>42739</v>
          </cell>
          <cell r="C3784" t="str">
            <v>ENERO</v>
          </cell>
          <cell r="D3784" t="str">
            <v>2017</v>
          </cell>
          <cell r="E3784">
            <v>733</v>
          </cell>
          <cell r="F3784" t="str">
            <v>C9N-807</v>
          </cell>
          <cell r="G3784" t="str">
            <v>B4O-994</v>
          </cell>
          <cell r="H3784" t="str">
            <v>LAS BAMBAS</v>
          </cell>
          <cell r="I3784">
            <v>214163</v>
          </cell>
          <cell r="J3784" t="str">
            <v>REPUESTO</v>
          </cell>
          <cell r="K3784" t="str">
            <v>ACCESORIO CARTUCHO DE PULPO</v>
          </cell>
          <cell r="L3784">
            <v>1</v>
          </cell>
          <cell r="M3784" t="str">
            <v>UNID.</v>
          </cell>
          <cell r="N3784" t="str">
            <v>CISTERNA</v>
          </cell>
          <cell r="O3784">
            <v>51</v>
          </cell>
          <cell r="P3784" t="str">
            <v>J7</v>
          </cell>
          <cell r="Q3784" t="str">
            <v>J7</v>
          </cell>
          <cell r="R3784" t="str">
            <v>J6</v>
          </cell>
          <cell r="S3784" t="str">
            <v>ENTREGADO</v>
          </cell>
          <cell r="T3784">
            <v>0</v>
          </cell>
          <cell r="U3784" t="str">
            <v>DONAYRE INGA PEDRO</v>
          </cell>
          <cell r="V3784" t="str">
            <v>DONAYRE INGA PEDRO</v>
          </cell>
        </row>
        <row r="3785">
          <cell r="A3785">
            <v>3808</v>
          </cell>
          <cell r="B3785">
            <v>42739</v>
          </cell>
          <cell r="C3785" t="str">
            <v>ENERO</v>
          </cell>
          <cell r="D3785" t="str">
            <v>2017</v>
          </cell>
          <cell r="E3785">
            <v>722</v>
          </cell>
          <cell r="F3785" t="str">
            <v>D3N-721</v>
          </cell>
          <cell r="G3785" t="str">
            <v>C4S-979</v>
          </cell>
          <cell r="H3785" t="str">
            <v>LAS BAMBAS</v>
          </cell>
          <cell r="I3785">
            <v>139487</v>
          </cell>
          <cell r="J3785" t="str">
            <v>REPUESTO</v>
          </cell>
          <cell r="K3785" t="str">
            <v>FAROS NEBLINEROS</v>
          </cell>
          <cell r="L3785">
            <v>2</v>
          </cell>
          <cell r="M3785" t="str">
            <v>UNID.</v>
          </cell>
          <cell r="N3785" t="str">
            <v>TRACTO</v>
          </cell>
          <cell r="O3785">
            <v>51</v>
          </cell>
          <cell r="P3785" t="str">
            <v>E2</v>
          </cell>
          <cell r="Q3785" t="str">
            <v>J1</v>
          </cell>
          <cell r="R3785" t="str">
            <v>J6</v>
          </cell>
          <cell r="S3785" t="str">
            <v>ENTREGADO</v>
          </cell>
          <cell r="T3785">
            <v>0</v>
          </cell>
          <cell r="U3785" t="str">
            <v>YUCA BELLIDO BORIS YERSY</v>
          </cell>
          <cell r="V3785" t="str">
            <v>FLOREZ CONDORI  JOSE WILLIANS</v>
          </cell>
        </row>
        <row r="3786">
          <cell r="A3786">
            <v>3818</v>
          </cell>
          <cell r="B3786">
            <v>42739</v>
          </cell>
          <cell r="C3786" t="str">
            <v>ENERO</v>
          </cell>
          <cell r="D3786" t="str">
            <v>2017</v>
          </cell>
          <cell r="E3786">
            <v>722</v>
          </cell>
          <cell r="F3786" t="str">
            <v>D3N-721</v>
          </cell>
          <cell r="G3786" t="str">
            <v>C4S-979</v>
          </cell>
          <cell r="H3786" t="str">
            <v>LAS BAMBAS</v>
          </cell>
          <cell r="I3786">
            <v>139487</v>
          </cell>
          <cell r="J3786" t="str">
            <v>REPUESTO</v>
          </cell>
          <cell r="K3786" t="str">
            <v>SPRAY COLOR VERDE</v>
          </cell>
          <cell r="L3786">
            <v>1</v>
          </cell>
          <cell r="M3786" t="str">
            <v>UNID.</v>
          </cell>
          <cell r="N3786" t="str">
            <v>CISTERNA</v>
          </cell>
          <cell r="O3786">
            <v>51</v>
          </cell>
          <cell r="P3786" t="str">
            <v>S3</v>
          </cell>
          <cell r="Q3786" t="str">
            <v>J1</v>
          </cell>
          <cell r="R3786" t="str">
            <v>J6</v>
          </cell>
          <cell r="S3786" t="str">
            <v>ENTREGADO</v>
          </cell>
          <cell r="T3786">
            <v>0</v>
          </cell>
          <cell r="U3786" t="str">
            <v>JIMENEZ MACHACA JAVIER</v>
          </cell>
          <cell r="V3786" t="str">
            <v>FLOREZ CONDORI  JOSE WILLIANS</v>
          </cell>
        </row>
        <row r="3787">
          <cell r="A3787">
            <v>3800</v>
          </cell>
          <cell r="B3787">
            <v>42739</v>
          </cell>
          <cell r="C3787" t="str">
            <v>ENERO</v>
          </cell>
          <cell r="D3787" t="str">
            <v>2017</v>
          </cell>
          <cell r="E3787">
            <v>741</v>
          </cell>
          <cell r="F3787" t="str">
            <v>D3R-742</v>
          </cell>
          <cell r="G3787" t="str">
            <v>D2E-975</v>
          </cell>
          <cell r="H3787" t="str">
            <v>LAS BAMBAS</v>
          </cell>
          <cell r="I3787">
            <v>156832</v>
          </cell>
          <cell r="J3787" t="str">
            <v>REPUESTO</v>
          </cell>
          <cell r="K3787" t="str">
            <v>LLANTAS</v>
          </cell>
          <cell r="L3787">
            <v>8</v>
          </cell>
          <cell r="M3787" t="str">
            <v>UNID.</v>
          </cell>
          <cell r="N3787" t="str">
            <v>CISTERNA</v>
          </cell>
          <cell r="O3787">
            <v>51</v>
          </cell>
          <cell r="P3787" t="str">
            <v>J3</v>
          </cell>
          <cell r="Q3787" t="str">
            <v>J3</v>
          </cell>
          <cell r="R3787" t="str">
            <v>J6</v>
          </cell>
          <cell r="S3787" t="str">
            <v>ENTREGADO</v>
          </cell>
          <cell r="T3787">
            <v>0</v>
          </cell>
          <cell r="U3787" t="str">
            <v>CHURA PIZARRO ALBERTO</v>
          </cell>
          <cell r="V3787" t="str">
            <v>CHURA PIZARRO ALBERTO</v>
          </cell>
        </row>
        <row r="3788">
          <cell r="A3788">
            <v>3776</v>
          </cell>
          <cell r="B3788">
            <v>42739</v>
          </cell>
          <cell r="C3788" t="str">
            <v>ENERO</v>
          </cell>
          <cell r="D3788" t="str">
            <v>2017</v>
          </cell>
          <cell r="E3788">
            <v>666</v>
          </cell>
          <cell r="F3788" t="str">
            <v>D3S-725</v>
          </cell>
          <cell r="G3788" t="str">
            <v>TBL-977</v>
          </cell>
          <cell r="H3788" t="str">
            <v>LAS BAMBAS</v>
          </cell>
          <cell r="I3788">
            <v>150007</v>
          </cell>
          <cell r="J3788" t="str">
            <v>REPUESTO</v>
          </cell>
          <cell r="K3788" t="str">
            <v>ACEITE 15W40</v>
          </cell>
          <cell r="L3788">
            <v>10</v>
          </cell>
          <cell r="M3788" t="str">
            <v>GLNS.</v>
          </cell>
          <cell r="N3788" t="str">
            <v>TRACTO</v>
          </cell>
          <cell r="O3788">
            <v>51</v>
          </cell>
          <cell r="P3788" t="str">
            <v>M9</v>
          </cell>
          <cell r="Q3788" t="str">
            <v>J1</v>
          </cell>
          <cell r="R3788" t="str">
            <v>J6</v>
          </cell>
          <cell r="S3788" t="str">
            <v>ENTREGADO</v>
          </cell>
          <cell r="T3788">
            <v>0</v>
          </cell>
          <cell r="U3788" t="str">
            <v>POMA SALAZAR CIRO</v>
          </cell>
          <cell r="V3788" t="str">
            <v>FLOREZ CONDORI  JOSE WILLIANS</v>
          </cell>
        </row>
        <row r="3789">
          <cell r="A3789">
            <v>3777</v>
          </cell>
          <cell r="B3789">
            <v>42739</v>
          </cell>
          <cell r="C3789" t="str">
            <v>ENERO</v>
          </cell>
          <cell r="D3789" t="str">
            <v>2017</v>
          </cell>
          <cell r="E3789">
            <v>666</v>
          </cell>
          <cell r="F3789" t="str">
            <v>D3S-725</v>
          </cell>
          <cell r="G3789" t="str">
            <v>TBL-977</v>
          </cell>
          <cell r="H3789" t="str">
            <v>LAS BAMBAS</v>
          </cell>
          <cell r="I3789">
            <v>150007</v>
          </cell>
          <cell r="J3789" t="str">
            <v>REPUESTO</v>
          </cell>
          <cell r="K3789" t="str">
            <v>FILTRO DE ACEITE</v>
          </cell>
          <cell r="L3789">
            <v>2</v>
          </cell>
          <cell r="M3789" t="str">
            <v>UNID.</v>
          </cell>
          <cell r="N3789" t="str">
            <v>TRACTO</v>
          </cell>
          <cell r="O3789">
            <v>51</v>
          </cell>
          <cell r="P3789" t="str">
            <v>M9</v>
          </cell>
          <cell r="Q3789" t="str">
            <v>J1</v>
          </cell>
          <cell r="R3789" t="str">
            <v>J6</v>
          </cell>
          <cell r="S3789" t="str">
            <v>ENTREGADO</v>
          </cell>
          <cell r="T3789">
            <v>0</v>
          </cell>
          <cell r="U3789" t="str">
            <v>POMA SALAZAR CIRO</v>
          </cell>
          <cell r="V3789" t="str">
            <v>FLOREZ CONDORI  JOSE WILLIANS</v>
          </cell>
        </row>
        <row r="3790">
          <cell r="A3790">
            <v>3778</v>
          </cell>
          <cell r="B3790">
            <v>42739</v>
          </cell>
          <cell r="C3790" t="str">
            <v>ENERO</v>
          </cell>
          <cell r="D3790" t="str">
            <v>2017</v>
          </cell>
          <cell r="E3790">
            <v>666</v>
          </cell>
          <cell r="F3790" t="str">
            <v>D3S-725</v>
          </cell>
          <cell r="G3790" t="str">
            <v>TBL-977</v>
          </cell>
          <cell r="H3790" t="str">
            <v>LAS BAMBAS</v>
          </cell>
          <cell r="I3790">
            <v>150007</v>
          </cell>
          <cell r="J3790" t="str">
            <v>REPUESTO</v>
          </cell>
          <cell r="K3790" t="str">
            <v>FILTRO PETROLEO VALVULA</v>
          </cell>
          <cell r="L3790">
            <v>1</v>
          </cell>
          <cell r="M3790" t="str">
            <v>UNID.</v>
          </cell>
          <cell r="N3790" t="str">
            <v>TRACTO</v>
          </cell>
          <cell r="O3790">
            <v>51</v>
          </cell>
          <cell r="P3790" t="str">
            <v>M9</v>
          </cell>
          <cell r="Q3790" t="str">
            <v>J1</v>
          </cell>
          <cell r="R3790" t="str">
            <v>J6</v>
          </cell>
          <cell r="S3790" t="str">
            <v>ENTREGADO</v>
          </cell>
          <cell r="T3790">
            <v>0</v>
          </cell>
          <cell r="U3790" t="str">
            <v>POMA SALAZAR CIRO</v>
          </cell>
          <cell r="V3790" t="str">
            <v>FLOREZ CONDORI  JOSE WILLIANS</v>
          </cell>
        </row>
        <row r="3791">
          <cell r="A3791">
            <v>3779</v>
          </cell>
          <cell r="B3791">
            <v>42739</v>
          </cell>
          <cell r="C3791" t="str">
            <v>ENERO</v>
          </cell>
          <cell r="D3791" t="str">
            <v>2017</v>
          </cell>
          <cell r="E3791">
            <v>666</v>
          </cell>
          <cell r="F3791" t="str">
            <v>D3S-725</v>
          </cell>
          <cell r="G3791" t="str">
            <v>TBL-977</v>
          </cell>
          <cell r="H3791" t="str">
            <v>LAS BAMBAS</v>
          </cell>
          <cell r="I3791">
            <v>150007</v>
          </cell>
          <cell r="J3791" t="str">
            <v>REPUESTO</v>
          </cell>
          <cell r="K3791" t="str">
            <v>FILTRO PETROLEO</v>
          </cell>
          <cell r="L3791">
            <v>1</v>
          </cell>
          <cell r="M3791" t="str">
            <v>UNID.</v>
          </cell>
          <cell r="N3791" t="str">
            <v>TRACTO</v>
          </cell>
          <cell r="O3791">
            <v>51</v>
          </cell>
          <cell r="P3791" t="str">
            <v>M9</v>
          </cell>
          <cell r="Q3791" t="str">
            <v>J1</v>
          </cell>
          <cell r="R3791" t="str">
            <v>J6</v>
          </cell>
          <cell r="S3791" t="str">
            <v>ENTREGADO</v>
          </cell>
          <cell r="T3791">
            <v>0</v>
          </cell>
          <cell r="U3791" t="str">
            <v>POMA SALAZAR CIRO</v>
          </cell>
          <cell r="V3791" t="str">
            <v>FLOREZ CONDORI  JOSE WILLIANS</v>
          </cell>
        </row>
        <row r="3792">
          <cell r="A3792">
            <v>3780</v>
          </cell>
          <cell r="B3792">
            <v>42739</v>
          </cell>
          <cell r="C3792" t="str">
            <v>ENERO</v>
          </cell>
          <cell r="D3792" t="str">
            <v>2017</v>
          </cell>
          <cell r="E3792">
            <v>666</v>
          </cell>
          <cell r="F3792" t="str">
            <v>D3S-725</v>
          </cell>
          <cell r="G3792" t="str">
            <v>TBL-977</v>
          </cell>
          <cell r="H3792" t="str">
            <v>LAS BAMBAS</v>
          </cell>
          <cell r="I3792">
            <v>150007</v>
          </cell>
          <cell r="J3792" t="str">
            <v>REPUESTO</v>
          </cell>
          <cell r="K3792" t="str">
            <v>FILTRO AIRE PRIMARIO</v>
          </cell>
          <cell r="L3792">
            <v>1</v>
          </cell>
          <cell r="M3792" t="str">
            <v>UNID.</v>
          </cell>
          <cell r="N3792" t="str">
            <v>TRACTO</v>
          </cell>
          <cell r="O3792">
            <v>51</v>
          </cell>
          <cell r="P3792" t="str">
            <v>M9</v>
          </cell>
          <cell r="Q3792" t="str">
            <v>J1</v>
          </cell>
          <cell r="R3792" t="str">
            <v>J6</v>
          </cell>
          <cell r="S3792" t="str">
            <v>PENDIENTE</v>
          </cell>
          <cell r="T3792">
            <v>0</v>
          </cell>
          <cell r="U3792" t="str">
            <v>POMA SALAZAR CIRO</v>
          </cell>
          <cell r="V3792" t="str">
            <v>FLOREZ CONDORI  JOSE WILLIANS</v>
          </cell>
        </row>
        <row r="3793">
          <cell r="A3793">
            <v>3781</v>
          </cell>
          <cell r="B3793">
            <v>42739</v>
          </cell>
          <cell r="C3793" t="str">
            <v>ENERO</v>
          </cell>
          <cell r="D3793" t="str">
            <v>2017</v>
          </cell>
          <cell r="E3793">
            <v>666</v>
          </cell>
          <cell r="F3793" t="str">
            <v>D3S-725</v>
          </cell>
          <cell r="G3793" t="str">
            <v>TBL-977</v>
          </cell>
          <cell r="H3793" t="str">
            <v>LAS BAMBAS</v>
          </cell>
          <cell r="I3793">
            <v>150007</v>
          </cell>
          <cell r="J3793" t="str">
            <v>REPUESTO</v>
          </cell>
          <cell r="K3793" t="str">
            <v>FILTRO AIRE SECUNDARIO</v>
          </cell>
          <cell r="L3793">
            <v>1</v>
          </cell>
          <cell r="M3793" t="str">
            <v>UNID.</v>
          </cell>
          <cell r="N3793" t="str">
            <v>TRACTO</v>
          </cell>
          <cell r="O3793">
            <v>51</v>
          </cell>
          <cell r="P3793" t="str">
            <v>M9</v>
          </cell>
          <cell r="Q3793" t="str">
            <v>J1</v>
          </cell>
          <cell r="R3793" t="str">
            <v>J6</v>
          </cell>
          <cell r="S3793" t="str">
            <v>PENDIENTE</v>
          </cell>
          <cell r="T3793">
            <v>0</v>
          </cell>
          <cell r="U3793" t="str">
            <v>POMA SALAZAR CIRO</v>
          </cell>
          <cell r="V3793" t="str">
            <v>FLOREZ CONDORI  JOSE WILLIANS</v>
          </cell>
        </row>
        <row r="3794">
          <cell r="A3794">
            <v>3787</v>
          </cell>
          <cell r="B3794">
            <v>42739</v>
          </cell>
          <cell r="C3794" t="str">
            <v>ENERO</v>
          </cell>
          <cell r="D3794" t="str">
            <v>2017</v>
          </cell>
          <cell r="E3794">
            <v>666</v>
          </cell>
          <cell r="F3794" t="str">
            <v>D3S-725</v>
          </cell>
          <cell r="G3794" t="str">
            <v>TBL-977</v>
          </cell>
          <cell r="H3794" t="str">
            <v>LAS BAMBAS</v>
          </cell>
          <cell r="I3794">
            <v>150007</v>
          </cell>
          <cell r="J3794" t="str">
            <v>REPUESTO</v>
          </cell>
          <cell r="K3794" t="str">
            <v>ACEITE 15W40</v>
          </cell>
          <cell r="L3794">
            <v>10</v>
          </cell>
          <cell r="M3794" t="str">
            <v>GLNS.</v>
          </cell>
          <cell r="N3794" t="str">
            <v>TRACTO</v>
          </cell>
          <cell r="O3794">
            <v>51</v>
          </cell>
          <cell r="P3794" t="str">
            <v>M9</v>
          </cell>
          <cell r="Q3794" t="str">
            <v>J1</v>
          </cell>
          <cell r="R3794" t="str">
            <v>J6</v>
          </cell>
          <cell r="S3794" t="str">
            <v>ENTREGADO</v>
          </cell>
          <cell r="T3794">
            <v>0</v>
          </cell>
          <cell r="U3794" t="str">
            <v>POMA SALAZAR CIRO</v>
          </cell>
          <cell r="V3794" t="str">
            <v>FLOREZ CONDORI  JOSE WILLIANS</v>
          </cell>
        </row>
        <row r="3795">
          <cell r="A3795">
            <v>3788</v>
          </cell>
          <cell r="B3795">
            <v>42739</v>
          </cell>
          <cell r="C3795" t="str">
            <v>ENERO</v>
          </cell>
          <cell r="D3795" t="str">
            <v>2017</v>
          </cell>
          <cell r="E3795">
            <v>666</v>
          </cell>
          <cell r="F3795" t="str">
            <v>D3S-725</v>
          </cell>
          <cell r="G3795" t="str">
            <v>TBL-977</v>
          </cell>
          <cell r="H3795" t="str">
            <v>LAS BAMBAS</v>
          </cell>
          <cell r="I3795">
            <v>150007</v>
          </cell>
          <cell r="J3795" t="str">
            <v>REPUESTO</v>
          </cell>
          <cell r="K3795" t="str">
            <v>FILTRO DE ACEITE</v>
          </cell>
          <cell r="L3795">
            <v>2</v>
          </cell>
          <cell r="M3795" t="str">
            <v>UNID.</v>
          </cell>
          <cell r="N3795" t="str">
            <v>TRACTO</v>
          </cell>
          <cell r="O3795">
            <v>51</v>
          </cell>
          <cell r="P3795" t="str">
            <v>M9</v>
          </cell>
          <cell r="Q3795" t="str">
            <v>J1</v>
          </cell>
          <cell r="R3795" t="str">
            <v>J6</v>
          </cell>
          <cell r="S3795" t="str">
            <v>ENTREGADO</v>
          </cell>
          <cell r="T3795">
            <v>0</v>
          </cell>
          <cell r="U3795" t="str">
            <v>POMA SALAZAR CIRO</v>
          </cell>
          <cell r="V3795" t="str">
            <v>FLOREZ CONDORI  JOSE WILLIANS</v>
          </cell>
        </row>
        <row r="3796">
          <cell r="A3796">
            <v>3789</v>
          </cell>
          <cell r="B3796">
            <v>42739</v>
          </cell>
          <cell r="C3796" t="str">
            <v>ENERO</v>
          </cell>
          <cell r="D3796" t="str">
            <v>2017</v>
          </cell>
          <cell r="E3796">
            <v>666</v>
          </cell>
          <cell r="F3796" t="str">
            <v>D3S-725</v>
          </cell>
          <cell r="G3796" t="str">
            <v>TBL-977</v>
          </cell>
          <cell r="H3796" t="str">
            <v>LAS BAMBAS</v>
          </cell>
          <cell r="I3796">
            <v>150007</v>
          </cell>
          <cell r="J3796" t="str">
            <v>REPUESTO</v>
          </cell>
          <cell r="K3796" t="str">
            <v>FILTRO PETROLEO VALVULA</v>
          </cell>
          <cell r="L3796">
            <v>1</v>
          </cell>
          <cell r="M3796" t="str">
            <v>UNID.</v>
          </cell>
          <cell r="N3796" t="str">
            <v>TRACTO</v>
          </cell>
          <cell r="O3796">
            <v>51</v>
          </cell>
          <cell r="P3796" t="str">
            <v>M9</v>
          </cell>
          <cell r="Q3796" t="str">
            <v>J1</v>
          </cell>
          <cell r="R3796" t="str">
            <v>J6</v>
          </cell>
          <cell r="S3796" t="str">
            <v>ENTREGADO</v>
          </cell>
          <cell r="T3796">
            <v>0</v>
          </cell>
          <cell r="U3796" t="str">
            <v>POMA SALAZAR CIRO</v>
          </cell>
          <cell r="V3796" t="str">
            <v>FLOREZ CONDORI  JOSE WILLIANS</v>
          </cell>
        </row>
        <row r="3797">
          <cell r="A3797">
            <v>3790</v>
          </cell>
          <cell r="B3797">
            <v>42739</v>
          </cell>
          <cell r="C3797" t="str">
            <v>ENERO</v>
          </cell>
          <cell r="D3797" t="str">
            <v>2017</v>
          </cell>
          <cell r="E3797">
            <v>666</v>
          </cell>
          <cell r="F3797" t="str">
            <v>D3S-725</v>
          </cell>
          <cell r="G3797" t="str">
            <v>TBL-977</v>
          </cell>
          <cell r="H3797" t="str">
            <v>LAS BAMBAS</v>
          </cell>
          <cell r="I3797">
            <v>150007</v>
          </cell>
          <cell r="J3797" t="str">
            <v>REPUESTO</v>
          </cell>
          <cell r="K3797" t="str">
            <v>FILTRO PETROLEO</v>
          </cell>
          <cell r="L3797">
            <v>1</v>
          </cell>
          <cell r="M3797" t="str">
            <v>UNID.</v>
          </cell>
          <cell r="N3797" t="str">
            <v>TRACTO</v>
          </cell>
          <cell r="O3797">
            <v>51</v>
          </cell>
          <cell r="P3797" t="str">
            <v>M9</v>
          </cell>
          <cell r="Q3797" t="str">
            <v>J1</v>
          </cell>
          <cell r="R3797" t="str">
            <v>J6</v>
          </cell>
          <cell r="S3797" t="str">
            <v>ENTREGADO</v>
          </cell>
          <cell r="T3797">
            <v>0</v>
          </cell>
          <cell r="U3797" t="str">
            <v>POMA SALAZAR CIRO</v>
          </cell>
          <cell r="V3797" t="str">
            <v>FLOREZ CONDORI  JOSE WILLIANS</v>
          </cell>
        </row>
        <row r="3798">
          <cell r="A3798">
            <v>3791</v>
          </cell>
          <cell r="B3798">
            <v>42739</v>
          </cell>
          <cell r="C3798" t="str">
            <v>ENERO</v>
          </cell>
          <cell r="D3798" t="str">
            <v>2017</v>
          </cell>
          <cell r="E3798">
            <v>666</v>
          </cell>
          <cell r="F3798" t="str">
            <v>D3S-725</v>
          </cell>
          <cell r="G3798" t="str">
            <v>TBL-977</v>
          </cell>
          <cell r="H3798" t="str">
            <v>LAS BAMBAS</v>
          </cell>
          <cell r="I3798">
            <v>150007</v>
          </cell>
          <cell r="J3798" t="str">
            <v>REPUESTO</v>
          </cell>
          <cell r="K3798" t="str">
            <v>FILTRO AIRE PRIMARIO</v>
          </cell>
          <cell r="L3798">
            <v>1</v>
          </cell>
          <cell r="M3798" t="str">
            <v>UNID.</v>
          </cell>
          <cell r="N3798" t="str">
            <v>TRACTO</v>
          </cell>
          <cell r="O3798">
            <v>51</v>
          </cell>
          <cell r="P3798" t="str">
            <v>M9</v>
          </cell>
          <cell r="Q3798" t="str">
            <v>J1</v>
          </cell>
          <cell r="R3798" t="str">
            <v>J6</v>
          </cell>
          <cell r="S3798" t="str">
            <v>PENDIENTE</v>
          </cell>
          <cell r="T3798">
            <v>0</v>
          </cell>
          <cell r="U3798" t="str">
            <v>POMA SALAZAR CIRO</v>
          </cell>
          <cell r="V3798" t="str">
            <v>FLOREZ CONDORI  JOSE WILLIANS</v>
          </cell>
        </row>
        <row r="3799">
          <cell r="A3799">
            <v>3792</v>
          </cell>
          <cell r="B3799">
            <v>42739</v>
          </cell>
          <cell r="C3799" t="str">
            <v>ENERO</v>
          </cell>
          <cell r="D3799" t="str">
            <v>2017</v>
          </cell>
          <cell r="E3799">
            <v>666</v>
          </cell>
          <cell r="F3799" t="str">
            <v>D3S-725</v>
          </cell>
          <cell r="G3799" t="str">
            <v>TBL-977</v>
          </cell>
          <cell r="H3799" t="str">
            <v>LAS BAMBAS</v>
          </cell>
          <cell r="I3799">
            <v>150007</v>
          </cell>
          <cell r="J3799" t="str">
            <v>REPUESTO</v>
          </cell>
          <cell r="K3799" t="str">
            <v>FILTRO AIRE SECUNDARIO</v>
          </cell>
          <cell r="L3799">
            <v>1</v>
          </cell>
          <cell r="M3799" t="str">
            <v>UNID.</v>
          </cell>
          <cell r="N3799" t="str">
            <v>TRACTO</v>
          </cell>
          <cell r="O3799">
            <v>51</v>
          </cell>
          <cell r="P3799" t="str">
            <v>M9</v>
          </cell>
          <cell r="Q3799" t="str">
            <v>J1</v>
          </cell>
          <cell r="R3799" t="str">
            <v>J6</v>
          </cell>
          <cell r="S3799" t="str">
            <v>PENDIENTE</v>
          </cell>
          <cell r="T3799">
            <v>0</v>
          </cell>
          <cell r="U3799" t="str">
            <v>POMA SALAZAR CIRO</v>
          </cell>
          <cell r="V3799" t="str">
            <v>FLOREZ CONDORI  JOSE WILLIANS</v>
          </cell>
        </row>
        <row r="3800">
          <cell r="A3800">
            <v>3820</v>
          </cell>
          <cell r="B3800">
            <v>42739</v>
          </cell>
          <cell r="C3800" t="str">
            <v>ENERO</v>
          </cell>
          <cell r="D3800" t="str">
            <v>2017</v>
          </cell>
          <cell r="E3800">
            <v>666</v>
          </cell>
          <cell r="F3800" t="str">
            <v>D3S-725</v>
          </cell>
          <cell r="G3800" t="str">
            <v>TBL-977</v>
          </cell>
          <cell r="H3800" t="str">
            <v>LAS BAMBAS</v>
          </cell>
          <cell r="I3800">
            <v>150007</v>
          </cell>
          <cell r="J3800" t="str">
            <v>REPUESTO</v>
          </cell>
          <cell r="K3800" t="str">
            <v>ELECTROVALVULA DEL VENTILADOR</v>
          </cell>
          <cell r="L3800">
            <v>1</v>
          </cell>
          <cell r="M3800" t="str">
            <v>UNID.</v>
          </cell>
          <cell r="N3800" t="str">
            <v>TRACTO</v>
          </cell>
          <cell r="O3800">
            <v>51</v>
          </cell>
          <cell r="P3800" t="str">
            <v>M8</v>
          </cell>
          <cell r="Q3800" t="str">
            <v>J1</v>
          </cell>
          <cell r="R3800" t="str">
            <v>J6</v>
          </cell>
          <cell r="S3800" t="str">
            <v>ENTREGADO</v>
          </cell>
          <cell r="T3800">
            <v>0</v>
          </cell>
          <cell r="U3800" t="str">
            <v>VARILLAS GAGO  OSCAR ALBERTO</v>
          </cell>
          <cell r="V3800" t="str">
            <v>FLOREZ CONDORI  JOSE WILLIANS</v>
          </cell>
        </row>
        <row r="3801">
          <cell r="A3801">
            <v>3821</v>
          </cell>
          <cell r="B3801">
            <v>42739</v>
          </cell>
          <cell r="C3801" t="str">
            <v>ENERO</v>
          </cell>
          <cell r="D3801" t="str">
            <v>2017</v>
          </cell>
          <cell r="E3801">
            <v>666</v>
          </cell>
          <cell r="F3801" t="str">
            <v>D3S-725</v>
          </cell>
          <cell r="G3801" t="str">
            <v>TBL-977</v>
          </cell>
          <cell r="H3801" t="str">
            <v>LAS BAMBAS</v>
          </cell>
          <cell r="I3801">
            <v>150007</v>
          </cell>
          <cell r="J3801" t="str">
            <v>REPUESTO</v>
          </cell>
          <cell r="K3801" t="str">
            <v>MANGUERA2 1/2 X 20</v>
          </cell>
          <cell r="L3801">
            <v>1</v>
          </cell>
          <cell r="M3801" t="str">
            <v>UNID.</v>
          </cell>
          <cell r="N3801" t="str">
            <v>TRACTO</v>
          </cell>
          <cell r="O3801">
            <v>51</v>
          </cell>
          <cell r="P3801" t="str">
            <v>M8</v>
          </cell>
          <cell r="Q3801" t="str">
            <v>J1</v>
          </cell>
          <cell r="R3801" t="str">
            <v>J6</v>
          </cell>
          <cell r="S3801" t="str">
            <v>ENTREGADO</v>
          </cell>
          <cell r="T3801">
            <v>0</v>
          </cell>
          <cell r="U3801" t="str">
            <v>VARILLAS GAGO  OSCAR ALBERTO</v>
          </cell>
          <cell r="V3801" t="str">
            <v>FLOREZ CONDORI  JOSE WILLIANS</v>
          </cell>
        </row>
        <row r="3802">
          <cell r="A3802">
            <v>3822</v>
          </cell>
          <cell r="B3802">
            <v>42739</v>
          </cell>
          <cell r="C3802" t="str">
            <v>ENERO</v>
          </cell>
          <cell r="D3802" t="str">
            <v>2017</v>
          </cell>
          <cell r="E3802">
            <v>666</v>
          </cell>
          <cell r="F3802" t="str">
            <v>D3S-725</v>
          </cell>
          <cell r="G3802" t="str">
            <v>TBL-977</v>
          </cell>
          <cell r="H3802" t="str">
            <v>LAS BAMBAS</v>
          </cell>
          <cell r="I3802">
            <v>150007</v>
          </cell>
          <cell r="J3802" t="str">
            <v>REPUESTO</v>
          </cell>
          <cell r="K3802" t="str">
            <v>ABRAZADERAS INDUSTRIALES PARA MANGUERA 2 1/2</v>
          </cell>
          <cell r="L3802">
            <v>2</v>
          </cell>
          <cell r="M3802" t="str">
            <v>UNID.</v>
          </cell>
          <cell r="N3802" t="str">
            <v>TRACTO</v>
          </cell>
          <cell r="O3802">
            <v>51</v>
          </cell>
          <cell r="P3802" t="str">
            <v>M8</v>
          </cell>
          <cell r="Q3802" t="str">
            <v>J1</v>
          </cell>
          <cell r="R3802" t="str">
            <v>J6</v>
          </cell>
          <cell r="S3802" t="str">
            <v>ENTREGADO</v>
          </cell>
          <cell r="T3802">
            <v>0</v>
          </cell>
          <cell r="U3802" t="str">
            <v>VARILLAS GAGO  OSCAR ALBERTO</v>
          </cell>
          <cell r="V3802" t="str">
            <v>FLOREZ CONDORI  JOSE WILLIANS</v>
          </cell>
        </row>
        <row r="3803">
          <cell r="A3803">
            <v>3823</v>
          </cell>
          <cell r="B3803">
            <v>42739</v>
          </cell>
          <cell r="C3803" t="str">
            <v>ENERO</v>
          </cell>
          <cell r="D3803" t="str">
            <v>2017</v>
          </cell>
          <cell r="E3803">
            <v>666</v>
          </cell>
          <cell r="F3803" t="str">
            <v>D3S-725</v>
          </cell>
          <cell r="G3803" t="str">
            <v>TBL-977</v>
          </cell>
          <cell r="H3803" t="str">
            <v>LAS BAMBAS</v>
          </cell>
          <cell r="I3803">
            <v>150007</v>
          </cell>
          <cell r="J3803" t="str">
            <v>REPUESTO</v>
          </cell>
          <cell r="K3803" t="str">
            <v>LIQUIDO REFRIGERANTE</v>
          </cell>
          <cell r="L3803">
            <v>10</v>
          </cell>
          <cell r="M3803" t="str">
            <v>GLNS.</v>
          </cell>
          <cell r="N3803" t="str">
            <v>TRACTO</v>
          </cell>
          <cell r="O3803">
            <v>51</v>
          </cell>
          <cell r="P3803" t="str">
            <v>M8</v>
          </cell>
          <cell r="Q3803" t="str">
            <v>J1</v>
          </cell>
          <cell r="R3803" t="str">
            <v>J6</v>
          </cell>
          <cell r="S3803" t="str">
            <v>ENTREGADO</v>
          </cell>
          <cell r="T3803">
            <v>0</v>
          </cell>
          <cell r="U3803" t="str">
            <v>VARILLAS GAGO  OSCAR ALBERTO</v>
          </cell>
          <cell r="V3803" t="str">
            <v>FLOREZ CONDORI  JOSE WILLIANS</v>
          </cell>
        </row>
        <row r="3804">
          <cell r="A3804">
            <v>3824</v>
          </cell>
          <cell r="B3804">
            <v>42739</v>
          </cell>
          <cell r="C3804" t="str">
            <v>ENERO</v>
          </cell>
          <cell r="D3804" t="str">
            <v>2017</v>
          </cell>
          <cell r="E3804">
            <v>666</v>
          </cell>
          <cell r="F3804" t="str">
            <v>D3S-725</v>
          </cell>
          <cell r="G3804" t="str">
            <v>TBL-977</v>
          </cell>
          <cell r="H3804" t="str">
            <v>LAS BAMBAS</v>
          </cell>
          <cell r="I3804">
            <v>150007</v>
          </cell>
          <cell r="J3804" t="str">
            <v>REPUESTO</v>
          </cell>
          <cell r="K3804" t="str">
            <v>FILTRO DE COMBUSTIBLE TIPO CARTUCHO</v>
          </cell>
          <cell r="L3804">
            <v>1</v>
          </cell>
          <cell r="M3804" t="str">
            <v>UNID.</v>
          </cell>
          <cell r="N3804" t="str">
            <v>TRACTO</v>
          </cell>
          <cell r="O3804">
            <v>51</v>
          </cell>
          <cell r="P3804" t="str">
            <v>M8</v>
          </cell>
          <cell r="Q3804" t="str">
            <v>J1</v>
          </cell>
          <cell r="R3804" t="str">
            <v>J6</v>
          </cell>
          <cell r="S3804" t="str">
            <v>ENTREGADO</v>
          </cell>
          <cell r="T3804">
            <v>0</v>
          </cell>
          <cell r="U3804" t="str">
            <v>VARILLAS GAGO  OSCAR ALBERTO</v>
          </cell>
          <cell r="V3804" t="str">
            <v>FLOREZ CONDORI  JOSE WILLIANS</v>
          </cell>
        </row>
        <row r="3805">
          <cell r="A3805">
            <v>3825</v>
          </cell>
          <cell r="B3805">
            <v>42739</v>
          </cell>
          <cell r="C3805" t="str">
            <v>ENERO</v>
          </cell>
          <cell r="D3805" t="str">
            <v>2017</v>
          </cell>
          <cell r="E3805">
            <v>666</v>
          </cell>
          <cell r="F3805" t="str">
            <v>D3S-725</v>
          </cell>
          <cell r="G3805" t="str">
            <v>TBL-977</v>
          </cell>
          <cell r="H3805" t="str">
            <v>LAS BAMBAS</v>
          </cell>
          <cell r="I3805">
            <v>150007</v>
          </cell>
          <cell r="J3805" t="str">
            <v>REPUESTO</v>
          </cell>
          <cell r="K3805" t="str">
            <v>FILTRO DE COMBUSTIBLE</v>
          </cell>
          <cell r="L3805">
            <v>1</v>
          </cell>
          <cell r="M3805" t="str">
            <v>UNID.</v>
          </cell>
          <cell r="N3805" t="str">
            <v>TRACTO</v>
          </cell>
          <cell r="O3805">
            <v>51</v>
          </cell>
          <cell r="P3805" t="str">
            <v>M8</v>
          </cell>
          <cell r="Q3805" t="str">
            <v>J1</v>
          </cell>
          <cell r="R3805" t="str">
            <v>J6</v>
          </cell>
          <cell r="S3805" t="str">
            <v>ENTREGADO</v>
          </cell>
          <cell r="T3805">
            <v>0</v>
          </cell>
          <cell r="U3805" t="str">
            <v>VARILLAS GAGO  OSCAR ALBERTO</v>
          </cell>
          <cell r="V3805" t="str">
            <v>FLOREZ CONDORI  JOSE WILLIANS</v>
          </cell>
        </row>
        <row r="3806">
          <cell r="A3806">
            <v>3829</v>
          </cell>
          <cell r="B3806">
            <v>42739</v>
          </cell>
          <cell r="C3806" t="str">
            <v>ENERO</v>
          </cell>
          <cell r="D3806" t="str">
            <v>2017</v>
          </cell>
          <cell r="E3806">
            <v>666</v>
          </cell>
          <cell r="F3806" t="str">
            <v>D3S-725</v>
          </cell>
          <cell r="G3806" t="str">
            <v>TBL-977</v>
          </cell>
          <cell r="H3806" t="str">
            <v>LAS BAMBAS</v>
          </cell>
          <cell r="I3806">
            <v>150007</v>
          </cell>
          <cell r="J3806" t="str">
            <v>REPUESTO</v>
          </cell>
          <cell r="K3806" t="str">
            <v>PERNOS 1/4 X 1 1/2</v>
          </cell>
          <cell r="L3806">
            <v>4</v>
          </cell>
          <cell r="M3806" t="str">
            <v>UNID.</v>
          </cell>
          <cell r="N3806" t="str">
            <v>TRACTO</v>
          </cell>
          <cell r="O3806">
            <v>51</v>
          </cell>
          <cell r="P3806" t="str">
            <v>M8</v>
          </cell>
          <cell r="Q3806" t="str">
            <v>J1</v>
          </cell>
          <cell r="R3806" t="str">
            <v>J6</v>
          </cell>
          <cell r="S3806" t="str">
            <v>ENTREGADO</v>
          </cell>
          <cell r="T3806">
            <v>0</v>
          </cell>
          <cell r="U3806" t="str">
            <v>VARILLAS GAGO  OSCAR ALBERTO</v>
          </cell>
          <cell r="V3806" t="str">
            <v>FLOREZ CONDORI  JOSE WILLIANS</v>
          </cell>
        </row>
        <row r="3807">
          <cell r="A3807">
            <v>3830</v>
          </cell>
          <cell r="B3807">
            <v>42739</v>
          </cell>
          <cell r="C3807" t="str">
            <v>ENERO</v>
          </cell>
          <cell r="D3807" t="str">
            <v>2017</v>
          </cell>
          <cell r="E3807">
            <v>666</v>
          </cell>
          <cell r="F3807" t="str">
            <v>D3S-725</v>
          </cell>
          <cell r="G3807" t="str">
            <v>TBL-977</v>
          </cell>
          <cell r="H3807" t="str">
            <v>LAS BAMBAS</v>
          </cell>
          <cell r="I3807">
            <v>150007</v>
          </cell>
          <cell r="J3807" t="str">
            <v>REPUESTO</v>
          </cell>
          <cell r="K3807" t="str">
            <v>TUERCA SEGURO 1/4</v>
          </cell>
          <cell r="L3807">
            <v>4</v>
          </cell>
          <cell r="M3807" t="str">
            <v>UNID.</v>
          </cell>
          <cell r="N3807" t="str">
            <v>TRACTO</v>
          </cell>
          <cell r="O3807">
            <v>51</v>
          </cell>
          <cell r="P3807" t="str">
            <v>M8</v>
          </cell>
          <cell r="Q3807" t="str">
            <v>J1</v>
          </cell>
          <cell r="R3807" t="str">
            <v>J6</v>
          </cell>
          <cell r="S3807" t="str">
            <v>ENTREGADO</v>
          </cell>
          <cell r="T3807">
            <v>0</v>
          </cell>
          <cell r="U3807" t="str">
            <v>VARILLAS GAGO  OSCAR ALBERTO</v>
          </cell>
          <cell r="V3807" t="str">
            <v>FLOREZ CONDORI  JOSE WILLIANS</v>
          </cell>
        </row>
        <row r="3808">
          <cell r="A3808">
            <v>3831</v>
          </cell>
          <cell r="B3808">
            <v>42739</v>
          </cell>
          <cell r="C3808" t="str">
            <v>ENERO</v>
          </cell>
          <cell r="D3808" t="str">
            <v>2017</v>
          </cell>
          <cell r="E3808">
            <v>666</v>
          </cell>
          <cell r="F3808" t="str">
            <v>D3S-725</v>
          </cell>
          <cell r="G3808" t="str">
            <v>TBL-977</v>
          </cell>
          <cell r="H3808" t="str">
            <v>LAS BAMBAS</v>
          </cell>
          <cell r="I3808">
            <v>150007</v>
          </cell>
          <cell r="J3808" t="str">
            <v>REPUESTO</v>
          </cell>
          <cell r="K3808" t="str">
            <v>ARANDELA PLANA 1/4</v>
          </cell>
          <cell r="L3808">
            <v>4</v>
          </cell>
          <cell r="M3808" t="str">
            <v>UNID.</v>
          </cell>
          <cell r="N3808" t="str">
            <v>TRACTO</v>
          </cell>
          <cell r="O3808">
            <v>51</v>
          </cell>
          <cell r="P3808" t="str">
            <v>M8</v>
          </cell>
          <cell r="Q3808" t="str">
            <v>J1</v>
          </cell>
          <cell r="R3808" t="str">
            <v>J6</v>
          </cell>
          <cell r="S3808" t="str">
            <v>ENTREGADO</v>
          </cell>
          <cell r="T3808">
            <v>0</v>
          </cell>
          <cell r="U3808" t="str">
            <v>VARILLAS GAGO  OSCAR ALBERTO</v>
          </cell>
          <cell r="V3808" t="str">
            <v>FLOREZ CONDORI  JOSE WILLIANS</v>
          </cell>
        </row>
        <row r="3809">
          <cell r="A3809">
            <v>3832</v>
          </cell>
          <cell r="B3809">
            <v>42739</v>
          </cell>
          <cell r="C3809" t="str">
            <v>ENERO</v>
          </cell>
          <cell r="D3809" t="str">
            <v>2017</v>
          </cell>
          <cell r="E3809">
            <v>666</v>
          </cell>
          <cell r="F3809" t="str">
            <v>D3S-725</v>
          </cell>
          <cell r="G3809" t="str">
            <v>TBL-977</v>
          </cell>
          <cell r="H3809" t="str">
            <v>LAS BAMBAS</v>
          </cell>
          <cell r="I3809">
            <v>150007</v>
          </cell>
          <cell r="J3809" t="str">
            <v>REPUESTO</v>
          </cell>
          <cell r="K3809" t="str">
            <v>ARANDELA PLANA 5/8</v>
          </cell>
          <cell r="L3809">
            <v>2</v>
          </cell>
          <cell r="M3809" t="str">
            <v>UNID.</v>
          </cell>
          <cell r="N3809" t="str">
            <v>TRACTO</v>
          </cell>
          <cell r="O3809">
            <v>51</v>
          </cell>
          <cell r="P3809" t="str">
            <v>M8</v>
          </cell>
          <cell r="Q3809" t="str">
            <v>J1</v>
          </cell>
          <cell r="R3809" t="str">
            <v>J6</v>
          </cell>
          <cell r="S3809" t="str">
            <v>ENTREGADO</v>
          </cell>
          <cell r="T3809">
            <v>0</v>
          </cell>
          <cell r="U3809" t="str">
            <v>VARILLAS GAGO  OSCAR ALBERTO</v>
          </cell>
          <cell r="V3809" t="str">
            <v>FLOREZ CONDORI  JOSE WILLIANS</v>
          </cell>
        </row>
        <row r="3810">
          <cell r="A3810">
            <v>3833</v>
          </cell>
          <cell r="B3810">
            <v>42739</v>
          </cell>
          <cell r="C3810" t="str">
            <v>ENERO</v>
          </cell>
          <cell r="D3810" t="str">
            <v>2017</v>
          </cell>
          <cell r="E3810">
            <v>666</v>
          </cell>
          <cell r="F3810" t="str">
            <v>D3S-725</v>
          </cell>
          <cell r="G3810" t="str">
            <v>TBL-977</v>
          </cell>
          <cell r="H3810" t="str">
            <v>LAS BAMBAS</v>
          </cell>
          <cell r="I3810">
            <v>150007</v>
          </cell>
          <cell r="J3810" t="str">
            <v>REPUESTO</v>
          </cell>
          <cell r="K3810" t="str">
            <v>PERNOS 3/8 X 1</v>
          </cell>
          <cell r="L3810">
            <v>2</v>
          </cell>
          <cell r="M3810" t="str">
            <v>UNID.</v>
          </cell>
          <cell r="N3810" t="str">
            <v>TRACTO</v>
          </cell>
          <cell r="O3810">
            <v>51</v>
          </cell>
          <cell r="P3810" t="str">
            <v>M8</v>
          </cell>
          <cell r="Q3810" t="str">
            <v>J1</v>
          </cell>
          <cell r="R3810" t="str">
            <v>J6</v>
          </cell>
          <cell r="S3810" t="str">
            <v>ENTREGADO</v>
          </cell>
          <cell r="T3810">
            <v>0</v>
          </cell>
          <cell r="U3810" t="str">
            <v>VARILLAS GAGO  OSCAR ALBERTO</v>
          </cell>
          <cell r="V3810" t="str">
            <v>FLOREZ CONDORI  JOSE WILLIANS</v>
          </cell>
        </row>
        <row r="3811">
          <cell r="A3811">
            <v>3834</v>
          </cell>
          <cell r="B3811">
            <v>42739</v>
          </cell>
          <cell r="C3811" t="str">
            <v>ENERO</v>
          </cell>
          <cell r="D3811" t="str">
            <v>2017</v>
          </cell>
          <cell r="E3811">
            <v>666</v>
          </cell>
          <cell r="F3811" t="str">
            <v>D3S-725</v>
          </cell>
          <cell r="G3811" t="str">
            <v>TBL-977</v>
          </cell>
          <cell r="H3811" t="str">
            <v>LAS BAMBAS</v>
          </cell>
          <cell r="I3811">
            <v>150007</v>
          </cell>
          <cell r="J3811" t="str">
            <v>REPUESTO</v>
          </cell>
          <cell r="K3811" t="str">
            <v>ARANDELA PLANA 3/8</v>
          </cell>
          <cell r="L3811">
            <v>2</v>
          </cell>
          <cell r="M3811" t="str">
            <v>UNID.</v>
          </cell>
          <cell r="N3811" t="str">
            <v>TRACTO</v>
          </cell>
          <cell r="O3811">
            <v>51</v>
          </cell>
          <cell r="P3811" t="str">
            <v>M8</v>
          </cell>
          <cell r="Q3811" t="str">
            <v>J1</v>
          </cell>
          <cell r="R3811" t="str">
            <v>J6</v>
          </cell>
          <cell r="S3811" t="str">
            <v>ENTREGADO</v>
          </cell>
          <cell r="T3811">
            <v>0</v>
          </cell>
          <cell r="U3811" t="str">
            <v>VARILLAS GAGO  OSCAR ALBERTO</v>
          </cell>
          <cell r="V3811" t="str">
            <v>FLOREZ CONDORI  JOSE WILLIANS</v>
          </cell>
        </row>
        <row r="3812">
          <cell r="A3812">
            <v>3835</v>
          </cell>
          <cell r="B3812">
            <v>42739</v>
          </cell>
          <cell r="C3812" t="str">
            <v>ENERO</v>
          </cell>
          <cell r="D3812" t="str">
            <v>2017</v>
          </cell>
          <cell r="E3812">
            <v>666</v>
          </cell>
          <cell r="F3812" t="str">
            <v>D3S-725</v>
          </cell>
          <cell r="G3812" t="str">
            <v>TBL-977</v>
          </cell>
          <cell r="H3812" t="str">
            <v>LAS BAMBAS</v>
          </cell>
          <cell r="I3812">
            <v>150007</v>
          </cell>
          <cell r="J3812" t="str">
            <v>REPUESTO</v>
          </cell>
          <cell r="K3812" t="str">
            <v>TUERCA SEGURO 3/8</v>
          </cell>
          <cell r="L3812">
            <v>2</v>
          </cell>
          <cell r="M3812" t="str">
            <v>UNID.</v>
          </cell>
          <cell r="N3812" t="str">
            <v>TRACTO</v>
          </cell>
          <cell r="O3812">
            <v>51</v>
          </cell>
          <cell r="P3812" t="str">
            <v>M8</v>
          </cell>
          <cell r="Q3812" t="str">
            <v>J1</v>
          </cell>
          <cell r="R3812" t="str">
            <v>J6</v>
          </cell>
          <cell r="S3812" t="str">
            <v>ENTREGADO</v>
          </cell>
          <cell r="T3812">
            <v>0</v>
          </cell>
          <cell r="U3812" t="str">
            <v>VARILLAS GAGO  OSCAR ALBERTO</v>
          </cell>
          <cell r="V3812" t="str">
            <v>FLOREZ CONDORI  JOSE WILLIANS</v>
          </cell>
        </row>
        <row r="3813">
          <cell r="A3813">
            <v>3782</v>
          </cell>
          <cell r="B3813">
            <v>42739</v>
          </cell>
          <cell r="C3813" t="str">
            <v>ENERO</v>
          </cell>
          <cell r="D3813" t="str">
            <v>2017</v>
          </cell>
          <cell r="E3813">
            <v>747</v>
          </cell>
          <cell r="F3813" t="str">
            <v>D6F-903</v>
          </cell>
          <cell r="G3813" t="str">
            <v>B8K-997</v>
          </cell>
          <cell r="H3813" t="str">
            <v>LAS BAMBAS</v>
          </cell>
          <cell r="I3813">
            <v>221739</v>
          </cell>
          <cell r="J3813" t="str">
            <v>REPUESTO</v>
          </cell>
          <cell r="K3813" t="str">
            <v>ACEITE 15W40</v>
          </cell>
          <cell r="L3813">
            <v>10</v>
          </cell>
          <cell r="M3813" t="str">
            <v>GLNS.</v>
          </cell>
          <cell r="N3813" t="str">
            <v>TRACTO</v>
          </cell>
          <cell r="O3813">
            <v>51</v>
          </cell>
          <cell r="P3813" t="str">
            <v>M6</v>
          </cell>
          <cell r="Q3813" t="str">
            <v>J1</v>
          </cell>
          <cell r="R3813" t="str">
            <v>J6</v>
          </cell>
          <cell r="S3813" t="str">
            <v>ENTREGADO</v>
          </cell>
          <cell r="T3813">
            <v>0</v>
          </cell>
          <cell r="U3813" t="str">
            <v>PARI VENTURA  EDSON ORLANDO</v>
          </cell>
          <cell r="V3813" t="str">
            <v>FLOREZ CONDORI  JOSE WILLIANS</v>
          </cell>
        </row>
        <row r="3814">
          <cell r="A3814">
            <v>3783</v>
          </cell>
          <cell r="B3814">
            <v>42739</v>
          </cell>
          <cell r="C3814" t="str">
            <v>ENERO</v>
          </cell>
          <cell r="D3814" t="str">
            <v>2017</v>
          </cell>
          <cell r="E3814">
            <v>747</v>
          </cell>
          <cell r="F3814" t="str">
            <v>D6F-903</v>
          </cell>
          <cell r="G3814" t="str">
            <v>B8K-997</v>
          </cell>
          <cell r="H3814" t="str">
            <v>LAS BAMBAS</v>
          </cell>
          <cell r="I3814">
            <v>221739</v>
          </cell>
          <cell r="J3814" t="str">
            <v>REPUESTO</v>
          </cell>
          <cell r="K3814" t="str">
            <v>FILTRO DE ACEITE</v>
          </cell>
          <cell r="L3814">
            <v>2</v>
          </cell>
          <cell r="M3814" t="str">
            <v>UNID.</v>
          </cell>
          <cell r="N3814" t="str">
            <v>TRACTO</v>
          </cell>
          <cell r="O3814">
            <v>51</v>
          </cell>
          <cell r="P3814" t="str">
            <v>M6</v>
          </cell>
          <cell r="Q3814" t="str">
            <v>J1</v>
          </cell>
          <cell r="R3814" t="str">
            <v>J6</v>
          </cell>
          <cell r="S3814" t="str">
            <v>ENTREGADO</v>
          </cell>
          <cell r="T3814">
            <v>0</v>
          </cell>
          <cell r="U3814" t="str">
            <v>PARI VENTURA  EDSON ORLANDO</v>
          </cell>
          <cell r="V3814" t="str">
            <v>FLOREZ CONDORI  JOSE WILLIANS</v>
          </cell>
        </row>
        <row r="3815">
          <cell r="A3815">
            <v>3793</v>
          </cell>
          <cell r="B3815">
            <v>42739</v>
          </cell>
          <cell r="C3815" t="str">
            <v>ENERO</v>
          </cell>
          <cell r="D3815" t="str">
            <v>2017</v>
          </cell>
          <cell r="E3815">
            <v>747</v>
          </cell>
          <cell r="F3815" t="str">
            <v>D6F-903</v>
          </cell>
          <cell r="G3815" t="str">
            <v>B8K-997</v>
          </cell>
          <cell r="H3815" t="str">
            <v>LAS BAMBAS</v>
          </cell>
          <cell r="I3815">
            <v>221739</v>
          </cell>
          <cell r="J3815" t="str">
            <v>REPUESTO</v>
          </cell>
          <cell r="K3815" t="str">
            <v>ACEITE 15W40</v>
          </cell>
          <cell r="L3815">
            <v>10</v>
          </cell>
          <cell r="M3815" t="str">
            <v>GLNS.</v>
          </cell>
          <cell r="N3815" t="str">
            <v>TRACTO</v>
          </cell>
          <cell r="O3815">
            <v>51</v>
          </cell>
          <cell r="P3815" t="str">
            <v>M6</v>
          </cell>
          <cell r="Q3815" t="str">
            <v>J1</v>
          </cell>
          <cell r="R3815" t="str">
            <v>J6</v>
          </cell>
          <cell r="S3815" t="str">
            <v>ENTREGADO</v>
          </cell>
          <cell r="T3815">
            <v>0</v>
          </cell>
          <cell r="U3815" t="str">
            <v>PARI VENTURA  EDSON ORLANDO</v>
          </cell>
          <cell r="V3815" t="str">
            <v>FLOREZ CONDORI  JOSE WILLIANS</v>
          </cell>
        </row>
        <row r="3816">
          <cell r="A3816">
            <v>3794</v>
          </cell>
          <cell r="B3816">
            <v>42739</v>
          </cell>
          <cell r="C3816" t="str">
            <v>ENERO</v>
          </cell>
          <cell r="D3816" t="str">
            <v>2017</v>
          </cell>
          <cell r="E3816">
            <v>747</v>
          </cell>
          <cell r="F3816" t="str">
            <v>D6F-903</v>
          </cell>
          <cell r="G3816" t="str">
            <v>B8K-997</v>
          </cell>
          <cell r="H3816" t="str">
            <v>LAS BAMBAS</v>
          </cell>
          <cell r="I3816">
            <v>221739</v>
          </cell>
          <cell r="J3816" t="str">
            <v>REPUESTO</v>
          </cell>
          <cell r="K3816" t="str">
            <v>FILTRO DE ACEITE</v>
          </cell>
          <cell r="L3816">
            <v>2</v>
          </cell>
          <cell r="M3816" t="str">
            <v>UNID.</v>
          </cell>
          <cell r="N3816" t="str">
            <v>TRACTO</v>
          </cell>
          <cell r="O3816">
            <v>51</v>
          </cell>
          <cell r="P3816" t="str">
            <v>M6</v>
          </cell>
          <cell r="Q3816" t="str">
            <v>J1</v>
          </cell>
          <cell r="R3816" t="str">
            <v>J6</v>
          </cell>
          <cell r="S3816" t="str">
            <v>ENTREGADO</v>
          </cell>
          <cell r="T3816">
            <v>0</v>
          </cell>
          <cell r="U3816" t="str">
            <v>PARI VENTURA  EDSON ORLANDO</v>
          </cell>
          <cell r="V3816" t="str">
            <v>FLOREZ CONDORI  JOSE WILLIANS</v>
          </cell>
        </row>
        <row r="3817">
          <cell r="A3817">
            <v>3795</v>
          </cell>
          <cell r="B3817">
            <v>42739</v>
          </cell>
          <cell r="C3817" t="str">
            <v>ENERO</v>
          </cell>
          <cell r="D3817" t="str">
            <v>2017</v>
          </cell>
          <cell r="E3817">
            <v>747</v>
          </cell>
          <cell r="F3817" t="str">
            <v>D6F-903</v>
          </cell>
          <cell r="G3817" t="str">
            <v>B8K-997</v>
          </cell>
          <cell r="H3817" t="str">
            <v>LAS BAMBAS</v>
          </cell>
          <cell r="I3817">
            <v>221739</v>
          </cell>
          <cell r="J3817" t="str">
            <v>REPUESTO</v>
          </cell>
          <cell r="K3817" t="str">
            <v>FILTRO PETROLEO VALVULA</v>
          </cell>
          <cell r="L3817">
            <v>1</v>
          </cell>
          <cell r="M3817" t="str">
            <v>UNID.</v>
          </cell>
          <cell r="N3817" t="str">
            <v>TRACTO</v>
          </cell>
          <cell r="O3817">
            <v>51</v>
          </cell>
          <cell r="P3817" t="str">
            <v>M6</v>
          </cell>
          <cell r="Q3817" t="str">
            <v>J1</v>
          </cell>
          <cell r="R3817" t="str">
            <v>J6</v>
          </cell>
          <cell r="S3817" t="str">
            <v>ENTREGADO</v>
          </cell>
          <cell r="T3817">
            <v>0</v>
          </cell>
          <cell r="U3817" t="str">
            <v>PARI VENTURA  EDSON ORLANDO</v>
          </cell>
          <cell r="V3817" t="str">
            <v>FLOREZ CONDORI  JOSE WILLIANS</v>
          </cell>
        </row>
        <row r="3818">
          <cell r="A3818">
            <v>3796</v>
          </cell>
          <cell r="B3818">
            <v>42739</v>
          </cell>
          <cell r="C3818" t="str">
            <v>ENERO</v>
          </cell>
          <cell r="D3818" t="str">
            <v>2017</v>
          </cell>
          <cell r="E3818">
            <v>747</v>
          </cell>
          <cell r="F3818" t="str">
            <v>D6F-903</v>
          </cell>
          <cell r="G3818" t="str">
            <v>B8K-997</v>
          </cell>
          <cell r="H3818" t="str">
            <v>LAS BAMBAS</v>
          </cell>
          <cell r="I3818">
            <v>221739</v>
          </cell>
          <cell r="J3818" t="str">
            <v>REPUESTO</v>
          </cell>
          <cell r="K3818" t="str">
            <v>FILTRO PETROLEO</v>
          </cell>
          <cell r="L3818">
            <v>1</v>
          </cell>
          <cell r="M3818" t="str">
            <v>UNID.</v>
          </cell>
          <cell r="N3818" t="str">
            <v>TRACTO</v>
          </cell>
          <cell r="O3818">
            <v>51</v>
          </cell>
          <cell r="P3818" t="str">
            <v>M6</v>
          </cell>
          <cell r="Q3818" t="str">
            <v>J1</v>
          </cell>
          <cell r="R3818" t="str">
            <v>J6</v>
          </cell>
          <cell r="S3818" t="str">
            <v>ENTREGADO</v>
          </cell>
          <cell r="T3818">
            <v>0</v>
          </cell>
          <cell r="U3818" t="str">
            <v>PARI VENTURA  EDSON ORLANDO</v>
          </cell>
          <cell r="V3818" t="str">
            <v>FLOREZ CONDORI  JOSE WILLIANS</v>
          </cell>
        </row>
        <row r="3819">
          <cell r="A3819">
            <v>3797</v>
          </cell>
          <cell r="B3819">
            <v>42739</v>
          </cell>
          <cell r="C3819" t="str">
            <v>ENERO</v>
          </cell>
          <cell r="D3819" t="str">
            <v>2017</v>
          </cell>
          <cell r="E3819">
            <v>747</v>
          </cell>
          <cell r="F3819" t="str">
            <v>D6F-903</v>
          </cell>
          <cell r="G3819" t="str">
            <v>B8K-997</v>
          </cell>
          <cell r="H3819" t="str">
            <v>LAS BAMBAS</v>
          </cell>
          <cell r="I3819">
            <v>221739</v>
          </cell>
          <cell r="J3819" t="str">
            <v>REPUESTO</v>
          </cell>
          <cell r="K3819" t="str">
            <v>FILTRO AIRE PRIMARIO</v>
          </cell>
          <cell r="L3819">
            <v>1</v>
          </cell>
          <cell r="M3819" t="str">
            <v>UNID.</v>
          </cell>
          <cell r="N3819" t="str">
            <v>TRACTO</v>
          </cell>
          <cell r="O3819">
            <v>51</v>
          </cell>
          <cell r="P3819" t="str">
            <v>M6</v>
          </cell>
          <cell r="Q3819" t="str">
            <v>J1</v>
          </cell>
          <cell r="R3819" t="str">
            <v>J6</v>
          </cell>
          <cell r="S3819" t="str">
            <v>PENDIENTE</v>
          </cell>
          <cell r="T3819">
            <v>0</v>
          </cell>
          <cell r="U3819" t="str">
            <v>PARI VENTURA  EDSON ORLANDO</v>
          </cell>
          <cell r="V3819" t="str">
            <v>FLOREZ CONDORI  JOSE WILLIANS</v>
          </cell>
        </row>
        <row r="3820">
          <cell r="A3820">
            <v>3798</v>
          </cell>
          <cell r="B3820">
            <v>42739</v>
          </cell>
          <cell r="C3820" t="str">
            <v>ENERO</v>
          </cell>
          <cell r="D3820" t="str">
            <v>2017</v>
          </cell>
          <cell r="E3820">
            <v>747</v>
          </cell>
          <cell r="F3820" t="str">
            <v>D6F-903</v>
          </cell>
          <cell r="G3820" t="str">
            <v>B8K-997</v>
          </cell>
          <cell r="H3820" t="str">
            <v>LAS BAMBAS</v>
          </cell>
          <cell r="I3820">
            <v>221739</v>
          </cell>
          <cell r="J3820" t="str">
            <v>REPUESTO</v>
          </cell>
          <cell r="K3820" t="str">
            <v>FILTRO AIRE SECUNDARIO</v>
          </cell>
          <cell r="L3820">
            <v>1</v>
          </cell>
          <cell r="M3820" t="str">
            <v>UNID.</v>
          </cell>
          <cell r="N3820" t="str">
            <v>TRACTO</v>
          </cell>
          <cell r="O3820">
            <v>51</v>
          </cell>
          <cell r="P3820" t="str">
            <v>M6</v>
          </cell>
          <cell r="Q3820" t="str">
            <v>J1</v>
          </cell>
          <cell r="R3820" t="str">
            <v>J6</v>
          </cell>
          <cell r="S3820" t="str">
            <v>ENTREGADO</v>
          </cell>
          <cell r="T3820">
            <v>0</v>
          </cell>
          <cell r="U3820" t="str">
            <v>PARI VENTURA  EDSON ORLANDO</v>
          </cell>
          <cell r="V3820" t="str">
            <v>FLOREZ CONDORI  JOSE WILLIANS</v>
          </cell>
        </row>
        <row r="3821">
          <cell r="A3821">
            <v>3799</v>
          </cell>
          <cell r="B3821">
            <v>42739</v>
          </cell>
          <cell r="C3821" t="str">
            <v>ENERO</v>
          </cell>
          <cell r="D3821" t="str">
            <v>2017</v>
          </cell>
          <cell r="E3821">
            <v>747</v>
          </cell>
          <cell r="F3821" t="str">
            <v>D6F-903</v>
          </cell>
          <cell r="G3821" t="str">
            <v>B8K-997</v>
          </cell>
          <cell r="H3821" t="str">
            <v>LAS BAMBAS</v>
          </cell>
          <cell r="I3821">
            <v>221739</v>
          </cell>
          <cell r="J3821" t="str">
            <v>REPUESTO</v>
          </cell>
          <cell r="K3821" t="str">
            <v>SOPORTE EN L DE CHASIS</v>
          </cell>
          <cell r="L3821">
            <v>1</v>
          </cell>
          <cell r="M3821" t="str">
            <v>UNID.</v>
          </cell>
          <cell r="N3821" t="str">
            <v>TRACTO</v>
          </cell>
          <cell r="O3821">
            <v>51</v>
          </cell>
          <cell r="P3821" t="str">
            <v>J1</v>
          </cell>
          <cell r="Q3821" t="str">
            <v>J1</v>
          </cell>
          <cell r="R3821" t="str">
            <v>J6</v>
          </cell>
          <cell r="S3821" t="str">
            <v>ENTREGADO</v>
          </cell>
          <cell r="T3821">
            <v>0</v>
          </cell>
          <cell r="U3821" t="str">
            <v>FLOREZ CONDORI  JOSE WILLIANS</v>
          </cell>
          <cell r="V3821" t="str">
            <v>FLOREZ CONDORI  JOSE WILLIANS</v>
          </cell>
        </row>
        <row r="3822">
          <cell r="A3822">
            <v>3805</v>
          </cell>
          <cell r="B3822">
            <v>42739</v>
          </cell>
          <cell r="C3822" t="str">
            <v>ENERO</v>
          </cell>
          <cell r="D3822" t="str">
            <v>2017</v>
          </cell>
          <cell r="E3822">
            <v>747</v>
          </cell>
          <cell r="F3822" t="str">
            <v>D6F-903</v>
          </cell>
          <cell r="G3822" t="str">
            <v>B8K-997</v>
          </cell>
          <cell r="H3822" t="str">
            <v>LAS BAMBAS</v>
          </cell>
          <cell r="I3822">
            <v>221739</v>
          </cell>
          <cell r="J3822" t="str">
            <v>REPUESTO</v>
          </cell>
          <cell r="K3822" t="str">
            <v>CIRCULINA</v>
          </cell>
          <cell r="L3822">
            <v>1</v>
          </cell>
          <cell r="M3822" t="str">
            <v>UNID.</v>
          </cell>
          <cell r="N3822" t="str">
            <v>TRACTO</v>
          </cell>
          <cell r="O3822">
            <v>51</v>
          </cell>
          <cell r="P3822" t="str">
            <v>E3</v>
          </cell>
          <cell r="Q3822" t="str">
            <v>J1</v>
          </cell>
          <cell r="R3822" t="str">
            <v>J6</v>
          </cell>
          <cell r="S3822" t="str">
            <v>PENDIENTE</v>
          </cell>
          <cell r="T3822">
            <v>0</v>
          </cell>
          <cell r="U3822" t="str">
            <v>CONDORI CHURATA ALEX</v>
          </cell>
          <cell r="V3822" t="str">
            <v>FLOREZ CONDORI  JOSE WILLIANS</v>
          </cell>
        </row>
        <row r="3823">
          <cell r="A3823">
            <v>3806</v>
          </cell>
          <cell r="B3823">
            <v>42739</v>
          </cell>
          <cell r="C3823" t="str">
            <v>ENERO</v>
          </cell>
          <cell r="D3823" t="str">
            <v>2017</v>
          </cell>
          <cell r="E3823">
            <v>747</v>
          </cell>
          <cell r="F3823" t="str">
            <v>D6F-903</v>
          </cell>
          <cell r="G3823" t="str">
            <v>B8K-997</v>
          </cell>
          <cell r="H3823" t="str">
            <v>LAS BAMBAS</v>
          </cell>
          <cell r="I3823">
            <v>221739</v>
          </cell>
          <cell r="J3823" t="str">
            <v>REPUESTO</v>
          </cell>
          <cell r="K3823" t="str">
            <v>VALVULA DE PITON</v>
          </cell>
          <cell r="L3823">
            <v>12</v>
          </cell>
          <cell r="M3823" t="str">
            <v>UNID.</v>
          </cell>
          <cell r="N3823" t="str">
            <v>TRACTO</v>
          </cell>
          <cell r="O3823">
            <v>51</v>
          </cell>
          <cell r="P3823" t="str">
            <v>N1</v>
          </cell>
          <cell r="Q3823" t="str">
            <v>J3</v>
          </cell>
          <cell r="R3823" t="str">
            <v>J6</v>
          </cell>
          <cell r="S3823" t="str">
            <v>ENTREGADO</v>
          </cell>
          <cell r="T3823">
            <v>0</v>
          </cell>
          <cell r="U3823" t="str">
            <v>AGUILAR CCANTUTA WILLY</v>
          </cell>
          <cell r="V3823" t="str">
            <v>CHURA PIZARRO ALBERTO</v>
          </cell>
        </row>
        <row r="3824">
          <cell r="A3824">
            <v>3807</v>
          </cell>
          <cell r="B3824">
            <v>42739</v>
          </cell>
          <cell r="C3824" t="str">
            <v>ENERO</v>
          </cell>
          <cell r="D3824" t="str">
            <v>2017</v>
          </cell>
          <cell r="E3824">
            <v>707</v>
          </cell>
          <cell r="F3824" t="str">
            <v>D7V-714</v>
          </cell>
          <cell r="G3824" t="str">
            <v>F7M-971</v>
          </cell>
          <cell r="H3824" t="str">
            <v>LAS BAMBAS</v>
          </cell>
          <cell r="I3824">
            <v>52416</v>
          </cell>
          <cell r="J3824" t="str">
            <v>REPUESTO</v>
          </cell>
          <cell r="K3824" t="str">
            <v>SUPERCITO 5/32</v>
          </cell>
          <cell r="L3824">
            <v>5</v>
          </cell>
          <cell r="M3824" t="str">
            <v>KG.</v>
          </cell>
          <cell r="N3824" t="str">
            <v>CISTERNA</v>
          </cell>
          <cell r="O3824">
            <v>51</v>
          </cell>
          <cell r="P3824" t="str">
            <v>S2</v>
          </cell>
          <cell r="Q3824" t="str">
            <v>J1</v>
          </cell>
          <cell r="R3824" t="str">
            <v>J6</v>
          </cell>
          <cell r="S3824" t="str">
            <v>ENTREGADO</v>
          </cell>
          <cell r="T3824">
            <v>0</v>
          </cell>
          <cell r="U3824" t="str">
            <v>PALOMINO ESTRADA  MICHEL</v>
          </cell>
          <cell r="V3824" t="str">
            <v>FLOREZ CONDORI  JOSE WILLIANS</v>
          </cell>
        </row>
        <row r="3825">
          <cell r="A3825">
            <v>3826</v>
          </cell>
          <cell r="B3825">
            <v>42739</v>
          </cell>
          <cell r="C3825" t="str">
            <v>ENERO</v>
          </cell>
          <cell r="D3825" t="str">
            <v>2017</v>
          </cell>
          <cell r="E3825">
            <v>707</v>
          </cell>
          <cell r="F3825" t="str">
            <v>D7V-714</v>
          </cell>
          <cell r="G3825" t="str">
            <v>F7M-971</v>
          </cell>
          <cell r="H3825" t="str">
            <v>LAS BAMBAS</v>
          </cell>
          <cell r="I3825">
            <v>52416</v>
          </cell>
          <cell r="J3825" t="str">
            <v>REPUESTO</v>
          </cell>
          <cell r="K3825" t="str">
            <v>GRASERAS RECTAS 1/8 NPT</v>
          </cell>
          <cell r="L3825">
            <v>6</v>
          </cell>
          <cell r="M3825" t="str">
            <v>UNID.</v>
          </cell>
          <cell r="N3825" t="str">
            <v>CISTERNA</v>
          </cell>
          <cell r="O3825">
            <v>51</v>
          </cell>
          <cell r="P3825" t="str">
            <v>S2</v>
          </cell>
          <cell r="Q3825" t="str">
            <v>J1</v>
          </cell>
          <cell r="R3825" t="str">
            <v>J6</v>
          </cell>
          <cell r="S3825" t="str">
            <v>ENTREGADO</v>
          </cell>
          <cell r="T3825">
            <v>0</v>
          </cell>
          <cell r="U3825" t="str">
            <v>PALOMINO ESTRADA  MICHEL</v>
          </cell>
          <cell r="V3825" t="str">
            <v>FLOREZ CONDORI  JOSE WILLIANS</v>
          </cell>
        </row>
        <row r="3826">
          <cell r="A3826">
            <v>3827</v>
          </cell>
          <cell r="B3826">
            <v>42739</v>
          </cell>
          <cell r="C3826" t="str">
            <v>ENERO</v>
          </cell>
          <cell r="D3826" t="str">
            <v>2017</v>
          </cell>
          <cell r="E3826">
            <v>707</v>
          </cell>
          <cell r="F3826" t="str">
            <v>D7V-714</v>
          </cell>
          <cell r="G3826" t="str">
            <v>F7M-971</v>
          </cell>
          <cell r="H3826" t="str">
            <v>LAS BAMBAS</v>
          </cell>
          <cell r="I3826">
            <v>52416</v>
          </cell>
          <cell r="J3826" t="str">
            <v>REPUESTO</v>
          </cell>
          <cell r="K3826" t="str">
            <v>GRASERAS 90 GRADOS 1/8 NPT</v>
          </cell>
          <cell r="L3826">
            <v>6</v>
          </cell>
          <cell r="M3826" t="str">
            <v>UNID.</v>
          </cell>
          <cell r="N3826" t="str">
            <v>CISTERNA</v>
          </cell>
          <cell r="O3826">
            <v>51</v>
          </cell>
          <cell r="P3826" t="str">
            <v>S2</v>
          </cell>
          <cell r="Q3826" t="str">
            <v>J1</v>
          </cell>
          <cell r="R3826" t="str">
            <v>J6</v>
          </cell>
          <cell r="S3826" t="str">
            <v>ENTREGADO</v>
          </cell>
          <cell r="T3826">
            <v>0</v>
          </cell>
          <cell r="U3826" t="str">
            <v>PALOMINO ESTRADA  MICHEL</v>
          </cell>
          <cell r="V3826" t="str">
            <v>FLOREZ CONDORI  JOSE WILLIANS</v>
          </cell>
        </row>
        <row r="3827">
          <cell r="A3827">
            <v>3838</v>
          </cell>
          <cell r="B3827">
            <v>42739</v>
          </cell>
          <cell r="C3827" t="str">
            <v>ENERO</v>
          </cell>
          <cell r="D3827" t="str">
            <v>2017</v>
          </cell>
          <cell r="E3827">
            <v>200</v>
          </cell>
          <cell r="F3827" t="str">
            <v>TALLER</v>
          </cell>
          <cell r="G3827" t="str">
            <v>TALLER</v>
          </cell>
          <cell r="H3827" t="str">
            <v>TALLER</v>
          </cell>
          <cell r="I3827" t="str">
            <v>TALLER</v>
          </cell>
          <cell r="J3827" t="str">
            <v>INSUMO TALLER</v>
          </cell>
          <cell r="K3827" t="str">
            <v>DISCO DE DESBASTE 4"</v>
          </cell>
          <cell r="L3827">
            <v>1</v>
          </cell>
          <cell r="M3827" t="str">
            <v>UNID.</v>
          </cell>
          <cell r="N3827" t="str">
            <v>TALLER</v>
          </cell>
          <cell r="O3827">
            <v>51</v>
          </cell>
          <cell r="P3827" t="str">
            <v>S3</v>
          </cell>
          <cell r="Q3827" t="str">
            <v>J1</v>
          </cell>
          <cell r="R3827" t="str">
            <v>J6</v>
          </cell>
          <cell r="S3827" t="str">
            <v>PENDIENTE</v>
          </cell>
          <cell r="T3827">
            <v>0</v>
          </cell>
          <cell r="U3827" t="str">
            <v>JIMENEZ MACHACA JAVIER</v>
          </cell>
          <cell r="V3827" t="str">
            <v>FLOREZ CONDORI  JOSE WILLIANS</v>
          </cell>
        </row>
        <row r="3828">
          <cell r="A3828">
            <v>3828</v>
          </cell>
          <cell r="B3828">
            <v>42739</v>
          </cell>
          <cell r="C3828" t="str">
            <v>ENERO</v>
          </cell>
          <cell r="D3828" t="str">
            <v>2017</v>
          </cell>
          <cell r="E3828">
            <v>654</v>
          </cell>
          <cell r="F3828" t="str">
            <v>X2W-760</v>
          </cell>
          <cell r="G3828" t="str">
            <v>C5V-992</v>
          </cell>
          <cell r="H3828" t="str">
            <v>LAS BAMBAS</v>
          </cell>
          <cell r="I3828">
            <v>151954</v>
          </cell>
          <cell r="J3828" t="str">
            <v>REPUESTO</v>
          </cell>
          <cell r="K3828" t="str">
            <v>TECLA PULSADORA</v>
          </cell>
          <cell r="L3828">
            <v>1</v>
          </cell>
          <cell r="M3828" t="str">
            <v>UNID.</v>
          </cell>
          <cell r="N3828" t="str">
            <v>TRACTO</v>
          </cell>
          <cell r="O3828">
            <v>51</v>
          </cell>
          <cell r="P3828" t="str">
            <v>E2</v>
          </cell>
          <cell r="Q3828" t="str">
            <v>J1</v>
          </cell>
          <cell r="R3828" t="str">
            <v>J6</v>
          </cell>
          <cell r="S3828" t="str">
            <v>ENTREGADO</v>
          </cell>
          <cell r="T3828">
            <v>0</v>
          </cell>
          <cell r="U3828" t="str">
            <v>YUCA BELLIDO BORIS YERSY</v>
          </cell>
          <cell r="V3828" t="str">
            <v>FLOREZ CONDORI  JOSE WILLIANS</v>
          </cell>
        </row>
        <row r="3829">
          <cell r="A3829">
            <v>3837</v>
          </cell>
          <cell r="B3829">
            <v>42739</v>
          </cell>
          <cell r="C3829" t="str">
            <v>ENERO</v>
          </cell>
          <cell r="D3829" t="str">
            <v>2017</v>
          </cell>
          <cell r="E3829">
            <v>740</v>
          </cell>
          <cell r="F3829" t="str">
            <v>X2W-761</v>
          </cell>
          <cell r="G3829" t="str">
            <v>C5V-996</v>
          </cell>
          <cell r="H3829" t="str">
            <v>LAS BAMBAS</v>
          </cell>
          <cell r="I3829">
            <v>147661</v>
          </cell>
          <cell r="J3829" t="str">
            <v>INSUMO TALLER</v>
          </cell>
          <cell r="K3829" t="str">
            <v xml:space="preserve">SPRAY BLANCO </v>
          </cell>
          <cell r="L3829">
            <v>1</v>
          </cell>
          <cell r="M3829" t="str">
            <v>UNID.</v>
          </cell>
          <cell r="N3829" t="str">
            <v>CISTERNA</v>
          </cell>
          <cell r="O3829">
            <v>51</v>
          </cell>
          <cell r="P3829" t="str">
            <v>S3</v>
          </cell>
          <cell r="Q3829" t="str">
            <v>J1</v>
          </cell>
          <cell r="R3829" t="str">
            <v>J6</v>
          </cell>
          <cell r="S3829" t="str">
            <v>ENTREGADO</v>
          </cell>
          <cell r="T3829">
            <v>0</v>
          </cell>
          <cell r="U3829" t="str">
            <v>JIMENEZ MACHACA JAVIER</v>
          </cell>
          <cell r="V3829" t="str">
            <v>FLOREZ CONDORI  JOSE WILLIANS</v>
          </cell>
        </row>
        <row r="3830">
          <cell r="A3830">
            <v>3836</v>
          </cell>
          <cell r="B3830">
            <v>42739</v>
          </cell>
          <cell r="C3830" t="str">
            <v>ENERO</v>
          </cell>
          <cell r="D3830" t="str">
            <v>2017</v>
          </cell>
          <cell r="E3830">
            <v>752</v>
          </cell>
          <cell r="F3830" t="str">
            <v>X2W-788</v>
          </cell>
          <cell r="G3830" t="str">
            <v>C5V-994</v>
          </cell>
          <cell r="H3830" t="str">
            <v>LAS BAMBAS</v>
          </cell>
          <cell r="I3830">
            <v>143248</v>
          </cell>
          <cell r="J3830" t="str">
            <v>REPUESTO</v>
          </cell>
          <cell r="K3830" t="str">
            <v>JEBES DE MANITO</v>
          </cell>
          <cell r="L3830">
            <v>2</v>
          </cell>
          <cell r="M3830" t="str">
            <v>UNID.</v>
          </cell>
          <cell r="N3830" t="str">
            <v>CISTERNA</v>
          </cell>
          <cell r="O3830">
            <v>51</v>
          </cell>
          <cell r="P3830" t="str">
            <v>M8</v>
          </cell>
          <cell r="Q3830" t="str">
            <v>J1</v>
          </cell>
          <cell r="R3830" t="str">
            <v>J6</v>
          </cell>
          <cell r="S3830" t="str">
            <v>PENDIENTE</v>
          </cell>
          <cell r="T3830">
            <v>0</v>
          </cell>
          <cell r="U3830" t="str">
            <v>VARILLAS GAGO  OSCAR ALBERTO</v>
          </cell>
          <cell r="V3830" t="str">
            <v>FLOREZ CONDORI  JOSE WILLIANS</v>
          </cell>
        </row>
        <row r="3831">
          <cell r="A3831">
            <v>3801</v>
          </cell>
          <cell r="B3831">
            <v>42739</v>
          </cell>
          <cell r="C3831" t="str">
            <v>ENERO</v>
          </cell>
          <cell r="D3831" t="str">
            <v>2017</v>
          </cell>
          <cell r="E3831">
            <v>743</v>
          </cell>
          <cell r="F3831" t="str">
            <v>X2W-791</v>
          </cell>
          <cell r="G3831" t="str">
            <v>C5V-989</v>
          </cell>
          <cell r="H3831" t="str">
            <v>LAS BAMBAS</v>
          </cell>
          <cell r="I3831">
            <v>149948</v>
          </cell>
          <cell r="J3831" t="str">
            <v>REPUESTO</v>
          </cell>
          <cell r="K3831" t="str">
            <v>PERNO 1/4 X1</v>
          </cell>
          <cell r="L3831">
            <v>4</v>
          </cell>
          <cell r="M3831" t="str">
            <v>UNID.</v>
          </cell>
          <cell r="N3831" t="str">
            <v>TRACTO</v>
          </cell>
          <cell r="O3831">
            <v>51</v>
          </cell>
          <cell r="P3831" t="str">
            <v>M4</v>
          </cell>
          <cell r="Q3831" t="str">
            <v>J1</v>
          </cell>
          <cell r="R3831" t="str">
            <v>J6</v>
          </cell>
          <cell r="S3831" t="str">
            <v>ENTREGADO</v>
          </cell>
          <cell r="T3831">
            <v>0</v>
          </cell>
          <cell r="U3831" t="str">
            <v>JULLIRI APAZA UBALDO</v>
          </cell>
          <cell r="V3831" t="str">
            <v>FLOREZ CONDORI  JOSE WILLIANS</v>
          </cell>
        </row>
        <row r="3832">
          <cell r="A3832">
            <v>3802</v>
          </cell>
          <cell r="B3832">
            <v>42739</v>
          </cell>
          <cell r="C3832" t="str">
            <v>ENERO</v>
          </cell>
          <cell r="D3832" t="str">
            <v>2017</v>
          </cell>
          <cell r="E3832">
            <v>743</v>
          </cell>
          <cell r="F3832" t="str">
            <v>X2W-791</v>
          </cell>
          <cell r="G3832" t="str">
            <v>C5V-989</v>
          </cell>
          <cell r="H3832" t="str">
            <v>LAS BAMBAS</v>
          </cell>
          <cell r="I3832">
            <v>149948</v>
          </cell>
          <cell r="J3832" t="str">
            <v>REPUESTO</v>
          </cell>
          <cell r="K3832" t="str">
            <v>TUERCA SEGURO 1/4</v>
          </cell>
          <cell r="L3832">
            <v>4</v>
          </cell>
          <cell r="M3832" t="str">
            <v>UNID.</v>
          </cell>
          <cell r="N3832" t="str">
            <v>TRACTO</v>
          </cell>
          <cell r="O3832">
            <v>51</v>
          </cell>
          <cell r="P3832" t="str">
            <v>M4</v>
          </cell>
          <cell r="Q3832" t="str">
            <v>J1</v>
          </cell>
          <cell r="R3832" t="str">
            <v>J6</v>
          </cell>
          <cell r="S3832" t="str">
            <v>ENTREGADO</v>
          </cell>
          <cell r="T3832">
            <v>0</v>
          </cell>
          <cell r="U3832" t="str">
            <v>JULLIRI APAZA UBALDO</v>
          </cell>
          <cell r="V3832" t="str">
            <v>FLOREZ CONDORI  JOSE WILLIANS</v>
          </cell>
        </row>
        <row r="3833">
          <cell r="A3833">
            <v>3803</v>
          </cell>
          <cell r="B3833">
            <v>42739</v>
          </cell>
          <cell r="C3833" t="str">
            <v>ENERO</v>
          </cell>
          <cell r="D3833" t="str">
            <v>2017</v>
          </cell>
          <cell r="E3833">
            <v>743</v>
          </cell>
          <cell r="F3833" t="str">
            <v>X2W-791</v>
          </cell>
          <cell r="G3833" t="str">
            <v>C5V-989</v>
          </cell>
          <cell r="H3833" t="str">
            <v>LAS BAMBAS</v>
          </cell>
          <cell r="I3833">
            <v>149948</v>
          </cell>
          <cell r="J3833" t="str">
            <v>REPUESTO</v>
          </cell>
          <cell r="K3833" t="str">
            <v>ARANDELA PLANA 1/4</v>
          </cell>
          <cell r="L3833">
            <v>8</v>
          </cell>
          <cell r="M3833" t="str">
            <v>UNID.</v>
          </cell>
          <cell r="N3833" t="str">
            <v>TRACTO</v>
          </cell>
          <cell r="O3833">
            <v>51</v>
          </cell>
          <cell r="P3833" t="str">
            <v>M4</v>
          </cell>
          <cell r="Q3833" t="str">
            <v>J1</v>
          </cell>
          <cell r="R3833" t="str">
            <v>J6</v>
          </cell>
          <cell r="S3833" t="str">
            <v>ENTREGADO</v>
          </cell>
          <cell r="T3833">
            <v>0</v>
          </cell>
          <cell r="U3833" t="str">
            <v>JULLIRI APAZA UBALDO</v>
          </cell>
          <cell r="V3833" t="str">
            <v>FLOREZ CONDORI  JOSE WILLIANS</v>
          </cell>
        </row>
        <row r="3834">
          <cell r="A3834">
            <v>3804</v>
          </cell>
          <cell r="B3834">
            <v>42739</v>
          </cell>
          <cell r="C3834" t="str">
            <v>ENERO</v>
          </cell>
          <cell r="D3834" t="str">
            <v>2017</v>
          </cell>
          <cell r="E3834">
            <v>743</v>
          </cell>
          <cell r="F3834" t="str">
            <v>X2W-791</v>
          </cell>
          <cell r="G3834" t="str">
            <v>C5V-989</v>
          </cell>
          <cell r="H3834" t="str">
            <v>LAS BAMBAS</v>
          </cell>
          <cell r="I3834">
            <v>149948</v>
          </cell>
          <cell r="J3834" t="str">
            <v>REPUESTO</v>
          </cell>
          <cell r="K3834" t="str">
            <v>LIQUIDO LIMPIAPARABRISAS</v>
          </cell>
          <cell r="L3834">
            <v>1</v>
          </cell>
          <cell r="M3834" t="str">
            <v>GLNS.</v>
          </cell>
          <cell r="N3834" t="str">
            <v>TRACTO</v>
          </cell>
          <cell r="O3834">
            <v>51</v>
          </cell>
          <cell r="P3834" t="str">
            <v>M4</v>
          </cell>
          <cell r="Q3834" t="str">
            <v>J1</v>
          </cell>
          <cell r="R3834" t="str">
            <v>J6</v>
          </cell>
          <cell r="S3834" t="str">
            <v>ENTREGADO</v>
          </cell>
          <cell r="T3834">
            <v>0</v>
          </cell>
          <cell r="U3834" t="str">
            <v>JULLIRI APAZA UBALDO</v>
          </cell>
          <cell r="V3834" t="str">
            <v>FLOREZ CONDORI  JOSE WILLIANS</v>
          </cell>
        </row>
        <row r="3835">
          <cell r="A3835">
            <v>3811</v>
          </cell>
          <cell r="B3835">
            <v>42739</v>
          </cell>
          <cell r="C3835" t="str">
            <v>ENERO</v>
          </cell>
          <cell r="D3835" t="str">
            <v>2017</v>
          </cell>
          <cell r="E3835">
            <v>743</v>
          </cell>
          <cell r="F3835" t="str">
            <v>X2W-791</v>
          </cell>
          <cell r="G3835" t="str">
            <v>C5V-989</v>
          </cell>
          <cell r="H3835" t="str">
            <v>LAS BAMBAS</v>
          </cell>
          <cell r="I3835">
            <v>149948</v>
          </cell>
          <cell r="J3835" t="str">
            <v>REPUESTO</v>
          </cell>
          <cell r="K3835" t="str">
            <v>PERNO 1/4 X 1</v>
          </cell>
          <cell r="L3835">
            <v>6</v>
          </cell>
          <cell r="M3835" t="str">
            <v>UNID.</v>
          </cell>
          <cell r="N3835" t="str">
            <v>TRACTO</v>
          </cell>
          <cell r="O3835">
            <v>51</v>
          </cell>
          <cell r="P3835" t="str">
            <v>M4</v>
          </cell>
          <cell r="Q3835" t="str">
            <v>J1</v>
          </cell>
          <cell r="R3835" t="str">
            <v>J6</v>
          </cell>
          <cell r="S3835" t="str">
            <v>ENTREGADO</v>
          </cell>
          <cell r="T3835">
            <v>0</v>
          </cell>
          <cell r="U3835" t="str">
            <v>JULLIRI APAZA UBALDO</v>
          </cell>
          <cell r="V3835" t="str">
            <v>FLOREZ CONDORI  JOSE WILLIANS</v>
          </cell>
        </row>
        <row r="3836">
          <cell r="A3836">
            <v>3812</v>
          </cell>
          <cell r="B3836">
            <v>42739</v>
          </cell>
          <cell r="C3836" t="str">
            <v>ENERO</v>
          </cell>
          <cell r="D3836" t="str">
            <v>2017</v>
          </cell>
          <cell r="E3836">
            <v>743</v>
          </cell>
          <cell r="F3836" t="str">
            <v>X2W-791</v>
          </cell>
          <cell r="G3836" t="str">
            <v>C5V-989</v>
          </cell>
          <cell r="H3836" t="str">
            <v>LAS BAMBAS</v>
          </cell>
          <cell r="I3836">
            <v>149948</v>
          </cell>
          <cell r="J3836" t="str">
            <v>REPUESTO</v>
          </cell>
          <cell r="K3836" t="str">
            <v>TUERCA SEGURO 1/4</v>
          </cell>
          <cell r="L3836">
            <v>6</v>
          </cell>
          <cell r="M3836" t="str">
            <v>UNID.</v>
          </cell>
          <cell r="N3836" t="str">
            <v>TRACTO</v>
          </cell>
          <cell r="O3836">
            <v>51</v>
          </cell>
          <cell r="P3836" t="str">
            <v>M4</v>
          </cell>
          <cell r="Q3836" t="str">
            <v>J1</v>
          </cell>
          <cell r="R3836" t="str">
            <v>J6</v>
          </cell>
          <cell r="S3836" t="str">
            <v>ENTREGADO</v>
          </cell>
          <cell r="T3836">
            <v>0</v>
          </cell>
          <cell r="U3836" t="str">
            <v>JULLIRI APAZA UBALDO</v>
          </cell>
          <cell r="V3836" t="str">
            <v>FLOREZ CONDORI  JOSE WILLIANS</v>
          </cell>
        </row>
        <row r="3837">
          <cell r="A3837">
            <v>3813</v>
          </cell>
          <cell r="B3837">
            <v>42739</v>
          </cell>
          <cell r="C3837" t="str">
            <v>ENERO</v>
          </cell>
          <cell r="D3837" t="str">
            <v>2017</v>
          </cell>
          <cell r="E3837">
            <v>743</v>
          </cell>
          <cell r="F3837" t="str">
            <v>X2W-791</v>
          </cell>
          <cell r="G3837" t="str">
            <v>C5V-989</v>
          </cell>
          <cell r="H3837" t="str">
            <v>LAS BAMBAS</v>
          </cell>
          <cell r="I3837">
            <v>149948</v>
          </cell>
          <cell r="J3837" t="str">
            <v>REPUESTO</v>
          </cell>
          <cell r="K3837" t="str">
            <v>ARANDELA PLANA 1/4</v>
          </cell>
          <cell r="L3837">
            <v>12</v>
          </cell>
          <cell r="M3837" t="str">
            <v>UNID.</v>
          </cell>
          <cell r="N3837" t="str">
            <v>TRACTO</v>
          </cell>
          <cell r="O3837">
            <v>51</v>
          </cell>
          <cell r="P3837" t="str">
            <v>M4</v>
          </cell>
          <cell r="Q3837" t="str">
            <v>J1</v>
          </cell>
          <cell r="R3837" t="str">
            <v>J6</v>
          </cell>
          <cell r="S3837" t="str">
            <v>ENTREGADO</v>
          </cell>
          <cell r="T3837">
            <v>0</v>
          </cell>
          <cell r="U3837" t="str">
            <v>JULLIRI APAZA UBALDO</v>
          </cell>
          <cell r="V3837" t="str">
            <v>FLOREZ CONDORI  JOSE WILLIANS</v>
          </cell>
        </row>
        <row r="3838">
          <cell r="A3838">
            <v>3814</v>
          </cell>
          <cell r="B3838">
            <v>42739</v>
          </cell>
          <cell r="C3838" t="str">
            <v>ENERO</v>
          </cell>
          <cell r="D3838" t="str">
            <v>2017</v>
          </cell>
          <cell r="E3838">
            <v>743</v>
          </cell>
          <cell r="F3838" t="str">
            <v>X2W-791</v>
          </cell>
          <cell r="G3838" t="str">
            <v>C5V-989</v>
          </cell>
          <cell r="H3838" t="str">
            <v>LAS BAMBAS</v>
          </cell>
          <cell r="I3838">
            <v>149948</v>
          </cell>
          <cell r="J3838" t="str">
            <v>REPUESTO</v>
          </cell>
          <cell r="K3838" t="str">
            <v>PERNO 1/4 X 1</v>
          </cell>
          <cell r="L3838">
            <v>8</v>
          </cell>
          <cell r="M3838" t="str">
            <v>UNID.</v>
          </cell>
          <cell r="N3838" t="str">
            <v>TRACTO</v>
          </cell>
          <cell r="O3838">
            <v>51</v>
          </cell>
          <cell r="P3838" t="str">
            <v>M4</v>
          </cell>
          <cell r="Q3838" t="str">
            <v>J1</v>
          </cell>
          <cell r="R3838" t="str">
            <v>J6</v>
          </cell>
          <cell r="S3838" t="str">
            <v>ENTREGADO</v>
          </cell>
          <cell r="T3838">
            <v>0</v>
          </cell>
          <cell r="U3838" t="str">
            <v>JULLIRI APAZA UBALDO</v>
          </cell>
          <cell r="V3838" t="str">
            <v>FLOREZ CONDORI  JOSE WILLIANS</v>
          </cell>
        </row>
        <row r="3839">
          <cell r="A3839">
            <v>3815</v>
          </cell>
          <cell r="B3839">
            <v>42739</v>
          </cell>
          <cell r="C3839" t="str">
            <v>ENERO</v>
          </cell>
          <cell r="D3839" t="str">
            <v>2017</v>
          </cell>
          <cell r="E3839">
            <v>743</v>
          </cell>
          <cell r="F3839" t="str">
            <v>X2W-791</v>
          </cell>
          <cell r="G3839" t="str">
            <v>C5V-989</v>
          </cell>
          <cell r="H3839" t="str">
            <v>LAS BAMBAS</v>
          </cell>
          <cell r="I3839">
            <v>149948</v>
          </cell>
          <cell r="J3839" t="str">
            <v>REPUESTO</v>
          </cell>
          <cell r="K3839" t="str">
            <v>TUERCA SEGURO 1/4</v>
          </cell>
          <cell r="L3839">
            <v>8</v>
          </cell>
          <cell r="M3839" t="str">
            <v>UNID.</v>
          </cell>
          <cell r="N3839" t="str">
            <v>TRACTO</v>
          </cell>
          <cell r="O3839">
            <v>51</v>
          </cell>
          <cell r="P3839" t="str">
            <v>M4</v>
          </cell>
          <cell r="Q3839" t="str">
            <v>J1</v>
          </cell>
          <cell r="R3839" t="str">
            <v>J6</v>
          </cell>
          <cell r="S3839" t="str">
            <v>ENTREGADO</v>
          </cell>
          <cell r="T3839">
            <v>0</v>
          </cell>
          <cell r="U3839" t="str">
            <v>JULLIRI APAZA UBALDO</v>
          </cell>
          <cell r="V3839" t="str">
            <v>FLOREZ CONDORI  JOSE WILLIANS</v>
          </cell>
        </row>
        <row r="3840">
          <cell r="A3840">
            <v>3816</v>
          </cell>
          <cell r="B3840">
            <v>42739</v>
          </cell>
          <cell r="C3840" t="str">
            <v>ENERO</v>
          </cell>
          <cell r="D3840" t="str">
            <v>2017</v>
          </cell>
          <cell r="E3840">
            <v>743</v>
          </cell>
          <cell r="F3840" t="str">
            <v>X2W-791</v>
          </cell>
          <cell r="G3840" t="str">
            <v>C5V-989</v>
          </cell>
          <cell r="H3840" t="str">
            <v>LAS BAMBAS</v>
          </cell>
          <cell r="I3840">
            <v>149948</v>
          </cell>
          <cell r="J3840" t="str">
            <v>REPUESTO</v>
          </cell>
          <cell r="K3840" t="str">
            <v>ARANDELA PLANA 1/4</v>
          </cell>
          <cell r="L3840">
            <v>16</v>
          </cell>
          <cell r="M3840" t="str">
            <v>UNID.</v>
          </cell>
          <cell r="N3840" t="str">
            <v>TRACTO</v>
          </cell>
          <cell r="O3840">
            <v>51</v>
          </cell>
          <cell r="P3840" t="str">
            <v>M4</v>
          </cell>
          <cell r="Q3840" t="str">
            <v>J1</v>
          </cell>
          <cell r="R3840" t="str">
            <v>J6</v>
          </cell>
          <cell r="S3840" t="str">
            <v>ENTREGADO</v>
          </cell>
          <cell r="T3840">
            <v>0</v>
          </cell>
          <cell r="U3840" t="str">
            <v>JULLIRI APAZA UBALDO</v>
          </cell>
          <cell r="V3840" t="str">
            <v>FLOREZ CONDORI  JOSE WILLIANS</v>
          </cell>
        </row>
        <row r="3841">
          <cell r="A3841">
            <v>3855</v>
          </cell>
          <cell r="B3841">
            <v>42740</v>
          </cell>
          <cell r="C3841" t="str">
            <v>ENERO</v>
          </cell>
          <cell r="D3841" t="str">
            <v>2017</v>
          </cell>
          <cell r="E3841">
            <v>702</v>
          </cell>
          <cell r="F3841" t="str">
            <v>A9H-889</v>
          </cell>
          <cell r="G3841" t="str">
            <v>CAMION</v>
          </cell>
          <cell r="H3841" t="str">
            <v>TAMBOMAYO</v>
          </cell>
          <cell r="I3841">
            <v>127053</v>
          </cell>
          <cell r="J3841" t="str">
            <v>REPUESTO</v>
          </cell>
          <cell r="K3841" t="str">
            <v>EMPAQUE PARA VALVULA DE DESCARGA</v>
          </cell>
          <cell r="L3841">
            <v>1</v>
          </cell>
          <cell r="M3841" t="str">
            <v>UNID.</v>
          </cell>
          <cell r="N3841" t="str">
            <v>CAMION</v>
          </cell>
          <cell r="O3841">
            <v>50</v>
          </cell>
          <cell r="P3841" t="str">
            <v>M5</v>
          </cell>
          <cell r="Q3841" t="str">
            <v>J1</v>
          </cell>
          <cell r="R3841" t="str">
            <v>J6</v>
          </cell>
          <cell r="S3841" t="str">
            <v>ENTREGADO</v>
          </cell>
          <cell r="T3841">
            <v>0</v>
          </cell>
          <cell r="U3841" t="str">
            <v>LOPEZ RUIZ WILBERTO</v>
          </cell>
          <cell r="V3841" t="str">
            <v>FLOREZ CONDORI  JOSE WILLIANS</v>
          </cell>
        </row>
        <row r="3842">
          <cell r="A3842">
            <v>3856</v>
          </cell>
          <cell r="B3842">
            <v>42740</v>
          </cell>
          <cell r="C3842" t="str">
            <v>ENERO</v>
          </cell>
          <cell r="D3842" t="str">
            <v>2017</v>
          </cell>
          <cell r="E3842">
            <v>702</v>
          </cell>
          <cell r="F3842" t="str">
            <v>A9H-889</v>
          </cell>
          <cell r="G3842" t="str">
            <v>CAMION</v>
          </cell>
          <cell r="H3842" t="str">
            <v>TAMBOMAYO</v>
          </cell>
          <cell r="I3842">
            <v>127053</v>
          </cell>
          <cell r="J3842" t="str">
            <v>REPUESTO</v>
          </cell>
          <cell r="K3842" t="str">
            <v>TAPA DE VALVULA DE DESCARGA</v>
          </cell>
          <cell r="L3842">
            <v>1</v>
          </cell>
          <cell r="M3842" t="str">
            <v>UNID.</v>
          </cell>
          <cell r="N3842" t="str">
            <v>CAMION</v>
          </cell>
          <cell r="O3842">
            <v>50</v>
          </cell>
          <cell r="P3842" t="str">
            <v>M5</v>
          </cell>
          <cell r="Q3842" t="str">
            <v>J1</v>
          </cell>
          <cell r="R3842" t="str">
            <v>J6</v>
          </cell>
          <cell r="S3842" t="str">
            <v>ENTREGADO</v>
          </cell>
          <cell r="T3842">
            <v>0</v>
          </cell>
          <cell r="U3842" t="str">
            <v>LOPEZ RUIZ WILBERTO</v>
          </cell>
          <cell r="V3842" t="str">
            <v>FLOREZ CONDORI  JOSE WILLIANS</v>
          </cell>
        </row>
        <row r="3843">
          <cell r="A3843">
            <v>3846</v>
          </cell>
          <cell r="B3843">
            <v>42740</v>
          </cell>
          <cell r="C3843" t="str">
            <v>ENERO</v>
          </cell>
          <cell r="D3843" t="str">
            <v>2017</v>
          </cell>
          <cell r="E3843">
            <v>745</v>
          </cell>
          <cell r="F3843" t="str">
            <v>ABR-759</v>
          </cell>
          <cell r="G3843" t="str">
            <v>D0Z-995</v>
          </cell>
          <cell r="H3843" t="str">
            <v>LAS BAMBAS</v>
          </cell>
          <cell r="I3843">
            <v>115751</v>
          </cell>
          <cell r="J3843" t="str">
            <v>REPUESTO</v>
          </cell>
          <cell r="K3843" t="str">
            <v>MULTIPLE DE ESCAPE</v>
          </cell>
          <cell r="L3843">
            <v>1</v>
          </cell>
          <cell r="M3843" t="str">
            <v>UNID.</v>
          </cell>
          <cell r="N3843" t="str">
            <v>TRACTO</v>
          </cell>
          <cell r="O3843">
            <v>50</v>
          </cell>
          <cell r="P3843" t="str">
            <v>J7</v>
          </cell>
          <cell r="Q3843" t="str">
            <v>J7</v>
          </cell>
          <cell r="R3843" t="str">
            <v>J6</v>
          </cell>
          <cell r="S3843" t="str">
            <v>ENTREGADO</v>
          </cell>
          <cell r="T3843">
            <v>0</v>
          </cell>
          <cell r="U3843" t="str">
            <v>DONAYRE INGA PEDRO</v>
          </cell>
          <cell r="V3843" t="str">
            <v>DONAYRE INGA PEDRO</v>
          </cell>
        </row>
        <row r="3844">
          <cell r="A3844">
            <v>3847</v>
          </cell>
          <cell r="B3844">
            <v>42740</v>
          </cell>
          <cell r="C3844" t="str">
            <v>ENERO</v>
          </cell>
          <cell r="D3844" t="str">
            <v>2017</v>
          </cell>
          <cell r="E3844">
            <v>745</v>
          </cell>
          <cell r="F3844" t="str">
            <v>ABR-759</v>
          </cell>
          <cell r="G3844" t="str">
            <v>D0Z-995</v>
          </cell>
          <cell r="H3844" t="str">
            <v>LAS BAMBAS</v>
          </cell>
          <cell r="I3844">
            <v>115751</v>
          </cell>
          <cell r="J3844" t="str">
            <v>REPUESTO</v>
          </cell>
          <cell r="K3844" t="str">
            <v>EMPAQUE DE MULTIPLE DE ESCAPE</v>
          </cell>
          <cell r="L3844">
            <v>1</v>
          </cell>
          <cell r="M3844" t="str">
            <v>UNID.</v>
          </cell>
          <cell r="N3844" t="str">
            <v>TRACTO</v>
          </cell>
          <cell r="O3844">
            <v>50</v>
          </cell>
          <cell r="P3844" t="str">
            <v>J7</v>
          </cell>
          <cell r="Q3844" t="str">
            <v>J7</v>
          </cell>
          <cell r="R3844" t="str">
            <v>J6</v>
          </cell>
          <cell r="S3844" t="str">
            <v>ENTREGADO</v>
          </cell>
          <cell r="T3844">
            <v>0</v>
          </cell>
          <cell r="U3844" t="str">
            <v>DONAYRE INGA PEDRO</v>
          </cell>
          <cell r="V3844" t="str">
            <v>DONAYRE INGA PEDRO</v>
          </cell>
        </row>
        <row r="3845">
          <cell r="A3845">
            <v>3849</v>
          </cell>
          <cell r="B3845">
            <v>42740</v>
          </cell>
          <cell r="C3845" t="str">
            <v>ENERO</v>
          </cell>
          <cell r="D3845" t="str">
            <v>2017</v>
          </cell>
          <cell r="E3845">
            <v>745</v>
          </cell>
          <cell r="F3845" t="str">
            <v>ABR-759</v>
          </cell>
          <cell r="G3845" t="str">
            <v>D0Z-995</v>
          </cell>
          <cell r="H3845" t="str">
            <v>LAS BAMBAS</v>
          </cell>
          <cell r="I3845">
            <v>115751</v>
          </cell>
          <cell r="J3845" t="str">
            <v>REPUESTO</v>
          </cell>
          <cell r="K3845" t="str">
            <v>EMPAQUE DE TURBO</v>
          </cell>
          <cell r="L3845">
            <v>1</v>
          </cell>
          <cell r="M3845" t="str">
            <v>UNID.</v>
          </cell>
          <cell r="N3845" t="str">
            <v>TRACTO</v>
          </cell>
          <cell r="O3845">
            <v>50</v>
          </cell>
          <cell r="P3845" t="str">
            <v>M6</v>
          </cell>
          <cell r="Q3845" t="str">
            <v>J1</v>
          </cell>
          <cell r="R3845" t="str">
            <v>J6</v>
          </cell>
          <cell r="S3845" t="str">
            <v>ENTREGADO</v>
          </cell>
          <cell r="T3845">
            <v>0</v>
          </cell>
          <cell r="U3845" t="str">
            <v>PARI VENTURA  EDSON ORLANDO</v>
          </cell>
          <cell r="V3845" t="str">
            <v>FLOREZ CONDORI  JOSE WILLIANS</v>
          </cell>
        </row>
        <row r="3846">
          <cell r="A3846">
            <v>3852</v>
          </cell>
          <cell r="B3846">
            <v>42740</v>
          </cell>
          <cell r="C3846" t="str">
            <v>ENERO</v>
          </cell>
          <cell r="D3846" t="str">
            <v>2017</v>
          </cell>
          <cell r="E3846">
            <v>690</v>
          </cell>
          <cell r="F3846" t="str">
            <v>AEH-801</v>
          </cell>
          <cell r="G3846" t="str">
            <v>CAMIONETA</v>
          </cell>
          <cell r="H3846" t="str">
            <v>LAS BAMBAS</v>
          </cell>
          <cell r="I3846">
            <v>93447</v>
          </cell>
          <cell r="J3846" t="str">
            <v>REPUESTO</v>
          </cell>
          <cell r="K3846" t="str">
            <v>FAROS NEBLINEROS MEDIANOS</v>
          </cell>
          <cell r="L3846">
            <v>2</v>
          </cell>
          <cell r="M3846" t="str">
            <v>UNID.</v>
          </cell>
          <cell r="N3846" t="str">
            <v>CAMIONETA</v>
          </cell>
          <cell r="O3846">
            <v>50</v>
          </cell>
          <cell r="P3846" t="str">
            <v>E2</v>
          </cell>
          <cell r="Q3846" t="str">
            <v>J1</v>
          </cell>
          <cell r="R3846" t="str">
            <v>J6</v>
          </cell>
          <cell r="S3846" t="str">
            <v>PENDIENTE</v>
          </cell>
          <cell r="T3846">
            <v>0</v>
          </cell>
          <cell r="U3846" t="str">
            <v>YUCA BELLIDO BORIS YERSY</v>
          </cell>
          <cell r="V3846" t="str">
            <v>FLOREZ CONDORI  JOSE WILLIANS</v>
          </cell>
        </row>
        <row r="3847">
          <cell r="A3847">
            <v>3844</v>
          </cell>
          <cell r="B3847">
            <v>42740</v>
          </cell>
          <cell r="C3847" t="str">
            <v>ENERO</v>
          </cell>
          <cell r="D3847" t="str">
            <v>2017</v>
          </cell>
          <cell r="E3847">
            <v>748</v>
          </cell>
          <cell r="F3847" t="str">
            <v>C5R-896</v>
          </cell>
          <cell r="G3847" t="str">
            <v>A0U-977</v>
          </cell>
          <cell r="H3847" t="str">
            <v>LAS BAMBAS</v>
          </cell>
          <cell r="I3847">
            <v>215026</v>
          </cell>
          <cell r="J3847" t="str">
            <v>REPUESTO</v>
          </cell>
          <cell r="K3847" t="str">
            <v>ORINS</v>
          </cell>
          <cell r="L3847">
            <v>1</v>
          </cell>
          <cell r="M3847" t="str">
            <v>UNID.</v>
          </cell>
          <cell r="N3847" t="str">
            <v>TRACTO</v>
          </cell>
          <cell r="O3847">
            <v>50</v>
          </cell>
          <cell r="P3847" t="str">
            <v>M9</v>
          </cell>
          <cell r="Q3847" t="str">
            <v>J1</v>
          </cell>
          <cell r="R3847" t="str">
            <v>J6</v>
          </cell>
          <cell r="S3847" t="str">
            <v>ENTREGADO</v>
          </cell>
          <cell r="T3847">
            <v>0</v>
          </cell>
          <cell r="U3847" t="str">
            <v>POMA SALAZAR CIRO</v>
          </cell>
          <cell r="V3847" t="str">
            <v>FLOREZ CONDORI  JOSE WILLIANS</v>
          </cell>
        </row>
        <row r="3848">
          <cell r="A3848">
            <v>3848</v>
          </cell>
          <cell r="B3848">
            <v>42740</v>
          </cell>
          <cell r="C3848" t="str">
            <v>ENERO</v>
          </cell>
          <cell r="D3848" t="str">
            <v>2017</v>
          </cell>
          <cell r="E3848">
            <v>716</v>
          </cell>
          <cell r="F3848" t="str">
            <v>C9M-902</v>
          </cell>
          <cell r="G3848" t="str">
            <v>B8L-970</v>
          </cell>
          <cell r="H3848" t="str">
            <v>LAS BAMBAS</v>
          </cell>
          <cell r="I3848">
            <v>212499</v>
          </cell>
          <cell r="J3848" t="str">
            <v>REPUESTO</v>
          </cell>
          <cell r="K3848" t="str">
            <v>FARO LADO IZQUIERDO</v>
          </cell>
          <cell r="L3848">
            <v>1</v>
          </cell>
          <cell r="M3848" t="str">
            <v>UNID.</v>
          </cell>
          <cell r="N3848" t="str">
            <v>TRACTO</v>
          </cell>
          <cell r="O3848">
            <v>50</v>
          </cell>
          <cell r="P3848" t="str">
            <v>E2</v>
          </cell>
          <cell r="Q3848" t="str">
            <v>J1</v>
          </cell>
          <cell r="R3848" t="str">
            <v>J6</v>
          </cell>
          <cell r="S3848" t="str">
            <v>ENTREGADO</v>
          </cell>
          <cell r="T3848">
            <v>0</v>
          </cell>
          <cell r="U3848" t="str">
            <v>YUCA BELLIDO BORIS YERSY</v>
          </cell>
          <cell r="V3848" t="str">
            <v>FLOREZ CONDORI  JOSE WILLIANS</v>
          </cell>
        </row>
        <row r="3849">
          <cell r="A3849">
            <v>3845</v>
          </cell>
          <cell r="B3849">
            <v>42740</v>
          </cell>
          <cell r="C3849" t="str">
            <v>ENERO</v>
          </cell>
          <cell r="D3849" t="str">
            <v>2017</v>
          </cell>
          <cell r="E3849">
            <v>202</v>
          </cell>
          <cell r="F3849" t="str">
            <v>D3P-752</v>
          </cell>
          <cell r="G3849" t="str">
            <v>C5Y-985</v>
          </cell>
          <cell r="H3849" t="str">
            <v>LAS BAMBAS</v>
          </cell>
          <cell r="I3849">
            <v>150504</v>
          </cell>
          <cell r="J3849" t="str">
            <v>SERVICIO</v>
          </cell>
          <cell r="K3849" t="str">
            <v>SERVICIO DE REPARACION DE FAROS</v>
          </cell>
          <cell r="L3849">
            <v>1</v>
          </cell>
          <cell r="M3849" t="str">
            <v>UNID.</v>
          </cell>
          <cell r="N3849" t="str">
            <v>TRACTO</v>
          </cell>
          <cell r="O3849">
            <v>50</v>
          </cell>
          <cell r="P3849" t="str">
            <v>J7</v>
          </cell>
          <cell r="Q3849" t="str">
            <v>J7</v>
          </cell>
          <cell r="R3849" t="str">
            <v>J6</v>
          </cell>
          <cell r="S3849" t="str">
            <v>ENTREGADO</v>
          </cell>
          <cell r="T3849">
            <v>0</v>
          </cell>
          <cell r="U3849" t="str">
            <v>DONAYRE INGA PEDRO</v>
          </cell>
          <cell r="V3849" t="str">
            <v>DONAYRE INGA PEDRO</v>
          </cell>
        </row>
        <row r="3850">
          <cell r="A3850">
            <v>3853</v>
          </cell>
          <cell r="B3850">
            <v>42740</v>
          </cell>
          <cell r="C3850" t="str">
            <v>ENERO</v>
          </cell>
          <cell r="D3850" t="str">
            <v>2017</v>
          </cell>
          <cell r="E3850">
            <v>202</v>
          </cell>
          <cell r="F3850" t="str">
            <v>D3P-752</v>
          </cell>
          <cell r="G3850" t="str">
            <v>C5Y-985</v>
          </cell>
          <cell r="H3850" t="str">
            <v>LAS BAMBAS</v>
          </cell>
          <cell r="I3850">
            <v>150504</v>
          </cell>
          <cell r="J3850" t="str">
            <v>REPUESTO</v>
          </cell>
          <cell r="K3850" t="str">
            <v>TECLA ELEVALUNA LADO IZQUIERDO</v>
          </cell>
          <cell r="L3850">
            <v>1</v>
          </cell>
          <cell r="M3850" t="str">
            <v>UNID.</v>
          </cell>
          <cell r="N3850" t="str">
            <v>TRACTO</v>
          </cell>
          <cell r="O3850">
            <v>50</v>
          </cell>
          <cell r="P3850" t="str">
            <v>E2</v>
          </cell>
          <cell r="Q3850" t="str">
            <v>J1</v>
          </cell>
          <cell r="R3850" t="str">
            <v>J6</v>
          </cell>
          <cell r="S3850" t="str">
            <v>ENTREGADO</v>
          </cell>
          <cell r="T3850">
            <v>0</v>
          </cell>
          <cell r="U3850" t="str">
            <v>YUCA BELLIDO BORIS YERSY</v>
          </cell>
          <cell r="V3850" t="str">
            <v>FLOREZ CONDORI  JOSE WILLIANS</v>
          </cell>
        </row>
        <row r="3851">
          <cell r="A3851">
            <v>3854</v>
          </cell>
          <cell r="B3851">
            <v>42740</v>
          </cell>
          <cell r="C3851" t="str">
            <v>ENERO</v>
          </cell>
          <cell r="D3851" t="str">
            <v>2017</v>
          </cell>
          <cell r="E3851">
            <v>202</v>
          </cell>
          <cell r="F3851" t="str">
            <v>D3P-752</v>
          </cell>
          <cell r="G3851" t="str">
            <v>C5Y-985</v>
          </cell>
          <cell r="H3851" t="str">
            <v>LAS BAMBAS</v>
          </cell>
          <cell r="I3851">
            <v>150504</v>
          </cell>
          <cell r="J3851" t="str">
            <v>REPUESTO</v>
          </cell>
          <cell r="K3851" t="str">
            <v>TECLA ELEVA LUNA LADO DERECHO</v>
          </cell>
          <cell r="L3851">
            <v>1</v>
          </cell>
          <cell r="M3851" t="str">
            <v>UNID.</v>
          </cell>
          <cell r="N3851" t="str">
            <v>TRACTO</v>
          </cell>
          <cell r="O3851">
            <v>50</v>
          </cell>
          <cell r="P3851" t="str">
            <v>E2</v>
          </cell>
          <cell r="Q3851" t="str">
            <v>J1</v>
          </cell>
          <cell r="R3851" t="str">
            <v>J6</v>
          </cell>
          <cell r="S3851" t="str">
            <v>ENTREGADO</v>
          </cell>
          <cell r="T3851">
            <v>0</v>
          </cell>
          <cell r="U3851" t="str">
            <v>YUCA BELLIDO BORIS YERSY</v>
          </cell>
          <cell r="V3851" t="str">
            <v>FLOREZ CONDORI  JOSE WILLIANS</v>
          </cell>
        </row>
        <row r="3852">
          <cell r="A3852">
            <v>3843</v>
          </cell>
          <cell r="B3852">
            <v>42740</v>
          </cell>
          <cell r="C3852" t="str">
            <v>ENERO</v>
          </cell>
          <cell r="D3852" t="str">
            <v>2017</v>
          </cell>
          <cell r="E3852">
            <v>741</v>
          </cell>
          <cell r="F3852" t="str">
            <v>D3R-742</v>
          </cell>
          <cell r="G3852" t="str">
            <v>D2E-975</v>
          </cell>
          <cell r="H3852" t="str">
            <v>LAS BAMBAS</v>
          </cell>
          <cell r="I3852">
            <v>156832</v>
          </cell>
          <cell r="J3852" t="str">
            <v>REPUESTO</v>
          </cell>
          <cell r="K3852" t="str">
            <v>TAPA DE TANQUE DE COMBUSTIBLE</v>
          </cell>
          <cell r="L3852">
            <v>1</v>
          </cell>
          <cell r="M3852" t="str">
            <v>UNID.</v>
          </cell>
          <cell r="N3852" t="str">
            <v>TRACTO</v>
          </cell>
          <cell r="O3852">
            <v>50</v>
          </cell>
          <cell r="P3852" t="str">
            <v>M8</v>
          </cell>
          <cell r="Q3852" t="str">
            <v>J1</v>
          </cell>
          <cell r="R3852" t="str">
            <v>J6</v>
          </cell>
          <cell r="S3852" t="str">
            <v>ENTREGADO</v>
          </cell>
          <cell r="T3852">
            <v>0</v>
          </cell>
          <cell r="U3852" t="str">
            <v>VARILLAS GAGO  OSCAR ALBERTO</v>
          </cell>
          <cell r="V3852" t="str">
            <v>FLOREZ CONDORI  JOSE WILLIANS</v>
          </cell>
        </row>
        <row r="3853">
          <cell r="A3853">
            <v>3841</v>
          </cell>
          <cell r="B3853">
            <v>42740</v>
          </cell>
          <cell r="C3853" t="str">
            <v>ENERO</v>
          </cell>
          <cell r="D3853" t="str">
            <v>2017</v>
          </cell>
          <cell r="E3853">
            <v>707</v>
          </cell>
          <cell r="F3853" t="str">
            <v>D7V-714</v>
          </cell>
          <cell r="G3853" t="str">
            <v>F7M-971</v>
          </cell>
          <cell r="H3853" t="str">
            <v>LAS BAMBAS</v>
          </cell>
          <cell r="I3853">
            <v>52416</v>
          </cell>
          <cell r="J3853" t="str">
            <v>REPUESTO</v>
          </cell>
          <cell r="K3853" t="str">
            <v>FAROS NEBLINEROS</v>
          </cell>
          <cell r="L3853">
            <v>2</v>
          </cell>
          <cell r="M3853" t="str">
            <v>UNID.</v>
          </cell>
          <cell r="N3853" t="str">
            <v>TRACTO</v>
          </cell>
          <cell r="O3853">
            <v>50</v>
          </cell>
          <cell r="P3853" t="str">
            <v>E3</v>
          </cell>
          <cell r="Q3853" t="str">
            <v>J1</v>
          </cell>
          <cell r="R3853" t="str">
            <v>J6</v>
          </cell>
          <cell r="S3853" t="str">
            <v>ENTREGADO</v>
          </cell>
          <cell r="T3853">
            <v>0</v>
          </cell>
          <cell r="U3853" t="str">
            <v>CONDORI CHURATA ALEX</v>
          </cell>
          <cell r="V3853" t="str">
            <v>FLOREZ CONDORI  JOSE WILLIANS</v>
          </cell>
        </row>
        <row r="3854">
          <cell r="A3854">
            <v>3842</v>
          </cell>
          <cell r="B3854">
            <v>42740</v>
          </cell>
          <cell r="C3854" t="str">
            <v>ENERO</v>
          </cell>
          <cell r="D3854" t="str">
            <v>2017</v>
          </cell>
          <cell r="E3854">
            <v>707</v>
          </cell>
          <cell r="F3854" t="str">
            <v>D7V-714</v>
          </cell>
          <cell r="G3854" t="str">
            <v>F7M-971</v>
          </cell>
          <cell r="H3854" t="str">
            <v>LAS BAMBAS</v>
          </cell>
          <cell r="I3854">
            <v>52416</v>
          </cell>
          <cell r="J3854" t="str">
            <v>REPUESTO</v>
          </cell>
          <cell r="K3854" t="str">
            <v>FOCOS H3 DE 24 V</v>
          </cell>
          <cell r="L3854">
            <v>2</v>
          </cell>
          <cell r="M3854" t="str">
            <v>UNID.</v>
          </cell>
          <cell r="N3854" t="str">
            <v>TRACTO</v>
          </cell>
          <cell r="O3854">
            <v>50</v>
          </cell>
          <cell r="P3854" t="str">
            <v>E3</v>
          </cell>
          <cell r="Q3854" t="str">
            <v>J1</v>
          </cell>
          <cell r="R3854" t="str">
            <v>J6</v>
          </cell>
          <cell r="S3854" t="str">
            <v>ENTREGADO</v>
          </cell>
          <cell r="T3854">
            <v>0</v>
          </cell>
          <cell r="U3854" t="str">
            <v>CONDORI CHURATA ALEX</v>
          </cell>
          <cell r="V3854" t="str">
            <v>FLOREZ CONDORI  JOSE WILLIANS</v>
          </cell>
        </row>
        <row r="3855">
          <cell r="A3855">
            <v>3840</v>
          </cell>
          <cell r="B3855">
            <v>42740</v>
          </cell>
          <cell r="C3855" t="str">
            <v>ENERO</v>
          </cell>
          <cell r="D3855" t="str">
            <v>2017</v>
          </cell>
          <cell r="E3855">
            <v>200</v>
          </cell>
          <cell r="F3855" t="str">
            <v>TALLER</v>
          </cell>
          <cell r="G3855" t="str">
            <v>TALLER</v>
          </cell>
          <cell r="H3855" t="str">
            <v>TALLER</v>
          </cell>
          <cell r="I3855" t="str">
            <v>TALLER</v>
          </cell>
          <cell r="J3855" t="str">
            <v>INSUMO TALLER</v>
          </cell>
          <cell r="K3855" t="str">
            <v>SPRAY BLANCO</v>
          </cell>
          <cell r="L3855">
            <v>1</v>
          </cell>
          <cell r="M3855" t="str">
            <v>UNID.</v>
          </cell>
          <cell r="N3855" t="str">
            <v>TALLER</v>
          </cell>
          <cell r="O3855">
            <v>50</v>
          </cell>
          <cell r="P3855" t="str">
            <v>J7</v>
          </cell>
          <cell r="Q3855" t="str">
            <v>J7</v>
          </cell>
          <cell r="R3855" t="str">
            <v>J6</v>
          </cell>
          <cell r="S3855" t="str">
            <v>PENDIENTE</v>
          </cell>
          <cell r="T3855">
            <v>0</v>
          </cell>
          <cell r="U3855" t="str">
            <v>DONAYRE INGA PEDRO</v>
          </cell>
          <cell r="V3855" t="str">
            <v>DONAYRE INGA PEDRO</v>
          </cell>
        </row>
        <row r="3856">
          <cell r="A3856">
            <v>3850</v>
          </cell>
          <cell r="B3856">
            <v>42740</v>
          </cell>
          <cell r="C3856" t="str">
            <v>ENERO</v>
          </cell>
          <cell r="D3856" t="str">
            <v>2017</v>
          </cell>
          <cell r="E3856">
            <v>200</v>
          </cell>
          <cell r="F3856" t="str">
            <v>TALLER</v>
          </cell>
          <cell r="G3856" t="str">
            <v>TALLER</v>
          </cell>
          <cell r="H3856" t="str">
            <v>TALLER</v>
          </cell>
          <cell r="I3856" t="str">
            <v>TALLER</v>
          </cell>
          <cell r="J3856" t="str">
            <v>REPUESTO</v>
          </cell>
          <cell r="K3856" t="str">
            <v>CINTA NEGRA AISLANTE</v>
          </cell>
          <cell r="L3856">
            <v>1</v>
          </cell>
          <cell r="M3856" t="str">
            <v>UNID.</v>
          </cell>
          <cell r="N3856" t="str">
            <v>TALLER</v>
          </cell>
          <cell r="O3856">
            <v>50</v>
          </cell>
          <cell r="P3856" t="str">
            <v>E2</v>
          </cell>
          <cell r="Q3856" t="str">
            <v>J1</v>
          </cell>
          <cell r="R3856" t="str">
            <v>J6</v>
          </cell>
          <cell r="S3856" t="str">
            <v>ENTREGADO</v>
          </cell>
          <cell r="T3856">
            <v>0</v>
          </cell>
          <cell r="U3856" t="str">
            <v>YUCA BELLIDO BORIS YERSY</v>
          </cell>
          <cell r="V3856" t="str">
            <v>FLOREZ CONDORI  JOSE WILLIANS</v>
          </cell>
        </row>
        <row r="3857">
          <cell r="A3857">
            <v>3851</v>
          </cell>
          <cell r="B3857">
            <v>42740</v>
          </cell>
          <cell r="C3857" t="str">
            <v>ENERO</v>
          </cell>
          <cell r="D3857" t="str">
            <v>2017</v>
          </cell>
          <cell r="E3857">
            <v>752</v>
          </cell>
          <cell r="F3857" t="str">
            <v>X2W-788</v>
          </cell>
          <cell r="G3857" t="str">
            <v>C5V-994</v>
          </cell>
          <cell r="H3857" t="str">
            <v>LAS BAMBAS</v>
          </cell>
          <cell r="I3857">
            <v>143248</v>
          </cell>
          <cell r="J3857" t="str">
            <v>REPUESTO</v>
          </cell>
          <cell r="K3857" t="str">
            <v>MAXIBRAKE</v>
          </cell>
          <cell r="L3857">
            <v>1</v>
          </cell>
          <cell r="M3857" t="str">
            <v>UNID.</v>
          </cell>
          <cell r="N3857" t="str">
            <v>TRACTO</v>
          </cell>
          <cell r="O3857">
            <v>50</v>
          </cell>
          <cell r="P3857" t="str">
            <v>M8</v>
          </cell>
          <cell r="Q3857" t="str">
            <v>J1</v>
          </cell>
          <cell r="R3857" t="str">
            <v>J6</v>
          </cell>
          <cell r="S3857" t="str">
            <v>ENTREGADO</v>
          </cell>
          <cell r="T3857">
            <v>0</v>
          </cell>
          <cell r="U3857" t="str">
            <v>VARILLAS GAGO  OSCAR ALBERTO</v>
          </cell>
          <cell r="V3857" t="str">
            <v>FLOREZ CONDORI  JOSE WILLIANS</v>
          </cell>
        </row>
        <row r="3858">
          <cell r="A3858">
            <v>3863</v>
          </cell>
          <cell r="B3858">
            <v>42741</v>
          </cell>
          <cell r="C3858" t="str">
            <v>ENERO</v>
          </cell>
          <cell r="D3858" t="str">
            <v>2017</v>
          </cell>
          <cell r="E3858">
            <v>745</v>
          </cell>
          <cell r="F3858" t="str">
            <v>ABR-759</v>
          </cell>
          <cell r="G3858" t="str">
            <v>D0Z-995</v>
          </cell>
          <cell r="H3858" t="str">
            <v>LAS BAMBAS</v>
          </cell>
          <cell r="I3858">
            <v>115751</v>
          </cell>
          <cell r="J3858" t="str">
            <v>REPUESTO</v>
          </cell>
          <cell r="K3858" t="str">
            <v>FAROS NEBLINEROS</v>
          </cell>
          <cell r="L3858">
            <v>2</v>
          </cell>
          <cell r="M3858" t="str">
            <v>UNID.</v>
          </cell>
          <cell r="N3858" t="str">
            <v>TRACTO</v>
          </cell>
          <cell r="O3858">
            <v>49</v>
          </cell>
          <cell r="P3858" t="str">
            <v>E3</v>
          </cell>
          <cell r="Q3858" t="str">
            <v>J1</v>
          </cell>
          <cell r="R3858" t="str">
            <v>J6</v>
          </cell>
          <cell r="S3858" t="str">
            <v>PENDIENTE</v>
          </cell>
          <cell r="T3858">
            <v>0</v>
          </cell>
          <cell r="U3858" t="str">
            <v>CONDORI CHURATA ALEX</v>
          </cell>
          <cell r="V3858" t="str">
            <v>FLOREZ CONDORI  JOSE WILLIANS</v>
          </cell>
        </row>
        <row r="3859">
          <cell r="A3859">
            <v>3857</v>
          </cell>
          <cell r="B3859">
            <v>42741</v>
          </cell>
          <cell r="C3859" t="str">
            <v>ENERO</v>
          </cell>
          <cell r="D3859" t="str">
            <v>2017</v>
          </cell>
          <cell r="E3859">
            <v>759</v>
          </cell>
          <cell r="F3859" t="str">
            <v>AKX-731</v>
          </cell>
          <cell r="G3859" t="str">
            <v>TCD-980</v>
          </cell>
          <cell r="H3859" t="str">
            <v>LAS BAMBAS</v>
          </cell>
          <cell r="I3859">
            <v>39157</v>
          </cell>
          <cell r="J3859" t="str">
            <v>REPUESTO</v>
          </cell>
          <cell r="K3859" t="str">
            <v>DISCO DE TORNAMESA</v>
          </cell>
          <cell r="L3859">
            <v>1</v>
          </cell>
          <cell r="M3859" t="str">
            <v>UNID.</v>
          </cell>
          <cell r="N3859" t="str">
            <v>CISTERNA</v>
          </cell>
          <cell r="O3859">
            <v>49</v>
          </cell>
          <cell r="P3859" t="str">
            <v>M4</v>
          </cell>
          <cell r="Q3859" t="str">
            <v>J1</v>
          </cell>
          <cell r="R3859" t="str">
            <v>J6</v>
          </cell>
          <cell r="S3859" t="str">
            <v>PENDIENTE</v>
          </cell>
          <cell r="T3859">
            <v>0</v>
          </cell>
          <cell r="U3859" t="str">
            <v>JULLIRI APAZA UBALDO</v>
          </cell>
          <cell r="V3859" t="str">
            <v>FLOREZ CONDORI  JOSE WILLIANS</v>
          </cell>
        </row>
        <row r="3860">
          <cell r="A3860">
            <v>3858</v>
          </cell>
          <cell r="B3860">
            <v>42741</v>
          </cell>
          <cell r="C3860" t="str">
            <v>ENERO</v>
          </cell>
          <cell r="D3860" t="str">
            <v>2017</v>
          </cell>
          <cell r="E3860">
            <v>759</v>
          </cell>
          <cell r="F3860" t="str">
            <v>AKX-731</v>
          </cell>
          <cell r="G3860" t="str">
            <v>TCD-980</v>
          </cell>
          <cell r="H3860" t="str">
            <v>LAS BAMBAS</v>
          </cell>
          <cell r="I3860">
            <v>39157</v>
          </cell>
          <cell r="J3860" t="str">
            <v>REPUESTO</v>
          </cell>
          <cell r="K3860" t="str">
            <v>SEGURO DE DISCO DE TORNAMESA</v>
          </cell>
          <cell r="L3860">
            <v>1</v>
          </cell>
          <cell r="M3860" t="str">
            <v>UNID.</v>
          </cell>
          <cell r="N3860" t="str">
            <v>CISTERNA</v>
          </cell>
          <cell r="O3860">
            <v>49</v>
          </cell>
          <cell r="P3860" t="str">
            <v>M4</v>
          </cell>
          <cell r="Q3860" t="str">
            <v>J1</v>
          </cell>
          <cell r="R3860" t="str">
            <v>J6</v>
          </cell>
          <cell r="S3860" t="str">
            <v>PENDIENTE</v>
          </cell>
          <cell r="T3860">
            <v>0</v>
          </cell>
          <cell r="U3860" t="str">
            <v>JULLIRI APAZA UBALDO</v>
          </cell>
          <cell r="V3860" t="str">
            <v>FLOREZ CONDORI  JOSE WILLIANS</v>
          </cell>
        </row>
        <row r="3861">
          <cell r="A3861">
            <v>3866</v>
          </cell>
          <cell r="B3861">
            <v>42741</v>
          </cell>
          <cell r="C3861" t="str">
            <v>ENERO</v>
          </cell>
          <cell r="D3861" t="str">
            <v>2017</v>
          </cell>
          <cell r="E3861">
            <v>759</v>
          </cell>
          <cell r="F3861" t="str">
            <v>AKX-731</v>
          </cell>
          <cell r="G3861" t="str">
            <v>TCD-980</v>
          </cell>
          <cell r="H3861" t="str">
            <v>LAS BAMBAS</v>
          </cell>
          <cell r="I3861">
            <v>39157</v>
          </cell>
          <cell r="J3861" t="str">
            <v>REPUESTO</v>
          </cell>
          <cell r="K3861" t="str">
            <v>FUSIBLE DE 20 AMP</v>
          </cell>
          <cell r="L3861">
            <v>1</v>
          </cell>
          <cell r="M3861" t="str">
            <v>UNID.</v>
          </cell>
          <cell r="N3861" t="str">
            <v>TRACTO</v>
          </cell>
          <cell r="O3861">
            <v>49</v>
          </cell>
          <cell r="P3861" t="str">
            <v>M4</v>
          </cell>
          <cell r="Q3861" t="str">
            <v>J1</v>
          </cell>
          <cell r="R3861" t="str">
            <v>J6</v>
          </cell>
          <cell r="S3861" t="str">
            <v>PENDIENTE</v>
          </cell>
          <cell r="T3861">
            <v>0</v>
          </cell>
          <cell r="U3861" t="str">
            <v>JULLIRI APAZA UBALDO</v>
          </cell>
          <cell r="V3861" t="str">
            <v>FLOREZ CONDORI  JOSE WILLIANS</v>
          </cell>
        </row>
        <row r="3862">
          <cell r="A3862">
            <v>3864</v>
          </cell>
          <cell r="B3862">
            <v>42741</v>
          </cell>
          <cell r="C3862" t="str">
            <v>ENERO</v>
          </cell>
          <cell r="D3862" t="str">
            <v>2017</v>
          </cell>
          <cell r="E3862">
            <v>765</v>
          </cell>
          <cell r="F3862" t="str">
            <v>C5R-892</v>
          </cell>
          <cell r="G3862" t="str">
            <v>A0T-983</v>
          </cell>
          <cell r="H3862" t="str">
            <v>LAS BAMBAS</v>
          </cell>
          <cell r="I3862">
            <v>228062</v>
          </cell>
          <cell r="J3862" t="str">
            <v>REPUESTO</v>
          </cell>
          <cell r="K3862" t="str">
            <v>CIRCULINA</v>
          </cell>
          <cell r="L3862">
            <v>1</v>
          </cell>
          <cell r="M3862" t="str">
            <v>UNID.</v>
          </cell>
          <cell r="N3862" t="str">
            <v>TRACTO</v>
          </cell>
          <cell r="O3862">
            <v>49</v>
          </cell>
          <cell r="P3862" t="str">
            <v>E2</v>
          </cell>
          <cell r="Q3862" t="str">
            <v>J1</v>
          </cell>
          <cell r="R3862" t="str">
            <v>J6</v>
          </cell>
          <cell r="S3862" t="str">
            <v>PENDIENTE</v>
          </cell>
          <cell r="T3862">
            <v>0</v>
          </cell>
          <cell r="U3862" t="str">
            <v>YUCA BELLIDO BORIS YERSY</v>
          </cell>
          <cell r="V3862" t="str">
            <v>FLOREZ CONDORI  JOSE WILLIANS</v>
          </cell>
        </row>
        <row r="3863">
          <cell r="A3863">
            <v>3865</v>
          </cell>
          <cell r="B3863">
            <v>42741</v>
          </cell>
          <cell r="C3863" t="str">
            <v>ENERO</v>
          </cell>
          <cell r="D3863" t="str">
            <v>2017</v>
          </cell>
          <cell r="E3863">
            <v>765</v>
          </cell>
          <cell r="F3863" t="str">
            <v>C5R-892</v>
          </cell>
          <cell r="G3863" t="str">
            <v>A0T-983</v>
          </cell>
          <cell r="H3863" t="str">
            <v>LAS BAMBAS</v>
          </cell>
          <cell r="I3863">
            <v>228062</v>
          </cell>
          <cell r="J3863" t="str">
            <v>REPUESTO</v>
          </cell>
          <cell r="K3863" t="str">
            <v>MINIFUSIBLES DE 10 AMP</v>
          </cell>
          <cell r="L3863">
            <v>1</v>
          </cell>
          <cell r="M3863" t="str">
            <v>UNID.</v>
          </cell>
          <cell r="N3863" t="str">
            <v>TRACTO</v>
          </cell>
          <cell r="O3863">
            <v>49</v>
          </cell>
          <cell r="P3863" t="str">
            <v>E2</v>
          </cell>
          <cell r="Q3863" t="str">
            <v>J1</v>
          </cell>
          <cell r="R3863" t="str">
            <v>J6</v>
          </cell>
          <cell r="S3863" t="str">
            <v>PENDIENTE</v>
          </cell>
          <cell r="T3863">
            <v>0</v>
          </cell>
          <cell r="U3863" t="str">
            <v>YUCA BELLIDO BORIS YERSY</v>
          </cell>
          <cell r="V3863" t="str">
            <v>FLOREZ CONDORI  JOSE WILLIANS</v>
          </cell>
        </row>
        <row r="3864">
          <cell r="A3864">
            <v>3867</v>
          </cell>
          <cell r="B3864">
            <v>42741</v>
          </cell>
          <cell r="C3864" t="str">
            <v>ENERO</v>
          </cell>
          <cell r="D3864" t="str">
            <v>2017</v>
          </cell>
          <cell r="E3864">
            <v>739</v>
          </cell>
          <cell r="F3864" t="str">
            <v>C5R-895</v>
          </cell>
          <cell r="G3864" t="str">
            <v>TBL-976</v>
          </cell>
          <cell r="H3864" t="str">
            <v>LAS BAMBAS</v>
          </cell>
          <cell r="I3864">
            <v>172840</v>
          </cell>
          <cell r="J3864" t="str">
            <v>REPUESTO</v>
          </cell>
          <cell r="K3864" t="str">
            <v>BOCINAS DE TORNAMESA</v>
          </cell>
          <cell r="L3864">
            <v>2</v>
          </cell>
          <cell r="M3864" t="str">
            <v>UNID.</v>
          </cell>
          <cell r="N3864" t="str">
            <v>TRACTO</v>
          </cell>
          <cell r="O3864">
            <v>49</v>
          </cell>
          <cell r="P3864" t="str">
            <v>M4</v>
          </cell>
          <cell r="Q3864" t="str">
            <v>J1</v>
          </cell>
          <cell r="R3864" t="str">
            <v>J6</v>
          </cell>
          <cell r="S3864" t="str">
            <v>PENDIENTE</v>
          </cell>
          <cell r="T3864">
            <v>0</v>
          </cell>
          <cell r="U3864" t="str">
            <v>JULLIRI APAZA UBALDO</v>
          </cell>
          <cell r="V3864" t="str">
            <v>FLOREZ CONDORI  JOSE WILLIANS</v>
          </cell>
        </row>
        <row r="3865">
          <cell r="A3865">
            <v>3859</v>
          </cell>
          <cell r="B3865">
            <v>42741</v>
          </cell>
          <cell r="C3865" t="str">
            <v>ENERO</v>
          </cell>
          <cell r="D3865" t="str">
            <v>2017</v>
          </cell>
          <cell r="E3865">
            <v>751</v>
          </cell>
          <cell r="F3865" t="str">
            <v>D3O-745</v>
          </cell>
          <cell r="G3865" t="str">
            <v>F3L-979</v>
          </cell>
          <cell r="H3865" t="str">
            <v>LAS BAMBAS</v>
          </cell>
          <cell r="I3865">
            <v>163411</v>
          </cell>
          <cell r="J3865" t="str">
            <v>REPUESTO</v>
          </cell>
          <cell r="K3865" t="str">
            <v>FAJAS</v>
          </cell>
          <cell r="L3865">
            <v>0.5</v>
          </cell>
          <cell r="M3865" t="str">
            <v>JUEGO</v>
          </cell>
          <cell r="N3865" t="str">
            <v>CISTERNA</v>
          </cell>
          <cell r="O3865">
            <v>49</v>
          </cell>
          <cell r="P3865" t="str">
            <v>M8</v>
          </cell>
          <cell r="Q3865" t="str">
            <v>J1</v>
          </cell>
          <cell r="R3865" t="str">
            <v>J6</v>
          </cell>
          <cell r="S3865" t="str">
            <v>PENDIENTE</v>
          </cell>
          <cell r="T3865">
            <v>0</v>
          </cell>
          <cell r="U3865" t="str">
            <v>VARILLAS GAGO  OSCAR ALBERTO</v>
          </cell>
          <cell r="V3865" t="str">
            <v>FLOREZ CONDORI  JOSE WILLIANS</v>
          </cell>
        </row>
        <row r="3866">
          <cell r="A3866">
            <v>3860</v>
          </cell>
          <cell r="B3866">
            <v>42741</v>
          </cell>
          <cell r="C3866" t="str">
            <v>ENERO</v>
          </cell>
          <cell r="D3866" t="str">
            <v>2017</v>
          </cell>
          <cell r="E3866">
            <v>751</v>
          </cell>
          <cell r="F3866" t="str">
            <v>D3O-745</v>
          </cell>
          <cell r="G3866" t="str">
            <v>F3L-979</v>
          </cell>
          <cell r="H3866" t="str">
            <v>LAS BAMBAS</v>
          </cell>
          <cell r="I3866">
            <v>163411</v>
          </cell>
          <cell r="J3866" t="str">
            <v>REPUESTO</v>
          </cell>
          <cell r="K3866" t="str">
            <v>RESORTES PEQUEÑOS</v>
          </cell>
          <cell r="L3866">
            <v>2</v>
          </cell>
          <cell r="M3866" t="str">
            <v>UNID.</v>
          </cell>
          <cell r="N3866" t="str">
            <v>CISTERNA</v>
          </cell>
          <cell r="O3866">
            <v>49</v>
          </cell>
          <cell r="P3866" t="str">
            <v>M8</v>
          </cell>
          <cell r="Q3866" t="str">
            <v>J1</v>
          </cell>
          <cell r="R3866" t="str">
            <v>J6</v>
          </cell>
          <cell r="S3866" t="str">
            <v>PENDIENTE</v>
          </cell>
          <cell r="T3866">
            <v>0</v>
          </cell>
          <cell r="U3866" t="str">
            <v>VARILLAS GAGO  OSCAR ALBERTO</v>
          </cell>
          <cell r="V3866" t="str">
            <v>FLOREZ CONDORI  JOSE WILLIANS</v>
          </cell>
        </row>
        <row r="3867">
          <cell r="A3867">
            <v>3861</v>
          </cell>
          <cell r="B3867">
            <v>42741</v>
          </cell>
          <cell r="C3867" t="str">
            <v>ENERO</v>
          </cell>
          <cell r="D3867" t="str">
            <v>2017</v>
          </cell>
          <cell r="E3867">
            <v>751</v>
          </cell>
          <cell r="F3867" t="str">
            <v>D3O-745</v>
          </cell>
          <cell r="G3867" t="str">
            <v>F3L-979</v>
          </cell>
          <cell r="H3867" t="str">
            <v>LAS BAMBAS</v>
          </cell>
          <cell r="I3867">
            <v>163411</v>
          </cell>
          <cell r="J3867" t="str">
            <v>REPUESTO</v>
          </cell>
          <cell r="K3867" t="str">
            <v>RESORTE GRANDE DE ZAPATA</v>
          </cell>
          <cell r="L3867">
            <v>1</v>
          </cell>
          <cell r="M3867" t="str">
            <v>UNID.</v>
          </cell>
          <cell r="N3867" t="str">
            <v>CISTERNA</v>
          </cell>
          <cell r="O3867">
            <v>49</v>
          </cell>
          <cell r="P3867" t="str">
            <v>M8</v>
          </cell>
          <cell r="Q3867" t="str">
            <v>J1</v>
          </cell>
          <cell r="R3867" t="str">
            <v>J6</v>
          </cell>
          <cell r="S3867" t="str">
            <v>PENDIENTE</v>
          </cell>
          <cell r="T3867">
            <v>0</v>
          </cell>
          <cell r="U3867" t="str">
            <v>VARILLAS GAGO  OSCAR ALBERTO</v>
          </cell>
          <cell r="V3867" t="str">
            <v>FLOREZ CONDORI  JOSE WILLIANS</v>
          </cell>
        </row>
        <row r="3868">
          <cell r="A3868">
            <v>3862</v>
          </cell>
          <cell r="B3868">
            <v>42741</v>
          </cell>
          <cell r="C3868" t="str">
            <v>ENERO</v>
          </cell>
          <cell r="D3868" t="str">
            <v>2017</v>
          </cell>
          <cell r="E3868">
            <v>740</v>
          </cell>
          <cell r="F3868" t="str">
            <v>X2W-761</v>
          </cell>
          <cell r="G3868" t="str">
            <v>C5V-996</v>
          </cell>
          <cell r="H3868" t="str">
            <v>LAS BAMBAS</v>
          </cell>
          <cell r="I3868">
            <v>147661</v>
          </cell>
          <cell r="J3868" t="str">
            <v>SERVICIO</v>
          </cell>
          <cell r="K3868" t="str">
            <v>SERVICIO DE TAPIZADO DE ASIENTO</v>
          </cell>
          <cell r="L3868">
            <v>1</v>
          </cell>
          <cell r="M3868" t="str">
            <v>UNID.</v>
          </cell>
          <cell r="N3868" t="str">
            <v>TRACTO</v>
          </cell>
          <cell r="O3868">
            <v>49</v>
          </cell>
          <cell r="P3868" t="str">
            <v>M8</v>
          </cell>
          <cell r="Q3868" t="str">
            <v>J1</v>
          </cell>
          <cell r="R3868" t="str">
            <v>J6</v>
          </cell>
          <cell r="S3868" t="str">
            <v>ENTREGADO</v>
          </cell>
          <cell r="T3868">
            <v>0</v>
          </cell>
          <cell r="U3868" t="str">
            <v>VARILLAS GAGO  OSCAR ALBERTO</v>
          </cell>
          <cell r="V3868" t="str">
            <v>FLOREZ CONDORI  JOSE WILLIANS</v>
          </cell>
        </row>
        <row r="3869">
          <cell r="A3869">
            <v>3868</v>
          </cell>
          <cell r="B3869">
            <v>42741</v>
          </cell>
          <cell r="C3869" t="str">
            <v>ENERO</v>
          </cell>
          <cell r="D3869" t="str">
            <v>2017</v>
          </cell>
          <cell r="E3869">
            <v>651</v>
          </cell>
          <cell r="F3869" t="str">
            <v>X2W-765</v>
          </cell>
          <cell r="G3869" t="str">
            <v>C5V-993</v>
          </cell>
          <cell r="H3869" t="str">
            <v>LAS BAMBAS</v>
          </cell>
          <cell r="I3869">
            <v>159021</v>
          </cell>
          <cell r="J3869" t="str">
            <v>REPUESTO</v>
          </cell>
          <cell r="K3869" t="str">
            <v>FILTRO PRIMARIO TIPO CARTUCHO</v>
          </cell>
          <cell r="L3869">
            <v>1</v>
          </cell>
          <cell r="M3869" t="str">
            <v>UNID.</v>
          </cell>
          <cell r="N3869" t="str">
            <v>TRACTO</v>
          </cell>
          <cell r="O3869">
            <v>49</v>
          </cell>
          <cell r="P3869" t="str">
            <v>M4</v>
          </cell>
          <cell r="Q3869" t="str">
            <v>J1</v>
          </cell>
          <cell r="R3869" t="str">
            <v>J1</v>
          </cell>
          <cell r="S3869" t="str">
            <v>PENDIENTE</v>
          </cell>
          <cell r="T3869">
            <v>0</v>
          </cell>
          <cell r="U3869" t="str">
            <v>JULLIRI APAZA UBALDO</v>
          </cell>
          <cell r="V3869" t="str">
            <v>FLOREZ CONDORI  JOSE WILLIANS</v>
          </cell>
        </row>
        <row r="3870">
          <cell r="A3870">
            <v>3869</v>
          </cell>
          <cell r="B3870">
            <v>42741</v>
          </cell>
          <cell r="C3870" t="str">
            <v>ENERO</v>
          </cell>
          <cell r="D3870" t="str">
            <v>2017</v>
          </cell>
          <cell r="E3870">
            <v>651</v>
          </cell>
          <cell r="F3870" t="str">
            <v>X2W-765</v>
          </cell>
          <cell r="G3870" t="str">
            <v>C5V-993</v>
          </cell>
          <cell r="H3870" t="str">
            <v>LAS BAMBAS</v>
          </cell>
          <cell r="I3870">
            <v>159021</v>
          </cell>
          <cell r="J3870" t="str">
            <v>REPUESTO</v>
          </cell>
          <cell r="K3870" t="str">
            <v>FILTRO SEPARADOR DE AGUA</v>
          </cell>
          <cell r="L3870">
            <v>1</v>
          </cell>
          <cell r="M3870" t="str">
            <v>UNID.</v>
          </cell>
          <cell r="N3870" t="str">
            <v>TRACTO</v>
          </cell>
          <cell r="O3870">
            <v>49</v>
          </cell>
          <cell r="P3870" t="str">
            <v>M4</v>
          </cell>
          <cell r="Q3870" t="str">
            <v>J1</v>
          </cell>
          <cell r="R3870" t="str">
            <v>J1</v>
          </cell>
          <cell r="S3870" t="str">
            <v>PENDIENTE</v>
          </cell>
          <cell r="T3870">
            <v>0</v>
          </cell>
          <cell r="U3870" t="str">
            <v>JULLIRI APAZA UBALDO</v>
          </cell>
          <cell r="V3870" t="str">
            <v>FLOREZ CONDORI  JOSE WILLIANS</v>
          </cell>
        </row>
        <row r="3871">
          <cell r="A3871">
            <v>3882</v>
          </cell>
          <cell r="B3871">
            <v>42742</v>
          </cell>
          <cell r="C3871" t="str">
            <v>ENERO</v>
          </cell>
          <cell r="D3871" t="str">
            <v>2017</v>
          </cell>
          <cell r="E3871">
            <v>702</v>
          </cell>
          <cell r="F3871" t="str">
            <v>A9H-889</v>
          </cell>
          <cell r="G3871" t="str">
            <v>CAMION</v>
          </cell>
          <cell r="H3871" t="str">
            <v>TAMBOMAYO</v>
          </cell>
          <cell r="I3871">
            <v>127053</v>
          </cell>
          <cell r="J3871" t="str">
            <v>REPUESTO</v>
          </cell>
          <cell r="K3871" t="str">
            <v>TURBO</v>
          </cell>
          <cell r="L3871">
            <v>1</v>
          </cell>
          <cell r="M3871" t="str">
            <v>UNID.</v>
          </cell>
          <cell r="N3871" t="str">
            <v>CAMION</v>
          </cell>
          <cell r="O3871">
            <v>48</v>
          </cell>
          <cell r="P3871" t="str">
            <v>J1</v>
          </cell>
          <cell r="Q3871" t="str">
            <v>J1</v>
          </cell>
          <cell r="R3871" t="str">
            <v>J6</v>
          </cell>
          <cell r="S3871" t="str">
            <v>ENTREGADO</v>
          </cell>
          <cell r="T3871">
            <v>0</v>
          </cell>
          <cell r="U3871" t="str">
            <v>FLOREZ CONDORI  JOSE WILLIANS</v>
          </cell>
          <cell r="V3871" t="str">
            <v>FLOREZ CONDORI  JOSE WILLIANS</v>
          </cell>
        </row>
        <row r="3872">
          <cell r="A3872">
            <v>3874</v>
          </cell>
          <cell r="B3872">
            <v>42742</v>
          </cell>
          <cell r="C3872" t="str">
            <v>ENERO</v>
          </cell>
          <cell r="D3872" t="str">
            <v>2017</v>
          </cell>
          <cell r="E3872">
            <v>767</v>
          </cell>
          <cell r="F3872" t="str">
            <v>ABR-796</v>
          </cell>
          <cell r="G3872" t="str">
            <v>C9S-994</v>
          </cell>
          <cell r="H3872" t="str">
            <v>LAS BAMBAS</v>
          </cell>
          <cell r="I3872">
            <v>115079</v>
          </cell>
          <cell r="J3872" t="str">
            <v>REPUESTO</v>
          </cell>
          <cell r="K3872" t="str">
            <v>VALVULA INTERLOOK</v>
          </cell>
          <cell r="L3872">
            <v>1</v>
          </cell>
          <cell r="M3872" t="str">
            <v>UNID.</v>
          </cell>
          <cell r="N3872" t="str">
            <v>CISTERNA</v>
          </cell>
          <cell r="O3872">
            <v>48</v>
          </cell>
          <cell r="P3872" t="str">
            <v>S1</v>
          </cell>
          <cell r="Q3872" t="str">
            <v>J1</v>
          </cell>
          <cell r="R3872" t="str">
            <v>J6</v>
          </cell>
          <cell r="S3872" t="str">
            <v>PENDIENTE</v>
          </cell>
          <cell r="T3872">
            <v>0</v>
          </cell>
          <cell r="U3872" t="str">
            <v>BAYONA CRUZ CRISTIAN ARMANDO</v>
          </cell>
          <cell r="V3872" t="str">
            <v>FLOREZ CONDORI  JOSE WILLIANS</v>
          </cell>
        </row>
        <row r="3873">
          <cell r="A3873">
            <v>3875</v>
          </cell>
          <cell r="B3873">
            <v>42742</v>
          </cell>
          <cell r="C3873" t="str">
            <v>ENERO</v>
          </cell>
          <cell r="D3873" t="str">
            <v>2017</v>
          </cell>
          <cell r="E3873">
            <v>767</v>
          </cell>
          <cell r="F3873" t="str">
            <v>ABR-796</v>
          </cell>
          <cell r="G3873" t="str">
            <v>C9S-994</v>
          </cell>
          <cell r="H3873" t="str">
            <v>LAS BAMBAS</v>
          </cell>
          <cell r="I3873">
            <v>115079</v>
          </cell>
          <cell r="J3873" t="str">
            <v>REPUESTO</v>
          </cell>
          <cell r="K3873" t="str">
            <v>CINTA TEFLON</v>
          </cell>
          <cell r="L3873">
            <v>1</v>
          </cell>
          <cell r="M3873" t="str">
            <v>UNID.</v>
          </cell>
          <cell r="N3873" t="str">
            <v>CISTERNA</v>
          </cell>
          <cell r="O3873">
            <v>48</v>
          </cell>
          <cell r="P3873" t="str">
            <v>S1</v>
          </cell>
          <cell r="Q3873" t="str">
            <v>J1</v>
          </cell>
          <cell r="R3873" t="str">
            <v>J6</v>
          </cell>
          <cell r="S3873" t="str">
            <v>PENDIENTE</v>
          </cell>
          <cell r="T3873">
            <v>0</v>
          </cell>
          <cell r="U3873" t="str">
            <v>BAYONA CRUZ CRISTIAN ARMANDO</v>
          </cell>
          <cell r="V3873" t="str">
            <v>FLOREZ CONDORI  JOSE WILLIANS</v>
          </cell>
        </row>
        <row r="3874">
          <cell r="A3874">
            <v>3897</v>
          </cell>
          <cell r="B3874">
            <v>42742</v>
          </cell>
          <cell r="C3874" t="str">
            <v>ENERO</v>
          </cell>
          <cell r="D3874" t="str">
            <v>2017</v>
          </cell>
          <cell r="E3874">
            <v>767</v>
          </cell>
          <cell r="F3874" t="str">
            <v>ABR-796</v>
          </cell>
          <cell r="G3874" t="str">
            <v>C9S-994</v>
          </cell>
          <cell r="H3874" t="str">
            <v>LAS BAMBAS</v>
          </cell>
          <cell r="I3874">
            <v>115079</v>
          </cell>
          <cell r="J3874" t="str">
            <v>REPUESTO</v>
          </cell>
          <cell r="K3874" t="str">
            <v>PERNO 5/16 X 1 1/2</v>
          </cell>
          <cell r="L3874">
            <v>2</v>
          </cell>
          <cell r="M3874" t="str">
            <v>UNID.</v>
          </cell>
          <cell r="N3874" t="str">
            <v>CISTERNA</v>
          </cell>
          <cell r="O3874">
            <v>48</v>
          </cell>
          <cell r="P3874" t="str">
            <v>S1</v>
          </cell>
          <cell r="Q3874" t="str">
            <v>J1</v>
          </cell>
          <cell r="R3874" t="str">
            <v>J6</v>
          </cell>
          <cell r="S3874" t="str">
            <v>PENDIENTE</v>
          </cell>
          <cell r="T3874">
            <v>0</v>
          </cell>
          <cell r="U3874" t="str">
            <v>BAYONA CRUZ CRISTIAN ARMANDO</v>
          </cell>
          <cell r="V3874" t="str">
            <v>FLOREZ CONDORI  JOSE WILLIANS</v>
          </cell>
        </row>
        <row r="3875">
          <cell r="A3875">
            <v>3898</v>
          </cell>
          <cell r="B3875">
            <v>42742</v>
          </cell>
          <cell r="C3875" t="str">
            <v>ENERO</v>
          </cell>
          <cell r="D3875" t="str">
            <v>2017</v>
          </cell>
          <cell r="E3875">
            <v>767</v>
          </cell>
          <cell r="F3875" t="str">
            <v>ABR-796</v>
          </cell>
          <cell r="G3875" t="str">
            <v>C9S-994</v>
          </cell>
          <cell r="H3875" t="str">
            <v>LAS BAMBAS</v>
          </cell>
          <cell r="I3875">
            <v>115079</v>
          </cell>
          <cell r="J3875" t="str">
            <v>REPUESTO</v>
          </cell>
          <cell r="K3875" t="str">
            <v>ARANDELA PLANAS 5/16</v>
          </cell>
          <cell r="L3875">
            <v>4</v>
          </cell>
          <cell r="M3875" t="str">
            <v>UNID.</v>
          </cell>
          <cell r="N3875" t="str">
            <v>CISTERNA</v>
          </cell>
          <cell r="O3875">
            <v>48</v>
          </cell>
          <cell r="P3875" t="str">
            <v>S1</v>
          </cell>
          <cell r="Q3875" t="str">
            <v>J1</v>
          </cell>
          <cell r="R3875" t="str">
            <v>J6</v>
          </cell>
          <cell r="S3875" t="str">
            <v>PENDIENTE</v>
          </cell>
          <cell r="T3875">
            <v>0</v>
          </cell>
          <cell r="U3875" t="str">
            <v>BAYONA CRUZ CRISTIAN ARMANDO</v>
          </cell>
          <cell r="V3875" t="str">
            <v>FLOREZ CONDORI  JOSE WILLIANS</v>
          </cell>
        </row>
        <row r="3876">
          <cell r="A3876">
            <v>3899</v>
          </cell>
          <cell r="B3876">
            <v>42742</v>
          </cell>
          <cell r="C3876" t="str">
            <v>ENERO</v>
          </cell>
          <cell r="D3876" t="str">
            <v>2017</v>
          </cell>
          <cell r="E3876">
            <v>767</v>
          </cell>
          <cell r="F3876" t="str">
            <v>ABR-796</v>
          </cell>
          <cell r="G3876" t="str">
            <v>C9S-994</v>
          </cell>
          <cell r="H3876" t="str">
            <v>LAS BAMBAS</v>
          </cell>
          <cell r="I3876">
            <v>115079</v>
          </cell>
          <cell r="J3876" t="str">
            <v>REPUESTO</v>
          </cell>
          <cell r="K3876" t="str">
            <v xml:space="preserve">FILTRO SEPARADOR </v>
          </cell>
          <cell r="L3876">
            <v>2</v>
          </cell>
          <cell r="M3876" t="str">
            <v>UNID.</v>
          </cell>
          <cell r="N3876" t="str">
            <v>CISTERNA</v>
          </cell>
          <cell r="O3876">
            <v>48</v>
          </cell>
          <cell r="P3876" t="str">
            <v>S1</v>
          </cell>
          <cell r="Q3876" t="str">
            <v>J1</v>
          </cell>
          <cell r="R3876" t="str">
            <v>J6</v>
          </cell>
          <cell r="S3876" t="str">
            <v>PENDIENTE</v>
          </cell>
          <cell r="T3876">
            <v>0</v>
          </cell>
          <cell r="U3876" t="str">
            <v>BAYONA CRUZ CRISTIAN ARMANDO</v>
          </cell>
          <cell r="V3876" t="str">
            <v>FLOREZ CONDORI  JOSE WILLIANS</v>
          </cell>
        </row>
        <row r="3877">
          <cell r="A3877">
            <v>3884</v>
          </cell>
          <cell r="B3877">
            <v>42742</v>
          </cell>
          <cell r="C3877" t="str">
            <v>ENERO</v>
          </cell>
          <cell r="D3877" t="str">
            <v>2017</v>
          </cell>
          <cell r="E3877">
            <v>775</v>
          </cell>
          <cell r="F3877" t="str">
            <v>ABS-700</v>
          </cell>
          <cell r="G3877" t="str">
            <v>TBC-971</v>
          </cell>
          <cell r="H3877" t="str">
            <v>LAS BAMBAS</v>
          </cell>
          <cell r="I3877">
            <v>103858</v>
          </cell>
          <cell r="J3877" t="str">
            <v>REPUESTO</v>
          </cell>
          <cell r="K3877" t="str">
            <v>FOCO NEBLINERO 896</v>
          </cell>
          <cell r="L3877">
            <v>1</v>
          </cell>
          <cell r="M3877" t="str">
            <v>UNID.</v>
          </cell>
          <cell r="N3877" t="str">
            <v>TRACTO</v>
          </cell>
          <cell r="O3877">
            <v>48</v>
          </cell>
          <cell r="P3877" t="str">
            <v>E2</v>
          </cell>
          <cell r="Q3877" t="str">
            <v>J1</v>
          </cell>
          <cell r="R3877" t="str">
            <v>J6</v>
          </cell>
          <cell r="S3877" t="str">
            <v>ENTREGADO</v>
          </cell>
          <cell r="T3877">
            <v>0</v>
          </cell>
          <cell r="U3877" t="str">
            <v>YUCA BELLIDO BORIS YERSY</v>
          </cell>
          <cell r="V3877" t="str">
            <v>FLOREZ CONDORI  JOSE WILLIANS</v>
          </cell>
        </row>
        <row r="3878">
          <cell r="A3878">
            <v>3891</v>
          </cell>
          <cell r="B3878">
            <v>42742</v>
          </cell>
          <cell r="C3878" t="str">
            <v>ENERO</v>
          </cell>
          <cell r="D3878" t="str">
            <v>2017</v>
          </cell>
          <cell r="E3878">
            <v>775</v>
          </cell>
          <cell r="F3878" t="str">
            <v>ABS-700</v>
          </cell>
          <cell r="G3878" t="str">
            <v>TBC-971</v>
          </cell>
          <cell r="H3878" t="str">
            <v>LAS BAMBAS</v>
          </cell>
          <cell r="I3878">
            <v>103858</v>
          </cell>
          <cell r="J3878" t="str">
            <v>REPUESTO</v>
          </cell>
          <cell r="K3878" t="str">
            <v>LIQUIDO REFRIGERANTE</v>
          </cell>
          <cell r="L3878">
            <v>10</v>
          </cell>
          <cell r="M3878" t="str">
            <v>GLNS.</v>
          </cell>
          <cell r="N3878" t="str">
            <v>TRACTO</v>
          </cell>
          <cell r="O3878">
            <v>48</v>
          </cell>
          <cell r="P3878" t="str">
            <v>M6</v>
          </cell>
          <cell r="Q3878" t="str">
            <v>J1</v>
          </cell>
          <cell r="R3878" t="str">
            <v>J6</v>
          </cell>
          <cell r="S3878" t="str">
            <v>PENDIENTE</v>
          </cell>
          <cell r="T3878">
            <v>0</v>
          </cell>
          <cell r="U3878" t="str">
            <v>PARI VENTURA  EDSON ORLANDO</v>
          </cell>
          <cell r="V3878" t="str">
            <v>FLOREZ CONDORI  JOSE WILLIANS</v>
          </cell>
        </row>
        <row r="3879">
          <cell r="A3879">
            <v>3895</v>
          </cell>
          <cell r="B3879">
            <v>42742</v>
          </cell>
          <cell r="C3879" t="str">
            <v>ENERO</v>
          </cell>
          <cell r="D3879" t="str">
            <v>2017</v>
          </cell>
          <cell r="E3879">
            <v>612</v>
          </cell>
          <cell r="F3879" t="str">
            <v>AEH-920</v>
          </cell>
          <cell r="G3879" t="str">
            <v>CAMIONETA</v>
          </cell>
          <cell r="H3879" t="str">
            <v>LAS BAMBAS</v>
          </cell>
          <cell r="I3879">
            <v>31610</v>
          </cell>
          <cell r="J3879" t="str">
            <v>REPUESTO</v>
          </cell>
          <cell r="K3879" t="str">
            <v>FOCO DOBLE CONTACTO DE 12 V</v>
          </cell>
          <cell r="L3879">
            <v>1</v>
          </cell>
          <cell r="M3879" t="str">
            <v>UNID.</v>
          </cell>
          <cell r="N3879" t="str">
            <v>CAMIONETA</v>
          </cell>
          <cell r="O3879">
            <v>48</v>
          </cell>
          <cell r="P3879" t="str">
            <v>E3</v>
          </cell>
          <cell r="Q3879" t="str">
            <v>J1</v>
          </cell>
          <cell r="R3879" t="str">
            <v>J6</v>
          </cell>
          <cell r="S3879" t="str">
            <v>PENDIENTE</v>
          </cell>
          <cell r="T3879">
            <v>0</v>
          </cell>
          <cell r="U3879" t="str">
            <v>CONDORI CHURATA ALEX</v>
          </cell>
          <cell r="V3879" t="str">
            <v>FLOREZ CONDORI  JOSE WILLIANS</v>
          </cell>
        </row>
        <row r="3880">
          <cell r="A3880">
            <v>3872</v>
          </cell>
          <cell r="B3880">
            <v>42742</v>
          </cell>
          <cell r="C3880" t="str">
            <v>ENERO</v>
          </cell>
          <cell r="D3880" t="str">
            <v>2017</v>
          </cell>
          <cell r="E3880">
            <v>732</v>
          </cell>
          <cell r="F3880" t="str">
            <v>AKW-731</v>
          </cell>
          <cell r="G3880" t="str">
            <v>TCR-989</v>
          </cell>
          <cell r="H3880" t="str">
            <v>LAS BAMBAS CONC.</v>
          </cell>
          <cell r="I3880">
            <v>30052</v>
          </cell>
          <cell r="J3880" t="str">
            <v>REPUESTO</v>
          </cell>
          <cell r="K3880" t="str">
            <v>FUSIBLE DE 10 AMP</v>
          </cell>
          <cell r="L3880">
            <v>1</v>
          </cell>
          <cell r="M3880" t="str">
            <v>UNID.</v>
          </cell>
          <cell r="N3880" t="str">
            <v>TRACTO</v>
          </cell>
          <cell r="O3880">
            <v>48</v>
          </cell>
          <cell r="P3880" t="str">
            <v>M4</v>
          </cell>
          <cell r="Q3880" t="str">
            <v>J1</v>
          </cell>
          <cell r="R3880" t="str">
            <v>J6</v>
          </cell>
          <cell r="S3880" t="str">
            <v>PENDIENTE</v>
          </cell>
          <cell r="T3880">
            <v>0</v>
          </cell>
          <cell r="U3880" t="str">
            <v>JULLIRI APAZA UBALDO</v>
          </cell>
          <cell r="V3880" t="str">
            <v>FLOREZ CONDORI  JOSE WILLIANS</v>
          </cell>
        </row>
        <row r="3881">
          <cell r="A3881">
            <v>3873</v>
          </cell>
          <cell r="B3881">
            <v>42742</v>
          </cell>
          <cell r="C3881" t="str">
            <v>ENERO</v>
          </cell>
          <cell r="D3881" t="str">
            <v>2017</v>
          </cell>
          <cell r="E3881">
            <v>732</v>
          </cell>
          <cell r="F3881" t="str">
            <v>AKW-731</v>
          </cell>
          <cell r="G3881" t="str">
            <v>TCR-989</v>
          </cell>
          <cell r="H3881" t="str">
            <v>LAS BAMBAS CONC.</v>
          </cell>
          <cell r="I3881">
            <v>30052</v>
          </cell>
          <cell r="J3881" t="str">
            <v>REPUESTO</v>
          </cell>
          <cell r="K3881" t="str">
            <v>FILTRO PRIMARIO DE COMBUSTIBLE</v>
          </cell>
          <cell r="L3881">
            <v>1</v>
          </cell>
          <cell r="M3881" t="str">
            <v>UNID.</v>
          </cell>
          <cell r="N3881" t="str">
            <v>TRACTO</v>
          </cell>
          <cell r="O3881">
            <v>48</v>
          </cell>
          <cell r="P3881" t="str">
            <v>M4</v>
          </cell>
          <cell r="Q3881" t="str">
            <v>J1</v>
          </cell>
          <cell r="R3881" t="str">
            <v>J6</v>
          </cell>
          <cell r="S3881" t="str">
            <v>PENDIENTE</v>
          </cell>
          <cell r="T3881">
            <v>0</v>
          </cell>
          <cell r="U3881" t="str">
            <v>JULLIRI APAZA UBALDO</v>
          </cell>
          <cell r="V3881" t="str">
            <v>FLOREZ CONDORI  JOSE WILLIANS</v>
          </cell>
        </row>
        <row r="3882">
          <cell r="A3882">
            <v>3887</v>
          </cell>
          <cell r="B3882">
            <v>42742</v>
          </cell>
          <cell r="C3882" t="str">
            <v>ENERO</v>
          </cell>
          <cell r="D3882" t="str">
            <v>2017</v>
          </cell>
          <cell r="E3882">
            <v>774</v>
          </cell>
          <cell r="F3882" t="str">
            <v>AKW-894</v>
          </cell>
          <cell r="G3882" t="str">
            <v>TBN-978</v>
          </cell>
          <cell r="H3882" t="str">
            <v>LAS BAMBAS</v>
          </cell>
          <cell r="I3882">
            <v>44354</v>
          </cell>
          <cell r="J3882" t="str">
            <v>REPUESTO</v>
          </cell>
          <cell r="K3882" t="str">
            <v>LIQUIDO REFRIGERANTE</v>
          </cell>
          <cell r="L3882">
            <v>0.5</v>
          </cell>
          <cell r="M3882" t="str">
            <v>GLNS.</v>
          </cell>
          <cell r="N3882" t="str">
            <v>TRACTO</v>
          </cell>
          <cell r="O3882">
            <v>48</v>
          </cell>
          <cell r="P3882" t="str">
            <v>M4</v>
          </cell>
          <cell r="Q3882" t="str">
            <v>J1</v>
          </cell>
          <cell r="R3882" t="str">
            <v>J6</v>
          </cell>
          <cell r="S3882" t="str">
            <v>PENDIENTE</v>
          </cell>
          <cell r="T3882">
            <v>0</v>
          </cell>
          <cell r="U3882" t="str">
            <v>JULLIRI APAZA UBALDO</v>
          </cell>
          <cell r="V3882" t="str">
            <v>FLOREZ CONDORI  JOSE WILLIANS</v>
          </cell>
        </row>
        <row r="3883">
          <cell r="A3883">
            <v>3888</v>
          </cell>
          <cell r="B3883">
            <v>42742</v>
          </cell>
          <cell r="C3883" t="str">
            <v>ENERO</v>
          </cell>
          <cell r="D3883" t="str">
            <v>2017</v>
          </cell>
          <cell r="E3883">
            <v>774</v>
          </cell>
          <cell r="F3883" t="str">
            <v>AKW-894</v>
          </cell>
          <cell r="G3883" t="str">
            <v>TBN-978</v>
          </cell>
          <cell r="H3883" t="str">
            <v>LAS BAMBAS</v>
          </cell>
          <cell r="I3883">
            <v>44354</v>
          </cell>
          <cell r="J3883" t="str">
            <v>REPUESTO</v>
          </cell>
          <cell r="K3883" t="str">
            <v>ABRAZADERAS CON SUNCHO DE 3 1/2</v>
          </cell>
          <cell r="L3883">
            <v>2</v>
          </cell>
          <cell r="M3883" t="str">
            <v>UNID.</v>
          </cell>
          <cell r="N3883" t="str">
            <v>TRACTO</v>
          </cell>
          <cell r="O3883">
            <v>48</v>
          </cell>
          <cell r="P3883" t="str">
            <v>M4</v>
          </cell>
          <cell r="Q3883" t="str">
            <v>J1</v>
          </cell>
          <cell r="R3883" t="str">
            <v>J6</v>
          </cell>
          <cell r="S3883" t="str">
            <v>PENDIENTE</v>
          </cell>
          <cell r="T3883">
            <v>0</v>
          </cell>
          <cell r="U3883" t="str">
            <v>JULLIRI APAZA UBALDO</v>
          </cell>
          <cell r="V3883" t="str">
            <v>FLOREZ CONDORI  JOSE WILLIANS</v>
          </cell>
        </row>
        <row r="3884">
          <cell r="A3884">
            <v>3889</v>
          </cell>
          <cell r="B3884">
            <v>42742</v>
          </cell>
          <cell r="C3884" t="str">
            <v>ENERO</v>
          </cell>
          <cell r="D3884" t="str">
            <v>2017</v>
          </cell>
          <cell r="E3884">
            <v>774</v>
          </cell>
          <cell r="F3884" t="str">
            <v>AKW-894</v>
          </cell>
          <cell r="G3884" t="str">
            <v>TBN-978</v>
          </cell>
          <cell r="H3884" t="str">
            <v>LAS BAMBAS</v>
          </cell>
          <cell r="I3884">
            <v>44354</v>
          </cell>
          <cell r="J3884" t="str">
            <v>REPUESTO</v>
          </cell>
          <cell r="K3884" t="str">
            <v>LIQUIDO LIMPIAPARABRISAS</v>
          </cell>
          <cell r="L3884">
            <v>0.5</v>
          </cell>
          <cell r="M3884" t="str">
            <v>GLNS.</v>
          </cell>
          <cell r="N3884" t="str">
            <v>TRACTO</v>
          </cell>
          <cell r="O3884">
            <v>48</v>
          </cell>
          <cell r="P3884" t="str">
            <v>M4</v>
          </cell>
          <cell r="Q3884" t="str">
            <v>J1</v>
          </cell>
          <cell r="R3884" t="str">
            <v>J6</v>
          </cell>
          <cell r="S3884" t="str">
            <v>PENDIENTE</v>
          </cell>
          <cell r="T3884">
            <v>0</v>
          </cell>
          <cell r="U3884" t="str">
            <v>JULLIRI APAZA UBALDO</v>
          </cell>
          <cell r="V3884" t="str">
            <v>FLOREZ CONDORI  JOSE WILLIANS</v>
          </cell>
        </row>
        <row r="3885">
          <cell r="A3885">
            <v>3876</v>
          </cell>
          <cell r="B3885">
            <v>42742</v>
          </cell>
          <cell r="C3885" t="str">
            <v>ENERO</v>
          </cell>
          <cell r="D3885" t="str">
            <v>2017</v>
          </cell>
          <cell r="E3885">
            <v>771</v>
          </cell>
          <cell r="F3885" t="str">
            <v>D3O-742</v>
          </cell>
          <cell r="G3885" t="str">
            <v>B8L-971</v>
          </cell>
          <cell r="H3885" t="str">
            <v>LAS BAMBAS</v>
          </cell>
          <cell r="I3885">
            <v>189448</v>
          </cell>
          <cell r="J3885" t="str">
            <v>REPUESTO</v>
          </cell>
          <cell r="K3885" t="str">
            <v xml:space="preserve">FARO PIRATA </v>
          </cell>
          <cell r="L3885">
            <v>1</v>
          </cell>
          <cell r="M3885" t="str">
            <v>UNID.</v>
          </cell>
          <cell r="N3885" t="str">
            <v>CISTERNA</v>
          </cell>
          <cell r="O3885">
            <v>48</v>
          </cell>
          <cell r="P3885" t="str">
            <v>E2</v>
          </cell>
          <cell r="Q3885" t="str">
            <v>J1</v>
          </cell>
          <cell r="R3885" t="str">
            <v>J6</v>
          </cell>
          <cell r="S3885" t="str">
            <v>PENDIENTE</v>
          </cell>
          <cell r="T3885">
            <v>0</v>
          </cell>
          <cell r="U3885" t="str">
            <v>YUCA BELLIDO BORIS YERSY</v>
          </cell>
          <cell r="V3885" t="str">
            <v>FLOREZ CONDORI  JOSE WILLIANS</v>
          </cell>
        </row>
        <row r="3886">
          <cell r="A3886">
            <v>3881</v>
          </cell>
          <cell r="B3886">
            <v>42742</v>
          </cell>
          <cell r="C3886" t="str">
            <v>ENERO</v>
          </cell>
          <cell r="D3886" t="str">
            <v>2017</v>
          </cell>
          <cell r="E3886">
            <v>771</v>
          </cell>
          <cell r="F3886" t="str">
            <v>D3O-742</v>
          </cell>
          <cell r="G3886" t="str">
            <v>B8L-971</v>
          </cell>
          <cell r="H3886" t="str">
            <v>LAS BAMBAS</v>
          </cell>
          <cell r="I3886">
            <v>189448</v>
          </cell>
          <cell r="J3886" t="str">
            <v>REPUESTO</v>
          </cell>
          <cell r="K3886" t="str">
            <v xml:space="preserve">FARO PIRATA </v>
          </cell>
          <cell r="L3886">
            <v>1</v>
          </cell>
          <cell r="M3886" t="str">
            <v>UNID.</v>
          </cell>
          <cell r="N3886" t="str">
            <v>CISTERNA</v>
          </cell>
          <cell r="O3886">
            <v>48</v>
          </cell>
          <cell r="P3886" t="str">
            <v>E3</v>
          </cell>
          <cell r="Q3886" t="str">
            <v>J1</v>
          </cell>
          <cell r="R3886" t="str">
            <v>J6</v>
          </cell>
          <cell r="S3886" t="str">
            <v>ENTREGADO</v>
          </cell>
          <cell r="T3886">
            <v>0</v>
          </cell>
          <cell r="U3886" t="str">
            <v>CONDORI CHURATA ALEX</v>
          </cell>
          <cell r="V3886" t="str">
            <v>FLOREZ CONDORI  JOSE WILLIANS</v>
          </cell>
        </row>
        <row r="3887">
          <cell r="A3887">
            <v>3896</v>
          </cell>
          <cell r="B3887">
            <v>42742</v>
          </cell>
          <cell r="C3887" t="str">
            <v>ENERO</v>
          </cell>
          <cell r="D3887" t="str">
            <v>2017</v>
          </cell>
          <cell r="E3887">
            <v>771</v>
          </cell>
          <cell r="F3887" t="str">
            <v>D3O-742</v>
          </cell>
          <cell r="G3887" t="str">
            <v>B8L-971</v>
          </cell>
          <cell r="H3887" t="str">
            <v>LAS BAMBAS</v>
          </cell>
          <cell r="I3887">
            <v>189448</v>
          </cell>
          <cell r="J3887" t="str">
            <v>REPUESTO</v>
          </cell>
          <cell r="K3887" t="str">
            <v>SPRAY COLOR BLANCO</v>
          </cell>
          <cell r="L3887">
            <v>1</v>
          </cell>
          <cell r="M3887" t="str">
            <v>UNID.</v>
          </cell>
          <cell r="N3887" t="str">
            <v>CISTERNA</v>
          </cell>
          <cell r="O3887">
            <v>48</v>
          </cell>
          <cell r="P3887" t="str">
            <v>S2</v>
          </cell>
          <cell r="Q3887" t="str">
            <v>J1</v>
          </cell>
          <cell r="R3887" t="str">
            <v>J6</v>
          </cell>
          <cell r="S3887" t="str">
            <v>PENDIENTE</v>
          </cell>
          <cell r="T3887">
            <v>0</v>
          </cell>
          <cell r="U3887" t="str">
            <v>PALOMINO ESTRADA  MICHEL</v>
          </cell>
          <cell r="V3887" t="str">
            <v>FLOREZ CONDORI  JOSE WILLIANS</v>
          </cell>
        </row>
        <row r="3888">
          <cell r="A3888">
            <v>3879</v>
          </cell>
          <cell r="B3888">
            <v>42742</v>
          </cell>
          <cell r="C3888" t="str">
            <v>ENERO</v>
          </cell>
          <cell r="D3888" t="str">
            <v>2017</v>
          </cell>
          <cell r="E3888">
            <v>761</v>
          </cell>
          <cell r="F3888" t="str">
            <v>D3P-730</v>
          </cell>
          <cell r="G3888" t="str">
            <v>TBM-980</v>
          </cell>
          <cell r="H3888" t="str">
            <v>LAS BAMBAS</v>
          </cell>
          <cell r="I3888">
            <v>109127</v>
          </cell>
          <cell r="J3888" t="str">
            <v>REPUESTO</v>
          </cell>
          <cell r="K3888" t="str">
            <v>TAPA RECUPERADORA DE VAPORES</v>
          </cell>
          <cell r="L3888">
            <v>1</v>
          </cell>
          <cell r="M3888" t="str">
            <v>UNID.</v>
          </cell>
          <cell r="N3888" t="str">
            <v>CISTERNA</v>
          </cell>
          <cell r="O3888">
            <v>48</v>
          </cell>
          <cell r="P3888" t="str">
            <v>J1</v>
          </cell>
          <cell r="Q3888" t="str">
            <v>J1</v>
          </cell>
          <cell r="R3888" t="str">
            <v>J6</v>
          </cell>
          <cell r="S3888" t="str">
            <v>ENTREGADO</v>
          </cell>
          <cell r="T3888">
            <v>0</v>
          </cell>
          <cell r="U3888" t="str">
            <v>FLOREZ CONDORI  JOSE WILLIANS</v>
          </cell>
          <cell r="V3888" t="str">
            <v>FLOREZ CONDORI  JOSE WILLIANS</v>
          </cell>
        </row>
        <row r="3889">
          <cell r="A3889">
            <v>3885</v>
          </cell>
          <cell r="B3889">
            <v>42742</v>
          </cell>
          <cell r="C3889" t="str">
            <v>ENERO</v>
          </cell>
          <cell r="D3889" t="str">
            <v>2017</v>
          </cell>
          <cell r="E3889">
            <v>761</v>
          </cell>
          <cell r="F3889" t="str">
            <v>D3P-730</v>
          </cell>
          <cell r="G3889" t="str">
            <v>TBM-980</v>
          </cell>
          <cell r="H3889" t="str">
            <v>LAS BAMBAS</v>
          </cell>
          <cell r="I3889">
            <v>109127</v>
          </cell>
          <cell r="J3889" t="str">
            <v>REPUESTO</v>
          </cell>
          <cell r="K3889" t="str">
            <v>CADENA PARA LA TAPA RECUPERADORA DE VAPORES</v>
          </cell>
          <cell r="L3889">
            <v>0.25</v>
          </cell>
          <cell r="M3889" t="str">
            <v>M</v>
          </cell>
          <cell r="N3889" t="str">
            <v>CISTERNA</v>
          </cell>
          <cell r="O3889">
            <v>48</v>
          </cell>
          <cell r="P3889" t="str">
            <v>S1</v>
          </cell>
          <cell r="Q3889" t="str">
            <v>J1</v>
          </cell>
          <cell r="R3889" t="str">
            <v>J6</v>
          </cell>
          <cell r="S3889" t="str">
            <v>ENTREGADO</v>
          </cell>
          <cell r="T3889">
            <v>0</v>
          </cell>
          <cell r="U3889" t="str">
            <v>BAYONA CRUZ CRISTIAN ARMANDO</v>
          </cell>
          <cell r="V3889" t="str">
            <v>FLOREZ CONDORI  JOSE WILLIANS</v>
          </cell>
        </row>
        <row r="3890">
          <cell r="A3890">
            <v>3892</v>
          </cell>
          <cell r="B3890">
            <v>42742</v>
          </cell>
          <cell r="C3890" t="str">
            <v>ENERO</v>
          </cell>
          <cell r="D3890" t="str">
            <v>2017</v>
          </cell>
          <cell r="E3890">
            <v>773</v>
          </cell>
          <cell r="F3890" t="str">
            <v>D3P-744</v>
          </cell>
          <cell r="G3890" t="str">
            <v>A0F-996</v>
          </cell>
          <cell r="H3890" t="str">
            <v>LAS BAMBAS</v>
          </cell>
          <cell r="I3890">
            <v>158388</v>
          </cell>
          <cell r="J3890" t="str">
            <v>REPUESTO</v>
          </cell>
          <cell r="K3890" t="str">
            <v>SPRAY COLOR VERDE</v>
          </cell>
          <cell r="L3890">
            <v>1</v>
          </cell>
          <cell r="M3890" t="str">
            <v>UNID.</v>
          </cell>
          <cell r="N3890" t="str">
            <v>TALLER</v>
          </cell>
          <cell r="O3890">
            <v>48</v>
          </cell>
          <cell r="P3890" t="str">
            <v>J7</v>
          </cell>
          <cell r="Q3890" t="str">
            <v>J7</v>
          </cell>
          <cell r="R3890" t="str">
            <v>J6</v>
          </cell>
          <cell r="S3890" t="str">
            <v>PENDIENTE</v>
          </cell>
          <cell r="T3890">
            <v>0</v>
          </cell>
          <cell r="U3890" t="str">
            <v>DONAYRE INGA PEDRO</v>
          </cell>
          <cell r="V3890" t="str">
            <v>DONAYRE INGA PEDRO</v>
          </cell>
        </row>
        <row r="3891">
          <cell r="A3891">
            <v>3893</v>
          </cell>
          <cell r="B3891">
            <v>42742</v>
          </cell>
          <cell r="C3891" t="str">
            <v>ENERO</v>
          </cell>
          <cell r="D3891" t="str">
            <v>2017</v>
          </cell>
          <cell r="E3891">
            <v>773</v>
          </cell>
          <cell r="F3891" t="str">
            <v>D3P-744</v>
          </cell>
          <cell r="G3891" t="str">
            <v>A0F-996</v>
          </cell>
          <cell r="H3891" t="str">
            <v>LAS BAMBAS</v>
          </cell>
          <cell r="I3891">
            <v>158388</v>
          </cell>
          <cell r="J3891" t="str">
            <v>REPUESTO</v>
          </cell>
          <cell r="K3891" t="str">
            <v>SPARY COLOR BLANCO</v>
          </cell>
          <cell r="L3891">
            <v>1</v>
          </cell>
          <cell r="M3891" t="str">
            <v>UNID.</v>
          </cell>
          <cell r="N3891" t="str">
            <v>TALLER</v>
          </cell>
          <cell r="O3891">
            <v>48</v>
          </cell>
          <cell r="P3891" t="str">
            <v>J7</v>
          </cell>
          <cell r="Q3891" t="str">
            <v>J7</v>
          </cell>
          <cell r="R3891" t="str">
            <v>J6</v>
          </cell>
          <cell r="S3891" t="str">
            <v>PENDIENTE</v>
          </cell>
          <cell r="T3891">
            <v>0</v>
          </cell>
          <cell r="U3891" t="str">
            <v>DONAYRE INGA PEDRO</v>
          </cell>
          <cell r="V3891" t="str">
            <v>DONAYRE INGA PEDRO</v>
          </cell>
        </row>
        <row r="3892">
          <cell r="A3892">
            <v>3880</v>
          </cell>
          <cell r="B3892">
            <v>42742</v>
          </cell>
          <cell r="C3892" t="str">
            <v>ENERO</v>
          </cell>
          <cell r="D3892" t="str">
            <v>2017</v>
          </cell>
          <cell r="E3892">
            <v>666</v>
          </cell>
          <cell r="F3892" t="str">
            <v>D3S-725</v>
          </cell>
          <cell r="G3892" t="str">
            <v>TBL-977</v>
          </cell>
          <cell r="H3892" t="str">
            <v>LAS BAMBAS</v>
          </cell>
          <cell r="I3892">
            <v>150007</v>
          </cell>
          <cell r="J3892" t="str">
            <v>REPUESTO</v>
          </cell>
          <cell r="K3892" t="str">
            <v>TAPA RECUPERADORA DE VAPORES</v>
          </cell>
          <cell r="L3892">
            <v>1</v>
          </cell>
          <cell r="M3892" t="str">
            <v>UNID.</v>
          </cell>
          <cell r="N3892" t="str">
            <v>CISTERNA</v>
          </cell>
          <cell r="O3892">
            <v>48</v>
          </cell>
          <cell r="P3892" t="str">
            <v>J1</v>
          </cell>
          <cell r="Q3892" t="str">
            <v>J1</v>
          </cell>
          <cell r="R3892" t="str">
            <v>J6</v>
          </cell>
          <cell r="S3892" t="str">
            <v>ENTREGADO</v>
          </cell>
          <cell r="T3892">
            <v>0</v>
          </cell>
          <cell r="U3892" t="str">
            <v>FLOREZ CONDORI  JOSE WILLIANS</v>
          </cell>
          <cell r="V3892" t="str">
            <v>FLOREZ CONDORI  JOSE WILLIANS</v>
          </cell>
        </row>
        <row r="3893">
          <cell r="A3893">
            <v>3886</v>
          </cell>
          <cell r="B3893">
            <v>42742</v>
          </cell>
          <cell r="C3893" t="str">
            <v>ENERO</v>
          </cell>
          <cell r="D3893" t="str">
            <v>2017</v>
          </cell>
          <cell r="E3893">
            <v>666</v>
          </cell>
          <cell r="F3893" t="str">
            <v>D3S-725</v>
          </cell>
          <cell r="G3893" t="str">
            <v>TBL-977</v>
          </cell>
          <cell r="H3893" t="str">
            <v>LAS BAMBAS</v>
          </cell>
          <cell r="I3893">
            <v>150007</v>
          </cell>
          <cell r="J3893" t="str">
            <v>REPUESTO</v>
          </cell>
          <cell r="K3893" t="str">
            <v>CADENA PARA LA TAPA RECUPERADORA DE VAPORES</v>
          </cell>
          <cell r="L3893">
            <v>0.25</v>
          </cell>
          <cell r="M3893" t="str">
            <v>M</v>
          </cell>
          <cell r="N3893" t="str">
            <v>CISTERNA</v>
          </cell>
          <cell r="O3893">
            <v>48</v>
          </cell>
          <cell r="P3893" t="str">
            <v>S1</v>
          </cell>
          <cell r="Q3893" t="str">
            <v>J1</v>
          </cell>
          <cell r="R3893" t="str">
            <v>J6</v>
          </cell>
          <cell r="S3893" t="str">
            <v>ENTREGADO</v>
          </cell>
          <cell r="T3893">
            <v>0</v>
          </cell>
          <cell r="U3893" t="str">
            <v>BAYONA CRUZ CRISTIAN ARMANDO</v>
          </cell>
          <cell r="V3893" t="str">
            <v>FLOREZ CONDORI  JOSE WILLIANS</v>
          </cell>
        </row>
        <row r="3894">
          <cell r="A3894">
            <v>3894</v>
          </cell>
          <cell r="B3894">
            <v>42742</v>
          </cell>
          <cell r="C3894" t="str">
            <v>ENERO</v>
          </cell>
          <cell r="D3894" t="str">
            <v>2017</v>
          </cell>
          <cell r="E3894">
            <v>666</v>
          </cell>
          <cell r="F3894" t="str">
            <v>D3S-725</v>
          </cell>
          <cell r="G3894" t="str">
            <v>TBL-977</v>
          </cell>
          <cell r="H3894" t="str">
            <v>LAS BAMBAS</v>
          </cell>
          <cell r="I3894">
            <v>150007</v>
          </cell>
          <cell r="J3894" t="str">
            <v>REPUESTO</v>
          </cell>
          <cell r="K3894" t="str">
            <v>STICKER "9300 GALONES"</v>
          </cell>
          <cell r="L3894">
            <v>1</v>
          </cell>
          <cell r="M3894" t="str">
            <v>UNID.</v>
          </cell>
          <cell r="N3894" t="str">
            <v>CISTERNA</v>
          </cell>
          <cell r="O3894">
            <v>48</v>
          </cell>
          <cell r="P3894" t="str">
            <v>J7</v>
          </cell>
          <cell r="Q3894" t="str">
            <v>J7</v>
          </cell>
          <cell r="R3894" t="str">
            <v>J6</v>
          </cell>
          <cell r="S3894" t="str">
            <v>PENDIENTE</v>
          </cell>
          <cell r="T3894">
            <v>0</v>
          </cell>
          <cell r="U3894" t="str">
            <v>DONAYRE INGA PEDRO</v>
          </cell>
          <cell r="V3894" t="str">
            <v>DONAYRE INGA PEDRO</v>
          </cell>
        </row>
        <row r="3895">
          <cell r="A3895">
            <v>3870</v>
          </cell>
          <cell r="B3895">
            <v>42742</v>
          </cell>
          <cell r="C3895" t="str">
            <v>ENERO</v>
          </cell>
          <cell r="D3895" t="str">
            <v>2017</v>
          </cell>
          <cell r="E3895">
            <v>769</v>
          </cell>
          <cell r="F3895" t="str">
            <v>D3S-764</v>
          </cell>
          <cell r="G3895" t="str">
            <v>TBL-998</v>
          </cell>
          <cell r="H3895" t="str">
            <v>LAS BAMBAS</v>
          </cell>
          <cell r="I3895">
            <v>124549</v>
          </cell>
          <cell r="J3895" t="str">
            <v>SERVICIO</v>
          </cell>
          <cell r="K3895" t="str">
            <v>SERVICIO DE REPARACION DE CHAPA</v>
          </cell>
          <cell r="L3895">
            <v>1</v>
          </cell>
          <cell r="M3895" t="str">
            <v>UNID.</v>
          </cell>
          <cell r="N3895" t="str">
            <v>TRACTO</v>
          </cell>
          <cell r="O3895">
            <v>48</v>
          </cell>
          <cell r="P3895" t="str">
            <v>J1</v>
          </cell>
          <cell r="Q3895" t="str">
            <v>J1</v>
          </cell>
          <cell r="R3895" t="str">
            <v>J6</v>
          </cell>
          <cell r="S3895" t="str">
            <v>PENDIENTE</v>
          </cell>
          <cell r="T3895">
            <v>0</v>
          </cell>
          <cell r="U3895" t="str">
            <v>FLOREZ CONDORI  JOSE WILLIANS</v>
          </cell>
          <cell r="V3895" t="str">
            <v>FLOREZ CONDORI  JOSE WILLIANS</v>
          </cell>
        </row>
        <row r="3896">
          <cell r="A3896">
            <v>3871</v>
          </cell>
          <cell r="B3896">
            <v>42742</v>
          </cell>
          <cell r="C3896" t="str">
            <v>ENERO</v>
          </cell>
          <cell r="D3896" t="str">
            <v>2017</v>
          </cell>
          <cell r="E3896">
            <v>769</v>
          </cell>
          <cell r="F3896" t="str">
            <v>D3S-764</v>
          </cell>
          <cell r="G3896" t="str">
            <v>TBL-998</v>
          </cell>
          <cell r="H3896" t="str">
            <v>LAS BAMBAS</v>
          </cell>
          <cell r="I3896">
            <v>124549</v>
          </cell>
          <cell r="J3896" t="str">
            <v>REPUESTO</v>
          </cell>
          <cell r="K3896" t="str">
            <v>SUNCHO DE SECADOR DE AIRE</v>
          </cell>
          <cell r="L3896">
            <v>1</v>
          </cell>
          <cell r="M3896" t="str">
            <v>UNID.</v>
          </cell>
          <cell r="N3896" t="str">
            <v>TRACTO</v>
          </cell>
          <cell r="O3896">
            <v>48</v>
          </cell>
          <cell r="P3896" t="str">
            <v>M6</v>
          </cell>
          <cell r="Q3896" t="str">
            <v>J1</v>
          </cell>
          <cell r="R3896" t="str">
            <v>J6</v>
          </cell>
          <cell r="S3896" t="str">
            <v>PENDIENTE</v>
          </cell>
          <cell r="T3896">
            <v>0</v>
          </cell>
          <cell r="U3896" t="str">
            <v>PARI VENTURA  EDSON ORLANDO</v>
          </cell>
          <cell r="V3896" t="str">
            <v>FLOREZ CONDORI  JOSE WILLIANS</v>
          </cell>
        </row>
        <row r="3897">
          <cell r="A3897">
            <v>3877</v>
          </cell>
          <cell r="B3897">
            <v>42742</v>
          </cell>
          <cell r="C3897" t="str">
            <v>ENERO</v>
          </cell>
          <cell r="D3897" t="str">
            <v>2017</v>
          </cell>
          <cell r="E3897">
            <v>769</v>
          </cell>
          <cell r="F3897" t="str">
            <v>D3S-764</v>
          </cell>
          <cell r="G3897" t="str">
            <v>TBL-998</v>
          </cell>
          <cell r="H3897" t="str">
            <v>LAS BAMBAS</v>
          </cell>
          <cell r="I3897">
            <v>124549</v>
          </cell>
          <cell r="J3897" t="str">
            <v>REPUESTO</v>
          </cell>
          <cell r="K3897" t="str">
            <v>LLANTAS</v>
          </cell>
          <cell r="L3897">
            <v>4</v>
          </cell>
          <cell r="M3897" t="str">
            <v>UNID.</v>
          </cell>
          <cell r="N3897" t="str">
            <v>TRACTO</v>
          </cell>
          <cell r="O3897">
            <v>48</v>
          </cell>
          <cell r="P3897" t="str">
            <v>N2</v>
          </cell>
          <cell r="Q3897" t="str">
            <v>J1</v>
          </cell>
          <cell r="R3897" t="str">
            <v>J6</v>
          </cell>
          <cell r="S3897" t="str">
            <v>PENDIENTE</v>
          </cell>
          <cell r="T3897">
            <v>0</v>
          </cell>
          <cell r="U3897" t="str">
            <v>MAMANI LARICO  EDUARDO ALVARO</v>
          </cell>
          <cell r="V3897" t="str">
            <v>FLOREZ CONDORI  JOSE WILLIANS</v>
          </cell>
        </row>
        <row r="3898">
          <cell r="A3898">
            <v>3890</v>
          </cell>
          <cell r="B3898">
            <v>42742</v>
          </cell>
          <cell r="C3898" t="str">
            <v>ENERO</v>
          </cell>
          <cell r="D3898" t="str">
            <v>2017</v>
          </cell>
          <cell r="E3898">
            <v>769</v>
          </cell>
          <cell r="F3898" t="str">
            <v>D3S-764</v>
          </cell>
          <cell r="G3898" t="str">
            <v>TBL-998</v>
          </cell>
          <cell r="H3898" t="str">
            <v>LAS BAMBAS</v>
          </cell>
          <cell r="I3898">
            <v>124549</v>
          </cell>
          <cell r="J3898" t="str">
            <v>REPUESTO</v>
          </cell>
          <cell r="K3898" t="str">
            <v>CIRCULINA</v>
          </cell>
          <cell r="L3898">
            <v>1</v>
          </cell>
          <cell r="M3898" t="str">
            <v>UNID.</v>
          </cell>
          <cell r="N3898" t="str">
            <v>TRACTO</v>
          </cell>
          <cell r="O3898">
            <v>48</v>
          </cell>
          <cell r="P3898" t="str">
            <v>E3</v>
          </cell>
          <cell r="Q3898" t="str">
            <v>J1</v>
          </cell>
          <cell r="R3898" t="str">
            <v>J6</v>
          </cell>
          <cell r="S3898" t="str">
            <v>PENDIENTE</v>
          </cell>
          <cell r="T3898">
            <v>0</v>
          </cell>
          <cell r="U3898" t="str">
            <v>CONDORI CHURATA ALEX</v>
          </cell>
          <cell r="V3898" t="str">
            <v>FLOREZ CONDORI  JOSE WILLIANS</v>
          </cell>
        </row>
        <row r="3899">
          <cell r="A3899">
            <v>3878</v>
          </cell>
          <cell r="B3899">
            <v>42742</v>
          </cell>
          <cell r="C3899" t="str">
            <v>ENERO</v>
          </cell>
          <cell r="D3899" t="str">
            <v>2017</v>
          </cell>
          <cell r="E3899">
            <v>768</v>
          </cell>
          <cell r="F3899" t="str">
            <v>D4X-872</v>
          </cell>
          <cell r="G3899" t="str">
            <v>B4P-976</v>
          </cell>
          <cell r="H3899" t="str">
            <v>LAS BAMBAS</v>
          </cell>
          <cell r="I3899">
            <v>187246</v>
          </cell>
          <cell r="J3899" t="str">
            <v>REPUESTO</v>
          </cell>
          <cell r="K3899" t="str">
            <v>TECLA PULSADORA DE 2 TIEMPOS</v>
          </cell>
          <cell r="L3899">
            <v>1</v>
          </cell>
          <cell r="M3899" t="str">
            <v>UNID.</v>
          </cell>
          <cell r="N3899" t="str">
            <v>TRACTO</v>
          </cell>
          <cell r="O3899">
            <v>48</v>
          </cell>
          <cell r="P3899" t="str">
            <v>E2</v>
          </cell>
          <cell r="Q3899" t="str">
            <v>J1</v>
          </cell>
          <cell r="R3899" t="str">
            <v>J6</v>
          </cell>
          <cell r="S3899" t="str">
            <v>PENDIENTE</v>
          </cell>
          <cell r="T3899">
            <v>0</v>
          </cell>
          <cell r="U3899" t="str">
            <v>YUCA BELLIDO BORIS YERSY</v>
          </cell>
          <cell r="V3899" t="str">
            <v>FLOREZ CONDORI  JOSE WILLIANS</v>
          </cell>
        </row>
        <row r="3900">
          <cell r="A3900">
            <v>3883</v>
          </cell>
          <cell r="B3900">
            <v>42742</v>
          </cell>
          <cell r="C3900" t="str">
            <v>ENERO</v>
          </cell>
          <cell r="D3900" t="str">
            <v>2017</v>
          </cell>
          <cell r="E3900">
            <v>766</v>
          </cell>
          <cell r="F3900" t="str">
            <v>D6G-806</v>
          </cell>
          <cell r="G3900" t="str">
            <v>B8K-998</v>
          </cell>
          <cell r="H3900" t="str">
            <v>LAS BAMBAS</v>
          </cell>
          <cell r="I3900">
            <v>222283</v>
          </cell>
          <cell r="J3900" t="str">
            <v>REPUESTO</v>
          </cell>
          <cell r="K3900" t="str">
            <v>FARO LATERAL RECTANGULAR AMBAR</v>
          </cell>
          <cell r="L3900">
            <v>1</v>
          </cell>
          <cell r="M3900" t="str">
            <v>UNID.</v>
          </cell>
          <cell r="N3900" t="str">
            <v>CISTERNA</v>
          </cell>
          <cell r="O3900">
            <v>48</v>
          </cell>
          <cell r="P3900" t="str">
            <v>E3</v>
          </cell>
          <cell r="Q3900" t="str">
            <v>J1</v>
          </cell>
          <cell r="R3900" t="str">
            <v>J6</v>
          </cell>
          <cell r="S3900" t="str">
            <v>ENTREGADO</v>
          </cell>
          <cell r="T3900">
            <v>0</v>
          </cell>
          <cell r="U3900" t="str">
            <v>CONDORI CHURATA ALEX</v>
          </cell>
          <cell r="V3900" t="str">
            <v>FLOREZ CONDORI  JOSE WILLIANS</v>
          </cell>
        </row>
        <row r="3901">
          <cell r="A3901">
            <v>3912</v>
          </cell>
          <cell r="B3901">
            <v>42743</v>
          </cell>
          <cell r="C3901" t="str">
            <v>ENERO</v>
          </cell>
          <cell r="D3901" t="str">
            <v>2017</v>
          </cell>
          <cell r="E3901">
            <v>702</v>
          </cell>
          <cell r="F3901" t="str">
            <v>A9H-889</v>
          </cell>
          <cell r="G3901" t="str">
            <v>CAMION</v>
          </cell>
          <cell r="H3901" t="str">
            <v>TAMBOMAYO</v>
          </cell>
          <cell r="I3901">
            <v>127053</v>
          </cell>
          <cell r="J3901" t="str">
            <v>REPUESTO</v>
          </cell>
          <cell r="K3901" t="str">
            <v>TURBO</v>
          </cell>
          <cell r="L3901">
            <v>1</v>
          </cell>
          <cell r="M3901" t="str">
            <v>UNID.</v>
          </cell>
          <cell r="N3901" t="str">
            <v>CAMION</v>
          </cell>
          <cell r="O3901">
            <v>47</v>
          </cell>
          <cell r="P3901" t="str">
            <v>M5</v>
          </cell>
          <cell r="Q3901" t="str">
            <v>J1</v>
          </cell>
          <cell r="R3901" t="str">
            <v>J1</v>
          </cell>
          <cell r="S3901" t="str">
            <v>PENDIENTE</v>
          </cell>
          <cell r="T3901">
            <v>0</v>
          </cell>
          <cell r="U3901" t="str">
            <v>LOPEZ RUIZ WILBERTO</v>
          </cell>
          <cell r="V3901" t="str">
            <v>FLOREZ CONDORI  JOSE WILLIANS</v>
          </cell>
        </row>
        <row r="3902">
          <cell r="A3902">
            <v>3906</v>
          </cell>
          <cell r="B3902">
            <v>42743</v>
          </cell>
          <cell r="C3902" t="str">
            <v>ENERO</v>
          </cell>
          <cell r="D3902" t="str">
            <v>2017</v>
          </cell>
          <cell r="E3902">
            <v>770</v>
          </cell>
          <cell r="F3902" t="str">
            <v>D6F-907</v>
          </cell>
          <cell r="G3902" t="str">
            <v>T2Y-979</v>
          </cell>
          <cell r="H3902" t="str">
            <v>LAS BAMBAS</v>
          </cell>
          <cell r="I3902">
            <v>203433</v>
          </cell>
          <cell r="J3902" t="str">
            <v>REPUESTO</v>
          </cell>
          <cell r="K3902" t="str">
            <v>FOCO LAGRIMON DOBLE CONTACTO</v>
          </cell>
          <cell r="L3902">
            <v>2</v>
          </cell>
          <cell r="M3902" t="str">
            <v>UNID.</v>
          </cell>
          <cell r="N3902" t="str">
            <v>TRACTO</v>
          </cell>
          <cell r="O3902">
            <v>47</v>
          </cell>
          <cell r="P3902" t="str">
            <v>E3</v>
          </cell>
          <cell r="Q3902" t="str">
            <v>J1</v>
          </cell>
          <cell r="R3902" t="str">
            <v>J1</v>
          </cell>
          <cell r="S3902" t="str">
            <v>ENTREGADO</v>
          </cell>
          <cell r="T3902">
            <v>0</v>
          </cell>
          <cell r="U3902" t="str">
            <v>CONDORI CHURATA ALEX</v>
          </cell>
          <cell r="V3902" t="str">
            <v>FLOREZ CONDORI  JOSE WILLIANS</v>
          </cell>
        </row>
        <row r="3903">
          <cell r="A3903">
            <v>3907</v>
          </cell>
          <cell r="B3903">
            <v>42743</v>
          </cell>
          <cell r="C3903" t="str">
            <v>ENERO</v>
          </cell>
          <cell r="D3903" t="str">
            <v>2017</v>
          </cell>
          <cell r="E3903">
            <v>770</v>
          </cell>
          <cell r="F3903" t="str">
            <v>D6F-907</v>
          </cell>
          <cell r="G3903" t="str">
            <v>T2Y-979</v>
          </cell>
          <cell r="H3903" t="str">
            <v>LAS BAMBAS</v>
          </cell>
          <cell r="I3903">
            <v>203433</v>
          </cell>
          <cell r="J3903" t="str">
            <v>REPUESTO</v>
          </cell>
          <cell r="K3903" t="str">
            <v>FOCO PILOTO DOBLE CONTACTO</v>
          </cell>
          <cell r="L3903">
            <v>2</v>
          </cell>
          <cell r="M3903" t="str">
            <v>UNID.</v>
          </cell>
          <cell r="N3903" t="str">
            <v>TRACTO</v>
          </cell>
          <cell r="O3903">
            <v>47</v>
          </cell>
          <cell r="P3903" t="str">
            <v>E3</v>
          </cell>
          <cell r="Q3903" t="str">
            <v>J1</v>
          </cell>
          <cell r="R3903" t="str">
            <v>J1</v>
          </cell>
          <cell r="S3903" t="str">
            <v>ENTREGADO</v>
          </cell>
          <cell r="T3903">
            <v>0</v>
          </cell>
          <cell r="U3903" t="str">
            <v>CONDORI CHURATA ALEX</v>
          </cell>
          <cell r="V3903" t="str">
            <v>FLOREZ CONDORI  JOSE WILLIANS</v>
          </cell>
        </row>
        <row r="3904">
          <cell r="A3904">
            <v>3913</v>
          </cell>
          <cell r="B3904">
            <v>42743</v>
          </cell>
          <cell r="C3904" t="str">
            <v>ENERO</v>
          </cell>
          <cell r="D3904" t="str">
            <v>2017</v>
          </cell>
          <cell r="E3904">
            <v>770</v>
          </cell>
          <cell r="F3904" t="str">
            <v>D6F-907</v>
          </cell>
          <cell r="G3904" t="str">
            <v>T2Y-979</v>
          </cell>
          <cell r="H3904" t="str">
            <v>LAS BAMBAS</v>
          </cell>
          <cell r="I3904">
            <v>203433</v>
          </cell>
          <cell r="J3904" t="str">
            <v>REPUESTO</v>
          </cell>
          <cell r="K3904" t="str">
            <v xml:space="preserve">FARO PIRATA </v>
          </cell>
          <cell r="L3904">
            <v>1</v>
          </cell>
          <cell r="M3904" t="str">
            <v>UNID.</v>
          </cell>
          <cell r="N3904" t="str">
            <v>TRACTO</v>
          </cell>
          <cell r="O3904">
            <v>47</v>
          </cell>
          <cell r="P3904" t="str">
            <v>E3</v>
          </cell>
          <cell r="Q3904" t="str">
            <v>J1</v>
          </cell>
          <cell r="R3904" t="str">
            <v>J1</v>
          </cell>
          <cell r="S3904" t="str">
            <v>ENTREGADO</v>
          </cell>
          <cell r="T3904">
            <v>0</v>
          </cell>
          <cell r="U3904" t="str">
            <v>CONDORI CHURATA ALEX</v>
          </cell>
          <cell r="V3904" t="str">
            <v>FLOREZ CONDORI  JOSE WILLIANS</v>
          </cell>
        </row>
        <row r="3905">
          <cell r="A3905">
            <v>3914</v>
          </cell>
          <cell r="B3905">
            <v>42743</v>
          </cell>
          <cell r="C3905" t="str">
            <v>ENERO</v>
          </cell>
          <cell r="D3905" t="str">
            <v>2017</v>
          </cell>
          <cell r="E3905">
            <v>770</v>
          </cell>
          <cell r="F3905" t="str">
            <v>D6F-907</v>
          </cell>
          <cell r="G3905" t="str">
            <v>T2Y-979</v>
          </cell>
          <cell r="H3905" t="str">
            <v>LAS BAMBAS</v>
          </cell>
          <cell r="I3905">
            <v>203433</v>
          </cell>
          <cell r="J3905" t="str">
            <v>REPUESTO</v>
          </cell>
          <cell r="K3905" t="str">
            <v>CABLE NRO. 14</v>
          </cell>
          <cell r="L3905">
            <v>3</v>
          </cell>
          <cell r="M3905" t="str">
            <v>M</v>
          </cell>
          <cell r="N3905" t="str">
            <v>TRACTO</v>
          </cell>
          <cell r="O3905">
            <v>47</v>
          </cell>
          <cell r="P3905" t="str">
            <v>E3</v>
          </cell>
          <cell r="Q3905" t="str">
            <v>J1</v>
          </cell>
          <cell r="R3905" t="str">
            <v>J1</v>
          </cell>
          <cell r="S3905" t="str">
            <v>ENTREGADO</v>
          </cell>
          <cell r="T3905">
            <v>0</v>
          </cell>
          <cell r="U3905" t="str">
            <v>CONDORI CHURATA ALEX</v>
          </cell>
          <cell r="V3905" t="str">
            <v>FLOREZ CONDORI  JOSE WILLIANS</v>
          </cell>
        </row>
        <row r="3906">
          <cell r="A3906">
            <v>3915</v>
          </cell>
          <cell r="B3906">
            <v>42743</v>
          </cell>
          <cell r="C3906" t="str">
            <v>ENERO</v>
          </cell>
          <cell r="D3906" t="str">
            <v>2017</v>
          </cell>
          <cell r="E3906">
            <v>770</v>
          </cell>
          <cell r="F3906" t="str">
            <v>D6F-907</v>
          </cell>
          <cell r="G3906" t="str">
            <v>T2Y-979</v>
          </cell>
          <cell r="H3906" t="str">
            <v>LAS BAMBAS</v>
          </cell>
          <cell r="I3906">
            <v>203433</v>
          </cell>
          <cell r="J3906" t="str">
            <v>REPUESTO</v>
          </cell>
          <cell r="K3906" t="str">
            <v>TUBO CORRUGADO 1/4</v>
          </cell>
          <cell r="L3906">
            <v>3</v>
          </cell>
          <cell r="M3906" t="str">
            <v>M</v>
          </cell>
          <cell r="N3906" t="str">
            <v>TRACTO</v>
          </cell>
          <cell r="O3906">
            <v>47</v>
          </cell>
          <cell r="P3906" t="str">
            <v>E3</v>
          </cell>
          <cell r="Q3906" t="str">
            <v>J1</v>
          </cell>
          <cell r="R3906" t="str">
            <v>J1</v>
          </cell>
          <cell r="S3906" t="str">
            <v>ENTREGADO</v>
          </cell>
          <cell r="T3906">
            <v>0</v>
          </cell>
          <cell r="U3906" t="str">
            <v>CONDORI CHURATA ALEX</v>
          </cell>
          <cell r="V3906" t="str">
            <v>FLOREZ CONDORI  JOSE WILLIANS</v>
          </cell>
        </row>
        <row r="3907">
          <cell r="A3907">
            <v>3916</v>
          </cell>
          <cell r="B3907">
            <v>42743</v>
          </cell>
          <cell r="C3907" t="str">
            <v>ENERO</v>
          </cell>
          <cell r="D3907" t="str">
            <v>2017</v>
          </cell>
          <cell r="E3907">
            <v>770</v>
          </cell>
          <cell r="F3907" t="str">
            <v>D6F-907</v>
          </cell>
          <cell r="G3907" t="str">
            <v>T2Y-979</v>
          </cell>
          <cell r="H3907" t="str">
            <v>LAS BAMBAS</v>
          </cell>
          <cell r="I3907">
            <v>203433</v>
          </cell>
          <cell r="J3907" t="str">
            <v>REPUESTO</v>
          </cell>
          <cell r="K3907" t="str">
            <v>FUSIBLE 15 A</v>
          </cell>
          <cell r="L3907">
            <v>2</v>
          </cell>
          <cell r="M3907" t="str">
            <v>UNID.</v>
          </cell>
          <cell r="N3907" t="str">
            <v>TRACTO</v>
          </cell>
          <cell r="O3907">
            <v>47</v>
          </cell>
          <cell r="P3907" t="str">
            <v>E3</v>
          </cell>
          <cell r="Q3907" t="str">
            <v>J1</v>
          </cell>
          <cell r="R3907" t="str">
            <v>J1</v>
          </cell>
          <cell r="S3907" t="str">
            <v>ENTREGADO</v>
          </cell>
          <cell r="T3907">
            <v>0</v>
          </cell>
          <cell r="U3907" t="str">
            <v>CONDORI CHURATA ALEX</v>
          </cell>
          <cell r="V3907" t="str">
            <v>FLOREZ CONDORI  JOSE WILLIANS</v>
          </cell>
        </row>
        <row r="3908">
          <cell r="A3908">
            <v>3917</v>
          </cell>
          <cell r="B3908">
            <v>42743</v>
          </cell>
          <cell r="C3908" t="str">
            <v>ENERO</v>
          </cell>
          <cell r="D3908" t="str">
            <v>2017</v>
          </cell>
          <cell r="E3908">
            <v>770</v>
          </cell>
          <cell r="F3908" t="str">
            <v>D6F-907</v>
          </cell>
          <cell r="G3908" t="str">
            <v>T2Y-979</v>
          </cell>
          <cell r="H3908" t="str">
            <v>LAS BAMBAS</v>
          </cell>
          <cell r="I3908">
            <v>203433</v>
          </cell>
          <cell r="J3908" t="str">
            <v>REPUESTO</v>
          </cell>
          <cell r="K3908" t="str">
            <v>INTERRUPTOR DE LUCES DE POSICION</v>
          </cell>
          <cell r="L3908">
            <v>1</v>
          </cell>
          <cell r="M3908" t="str">
            <v>UNID.</v>
          </cell>
          <cell r="N3908" t="str">
            <v>TRACTO</v>
          </cell>
          <cell r="O3908">
            <v>47</v>
          </cell>
          <cell r="P3908" t="str">
            <v>E3</v>
          </cell>
          <cell r="Q3908" t="str">
            <v>J1</v>
          </cell>
          <cell r="R3908" t="str">
            <v>J1</v>
          </cell>
          <cell r="S3908" t="str">
            <v>PENDIENTE</v>
          </cell>
          <cell r="T3908">
            <v>0</v>
          </cell>
          <cell r="U3908" t="str">
            <v>CONDORI CHURATA ALEX</v>
          </cell>
          <cell r="V3908" t="str">
            <v>FLOREZ CONDORI  JOSE WILLIANS</v>
          </cell>
        </row>
        <row r="3909">
          <cell r="A3909">
            <v>3918</v>
          </cell>
          <cell r="B3909">
            <v>42743</v>
          </cell>
          <cell r="C3909" t="str">
            <v>ENERO</v>
          </cell>
          <cell r="D3909" t="str">
            <v>2017</v>
          </cell>
          <cell r="E3909">
            <v>770</v>
          </cell>
          <cell r="F3909" t="str">
            <v>D6F-907</v>
          </cell>
          <cell r="G3909" t="str">
            <v>T2Y-979</v>
          </cell>
          <cell r="H3909" t="str">
            <v>LAS BAMBAS</v>
          </cell>
          <cell r="I3909">
            <v>203433</v>
          </cell>
          <cell r="J3909" t="str">
            <v>REPUESTO</v>
          </cell>
          <cell r="K3909" t="str">
            <v>SOCKET DOBLE CONTACTO</v>
          </cell>
          <cell r="L3909">
            <v>1</v>
          </cell>
          <cell r="M3909" t="str">
            <v>UNID.</v>
          </cell>
          <cell r="N3909" t="str">
            <v>TRACTO</v>
          </cell>
          <cell r="O3909">
            <v>47</v>
          </cell>
          <cell r="P3909" t="str">
            <v>E3</v>
          </cell>
          <cell r="Q3909" t="str">
            <v>J1</v>
          </cell>
          <cell r="R3909" t="str">
            <v>J1</v>
          </cell>
          <cell r="S3909" t="str">
            <v>PENDIENTE</v>
          </cell>
          <cell r="T3909">
            <v>0</v>
          </cell>
          <cell r="U3909" t="str">
            <v>CONDORI CHURATA ALEX</v>
          </cell>
          <cell r="V3909" t="str">
            <v>FLOREZ CONDORI  JOSE WILLIANS</v>
          </cell>
        </row>
        <row r="3910">
          <cell r="A3910">
            <v>3919</v>
          </cell>
          <cell r="B3910">
            <v>42743</v>
          </cell>
          <cell r="C3910" t="str">
            <v>ENERO</v>
          </cell>
          <cell r="D3910" t="str">
            <v>2017</v>
          </cell>
          <cell r="E3910">
            <v>770</v>
          </cell>
          <cell r="F3910" t="str">
            <v>D6F-907</v>
          </cell>
          <cell r="G3910" t="str">
            <v>T2Y-979</v>
          </cell>
          <cell r="H3910" t="str">
            <v>LAS BAMBAS</v>
          </cell>
          <cell r="I3910">
            <v>203433</v>
          </cell>
          <cell r="J3910" t="str">
            <v>REPUESTO</v>
          </cell>
          <cell r="K3910" t="str">
            <v>MANGUERA DE 4"</v>
          </cell>
          <cell r="L3910">
            <v>0.4</v>
          </cell>
          <cell r="M3910" t="str">
            <v>M</v>
          </cell>
          <cell r="N3910" t="str">
            <v>CISTERNA</v>
          </cell>
          <cell r="O3910">
            <v>47</v>
          </cell>
          <cell r="P3910" t="str">
            <v>M9</v>
          </cell>
          <cell r="Q3910" t="str">
            <v>J1</v>
          </cell>
          <cell r="R3910" t="str">
            <v>J1</v>
          </cell>
          <cell r="S3910" t="str">
            <v>PENDIENTE</v>
          </cell>
          <cell r="T3910">
            <v>0</v>
          </cell>
          <cell r="U3910" t="str">
            <v>POMA SALAZAR CIRO</v>
          </cell>
          <cell r="V3910" t="str">
            <v>FLOREZ CONDORI  JOSE WILLIANS</v>
          </cell>
        </row>
        <row r="3911">
          <cell r="A3911">
            <v>3920</v>
          </cell>
          <cell r="B3911">
            <v>42743</v>
          </cell>
          <cell r="C3911" t="str">
            <v>ENERO</v>
          </cell>
          <cell r="D3911" t="str">
            <v>2017</v>
          </cell>
          <cell r="E3911">
            <v>770</v>
          </cell>
          <cell r="F3911" t="str">
            <v>D6F-907</v>
          </cell>
          <cell r="G3911" t="str">
            <v>T2Y-979</v>
          </cell>
          <cell r="H3911" t="str">
            <v>LAS BAMBAS</v>
          </cell>
          <cell r="I3911">
            <v>203433</v>
          </cell>
          <cell r="J3911" t="str">
            <v>REPUESTO</v>
          </cell>
          <cell r="K3911" t="str">
            <v>ABRAZADERA DE 4"</v>
          </cell>
          <cell r="L3911">
            <v>2</v>
          </cell>
          <cell r="M3911" t="str">
            <v>UNID.</v>
          </cell>
          <cell r="N3911" t="str">
            <v>CISTERNA</v>
          </cell>
          <cell r="O3911">
            <v>47</v>
          </cell>
          <cell r="P3911" t="str">
            <v>M9</v>
          </cell>
          <cell r="Q3911" t="str">
            <v>J1</v>
          </cell>
          <cell r="R3911" t="str">
            <v>J1</v>
          </cell>
          <cell r="S3911" t="str">
            <v>PENDIENTE</v>
          </cell>
          <cell r="T3911">
            <v>0</v>
          </cell>
          <cell r="U3911" t="str">
            <v>POMA SALAZAR CIRO</v>
          </cell>
          <cell r="V3911" t="str">
            <v>FLOREZ CONDORI  JOSE WILLIANS</v>
          </cell>
        </row>
        <row r="3912">
          <cell r="A3912">
            <v>3908</v>
          </cell>
          <cell r="B3912">
            <v>42743</v>
          </cell>
          <cell r="C3912" t="str">
            <v>ENERO</v>
          </cell>
          <cell r="D3912" t="str">
            <v>2017</v>
          </cell>
          <cell r="E3912">
            <v>200</v>
          </cell>
          <cell r="F3912" t="str">
            <v>TALLER</v>
          </cell>
          <cell r="G3912" t="str">
            <v>TALLER</v>
          </cell>
          <cell r="H3912" t="str">
            <v>TALLER</v>
          </cell>
          <cell r="I3912" t="str">
            <v>TALLER</v>
          </cell>
          <cell r="J3912" t="str">
            <v>REPUESTO</v>
          </cell>
          <cell r="K3912" t="str">
            <v>DISCO DE CORTE 7"</v>
          </cell>
          <cell r="L3912">
            <v>3</v>
          </cell>
          <cell r="M3912" t="str">
            <v>UNID.</v>
          </cell>
          <cell r="N3912" t="str">
            <v>TALLER</v>
          </cell>
          <cell r="O3912">
            <v>47</v>
          </cell>
          <cell r="P3912" t="str">
            <v>S1</v>
          </cell>
          <cell r="Q3912" t="str">
            <v>J1</v>
          </cell>
          <cell r="R3912" t="str">
            <v>J1</v>
          </cell>
          <cell r="S3912" t="str">
            <v>ENTREGADO</v>
          </cell>
          <cell r="T3912">
            <v>0</v>
          </cell>
          <cell r="U3912" t="str">
            <v>BAYONA CRUZ CRISTIAN ARMANDO</v>
          </cell>
          <cell r="V3912" t="str">
            <v>FLOREZ CONDORI  JOSE WILLIANS</v>
          </cell>
        </row>
        <row r="3913">
          <cell r="A3913">
            <v>3900</v>
          </cell>
          <cell r="B3913">
            <v>42743</v>
          </cell>
          <cell r="C3913" t="str">
            <v>ENERO</v>
          </cell>
          <cell r="D3913" t="str">
            <v>2017</v>
          </cell>
          <cell r="E3913">
            <v>772</v>
          </cell>
          <cell r="F3913" t="str">
            <v>X2W-765</v>
          </cell>
          <cell r="G3913" t="str">
            <v>C5V-993</v>
          </cell>
          <cell r="H3913" t="str">
            <v>LAS BAMBAS</v>
          </cell>
          <cell r="I3913">
            <v>160329</v>
          </cell>
          <cell r="J3913" t="str">
            <v>REPUESTO</v>
          </cell>
          <cell r="K3913" t="str">
            <v>PERNO 1/2X2"</v>
          </cell>
          <cell r="L3913">
            <v>3</v>
          </cell>
          <cell r="M3913" t="str">
            <v>UNID.</v>
          </cell>
          <cell r="N3913" t="str">
            <v>CISTERNA</v>
          </cell>
          <cell r="O3913">
            <v>47</v>
          </cell>
          <cell r="P3913" t="str">
            <v>M8</v>
          </cell>
          <cell r="Q3913" t="str">
            <v>J1</v>
          </cell>
          <cell r="R3913" t="str">
            <v>J1</v>
          </cell>
          <cell r="S3913" t="str">
            <v>ENTREGADO</v>
          </cell>
          <cell r="T3913">
            <v>0</v>
          </cell>
          <cell r="U3913" t="str">
            <v>VARILLAS GAGO  OSCAR ALBERTO</v>
          </cell>
          <cell r="V3913" t="str">
            <v>FLOREZ CONDORI  JOSE WILLIANS</v>
          </cell>
        </row>
        <row r="3914">
          <cell r="A3914">
            <v>3901</v>
          </cell>
          <cell r="B3914">
            <v>42743</v>
          </cell>
          <cell r="C3914" t="str">
            <v>ENERO</v>
          </cell>
          <cell r="D3914" t="str">
            <v>2017</v>
          </cell>
          <cell r="E3914">
            <v>772</v>
          </cell>
          <cell r="F3914" t="str">
            <v>X2W-765</v>
          </cell>
          <cell r="G3914" t="str">
            <v>C5V-993</v>
          </cell>
          <cell r="H3914" t="str">
            <v>LAS BAMBAS</v>
          </cell>
          <cell r="I3914">
            <v>160329</v>
          </cell>
          <cell r="J3914" t="str">
            <v>REPUESTO</v>
          </cell>
          <cell r="K3914" t="str">
            <v xml:space="preserve">ARANDELA PLANA </v>
          </cell>
          <cell r="L3914">
            <v>3</v>
          </cell>
          <cell r="M3914" t="str">
            <v>UNID.</v>
          </cell>
          <cell r="N3914" t="str">
            <v>CISTERNA</v>
          </cell>
          <cell r="O3914">
            <v>47</v>
          </cell>
          <cell r="P3914" t="str">
            <v>M8</v>
          </cell>
          <cell r="Q3914" t="str">
            <v>J1</v>
          </cell>
          <cell r="R3914" t="str">
            <v>J1</v>
          </cell>
          <cell r="S3914" t="str">
            <v>ENTREGADO</v>
          </cell>
          <cell r="T3914">
            <v>0</v>
          </cell>
          <cell r="U3914" t="str">
            <v>VARILLAS GAGO  OSCAR ALBERTO</v>
          </cell>
          <cell r="V3914" t="str">
            <v>FLOREZ CONDORI  JOSE WILLIANS</v>
          </cell>
        </row>
        <row r="3915">
          <cell r="A3915">
            <v>3902</v>
          </cell>
          <cell r="B3915">
            <v>42743</v>
          </cell>
          <cell r="C3915" t="str">
            <v>ENERO</v>
          </cell>
          <cell r="D3915" t="str">
            <v>2017</v>
          </cell>
          <cell r="E3915">
            <v>772</v>
          </cell>
          <cell r="F3915" t="str">
            <v>X2W-765</v>
          </cell>
          <cell r="G3915" t="str">
            <v>C5V-993</v>
          </cell>
          <cell r="H3915" t="str">
            <v>LAS BAMBAS</v>
          </cell>
          <cell r="I3915">
            <v>160329</v>
          </cell>
          <cell r="J3915" t="str">
            <v>REPUESTO</v>
          </cell>
          <cell r="K3915" t="str">
            <v>PERNO 5/16X2"</v>
          </cell>
          <cell r="L3915">
            <v>3</v>
          </cell>
          <cell r="M3915" t="str">
            <v>UNID.</v>
          </cell>
          <cell r="N3915" t="str">
            <v>CISTERNA</v>
          </cell>
          <cell r="O3915">
            <v>47</v>
          </cell>
          <cell r="P3915" t="str">
            <v>M8</v>
          </cell>
          <cell r="Q3915" t="str">
            <v>J1</v>
          </cell>
          <cell r="R3915" t="str">
            <v>J1</v>
          </cell>
          <cell r="S3915" t="str">
            <v>ENTREGADO</v>
          </cell>
          <cell r="T3915">
            <v>0</v>
          </cell>
          <cell r="U3915" t="str">
            <v>VARILLAS GAGO  OSCAR ALBERTO</v>
          </cell>
          <cell r="V3915" t="str">
            <v>FLOREZ CONDORI  JOSE WILLIANS</v>
          </cell>
        </row>
        <row r="3916">
          <cell r="A3916">
            <v>3903</v>
          </cell>
          <cell r="B3916">
            <v>42743</v>
          </cell>
          <cell r="C3916" t="str">
            <v>ENERO</v>
          </cell>
          <cell r="D3916" t="str">
            <v>2017</v>
          </cell>
          <cell r="E3916">
            <v>772</v>
          </cell>
          <cell r="F3916" t="str">
            <v>X2W-765</v>
          </cell>
          <cell r="G3916" t="str">
            <v>C5V-993</v>
          </cell>
          <cell r="H3916" t="str">
            <v>LAS BAMBAS</v>
          </cell>
          <cell r="I3916">
            <v>160329</v>
          </cell>
          <cell r="J3916" t="str">
            <v>REPUESTO</v>
          </cell>
          <cell r="K3916" t="str">
            <v>TUERCA SEGURA 5/16</v>
          </cell>
          <cell r="L3916">
            <v>3</v>
          </cell>
          <cell r="M3916" t="str">
            <v>UNID.</v>
          </cell>
          <cell r="N3916" t="str">
            <v>CISTERNA</v>
          </cell>
          <cell r="O3916">
            <v>47</v>
          </cell>
          <cell r="P3916" t="str">
            <v>M8</v>
          </cell>
          <cell r="Q3916" t="str">
            <v>J1</v>
          </cell>
          <cell r="R3916" t="str">
            <v>J1</v>
          </cell>
          <cell r="S3916" t="str">
            <v>ENTREGADO</v>
          </cell>
          <cell r="T3916">
            <v>0</v>
          </cell>
          <cell r="U3916" t="str">
            <v>VARILLAS GAGO  OSCAR ALBERTO</v>
          </cell>
          <cell r="V3916" t="str">
            <v>FLOREZ CONDORI  JOSE WILLIANS</v>
          </cell>
        </row>
        <row r="3917">
          <cell r="A3917">
            <v>3904</v>
          </cell>
          <cell r="B3917">
            <v>42743</v>
          </cell>
          <cell r="C3917" t="str">
            <v>ENERO</v>
          </cell>
          <cell r="D3917" t="str">
            <v>2017</v>
          </cell>
          <cell r="E3917">
            <v>772</v>
          </cell>
          <cell r="F3917" t="str">
            <v>X2W-765</v>
          </cell>
          <cell r="G3917" t="str">
            <v>C5V-993</v>
          </cell>
          <cell r="H3917" t="str">
            <v>LAS BAMBAS</v>
          </cell>
          <cell r="I3917">
            <v>160329</v>
          </cell>
          <cell r="J3917" t="str">
            <v>REPUESTO</v>
          </cell>
          <cell r="K3917" t="str">
            <v>ARANDELA PLANA 5/16</v>
          </cell>
          <cell r="L3917">
            <v>6</v>
          </cell>
          <cell r="M3917" t="str">
            <v>UNID.</v>
          </cell>
          <cell r="N3917" t="str">
            <v>CISTERNA</v>
          </cell>
          <cell r="O3917">
            <v>47</v>
          </cell>
          <cell r="P3917" t="str">
            <v>M8</v>
          </cell>
          <cell r="Q3917" t="str">
            <v>J1</v>
          </cell>
          <cell r="R3917" t="str">
            <v>J1</v>
          </cell>
          <cell r="S3917" t="str">
            <v>ENTREGADO</v>
          </cell>
          <cell r="T3917">
            <v>0</v>
          </cell>
          <cell r="U3917" t="str">
            <v>VARILLAS GAGO  OSCAR ALBERTO</v>
          </cell>
          <cell r="V3917" t="str">
            <v>FLOREZ CONDORI  JOSE WILLIANS</v>
          </cell>
        </row>
        <row r="3918">
          <cell r="A3918">
            <v>3905</v>
          </cell>
          <cell r="B3918">
            <v>42743</v>
          </cell>
          <cell r="C3918" t="str">
            <v>ENERO</v>
          </cell>
          <cell r="D3918" t="str">
            <v>2017</v>
          </cell>
          <cell r="E3918">
            <v>772</v>
          </cell>
          <cell r="F3918" t="str">
            <v>X2W-765</v>
          </cell>
          <cell r="G3918" t="str">
            <v>C5V-993</v>
          </cell>
          <cell r="H3918" t="str">
            <v>LAS BAMBAS</v>
          </cell>
          <cell r="I3918">
            <v>160329</v>
          </cell>
          <cell r="J3918" t="str">
            <v>REPUESTO</v>
          </cell>
          <cell r="K3918" t="str">
            <v>TUERCA M10</v>
          </cell>
          <cell r="L3918">
            <v>1</v>
          </cell>
          <cell r="M3918" t="str">
            <v>UNID.</v>
          </cell>
          <cell r="N3918" t="str">
            <v>CISTERNA</v>
          </cell>
          <cell r="O3918">
            <v>47</v>
          </cell>
          <cell r="P3918" t="str">
            <v>M8</v>
          </cell>
          <cell r="Q3918" t="str">
            <v>J1</v>
          </cell>
          <cell r="R3918" t="str">
            <v>J1</v>
          </cell>
          <cell r="S3918" t="str">
            <v>ENTREGADO</v>
          </cell>
          <cell r="T3918">
            <v>0</v>
          </cell>
          <cell r="U3918" t="str">
            <v>VARILLAS GAGO  OSCAR ALBERTO</v>
          </cell>
          <cell r="V3918" t="str">
            <v>FLOREZ CONDORI  JOSE WILLIANS</v>
          </cell>
        </row>
        <row r="3919">
          <cell r="A3919">
            <v>3909</v>
          </cell>
          <cell r="B3919">
            <v>42743</v>
          </cell>
          <cell r="C3919" t="str">
            <v>ENERO</v>
          </cell>
          <cell r="D3919" t="str">
            <v>2017</v>
          </cell>
          <cell r="E3919">
            <v>772</v>
          </cell>
          <cell r="F3919" t="str">
            <v>X2W-765</v>
          </cell>
          <cell r="G3919" t="str">
            <v>C5V-993</v>
          </cell>
          <cell r="H3919" t="str">
            <v>LAS BAMBAS</v>
          </cell>
          <cell r="I3919">
            <v>160329</v>
          </cell>
          <cell r="J3919" t="str">
            <v>REPUESTO</v>
          </cell>
          <cell r="K3919" t="str">
            <v>ACEITE MOTOR 15W-40</v>
          </cell>
          <cell r="L3919">
            <v>1</v>
          </cell>
          <cell r="M3919" t="str">
            <v>UNID.</v>
          </cell>
          <cell r="N3919" t="str">
            <v>TRACTO</v>
          </cell>
          <cell r="O3919">
            <v>47</v>
          </cell>
          <cell r="P3919" t="str">
            <v>M8</v>
          </cell>
          <cell r="Q3919" t="str">
            <v>J1</v>
          </cell>
          <cell r="R3919" t="str">
            <v>J1</v>
          </cell>
          <cell r="S3919" t="str">
            <v>ENTREGADO</v>
          </cell>
          <cell r="T3919">
            <v>0</v>
          </cell>
          <cell r="U3919" t="str">
            <v>VARILLAS GAGO  OSCAR ALBERTO</v>
          </cell>
          <cell r="V3919" t="str">
            <v>FLOREZ CONDORI  JOSE WILLIANS</v>
          </cell>
        </row>
        <row r="3920">
          <cell r="A3920">
            <v>3910</v>
          </cell>
          <cell r="B3920">
            <v>42743</v>
          </cell>
          <cell r="C3920" t="str">
            <v>ENERO</v>
          </cell>
          <cell r="D3920" t="str">
            <v>2017</v>
          </cell>
          <cell r="E3920">
            <v>772</v>
          </cell>
          <cell r="F3920" t="str">
            <v>X2W-765</v>
          </cell>
          <cell r="G3920" t="str">
            <v>C5V-993</v>
          </cell>
          <cell r="H3920" t="str">
            <v>LAS BAMBAS</v>
          </cell>
          <cell r="I3920">
            <v>160329</v>
          </cell>
          <cell r="J3920" t="str">
            <v>REPUESTO</v>
          </cell>
          <cell r="K3920" t="str">
            <v xml:space="preserve">ACORDEON DE TUBO DE ESCAPE </v>
          </cell>
          <cell r="L3920">
            <v>0.5</v>
          </cell>
          <cell r="M3920" t="str">
            <v>M</v>
          </cell>
          <cell r="N3920" t="str">
            <v>TRACTO</v>
          </cell>
          <cell r="O3920">
            <v>47</v>
          </cell>
          <cell r="P3920" t="str">
            <v>M8</v>
          </cell>
          <cell r="Q3920" t="str">
            <v>J1</v>
          </cell>
          <cell r="R3920" t="str">
            <v>J1</v>
          </cell>
          <cell r="S3920" t="str">
            <v>PENDIENTE</v>
          </cell>
          <cell r="T3920">
            <v>0</v>
          </cell>
          <cell r="U3920" t="str">
            <v>VARILLAS GAGO  OSCAR ALBERTO</v>
          </cell>
          <cell r="V3920" t="str">
            <v>FLOREZ CONDORI  JOSE WILLIANS</v>
          </cell>
        </row>
        <row r="3921">
          <cell r="A3921">
            <v>3911</v>
          </cell>
          <cell r="B3921">
            <v>42743</v>
          </cell>
          <cell r="C3921" t="str">
            <v>ENERO</v>
          </cell>
          <cell r="D3921" t="str">
            <v>2017</v>
          </cell>
          <cell r="E3921">
            <v>772</v>
          </cell>
          <cell r="F3921" t="str">
            <v>X2W-765</v>
          </cell>
          <cell r="G3921" t="str">
            <v>C5V-993</v>
          </cell>
          <cell r="H3921" t="str">
            <v>LAS BAMBAS</v>
          </cell>
          <cell r="I3921">
            <v>160329</v>
          </cell>
          <cell r="J3921" t="str">
            <v>REPUESTO</v>
          </cell>
          <cell r="K3921" t="str">
            <v>ABRAZADERA TUBO ESCAPE</v>
          </cell>
          <cell r="L3921">
            <v>2</v>
          </cell>
          <cell r="M3921" t="str">
            <v>UNID.</v>
          </cell>
          <cell r="N3921" t="str">
            <v>TRACTO</v>
          </cell>
          <cell r="O3921">
            <v>47</v>
          </cell>
          <cell r="P3921" t="str">
            <v>M8</v>
          </cell>
          <cell r="Q3921" t="str">
            <v>J1</v>
          </cell>
          <cell r="R3921" t="str">
            <v>J1</v>
          </cell>
          <cell r="S3921" t="str">
            <v>PENDIENTE</v>
          </cell>
          <cell r="T3921">
            <v>0</v>
          </cell>
          <cell r="U3921" t="str">
            <v>VARILLAS GAGO  OSCAR ALBERTO</v>
          </cell>
          <cell r="V3921" t="str">
            <v>FLOREZ CONDORI  JOSE WILLIANS</v>
          </cell>
        </row>
        <row r="3922">
          <cell r="A3922">
            <v>3962</v>
          </cell>
          <cell r="B3922">
            <v>42744</v>
          </cell>
          <cell r="C3922" t="str">
            <v>ENERO</v>
          </cell>
          <cell r="D3922" t="str">
            <v>2017</v>
          </cell>
          <cell r="E3922">
            <v>790</v>
          </cell>
          <cell r="F3922" t="str">
            <v>A9H-889</v>
          </cell>
          <cell r="G3922" t="str">
            <v>CAMION</v>
          </cell>
          <cell r="H3922" t="str">
            <v>TAMBOMAYO</v>
          </cell>
          <cell r="I3922">
            <v>123746</v>
          </cell>
          <cell r="J3922" t="str">
            <v>REPUESTO</v>
          </cell>
          <cell r="K3922" t="str">
            <v>FOCO H3 DE 24 V</v>
          </cell>
          <cell r="L3922">
            <v>2</v>
          </cell>
          <cell r="M3922" t="str">
            <v>UNID.</v>
          </cell>
          <cell r="N3922" t="str">
            <v>CAMION</v>
          </cell>
          <cell r="O3922">
            <v>46</v>
          </cell>
          <cell r="P3922" t="str">
            <v>E3</v>
          </cell>
          <cell r="Q3922" t="str">
            <v>J1</v>
          </cell>
          <cell r="R3922" t="str">
            <v>J6</v>
          </cell>
          <cell r="S3922" t="str">
            <v>PENDIENTE</v>
          </cell>
          <cell r="T3922">
            <v>0</v>
          </cell>
          <cell r="U3922" t="str">
            <v>CONDORI CHURATA ALEX</v>
          </cell>
          <cell r="V3922" t="str">
            <v>FLOREZ CONDORI  JOSE WILLIANS</v>
          </cell>
        </row>
        <row r="3923">
          <cell r="A3923">
            <v>3973</v>
          </cell>
          <cell r="B3923">
            <v>42744</v>
          </cell>
          <cell r="C3923" t="str">
            <v>ENERO</v>
          </cell>
          <cell r="D3923" t="str">
            <v>2017</v>
          </cell>
          <cell r="E3923">
            <v>790</v>
          </cell>
          <cell r="F3923" t="str">
            <v>A9H-889</v>
          </cell>
          <cell r="G3923" t="str">
            <v>CAMION</v>
          </cell>
          <cell r="H3923" t="str">
            <v>TAMBOMAYO</v>
          </cell>
          <cell r="I3923">
            <v>123746</v>
          </cell>
          <cell r="J3923" t="str">
            <v>REPUESTO</v>
          </cell>
          <cell r="K3923" t="str">
            <v>EMPAQUE DE TURBO CUADRADO</v>
          </cell>
          <cell r="L3923">
            <v>1</v>
          </cell>
          <cell r="M3923" t="str">
            <v>UNID.</v>
          </cell>
          <cell r="N3923" t="str">
            <v>CAMION</v>
          </cell>
          <cell r="O3923">
            <v>46</v>
          </cell>
          <cell r="P3923" t="str">
            <v>M5</v>
          </cell>
          <cell r="Q3923" t="str">
            <v>J1</v>
          </cell>
          <cell r="R3923" t="str">
            <v>J6</v>
          </cell>
          <cell r="S3923" t="str">
            <v>PENDIENTE</v>
          </cell>
          <cell r="T3923">
            <v>0</v>
          </cell>
          <cell r="U3923" t="str">
            <v>LOPEZ RUIZ WILBERTO</v>
          </cell>
          <cell r="V3923" t="str">
            <v>FLOREZ CONDORI  JOSE WILLIANS</v>
          </cell>
        </row>
        <row r="3924">
          <cell r="A3924">
            <v>3974</v>
          </cell>
          <cell r="B3924">
            <v>42744</v>
          </cell>
          <cell r="C3924" t="str">
            <v>ENERO</v>
          </cell>
          <cell r="D3924" t="str">
            <v>2017</v>
          </cell>
          <cell r="E3924">
            <v>790</v>
          </cell>
          <cell r="F3924" t="str">
            <v>A9H-889</v>
          </cell>
          <cell r="G3924" t="str">
            <v>CAMION</v>
          </cell>
          <cell r="H3924" t="str">
            <v>TAMBOMAYO</v>
          </cell>
          <cell r="I3924">
            <v>123746</v>
          </cell>
          <cell r="J3924" t="str">
            <v>REPUESTO</v>
          </cell>
          <cell r="K3924" t="str">
            <v>EMPAQUE CHICO DE ASBESTO</v>
          </cell>
          <cell r="L3924">
            <v>1</v>
          </cell>
          <cell r="M3924" t="str">
            <v>UNID.</v>
          </cell>
          <cell r="N3924" t="str">
            <v>CAMION</v>
          </cell>
          <cell r="O3924">
            <v>46</v>
          </cell>
          <cell r="P3924" t="str">
            <v>M5</v>
          </cell>
          <cell r="Q3924" t="str">
            <v>J1</v>
          </cell>
          <cell r="R3924" t="str">
            <v>J6</v>
          </cell>
          <cell r="S3924" t="str">
            <v>PENDIENTE</v>
          </cell>
          <cell r="T3924">
            <v>0</v>
          </cell>
          <cell r="U3924" t="str">
            <v>LOPEZ RUIZ WILBERTO</v>
          </cell>
          <cell r="V3924" t="str">
            <v>FLOREZ CONDORI  JOSE WILLIANS</v>
          </cell>
        </row>
        <row r="3925">
          <cell r="A3925">
            <v>3924</v>
          </cell>
          <cell r="B3925">
            <v>42744</v>
          </cell>
          <cell r="C3925" t="str">
            <v>ENERO</v>
          </cell>
          <cell r="D3925" t="str">
            <v>2017</v>
          </cell>
          <cell r="E3925">
            <v>764</v>
          </cell>
          <cell r="F3925" t="str">
            <v>AAN-801</v>
          </cell>
          <cell r="G3925" t="str">
            <v>CAMIONETA</v>
          </cell>
          <cell r="H3925" t="str">
            <v>LAS BAMBAS</v>
          </cell>
          <cell r="I3925">
            <v>119588</v>
          </cell>
          <cell r="J3925" t="str">
            <v>REPUESTO</v>
          </cell>
          <cell r="K3925" t="str">
            <v>FAROS NEBLINEROS</v>
          </cell>
          <cell r="L3925">
            <v>2</v>
          </cell>
          <cell r="M3925" t="str">
            <v>UNID.</v>
          </cell>
          <cell r="N3925" t="str">
            <v>CAMIONETA</v>
          </cell>
          <cell r="O3925">
            <v>46</v>
          </cell>
          <cell r="P3925" t="str">
            <v>J7</v>
          </cell>
          <cell r="Q3925" t="str">
            <v>J7</v>
          </cell>
          <cell r="R3925" t="str">
            <v>J6</v>
          </cell>
          <cell r="S3925" t="str">
            <v>PENDIENTE</v>
          </cell>
          <cell r="T3925">
            <v>0</v>
          </cell>
          <cell r="U3925" t="str">
            <v>DONAYRE INGA PEDRO</v>
          </cell>
          <cell r="V3925" t="str">
            <v>DONAYRE INGA PEDRO</v>
          </cell>
        </row>
        <row r="3926">
          <cell r="A3926">
            <v>3935</v>
          </cell>
          <cell r="B3926">
            <v>42744</v>
          </cell>
          <cell r="C3926" t="str">
            <v>ENERO</v>
          </cell>
          <cell r="D3926" t="str">
            <v>2017</v>
          </cell>
          <cell r="E3926">
            <v>791</v>
          </cell>
          <cell r="F3926" t="str">
            <v>ABQ-704</v>
          </cell>
          <cell r="G3926" t="str">
            <v>TBB-995</v>
          </cell>
          <cell r="H3926" t="str">
            <v>LAS BAMBAS</v>
          </cell>
          <cell r="I3926">
            <v>115352</v>
          </cell>
          <cell r="J3926" t="str">
            <v>REPUESTO</v>
          </cell>
          <cell r="K3926" t="str">
            <v>FOCO LAGRIMON DOCLE CONTACTO 12 V</v>
          </cell>
          <cell r="L3926">
            <v>1</v>
          </cell>
          <cell r="M3926" t="str">
            <v>UNID.</v>
          </cell>
          <cell r="N3926" t="str">
            <v>TRACTO</v>
          </cell>
          <cell r="O3926">
            <v>46</v>
          </cell>
          <cell r="P3926" t="str">
            <v>E2</v>
          </cell>
          <cell r="Q3926" t="str">
            <v>J1</v>
          </cell>
          <cell r="R3926" t="str">
            <v>J6</v>
          </cell>
          <cell r="S3926" t="str">
            <v>PENDIENTE</v>
          </cell>
          <cell r="T3926">
            <v>0</v>
          </cell>
          <cell r="U3926" t="str">
            <v>YUCA BELLIDO BORIS YERSY</v>
          </cell>
          <cell r="V3926" t="str">
            <v>FLOREZ CONDORI  JOSE WILLIANS</v>
          </cell>
        </row>
        <row r="3927">
          <cell r="A3927">
            <v>3943</v>
          </cell>
          <cell r="B3927">
            <v>42744</v>
          </cell>
          <cell r="C3927" t="str">
            <v>ENERO</v>
          </cell>
          <cell r="D3927" t="str">
            <v>2017</v>
          </cell>
          <cell r="E3927">
            <v>791</v>
          </cell>
          <cell r="F3927" t="str">
            <v>ABQ-704</v>
          </cell>
          <cell r="G3927" t="str">
            <v>TBB-995</v>
          </cell>
          <cell r="H3927" t="str">
            <v>LAS BAMBAS</v>
          </cell>
          <cell r="I3927">
            <v>115352</v>
          </cell>
          <cell r="J3927" t="str">
            <v>REPUESTO</v>
          </cell>
          <cell r="K3927" t="str">
            <v>FARO STOP</v>
          </cell>
          <cell r="L3927">
            <v>1</v>
          </cell>
          <cell r="M3927" t="str">
            <v>UNID.</v>
          </cell>
          <cell r="N3927" t="str">
            <v>CISTERNA</v>
          </cell>
          <cell r="O3927">
            <v>46</v>
          </cell>
          <cell r="P3927" t="str">
            <v>E3</v>
          </cell>
          <cell r="Q3927" t="str">
            <v>J1</v>
          </cell>
          <cell r="R3927" t="str">
            <v>J6</v>
          </cell>
          <cell r="S3927" t="str">
            <v>PENDIENTE</v>
          </cell>
          <cell r="T3927">
            <v>0</v>
          </cell>
          <cell r="U3927" t="str">
            <v>CONDORI CHURATA ALEX</v>
          </cell>
          <cell r="V3927" t="str">
            <v>FLOREZ CONDORI  JOSE WILLIANS</v>
          </cell>
        </row>
        <row r="3928">
          <cell r="A3928">
            <v>3948</v>
          </cell>
          <cell r="B3928">
            <v>42744</v>
          </cell>
          <cell r="C3928" t="str">
            <v>ENERO</v>
          </cell>
          <cell r="D3928" t="str">
            <v>2017</v>
          </cell>
          <cell r="E3928">
            <v>791</v>
          </cell>
          <cell r="F3928" t="str">
            <v>ABQ-704</v>
          </cell>
          <cell r="G3928" t="str">
            <v>TBB-995</v>
          </cell>
          <cell r="H3928" t="str">
            <v>LAS BAMBAS</v>
          </cell>
          <cell r="I3928">
            <v>115352</v>
          </cell>
          <cell r="J3928" t="str">
            <v>REPUESTO</v>
          </cell>
          <cell r="K3928" t="str">
            <v>VALVULA DE ALIVIO RAPIDO DE 3/8 X 3/8 X 3/8</v>
          </cell>
          <cell r="L3928">
            <v>1</v>
          </cell>
          <cell r="M3928" t="str">
            <v>UNID.</v>
          </cell>
          <cell r="N3928" t="str">
            <v>CISTERNA</v>
          </cell>
          <cell r="O3928">
            <v>46</v>
          </cell>
          <cell r="P3928" t="str">
            <v>M8</v>
          </cell>
          <cell r="Q3928" t="str">
            <v>J1</v>
          </cell>
          <cell r="R3928" t="str">
            <v>J6</v>
          </cell>
          <cell r="S3928" t="str">
            <v>PENDIENTE</v>
          </cell>
          <cell r="T3928">
            <v>0</v>
          </cell>
          <cell r="U3928" t="str">
            <v>VARILLAS GAGO  OSCAR ALBERTO</v>
          </cell>
          <cell r="V3928" t="str">
            <v>FLOREZ CONDORI  JOSE WILLIANS</v>
          </cell>
        </row>
        <row r="3929">
          <cell r="A3929">
            <v>3953</v>
          </cell>
          <cell r="B3929">
            <v>42744</v>
          </cell>
          <cell r="C3929" t="str">
            <v>ENERO</v>
          </cell>
          <cell r="D3929" t="str">
            <v>2017</v>
          </cell>
          <cell r="E3929">
            <v>791</v>
          </cell>
          <cell r="F3929" t="str">
            <v>ABQ-704</v>
          </cell>
          <cell r="G3929" t="str">
            <v>TBB-995</v>
          </cell>
          <cell r="H3929" t="str">
            <v>LAS BAMBAS</v>
          </cell>
          <cell r="I3929">
            <v>115352</v>
          </cell>
          <cell r="J3929" t="str">
            <v>REPUESTO</v>
          </cell>
          <cell r="K3929" t="str">
            <v>JEBES DE MANITO</v>
          </cell>
          <cell r="L3929">
            <v>4</v>
          </cell>
          <cell r="M3929" t="str">
            <v>UNID.</v>
          </cell>
          <cell r="N3929" t="str">
            <v>TRACTO</v>
          </cell>
          <cell r="O3929">
            <v>46</v>
          </cell>
          <cell r="P3929" t="str">
            <v>M8</v>
          </cell>
          <cell r="Q3929" t="str">
            <v>J1</v>
          </cell>
          <cell r="R3929" t="str">
            <v>J6</v>
          </cell>
          <cell r="S3929" t="str">
            <v>PENDIENTE</v>
          </cell>
          <cell r="T3929">
            <v>0</v>
          </cell>
          <cell r="U3929" t="str">
            <v>VARILLAS GAGO  OSCAR ALBERTO</v>
          </cell>
          <cell r="V3929" t="str">
            <v>FLOREZ CONDORI  JOSE WILLIANS</v>
          </cell>
        </row>
        <row r="3930">
          <cell r="A3930">
            <v>3927</v>
          </cell>
          <cell r="B3930">
            <v>42744</v>
          </cell>
          <cell r="C3930" t="str">
            <v>ENERO</v>
          </cell>
          <cell r="D3930" t="str">
            <v>2017</v>
          </cell>
          <cell r="E3930">
            <v>784</v>
          </cell>
          <cell r="F3930" t="str">
            <v>ABR-741</v>
          </cell>
          <cell r="G3930" t="str">
            <v>T3N-974</v>
          </cell>
          <cell r="H3930" t="str">
            <v>LAS BAMBAS</v>
          </cell>
          <cell r="I3930">
            <v>113834</v>
          </cell>
          <cell r="J3930" t="str">
            <v>REPUESTO</v>
          </cell>
          <cell r="K3930" t="str">
            <v>FOCO LAGRIMON AMBAR DE 12 V</v>
          </cell>
          <cell r="L3930">
            <v>1</v>
          </cell>
          <cell r="M3930" t="str">
            <v>UNID.</v>
          </cell>
          <cell r="N3930" t="str">
            <v>TRACTO</v>
          </cell>
          <cell r="O3930">
            <v>46</v>
          </cell>
          <cell r="P3930" t="str">
            <v>E2</v>
          </cell>
          <cell r="Q3930" t="str">
            <v>J1</v>
          </cell>
          <cell r="R3930" t="str">
            <v>J6</v>
          </cell>
          <cell r="S3930" t="str">
            <v>PENDIENTE</v>
          </cell>
          <cell r="T3930">
            <v>0</v>
          </cell>
          <cell r="U3930" t="str">
            <v>YUCA BELLIDO BORIS YERSY</v>
          </cell>
          <cell r="V3930" t="str">
            <v>FLOREZ CONDORI  JOSE WILLIANS</v>
          </cell>
        </row>
        <row r="3931">
          <cell r="A3931">
            <v>3926</v>
          </cell>
          <cell r="B3931">
            <v>42744</v>
          </cell>
          <cell r="C3931" t="str">
            <v>ENERO</v>
          </cell>
          <cell r="D3931" t="str">
            <v>2017</v>
          </cell>
          <cell r="E3931">
            <v>767</v>
          </cell>
          <cell r="F3931" t="str">
            <v>ABR-796</v>
          </cell>
          <cell r="G3931" t="str">
            <v>C9S-994</v>
          </cell>
          <cell r="H3931" t="str">
            <v>LAS BAMBAS</v>
          </cell>
          <cell r="I3931">
            <v>115079</v>
          </cell>
          <cell r="J3931" t="str">
            <v>SERVICIO</v>
          </cell>
          <cell r="K3931" t="str">
            <v>SERVICIO DE REPARACION DE CHAPA</v>
          </cell>
          <cell r="L3931">
            <v>1</v>
          </cell>
          <cell r="M3931" t="str">
            <v>UNID.</v>
          </cell>
          <cell r="N3931" t="str">
            <v>TRACTO</v>
          </cell>
          <cell r="O3931">
            <v>46</v>
          </cell>
          <cell r="P3931" t="str">
            <v>J7</v>
          </cell>
          <cell r="Q3931" t="str">
            <v>J7</v>
          </cell>
          <cell r="R3931" t="str">
            <v>J6</v>
          </cell>
          <cell r="S3931" t="str">
            <v>PENDIENTE</v>
          </cell>
          <cell r="T3931">
            <v>0</v>
          </cell>
          <cell r="U3931" t="str">
            <v>DONAYRE INGA PEDRO</v>
          </cell>
          <cell r="V3931" t="str">
            <v>DONAYRE INGA PEDRO</v>
          </cell>
        </row>
        <row r="3932">
          <cell r="A3932">
            <v>3928</v>
          </cell>
          <cell r="B3932">
            <v>42744</v>
          </cell>
          <cell r="C3932" t="str">
            <v>ENERO</v>
          </cell>
          <cell r="D3932" t="str">
            <v>2017</v>
          </cell>
          <cell r="E3932">
            <v>775</v>
          </cell>
          <cell r="F3932" t="str">
            <v>ABS-700</v>
          </cell>
          <cell r="G3932" t="str">
            <v>TBC-971</v>
          </cell>
          <cell r="H3932" t="str">
            <v>LAS BAMBAS</v>
          </cell>
          <cell r="I3932">
            <v>103858</v>
          </cell>
          <cell r="J3932" t="str">
            <v>REPUESTO</v>
          </cell>
          <cell r="K3932" t="str">
            <v>FOCOS LAGRIMAS DE CABINA</v>
          </cell>
          <cell r="L3932">
            <v>2</v>
          </cell>
          <cell r="M3932" t="str">
            <v>UNID.</v>
          </cell>
          <cell r="N3932" t="str">
            <v>TRACTO</v>
          </cell>
          <cell r="O3932">
            <v>46</v>
          </cell>
          <cell r="P3932" t="str">
            <v>E2</v>
          </cell>
          <cell r="Q3932" t="str">
            <v>J1</v>
          </cell>
          <cell r="R3932" t="str">
            <v>J6</v>
          </cell>
          <cell r="S3932" t="str">
            <v>PENDIENTE</v>
          </cell>
          <cell r="T3932">
            <v>0</v>
          </cell>
          <cell r="U3932" t="str">
            <v>YUCA BELLIDO BORIS YERSY</v>
          </cell>
          <cell r="V3932" t="str">
            <v>FLOREZ CONDORI  JOSE WILLIANS</v>
          </cell>
        </row>
        <row r="3933">
          <cell r="A3933">
            <v>3961</v>
          </cell>
          <cell r="B3933">
            <v>42744</v>
          </cell>
          <cell r="C3933" t="str">
            <v>ENERO</v>
          </cell>
          <cell r="D3933" t="str">
            <v>2017</v>
          </cell>
          <cell r="E3933">
            <v>788</v>
          </cell>
          <cell r="F3933" t="str">
            <v>B2L-889</v>
          </cell>
          <cell r="G3933" t="str">
            <v>CAMION</v>
          </cell>
          <cell r="H3933" t="str">
            <v>TAMBOMAYO</v>
          </cell>
          <cell r="I3933">
            <v>124981</v>
          </cell>
          <cell r="J3933" t="str">
            <v>REPUESTO</v>
          </cell>
          <cell r="K3933" t="str">
            <v>FOCO H3 DE 24 V</v>
          </cell>
          <cell r="L3933">
            <v>2</v>
          </cell>
          <cell r="M3933" t="str">
            <v>UNID.</v>
          </cell>
          <cell r="N3933" t="str">
            <v>CAMION</v>
          </cell>
          <cell r="O3933">
            <v>0</v>
          </cell>
          <cell r="P3933" t="str">
            <v>E3</v>
          </cell>
          <cell r="Q3933" t="str">
            <v>J1</v>
          </cell>
          <cell r="R3933" t="str">
            <v>J6</v>
          </cell>
          <cell r="S3933" t="str">
            <v>PENDIENTE</v>
          </cell>
          <cell r="T3933">
            <v>42744</v>
          </cell>
          <cell r="U3933" t="str">
            <v>CONDORI CHURATA ALEX</v>
          </cell>
          <cell r="V3933" t="str">
            <v>FLOREZ CONDORI  JOSE WILLIANS</v>
          </cell>
        </row>
        <row r="3934">
          <cell r="A3934">
            <v>3979</v>
          </cell>
          <cell r="B3934">
            <v>42744</v>
          </cell>
          <cell r="C3934" t="str">
            <v>ENERO</v>
          </cell>
          <cell r="D3934" t="str">
            <v>2017</v>
          </cell>
          <cell r="E3934">
            <v>788</v>
          </cell>
          <cell r="F3934" t="str">
            <v>B2L-889</v>
          </cell>
          <cell r="G3934" t="str">
            <v>CAMION</v>
          </cell>
          <cell r="H3934" t="str">
            <v>TAMBOMAYO</v>
          </cell>
          <cell r="I3934">
            <v>124981</v>
          </cell>
          <cell r="J3934" t="str">
            <v>REPUESTO</v>
          </cell>
          <cell r="K3934" t="str">
            <v>FAROS LATERALES PEQUEÑOS CIRCULARES</v>
          </cell>
          <cell r="L3934">
            <v>3</v>
          </cell>
          <cell r="M3934" t="str">
            <v>UNID.</v>
          </cell>
          <cell r="N3934" t="str">
            <v>CAMION</v>
          </cell>
          <cell r="O3934">
            <v>46</v>
          </cell>
          <cell r="P3934" t="str">
            <v>E3</v>
          </cell>
          <cell r="Q3934" t="str">
            <v>J1</v>
          </cell>
          <cell r="R3934" t="str">
            <v>J6</v>
          </cell>
          <cell r="S3934" t="str">
            <v>PENDIENTE</v>
          </cell>
          <cell r="T3934">
            <v>0</v>
          </cell>
          <cell r="U3934" t="str">
            <v>CONDORI CHURATA ALEX</v>
          </cell>
          <cell r="V3934" t="str">
            <v>FLOREZ CONDORI  JOSE WILLIANS</v>
          </cell>
        </row>
        <row r="3935">
          <cell r="A3935">
            <v>3960</v>
          </cell>
          <cell r="B3935">
            <v>42744</v>
          </cell>
          <cell r="C3935" t="str">
            <v>ENERO</v>
          </cell>
          <cell r="D3935" t="str">
            <v>2017</v>
          </cell>
          <cell r="E3935">
            <v>789</v>
          </cell>
          <cell r="F3935" t="str">
            <v>B2M-948</v>
          </cell>
          <cell r="G3935" t="str">
            <v>CAMION</v>
          </cell>
          <cell r="H3935" t="str">
            <v>TAMBOMAYO</v>
          </cell>
          <cell r="I3935">
            <v>116689</v>
          </cell>
          <cell r="J3935" t="str">
            <v>REPUESTO</v>
          </cell>
          <cell r="K3935" t="str">
            <v>FOCO H3 DE 24 V</v>
          </cell>
          <cell r="L3935">
            <v>2</v>
          </cell>
          <cell r="M3935" t="str">
            <v>UNID.</v>
          </cell>
          <cell r="N3935" t="str">
            <v>CAMION</v>
          </cell>
          <cell r="O3935">
            <v>46</v>
          </cell>
          <cell r="P3935" t="str">
            <v>E3</v>
          </cell>
          <cell r="Q3935" t="str">
            <v>J1</v>
          </cell>
          <cell r="R3935" t="str">
            <v>J6</v>
          </cell>
          <cell r="S3935" t="str">
            <v>PENDIENTE</v>
          </cell>
          <cell r="T3935">
            <v>0</v>
          </cell>
          <cell r="U3935" t="str">
            <v>CONDORI CHURATA ALEX</v>
          </cell>
          <cell r="V3935" t="str">
            <v>FLOREZ CONDORI  JOSE WILLIANS</v>
          </cell>
        </row>
        <row r="3936">
          <cell r="A3936">
            <v>3971</v>
          </cell>
          <cell r="B3936">
            <v>42744</v>
          </cell>
          <cell r="C3936" t="str">
            <v>ENERO</v>
          </cell>
          <cell r="D3936" t="str">
            <v>2017</v>
          </cell>
          <cell r="E3936">
            <v>789</v>
          </cell>
          <cell r="F3936" t="str">
            <v>B2M-948</v>
          </cell>
          <cell r="G3936" t="str">
            <v>CAMION</v>
          </cell>
          <cell r="H3936" t="str">
            <v>TAMBOMAYO</v>
          </cell>
          <cell r="I3936">
            <v>116689</v>
          </cell>
          <cell r="J3936" t="str">
            <v>REPUESTO</v>
          </cell>
          <cell r="K3936" t="str">
            <v>VALVULA PARA FRENO DE MOTOR</v>
          </cell>
          <cell r="L3936">
            <v>1</v>
          </cell>
          <cell r="M3936" t="str">
            <v>UNID.</v>
          </cell>
          <cell r="N3936" t="str">
            <v>CAMION</v>
          </cell>
          <cell r="O3936">
            <v>46</v>
          </cell>
          <cell r="P3936" t="str">
            <v>M6</v>
          </cell>
          <cell r="Q3936" t="str">
            <v>J1</v>
          </cell>
          <cell r="R3936" t="str">
            <v>J6</v>
          </cell>
          <cell r="S3936" t="str">
            <v>PENDIENTE</v>
          </cell>
          <cell r="T3936">
            <v>0</v>
          </cell>
          <cell r="U3936" t="str">
            <v>PARI VENTURA  EDSON ORLANDO</v>
          </cell>
          <cell r="V3936" t="str">
            <v>FLOREZ CONDORI  JOSE WILLIANS</v>
          </cell>
        </row>
        <row r="3937">
          <cell r="A3937">
            <v>3978</v>
          </cell>
          <cell r="B3937">
            <v>42744</v>
          </cell>
          <cell r="C3937" t="str">
            <v>ENERO</v>
          </cell>
          <cell r="D3937" t="str">
            <v>2017</v>
          </cell>
          <cell r="E3937">
            <v>789</v>
          </cell>
          <cell r="F3937" t="str">
            <v>B2M-948</v>
          </cell>
          <cell r="G3937" t="str">
            <v>CAMION</v>
          </cell>
          <cell r="H3937" t="str">
            <v>TAMBOMAYO</v>
          </cell>
          <cell r="I3937">
            <v>116689</v>
          </cell>
          <cell r="J3937" t="str">
            <v>REPUESTO</v>
          </cell>
          <cell r="K3937" t="str">
            <v>FOCO H3 DE 24 V</v>
          </cell>
          <cell r="L3937">
            <v>2</v>
          </cell>
          <cell r="M3937" t="str">
            <v>UNID.</v>
          </cell>
          <cell r="N3937" t="str">
            <v>CAMION</v>
          </cell>
          <cell r="O3937">
            <v>46</v>
          </cell>
          <cell r="P3937" t="str">
            <v>E3</v>
          </cell>
          <cell r="Q3937" t="str">
            <v>J1</v>
          </cell>
          <cell r="R3937" t="str">
            <v>J6</v>
          </cell>
          <cell r="S3937" t="str">
            <v>PENDIENTE</v>
          </cell>
          <cell r="T3937">
            <v>0</v>
          </cell>
          <cell r="U3937" t="str">
            <v>CONDORI CHURATA ALEX</v>
          </cell>
          <cell r="V3937" t="str">
            <v>FLOREZ CONDORI  JOSE WILLIANS</v>
          </cell>
        </row>
        <row r="3938">
          <cell r="A3938">
            <v>3980</v>
          </cell>
          <cell r="B3938">
            <v>42744</v>
          </cell>
          <cell r="C3938" t="str">
            <v>ENERO</v>
          </cell>
          <cell r="D3938" t="str">
            <v>2017</v>
          </cell>
          <cell r="E3938">
            <v>789</v>
          </cell>
          <cell r="F3938" t="str">
            <v>B2M-948</v>
          </cell>
          <cell r="G3938" t="str">
            <v>CAMION</v>
          </cell>
          <cell r="H3938" t="str">
            <v>TAMBOMAYO</v>
          </cell>
          <cell r="I3938">
            <v>116689</v>
          </cell>
          <cell r="J3938" t="str">
            <v>REPUESTO</v>
          </cell>
          <cell r="K3938" t="str">
            <v>ABRAZADERA</v>
          </cell>
          <cell r="L3938">
            <v>1</v>
          </cell>
          <cell r="M3938" t="str">
            <v>UNID.</v>
          </cell>
          <cell r="N3938" t="str">
            <v>CAMION</v>
          </cell>
          <cell r="O3938">
            <v>46</v>
          </cell>
          <cell r="P3938" t="str">
            <v>M6</v>
          </cell>
          <cell r="Q3938" t="str">
            <v>J1</v>
          </cell>
          <cell r="R3938" t="str">
            <v>J6</v>
          </cell>
          <cell r="S3938" t="str">
            <v>PENDIENTE</v>
          </cell>
          <cell r="T3938">
            <v>0</v>
          </cell>
          <cell r="U3938" t="str">
            <v>PARI VENTURA  EDSON ORLANDO</v>
          </cell>
          <cell r="V3938" t="str">
            <v>FLOREZ CONDORI  JOSE WILLIANS</v>
          </cell>
        </row>
        <row r="3939">
          <cell r="A3939">
            <v>3944</v>
          </cell>
          <cell r="B3939">
            <v>42744</v>
          </cell>
          <cell r="C3939" t="str">
            <v>ENERO</v>
          </cell>
          <cell r="D3939" t="str">
            <v>2017</v>
          </cell>
          <cell r="E3939">
            <v>780</v>
          </cell>
          <cell r="F3939" t="str">
            <v>C5R-895</v>
          </cell>
          <cell r="G3939" t="str">
            <v>TBL-976</v>
          </cell>
          <cell r="H3939" t="str">
            <v>LAS BAMBAS</v>
          </cell>
          <cell r="I3939">
            <v>173125</v>
          </cell>
          <cell r="J3939" t="str">
            <v>SERVICIO</v>
          </cell>
          <cell r="K3939" t="str">
            <v>SERVICIO DE REPARACION DE INTERCOOLER</v>
          </cell>
          <cell r="L3939">
            <v>1</v>
          </cell>
          <cell r="M3939" t="str">
            <v>UNID.</v>
          </cell>
          <cell r="N3939" t="str">
            <v>TRACTO</v>
          </cell>
          <cell r="O3939">
            <v>46</v>
          </cell>
          <cell r="P3939" t="str">
            <v>M8</v>
          </cell>
          <cell r="Q3939" t="str">
            <v>J1</v>
          </cell>
          <cell r="R3939" t="str">
            <v>J6</v>
          </cell>
          <cell r="S3939" t="str">
            <v>PENDIENTE</v>
          </cell>
          <cell r="T3939">
            <v>0</v>
          </cell>
          <cell r="U3939" t="str">
            <v>VARILLAS GAGO  OSCAR ALBERTO</v>
          </cell>
          <cell r="V3939" t="str">
            <v>FLOREZ CONDORI  JOSE WILLIANS</v>
          </cell>
        </row>
        <row r="3940">
          <cell r="A3940">
            <v>3954</v>
          </cell>
          <cell r="B3940">
            <v>42744</v>
          </cell>
          <cell r="C3940" t="str">
            <v>ENERO</v>
          </cell>
          <cell r="D3940" t="str">
            <v>2017</v>
          </cell>
          <cell r="E3940">
            <v>787</v>
          </cell>
          <cell r="F3940" t="str">
            <v>C9P-948</v>
          </cell>
          <cell r="G3940" t="str">
            <v>B4O-995</v>
          </cell>
          <cell r="H3940" t="str">
            <v>LAS BAMBAS</v>
          </cell>
          <cell r="I3940">
            <v>159895</v>
          </cell>
          <cell r="J3940" t="str">
            <v>REPUESTO</v>
          </cell>
          <cell r="K3940" t="str">
            <v>BOMBA DE COMBUSTIBLE</v>
          </cell>
          <cell r="L3940">
            <v>1</v>
          </cell>
          <cell r="M3940" t="str">
            <v>UNID.</v>
          </cell>
          <cell r="N3940" t="str">
            <v>TRACTO</v>
          </cell>
          <cell r="O3940">
            <v>46</v>
          </cell>
          <cell r="P3940" t="str">
            <v>M9</v>
          </cell>
          <cell r="Q3940" t="str">
            <v>J1</v>
          </cell>
          <cell r="R3940" t="str">
            <v>J6</v>
          </cell>
          <cell r="S3940" t="str">
            <v>PENDIENTE</v>
          </cell>
          <cell r="T3940">
            <v>0</v>
          </cell>
          <cell r="U3940" t="str">
            <v>POMA SALAZAR CIRO</v>
          </cell>
          <cell r="V3940" t="str">
            <v>FLOREZ CONDORI  JOSE WILLIANS</v>
          </cell>
        </row>
        <row r="3941">
          <cell r="A3941">
            <v>3955</v>
          </cell>
          <cell r="B3941">
            <v>42744</v>
          </cell>
          <cell r="C3941" t="str">
            <v>ENERO</v>
          </cell>
          <cell r="D3941" t="str">
            <v>2017</v>
          </cell>
          <cell r="E3941">
            <v>787</v>
          </cell>
          <cell r="F3941" t="str">
            <v>C9P-948</v>
          </cell>
          <cell r="G3941" t="str">
            <v>B4O-995</v>
          </cell>
          <cell r="H3941" t="str">
            <v>LAS BAMBAS</v>
          </cell>
          <cell r="I3941">
            <v>159895</v>
          </cell>
          <cell r="J3941" t="str">
            <v>REPUESTO</v>
          </cell>
          <cell r="K3941" t="str">
            <v>EMPAQUE RECTANGULAR DE TURBO</v>
          </cell>
          <cell r="L3941">
            <v>1</v>
          </cell>
          <cell r="M3941" t="str">
            <v>UNID.</v>
          </cell>
          <cell r="N3941" t="str">
            <v>TRACTO</v>
          </cell>
          <cell r="O3941">
            <v>46</v>
          </cell>
          <cell r="P3941" t="str">
            <v>M9</v>
          </cell>
          <cell r="Q3941" t="str">
            <v>J1</v>
          </cell>
          <cell r="R3941" t="str">
            <v>J6</v>
          </cell>
          <cell r="S3941" t="str">
            <v>PENDIENTE</v>
          </cell>
          <cell r="T3941">
            <v>0</v>
          </cell>
          <cell r="U3941" t="str">
            <v>POMA SALAZAR CIRO</v>
          </cell>
          <cell r="V3941" t="str">
            <v>FLOREZ CONDORI  JOSE WILLIANS</v>
          </cell>
        </row>
        <row r="3942">
          <cell r="A3942">
            <v>3956</v>
          </cell>
          <cell r="B3942">
            <v>42744</v>
          </cell>
          <cell r="C3942" t="str">
            <v>ENERO</v>
          </cell>
          <cell r="D3942" t="str">
            <v>2017</v>
          </cell>
          <cell r="E3942">
            <v>787</v>
          </cell>
          <cell r="F3942" t="str">
            <v>C9P-948</v>
          </cell>
          <cell r="G3942" t="str">
            <v>B4O-995</v>
          </cell>
          <cell r="H3942" t="str">
            <v>LAS BAMBAS</v>
          </cell>
          <cell r="I3942">
            <v>159895</v>
          </cell>
          <cell r="J3942" t="str">
            <v>REPUESTO</v>
          </cell>
          <cell r="K3942" t="str">
            <v>EMPAQUE DE ACEITE PARA TURBO</v>
          </cell>
          <cell r="L3942">
            <v>1</v>
          </cell>
          <cell r="M3942" t="str">
            <v>UNID.</v>
          </cell>
          <cell r="N3942" t="str">
            <v>TRACTO</v>
          </cell>
          <cell r="O3942">
            <v>46</v>
          </cell>
          <cell r="P3942" t="str">
            <v>M9</v>
          </cell>
          <cell r="Q3942" t="str">
            <v>J1</v>
          </cell>
          <cell r="R3942" t="str">
            <v>J6</v>
          </cell>
          <cell r="S3942" t="str">
            <v>PENDIENTE</v>
          </cell>
          <cell r="T3942">
            <v>0</v>
          </cell>
          <cell r="U3942" t="str">
            <v>POMA SALAZAR CIRO</v>
          </cell>
          <cell r="V3942" t="str">
            <v>FLOREZ CONDORI  JOSE WILLIANS</v>
          </cell>
        </row>
        <row r="3943">
          <cell r="A3943">
            <v>3945</v>
          </cell>
          <cell r="B3943">
            <v>42744</v>
          </cell>
          <cell r="C3943" t="str">
            <v>ENERO</v>
          </cell>
          <cell r="D3943" t="str">
            <v>2017</v>
          </cell>
          <cell r="E3943">
            <v>751</v>
          </cell>
          <cell r="F3943" t="str">
            <v>D3O-745</v>
          </cell>
          <cell r="G3943" t="str">
            <v>F3L-979</v>
          </cell>
          <cell r="H3943" t="str">
            <v>LAS BAMBAS</v>
          </cell>
          <cell r="I3943">
            <v>163411</v>
          </cell>
          <cell r="J3943" t="str">
            <v>REPUESTO</v>
          </cell>
          <cell r="K3943" t="str">
            <v>BOCAMAZA AMERICANA</v>
          </cell>
          <cell r="L3943">
            <v>1</v>
          </cell>
          <cell r="M3943" t="str">
            <v>UNID.</v>
          </cell>
          <cell r="N3943" t="str">
            <v>CISTERNA</v>
          </cell>
          <cell r="O3943">
            <v>46</v>
          </cell>
          <cell r="P3943" t="str">
            <v>M8</v>
          </cell>
          <cell r="Q3943" t="str">
            <v>J1</v>
          </cell>
          <cell r="R3943" t="str">
            <v>J6</v>
          </cell>
          <cell r="S3943" t="str">
            <v>PENDIENTE</v>
          </cell>
          <cell r="T3943">
            <v>0</v>
          </cell>
          <cell r="U3943" t="str">
            <v>VARILLAS GAGO  OSCAR ALBERTO</v>
          </cell>
          <cell r="V3943" t="str">
            <v>FLOREZ CONDORI  JOSE WILLIANS</v>
          </cell>
        </row>
        <row r="3944">
          <cell r="A3944">
            <v>3946</v>
          </cell>
          <cell r="B3944">
            <v>42744</v>
          </cell>
          <cell r="C3944" t="str">
            <v>ENERO</v>
          </cell>
          <cell r="D3944" t="str">
            <v>2017</v>
          </cell>
          <cell r="E3944">
            <v>751</v>
          </cell>
          <cell r="F3944" t="str">
            <v>D3O-745</v>
          </cell>
          <cell r="G3944" t="str">
            <v>F3L-979</v>
          </cell>
          <cell r="H3944" t="str">
            <v>LAS BAMBAS</v>
          </cell>
          <cell r="I3944">
            <v>163411</v>
          </cell>
          <cell r="J3944" t="str">
            <v>REPUESTO</v>
          </cell>
          <cell r="K3944" t="str">
            <v>RODAJES DE BOCAMAZA</v>
          </cell>
          <cell r="L3944">
            <v>2</v>
          </cell>
          <cell r="M3944" t="str">
            <v>JUEGO</v>
          </cell>
          <cell r="N3944" t="str">
            <v>CISTERNA</v>
          </cell>
          <cell r="O3944">
            <v>46</v>
          </cell>
          <cell r="P3944" t="str">
            <v>M8</v>
          </cell>
          <cell r="Q3944" t="str">
            <v>J1</v>
          </cell>
          <cell r="R3944" t="str">
            <v>J6</v>
          </cell>
          <cell r="S3944" t="str">
            <v>PENDIENTE</v>
          </cell>
          <cell r="T3944">
            <v>0</v>
          </cell>
          <cell r="U3944" t="str">
            <v>VARILLAS GAGO  OSCAR ALBERTO</v>
          </cell>
          <cell r="V3944" t="str">
            <v>FLOREZ CONDORI  JOSE WILLIANS</v>
          </cell>
        </row>
        <row r="3945">
          <cell r="A3945">
            <v>3947</v>
          </cell>
          <cell r="B3945">
            <v>42744</v>
          </cell>
          <cell r="C3945" t="str">
            <v>ENERO</v>
          </cell>
          <cell r="D3945" t="str">
            <v>2017</v>
          </cell>
          <cell r="E3945">
            <v>751</v>
          </cell>
          <cell r="F3945" t="str">
            <v>D3O-745</v>
          </cell>
          <cell r="G3945" t="str">
            <v>F3L-979</v>
          </cell>
          <cell r="H3945" t="str">
            <v>LAS BAMBAS</v>
          </cell>
          <cell r="I3945">
            <v>163411</v>
          </cell>
          <cell r="J3945" t="str">
            <v>REPUESTO</v>
          </cell>
          <cell r="K3945" t="str">
            <v>TAPA DE BOCAMAZA</v>
          </cell>
          <cell r="L3945">
            <v>1</v>
          </cell>
          <cell r="M3945" t="str">
            <v>UNID.</v>
          </cell>
          <cell r="N3945" t="str">
            <v>CISTERNA</v>
          </cell>
          <cell r="O3945">
            <v>46</v>
          </cell>
          <cell r="P3945" t="str">
            <v>M8</v>
          </cell>
          <cell r="Q3945" t="str">
            <v>J1</v>
          </cell>
          <cell r="R3945" t="str">
            <v>J6</v>
          </cell>
          <cell r="S3945" t="str">
            <v>PENDIENTE</v>
          </cell>
          <cell r="T3945">
            <v>0</v>
          </cell>
          <cell r="U3945" t="str">
            <v>VARILLAS GAGO  OSCAR ALBERTO</v>
          </cell>
          <cell r="V3945" t="str">
            <v>FLOREZ CONDORI  JOSE WILLIANS</v>
          </cell>
        </row>
        <row r="3946">
          <cell r="A3946">
            <v>3921</v>
          </cell>
          <cell r="B3946">
            <v>42744</v>
          </cell>
          <cell r="C3946" t="str">
            <v>ENERO</v>
          </cell>
          <cell r="D3946" t="str">
            <v>2017</v>
          </cell>
          <cell r="E3946">
            <v>761</v>
          </cell>
          <cell r="F3946" t="str">
            <v>D3P-730</v>
          </cell>
          <cell r="G3946" t="str">
            <v>TBM-980</v>
          </cell>
          <cell r="H3946" t="str">
            <v>LAS BAMBAS</v>
          </cell>
          <cell r="I3946">
            <v>109127</v>
          </cell>
          <cell r="J3946" t="str">
            <v>REPUESTO</v>
          </cell>
          <cell r="K3946" t="str">
            <v>PLANCHA A36  1/2" X 1.5 X 3</v>
          </cell>
          <cell r="L3946">
            <v>1</v>
          </cell>
          <cell r="M3946" t="str">
            <v>UNID.</v>
          </cell>
          <cell r="N3946" t="str">
            <v>CISTERNA</v>
          </cell>
          <cell r="O3946">
            <v>46</v>
          </cell>
          <cell r="P3946" t="str">
            <v>S1</v>
          </cell>
          <cell r="Q3946" t="str">
            <v>J1</v>
          </cell>
          <cell r="R3946" t="str">
            <v>J1</v>
          </cell>
          <cell r="S3946" t="str">
            <v>PENDIENTE</v>
          </cell>
          <cell r="T3946">
            <v>0</v>
          </cell>
          <cell r="U3946" t="str">
            <v>BAYONA CRUZ CRISTIAN ARMANDO</v>
          </cell>
          <cell r="V3946" t="str">
            <v>FLOREZ CONDORI  JOSE WILLIANS</v>
          </cell>
        </row>
        <row r="3947">
          <cell r="A3947">
            <v>3922</v>
          </cell>
          <cell r="B3947">
            <v>42744</v>
          </cell>
          <cell r="C3947" t="str">
            <v>ENERO</v>
          </cell>
          <cell r="D3947" t="str">
            <v>2017</v>
          </cell>
          <cell r="E3947">
            <v>761</v>
          </cell>
          <cell r="F3947" t="str">
            <v>D3P-730</v>
          </cell>
          <cell r="G3947" t="str">
            <v>TBM-980</v>
          </cell>
          <cell r="H3947" t="str">
            <v>LAS BAMBAS</v>
          </cell>
          <cell r="I3947">
            <v>109127</v>
          </cell>
          <cell r="J3947" t="str">
            <v>REPUESTO</v>
          </cell>
          <cell r="K3947" t="str">
            <v>KIN PIN DE PLATO DE 2" PARA PLANCHA DE 1/2</v>
          </cell>
          <cell r="L3947">
            <v>1</v>
          </cell>
          <cell r="M3947" t="str">
            <v>UNID.</v>
          </cell>
          <cell r="N3947" t="str">
            <v>CISTERNA</v>
          </cell>
          <cell r="O3947">
            <v>46</v>
          </cell>
          <cell r="P3947" t="str">
            <v>S1</v>
          </cell>
          <cell r="Q3947" t="str">
            <v>J1</v>
          </cell>
          <cell r="R3947" t="str">
            <v>J1</v>
          </cell>
          <cell r="S3947" t="str">
            <v>PENDIENTE</v>
          </cell>
          <cell r="T3947">
            <v>0</v>
          </cell>
          <cell r="U3947" t="str">
            <v>BAYONA CRUZ CRISTIAN ARMANDO</v>
          </cell>
          <cell r="V3947" t="str">
            <v>FLOREZ CONDORI  JOSE WILLIANS</v>
          </cell>
        </row>
        <row r="3948">
          <cell r="A3948">
            <v>3963</v>
          </cell>
          <cell r="B3948">
            <v>42744</v>
          </cell>
          <cell r="C3948" t="str">
            <v>ENERO</v>
          </cell>
          <cell r="D3948" t="str">
            <v>2017</v>
          </cell>
          <cell r="E3948">
            <v>761</v>
          </cell>
          <cell r="F3948" t="str">
            <v>D3P-730</v>
          </cell>
          <cell r="G3948" t="str">
            <v>TBM-980</v>
          </cell>
          <cell r="H3948" t="str">
            <v>LAS BAMBAS</v>
          </cell>
          <cell r="I3948">
            <v>109127</v>
          </cell>
          <cell r="J3948" t="str">
            <v>REPUESTO</v>
          </cell>
          <cell r="K3948" t="str">
            <v>DISCO DE CORTE DE 7"</v>
          </cell>
          <cell r="L3948">
            <v>2</v>
          </cell>
          <cell r="M3948" t="str">
            <v>UNID.</v>
          </cell>
          <cell r="N3948" t="str">
            <v>CISTERNA</v>
          </cell>
          <cell r="O3948">
            <v>46</v>
          </cell>
          <cell r="P3948" t="str">
            <v>S1</v>
          </cell>
          <cell r="Q3948" t="str">
            <v>J1</v>
          </cell>
          <cell r="R3948" t="str">
            <v>J6</v>
          </cell>
          <cell r="S3948" t="str">
            <v>PENDIENTE</v>
          </cell>
          <cell r="T3948">
            <v>0</v>
          </cell>
          <cell r="U3948" t="str">
            <v>BAYONA CRUZ CRISTIAN ARMANDO</v>
          </cell>
          <cell r="V3948" t="str">
            <v>FLOREZ CONDORI  JOSE WILLIANS</v>
          </cell>
        </row>
        <row r="3949">
          <cell r="A3949">
            <v>3964</v>
          </cell>
          <cell r="B3949">
            <v>42744</v>
          </cell>
          <cell r="C3949" t="str">
            <v>ENERO</v>
          </cell>
          <cell r="D3949" t="str">
            <v>2017</v>
          </cell>
          <cell r="E3949">
            <v>761</v>
          </cell>
          <cell r="F3949" t="str">
            <v>D3P-730</v>
          </cell>
          <cell r="G3949" t="str">
            <v>TBM-980</v>
          </cell>
          <cell r="H3949" t="str">
            <v>LAS BAMBAS</v>
          </cell>
          <cell r="I3949">
            <v>109127</v>
          </cell>
          <cell r="J3949" t="str">
            <v>REPUESTO</v>
          </cell>
          <cell r="K3949" t="str">
            <v>DISCO DESBASTE DE 4"</v>
          </cell>
          <cell r="L3949">
            <v>1</v>
          </cell>
          <cell r="M3949" t="str">
            <v>UNID.</v>
          </cell>
          <cell r="N3949" t="str">
            <v>CISTERNA</v>
          </cell>
          <cell r="O3949">
            <v>46</v>
          </cell>
          <cell r="P3949" t="str">
            <v>S1</v>
          </cell>
          <cell r="Q3949" t="str">
            <v>J1</v>
          </cell>
          <cell r="R3949" t="str">
            <v>J6</v>
          </cell>
          <cell r="S3949" t="str">
            <v>PENDIENTE</v>
          </cell>
          <cell r="T3949">
            <v>0</v>
          </cell>
          <cell r="U3949" t="str">
            <v>BAYONA CRUZ CRISTIAN ARMANDO</v>
          </cell>
          <cell r="V3949" t="str">
            <v>FLOREZ CONDORI  JOSE WILLIANS</v>
          </cell>
        </row>
        <row r="3950">
          <cell r="A3950">
            <v>3965</v>
          </cell>
          <cell r="B3950">
            <v>42744</v>
          </cell>
          <cell r="C3950" t="str">
            <v>ENERO</v>
          </cell>
          <cell r="D3950" t="str">
            <v>2017</v>
          </cell>
          <cell r="E3950">
            <v>761</v>
          </cell>
          <cell r="F3950" t="str">
            <v>D3P-730</v>
          </cell>
          <cell r="G3950" t="str">
            <v>TBM-980</v>
          </cell>
          <cell r="H3950" t="str">
            <v>LAS BAMBAS</v>
          </cell>
          <cell r="I3950">
            <v>109127</v>
          </cell>
          <cell r="J3950" t="str">
            <v>REPUESTO</v>
          </cell>
          <cell r="K3950" t="str">
            <v>SUPERCITO 5/32</v>
          </cell>
          <cell r="L3950">
            <v>5</v>
          </cell>
          <cell r="M3950" t="str">
            <v>KG.</v>
          </cell>
          <cell r="N3950" t="str">
            <v>CISTERNA</v>
          </cell>
          <cell r="O3950">
            <v>46</v>
          </cell>
          <cell r="P3950" t="str">
            <v>S1</v>
          </cell>
          <cell r="Q3950" t="str">
            <v>J1</v>
          </cell>
          <cell r="R3950" t="str">
            <v>J6</v>
          </cell>
          <cell r="S3950" t="str">
            <v>PENDIENTE</v>
          </cell>
          <cell r="T3950">
            <v>0</v>
          </cell>
          <cell r="U3950" t="str">
            <v>BAYONA CRUZ CRISTIAN ARMANDO</v>
          </cell>
          <cell r="V3950" t="str">
            <v>FLOREZ CONDORI  JOSE WILLIANS</v>
          </cell>
        </row>
        <row r="3951">
          <cell r="A3951">
            <v>3966</v>
          </cell>
          <cell r="B3951">
            <v>42744</v>
          </cell>
          <cell r="C3951" t="str">
            <v>ENERO</v>
          </cell>
          <cell r="D3951" t="str">
            <v>2017</v>
          </cell>
          <cell r="E3951">
            <v>761</v>
          </cell>
          <cell r="F3951" t="str">
            <v>D3P-730</v>
          </cell>
          <cell r="G3951" t="str">
            <v>TBM-980</v>
          </cell>
          <cell r="H3951" t="str">
            <v>LAS BAMBAS</v>
          </cell>
          <cell r="I3951">
            <v>109127</v>
          </cell>
          <cell r="J3951" t="str">
            <v>REPUESTO</v>
          </cell>
          <cell r="K3951" t="str">
            <v>CELLOCORD 1/8</v>
          </cell>
          <cell r="L3951">
            <v>3</v>
          </cell>
          <cell r="M3951" t="str">
            <v>KG.</v>
          </cell>
          <cell r="N3951" t="str">
            <v>CISTERNA</v>
          </cell>
          <cell r="O3951">
            <v>46</v>
          </cell>
          <cell r="P3951" t="str">
            <v>S1</v>
          </cell>
          <cell r="Q3951" t="str">
            <v>J1</v>
          </cell>
          <cell r="R3951" t="str">
            <v>J6</v>
          </cell>
          <cell r="S3951" t="str">
            <v>PENDIENTE</v>
          </cell>
          <cell r="T3951">
            <v>0</v>
          </cell>
          <cell r="U3951" t="str">
            <v>BAYONA CRUZ CRISTIAN ARMANDO</v>
          </cell>
          <cell r="V3951" t="str">
            <v>FLOREZ CONDORI  JOSE WILLIANS</v>
          </cell>
        </row>
        <row r="3952">
          <cell r="A3952">
            <v>3967</v>
          </cell>
          <cell r="B3952">
            <v>42744</v>
          </cell>
          <cell r="C3952" t="str">
            <v>ENERO</v>
          </cell>
          <cell r="D3952" t="str">
            <v>2017</v>
          </cell>
          <cell r="E3952">
            <v>761</v>
          </cell>
          <cell r="F3952" t="str">
            <v>D3P-730</v>
          </cell>
          <cell r="G3952" t="str">
            <v>TBM-980</v>
          </cell>
          <cell r="H3952" t="str">
            <v>LAS BAMBAS</v>
          </cell>
          <cell r="I3952">
            <v>109127</v>
          </cell>
          <cell r="J3952" t="str">
            <v>REPUESTO</v>
          </cell>
          <cell r="K3952" t="str">
            <v>PERNOS 5/8 X 2</v>
          </cell>
          <cell r="L3952">
            <v>10</v>
          </cell>
          <cell r="M3952" t="str">
            <v>UNID.</v>
          </cell>
          <cell r="N3952" t="str">
            <v>CISTERNA</v>
          </cell>
          <cell r="O3952">
            <v>46</v>
          </cell>
          <cell r="P3952" t="str">
            <v>S1</v>
          </cell>
          <cell r="Q3952" t="str">
            <v>J1</v>
          </cell>
          <cell r="R3952" t="str">
            <v>J6</v>
          </cell>
          <cell r="S3952" t="str">
            <v>PENDIENTE</v>
          </cell>
          <cell r="T3952">
            <v>0</v>
          </cell>
          <cell r="U3952" t="str">
            <v>BAYONA CRUZ CRISTIAN ARMANDO</v>
          </cell>
          <cell r="V3952" t="str">
            <v>FLOREZ CONDORI  JOSE WILLIANS</v>
          </cell>
        </row>
        <row r="3953">
          <cell r="A3953">
            <v>3968</v>
          </cell>
          <cell r="B3953">
            <v>42744</v>
          </cell>
          <cell r="C3953" t="str">
            <v>ENERO</v>
          </cell>
          <cell r="D3953" t="str">
            <v>2017</v>
          </cell>
          <cell r="E3953">
            <v>761</v>
          </cell>
          <cell r="F3953" t="str">
            <v>D3P-730</v>
          </cell>
          <cell r="G3953" t="str">
            <v>TBM-980</v>
          </cell>
          <cell r="H3953" t="str">
            <v>LAS BAMBAS</v>
          </cell>
          <cell r="I3953">
            <v>109127</v>
          </cell>
          <cell r="J3953" t="str">
            <v>REPUESTO</v>
          </cell>
          <cell r="K3953" t="str">
            <v>TUERCA FRENADA 5/8</v>
          </cell>
          <cell r="L3953">
            <v>10</v>
          </cell>
          <cell r="M3953" t="str">
            <v>UNID.</v>
          </cell>
          <cell r="N3953" t="str">
            <v>CISTERNA</v>
          </cell>
          <cell r="O3953">
            <v>46</v>
          </cell>
          <cell r="P3953" t="str">
            <v>S1</v>
          </cell>
          <cell r="Q3953" t="str">
            <v>J1</v>
          </cell>
          <cell r="R3953" t="str">
            <v>J6</v>
          </cell>
          <cell r="S3953" t="str">
            <v>PENDIENTE</v>
          </cell>
          <cell r="T3953">
            <v>0</v>
          </cell>
          <cell r="U3953" t="str">
            <v>BAYONA CRUZ CRISTIAN ARMANDO</v>
          </cell>
          <cell r="V3953" t="str">
            <v>FLOREZ CONDORI  JOSE WILLIANS</v>
          </cell>
        </row>
        <row r="3954">
          <cell r="A3954">
            <v>3969</v>
          </cell>
          <cell r="B3954">
            <v>42744</v>
          </cell>
          <cell r="C3954" t="str">
            <v>ENERO</v>
          </cell>
          <cell r="D3954" t="str">
            <v>2017</v>
          </cell>
          <cell r="E3954">
            <v>761</v>
          </cell>
          <cell r="F3954" t="str">
            <v>D3P-730</v>
          </cell>
          <cell r="G3954" t="str">
            <v>TBM-980</v>
          </cell>
          <cell r="H3954" t="str">
            <v>LAS BAMBAS</v>
          </cell>
          <cell r="I3954">
            <v>109127</v>
          </cell>
          <cell r="J3954" t="str">
            <v>REPUESTO</v>
          </cell>
          <cell r="K3954" t="str">
            <v>ARANDELA PLANA 5/8</v>
          </cell>
          <cell r="L3954">
            <v>10</v>
          </cell>
          <cell r="M3954" t="str">
            <v>UNID.</v>
          </cell>
          <cell r="N3954" t="str">
            <v>CISTERNA</v>
          </cell>
          <cell r="O3954">
            <v>46</v>
          </cell>
          <cell r="P3954" t="str">
            <v>S1</v>
          </cell>
          <cell r="Q3954" t="str">
            <v>J1</v>
          </cell>
          <cell r="R3954" t="str">
            <v>J6</v>
          </cell>
          <cell r="S3954" t="str">
            <v>PENDIENTE</v>
          </cell>
          <cell r="T3954">
            <v>0</v>
          </cell>
          <cell r="U3954" t="str">
            <v>BAYONA CRUZ CRISTIAN ARMANDO</v>
          </cell>
          <cell r="V3954" t="str">
            <v>FLOREZ CONDORI  JOSE WILLIANS</v>
          </cell>
        </row>
        <row r="3955">
          <cell r="A3955">
            <v>3982</v>
          </cell>
          <cell r="B3955">
            <v>42744</v>
          </cell>
          <cell r="C3955" t="str">
            <v>ENERO</v>
          </cell>
          <cell r="D3955" t="str">
            <v>2017</v>
          </cell>
          <cell r="E3955">
            <v>202</v>
          </cell>
          <cell r="F3955" t="str">
            <v>D3P-752</v>
          </cell>
          <cell r="G3955" t="str">
            <v>C5Y-985</v>
          </cell>
          <cell r="H3955" t="str">
            <v>LAS BAMBAS</v>
          </cell>
          <cell r="I3955">
            <v>150504</v>
          </cell>
          <cell r="J3955" t="str">
            <v>SERVICIO</v>
          </cell>
          <cell r="K3955" t="str">
            <v>SERVICIO DE PRENSADO DE TERMINALES BRAZO DE DIRECCION</v>
          </cell>
          <cell r="L3955">
            <v>1</v>
          </cell>
          <cell r="M3955" t="str">
            <v>UNID.</v>
          </cell>
          <cell r="N3955" t="str">
            <v>TRACTO</v>
          </cell>
          <cell r="O3955">
            <v>46</v>
          </cell>
          <cell r="P3955" t="str">
            <v>M8</v>
          </cell>
          <cell r="Q3955" t="str">
            <v>J1</v>
          </cell>
          <cell r="R3955" t="str">
            <v>J6</v>
          </cell>
          <cell r="S3955" t="str">
            <v>PENDIENTE</v>
          </cell>
          <cell r="T3955">
            <v>0</v>
          </cell>
          <cell r="U3955" t="str">
            <v>VARILLAS GAGO  OSCAR ALBERTO</v>
          </cell>
          <cell r="V3955" t="str">
            <v>FLOREZ CONDORI  JOSE WILLIANS</v>
          </cell>
        </row>
        <row r="3956">
          <cell r="A3956">
            <v>3925</v>
          </cell>
          <cell r="B3956">
            <v>42744</v>
          </cell>
          <cell r="C3956" t="str">
            <v>ENERO</v>
          </cell>
          <cell r="D3956" t="str">
            <v>2017</v>
          </cell>
          <cell r="E3956">
            <v>727</v>
          </cell>
          <cell r="F3956" t="str">
            <v>D3Q-741</v>
          </cell>
          <cell r="G3956" t="str">
            <v>D2E-976</v>
          </cell>
          <cell r="H3956" t="str">
            <v>LAS BAMBAS</v>
          </cell>
          <cell r="I3956">
            <v>166717</v>
          </cell>
          <cell r="J3956" t="str">
            <v>SERVICIO</v>
          </cell>
          <cell r="K3956" t="str">
            <v>SERVICIO DE REPARACION DE CHAPA</v>
          </cell>
          <cell r="L3956">
            <v>1</v>
          </cell>
          <cell r="M3956" t="str">
            <v>UNID.</v>
          </cell>
          <cell r="N3956" t="str">
            <v>TRACTO</v>
          </cell>
          <cell r="O3956">
            <v>46</v>
          </cell>
          <cell r="P3956" t="str">
            <v>J7</v>
          </cell>
          <cell r="Q3956" t="str">
            <v>J7</v>
          </cell>
          <cell r="R3956" t="str">
            <v>J6</v>
          </cell>
          <cell r="S3956" t="str">
            <v>PENDIENTE</v>
          </cell>
          <cell r="T3956">
            <v>0</v>
          </cell>
          <cell r="U3956" t="str">
            <v>DONAYRE INGA PEDRO</v>
          </cell>
          <cell r="V3956" t="str">
            <v>DONAYRE INGA PEDRO</v>
          </cell>
        </row>
        <row r="3957">
          <cell r="A3957">
            <v>3930</v>
          </cell>
          <cell r="B3957">
            <v>42744</v>
          </cell>
          <cell r="C3957" t="str">
            <v>ENERO</v>
          </cell>
          <cell r="D3957" t="str">
            <v>2017</v>
          </cell>
          <cell r="E3957">
            <v>786</v>
          </cell>
          <cell r="F3957" t="str">
            <v>D3R-791</v>
          </cell>
          <cell r="G3957" t="str">
            <v>B1M-993</v>
          </cell>
          <cell r="H3957" t="str">
            <v>LAS BAMBAS</v>
          </cell>
          <cell r="I3957">
            <v>144022</v>
          </cell>
          <cell r="J3957" t="str">
            <v>REPUESTO</v>
          </cell>
          <cell r="K3957" t="str">
            <v>MANGUERA DE ACORDEON COLOR AZUL DE TRACTO A CISTERNA</v>
          </cell>
          <cell r="L3957">
            <v>1</v>
          </cell>
          <cell r="M3957" t="str">
            <v>UNID.</v>
          </cell>
          <cell r="N3957" t="str">
            <v>TRACTO</v>
          </cell>
          <cell r="O3957">
            <v>46</v>
          </cell>
          <cell r="P3957" t="str">
            <v>M4</v>
          </cell>
          <cell r="Q3957" t="str">
            <v>J1</v>
          </cell>
          <cell r="R3957" t="str">
            <v>J6</v>
          </cell>
          <cell r="S3957" t="str">
            <v>PENDIENTE</v>
          </cell>
          <cell r="T3957">
            <v>0</v>
          </cell>
          <cell r="U3957" t="str">
            <v>JULLIRI APAZA UBALDO</v>
          </cell>
          <cell r="V3957" t="str">
            <v>FLOREZ CONDORI  JOSE WILLIANS</v>
          </cell>
        </row>
        <row r="3958">
          <cell r="A3958">
            <v>3929</v>
          </cell>
          <cell r="B3958">
            <v>42744</v>
          </cell>
          <cell r="C3958" t="str">
            <v>ENERO</v>
          </cell>
          <cell r="D3958" t="str">
            <v>2017</v>
          </cell>
          <cell r="E3958">
            <v>666</v>
          </cell>
          <cell r="F3958" t="str">
            <v>D3S-725</v>
          </cell>
          <cell r="G3958" t="str">
            <v>TBL-977</v>
          </cell>
          <cell r="H3958" t="str">
            <v>LAS BAMBAS</v>
          </cell>
          <cell r="I3958">
            <v>150007</v>
          </cell>
          <cell r="J3958" t="str">
            <v>REPUESTO</v>
          </cell>
          <cell r="K3958" t="str">
            <v xml:space="preserve">BATERIAS </v>
          </cell>
          <cell r="L3958">
            <v>4</v>
          </cell>
          <cell r="M3958" t="str">
            <v>UNID.</v>
          </cell>
          <cell r="N3958" t="str">
            <v>TRACTO</v>
          </cell>
          <cell r="O3958">
            <v>46</v>
          </cell>
          <cell r="P3958" t="str">
            <v>E3</v>
          </cell>
          <cell r="Q3958" t="str">
            <v>J1</v>
          </cell>
          <cell r="R3958" t="str">
            <v>J6</v>
          </cell>
          <cell r="S3958" t="str">
            <v>PENDIENTE</v>
          </cell>
          <cell r="T3958">
            <v>0</v>
          </cell>
          <cell r="U3958" t="str">
            <v>CONDORI CHURATA ALEX</v>
          </cell>
          <cell r="V3958" t="str">
            <v>FLOREZ CONDORI  JOSE WILLIANS</v>
          </cell>
        </row>
        <row r="3959">
          <cell r="A3959">
            <v>3923</v>
          </cell>
          <cell r="B3959">
            <v>42744</v>
          </cell>
          <cell r="C3959" t="str">
            <v>ENERO</v>
          </cell>
          <cell r="D3959" t="str">
            <v>2017</v>
          </cell>
          <cell r="E3959">
            <v>758</v>
          </cell>
          <cell r="F3959" t="str">
            <v>D6F-898</v>
          </cell>
          <cell r="G3959" t="str">
            <v>T4L-996</v>
          </cell>
          <cell r="H3959" t="str">
            <v>LAS BAMBAS</v>
          </cell>
          <cell r="I3959">
            <v>166460</v>
          </cell>
          <cell r="J3959" t="str">
            <v>SERVICIO</v>
          </cell>
          <cell r="K3959" t="str">
            <v>SERVICIO SE REPARACION DE PARACHOQUE IZQUIERDO</v>
          </cell>
          <cell r="L3959">
            <v>1</v>
          </cell>
          <cell r="M3959" t="str">
            <v>UNID.</v>
          </cell>
          <cell r="N3959" t="str">
            <v>TRACTO</v>
          </cell>
          <cell r="O3959">
            <v>46</v>
          </cell>
          <cell r="P3959" t="str">
            <v>J1</v>
          </cell>
          <cell r="Q3959" t="str">
            <v>J1</v>
          </cell>
          <cell r="R3959" t="str">
            <v>J6</v>
          </cell>
          <cell r="S3959" t="str">
            <v>PENDIENTE</v>
          </cell>
          <cell r="T3959">
            <v>0</v>
          </cell>
          <cell r="U3959" t="str">
            <v>FLOREZ CONDORI  JOSE WILLIANS</v>
          </cell>
          <cell r="V3959" t="str">
            <v>FLOREZ CONDORI  JOSE WILLIANS</v>
          </cell>
        </row>
        <row r="3960">
          <cell r="A3960">
            <v>3949</v>
          </cell>
          <cell r="B3960">
            <v>42744</v>
          </cell>
          <cell r="C3960" t="str">
            <v>ENERO</v>
          </cell>
          <cell r="D3960" t="str">
            <v>2017</v>
          </cell>
          <cell r="E3960">
            <v>758</v>
          </cell>
          <cell r="F3960" t="str">
            <v>D6F-898</v>
          </cell>
          <cell r="G3960" t="str">
            <v>T4L-996</v>
          </cell>
          <cell r="H3960" t="str">
            <v>LAS BAMBAS</v>
          </cell>
          <cell r="I3960">
            <v>166460</v>
          </cell>
          <cell r="J3960" t="str">
            <v>REPUESTO</v>
          </cell>
          <cell r="K3960" t="str">
            <v>PERNOS 5/16 X 1 1/2</v>
          </cell>
          <cell r="L3960">
            <v>6</v>
          </cell>
          <cell r="M3960" t="str">
            <v>UNID.</v>
          </cell>
          <cell r="N3960" t="str">
            <v>CISTERNA</v>
          </cell>
          <cell r="O3960">
            <v>46</v>
          </cell>
          <cell r="P3960" t="str">
            <v>S1</v>
          </cell>
          <cell r="Q3960" t="str">
            <v>J1</v>
          </cell>
          <cell r="R3960" t="str">
            <v>J6</v>
          </cell>
          <cell r="S3960" t="str">
            <v>PENDIENTE</v>
          </cell>
          <cell r="T3960">
            <v>0</v>
          </cell>
          <cell r="U3960" t="str">
            <v>BAYONA CRUZ CRISTIAN ARMANDO</v>
          </cell>
          <cell r="V3960" t="str">
            <v>FLOREZ CONDORI  JOSE WILLIANS</v>
          </cell>
        </row>
        <row r="3961">
          <cell r="A3961">
            <v>3950</v>
          </cell>
          <cell r="B3961">
            <v>42744</v>
          </cell>
          <cell r="C3961" t="str">
            <v>ENERO</v>
          </cell>
          <cell r="D3961" t="str">
            <v>2017</v>
          </cell>
          <cell r="E3961">
            <v>758</v>
          </cell>
          <cell r="F3961" t="str">
            <v>D6F-898</v>
          </cell>
          <cell r="G3961" t="str">
            <v>T4L-996</v>
          </cell>
          <cell r="H3961" t="str">
            <v>LAS BAMBAS</v>
          </cell>
          <cell r="I3961">
            <v>166460</v>
          </cell>
          <cell r="J3961" t="str">
            <v>REPUESTO</v>
          </cell>
          <cell r="K3961" t="str">
            <v>ARANDELA PLANA 5/16</v>
          </cell>
          <cell r="L3961">
            <v>12</v>
          </cell>
          <cell r="M3961" t="str">
            <v>UNID.</v>
          </cell>
          <cell r="N3961" t="str">
            <v>CISTERNA</v>
          </cell>
          <cell r="O3961">
            <v>46</v>
          </cell>
          <cell r="P3961" t="str">
            <v>S1</v>
          </cell>
          <cell r="Q3961" t="str">
            <v>J1</v>
          </cell>
          <cell r="R3961" t="str">
            <v>J6</v>
          </cell>
          <cell r="S3961" t="str">
            <v>PENDIENTE</v>
          </cell>
          <cell r="T3961">
            <v>0</v>
          </cell>
          <cell r="U3961" t="str">
            <v>BAYONA CRUZ CRISTIAN ARMANDO</v>
          </cell>
          <cell r="V3961" t="str">
            <v>FLOREZ CONDORI  JOSE WILLIANS</v>
          </cell>
        </row>
        <row r="3962">
          <cell r="A3962">
            <v>3951</v>
          </cell>
          <cell r="B3962">
            <v>42744</v>
          </cell>
          <cell r="C3962" t="str">
            <v>ENERO</v>
          </cell>
          <cell r="D3962" t="str">
            <v>2017</v>
          </cell>
          <cell r="E3962">
            <v>758</v>
          </cell>
          <cell r="F3962" t="str">
            <v>D6F-898</v>
          </cell>
          <cell r="G3962" t="str">
            <v>T4L-996</v>
          </cell>
          <cell r="H3962" t="str">
            <v>LAS BAMBAS</v>
          </cell>
          <cell r="I3962">
            <v>166460</v>
          </cell>
          <cell r="J3962" t="str">
            <v>REPUESTO</v>
          </cell>
          <cell r="K3962" t="str">
            <v>TUERCA SEGURO 5/16</v>
          </cell>
          <cell r="L3962">
            <v>12</v>
          </cell>
          <cell r="M3962" t="str">
            <v>UNID.</v>
          </cell>
          <cell r="N3962" t="str">
            <v>CISTERNA</v>
          </cell>
          <cell r="O3962">
            <v>46</v>
          </cell>
          <cell r="P3962" t="str">
            <v>S1</v>
          </cell>
          <cell r="Q3962" t="str">
            <v>J1</v>
          </cell>
          <cell r="R3962" t="str">
            <v>J6</v>
          </cell>
          <cell r="S3962" t="str">
            <v>PENDIENTE</v>
          </cell>
          <cell r="T3962">
            <v>0</v>
          </cell>
          <cell r="U3962" t="str">
            <v>BAYONA CRUZ CRISTIAN ARMANDO</v>
          </cell>
          <cell r="V3962" t="str">
            <v>FLOREZ CONDORI  JOSE WILLIANS</v>
          </cell>
        </row>
        <row r="3963">
          <cell r="A3963">
            <v>3957</v>
          </cell>
          <cell r="B3963">
            <v>42744</v>
          </cell>
          <cell r="C3963" t="str">
            <v>ENERO</v>
          </cell>
          <cell r="D3963" t="str">
            <v>2017</v>
          </cell>
          <cell r="E3963">
            <v>770</v>
          </cell>
          <cell r="F3963" t="str">
            <v>D6F-907</v>
          </cell>
          <cell r="G3963" t="str">
            <v>T2Y-979</v>
          </cell>
          <cell r="H3963" t="str">
            <v>LAS BAMBAS</v>
          </cell>
          <cell r="I3963">
            <v>203433</v>
          </cell>
          <cell r="J3963" t="str">
            <v>REPUESTO</v>
          </cell>
          <cell r="K3963" t="str">
            <v>EMPAQUE DE MULTIPLE DE ESCAPE</v>
          </cell>
          <cell r="L3963">
            <v>3</v>
          </cell>
          <cell r="M3963" t="str">
            <v>UNID.</v>
          </cell>
          <cell r="N3963" t="str">
            <v>TRACTO</v>
          </cell>
          <cell r="O3963">
            <v>46</v>
          </cell>
          <cell r="P3963" t="str">
            <v>M4</v>
          </cell>
          <cell r="Q3963" t="str">
            <v>J1</v>
          </cell>
          <cell r="R3963" t="str">
            <v>J6</v>
          </cell>
          <cell r="S3963" t="str">
            <v>PENDIENTE</v>
          </cell>
          <cell r="T3963">
            <v>0</v>
          </cell>
          <cell r="U3963" t="str">
            <v>JULLIRI APAZA UBALDO</v>
          </cell>
          <cell r="V3963" t="str">
            <v>FLOREZ CONDORI  JOSE WILLIANS</v>
          </cell>
        </row>
        <row r="3964">
          <cell r="A3964">
            <v>3958</v>
          </cell>
          <cell r="B3964">
            <v>42744</v>
          </cell>
          <cell r="C3964" t="str">
            <v>ENERO</v>
          </cell>
          <cell r="D3964" t="str">
            <v>2017</v>
          </cell>
          <cell r="E3964">
            <v>770</v>
          </cell>
          <cell r="F3964" t="str">
            <v>D6F-907</v>
          </cell>
          <cell r="G3964" t="str">
            <v>T2Y-979</v>
          </cell>
          <cell r="H3964" t="str">
            <v>LAS BAMBAS</v>
          </cell>
          <cell r="I3964">
            <v>203433</v>
          </cell>
          <cell r="J3964" t="str">
            <v>REPUESTO</v>
          </cell>
          <cell r="K3964" t="str">
            <v>PERNOS DE MULTIPLE DE ESCAPE</v>
          </cell>
          <cell r="L3964">
            <v>12</v>
          </cell>
          <cell r="M3964" t="str">
            <v>UNID.</v>
          </cell>
          <cell r="N3964" t="str">
            <v>TRACTO</v>
          </cell>
          <cell r="O3964">
            <v>46</v>
          </cell>
          <cell r="P3964" t="str">
            <v>M4</v>
          </cell>
          <cell r="Q3964" t="str">
            <v>J1</v>
          </cell>
          <cell r="R3964" t="str">
            <v>J6</v>
          </cell>
          <cell r="S3964" t="str">
            <v>PENDIENTE</v>
          </cell>
          <cell r="T3964">
            <v>0</v>
          </cell>
          <cell r="U3964" t="str">
            <v>JULLIRI APAZA UBALDO</v>
          </cell>
          <cell r="V3964" t="str">
            <v>FLOREZ CONDORI  JOSE WILLIANS</v>
          </cell>
        </row>
        <row r="3965">
          <cell r="A3965">
            <v>3959</v>
          </cell>
          <cell r="B3965">
            <v>42744</v>
          </cell>
          <cell r="C3965" t="str">
            <v>ENERO</v>
          </cell>
          <cell r="D3965" t="str">
            <v>2017</v>
          </cell>
          <cell r="E3965">
            <v>770</v>
          </cell>
          <cell r="F3965" t="str">
            <v>D6F-907</v>
          </cell>
          <cell r="G3965" t="str">
            <v>T2Y-979</v>
          </cell>
          <cell r="H3965" t="str">
            <v>LAS BAMBAS</v>
          </cell>
          <cell r="I3965">
            <v>203433</v>
          </cell>
          <cell r="J3965" t="str">
            <v>REPUESTO</v>
          </cell>
          <cell r="K3965" t="str">
            <v>EMPAQUE DE ACEITE PARA TURBO (RETORNO)</v>
          </cell>
          <cell r="L3965">
            <v>1</v>
          </cell>
          <cell r="M3965" t="str">
            <v>UNID.</v>
          </cell>
          <cell r="N3965" t="str">
            <v>TRACTO</v>
          </cell>
          <cell r="O3965">
            <v>46</v>
          </cell>
          <cell r="P3965" t="str">
            <v>M4</v>
          </cell>
          <cell r="Q3965" t="str">
            <v>J1</v>
          </cell>
          <cell r="R3965" t="str">
            <v>J6</v>
          </cell>
          <cell r="S3965" t="str">
            <v>PENDIENTE</v>
          </cell>
          <cell r="T3965">
            <v>0</v>
          </cell>
          <cell r="U3965" t="str">
            <v>JULLIRI APAZA UBALDO</v>
          </cell>
          <cell r="V3965" t="str">
            <v>FLOREZ CONDORI  JOSE WILLIANS</v>
          </cell>
        </row>
        <row r="3966">
          <cell r="A3966">
            <v>3937</v>
          </cell>
          <cell r="B3966">
            <v>42744</v>
          </cell>
          <cell r="C3966" t="str">
            <v>ENERO</v>
          </cell>
          <cell r="D3966" t="str">
            <v>2017</v>
          </cell>
          <cell r="E3966">
            <v>781</v>
          </cell>
          <cell r="F3966" t="str">
            <v>D7N-755</v>
          </cell>
          <cell r="G3966" t="str">
            <v>F7L-983</v>
          </cell>
          <cell r="H3966" t="str">
            <v>LAS BAMBAS</v>
          </cell>
          <cell r="I3966">
            <v>54137</v>
          </cell>
          <cell r="J3966" t="str">
            <v>REPUESTO</v>
          </cell>
          <cell r="K3966" t="str">
            <v>FAROS PIRATAS</v>
          </cell>
          <cell r="L3966">
            <v>2</v>
          </cell>
          <cell r="M3966" t="str">
            <v>UNID.</v>
          </cell>
          <cell r="N3966" t="str">
            <v>CISTERNA</v>
          </cell>
          <cell r="O3966">
            <v>46</v>
          </cell>
          <cell r="P3966" t="str">
            <v>E2</v>
          </cell>
          <cell r="Q3966" t="str">
            <v>J1</v>
          </cell>
          <cell r="R3966" t="str">
            <v>J6</v>
          </cell>
          <cell r="S3966" t="str">
            <v>PENDIENTE</v>
          </cell>
          <cell r="T3966">
            <v>0</v>
          </cell>
          <cell r="U3966" t="str">
            <v>YUCA BELLIDO BORIS YERSY</v>
          </cell>
          <cell r="V3966" t="str">
            <v>FLOREZ CONDORI  JOSE WILLIANS</v>
          </cell>
        </row>
        <row r="3967">
          <cell r="A3967">
            <v>3938</v>
          </cell>
          <cell r="B3967">
            <v>42744</v>
          </cell>
          <cell r="C3967" t="str">
            <v>ENERO</v>
          </cell>
          <cell r="D3967" t="str">
            <v>2017</v>
          </cell>
          <cell r="E3967">
            <v>781</v>
          </cell>
          <cell r="F3967" t="str">
            <v>D7N-755</v>
          </cell>
          <cell r="G3967" t="str">
            <v>F7L-983</v>
          </cell>
          <cell r="H3967" t="str">
            <v>LAS BAMBAS</v>
          </cell>
          <cell r="I3967">
            <v>54137</v>
          </cell>
          <cell r="J3967" t="str">
            <v>REPUESTO</v>
          </cell>
          <cell r="K3967" t="str">
            <v>CABLE NRO. 14</v>
          </cell>
          <cell r="L3967">
            <v>6</v>
          </cell>
          <cell r="M3967" t="str">
            <v>M</v>
          </cell>
          <cell r="N3967" t="str">
            <v>CISTERNA</v>
          </cell>
          <cell r="O3967">
            <v>46</v>
          </cell>
          <cell r="P3967" t="str">
            <v>E2</v>
          </cell>
          <cell r="Q3967" t="str">
            <v>J1</v>
          </cell>
          <cell r="R3967" t="str">
            <v>J6</v>
          </cell>
          <cell r="S3967" t="str">
            <v>PENDIENTE</v>
          </cell>
          <cell r="T3967">
            <v>0</v>
          </cell>
          <cell r="U3967" t="str">
            <v>YUCA BELLIDO BORIS YERSY</v>
          </cell>
          <cell r="V3967" t="str">
            <v>FLOREZ CONDORI  JOSE WILLIANS</v>
          </cell>
        </row>
        <row r="3968">
          <cell r="A3968">
            <v>3939</v>
          </cell>
          <cell r="B3968">
            <v>42744</v>
          </cell>
          <cell r="C3968" t="str">
            <v>ENERO</v>
          </cell>
          <cell r="D3968" t="str">
            <v>2017</v>
          </cell>
          <cell r="E3968">
            <v>781</v>
          </cell>
          <cell r="F3968" t="str">
            <v>D7N-755</v>
          </cell>
          <cell r="G3968" t="str">
            <v>F7L-983</v>
          </cell>
          <cell r="H3968" t="str">
            <v>LAS BAMBAS</v>
          </cell>
          <cell r="I3968">
            <v>54137</v>
          </cell>
          <cell r="J3968" t="str">
            <v>REPUESTO</v>
          </cell>
          <cell r="K3968" t="str">
            <v>TUBO CORRUGADO 1/4</v>
          </cell>
          <cell r="L3968">
            <v>6</v>
          </cell>
          <cell r="M3968" t="str">
            <v>M</v>
          </cell>
          <cell r="N3968" t="str">
            <v>CISTERNA</v>
          </cell>
          <cell r="O3968">
            <v>46</v>
          </cell>
          <cell r="P3968" t="str">
            <v>E2</v>
          </cell>
          <cell r="Q3968" t="str">
            <v>J1</v>
          </cell>
          <cell r="R3968" t="str">
            <v>J6</v>
          </cell>
          <cell r="S3968" t="str">
            <v>PENDIENTE</v>
          </cell>
          <cell r="T3968">
            <v>0</v>
          </cell>
          <cell r="U3968" t="str">
            <v>YUCA BELLIDO BORIS YERSY</v>
          </cell>
          <cell r="V3968" t="str">
            <v>FLOREZ CONDORI  JOSE WILLIANS</v>
          </cell>
        </row>
        <row r="3969">
          <cell r="A3969">
            <v>3940</v>
          </cell>
          <cell r="B3969">
            <v>42744</v>
          </cell>
          <cell r="C3969" t="str">
            <v>ENERO</v>
          </cell>
          <cell r="D3969" t="str">
            <v>2017</v>
          </cell>
          <cell r="E3969">
            <v>781</v>
          </cell>
          <cell r="F3969" t="str">
            <v>D7N-755</v>
          </cell>
          <cell r="G3969" t="str">
            <v>F7L-983</v>
          </cell>
          <cell r="H3969" t="str">
            <v>LAS BAMBAS</v>
          </cell>
          <cell r="I3969">
            <v>54137</v>
          </cell>
          <cell r="J3969" t="str">
            <v>REPUESTO</v>
          </cell>
          <cell r="K3969" t="str">
            <v>PERNOS 5/16 X 1 1/2</v>
          </cell>
          <cell r="L3969">
            <v>2</v>
          </cell>
          <cell r="M3969" t="str">
            <v>UNID.</v>
          </cell>
          <cell r="N3969" t="str">
            <v>CISTERNA</v>
          </cell>
          <cell r="O3969">
            <v>46</v>
          </cell>
          <cell r="P3969" t="str">
            <v>E2</v>
          </cell>
          <cell r="Q3969" t="str">
            <v>J1</v>
          </cell>
          <cell r="R3969" t="str">
            <v>J6</v>
          </cell>
          <cell r="S3969" t="str">
            <v>PENDIENTE</v>
          </cell>
          <cell r="T3969">
            <v>0</v>
          </cell>
          <cell r="U3969" t="str">
            <v>YUCA BELLIDO BORIS YERSY</v>
          </cell>
          <cell r="V3969" t="str">
            <v>FLOREZ CONDORI  JOSE WILLIANS</v>
          </cell>
        </row>
        <row r="3970">
          <cell r="A3970">
            <v>3941</v>
          </cell>
          <cell r="B3970">
            <v>42744</v>
          </cell>
          <cell r="C3970" t="str">
            <v>ENERO</v>
          </cell>
          <cell r="D3970" t="str">
            <v>2017</v>
          </cell>
          <cell r="E3970">
            <v>781</v>
          </cell>
          <cell r="F3970" t="str">
            <v>D7N-755</v>
          </cell>
          <cell r="G3970" t="str">
            <v>F7L-983</v>
          </cell>
          <cell r="H3970" t="str">
            <v>LAS BAMBAS</v>
          </cell>
          <cell r="I3970">
            <v>54137</v>
          </cell>
          <cell r="J3970" t="str">
            <v>REPUESTO</v>
          </cell>
          <cell r="K3970" t="str">
            <v>TUERCA SEGURO 5/16</v>
          </cell>
          <cell r="L3970">
            <v>4</v>
          </cell>
          <cell r="M3970" t="str">
            <v>UNID.</v>
          </cell>
          <cell r="N3970" t="str">
            <v>CISTERNA</v>
          </cell>
          <cell r="O3970">
            <v>46</v>
          </cell>
          <cell r="P3970" t="str">
            <v>E2</v>
          </cell>
          <cell r="Q3970" t="str">
            <v>J1</v>
          </cell>
          <cell r="R3970" t="str">
            <v>J6</v>
          </cell>
          <cell r="S3970" t="str">
            <v>PENDIENTE</v>
          </cell>
          <cell r="T3970">
            <v>0</v>
          </cell>
          <cell r="U3970" t="str">
            <v>YUCA BELLIDO BORIS YERSY</v>
          </cell>
          <cell r="V3970" t="str">
            <v>FLOREZ CONDORI  JOSE WILLIANS</v>
          </cell>
        </row>
        <row r="3971">
          <cell r="A3971">
            <v>3942</v>
          </cell>
          <cell r="B3971">
            <v>42744</v>
          </cell>
          <cell r="C3971" t="str">
            <v>ENERO</v>
          </cell>
          <cell r="D3971" t="str">
            <v>2017</v>
          </cell>
          <cell r="E3971">
            <v>781</v>
          </cell>
          <cell r="F3971" t="str">
            <v>D7N-755</v>
          </cell>
          <cell r="G3971" t="str">
            <v>F7L-983</v>
          </cell>
          <cell r="H3971" t="str">
            <v>LAS BAMBAS</v>
          </cell>
          <cell r="I3971">
            <v>54137</v>
          </cell>
          <cell r="J3971" t="str">
            <v>REPUESTO</v>
          </cell>
          <cell r="K3971" t="str">
            <v>ARANDELA PLANA 5/16</v>
          </cell>
          <cell r="L3971">
            <v>4</v>
          </cell>
          <cell r="M3971" t="str">
            <v>UNID.</v>
          </cell>
          <cell r="N3971" t="str">
            <v>CISTERNA</v>
          </cell>
          <cell r="O3971">
            <v>46</v>
          </cell>
          <cell r="P3971" t="str">
            <v>E2</v>
          </cell>
          <cell r="Q3971" t="str">
            <v>J1</v>
          </cell>
          <cell r="R3971" t="str">
            <v>J6</v>
          </cell>
          <cell r="S3971" t="str">
            <v>PENDIENTE</v>
          </cell>
          <cell r="T3971">
            <v>0</v>
          </cell>
          <cell r="U3971" t="str">
            <v>YUCA BELLIDO BORIS YERSY</v>
          </cell>
          <cell r="V3971" t="str">
            <v>FLOREZ CONDORI  JOSE WILLIANS</v>
          </cell>
        </row>
        <row r="3972">
          <cell r="A3972">
            <v>3933</v>
          </cell>
          <cell r="B3972">
            <v>42744</v>
          </cell>
          <cell r="C3972" t="str">
            <v>ENERO</v>
          </cell>
          <cell r="D3972" t="str">
            <v>2017</v>
          </cell>
          <cell r="E3972">
            <v>200</v>
          </cell>
          <cell r="F3972" t="str">
            <v>TALLER</v>
          </cell>
          <cell r="G3972" t="str">
            <v>TALLER</v>
          </cell>
          <cell r="H3972" t="str">
            <v>TALLER</v>
          </cell>
          <cell r="I3972" t="str">
            <v>TALLER</v>
          </cell>
          <cell r="J3972" t="str">
            <v>SERVICIO</v>
          </cell>
          <cell r="K3972" t="str">
            <v>SERVICIO DE REPARACION DE TALADRO CHICO</v>
          </cell>
          <cell r="L3972">
            <v>1</v>
          </cell>
          <cell r="M3972" t="str">
            <v>UNID.</v>
          </cell>
          <cell r="N3972" t="str">
            <v>TALLER</v>
          </cell>
          <cell r="O3972">
            <v>46</v>
          </cell>
          <cell r="P3972" t="str">
            <v>S1</v>
          </cell>
          <cell r="Q3972" t="str">
            <v>J1</v>
          </cell>
          <cell r="R3972" t="str">
            <v>J6</v>
          </cell>
          <cell r="S3972" t="str">
            <v>PENDIENTE</v>
          </cell>
          <cell r="T3972">
            <v>0</v>
          </cell>
          <cell r="U3972" t="str">
            <v>BAYONA CRUZ CRISTIAN ARMANDO</v>
          </cell>
          <cell r="V3972" t="str">
            <v>FLOREZ CONDORI  JOSE WILLIANS</v>
          </cell>
        </row>
        <row r="3973">
          <cell r="A3973">
            <v>3934</v>
          </cell>
          <cell r="B3973">
            <v>42744</v>
          </cell>
          <cell r="C3973" t="str">
            <v>ENERO</v>
          </cell>
          <cell r="D3973" t="str">
            <v>2017</v>
          </cell>
          <cell r="E3973">
            <v>200</v>
          </cell>
          <cell r="F3973" t="str">
            <v>TALLER</v>
          </cell>
          <cell r="G3973" t="str">
            <v>TALLER</v>
          </cell>
          <cell r="H3973" t="str">
            <v>TALLER</v>
          </cell>
          <cell r="I3973" t="str">
            <v>TALLER</v>
          </cell>
          <cell r="J3973" t="str">
            <v>REPUESTO</v>
          </cell>
          <cell r="K3973" t="str">
            <v>CHOK 1/2" PARA TALADRO CHICO</v>
          </cell>
          <cell r="L3973">
            <v>1</v>
          </cell>
          <cell r="M3973" t="str">
            <v>UNID.</v>
          </cell>
          <cell r="N3973" t="str">
            <v>TALLER</v>
          </cell>
          <cell r="O3973">
            <v>46</v>
          </cell>
          <cell r="P3973" t="str">
            <v>S1</v>
          </cell>
          <cell r="Q3973" t="str">
            <v>J1</v>
          </cell>
          <cell r="R3973" t="str">
            <v>J6</v>
          </cell>
          <cell r="S3973" t="str">
            <v>PENDIENTE</v>
          </cell>
          <cell r="T3973">
            <v>0</v>
          </cell>
          <cell r="U3973" t="str">
            <v>BAYONA CRUZ CRISTIAN ARMANDO</v>
          </cell>
          <cell r="V3973" t="str">
            <v>FLOREZ CONDORI  JOSE WILLIANS</v>
          </cell>
        </row>
        <row r="3974">
          <cell r="A3974">
            <v>3936</v>
          </cell>
          <cell r="B3974">
            <v>42744</v>
          </cell>
          <cell r="C3974" t="str">
            <v>ENERO</v>
          </cell>
          <cell r="D3974" t="str">
            <v>2017</v>
          </cell>
          <cell r="E3974">
            <v>200</v>
          </cell>
          <cell r="F3974" t="str">
            <v>TALLER</v>
          </cell>
          <cell r="G3974" t="str">
            <v>TALLER</v>
          </cell>
          <cell r="H3974" t="str">
            <v>TALLER</v>
          </cell>
          <cell r="I3974" t="str">
            <v>TALLER</v>
          </cell>
          <cell r="J3974" t="str">
            <v>INSUMO TALLER</v>
          </cell>
          <cell r="K3974" t="str">
            <v>BROCKA DE 3/8</v>
          </cell>
          <cell r="L3974">
            <v>1</v>
          </cell>
          <cell r="M3974" t="str">
            <v>UNID.</v>
          </cell>
          <cell r="N3974" t="str">
            <v>TALLER</v>
          </cell>
          <cell r="O3974">
            <v>46</v>
          </cell>
          <cell r="P3974" t="str">
            <v>E2</v>
          </cell>
          <cell r="Q3974" t="str">
            <v>J1</v>
          </cell>
          <cell r="R3974" t="str">
            <v>J6</v>
          </cell>
          <cell r="S3974" t="str">
            <v>PENDIENTE</v>
          </cell>
          <cell r="T3974">
            <v>0</v>
          </cell>
          <cell r="U3974" t="str">
            <v>YUCA BELLIDO BORIS YERSY</v>
          </cell>
          <cell r="V3974" t="str">
            <v>FLOREZ CONDORI  JOSE WILLIANS</v>
          </cell>
        </row>
        <row r="3975">
          <cell r="A3975">
            <v>3970</v>
          </cell>
          <cell r="B3975">
            <v>42744</v>
          </cell>
          <cell r="C3975" t="str">
            <v>ENERO</v>
          </cell>
          <cell r="D3975" t="str">
            <v>2017</v>
          </cell>
          <cell r="E3975">
            <v>200</v>
          </cell>
          <cell r="F3975" t="str">
            <v>TALLER</v>
          </cell>
          <cell r="G3975" t="str">
            <v>TALLER</v>
          </cell>
          <cell r="H3975" t="str">
            <v>TALLER</v>
          </cell>
          <cell r="I3975" t="str">
            <v>TALLER</v>
          </cell>
          <cell r="J3975" t="str">
            <v>INSUMO TALLER</v>
          </cell>
          <cell r="K3975" t="str">
            <v>MANGUERA PARA EQUIPO DE OXICORTE</v>
          </cell>
          <cell r="L3975">
            <v>20</v>
          </cell>
          <cell r="M3975" t="str">
            <v>M</v>
          </cell>
          <cell r="N3975" t="str">
            <v>TALLER</v>
          </cell>
          <cell r="O3975">
            <v>46</v>
          </cell>
          <cell r="P3975" t="str">
            <v>S1</v>
          </cell>
          <cell r="Q3975" t="str">
            <v>J1</v>
          </cell>
          <cell r="R3975" t="str">
            <v>J6</v>
          </cell>
          <cell r="S3975" t="str">
            <v>ENTREGADO</v>
          </cell>
          <cell r="T3975">
            <v>0</v>
          </cell>
          <cell r="U3975" t="str">
            <v>BAYONA CRUZ CRISTIAN ARMANDO</v>
          </cell>
          <cell r="V3975" t="str">
            <v>FLOREZ CONDORI  JOSE WILLIANS</v>
          </cell>
        </row>
        <row r="3976">
          <cell r="A3976">
            <v>3972</v>
          </cell>
          <cell r="B3976">
            <v>42744</v>
          </cell>
          <cell r="C3976" t="str">
            <v>ENERO</v>
          </cell>
          <cell r="D3976" t="str">
            <v>2017</v>
          </cell>
          <cell r="E3976">
            <v>200</v>
          </cell>
          <cell r="F3976" t="str">
            <v>TALLER</v>
          </cell>
          <cell r="G3976" t="str">
            <v>TALLER</v>
          </cell>
          <cell r="H3976" t="str">
            <v>TALLER</v>
          </cell>
          <cell r="I3976" t="str">
            <v>TALLER</v>
          </cell>
          <cell r="J3976" t="str">
            <v>SERVICIO</v>
          </cell>
          <cell r="K3976" t="str">
            <v>SERVICIO DE ALQUILER DE MONTACARGA DE 2 TONELADAS</v>
          </cell>
          <cell r="L3976">
            <v>1</v>
          </cell>
          <cell r="M3976" t="str">
            <v>UNID.</v>
          </cell>
          <cell r="N3976" t="str">
            <v>TALLER</v>
          </cell>
          <cell r="O3976">
            <v>46</v>
          </cell>
          <cell r="P3976" t="str">
            <v>J7</v>
          </cell>
          <cell r="Q3976" t="str">
            <v>J7</v>
          </cell>
          <cell r="R3976" t="str">
            <v>J6</v>
          </cell>
          <cell r="S3976" t="str">
            <v>PENDIENTE</v>
          </cell>
          <cell r="T3976">
            <v>0</v>
          </cell>
          <cell r="U3976" t="str">
            <v>DONAYRE INGA PEDRO</v>
          </cell>
          <cell r="V3976" t="str">
            <v>DONAYRE INGA PEDRO</v>
          </cell>
        </row>
        <row r="3977">
          <cell r="A3977">
            <v>3975</v>
          </cell>
          <cell r="B3977">
            <v>42744</v>
          </cell>
          <cell r="C3977" t="str">
            <v>ENERO</v>
          </cell>
          <cell r="D3977" t="str">
            <v>2017</v>
          </cell>
          <cell r="E3977">
            <v>200</v>
          </cell>
          <cell r="F3977" t="str">
            <v>TALLER</v>
          </cell>
          <cell r="G3977" t="str">
            <v>TALLER</v>
          </cell>
          <cell r="H3977" t="str">
            <v>TALLER</v>
          </cell>
          <cell r="I3977" t="str">
            <v>TALLER</v>
          </cell>
          <cell r="J3977" t="str">
            <v>INSUMO TALLER</v>
          </cell>
          <cell r="K3977" t="str">
            <v>BISAGRAS DE 3/8 X 1 1/2</v>
          </cell>
          <cell r="L3977">
            <v>20</v>
          </cell>
          <cell r="M3977" t="str">
            <v>UNID.</v>
          </cell>
          <cell r="N3977" t="str">
            <v>TALLER</v>
          </cell>
          <cell r="O3977">
            <v>46</v>
          </cell>
          <cell r="P3977" t="str">
            <v>S4</v>
          </cell>
          <cell r="Q3977" t="str">
            <v>J1</v>
          </cell>
          <cell r="R3977" t="str">
            <v>J6</v>
          </cell>
          <cell r="S3977" t="str">
            <v>PENDIENTE</v>
          </cell>
          <cell r="T3977">
            <v>0</v>
          </cell>
          <cell r="U3977" t="str">
            <v>SURCO QUISPE JOHNNY</v>
          </cell>
          <cell r="V3977" t="str">
            <v>FLOREZ CONDORI  JOSE WILLIANS</v>
          </cell>
        </row>
        <row r="3978">
          <cell r="A3978">
            <v>3976</v>
          </cell>
          <cell r="B3978">
            <v>42744</v>
          </cell>
          <cell r="C3978" t="str">
            <v>ENERO</v>
          </cell>
          <cell r="D3978" t="str">
            <v>2017</v>
          </cell>
          <cell r="E3978">
            <v>200</v>
          </cell>
          <cell r="F3978" t="str">
            <v>TALLER</v>
          </cell>
          <cell r="G3978" t="str">
            <v>TALLER</v>
          </cell>
          <cell r="H3978" t="str">
            <v>TALLER</v>
          </cell>
          <cell r="I3978" t="str">
            <v>TALLER</v>
          </cell>
          <cell r="J3978" t="str">
            <v>INSUMO TALLER</v>
          </cell>
          <cell r="K3978" t="str">
            <v>DISCO DE CORTE DE 4"</v>
          </cell>
          <cell r="L3978">
            <v>1</v>
          </cell>
          <cell r="M3978" t="str">
            <v>UNID.</v>
          </cell>
          <cell r="N3978" t="str">
            <v>TALLER</v>
          </cell>
          <cell r="O3978">
            <v>46</v>
          </cell>
          <cell r="P3978" t="str">
            <v>S4</v>
          </cell>
          <cell r="Q3978" t="str">
            <v>J1</v>
          </cell>
          <cell r="R3978" t="str">
            <v>J6</v>
          </cell>
          <cell r="S3978" t="str">
            <v>PENDIENTE</v>
          </cell>
          <cell r="T3978">
            <v>0</v>
          </cell>
          <cell r="U3978" t="str">
            <v>SURCO QUISPE JOHNNY</v>
          </cell>
          <cell r="V3978" t="str">
            <v>FLOREZ CONDORI  JOSE WILLIANS</v>
          </cell>
        </row>
        <row r="3979">
          <cell r="A3979">
            <v>3977</v>
          </cell>
          <cell r="B3979">
            <v>42744</v>
          </cell>
          <cell r="C3979" t="str">
            <v>ENERO</v>
          </cell>
          <cell r="D3979" t="str">
            <v>2017</v>
          </cell>
          <cell r="E3979">
            <v>200</v>
          </cell>
          <cell r="F3979" t="str">
            <v>TALLER</v>
          </cell>
          <cell r="G3979" t="str">
            <v>TALLER</v>
          </cell>
          <cell r="H3979" t="str">
            <v>TALLER</v>
          </cell>
          <cell r="I3979" t="str">
            <v>TALLER</v>
          </cell>
          <cell r="J3979" t="str">
            <v>INSUMO TALLER</v>
          </cell>
          <cell r="K3979" t="str">
            <v>LUNAS CLARAS</v>
          </cell>
          <cell r="L3979">
            <v>2</v>
          </cell>
          <cell r="M3979" t="str">
            <v>UNID.</v>
          </cell>
          <cell r="N3979" t="str">
            <v>TALLER</v>
          </cell>
          <cell r="O3979">
            <v>46</v>
          </cell>
          <cell r="P3979" t="str">
            <v>S4</v>
          </cell>
          <cell r="Q3979" t="str">
            <v>J1</v>
          </cell>
          <cell r="R3979" t="str">
            <v>J6</v>
          </cell>
          <cell r="S3979" t="str">
            <v>PENDIENTE</v>
          </cell>
          <cell r="T3979">
            <v>0</v>
          </cell>
          <cell r="U3979" t="str">
            <v>SURCO QUISPE JOHNNY</v>
          </cell>
          <cell r="V3979" t="str">
            <v>FLOREZ CONDORI  JOSE WILLIANS</v>
          </cell>
        </row>
        <row r="3980">
          <cell r="A3980">
            <v>3981</v>
          </cell>
          <cell r="B3980">
            <v>42744</v>
          </cell>
          <cell r="C3980" t="str">
            <v>ENERO</v>
          </cell>
          <cell r="D3980" t="str">
            <v>2017</v>
          </cell>
          <cell r="E3980">
            <v>200</v>
          </cell>
          <cell r="F3980" t="str">
            <v>TALLER</v>
          </cell>
          <cell r="G3980" t="str">
            <v>TALLER</v>
          </cell>
          <cell r="H3980" t="str">
            <v>TALLER</v>
          </cell>
          <cell r="I3980" t="str">
            <v>TALLER</v>
          </cell>
          <cell r="J3980" t="str">
            <v>SERVICIO</v>
          </cell>
          <cell r="K3980" t="str">
            <v>SERVICIO DE REPARACION DE MAQUINA ENGRASADORA</v>
          </cell>
          <cell r="L3980">
            <v>1</v>
          </cell>
          <cell r="M3980" t="str">
            <v>UNID.</v>
          </cell>
          <cell r="N3980" t="str">
            <v>TALLER</v>
          </cell>
          <cell r="O3980">
            <v>46</v>
          </cell>
          <cell r="P3980" t="str">
            <v>J7</v>
          </cell>
          <cell r="Q3980" t="str">
            <v>J7</v>
          </cell>
          <cell r="R3980" t="str">
            <v>J6</v>
          </cell>
          <cell r="S3980" t="str">
            <v>PENDIENTE</v>
          </cell>
          <cell r="T3980">
            <v>0</v>
          </cell>
          <cell r="U3980" t="str">
            <v>DONAYRE INGA PEDRO</v>
          </cell>
          <cell r="V3980" t="str">
            <v>DONAYRE INGA PEDRO</v>
          </cell>
        </row>
        <row r="3981">
          <cell r="A3981">
            <v>3931</v>
          </cell>
          <cell r="B3981">
            <v>42744</v>
          </cell>
          <cell r="C3981" t="str">
            <v>ENERO</v>
          </cell>
          <cell r="D3981" t="str">
            <v>2017</v>
          </cell>
          <cell r="E3981">
            <v>785</v>
          </cell>
          <cell r="F3981" t="str">
            <v>X2W-762</v>
          </cell>
          <cell r="G3981" t="str">
            <v>C5V-998</v>
          </cell>
          <cell r="H3981" t="str">
            <v>LAS BAMBAS</v>
          </cell>
          <cell r="I3981">
            <v>161727</v>
          </cell>
          <cell r="J3981" t="str">
            <v>REPUESTO</v>
          </cell>
          <cell r="K3981" t="str">
            <v>ACEITE DE MOTOR 15W40</v>
          </cell>
          <cell r="L3981">
            <v>1</v>
          </cell>
          <cell r="M3981" t="str">
            <v>GLNS.</v>
          </cell>
          <cell r="N3981" t="str">
            <v>TRACTO</v>
          </cell>
          <cell r="O3981">
            <v>46</v>
          </cell>
          <cell r="P3981" t="str">
            <v>M5</v>
          </cell>
          <cell r="Q3981" t="str">
            <v>J1</v>
          </cell>
          <cell r="R3981" t="str">
            <v>J6</v>
          </cell>
          <cell r="S3981" t="str">
            <v>PENDIENTE</v>
          </cell>
          <cell r="T3981">
            <v>0</v>
          </cell>
          <cell r="U3981" t="str">
            <v>LOPEZ RUIZ WILBERTO</v>
          </cell>
          <cell r="V3981" t="str">
            <v>FLOREZ CONDORI  JOSE WILLIANS</v>
          </cell>
        </row>
        <row r="3982">
          <cell r="A3982">
            <v>3932</v>
          </cell>
          <cell r="B3982">
            <v>42744</v>
          </cell>
          <cell r="C3982" t="str">
            <v>ENERO</v>
          </cell>
          <cell r="D3982" t="str">
            <v>2017</v>
          </cell>
          <cell r="E3982">
            <v>785</v>
          </cell>
          <cell r="F3982" t="str">
            <v>X2W-762</v>
          </cell>
          <cell r="G3982" t="str">
            <v>C5V-998</v>
          </cell>
          <cell r="H3982" t="str">
            <v>LAS BAMBAS</v>
          </cell>
          <cell r="I3982">
            <v>161727</v>
          </cell>
          <cell r="J3982" t="str">
            <v>REPUESTO</v>
          </cell>
          <cell r="K3982" t="str">
            <v>LIQUIDO REFRIGERANTE</v>
          </cell>
          <cell r="L3982">
            <v>1</v>
          </cell>
          <cell r="M3982" t="str">
            <v>GLNS.</v>
          </cell>
          <cell r="N3982" t="str">
            <v>TRACTO</v>
          </cell>
          <cell r="O3982">
            <v>46</v>
          </cell>
          <cell r="P3982" t="str">
            <v>M5</v>
          </cell>
          <cell r="Q3982" t="str">
            <v>J1</v>
          </cell>
          <cell r="R3982" t="str">
            <v>J6</v>
          </cell>
          <cell r="S3982" t="str">
            <v>PENDIENTE</v>
          </cell>
          <cell r="T3982">
            <v>0</v>
          </cell>
          <cell r="U3982" t="str">
            <v>LOPEZ RUIZ WILBERTO</v>
          </cell>
          <cell r="V3982" t="str">
            <v>FLOREZ CONDORI  JOSE WILLIANS</v>
          </cell>
        </row>
        <row r="3983">
          <cell r="A3983">
            <v>3952</v>
          </cell>
          <cell r="B3983">
            <v>42744</v>
          </cell>
          <cell r="C3983" t="str">
            <v>ENERO</v>
          </cell>
          <cell r="D3983" t="str">
            <v>2017</v>
          </cell>
          <cell r="E3983">
            <v>772</v>
          </cell>
          <cell r="F3983" t="str">
            <v>X2W-765</v>
          </cell>
          <cell r="G3983" t="str">
            <v>C5V-993</v>
          </cell>
          <cell r="H3983" t="str">
            <v>LAS BAMBAS</v>
          </cell>
          <cell r="I3983">
            <v>160329</v>
          </cell>
          <cell r="J3983" t="str">
            <v>REPUESTO</v>
          </cell>
          <cell r="K3983" t="str">
            <v>PRESINTOS 300</v>
          </cell>
          <cell r="L3983">
            <v>5</v>
          </cell>
          <cell r="M3983" t="str">
            <v>UNID.</v>
          </cell>
          <cell r="N3983" t="str">
            <v>CISTERNA</v>
          </cell>
          <cell r="O3983">
            <v>46</v>
          </cell>
          <cell r="P3983" t="str">
            <v>J1</v>
          </cell>
          <cell r="Q3983" t="str">
            <v>J1</v>
          </cell>
          <cell r="R3983" t="str">
            <v>J6</v>
          </cell>
          <cell r="S3983" t="str">
            <v>PENDIENTE</v>
          </cell>
          <cell r="T3983">
            <v>0</v>
          </cell>
          <cell r="U3983" t="str">
            <v>FLOREZ CONDORI  JOSE WILLIANS</v>
          </cell>
          <cell r="V3983" t="str">
            <v>FLOREZ CONDORI  JOSE WILLIANS</v>
          </cell>
        </row>
        <row r="3984">
          <cell r="A3984">
            <v>4012</v>
          </cell>
          <cell r="B3984">
            <v>42745</v>
          </cell>
          <cell r="C3984" t="str">
            <v>ENERO</v>
          </cell>
          <cell r="D3984" t="str">
            <v>2017</v>
          </cell>
          <cell r="E3984">
            <v>790</v>
          </cell>
          <cell r="F3984" t="str">
            <v>A9H-889</v>
          </cell>
          <cell r="G3984" t="str">
            <v>CAMION</v>
          </cell>
          <cell r="H3984" t="str">
            <v>TAMBOMAYO</v>
          </cell>
          <cell r="I3984">
            <v>123746</v>
          </cell>
          <cell r="J3984" t="str">
            <v>REPUESTO</v>
          </cell>
          <cell r="K3984" t="str">
            <v>EMPAQUE DE ACEITE</v>
          </cell>
          <cell r="L3984">
            <v>2</v>
          </cell>
          <cell r="M3984" t="str">
            <v>UNID.</v>
          </cell>
          <cell r="N3984" t="str">
            <v>CAMION</v>
          </cell>
          <cell r="O3984">
            <v>45</v>
          </cell>
          <cell r="P3984" t="str">
            <v>M5</v>
          </cell>
          <cell r="Q3984" t="str">
            <v>J1</v>
          </cell>
          <cell r="R3984" t="str">
            <v>J6</v>
          </cell>
          <cell r="S3984" t="str">
            <v>PENDIENTE</v>
          </cell>
          <cell r="T3984">
            <v>0</v>
          </cell>
          <cell r="U3984" t="str">
            <v>LOPEZ RUIZ WILBERTO</v>
          </cell>
          <cell r="V3984" t="str">
            <v>FLOREZ CONDORI  JOSE WILLIANS</v>
          </cell>
        </row>
        <row r="3985">
          <cell r="A3985">
            <v>4015</v>
          </cell>
          <cell r="B3985">
            <v>42745</v>
          </cell>
          <cell r="C3985" t="str">
            <v>ENERO</v>
          </cell>
          <cell r="D3985" t="str">
            <v>2017</v>
          </cell>
          <cell r="E3985">
            <v>798</v>
          </cell>
          <cell r="F3985" t="str">
            <v>ABP-729</v>
          </cell>
          <cell r="G3985" t="str">
            <v>D8K-985</v>
          </cell>
          <cell r="H3985" t="str">
            <v>LAS BAMBAS</v>
          </cell>
          <cell r="I3985">
            <v>115370</v>
          </cell>
          <cell r="J3985" t="str">
            <v>REPUESTO</v>
          </cell>
          <cell r="K3985" t="str">
            <v>ZAPATAS</v>
          </cell>
          <cell r="L3985">
            <v>2</v>
          </cell>
          <cell r="M3985" t="str">
            <v>JUEGO</v>
          </cell>
          <cell r="N3985" t="str">
            <v>TRACTO</v>
          </cell>
          <cell r="O3985">
            <v>45</v>
          </cell>
          <cell r="P3985" t="str">
            <v>M8</v>
          </cell>
          <cell r="Q3985" t="str">
            <v>J1</v>
          </cell>
          <cell r="R3985" t="str">
            <v>J6</v>
          </cell>
          <cell r="S3985" t="str">
            <v>PENDIENTE</v>
          </cell>
          <cell r="T3985">
            <v>0</v>
          </cell>
          <cell r="U3985" t="str">
            <v>VARILLAS GAGO  OSCAR ALBERTO</v>
          </cell>
          <cell r="V3985" t="str">
            <v>FLOREZ CONDORI  JOSE WILLIANS</v>
          </cell>
        </row>
        <row r="3986">
          <cell r="A3986">
            <v>4016</v>
          </cell>
          <cell r="B3986">
            <v>42745</v>
          </cell>
          <cell r="C3986" t="str">
            <v>ENERO</v>
          </cell>
          <cell r="D3986" t="str">
            <v>2017</v>
          </cell>
          <cell r="E3986">
            <v>798</v>
          </cell>
          <cell r="F3986" t="str">
            <v>ABP-729</v>
          </cell>
          <cell r="G3986" t="str">
            <v>D8K-985</v>
          </cell>
          <cell r="H3986" t="str">
            <v>LAS BAMBAS</v>
          </cell>
          <cell r="I3986">
            <v>115370</v>
          </cell>
          <cell r="J3986" t="str">
            <v>REPUESTO</v>
          </cell>
          <cell r="K3986" t="str">
            <v>RESORTES GRANDES</v>
          </cell>
          <cell r="L3986">
            <v>4</v>
          </cell>
          <cell r="M3986" t="str">
            <v>UNID.</v>
          </cell>
          <cell r="N3986" t="str">
            <v>TRACTO</v>
          </cell>
          <cell r="O3986">
            <v>45</v>
          </cell>
          <cell r="P3986" t="str">
            <v>M8</v>
          </cell>
          <cell r="Q3986" t="str">
            <v>J1</v>
          </cell>
          <cell r="R3986" t="str">
            <v>J6</v>
          </cell>
          <cell r="S3986" t="str">
            <v>PENDIENTE</v>
          </cell>
          <cell r="T3986">
            <v>0</v>
          </cell>
          <cell r="U3986" t="str">
            <v>VARILLAS GAGO  OSCAR ALBERTO</v>
          </cell>
          <cell r="V3986" t="str">
            <v>FLOREZ CONDORI  JOSE WILLIANS</v>
          </cell>
        </row>
        <row r="3987">
          <cell r="A3987">
            <v>4017</v>
          </cell>
          <cell r="B3987">
            <v>42745</v>
          </cell>
          <cell r="C3987" t="str">
            <v>ENERO</v>
          </cell>
          <cell r="D3987" t="str">
            <v>2017</v>
          </cell>
          <cell r="E3987">
            <v>798</v>
          </cell>
          <cell r="F3987" t="str">
            <v>ABP-729</v>
          </cell>
          <cell r="G3987" t="str">
            <v>D8K-985</v>
          </cell>
          <cell r="H3987" t="str">
            <v>LAS BAMBAS</v>
          </cell>
          <cell r="I3987">
            <v>115370</v>
          </cell>
          <cell r="J3987" t="str">
            <v>REPUESTO</v>
          </cell>
          <cell r="K3987" t="str">
            <v>RESORTES PEQUEÑOS</v>
          </cell>
          <cell r="L3987">
            <v>8</v>
          </cell>
          <cell r="M3987" t="str">
            <v>UNID.</v>
          </cell>
          <cell r="N3987" t="str">
            <v>TRACTO</v>
          </cell>
          <cell r="O3987">
            <v>45</v>
          </cell>
          <cell r="P3987" t="str">
            <v>M8</v>
          </cell>
          <cell r="Q3987" t="str">
            <v>J1</v>
          </cell>
          <cell r="R3987" t="str">
            <v>J6</v>
          </cell>
          <cell r="S3987" t="str">
            <v>PENDIENTE</v>
          </cell>
          <cell r="T3987">
            <v>0</v>
          </cell>
          <cell r="U3987" t="str">
            <v>VARILLAS GAGO  OSCAR ALBERTO</v>
          </cell>
          <cell r="V3987" t="str">
            <v>FLOREZ CONDORI  JOSE WILLIANS</v>
          </cell>
        </row>
        <row r="3988">
          <cell r="A3988">
            <v>4018</v>
          </cell>
          <cell r="B3988">
            <v>42745</v>
          </cell>
          <cell r="C3988" t="str">
            <v>ENERO</v>
          </cell>
          <cell r="D3988" t="str">
            <v>2017</v>
          </cell>
          <cell r="E3988">
            <v>798</v>
          </cell>
          <cell r="F3988" t="str">
            <v>ABP-729</v>
          </cell>
          <cell r="G3988" t="str">
            <v>D8K-985</v>
          </cell>
          <cell r="H3988" t="str">
            <v>LAS BAMBAS</v>
          </cell>
          <cell r="I3988">
            <v>115370</v>
          </cell>
          <cell r="J3988" t="str">
            <v>REPUESTO</v>
          </cell>
          <cell r="K3988" t="str">
            <v>RETEN DE RUEDA DE TRACCION 47691 SKF</v>
          </cell>
          <cell r="L3988">
            <v>1</v>
          </cell>
          <cell r="M3988" t="str">
            <v>UNID.</v>
          </cell>
          <cell r="N3988" t="str">
            <v>TRACTO</v>
          </cell>
          <cell r="O3988">
            <v>45</v>
          </cell>
          <cell r="P3988" t="str">
            <v>M8</v>
          </cell>
          <cell r="Q3988" t="str">
            <v>J1</v>
          </cell>
          <cell r="R3988" t="str">
            <v>J6</v>
          </cell>
          <cell r="S3988" t="str">
            <v>PENDIENTE</v>
          </cell>
          <cell r="T3988">
            <v>0</v>
          </cell>
          <cell r="U3988" t="str">
            <v>VARILLAS GAGO  OSCAR ALBERTO</v>
          </cell>
          <cell r="V3988" t="str">
            <v>FLOREZ CONDORI  JOSE WILLIANS</v>
          </cell>
        </row>
        <row r="3989">
          <cell r="A3989">
            <v>4019</v>
          </cell>
          <cell r="B3989">
            <v>42745</v>
          </cell>
          <cell r="C3989" t="str">
            <v>ENERO</v>
          </cell>
          <cell r="D3989" t="str">
            <v>2017</v>
          </cell>
          <cell r="E3989">
            <v>798</v>
          </cell>
          <cell r="F3989" t="str">
            <v>ABP-729</v>
          </cell>
          <cell r="G3989" t="str">
            <v>D8K-985</v>
          </cell>
          <cell r="H3989" t="str">
            <v>LAS BAMBAS</v>
          </cell>
          <cell r="I3989">
            <v>115370</v>
          </cell>
          <cell r="J3989" t="str">
            <v>REPUESTO</v>
          </cell>
          <cell r="K3989" t="str">
            <v>ACEITE 85W140</v>
          </cell>
          <cell r="L3989">
            <v>0.15</v>
          </cell>
          <cell r="M3989" t="str">
            <v>GLNS.</v>
          </cell>
          <cell r="N3989" t="str">
            <v>TRACTO</v>
          </cell>
          <cell r="O3989">
            <v>45</v>
          </cell>
          <cell r="P3989" t="str">
            <v>M8</v>
          </cell>
          <cell r="Q3989" t="str">
            <v>J1</v>
          </cell>
          <cell r="R3989" t="str">
            <v>J6</v>
          </cell>
          <cell r="S3989" t="str">
            <v>PENDIENTE</v>
          </cell>
          <cell r="T3989">
            <v>0</v>
          </cell>
          <cell r="U3989" t="str">
            <v>VARILLAS GAGO  OSCAR ALBERTO</v>
          </cell>
          <cell r="V3989" t="str">
            <v>FLOREZ CONDORI  JOSE WILLIANS</v>
          </cell>
        </row>
        <row r="3990">
          <cell r="A3990">
            <v>4021</v>
          </cell>
          <cell r="B3990">
            <v>42745</v>
          </cell>
          <cell r="C3990" t="str">
            <v>ENERO</v>
          </cell>
          <cell r="D3990" t="str">
            <v>2017</v>
          </cell>
          <cell r="E3990">
            <v>798</v>
          </cell>
          <cell r="F3990" t="str">
            <v>ABP-729</v>
          </cell>
          <cell r="G3990" t="str">
            <v>D8K-985</v>
          </cell>
          <cell r="H3990" t="str">
            <v>LAS BAMBAS</v>
          </cell>
          <cell r="I3990">
            <v>115370</v>
          </cell>
          <cell r="J3990" t="str">
            <v>REPUESTO</v>
          </cell>
          <cell r="K3990" t="str">
            <v xml:space="preserve">TANQUE DE EXPANSION </v>
          </cell>
          <cell r="L3990">
            <v>1</v>
          </cell>
          <cell r="M3990" t="str">
            <v>UNID.</v>
          </cell>
          <cell r="N3990" t="str">
            <v>TRACTO</v>
          </cell>
          <cell r="O3990">
            <v>45</v>
          </cell>
          <cell r="P3990" t="str">
            <v>M8</v>
          </cell>
          <cell r="Q3990" t="str">
            <v>J1</v>
          </cell>
          <cell r="R3990" t="str">
            <v>J1</v>
          </cell>
          <cell r="S3990" t="str">
            <v>PENDIENTE</v>
          </cell>
          <cell r="T3990">
            <v>0</v>
          </cell>
          <cell r="U3990" t="str">
            <v>VARILLAS GAGO  OSCAR ALBERTO</v>
          </cell>
          <cell r="V3990" t="str">
            <v>FLOREZ CONDORI  JOSE WILLIANS</v>
          </cell>
        </row>
        <row r="3991">
          <cell r="A3991">
            <v>4024</v>
          </cell>
          <cell r="B3991">
            <v>42745</v>
          </cell>
          <cell r="C3991" t="str">
            <v>ENERO</v>
          </cell>
          <cell r="D3991" t="str">
            <v>2017</v>
          </cell>
          <cell r="E3991">
            <v>798</v>
          </cell>
          <cell r="F3991" t="str">
            <v>ABP-729</v>
          </cell>
          <cell r="G3991" t="str">
            <v>D8K-985</v>
          </cell>
          <cell r="H3991" t="str">
            <v>LAS BAMBAS</v>
          </cell>
          <cell r="I3991">
            <v>115370</v>
          </cell>
          <cell r="J3991" t="str">
            <v>REPUESTO</v>
          </cell>
          <cell r="K3991" t="str">
            <v>VALVULA INTERLOOK</v>
          </cell>
          <cell r="L3991">
            <v>1</v>
          </cell>
          <cell r="M3991" t="str">
            <v>UNID.</v>
          </cell>
          <cell r="N3991" t="str">
            <v>CISTERNA</v>
          </cell>
          <cell r="O3991">
            <v>45</v>
          </cell>
          <cell r="P3991" t="str">
            <v>M8</v>
          </cell>
          <cell r="Q3991" t="str">
            <v>J1</v>
          </cell>
          <cell r="R3991" t="str">
            <v>J6</v>
          </cell>
          <cell r="S3991" t="str">
            <v>PENDIENTE</v>
          </cell>
          <cell r="T3991">
            <v>0</v>
          </cell>
          <cell r="U3991" t="str">
            <v>VARILLAS GAGO  OSCAR ALBERTO</v>
          </cell>
          <cell r="V3991" t="str">
            <v>FLOREZ CONDORI  JOSE WILLIANS</v>
          </cell>
        </row>
        <row r="3992">
          <cell r="A3992">
            <v>4020</v>
          </cell>
          <cell r="B3992">
            <v>42745</v>
          </cell>
          <cell r="C3992" t="str">
            <v>ENERO</v>
          </cell>
          <cell r="D3992" t="str">
            <v>2017</v>
          </cell>
          <cell r="E3992">
            <v>791</v>
          </cell>
          <cell r="F3992" t="str">
            <v>ABQ-704</v>
          </cell>
          <cell r="G3992" t="str">
            <v>TBB-995</v>
          </cell>
          <cell r="H3992" t="str">
            <v>LAS BAMBAS</v>
          </cell>
          <cell r="I3992">
            <v>115352</v>
          </cell>
          <cell r="J3992" t="str">
            <v>SERVICIO</v>
          </cell>
          <cell r="K3992" t="str">
            <v>REPARACION DE PETETE</v>
          </cell>
          <cell r="L3992">
            <v>1</v>
          </cell>
          <cell r="M3992" t="str">
            <v>UNID.</v>
          </cell>
          <cell r="N3992" t="str">
            <v>TRACTO</v>
          </cell>
          <cell r="O3992">
            <v>45</v>
          </cell>
          <cell r="P3992" t="str">
            <v>J1</v>
          </cell>
          <cell r="Q3992" t="str">
            <v>J1</v>
          </cell>
          <cell r="R3992" t="str">
            <v>J1</v>
          </cell>
          <cell r="S3992" t="str">
            <v>PENDIENTE</v>
          </cell>
          <cell r="T3992">
            <v>0</v>
          </cell>
          <cell r="U3992" t="str">
            <v>FLOREZ CONDORI  JOSE WILLIANS</v>
          </cell>
          <cell r="V3992" t="str">
            <v>FLOREZ CONDORI  JOSE WILLIANS</v>
          </cell>
        </row>
        <row r="3993">
          <cell r="A3993">
            <v>4022</v>
          </cell>
          <cell r="B3993">
            <v>42745</v>
          </cell>
          <cell r="C3993" t="str">
            <v>ENERO</v>
          </cell>
          <cell r="D3993" t="str">
            <v>2017</v>
          </cell>
          <cell r="E3993">
            <v>759</v>
          </cell>
          <cell r="F3993" t="str">
            <v>AKX-731</v>
          </cell>
          <cell r="G3993" t="str">
            <v>TCD-980</v>
          </cell>
          <cell r="H3993" t="str">
            <v>LAS BAMBAS</v>
          </cell>
          <cell r="I3993">
            <v>39157</v>
          </cell>
          <cell r="J3993" t="str">
            <v>REPUESTO</v>
          </cell>
          <cell r="K3993" t="str">
            <v>SUPERCITO 1/8</v>
          </cell>
          <cell r="L3993">
            <v>2</v>
          </cell>
          <cell r="M3993" t="str">
            <v>KG.</v>
          </cell>
          <cell r="N3993" t="str">
            <v>CISTERNA</v>
          </cell>
          <cell r="O3993">
            <v>45</v>
          </cell>
          <cell r="P3993" t="str">
            <v>S1</v>
          </cell>
          <cell r="Q3993" t="str">
            <v>J1</v>
          </cell>
          <cell r="R3993" t="str">
            <v>J6</v>
          </cell>
          <cell r="S3993" t="str">
            <v>PENDIENTE</v>
          </cell>
          <cell r="T3993">
            <v>0</v>
          </cell>
          <cell r="U3993" t="str">
            <v>BAYONA CRUZ CRISTIAN ARMANDO</v>
          </cell>
          <cell r="V3993" t="str">
            <v>FLOREZ CONDORI  JOSE WILLIANS</v>
          </cell>
        </row>
        <row r="3994">
          <cell r="A3994">
            <v>4023</v>
          </cell>
          <cell r="B3994">
            <v>42745</v>
          </cell>
          <cell r="C3994" t="str">
            <v>ENERO</v>
          </cell>
          <cell r="D3994" t="str">
            <v>2017</v>
          </cell>
          <cell r="E3994">
            <v>759</v>
          </cell>
          <cell r="F3994" t="str">
            <v>AKX-731</v>
          </cell>
          <cell r="G3994" t="str">
            <v>TCD-980</v>
          </cell>
          <cell r="H3994" t="str">
            <v>LAS BAMBAS</v>
          </cell>
          <cell r="I3994">
            <v>39157</v>
          </cell>
          <cell r="J3994" t="str">
            <v>REPUESTO</v>
          </cell>
          <cell r="K3994" t="str">
            <v>ABRAZADERA DE SUSPENSION NEUMATICA</v>
          </cell>
          <cell r="L3994">
            <v>1</v>
          </cell>
          <cell r="M3994" t="str">
            <v>UNID.</v>
          </cell>
          <cell r="N3994" t="str">
            <v>CISTERNA</v>
          </cell>
          <cell r="O3994">
            <v>45</v>
          </cell>
          <cell r="P3994" t="str">
            <v>S1</v>
          </cell>
          <cell r="Q3994" t="str">
            <v>J1</v>
          </cell>
          <cell r="R3994" t="str">
            <v>J6</v>
          </cell>
          <cell r="S3994" t="str">
            <v>PENDIENTE</v>
          </cell>
          <cell r="T3994">
            <v>0</v>
          </cell>
          <cell r="U3994" t="str">
            <v>BAYONA CRUZ CRISTIAN ARMANDO</v>
          </cell>
          <cell r="V3994" t="str">
            <v>FLOREZ CONDORI  JOSE WILLIANS</v>
          </cell>
        </row>
        <row r="3995">
          <cell r="A3995">
            <v>4014</v>
          </cell>
          <cell r="B3995">
            <v>42745</v>
          </cell>
          <cell r="C3995" t="str">
            <v>ENERO</v>
          </cell>
          <cell r="D3995" t="str">
            <v>2017</v>
          </cell>
          <cell r="E3995">
            <v>788</v>
          </cell>
          <cell r="F3995" t="str">
            <v>B2L-889</v>
          </cell>
          <cell r="G3995" t="str">
            <v>CAMION</v>
          </cell>
          <cell r="H3995" t="str">
            <v>TAMBOMAYO</v>
          </cell>
          <cell r="I3995">
            <v>124981</v>
          </cell>
          <cell r="J3995" t="str">
            <v>REPUESTO</v>
          </cell>
          <cell r="K3995" t="str">
            <v>FAJAS DE ALTERNADOR</v>
          </cell>
          <cell r="L3995">
            <v>2</v>
          </cell>
          <cell r="M3995" t="str">
            <v>UNID.</v>
          </cell>
          <cell r="N3995" t="str">
            <v>CAMION</v>
          </cell>
          <cell r="O3995">
            <v>45</v>
          </cell>
          <cell r="P3995" t="str">
            <v>M9</v>
          </cell>
          <cell r="Q3995" t="str">
            <v>J1</v>
          </cell>
          <cell r="R3995" t="str">
            <v>J6</v>
          </cell>
          <cell r="S3995" t="str">
            <v>PENDIENTE</v>
          </cell>
          <cell r="T3995">
            <v>0</v>
          </cell>
          <cell r="U3995" t="str">
            <v>POMA SALAZAR CIRO</v>
          </cell>
          <cell r="V3995" t="str">
            <v>FLOREZ CONDORI  JOSE WILLIANS</v>
          </cell>
        </row>
        <row r="3996">
          <cell r="A3996">
            <v>3983</v>
          </cell>
          <cell r="B3996">
            <v>42745</v>
          </cell>
          <cell r="C3996" t="str">
            <v>ENERO</v>
          </cell>
          <cell r="D3996" t="str">
            <v>2017</v>
          </cell>
          <cell r="E3996">
            <v>787</v>
          </cell>
          <cell r="F3996" t="str">
            <v>C9P-948</v>
          </cell>
          <cell r="G3996" t="str">
            <v>B4O-995</v>
          </cell>
          <cell r="H3996" t="str">
            <v>LAS BAMBAS</v>
          </cell>
          <cell r="I3996">
            <v>159895</v>
          </cell>
          <cell r="J3996" t="str">
            <v>REPUESTO</v>
          </cell>
          <cell r="K3996" t="str">
            <v>TAPON DE VALVULA WESLEY PARA TURBO</v>
          </cell>
          <cell r="L3996">
            <v>1</v>
          </cell>
          <cell r="M3996" t="str">
            <v>UNID.</v>
          </cell>
          <cell r="N3996" t="str">
            <v>TRACTO</v>
          </cell>
          <cell r="O3996">
            <v>45</v>
          </cell>
          <cell r="P3996" t="str">
            <v>J1</v>
          </cell>
          <cell r="Q3996" t="str">
            <v>J1</v>
          </cell>
          <cell r="R3996" t="str">
            <v>J6</v>
          </cell>
          <cell r="S3996" t="str">
            <v>PENDIENTE</v>
          </cell>
          <cell r="T3996">
            <v>0</v>
          </cell>
          <cell r="U3996" t="str">
            <v>FLOREZ CONDORI  JOSE WILLIANS</v>
          </cell>
          <cell r="V3996" t="str">
            <v>FLOREZ CONDORI  JOSE WILLIANS</v>
          </cell>
        </row>
        <row r="3997">
          <cell r="A3997">
            <v>3995</v>
          </cell>
          <cell r="B3997">
            <v>42745</v>
          </cell>
          <cell r="C3997" t="str">
            <v>ENERO</v>
          </cell>
          <cell r="D3997" t="str">
            <v>2017</v>
          </cell>
          <cell r="E3997">
            <v>787</v>
          </cell>
          <cell r="F3997" t="str">
            <v>C9P-948</v>
          </cell>
          <cell r="G3997" t="str">
            <v>B4O-995</v>
          </cell>
          <cell r="H3997" t="str">
            <v>LAS BAMBAS</v>
          </cell>
          <cell r="I3997">
            <v>159895</v>
          </cell>
          <cell r="J3997" t="str">
            <v>REPUESTO</v>
          </cell>
          <cell r="K3997" t="str">
            <v>FILTRO DE AIRE PRIMARIO</v>
          </cell>
          <cell r="L3997">
            <v>1</v>
          </cell>
          <cell r="M3997" t="str">
            <v>UNID.</v>
          </cell>
          <cell r="N3997" t="str">
            <v>TRACTO</v>
          </cell>
          <cell r="O3997">
            <v>45</v>
          </cell>
          <cell r="P3997" t="str">
            <v>M9</v>
          </cell>
          <cell r="Q3997" t="str">
            <v>J1</v>
          </cell>
          <cell r="R3997" t="str">
            <v>J1</v>
          </cell>
          <cell r="S3997" t="str">
            <v>PENDIENTE</v>
          </cell>
          <cell r="T3997">
            <v>0</v>
          </cell>
          <cell r="U3997" t="str">
            <v>POMA SALAZAR CIRO</v>
          </cell>
          <cell r="V3997" t="str">
            <v>FLOREZ CONDORI  JOSE WILLIANS</v>
          </cell>
        </row>
        <row r="3998">
          <cell r="A3998">
            <v>3991</v>
          </cell>
          <cell r="B3998">
            <v>42745</v>
          </cell>
          <cell r="C3998" t="str">
            <v>ENERO</v>
          </cell>
          <cell r="D3998" t="str">
            <v>2017</v>
          </cell>
          <cell r="E3998">
            <v>796</v>
          </cell>
          <cell r="F3998" t="str">
            <v>D3N-721</v>
          </cell>
          <cell r="G3998" t="str">
            <v>C4S-979</v>
          </cell>
          <cell r="H3998" t="str">
            <v>LAS BAMBAS</v>
          </cell>
          <cell r="I3998">
            <v>140804</v>
          </cell>
          <cell r="J3998" t="str">
            <v>REPUESTO</v>
          </cell>
          <cell r="K3998" t="str">
            <v>PARCHE RACK 10</v>
          </cell>
          <cell r="L3998">
            <v>1</v>
          </cell>
          <cell r="M3998" t="str">
            <v>UNID.</v>
          </cell>
          <cell r="N3998" t="str">
            <v>TRACTO</v>
          </cell>
          <cell r="O3998">
            <v>45</v>
          </cell>
          <cell r="P3998" t="str">
            <v>N2</v>
          </cell>
          <cell r="Q3998" t="str">
            <v>J3</v>
          </cell>
          <cell r="R3998" t="str">
            <v>J6</v>
          </cell>
          <cell r="S3998" t="str">
            <v>PENDIENTE</v>
          </cell>
          <cell r="T3998">
            <v>0</v>
          </cell>
          <cell r="U3998" t="str">
            <v>MAMANI LARICO  EDUARDO ALVARO</v>
          </cell>
          <cell r="V3998" t="str">
            <v>CHURA PIZARRO ALBERTO</v>
          </cell>
        </row>
        <row r="3999">
          <cell r="A3999">
            <v>3992</v>
          </cell>
          <cell r="B3999">
            <v>42745</v>
          </cell>
          <cell r="C3999" t="str">
            <v>ENERO</v>
          </cell>
          <cell r="D3999" t="str">
            <v>2017</v>
          </cell>
          <cell r="E3999">
            <v>796</v>
          </cell>
          <cell r="F3999" t="str">
            <v>D3N-721</v>
          </cell>
          <cell r="G3999" t="str">
            <v>C4S-979</v>
          </cell>
          <cell r="H3999" t="str">
            <v>LAS BAMBAS</v>
          </cell>
          <cell r="I3999">
            <v>140804</v>
          </cell>
          <cell r="J3999" t="str">
            <v>REPUESTO</v>
          </cell>
          <cell r="K3999" t="str">
            <v>PARCHE RACK 14</v>
          </cell>
          <cell r="L3999">
            <v>1</v>
          </cell>
          <cell r="M3999" t="str">
            <v>UNID.</v>
          </cell>
          <cell r="N3999" t="str">
            <v>TRACTO</v>
          </cell>
          <cell r="O3999">
            <v>45</v>
          </cell>
          <cell r="P3999" t="str">
            <v>N2</v>
          </cell>
          <cell r="Q3999" t="str">
            <v>J3</v>
          </cell>
          <cell r="R3999" t="str">
            <v>J6</v>
          </cell>
          <cell r="S3999" t="str">
            <v>PENDIENTE</v>
          </cell>
          <cell r="T3999">
            <v>0</v>
          </cell>
          <cell r="U3999" t="str">
            <v>MAMANI LARICO  EDUARDO ALVARO</v>
          </cell>
          <cell r="V3999" t="str">
            <v>CHURA PIZARRO ALBERTO</v>
          </cell>
        </row>
        <row r="4000">
          <cell r="A4000">
            <v>4005</v>
          </cell>
          <cell r="B4000">
            <v>42745</v>
          </cell>
          <cell r="C4000" t="str">
            <v>ENERO</v>
          </cell>
          <cell r="D4000" t="str">
            <v>2017</v>
          </cell>
          <cell r="E4000">
            <v>796</v>
          </cell>
          <cell r="F4000" t="str">
            <v>D3N-721</v>
          </cell>
          <cell r="G4000" t="str">
            <v>C4S-979</v>
          </cell>
          <cell r="H4000" t="str">
            <v>LAS BAMBAS</v>
          </cell>
          <cell r="I4000">
            <v>140804</v>
          </cell>
          <cell r="J4000" t="str">
            <v>REPUESTO</v>
          </cell>
          <cell r="K4000" t="str">
            <v xml:space="preserve">PERNOS 1/4 X 1 </v>
          </cell>
          <cell r="L4000">
            <v>2</v>
          </cell>
          <cell r="M4000" t="str">
            <v>UNID.</v>
          </cell>
          <cell r="N4000" t="str">
            <v>TRACTO</v>
          </cell>
          <cell r="O4000">
            <v>45</v>
          </cell>
          <cell r="P4000" t="str">
            <v>E2</v>
          </cell>
          <cell r="Q4000" t="str">
            <v>J1</v>
          </cell>
          <cell r="R4000" t="str">
            <v>J6</v>
          </cell>
          <cell r="S4000" t="str">
            <v>PENDIENTE</v>
          </cell>
          <cell r="T4000">
            <v>0</v>
          </cell>
          <cell r="U4000" t="str">
            <v>YUCA BELLIDO BORIS YERSY</v>
          </cell>
          <cell r="V4000" t="str">
            <v>FLOREZ CONDORI  JOSE WILLIANS</v>
          </cell>
        </row>
        <row r="4001">
          <cell r="A4001">
            <v>4006</v>
          </cell>
          <cell r="B4001">
            <v>42745</v>
          </cell>
          <cell r="C4001" t="str">
            <v>ENERO</v>
          </cell>
          <cell r="D4001" t="str">
            <v>2017</v>
          </cell>
          <cell r="E4001">
            <v>796</v>
          </cell>
          <cell r="F4001" t="str">
            <v>D3N-721</v>
          </cell>
          <cell r="G4001" t="str">
            <v>C4S-979</v>
          </cell>
          <cell r="H4001" t="str">
            <v>LAS BAMBAS</v>
          </cell>
          <cell r="I4001">
            <v>140804</v>
          </cell>
          <cell r="J4001" t="str">
            <v>REPUESTO</v>
          </cell>
          <cell r="K4001" t="str">
            <v>TUERCA 1/4</v>
          </cell>
          <cell r="L4001">
            <v>2</v>
          </cell>
          <cell r="M4001" t="str">
            <v>UNID.</v>
          </cell>
          <cell r="N4001" t="str">
            <v>TRACTO</v>
          </cell>
          <cell r="O4001">
            <v>45</v>
          </cell>
          <cell r="P4001" t="str">
            <v>E2</v>
          </cell>
          <cell r="Q4001" t="str">
            <v>J1</v>
          </cell>
          <cell r="R4001" t="str">
            <v>J6</v>
          </cell>
          <cell r="S4001" t="str">
            <v>PENDIENTE</v>
          </cell>
          <cell r="T4001">
            <v>0</v>
          </cell>
          <cell r="U4001" t="str">
            <v>YUCA BELLIDO BORIS YERSY</v>
          </cell>
          <cell r="V4001" t="str">
            <v>FLOREZ CONDORI  JOSE WILLIANS</v>
          </cell>
        </row>
        <row r="4002">
          <cell r="A4002">
            <v>4007</v>
          </cell>
          <cell r="B4002">
            <v>42745</v>
          </cell>
          <cell r="C4002" t="str">
            <v>ENERO</v>
          </cell>
          <cell r="D4002" t="str">
            <v>2017</v>
          </cell>
          <cell r="E4002">
            <v>796</v>
          </cell>
          <cell r="F4002" t="str">
            <v>D3N-721</v>
          </cell>
          <cell r="G4002" t="str">
            <v>C4S-979</v>
          </cell>
          <cell r="H4002" t="str">
            <v>LAS BAMBAS</v>
          </cell>
          <cell r="I4002">
            <v>140804</v>
          </cell>
          <cell r="J4002" t="str">
            <v>REPUESTO</v>
          </cell>
          <cell r="K4002" t="str">
            <v>ARANDELA PLANA 1/4</v>
          </cell>
          <cell r="L4002">
            <v>2</v>
          </cell>
          <cell r="M4002" t="str">
            <v>UNID.</v>
          </cell>
          <cell r="N4002" t="str">
            <v>TRACTO</v>
          </cell>
          <cell r="O4002">
            <v>45</v>
          </cell>
          <cell r="P4002" t="str">
            <v>E2</v>
          </cell>
          <cell r="Q4002" t="str">
            <v>J1</v>
          </cell>
          <cell r="R4002" t="str">
            <v>J6</v>
          </cell>
          <cell r="S4002" t="str">
            <v>PENDIENTE</v>
          </cell>
          <cell r="T4002">
            <v>0</v>
          </cell>
          <cell r="U4002" t="str">
            <v>YUCA BELLIDO BORIS YERSY</v>
          </cell>
          <cell r="V4002" t="str">
            <v>FLOREZ CONDORI  JOSE WILLIANS</v>
          </cell>
        </row>
        <row r="4003">
          <cell r="A4003">
            <v>3984</v>
          </cell>
          <cell r="B4003">
            <v>42745</v>
          </cell>
          <cell r="C4003" t="str">
            <v>ENERO</v>
          </cell>
          <cell r="D4003" t="str">
            <v>2017</v>
          </cell>
          <cell r="E4003">
            <v>761</v>
          </cell>
          <cell r="F4003" t="str">
            <v>D3P-730</v>
          </cell>
          <cell r="G4003" t="str">
            <v>TBM-980</v>
          </cell>
          <cell r="H4003" t="str">
            <v>LAS BAMBAS</v>
          </cell>
          <cell r="I4003">
            <v>109127</v>
          </cell>
          <cell r="J4003" t="str">
            <v>REPUESTO</v>
          </cell>
          <cell r="K4003" t="str">
            <v>TAPA DE SCULLY</v>
          </cell>
          <cell r="L4003">
            <v>1</v>
          </cell>
          <cell r="M4003" t="str">
            <v>UNID.</v>
          </cell>
          <cell r="N4003" t="str">
            <v>CISTERNA</v>
          </cell>
          <cell r="O4003">
            <v>45</v>
          </cell>
          <cell r="P4003" t="str">
            <v>J7</v>
          </cell>
          <cell r="Q4003" t="str">
            <v>J7</v>
          </cell>
          <cell r="R4003" t="str">
            <v>J6</v>
          </cell>
          <cell r="S4003" t="str">
            <v>PENDIENTE</v>
          </cell>
          <cell r="T4003">
            <v>0</v>
          </cell>
          <cell r="U4003" t="str">
            <v>DONAYRE INGA PEDRO</v>
          </cell>
          <cell r="V4003" t="str">
            <v>DONAYRE INGA PEDRO</v>
          </cell>
        </row>
        <row r="4004">
          <cell r="A4004">
            <v>3985</v>
          </cell>
          <cell r="B4004">
            <v>42745</v>
          </cell>
          <cell r="C4004" t="str">
            <v>ENERO</v>
          </cell>
          <cell r="D4004" t="str">
            <v>2017</v>
          </cell>
          <cell r="E4004">
            <v>795</v>
          </cell>
          <cell r="F4004" t="str">
            <v>D3R-742</v>
          </cell>
          <cell r="G4004" t="str">
            <v>D2E-975</v>
          </cell>
          <cell r="H4004" t="str">
            <v>LAS BAMBAS</v>
          </cell>
          <cell r="I4004">
            <v>158138</v>
          </cell>
          <cell r="J4004" t="str">
            <v>REPUESTO</v>
          </cell>
          <cell r="K4004" t="str">
            <v>RETEN DE RUEDA DE TRACCION 47691 SKF</v>
          </cell>
          <cell r="L4004">
            <v>1</v>
          </cell>
          <cell r="M4004" t="str">
            <v>UNID.</v>
          </cell>
          <cell r="N4004" t="str">
            <v>TRACTO</v>
          </cell>
          <cell r="O4004">
            <v>45</v>
          </cell>
          <cell r="P4004" t="str">
            <v>M8</v>
          </cell>
          <cell r="Q4004" t="str">
            <v>J1</v>
          </cell>
          <cell r="R4004" t="str">
            <v>J1</v>
          </cell>
          <cell r="S4004" t="str">
            <v>PENDIENTE</v>
          </cell>
          <cell r="T4004">
            <v>0</v>
          </cell>
          <cell r="U4004" t="str">
            <v>VARILLAS GAGO  OSCAR ALBERTO</v>
          </cell>
          <cell r="V4004" t="str">
            <v>FLOREZ CONDORI  JOSE WILLIANS</v>
          </cell>
        </row>
        <row r="4005">
          <cell r="A4005">
            <v>3986</v>
          </cell>
          <cell r="B4005">
            <v>42745</v>
          </cell>
          <cell r="C4005" t="str">
            <v>ENERO</v>
          </cell>
          <cell r="D4005" t="str">
            <v>2017</v>
          </cell>
          <cell r="E4005">
            <v>795</v>
          </cell>
          <cell r="F4005" t="str">
            <v>D3R-742</v>
          </cell>
          <cell r="G4005" t="str">
            <v>D2E-975</v>
          </cell>
          <cell r="H4005" t="str">
            <v>LAS BAMBAS</v>
          </cell>
          <cell r="I4005">
            <v>158138</v>
          </cell>
          <cell r="J4005" t="str">
            <v>REPUESTO</v>
          </cell>
          <cell r="K4005" t="str">
            <v>ACEITE 85W 140</v>
          </cell>
          <cell r="L4005">
            <v>0.25</v>
          </cell>
          <cell r="M4005" t="str">
            <v>GLNS.</v>
          </cell>
          <cell r="N4005" t="str">
            <v>TRACTO</v>
          </cell>
          <cell r="O4005">
            <v>45</v>
          </cell>
          <cell r="P4005" t="str">
            <v>M8</v>
          </cell>
          <cell r="Q4005" t="str">
            <v>J1</v>
          </cell>
          <cell r="R4005" t="str">
            <v>J1</v>
          </cell>
          <cell r="S4005" t="str">
            <v>PENDIENTE</v>
          </cell>
          <cell r="T4005">
            <v>0</v>
          </cell>
          <cell r="U4005" t="str">
            <v>VARILLAS GAGO  OSCAR ALBERTO</v>
          </cell>
          <cell r="V4005" t="str">
            <v>FLOREZ CONDORI  JOSE WILLIANS</v>
          </cell>
        </row>
        <row r="4006">
          <cell r="A4006">
            <v>3987</v>
          </cell>
          <cell r="B4006">
            <v>42745</v>
          </cell>
          <cell r="C4006" t="str">
            <v>ENERO</v>
          </cell>
          <cell r="D4006" t="str">
            <v>2017</v>
          </cell>
          <cell r="E4006">
            <v>795</v>
          </cell>
          <cell r="F4006" t="str">
            <v>D3R-742</v>
          </cell>
          <cell r="G4006" t="str">
            <v>D2E-975</v>
          </cell>
          <cell r="H4006" t="str">
            <v>LAS BAMBAS</v>
          </cell>
          <cell r="I4006">
            <v>158138</v>
          </cell>
          <cell r="J4006" t="str">
            <v>REPUESTO</v>
          </cell>
          <cell r="K4006" t="str">
            <v>SILICONA</v>
          </cell>
          <cell r="L4006">
            <v>1</v>
          </cell>
          <cell r="M4006" t="str">
            <v>UNID.</v>
          </cell>
          <cell r="N4006" t="str">
            <v>TRACTO</v>
          </cell>
          <cell r="O4006">
            <v>45</v>
          </cell>
          <cell r="P4006" t="str">
            <v>M8</v>
          </cell>
          <cell r="Q4006" t="str">
            <v>J1</v>
          </cell>
          <cell r="R4006" t="str">
            <v>J1</v>
          </cell>
          <cell r="S4006" t="str">
            <v>PENDIENTE</v>
          </cell>
          <cell r="T4006">
            <v>0</v>
          </cell>
          <cell r="U4006" t="str">
            <v>VARILLAS GAGO  OSCAR ALBERTO</v>
          </cell>
          <cell r="V4006" t="str">
            <v>FLOREZ CONDORI  JOSE WILLIANS</v>
          </cell>
        </row>
        <row r="4007">
          <cell r="A4007">
            <v>3996</v>
          </cell>
          <cell r="B4007">
            <v>42745</v>
          </cell>
          <cell r="C4007" t="str">
            <v>ENERO</v>
          </cell>
          <cell r="D4007" t="str">
            <v>2017</v>
          </cell>
          <cell r="E4007">
            <v>795</v>
          </cell>
          <cell r="F4007" t="str">
            <v>D3R-742</v>
          </cell>
          <cell r="G4007" t="str">
            <v>D2E-975</v>
          </cell>
          <cell r="H4007" t="str">
            <v>LAS BAMBAS</v>
          </cell>
          <cell r="I4007">
            <v>158138</v>
          </cell>
          <cell r="J4007" t="str">
            <v>REPUESTO</v>
          </cell>
          <cell r="K4007" t="str">
            <v xml:space="preserve">JUEGO DE ZAPATAS </v>
          </cell>
          <cell r="L4007">
            <v>0.5</v>
          </cell>
          <cell r="M4007" t="str">
            <v>JUEGO</v>
          </cell>
          <cell r="N4007" t="str">
            <v>TRACTO</v>
          </cell>
          <cell r="O4007">
            <v>45</v>
          </cell>
          <cell r="P4007" t="str">
            <v>M8</v>
          </cell>
          <cell r="Q4007" t="str">
            <v>J1</v>
          </cell>
          <cell r="R4007" t="str">
            <v>J5</v>
          </cell>
          <cell r="S4007" t="str">
            <v>PENDIENTE</v>
          </cell>
          <cell r="T4007">
            <v>0</v>
          </cell>
          <cell r="U4007" t="str">
            <v>VARILLAS GAGO  OSCAR ALBERTO</v>
          </cell>
          <cell r="V4007" t="str">
            <v>FLOREZ CONDORI  JOSE WILLIANS</v>
          </cell>
        </row>
        <row r="4008">
          <cell r="A4008">
            <v>3997</v>
          </cell>
          <cell r="B4008">
            <v>42745</v>
          </cell>
          <cell r="C4008" t="str">
            <v>ENERO</v>
          </cell>
          <cell r="D4008" t="str">
            <v>2017</v>
          </cell>
          <cell r="E4008">
            <v>795</v>
          </cell>
          <cell r="F4008" t="str">
            <v>D3R-742</v>
          </cell>
          <cell r="G4008" t="str">
            <v>D2E-975</v>
          </cell>
          <cell r="H4008" t="str">
            <v>LAS BAMBAS</v>
          </cell>
          <cell r="I4008">
            <v>158138</v>
          </cell>
          <cell r="J4008" t="str">
            <v>REPUESTO</v>
          </cell>
          <cell r="K4008" t="str">
            <v>RESORTES CHICOS</v>
          </cell>
          <cell r="L4008">
            <v>2</v>
          </cell>
          <cell r="M4008" t="str">
            <v>UNID.</v>
          </cell>
          <cell r="N4008" t="str">
            <v>TRACTO</v>
          </cell>
          <cell r="O4008">
            <v>45</v>
          </cell>
          <cell r="P4008" t="str">
            <v>M8</v>
          </cell>
          <cell r="Q4008" t="str">
            <v>J1</v>
          </cell>
          <cell r="R4008" t="str">
            <v>J5</v>
          </cell>
          <cell r="S4008" t="str">
            <v>PENDIENTE</v>
          </cell>
          <cell r="T4008">
            <v>0</v>
          </cell>
          <cell r="U4008" t="str">
            <v>VARILLAS GAGO  OSCAR ALBERTO</v>
          </cell>
          <cell r="V4008" t="str">
            <v>FLOREZ CONDORI  JOSE WILLIANS</v>
          </cell>
        </row>
        <row r="4009">
          <cell r="A4009">
            <v>3998</v>
          </cell>
          <cell r="B4009">
            <v>42745</v>
          </cell>
          <cell r="C4009" t="str">
            <v>ENERO</v>
          </cell>
          <cell r="D4009" t="str">
            <v>2017</v>
          </cell>
          <cell r="E4009">
            <v>795</v>
          </cell>
          <cell r="F4009" t="str">
            <v>D3R-742</v>
          </cell>
          <cell r="G4009" t="str">
            <v>D2E-975</v>
          </cell>
          <cell r="H4009" t="str">
            <v>LAS BAMBAS</v>
          </cell>
          <cell r="I4009">
            <v>158138</v>
          </cell>
          <cell r="J4009" t="str">
            <v>REPUESTO</v>
          </cell>
          <cell r="K4009" t="str">
            <v>RESORTES GRANDES</v>
          </cell>
          <cell r="L4009">
            <v>1</v>
          </cell>
          <cell r="M4009" t="str">
            <v>UNID.</v>
          </cell>
          <cell r="N4009" t="str">
            <v>TRACTO</v>
          </cell>
          <cell r="O4009">
            <v>45</v>
          </cell>
          <cell r="P4009" t="str">
            <v>M8</v>
          </cell>
          <cell r="Q4009" t="str">
            <v>J1</v>
          </cell>
          <cell r="R4009" t="str">
            <v>J5</v>
          </cell>
          <cell r="S4009" t="str">
            <v>PENDIENTE</v>
          </cell>
          <cell r="T4009">
            <v>0</v>
          </cell>
          <cell r="U4009" t="str">
            <v>VARILLAS GAGO  OSCAR ALBERTO</v>
          </cell>
          <cell r="V4009" t="str">
            <v>FLOREZ CONDORI  JOSE WILLIANS</v>
          </cell>
        </row>
        <row r="4010">
          <cell r="A4010">
            <v>3988</v>
          </cell>
          <cell r="B4010">
            <v>42745</v>
          </cell>
          <cell r="C4010" t="str">
            <v>ENERO</v>
          </cell>
          <cell r="D4010" t="str">
            <v>2017</v>
          </cell>
          <cell r="E4010">
            <v>786</v>
          </cell>
          <cell r="F4010" t="str">
            <v>D3R-791</v>
          </cell>
          <cell r="G4010" t="str">
            <v>B1M-993</v>
          </cell>
          <cell r="H4010" t="str">
            <v>LAS BAMBAS</v>
          </cell>
          <cell r="I4010">
            <v>144022</v>
          </cell>
          <cell r="J4010" t="str">
            <v>REPUESTO</v>
          </cell>
          <cell r="K4010" t="str">
            <v>MOTOR ELEVALUNA LADO IZQUIERDO</v>
          </cell>
          <cell r="L4010">
            <v>1</v>
          </cell>
          <cell r="M4010" t="str">
            <v>UNID.</v>
          </cell>
          <cell r="N4010" t="str">
            <v>TRACTO</v>
          </cell>
          <cell r="O4010">
            <v>45</v>
          </cell>
          <cell r="P4010" t="str">
            <v>E2</v>
          </cell>
          <cell r="Q4010" t="str">
            <v>J1</v>
          </cell>
          <cell r="R4010" t="str">
            <v>J6</v>
          </cell>
          <cell r="S4010" t="str">
            <v>PENDIENTE</v>
          </cell>
          <cell r="T4010">
            <v>0</v>
          </cell>
          <cell r="U4010" t="str">
            <v>YUCA BELLIDO BORIS YERSY</v>
          </cell>
          <cell r="V4010" t="str">
            <v>FLOREZ CONDORI  JOSE WILLIANS</v>
          </cell>
        </row>
        <row r="4011">
          <cell r="A4011">
            <v>3999</v>
          </cell>
          <cell r="B4011">
            <v>42745</v>
          </cell>
          <cell r="C4011" t="str">
            <v>ENERO</v>
          </cell>
          <cell r="D4011" t="str">
            <v>2017</v>
          </cell>
          <cell r="E4011">
            <v>797</v>
          </cell>
          <cell r="F4011" t="str">
            <v>D6F-903</v>
          </cell>
          <cell r="G4011" t="str">
            <v>B8K-997</v>
          </cell>
          <cell r="H4011" t="str">
            <v>LAS BAMBAS</v>
          </cell>
          <cell r="I4011">
            <v>222087</v>
          </cell>
          <cell r="J4011" t="str">
            <v>REPUESTO</v>
          </cell>
          <cell r="K4011" t="str">
            <v>CRUZETA DE CARDAN BEBE</v>
          </cell>
          <cell r="L4011">
            <v>1</v>
          </cell>
          <cell r="M4011" t="str">
            <v>UNID.</v>
          </cell>
          <cell r="N4011" t="str">
            <v>TRACTO</v>
          </cell>
          <cell r="O4011">
            <v>45</v>
          </cell>
          <cell r="P4011" t="str">
            <v>M5</v>
          </cell>
          <cell r="Q4011" t="str">
            <v>J1</v>
          </cell>
          <cell r="R4011" t="str">
            <v>J6</v>
          </cell>
          <cell r="S4011" t="str">
            <v>PENDIENTE</v>
          </cell>
          <cell r="T4011">
            <v>0</v>
          </cell>
          <cell r="U4011" t="str">
            <v>LOPEZ RUIZ WILBERTO</v>
          </cell>
          <cell r="V4011" t="str">
            <v>FLOREZ CONDORI  JOSE WILLIANS</v>
          </cell>
        </row>
        <row r="4012">
          <cell r="A4012">
            <v>4008</v>
          </cell>
          <cell r="B4012">
            <v>42745</v>
          </cell>
          <cell r="C4012" t="str">
            <v>ENERO</v>
          </cell>
          <cell r="D4012" t="str">
            <v>2017</v>
          </cell>
          <cell r="E4012">
            <v>797</v>
          </cell>
          <cell r="F4012" t="str">
            <v>D6F-903</v>
          </cell>
          <cell r="G4012" t="str">
            <v>B8K-997</v>
          </cell>
          <cell r="H4012" t="str">
            <v>LAS BAMBAS</v>
          </cell>
          <cell r="I4012">
            <v>222087</v>
          </cell>
          <cell r="J4012" t="str">
            <v>REPUESTO</v>
          </cell>
          <cell r="K4012" t="str">
            <v>PERNO 5/16 X 1 1/2</v>
          </cell>
          <cell r="L4012">
            <v>4</v>
          </cell>
          <cell r="M4012" t="str">
            <v>UNID.</v>
          </cell>
          <cell r="N4012" t="str">
            <v>TRACTO</v>
          </cell>
          <cell r="O4012">
            <v>45</v>
          </cell>
          <cell r="P4012" t="str">
            <v>E2</v>
          </cell>
          <cell r="Q4012" t="str">
            <v>J1</v>
          </cell>
          <cell r="R4012" t="str">
            <v>J6</v>
          </cell>
          <cell r="S4012" t="str">
            <v>PENDIENTE</v>
          </cell>
          <cell r="T4012">
            <v>0</v>
          </cell>
          <cell r="U4012" t="str">
            <v>YUCA BELLIDO BORIS YERSY</v>
          </cell>
          <cell r="V4012" t="str">
            <v>FLOREZ CONDORI  JOSE WILLIANS</v>
          </cell>
        </row>
        <row r="4013">
          <cell r="A4013">
            <v>4009</v>
          </cell>
          <cell r="B4013">
            <v>42745</v>
          </cell>
          <cell r="C4013" t="str">
            <v>ENERO</v>
          </cell>
          <cell r="D4013" t="str">
            <v>2017</v>
          </cell>
          <cell r="E4013">
            <v>797</v>
          </cell>
          <cell r="F4013" t="str">
            <v>D6F-903</v>
          </cell>
          <cell r="G4013" t="str">
            <v>B8K-997</v>
          </cell>
          <cell r="H4013" t="str">
            <v>LAS BAMBAS</v>
          </cell>
          <cell r="I4013">
            <v>222087</v>
          </cell>
          <cell r="J4013" t="str">
            <v>REPUESTO</v>
          </cell>
          <cell r="K4013" t="str">
            <v>TUERCA 5/16</v>
          </cell>
          <cell r="L4013">
            <v>4</v>
          </cell>
          <cell r="M4013" t="str">
            <v>UNID.</v>
          </cell>
          <cell r="N4013" t="str">
            <v>TRACTO</v>
          </cell>
          <cell r="O4013">
            <v>45</v>
          </cell>
          <cell r="P4013" t="str">
            <v>E2</v>
          </cell>
          <cell r="Q4013" t="str">
            <v>J1</v>
          </cell>
          <cell r="R4013" t="str">
            <v>J6</v>
          </cell>
          <cell r="S4013" t="str">
            <v>PENDIENTE</v>
          </cell>
          <cell r="T4013">
            <v>0</v>
          </cell>
          <cell r="U4013" t="str">
            <v>YUCA BELLIDO BORIS YERSY</v>
          </cell>
          <cell r="V4013" t="str">
            <v>FLOREZ CONDORI  JOSE WILLIANS</v>
          </cell>
        </row>
        <row r="4014">
          <cell r="A4014">
            <v>4010</v>
          </cell>
          <cell r="B4014">
            <v>42745</v>
          </cell>
          <cell r="C4014" t="str">
            <v>ENERO</v>
          </cell>
          <cell r="D4014" t="str">
            <v>2017</v>
          </cell>
          <cell r="E4014">
            <v>797</v>
          </cell>
          <cell r="F4014" t="str">
            <v>D6F-903</v>
          </cell>
          <cell r="G4014" t="str">
            <v>B8K-997</v>
          </cell>
          <cell r="H4014" t="str">
            <v>LAS BAMBAS</v>
          </cell>
          <cell r="I4014">
            <v>222087</v>
          </cell>
          <cell r="J4014" t="str">
            <v>REPUESTO</v>
          </cell>
          <cell r="K4014" t="str">
            <v>ARANDELA PLANA 5/16</v>
          </cell>
          <cell r="L4014">
            <v>4</v>
          </cell>
          <cell r="M4014" t="str">
            <v>UNID.</v>
          </cell>
          <cell r="N4014" t="str">
            <v>TRACTO</v>
          </cell>
          <cell r="O4014">
            <v>45</v>
          </cell>
          <cell r="P4014" t="str">
            <v>E2</v>
          </cell>
          <cell r="Q4014" t="str">
            <v>J1</v>
          </cell>
          <cell r="R4014" t="str">
            <v>J6</v>
          </cell>
          <cell r="S4014" t="str">
            <v>PENDIENTE</v>
          </cell>
          <cell r="T4014">
            <v>0</v>
          </cell>
          <cell r="U4014" t="str">
            <v>YUCA BELLIDO BORIS YERSY</v>
          </cell>
          <cell r="V4014" t="str">
            <v>FLOREZ CONDORI  JOSE WILLIANS</v>
          </cell>
        </row>
        <row r="4015">
          <cell r="A4015">
            <v>4013</v>
          </cell>
          <cell r="B4015">
            <v>42745</v>
          </cell>
          <cell r="C4015" t="str">
            <v>ENERO</v>
          </cell>
          <cell r="D4015" t="str">
            <v>2017</v>
          </cell>
          <cell r="E4015">
            <v>770</v>
          </cell>
          <cell r="F4015" t="str">
            <v>D6F-907</v>
          </cell>
          <cell r="G4015" t="str">
            <v>T2Y-979</v>
          </cell>
          <cell r="H4015" t="str">
            <v>LAS BAMBAS</v>
          </cell>
          <cell r="I4015">
            <v>203433</v>
          </cell>
          <cell r="J4015" t="str">
            <v>REPUESTO</v>
          </cell>
          <cell r="K4015" t="str">
            <v>TAPA DE TANQUE DE CONSUMO (LADO PILOTO)</v>
          </cell>
          <cell r="L4015">
            <v>1</v>
          </cell>
          <cell r="M4015" t="str">
            <v>UNID.</v>
          </cell>
          <cell r="N4015" t="str">
            <v>TRACTO</v>
          </cell>
          <cell r="O4015">
            <v>45</v>
          </cell>
          <cell r="P4015" t="str">
            <v>J5</v>
          </cell>
          <cell r="Q4015" t="str">
            <v>J1</v>
          </cell>
          <cell r="R4015" t="str">
            <v>J5</v>
          </cell>
          <cell r="S4015" t="str">
            <v>PENDIENTE</v>
          </cell>
          <cell r="T4015">
            <v>0</v>
          </cell>
          <cell r="U4015" t="str">
            <v>CONZA HUALLA NOELIA</v>
          </cell>
          <cell r="V4015" t="str">
            <v>FLOREZ CONDORI  JOSE WILLIANS</v>
          </cell>
        </row>
        <row r="4016">
          <cell r="A4016">
            <v>3993</v>
          </cell>
          <cell r="B4016">
            <v>42745</v>
          </cell>
          <cell r="C4016" t="str">
            <v>ENERO</v>
          </cell>
          <cell r="D4016" t="str">
            <v>2017</v>
          </cell>
          <cell r="E4016">
            <v>200</v>
          </cell>
          <cell r="F4016" t="str">
            <v>TALLER</v>
          </cell>
          <cell r="G4016" t="str">
            <v>TALLER</v>
          </cell>
          <cell r="H4016" t="str">
            <v>TALLER</v>
          </cell>
          <cell r="I4016" t="str">
            <v>TALLER</v>
          </cell>
          <cell r="J4016" t="str">
            <v>INSUMO TALLER</v>
          </cell>
          <cell r="K4016" t="str">
            <v>SPRAY COLOR BLANCO</v>
          </cell>
          <cell r="L4016">
            <v>1</v>
          </cell>
          <cell r="M4016" t="str">
            <v>UNID.</v>
          </cell>
          <cell r="N4016" t="str">
            <v>TALLER</v>
          </cell>
          <cell r="O4016">
            <v>45</v>
          </cell>
          <cell r="P4016" t="str">
            <v>N2</v>
          </cell>
          <cell r="Q4016" t="str">
            <v>J3</v>
          </cell>
          <cell r="R4016" t="str">
            <v>J6</v>
          </cell>
          <cell r="S4016" t="str">
            <v>PENDIENTE</v>
          </cell>
          <cell r="T4016">
            <v>0</v>
          </cell>
          <cell r="U4016" t="str">
            <v>MAMANI LARICO  EDUARDO ALVARO</v>
          </cell>
          <cell r="V4016" t="str">
            <v>CHURA PIZARRO ALBERTO</v>
          </cell>
        </row>
        <row r="4017">
          <cell r="A4017">
            <v>3994</v>
          </cell>
          <cell r="B4017">
            <v>42745</v>
          </cell>
          <cell r="C4017" t="str">
            <v>ENERO</v>
          </cell>
          <cell r="D4017" t="str">
            <v>2017</v>
          </cell>
          <cell r="E4017">
            <v>200</v>
          </cell>
          <cell r="F4017" t="str">
            <v>TALLER</v>
          </cell>
          <cell r="G4017" t="str">
            <v>TALLER</v>
          </cell>
          <cell r="H4017" t="str">
            <v>TALLER</v>
          </cell>
          <cell r="I4017" t="str">
            <v>TALLER</v>
          </cell>
          <cell r="J4017" t="str">
            <v>INSUMO TALLER</v>
          </cell>
          <cell r="K4017" t="str">
            <v>SPRAY COLOR ALUMINIO</v>
          </cell>
          <cell r="L4017">
            <v>1</v>
          </cell>
          <cell r="M4017" t="str">
            <v>UNID.</v>
          </cell>
          <cell r="N4017" t="str">
            <v>TALLER</v>
          </cell>
          <cell r="O4017">
            <v>45</v>
          </cell>
          <cell r="P4017" t="str">
            <v>N2</v>
          </cell>
          <cell r="Q4017" t="str">
            <v>J3</v>
          </cell>
          <cell r="R4017" t="str">
            <v>J6</v>
          </cell>
          <cell r="S4017" t="str">
            <v>PENDIENTE</v>
          </cell>
          <cell r="T4017">
            <v>0</v>
          </cell>
          <cell r="U4017" t="str">
            <v>MAMANI LARICO  EDUARDO ALVARO</v>
          </cell>
          <cell r="V4017" t="str">
            <v>CHURA PIZARRO ALBERTO</v>
          </cell>
        </row>
        <row r="4018">
          <cell r="A4018">
            <v>4004</v>
          </cell>
          <cell r="B4018">
            <v>42745</v>
          </cell>
          <cell r="C4018" t="str">
            <v>ENERO</v>
          </cell>
          <cell r="D4018" t="str">
            <v>2017</v>
          </cell>
          <cell r="E4018">
            <v>200</v>
          </cell>
          <cell r="F4018" t="str">
            <v>TALLER</v>
          </cell>
          <cell r="G4018" t="str">
            <v>TALLER</v>
          </cell>
          <cell r="H4018" t="str">
            <v>TALLER</v>
          </cell>
          <cell r="I4018" t="str">
            <v>TALLER</v>
          </cell>
          <cell r="J4018" t="str">
            <v>REPUESTO</v>
          </cell>
          <cell r="K4018" t="str">
            <v>DETERGENTE</v>
          </cell>
          <cell r="L4018">
            <v>1</v>
          </cell>
          <cell r="M4018" t="str">
            <v>UNID.</v>
          </cell>
          <cell r="N4018" t="str">
            <v>TALLER</v>
          </cell>
          <cell r="O4018">
            <v>45</v>
          </cell>
          <cell r="P4018" t="str">
            <v>M4</v>
          </cell>
          <cell r="Q4018" t="str">
            <v>J1</v>
          </cell>
          <cell r="R4018" t="str">
            <v>J6</v>
          </cell>
          <cell r="S4018" t="str">
            <v>PENDIENTE</v>
          </cell>
          <cell r="T4018">
            <v>0</v>
          </cell>
          <cell r="U4018" t="str">
            <v>JULLIRI APAZA UBALDO</v>
          </cell>
          <cell r="V4018" t="str">
            <v>FLOREZ CONDORI  JOSE WILLIANS</v>
          </cell>
        </row>
        <row r="4019">
          <cell r="A4019">
            <v>4000</v>
          </cell>
          <cell r="B4019">
            <v>42745</v>
          </cell>
          <cell r="C4019" t="str">
            <v>ENERO</v>
          </cell>
          <cell r="D4019" t="str">
            <v>2017</v>
          </cell>
          <cell r="E4019">
            <v>799</v>
          </cell>
          <cell r="F4019" t="str">
            <v>X2W-759</v>
          </cell>
          <cell r="G4019" t="str">
            <v>C5V-999</v>
          </cell>
          <cell r="H4019" t="str">
            <v>LAS BAMBAS</v>
          </cell>
          <cell r="I4019">
            <v>157423</v>
          </cell>
          <cell r="J4019" t="str">
            <v>REPUESTO</v>
          </cell>
          <cell r="K4019" t="str">
            <v>ACEITE DE MOTOR 15W40</v>
          </cell>
          <cell r="L4019">
            <v>1</v>
          </cell>
          <cell r="M4019" t="str">
            <v>GLNS.</v>
          </cell>
          <cell r="N4019" t="str">
            <v>TRACTO</v>
          </cell>
          <cell r="O4019">
            <v>45</v>
          </cell>
          <cell r="P4019" t="str">
            <v>M4</v>
          </cell>
          <cell r="Q4019" t="str">
            <v>J1</v>
          </cell>
          <cell r="R4019" t="str">
            <v>J6</v>
          </cell>
          <cell r="S4019" t="str">
            <v>PENDIENTE</v>
          </cell>
          <cell r="T4019">
            <v>0</v>
          </cell>
          <cell r="U4019" t="str">
            <v>JULLIRI APAZA UBALDO</v>
          </cell>
          <cell r="V4019" t="str">
            <v>FLOREZ CONDORI  JOSE WILLIANS</v>
          </cell>
        </row>
        <row r="4020">
          <cell r="A4020">
            <v>4001</v>
          </cell>
          <cell r="B4020">
            <v>42745</v>
          </cell>
          <cell r="C4020" t="str">
            <v>ENERO</v>
          </cell>
          <cell r="D4020" t="str">
            <v>2017</v>
          </cell>
          <cell r="E4020">
            <v>799</v>
          </cell>
          <cell r="F4020" t="str">
            <v>X2W-759</v>
          </cell>
          <cell r="G4020" t="str">
            <v>C5V-999</v>
          </cell>
          <cell r="H4020" t="str">
            <v>LAS BAMBAS</v>
          </cell>
          <cell r="I4020">
            <v>157423</v>
          </cell>
          <cell r="J4020" t="str">
            <v>REPUESTO</v>
          </cell>
          <cell r="K4020" t="str">
            <v>LIQUIDO REFRIGERANTE</v>
          </cell>
          <cell r="L4020">
            <v>2</v>
          </cell>
          <cell r="M4020" t="str">
            <v>GLNS.</v>
          </cell>
          <cell r="N4020" t="str">
            <v>TRACTO</v>
          </cell>
          <cell r="O4020">
            <v>45</v>
          </cell>
          <cell r="P4020" t="str">
            <v>M4</v>
          </cell>
          <cell r="Q4020" t="str">
            <v>J1</v>
          </cell>
          <cell r="R4020" t="str">
            <v>J6</v>
          </cell>
          <cell r="S4020" t="str">
            <v>PENDIENTE</v>
          </cell>
          <cell r="T4020">
            <v>0</v>
          </cell>
          <cell r="U4020" t="str">
            <v>JULLIRI APAZA UBALDO</v>
          </cell>
          <cell r="V4020" t="str">
            <v>FLOREZ CONDORI  JOSE WILLIANS</v>
          </cell>
        </row>
        <row r="4021">
          <cell r="A4021">
            <v>4002</v>
          </cell>
          <cell r="B4021">
            <v>42745</v>
          </cell>
          <cell r="C4021" t="str">
            <v>ENERO</v>
          </cell>
          <cell r="D4021" t="str">
            <v>2017</v>
          </cell>
          <cell r="E4021">
            <v>799</v>
          </cell>
          <cell r="F4021" t="str">
            <v>X2W-759</v>
          </cell>
          <cell r="G4021" t="str">
            <v>C5V-999</v>
          </cell>
          <cell r="H4021" t="str">
            <v>LAS BAMBAS</v>
          </cell>
          <cell r="I4021">
            <v>157423</v>
          </cell>
          <cell r="J4021" t="str">
            <v>REPUESTO</v>
          </cell>
          <cell r="K4021" t="str">
            <v>LIQUIDO LIMPIAPARABRISAS</v>
          </cell>
          <cell r="L4021">
            <v>1</v>
          </cell>
          <cell r="M4021" t="str">
            <v>GLNS.</v>
          </cell>
          <cell r="N4021" t="str">
            <v>TRACTO</v>
          </cell>
          <cell r="O4021">
            <v>45</v>
          </cell>
          <cell r="P4021" t="str">
            <v>M4</v>
          </cell>
          <cell r="Q4021" t="str">
            <v>J1</v>
          </cell>
          <cell r="R4021" t="str">
            <v>J6</v>
          </cell>
          <cell r="S4021" t="str">
            <v>PENDIENTE</v>
          </cell>
          <cell r="T4021">
            <v>0</v>
          </cell>
          <cell r="U4021" t="str">
            <v>JULLIRI APAZA UBALDO</v>
          </cell>
          <cell r="V4021" t="str">
            <v>FLOREZ CONDORI  JOSE WILLIANS</v>
          </cell>
        </row>
        <row r="4022">
          <cell r="A4022">
            <v>4003</v>
          </cell>
          <cell r="B4022">
            <v>42745</v>
          </cell>
          <cell r="C4022" t="str">
            <v>ENERO</v>
          </cell>
          <cell r="D4022" t="str">
            <v>2017</v>
          </cell>
          <cell r="E4022">
            <v>799</v>
          </cell>
          <cell r="F4022" t="str">
            <v>X2W-759</v>
          </cell>
          <cell r="G4022" t="str">
            <v>C5V-999</v>
          </cell>
          <cell r="H4022" t="str">
            <v>LAS BAMBAS</v>
          </cell>
          <cell r="I4022">
            <v>157423</v>
          </cell>
          <cell r="J4022" t="str">
            <v>REPUESTO</v>
          </cell>
          <cell r="K4022" t="str">
            <v>PRESINTOS 300</v>
          </cell>
          <cell r="L4022">
            <v>6</v>
          </cell>
          <cell r="M4022" t="str">
            <v>UNID.</v>
          </cell>
          <cell r="N4022" t="str">
            <v>TRACTO</v>
          </cell>
          <cell r="O4022">
            <v>45</v>
          </cell>
          <cell r="P4022" t="str">
            <v>M4</v>
          </cell>
          <cell r="Q4022" t="str">
            <v>J1</v>
          </cell>
          <cell r="R4022" t="str">
            <v>J6</v>
          </cell>
          <cell r="S4022" t="str">
            <v>PENDIENTE</v>
          </cell>
          <cell r="T4022">
            <v>0</v>
          </cell>
          <cell r="U4022" t="str">
            <v>JULLIRI APAZA UBALDO</v>
          </cell>
          <cell r="V4022" t="str">
            <v>FLOREZ CONDORI  JOSE WILLIANS</v>
          </cell>
        </row>
        <row r="4023">
          <cell r="A4023">
            <v>4011</v>
          </cell>
          <cell r="B4023">
            <v>42745</v>
          </cell>
          <cell r="C4023" t="str">
            <v>ENERO</v>
          </cell>
          <cell r="D4023" t="str">
            <v>2017</v>
          </cell>
          <cell r="E4023">
            <v>799</v>
          </cell>
          <cell r="F4023" t="str">
            <v>X2W-759</v>
          </cell>
          <cell r="G4023" t="str">
            <v>C5V-999</v>
          </cell>
          <cell r="H4023" t="str">
            <v>LAS BAMBAS</v>
          </cell>
          <cell r="I4023">
            <v>157423</v>
          </cell>
          <cell r="J4023" t="str">
            <v>REPUESTO</v>
          </cell>
          <cell r="K4023" t="str">
            <v>TAPABARRO DE CISTERNA</v>
          </cell>
          <cell r="L4023">
            <v>1</v>
          </cell>
          <cell r="M4023" t="str">
            <v>UNID.</v>
          </cell>
          <cell r="N4023" t="str">
            <v>CISTERNA</v>
          </cell>
          <cell r="O4023">
            <v>45</v>
          </cell>
          <cell r="P4023" t="str">
            <v>M4</v>
          </cell>
          <cell r="Q4023" t="str">
            <v>J1</v>
          </cell>
          <cell r="R4023" t="str">
            <v>J6</v>
          </cell>
          <cell r="S4023" t="str">
            <v>PENDIENTE</v>
          </cell>
          <cell r="T4023">
            <v>0</v>
          </cell>
          <cell r="U4023" t="str">
            <v>JULLIRI APAZA UBALDO</v>
          </cell>
          <cell r="V4023" t="str">
            <v>FLOREZ CONDORI  JOSE WILLIANS</v>
          </cell>
        </row>
        <row r="4024">
          <cell r="A4024">
            <v>3989</v>
          </cell>
          <cell r="B4024">
            <v>42745</v>
          </cell>
          <cell r="C4024" t="str">
            <v>ENERO</v>
          </cell>
          <cell r="D4024" t="str">
            <v>2017</v>
          </cell>
          <cell r="E4024">
            <v>794</v>
          </cell>
          <cell r="F4024" t="str">
            <v>X2W-760</v>
          </cell>
          <cell r="G4024" t="str">
            <v>C5V-992</v>
          </cell>
          <cell r="H4024" t="str">
            <v>LAS BAMBAS</v>
          </cell>
          <cell r="I4024">
            <v>153260</v>
          </cell>
          <cell r="J4024" t="str">
            <v>REPUESTO</v>
          </cell>
          <cell r="K4024" t="str">
            <v>MINIFUSIBLES DE 20 AMP</v>
          </cell>
          <cell r="L4024">
            <v>5</v>
          </cell>
          <cell r="M4024" t="str">
            <v>UNID.</v>
          </cell>
          <cell r="N4024" t="str">
            <v>TRACTO</v>
          </cell>
          <cell r="O4024">
            <v>45</v>
          </cell>
          <cell r="P4024" t="str">
            <v>E2</v>
          </cell>
          <cell r="Q4024" t="str">
            <v>J1</v>
          </cell>
          <cell r="R4024" t="str">
            <v>J6</v>
          </cell>
          <cell r="S4024" t="str">
            <v>PENDIENTE</v>
          </cell>
          <cell r="T4024">
            <v>0</v>
          </cell>
          <cell r="U4024" t="str">
            <v>YUCA BELLIDO BORIS YERSY</v>
          </cell>
          <cell r="V4024" t="str">
            <v>FLOREZ CONDORI  JOSE WILLIANS</v>
          </cell>
        </row>
        <row r="4025">
          <cell r="A4025">
            <v>3990</v>
          </cell>
          <cell r="B4025">
            <v>42745</v>
          </cell>
          <cell r="C4025" t="str">
            <v>ENERO</v>
          </cell>
          <cell r="D4025" t="str">
            <v>2017</v>
          </cell>
          <cell r="E4025">
            <v>794</v>
          </cell>
          <cell r="F4025" t="str">
            <v>X2W-760</v>
          </cell>
          <cell r="G4025" t="str">
            <v>C5V-992</v>
          </cell>
          <cell r="H4025" t="str">
            <v>LAS BAMBAS</v>
          </cell>
          <cell r="I4025">
            <v>153260</v>
          </cell>
          <cell r="J4025" t="str">
            <v>REPUESTO</v>
          </cell>
          <cell r="K4025" t="str">
            <v>FOCO DE UN CONTACTO DE 12 V</v>
          </cell>
          <cell r="L4025">
            <v>1</v>
          </cell>
          <cell r="M4025" t="str">
            <v>UNID.</v>
          </cell>
          <cell r="N4025" t="str">
            <v>TRACTO</v>
          </cell>
          <cell r="O4025">
            <v>45</v>
          </cell>
          <cell r="P4025" t="str">
            <v>E2</v>
          </cell>
          <cell r="Q4025" t="str">
            <v>J1</v>
          </cell>
          <cell r="R4025" t="str">
            <v>J6</v>
          </cell>
          <cell r="S4025" t="str">
            <v>PENDIENTE</v>
          </cell>
          <cell r="T4025">
            <v>0</v>
          </cell>
          <cell r="U4025" t="str">
            <v>YUCA BELLIDO BORIS YERSY</v>
          </cell>
          <cell r="V4025" t="str">
            <v>FLOREZ CONDORI  JOSE WILLIANS</v>
          </cell>
        </row>
        <row r="4026">
          <cell r="A4026">
            <v>4031</v>
          </cell>
          <cell r="B4026">
            <v>42746</v>
          </cell>
          <cell r="C4026" t="str">
            <v>ENERO</v>
          </cell>
          <cell r="D4026" t="str">
            <v>2017</v>
          </cell>
          <cell r="E4026">
            <v>806</v>
          </cell>
          <cell r="F4026" t="str">
            <v>AAM-837</v>
          </cell>
          <cell r="G4026" t="str">
            <v>CAMIONETA</v>
          </cell>
          <cell r="H4026" t="str">
            <v>LAS BAMBAS</v>
          </cell>
          <cell r="I4026">
            <v>122070</v>
          </cell>
          <cell r="J4026" t="str">
            <v>REPUESTO</v>
          </cell>
          <cell r="K4026" t="str">
            <v>FILTRO DE ACEITE</v>
          </cell>
          <cell r="L4026">
            <v>1</v>
          </cell>
          <cell r="M4026" t="str">
            <v>UNID.</v>
          </cell>
          <cell r="N4026" t="str">
            <v>CAMIONETA</v>
          </cell>
          <cell r="O4026">
            <v>44</v>
          </cell>
          <cell r="P4026" t="str">
            <v>J1</v>
          </cell>
          <cell r="Q4026" t="str">
            <v>J1</v>
          </cell>
          <cell r="R4026" t="str">
            <v>J6</v>
          </cell>
          <cell r="S4026" t="str">
            <v>PENDIENTE</v>
          </cell>
          <cell r="T4026">
            <v>0</v>
          </cell>
          <cell r="U4026" t="str">
            <v>FLOREZ CONDORI  JOSE WILLIANS</v>
          </cell>
          <cell r="V4026" t="str">
            <v>FLOREZ CONDORI  JOSE WILLIANS</v>
          </cell>
        </row>
        <row r="4027">
          <cell r="A4027">
            <v>4032</v>
          </cell>
          <cell r="B4027">
            <v>42746</v>
          </cell>
          <cell r="C4027" t="str">
            <v>ENERO</v>
          </cell>
          <cell r="D4027" t="str">
            <v>2017</v>
          </cell>
          <cell r="E4027">
            <v>806</v>
          </cell>
          <cell r="F4027" t="str">
            <v>AAM-837</v>
          </cell>
          <cell r="G4027" t="str">
            <v>CAMIONETA</v>
          </cell>
          <cell r="H4027" t="str">
            <v>LAS BAMBAS</v>
          </cell>
          <cell r="I4027">
            <v>122070</v>
          </cell>
          <cell r="J4027" t="str">
            <v>REPUESTO</v>
          </cell>
          <cell r="K4027" t="str">
            <v>FILTRO DE COMBUSTIBLE</v>
          </cell>
          <cell r="L4027">
            <v>1</v>
          </cell>
          <cell r="M4027" t="str">
            <v>UNID.</v>
          </cell>
          <cell r="N4027" t="str">
            <v>CAMIONETA</v>
          </cell>
          <cell r="O4027">
            <v>44</v>
          </cell>
          <cell r="P4027" t="str">
            <v>J1</v>
          </cell>
          <cell r="Q4027" t="str">
            <v>J1</v>
          </cell>
          <cell r="R4027" t="str">
            <v>J6</v>
          </cell>
          <cell r="S4027" t="str">
            <v>PENDIENTE</v>
          </cell>
          <cell r="T4027">
            <v>0</v>
          </cell>
          <cell r="U4027" t="str">
            <v>FLOREZ CONDORI  JOSE WILLIANS</v>
          </cell>
          <cell r="V4027" t="str">
            <v>FLOREZ CONDORI  JOSE WILLIANS</v>
          </cell>
        </row>
        <row r="4028">
          <cell r="A4028">
            <v>4033</v>
          </cell>
          <cell r="B4028">
            <v>42746</v>
          </cell>
          <cell r="C4028" t="str">
            <v>ENERO</v>
          </cell>
          <cell r="D4028" t="str">
            <v>2017</v>
          </cell>
          <cell r="E4028">
            <v>806</v>
          </cell>
          <cell r="F4028" t="str">
            <v>AAM-837</v>
          </cell>
          <cell r="G4028" t="str">
            <v>CAMIONETA</v>
          </cell>
          <cell r="H4028" t="str">
            <v>LAS BAMBAS</v>
          </cell>
          <cell r="I4028">
            <v>122070</v>
          </cell>
          <cell r="J4028" t="str">
            <v>REPUESTO</v>
          </cell>
          <cell r="K4028" t="str">
            <v>FILTRO DE AIRE</v>
          </cell>
          <cell r="L4028">
            <v>1</v>
          </cell>
          <cell r="M4028" t="str">
            <v>UNID.</v>
          </cell>
          <cell r="N4028" t="str">
            <v>CAMIONETA</v>
          </cell>
          <cell r="O4028">
            <v>44</v>
          </cell>
          <cell r="P4028" t="str">
            <v>J1</v>
          </cell>
          <cell r="Q4028" t="str">
            <v>J1</v>
          </cell>
          <cell r="R4028" t="str">
            <v>J6</v>
          </cell>
          <cell r="S4028" t="str">
            <v>PENDIENTE</v>
          </cell>
          <cell r="T4028">
            <v>0</v>
          </cell>
          <cell r="U4028" t="str">
            <v>FLOREZ CONDORI  JOSE WILLIANS</v>
          </cell>
          <cell r="V4028" t="str">
            <v>FLOREZ CONDORI  JOSE WILLIANS</v>
          </cell>
        </row>
        <row r="4029">
          <cell r="A4029">
            <v>4034</v>
          </cell>
          <cell r="B4029">
            <v>42746</v>
          </cell>
          <cell r="C4029" t="str">
            <v>ENERO</v>
          </cell>
          <cell r="D4029" t="str">
            <v>2017</v>
          </cell>
          <cell r="E4029">
            <v>806</v>
          </cell>
          <cell r="F4029" t="str">
            <v>AAM-837</v>
          </cell>
          <cell r="G4029" t="str">
            <v>CAMIONETA</v>
          </cell>
          <cell r="H4029" t="str">
            <v>LAS BAMBAS</v>
          </cell>
          <cell r="I4029">
            <v>122070</v>
          </cell>
          <cell r="J4029" t="str">
            <v>REPUESTO</v>
          </cell>
          <cell r="K4029" t="str">
            <v>ACEITE 15W40</v>
          </cell>
          <cell r="L4029">
            <v>2</v>
          </cell>
          <cell r="M4029" t="str">
            <v>GLNS.</v>
          </cell>
          <cell r="N4029" t="str">
            <v>CAMIONETA</v>
          </cell>
          <cell r="O4029">
            <v>44</v>
          </cell>
          <cell r="P4029" t="str">
            <v>J1</v>
          </cell>
          <cell r="Q4029" t="str">
            <v>J1</v>
          </cell>
          <cell r="R4029" t="str">
            <v>J6</v>
          </cell>
          <cell r="S4029" t="str">
            <v>PENDIENTE</v>
          </cell>
          <cell r="T4029">
            <v>0</v>
          </cell>
          <cell r="U4029" t="str">
            <v>FLOREZ CONDORI  JOSE WILLIANS</v>
          </cell>
          <cell r="V4029" t="str">
            <v>FLOREZ CONDORI  JOSE WILLIANS</v>
          </cell>
        </row>
        <row r="4030">
          <cell r="A4030">
            <v>4026</v>
          </cell>
          <cell r="B4030">
            <v>42746</v>
          </cell>
          <cell r="C4030" t="str">
            <v>ENERO</v>
          </cell>
          <cell r="D4030" t="str">
            <v>2017</v>
          </cell>
          <cell r="E4030">
            <v>798</v>
          </cell>
          <cell r="F4030" t="str">
            <v>ABP-729</v>
          </cell>
          <cell r="G4030" t="str">
            <v>D8K-985</v>
          </cell>
          <cell r="H4030" t="str">
            <v>LAS BAMBAS</v>
          </cell>
          <cell r="I4030">
            <v>115370</v>
          </cell>
          <cell r="J4030" t="str">
            <v>REPUESTO</v>
          </cell>
          <cell r="K4030" t="str">
            <v>ACCESORIOS DE VALVULA PULPO</v>
          </cell>
          <cell r="L4030">
            <v>1</v>
          </cell>
          <cell r="M4030" t="str">
            <v>UNID.</v>
          </cell>
          <cell r="N4030" t="str">
            <v>CISTERNA</v>
          </cell>
          <cell r="O4030">
            <v>44</v>
          </cell>
          <cell r="P4030" t="str">
            <v>M8</v>
          </cell>
          <cell r="Q4030" t="str">
            <v>J1</v>
          </cell>
          <cell r="R4030" t="str">
            <v>J6</v>
          </cell>
          <cell r="S4030" t="str">
            <v>PENDIENTE</v>
          </cell>
          <cell r="T4030">
            <v>0</v>
          </cell>
          <cell r="U4030" t="str">
            <v>VARILLAS GAGO  OSCAR ALBERTO</v>
          </cell>
          <cell r="V4030" t="str">
            <v>FLOREZ CONDORI  JOSE WILLIANS</v>
          </cell>
        </row>
        <row r="4031">
          <cell r="A4031">
            <v>4027</v>
          </cell>
          <cell r="B4031">
            <v>42746</v>
          </cell>
          <cell r="C4031" t="str">
            <v>ENERO</v>
          </cell>
          <cell r="D4031" t="str">
            <v>2017</v>
          </cell>
          <cell r="E4031">
            <v>798</v>
          </cell>
          <cell r="F4031" t="str">
            <v>ABP-729</v>
          </cell>
          <cell r="G4031" t="str">
            <v>D8K-985</v>
          </cell>
          <cell r="H4031" t="str">
            <v>LAS BAMBAS</v>
          </cell>
          <cell r="I4031">
            <v>115370</v>
          </cell>
          <cell r="J4031" t="str">
            <v>REPUESTO</v>
          </cell>
          <cell r="K4031" t="str">
            <v>NIPLE DE 3/8 X 3/8</v>
          </cell>
          <cell r="L4031">
            <v>1</v>
          </cell>
          <cell r="M4031" t="str">
            <v>UNID.</v>
          </cell>
          <cell r="N4031" t="str">
            <v>CISTERNA</v>
          </cell>
          <cell r="O4031">
            <v>44</v>
          </cell>
          <cell r="P4031" t="str">
            <v>M8</v>
          </cell>
          <cell r="Q4031" t="str">
            <v>J1</v>
          </cell>
          <cell r="R4031" t="str">
            <v>J6</v>
          </cell>
          <cell r="S4031" t="str">
            <v>PENDIENTE</v>
          </cell>
          <cell r="T4031">
            <v>0</v>
          </cell>
          <cell r="U4031" t="str">
            <v>VARILLAS GAGO  OSCAR ALBERTO</v>
          </cell>
          <cell r="V4031" t="str">
            <v>FLOREZ CONDORI  JOSE WILLIANS</v>
          </cell>
        </row>
        <row r="4032">
          <cell r="A4032">
            <v>4028</v>
          </cell>
          <cell r="B4032">
            <v>42746</v>
          </cell>
          <cell r="C4032" t="str">
            <v>ENERO</v>
          </cell>
          <cell r="D4032" t="str">
            <v>2017</v>
          </cell>
          <cell r="E4032">
            <v>798</v>
          </cell>
          <cell r="F4032" t="str">
            <v>ABP-729</v>
          </cell>
          <cell r="G4032" t="str">
            <v>D8K-985</v>
          </cell>
          <cell r="H4032" t="str">
            <v>LAS BAMBAS</v>
          </cell>
          <cell r="I4032">
            <v>115370</v>
          </cell>
          <cell r="J4032" t="str">
            <v>REPUESTO</v>
          </cell>
          <cell r="K4032" t="str">
            <v>CONO 3/8</v>
          </cell>
          <cell r="L4032">
            <v>1</v>
          </cell>
          <cell r="M4032" t="str">
            <v>UNID.</v>
          </cell>
          <cell r="N4032" t="str">
            <v>CISTERNA</v>
          </cell>
          <cell r="O4032">
            <v>44</v>
          </cell>
          <cell r="P4032" t="str">
            <v>M8</v>
          </cell>
          <cell r="Q4032" t="str">
            <v>J1</v>
          </cell>
          <cell r="R4032" t="str">
            <v>J6</v>
          </cell>
          <cell r="S4032" t="str">
            <v>PENDIENTE</v>
          </cell>
          <cell r="T4032">
            <v>0</v>
          </cell>
          <cell r="U4032" t="str">
            <v>VARILLAS GAGO  OSCAR ALBERTO</v>
          </cell>
          <cell r="V4032" t="str">
            <v>FLOREZ CONDORI  JOSE WILLIANS</v>
          </cell>
        </row>
        <row r="4033">
          <cell r="A4033">
            <v>4029</v>
          </cell>
          <cell r="B4033">
            <v>42746</v>
          </cell>
          <cell r="C4033" t="str">
            <v>ENERO</v>
          </cell>
          <cell r="D4033" t="str">
            <v>2017</v>
          </cell>
          <cell r="E4033">
            <v>798</v>
          </cell>
          <cell r="F4033" t="str">
            <v>ABP-729</v>
          </cell>
          <cell r="G4033" t="str">
            <v>D8K-985</v>
          </cell>
          <cell r="H4033" t="str">
            <v>LAS BAMBAS</v>
          </cell>
          <cell r="I4033">
            <v>115370</v>
          </cell>
          <cell r="J4033" t="str">
            <v>REPUESTO</v>
          </cell>
          <cell r="K4033" t="str">
            <v>GUIA 3/8</v>
          </cell>
          <cell r="L4033">
            <v>1</v>
          </cell>
          <cell r="M4033" t="str">
            <v>UNID.</v>
          </cell>
          <cell r="N4033" t="str">
            <v>CISTERNA</v>
          </cell>
          <cell r="O4033">
            <v>44</v>
          </cell>
          <cell r="P4033" t="str">
            <v>M8</v>
          </cell>
          <cell r="Q4033" t="str">
            <v>J1</v>
          </cell>
          <cell r="R4033" t="str">
            <v>J6</v>
          </cell>
          <cell r="S4033" t="str">
            <v>PENDIENTE</v>
          </cell>
          <cell r="T4033">
            <v>0</v>
          </cell>
          <cell r="U4033" t="str">
            <v>VARILLAS GAGO  OSCAR ALBERTO</v>
          </cell>
          <cell r="V4033" t="str">
            <v>FLOREZ CONDORI  JOSE WILLIANS</v>
          </cell>
        </row>
        <row r="4034">
          <cell r="A4034">
            <v>4030</v>
          </cell>
          <cell r="B4034">
            <v>42746</v>
          </cell>
          <cell r="C4034" t="str">
            <v>ENERO</v>
          </cell>
          <cell r="D4034" t="str">
            <v>2017</v>
          </cell>
          <cell r="E4034">
            <v>798</v>
          </cell>
          <cell r="F4034" t="str">
            <v>ABP-729</v>
          </cell>
          <cell r="G4034" t="str">
            <v>D8K-985</v>
          </cell>
          <cell r="H4034" t="str">
            <v>LAS BAMBAS</v>
          </cell>
          <cell r="I4034">
            <v>115370</v>
          </cell>
          <cell r="J4034" t="str">
            <v>REPUESTO</v>
          </cell>
          <cell r="K4034" t="str">
            <v>TUERCA 3/8</v>
          </cell>
          <cell r="L4034">
            <v>1</v>
          </cell>
          <cell r="M4034" t="str">
            <v>UNID.</v>
          </cell>
          <cell r="N4034" t="str">
            <v>CISTERNA</v>
          </cell>
          <cell r="O4034">
            <v>44</v>
          </cell>
          <cell r="P4034" t="str">
            <v>M8</v>
          </cell>
          <cell r="Q4034" t="str">
            <v>J1</v>
          </cell>
          <cell r="R4034" t="str">
            <v>J6</v>
          </cell>
          <cell r="S4034" t="str">
            <v>PENDIENTE</v>
          </cell>
          <cell r="T4034">
            <v>0</v>
          </cell>
          <cell r="U4034" t="str">
            <v>VARILLAS GAGO  OSCAR ALBERTO</v>
          </cell>
          <cell r="V4034" t="str">
            <v>FLOREZ CONDORI  JOSE WILLIANS</v>
          </cell>
        </row>
        <row r="4035">
          <cell r="A4035">
            <v>4044</v>
          </cell>
          <cell r="B4035">
            <v>42746</v>
          </cell>
          <cell r="C4035" t="str">
            <v>ENERO</v>
          </cell>
          <cell r="D4035" t="str">
            <v>2017</v>
          </cell>
          <cell r="E4035">
            <v>798</v>
          </cell>
          <cell r="F4035" t="str">
            <v>ABP-729</v>
          </cell>
          <cell r="G4035" t="str">
            <v>D8K-985</v>
          </cell>
          <cell r="H4035" t="str">
            <v>LAS BAMBAS</v>
          </cell>
          <cell r="I4035">
            <v>115370</v>
          </cell>
          <cell r="J4035" t="str">
            <v>REPUESTO</v>
          </cell>
          <cell r="K4035" t="str">
            <v>LLANTAS</v>
          </cell>
          <cell r="L4035">
            <v>4</v>
          </cell>
          <cell r="M4035" t="str">
            <v>UNID.</v>
          </cell>
          <cell r="N4035" t="str">
            <v>TRACTO</v>
          </cell>
          <cell r="O4035">
            <v>44</v>
          </cell>
          <cell r="P4035" t="str">
            <v>N2</v>
          </cell>
          <cell r="Q4035" t="str">
            <v>J1</v>
          </cell>
          <cell r="R4035" t="str">
            <v>J6</v>
          </cell>
          <cell r="S4035" t="str">
            <v>PENDIENTE</v>
          </cell>
          <cell r="T4035">
            <v>0</v>
          </cell>
          <cell r="U4035" t="str">
            <v>MAMANI LARICO  EDUARDO ALVARO</v>
          </cell>
          <cell r="V4035" t="str">
            <v>FLOREZ CONDORI  JOSE WILLIANS</v>
          </cell>
        </row>
        <row r="4036">
          <cell r="A4036">
            <v>4060</v>
          </cell>
          <cell r="B4036">
            <v>42746</v>
          </cell>
          <cell r="C4036" t="str">
            <v>ENERO</v>
          </cell>
          <cell r="D4036" t="str">
            <v>2017</v>
          </cell>
          <cell r="E4036">
            <v>798</v>
          </cell>
          <cell r="F4036" t="str">
            <v>ABP-729</v>
          </cell>
          <cell r="G4036" t="str">
            <v>D8K-985</v>
          </cell>
          <cell r="H4036" t="str">
            <v>LAS BAMBAS</v>
          </cell>
          <cell r="I4036">
            <v>115370</v>
          </cell>
          <cell r="J4036" t="str">
            <v>REPUESTO</v>
          </cell>
          <cell r="K4036" t="str">
            <v>LIQUIDO REFRIGERANTE</v>
          </cell>
          <cell r="L4036">
            <v>0.5</v>
          </cell>
          <cell r="M4036" t="str">
            <v>GLNS.</v>
          </cell>
          <cell r="N4036" t="str">
            <v>TRACTO</v>
          </cell>
          <cell r="O4036">
            <v>44</v>
          </cell>
          <cell r="P4036" t="str">
            <v>M8</v>
          </cell>
          <cell r="Q4036" t="str">
            <v>J1</v>
          </cell>
          <cell r="R4036" t="str">
            <v>J6</v>
          </cell>
          <cell r="S4036" t="str">
            <v>PENDIENTE</v>
          </cell>
          <cell r="T4036">
            <v>0</v>
          </cell>
          <cell r="U4036" t="str">
            <v>VARILLAS GAGO  OSCAR ALBERTO</v>
          </cell>
          <cell r="V4036" t="str">
            <v>FLOREZ CONDORI  JOSE WILLIANS</v>
          </cell>
        </row>
        <row r="4037">
          <cell r="A4037">
            <v>4068</v>
          </cell>
          <cell r="B4037">
            <v>42746</v>
          </cell>
          <cell r="C4037" t="str">
            <v>ENERO</v>
          </cell>
          <cell r="D4037" t="str">
            <v>2017</v>
          </cell>
          <cell r="E4037">
            <v>812</v>
          </cell>
          <cell r="F4037" t="str">
            <v>ABP-783</v>
          </cell>
          <cell r="G4037" t="str">
            <v>C9S-988</v>
          </cell>
          <cell r="H4037" t="str">
            <v>LAS BAMBAS</v>
          </cell>
          <cell r="I4037">
            <v>132227</v>
          </cell>
          <cell r="J4037" t="str">
            <v>REPUESTO</v>
          </cell>
          <cell r="K4037" t="str">
            <v>LLANTAS</v>
          </cell>
          <cell r="L4037">
            <v>1</v>
          </cell>
          <cell r="M4037" t="str">
            <v>UNID.</v>
          </cell>
          <cell r="N4037" t="str">
            <v>CISTERNA</v>
          </cell>
          <cell r="O4037">
            <v>44</v>
          </cell>
          <cell r="P4037" t="str">
            <v>N2</v>
          </cell>
          <cell r="Q4037" t="str">
            <v>J3</v>
          </cell>
          <cell r="R4037" t="str">
            <v>J6</v>
          </cell>
          <cell r="S4037" t="str">
            <v>PENDIENTE</v>
          </cell>
          <cell r="T4037">
            <v>0</v>
          </cell>
          <cell r="U4037" t="str">
            <v>MAMANI LARICO  EDUARDO ALVARO</v>
          </cell>
          <cell r="V4037" t="str">
            <v>CHURA PIZARRO ALBERTO</v>
          </cell>
        </row>
        <row r="4038">
          <cell r="A4038">
            <v>4075</v>
          </cell>
          <cell r="B4038">
            <v>42746</v>
          </cell>
          <cell r="C4038" t="str">
            <v>ENERO</v>
          </cell>
          <cell r="D4038" t="str">
            <v>2017</v>
          </cell>
          <cell r="E4038">
            <v>812</v>
          </cell>
          <cell r="F4038" t="str">
            <v>ABP-783</v>
          </cell>
          <cell r="G4038" t="str">
            <v>C9S-988</v>
          </cell>
          <cell r="H4038" t="str">
            <v>LAS BAMBAS</v>
          </cell>
          <cell r="I4038">
            <v>132227</v>
          </cell>
          <cell r="J4038" t="str">
            <v>REPUESTO</v>
          </cell>
          <cell r="K4038" t="str">
            <v>ROMBO METALICO</v>
          </cell>
          <cell r="L4038">
            <v>2</v>
          </cell>
          <cell r="M4038" t="str">
            <v>UNID.</v>
          </cell>
          <cell r="N4038" t="str">
            <v>TRACTO</v>
          </cell>
          <cell r="O4038">
            <v>44</v>
          </cell>
          <cell r="P4038" t="str">
            <v>M4</v>
          </cell>
          <cell r="Q4038" t="str">
            <v>J1</v>
          </cell>
          <cell r="R4038" t="str">
            <v>J6</v>
          </cell>
          <cell r="S4038" t="str">
            <v>PENDIENTE</v>
          </cell>
          <cell r="T4038">
            <v>0</v>
          </cell>
          <cell r="U4038" t="str">
            <v>JULLIRI APAZA UBALDO</v>
          </cell>
          <cell r="V4038" t="str">
            <v>FLOREZ CONDORI  JOSE WILLIANS</v>
          </cell>
        </row>
        <row r="4039">
          <cell r="A4039">
            <v>4049</v>
          </cell>
          <cell r="B4039">
            <v>42746</v>
          </cell>
          <cell r="C4039" t="str">
            <v>ENERO</v>
          </cell>
          <cell r="D4039" t="str">
            <v>2017</v>
          </cell>
          <cell r="E4039">
            <v>800</v>
          </cell>
          <cell r="F4039" t="str">
            <v>ABQ-705</v>
          </cell>
          <cell r="G4039" t="str">
            <v>D0Z-996</v>
          </cell>
          <cell r="H4039" t="str">
            <v>LAS BAMBAS</v>
          </cell>
          <cell r="I4039">
            <v>113486</v>
          </cell>
          <cell r="J4039" t="str">
            <v>REPUESTO</v>
          </cell>
          <cell r="K4039" t="str">
            <v>TANQUE DE EXPANSION REFRIGERANTE</v>
          </cell>
          <cell r="L4039">
            <v>1</v>
          </cell>
          <cell r="M4039" t="str">
            <v>UNID.</v>
          </cell>
          <cell r="N4039" t="str">
            <v>TRACTO</v>
          </cell>
          <cell r="O4039">
            <v>44</v>
          </cell>
          <cell r="P4039" t="str">
            <v>M8</v>
          </cell>
          <cell r="Q4039" t="str">
            <v>J1</v>
          </cell>
          <cell r="R4039" t="str">
            <v>J1</v>
          </cell>
          <cell r="S4039" t="str">
            <v>PENDIENTE</v>
          </cell>
          <cell r="T4039">
            <v>0</v>
          </cell>
          <cell r="U4039" t="str">
            <v>VARILLAS GAGO  OSCAR ALBERTO</v>
          </cell>
          <cell r="V4039" t="str">
            <v>FLOREZ CONDORI  JOSE WILLIANS</v>
          </cell>
        </row>
        <row r="4040">
          <cell r="A4040">
            <v>4055</v>
          </cell>
          <cell r="B4040">
            <v>42746</v>
          </cell>
          <cell r="C4040" t="str">
            <v>ENERO</v>
          </cell>
          <cell r="D4040" t="str">
            <v>2017</v>
          </cell>
          <cell r="E4040">
            <v>811</v>
          </cell>
          <cell r="F4040" t="str">
            <v>AEH-920</v>
          </cell>
          <cell r="G4040" t="str">
            <v>CAMIONETA</v>
          </cell>
          <cell r="H4040" t="str">
            <v>LAS BAMBAS</v>
          </cell>
          <cell r="I4040">
            <v>96791</v>
          </cell>
          <cell r="J4040" t="str">
            <v>REPUESTO</v>
          </cell>
          <cell r="K4040" t="str">
            <v>FILTRO DE ACEITE</v>
          </cell>
          <cell r="L4040">
            <v>1</v>
          </cell>
          <cell r="M4040" t="str">
            <v>UNID.</v>
          </cell>
          <cell r="N4040" t="str">
            <v>CAMIONETA</v>
          </cell>
          <cell r="O4040">
            <v>44</v>
          </cell>
          <cell r="P4040" t="str">
            <v>M6</v>
          </cell>
          <cell r="Q4040" t="str">
            <v>J1</v>
          </cell>
          <cell r="R4040" t="str">
            <v>J6</v>
          </cell>
          <cell r="S4040" t="str">
            <v>PENDIENTE</v>
          </cell>
          <cell r="T4040">
            <v>0</v>
          </cell>
          <cell r="U4040" t="str">
            <v>PARI VENTURA  EDSON ORLANDO</v>
          </cell>
          <cell r="V4040" t="str">
            <v>FLOREZ CONDORI  JOSE WILLIANS</v>
          </cell>
        </row>
        <row r="4041">
          <cell r="A4041">
            <v>4056</v>
          </cell>
          <cell r="B4041">
            <v>42746</v>
          </cell>
          <cell r="C4041" t="str">
            <v>ENERO</v>
          </cell>
          <cell r="D4041" t="str">
            <v>2017</v>
          </cell>
          <cell r="E4041">
            <v>811</v>
          </cell>
          <cell r="F4041" t="str">
            <v>AEH-920</v>
          </cell>
          <cell r="G4041" t="str">
            <v>CAMIONETA</v>
          </cell>
          <cell r="H4041" t="str">
            <v>LAS BAMBAS</v>
          </cell>
          <cell r="I4041">
            <v>96791</v>
          </cell>
          <cell r="J4041" t="str">
            <v>REPUESTO</v>
          </cell>
          <cell r="K4041" t="str">
            <v>FILTRO DE COMBUSTIBLE</v>
          </cell>
          <cell r="L4041">
            <v>1</v>
          </cell>
          <cell r="M4041" t="str">
            <v>UNID.</v>
          </cell>
          <cell r="N4041" t="str">
            <v>CAMIONETA</v>
          </cell>
          <cell r="O4041">
            <v>44</v>
          </cell>
          <cell r="P4041" t="str">
            <v>M6</v>
          </cell>
          <cell r="Q4041" t="str">
            <v>J1</v>
          </cell>
          <cell r="R4041" t="str">
            <v>J6</v>
          </cell>
          <cell r="S4041" t="str">
            <v>PENDIENTE</v>
          </cell>
          <cell r="T4041">
            <v>0</v>
          </cell>
          <cell r="U4041" t="str">
            <v>PARI VENTURA  EDSON ORLANDO</v>
          </cell>
          <cell r="V4041" t="str">
            <v>FLOREZ CONDORI  JOSE WILLIANS</v>
          </cell>
        </row>
        <row r="4042">
          <cell r="A4042">
            <v>4057</v>
          </cell>
          <cell r="B4042">
            <v>42746</v>
          </cell>
          <cell r="C4042" t="str">
            <v>ENERO</v>
          </cell>
          <cell r="D4042" t="str">
            <v>2017</v>
          </cell>
          <cell r="E4042">
            <v>811</v>
          </cell>
          <cell r="F4042" t="str">
            <v>AEH-920</v>
          </cell>
          <cell r="G4042" t="str">
            <v>CAMIONETA</v>
          </cell>
          <cell r="H4042" t="str">
            <v>LAS BAMBAS</v>
          </cell>
          <cell r="I4042">
            <v>96791</v>
          </cell>
          <cell r="J4042" t="str">
            <v>REPUESTO</v>
          </cell>
          <cell r="K4042" t="str">
            <v>FILTRO DE AIRE</v>
          </cell>
          <cell r="L4042">
            <v>1</v>
          </cell>
          <cell r="M4042" t="str">
            <v>UNID.</v>
          </cell>
          <cell r="N4042" t="str">
            <v>CAMIONETA</v>
          </cell>
          <cell r="O4042">
            <v>44</v>
          </cell>
          <cell r="P4042" t="str">
            <v>M6</v>
          </cell>
          <cell r="Q4042" t="str">
            <v>J1</v>
          </cell>
          <cell r="R4042" t="str">
            <v>J6</v>
          </cell>
          <cell r="S4042" t="str">
            <v>PENDIENTE</v>
          </cell>
          <cell r="T4042">
            <v>0</v>
          </cell>
          <cell r="U4042" t="str">
            <v>PARI VENTURA  EDSON ORLANDO</v>
          </cell>
          <cell r="V4042" t="str">
            <v>FLOREZ CONDORI  JOSE WILLIANS</v>
          </cell>
        </row>
        <row r="4043">
          <cell r="A4043">
            <v>4058</v>
          </cell>
          <cell r="B4043">
            <v>42746</v>
          </cell>
          <cell r="C4043" t="str">
            <v>ENERO</v>
          </cell>
          <cell r="D4043" t="str">
            <v>2017</v>
          </cell>
          <cell r="E4043">
            <v>811</v>
          </cell>
          <cell r="F4043" t="str">
            <v>AEH-920</v>
          </cell>
          <cell r="G4043" t="str">
            <v>CAMIONETA</v>
          </cell>
          <cell r="H4043" t="str">
            <v>LAS BAMBAS</v>
          </cell>
          <cell r="I4043">
            <v>96791</v>
          </cell>
          <cell r="J4043" t="str">
            <v>REPUESTO</v>
          </cell>
          <cell r="K4043" t="str">
            <v>ACEITE 15W40</v>
          </cell>
          <cell r="L4043">
            <v>2</v>
          </cell>
          <cell r="M4043" t="str">
            <v>GLNS.</v>
          </cell>
          <cell r="N4043" t="str">
            <v>CAMIONETA</v>
          </cell>
          <cell r="O4043">
            <v>44</v>
          </cell>
          <cell r="P4043" t="str">
            <v>M6</v>
          </cell>
          <cell r="Q4043" t="str">
            <v>J1</v>
          </cell>
          <cell r="R4043" t="str">
            <v>J6</v>
          </cell>
          <cell r="S4043" t="str">
            <v>PENDIENTE</v>
          </cell>
          <cell r="T4043">
            <v>0</v>
          </cell>
          <cell r="U4043" t="str">
            <v>PARI VENTURA  EDSON ORLANDO</v>
          </cell>
          <cell r="V4043" t="str">
            <v>FLOREZ CONDORI  JOSE WILLIANS</v>
          </cell>
        </row>
        <row r="4044">
          <cell r="A4044">
            <v>4054</v>
          </cell>
          <cell r="B4044">
            <v>42746</v>
          </cell>
          <cell r="C4044" t="str">
            <v>ENERO</v>
          </cell>
          <cell r="D4044" t="str">
            <v>2017</v>
          </cell>
          <cell r="E4044">
            <v>809</v>
          </cell>
          <cell r="F4044" t="str">
            <v>AEJ-949</v>
          </cell>
          <cell r="G4044" t="str">
            <v>CAMIONETA</v>
          </cell>
          <cell r="H4044" t="str">
            <v>LAS BAMBAS</v>
          </cell>
          <cell r="I4044">
            <v>96731</v>
          </cell>
          <cell r="J4044" t="str">
            <v>REPUESTO</v>
          </cell>
          <cell r="K4044" t="str">
            <v>CRUZETA DE CARDAN DE 4 X 4</v>
          </cell>
          <cell r="L4044">
            <v>2</v>
          </cell>
          <cell r="M4044" t="str">
            <v>UNID.</v>
          </cell>
          <cell r="N4044" t="str">
            <v>CAMIONETA</v>
          </cell>
          <cell r="O4044">
            <v>44</v>
          </cell>
          <cell r="P4044" t="str">
            <v>M6</v>
          </cell>
          <cell r="Q4044" t="str">
            <v>J1</v>
          </cell>
          <cell r="R4044" t="str">
            <v>J6</v>
          </cell>
          <cell r="S4044" t="str">
            <v>PENDIENTE</v>
          </cell>
          <cell r="T4044">
            <v>0</v>
          </cell>
          <cell r="U4044" t="str">
            <v>PARI VENTURA  EDSON ORLANDO</v>
          </cell>
          <cell r="V4044" t="str">
            <v>FLOREZ CONDORI  JOSE WILLIANS</v>
          </cell>
        </row>
        <row r="4045">
          <cell r="A4045">
            <v>4061</v>
          </cell>
          <cell r="B4045">
            <v>42746</v>
          </cell>
          <cell r="C4045" t="str">
            <v>ENERO</v>
          </cell>
          <cell r="D4045" t="str">
            <v>2017</v>
          </cell>
          <cell r="E4045">
            <v>810</v>
          </cell>
          <cell r="F4045" t="str">
            <v>AHX-713</v>
          </cell>
          <cell r="G4045" t="str">
            <v>D9S-976</v>
          </cell>
          <cell r="H4045" t="str">
            <v>LAS BAMBAS</v>
          </cell>
          <cell r="I4045">
            <v>61541</v>
          </cell>
          <cell r="J4045" t="str">
            <v>REPUESTO</v>
          </cell>
          <cell r="K4045" t="str">
            <v>LIQUIDO REFRIGERANTE</v>
          </cell>
          <cell r="L4045">
            <v>1</v>
          </cell>
          <cell r="M4045" t="str">
            <v>GLNS.</v>
          </cell>
          <cell r="N4045" t="str">
            <v>TRACTO</v>
          </cell>
          <cell r="O4045">
            <v>44</v>
          </cell>
          <cell r="P4045" t="str">
            <v>M2</v>
          </cell>
          <cell r="Q4045" t="str">
            <v>J1</v>
          </cell>
          <cell r="R4045" t="str">
            <v>J6</v>
          </cell>
          <cell r="S4045" t="str">
            <v>PENDIENTE</v>
          </cell>
          <cell r="T4045">
            <v>0</v>
          </cell>
          <cell r="U4045" t="str">
            <v>CHUMPITAZ GAGO JULIO ENRIQUE</v>
          </cell>
          <cell r="V4045" t="str">
            <v>FLOREZ CONDORI  JOSE WILLIANS</v>
          </cell>
        </row>
        <row r="4046">
          <cell r="A4046">
            <v>4065</v>
          </cell>
          <cell r="B4046">
            <v>42746</v>
          </cell>
          <cell r="C4046" t="str">
            <v>ENERO</v>
          </cell>
          <cell r="D4046" t="str">
            <v>2017</v>
          </cell>
          <cell r="E4046">
            <v>810</v>
          </cell>
          <cell r="F4046" t="str">
            <v>AHX-713</v>
          </cell>
          <cell r="G4046" t="str">
            <v>D9S-976</v>
          </cell>
          <cell r="H4046" t="str">
            <v>LAS BAMBAS</v>
          </cell>
          <cell r="I4046">
            <v>61541</v>
          </cell>
          <cell r="J4046" t="str">
            <v>REPUESTO</v>
          </cell>
          <cell r="K4046" t="str">
            <v>ALARMA DE RETROCESO</v>
          </cell>
          <cell r="L4046">
            <v>1</v>
          </cell>
          <cell r="M4046" t="str">
            <v>UNID.</v>
          </cell>
          <cell r="N4046" t="str">
            <v>TRACTO</v>
          </cell>
          <cell r="O4046">
            <v>44</v>
          </cell>
          <cell r="P4046" t="str">
            <v>E2</v>
          </cell>
          <cell r="Q4046" t="str">
            <v>J1</v>
          </cell>
          <cell r="R4046" t="str">
            <v>J6</v>
          </cell>
          <cell r="S4046" t="str">
            <v>PENDIENTE</v>
          </cell>
          <cell r="T4046">
            <v>0</v>
          </cell>
          <cell r="U4046" t="str">
            <v>YUCA BELLIDO BORIS YERSY</v>
          </cell>
          <cell r="V4046" t="str">
            <v>FLOREZ CONDORI  JOSE WILLIANS</v>
          </cell>
        </row>
        <row r="4047">
          <cell r="A4047">
            <v>4066</v>
          </cell>
          <cell r="B4047">
            <v>42746</v>
          </cell>
          <cell r="C4047" t="str">
            <v>ENERO</v>
          </cell>
          <cell r="D4047" t="str">
            <v>2017</v>
          </cell>
          <cell r="E4047">
            <v>810</v>
          </cell>
          <cell r="F4047" t="str">
            <v>AHX-713</v>
          </cell>
          <cell r="G4047" t="str">
            <v>D9S-976</v>
          </cell>
          <cell r="H4047" t="str">
            <v>LAS BAMBAS</v>
          </cell>
          <cell r="I4047">
            <v>61541</v>
          </cell>
          <cell r="J4047" t="str">
            <v>REPUESTO</v>
          </cell>
          <cell r="K4047" t="str">
            <v>FOCO LAGRIMON</v>
          </cell>
          <cell r="L4047">
            <v>1</v>
          </cell>
          <cell r="M4047" t="str">
            <v>UNID.</v>
          </cell>
          <cell r="N4047" t="str">
            <v>TRACTO</v>
          </cell>
          <cell r="O4047">
            <v>44</v>
          </cell>
          <cell r="P4047" t="str">
            <v>E2</v>
          </cell>
          <cell r="Q4047" t="str">
            <v>J1</v>
          </cell>
          <cell r="R4047" t="str">
            <v>J6</v>
          </cell>
          <cell r="S4047" t="str">
            <v>PENDIENTE</v>
          </cell>
          <cell r="T4047">
            <v>0</v>
          </cell>
          <cell r="U4047" t="str">
            <v>YUCA BELLIDO BORIS YERSY</v>
          </cell>
          <cell r="V4047" t="str">
            <v>FLOREZ CONDORI  JOSE WILLIANS</v>
          </cell>
        </row>
        <row r="4048">
          <cell r="A4048">
            <v>4038</v>
          </cell>
          <cell r="B4048">
            <v>42746</v>
          </cell>
          <cell r="C4048" t="str">
            <v>ENERO</v>
          </cell>
          <cell r="D4048" t="str">
            <v>2017</v>
          </cell>
          <cell r="E4048">
            <v>801</v>
          </cell>
          <cell r="F4048" t="str">
            <v>AKX-767</v>
          </cell>
          <cell r="G4048" t="str">
            <v>TCR-993</v>
          </cell>
          <cell r="H4048" t="str">
            <v>LAS BAMBAS CONC.</v>
          </cell>
          <cell r="I4048">
            <v>30250</v>
          </cell>
          <cell r="J4048" t="str">
            <v>REPUESTO</v>
          </cell>
          <cell r="K4048" t="str">
            <v>FOCO 9006</v>
          </cell>
          <cell r="L4048">
            <v>1</v>
          </cell>
          <cell r="M4048" t="str">
            <v>UNID.</v>
          </cell>
          <cell r="N4048" t="str">
            <v>TRACTO</v>
          </cell>
          <cell r="O4048">
            <v>44</v>
          </cell>
          <cell r="P4048" t="str">
            <v>E3</v>
          </cell>
          <cell r="Q4048" t="str">
            <v>J1</v>
          </cell>
          <cell r="R4048" t="str">
            <v>J6</v>
          </cell>
          <cell r="S4048" t="str">
            <v>PENDIENTE</v>
          </cell>
          <cell r="T4048">
            <v>0</v>
          </cell>
          <cell r="U4048" t="str">
            <v>CONDORI CHURATA ALEX</v>
          </cell>
          <cell r="V4048" t="str">
            <v>FLOREZ CONDORI  JOSE WILLIANS</v>
          </cell>
        </row>
        <row r="4049">
          <cell r="A4049">
            <v>4053</v>
          </cell>
          <cell r="B4049">
            <v>42746</v>
          </cell>
          <cell r="C4049" t="str">
            <v>ENERO</v>
          </cell>
          <cell r="D4049" t="str">
            <v>2017</v>
          </cell>
          <cell r="E4049">
            <v>789</v>
          </cell>
          <cell r="F4049" t="str">
            <v>B2M-948</v>
          </cell>
          <cell r="G4049" t="str">
            <v>CAMION</v>
          </cell>
          <cell r="H4049" t="str">
            <v>TAMBOMAYO</v>
          </cell>
          <cell r="I4049">
            <v>116689</v>
          </cell>
          <cell r="J4049" t="str">
            <v>REPUESTO</v>
          </cell>
          <cell r="K4049" t="str">
            <v xml:space="preserve">INTERRUPTOR ESTANDAR </v>
          </cell>
          <cell r="L4049">
            <v>1</v>
          </cell>
          <cell r="M4049" t="str">
            <v>UNID.</v>
          </cell>
          <cell r="N4049" t="str">
            <v>CAMION</v>
          </cell>
          <cell r="O4049">
            <v>44</v>
          </cell>
          <cell r="P4049" t="str">
            <v>E3</v>
          </cell>
          <cell r="Q4049" t="str">
            <v>J1</v>
          </cell>
          <cell r="R4049" t="str">
            <v>J1</v>
          </cell>
          <cell r="S4049" t="str">
            <v>PENDIENTE</v>
          </cell>
          <cell r="T4049">
            <v>0</v>
          </cell>
          <cell r="U4049" t="str">
            <v>CONDORI CHURATA ALEX</v>
          </cell>
          <cell r="V4049" t="str">
            <v>FLOREZ CONDORI  JOSE WILLIANS</v>
          </cell>
        </row>
        <row r="4050">
          <cell r="A4050">
            <v>4069</v>
          </cell>
          <cell r="B4050">
            <v>42746</v>
          </cell>
          <cell r="C4050" t="str">
            <v>ENERO</v>
          </cell>
          <cell r="D4050" t="str">
            <v>2017</v>
          </cell>
          <cell r="E4050">
            <v>814</v>
          </cell>
          <cell r="F4050" t="str">
            <v>C5R-899</v>
          </cell>
          <cell r="G4050" t="str">
            <v>A0U-978</v>
          </cell>
          <cell r="H4050" t="str">
            <v>LAS BAMBAS</v>
          </cell>
          <cell r="I4050">
            <v>259480</v>
          </cell>
          <cell r="J4050" t="str">
            <v>REPUESTO</v>
          </cell>
          <cell r="K4050" t="str">
            <v>LIQUIDO LIMPIAPARABRISAS</v>
          </cell>
          <cell r="L4050">
            <v>1</v>
          </cell>
          <cell r="M4050" t="str">
            <v>GLNS.</v>
          </cell>
          <cell r="N4050" t="str">
            <v>TRACTO</v>
          </cell>
          <cell r="O4050">
            <v>44</v>
          </cell>
          <cell r="P4050" t="str">
            <v>M8</v>
          </cell>
          <cell r="Q4050" t="str">
            <v>J1</v>
          </cell>
          <cell r="R4050" t="str">
            <v>J6</v>
          </cell>
          <cell r="S4050" t="str">
            <v>PENDIENTE</v>
          </cell>
          <cell r="T4050">
            <v>0</v>
          </cell>
          <cell r="U4050" t="str">
            <v>VARILLAS GAGO  OSCAR ALBERTO</v>
          </cell>
          <cell r="V4050" t="str">
            <v>FLOREZ CONDORI  JOSE WILLIANS</v>
          </cell>
        </row>
        <row r="4051">
          <cell r="A4051">
            <v>4070</v>
          </cell>
          <cell r="B4051">
            <v>42746</v>
          </cell>
          <cell r="C4051" t="str">
            <v>ENERO</v>
          </cell>
          <cell r="D4051" t="str">
            <v>2017</v>
          </cell>
          <cell r="E4051">
            <v>814</v>
          </cell>
          <cell r="F4051" t="str">
            <v>C5R-899</v>
          </cell>
          <cell r="G4051" t="str">
            <v>A0U-978</v>
          </cell>
          <cell r="H4051" t="str">
            <v>LAS BAMBAS</v>
          </cell>
          <cell r="I4051">
            <v>259480</v>
          </cell>
          <cell r="J4051" t="str">
            <v>REPUESTO</v>
          </cell>
          <cell r="K4051" t="str">
            <v>LIQUIDO REFRIGERANTE</v>
          </cell>
          <cell r="L4051">
            <v>1</v>
          </cell>
          <cell r="M4051" t="str">
            <v>GLNS.</v>
          </cell>
          <cell r="N4051" t="str">
            <v>TRACTO</v>
          </cell>
          <cell r="O4051">
            <v>44</v>
          </cell>
          <cell r="P4051" t="str">
            <v>M8</v>
          </cell>
          <cell r="Q4051" t="str">
            <v>J1</v>
          </cell>
          <cell r="R4051" t="str">
            <v>J6</v>
          </cell>
          <cell r="S4051" t="str">
            <v>PENDIENTE</v>
          </cell>
          <cell r="T4051">
            <v>0</v>
          </cell>
          <cell r="U4051" t="str">
            <v>VARILLAS GAGO  OSCAR ALBERTO</v>
          </cell>
          <cell r="V4051" t="str">
            <v>FLOREZ CONDORI  JOSE WILLIANS</v>
          </cell>
        </row>
        <row r="4052">
          <cell r="A4052">
            <v>4041</v>
          </cell>
          <cell r="B4052">
            <v>42746</v>
          </cell>
          <cell r="C4052" t="str">
            <v>ENERO</v>
          </cell>
          <cell r="D4052" t="str">
            <v>2017</v>
          </cell>
          <cell r="E4052">
            <v>803</v>
          </cell>
          <cell r="F4052" t="str">
            <v>C6X-739</v>
          </cell>
          <cell r="G4052" t="str">
            <v>TCS-988</v>
          </cell>
          <cell r="H4052" t="str">
            <v>LAS BAMBAS CONC.</v>
          </cell>
          <cell r="I4052">
            <v>232763</v>
          </cell>
          <cell r="J4052" t="str">
            <v>REPUESTO</v>
          </cell>
          <cell r="K4052" t="str">
            <v>FAROS NEBLINEROS</v>
          </cell>
          <cell r="L4052">
            <v>2</v>
          </cell>
          <cell r="M4052" t="str">
            <v>UNID.</v>
          </cell>
          <cell r="N4052" t="str">
            <v>TRACTO</v>
          </cell>
          <cell r="O4052">
            <v>44</v>
          </cell>
          <cell r="P4052" t="str">
            <v>E3</v>
          </cell>
          <cell r="Q4052" t="str">
            <v>J1</v>
          </cell>
          <cell r="R4052" t="str">
            <v>J6</v>
          </cell>
          <cell r="S4052" t="str">
            <v>PENDIENTE</v>
          </cell>
          <cell r="T4052">
            <v>0</v>
          </cell>
          <cell r="U4052" t="str">
            <v>CONDORI CHURATA ALEX</v>
          </cell>
          <cell r="V4052" t="str">
            <v>FLOREZ CONDORI  JOSE WILLIANS</v>
          </cell>
        </row>
        <row r="4053">
          <cell r="A4053">
            <v>4045</v>
          </cell>
          <cell r="B4053">
            <v>42746</v>
          </cell>
          <cell r="C4053" t="str">
            <v>ENERO</v>
          </cell>
          <cell r="D4053" t="str">
            <v>2017</v>
          </cell>
          <cell r="E4053">
            <v>803</v>
          </cell>
          <cell r="F4053" t="str">
            <v>C6X-739</v>
          </cell>
          <cell r="G4053" t="str">
            <v>TCS-988</v>
          </cell>
          <cell r="H4053" t="str">
            <v>LAS BAMBAS CONC.</v>
          </cell>
          <cell r="I4053">
            <v>232763</v>
          </cell>
          <cell r="J4053" t="str">
            <v>REPUESTO</v>
          </cell>
          <cell r="K4053" t="str">
            <v>LIQUIDO LIMPIAPARABRISAS</v>
          </cell>
          <cell r="L4053">
            <v>1</v>
          </cell>
          <cell r="M4053" t="str">
            <v>GLNS.</v>
          </cell>
          <cell r="N4053" t="str">
            <v>TALLER</v>
          </cell>
          <cell r="O4053">
            <v>44</v>
          </cell>
          <cell r="P4053" t="str">
            <v>M2</v>
          </cell>
          <cell r="Q4053" t="str">
            <v>J1</v>
          </cell>
          <cell r="R4053" t="str">
            <v>J6</v>
          </cell>
          <cell r="S4053" t="str">
            <v>PENDIENTE</v>
          </cell>
          <cell r="T4053">
            <v>0</v>
          </cell>
          <cell r="U4053" t="str">
            <v>CHUMPITAZ GAGO JULIO ENRIQUE</v>
          </cell>
          <cell r="V4053" t="str">
            <v>FLOREZ CONDORI  JOSE WILLIANS</v>
          </cell>
        </row>
        <row r="4054">
          <cell r="A4054">
            <v>4046</v>
          </cell>
          <cell r="B4054">
            <v>42746</v>
          </cell>
          <cell r="C4054" t="str">
            <v>ENERO</v>
          </cell>
          <cell r="D4054" t="str">
            <v>2017</v>
          </cell>
          <cell r="E4054">
            <v>803</v>
          </cell>
          <cell r="F4054" t="str">
            <v>C6X-739</v>
          </cell>
          <cell r="G4054" t="str">
            <v>TCS-988</v>
          </cell>
          <cell r="H4054" t="str">
            <v>LAS BAMBAS CONC.</v>
          </cell>
          <cell r="I4054">
            <v>232763</v>
          </cell>
          <cell r="J4054" t="str">
            <v>REPUESTO</v>
          </cell>
          <cell r="K4054" t="str">
            <v>LIQUIDO REFRIGERANTE</v>
          </cell>
          <cell r="L4054">
            <v>0.5</v>
          </cell>
          <cell r="M4054" t="str">
            <v>GLNS.</v>
          </cell>
          <cell r="N4054" t="str">
            <v>TALLER</v>
          </cell>
          <cell r="O4054">
            <v>44</v>
          </cell>
          <cell r="P4054" t="str">
            <v>M2</v>
          </cell>
          <cell r="Q4054" t="str">
            <v>J1</v>
          </cell>
          <cell r="R4054" t="str">
            <v>J6</v>
          </cell>
          <cell r="S4054" t="str">
            <v>PENDIENTE</v>
          </cell>
          <cell r="T4054">
            <v>0</v>
          </cell>
          <cell r="U4054" t="str">
            <v>CHUMPITAZ GAGO JULIO ENRIQUE</v>
          </cell>
          <cell r="V4054" t="str">
            <v>FLOREZ CONDORI  JOSE WILLIANS</v>
          </cell>
        </row>
        <row r="4055">
          <cell r="A4055">
            <v>4067</v>
          </cell>
          <cell r="B4055">
            <v>42746</v>
          </cell>
          <cell r="C4055" t="str">
            <v>ENERO</v>
          </cell>
          <cell r="D4055" t="str">
            <v>2017</v>
          </cell>
          <cell r="E4055">
            <v>815</v>
          </cell>
          <cell r="F4055" t="str">
            <v>C9N-807</v>
          </cell>
          <cell r="G4055" t="str">
            <v>B4O-994</v>
          </cell>
          <cell r="H4055" t="str">
            <v>LAS BAMBAS</v>
          </cell>
          <cell r="I4055">
            <v>178797</v>
          </cell>
          <cell r="J4055" t="str">
            <v>SERVICIO</v>
          </cell>
          <cell r="K4055" t="str">
            <v>SERVICIO DE REPARACION DE PETETE</v>
          </cell>
          <cell r="L4055">
            <v>1</v>
          </cell>
          <cell r="M4055" t="str">
            <v>UNID.</v>
          </cell>
          <cell r="N4055" t="str">
            <v>TRACTO</v>
          </cell>
          <cell r="O4055">
            <v>44</v>
          </cell>
          <cell r="P4055" t="str">
            <v>J1</v>
          </cell>
          <cell r="Q4055" t="str">
            <v>J1</v>
          </cell>
          <cell r="R4055" t="str">
            <v>J6</v>
          </cell>
          <cell r="S4055" t="str">
            <v>PENDIENTE</v>
          </cell>
          <cell r="T4055">
            <v>0</v>
          </cell>
          <cell r="U4055" t="str">
            <v>FLOREZ CONDORI  JOSE WILLIANS</v>
          </cell>
          <cell r="V4055" t="str">
            <v>FLOREZ CONDORI  JOSE WILLIANS</v>
          </cell>
        </row>
        <row r="4056">
          <cell r="A4056">
            <v>4059</v>
          </cell>
          <cell r="B4056">
            <v>42746</v>
          </cell>
          <cell r="C4056" t="str">
            <v>ENERO</v>
          </cell>
          <cell r="D4056" t="str">
            <v>2017</v>
          </cell>
          <cell r="E4056">
            <v>808</v>
          </cell>
          <cell r="F4056" t="str">
            <v>D3P-743</v>
          </cell>
          <cell r="G4056" t="str">
            <v>B8L-972</v>
          </cell>
          <cell r="H4056" t="str">
            <v>LAS BAMBAS</v>
          </cell>
          <cell r="I4056">
            <v>188419</v>
          </cell>
          <cell r="J4056" t="str">
            <v>REPUESTO</v>
          </cell>
          <cell r="K4056" t="str">
            <v>BASE DE SEGURO DE TORNAMESA</v>
          </cell>
          <cell r="L4056">
            <v>1</v>
          </cell>
          <cell r="M4056" t="str">
            <v>UNID.</v>
          </cell>
          <cell r="N4056" t="str">
            <v>TRACTO</v>
          </cell>
          <cell r="O4056">
            <v>44</v>
          </cell>
          <cell r="P4056" t="str">
            <v>M4</v>
          </cell>
          <cell r="Q4056" t="str">
            <v>J1</v>
          </cell>
          <cell r="R4056" t="str">
            <v>J6</v>
          </cell>
          <cell r="S4056" t="str">
            <v>ENTREGADO</v>
          </cell>
          <cell r="T4056">
            <v>0</v>
          </cell>
          <cell r="U4056" t="str">
            <v>JULLIRI APAZA UBALDO</v>
          </cell>
          <cell r="V4056" t="str">
            <v>FLOREZ CONDORI  JOSE WILLIANS</v>
          </cell>
        </row>
        <row r="4057">
          <cell r="A4057">
            <v>4063</v>
          </cell>
          <cell r="B4057">
            <v>42746</v>
          </cell>
          <cell r="C4057" t="str">
            <v>ENERO</v>
          </cell>
          <cell r="D4057" t="str">
            <v>2017</v>
          </cell>
          <cell r="E4057">
            <v>808</v>
          </cell>
          <cell r="F4057" t="str">
            <v>D3P-743</v>
          </cell>
          <cell r="G4057" t="str">
            <v>B8L-972</v>
          </cell>
          <cell r="H4057" t="str">
            <v>LAS BAMBAS</v>
          </cell>
          <cell r="I4057">
            <v>188419</v>
          </cell>
          <cell r="J4057" t="str">
            <v>REPUESTO</v>
          </cell>
          <cell r="K4057" t="str">
            <v>PLANCHA A36  1/2" X 1.5 X 3</v>
          </cell>
          <cell r="L4057">
            <v>1</v>
          </cell>
          <cell r="M4057" t="str">
            <v>UNID.</v>
          </cell>
          <cell r="N4057" t="str">
            <v>CISTERNA</v>
          </cell>
          <cell r="O4057">
            <v>44</v>
          </cell>
          <cell r="P4057" t="str">
            <v>M4</v>
          </cell>
          <cell r="Q4057" t="str">
            <v>J1</v>
          </cell>
          <cell r="R4057" t="str">
            <v>J6</v>
          </cell>
          <cell r="S4057" t="str">
            <v>PENDIENTE</v>
          </cell>
          <cell r="T4057">
            <v>0</v>
          </cell>
          <cell r="U4057" t="str">
            <v>JULLIRI APAZA UBALDO</v>
          </cell>
          <cell r="V4057" t="str">
            <v>FLOREZ CONDORI  JOSE WILLIANS</v>
          </cell>
        </row>
        <row r="4058">
          <cell r="A4058">
            <v>4064</v>
          </cell>
          <cell r="B4058">
            <v>42746</v>
          </cell>
          <cell r="C4058" t="str">
            <v>ENERO</v>
          </cell>
          <cell r="D4058" t="str">
            <v>2017</v>
          </cell>
          <cell r="E4058">
            <v>808</v>
          </cell>
          <cell r="F4058" t="str">
            <v>D3P-743</v>
          </cell>
          <cell r="G4058" t="str">
            <v>B8L-972</v>
          </cell>
          <cell r="H4058" t="str">
            <v>LAS BAMBAS</v>
          </cell>
          <cell r="I4058">
            <v>188419</v>
          </cell>
          <cell r="J4058" t="str">
            <v>REPUESTO</v>
          </cell>
          <cell r="K4058" t="str">
            <v>KING PIN</v>
          </cell>
          <cell r="L4058">
            <v>1</v>
          </cell>
          <cell r="M4058" t="str">
            <v>UNID.</v>
          </cell>
          <cell r="N4058" t="str">
            <v>CISTERNA</v>
          </cell>
          <cell r="O4058">
            <v>44</v>
          </cell>
          <cell r="P4058" t="str">
            <v>M4</v>
          </cell>
          <cell r="Q4058" t="str">
            <v>J1</v>
          </cell>
          <cell r="R4058" t="str">
            <v>J6</v>
          </cell>
          <cell r="S4058" t="str">
            <v>PENDIENTE</v>
          </cell>
          <cell r="T4058">
            <v>0</v>
          </cell>
          <cell r="U4058" t="str">
            <v>JULLIRI APAZA UBALDO</v>
          </cell>
          <cell r="V4058" t="str">
            <v>FLOREZ CONDORI  JOSE WILLIANS</v>
          </cell>
        </row>
        <row r="4059">
          <cell r="A4059">
            <v>4071</v>
          </cell>
          <cell r="B4059">
            <v>42746</v>
          </cell>
          <cell r="C4059" t="str">
            <v>ENERO</v>
          </cell>
          <cell r="D4059" t="str">
            <v>2017</v>
          </cell>
          <cell r="E4059">
            <v>808</v>
          </cell>
          <cell r="F4059" t="str">
            <v>D3P-743</v>
          </cell>
          <cell r="G4059" t="str">
            <v>B8L-972</v>
          </cell>
          <cell r="H4059" t="str">
            <v>LAS BAMBAS</v>
          </cell>
          <cell r="I4059">
            <v>188419</v>
          </cell>
          <cell r="J4059" t="str">
            <v>REPUESTO</v>
          </cell>
          <cell r="K4059" t="str">
            <v>PLANCHA 1/2" X 1.5 M X 1.16 M</v>
          </cell>
          <cell r="L4059">
            <v>1</v>
          </cell>
          <cell r="M4059" t="str">
            <v>UNID.</v>
          </cell>
          <cell r="N4059" t="str">
            <v>CISTERNA</v>
          </cell>
          <cell r="O4059">
            <v>44</v>
          </cell>
          <cell r="P4059" t="str">
            <v>S1</v>
          </cell>
          <cell r="Q4059" t="str">
            <v>J1</v>
          </cell>
          <cell r="R4059" t="str">
            <v>J6</v>
          </cell>
          <cell r="S4059" t="str">
            <v>PENDIENTE</v>
          </cell>
          <cell r="T4059">
            <v>0</v>
          </cell>
          <cell r="U4059" t="str">
            <v>BAYONA CRUZ CRISTIAN ARMANDO</v>
          </cell>
          <cell r="V4059" t="str">
            <v>FLOREZ CONDORI  JOSE WILLIANS</v>
          </cell>
        </row>
        <row r="4060">
          <cell r="A4060">
            <v>4072</v>
          </cell>
          <cell r="B4060">
            <v>42746</v>
          </cell>
          <cell r="C4060" t="str">
            <v>ENERO</v>
          </cell>
          <cell r="D4060" t="str">
            <v>2017</v>
          </cell>
          <cell r="E4060">
            <v>808</v>
          </cell>
          <cell r="F4060" t="str">
            <v>D3P-743</v>
          </cell>
          <cell r="G4060" t="str">
            <v>B8L-972</v>
          </cell>
          <cell r="H4060" t="str">
            <v>LAS BAMBAS</v>
          </cell>
          <cell r="I4060">
            <v>188419</v>
          </cell>
          <cell r="J4060" t="str">
            <v>REPUESTO</v>
          </cell>
          <cell r="K4060" t="str">
            <v>DISCO DE CORTE DE 7"</v>
          </cell>
          <cell r="L4060">
            <v>2</v>
          </cell>
          <cell r="M4060" t="str">
            <v>UNID.</v>
          </cell>
          <cell r="N4060" t="str">
            <v>CISTERNA</v>
          </cell>
          <cell r="O4060">
            <v>44</v>
          </cell>
          <cell r="P4060" t="str">
            <v>S1</v>
          </cell>
          <cell r="Q4060" t="str">
            <v>J1</v>
          </cell>
          <cell r="R4060" t="str">
            <v>J6</v>
          </cell>
          <cell r="S4060" t="str">
            <v>PENDIENTE</v>
          </cell>
          <cell r="T4060">
            <v>0</v>
          </cell>
          <cell r="U4060" t="str">
            <v>BAYONA CRUZ CRISTIAN ARMANDO</v>
          </cell>
          <cell r="V4060" t="str">
            <v>FLOREZ CONDORI  JOSE WILLIANS</v>
          </cell>
        </row>
        <row r="4061">
          <cell r="A4061">
            <v>4077</v>
          </cell>
          <cell r="B4061">
            <v>42746</v>
          </cell>
          <cell r="C4061" t="str">
            <v>ENERO</v>
          </cell>
          <cell r="D4061" t="str">
            <v>2017</v>
          </cell>
          <cell r="E4061">
            <v>808</v>
          </cell>
          <cell r="F4061" t="str">
            <v>D3P-743</v>
          </cell>
          <cell r="G4061" t="str">
            <v>B8L-972</v>
          </cell>
          <cell r="H4061" t="str">
            <v>LAS BAMBAS</v>
          </cell>
          <cell r="I4061">
            <v>188419</v>
          </cell>
          <cell r="J4061" t="str">
            <v>REPUESTO</v>
          </cell>
          <cell r="K4061" t="str">
            <v>DISCO DE DESBASTE 4"</v>
          </cell>
          <cell r="L4061">
            <v>1</v>
          </cell>
          <cell r="M4061" t="str">
            <v>UNID.</v>
          </cell>
          <cell r="N4061" t="str">
            <v>CISTERNA</v>
          </cell>
          <cell r="O4061">
            <v>44</v>
          </cell>
          <cell r="P4061" t="str">
            <v>S1</v>
          </cell>
          <cell r="Q4061" t="str">
            <v>J1</v>
          </cell>
          <cell r="R4061" t="str">
            <v>J6</v>
          </cell>
          <cell r="S4061" t="str">
            <v>PENDIENTE</v>
          </cell>
          <cell r="T4061">
            <v>0</v>
          </cell>
          <cell r="U4061" t="str">
            <v>BAYONA CRUZ CRISTIAN ARMANDO</v>
          </cell>
          <cell r="V4061" t="str">
            <v>FLOREZ CONDORI  JOSE WILLIANS</v>
          </cell>
        </row>
        <row r="4062">
          <cell r="A4062">
            <v>4050</v>
          </cell>
          <cell r="B4062">
            <v>42746</v>
          </cell>
          <cell r="C4062" t="str">
            <v>ENERO</v>
          </cell>
          <cell r="D4062" t="str">
            <v>2017</v>
          </cell>
          <cell r="E4062">
            <v>202</v>
          </cell>
          <cell r="F4062" t="str">
            <v>D3P-752</v>
          </cell>
          <cell r="G4062" t="str">
            <v>C5Y-985</v>
          </cell>
          <cell r="H4062" t="str">
            <v>LAS BAMBAS</v>
          </cell>
          <cell r="I4062">
            <v>150504</v>
          </cell>
          <cell r="J4062" t="str">
            <v>REPUESTO</v>
          </cell>
          <cell r="K4062" t="str">
            <v>TUBO Y MANGUERA DE LA SALIDA DE LA BOMBA DE AGUA</v>
          </cell>
          <cell r="L4062">
            <v>1</v>
          </cell>
          <cell r="M4062" t="str">
            <v>UNID.</v>
          </cell>
          <cell r="N4062" t="str">
            <v>TRACTO</v>
          </cell>
          <cell r="O4062">
            <v>44</v>
          </cell>
          <cell r="P4062" t="str">
            <v>M2</v>
          </cell>
          <cell r="Q4062" t="str">
            <v>J1</v>
          </cell>
          <cell r="R4062" t="str">
            <v>J6</v>
          </cell>
          <cell r="S4062" t="str">
            <v>PENDIENTE</v>
          </cell>
          <cell r="T4062">
            <v>0</v>
          </cell>
          <cell r="U4062" t="str">
            <v>CHUMPITAZ GAGO JULIO ENRIQUE</v>
          </cell>
          <cell r="V4062" t="str">
            <v>FLOREZ CONDORI  JOSE WILLIANS</v>
          </cell>
        </row>
        <row r="4063">
          <cell r="A4063">
            <v>4051</v>
          </cell>
          <cell r="B4063">
            <v>42746</v>
          </cell>
          <cell r="C4063" t="str">
            <v>ENERO</v>
          </cell>
          <cell r="D4063" t="str">
            <v>2017</v>
          </cell>
          <cell r="E4063">
            <v>202</v>
          </cell>
          <cell r="F4063" t="str">
            <v>D3P-752</v>
          </cell>
          <cell r="G4063" t="str">
            <v>C5Y-985</v>
          </cell>
          <cell r="H4063" t="str">
            <v>LAS BAMBAS</v>
          </cell>
          <cell r="I4063">
            <v>150504</v>
          </cell>
          <cell r="J4063" t="str">
            <v>REPUESTO</v>
          </cell>
          <cell r="K4063" t="str">
            <v>ABRAZADERAS PARA LA MANGUERA DE LA SALIDA DE LA BOMBA DE AGUA</v>
          </cell>
          <cell r="L4063">
            <v>4</v>
          </cell>
          <cell r="M4063" t="str">
            <v>UNID.</v>
          </cell>
          <cell r="N4063" t="str">
            <v>TRACTO</v>
          </cell>
          <cell r="O4063">
            <v>44</v>
          </cell>
          <cell r="P4063" t="str">
            <v>M2</v>
          </cell>
          <cell r="Q4063" t="str">
            <v>J1</v>
          </cell>
          <cell r="R4063" t="str">
            <v>J6</v>
          </cell>
          <cell r="S4063" t="str">
            <v>PENDIENTE</v>
          </cell>
          <cell r="T4063">
            <v>0</v>
          </cell>
          <cell r="U4063" t="str">
            <v>CHUMPITAZ GAGO JULIO ENRIQUE</v>
          </cell>
          <cell r="V4063" t="str">
            <v>FLOREZ CONDORI  JOSE WILLIANS</v>
          </cell>
        </row>
        <row r="4064">
          <cell r="A4064">
            <v>4052</v>
          </cell>
          <cell r="B4064">
            <v>42746</v>
          </cell>
          <cell r="C4064" t="str">
            <v>ENERO</v>
          </cell>
          <cell r="D4064" t="str">
            <v>2017</v>
          </cell>
          <cell r="E4064">
            <v>202</v>
          </cell>
          <cell r="F4064" t="str">
            <v>D3P-752</v>
          </cell>
          <cell r="G4064" t="str">
            <v>C5Y-985</v>
          </cell>
          <cell r="H4064" t="str">
            <v>LAS BAMBAS</v>
          </cell>
          <cell r="I4064">
            <v>150504</v>
          </cell>
          <cell r="J4064" t="str">
            <v>REPUESTO</v>
          </cell>
          <cell r="K4064" t="str">
            <v>MANGUERA DE LA ENTRADA DE LA BOMBA DE AGUA</v>
          </cell>
          <cell r="L4064">
            <v>1</v>
          </cell>
          <cell r="M4064" t="str">
            <v>UNID.</v>
          </cell>
          <cell r="N4064" t="str">
            <v>TRACTO</v>
          </cell>
          <cell r="O4064">
            <v>44</v>
          </cell>
          <cell r="P4064" t="str">
            <v>M2</v>
          </cell>
          <cell r="Q4064" t="str">
            <v>J1</v>
          </cell>
          <cell r="R4064" t="str">
            <v>J6</v>
          </cell>
          <cell r="S4064" t="str">
            <v>PENDIENTE</v>
          </cell>
          <cell r="T4064">
            <v>0</v>
          </cell>
          <cell r="U4064" t="str">
            <v>CHUMPITAZ GAGO JULIO ENRIQUE</v>
          </cell>
          <cell r="V4064" t="str">
            <v>FLOREZ CONDORI  JOSE WILLIANS</v>
          </cell>
        </row>
        <row r="4065">
          <cell r="A4065">
            <v>4062</v>
          </cell>
          <cell r="B4065">
            <v>42746</v>
          </cell>
          <cell r="C4065" t="str">
            <v>ENERO</v>
          </cell>
          <cell r="D4065" t="str">
            <v>2017</v>
          </cell>
          <cell r="E4065">
            <v>202</v>
          </cell>
          <cell r="F4065" t="str">
            <v>D3P-752</v>
          </cell>
          <cell r="G4065" t="str">
            <v>C5Y-985</v>
          </cell>
          <cell r="H4065" t="str">
            <v>LAS BAMBAS</v>
          </cell>
          <cell r="I4065">
            <v>150504</v>
          </cell>
          <cell r="J4065" t="str">
            <v>REPUESTO</v>
          </cell>
          <cell r="K4065" t="str">
            <v>TAPA DE DEPOSITO DE LIMPIAPARABRISAS</v>
          </cell>
          <cell r="L4065">
            <v>1</v>
          </cell>
          <cell r="M4065" t="str">
            <v>UNID.</v>
          </cell>
          <cell r="N4065" t="str">
            <v>TRACTO</v>
          </cell>
          <cell r="O4065">
            <v>44</v>
          </cell>
          <cell r="P4065" t="str">
            <v>M2</v>
          </cell>
          <cell r="Q4065" t="str">
            <v>J1</v>
          </cell>
          <cell r="R4065" t="str">
            <v>J6</v>
          </cell>
          <cell r="S4065" t="str">
            <v>PENDIENTE</v>
          </cell>
          <cell r="T4065">
            <v>0</v>
          </cell>
          <cell r="U4065" t="str">
            <v>CHUMPITAZ GAGO JULIO ENRIQUE</v>
          </cell>
          <cell r="V4065" t="str">
            <v>FLOREZ CONDORI  JOSE WILLIANS</v>
          </cell>
        </row>
        <row r="4066">
          <cell r="A4066">
            <v>4073</v>
          </cell>
          <cell r="B4066">
            <v>42746</v>
          </cell>
          <cell r="C4066" t="str">
            <v>ENERO</v>
          </cell>
          <cell r="D4066" t="str">
            <v>2017</v>
          </cell>
          <cell r="E4066">
            <v>816</v>
          </cell>
          <cell r="F4066" t="str">
            <v>D3S-767</v>
          </cell>
          <cell r="G4066" t="str">
            <v>B8L-973</v>
          </cell>
          <cell r="H4066" t="str">
            <v>LAS BAMBAS</v>
          </cell>
          <cell r="I4066">
            <v>189496</v>
          </cell>
          <cell r="J4066" t="str">
            <v>REPUESTO</v>
          </cell>
          <cell r="K4066" t="str">
            <v>VALVULA RELAY DE FRENO</v>
          </cell>
          <cell r="L4066">
            <v>1</v>
          </cell>
          <cell r="M4066" t="str">
            <v>UNID.</v>
          </cell>
          <cell r="N4066" t="str">
            <v>TRACTO</v>
          </cell>
          <cell r="O4066">
            <v>44</v>
          </cell>
          <cell r="P4066" t="str">
            <v>M8</v>
          </cell>
          <cell r="Q4066" t="str">
            <v>J1</v>
          </cell>
          <cell r="R4066" t="str">
            <v>J6</v>
          </cell>
          <cell r="S4066" t="str">
            <v>PENDIENTE</v>
          </cell>
          <cell r="T4066">
            <v>0</v>
          </cell>
          <cell r="U4066" t="str">
            <v>VARILLAS GAGO  OSCAR ALBERTO</v>
          </cell>
          <cell r="V4066" t="str">
            <v>FLOREZ CONDORI  JOSE WILLIANS</v>
          </cell>
        </row>
        <row r="4067">
          <cell r="A4067">
            <v>4025</v>
          </cell>
          <cell r="B4067">
            <v>42746</v>
          </cell>
          <cell r="C4067" t="str">
            <v>ENERO</v>
          </cell>
          <cell r="D4067" t="str">
            <v>2017</v>
          </cell>
          <cell r="E4067">
            <v>770</v>
          </cell>
          <cell r="F4067" t="str">
            <v>D6F-907</v>
          </cell>
          <cell r="G4067" t="str">
            <v>T2Y-979</v>
          </cell>
          <cell r="H4067" t="str">
            <v>LAS BAMBAS</v>
          </cell>
          <cell r="I4067">
            <v>203433</v>
          </cell>
          <cell r="J4067" t="str">
            <v>REPUESTO</v>
          </cell>
          <cell r="K4067" t="str">
            <v>ABRAZADERAS DE 4" PARA LA MANGUERA</v>
          </cell>
          <cell r="L4067">
            <v>2</v>
          </cell>
          <cell r="M4067" t="str">
            <v>UNID.</v>
          </cell>
          <cell r="N4067" t="str">
            <v>CISTERNA</v>
          </cell>
          <cell r="O4067">
            <v>44</v>
          </cell>
          <cell r="P4067" t="str">
            <v>M4</v>
          </cell>
          <cell r="Q4067" t="str">
            <v>J1</v>
          </cell>
          <cell r="R4067" t="str">
            <v>J6</v>
          </cell>
          <cell r="S4067" t="str">
            <v>PENDIENTE</v>
          </cell>
          <cell r="T4067">
            <v>0</v>
          </cell>
          <cell r="U4067" t="str">
            <v>JULLIRI APAZA UBALDO</v>
          </cell>
          <cell r="V4067" t="str">
            <v>FLOREZ CONDORI  JOSE WILLIANS</v>
          </cell>
        </row>
        <row r="4068">
          <cell r="A4068">
            <v>4047</v>
          </cell>
          <cell r="B4068">
            <v>42746</v>
          </cell>
          <cell r="C4068" t="str">
            <v>ENERO</v>
          </cell>
          <cell r="D4068" t="str">
            <v>2017</v>
          </cell>
          <cell r="E4068">
            <v>770</v>
          </cell>
          <cell r="F4068" t="str">
            <v>D6F-907</v>
          </cell>
          <cell r="G4068" t="str">
            <v>T2Y-979</v>
          </cell>
          <cell r="H4068" t="str">
            <v>LAS BAMBAS</v>
          </cell>
          <cell r="I4068">
            <v>203433</v>
          </cell>
          <cell r="J4068" t="str">
            <v>REPUESTO</v>
          </cell>
          <cell r="K4068" t="str">
            <v>EMPAQUETADURA DE TAPA MANHOLE</v>
          </cell>
          <cell r="L4068">
            <v>1</v>
          </cell>
          <cell r="M4068" t="str">
            <v>UNID.</v>
          </cell>
          <cell r="N4068" t="str">
            <v>CISTERNA</v>
          </cell>
          <cell r="O4068">
            <v>44</v>
          </cell>
          <cell r="P4068" t="str">
            <v>M4</v>
          </cell>
          <cell r="Q4068" t="str">
            <v>J1</v>
          </cell>
          <cell r="R4068" t="str">
            <v>J6</v>
          </cell>
          <cell r="S4068" t="str">
            <v>PENDIENTE</v>
          </cell>
          <cell r="T4068">
            <v>0</v>
          </cell>
          <cell r="U4068" t="str">
            <v>JULLIRI APAZA UBALDO</v>
          </cell>
          <cell r="V4068" t="str">
            <v>FLOREZ CONDORI  JOSE WILLIANS</v>
          </cell>
        </row>
        <row r="4069">
          <cell r="A4069">
            <v>4048</v>
          </cell>
          <cell r="B4069">
            <v>42746</v>
          </cell>
          <cell r="C4069" t="str">
            <v>ENERO</v>
          </cell>
          <cell r="D4069" t="str">
            <v>2017</v>
          </cell>
          <cell r="E4069">
            <v>770</v>
          </cell>
          <cell r="F4069" t="str">
            <v>D6F-907</v>
          </cell>
          <cell r="G4069" t="str">
            <v>T2Y-979</v>
          </cell>
          <cell r="H4069" t="str">
            <v>LAS BAMBAS</v>
          </cell>
          <cell r="I4069">
            <v>203433</v>
          </cell>
          <cell r="J4069" t="str">
            <v>REPUESTO</v>
          </cell>
          <cell r="K4069" t="str">
            <v>Y DE MULTIPLE DE ESCAPE</v>
          </cell>
          <cell r="L4069">
            <v>1</v>
          </cell>
          <cell r="M4069" t="str">
            <v>UNID.</v>
          </cell>
          <cell r="N4069" t="str">
            <v>CISTERNA</v>
          </cell>
          <cell r="O4069">
            <v>44</v>
          </cell>
          <cell r="P4069" t="str">
            <v>M4</v>
          </cell>
          <cell r="Q4069" t="str">
            <v>J1</v>
          </cell>
          <cell r="R4069" t="str">
            <v>J6</v>
          </cell>
          <cell r="S4069" t="str">
            <v>PENDIENTE</v>
          </cell>
          <cell r="T4069">
            <v>0</v>
          </cell>
          <cell r="U4069" t="str">
            <v>JULLIRI APAZA UBALDO</v>
          </cell>
          <cell r="V4069" t="str">
            <v>FLOREZ CONDORI  JOSE WILLIANS</v>
          </cell>
        </row>
        <row r="4070">
          <cell r="A4070">
            <v>4035</v>
          </cell>
          <cell r="B4070">
            <v>42746</v>
          </cell>
          <cell r="C4070" t="str">
            <v>ENERO</v>
          </cell>
          <cell r="D4070" t="str">
            <v>2017</v>
          </cell>
          <cell r="E4070">
            <v>200</v>
          </cell>
          <cell r="F4070" t="str">
            <v>TALLER</v>
          </cell>
          <cell r="G4070" t="str">
            <v>TALLER</v>
          </cell>
          <cell r="H4070" t="str">
            <v>TALLER</v>
          </cell>
          <cell r="I4070" t="str">
            <v>TALLER</v>
          </cell>
          <cell r="J4070" t="str">
            <v>INSUMO TALLER</v>
          </cell>
          <cell r="K4070" t="str">
            <v>TUBO 2" X 3mm (ESPESOR) X6M</v>
          </cell>
          <cell r="L4070">
            <v>5</v>
          </cell>
          <cell r="M4070" t="str">
            <v>UNID.</v>
          </cell>
          <cell r="N4070" t="str">
            <v>TALLER</v>
          </cell>
          <cell r="O4070">
            <v>44</v>
          </cell>
          <cell r="P4070" t="str">
            <v>S1</v>
          </cell>
          <cell r="Q4070" t="str">
            <v>J1</v>
          </cell>
          <cell r="R4070" t="str">
            <v>J5</v>
          </cell>
          <cell r="S4070" t="str">
            <v>PENDIENTE</v>
          </cell>
          <cell r="T4070">
            <v>0</v>
          </cell>
          <cell r="U4070" t="str">
            <v>BAYONA CRUZ CRISTIAN ARMANDO</v>
          </cell>
          <cell r="V4070" t="str">
            <v>FLOREZ CONDORI  JOSE WILLIANS</v>
          </cell>
        </row>
        <row r="4071">
          <cell r="A4071">
            <v>4036</v>
          </cell>
          <cell r="B4071">
            <v>42746</v>
          </cell>
          <cell r="C4071" t="str">
            <v>ENERO</v>
          </cell>
          <cell r="D4071" t="str">
            <v>2017</v>
          </cell>
          <cell r="E4071">
            <v>200</v>
          </cell>
          <cell r="F4071" t="str">
            <v>TALLER</v>
          </cell>
          <cell r="G4071" t="str">
            <v>TALLER</v>
          </cell>
          <cell r="H4071" t="str">
            <v>TALLER</v>
          </cell>
          <cell r="I4071" t="str">
            <v>TALLER</v>
          </cell>
          <cell r="J4071" t="str">
            <v>INSUMO TALLER</v>
          </cell>
          <cell r="K4071" t="str">
            <v>PLATINA 3" X 5/16 X 6M</v>
          </cell>
          <cell r="L4071">
            <v>3</v>
          </cell>
          <cell r="M4071" t="str">
            <v>UNID.</v>
          </cell>
          <cell r="N4071" t="str">
            <v>TALLER</v>
          </cell>
          <cell r="O4071">
            <v>44</v>
          </cell>
          <cell r="P4071" t="str">
            <v>S1</v>
          </cell>
          <cell r="Q4071" t="str">
            <v>J1</v>
          </cell>
          <cell r="R4071" t="str">
            <v>J5</v>
          </cell>
          <cell r="S4071" t="str">
            <v>PENDIENTE</v>
          </cell>
          <cell r="T4071">
            <v>0</v>
          </cell>
          <cell r="U4071" t="str">
            <v>BAYONA CRUZ CRISTIAN ARMANDO</v>
          </cell>
          <cell r="V4071" t="str">
            <v>FLOREZ CONDORI  JOSE WILLIANS</v>
          </cell>
        </row>
        <row r="4072">
          <cell r="A4072">
            <v>4037</v>
          </cell>
          <cell r="B4072">
            <v>42746</v>
          </cell>
          <cell r="C4072" t="str">
            <v>ENERO</v>
          </cell>
          <cell r="D4072" t="str">
            <v>2017</v>
          </cell>
          <cell r="E4072">
            <v>200</v>
          </cell>
          <cell r="F4072" t="str">
            <v>TALLER</v>
          </cell>
          <cell r="G4072" t="str">
            <v>TALLER</v>
          </cell>
          <cell r="H4072" t="str">
            <v>TALLER</v>
          </cell>
          <cell r="I4072" t="str">
            <v>TALLER</v>
          </cell>
          <cell r="J4072" t="str">
            <v>INSUMO TALLER</v>
          </cell>
          <cell r="K4072" t="str">
            <v>TUBO CUADRADO 1 1/2 X 1 1/2" X 2mm (ESPESOR) X 6M</v>
          </cell>
          <cell r="L4072">
            <v>7</v>
          </cell>
          <cell r="M4072" t="str">
            <v>UNID.</v>
          </cell>
          <cell r="N4072" t="str">
            <v>TALLER</v>
          </cell>
          <cell r="O4072">
            <v>44</v>
          </cell>
          <cell r="P4072" t="str">
            <v>S1</v>
          </cell>
          <cell r="Q4072" t="str">
            <v>J1</v>
          </cell>
          <cell r="R4072" t="str">
            <v>J5</v>
          </cell>
          <cell r="S4072" t="str">
            <v>PENDIENTE</v>
          </cell>
          <cell r="T4072">
            <v>0</v>
          </cell>
          <cell r="U4072" t="str">
            <v>BAYONA CRUZ CRISTIAN ARMANDO</v>
          </cell>
          <cell r="V4072" t="str">
            <v>FLOREZ CONDORI  JOSE WILLIANS</v>
          </cell>
        </row>
        <row r="4073">
          <cell r="A4073">
            <v>4039</v>
          </cell>
          <cell r="B4073">
            <v>42746</v>
          </cell>
          <cell r="C4073" t="str">
            <v>ENERO</v>
          </cell>
          <cell r="D4073" t="str">
            <v>2017</v>
          </cell>
          <cell r="E4073">
            <v>200</v>
          </cell>
          <cell r="F4073" t="str">
            <v>TALLER</v>
          </cell>
          <cell r="G4073" t="str">
            <v>TALLER</v>
          </cell>
          <cell r="H4073" t="str">
            <v>TALLER</v>
          </cell>
          <cell r="I4073" t="str">
            <v>TALLER</v>
          </cell>
          <cell r="J4073" t="str">
            <v>INSUMO TALLER</v>
          </cell>
          <cell r="K4073" t="str">
            <v>CINTA NEGRA AISLANTE</v>
          </cell>
          <cell r="L4073">
            <v>1</v>
          </cell>
          <cell r="M4073" t="str">
            <v>UNID.</v>
          </cell>
          <cell r="N4073" t="str">
            <v>TALLER</v>
          </cell>
          <cell r="O4073">
            <v>44</v>
          </cell>
          <cell r="P4073" t="str">
            <v>E3</v>
          </cell>
          <cell r="Q4073" t="str">
            <v>J1</v>
          </cell>
          <cell r="R4073" t="str">
            <v>J6</v>
          </cell>
          <cell r="S4073" t="str">
            <v>PENDIENTE</v>
          </cell>
          <cell r="T4073">
            <v>0</v>
          </cell>
          <cell r="U4073" t="str">
            <v>CONDORI CHURATA ALEX</v>
          </cell>
          <cell r="V4073" t="str">
            <v>FLOREZ CONDORI  JOSE WILLIANS</v>
          </cell>
        </row>
        <row r="4074">
          <cell r="A4074">
            <v>4040</v>
          </cell>
          <cell r="B4074">
            <v>42746</v>
          </cell>
          <cell r="C4074" t="str">
            <v>ENERO</v>
          </cell>
          <cell r="D4074" t="str">
            <v>2017</v>
          </cell>
          <cell r="E4074">
            <v>200</v>
          </cell>
          <cell r="F4074" t="str">
            <v>TALLER</v>
          </cell>
          <cell r="G4074" t="str">
            <v>TALLER</v>
          </cell>
          <cell r="H4074" t="str">
            <v>TALLER</v>
          </cell>
          <cell r="I4074" t="str">
            <v>TALLER</v>
          </cell>
          <cell r="J4074" t="str">
            <v>INSUMO TALLER</v>
          </cell>
          <cell r="K4074" t="str">
            <v>SILICONA GREY</v>
          </cell>
          <cell r="L4074">
            <v>1</v>
          </cell>
          <cell r="M4074" t="str">
            <v>UNID.</v>
          </cell>
          <cell r="N4074" t="str">
            <v>TALLER</v>
          </cell>
          <cell r="O4074">
            <v>44</v>
          </cell>
          <cell r="P4074" t="str">
            <v>E3</v>
          </cell>
          <cell r="Q4074" t="str">
            <v>J1</v>
          </cell>
          <cell r="R4074" t="str">
            <v>J6</v>
          </cell>
          <cell r="S4074" t="str">
            <v>PENDIENTE</v>
          </cell>
          <cell r="T4074">
            <v>0</v>
          </cell>
          <cell r="U4074" t="str">
            <v>CONDORI CHURATA ALEX</v>
          </cell>
          <cell r="V4074" t="str">
            <v>FLOREZ CONDORI  JOSE WILLIANS</v>
          </cell>
        </row>
        <row r="4075">
          <cell r="A4075">
            <v>4042</v>
          </cell>
          <cell r="B4075">
            <v>42746</v>
          </cell>
          <cell r="C4075" t="str">
            <v>ENERO</v>
          </cell>
          <cell r="D4075" t="str">
            <v>2017</v>
          </cell>
          <cell r="E4075">
            <v>200</v>
          </cell>
          <cell r="F4075" t="str">
            <v>TALLER</v>
          </cell>
          <cell r="G4075" t="str">
            <v>TALLER</v>
          </cell>
          <cell r="H4075" t="str">
            <v>TALLER</v>
          </cell>
          <cell r="I4075" t="str">
            <v>TALLER</v>
          </cell>
          <cell r="J4075" t="str">
            <v>INSUMO TALLER</v>
          </cell>
          <cell r="K4075" t="str">
            <v>YESO COLO NARANJA CLARA</v>
          </cell>
          <cell r="L4075">
            <v>3</v>
          </cell>
          <cell r="M4075" t="str">
            <v>BOLSAS</v>
          </cell>
          <cell r="N4075" t="str">
            <v>TALLER</v>
          </cell>
          <cell r="O4075">
            <v>44</v>
          </cell>
          <cell r="P4075" t="str">
            <v>J7</v>
          </cell>
          <cell r="Q4075" t="str">
            <v>J7</v>
          </cell>
          <cell r="R4075" t="str">
            <v>J6</v>
          </cell>
          <cell r="S4075" t="str">
            <v>PENDIENTE</v>
          </cell>
          <cell r="T4075">
            <v>0</v>
          </cell>
          <cell r="U4075" t="str">
            <v>DONAYRE INGA PEDRO</v>
          </cell>
          <cell r="V4075" t="str">
            <v>DONAYRE INGA PEDRO</v>
          </cell>
        </row>
        <row r="4076">
          <cell r="A4076">
            <v>4043</v>
          </cell>
          <cell r="B4076">
            <v>42746</v>
          </cell>
          <cell r="C4076" t="str">
            <v>ENERO</v>
          </cell>
          <cell r="D4076" t="str">
            <v>2017</v>
          </cell>
          <cell r="E4076">
            <v>200</v>
          </cell>
          <cell r="F4076" t="str">
            <v>TALLER</v>
          </cell>
          <cell r="G4076" t="str">
            <v>TALLER</v>
          </cell>
          <cell r="H4076" t="str">
            <v>TALLER</v>
          </cell>
          <cell r="I4076" t="str">
            <v>TALLER</v>
          </cell>
          <cell r="J4076" t="str">
            <v>INSUMO TALLER</v>
          </cell>
          <cell r="K4076" t="str">
            <v>RODILLO DE PINTURA</v>
          </cell>
          <cell r="L4076">
            <v>6</v>
          </cell>
          <cell r="M4076" t="str">
            <v>GLNS.</v>
          </cell>
          <cell r="N4076" t="str">
            <v>TALLER</v>
          </cell>
          <cell r="O4076">
            <v>44</v>
          </cell>
          <cell r="P4076" t="str">
            <v>J7</v>
          </cell>
          <cell r="Q4076" t="str">
            <v>J7</v>
          </cell>
          <cell r="R4076" t="str">
            <v>J6</v>
          </cell>
          <cell r="S4076" t="str">
            <v>PENDIENTE</v>
          </cell>
          <cell r="T4076">
            <v>0</v>
          </cell>
          <cell r="U4076" t="str">
            <v>DONAYRE INGA PEDRO</v>
          </cell>
          <cell r="V4076" t="str">
            <v>DONAYRE INGA PEDRO</v>
          </cell>
        </row>
        <row r="4077">
          <cell r="A4077">
            <v>4074</v>
          </cell>
          <cell r="B4077">
            <v>42746</v>
          </cell>
          <cell r="C4077" t="str">
            <v>ENERO</v>
          </cell>
          <cell r="D4077" t="str">
            <v>2017</v>
          </cell>
          <cell r="E4077">
            <v>200</v>
          </cell>
          <cell r="F4077" t="str">
            <v>TALLER</v>
          </cell>
          <cell r="G4077" t="str">
            <v>TALLER</v>
          </cell>
          <cell r="H4077" t="str">
            <v>TALLER</v>
          </cell>
          <cell r="I4077" t="str">
            <v>TALLER</v>
          </cell>
          <cell r="J4077" t="str">
            <v>HERRAMIENTAS</v>
          </cell>
          <cell r="K4077" t="str">
            <v>HUINCHA DE 5 M</v>
          </cell>
          <cell r="L4077">
            <v>1</v>
          </cell>
          <cell r="M4077" t="str">
            <v>UNID.</v>
          </cell>
          <cell r="N4077" t="str">
            <v>TALLER</v>
          </cell>
          <cell r="O4077">
            <v>44</v>
          </cell>
          <cell r="P4077" t="str">
            <v>S1</v>
          </cell>
          <cell r="Q4077" t="str">
            <v>J1</v>
          </cell>
          <cell r="R4077" t="str">
            <v>J6</v>
          </cell>
          <cell r="S4077" t="str">
            <v>PENDIENTE</v>
          </cell>
          <cell r="T4077">
            <v>0</v>
          </cell>
          <cell r="U4077" t="str">
            <v>BAYONA CRUZ CRISTIAN ARMANDO</v>
          </cell>
          <cell r="V4077" t="str">
            <v>FLOREZ CONDORI  JOSE WILLIANS</v>
          </cell>
        </row>
        <row r="4078">
          <cell r="A4078">
            <v>4076</v>
          </cell>
          <cell r="B4078">
            <v>42746</v>
          </cell>
          <cell r="C4078" t="str">
            <v>ENERO</v>
          </cell>
          <cell r="D4078" t="str">
            <v>2017</v>
          </cell>
          <cell r="E4078">
            <v>818</v>
          </cell>
          <cell r="F4078" t="str">
            <v>X2W-763</v>
          </cell>
          <cell r="G4078" t="str">
            <v>C5V-997</v>
          </cell>
          <cell r="H4078" t="str">
            <v>LAS BAMBAS</v>
          </cell>
          <cell r="I4078">
            <v>160313</v>
          </cell>
          <cell r="J4078" t="str">
            <v>REPUESTO</v>
          </cell>
          <cell r="K4078" t="str">
            <v>LIQUIDO LIMPIAPARABRISAS</v>
          </cell>
          <cell r="L4078">
            <v>1.5</v>
          </cell>
          <cell r="M4078" t="str">
            <v>GLNS.</v>
          </cell>
          <cell r="N4078" t="str">
            <v>TRACTO</v>
          </cell>
          <cell r="O4078">
            <v>44</v>
          </cell>
          <cell r="P4078" t="str">
            <v>M5</v>
          </cell>
          <cell r="Q4078" t="str">
            <v>J1</v>
          </cell>
          <cell r="R4078" t="str">
            <v>J6</v>
          </cell>
          <cell r="S4078" t="str">
            <v>PENDIENTE</v>
          </cell>
          <cell r="T4078">
            <v>0</v>
          </cell>
          <cell r="U4078" t="str">
            <v>LOPEZ RUIZ WILBERTO</v>
          </cell>
          <cell r="V4078" t="str">
            <v>FLOREZ CONDORI  JOSE WILLIANS</v>
          </cell>
        </row>
        <row r="4079">
          <cell r="A4079">
            <v>4084</v>
          </cell>
          <cell r="B4079">
            <v>42747</v>
          </cell>
          <cell r="C4079" t="str">
            <v>ENERO</v>
          </cell>
          <cell r="D4079" t="str">
            <v>2017</v>
          </cell>
          <cell r="E4079">
            <v>812</v>
          </cell>
          <cell r="F4079" t="str">
            <v>ABP-783</v>
          </cell>
          <cell r="G4079" t="str">
            <v>C9S-988</v>
          </cell>
          <cell r="H4079" t="str">
            <v>LAS BAMBAS</v>
          </cell>
          <cell r="I4079">
            <v>132227</v>
          </cell>
          <cell r="J4079" t="str">
            <v>REPUESTO</v>
          </cell>
          <cell r="K4079" t="str">
            <v>PERNO 1/4 X 1</v>
          </cell>
          <cell r="L4079">
            <v>8</v>
          </cell>
          <cell r="M4079" t="str">
            <v>UNID.</v>
          </cell>
          <cell r="N4079" t="str">
            <v>TRACTO</v>
          </cell>
          <cell r="O4079">
            <v>43</v>
          </cell>
          <cell r="P4079" t="str">
            <v>M4</v>
          </cell>
          <cell r="Q4079" t="str">
            <v>J1</v>
          </cell>
          <cell r="R4079" t="str">
            <v>J6</v>
          </cell>
          <cell r="S4079" t="str">
            <v>PENDIENTE</v>
          </cell>
          <cell r="T4079">
            <v>0</v>
          </cell>
          <cell r="U4079" t="str">
            <v>JULLIRI APAZA UBALDO</v>
          </cell>
          <cell r="V4079" t="str">
            <v>FLOREZ CONDORI  JOSE WILLIANS</v>
          </cell>
        </row>
        <row r="4080">
          <cell r="A4080">
            <v>4085</v>
          </cell>
          <cell r="B4080">
            <v>42747</v>
          </cell>
          <cell r="C4080" t="str">
            <v>ENERO</v>
          </cell>
          <cell r="D4080" t="str">
            <v>2017</v>
          </cell>
          <cell r="E4080">
            <v>812</v>
          </cell>
          <cell r="F4080" t="str">
            <v>ABP-783</v>
          </cell>
          <cell r="G4080" t="str">
            <v>C9S-988</v>
          </cell>
          <cell r="H4080" t="str">
            <v>LAS BAMBAS</v>
          </cell>
          <cell r="I4080">
            <v>132227</v>
          </cell>
          <cell r="J4080" t="str">
            <v>REPUESTO</v>
          </cell>
          <cell r="K4080" t="str">
            <v>TUERCA SEGURO 1/4</v>
          </cell>
          <cell r="L4080">
            <v>8</v>
          </cell>
          <cell r="M4080" t="str">
            <v>UNID.</v>
          </cell>
          <cell r="N4080" t="str">
            <v>TRACTO</v>
          </cell>
          <cell r="O4080">
            <v>43</v>
          </cell>
          <cell r="P4080" t="str">
            <v>M4</v>
          </cell>
          <cell r="Q4080" t="str">
            <v>J1</v>
          </cell>
          <cell r="R4080" t="str">
            <v>J6</v>
          </cell>
          <cell r="S4080" t="str">
            <v>PENDIENTE</v>
          </cell>
          <cell r="T4080">
            <v>0</v>
          </cell>
          <cell r="U4080" t="str">
            <v>JULLIRI APAZA UBALDO</v>
          </cell>
          <cell r="V4080" t="str">
            <v>FLOREZ CONDORI  JOSE WILLIANS</v>
          </cell>
        </row>
        <row r="4081">
          <cell r="A4081">
            <v>4086</v>
          </cell>
          <cell r="B4081">
            <v>42747</v>
          </cell>
          <cell r="C4081" t="str">
            <v>ENERO</v>
          </cell>
          <cell r="D4081" t="str">
            <v>2017</v>
          </cell>
          <cell r="E4081">
            <v>812</v>
          </cell>
          <cell r="F4081" t="str">
            <v>ABP-783</v>
          </cell>
          <cell r="G4081" t="str">
            <v>C9S-988</v>
          </cell>
          <cell r="H4081" t="str">
            <v>LAS BAMBAS</v>
          </cell>
          <cell r="I4081">
            <v>132227</v>
          </cell>
          <cell r="J4081" t="str">
            <v>REPUESTO</v>
          </cell>
          <cell r="K4081" t="str">
            <v>ARANDELA PLANA 1/4</v>
          </cell>
          <cell r="L4081">
            <v>16</v>
          </cell>
          <cell r="M4081" t="str">
            <v>UNID.</v>
          </cell>
          <cell r="N4081" t="str">
            <v>TRACTO</v>
          </cell>
          <cell r="O4081">
            <v>43</v>
          </cell>
          <cell r="P4081" t="str">
            <v>M4</v>
          </cell>
          <cell r="Q4081" t="str">
            <v>J1</v>
          </cell>
          <cell r="R4081" t="str">
            <v>J6</v>
          </cell>
          <cell r="S4081" t="str">
            <v>PENDIENTE</v>
          </cell>
          <cell r="T4081">
            <v>0</v>
          </cell>
          <cell r="U4081" t="str">
            <v>JULLIRI APAZA UBALDO</v>
          </cell>
          <cell r="V4081" t="str">
            <v>FLOREZ CONDORI  JOSE WILLIANS</v>
          </cell>
        </row>
        <row r="4082">
          <cell r="A4082">
            <v>4078</v>
          </cell>
          <cell r="B4082">
            <v>42747</v>
          </cell>
          <cell r="C4082" t="str">
            <v>ENERO</v>
          </cell>
          <cell r="D4082" t="str">
            <v>2017</v>
          </cell>
          <cell r="E4082">
            <v>817</v>
          </cell>
          <cell r="F4082" t="str">
            <v>ABR-727</v>
          </cell>
          <cell r="G4082" t="str">
            <v>C9S-989</v>
          </cell>
          <cell r="H4082" t="str">
            <v>LAS BAMBAS</v>
          </cell>
          <cell r="I4082">
            <v>101787</v>
          </cell>
          <cell r="J4082" t="str">
            <v>REPUESTO</v>
          </cell>
          <cell r="K4082" t="str">
            <v>LLANTAS</v>
          </cell>
          <cell r="L4082">
            <v>8</v>
          </cell>
          <cell r="M4082" t="str">
            <v>UNID.</v>
          </cell>
          <cell r="N4082" t="str">
            <v>CISTERNA</v>
          </cell>
          <cell r="O4082">
            <v>43</v>
          </cell>
          <cell r="P4082" t="str">
            <v>N2</v>
          </cell>
          <cell r="Q4082" t="str">
            <v>J3</v>
          </cell>
          <cell r="R4082" t="str">
            <v>J6</v>
          </cell>
          <cell r="S4082" t="str">
            <v>PENDIENTE</v>
          </cell>
          <cell r="T4082">
            <v>0</v>
          </cell>
          <cell r="U4082" t="str">
            <v>MAMANI LARICO  EDUARDO ALVARO</v>
          </cell>
          <cell r="V4082" t="str">
            <v>CHURA PIZARRO ALBERTO</v>
          </cell>
        </row>
        <row r="4083">
          <cell r="A4083">
            <v>4079</v>
          </cell>
          <cell r="B4083">
            <v>42747</v>
          </cell>
          <cell r="C4083" t="str">
            <v>ENERO</v>
          </cell>
          <cell r="D4083" t="str">
            <v>2017</v>
          </cell>
          <cell r="E4083">
            <v>817</v>
          </cell>
          <cell r="F4083" t="str">
            <v>ABR-727</v>
          </cell>
          <cell r="G4083" t="str">
            <v>C9S-989</v>
          </cell>
          <cell r="H4083" t="str">
            <v>LAS BAMBAS</v>
          </cell>
          <cell r="I4083">
            <v>101787</v>
          </cell>
          <cell r="J4083" t="str">
            <v>REPUESTO</v>
          </cell>
          <cell r="K4083" t="str">
            <v>VALVULAS DE LLANTAS</v>
          </cell>
          <cell r="L4083">
            <v>8</v>
          </cell>
          <cell r="M4083" t="str">
            <v>UNID.</v>
          </cell>
          <cell r="N4083" t="str">
            <v>CISTERNA</v>
          </cell>
          <cell r="O4083">
            <v>43</v>
          </cell>
          <cell r="P4083" t="str">
            <v>N2</v>
          </cell>
          <cell r="Q4083" t="str">
            <v>J3</v>
          </cell>
          <cell r="R4083" t="str">
            <v>J6</v>
          </cell>
          <cell r="S4083" t="str">
            <v>PENDIENTE</v>
          </cell>
          <cell r="T4083">
            <v>0</v>
          </cell>
          <cell r="U4083" t="str">
            <v>MAMANI LARICO  EDUARDO ALVARO</v>
          </cell>
          <cell r="V4083" t="str">
            <v>CHURA PIZARRO ALBERTO</v>
          </cell>
        </row>
        <row r="4084">
          <cell r="A4084">
            <v>4088</v>
          </cell>
          <cell r="B4084">
            <v>42747</v>
          </cell>
          <cell r="C4084" t="str">
            <v>ENERO</v>
          </cell>
          <cell r="D4084" t="str">
            <v>2017</v>
          </cell>
          <cell r="E4084">
            <v>817</v>
          </cell>
          <cell r="F4084" t="str">
            <v>ABR-727</v>
          </cell>
          <cell r="G4084" t="str">
            <v>C9S-989</v>
          </cell>
          <cell r="H4084" t="str">
            <v>LAS BAMBAS</v>
          </cell>
          <cell r="I4084">
            <v>101787</v>
          </cell>
          <cell r="J4084" t="str">
            <v>REPUESTO</v>
          </cell>
          <cell r="K4084" t="str">
            <v>CINTA AISLANTE NEGRA</v>
          </cell>
          <cell r="L4084">
            <v>1</v>
          </cell>
          <cell r="M4084" t="str">
            <v>UNID.</v>
          </cell>
          <cell r="N4084" t="str">
            <v>TRACTO</v>
          </cell>
          <cell r="O4084">
            <v>43</v>
          </cell>
          <cell r="P4084" t="str">
            <v>E3</v>
          </cell>
          <cell r="Q4084" t="str">
            <v>J1</v>
          </cell>
          <cell r="R4084" t="str">
            <v>J6</v>
          </cell>
          <cell r="S4084" t="str">
            <v>PENDIENTE</v>
          </cell>
          <cell r="T4084">
            <v>0</v>
          </cell>
          <cell r="U4084" t="str">
            <v>CONDORI CHURATA ALEX</v>
          </cell>
          <cell r="V4084" t="str">
            <v>FLOREZ CONDORI  JOSE WILLIANS</v>
          </cell>
        </row>
        <row r="4085">
          <cell r="A4085">
            <v>4089</v>
          </cell>
          <cell r="B4085">
            <v>42747</v>
          </cell>
          <cell r="C4085" t="str">
            <v>ENERO</v>
          </cell>
          <cell r="D4085" t="str">
            <v>2017</v>
          </cell>
          <cell r="E4085">
            <v>817</v>
          </cell>
          <cell r="F4085" t="str">
            <v>ABR-727</v>
          </cell>
          <cell r="G4085" t="str">
            <v>C9S-989</v>
          </cell>
          <cell r="H4085" t="str">
            <v>LAS BAMBAS</v>
          </cell>
          <cell r="I4085">
            <v>101787</v>
          </cell>
          <cell r="J4085" t="str">
            <v>REPUESTO</v>
          </cell>
          <cell r="K4085" t="str">
            <v>PRESINTOS 300</v>
          </cell>
          <cell r="L4085">
            <v>10</v>
          </cell>
          <cell r="M4085" t="str">
            <v>UNID.</v>
          </cell>
          <cell r="N4085" t="str">
            <v>TRACTO</v>
          </cell>
          <cell r="O4085">
            <v>43</v>
          </cell>
          <cell r="P4085" t="str">
            <v>E3</v>
          </cell>
          <cell r="Q4085" t="str">
            <v>J1</v>
          </cell>
          <cell r="R4085" t="str">
            <v>J6</v>
          </cell>
          <cell r="S4085" t="str">
            <v>PENDIENTE</v>
          </cell>
          <cell r="T4085">
            <v>0</v>
          </cell>
          <cell r="U4085" t="str">
            <v>CONDORI CHURATA ALEX</v>
          </cell>
          <cell r="V4085" t="str">
            <v>FLOREZ CONDORI  JOSE WILLIANS</v>
          </cell>
        </row>
        <row r="4086">
          <cell r="A4086">
            <v>4090</v>
          </cell>
          <cell r="B4086">
            <v>42747</v>
          </cell>
          <cell r="C4086" t="str">
            <v>ENERO</v>
          </cell>
          <cell r="D4086" t="str">
            <v>2017</v>
          </cell>
          <cell r="E4086">
            <v>817</v>
          </cell>
          <cell r="F4086" t="str">
            <v>ABR-727</v>
          </cell>
          <cell r="G4086" t="str">
            <v>C9S-989</v>
          </cell>
          <cell r="H4086" t="str">
            <v>LAS BAMBAS</v>
          </cell>
          <cell r="I4086">
            <v>101787</v>
          </cell>
          <cell r="J4086" t="str">
            <v>REPUESTO</v>
          </cell>
          <cell r="K4086" t="str">
            <v>TUBO CORRUGADO 3/8</v>
          </cell>
          <cell r="L4086">
            <v>1</v>
          </cell>
          <cell r="M4086" t="str">
            <v>M</v>
          </cell>
          <cell r="N4086" t="str">
            <v>TRACTO</v>
          </cell>
          <cell r="O4086">
            <v>43</v>
          </cell>
          <cell r="P4086" t="str">
            <v>E3</v>
          </cell>
          <cell r="Q4086" t="str">
            <v>J1</v>
          </cell>
          <cell r="R4086" t="str">
            <v>J6</v>
          </cell>
          <cell r="S4086" t="str">
            <v>PENDIENTE</v>
          </cell>
          <cell r="T4086">
            <v>0</v>
          </cell>
          <cell r="U4086" t="str">
            <v>CONDORI CHURATA ALEX</v>
          </cell>
          <cell r="V4086" t="str">
            <v>FLOREZ CONDORI  JOSE WILLIANS</v>
          </cell>
        </row>
        <row r="4087">
          <cell r="A4087">
            <v>4091</v>
          </cell>
          <cell r="B4087">
            <v>42747</v>
          </cell>
          <cell r="C4087" t="str">
            <v>ENERO</v>
          </cell>
          <cell r="D4087" t="str">
            <v>2017</v>
          </cell>
          <cell r="E4087">
            <v>817</v>
          </cell>
          <cell r="F4087" t="str">
            <v>ABR-727</v>
          </cell>
          <cell r="G4087" t="str">
            <v>C9S-989</v>
          </cell>
          <cell r="H4087" t="str">
            <v>LAS BAMBAS</v>
          </cell>
          <cell r="I4087">
            <v>101787</v>
          </cell>
          <cell r="J4087" t="str">
            <v>REPUESTO</v>
          </cell>
          <cell r="K4087" t="str">
            <v>FOCO 12 V H3</v>
          </cell>
          <cell r="L4087">
            <v>1</v>
          </cell>
          <cell r="M4087" t="str">
            <v>UNID.</v>
          </cell>
          <cell r="N4087" t="str">
            <v>TRACTO</v>
          </cell>
          <cell r="O4087">
            <v>43</v>
          </cell>
          <cell r="P4087" t="str">
            <v>E3</v>
          </cell>
          <cell r="Q4087" t="str">
            <v>J1</v>
          </cell>
          <cell r="R4087" t="str">
            <v>J6</v>
          </cell>
          <cell r="S4087" t="str">
            <v>PENDIENTE</v>
          </cell>
          <cell r="T4087">
            <v>0</v>
          </cell>
          <cell r="U4087" t="str">
            <v>CONDORI CHURATA ALEX</v>
          </cell>
          <cell r="V4087" t="str">
            <v>FLOREZ CONDORI  JOSE WILLIANS</v>
          </cell>
        </row>
        <row r="4088">
          <cell r="A4088">
            <v>4100</v>
          </cell>
          <cell r="B4088">
            <v>42747</v>
          </cell>
          <cell r="C4088" t="str">
            <v>ENERO</v>
          </cell>
          <cell r="D4088" t="str">
            <v>2017</v>
          </cell>
          <cell r="E4088">
            <v>819</v>
          </cell>
          <cell r="F4088" t="str">
            <v>C4G-751</v>
          </cell>
          <cell r="G4088" t="str">
            <v>CAMIONETA</v>
          </cell>
          <cell r="H4088" t="str">
            <v>LAS BAMBAS</v>
          </cell>
          <cell r="I4088">
            <v>120524</v>
          </cell>
          <cell r="J4088" t="str">
            <v>REPUESTO</v>
          </cell>
          <cell r="K4088" t="str">
            <v>FILTRO DE ACEITE</v>
          </cell>
          <cell r="L4088">
            <v>1</v>
          </cell>
          <cell r="M4088" t="str">
            <v>UNID.</v>
          </cell>
          <cell r="N4088" t="str">
            <v>CAMIONETA</v>
          </cell>
          <cell r="O4088">
            <v>43</v>
          </cell>
          <cell r="P4088" t="str">
            <v>M6</v>
          </cell>
          <cell r="Q4088" t="str">
            <v>J1</v>
          </cell>
          <cell r="R4088" t="str">
            <v>J6</v>
          </cell>
          <cell r="S4088" t="str">
            <v>PENDIENTE</v>
          </cell>
          <cell r="T4088">
            <v>0</v>
          </cell>
          <cell r="U4088" t="str">
            <v>PARI VENTURA  EDSON ORLANDO</v>
          </cell>
          <cell r="V4088" t="str">
            <v>FLOREZ CONDORI  JOSE WILLIANS</v>
          </cell>
        </row>
        <row r="4089">
          <cell r="A4089">
            <v>4101</v>
          </cell>
          <cell r="B4089">
            <v>42747</v>
          </cell>
          <cell r="C4089" t="str">
            <v>ENERO</v>
          </cell>
          <cell r="D4089" t="str">
            <v>2017</v>
          </cell>
          <cell r="E4089">
            <v>819</v>
          </cell>
          <cell r="F4089" t="str">
            <v>C4G-751</v>
          </cell>
          <cell r="G4089" t="str">
            <v>CAMIONETA</v>
          </cell>
          <cell r="H4089" t="str">
            <v>LAS BAMBAS</v>
          </cell>
          <cell r="I4089">
            <v>120524</v>
          </cell>
          <cell r="J4089" t="str">
            <v>REPUESTO</v>
          </cell>
          <cell r="K4089" t="str">
            <v>FILTRO DE COMBUSTIBLE</v>
          </cell>
          <cell r="L4089">
            <v>1</v>
          </cell>
          <cell r="M4089" t="str">
            <v>UNID.</v>
          </cell>
          <cell r="N4089" t="str">
            <v>CAMIONETA</v>
          </cell>
          <cell r="O4089">
            <v>43</v>
          </cell>
          <cell r="P4089" t="str">
            <v>M6</v>
          </cell>
          <cell r="Q4089" t="str">
            <v>J1</v>
          </cell>
          <cell r="R4089" t="str">
            <v>J6</v>
          </cell>
          <cell r="S4089" t="str">
            <v>PENDIENTE</v>
          </cell>
          <cell r="T4089">
            <v>0</v>
          </cell>
          <cell r="U4089" t="str">
            <v>PARI VENTURA  EDSON ORLANDO</v>
          </cell>
          <cell r="V4089" t="str">
            <v>FLOREZ CONDORI  JOSE WILLIANS</v>
          </cell>
        </row>
        <row r="4090">
          <cell r="A4090">
            <v>4102</v>
          </cell>
          <cell r="B4090">
            <v>42747</v>
          </cell>
          <cell r="C4090" t="str">
            <v>ENERO</v>
          </cell>
          <cell r="D4090" t="str">
            <v>2017</v>
          </cell>
          <cell r="E4090">
            <v>819</v>
          </cell>
          <cell r="F4090" t="str">
            <v>C4G-751</v>
          </cell>
          <cell r="G4090" t="str">
            <v>CAMIONETA</v>
          </cell>
          <cell r="H4090" t="str">
            <v>LAS BAMBAS</v>
          </cell>
          <cell r="I4090">
            <v>120524</v>
          </cell>
          <cell r="J4090" t="str">
            <v>REPUESTO</v>
          </cell>
          <cell r="K4090" t="str">
            <v>FILTRO DE AIRE</v>
          </cell>
          <cell r="L4090">
            <v>1</v>
          </cell>
          <cell r="M4090" t="str">
            <v>UNID.</v>
          </cell>
          <cell r="N4090" t="str">
            <v>CAMIONETA</v>
          </cell>
          <cell r="O4090">
            <v>43</v>
          </cell>
          <cell r="P4090" t="str">
            <v>M6</v>
          </cell>
          <cell r="Q4090" t="str">
            <v>J1</v>
          </cell>
          <cell r="R4090" t="str">
            <v>J6</v>
          </cell>
          <cell r="S4090" t="str">
            <v>PENDIENTE</v>
          </cell>
          <cell r="T4090">
            <v>0</v>
          </cell>
          <cell r="U4090" t="str">
            <v>PARI VENTURA  EDSON ORLANDO</v>
          </cell>
          <cell r="V4090" t="str">
            <v>FLOREZ CONDORI  JOSE WILLIANS</v>
          </cell>
        </row>
        <row r="4091">
          <cell r="A4091">
            <v>4103</v>
          </cell>
          <cell r="B4091">
            <v>42747</v>
          </cell>
          <cell r="C4091" t="str">
            <v>ENERO</v>
          </cell>
          <cell r="D4091" t="str">
            <v>2017</v>
          </cell>
          <cell r="E4091">
            <v>819</v>
          </cell>
          <cell r="F4091" t="str">
            <v>C4G-751</v>
          </cell>
          <cell r="G4091" t="str">
            <v>CAMIONETA</v>
          </cell>
          <cell r="H4091" t="str">
            <v>LAS BAMBAS</v>
          </cell>
          <cell r="I4091">
            <v>120524</v>
          </cell>
          <cell r="J4091" t="str">
            <v>REPUESTO</v>
          </cell>
          <cell r="K4091" t="str">
            <v>ACEITE 15W40</v>
          </cell>
          <cell r="L4091">
            <v>2</v>
          </cell>
          <cell r="M4091" t="str">
            <v>GLNS.</v>
          </cell>
          <cell r="N4091" t="str">
            <v>CAMIONETA</v>
          </cell>
          <cell r="O4091">
            <v>43</v>
          </cell>
          <cell r="P4091" t="str">
            <v>M6</v>
          </cell>
          <cell r="Q4091" t="str">
            <v>J1</v>
          </cell>
          <cell r="R4091" t="str">
            <v>J6</v>
          </cell>
          <cell r="S4091" t="str">
            <v>PENDIENTE</v>
          </cell>
          <cell r="T4091">
            <v>0</v>
          </cell>
          <cell r="U4091" t="str">
            <v>PARI VENTURA  EDSON ORLANDO</v>
          </cell>
          <cell r="V4091" t="str">
            <v>FLOREZ CONDORI  JOSE WILLIANS</v>
          </cell>
        </row>
        <row r="4092">
          <cell r="A4092">
            <v>4104</v>
          </cell>
          <cell r="B4092">
            <v>42747</v>
          </cell>
          <cell r="C4092" t="str">
            <v>ENERO</v>
          </cell>
          <cell r="D4092" t="str">
            <v>2017</v>
          </cell>
          <cell r="E4092">
            <v>819</v>
          </cell>
          <cell r="F4092" t="str">
            <v>C4G-751</v>
          </cell>
          <cell r="G4092" t="str">
            <v>CAMIONETA</v>
          </cell>
          <cell r="H4092" t="str">
            <v>LAS BAMBAS</v>
          </cell>
          <cell r="I4092">
            <v>120524</v>
          </cell>
          <cell r="J4092" t="str">
            <v>REPUESTO</v>
          </cell>
          <cell r="K4092" t="str">
            <v>LIQUIDO REFRIGERANTE</v>
          </cell>
          <cell r="L4092">
            <v>1</v>
          </cell>
          <cell r="M4092" t="str">
            <v>GLNS.</v>
          </cell>
          <cell r="N4092" t="str">
            <v>CAMIONETA</v>
          </cell>
          <cell r="O4092">
            <v>43</v>
          </cell>
          <cell r="P4092" t="str">
            <v>M6</v>
          </cell>
          <cell r="Q4092" t="str">
            <v>J1</v>
          </cell>
          <cell r="R4092" t="str">
            <v>J6</v>
          </cell>
          <cell r="S4092" t="str">
            <v>PENDIENTE</v>
          </cell>
          <cell r="T4092">
            <v>0</v>
          </cell>
          <cell r="U4092" t="str">
            <v>PARI VENTURA  EDSON ORLANDO</v>
          </cell>
          <cell r="V4092" t="str">
            <v>FLOREZ CONDORI  JOSE WILLIANS</v>
          </cell>
        </row>
        <row r="4093">
          <cell r="A4093">
            <v>4105</v>
          </cell>
          <cell r="B4093">
            <v>42747</v>
          </cell>
          <cell r="C4093" t="str">
            <v>ENERO</v>
          </cell>
          <cell r="D4093" t="str">
            <v>2017</v>
          </cell>
          <cell r="E4093">
            <v>819</v>
          </cell>
          <cell r="F4093" t="str">
            <v>C4G-751</v>
          </cell>
          <cell r="G4093" t="str">
            <v>CAMIONETA</v>
          </cell>
          <cell r="H4093" t="str">
            <v>LAS BAMBAS</v>
          </cell>
          <cell r="I4093">
            <v>120524</v>
          </cell>
          <cell r="J4093" t="str">
            <v>REPUESTO</v>
          </cell>
          <cell r="K4093" t="str">
            <v>LIQUIDO LIMPIAPARABRISAS</v>
          </cell>
          <cell r="L4093">
            <v>1</v>
          </cell>
          <cell r="M4093" t="str">
            <v>GLNS.</v>
          </cell>
          <cell r="N4093" t="str">
            <v>CAMIONETA</v>
          </cell>
          <cell r="O4093">
            <v>43</v>
          </cell>
          <cell r="P4093" t="str">
            <v>M6</v>
          </cell>
          <cell r="Q4093" t="str">
            <v>J1</v>
          </cell>
          <cell r="R4093" t="str">
            <v>J6</v>
          </cell>
          <cell r="S4093" t="str">
            <v>PENDIENTE</v>
          </cell>
          <cell r="T4093">
            <v>0</v>
          </cell>
          <cell r="U4093" t="str">
            <v>PARI VENTURA  EDSON ORLANDO</v>
          </cell>
          <cell r="V4093" t="str">
            <v>FLOREZ CONDORI  JOSE WILLIANS</v>
          </cell>
        </row>
        <row r="4094">
          <cell r="A4094">
            <v>4106</v>
          </cell>
          <cell r="B4094">
            <v>42747</v>
          </cell>
          <cell r="C4094" t="str">
            <v>ENERO</v>
          </cell>
          <cell r="D4094" t="str">
            <v>2017</v>
          </cell>
          <cell r="E4094">
            <v>819</v>
          </cell>
          <cell r="F4094" t="str">
            <v>C4G-751</v>
          </cell>
          <cell r="G4094" t="str">
            <v>CAMIONETA</v>
          </cell>
          <cell r="H4094" t="str">
            <v>LAS BAMBAS</v>
          </cell>
          <cell r="I4094">
            <v>120524</v>
          </cell>
          <cell r="J4094" t="str">
            <v>REPUESTO</v>
          </cell>
          <cell r="K4094" t="str">
            <v>RELAY DE 12 V</v>
          </cell>
          <cell r="L4094">
            <v>2</v>
          </cell>
          <cell r="M4094" t="str">
            <v>UNID.</v>
          </cell>
          <cell r="N4094" t="str">
            <v>CAMIONETA</v>
          </cell>
          <cell r="O4094">
            <v>43</v>
          </cell>
          <cell r="P4094" t="str">
            <v>E3</v>
          </cell>
          <cell r="Q4094" t="str">
            <v>J1</v>
          </cell>
          <cell r="R4094" t="str">
            <v>J6</v>
          </cell>
          <cell r="S4094" t="str">
            <v>PENDIENTE</v>
          </cell>
          <cell r="T4094">
            <v>0</v>
          </cell>
          <cell r="U4094" t="str">
            <v>CONDORI CHURATA ALEX</v>
          </cell>
          <cell r="V4094" t="str">
            <v>FLOREZ CONDORI  JOSE WILLIANS</v>
          </cell>
        </row>
        <row r="4095">
          <cell r="A4095">
            <v>4107</v>
          </cell>
          <cell r="B4095">
            <v>42747</v>
          </cell>
          <cell r="C4095" t="str">
            <v>ENERO</v>
          </cell>
          <cell r="D4095" t="str">
            <v>2017</v>
          </cell>
          <cell r="E4095">
            <v>819</v>
          </cell>
          <cell r="F4095" t="str">
            <v>C4G-751</v>
          </cell>
          <cell r="G4095" t="str">
            <v>CAMIONETA</v>
          </cell>
          <cell r="H4095" t="str">
            <v>LAS BAMBAS</v>
          </cell>
          <cell r="I4095">
            <v>120524</v>
          </cell>
          <cell r="J4095" t="str">
            <v>REPUESTO</v>
          </cell>
          <cell r="K4095" t="str">
            <v>FUSIBLE DE 15 AMP</v>
          </cell>
          <cell r="L4095">
            <v>2</v>
          </cell>
          <cell r="M4095" t="str">
            <v>UNID.</v>
          </cell>
          <cell r="N4095" t="str">
            <v>CAMIONETA</v>
          </cell>
          <cell r="O4095">
            <v>43</v>
          </cell>
          <cell r="P4095" t="str">
            <v>E3</v>
          </cell>
          <cell r="Q4095" t="str">
            <v>J1</v>
          </cell>
          <cell r="R4095" t="str">
            <v>J6</v>
          </cell>
          <cell r="S4095" t="str">
            <v>PENDIENTE</v>
          </cell>
          <cell r="T4095">
            <v>0</v>
          </cell>
          <cell r="U4095" t="str">
            <v>CONDORI CHURATA ALEX</v>
          </cell>
          <cell r="V4095" t="str">
            <v>FLOREZ CONDORI  JOSE WILLIANS</v>
          </cell>
        </row>
        <row r="4096">
          <cell r="A4096">
            <v>4108</v>
          </cell>
          <cell r="B4096">
            <v>42747</v>
          </cell>
          <cell r="C4096" t="str">
            <v>ENERO</v>
          </cell>
          <cell r="D4096" t="str">
            <v>2017</v>
          </cell>
          <cell r="E4096">
            <v>819</v>
          </cell>
          <cell r="F4096" t="str">
            <v>C4G-751</v>
          </cell>
          <cell r="G4096" t="str">
            <v>CAMIONETA</v>
          </cell>
          <cell r="H4096" t="str">
            <v>LAS BAMBAS</v>
          </cell>
          <cell r="I4096">
            <v>120524</v>
          </cell>
          <cell r="J4096" t="str">
            <v>REPUESTO</v>
          </cell>
          <cell r="K4096" t="str">
            <v>FOCOS PILOTO DE DOBLE CONTACTO</v>
          </cell>
          <cell r="L4096">
            <v>2</v>
          </cell>
          <cell r="M4096" t="str">
            <v>UNID.</v>
          </cell>
          <cell r="N4096" t="str">
            <v>CAMIONETA</v>
          </cell>
          <cell r="O4096">
            <v>43</v>
          </cell>
          <cell r="P4096" t="str">
            <v>E3</v>
          </cell>
          <cell r="Q4096" t="str">
            <v>J1</v>
          </cell>
          <cell r="R4096" t="str">
            <v>J6</v>
          </cell>
          <cell r="S4096" t="str">
            <v>PENDIENTE</v>
          </cell>
          <cell r="T4096">
            <v>0</v>
          </cell>
          <cell r="U4096" t="str">
            <v>CONDORI CHURATA ALEX</v>
          </cell>
          <cell r="V4096" t="str">
            <v>FLOREZ CONDORI  JOSE WILLIANS</v>
          </cell>
        </row>
        <row r="4097">
          <cell r="A4097">
            <v>4109</v>
          </cell>
          <cell r="B4097">
            <v>42747</v>
          </cell>
          <cell r="C4097" t="str">
            <v>ENERO</v>
          </cell>
          <cell r="D4097" t="str">
            <v>2017</v>
          </cell>
          <cell r="E4097">
            <v>819</v>
          </cell>
          <cell r="F4097" t="str">
            <v>C4G-751</v>
          </cell>
          <cell r="G4097" t="str">
            <v>CAMIONETA</v>
          </cell>
          <cell r="H4097" t="str">
            <v>LAS BAMBAS</v>
          </cell>
          <cell r="I4097">
            <v>120524</v>
          </cell>
          <cell r="J4097" t="str">
            <v>REPUESTO</v>
          </cell>
          <cell r="K4097" t="str">
            <v>FOCO PILOTO DE UN CONTACTO</v>
          </cell>
          <cell r="L4097">
            <v>1</v>
          </cell>
          <cell r="M4097" t="str">
            <v>UNID.</v>
          </cell>
          <cell r="N4097" t="str">
            <v>CAMIONETA</v>
          </cell>
          <cell r="O4097">
            <v>43</v>
          </cell>
          <cell r="P4097" t="str">
            <v>E3</v>
          </cell>
          <cell r="Q4097" t="str">
            <v>J1</v>
          </cell>
          <cell r="R4097" t="str">
            <v>J6</v>
          </cell>
          <cell r="S4097" t="str">
            <v>PENDIENTE</v>
          </cell>
          <cell r="T4097">
            <v>0</v>
          </cell>
          <cell r="U4097" t="str">
            <v>CONDORI CHURATA ALEX</v>
          </cell>
          <cell r="V4097" t="str">
            <v>FLOREZ CONDORI  JOSE WILLIANS</v>
          </cell>
        </row>
        <row r="4098">
          <cell r="A4098">
            <v>4110</v>
          </cell>
          <cell r="B4098">
            <v>42747</v>
          </cell>
          <cell r="C4098" t="str">
            <v>ENERO</v>
          </cell>
          <cell r="D4098" t="str">
            <v>2017</v>
          </cell>
          <cell r="E4098">
            <v>819</v>
          </cell>
          <cell r="F4098" t="str">
            <v>C4G-751</v>
          </cell>
          <cell r="G4098" t="str">
            <v>CAMIONETA</v>
          </cell>
          <cell r="H4098" t="str">
            <v>LAS BAMBAS</v>
          </cell>
          <cell r="I4098">
            <v>120524</v>
          </cell>
          <cell r="J4098" t="str">
            <v>REPUESTO</v>
          </cell>
          <cell r="K4098" t="str">
            <v>FOCO H3 DE 12 V</v>
          </cell>
          <cell r="L4098">
            <v>2</v>
          </cell>
          <cell r="M4098" t="str">
            <v>UNID.</v>
          </cell>
          <cell r="N4098" t="str">
            <v>CAMIONETA</v>
          </cell>
          <cell r="O4098">
            <v>43</v>
          </cell>
          <cell r="P4098" t="str">
            <v>E3</v>
          </cell>
          <cell r="Q4098" t="str">
            <v>J1</v>
          </cell>
          <cell r="R4098" t="str">
            <v>J6</v>
          </cell>
          <cell r="S4098" t="str">
            <v>PENDIENTE</v>
          </cell>
          <cell r="T4098">
            <v>0</v>
          </cell>
          <cell r="U4098" t="str">
            <v>CONDORI CHURATA ALEX</v>
          </cell>
          <cell r="V4098" t="str">
            <v>FLOREZ CONDORI  JOSE WILLIANS</v>
          </cell>
        </row>
        <row r="4099">
          <cell r="A4099">
            <v>4111</v>
          </cell>
          <cell r="B4099">
            <v>42747</v>
          </cell>
          <cell r="C4099" t="str">
            <v>ENERO</v>
          </cell>
          <cell r="D4099" t="str">
            <v>2017</v>
          </cell>
          <cell r="E4099">
            <v>819</v>
          </cell>
          <cell r="F4099" t="str">
            <v>C4G-751</v>
          </cell>
          <cell r="G4099" t="str">
            <v>CAMIONETA</v>
          </cell>
          <cell r="H4099" t="str">
            <v>LAS BAMBAS</v>
          </cell>
          <cell r="I4099">
            <v>120524</v>
          </cell>
          <cell r="J4099" t="str">
            <v>REPUESTO</v>
          </cell>
          <cell r="K4099" t="str">
            <v>TERMINAL OJO 3/8</v>
          </cell>
          <cell r="L4099">
            <v>2</v>
          </cell>
          <cell r="M4099" t="str">
            <v>UNID.</v>
          </cell>
          <cell r="N4099" t="str">
            <v>CAMIONETA</v>
          </cell>
          <cell r="O4099">
            <v>43</v>
          </cell>
          <cell r="P4099" t="str">
            <v>E3</v>
          </cell>
          <cell r="Q4099" t="str">
            <v>J1</v>
          </cell>
          <cell r="R4099" t="str">
            <v>J6</v>
          </cell>
          <cell r="S4099" t="str">
            <v>PENDIENTE</v>
          </cell>
          <cell r="T4099">
            <v>0</v>
          </cell>
          <cell r="U4099" t="str">
            <v>CONDORI CHURATA ALEX</v>
          </cell>
          <cell r="V4099" t="str">
            <v>FLOREZ CONDORI  JOSE WILLIANS</v>
          </cell>
        </row>
        <row r="4100">
          <cell r="A4100">
            <v>4114</v>
          </cell>
          <cell r="B4100">
            <v>42747</v>
          </cell>
          <cell r="C4100" t="str">
            <v>ENERO</v>
          </cell>
          <cell r="D4100" t="str">
            <v>2017</v>
          </cell>
          <cell r="E4100">
            <v>819</v>
          </cell>
          <cell r="F4100" t="str">
            <v>C4G-751</v>
          </cell>
          <cell r="G4100" t="str">
            <v>CAMIONETA</v>
          </cell>
          <cell r="H4100" t="str">
            <v>LAS BAMBAS</v>
          </cell>
          <cell r="I4100">
            <v>120524</v>
          </cell>
          <cell r="J4100" t="str">
            <v>REPUESTO</v>
          </cell>
          <cell r="K4100" t="str">
            <v>TERMINALES HEMBRA</v>
          </cell>
          <cell r="L4100">
            <v>1</v>
          </cell>
          <cell r="M4100" t="str">
            <v>UNID.</v>
          </cell>
          <cell r="N4100" t="str">
            <v>CAMIONETA</v>
          </cell>
          <cell r="O4100">
            <v>43</v>
          </cell>
          <cell r="P4100" t="str">
            <v>E3</v>
          </cell>
          <cell r="Q4100" t="str">
            <v>J1</v>
          </cell>
          <cell r="R4100" t="str">
            <v>J6</v>
          </cell>
          <cell r="S4100" t="str">
            <v>PENDIENTE</v>
          </cell>
          <cell r="T4100">
            <v>0</v>
          </cell>
          <cell r="U4100" t="str">
            <v>CONDORI CHURATA ALEX</v>
          </cell>
          <cell r="V4100" t="str">
            <v>FLOREZ CONDORI  JOSE WILLIANS</v>
          </cell>
        </row>
        <row r="4101">
          <cell r="A4101">
            <v>4115</v>
          </cell>
          <cell r="B4101">
            <v>42747</v>
          </cell>
          <cell r="C4101" t="str">
            <v>ENERO</v>
          </cell>
          <cell r="D4101" t="str">
            <v>2017</v>
          </cell>
          <cell r="E4101">
            <v>819</v>
          </cell>
          <cell r="F4101" t="str">
            <v>C4G-751</v>
          </cell>
          <cell r="G4101" t="str">
            <v>CAMIONETA</v>
          </cell>
          <cell r="H4101" t="str">
            <v>LAS BAMBAS</v>
          </cell>
          <cell r="I4101">
            <v>120524</v>
          </cell>
          <cell r="J4101" t="str">
            <v>REPUESTO</v>
          </cell>
          <cell r="K4101" t="str">
            <v>PASTILAS DE FRENO</v>
          </cell>
          <cell r="L4101">
            <v>1</v>
          </cell>
          <cell r="M4101" t="str">
            <v>JUEGO</v>
          </cell>
          <cell r="N4101" t="str">
            <v>CAMIONETA</v>
          </cell>
          <cell r="O4101">
            <v>43</v>
          </cell>
          <cell r="P4101" t="str">
            <v>M6</v>
          </cell>
          <cell r="Q4101" t="str">
            <v>J1</v>
          </cell>
          <cell r="R4101" t="str">
            <v>J6</v>
          </cell>
          <cell r="S4101" t="str">
            <v>PENDIENTE</v>
          </cell>
          <cell r="T4101">
            <v>0</v>
          </cell>
          <cell r="U4101" t="str">
            <v>PARI VENTURA  EDSON ORLANDO</v>
          </cell>
          <cell r="V4101" t="str">
            <v>FLOREZ CONDORI  JOSE WILLIANS</v>
          </cell>
        </row>
        <row r="4102">
          <cell r="A4102">
            <v>4116</v>
          </cell>
          <cell r="B4102">
            <v>42747</v>
          </cell>
          <cell r="C4102" t="str">
            <v>ENERO</v>
          </cell>
          <cell r="D4102" t="str">
            <v>2017</v>
          </cell>
          <cell r="E4102">
            <v>819</v>
          </cell>
          <cell r="F4102" t="str">
            <v>C4G-751</v>
          </cell>
          <cell r="G4102" t="str">
            <v>CAMIONETA</v>
          </cell>
          <cell r="H4102" t="str">
            <v>LAS BAMBAS</v>
          </cell>
          <cell r="I4102">
            <v>120524</v>
          </cell>
          <cell r="J4102" t="str">
            <v>REPUESTO</v>
          </cell>
          <cell r="K4102" t="str">
            <v>ESPARRAGOS PARA CAMIONETAS</v>
          </cell>
          <cell r="L4102">
            <v>6</v>
          </cell>
          <cell r="M4102" t="str">
            <v>UNID.</v>
          </cell>
          <cell r="N4102" t="str">
            <v>CAMIONETA</v>
          </cell>
          <cell r="O4102">
            <v>43</v>
          </cell>
          <cell r="P4102" t="str">
            <v>M6</v>
          </cell>
          <cell r="Q4102" t="str">
            <v>J1</v>
          </cell>
          <cell r="R4102" t="str">
            <v>J6</v>
          </cell>
          <cell r="S4102" t="str">
            <v>PENDIENTE</v>
          </cell>
          <cell r="T4102">
            <v>0</v>
          </cell>
          <cell r="U4102" t="str">
            <v>PARI VENTURA  EDSON ORLANDO</v>
          </cell>
          <cell r="V4102" t="str">
            <v>FLOREZ CONDORI  JOSE WILLIANS</v>
          </cell>
        </row>
        <row r="4103">
          <cell r="A4103">
            <v>4117</v>
          </cell>
          <cell r="B4103">
            <v>42747</v>
          </cell>
          <cell r="C4103" t="str">
            <v>ENERO</v>
          </cell>
          <cell r="D4103" t="str">
            <v>2017</v>
          </cell>
          <cell r="E4103">
            <v>819</v>
          </cell>
          <cell r="F4103" t="str">
            <v>C4G-751</v>
          </cell>
          <cell r="G4103" t="str">
            <v>CAMIONETA</v>
          </cell>
          <cell r="H4103" t="str">
            <v>LAS BAMBAS</v>
          </cell>
          <cell r="I4103">
            <v>120524</v>
          </cell>
          <cell r="J4103" t="str">
            <v>REPUESTO</v>
          </cell>
          <cell r="K4103" t="str">
            <v>TERMINAL PARA BATERIA</v>
          </cell>
          <cell r="L4103">
            <v>2</v>
          </cell>
          <cell r="M4103" t="str">
            <v>UNID.</v>
          </cell>
          <cell r="N4103" t="str">
            <v>CAMIONETA</v>
          </cell>
          <cell r="O4103">
            <v>43</v>
          </cell>
          <cell r="P4103" t="str">
            <v>E3</v>
          </cell>
          <cell r="Q4103" t="str">
            <v>J1</v>
          </cell>
          <cell r="R4103" t="str">
            <v>J6</v>
          </cell>
          <cell r="S4103" t="str">
            <v>PENDIENTE</v>
          </cell>
          <cell r="T4103">
            <v>0</v>
          </cell>
          <cell r="U4103" t="str">
            <v>CONDORI CHURATA ALEX</v>
          </cell>
          <cell r="V4103" t="str">
            <v>FLOREZ CONDORI  JOSE WILLIANS</v>
          </cell>
        </row>
        <row r="4104">
          <cell r="A4104">
            <v>4080</v>
          </cell>
          <cell r="B4104">
            <v>42747</v>
          </cell>
          <cell r="C4104" t="str">
            <v>ENERO</v>
          </cell>
          <cell r="D4104" t="str">
            <v>2017</v>
          </cell>
          <cell r="E4104">
            <v>814</v>
          </cell>
          <cell r="F4104" t="str">
            <v>C5R-899</v>
          </cell>
          <cell r="G4104" t="str">
            <v>A0U-978</v>
          </cell>
          <cell r="H4104" t="str">
            <v>LAS BAMBAS</v>
          </cell>
          <cell r="I4104">
            <v>259480</v>
          </cell>
          <cell r="J4104" t="str">
            <v>REPUESTO</v>
          </cell>
          <cell r="K4104" t="str">
            <v>SOCKETTOWN</v>
          </cell>
          <cell r="L4104">
            <v>2</v>
          </cell>
          <cell r="M4104" t="str">
            <v>UNID.</v>
          </cell>
          <cell r="N4104" t="str">
            <v>TRACTO</v>
          </cell>
          <cell r="O4104">
            <v>43</v>
          </cell>
          <cell r="P4104" t="str">
            <v>E3</v>
          </cell>
          <cell r="Q4104" t="str">
            <v>J1</v>
          </cell>
          <cell r="R4104" t="str">
            <v>J6</v>
          </cell>
          <cell r="S4104" t="str">
            <v>PENDIENTE</v>
          </cell>
          <cell r="T4104">
            <v>0</v>
          </cell>
          <cell r="U4104" t="str">
            <v>CONDORI CHURATA ALEX</v>
          </cell>
          <cell r="V4104" t="str">
            <v>FLOREZ CONDORI  JOSE WILLIANS</v>
          </cell>
        </row>
        <row r="4105">
          <cell r="A4105">
            <v>4092</v>
          </cell>
          <cell r="B4105">
            <v>42747</v>
          </cell>
          <cell r="C4105" t="str">
            <v>ENERO</v>
          </cell>
          <cell r="D4105" t="str">
            <v>2017</v>
          </cell>
          <cell r="E4105">
            <v>761</v>
          </cell>
          <cell r="F4105" t="str">
            <v>D3P-730</v>
          </cell>
          <cell r="G4105" t="str">
            <v>TBM-980</v>
          </cell>
          <cell r="H4105" t="str">
            <v>LAS BAMBAS</v>
          </cell>
          <cell r="I4105">
            <v>109127</v>
          </cell>
          <cell r="J4105" t="str">
            <v>REPUESTO</v>
          </cell>
          <cell r="K4105" t="str">
            <v>DISCO DE TEFLON</v>
          </cell>
          <cell r="L4105">
            <v>1</v>
          </cell>
          <cell r="M4105" t="str">
            <v>UNID.</v>
          </cell>
          <cell r="N4105" t="str">
            <v>CISTERNA</v>
          </cell>
          <cell r="O4105">
            <v>43</v>
          </cell>
          <cell r="P4105" t="str">
            <v>S1</v>
          </cell>
          <cell r="Q4105" t="str">
            <v>J1</v>
          </cell>
          <cell r="R4105" t="str">
            <v>J6</v>
          </cell>
          <cell r="S4105" t="str">
            <v>PENDIENTE</v>
          </cell>
          <cell r="T4105">
            <v>0</v>
          </cell>
          <cell r="U4105" t="str">
            <v>BAYONA CRUZ CRISTIAN ARMANDO</v>
          </cell>
          <cell r="V4105" t="str">
            <v>FLOREZ CONDORI  JOSE WILLIANS</v>
          </cell>
        </row>
        <row r="4106">
          <cell r="A4106">
            <v>4093</v>
          </cell>
          <cell r="B4106">
            <v>42747</v>
          </cell>
          <cell r="C4106" t="str">
            <v>ENERO</v>
          </cell>
          <cell r="D4106" t="str">
            <v>2017</v>
          </cell>
          <cell r="E4106">
            <v>761</v>
          </cell>
          <cell r="F4106" t="str">
            <v>D3P-730</v>
          </cell>
          <cell r="G4106" t="str">
            <v>TBM-980</v>
          </cell>
          <cell r="H4106" t="str">
            <v>LAS BAMBAS</v>
          </cell>
          <cell r="I4106">
            <v>109127</v>
          </cell>
          <cell r="J4106" t="str">
            <v>REPUESTO</v>
          </cell>
          <cell r="K4106" t="str">
            <v>SEGURO DE TORNAMESA</v>
          </cell>
          <cell r="L4106">
            <v>1</v>
          </cell>
          <cell r="M4106" t="str">
            <v>UNID.</v>
          </cell>
          <cell r="N4106" t="str">
            <v>CISTERNA</v>
          </cell>
          <cell r="O4106">
            <v>43</v>
          </cell>
          <cell r="P4106" t="str">
            <v>S1</v>
          </cell>
          <cell r="Q4106" t="str">
            <v>J1</v>
          </cell>
          <cell r="R4106" t="str">
            <v>J6</v>
          </cell>
          <cell r="S4106" t="str">
            <v>PENDIENTE</v>
          </cell>
          <cell r="T4106">
            <v>0</v>
          </cell>
          <cell r="U4106" t="str">
            <v>BAYONA CRUZ CRISTIAN ARMANDO</v>
          </cell>
          <cell r="V4106" t="str">
            <v>FLOREZ CONDORI  JOSE WILLIANS</v>
          </cell>
        </row>
        <row r="4107">
          <cell r="A4107">
            <v>4094</v>
          </cell>
          <cell r="B4107">
            <v>42747</v>
          </cell>
          <cell r="C4107" t="str">
            <v>ENERO</v>
          </cell>
          <cell r="D4107" t="str">
            <v>2017</v>
          </cell>
          <cell r="E4107">
            <v>761</v>
          </cell>
          <cell r="F4107" t="str">
            <v>D3P-730</v>
          </cell>
          <cell r="G4107" t="str">
            <v>TBM-980</v>
          </cell>
          <cell r="H4107" t="str">
            <v>LAS BAMBAS</v>
          </cell>
          <cell r="I4107">
            <v>109127</v>
          </cell>
          <cell r="J4107" t="str">
            <v>REPUESTO</v>
          </cell>
          <cell r="K4107" t="str">
            <v>PERNO 5/16 X 3/4</v>
          </cell>
          <cell r="L4107">
            <v>1</v>
          </cell>
          <cell r="M4107" t="str">
            <v>UNID.</v>
          </cell>
          <cell r="N4107" t="str">
            <v>CISTERNA</v>
          </cell>
          <cell r="O4107">
            <v>43</v>
          </cell>
          <cell r="P4107" t="str">
            <v>S1</v>
          </cell>
          <cell r="Q4107" t="str">
            <v>J1</v>
          </cell>
          <cell r="R4107" t="str">
            <v>J6</v>
          </cell>
          <cell r="S4107" t="str">
            <v>PENDIENTE</v>
          </cell>
          <cell r="T4107">
            <v>0</v>
          </cell>
          <cell r="U4107" t="str">
            <v>BAYONA CRUZ CRISTIAN ARMANDO</v>
          </cell>
          <cell r="V4107" t="str">
            <v>FLOREZ CONDORI  JOSE WILLIANS</v>
          </cell>
        </row>
        <row r="4108">
          <cell r="A4108">
            <v>4118</v>
          </cell>
          <cell r="B4108">
            <v>42747</v>
          </cell>
          <cell r="C4108" t="str">
            <v>ENERO</v>
          </cell>
          <cell r="D4108" t="str">
            <v>2017</v>
          </cell>
          <cell r="E4108">
            <v>820</v>
          </cell>
          <cell r="F4108" t="str">
            <v>D3P-730</v>
          </cell>
          <cell r="G4108" t="str">
            <v>TBM-980</v>
          </cell>
          <cell r="H4108" t="str">
            <v>LAS BAMBAS</v>
          </cell>
          <cell r="I4108">
            <v>109224</v>
          </cell>
          <cell r="J4108" t="str">
            <v>REPUESTO</v>
          </cell>
          <cell r="K4108" t="str">
            <v>LIQUIDO LIMPIAPARABRISAS</v>
          </cell>
          <cell r="L4108">
            <v>1</v>
          </cell>
          <cell r="M4108" t="str">
            <v>GLNS.</v>
          </cell>
          <cell r="N4108" t="str">
            <v>TRACTO</v>
          </cell>
          <cell r="O4108">
            <v>43</v>
          </cell>
          <cell r="P4108" t="str">
            <v>M8</v>
          </cell>
          <cell r="Q4108" t="str">
            <v>J1</v>
          </cell>
          <cell r="R4108" t="str">
            <v>J6</v>
          </cell>
          <cell r="S4108" t="str">
            <v>PENDIENTE</v>
          </cell>
          <cell r="T4108">
            <v>0</v>
          </cell>
          <cell r="U4108" t="str">
            <v>VARILLAS GAGO  OSCAR ALBERTO</v>
          </cell>
          <cell r="V4108" t="str">
            <v>FLOREZ CONDORI  JOSE WILLIANS</v>
          </cell>
        </row>
        <row r="4109">
          <cell r="A4109">
            <v>4113</v>
          </cell>
          <cell r="B4109">
            <v>42747</v>
          </cell>
          <cell r="C4109" t="str">
            <v>ENERO</v>
          </cell>
          <cell r="D4109" t="str">
            <v>2017</v>
          </cell>
          <cell r="E4109">
            <v>808</v>
          </cell>
          <cell r="F4109" t="str">
            <v>D3P-743</v>
          </cell>
          <cell r="G4109" t="str">
            <v>B8L-972</v>
          </cell>
          <cell r="H4109" t="str">
            <v>LAS BAMBAS</v>
          </cell>
          <cell r="I4109">
            <v>188419</v>
          </cell>
          <cell r="J4109" t="str">
            <v>SERVICIO</v>
          </cell>
          <cell r="K4109" t="str">
            <v>SERVICIO DE COMPRA Y DOBLEZ DE METAL PARA 3 PIEZAS</v>
          </cell>
          <cell r="L4109">
            <v>1</v>
          </cell>
          <cell r="M4109" t="str">
            <v>UNID.</v>
          </cell>
          <cell r="N4109" t="str">
            <v>CISTERNA</v>
          </cell>
          <cell r="O4109">
            <v>43</v>
          </cell>
          <cell r="P4109" t="str">
            <v>S1</v>
          </cell>
          <cell r="Q4109" t="str">
            <v>J1</v>
          </cell>
          <cell r="R4109" t="str">
            <v>J6</v>
          </cell>
          <cell r="S4109" t="str">
            <v>PENDIENTE</v>
          </cell>
          <cell r="T4109">
            <v>0</v>
          </cell>
          <cell r="U4109" t="str">
            <v>BAYONA CRUZ CRISTIAN ARMANDO</v>
          </cell>
          <cell r="V4109" t="str">
            <v>FLOREZ CONDORI  JOSE WILLIANS</v>
          </cell>
        </row>
        <row r="4110">
          <cell r="A4110">
            <v>4081</v>
          </cell>
          <cell r="B4110">
            <v>42747</v>
          </cell>
          <cell r="C4110" t="str">
            <v>ENERO</v>
          </cell>
          <cell r="D4110" t="str">
            <v>2017</v>
          </cell>
          <cell r="E4110">
            <v>202</v>
          </cell>
          <cell r="F4110" t="str">
            <v>D3P-752</v>
          </cell>
          <cell r="G4110" t="str">
            <v>C5Y-985</v>
          </cell>
          <cell r="H4110" t="str">
            <v>LAS BAMBAS</v>
          </cell>
          <cell r="I4110">
            <v>150504</v>
          </cell>
          <cell r="J4110" t="str">
            <v>REPUESTO</v>
          </cell>
          <cell r="K4110" t="str">
            <v>PERNOS 5/16 X 1</v>
          </cell>
          <cell r="L4110">
            <v>2</v>
          </cell>
          <cell r="M4110" t="str">
            <v>UNID.</v>
          </cell>
          <cell r="N4110" t="str">
            <v>TRACTO</v>
          </cell>
          <cell r="O4110">
            <v>43</v>
          </cell>
          <cell r="P4110" t="str">
            <v>M2</v>
          </cell>
          <cell r="Q4110" t="str">
            <v>J1</v>
          </cell>
          <cell r="R4110" t="str">
            <v>J6</v>
          </cell>
          <cell r="S4110" t="str">
            <v>PENDIENTE</v>
          </cell>
          <cell r="T4110">
            <v>0</v>
          </cell>
          <cell r="U4110" t="str">
            <v>CHUMPITAZ GAGO JULIO ENRIQUE</v>
          </cell>
          <cell r="V4110" t="str">
            <v>FLOREZ CONDORI  JOSE WILLIANS</v>
          </cell>
        </row>
        <row r="4111">
          <cell r="A4111">
            <v>4082</v>
          </cell>
          <cell r="B4111">
            <v>42747</v>
          </cell>
          <cell r="C4111" t="str">
            <v>ENERO</v>
          </cell>
          <cell r="D4111" t="str">
            <v>2017</v>
          </cell>
          <cell r="E4111">
            <v>202</v>
          </cell>
          <cell r="F4111" t="str">
            <v>D3P-752</v>
          </cell>
          <cell r="G4111" t="str">
            <v>C5Y-985</v>
          </cell>
          <cell r="H4111" t="str">
            <v>LAS BAMBAS</v>
          </cell>
          <cell r="I4111">
            <v>150504</v>
          </cell>
          <cell r="J4111" t="str">
            <v>REPUESTO</v>
          </cell>
          <cell r="K4111" t="str">
            <v>ARANDELA PLANA</v>
          </cell>
          <cell r="L4111">
            <v>4</v>
          </cell>
          <cell r="M4111" t="str">
            <v>UNID.</v>
          </cell>
          <cell r="N4111" t="str">
            <v>TRACTO</v>
          </cell>
          <cell r="O4111">
            <v>43</v>
          </cell>
          <cell r="P4111" t="str">
            <v>M2</v>
          </cell>
          <cell r="Q4111" t="str">
            <v>J1</v>
          </cell>
          <cell r="R4111" t="str">
            <v>J6</v>
          </cell>
          <cell r="S4111" t="str">
            <v>PENDIENTE</v>
          </cell>
          <cell r="T4111">
            <v>0</v>
          </cell>
          <cell r="U4111" t="str">
            <v>CHUMPITAZ GAGO JULIO ENRIQUE</v>
          </cell>
          <cell r="V4111" t="str">
            <v>FLOREZ CONDORI  JOSE WILLIANS</v>
          </cell>
        </row>
        <row r="4112">
          <cell r="A4112">
            <v>4083</v>
          </cell>
          <cell r="B4112">
            <v>42747</v>
          </cell>
          <cell r="C4112" t="str">
            <v>ENERO</v>
          </cell>
          <cell r="D4112" t="str">
            <v>2017</v>
          </cell>
          <cell r="E4112">
            <v>202</v>
          </cell>
          <cell r="F4112" t="str">
            <v>D3P-752</v>
          </cell>
          <cell r="G4112" t="str">
            <v>C5Y-985</v>
          </cell>
          <cell r="H4112" t="str">
            <v>LAS BAMBAS</v>
          </cell>
          <cell r="I4112">
            <v>150504</v>
          </cell>
          <cell r="J4112" t="str">
            <v>REPUESTO</v>
          </cell>
          <cell r="K4112" t="str">
            <v>TUERCA PRESION</v>
          </cell>
          <cell r="L4112">
            <v>2</v>
          </cell>
          <cell r="M4112" t="str">
            <v>UNID.</v>
          </cell>
          <cell r="N4112" t="str">
            <v>TRACTO</v>
          </cell>
          <cell r="O4112">
            <v>43</v>
          </cell>
          <cell r="P4112" t="str">
            <v>M2</v>
          </cell>
          <cell r="Q4112" t="str">
            <v>J1</v>
          </cell>
          <cell r="R4112" t="str">
            <v>J6</v>
          </cell>
          <cell r="S4112" t="str">
            <v>PENDIENTE</v>
          </cell>
          <cell r="T4112">
            <v>0</v>
          </cell>
          <cell r="U4112" t="str">
            <v>CHUMPITAZ GAGO JULIO ENRIQUE</v>
          </cell>
          <cell r="V4112" t="str">
            <v>FLOREZ CONDORI  JOSE WILLIANS</v>
          </cell>
        </row>
        <row r="4113">
          <cell r="A4113">
            <v>4087</v>
          </cell>
          <cell r="B4113">
            <v>42747</v>
          </cell>
          <cell r="C4113" t="str">
            <v>ENERO</v>
          </cell>
          <cell r="D4113" t="str">
            <v>2017</v>
          </cell>
          <cell r="E4113">
            <v>816</v>
          </cell>
          <cell r="F4113" t="str">
            <v>D3S-767</v>
          </cell>
          <cell r="G4113" t="str">
            <v>B8L-973</v>
          </cell>
          <cell r="H4113" t="str">
            <v>LAS BAMBAS</v>
          </cell>
          <cell r="I4113">
            <v>189496</v>
          </cell>
          <cell r="J4113" t="str">
            <v>REPUESTO</v>
          </cell>
          <cell r="K4113" t="str">
            <v>VALVULA INTERLOOK</v>
          </cell>
          <cell r="L4113">
            <v>1</v>
          </cell>
          <cell r="M4113" t="str">
            <v>UNID.</v>
          </cell>
          <cell r="N4113" t="str">
            <v>CISTERNA</v>
          </cell>
          <cell r="O4113">
            <v>43</v>
          </cell>
          <cell r="P4113" t="str">
            <v>M8</v>
          </cell>
          <cell r="Q4113" t="str">
            <v>J1</v>
          </cell>
          <cell r="R4113" t="str">
            <v>J6</v>
          </cell>
          <cell r="S4113" t="str">
            <v>PENDIENTE</v>
          </cell>
          <cell r="T4113">
            <v>0</v>
          </cell>
          <cell r="U4113" t="str">
            <v>VARILLAS GAGO  OSCAR ALBERTO</v>
          </cell>
          <cell r="V4113" t="str">
            <v>FLOREZ CONDORI  JOSE WILLIANS</v>
          </cell>
        </row>
        <row r="4114">
          <cell r="A4114">
            <v>4098</v>
          </cell>
          <cell r="B4114">
            <v>42747</v>
          </cell>
          <cell r="C4114" t="str">
            <v>ENERO</v>
          </cell>
          <cell r="D4114" t="str">
            <v>2017</v>
          </cell>
          <cell r="E4114">
            <v>813</v>
          </cell>
          <cell r="F4114" t="str">
            <v>D6F-825</v>
          </cell>
          <cell r="G4114" t="str">
            <v>T2Y-992</v>
          </cell>
          <cell r="H4114" t="str">
            <v>LAS BAMBAS</v>
          </cell>
          <cell r="I4114">
            <v>190464</v>
          </cell>
          <cell r="J4114" t="str">
            <v>REPUESTO</v>
          </cell>
          <cell r="K4114" t="str">
            <v>BOCINA DE PALANCA DE ARTICULACION DE TERMINAL</v>
          </cell>
          <cell r="L4114">
            <v>1</v>
          </cell>
          <cell r="M4114" t="str">
            <v>UNID.</v>
          </cell>
          <cell r="N4114" t="str">
            <v>TRACTO</v>
          </cell>
          <cell r="O4114">
            <v>43</v>
          </cell>
          <cell r="P4114" t="str">
            <v>M5</v>
          </cell>
          <cell r="Q4114" t="str">
            <v>J1</v>
          </cell>
          <cell r="R4114" t="str">
            <v>J6</v>
          </cell>
          <cell r="S4114" t="str">
            <v>PENDIENTE</v>
          </cell>
          <cell r="T4114">
            <v>0</v>
          </cell>
          <cell r="U4114" t="str">
            <v>LOPEZ RUIZ WILBERTO</v>
          </cell>
          <cell r="V4114" t="str">
            <v>FLOREZ CONDORI  JOSE WILLIANS</v>
          </cell>
        </row>
        <row r="4115">
          <cell r="A4115">
            <v>4099</v>
          </cell>
          <cell r="B4115">
            <v>42747</v>
          </cell>
          <cell r="C4115" t="str">
            <v>ENERO</v>
          </cell>
          <cell r="D4115" t="str">
            <v>2017</v>
          </cell>
          <cell r="E4115">
            <v>813</v>
          </cell>
          <cell r="F4115" t="str">
            <v>D6F-825</v>
          </cell>
          <cell r="G4115" t="str">
            <v>T2Y-992</v>
          </cell>
          <cell r="H4115" t="str">
            <v>LAS BAMBAS</v>
          </cell>
          <cell r="I4115">
            <v>190464</v>
          </cell>
          <cell r="J4115" t="str">
            <v>REPUESTO</v>
          </cell>
          <cell r="K4115" t="str">
            <v>LIQUIDO LIMPIAPARABRISAS</v>
          </cell>
          <cell r="L4115">
            <v>1</v>
          </cell>
          <cell r="M4115" t="str">
            <v>GLNS.</v>
          </cell>
          <cell r="N4115" t="str">
            <v>TRACTO</v>
          </cell>
          <cell r="O4115">
            <v>43</v>
          </cell>
          <cell r="P4115" t="str">
            <v>M5</v>
          </cell>
          <cell r="Q4115" t="str">
            <v>J1</v>
          </cell>
          <cell r="R4115" t="str">
            <v>J6</v>
          </cell>
          <cell r="S4115" t="str">
            <v>PENDIENTE</v>
          </cell>
          <cell r="T4115">
            <v>0</v>
          </cell>
          <cell r="U4115" t="str">
            <v>LOPEZ RUIZ WILBERTO</v>
          </cell>
          <cell r="V4115" t="str">
            <v>FLOREZ CONDORI  JOSE WILLIANS</v>
          </cell>
        </row>
        <row r="4116">
          <cell r="A4116">
            <v>4112</v>
          </cell>
          <cell r="B4116">
            <v>42747</v>
          </cell>
          <cell r="C4116" t="str">
            <v>ENERO</v>
          </cell>
          <cell r="D4116" t="str">
            <v>2017</v>
          </cell>
          <cell r="E4116">
            <v>200</v>
          </cell>
          <cell r="F4116" t="str">
            <v>TALLER</v>
          </cell>
          <cell r="G4116" t="str">
            <v>TALLER</v>
          </cell>
          <cell r="H4116" t="str">
            <v>TALLER</v>
          </cell>
          <cell r="I4116" t="str">
            <v>TALLER</v>
          </cell>
          <cell r="J4116" t="str">
            <v>REPUESTO</v>
          </cell>
          <cell r="K4116" t="str">
            <v>MALETA PORTA HERRAMIENTAS METALICO</v>
          </cell>
          <cell r="L4116">
            <v>1</v>
          </cell>
          <cell r="M4116" t="str">
            <v>UNID.</v>
          </cell>
          <cell r="N4116" t="str">
            <v>TALLER</v>
          </cell>
          <cell r="O4116">
            <v>43</v>
          </cell>
          <cell r="P4116" t="str">
            <v>M4</v>
          </cell>
          <cell r="Q4116" t="str">
            <v>J1</v>
          </cell>
          <cell r="R4116" t="str">
            <v>J6</v>
          </cell>
          <cell r="S4116" t="str">
            <v>PENDIENTE</v>
          </cell>
          <cell r="T4116">
            <v>0</v>
          </cell>
          <cell r="U4116" t="str">
            <v>JULLIRI APAZA UBALDO</v>
          </cell>
          <cell r="V4116" t="str">
            <v>FLOREZ CONDORI  JOSE WILLIANS</v>
          </cell>
        </row>
        <row r="4117">
          <cell r="A4117">
            <v>4095</v>
          </cell>
          <cell r="B4117">
            <v>42747</v>
          </cell>
          <cell r="C4117" t="str">
            <v>ENERO</v>
          </cell>
          <cell r="D4117" t="str">
            <v>2017</v>
          </cell>
          <cell r="E4117">
            <v>818</v>
          </cell>
          <cell r="F4117" t="str">
            <v>X2W-763</v>
          </cell>
          <cell r="G4117" t="str">
            <v>C5V-997</v>
          </cell>
          <cell r="H4117" t="str">
            <v>LAS BAMBAS</v>
          </cell>
          <cell r="I4117">
            <v>160313</v>
          </cell>
          <cell r="J4117" t="str">
            <v>REPUESTO</v>
          </cell>
          <cell r="K4117" t="str">
            <v>LIQUIDO LIMPIAPARABRISAS</v>
          </cell>
          <cell r="L4117">
            <v>1</v>
          </cell>
          <cell r="M4117" t="str">
            <v>GLNS.</v>
          </cell>
          <cell r="N4117" t="str">
            <v>TRACTO</v>
          </cell>
          <cell r="O4117">
            <v>43</v>
          </cell>
          <cell r="P4117" t="str">
            <v>J1</v>
          </cell>
          <cell r="Q4117" t="str">
            <v>J1</v>
          </cell>
          <cell r="R4117" t="str">
            <v>J6</v>
          </cell>
          <cell r="S4117" t="str">
            <v>PENDIENTE</v>
          </cell>
          <cell r="T4117">
            <v>0</v>
          </cell>
          <cell r="U4117" t="str">
            <v>FLOREZ CONDORI  JOSE WILLIANS</v>
          </cell>
          <cell r="V4117" t="str">
            <v>FLOREZ CONDORI  JOSE WILLIANS</v>
          </cell>
        </row>
        <row r="4118">
          <cell r="A4118">
            <v>4096</v>
          </cell>
          <cell r="B4118">
            <v>42747</v>
          </cell>
          <cell r="C4118" t="str">
            <v>ENERO</v>
          </cell>
          <cell r="D4118" t="str">
            <v>2017</v>
          </cell>
          <cell r="E4118">
            <v>818</v>
          </cell>
          <cell r="F4118" t="str">
            <v>X2W-763</v>
          </cell>
          <cell r="G4118" t="str">
            <v>C5V-997</v>
          </cell>
          <cell r="H4118" t="str">
            <v>LAS BAMBAS</v>
          </cell>
          <cell r="I4118">
            <v>160313</v>
          </cell>
          <cell r="J4118" t="str">
            <v>REPUESTO</v>
          </cell>
          <cell r="K4118" t="str">
            <v>FARO NEBLINERO AAA</v>
          </cell>
          <cell r="L4118">
            <v>1</v>
          </cell>
          <cell r="M4118" t="str">
            <v>UNID.</v>
          </cell>
          <cell r="N4118" t="str">
            <v>TRACTO</v>
          </cell>
          <cell r="O4118">
            <v>43</v>
          </cell>
          <cell r="P4118" t="str">
            <v>E2</v>
          </cell>
          <cell r="Q4118" t="str">
            <v>J1</v>
          </cell>
          <cell r="R4118" t="str">
            <v>J6</v>
          </cell>
          <cell r="S4118" t="str">
            <v>PENDIENTE</v>
          </cell>
          <cell r="T4118">
            <v>0</v>
          </cell>
          <cell r="U4118" t="str">
            <v>YUCA BELLIDO BORIS YERSY</v>
          </cell>
          <cell r="V4118" t="str">
            <v>FLOREZ CONDORI  JOSE WILLIANS</v>
          </cell>
        </row>
        <row r="4119">
          <cell r="A4119">
            <v>4097</v>
          </cell>
          <cell r="B4119">
            <v>42747</v>
          </cell>
          <cell r="C4119" t="str">
            <v>ENERO</v>
          </cell>
          <cell r="D4119" t="str">
            <v>2017</v>
          </cell>
          <cell r="E4119">
            <v>818</v>
          </cell>
          <cell r="F4119" t="str">
            <v>X2W-763</v>
          </cell>
          <cell r="G4119" t="str">
            <v>C5V-997</v>
          </cell>
          <cell r="H4119" t="str">
            <v>LAS BAMBAS</v>
          </cell>
          <cell r="I4119">
            <v>160313</v>
          </cell>
          <cell r="J4119" t="str">
            <v>REPUESTO</v>
          </cell>
          <cell r="K4119" t="str">
            <v>CINTA NEGRA AISLANTE</v>
          </cell>
          <cell r="L4119">
            <v>1</v>
          </cell>
          <cell r="M4119" t="str">
            <v>UNID.</v>
          </cell>
          <cell r="N4119" t="str">
            <v>TRACTO</v>
          </cell>
          <cell r="O4119">
            <v>43</v>
          </cell>
          <cell r="P4119" t="str">
            <v>E2</v>
          </cell>
          <cell r="Q4119" t="str">
            <v>J1</v>
          </cell>
          <cell r="R4119" t="str">
            <v>J6</v>
          </cell>
          <cell r="S4119" t="str">
            <v>PENDIENTE</v>
          </cell>
          <cell r="T4119">
            <v>0</v>
          </cell>
          <cell r="U4119" t="str">
            <v>YUCA BELLIDO BORIS YERSY</v>
          </cell>
          <cell r="V4119" t="str">
            <v>FLOREZ CONDORI  JOSE WILLIANS</v>
          </cell>
        </row>
        <row r="4120">
          <cell r="A4120">
            <v>4120</v>
          </cell>
          <cell r="B4120">
            <v>42748</v>
          </cell>
          <cell r="C4120" t="str">
            <v>ENERO</v>
          </cell>
          <cell r="D4120" t="str">
            <v>2017</v>
          </cell>
          <cell r="E4120">
            <v>798</v>
          </cell>
          <cell r="F4120" t="str">
            <v>ABP-729</v>
          </cell>
          <cell r="G4120" t="str">
            <v>D8K-985</v>
          </cell>
          <cell r="H4120" t="str">
            <v>LAS BAMBAS</v>
          </cell>
          <cell r="I4120">
            <v>115370</v>
          </cell>
          <cell r="J4120" t="str">
            <v>REPUESTO</v>
          </cell>
          <cell r="K4120" t="str">
            <v>FAROS NEBLINEROS</v>
          </cell>
          <cell r="L4120">
            <v>2</v>
          </cell>
          <cell r="M4120" t="str">
            <v>UNID.</v>
          </cell>
          <cell r="N4120" t="str">
            <v>TRACTO</v>
          </cell>
          <cell r="O4120">
            <v>42</v>
          </cell>
          <cell r="P4120" t="str">
            <v>J1</v>
          </cell>
          <cell r="Q4120" t="str">
            <v>J1</v>
          </cell>
          <cell r="R4120" t="str">
            <v>J6</v>
          </cell>
          <cell r="S4120" t="str">
            <v>PENDIENTE</v>
          </cell>
          <cell r="T4120">
            <v>0</v>
          </cell>
          <cell r="U4120" t="str">
            <v>FLOREZ CONDORI  JOSE WILLIANS</v>
          </cell>
          <cell r="V4120" t="str">
            <v>FLOREZ CONDORI  JOSE WILLIANS</v>
          </cell>
        </row>
        <row r="4121">
          <cell r="A4121">
            <v>4136</v>
          </cell>
          <cell r="B4121">
            <v>42748</v>
          </cell>
          <cell r="C4121" t="str">
            <v>ENERO</v>
          </cell>
          <cell r="D4121" t="str">
            <v>2017</v>
          </cell>
          <cell r="E4121">
            <v>822</v>
          </cell>
          <cell r="F4121" t="str">
            <v>AMV-781</v>
          </cell>
          <cell r="G4121" t="str">
            <v>CAMIONETA</v>
          </cell>
          <cell r="H4121" t="str">
            <v>LAS BAMBAS</v>
          </cell>
          <cell r="I4121">
            <v>32204</v>
          </cell>
          <cell r="J4121" t="str">
            <v>REPUESTO</v>
          </cell>
          <cell r="K4121" t="str">
            <v>FILTRO DE ACEITE</v>
          </cell>
          <cell r="L4121">
            <v>1</v>
          </cell>
          <cell r="M4121" t="str">
            <v>UNID.</v>
          </cell>
          <cell r="N4121" t="str">
            <v>CAMIONETA</v>
          </cell>
          <cell r="O4121">
            <v>42</v>
          </cell>
          <cell r="P4121" t="str">
            <v>J1</v>
          </cell>
          <cell r="Q4121" t="str">
            <v>J1</v>
          </cell>
          <cell r="R4121" t="str">
            <v>J5</v>
          </cell>
          <cell r="S4121" t="str">
            <v>PENDIENTE</v>
          </cell>
          <cell r="T4121">
            <v>0</v>
          </cell>
          <cell r="U4121" t="str">
            <v>FLOREZ CONDORI  JOSE WILLIANS</v>
          </cell>
          <cell r="V4121" t="str">
            <v>FLOREZ CONDORI  JOSE WILLIANS</v>
          </cell>
        </row>
        <row r="4122">
          <cell r="A4122">
            <v>4137</v>
          </cell>
          <cell r="B4122">
            <v>42748</v>
          </cell>
          <cell r="C4122" t="str">
            <v>ENERO</v>
          </cell>
          <cell r="D4122" t="str">
            <v>2017</v>
          </cell>
          <cell r="E4122">
            <v>822</v>
          </cell>
          <cell r="F4122" t="str">
            <v>AMV-781</v>
          </cell>
          <cell r="G4122" t="str">
            <v>CAMIONETA</v>
          </cell>
          <cell r="H4122" t="str">
            <v>LAS BAMBAS</v>
          </cell>
          <cell r="I4122">
            <v>32204</v>
          </cell>
          <cell r="J4122" t="str">
            <v>REPUESTO</v>
          </cell>
          <cell r="K4122" t="str">
            <v>FILTRO DE COMBUSTIBLE</v>
          </cell>
          <cell r="L4122">
            <v>1</v>
          </cell>
          <cell r="M4122" t="str">
            <v>UNID.</v>
          </cell>
          <cell r="N4122" t="str">
            <v>CAMIONETA</v>
          </cell>
          <cell r="O4122">
            <v>42</v>
          </cell>
          <cell r="P4122" t="str">
            <v>J1</v>
          </cell>
          <cell r="Q4122" t="str">
            <v>J1</v>
          </cell>
          <cell r="R4122" t="str">
            <v>J5</v>
          </cell>
          <cell r="S4122" t="str">
            <v>PENDIENTE</v>
          </cell>
          <cell r="T4122">
            <v>0</v>
          </cell>
          <cell r="U4122" t="str">
            <v>FLOREZ CONDORI  JOSE WILLIANS</v>
          </cell>
          <cell r="V4122" t="str">
            <v>FLOREZ CONDORI  JOSE WILLIANS</v>
          </cell>
        </row>
        <row r="4123">
          <cell r="A4123">
            <v>4138</v>
          </cell>
          <cell r="B4123">
            <v>42748</v>
          </cell>
          <cell r="C4123" t="str">
            <v>ENERO</v>
          </cell>
          <cell r="D4123" t="str">
            <v>2017</v>
          </cell>
          <cell r="E4123">
            <v>822</v>
          </cell>
          <cell r="F4123" t="str">
            <v>AMV-781</v>
          </cell>
          <cell r="G4123" t="str">
            <v>CAMIONETA</v>
          </cell>
          <cell r="H4123" t="str">
            <v>LAS BAMBAS</v>
          </cell>
          <cell r="I4123">
            <v>32204</v>
          </cell>
          <cell r="J4123" t="str">
            <v>REPUESTO</v>
          </cell>
          <cell r="K4123" t="str">
            <v>FILTRO DE AIRE</v>
          </cell>
          <cell r="L4123">
            <v>1</v>
          </cell>
          <cell r="M4123" t="str">
            <v>UNID.</v>
          </cell>
          <cell r="N4123" t="str">
            <v>CAMIONETA</v>
          </cell>
          <cell r="O4123">
            <v>42</v>
          </cell>
          <cell r="P4123" t="str">
            <v>J1</v>
          </cell>
          <cell r="Q4123" t="str">
            <v>J1</v>
          </cell>
          <cell r="R4123" t="str">
            <v>J5</v>
          </cell>
          <cell r="S4123" t="str">
            <v>PENDIENTE</v>
          </cell>
          <cell r="T4123">
            <v>0</v>
          </cell>
          <cell r="U4123" t="str">
            <v>FLOREZ CONDORI  JOSE WILLIANS</v>
          </cell>
          <cell r="V4123" t="str">
            <v>FLOREZ CONDORI  JOSE WILLIANS</v>
          </cell>
        </row>
        <row r="4124">
          <cell r="A4124">
            <v>4139</v>
          </cell>
          <cell r="B4124">
            <v>42748</v>
          </cell>
          <cell r="C4124" t="str">
            <v>ENERO</v>
          </cell>
          <cell r="D4124" t="str">
            <v>2017</v>
          </cell>
          <cell r="E4124">
            <v>822</v>
          </cell>
          <cell r="F4124" t="str">
            <v>AMV-781</v>
          </cell>
          <cell r="G4124" t="str">
            <v>CAMIONETA</v>
          </cell>
          <cell r="H4124" t="str">
            <v>LAS BAMBAS</v>
          </cell>
          <cell r="I4124">
            <v>32204</v>
          </cell>
          <cell r="J4124" t="str">
            <v>REPUESTO</v>
          </cell>
          <cell r="K4124" t="str">
            <v>ACEITE 15W40</v>
          </cell>
          <cell r="L4124">
            <v>2</v>
          </cell>
          <cell r="M4124" t="str">
            <v>GLNS.</v>
          </cell>
          <cell r="N4124" t="str">
            <v>CAMIONETA</v>
          </cell>
          <cell r="O4124">
            <v>42</v>
          </cell>
          <cell r="P4124" t="str">
            <v>J1</v>
          </cell>
          <cell r="Q4124" t="str">
            <v>J1</v>
          </cell>
          <cell r="R4124" t="str">
            <v>J5</v>
          </cell>
          <cell r="S4124" t="str">
            <v>PENDIENTE</v>
          </cell>
          <cell r="T4124">
            <v>0</v>
          </cell>
          <cell r="U4124" t="str">
            <v>FLOREZ CONDORI  JOSE WILLIANS</v>
          </cell>
          <cell r="V4124" t="str">
            <v>FLOREZ CONDORI  JOSE WILLIANS</v>
          </cell>
        </row>
        <row r="4125">
          <cell r="A4125">
            <v>4142</v>
          </cell>
          <cell r="B4125">
            <v>42748</v>
          </cell>
          <cell r="C4125" t="str">
            <v>ENERO</v>
          </cell>
          <cell r="D4125" t="str">
            <v>2017</v>
          </cell>
          <cell r="E4125">
            <v>822</v>
          </cell>
          <cell r="F4125" t="str">
            <v>AMV-781</v>
          </cell>
          <cell r="G4125" t="str">
            <v>CAMIONETA</v>
          </cell>
          <cell r="H4125" t="str">
            <v>LAS BAMBAS</v>
          </cell>
          <cell r="I4125">
            <v>32204</v>
          </cell>
          <cell r="J4125" t="str">
            <v>REPUESTO</v>
          </cell>
          <cell r="K4125" t="str">
            <v>BISAGRA</v>
          </cell>
          <cell r="L4125">
            <v>1</v>
          </cell>
          <cell r="M4125" t="str">
            <v>UNID.</v>
          </cell>
          <cell r="N4125" t="str">
            <v>CAMIONETA</v>
          </cell>
          <cell r="O4125">
            <v>42</v>
          </cell>
          <cell r="P4125" t="str">
            <v>J7</v>
          </cell>
          <cell r="Q4125" t="str">
            <v>J7</v>
          </cell>
          <cell r="R4125" t="str">
            <v>J5</v>
          </cell>
          <cell r="S4125" t="str">
            <v>PENDIENTE</v>
          </cell>
          <cell r="T4125">
            <v>0</v>
          </cell>
          <cell r="U4125" t="str">
            <v>DONAYRE INGA PEDRO</v>
          </cell>
          <cell r="V4125" t="str">
            <v>DONAYRE INGA PEDRO</v>
          </cell>
        </row>
        <row r="4126">
          <cell r="A4126">
            <v>4119</v>
          </cell>
          <cell r="B4126">
            <v>42748</v>
          </cell>
          <cell r="C4126" t="str">
            <v>ENERO</v>
          </cell>
          <cell r="D4126" t="str">
            <v>2017</v>
          </cell>
          <cell r="E4126">
            <v>819</v>
          </cell>
          <cell r="F4126" t="str">
            <v>C4G-751</v>
          </cell>
          <cell r="G4126" t="str">
            <v>CAMIONETA</v>
          </cell>
          <cell r="H4126" t="str">
            <v>LAS BAMBAS</v>
          </cell>
          <cell r="I4126">
            <v>120524</v>
          </cell>
          <cell r="J4126" t="str">
            <v>REPUESTO</v>
          </cell>
          <cell r="K4126" t="str">
            <v>ESPARRAGOS PARA CAMIONETAS CON TUERCA</v>
          </cell>
          <cell r="L4126">
            <v>8</v>
          </cell>
          <cell r="M4126" t="str">
            <v>UNID.</v>
          </cell>
          <cell r="N4126" t="str">
            <v>CAMIONETA</v>
          </cell>
          <cell r="O4126">
            <v>42</v>
          </cell>
          <cell r="P4126" t="str">
            <v>M6</v>
          </cell>
          <cell r="Q4126" t="str">
            <v>J1</v>
          </cell>
          <cell r="R4126" t="str">
            <v>J6</v>
          </cell>
          <cell r="S4126" t="str">
            <v>PENDIENTE</v>
          </cell>
          <cell r="T4126">
            <v>0</v>
          </cell>
          <cell r="U4126" t="str">
            <v>PARI VENTURA  EDSON ORLANDO</v>
          </cell>
          <cell r="V4126" t="str">
            <v>FLOREZ CONDORI  JOSE WILLIANS</v>
          </cell>
        </row>
        <row r="4127">
          <cell r="A4127">
            <v>4140</v>
          </cell>
          <cell r="B4127">
            <v>42748</v>
          </cell>
          <cell r="C4127" t="str">
            <v>ENERO</v>
          </cell>
          <cell r="D4127" t="str">
            <v>2017</v>
          </cell>
          <cell r="E4127">
            <v>819</v>
          </cell>
          <cell r="F4127" t="str">
            <v>C4G-751</v>
          </cell>
          <cell r="G4127" t="str">
            <v>CAMIONETA</v>
          </cell>
          <cell r="H4127" t="str">
            <v>LAS BAMBAS</v>
          </cell>
          <cell r="I4127">
            <v>120524</v>
          </cell>
          <cell r="J4127" t="str">
            <v>REPUESTO</v>
          </cell>
          <cell r="K4127" t="str">
            <v>PONCHO DE CREMALLERA INTERIOR</v>
          </cell>
          <cell r="L4127">
            <v>1</v>
          </cell>
          <cell r="M4127" t="str">
            <v>UNID.</v>
          </cell>
          <cell r="N4127" t="str">
            <v>CAMIONETA</v>
          </cell>
          <cell r="O4127">
            <v>42</v>
          </cell>
          <cell r="P4127" t="str">
            <v>M6</v>
          </cell>
          <cell r="Q4127" t="str">
            <v>J1</v>
          </cell>
          <cell r="R4127" t="str">
            <v>J5</v>
          </cell>
          <cell r="S4127" t="str">
            <v>PENDIENTE</v>
          </cell>
          <cell r="T4127">
            <v>0</v>
          </cell>
          <cell r="U4127" t="str">
            <v>PARI VENTURA  EDSON ORLANDO</v>
          </cell>
          <cell r="V4127" t="str">
            <v>FLOREZ CONDORI  JOSE WILLIANS</v>
          </cell>
        </row>
        <row r="4128">
          <cell r="A4128">
            <v>4141</v>
          </cell>
          <cell r="B4128">
            <v>42748</v>
          </cell>
          <cell r="C4128" t="str">
            <v>ENERO</v>
          </cell>
          <cell r="D4128" t="str">
            <v>2017</v>
          </cell>
          <cell r="E4128">
            <v>819</v>
          </cell>
          <cell r="F4128" t="str">
            <v>C4G-751</v>
          </cell>
          <cell r="G4128" t="str">
            <v>CAMIONETA</v>
          </cell>
          <cell r="H4128" t="str">
            <v>LAS BAMBAS</v>
          </cell>
          <cell r="I4128">
            <v>120524</v>
          </cell>
          <cell r="J4128" t="str">
            <v>REPUESTO</v>
          </cell>
          <cell r="K4128" t="str">
            <v>ABRAZADERAS (SEGÚN MUESTRA)</v>
          </cell>
          <cell r="L4128">
            <v>2</v>
          </cell>
          <cell r="M4128" t="str">
            <v>UNID.</v>
          </cell>
          <cell r="N4128" t="str">
            <v>CAMIONETA</v>
          </cell>
          <cell r="O4128">
            <v>42</v>
          </cell>
          <cell r="P4128" t="str">
            <v>M6</v>
          </cell>
          <cell r="Q4128" t="str">
            <v>J1</v>
          </cell>
          <cell r="R4128" t="str">
            <v>J5</v>
          </cell>
          <cell r="S4128" t="str">
            <v>PENDIENTE</v>
          </cell>
          <cell r="T4128">
            <v>0</v>
          </cell>
          <cell r="U4128" t="str">
            <v>PARI VENTURA  EDSON ORLANDO</v>
          </cell>
          <cell r="V4128" t="str">
            <v>FLOREZ CONDORI  JOSE WILLIANS</v>
          </cell>
        </row>
        <row r="4129">
          <cell r="A4129">
            <v>4134</v>
          </cell>
          <cell r="B4129">
            <v>42748</v>
          </cell>
          <cell r="C4129" t="str">
            <v>ENERO</v>
          </cell>
          <cell r="D4129" t="str">
            <v>2017</v>
          </cell>
          <cell r="E4129">
            <v>751</v>
          </cell>
          <cell r="F4129" t="str">
            <v>D3O-745</v>
          </cell>
          <cell r="G4129" t="str">
            <v>F3L-979</v>
          </cell>
          <cell r="H4129" t="str">
            <v>LAS BAMBAS</v>
          </cell>
          <cell r="I4129">
            <v>163411</v>
          </cell>
          <cell r="J4129" t="str">
            <v>REPUESTO</v>
          </cell>
          <cell r="K4129" t="str">
            <v>FILTRO SEPARADOR TIPO DE FELPA</v>
          </cell>
          <cell r="L4129">
            <v>1</v>
          </cell>
          <cell r="M4129" t="str">
            <v>UNID.</v>
          </cell>
          <cell r="N4129" t="str">
            <v>TRACTO</v>
          </cell>
          <cell r="O4129">
            <v>42</v>
          </cell>
          <cell r="P4129" t="str">
            <v>M8</v>
          </cell>
          <cell r="Q4129" t="str">
            <v>J1</v>
          </cell>
          <cell r="R4129" t="str">
            <v>J6</v>
          </cell>
          <cell r="S4129" t="str">
            <v>PENDIENTE</v>
          </cell>
          <cell r="T4129">
            <v>0</v>
          </cell>
          <cell r="U4129" t="str">
            <v>VARILLAS GAGO  OSCAR ALBERTO</v>
          </cell>
          <cell r="V4129" t="str">
            <v>FLOREZ CONDORI  JOSE WILLIANS</v>
          </cell>
        </row>
        <row r="4130">
          <cell r="A4130">
            <v>4135</v>
          </cell>
          <cell r="B4130">
            <v>42748</v>
          </cell>
          <cell r="C4130" t="str">
            <v>ENERO</v>
          </cell>
          <cell r="D4130" t="str">
            <v>2017</v>
          </cell>
          <cell r="E4130">
            <v>751</v>
          </cell>
          <cell r="F4130" t="str">
            <v>D3O-745</v>
          </cell>
          <cell r="G4130" t="str">
            <v>F3L-979</v>
          </cell>
          <cell r="H4130" t="str">
            <v>LAS BAMBAS</v>
          </cell>
          <cell r="I4130">
            <v>163411</v>
          </cell>
          <cell r="J4130" t="str">
            <v>REPUESTO</v>
          </cell>
          <cell r="K4130" t="str">
            <v>FILTRO DE COMBUSTIBLE</v>
          </cell>
          <cell r="L4130">
            <v>1</v>
          </cell>
          <cell r="M4130" t="str">
            <v>UNID.</v>
          </cell>
          <cell r="N4130" t="str">
            <v>TRACTO</v>
          </cell>
          <cell r="O4130">
            <v>42</v>
          </cell>
          <cell r="P4130" t="str">
            <v>M8</v>
          </cell>
          <cell r="Q4130" t="str">
            <v>J1</v>
          </cell>
          <cell r="R4130" t="str">
            <v>J6</v>
          </cell>
          <cell r="S4130" t="str">
            <v>PENDIENTE</v>
          </cell>
          <cell r="T4130">
            <v>0</v>
          </cell>
          <cell r="U4130" t="str">
            <v>VARILLAS GAGO  OSCAR ALBERTO</v>
          </cell>
          <cell r="V4130" t="str">
            <v>FLOREZ CONDORI  JOSE WILLIANS</v>
          </cell>
        </row>
        <row r="4131">
          <cell r="A4131">
            <v>4125</v>
          </cell>
          <cell r="B4131">
            <v>42748</v>
          </cell>
          <cell r="C4131" t="str">
            <v>ENERO</v>
          </cell>
          <cell r="D4131" t="str">
            <v>2017</v>
          </cell>
          <cell r="E4131">
            <v>808</v>
          </cell>
          <cell r="F4131" t="str">
            <v>D3P-743</v>
          </cell>
          <cell r="G4131" t="str">
            <v>B8L-972</v>
          </cell>
          <cell r="H4131" t="str">
            <v>LAS BAMBAS</v>
          </cell>
          <cell r="I4131">
            <v>188419</v>
          </cell>
          <cell r="J4131" t="str">
            <v>REPUESTO</v>
          </cell>
          <cell r="K4131" t="str">
            <v>SUPERCITO 3/32</v>
          </cell>
          <cell r="L4131">
            <v>3</v>
          </cell>
          <cell r="M4131" t="str">
            <v>KG.</v>
          </cell>
          <cell r="N4131" t="str">
            <v>CISTERNA</v>
          </cell>
          <cell r="O4131">
            <v>42</v>
          </cell>
          <cell r="P4131" t="str">
            <v>S1</v>
          </cell>
          <cell r="Q4131" t="str">
            <v>J1</v>
          </cell>
          <cell r="R4131" t="str">
            <v>J6</v>
          </cell>
          <cell r="S4131" t="str">
            <v>PENDIENTE</v>
          </cell>
          <cell r="T4131">
            <v>0</v>
          </cell>
          <cell r="U4131" t="str">
            <v>BAYONA CRUZ CRISTIAN ARMANDO</v>
          </cell>
          <cell r="V4131" t="str">
            <v>FLOREZ CONDORI  JOSE WILLIANS</v>
          </cell>
        </row>
        <row r="4132">
          <cell r="A4132">
            <v>4130</v>
          </cell>
          <cell r="B4132">
            <v>42748</v>
          </cell>
          <cell r="C4132" t="str">
            <v>ENERO</v>
          </cell>
          <cell r="D4132" t="str">
            <v>2017</v>
          </cell>
          <cell r="E4132">
            <v>808</v>
          </cell>
          <cell r="F4132" t="str">
            <v>D3P-743</v>
          </cell>
          <cell r="G4132" t="str">
            <v>B8L-972</v>
          </cell>
          <cell r="H4132" t="str">
            <v>LAS BAMBAS</v>
          </cell>
          <cell r="I4132">
            <v>188419</v>
          </cell>
          <cell r="J4132" t="str">
            <v>REPUESTO</v>
          </cell>
          <cell r="K4132" t="str">
            <v>PERNO 3/4 X 2"</v>
          </cell>
          <cell r="L4132">
            <v>1</v>
          </cell>
          <cell r="M4132" t="str">
            <v>UNID.</v>
          </cell>
          <cell r="N4132" t="str">
            <v>TRACTO</v>
          </cell>
          <cell r="O4132">
            <v>42</v>
          </cell>
          <cell r="P4132" t="str">
            <v>M4</v>
          </cell>
          <cell r="Q4132" t="str">
            <v>J1</v>
          </cell>
          <cell r="R4132" t="str">
            <v>J5</v>
          </cell>
          <cell r="S4132" t="str">
            <v>PENDIENTE</v>
          </cell>
          <cell r="T4132">
            <v>0</v>
          </cell>
          <cell r="U4132" t="str">
            <v>JULLIRI APAZA UBALDO</v>
          </cell>
          <cell r="V4132" t="str">
            <v>FLOREZ CONDORI  JOSE WILLIANS</v>
          </cell>
        </row>
        <row r="4133">
          <cell r="A4133">
            <v>4131</v>
          </cell>
          <cell r="B4133">
            <v>42748</v>
          </cell>
          <cell r="C4133" t="str">
            <v>ENERO</v>
          </cell>
          <cell r="D4133" t="str">
            <v>2017</v>
          </cell>
          <cell r="E4133">
            <v>808</v>
          </cell>
          <cell r="F4133" t="str">
            <v>D3P-743</v>
          </cell>
          <cell r="G4133" t="str">
            <v>B8L-972</v>
          </cell>
          <cell r="H4133" t="str">
            <v>LAS BAMBAS</v>
          </cell>
          <cell r="I4133">
            <v>188419</v>
          </cell>
          <cell r="J4133" t="str">
            <v>REPUESTO</v>
          </cell>
          <cell r="K4133" t="str">
            <v>TUERCA SEGURO 3/4</v>
          </cell>
          <cell r="L4133">
            <v>1</v>
          </cell>
          <cell r="M4133" t="str">
            <v>UNID.</v>
          </cell>
          <cell r="N4133" t="str">
            <v>TRACTO</v>
          </cell>
          <cell r="O4133">
            <v>42</v>
          </cell>
          <cell r="P4133" t="str">
            <v>M4</v>
          </cell>
          <cell r="Q4133" t="str">
            <v>J1</v>
          </cell>
          <cell r="R4133" t="str">
            <v>J5</v>
          </cell>
          <cell r="S4133" t="str">
            <v>PENDIENTE</v>
          </cell>
          <cell r="T4133">
            <v>0</v>
          </cell>
          <cell r="U4133" t="str">
            <v>JULLIRI APAZA UBALDO</v>
          </cell>
          <cell r="V4133" t="str">
            <v>FLOREZ CONDORI  JOSE WILLIANS</v>
          </cell>
        </row>
        <row r="4134">
          <cell r="A4134">
            <v>4132</v>
          </cell>
          <cell r="B4134">
            <v>42748</v>
          </cell>
          <cell r="C4134" t="str">
            <v>ENERO</v>
          </cell>
          <cell r="D4134" t="str">
            <v>2017</v>
          </cell>
          <cell r="E4134">
            <v>808</v>
          </cell>
          <cell r="F4134" t="str">
            <v>D3P-743</v>
          </cell>
          <cell r="G4134" t="str">
            <v>B8L-972</v>
          </cell>
          <cell r="H4134" t="str">
            <v>LAS BAMBAS</v>
          </cell>
          <cell r="I4134">
            <v>188419</v>
          </cell>
          <cell r="J4134" t="str">
            <v>REPUESTO</v>
          </cell>
          <cell r="K4134" t="str">
            <v>ARANDELA PLANA 3/4</v>
          </cell>
          <cell r="L4134">
            <v>2</v>
          </cell>
          <cell r="M4134" t="str">
            <v>UNID.</v>
          </cell>
          <cell r="N4134" t="str">
            <v>TRACTO</v>
          </cell>
          <cell r="O4134">
            <v>42</v>
          </cell>
          <cell r="P4134" t="str">
            <v>M4</v>
          </cell>
          <cell r="Q4134" t="str">
            <v>J1</v>
          </cell>
          <cell r="R4134" t="str">
            <v>J5</v>
          </cell>
          <cell r="S4134" t="str">
            <v>PENDIENTE</v>
          </cell>
          <cell r="T4134">
            <v>0</v>
          </cell>
          <cell r="U4134" t="str">
            <v>JULLIRI APAZA UBALDO</v>
          </cell>
          <cell r="V4134" t="str">
            <v>FLOREZ CONDORI  JOSE WILLIANS</v>
          </cell>
        </row>
        <row r="4135">
          <cell r="A4135">
            <v>4133</v>
          </cell>
          <cell r="B4135">
            <v>42748</v>
          </cell>
          <cell r="C4135" t="str">
            <v>ENERO</v>
          </cell>
          <cell r="D4135" t="str">
            <v>2017</v>
          </cell>
          <cell r="E4135">
            <v>202</v>
          </cell>
          <cell r="F4135" t="str">
            <v>D3P-752</v>
          </cell>
          <cell r="G4135" t="str">
            <v>C5Y-985</v>
          </cell>
          <cell r="H4135" t="str">
            <v>LAS BAMBAS</v>
          </cell>
          <cell r="I4135">
            <v>150504</v>
          </cell>
          <cell r="J4135" t="str">
            <v>REPUESTO</v>
          </cell>
          <cell r="K4135" t="str">
            <v>GRAMPITAS DE RADIADOR</v>
          </cell>
          <cell r="L4135">
            <v>10</v>
          </cell>
          <cell r="M4135" t="str">
            <v>UNID.</v>
          </cell>
          <cell r="N4135" t="str">
            <v>TRACTO</v>
          </cell>
          <cell r="O4135">
            <v>42</v>
          </cell>
          <cell r="P4135" t="str">
            <v>M2</v>
          </cell>
          <cell r="Q4135" t="str">
            <v>J1</v>
          </cell>
          <cell r="R4135" t="str">
            <v>J6</v>
          </cell>
          <cell r="S4135" t="str">
            <v>PENDIENTE</v>
          </cell>
          <cell r="T4135">
            <v>0</v>
          </cell>
          <cell r="U4135" t="str">
            <v>CHUMPITAZ GAGO JULIO ENRIQUE</v>
          </cell>
          <cell r="V4135" t="str">
            <v>FLOREZ CONDORI  JOSE WILLIANS</v>
          </cell>
        </row>
        <row r="4136">
          <cell r="A4136">
            <v>4143</v>
          </cell>
          <cell r="B4136">
            <v>42748</v>
          </cell>
          <cell r="C4136" t="str">
            <v>ENERO</v>
          </cell>
          <cell r="D4136" t="str">
            <v>2017</v>
          </cell>
          <cell r="E4136">
            <v>824</v>
          </cell>
          <cell r="F4136" t="str">
            <v>D7V-714</v>
          </cell>
          <cell r="G4136" t="str">
            <v>F7M-971</v>
          </cell>
          <cell r="H4136" t="str">
            <v>LAS BAMBAS</v>
          </cell>
          <cell r="I4136">
            <v>53761</v>
          </cell>
          <cell r="J4136" t="str">
            <v>REPUESTO</v>
          </cell>
          <cell r="K4136" t="str">
            <v>FOCO H7 24</v>
          </cell>
          <cell r="L4136">
            <v>1</v>
          </cell>
          <cell r="M4136" t="str">
            <v>UNID.</v>
          </cell>
          <cell r="N4136" t="str">
            <v>TRACTO</v>
          </cell>
          <cell r="O4136">
            <v>42</v>
          </cell>
          <cell r="P4136" t="str">
            <v>E3</v>
          </cell>
          <cell r="Q4136" t="str">
            <v>J7</v>
          </cell>
          <cell r="R4136" t="str">
            <v>J5</v>
          </cell>
          <cell r="S4136" t="str">
            <v>PENDIENTE</v>
          </cell>
          <cell r="T4136">
            <v>0</v>
          </cell>
          <cell r="U4136" t="str">
            <v>CONDORI CHURATA ALEX</v>
          </cell>
          <cell r="V4136" t="str">
            <v>DONAYRE INGA PEDRO</v>
          </cell>
        </row>
        <row r="4137">
          <cell r="A4137">
            <v>4121</v>
          </cell>
          <cell r="B4137">
            <v>42748</v>
          </cell>
          <cell r="C4137" t="str">
            <v>ENERO</v>
          </cell>
          <cell r="D4137" t="str">
            <v>2017</v>
          </cell>
          <cell r="E4137">
            <v>200</v>
          </cell>
          <cell r="F4137" t="str">
            <v>TALLER</v>
          </cell>
          <cell r="G4137" t="str">
            <v>TALLER</v>
          </cell>
          <cell r="H4137" t="str">
            <v>TALLER</v>
          </cell>
          <cell r="I4137" t="str">
            <v>TALLER</v>
          </cell>
          <cell r="J4137" t="str">
            <v>REPUESTO</v>
          </cell>
          <cell r="K4137" t="str">
            <v>TORNILLO ATOROSCANTE 3/4 PARA CALAMINA</v>
          </cell>
          <cell r="L4137">
            <v>250</v>
          </cell>
          <cell r="M4137" t="str">
            <v>UNID.</v>
          </cell>
          <cell r="N4137" t="str">
            <v>TALLER</v>
          </cell>
          <cell r="O4137">
            <v>42</v>
          </cell>
          <cell r="P4137" t="str">
            <v>S1</v>
          </cell>
          <cell r="Q4137" t="str">
            <v>J1</v>
          </cell>
          <cell r="R4137" t="str">
            <v>J6</v>
          </cell>
          <cell r="S4137" t="str">
            <v>PENDIENTE</v>
          </cell>
          <cell r="T4137">
            <v>0</v>
          </cell>
          <cell r="U4137" t="str">
            <v>BAYONA CRUZ CRISTIAN ARMANDO</v>
          </cell>
          <cell r="V4137" t="str">
            <v>FLOREZ CONDORI  JOSE WILLIANS</v>
          </cell>
        </row>
        <row r="4138">
          <cell r="A4138">
            <v>4122</v>
          </cell>
          <cell r="B4138">
            <v>42748</v>
          </cell>
          <cell r="C4138" t="str">
            <v>ENERO</v>
          </cell>
          <cell r="D4138" t="str">
            <v>2017</v>
          </cell>
          <cell r="E4138">
            <v>200</v>
          </cell>
          <cell r="F4138" t="str">
            <v>TALLER</v>
          </cell>
          <cell r="G4138" t="str">
            <v>TALLER</v>
          </cell>
          <cell r="H4138" t="str">
            <v>TALLER</v>
          </cell>
          <cell r="I4138" t="str">
            <v>TALLER</v>
          </cell>
          <cell r="J4138" t="str">
            <v>REPUESTO</v>
          </cell>
          <cell r="K4138" t="str">
            <v>ANGULO 1 X 1/8</v>
          </cell>
          <cell r="L4138">
            <v>3</v>
          </cell>
          <cell r="M4138" t="str">
            <v>UNID.</v>
          </cell>
          <cell r="N4138" t="str">
            <v>TALLER</v>
          </cell>
          <cell r="O4138">
            <v>42</v>
          </cell>
          <cell r="P4138" t="str">
            <v>S1</v>
          </cell>
          <cell r="Q4138" t="str">
            <v>J1</v>
          </cell>
          <cell r="R4138" t="str">
            <v>J6</v>
          </cell>
          <cell r="S4138" t="str">
            <v>PENDIENTE</v>
          </cell>
          <cell r="T4138">
            <v>0</v>
          </cell>
          <cell r="U4138" t="str">
            <v>BAYONA CRUZ CRISTIAN ARMANDO</v>
          </cell>
          <cell r="V4138" t="str">
            <v>FLOREZ CONDORI  JOSE WILLIANS</v>
          </cell>
        </row>
        <row r="4139">
          <cell r="A4139">
            <v>4123</v>
          </cell>
          <cell r="B4139">
            <v>42748</v>
          </cell>
          <cell r="C4139" t="str">
            <v>ENERO</v>
          </cell>
          <cell r="D4139" t="str">
            <v>2017</v>
          </cell>
          <cell r="E4139">
            <v>200</v>
          </cell>
          <cell r="F4139" t="str">
            <v>TALLER</v>
          </cell>
          <cell r="G4139" t="str">
            <v>TALLER</v>
          </cell>
          <cell r="H4139" t="str">
            <v>TALLER</v>
          </cell>
          <cell r="I4139" t="str">
            <v>TALLER</v>
          </cell>
          <cell r="J4139" t="str">
            <v>REPUESTO</v>
          </cell>
          <cell r="K4139" t="str">
            <v>MALLA 1 X 3.6 M</v>
          </cell>
          <cell r="L4139">
            <v>1</v>
          </cell>
          <cell r="M4139" t="str">
            <v>UNID.</v>
          </cell>
          <cell r="N4139" t="str">
            <v>TALLER</v>
          </cell>
          <cell r="O4139">
            <v>42</v>
          </cell>
          <cell r="P4139" t="str">
            <v>S1</v>
          </cell>
          <cell r="Q4139" t="str">
            <v>J1</v>
          </cell>
          <cell r="R4139" t="str">
            <v>J6</v>
          </cell>
          <cell r="S4139" t="str">
            <v>PENDIENTE</v>
          </cell>
          <cell r="T4139">
            <v>0</v>
          </cell>
          <cell r="U4139" t="str">
            <v>BAYONA CRUZ CRISTIAN ARMANDO</v>
          </cell>
          <cell r="V4139" t="str">
            <v>FLOREZ CONDORI  JOSE WILLIANS</v>
          </cell>
        </row>
        <row r="4140">
          <cell r="A4140">
            <v>4124</v>
          </cell>
          <cell r="B4140">
            <v>42748</v>
          </cell>
          <cell r="C4140" t="str">
            <v>ENERO</v>
          </cell>
          <cell r="D4140" t="str">
            <v>2017</v>
          </cell>
          <cell r="E4140">
            <v>200</v>
          </cell>
          <cell r="F4140" t="str">
            <v>TALLER</v>
          </cell>
          <cell r="G4140" t="str">
            <v>TALLER</v>
          </cell>
          <cell r="H4140" t="str">
            <v>TALLER</v>
          </cell>
          <cell r="I4140" t="str">
            <v>TALLER</v>
          </cell>
          <cell r="J4140" t="str">
            <v>REPUESTO</v>
          </cell>
          <cell r="K4140" t="str">
            <v>CELLOCORD 3/32</v>
          </cell>
          <cell r="L4140">
            <v>3</v>
          </cell>
          <cell r="M4140" t="str">
            <v>KG.</v>
          </cell>
          <cell r="N4140" t="str">
            <v>TALLER</v>
          </cell>
          <cell r="O4140">
            <v>42</v>
          </cell>
          <cell r="P4140" t="str">
            <v>S1</v>
          </cell>
          <cell r="Q4140" t="str">
            <v>J1</v>
          </cell>
          <cell r="R4140" t="str">
            <v>J6</v>
          </cell>
          <cell r="S4140" t="str">
            <v>PENDIENTE</v>
          </cell>
          <cell r="T4140">
            <v>0</v>
          </cell>
          <cell r="U4140" t="str">
            <v>BAYONA CRUZ CRISTIAN ARMANDO</v>
          </cell>
          <cell r="V4140" t="str">
            <v>FLOREZ CONDORI  JOSE WILLIANS</v>
          </cell>
        </row>
        <row r="4141">
          <cell r="A4141">
            <v>4126</v>
          </cell>
          <cell r="B4141">
            <v>42748</v>
          </cell>
          <cell r="C4141" t="str">
            <v>ENERO</v>
          </cell>
          <cell r="D4141" t="str">
            <v>2017</v>
          </cell>
          <cell r="E4141">
            <v>200</v>
          </cell>
          <cell r="F4141" t="str">
            <v>TALLER</v>
          </cell>
          <cell r="G4141" t="str">
            <v>TALLER</v>
          </cell>
          <cell r="H4141" t="str">
            <v>TALLER</v>
          </cell>
          <cell r="I4141" t="str">
            <v>TALLER</v>
          </cell>
          <cell r="J4141" t="str">
            <v>INSUMO TALLER</v>
          </cell>
          <cell r="K4141" t="str">
            <v>AFLOJATODO</v>
          </cell>
          <cell r="L4141">
            <v>1</v>
          </cell>
          <cell r="M4141" t="str">
            <v>UNID.</v>
          </cell>
          <cell r="N4141" t="str">
            <v>TALLER</v>
          </cell>
          <cell r="O4141">
            <v>42</v>
          </cell>
          <cell r="P4141" t="str">
            <v>S1</v>
          </cell>
          <cell r="Q4141" t="str">
            <v>J1</v>
          </cell>
          <cell r="R4141" t="str">
            <v>J6</v>
          </cell>
          <cell r="S4141" t="str">
            <v>PENDIENTE</v>
          </cell>
          <cell r="T4141">
            <v>0</v>
          </cell>
          <cell r="U4141" t="str">
            <v>BAYONA CRUZ CRISTIAN ARMANDO</v>
          </cell>
          <cell r="V4141" t="str">
            <v>FLOREZ CONDORI  JOSE WILLIANS</v>
          </cell>
        </row>
        <row r="4142">
          <cell r="A4142">
            <v>4127</v>
          </cell>
          <cell r="B4142">
            <v>42748</v>
          </cell>
          <cell r="C4142" t="str">
            <v>ENERO</v>
          </cell>
          <cell r="D4142" t="str">
            <v>2017</v>
          </cell>
          <cell r="E4142">
            <v>200</v>
          </cell>
          <cell r="F4142" t="str">
            <v>TALLER</v>
          </cell>
          <cell r="G4142" t="str">
            <v>TALLER</v>
          </cell>
          <cell r="H4142" t="str">
            <v>TALLER</v>
          </cell>
          <cell r="I4142" t="str">
            <v>TALLER</v>
          </cell>
          <cell r="J4142" t="str">
            <v>INSUMO TALLER</v>
          </cell>
          <cell r="K4142" t="str">
            <v>FLEXOMETRO</v>
          </cell>
          <cell r="L4142">
            <v>1</v>
          </cell>
          <cell r="M4142" t="str">
            <v>UNID.</v>
          </cell>
          <cell r="N4142" t="str">
            <v>TALLER</v>
          </cell>
          <cell r="O4142">
            <v>42</v>
          </cell>
          <cell r="P4142" t="str">
            <v>S4</v>
          </cell>
          <cell r="Q4142" t="str">
            <v>J1</v>
          </cell>
          <cell r="R4142" t="str">
            <v>J5</v>
          </cell>
          <cell r="S4142" t="str">
            <v>PENDIENTE</v>
          </cell>
          <cell r="T4142">
            <v>0</v>
          </cell>
          <cell r="U4142" t="str">
            <v>SURCO QUISPE JOHNNY</v>
          </cell>
          <cell r="V4142" t="str">
            <v>FLOREZ CONDORI  JOSE WILLIANS</v>
          </cell>
        </row>
        <row r="4143">
          <cell r="A4143">
            <v>4128</v>
          </cell>
          <cell r="B4143">
            <v>42748</v>
          </cell>
          <cell r="C4143" t="str">
            <v>ENERO</v>
          </cell>
          <cell r="D4143" t="str">
            <v>2017</v>
          </cell>
          <cell r="E4143">
            <v>200</v>
          </cell>
          <cell r="F4143" t="str">
            <v>TALLER</v>
          </cell>
          <cell r="G4143" t="str">
            <v>TALLER</v>
          </cell>
          <cell r="H4143" t="str">
            <v>TALLER</v>
          </cell>
          <cell r="I4143" t="str">
            <v>TALLER</v>
          </cell>
          <cell r="J4143" t="str">
            <v>INSUMO TALLER</v>
          </cell>
          <cell r="K4143" t="str">
            <v xml:space="preserve">LUNAS TRANSPARENTES </v>
          </cell>
          <cell r="L4143">
            <v>2</v>
          </cell>
          <cell r="M4143" t="str">
            <v>UNID.</v>
          </cell>
          <cell r="N4143" t="str">
            <v>TALLER</v>
          </cell>
          <cell r="O4143">
            <v>42</v>
          </cell>
          <cell r="P4143" t="str">
            <v>S4</v>
          </cell>
          <cell r="Q4143" t="str">
            <v>J1</v>
          </cell>
          <cell r="R4143" t="str">
            <v>J5</v>
          </cell>
          <cell r="S4143" t="str">
            <v>PENDIENTE</v>
          </cell>
          <cell r="T4143">
            <v>0</v>
          </cell>
          <cell r="U4143" t="str">
            <v>SURCO QUISPE JOHNNY</v>
          </cell>
          <cell r="V4143" t="str">
            <v>FLOREZ CONDORI  JOSE WILLIANS</v>
          </cell>
        </row>
        <row r="4144">
          <cell r="A4144">
            <v>4129</v>
          </cell>
          <cell r="B4144">
            <v>42748</v>
          </cell>
          <cell r="C4144" t="str">
            <v>ENERO</v>
          </cell>
          <cell r="D4144" t="str">
            <v>2017</v>
          </cell>
          <cell r="E4144">
            <v>200</v>
          </cell>
          <cell r="F4144" t="str">
            <v>TALLER</v>
          </cell>
          <cell r="G4144" t="str">
            <v>TALLER</v>
          </cell>
          <cell r="H4144" t="str">
            <v>TALLER</v>
          </cell>
          <cell r="I4144" t="str">
            <v>TALLER</v>
          </cell>
          <cell r="J4144" t="str">
            <v>INSUMO TALLER</v>
          </cell>
          <cell r="K4144" t="str">
            <v>LUNA NEGRA N°12</v>
          </cell>
          <cell r="L4144">
            <v>1</v>
          </cell>
          <cell r="M4144" t="str">
            <v>UNID.</v>
          </cell>
          <cell r="N4144" t="str">
            <v>TALLER</v>
          </cell>
          <cell r="O4144">
            <v>42</v>
          </cell>
          <cell r="P4144" t="str">
            <v>S4</v>
          </cell>
          <cell r="Q4144" t="str">
            <v>J1</v>
          </cell>
          <cell r="R4144" t="str">
            <v>J5</v>
          </cell>
          <cell r="S4144" t="str">
            <v>PENDIENTE</v>
          </cell>
          <cell r="T4144">
            <v>0</v>
          </cell>
          <cell r="U4144" t="str">
            <v>SURCO QUISPE JOHNNY</v>
          </cell>
          <cell r="V4144" t="str">
            <v>FLOREZ CONDORI  JOSE WILLIANS</v>
          </cell>
        </row>
        <row r="4145">
          <cell r="A4145">
            <v>4156</v>
          </cell>
          <cell r="B4145">
            <v>42749</v>
          </cell>
          <cell r="C4145" t="str">
            <v>ENERO</v>
          </cell>
          <cell r="D4145" t="str">
            <v>2017</v>
          </cell>
          <cell r="E4145">
            <v>829</v>
          </cell>
          <cell r="F4145" t="str">
            <v>A5O-859</v>
          </cell>
          <cell r="G4145" t="str">
            <v>B6Y-971</v>
          </cell>
          <cell r="H4145" t="str">
            <v>LAS BAMBAS</v>
          </cell>
          <cell r="I4145">
            <v>119039</v>
          </cell>
          <cell r="J4145" t="str">
            <v>REPUESTO</v>
          </cell>
          <cell r="K4145" t="str">
            <v>TUERCA 5/16</v>
          </cell>
          <cell r="L4145">
            <v>2</v>
          </cell>
          <cell r="M4145" t="str">
            <v>UNID.</v>
          </cell>
          <cell r="N4145" t="str">
            <v>TRACTO</v>
          </cell>
          <cell r="O4145">
            <v>41</v>
          </cell>
          <cell r="P4145" t="str">
            <v>M2</v>
          </cell>
          <cell r="Q4145" t="str">
            <v>J7</v>
          </cell>
          <cell r="R4145" t="str">
            <v>J8</v>
          </cell>
          <cell r="S4145" t="str">
            <v>PENDIENTE</v>
          </cell>
          <cell r="T4145">
            <v>0</v>
          </cell>
          <cell r="U4145" t="str">
            <v>CHUMPITAZ GAGO JULIO ENRIQUE</v>
          </cell>
          <cell r="V4145" t="str">
            <v>DONAYRE INGA PEDRO</v>
          </cell>
        </row>
        <row r="4146">
          <cell r="A4146">
            <v>4157</v>
          </cell>
          <cell r="B4146">
            <v>42749</v>
          </cell>
          <cell r="C4146" t="str">
            <v>ENERO</v>
          </cell>
          <cell r="D4146" t="str">
            <v>2017</v>
          </cell>
          <cell r="E4146">
            <v>829</v>
          </cell>
          <cell r="F4146" t="str">
            <v>A5O-859</v>
          </cell>
          <cell r="G4146" t="str">
            <v>B6Y-971</v>
          </cell>
          <cell r="H4146" t="str">
            <v>LAS BAMBAS</v>
          </cell>
          <cell r="I4146">
            <v>119039</v>
          </cell>
          <cell r="J4146" t="str">
            <v>REPUESTO</v>
          </cell>
          <cell r="K4146" t="str">
            <v>ARANDELAS PLANAS 5/16</v>
          </cell>
          <cell r="L4146">
            <v>2</v>
          </cell>
          <cell r="M4146" t="str">
            <v>UNID.</v>
          </cell>
          <cell r="N4146" t="str">
            <v>TRACTO</v>
          </cell>
          <cell r="O4146">
            <v>41</v>
          </cell>
          <cell r="P4146" t="str">
            <v>M2</v>
          </cell>
          <cell r="Q4146" t="str">
            <v>J7</v>
          </cell>
          <cell r="R4146" t="str">
            <v>J8</v>
          </cell>
          <cell r="S4146" t="str">
            <v>PENDIENTE</v>
          </cell>
          <cell r="T4146">
            <v>0</v>
          </cell>
          <cell r="U4146" t="str">
            <v>CHUMPITAZ GAGO JULIO ENRIQUE</v>
          </cell>
          <cell r="V4146" t="str">
            <v>DONAYRE INGA PEDRO</v>
          </cell>
        </row>
        <row r="4147">
          <cell r="A4147">
            <v>4158</v>
          </cell>
          <cell r="B4147">
            <v>42749</v>
          </cell>
          <cell r="C4147" t="str">
            <v>ENERO</v>
          </cell>
          <cell r="D4147" t="str">
            <v>2017</v>
          </cell>
          <cell r="E4147">
            <v>829</v>
          </cell>
          <cell r="F4147" t="str">
            <v>A5O-859</v>
          </cell>
          <cell r="G4147" t="str">
            <v>B6Y-971</v>
          </cell>
          <cell r="H4147" t="str">
            <v>LAS BAMBAS</v>
          </cell>
          <cell r="I4147">
            <v>119039</v>
          </cell>
          <cell r="J4147" t="str">
            <v>REPUESTO</v>
          </cell>
          <cell r="K4147" t="str">
            <v>JUEGO PLUMILLAS</v>
          </cell>
          <cell r="L4147">
            <v>1</v>
          </cell>
          <cell r="M4147" t="str">
            <v>UNID.</v>
          </cell>
          <cell r="N4147" t="str">
            <v>TRACTO</v>
          </cell>
          <cell r="O4147">
            <v>41</v>
          </cell>
          <cell r="P4147" t="str">
            <v>M2</v>
          </cell>
          <cell r="Q4147" t="str">
            <v>J7</v>
          </cell>
          <cell r="R4147" t="str">
            <v>J8</v>
          </cell>
          <cell r="S4147" t="str">
            <v>PENDIENTE</v>
          </cell>
          <cell r="T4147">
            <v>0</v>
          </cell>
          <cell r="U4147" t="str">
            <v>CHUMPITAZ GAGO JULIO ENRIQUE</v>
          </cell>
          <cell r="V4147" t="str">
            <v>DONAYRE INGA PEDRO</v>
          </cell>
        </row>
        <row r="4148">
          <cell r="A4148">
            <v>4159</v>
          </cell>
          <cell r="B4148">
            <v>42749</v>
          </cell>
          <cell r="C4148" t="str">
            <v>ENERO</v>
          </cell>
          <cell r="D4148" t="str">
            <v>2017</v>
          </cell>
          <cell r="E4148">
            <v>829</v>
          </cell>
          <cell r="F4148" t="str">
            <v>A5O-859</v>
          </cell>
          <cell r="G4148" t="str">
            <v>B6Y-971</v>
          </cell>
          <cell r="H4148" t="str">
            <v>LAS BAMBAS</v>
          </cell>
          <cell r="I4148">
            <v>119039</v>
          </cell>
          <cell r="J4148" t="str">
            <v>REPUESTO</v>
          </cell>
          <cell r="K4148" t="str">
            <v>PERNOS 5/16</v>
          </cell>
          <cell r="L4148">
            <v>2</v>
          </cell>
          <cell r="M4148" t="str">
            <v>UNID.</v>
          </cell>
          <cell r="N4148" t="str">
            <v>TRACTO</v>
          </cell>
          <cell r="O4148">
            <v>41</v>
          </cell>
          <cell r="P4148" t="str">
            <v>M2</v>
          </cell>
          <cell r="Q4148" t="str">
            <v>J7</v>
          </cell>
          <cell r="R4148" t="str">
            <v>J8</v>
          </cell>
          <cell r="S4148" t="str">
            <v>PENDIENTE</v>
          </cell>
          <cell r="T4148">
            <v>0</v>
          </cell>
          <cell r="U4148" t="str">
            <v>CHUMPITAZ GAGO JULIO ENRIQUE</v>
          </cell>
          <cell r="V4148" t="str">
            <v>DONAYRE INGA PEDRO</v>
          </cell>
        </row>
        <row r="4149">
          <cell r="A4149">
            <v>4163</v>
          </cell>
          <cell r="B4149">
            <v>42749</v>
          </cell>
          <cell r="C4149" t="str">
            <v>ENERO</v>
          </cell>
          <cell r="D4149" t="str">
            <v>2017</v>
          </cell>
          <cell r="E4149">
            <v>829</v>
          </cell>
          <cell r="F4149" t="str">
            <v>A5O-859</v>
          </cell>
          <cell r="G4149" t="str">
            <v>B6Y-971</v>
          </cell>
          <cell r="H4149" t="str">
            <v>LAS BAMBAS</v>
          </cell>
          <cell r="I4149">
            <v>119039</v>
          </cell>
          <cell r="J4149" t="str">
            <v>REPUESTO</v>
          </cell>
          <cell r="K4149" t="str">
            <v>CABLE NRO. 14</v>
          </cell>
          <cell r="L4149">
            <v>2</v>
          </cell>
          <cell r="M4149" t="str">
            <v>M</v>
          </cell>
          <cell r="N4149" t="str">
            <v>TRACTO</v>
          </cell>
          <cell r="O4149">
            <v>41</v>
          </cell>
          <cell r="P4149" t="str">
            <v>E3</v>
          </cell>
          <cell r="Q4149" t="str">
            <v>J7</v>
          </cell>
          <cell r="R4149" t="str">
            <v>J5</v>
          </cell>
          <cell r="S4149" t="str">
            <v>PENDIENTE</v>
          </cell>
          <cell r="T4149">
            <v>0</v>
          </cell>
          <cell r="U4149" t="str">
            <v>CONDORI CHURATA ALEX</v>
          </cell>
          <cell r="V4149" t="str">
            <v>DONAYRE INGA PEDRO</v>
          </cell>
        </row>
        <row r="4150">
          <cell r="A4150">
            <v>4164</v>
          </cell>
          <cell r="B4150">
            <v>42749</v>
          </cell>
          <cell r="C4150" t="str">
            <v>ENERO</v>
          </cell>
          <cell r="D4150" t="str">
            <v>2017</v>
          </cell>
          <cell r="E4150">
            <v>829</v>
          </cell>
          <cell r="F4150" t="str">
            <v>A5O-859</v>
          </cell>
          <cell r="G4150" t="str">
            <v>B6Y-971</v>
          </cell>
          <cell r="H4150" t="str">
            <v>LAS BAMBAS</v>
          </cell>
          <cell r="I4150">
            <v>119039</v>
          </cell>
          <cell r="J4150" t="str">
            <v>REPUESTO</v>
          </cell>
          <cell r="K4150" t="str">
            <v>TERMINAL OJO 3/8</v>
          </cell>
          <cell r="L4150">
            <v>1</v>
          </cell>
          <cell r="M4150" t="str">
            <v>UNID.</v>
          </cell>
          <cell r="N4150" t="str">
            <v>TRACTO</v>
          </cell>
          <cell r="O4150">
            <v>41</v>
          </cell>
          <cell r="P4150" t="str">
            <v>E3</v>
          </cell>
          <cell r="Q4150" t="str">
            <v>J7</v>
          </cell>
          <cell r="R4150" t="str">
            <v>J5</v>
          </cell>
          <cell r="S4150" t="str">
            <v>PENDIENTE</v>
          </cell>
          <cell r="T4150">
            <v>0</v>
          </cell>
          <cell r="U4150" t="str">
            <v>CONDORI CHURATA ALEX</v>
          </cell>
          <cell r="V4150" t="str">
            <v>DONAYRE INGA PEDRO</v>
          </cell>
        </row>
        <row r="4151">
          <cell r="A4151">
            <v>4148</v>
          </cell>
          <cell r="B4151">
            <v>42749</v>
          </cell>
          <cell r="C4151" t="str">
            <v>ENERO</v>
          </cell>
          <cell r="D4151" t="str">
            <v>2017</v>
          </cell>
          <cell r="E4151">
            <v>827</v>
          </cell>
          <cell r="F4151" t="str">
            <v>ABQ-780</v>
          </cell>
          <cell r="G4151" t="str">
            <v>C9S-990</v>
          </cell>
          <cell r="H4151" t="str">
            <v>LAS BAMBAS</v>
          </cell>
          <cell r="I4151">
            <v>120652</v>
          </cell>
          <cell r="J4151" t="str">
            <v>MATERIALES</v>
          </cell>
          <cell r="K4151" t="str">
            <v>SPRAY ROJO</v>
          </cell>
          <cell r="L4151">
            <v>2</v>
          </cell>
          <cell r="M4151" t="str">
            <v>UNID.</v>
          </cell>
          <cell r="N4151" t="str">
            <v>TRACTO</v>
          </cell>
          <cell r="O4151">
            <v>41</v>
          </cell>
          <cell r="P4151" t="str">
            <v>J1</v>
          </cell>
          <cell r="Q4151" t="str">
            <v>J1</v>
          </cell>
          <cell r="R4151" t="str">
            <v>J5</v>
          </cell>
          <cell r="S4151" t="str">
            <v>PENDIENTE</v>
          </cell>
          <cell r="T4151">
            <v>0</v>
          </cell>
          <cell r="U4151" t="str">
            <v>FLOREZ CONDORI  JOSE WILLIANS</v>
          </cell>
          <cell r="V4151" t="str">
            <v>FLOREZ CONDORI  JOSE WILLIANS</v>
          </cell>
        </row>
        <row r="4152">
          <cell r="A4152">
            <v>4149</v>
          </cell>
          <cell r="B4152">
            <v>42749</v>
          </cell>
          <cell r="C4152" t="str">
            <v>ENERO</v>
          </cell>
          <cell r="D4152" t="str">
            <v>2017</v>
          </cell>
          <cell r="E4152">
            <v>827</v>
          </cell>
          <cell r="F4152" t="str">
            <v>ABQ-780</v>
          </cell>
          <cell r="G4152" t="str">
            <v>C9S-990</v>
          </cell>
          <cell r="H4152" t="str">
            <v>LAS BAMBAS</v>
          </cell>
          <cell r="I4152">
            <v>120652</v>
          </cell>
          <cell r="J4152" t="str">
            <v>REPUESTO</v>
          </cell>
          <cell r="K4152" t="str">
            <v>LLANTAS REENCAUCHADAS</v>
          </cell>
          <cell r="L4152">
            <v>4</v>
          </cell>
          <cell r="M4152" t="str">
            <v>UNID.</v>
          </cell>
          <cell r="N4152" t="str">
            <v>TRACTO</v>
          </cell>
          <cell r="O4152">
            <v>41</v>
          </cell>
          <cell r="P4152" t="str">
            <v>n2</v>
          </cell>
          <cell r="Q4152" t="str">
            <v>j1</v>
          </cell>
          <cell r="R4152" t="str">
            <v>j5</v>
          </cell>
          <cell r="S4152" t="str">
            <v>PENDIENTE</v>
          </cell>
          <cell r="T4152">
            <v>0</v>
          </cell>
          <cell r="U4152" t="str">
            <v>MAMANI LARICO  EDUARDO ALVARO</v>
          </cell>
          <cell r="V4152" t="str">
            <v>FLOREZ CONDORI  JOSE WILLIANS</v>
          </cell>
        </row>
        <row r="4153">
          <cell r="A4153">
            <v>4160</v>
          </cell>
          <cell r="B4153">
            <v>42749</v>
          </cell>
          <cell r="C4153" t="str">
            <v>ENERO</v>
          </cell>
          <cell r="D4153" t="str">
            <v>2017</v>
          </cell>
          <cell r="E4153">
            <v>827</v>
          </cell>
          <cell r="F4153" t="str">
            <v>ABQ-780</v>
          </cell>
          <cell r="G4153" t="str">
            <v>C9S-990</v>
          </cell>
          <cell r="H4153" t="str">
            <v>LAS BAMBAS</v>
          </cell>
          <cell r="I4153">
            <v>120652</v>
          </cell>
          <cell r="J4153" t="str">
            <v>REPUESTO</v>
          </cell>
          <cell r="K4153" t="str">
            <v>FAROS NEBLINEROS AAA</v>
          </cell>
          <cell r="L4153">
            <v>2</v>
          </cell>
          <cell r="M4153" t="str">
            <v>UNID.</v>
          </cell>
          <cell r="N4153" t="str">
            <v>TRACTO</v>
          </cell>
          <cell r="O4153">
            <v>41</v>
          </cell>
          <cell r="P4153" t="str">
            <v>E2</v>
          </cell>
          <cell r="Q4153" t="str">
            <v>J7</v>
          </cell>
          <cell r="R4153" t="str">
            <v>J5</v>
          </cell>
          <cell r="S4153" t="str">
            <v>PENDIENTE</v>
          </cell>
          <cell r="T4153">
            <v>0</v>
          </cell>
          <cell r="U4153" t="str">
            <v>YUCA BELLIDO BORIS YERSY</v>
          </cell>
          <cell r="V4153" t="str">
            <v>DONAYRE INGA PEDRO</v>
          </cell>
        </row>
        <row r="4154">
          <cell r="A4154">
            <v>4169</v>
          </cell>
          <cell r="B4154">
            <v>42749</v>
          </cell>
          <cell r="C4154" t="str">
            <v>ENERO</v>
          </cell>
          <cell r="D4154" t="str">
            <v>2017</v>
          </cell>
          <cell r="E4154">
            <v>831</v>
          </cell>
          <cell r="F4154" t="str">
            <v>AEH-862</v>
          </cell>
          <cell r="G4154" t="str">
            <v>CAMIONETA</v>
          </cell>
          <cell r="H4154" t="str">
            <v>LAS BAMBAS</v>
          </cell>
          <cell r="I4154">
            <v>105705</v>
          </cell>
          <cell r="J4154" t="str">
            <v>REPUESTO</v>
          </cell>
          <cell r="K4154" t="str">
            <v>PASTILAS DE FRENO</v>
          </cell>
          <cell r="L4154">
            <v>1</v>
          </cell>
          <cell r="M4154" t="str">
            <v>JUEGO</v>
          </cell>
          <cell r="N4154" t="str">
            <v>CAMIONETA</v>
          </cell>
          <cell r="O4154">
            <v>41</v>
          </cell>
          <cell r="P4154" t="str">
            <v>M6</v>
          </cell>
          <cell r="Q4154" t="str">
            <v>J1</v>
          </cell>
          <cell r="R4154" t="str">
            <v>J8</v>
          </cell>
          <cell r="S4154" t="str">
            <v>PENDIENTE</v>
          </cell>
          <cell r="T4154">
            <v>0</v>
          </cell>
          <cell r="U4154" t="str">
            <v>PARI VENTURA  EDSON ORLANDO</v>
          </cell>
          <cell r="V4154" t="str">
            <v>FLOREZ CONDORI  JOSE WILLIANS</v>
          </cell>
        </row>
        <row r="4155">
          <cell r="A4155">
            <v>4170</v>
          </cell>
          <cell r="B4155">
            <v>42749</v>
          </cell>
          <cell r="C4155" t="str">
            <v>ENERO</v>
          </cell>
          <cell r="D4155" t="str">
            <v>2017</v>
          </cell>
          <cell r="E4155">
            <v>831</v>
          </cell>
          <cell r="F4155" t="str">
            <v>AEH-862</v>
          </cell>
          <cell r="G4155" t="str">
            <v>CAMIONETA</v>
          </cell>
          <cell r="H4155" t="str">
            <v>LAS BAMBAS</v>
          </cell>
          <cell r="I4155">
            <v>105705</v>
          </cell>
          <cell r="J4155" t="str">
            <v>REPUESTO</v>
          </cell>
          <cell r="K4155" t="str">
            <v>FILTRO DE ACEITE</v>
          </cell>
          <cell r="L4155">
            <v>1</v>
          </cell>
          <cell r="M4155" t="str">
            <v>UNID.</v>
          </cell>
          <cell r="N4155" t="str">
            <v>CAMIONETA</v>
          </cell>
          <cell r="O4155">
            <v>41</v>
          </cell>
          <cell r="P4155" t="str">
            <v>M6</v>
          </cell>
          <cell r="Q4155" t="str">
            <v>J1</v>
          </cell>
          <cell r="R4155" t="str">
            <v>J8</v>
          </cell>
          <cell r="S4155" t="str">
            <v>PENDIENTE</v>
          </cell>
          <cell r="T4155">
            <v>0</v>
          </cell>
          <cell r="U4155" t="str">
            <v>PARI VENTURA  EDSON ORLANDO</v>
          </cell>
          <cell r="V4155" t="str">
            <v>FLOREZ CONDORI  JOSE WILLIANS</v>
          </cell>
        </row>
        <row r="4156">
          <cell r="A4156">
            <v>4171</v>
          </cell>
          <cell r="B4156">
            <v>42749</v>
          </cell>
          <cell r="C4156" t="str">
            <v>ENERO</v>
          </cell>
          <cell r="D4156" t="str">
            <v>2017</v>
          </cell>
          <cell r="E4156">
            <v>831</v>
          </cell>
          <cell r="F4156" t="str">
            <v>AEH-862</v>
          </cell>
          <cell r="G4156" t="str">
            <v>CAMIONETA</v>
          </cell>
          <cell r="H4156" t="str">
            <v>LAS BAMBAS</v>
          </cell>
          <cell r="I4156">
            <v>105705</v>
          </cell>
          <cell r="J4156" t="str">
            <v>REPUESTO</v>
          </cell>
          <cell r="K4156" t="str">
            <v>FILTRO DE COMBUSTIBLE</v>
          </cell>
          <cell r="L4156">
            <v>1</v>
          </cell>
          <cell r="M4156" t="str">
            <v>UNID.</v>
          </cell>
          <cell r="N4156" t="str">
            <v>CAMIONETA</v>
          </cell>
          <cell r="O4156">
            <v>41</v>
          </cell>
          <cell r="P4156" t="str">
            <v>M6</v>
          </cell>
          <cell r="Q4156" t="str">
            <v>J1</v>
          </cell>
          <cell r="R4156" t="str">
            <v>J8</v>
          </cell>
          <cell r="S4156" t="str">
            <v>PENDIENTE</v>
          </cell>
          <cell r="T4156">
            <v>0</v>
          </cell>
          <cell r="U4156" t="str">
            <v>PARI VENTURA  EDSON ORLANDO</v>
          </cell>
          <cell r="V4156" t="str">
            <v>FLOREZ CONDORI  JOSE WILLIANS</v>
          </cell>
        </row>
        <row r="4157">
          <cell r="A4157">
            <v>4172</v>
          </cell>
          <cell r="B4157">
            <v>42749</v>
          </cell>
          <cell r="C4157" t="str">
            <v>ENERO</v>
          </cell>
          <cell r="D4157" t="str">
            <v>2017</v>
          </cell>
          <cell r="E4157">
            <v>831</v>
          </cell>
          <cell r="F4157" t="str">
            <v>AEH-862</v>
          </cell>
          <cell r="G4157" t="str">
            <v>CAMIONETA</v>
          </cell>
          <cell r="H4157" t="str">
            <v>LAS BAMBAS</v>
          </cell>
          <cell r="I4157">
            <v>105705</v>
          </cell>
          <cell r="J4157" t="str">
            <v>REPUESTO</v>
          </cell>
          <cell r="K4157" t="str">
            <v>FILTRO DE AIRE</v>
          </cell>
          <cell r="L4157">
            <v>1</v>
          </cell>
          <cell r="M4157" t="str">
            <v>UNID.</v>
          </cell>
          <cell r="N4157" t="str">
            <v>CAMIONETA</v>
          </cell>
          <cell r="O4157">
            <v>41</v>
          </cell>
          <cell r="P4157" t="str">
            <v>M6</v>
          </cell>
          <cell r="Q4157" t="str">
            <v>J1</v>
          </cell>
          <cell r="R4157" t="str">
            <v>J8</v>
          </cell>
          <cell r="S4157" t="str">
            <v>PENDIENTE</v>
          </cell>
          <cell r="T4157">
            <v>0</v>
          </cell>
          <cell r="U4157" t="str">
            <v>PARI VENTURA  EDSON ORLANDO</v>
          </cell>
          <cell r="V4157" t="str">
            <v>FLOREZ CONDORI  JOSE WILLIANS</v>
          </cell>
        </row>
        <row r="4158">
          <cell r="A4158">
            <v>4173</v>
          </cell>
          <cell r="B4158">
            <v>42749</v>
          </cell>
          <cell r="C4158" t="str">
            <v>ENERO</v>
          </cell>
          <cell r="D4158" t="str">
            <v>2017</v>
          </cell>
          <cell r="E4158">
            <v>831</v>
          </cell>
          <cell r="F4158" t="str">
            <v>AEH-862</v>
          </cell>
          <cell r="G4158" t="str">
            <v>CAMIONETA</v>
          </cell>
          <cell r="H4158" t="str">
            <v>LAS BAMBAS</v>
          </cell>
          <cell r="I4158">
            <v>105705</v>
          </cell>
          <cell r="J4158" t="str">
            <v>REPUESTO</v>
          </cell>
          <cell r="K4158" t="str">
            <v>ACEITE 15W40</v>
          </cell>
          <cell r="L4158">
            <v>2</v>
          </cell>
          <cell r="M4158" t="str">
            <v>GLNS.</v>
          </cell>
          <cell r="N4158" t="str">
            <v>CAMIONETA</v>
          </cell>
          <cell r="O4158">
            <v>41</v>
          </cell>
          <cell r="P4158" t="str">
            <v>M6</v>
          </cell>
          <cell r="Q4158" t="str">
            <v>J1</v>
          </cell>
          <cell r="R4158" t="str">
            <v>J8</v>
          </cell>
          <cell r="S4158" t="str">
            <v>PENDIENTE</v>
          </cell>
          <cell r="T4158">
            <v>0</v>
          </cell>
          <cell r="U4158" t="str">
            <v>PARI VENTURA  EDSON ORLANDO</v>
          </cell>
          <cell r="V4158" t="str">
            <v>FLOREZ CONDORI  JOSE WILLIANS</v>
          </cell>
        </row>
        <row r="4159">
          <cell r="A4159">
            <v>4174</v>
          </cell>
          <cell r="B4159">
            <v>42749</v>
          </cell>
          <cell r="C4159" t="str">
            <v>ENERO</v>
          </cell>
          <cell r="D4159" t="str">
            <v>2017</v>
          </cell>
          <cell r="E4159">
            <v>831</v>
          </cell>
          <cell r="F4159" t="str">
            <v>AEH-862</v>
          </cell>
          <cell r="G4159" t="str">
            <v>CAMIONETA</v>
          </cell>
          <cell r="H4159" t="str">
            <v>LAS BAMBAS</v>
          </cell>
          <cell r="I4159">
            <v>105705</v>
          </cell>
          <cell r="J4159" t="str">
            <v>REPUESTO</v>
          </cell>
          <cell r="K4159" t="str">
            <v xml:space="preserve">ZAPATAS </v>
          </cell>
          <cell r="L4159">
            <v>1</v>
          </cell>
          <cell r="M4159" t="str">
            <v>JUEGO</v>
          </cell>
          <cell r="N4159" t="str">
            <v>CAMIONETA</v>
          </cell>
          <cell r="O4159">
            <v>41</v>
          </cell>
          <cell r="P4159" t="str">
            <v>M6</v>
          </cell>
          <cell r="Q4159" t="str">
            <v>J1</v>
          </cell>
          <cell r="R4159" t="str">
            <v>J8</v>
          </cell>
          <cell r="S4159" t="str">
            <v>PENDIENTE</v>
          </cell>
          <cell r="T4159">
            <v>0</v>
          </cell>
          <cell r="U4159" t="str">
            <v>PARI VENTURA  EDSON ORLANDO</v>
          </cell>
          <cell r="V4159" t="str">
            <v>FLOREZ CONDORI  JOSE WILLIANS</v>
          </cell>
        </row>
        <row r="4160">
          <cell r="A4160">
            <v>4144</v>
          </cell>
          <cell r="B4160">
            <v>42749</v>
          </cell>
          <cell r="C4160" t="str">
            <v>ENERO</v>
          </cell>
          <cell r="D4160" t="str">
            <v>2017</v>
          </cell>
          <cell r="E4160">
            <v>825</v>
          </cell>
          <cell r="F4160" t="str">
            <v>AMT-866</v>
          </cell>
          <cell r="G4160" t="str">
            <v>CAMIONETA</v>
          </cell>
          <cell r="H4160" t="str">
            <v>LAS BAMBAS</v>
          </cell>
          <cell r="I4160">
            <v>41239</v>
          </cell>
          <cell r="J4160" t="str">
            <v>REPUESTO</v>
          </cell>
          <cell r="K4160" t="str">
            <v>FILTRO DE ACEITE</v>
          </cell>
          <cell r="L4160">
            <v>1</v>
          </cell>
          <cell r="M4160" t="str">
            <v>UNID.</v>
          </cell>
          <cell r="N4160" t="str">
            <v>CAMIONETA</v>
          </cell>
          <cell r="O4160">
            <v>41</v>
          </cell>
          <cell r="P4160" t="str">
            <v>J1</v>
          </cell>
          <cell r="Q4160" t="str">
            <v>J1</v>
          </cell>
          <cell r="R4160" t="str">
            <v>J5</v>
          </cell>
          <cell r="S4160" t="str">
            <v>PENDIENTE</v>
          </cell>
          <cell r="T4160">
            <v>0</v>
          </cell>
          <cell r="U4160" t="str">
            <v>FLOREZ CONDORI  JOSE WILLIANS</v>
          </cell>
          <cell r="V4160" t="str">
            <v>FLOREZ CONDORI  JOSE WILLIANS</v>
          </cell>
        </row>
        <row r="4161">
          <cell r="A4161">
            <v>4145</v>
          </cell>
          <cell r="B4161">
            <v>42749</v>
          </cell>
          <cell r="C4161" t="str">
            <v>ENERO</v>
          </cell>
          <cell r="D4161" t="str">
            <v>2017</v>
          </cell>
          <cell r="E4161">
            <v>825</v>
          </cell>
          <cell r="F4161" t="str">
            <v>AMT-866</v>
          </cell>
          <cell r="G4161" t="str">
            <v>CAMIONETA</v>
          </cell>
          <cell r="H4161" t="str">
            <v>LAS BAMBAS</v>
          </cell>
          <cell r="I4161">
            <v>41239</v>
          </cell>
          <cell r="J4161" t="str">
            <v>REPUESTO</v>
          </cell>
          <cell r="K4161" t="str">
            <v>FILTRO DE COMBUSTIBLE</v>
          </cell>
          <cell r="L4161">
            <v>1</v>
          </cell>
          <cell r="M4161" t="str">
            <v>UNID.</v>
          </cell>
          <cell r="N4161" t="str">
            <v>CAMIONETA</v>
          </cell>
          <cell r="O4161">
            <v>41</v>
          </cell>
          <cell r="P4161" t="str">
            <v>J1</v>
          </cell>
          <cell r="Q4161" t="str">
            <v>J1</v>
          </cell>
          <cell r="R4161" t="str">
            <v>J5</v>
          </cell>
          <cell r="S4161" t="str">
            <v>PENDIENTE</v>
          </cell>
          <cell r="T4161">
            <v>0</v>
          </cell>
          <cell r="U4161" t="str">
            <v>FLOREZ CONDORI  JOSE WILLIANS</v>
          </cell>
          <cell r="V4161" t="str">
            <v>FLOREZ CONDORI  JOSE WILLIANS</v>
          </cell>
        </row>
        <row r="4162">
          <cell r="A4162">
            <v>4146</v>
          </cell>
          <cell r="B4162">
            <v>42749</v>
          </cell>
          <cell r="C4162" t="str">
            <v>ENERO</v>
          </cell>
          <cell r="D4162" t="str">
            <v>2017</v>
          </cell>
          <cell r="E4162">
            <v>825</v>
          </cell>
          <cell r="F4162" t="str">
            <v>AMT-866</v>
          </cell>
          <cell r="G4162" t="str">
            <v>CAMIONETA</v>
          </cell>
          <cell r="H4162" t="str">
            <v>LAS BAMBAS</v>
          </cell>
          <cell r="I4162">
            <v>41239</v>
          </cell>
          <cell r="J4162" t="str">
            <v>REPUESTO</v>
          </cell>
          <cell r="K4162" t="str">
            <v>FILTRO DE AIRE</v>
          </cell>
          <cell r="L4162">
            <v>1</v>
          </cell>
          <cell r="M4162" t="str">
            <v>UNID.</v>
          </cell>
          <cell r="N4162" t="str">
            <v>CAMIONETA</v>
          </cell>
          <cell r="O4162">
            <v>41</v>
          </cell>
          <cell r="P4162" t="str">
            <v>J1</v>
          </cell>
          <cell r="Q4162" t="str">
            <v>J1</v>
          </cell>
          <cell r="R4162" t="str">
            <v>J5</v>
          </cell>
          <cell r="S4162" t="str">
            <v>PENDIENTE</v>
          </cell>
          <cell r="T4162">
            <v>0</v>
          </cell>
          <cell r="U4162" t="str">
            <v>FLOREZ CONDORI  JOSE WILLIANS</v>
          </cell>
          <cell r="V4162" t="str">
            <v>FLOREZ CONDORI  JOSE WILLIANS</v>
          </cell>
        </row>
        <row r="4163">
          <cell r="A4163">
            <v>4147</v>
          </cell>
          <cell r="B4163">
            <v>42749</v>
          </cell>
          <cell r="C4163" t="str">
            <v>ENERO</v>
          </cell>
          <cell r="D4163" t="str">
            <v>2017</v>
          </cell>
          <cell r="E4163">
            <v>825</v>
          </cell>
          <cell r="F4163" t="str">
            <v>AMT-866</v>
          </cell>
          <cell r="G4163" t="str">
            <v>CAMIONETA</v>
          </cell>
          <cell r="H4163" t="str">
            <v>LAS BAMBAS</v>
          </cell>
          <cell r="I4163">
            <v>41239</v>
          </cell>
          <cell r="J4163" t="str">
            <v>REPUESTO</v>
          </cell>
          <cell r="K4163" t="str">
            <v>ACEITE 15W40</v>
          </cell>
          <cell r="L4163">
            <v>2</v>
          </cell>
          <cell r="M4163" t="str">
            <v>GLNS.</v>
          </cell>
          <cell r="N4163" t="str">
            <v>CAMIONETA</v>
          </cell>
          <cell r="O4163">
            <v>41</v>
          </cell>
          <cell r="P4163" t="str">
            <v>J1</v>
          </cell>
          <cell r="Q4163" t="str">
            <v>J1</v>
          </cell>
          <cell r="R4163" t="str">
            <v>J5</v>
          </cell>
          <cell r="S4163" t="str">
            <v>PENDIENTE</v>
          </cell>
          <cell r="T4163">
            <v>0</v>
          </cell>
          <cell r="U4163" t="str">
            <v>FLOREZ CONDORI  JOSE WILLIANS</v>
          </cell>
          <cell r="V4163" t="str">
            <v>FLOREZ CONDORI  JOSE WILLIANS</v>
          </cell>
        </row>
        <row r="4164">
          <cell r="A4164">
            <v>4153</v>
          </cell>
          <cell r="B4164">
            <v>42749</v>
          </cell>
          <cell r="C4164" t="str">
            <v>ENERO</v>
          </cell>
          <cell r="D4164" t="str">
            <v>2017</v>
          </cell>
          <cell r="E4164">
            <v>748</v>
          </cell>
          <cell r="F4164" t="str">
            <v>C5R-896</v>
          </cell>
          <cell r="G4164" t="str">
            <v>A0U-977</v>
          </cell>
          <cell r="H4164" t="str">
            <v>LAS BAMBAS</v>
          </cell>
          <cell r="I4164">
            <v>215026</v>
          </cell>
          <cell r="J4164" t="str">
            <v>REPUESTO</v>
          </cell>
          <cell r="K4164" t="str">
            <v>VALVULA DE DESCARGA</v>
          </cell>
          <cell r="L4164">
            <v>1</v>
          </cell>
          <cell r="M4164" t="str">
            <v>UNID.</v>
          </cell>
          <cell r="N4164" t="str">
            <v>TRACTO</v>
          </cell>
          <cell r="O4164">
            <v>41</v>
          </cell>
          <cell r="P4164" t="str">
            <v>J7</v>
          </cell>
          <cell r="Q4164" t="str">
            <v>J7</v>
          </cell>
          <cell r="R4164" t="str">
            <v>j5</v>
          </cell>
          <cell r="S4164" t="str">
            <v>PENDIENTE</v>
          </cell>
          <cell r="T4164">
            <v>0</v>
          </cell>
          <cell r="U4164" t="str">
            <v>DONAYRE INGA PEDRO</v>
          </cell>
          <cell r="V4164" t="str">
            <v>DONAYRE INGA PEDRO</v>
          </cell>
        </row>
        <row r="4165">
          <cell r="A4165">
            <v>4161</v>
          </cell>
          <cell r="B4165">
            <v>42749</v>
          </cell>
          <cell r="C4165" t="str">
            <v>ENERO</v>
          </cell>
          <cell r="D4165" t="str">
            <v>2017</v>
          </cell>
          <cell r="E4165">
            <v>748</v>
          </cell>
          <cell r="F4165" t="str">
            <v>C5R-896</v>
          </cell>
          <cell r="G4165" t="str">
            <v>A0U-977</v>
          </cell>
          <cell r="H4165" t="str">
            <v>LAS BAMBAS</v>
          </cell>
          <cell r="I4165">
            <v>215026</v>
          </cell>
          <cell r="J4165" t="str">
            <v>REPUESTO</v>
          </cell>
          <cell r="K4165" t="str">
            <v>FOCOS NEBLINEROS 896</v>
          </cell>
          <cell r="L4165">
            <v>2</v>
          </cell>
          <cell r="M4165" t="str">
            <v>UNID.</v>
          </cell>
          <cell r="N4165" t="str">
            <v>TRACTO</v>
          </cell>
          <cell r="O4165">
            <v>41</v>
          </cell>
          <cell r="P4165" t="str">
            <v>E2</v>
          </cell>
          <cell r="Q4165" t="str">
            <v>J7</v>
          </cell>
          <cell r="R4165" t="str">
            <v>J5</v>
          </cell>
          <cell r="S4165" t="str">
            <v>PENDIENTE</v>
          </cell>
          <cell r="T4165">
            <v>0</v>
          </cell>
          <cell r="U4165" t="str">
            <v>YUCA BELLIDO BORIS YERSY</v>
          </cell>
          <cell r="V4165" t="str">
            <v>DONAYRE INGA PEDRO</v>
          </cell>
        </row>
        <row r="4166">
          <cell r="A4166">
            <v>4165</v>
          </cell>
          <cell r="B4166">
            <v>42749</v>
          </cell>
          <cell r="C4166" t="str">
            <v>ENERO</v>
          </cell>
          <cell r="D4166" t="str">
            <v>2017</v>
          </cell>
          <cell r="E4166">
            <v>748</v>
          </cell>
          <cell r="F4166" t="str">
            <v>C5R-896</v>
          </cell>
          <cell r="G4166" t="str">
            <v>A0U-977</v>
          </cell>
          <cell r="H4166" t="str">
            <v>LAS BAMBAS</v>
          </cell>
          <cell r="I4166">
            <v>215026</v>
          </cell>
          <cell r="J4166" t="str">
            <v>REPUESTO</v>
          </cell>
          <cell r="K4166" t="str">
            <v xml:space="preserve">CINTA REFLECTIVA </v>
          </cell>
          <cell r="L4166">
            <v>0.6</v>
          </cell>
          <cell r="M4166" t="str">
            <v>M</v>
          </cell>
          <cell r="N4166" t="str">
            <v>CISTERNA</v>
          </cell>
          <cell r="O4166">
            <v>41</v>
          </cell>
          <cell r="P4166" t="str">
            <v>S1</v>
          </cell>
          <cell r="Q4166" t="str">
            <v>J7</v>
          </cell>
          <cell r="R4166" t="str">
            <v>J5</v>
          </cell>
          <cell r="S4166" t="str">
            <v>PENDIENTE</v>
          </cell>
          <cell r="T4166">
            <v>0</v>
          </cell>
          <cell r="U4166" t="str">
            <v>BAYONA CRUZ CRISTIAN ARMANDO</v>
          </cell>
          <cell r="V4166" t="str">
            <v>DONAYRE INGA PEDRO</v>
          </cell>
        </row>
        <row r="4167">
          <cell r="A4167">
            <v>4167</v>
          </cell>
          <cell r="B4167">
            <v>42749</v>
          </cell>
          <cell r="C4167" t="str">
            <v>ENERO</v>
          </cell>
          <cell r="D4167" t="str">
            <v>2017</v>
          </cell>
          <cell r="E4167">
            <v>830</v>
          </cell>
          <cell r="F4167" t="str">
            <v>C5R-896</v>
          </cell>
          <cell r="G4167" t="str">
            <v>A0U-977</v>
          </cell>
          <cell r="H4167" t="str">
            <v>LAS BAMBAS</v>
          </cell>
          <cell r="I4167">
            <v>216315</v>
          </cell>
          <cell r="J4167" t="str">
            <v>REPUESTO</v>
          </cell>
          <cell r="K4167" t="str">
            <v>FARO LATERAL RECTANGULAR AMBAR</v>
          </cell>
          <cell r="L4167">
            <v>1</v>
          </cell>
          <cell r="M4167" t="str">
            <v>UNID.</v>
          </cell>
          <cell r="N4167" t="str">
            <v>TRACTO</v>
          </cell>
          <cell r="O4167">
            <v>41</v>
          </cell>
          <cell r="P4167" t="str">
            <v>E2</v>
          </cell>
          <cell r="Q4167" t="str">
            <v>J7</v>
          </cell>
          <cell r="R4167" t="str">
            <v>J8</v>
          </cell>
          <cell r="S4167" t="str">
            <v>PENDIENTE</v>
          </cell>
          <cell r="T4167">
            <v>0</v>
          </cell>
          <cell r="U4167" t="str">
            <v>YUCA BELLIDO BORIS YERSY</v>
          </cell>
          <cell r="V4167" t="str">
            <v>DONAYRE INGA PEDRO</v>
          </cell>
        </row>
        <row r="4168">
          <cell r="A4168">
            <v>4152</v>
          </cell>
          <cell r="B4168">
            <v>42749</v>
          </cell>
          <cell r="C4168" t="str">
            <v>ENERO</v>
          </cell>
          <cell r="D4168" t="str">
            <v>2017</v>
          </cell>
          <cell r="E4168">
            <v>828</v>
          </cell>
          <cell r="F4168" t="str">
            <v>C9M-902</v>
          </cell>
          <cell r="G4168" t="str">
            <v>B8L-970</v>
          </cell>
          <cell r="H4168" t="str">
            <v>LAS BAMBAS</v>
          </cell>
          <cell r="I4168">
            <v>213823</v>
          </cell>
          <cell r="J4168" t="str">
            <v>REPUESTO</v>
          </cell>
          <cell r="K4168" t="str">
            <v>TERMINALES DE COBRE 3/8 (SEGÚN MUESTRA)</v>
          </cell>
          <cell r="L4168">
            <v>18</v>
          </cell>
          <cell r="M4168" t="str">
            <v>UNID.</v>
          </cell>
          <cell r="N4168" t="str">
            <v>TRACTO</v>
          </cell>
          <cell r="O4168">
            <v>41</v>
          </cell>
          <cell r="P4168" t="str">
            <v>E2</v>
          </cell>
          <cell r="Q4168" t="str">
            <v>j1</v>
          </cell>
          <cell r="R4168" t="str">
            <v>j5</v>
          </cell>
          <cell r="S4168" t="str">
            <v>PENDIENTE</v>
          </cell>
          <cell r="T4168">
            <v>0</v>
          </cell>
          <cell r="U4168" t="str">
            <v>YUCA BELLIDO BORIS YERSY</v>
          </cell>
          <cell r="V4168" t="str">
            <v>FLOREZ CONDORI  JOSE WILLIANS</v>
          </cell>
        </row>
        <row r="4169">
          <cell r="A4169">
            <v>4150</v>
          </cell>
          <cell r="B4169">
            <v>42749</v>
          </cell>
          <cell r="C4169" t="str">
            <v>ENERO</v>
          </cell>
          <cell r="D4169" t="str">
            <v>2017</v>
          </cell>
          <cell r="E4169">
            <v>826</v>
          </cell>
          <cell r="F4169" t="str">
            <v>D3O-745</v>
          </cell>
          <cell r="G4169" t="str">
            <v>F3L-979</v>
          </cell>
          <cell r="H4169" t="str">
            <v>LAS BAMBAS</v>
          </cell>
          <cell r="I4169">
            <v>164460</v>
          </cell>
          <cell r="J4169" t="str">
            <v>REPUESTO</v>
          </cell>
          <cell r="K4169" t="str">
            <v>LLANTAS REENCAUCHADAS IZY2</v>
          </cell>
          <cell r="L4169">
            <v>2</v>
          </cell>
          <cell r="M4169" t="str">
            <v>UNID.</v>
          </cell>
          <cell r="N4169" t="str">
            <v>CISTERNA</v>
          </cell>
          <cell r="O4169">
            <v>41</v>
          </cell>
          <cell r="P4169" t="str">
            <v>n2</v>
          </cell>
          <cell r="Q4169" t="str">
            <v>j1</v>
          </cell>
          <cell r="R4169" t="str">
            <v>j5</v>
          </cell>
          <cell r="S4169" t="str">
            <v>PENDIENTE</v>
          </cell>
          <cell r="T4169">
            <v>0</v>
          </cell>
          <cell r="U4169" t="str">
            <v>MAMANI LARICO  EDUARDO ALVARO</v>
          </cell>
          <cell r="V4169" t="str">
            <v>FLOREZ CONDORI  JOSE WILLIANS</v>
          </cell>
        </row>
        <row r="4170">
          <cell r="A4170">
            <v>4155</v>
          </cell>
          <cell r="B4170">
            <v>42749</v>
          </cell>
          <cell r="C4170" t="str">
            <v>ENERO</v>
          </cell>
          <cell r="D4170" t="str">
            <v>2017</v>
          </cell>
          <cell r="E4170">
            <v>826</v>
          </cell>
          <cell r="F4170" t="str">
            <v>D3O-745</v>
          </cell>
          <cell r="G4170" t="str">
            <v>F3L-979</v>
          </cell>
          <cell r="H4170" t="str">
            <v>LAS BAMBAS</v>
          </cell>
          <cell r="I4170">
            <v>164460</v>
          </cell>
          <cell r="J4170" t="str">
            <v>SERVICIO</v>
          </cell>
          <cell r="K4170" t="str">
            <v>REPARACION DE ARRANCADOR</v>
          </cell>
          <cell r="L4170">
            <v>1</v>
          </cell>
          <cell r="M4170" t="str">
            <v>UNID.</v>
          </cell>
          <cell r="N4170" t="str">
            <v>TRACTO</v>
          </cell>
          <cell r="O4170">
            <v>41</v>
          </cell>
          <cell r="P4170" t="str">
            <v>J7</v>
          </cell>
          <cell r="Q4170" t="str">
            <v>J7</v>
          </cell>
          <cell r="R4170" t="str">
            <v>j5</v>
          </cell>
          <cell r="S4170" t="str">
            <v>PENDIENTE</v>
          </cell>
          <cell r="T4170">
            <v>0</v>
          </cell>
          <cell r="U4170" t="str">
            <v>DONAYRE INGA PEDRO</v>
          </cell>
          <cell r="V4170" t="str">
            <v>DONAYRE INGA PEDRO</v>
          </cell>
        </row>
        <row r="4171">
          <cell r="A4171">
            <v>4168</v>
          </cell>
          <cell r="B4171">
            <v>42749</v>
          </cell>
          <cell r="C4171" t="str">
            <v>ENERO</v>
          </cell>
          <cell r="D4171" t="str">
            <v>2017</v>
          </cell>
          <cell r="E4171">
            <v>808</v>
          </cell>
          <cell r="F4171" t="str">
            <v>D3P-743</v>
          </cell>
          <cell r="G4171" t="str">
            <v>B8L-972</v>
          </cell>
          <cell r="H4171" t="str">
            <v>LAS BAMBAS</v>
          </cell>
          <cell r="I4171">
            <v>188419</v>
          </cell>
          <cell r="J4171" t="str">
            <v>REPUESTO</v>
          </cell>
          <cell r="K4171" t="str">
            <v>DISCO DE DEBASTE 7"</v>
          </cell>
          <cell r="L4171">
            <v>1</v>
          </cell>
          <cell r="M4171" t="str">
            <v>UNID.</v>
          </cell>
          <cell r="N4171" t="str">
            <v>CISTERNA</v>
          </cell>
          <cell r="O4171">
            <v>41</v>
          </cell>
          <cell r="P4171" t="str">
            <v>S1</v>
          </cell>
          <cell r="Q4171" t="str">
            <v>J7</v>
          </cell>
          <cell r="R4171" t="str">
            <v>J5</v>
          </cell>
          <cell r="S4171" t="str">
            <v>PENDIENTE</v>
          </cell>
          <cell r="T4171">
            <v>0</v>
          </cell>
          <cell r="U4171" t="str">
            <v>BAYONA CRUZ CRISTIAN ARMANDO</v>
          </cell>
          <cell r="V4171" t="str">
            <v>DONAYRE INGA PEDRO</v>
          </cell>
        </row>
        <row r="4172">
          <cell r="A4172">
            <v>4175</v>
          </cell>
          <cell r="B4172">
            <v>42749</v>
          </cell>
          <cell r="C4172" t="str">
            <v>ENERO</v>
          </cell>
          <cell r="D4172" t="str">
            <v>2017</v>
          </cell>
          <cell r="E4172">
            <v>808</v>
          </cell>
          <cell r="F4172" t="str">
            <v>D3P-743</v>
          </cell>
          <cell r="G4172" t="str">
            <v>B8L-972</v>
          </cell>
          <cell r="H4172" t="str">
            <v>LAS BAMBAS</v>
          </cell>
          <cell r="I4172">
            <v>188419</v>
          </cell>
          <cell r="J4172" t="str">
            <v>REPUESTO</v>
          </cell>
          <cell r="K4172" t="str">
            <v>SUPERCITO 5/32</v>
          </cell>
          <cell r="L4172">
            <v>2</v>
          </cell>
          <cell r="M4172" t="str">
            <v>KG.</v>
          </cell>
          <cell r="N4172" t="str">
            <v>CISTERNA</v>
          </cell>
          <cell r="O4172">
            <v>41</v>
          </cell>
          <cell r="P4172" t="str">
            <v>S1</v>
          </cell>
          <cell r="Q4172" t="str">
            <v>J1</v>
          </cell>
          <cell r="R4172" t="str">
            <v>J1</v>
          </cell>
          <cell r="S4172" t="str">
            <v>PENDIENTE</v>
          </cell>
          <cell r="T4172">
            <v>0</v>
          </cell>
          <cell r="U4172" t="str">
            <v>BAYONA CRUZ CRISTIAN ARMANDO</v>
          </cell>
          <cell r="V4172" t="str">
            <v>FLOREZ CONDORI  JOSE WILLIANS</v>
          </cell>
        </row>
        <row r="4173">
          <cell r="A4173">
            <v>4176</v>
          </cell>
          <cell r="B4173">
            <v>42749</v>
          </cell>
          <cell r="C4173" t="str">
            <v>ENERO</v>
          </cell>
          <cell r="D4173" t="str">
            <v>2017</v>
          </cell>
          <cell r="E4173">
            <v>714</v>
          </cell>
          <cell r="F4173" t="str">
            <v>D3P-747</v>
          </cell>
          <cell r="G4173" t="str">
            <v>A0T-985</v>
          </cell>
          <cell r="H4173" t="str">
            <v>LAS BAMBAS</v>
          </cell>
          <cell r="I4173">
            <v>187778</v>
          </cell>
          <cell r="J4173" t="str">
            <v>REPUESTO</v>
          </cell>
          <cell r="K4173" t="str">
            <v>ESPARRAGOS DE RUEDA</v>
          </cell>
          <cell r="L4173">
            <v>10</v>
          </cell>
          <cell r="M4173" t="str">
            <v>UNID.</v>
          </cell>
          <cell r="N4173" t="str">
            <v>CISTERNA</v>
          </cell>
          <cell r="O4173">
            <v>41</v>
          </cell>
          <cell r="P4173" t="str">
            <v>S1</v>
          </cell>
          <cell r="Q4173" t="str">
            <v>J1</v>
          </cell>
          <cell r="R4173" t="str">
            <v>J1</v>
          </cell>
          <cell r="S4173" t="str">
            <v>PENDIENTE</v>
          </cell>
          <cell r="T4173">
            <v>0</v>
          </cell>
          <cell r="U4173" t="str">
            <v>BAYONA CRUZ CRISTIAN ARMANDO</v>
          </cell>
          <cell r="V4173" t="str">
            <v>FLOREZ CONDORI  JOSE WILLIANS</v>
          </cell>
        </row>
        <row r="4174">
          <cell r="A4174">
            <v>4166</v>
          </cell>
          <cell r="B4174">
            <v>42749</v>
          </cell>
          <cell r="C4174" t="str">
            <v>ENERO</v>
          </cell>
          <cell r="D4174" t="str">
            <v>2017</v>
          </cell>
          <cell r="E4174">
            <v>653</v>
          </cell>
          <cell r="F4174" t="str">
            <v>D4W-805</v>
          </cell>
          <cell r="G4174" t="str">
            <v>CAMIONETA</v>
          </cell>
          <cell r="H4174" t="str">
            <v>MANTENIMIENTO</v>
          </cell>
          <cell r="I4174">
            <v>0</v>
          </cell>
          <cell r="J4174" t="str">
            <v>REPUESTO</v>
          </cell>
          <cell r="K4174" t="str">
            <v>JUEGO ZAPATAS</v>
          </cell>
          <cell r="L4174">
            <v>1</v>
          </cell>
          <cell r="M4174" t="str">
            <v>UNID.</v>
          </cell>
          <cell r="N4174" t="str">
            <v>CAMIONETA</v>
          </cell>
          <cell r="O4174">
            <v>41</v>
          </cell>
          <cell r="P4174" t="str">
            <v>E3</v>
          </cell>
          <cell r="Q4174" t="str">
            <v>J7</v>
          </cell>
          <cell r="R4174" t="str">
            <v>J8</v>
          </cell>
          <cell r="S4174" t="str">
            <v>PENDIENTE</v>
          </cell>
          <cell r="T4174">
            <v>0</v>
          </cell>
          <cell r="U4174" t="str">
            <v>CONDORI CHURATA ALEX</v>
          </cell>
          <cell r="V4174" t="str">
            <v>DONAYRE INGA PEDRO</v>
          </cell>
        </row>
        <row r="4175">
          <cell r="A4175">
            <v>4151</v>
          </cell>
          <cell r="B4175">
            <v>42749</v>
          </cell>
          <cell r="C4175" t="str">
            <v>ENERO</v>
          </cell>
          <cell r="D4175" t="str">
            <v>2017</v>
          </cell>
          <cell r="E4175">
            <v>200</v>
          </cell>
          <cell r="F4175" t="str">
            <v>TALLER</v>
          </cell>
          <cell r="G4175" t="str">
            <v>TALLER</v>
          </cell>
          <cell r="H4175" t="str">
            <v>TALLER</v>
          </cell>
          <cell r="I4175" t="str">
            <v>TALLER</v>
          </cell>
          <cell r="J4175" t="str">
            <v>REPUESTO</v>
          </cell>
          <cell r="K4175" t="str">
            <v>VALVULAS PARA PITON</v>
          </cell>
          <cell r="L4175">
            <v>4</v>
          </cell>
          <cell r="M4175" t="str">
            <v>UNID.</v>
          </cell>
          <cell r="N4175" t="str">
            <v>TRACTO</v>
          </cell>
          <cell r="O4175">
            <v>41</v>
          </cell>
          <cell r="P4175" t="str">
            <v>n2</v>
          </cell>
          <cell r="Q4175" t="str">
            <v>j1</v>
          </cell>
          <cell r="R4175" t="str">
            <v>j5</v>
          </cell>
          <cell r="S4175" t="str">
            <v>PENDIENTE</v>
          </cell>
          <cell r="T4175">
            <v>0</v>
          </cell>
          <cell r="U4175" t="str">
            <v>MAMANI LARICO  EDUARDO ALVARO</v>
          </cell>
          <cell r="V4175" t="str">
            <v>FLOREZ CONDORI  JOSE WILLIANS</v>
          </cell>
        </row>
        <row r="4176">
          <cell r="A4176">
            <v>4154</v>
          </cell>
          <cell r="B4176">
            <v>42749</v>
          </cell>
          <cell r="C4176" t="str">
            <v>ENERO</v>
          </cell>
          <cell r="D4176" t="str">
            <v>2017</v>
          </cell>
          <cell r="E4176">
            <v>200</v>
          </cell>
          <cell r="F4176" t="str">
            <v>TALLER</v>
          </cell>
          <cell r="G4176" t="str">
            <v>TALLER</v>
          </cell>
          <cell r="H4176" t="str">
            <v>TALLER</v>
          </cell>
          <cell r="I4176" t="str">
            <v>TALLER</v>
          </cell>
          <cell r="J4176" t="str">
            <v>INSUMO TALLER</v>
          </cell>
          <cell r="K4176" t="str">
            <v>TIZA PARA CALDERO</v>
          </cell>
          <cell r="L4176">
            <v>1</v>
          </cell>
          <cell r="M4176" t="str">
            <v>UNID.</v>
          </cell>
          <cell r="N4176" t="str">
            <v>TRACTO</v>
          </cell>
          <cell r="O4176">
            <v>41</v>
          </cell>
          <cell r="P4176" t="str">
            <v>J7</v>
          </cell>
          <cell r="Q4176" t="str">
            <v>J7</v>
          </cell>
          <cell r="R4176" t="str">
            <v>j5</v>
          </cell>
          <cell r="S4176" t="str">
            <v>PENDIENTE</v>
          </cell>
          <cell r="T4176">
            <v>0</v>
          </cell>
          <cell r="U4176" t="str">
            <v>DONAYRE INGA PEDRO</v>
          </cell>
          <cell r="V4176" t="str">
            <v>DONAYRE INGA PEDRO</v>
          </cell>
        </row>
        <row r="4177">
          <cell r="A4177">
            <v>4162</v>
          </cell>
          <cell r="B4177">
            <v>42749</v>
          </cell>
          <cell r="C4177" t="str">
            <v>ENERO</v>
          </cell>
          <cell r="D4177" t="str">
            <v>2017</v>
          </cell>
          <cell r="E4177">
            <v>821</v>
          </cell>
          <cell r="F4177" t="str">
            <v>X2W-788</v>
          </cell>
          <cell r="G4177" t="str">
            <v>C5V-994</v>
          </cell>
          <cell r="H4177" t="str">
            <v>LAS BAMBAS</v>
          </cell>
          <cell r="I4177">
            <v>144306</v>
          </cell>
          <cell r="J4177" t="str">
            <v>REPUESTO</v>
          </cell>
          <cell r="K4177" t="str">
            <v>LLANTAS REENCAUCHADAS</v>
          </cell>
          <cell r="L4177">
            <v>2</v>
          </cell>
          <cell r="M4177" t="str">
            <v>UNID.</v>
          </cell>
          <cell r="N4177" t="str">
            <v>TRACTO</v>
          </cell>
          <cell r="O4177">
            <v>41</v>
          </cell>
          <cell r="P4177" t="str">
            <v>N2</v>
          </cell>
          <cell r="Q4177" t="str">
            <v>J7</v>
          </cell>
          <cell r="R4177" t="str">
            <v>J5</v>
          </cell>
          <cell r="S4177" t="str">
            <v>PENDIENTE</v>
          </cell>
          <cell r="T4177">
            <v>0</v>
          </cell>
          <cell r="U4177" t="str">
            <v>MAMANI LARICO  EDUARDO ALVARO</v>
          </cell>
          <cell r="V4177" t="str">
            <v>DONAYRE INGA PEDRO</v>
          </cell>
        </row>
        <row r="4178">
          <cell r="A4178">
            <v>4247</v>
          </cell>
          <cell r="B4178">
            <v>42751</v>
          </cell>
          <cell r="C4178" t="str">
            <v>ENERO</v>
          </cell>
          <cell r="D4178" t="str">
            <v>2017</v>
          </cell>
          <cell r="E4178">
            <v>850</v>
          </cell>
          <cell r="F4178" t="str">
            <v>ABQ-703</v>
          </cell>
          <cell r="G4178" t="str">
            <v>D0Z-994</v>
          </cell>
          <cell r="H4178" t="str">
            <v>LAS BAMBAS</v>
          </cell>
          <cell r="I4178">
            <v>107825</v>
          </cell>
          <cell r="J4178" t="str">
            <v>REPUESTO</v>
          </cell>
          <cell r="K4178" t="str">
            <v>FILTRO DE COMBUSTIBLE PRIMARIO</v>
          </cell>
          <cell r="L4178">
            <v>1</v>
          </cell>
          <cell r="M4178" t="str">
            <v>UNID.</v>
          </cell>
          <cell r="N4178" t="str">
            <v>TRACTO</v>
          </cell>
          <cell r="O4178">
            <v>39</v>
          </cell>
          <cell r="P4178" t="str">
            <v>M4</v>
          </cell>
          <cell r="Q4178" t="str">
            <v>J1</v>
          </cell>
          <cell r="R4178" t="str">
            <v>J8</v>
          </cell>
          <cell r="S4178" t="str">
            <v>PENDIENTE</v>
          </cell>
          <cell r="T4178">
            <v>0</v>
          </cell>
          <cell r="U4178" t="str">
            <v>JULLIRI APAZA UBALDO</v>
          </cell>
          <cell r="V4178" t="str">
            <v>FLOREZ CONDORI  JOSE WILLIANS</v>
          </cell>
        </row>
        <row r="4179">
          <cell r="A4179">
            <v>4248</v>
          </cell>
          <cell r="B4179">
            <v>42751</v>
          </cell>
          <cell r="C4179" t="str">
            <v>ENERO</v>
          </cell>
          <cell r="D4179" t="str">
            <v>2017</v>
          </cell>
          <cell r="E4179">
            <v>850</v>
          </cell>
          <cell r="F4179" t="str">
            <v>ABQ-703</v>
          </cell>
          <cell r="G4179" t="str">
            <v>D0Z-994</v>
          </cell>
          <cell r="H4179" t="str">
            <v>LAS BAMBAS</v>
          </cell>
          <cell r="I4179">
            <v>107825</v>
          </cell>
          <cell r="J4179" t="str">
            <v>REPUESTO</v>
          </cell>
          <cell r="K4179" t="str">
            <v>FILTRO SEPARADOR DE AGUA SECUNDARIO</v>
          </cell>
          <cell r="L4179">
            <v>1</v>
          </cell>
          <cell r="M4179" t="str">
            <v>UNID.</v>
          </cell>
          <cell r="N4179" t="str">
            <v>TRACTO</v>
          </cell>
          <cell r="O4179">
            <v>39</v>
          </cell>
          <cell r="P4179" t="str">
            <v>M4</v>
          </cell>
          <cell r="Q4179" t="str">
            <v>J1</v>
          </cell>
          <cell r="R4179" t="str">
            <v>J8</v>
          </cell>
          <cell r="S4179" t="str">
            <v>PENDIENTE</v>
          </cell>
          <cell r="T4179">
            <v>0</v>
          </cell>
          <cell r="U4179" t="str">
            <v>JULLIRI APAZA UBALDO</v>
          </cell>
          <cell r="V4179" t="str">
            <v>FLOREZ CONDORI  JOSE WILLIANS</v>
          </cell>
        </row>
        <row r="4180">
          <cell r="A4180">
            <v>4249</v>
          </cell>
          <cell r="B4180">
            <v>42751</v>
          </cell>
          <cell r="C4180" t="str">
            <v>ENERO</v>
          </cell>
          <cell r="D4180" t="str">
            <v>2017</v>
          </cell>
          <cell r="E4180">
            <v>850</v>
          </cell>
          <cell r="F4180" t="str">
            <v>ABQ-703</v>
          </cell>
          <cell r="G4180" t="str">
            <v>D0Z-994</v>
          </cell>
          <cell r="H4180" t="str">
            <v>LAS BAMBAS</v>
          </cell>
          <cell r="I4180">
            <v>107825</v>
          </cell>
          <cell r="J4180" t="str">
            <v>REPUESTO</v>
          </cell>
          <cell r="K4180" t="str">
            <v>FILTRO DE ACEITE</v>
          </cell>
          <cell r="L4180">
            <v>2</v>
          </cell>
          <cell r="M4180" t="str">
            <v>UNID.</v>
          </cell>
          <cell r="N4180" t="str">
            <v>TRACTO</v>
          </cell>
          <cell r="O4180">
            <v>39</v>
          </cell>
          <cell r="P4180" t="str">
            <v>M4</v>
          </cell>
          <cell r="Q4180" t="str">
            <v>J1</v>
          </cell>
          <cell r="R4180" t="str">
            <v>J8</v>
          </cell>
          <cell r="S4180" t="str">
            <v>PENDIENTE</v>
          </cell>
          <cell r="T4180">
            <v>0</v>
          </cell>
          <cell r="U4180" t="str">
            <v>JULLIRI APAZA UBALDO</v>
          </cell>
          <cell r="V4180" t="str">
            <v>FLOREZ CONDORI  JOSE WILLIANS</v>
          </cell>
        </row>
        <row r="4181">
          <cell r="A4181">
            <v>4250</v>
          </cell>
          <cell r="B4181">
            <v>42751</v>
          </cell>
          <cell r="C4181" t="str">
            <v>ENERO</v>
          </cell>
          <cell r="D4181" t="str">
            <v>2017</v>
          </cell>
          <cell r="E4181">
            <v>850</v>
          </cell>
          <cell r="F4181" t="str">
            <v>ABQ-703</v>
          </cell>
          <cell r="G4181" t="str">
            <v>D0Z-994</v>
          </cell>
          <cell r="H4181" t="str">
            <v>LAS BAMBAS</v>
          </cell>
          <cell r="I4181">
            <v>107825</v>
          </cell>
          <cell r="J4181" t="str">
            <v>REPUESTO</v>
          </cell>
          <cell r="K4181" t="str">
            <v>ACEITE DE MOTOR 15W40</v>
          </cell>
          <cell r="L4181">
            <v>10</v>
          </cell>
          <cell r="M4181" t="str">
            <v>GLNS.</v>
          </cell>
          <cell r="N4181" t="str">
            <v>TRACTO</v>
          </cell>
          <cell r="O4181">
            <v>39</v>
          </cell>
          <cell r="P4181" t="str">
            <v>M4</v>
          </cell>
          <cell r="Q4181" t="str">
            <v>J1</v>
          </cell>
          <cell r="R4181" t="str">
            <v>J8</v>
          </cell>
          <cell r="S4181" t="str">
            <v>PENDIENTE</v>
          </cell>
          <cell r="T4181">
            <v>0</v>
          </cell>
          <cell r="U4181" t="str">
            <v>JULLIRI APAZA UBALDO</v>
          </cell>
          <cell r="V4181" t="str">
            <v>FLOREZ CONDORI  JOSE WILLIANS</v>
          </cell>
        </row>
        <row r="4182">
          <cell r="A4182">
            <v>4189</v>
          </cell>
          <cell r="B4182">
            <v>42751</v>
          </cell>
          <cell r="C4182" t="str">
            <v>ENERO</v>
          </cell>
          <cell r="D4182" t="str">
            <v>2017</v>
          </cell>
          <cell r="E4182">
            <v>839</v>
          </cell>
          <cell r="F4182" t="str">
            <v>ABR-759</v>
          </cell>
          <cell r="G4182" t="str">
            <v>D0Z-995</v>
          </cell>
          <cell r="H4182" t="str">
            <v>LAS BAMBAS</v>
          </cell>
          <cell r="I4182">
            <v>117090</v>
          </cell>
          <cell r="J4182" t="str">
            <v>SERVICIO</v>
          </cell>
          <cell r="K4182" t="str">
            <v>REPARACION DE CHAPA DE PUERTA</v>
          </cell>
          <cell r="L4182">
            <v>1</v>
          </cell>
          <cell r="M4182" t="str">
            <v>UNID.</v>
          </cell>
          <cell r="N4182" t="str">
            <v>TRACTO</v>
          </cell>
          <cell r="O4182">
            <v>39</v>
          </cell>
          <cell r="P4182" t="str">
            <v>M8</v>
          </cell>
          <cell r="Q4182" t="str">
            <v>J1</v>
          </cell>
          <cell r="R4182" t="str">
            <v>J8</v>
          </cell>
          <cell r="S4182" t="str">
            <v>PENDIENTE</v>
          </cell>
          <cell r="T4182">
            <v>0</v>
          </cell>
          <cell r="U4182" t="str">
            <v>VARILLAS GAGO  OSCAR ALBERTO</v>
          </cell>
          <cell r="V4182" t="str">
            <v>FLOREZ CONDORI  JOSE WILLIANS</v>
          </cell>
        </row>
        <row r="4183">
          <cell r="A4183">
            <v>4190</v>
          </cell>
          <cell r="B4183">
            <v>42751</v>
          </cell>
          <cell r="C4183" t="str">
            <v>ENERO</v>
          </cell>
          <cell r="D4183" t="str">
            <v>2017</v>
          </cell>
          <cell r="E4183">
            <v>839</v>
          </cell>
          <cell r="F4183" t="str">
            <v>ABR-759</v>
          </cell>
          <cell r="G4183" t="str">
            <v>D0Z-995</v>
          </cell>
          <cell r="H4183" t="str">
            <v>LAS BAMBAS</v>
          </cell>
          <cell r="I4183">
            <v>117090</v>
          </cell>
          <cell r="J4183" t="str">
            <v>SERVICIO</v>
          </cell>
          <cell r="K4183" t="str">
            <v>JUEGO DE CHAPAS</v>
          </cell>
          <cell r="L4183">
            <v>1</v>
          </cell>
          <cell r="M4183" t="str">
            <v>UNID.</v>
          </cell>
          <cell r="N4183" t="str">
            <v>TRACTO</v>
          </cell>
          <cell r="O4183">
            <v>39</v>
          </cell>
          <cell r="P4183" t="str">
            <v>M8</v>
          </cell>
          <cell r="Q4183" t="str">
            <v>J1</v>
          </cell>
          <cell r="R4183" t="str">
            <v>J8</v>
          </cell>
          <cell r="S4183" t="str">
            <v>PENDIENTE</v>
          </cell>
          <cell r="T4183">
            <v>0</v>
          </cell>
          <cell r="U4183" t="str">
            <v>VARILLAS GAGO  OSCAR ALBERTO</v>
          </cell>
          <cell r="V4183" t="str">
            <v>FLOREZ CONDORI  JOSE WILLIANS</v>
          </cell>
        </row>
        <row r="4184">
          <cell r="A4184">
            <v>4212</v>
          </cell>
          <cell r="B4184">
            <v>42751</v>
          </cell>
          <cell r="C4184" t="str">
            <v>ENERO</v>
          </cell>
          <cell r="D4184" t="str">
            <v>2017</v>
          </cell>
          <cell r="E4184">
            <v>839</v>
          </cell>
          <cell r="F4184" t="str">
            <v>ABR-759</v>
          </cell>
          <cell r="G4184" t="str">
            <v>D0Z-995</v>
          </cell>
          <cell r="H4184" t="str">
            <v>LAS BAMBAS</v>
          </cell>
          <cell r="I4184">
            <v>117090</v>
          </cell>
          <cell r="J4184" t="str">
            <v>REPUESTO</v>
          </cell>
          <cell r="K4184" t="str">
            <v>LIQUIDO LIMPIAPARABRISAS</v>
          </cell>
          <cell r="L4184">
            <v>1</v>
          </cell>
          <cell r="M4184" t="str">
            <v>GLNS.</v>
          </cell>
          <cell r="N4184" t="str">
            <v>TRACTO</v>
          </cell>
          <cell r="O4184">
            <v>39</v>
          </cell>
          <cell r="P4184" t="str">
            <v>M2</v>
          </cell>
          <cell r="Q4184" t="str">
            <v>J1</v>
          </cell>
          <cell r="R4184" t="str">
            <v>J8</v>
          </cell>
          <cell r="S4184" t="str">
            <v>PENDIENTE</v>
          </cell>
          <cell r="T4184">
            <v>0</v>
          </cell>
          <cell r="U4184" t="str">
            <v>CHUMPITAZ GAGO JULIO ENRIQUE</v>
          </cell>
          <cell r="V4184" t="str">
            <v>FLOREZ CONDORI  JOSE WILLIANS</v>
          </cell>
        </row>
        <row r="4185">
          <cell r="A4185">
            <v>4237</v>
          </cell>
          <cell r="B4185">
            <v>42751</v>
          </cell>
          <cell r="C4185" t="str">
            <v>ENERO</v>
          </cell>
          <cell r="D4185" t="str">
            <v>2017</v>
          </cell>
          <cell r="E4185">
            <v>843</v>
          </cell>
          <cell r="F4185" t="str">
            <v>ABS-700</v>
          </cell>
          <cell r="G4185" t="str">
            <v>TBC-971</v>
          </cell>
          <cell r="H4185" t="str">
            <v>LAS BAMBAS</v>
          </cell>
          <cell r="I4185">
            <v>105175</v>
          </cell>
          <cell r="J4185" t="str">
            <v>REPUESTO</v>
          </cell>
          <cell r="K4185" t="str">
            <v>TECLA DE ELEVALUNA LH</v>
          </cell>
          <cell r="L4185">
            <v>1</v>
          </cell>
          <cell r="M4185" t="str">
            <v>UNID.</v>
          </cell>
          <cell r="N4185" t="str">
            <v>TRACTO</v>
          </cell>
          <cell r="O4185">
            <v>39</v>
          </cell>
          <cell r="P4185" t="str">
            <v>E2</v>
          </cell>
          <cell r="Q4185" t="str">
            <v>J1</v>
          </cell>
          <cell r="R4185" t="str">
            <v>J8</v>
          </cell>
          <cell r="S4185" t="str">
            <v>PENDIENTE</v>
          </cell>
          <cell r="T4185">
            <v>0</v>
          </cell>
          <cell r="U4185" t="str">
            <v>YUCA BELLIDO BORIS YERSY</v>
          </cell>
          <cell r="V4185" t="str">
            <v>FLOREZ CONDORI  JOSE WILLIANS</v>
          </cell>
        </row>
        <row r="4186">
          <cell r="A4186">
            <v>4239</v>
          </cell>
          <cell r="B4186">
            <v>42751</v>
          </cell>
          <cell r="C4186" t="str">
            <v>ENERO</v>
          </cell>
          <cell r="D4186" t="str">
            <v>2017</v>
          </cell>
          <cell r="E4186">
            <v>843</v>
          </cell>
          <cell r="F4186" t="str">
            <v>ABS-700</v>
          </cell>
          <cell r="G4186" t="str">
            <v>TBC-971</v>
          </cell>
          <cell r="H4186" t="str">
            <v>LAS BAMBAS</v>
          </cell>
          <cell r="I4186">
            <v>105175</v>
          </cell>
          <cell r="J4186" t="str">
            <v>MATERIALES</v>
          </cell>
          <cell r="K4186" t="str">
            <v>DISCO DE CORTE DE 7"</v>
          </cell>
          <cell r="L4186">
            <v>2</v>
          </cell>
          <cell r="M4186" t="str">
            <v>UNID.</v>
          </cell>
          <cell r="N4186" t="str">
            <v>CISTERNA</v>
          </cell>
          <cell r="O4186">
            <v>39</v>
          </cell>
          <cell r="P4186" t="str">
            <v>S1</v>
          </cell>
          <cell r="Q4186" t="str">
            <v>J1</v>
          </cell>
          <cell r="R4186" t="str">
            <v>J8</v>
          </cell>
          <cell r="S4186" t="str">
            <v>PENDIENTE</v>
          </cell>
          <cell r="T4186">
            <v>0</v>
          </cell>
          <cell r="U4186" t="str">
            <v>BAYONA CRUZ CRISTIAN ARMANDO</v>
          </cell>
          <cell r="V4186" t="str">
            <v>FLOREZ CONDORI  JOSE WILLIANS</v>
          </cell>
        </row>
        <row r="4187">
          <cell r="A4187">
            <v>4240</v>
          </cell>
          <cell r="B4187">
            <v>42751</v>
          </cell>
          <cell r="C4187" t="str">
            <v>ENERO</v>
          </cell>
          <cell r="D4187" t="str">
            <v>2017</v>
          </cell>
          <cell r="E4187">
            <v>843</v>
          </cell>
          <cell r="F4187" t="str">
            <v>ABS-700</v>
          </cell>
          <cell r="G4187" t="str">
            <v>TBC-971</v>
          </cell>
          <cell r="H4187" t="str">
            <v>LAS BAMBAS</v>
          </cell>
          <cell r="I4187">
            <v>105175</v>
          </cell>
          <cell r="J4187" t="str">
            <v>MATERIALES</v>
          </cell>
          <cell r="K4187" t="str">
            <v>DISCO DE CORTE DE 4"</v>
          </cell>
          <cell r="L4187">
            <v>1</v>
          </cell>
          <cell r="M4187" t="str">
            <v>UNID.</v>
          </cell>
          <cell r="N4187" t="str">
            <v>CISTERNA</v>
          </cell>
          <cell r="O4187">
            <v>39</v>
          </cell>
          <cell r="P4187" t="str">
            <v>S1</v>
          </cell>
          <cell r="Q4187" t="str">
            <v>J1</v>
          </cell>
          <cell r="R4187" t="str">
            <v>J8</v>
          </cell>
          <cell r="S4187" t="str">
            <v>PENDIENTE</v>
          </cell>
          <cell r="T4187">
            <v>0</v>
          </cell>
          <cell r="U4187" t="str">
            <v>BAYONA CRUZ CRISTIAN ARMANDO</v>
          </cell>
          <cell r="V4187" t="str">
            <v>FLOREZ CONDORI  JOSE WILLIANS</v>
          </cell>
        </row>
        <row r="4188">
          <cell r="A4188">
            <v>4241</v>
          </cell>
          <cell r="B4188">
            <v>42751</v>
          </cell>
          <cell r="C4188" t="str">
            <v>ENERO</v>
          </cell>
          <cell r="D4188" t="str">
            <v>2017</v>
          </cell>
          <cell r="E4188">
            <v>843</v>
          </cell>
          <cell r="F4188" t="str">
            <v>ABS-700</v>
          </cell>
          <cell r="G4188" t="str">
            <v>TBC-971</v>
          </cell>
          <cell r="H4188" t="str">
            <v>LAS BAMBAS</v>
          </cell>
          <cell r="I4188">
            <v>105175</v>
          </cell>
          <cell r="J4188" t="str">
            <v>MATERIALES</v>
          </cell>
          <cell r="K4188" t="str">
            <v>DISCO DE DEBASTE 7"</v>
          </cell>
          <cell r="L4188">
            <v>1</v>
          </cell>
          <cell r="M4188" t="str">
            <v>UNID.</v>
          </cell>
          <cell r="N4188" t="str">
            <v>CISTERNA</v>
          </cell>
          <cell r="O4188">
            <v>39</v>
          </cell>
          <cell r="P4188" t="str">
            <v>S1</v>
          </cell>
          <cell r="Q4188" t="str">
            <v>J1</v>
          </cell>
          <cell r="R4188" t="str">
            <v>J8</v>
          </cell>
          <cell r="S4188" t="str">
            <v>PENDIENTE</v>
          </cell>
          <cell r="T4188">
            <v>0</v>
          </cell>
          <cell r="U4188" t="str">
            <v>BAYONA CRUZ CRISTIAN ARMANDO</v>
          </cell>
          <cell r="V4188" t="str">
            <v>FLOREZ CONDORI  JOSE WILLIANS</v>
          </cell>
        </row>
        <row r="4189">
          <cell r="A4189">
            <v>4223</v>
          </cell>
          <cell r="B4189">
            <v>42751</v>
          </cell>
          <cell r="C4189" t="str">
            <v>ENERO</v>
          </cell>
          <cell r="D4189" t="str">
            <v>2017</v>
          </cell>
          <cell r="E4189">
            <v>844</v>
          </cell>
          <cell r="F4189" t="str">
            <v>AEH-801</v>
          </cell>
          <cell r="G4189" t="str">
            <v>CAMIONETA</v>
          </cell>
          <cell r="H4189" t="str">
            <v>LAS BAMBAS</v>
          </cell>
          <cell r="I4189">
            <v>95698</v>
          </cell>
          <cell r="J4189" t="str">
            <v>REPUESTO</v>
          </cell>
          <cell r="K4189" t="str">
            <v>TERMINAL OJO 3/8</v>
          </cell>
          <cell r="L4189">
            <v>1</v>
          </cell>
          <cell r="M4189" t="str">
            <v>UNID.</v>
          </cell>
          <cell r="N4189" t="str">
            <v>TRACTO</v>
          </cell>
          <cell r="O4189">
            <v>39</v>
          </cell>
          <cell r="P4189" t="str">
            <v>E3</v>
          </cell>
          <cell r="Q4189" t="str">
            <v>J1</v>
          </cell>
          <cell r="R4189" t="str">
            <v>J8</v>
          </cell>
          <cell r="S4189" t="str">
            <v>PENDIENTE</v>
          </cell>
          <cell r="T4189">
            <v>0</v>
          </cell>
          <cell r="U4189" t="str">
            <v>CONDORI CHURATA ALEX</v>
          </cell>
          <cell r="V4189" t="str">
            <v>FLOREZ CONDORI  JOSE WILLIANS</v>
          </cell>
        </row>
        <row r="4190">
          <cell r="A4190">
            <v>4194</v>
          </cell>
          <cell r="B4190">
            <v>42751</v>
          </cell>
          <cell r="C4190" t="str">
            <v>ENERO</v>
          </cell>
          <cell r="D4190" t="str">
            <v>2017</v>
          </cell>
          <cell r="E4190">
            <v>835</v>
          </cell>
          <cell r="F4190" t="str">
            <v>AKW-894</v>
          </cell>
          <cell r="G4190" t="str">
            <v>TBN-978</v>
          </cell>
          <cell r="H4190" t="str">
            <v>LAS BAMBAS</v>
          </cell>
          <cell r="I4190">
            <v>45645</v>
          </cell>
          <cell r="J4190" t="str">
            <v>REPUESTO</v>
          </cell>
          <cell r="K4190" t="str">
            <v>FOCO H3 142V</v>
          </cell>
          <cell r="L4190">
            <v>1</v>
          </cell>
          <cell r="M4190" t="str">
            <v>UNID.</v>
          </cell>
          <cell r="N4190" t="str">
            <v>TRACTO</v>
          </cell>
          <cell r="O4190">
            <v>39</v>
          </cell>
          <cell r="P4190" t="str">
            <v>E3</v>
          </cell>
          <cell r="Q4190" t="str">
            <v>J1</v>
          </cell>
          <cell r="R4190" t="str">
            <v>J8</v>
          </cell>
          <cell r="S4190" t="str">
            <v>PENDIENTE</v>
          </cell>
          <cell r="T4190">
            <v>0</v>
          </cell>
          <cell r="U4190" t="str">
            <v>CONDORI CHURATA ALEX</v>
          </cell>
          <cell r="V4190" t="str">
            <v>FLOREZ CONDORI  JOSE WILLIANS</v>
          </cell>
        </row>
        <row r="4191">
          <cell r="A4191">
            <v>4195</v>
          </cell>
          <cell r="B4191">
            <v>42751</v>
          </cell>
          <cell r="C4191" t="str">
            <v>ENERO</v>
          </cell>
          <cell r="D4191" t="str">
            <v>2017</v>
          </cell>
          <cell r="E4191">
            <v>835</v>
          </cell>
          <cell r="F4191" t="str">
            <v>AKW-894</v>
          </cell>
          <cell r="G4191" t="str">
            <v>TBN-978</v>
          </cell>
          <cell r="H4191" t="str">
            <v>LAS BAMBAS</v>
          </cell>
          <cell r="I4191">
            <v>45645</v>
          </cell>
          <cell r="J4191" t="str">
            <v>REPUESTO</v>
          </cell>
          <cell r="K4191" t="str">
            <v>RELAY 12V</v>
          </cell>
          <cell r="L4191">
            <v>1</v>
          </cell>
          <cell r="M4191" t="str">
            <v>UNID.</v>
          </cell>
          <cell r="N4191" t="str">
            <v>TRACTO</v>
          </cell>
          <cell r="O4191">
            <v>39</v>
          </cell>
          <cell r="P4191" t="str">
            <v>E3</v>
          </cell>
          <cell r="Q4191" t="str">
            <v>J1</v>
          </cell>
          <cell r="R4191" t="str">
            <v>J8</v>
          </cell>
          <cell r="S4191" t="str">
            <v>PENDIENTE</v>
          </cell>
          <cell r="T4191">
            <v>0</v>
          </cell>
          <cell r="U4191" t="str">
            <v>CONDORI CHURATA ALEX</v>
          </cell>
          <cell r="V4191" t="str">
            <v>FLOREZ CONDORI  JOSE WILLIANS</v>
          </cell>
        </row>
        <row r="4192">
          <cell r="A4192">
            <v>4196</v>
          </cell>
          <cell r="B4192">
            <v>42751</v>
          </cell>
          <cell r="C4192" t="str">
            <v>ENERO</v>
          </cell>
          <cell r="D4192" t="str">
            <v>2017</v>
          </cell>
          <cell r="E4192">
            <v>835</v>
          </cell>
          <cell r="F4192" t="str">
            <v>AKW-894</v>
          </cell>
          <cell r="G4192" t="str">
            <v>TBN-978</v>
          </cell>
          <cell r="H4192" t="str">
            <v>LAS BAMBAS</v>
          </cell>
          <cell r="I4192">
            <v>45645</v>
          </cell>
          <cell r="J4192" t="str">
            <v>REPUESTO</v>
          </cell>
          <cell r="K4192" t="str">
            <v>CABLE CORRIENTE</v>
          </cell>
          <cell r="L4192">
            <v>5</v>
          </cell>
          <cell r="M4192" t="str">
            <v>M</v>
          </cell>
          <cell r="N4192" t="str">
            <v>TRACTO</v>
          </cell>
          <cell r="O4192">
            <v>39</v>
          </cell>
          <cell r="P4192" t="str">
            <v>E3</v>
          </cell>
          <cell r="Q4192" t="str">
            <v>J1</v>
          </cell>
          <cell r="R4192" t="str">
            <v>J8</v>
          </cell>
          <cell r="S4192" t="str">
            <v>PENDIENTE</v>
          </cell>
          <cell r="T4192">
            <v>0</v>
          </cell>
          <cell r="U4192" t="str">
            <v>CONDORI CHURATA ALEX</v>
          </cell>
          <cell r="V4192" t="str">
            <v>FLOREZ CONDORI  JOSE WILLIANS</v>
          </cell>
        </row>
        <row r="4193">
          <cell r="A4193">
            <v>4197</v>
          </cell>
          <cell r="B4193">
            <v>42751</v>
          </cell>
          <cell r="C4193" t="str">
            <v>ENERO</v>
          </cell>
          <cell r="D4193" t="str">
            <v>2017</v>
          </cell>
          <cell r="E4193">
            <v>835</v>
          </cell>
          <cell r="F4193" t="str">
            <v>AKW-894</v>
          </cell>
          <cell r="G4193" t="str">
            <v>TBN-978</v>
          </cell>
          <cell r="H4193" t="str">
            <v>LAS BAMBAS</v>
          </cell>
          <cell r="I4193">
            <v>45645</v>
          </cell>
          <cell r="J4193" t="str">
            <v>REPUESTO</v>
          </cell>
          <cell r="K4193" t="str">
            <v>MANGUERA CORRUGADA</v>
          </cell>
          <cell r="L4193">
            <v>3</v>
          </cell>
          <cell r="M4193" t="str">
            <v>M</v>
          </cell>
          <cell r="N4193" t="str">
            <v>TRACTO</v>
          </cell>
          <cell r="O4193">
            <v>39</v>
          </cell>
          <cell r="P4193" t="str">
            <v>E3</v>
          </cell>
          <cell r="Q4193" t="str">
            <v>J1</v>
          </cell>
          <cell r="R4193" t="str">
            <v>J8</v>
          </cell>
          <cell r="S4193" t="str">
            <v>PENDIENTE</v>
          </cell>
          <cell r="T4193">
            <v>0</v>
          </cell>
          <cell r="U4193" t="str">
            <v>CONDORI CHURATA ALEX</v>
          </cell>
          <cell r="V4193" t="str">
            <v>FLOREZ CONDORI  JOSE WILLIANS</v>
          </cell>
        </row>
        <row r="4194">
          <cell r="A4194">
            <v>4198</v>
          </cell>
          <cell r="B4194">
            <v>42751</v>
          </cell>
          <cell r="C4194" t="str">
            <v>ENERO</v>
          </cell>
          <cell r="D4194" t="str">
            <v>2017</v>
          </cell>
          <cell r="E4194">
            <v>835</v>
          </cell>
          <cell r="F4194" t="str">
            <v>AKW-894</v>
          </cell>
          <cell r="G4194" t="str">
            <v>TBN-978</v>
          </cell>
          <cell r="H4194" t="str">
            <v>LAS BAMBAS</v>
          </cell>
          <cell r="I4194">
            <v>45645</v>
          </cell>
          <cell r="J4194" t="str">
            <v>REPUESTO</v>
          </cell>
          <cell r="K4194" t="str">
            <v>TERMINAL HEMBRA</v>
          </cell>
          <cell r="L4194">
            <v>4</v>
          </cell>
          <cell r="M4194" t="str">
            <v>UNID.</v>
          </cell>
          <cell r="N4194" t="str">
            <v>TRACTO</v>
          </cell>
          <cell r="O4194">
            <v>39</v>
          </cell>
          <cell r="P4194" t="str">
            <v>E3</v>
          </cell>
          <cell r="Q4194" t="str">
            <v>J1</v>
          </cell>
          <cell r="R4194" t="str">
            <v>J8</v>
          </cell>
          <cell r="S4194" t="str">
            <v>PENDIENTE</v>
          </cell>
          <cell r="T4194">
            <v>0</v>
          </cell>
          <cell r="U4194" t="str">
            <v>CONDORI CHURATA ALEX</v>
          </cell>
          <cell r="V4194" t="str">
            <v>FLOREZ CONDORI  JOSE WILLIANS</v>
          </cell>
        </row>
        <row r="4195">
          <cell r="A4195">
            <v>4199</v>
          </cell>
          <cell r="B4195">
            <v>42751</v>
          </cell>
          <cell r="C4195" t="str">
            <v>ENERO</v>
          </cell>
          <cell r="D4195" t="str">
            <v>2017</v>
          </cell>
          <cell r="E4195">
            <v>835</v>
          </cell>
          <cell r="F4195" t="str">
            <v>AKW-894</v>
          </cell>
          <cell r="G4195" t="str">
            <v>TBN-978</v>
          </cell>
          <cell r="H4195" t="str">
            <v>LAS BAMBAS</v>
          </cell>
          <cell r="I4195">
            <v>45645</v>
          </cell>
          <cell r="J4195" t="str">
            <v>REPUESTO</v>
          </cell>
          <cell r="K4195" t="str">
            <v>INTERRUPTOR SIMPLE</v>
          </cell>
          <cell r="L4195">
            <v>1</v>
          </cell>
          <cell r="M4195" t="str">
            <v>UNID.</v>
          </cell>
          <cell r="N4195" t="str">
            <v>TRACTO</v>
          </cell>
          <cell r="O4195">
            <v>39</v>
          </cell>
          <cell r="P4195" t="str">
            <v>E3</v>
          </cell>
          <cell r="Q4195" t="str">
            <v>J1</v>
          </cell>
          <cell r="R4195" t="str">
            <v>J8</v>
          </cell>
          <cell r="S4195" t="str">
            <v>PENDIENTE</v>
          </cell>
          <cell r="T4195">
            <v>0</v>
          </cell>
          <cell r="U4195" t="str">
            <v>CONDORI CHURATA ALEX</v>
          </cell>
          <cell r="V4195" t="str">
            <v>FLOREZ CONDORI  JOSE WILLIANS</v>
          </cell>
        </row>
        <row r="4196">
          <cell r="A4196">
            <v>4200</v>
          </cell>
          <cell r="B4196">
            <v>42751</v>
          </cell>
          <cell r="C4196" t="str">
            <v>ENERO</v>
          </cell>
          <cell r="D4196" t="str">
            <v>2017</v>
          </cell>
          <cell r="E4196">
            <v>835</v>
          </cell>
          <cell r="F4196" t="str">
            <v>AKW-894</v>
          </cell>
          <cell r="G4196" t="str">
            <v>TBN-978</v>
          </cell>
          <cell r="H4196" t="str">
            <v>LAS BAMBAS</v>
          </cell>
          <cell r="I4196">
            <v>45645</v>
          </cell>
          <cell r="J4196" t="str">
            <v>REPUESTO</v>
          </cell>
          <cell r="K4196" t="str">
            <v>CINTA AISLANTE NEGRA</v>
          </cell>
          <cell r="L4196">
            <v>1</v>
          </cell>
          <cell r="M4196" t="str">
            <v>UNID.</v>
          </cell>
          <cell r="N4196" t="str">
            <v>TRACTO</v>
          </cell>
          <cell r="O4196">
            <v>39</v>
          </cell>
          <cell r="P4196" t="str">
            <v>E3</v>
          </cell>
          <cell r="Q4196" t="str">
            <v>J1</v>
          </cell>
          <cell r="R4196" t="str">
            <v>J8</v>
          </cell>
          <cell r="S4196" t="str">
            <v>PENDIENTE</v>
          </cell>
          <cell r="T4196">
            <v>0</v>
          </cell>
          <cell r="U4196" t="str">
            <v>CONDORI CHURATA ALEX</v>
          </cell>
          <cell r="V4196" t="str">
            <v>FLOREZ CONDORI  JOSE WILLIANS</v>
          </cell>
        </row>
        <row r="4197">
          <cell r="A4197">
            <v>4206</v>
          </cell>
          <cell r="B4197">
            <v>42751</v>
          </cell>
          <cell r="C4197" t="str">
            <v>ENERO</v>
          </cell>
          <cell r="D4197" t="str">
            <v>2017</v>
          </cell>
          <cell r="E4197">
            <v>835</v>
          </cell>
          <cell r="F4197" t="str">
            <v>AKW-894</v>
          </cell>
          <cell r="G4197" t="str">
            <v>TBN-978</v>
          </cell>
          <cell r="H4197" t="str">
            <v>LAS BAMBAS</v>
          </cell>
          <cell r="I4197">
            <v>45645</v>
          </cell>
          <cell r="J4197" t="str">
            <v>REPUESTO</v>
          </cell>
          <cell r="K4197" t="str">
            <v>PORTA FUSIBLE</v>
          </cell>
          <cell r="L4197">
            <v>1</v>
          </cell>
          <cell r="M4197" t="str">
            <v>UNID.</v>
          </cell>
          <cell r="N4197" t="str">
            <v>TRACTO</v>
          </cell>
          <cell r="O4197">
            <v>39</v>
          </cell>
          <cell r="P4197" t="str">
            <v>E3</v>
          </cell>
          <cell r="Q4197" t="str">
            <v>J1</v>
          </cell>
          <cell r="R4197" t="str">
            <v>J8</v>
          </cell>
          <cell r="S4197" t="str">
            <v>PENDIENTE</v>
          </cell>
          <cell r="T4197">
            <v>0</v>
          </cell>
          <cell r="U4197" t="str">
            <v>CONDORI CHURATA ALEX</v>
          </cell>
          <cell r="V4197" t="str">
            <v>FLOREZ CONDORI  JOSE WILLIANS</v>
          </cell>
        </row>
        <row r="4198">
          <cell r="A4198">
            <v>4217</v>
          </cell>
          <cell r="B4198">
            <v>42751</v>
          </cell>
          <cell r="C4198" t="str">
            <v>ENERO</v>
          </cell>
          <cell r="D4198" t="str">
            <v>2017</v>
          </cell>
          <cell r="E4198">
            <v>835</v>
          </cell>
          <cell r="F4198" t="str">
            <v>AKW-894</v>
          </cell>
          <cell r="G4198" t="str">
            <v>TBN-978</v>
          </cell>
          <cell r="H4198" t="str">
            <v>LAS BAMBAS</v>
          </cell>
          <cell r="I4198">
            <v>45645</v>
          </cell>
          <cell r="J4198" t="str">
            <v>REPUESTO</v>
          </cell>
          <cell r="K4198" t="str">
            <v>FAROS NEBLINEROS</v>
          </cell>
          <cell r="L4198">
            <v>2</v>
          </cell>
          <cell r="M4198" t="str">
            <v>UNID.</v>
          </cell>
          <cell r="N4198" t="str">
            <v>TRACTO</v>
          </cell>
          <cell r="O4198">
            <v>39</v>
          </cell>
          <cell r="P4198" t="str">
            <v>E3</v>
          </cell>
          <cell r="Q4198" t="str">
            <v>J1</v>
          </cell>
          <cell r="R4198" t="str">
            <v>J6</v>
          </cell>
          <cell r="S4198" t="str">
            <v>PENDIENTE</v>
          </cell>
          <cell r="T4198">
            <v>0</v>
          </cell>
          <cell r="U4198" t="str">
            <v>CONDORI CHURATA ALEX</v>
          </cell>
          <cell r="V4198" t="str">
            <v>FLOREZ CONDORI  JOSE WILLIANS</v>
          </cell>
        </row>
        <row r="4199">
          <cell r="A4199">
            <v>4218</v>
          </cell>
          <cell r="B4199">
            <v>42751</v>
          </cell>
          <cell r="C4199" t="str">
            <v>ENERO</v>
          </cell>
          <cell r="D4199" t="str">
            <v>2017</v>
          </cell>
          <cell r="E4199">
            <v>835</v>
          </cell>
          <cell r="F4199" t="str">
            <v>AKW-894</v>
          </cell>
          <cell r="G4199" t="str">
            <v>TBN-978</v>
          </cell>
          <cell r="H4199" t="str">
            <v>LAS BAMBAS</v>
          </cell>
          <cell r="I4199">
            <v>45645</v>
          </cell>
          <cell r="J4199" t="str">
            <v>REPUESTO</v>
          </cell>
          <cell r="K4199" t="str">
            <v>LLANTA REENCAUCHADA IZB</v>
          </cell>
          <cell r="L4199">
            <v>1</v>
          </cell>
          <cell r="M4199" t="str">
            <v>UNID.</v>
          </cell>
          <cell r="N4199" t="str">
            <v>TRACTO</v>
          </cell>
          <cell r="O4199">
            <v>39</v>
          </cell>
          <cell r="P4199" t="str">
            <v>N1</v>
          </cell>
          <cell r="Q4199" t="str">
            <v>J1</v>
          </cell>
          <cell r="R4199" t="str">
            <v>J8</v>
          </cell>
          <cell r="S4199" t="str">
            <v>PENDIENTE</v>
          </cell>
          <cell r="T4199">
            <v>0</v>
          </cell>
          <cell r="U4199" t="str">
            <v>AGUILAR CCANTUTA WILLY</v>
          </cell>
          <cell r="V4199" t="str">
            <v>FLOREZ CONDORI  JOSE WILLIANS</v>
          </cell>
        </row>
        <row r="4200">
          <cell r="A4200">
            <v>4244</v>
          </cell>
          <cell r="B4200">
            <v>42751</v>
          </cell>
          <cell r="C4200" t="str">
            <v>ENERO</v>
          </cell>
          <cell r="D4200" t="str">
            <v>2017</v>
          </cell>
          <cell r="E4200">
            <v>849</v>
          </cell>
          <cell r="F4200" t="str">
            <v>AKX-731</v>
          </cell>
          <cell r="G4200" t="str">
            <v>TCD-980</v>
          </cell>
          <cell r="H4200" t="str">
            <v>LAS BAMBAS</v>
          </cell>
          <cell r="I4200">
            <v>40489</v>
          </cell>
          <cell r="J4200" t="str">
            <v>REPUESTO</v>
          </cell>
          <cell r="K4200" t="str">
            <v>BRAZO DE SUSPENSION</v>
          </cell>
          <cell r="L4200">
            <v>1</v>
          </cell>
          <cell r="M4200" t="str">
            <v>UNID.</v>
          </cell>
          <cell r="N4200" t="str">
            <v>CISTERNA</v>
          </cell>
          <cell r="O4200">
            <v>39</v>
          </cell>
          <cell r="P4200" t="str">
            <v>S1</v>
          </cell>
          <cell r="Q4200" t="str">
            <v>J1</v>
          </cell>
          <cell r="R4200" t="str">
            <v>J8</v>
          </cell>
          <cell r="S4200" t="str">
            <v>PENDIENTE</v>
          </cell>
          <cell r="T4200">
            <v>0</v>
          </cell>
          <cell r="U4200" t="str">
            <v>BAYONA CRUZ CRISTIAN ARMANDO</v>
          </cell>
          <cell r="V4200" t="str">
            <v>FLOREZ CONDORI  JOSE WILLIANS</v>
          </cell>
        </row>
        <row r="4201">
          <cell r="A4201">
            <v>4187</v>
          </cell>
          <cell r="B4201">
            <v>42751</v>
          </cell>
          <cell r="C4201" t="str">
            <v>ENERO</v>
          </cell>
          <cell r="D4201" t="str">
            <v>2017</v>
          </cell>
          <cell r="E4201">
            <v>833</v>
          </cell>
          <cell r="F4201" t="str">
            <v>C5R-892</v>
          </cell>
          <cell r="G4201" t="str">
            <v>A0T-983</v>
          </cell>
          <cell r="H4201" t="str">
            <v>LAS BAMBAS</v>
          </cell>
          <cell r="I4201">
            <v>229375</v>
          </cell>
          <cell r="J4201" t="str">
            <v>REPUESTO</v>
          </cell>
          <cell r="K4201" t="str">
            <v>REFRIGERANTE</v>
          </cell>
          <cell r="L4201">
            <v>1</v>
          </cell>
          <cell r="M4201" t="str">
            <v>GLNS.</v>
          </cell>
          <cell r="N4201" t="str">
            <v>TRACTO</v>
          </cell>
          <cell r="O4201">
            <v>39</v>
          </cell>
          <cell r="P4201" t="str">
            <v>M6</v>
          </cell>
          <cell r="Q4201" t="str">
            <v>J1</v>
          </cell>
          <cell r="R4201" t="str">
            <v>J8</v>
          </cell>
          <cell r="S4201" t="str">
            <v>PENDIENTE</v>
          </cell>
          <cell r="T4201">
            <v>0</v>
          </cell>
          <cell r="U4201" t="str">
            <v>PARI VENTURA  EDSON ORLANDO</v>
          </cell>
          <cell r="V4201" t="str">
            <v>FLOREZ CONDORI  JOSE WILLIANS</v>
          </cell>
        </row>
        <row r="4202">
          <cell r="A4202">
            <v>4188</v>
          </cell>
          <cell r="B4202">
            <v>42751</v>
          </cell>
          <cell r="C4202" t="str">
            <v>ENERO</v>
          </cell>
          <cell r="D4202" t="str">
            <v>2017</v>
          </cell>
          <cell r="E4202">
            <v>833</v>
          </cell>
          <cell r="F4202" t="str">
            <v>C5R-892</v>
          </cell>
          <cell r="G4202" t="str">
            <v>A0T-983</v>
          </cell>
          <cell r="H4202" t="str">
            <v>LAS BAMBAS</v>
          </cell>
          <cell r="I4202">
            <v>229375</v>
          </cell>
          <cell r="J4202" t="str">
            <v>REPUESTO</v>
          </cell>
          <cell r="K4202" t="str">
            <v>AGUA LIMPIA PARABRISA</v>
          </cell>
          <cell r="L4202">
            <v>1</v>
          </cell>
          <cell r="M4202" t="str">
            <v>GLNS.</v>
          </cell>
          <cell r="N4202" t="str">
            <v>TRACTO</v>
          </cell>
          <cell r="O4202">
            <v>39</v>
          </cell>
          <cell r="P4202" t="str">
            <v>M7</v>
          </cell>
          <cell r="Q4202" t="str">
            <v>J1</v>
          </cell>
          <cell r="R4202" t="str">
            <v>J8</v>
          </cell>
          <cell r="S4202" t="str">
            <v>PENDIENTE</v>
          </cell>
          <cell r="T4202">
            <v>0</v>
          </cell>
          <cell r="U4202" t="str">
            <v>ROBLES ROJAS  JOSE MIGUEL</v>
          </cell>
          <cell r="V4202" t="str">
            <v>FLOREZ CONDORI  JOSE WILLIANS</v>
          </cell>
        </row>
        <row r="4203">
          <cell r="A4203">
            <v>4201</v>
          </cell>
          <cell r="B4203">
            <v>42751</v>
          </cell>
          <cell r="C4203" t="str">
            <v>ENERO</v>
          </cell>
          <cell r="D4203" t="str">
            <v>2017</v>
          </cell>
          <cell r="E4203">
            <v>833</v>
          </cell>
          <cell r="F4203" t="str">
            <v>C5R-892</v>
          </cell>
          <cell r="G4203" t="str">
            <v>A0T-983</v>
          </cell>
          <cell r="H4203" t="str">
            <v>LAS BAMBAS</v>
          </cell>
          <cell r="I4203">
            <v>229375</v>
          </cell>
          <cell r="J4203" t="str">
            <v>REPUESTO</v>
          </cell>
          <cell r="K4203" t="str">
            <v>FARO LATERAL CIRCULAR 2"</v>
          </cell>
          <cell r="L4203">
            <v>1</v>
          </cell>
          <cell r="M4203" t="str">
            <v>UNID.</v>
          </cell>
          <cell r="N4203" t="str">
            <v>CISTERNA</v>
          </cell>
          <cell r="O4203">
            <v>39</v>
          </cell>
          <cell r="P4203" t="str">
            <v>E3</v>
          </cell>
          <cell r="Q4203" t="str">
            <v>J1</v>
          </cell>
          <cell r="R4203" t="str">
            <v>J8</v>
          </cell>
          <cell r="S4203" t="str">
            <v>PENDIENTE</v>
          </cell>
          <cell r="T4203">
            <v>0</v>
          </cell>
          <cell r="U4203" t="str">
            <v>CONDORI CHURATA ALEX</v>
          </cell>
          <cell r="V4203" t="str">
            <v>FLOREZ CONDORI  JOSE WILLIANS</v>
          </cell>
        </row>
        <row r="4204">
          <cell r="A4204">
            <v>4202</v>
          </cell>
          <cell r="B4204">
            <v>42751</v>
          </cell>
          <cell r="C4204" t="str">
            <v>ENERO</v>
          </cell>
          <cell r="D4204" t="str">
            <v>2017</v>
          </cell>
          <cell r="E4204">
            <v>833</v>
          </cell>
          <cell r="F4204" t="str">
            <v>C5R-892</v>
          </cell>
          <cell r="G4204" t="str">
            <v>A0T-983</v>
          </cell>
          <cell r="H4204" t="str">
            <v>LAS BAMBAS</v>
          </cell>
          <cell r="I4204">
            <v>229375</v>
          </cell>
          <cell r="J4204" t="str">
            <v>REPUESTO</v>
          </cell>
          <cell r="K4204" t="str">
            <v>TERMINALES OJO 3/8</v>
          </cell>
          <cell r="L4204">
            <v>1</v>
          </cell>
          <cell r="M4204" t="str">
            <v>UNID.</v>
          </cell>
          <cell r="N4204" t="str">
            <v>CISTERNA</v>
          </cell>
          <cell r="O4204">
            <v>39</v>
          </cell>
          <cell r="P4204" t="str">
            <v>E3</v>
          </cell>
          <cell r="Q4204" t="str">
            <v>J1</v>
          </cell>
          <cell r="R4204" t="str">
            <v>J8</v>
          </cell>
          <cell r="S4204" t="str">
            <v>PENDIENTE</v>
          </cell>
          <cell r="T4204">
            <v>0</v>
          </cell>
          <cell r="U4204" t="str">
            <v>CONDORI CHURATA ALEX</v>
          </cell>
          <cell r="V4204" t="str">
            <v>FLOREZ CONDORI  JOSE WILLIANS</v>
          </cell>
        </row>
        <row r="4205">
          <cell r="A4205">
            <v>4203</v>
          </cell>
          <cell r="B4205">
            <v>42751</v>
          </cell>
          <cell r="C4205" t="str">
            <v>ENERO</v>
          </cell>
          <cell r="D4205" t="str">
            <v>2017</v>
          </cell>
          <cell r="E4205">
            <v>833</v>
          </cell>
          <cell r="F4205" t="str">
            <v>C5R-892</v>
          </cell>
          <cell r="G4205" t="str">
            <v>A0T-983</v>
          </cell>
          <cell r="H4205" t="str">
            <v>LAS BAMBAS</v>
          </cell>
          <cell r="I4205">
            <v>229375</v>
          </cell>
          <cell r="J4205" t="str">
            <v>REPUESTO</v>
          </cell>
          <cell r="K4205" t="str">
            <v>PERNO 1/4 X 2</v>
          </cell>
          <cell r="L4205">
            <v>2</v>
          </cell>
          <cell r="M4205" t="str">
            <v>UNID.</v>
          </cell>
          <cell r="N4205" t="str">
            <v>CISTERNA</v>
          </cell>
          <cell r="O4205">
            <v>39</v>
          </cell>
          <cell r="P4205" t="str">
            <v>E3</v>
          </cell>
          <cell r="Q4205" t="str">
            <v>J1</v>
          </cell>
          <cell r="R4205" t="str">
            <v>J8</v>
          </cell>
          <cell r="S4205" t="str">
            <v>PENDIENTE</v>
          </cell>
          <cell r="T4205">
            <v>0</v>
          </cell>
          <cell r="U4205" t="str">
            <v>CONDORI CHURATA ALEX</v>
          </cell>
          <cell r="V4205" t="str">
            <v>FLOREZ CONDORI  JOSE WILLIANS</v>
          </cell>
        </row>
        <row r="4206">
          <cell r="A4206">
            <v>4204</v>
          </cell>
          <cell r="B4206">
            <v>42751</v>
          </cell>
          <cell r="C4206" t="str">
            <v>ENERO</v>
          </cell>
          <cell r="D4206" t="str">
            <v>2017</v>
          </cell>
          <cell r="E4206">
            <v>833</v>
          </cell>
          <cell r="F4206" t="str">
            <v>C5R-892</v>
          </cell>
          <cell r="G4206" t="str">
            <v>A0T-983</v>
          </cell>
          <cell r="H4206" t="str">
            <v>LAS BAMBAS</v>
          </cell>
          <cell r="I4206">
            <v>229375</v>
          </cell>
          <cell r="J4206" t="str">
            <v>REPUESTO</v>
          </cell>
          <cell r="K4206" t="str">
            <v>TUERCA SEGURO 1/4</v>
          </cell>
          <cell r="L4206">
            <v>2</v>
          </cell>
          <cell r="M4206" t="str">
            <v>UNID.</v>
          </cell>
          <cell r="N4206" t="str">
            <v>CISTERNA</v>
          </cell>
          <cell r="O4206">
            <v>39</v>
          </cell>
          <cell r="P4206" t="str">
            <v>E3</v>
          </cell>
          <cell r="Q4206" t="str">
            <v>J1</v>
          </cell>
          <cell r="R4206" t="str">
            <v>J8</v>
          </cell>
          <cell r="S4206" t="str">
            <v>PENDIENTE</v>
          </cell>
          <cell r="T4206">
            <v>0</v>
          </cell>
          <cell r="U4206" t="str">
            <v>CONDORI CHURATA ALEX</v>
          </cell>
          <cell r="V4206" t="str">
            <v>FLOREZ CONDORI  JOSE WILLIANS</v>
          </cell>
        </row>
        <row r="4207">
          <cell r="A4207">
            <v>4205</v>
          </cell>
          <cell r="B4207">
            <v>42751</v>
          </cell>
          <cell r="C4207" t="str">
            <v>ENERO</v>
          </cell>
          <cell r="D4207" t="str">
            <v>2017</v>
          </cell>
          <cell r="E4207">
            <v>833</v>
          </cell>
          <cell r="F4207" t="str">
            <v>C5R-892</v>
          </cell>
          <cell r="G4207" t="str">
            <v>A0T-983</v>
          </cell>
          <cell r="H4207" t="str">
            <v>LAS BAMBAS</v>
          </cell>
          <cell r="I4207">
            <v>229375</v>
          </cell>
          <cell r="J4207" t="str">
            <v>REPUESTO</v>
          </cell>
          <cell r="K4207" t="str">
            <v>ARANDELA PLANA 1/4</v>
          </cell>
          <cell r="L4207">
            <v>2</v>
          </cell>
          <cell r="M4207" t="str">
            <v>UNID.</v>
          </cell>
          <cell r="N4207" t="str">
            <v>CISTERNA</v>
          </cell>
          <cell r="O4207">
            <v>39</v>
          </cell>
          <cell r="P4207" t="str">
            <v>E3</v>
          </cell>
          <cell r="Q4207" t="str">
            <v>J1</v>
          </cell>
          <cell r="R4207" t="str">
            <v>J8</v>
          </cell>
          <cell r="S4207" t="str">
            <v>PENDIENTE</v>
          </cell>
          <cell r="T4207">
            <v>0</v>
          </cell>
          <cell r="U4207" t="str">
            <v>CONDORI CHURATA ALEX</v>
          </cell>
          <cell r="V4207" t="str">
            <v>FLOREZ CONDORI  JOSE WILLIANS</v>
          </cell>
        </row>
        <row r="4208">
          <cell r="A4208">
            <v>4222</v>
          </cell>
          <cell r="B4208">
            <v>42751</v>
          </cell>
          <cell r="C4208" t="str">
            <v>ENERO</v>
          </cell>
          <cell r="D4208" t="str">
            <v>2017</v>
          </cell>
          <cell r="E4208">
            <v>842</v>
          </cell>
          <cell r="F4208" t="str">
            <v>C5R-895</v>
          </cell>
          <cell r="G4208" t="str">
            <v>TBL-976</v>
          </cell>
          <cell r="H4208" t="str">
            <v>LAS BAMBAS</v>
          </cell>
          <cell r="I4208">
            <v>174179</v>
          </cell>
          <cell r="J4208" t="str">
            <v>REPUESTO</v>
          </cell>
          <cell r="K4208" t="str">
            <v>FAROS NEBLINEROS</v>
          </cell>
          <cell r="L4208">
            <v>2</v>
          </cell>
          <cell r="M4208" t="str">
            <v>UNID.</v>
          </cell>
          <cell r="N4208" t="str">
            <v>TRACTO</v>
          </cell>
          <cell r="O4208">
            <v>39</v>
          </cell>
          <cell r="P4208" t="str">
            <v>E2</v>
          </cell>
          <cell r="Q4208" t="str">
            <v>J1</v>
          </cell>
          <cell r="R4208" t="str">
            <v>J6</v>
          </cell>
          <cell r="S4208" t="str">
            <v>PENDIENTE</v>
          </cell>
          <cell r="T4208">
            <v>0</v>
          </cell>
          <cell r="U4208" t="str">
            <v>YUCA BELLIDO BORIS YERSY</v>
          </cell>
          <cell r="V4208" t="str">
            <v>FLOREZ CONDORI  JOSE WILLIANS</v>
          </cell>
        </row>
        <row r="4209">
          <cell r="A4209">
            <v>4192</v>
          </cell>
          <cell r="B4209">
            <v>42751</v>
          </cell>
          <cell r="C4209" t="str">
            <v>ENERO</v>
          </cell>
          <cell r="D4209" t="str">
            <v>2017</v>
          </cell>
          <cell r="E4209">
            <v>771</v>
          </cell>
          <cell r="F4209" t="str">
            <v>D3O-742</v>
          </cell>
          <cell r="G4209" t="str">
            <v>B8L-971</v>
          </cell>
          <cell r="H4209" t="str">
            <v>LAS BAMBAS</v>
          </cell>
          <cell r="I4209">
            <v>189448</v>
          </cell>
          <cell r="J4209" t="str">
            <v>REPUESTO</v>
          </cell>
          <cell r="K4209" t="str">
            <v>FILTRO SEPARADOR DE COMBUSTIBLE</v>
          </cell>
          <cell r="L4209">
            <v>1</v>
          </cell>
          <cell r="M4209" t="str">
            <v>UNID.</v>
          </cell>
          <cell r="N4209" t="str">
            <v>TRACTO</v>
          </cell>
          <cell r="O4209">
            <v>39</v>
          </cell>
          <cell r="P4209" t="str">
            <v>M1</v>
          </cell>
          <cell r="Q4209" t="str">
            <v>J1</v>
          </cell>
          <cell r="R4209" t="str">
            <v>J8</v>
          </cell>
          <cell r="S4209" t="str">
            <v>PENDIENTE</v>
          </cell>
          <cell r="T4209">
            <v>0</v>
          </cell>
          <cell r="U4209" t="str">
            <v>CABEZAS SANCHEZ JEAN JHONATAN</v>
          </cell>
          <cell r="V4209" t="str">
            <v>FLOREZ CONDORI  JOSE WILLIANS</v>
          </cell>
        </row>
        <row r="4210">
          <cell r="A4210">
            <v>4193</v>
          </cell>
          <cell r="B4210">
            <v>42751</v>
          </cell>
          <cell r="C4210" t="str">
            <v>ENERO</v>
          </cell>
          <cell r="D4210" t="str">
            <v>2017</v>
          </cell>
          <cell r="E4210">
            <v>771</v>
          </cell>
          <cell r="F4210" t="str">
            <v>D3O-742</v>
          </cell>
          <cell r="G4210" t="str">
            <v>B8L-971</v>
          </cell>
          <cell r="H4210" t="str">
            <v>LAS BAMBAS</v>
          </cell>
          <cell r="I4210">
            <v>189448</v>
          </cell>
          <cell r="J4210" t="str">
            <v>REPUESTO</v>
          </cell>
          <cell r="K4210" t="str">
            <v>FILTRO COMBUSTIBLE PRIMARIO</v>
          </cell>
          <cell r="L4210">
            <v>1</v>
          </cell>
          <cell r="M4210" t="str">
            <v>UNID.</v>
          </cell>
          <cell r="N4210" t="str">
            <v>TRACTO</v>
          </cell>
          <cell r="O4210">
            <v>39</v>
          </cell>
          <cell r="P4210" t="str">
            <v>M1</v>
          </cell>
          <cell r="Q4210" t="str">
            <v>J1</v>
          </cell>
          <cell r="R4210" t="str">
            <v>J8</v>
          </cell>
          <cell r="S4210" t="str">
            <v>PENDIENTE</v>
          </cell>
          <cell r="T4210">
            <v>0</v>
          </cell>
          <cell r="U4210" t="str">
            <v>CABEZAS SANCHEZ JEAN JHONATAN</v>
          </cell>
          <cell r="V4210" t="str">
            <v>FLOREZ CONDORI  JOSE WILLIANS</v>
          </cell>
        </row>
        <row r="4211">
          <cell r="A4211">
            <v>4255</v>
          </cell>
          <cell r="B4211">
            <v>42751</v>
          </cell>
          <cell r="C4211" t="str">
            <v>ENERO</v>
          </cell>
          <cell r="D4211" t="str">
            <v>2017</v>
          </cell>
          <cell r="E4211">
            <v>771</v>
          </cell>
          <cell r="F4211" t="str">
            <v>D3O-742</v>
          </cell>
          <cell r="G4211" t="str">
            <v>B8L-971</v>
          </cell>
          <cell r="H4211" t="str">
            <v>LAS BAMBAS</v>
          </cell>
          <cell r="I4211">
            <v>189448</v>
          </cell>
          <cell r="J4211" t="str">
            <v>REPUESTO</v>
          </cell>
          <cell r="K4211" t="str">
            <v>GANCHO DE CAPOT LADO DERECHO</v>
          </cell>
          <cell r="L4211">
            <v>1</v>
          </cell>
          <cell r="M4211" t="str">
            <v>UNID.</v>
          </cell>
          <cell r="N4211" t="str">
            <v>TRACTO</v>
          </cell>
          <cell r="O4211">
            <v>39</v>
          </cell>
          <cell r="P4211" t="str">
            <v>M1</v>
          </cell>
          <cell r="Q4211" t="str">
            <v>J1</v>
          </cell>
          <cell r="R4211" t="str">
            <v>J1</v>
          </cell>
          <cell r="S4211" t="str">
            <v>PENDIENTE</v>
          </cell>
          <cell r="T4211">
            <v>0</v>
          </cell>
          <cell r="U4211" t="str">
            <v>CABEZAS SANCHEZ JEAN JHONATAN</v>
          </cell>
          <cell r="V4211" t="str">
            <v>FLOREZ CONDORI  JOSE WILLIANS</v>
          </cell>
        </row>
        <row r="4212">
          <cell r="A4212">
            <v>4256</v>
          </cell>
          <cell r="B4212">
            <v>42751</v>
          </cell>
          <cell r="C4212" t="str">
            <v>ENERO</v>
          </cell>
          <cell r="D4212" t="str">
            <v>2017</v>
          </cell>
          <cell r="E4212">
            <v>771</v>
          </cell>
          <cell r="F4212" t="str">
            <v>D3O-742</v>
          </cell>
          <cell r="G4212" t="str">
            <v>B8L-971</v>
          </cell>
          <cell r="H4212" t="str">
            <v>LAS BAMBAS</v>
          </cell>
          <cell r="I4212">
            <v>189448</v>
          </cell>
          <cell r="J4212" t="str">
            <v>REPUESTO</v>
          </cell>
          <cell r="K4212" t="str">
            <v>BOMBA DE COMBUSTIBLE</v>
          </cell>
          <cell r="L4212">
            <v>1</v>
          </cell>
          <cell r="M4212" t="str">
            <v>UNID.</v>
          </cell>
          <cell r="N4212" t="str">
            <v>TRACTO</v>
          </cell>
          <cell r="O4212">
            <v>39</v>
          </cell>
          <cell r="P4212" t="str">
            <v>M1</v>
          </cell>
          <cell r="Q4212" t="str">
            <v>J1</v>
          </cell>
          <cell r="R4212" t="str">
            <v>J1</v>
          </cell>
          <cell r="S4212" t="str">
            <v>PENDIENTE</v>
          </cell>
          <cell r="T4212">
            <v>0</v>
          </cell>
          <cell r="U4212" t="str">
            <v>CABEZAS SANCHEZ JEAN JHONATAN</v>
          </cell>
          <cell r="V4212" t="str">
            <v>FLOREZ CONDORI  JOSE WILLIANS</v>
          </cell>
        </row>
        <row r="4213">
          <cell r="A4213">
            <v>4228</v>
          </cell>
          <cell r="B4213">
            <v>42751</v>
          </cell>
          <cell r="C4213" t="str">
            <v>ENERO</v>
          </cell>
          <cell r="D4213" t="str">
            <v>2017</v>
          </cell>
          <cell r="E4213">
            <v>826</v>
          </cell>
          <cell r="F4213" t="str">
            <v>D3O-745</v>
          </cell>
          <cell r="G4213" t="str">
            <v>F3L-979</v>
          </cell>
          <cell r="H4213" t="str">
            <v>LAS BAMBAS</v>
          </cell>
          <cell r="I4213">
            <v>164460</v>
          </cell>
          <cell r="J4213" t="str">
            <v>REPUESTO</v>
          </cell>
          <cell r="K4213" t="str">
            <v>TUBO DE ESCAPE EN V</v>
          </cell>
          <cell r="L4213">
            <v>1</v>
          </cell>
          <cell r="M4213" t="str">
            <v>UNID.</v>
          </cell>
          <cell r="N4213" t="str">
            <v>TRACTO</v>
          </cell>
          <cell r="O4213">
            <v>39</v>
          </cell>
          <cell r="P4213" t="str">
            <v>M5</v>
          </cell>
          <cell r="Q4213" t="str">
            <v>J1</v>
          </cell>
          <cell r="R4213" t="str">
            <v>J8</v>
          </cell>
          <cell r="S4213" t="str">
            <v>PENDIENTE</v>
          </cell>
          <cell r="T4213">
            <v>0</v>
          </cell>
          <cell r="U4213" t="str">
            <v>LOPEZ RUIZ WILBERTO</v>
          </cell>
          <cell r="V4213" t="str">
            <v>FLOREZ CONDORI  JOSE WILLIANS</v>
          </cell>
        </row>
        <row r="4214">
          <cell r="A4214">
            <v>4229</v>
          </cell>
          <cell r="B4214">
            <v>42751</v>
          </cell>
          <cell r="C4214" t="str">
            <v>ENERO</v>
          </cell>
          <cell r="D4214" t="str">
            <v>2017</v>
          </cell>
          <cell r="E4214">
            <v>826</v>
          </cell>
          <cell r="F4214" t="str">
            <v>D3O-745</v>
          </cell>
          <cell r="G4214" t="str">
            <v>F3L-979</v>
          </cell>
          <cell r="H4214" t="str">
            <v>LAS BAMBAS</v>
          </cell>
          <cell r="I4214">
            <v>164460</v>
          </cell>
          <cell r="J4214" t="str">
            <v>REPUESTO</v>
          </cell>
          <cell r="K4214" t="str">
            <v>EMPAQUE DE ESCAPE</v>
          </cell>
          <cell r="L4214">
            <v>1</v>
          </cell>
          <cell r="M4214" t="str">
            <v>UNID.</v>
          </cell>
          <cell r="N4214" t="str">
            <v>TRACTO</v>
          </cell>
          <cell r="O4214">
            <v>39</v>
          </cell>
          <cell r="P4214" t="str">
            <v>M5</v>
          </cell>
          <cell r="Q4214" t="str">
            <v>J1</v>
          </cell>
          <cell r="R4214" t="str">
            <v>J8</v>
          </cell>
          <cell r="S4214" t="str">
            <v>PENDIENTE</v>
          </cell>
          <cell r="T4214">
            <v>0</v>
          </cell>
          <cell r="U4214" t="str">
            <v>LOPEZ RUIZ WILBERTO</v>
          </cell>
          <cell r="V4214" t="str">
            <v>FLOREZ CONDORI  JOSE WILLIANS</v>
          </cell>
        </row>
        <row r="4215">
          <cell r="A4215">
            <v>4230</v>
          </cell>
          <cell r="B4215">
            <v>42751</v>
          </cell>
          <cell r="C4215" t="str">
            <v>ENERO</v>
          </cell>
          <cell r="D4215" t="str">
            <v>2017</v>
          </cell>
          <cell r="E4215">
            <v>826</v>
          </cell>
          <cell r="F4215" t="str">
            <v>D3O-745</v>
          </cell>
          <cell r="G4215" t="str">
            <v>F3L-979</v>
          </cell>
          <cell r="H4215" t="str">
            <v>LAS BAMBAS</v>
          </cell>
          <cell r="I4215">
            <v>164460</v>
          </cell>
          <cell r="J4215" t="str">
            <v>REPUESTO</v>
          </cell>
          <cell r="K4215" t="str">
            <v>EMPAQUE DE BASE DE TURBO CUADRADO</v>
          </cell>
          <cell r="L4215">
            <v>1</v>
          </cell>
          <cell r="M4215" t="str">
            <v>UNID.</v>
          </cell>
          <cell r="N4215" t="str">
            <v>TRACTO</v>
          </cell>
          <cell r="O4215">
            <v>39</v>
          </cell>
          <cell r="P4215" t="str">
            <v>M5</v>
          </cell>
          <cell r="Q4215" t="str">
            <v>J1</v>
          </cell>
          <cell r="R4215" t="str">
            <v>J8</v>
          </cell>
          <cell r="S4215" t="str">
            <v>PENDIENTE</v>
          </cell>
          <cell r="T4215">
            <v>0</v>
          </cell>
          <cell r="U4215" t="str">
            <v>LOPEZ RUIZ WILBERTO</v>
          </cell>
          <cell r="V4215" t="str">
            <v>FLOREZ CONDORI  JOSE WILLIANS</v>
          </cell>
        </row>
        <row r="4216">
          <cell r="A4216">
            <v>4231</v>
          </cell>
          <cell r="B4216">
            <v>42751</v>
          </cell>
          <cell r="C4216" t="str">
            <v>ENERO</v>
          </cell>
          <cell r="D4216" t="str">
            <v>2017</v>
          </cell>
          <cell r="E4216">
            <v>826</v>
          </cell>
          <cell r="F4216" t="str">
            <v>D3O-745</v>
          </cell>
          <cell r="G4216" t="str">
            <v>F3L-979</v>
          </cell>
          <cell r="H4216" t="str">
            <v>LAS BAMBAS</v>
          </cell>
          <cell r="I4216">
            <v>164460</v>
          </cell>
          <cell r="J4216" t="str">
            <v>REPUESTO</v>
          </cell>
          <cell r="K4216" t="str">
            <v>EMPAQUE DE ENTRADA DE ACEITE</v>
          </cell>
          <cell r="L4216">
            <v>1</v>
          </cell>
          <cell r="M4216" t="str">
            <v>UNID.</v>
          </cell>
          <cell r="N4216" t="str">
            <v>TRACTO</v>
          </cell>
          <cell r="O4216">
            <v>39</v>
          </cell>
          <cell r="P4216" t="str">
            <v>M5</v>
          </cell>
          <cell r="Q4216" t="str">
            <v>J1</v>
          </cell>
          <cell r="R4216" t="str">
            <v>J8</v>
          </cell>
          <cell r="S4216" t="str">
            <v>PENDIENTE</v>
          </cell>
          <cell r="T4216">
            <v>0</v>
          </cell>
          <cell r="U4216" t="str">
            <v>LOPEZ RUIZ WILBERTO</v>
          </cell>
          <cell r="V4216" t="str">
            <v>FLOREZ CONDORI  JOSE WILLIANS</v>
          </cell>
        </row>
        <row r="4217">
          <cell r="A4217">
            <v>4232</v>
          </cell>
          <cell r="B4217">
            <v>42751</v>
          </cell>
          <cell r="C4217" t="str">
            <v>ENERO</v>
          </cell>
          <cell r="D4217" t="str">
            <v>2017</v>
          </cell>
          <cell r="E4217">
            <v>826</v>
          </cell>
          <cell r="F4217" t="str">
            <v>D3O-745</v>
          </cell>
          <cell r="G4217" t="str">
            <v>F3L-979</v>
          </cell>
          <cell r="H4217" t="str">
            <v>LAS BAMBAS</v>
          </cell>
          <cell r="I4217">
            <v>164460</v>
          </cell>
          <cell r="J4217" t="str">
            <v>REPUESTO</v>
          </cell>
          <cell r="K4217" t="str">
            <v>EMPAQUE DE ASBESTO</v>
          </cell>
          <cell r="L4217">
            <v>1</v>
          </cell>
          <cell r="M4217" t="str">
            <v>UNID.</v>
          </cell>
          <cell r="N4217" t="str">
            <v>TRACTO</v>
          </cell>
          <cell r="O4217">
            <v>39</v>
          </cell>
          <cell r="P4217" t="str">
            <v>M5</v>
          </cell>
          <cell r="Q4217" t="str">
            <v>J1</v>
          </cell>
          <cell r="R4217" t="str">
            <v>J8</v>
          </cell>
          <cell r="S4217" t="str">
            <v>PENDIENTE</v>
          </cell>
          <cell r="T4217">
            <v>0</v>
          </cell>
          <cell r="U4217" t="str">
            <v>LOPEZ RUIZ WILBERTO</v>
          </cell>
          <cell r="V4217" t="str">
            <v>FLOREZ CONDORI  JOSE WILLIANS</v>
          </cell>
        </row>
        <row r="4218">
          <cell r="A4218">
            <v>4233</v>
          </cell>
          <cell r="B4218">
            <v>42751</v>
          </cell>
          <cell r="C4218" t="str">
            <v>ENERO</v>
          </cell>
          <cell r="D4218" t="str">
            <v>2017</v>
          </cell>
          <cell r="E4218">
            <v>826</v>
          </cell>
          <cell r="F4218" t="str">
            <v>D3O-745</v>
          </cell>
          <cell r="G4218" t="str">
            <v>F3L-979</v>
          </cell>
          <cell r="H4218" t="str">
            <v>LAS BAMBAS</v>
          </cell>
          <cell r="I4218">
            <v>164460</v>
          </cell>
          <cell r="J4218" t="str">
            <v>REPUESTO</v>
          </cell>
          <cell r="K4218" t="str">
            <v>FAJAS DE VENTILADOR</v>
          </cell>
          <cell r="L4218">
            <v>3</v>
          </cell>
          <cell r="M4218" t="str">
            <v>UNID.</v>
          </cell>
          <cell r="N4218" t="str">
            <v>TRACTO</v>
          </cell>
          <cell r="O4218">
            <v>39</v>
          </cell>
          <cell r="P4218" t="str">
            <v>M5</v>
          </cell>
          <cell r="Q4218" t="str">
            <v>J1</v>
          </cell>
          <cell r="R4218" t="str">
            <v>J8</v>
          </cell>
          <cell r="S4218" t="str">
            <v>PENDIENTE</v>
          </cell>
          <cell r="T4218">
            <v>0</v>
          </cell>
          <cell r="U4218" t="str">
            <v>LOPEZ RUIZ WILBERTO</v>
          </cell>
          <cell r="V4218" t="str">
            <v>FLOREZ CONDORI  JOSE WILLIANS</v>
          </cell>
        </row>
        <row r="4219">
          <cell r="A4219">
            <v>4253</v>
          </cell>
          <cell r="B4219">
            <v>42751</v>
          </cell>
          <cell r="C4219" t="str">
            <v>ENERO</v>
          </cell>
          <cell r="D4219" t="str">
            <v>2017</v>
          </cell>
          <cell r="E4219">
            <v>826</v>
          </cell>
          <cell r="F4219" t="str">
            <v>D3O-745</v>
          </cell>
          <cell r="G4219" t="str">
            <v>F3L-979</v>
          </cell>
          <cell r="H4219" t="str">
            <v>LAS BAMBAS</v>
          </cell>
          <cell r="I4219">
            <v>164460</v>
          </cell>
          <cell r="J4219" t="str">
            <v>REPUESTO</v>
          </cell>
          <cell r="K4219" t="str">
            <v>PERNOS DE MULTIPLE DE ESCAPE</v>
          </cell>
          <cell r="L4219">
            <v>6</v>
          </cell>
          <cell r="M4219" t="str">
            <v>UNID.</v>
          </cell>
          <cell r="N4219" t="str">
            <v>TRACTO</v>
          </cell>
          <cell r="O4219">
            <v>39</v>
          </cell>
          <cell r="P4219" t="str">
            <v>M1</v>
          </cell>
          <cell r="Q4219" t="str">
            <v>J1</v>
          </cell>
          <cell r="R4219" t="str">
            <v>J8</v>
          </cell>
          <cell r="S4219" t="str">
            <v>PENDIENTE</v>
          </cell>
          <cell r="T4219">
            <v>0</v>
          </cell>
          <cell r="U4219" t="str">
            <v>CABEZAS SANCHEZ JEAN JHONATAN</v>
          </cell>
          <cell r="V4219" t="str">
            <v>FLOREZ CONDORI  JOSE WILLIANS</v>
          </cell>
        </row>
        <row r="4220">
          <cell r="A4220">
            <v>4254</v>
          </cell>
          <cell r="B4220">
            <v>42751</v>
          </cell>
          <cell r="C4220" t="str">
            <v>ENERO</v>
          </cell>
          <cell r="D4220" t="str">
            <v>2017</v>
          </cell>
          <cell r="E4220">
            <v>826</v>
          </cell>
          <cell r="F4220" t="str">
            <v>D3O-745</v>
          </cell>
          <cell r="G4220" t="str">
            <v>F3L-979</v>
          </cell>
          <cell r="H4220" t="str">
            <v>LAS BAMBAS</v>
          </cell>
          <cell r="I4220">
            <v>164460</v>
          </cell>
          <cell r="J4220" t="str">
            <v>REPUESTO</v>
          </cell>
          <cell r="K4220" t="str">
            <v>ESPARRAGOS DE MULTIPLE DE ESCAPE CON TUERCAS</v>
          </cell>
          <cell r="L4220">
            <v>2</v>
          </cell>
          <cell r="M4220" t="str">
            <v>UNID.</v>
          </cell>
          <cell r="N4220" t="str">
            <v>TRACTO</v>
          </cell>
          <cell r="O4220">
            <v>39</v>
          </cell>
          <cell r="P4220" t="str">
            <v>M1</v>
          </cell>
          <cell r="Q4220" t="str">
            <v>J1</v>
          </cell>
          <cell r="R4220" t="str">
            <v>J8</v>
          </cell>
          <cell r="S4220" t="str">
            <v>PENDIENTE</v>
          </cell>
          <cell r="T4220">
            <v>0</v>
          </cell>
          <cell r="U4220" t="str">
            <v>CABEZAS SANCHEZ JEAN JHONATAN</v>
          </cell>
          <cell r="V4220" t="str">
            <v>FLOREZ CONDORI  JOSE WILLIANS</v>
          </cell>
        </row>
        <row r="4221">
          <cell r="A4221">
            <v>4183</v>
          </cell>
          <cell r="B4221">
            <v>42751</v>
          </cell>
          <cell r="C4221" t="str">
            <v>ENERO</v>
          </cell>
          <cell r="D4221" t="str">
            <v>2017</v>
          </cell>
          <cell r="E4221">
            <v>836</v>
          </cell>
          <cell r="F4221" t="str">
            <v>D3P-744</v>
          </cell>
          <cell r="G4221" t="str">
            <v>A0F-996</v>
          </cell>
          <cell r="H4221" t="str">
            <v>LAS BAMBAS</v>
          </cell>
          <cell r="I4221">
            <v>159703</v>
          </cell>
          <cell r="J4221" t="str">
            <v>REPUESTO</v>
          </cell>
          <cell r="K4221" t="str">
            <v>FOCOS NEBLINEROS 896</v>
          </cell>
          <cell r="L4221">
            <v>2</v>
          </cell>
          <cell r="M4221" t="str">
            <v>UNID.</v>
          </cell>
          <cell r="N4221" t="str">
            <v>TRACTO</v>
          </cell>
          <cell r="O4221">
            <v>39</v>
          </cell>
          <cell r="P4221" t="str">
            <v>M5</v>
          </cell>
          <cell r="Q4221" t="str">
            <v>J1</v>
          </cell>
          <cell r="R4221" t="str">
            <v>J8</v>
          </cell>
          <cell r="S4221" t="str">
            <v>PENDIENTE</v>
          </cell>
          <cell r="T4221">
            <v>0</v>
          </cell>
          <cell r="U4221" t="str">
            <v>LOPEZ RUIZ WILBERTO</v>
          </cell>
          <cell r="V4221" t="str">
            <v>FLOREZ CONDORI  JOSE WILLIANS</v>
          </cell>
        </row>
        <row r="4222">
          <cell r="A4222">
            <v>4184</v>
          </cell>
          <cell r="B4222">
            <v>42751</v>
          </cell>
          <cell r="C4222" t="str">
            <v>ENERO</v>
          </cell>
          <cell r="D4222" t="str">
            <v>2017</v>
          </cell>
          <cell r="E4222">
            <v>836</v>
          </cell>
          <cell r="F4222" t="str">
            <v>D3P-744</v>
          </cell>
          <cell r="G4222" t="str">
            <v>A0F-996</v>
          </cell>
          <cell r="H4222" t="str">
            <v>LAS BAMBAS</v>
          </cell>
          <cell r="I4222">
            <v>159703</v>
          </cell>
          <cell r="J4222" t="str">
            <v>REPUESTO</v>
          </cell>
          <cell r="K4222" t="str">
            <v>FOCO 9006</v>
          </cell>
          <cell r="L4222">
            <v>1</v>
          </cell>
          <cell r="M4222" t="str">
            <v>UNID.</v>
          </cell>
          <cell r="N4222" t="str">
            <v>TRACTO</v>
          </cell>
          <cell r="O4222">
            <v>39</v>
          </cell>
          <cell r="P4222" t="str">
            <v>M5</v>
          </cell>
          <cell r="Q4222" t="str">
            <v>J1</v>
          </cell>
          <cell r="R4222" t="str">
            <v>J8</v>
          </cell>
          <cell r="S4222" t="str">
            <v>PENDIENTE</v>
          </cell>
          <cell r="T4222">
            <v>0</v>
          </cell>
          <cell r="U4222" t="str">
            <v>LOPEZ RUIZ WILBERTO</v>
          </cell>
          <cell r="V4222" t="str">
            <v>FLOREZ CONDORI  JOSE WILLIANS</v>
          </cell>
        </row>
        <row r="4223">
          <cell r="A4223">
            <v>4185</v>
          </cell>
          <cell r="B4223">
            <v>42751</v>
          </cell>
          <cell r="C4223" t="str">
            <v>ENERO</v>
          </cell>
          <cell r="D4223" t="str">
            <v>2017</v>
          </cell>
          <cell r="E4223">
            <v>836</v>
          </cell>
          <cell r="F4223" t="str">
            <v>D3P-744</v>
          </cell>
          <cell r="G4223" t="str">
            <v>A0F-996</v>
          </cell>
          <cell r="H4223" t="str">
            <v>LAS BAMBAS</v>
          </cell>
          <cell r="I4223">
            <v>159703</v>
          </cell>
          <cell r="J4223" t="str">
            <v>REPUESTO</v>
          </cell>
          <cell r="K4223" t="str">
            <v>FOCO LAGRIMON AMBAR</v>
          </cell>
          <cell r="L4223">
            <v>1</v>
          </cell>
          <cell r="M4223" t="str">
            <v>UNID.</v>
          </cell>
          <cell r="N4223" t="str">
            <v>TRACTO</v>
          </cell>
          <cell r="O4223">
            <v>39</v>
          </cell>
          <cell r="P4223" t="str">
            <v>M5</v>
          </cell>
          <cell r="Q4223" t="str">
            <v>J1</v>
          </cell>
          <cell r="R4223" t="str">
            <v>J8</v>
          </cell>
          <cell r="S4223" t="str">
            <v>PENDIENTE</v>
          </cell>
          <cell r="T4223">
            <v>0</v>
          </cell>
          <cell r="U4223" t="str">
            <v>LOPEZ RUIZ WILBERTO</v>
          </cell>
          <cell r="V4223" t="str">
            <v>FLOREZ CONDORI  JOSE WILLIANS</v>
          </cell>
        </row>
        <row r="4224">
          <cell r="A4224">
            <v>4186</v>
          </cell>
          <cell r="B4224">
            <v>42751</v>
          </cell>
          <cell r="C4224" t="str">
            <v>ENERO</v>
          </cell>
          <cell r="D4224" t="str">
            <v>2017</v>
          </cell>
          <cell r="E4224">
            <v>836</v>
          </cell>
          <cell r="F4224" t="str">
            <v>D3P-744</v>
          </cell>
          <cell r="G4224" t="str">
            <v>A0F-996</v>
          </cell>
          <cell r="H4224" t="str">
            <v>LAS BAMBAS</v>
          </cell>
          <cell r="I4224">
            <v>159703</v>
          </cell>
          <cell r="J4224" t="str">
            <v>REPUESTO</v>
          </cell>
          <cell r="K4224" t="str">
            <v>FUSIBLES DE 15A</v>
          </cell>
          <cell r="L4224">
            <v>2</v>
          </cell>
          <cell r="M4224" t="str">
            <v>UNID.</v>
          </cell>
          <cell r="N4224" t="str">
            <v>TRACTO</v>
          </cell>
          <cell r="O4224">
            <v>39</v>
          </cell>
          <cell r="P4224" t="str">
            <v>M5</v>
          </cell>
          <cell r="Q4224" t="str">
            <v>J1</v>
          </cell>
          <cell r="R4224" t="str">
            <v>J8</v>
          </cell>
          <cell r="S4224" t="str">
            <v>PENDIENTE</v>
          </cell>
          <cell r="T4224">
            <v>0</v>
          </cell>
          <cell r="U4224" t="str">
            <v>LOPEZ RUIZ WILBERTO</v>
          </cell>
          <cell r="V4224" t="str">
            <v>FLOREZ CONDORI  JOSE WILLIANS</v>
          </cell>
        </row>
        <row r="4225">
          <cell r="A4225">
            <v>4191</v>
          </cell>
          <cell r="B4225">
            <v>42751</v>
          </cell>
          <cell r="C4225" t="str">
            <v>ENERO</v>
          </cell>
          <cell r="D4225" t="str">
            <v>2017</v>
          </cell>
          <cell r="E4225">
            <v>836</v>
          </cell>
          <cell r="F4225" t="str">
            <v>D3P-744</v>
          </cell>
          <cell r="G4225" t="str">
            <v>A0F-996</v>
          </cell>
          <cell r="H4225" t="str">
            <v>LAS BAMBAS</v>
          </cell>
          <cell r="I4225">
            <v>159703</v>
          </cell>
          <cell r="J4225" t="str">
            <v>REPUESTO</v>
          </cell>
          <cell r="K4225" t="str">
            <v>RELAY 12V</v>
          </cell>
          <cell r="L4225">
            <v>2</v>
          </cell>
          <cell r="M4225" t="str">
            <v>UNID.</v>
          </cell>
          <cell r="N4225" t="str">
            <v>TRACTO</v>
          </cell>
          <cell r="O4225">
            <v>39</v>
          </cell>
          <cell r="P4225" t="str">
            <v>E2</v>
          </cell>
          <cell r="Q4225" t="str">
            <v>J1</v>
          </cell>
          <cell r="R4225" t="str">
            <v>J8</v>
          </cell>
          <cell r="S4225" t="str">
            <v>PENDIENTE</v>
          </cell>
          <cell r="T4225">
            <v>0</v>
          </cell>
          <cell r="U4225" t="str">
            <v>YUCA BELLIDO BORIS YERSY</v>
          </cell>
          <cell r="V4225" t="str">
            <v>FLOREZ CONDORI  JOSE WILLIANS</v>
          </cell>
        </row>
        <row r="4226">
          <cell r="A4226">
            <v>4208</v>
          </cell>
          <cell r="B4226">
            <v>42751</v>
          </cell>
          <cell r="C4226" t="str">
            <v>ENERO</v>
          </cell>
          <cell r="D4226" t="str">
            <v>2017</v>
          </cell>
          <cell r="E4226">
            <v>836</v>
          </cell>
          <cell r="F4226" t="str">
            <v>D3P-744</v>
          </cell>
          <cell r="G4226" t="str">
            <v>A0F-996</v>
          </cell>
          <cell r="H4226" t="str">
            <v>LAS BAMBAS</v>
          </cell>
          <cell r="I4226">
            <v>159703</v>
          </cell>
          <cell r="J4226" t="str">
            <v>REPUESTO</v>
          </cell>
          <cell r="K4226" t="str">
            <v>FILTRO DE COMBUSTIBLE PAPEL</v>
          </cell>
          <cell r="L4226">
            <v>1</v>
          </cell>
          <cell r="M4226" t="str">
            <v>UNID.</v>
          </cell>
          <cell r="N4226" t="str">
            <v>TRACTO</v>
          </cell>
          <cell r="O4226">
            <v>39</v>
          </cell>
          <cell r="P4226" t="str">
            <v>J1</v>
          </cell>
          <cell r="Q4226" t="str">
            <v>J1</v>
          </cell>
          <cell r="R4226" t="str">
            <v>J8</v>
          </cell>
          <cell r="S4226" t="str">
            <v>PENDIENTE</v>
          </cell>
          <cell r="T4226">
            <v>0</v>
          </cell>
          <cell r="U4226" t="str">
            <v>FLOREZ CONDORI  JOSE WILLIANS</v>
          </cell>
          <cell r="V4226" t="str">
            <v>FLOREZ CONDORI  JOSE WILLIANS</v>
          </cell>
        </row>
        <row r="4227">
          <cell r="A4227">
            <v>4209</v>
          </cell>
          <cell r="B4227">
            <v>42751</v>
          </cell>
          <cell r="C4227" t="str">
            <v>ENERO</v>
          </cell>
          <cell r="D4227" t="str">
            <v>2017</v>
          </cell>
          <cell r="E4227">
            <v>836</v>
          </cell>
          <cell r="F4227" t="str">
            <v>D3P-744</v>
          </cell>
          <cell r="G4227" t="str">
            <v>A0F-996</v>
          </cell>
          <cell r="H4227" t="str">
            <v>LAS BAMBAS</v>
          </cell>
          <cell r="I4227">
            <v>159703</v>
          </cell>
          <cell r="J4227" t="str">
            <v>REPUESTO</v>
          </cell>
          <cell r="K4227" t="str">
            <v>FILTRO DE COMBUSTIBLE MEDIANO</v>
          </cell>
          <cell r="L4227">
            <v>1</v>
          </cell>
          <cell r="M4227" t="str">
            <v>UNID.</v>
          </cell>
          <cell r="N4227" t="str">
            <v>TRACTO</v>
          </cell>
          <cell r="O4227">
            <v>39</v>
          </cell>
          <cell r="P4227" t="str">
            <v>J1</v>
          </cell>
          <cell r="Q4227" t="str">
            <v>J1</v>
          </cell>
          <cell r="R4227" t="str">
            <v>J8</v>
          </cell>
          <cell r="S4227" t="str">
            <v>PENDIENTE</v>
          </cell>
          <cell r="T4227">
            <v>0</v>
          </cell>
          <cell r="U4227" t="str">
            <v>FLOREZ CONDORI  JOSE WILLIANS</v>
          </cell>
          <cell r="V4227" t="str">
            <v>FLOREZ CONDORI  JOSE WILLIANS</v>
          </cell>
        </row>
        <row r="4228">
          <cell r="A4228">
            <v>4210</v>
          </cell>
          <cell r="B4228">
            <v>42751</v>
          </cell>
          <cell r="C4228" t="str">
            <v>ENERO</v>
          </cell>
          <cell r="D4228" t="str">
            <v>2017</v>
          </cell>
          <cell r="E4228">
            <v>836</v>
          </cell>
          <cell r="F4228" t="str">
            <v>D3P-744</v>
          </cell>
          <cell r="G4228" t="str">
            <v>A0F-996</v>
          </cell>
          <cell r="H4228" t="str">
            <v>LAS BAMBAS</v>
          </cell>
          <cell r="I4228">
            <v>159703</v>
          </cell>
          <cell r="J4228" t="str">
            <v>REPUESTO</v>
          </cell>
          <cell r="K4228" t="str">
            <v>FILTRO DE ACEITE</v>
          </cell>
          <cell r="L4228">
            <v>2</v>
          </cell>
          <cell r="M4228" t="str">
            <v>UNID.</v>
          </cell>
          <cell r="N4228" t="str">
            <v>TRACTO</v>
          </cell>
          <cell r="O4228">
            <v>39</v>
          </cell>
          <cell r="P4228" t="str">
            <v>J1</v>
          </cell>
          <cell r="Q4228" t="str">
            <v>J1</v>
          </cell>
          <cell r="R4228" t="str">
            <v>J8</v>
          </cell>
          <cell r="S4228" t="str">
            <v>PENDIENTE</v>
          </cell>
          <cell r="T4228">
            <v>0</v>
          </cell>
          <cell r="U4228" t="str">
            <v>FLOREZ CONDORI  JOSE WILLIANS</v>
          </cell>
          <cell r="V4228" t="str">
            <v>FLOREZ CONDORI  JOSE WILLIANS</v>
          </cell>
        </row>
        <row r="4229">
          <cell r="A4229">
            <v>4211</v>
          </cell>
          <cell r="B4229">
            <v>42751</v>
          </cell>
          <cell r="C4229" t="str">
            <v>ENERO</v>
          </cell>
          <cell r="D4229" t="str">
            <v>2017</v>
          </cell>
          <cell r="E4229">
            <v>836</v>
          </cell>
          <cell r="F4229" t="str">
            <v>D3P-744</v>
          </cell>
          <cell r="G4229" t="str">
            <v>A0F-996</v>
          </cell>
          <cell r="H4229" t="str">
            <v>LAS BAMBAS</v>
          </cell>
          <cell r="I4229">
            <v>159703</v>
          </cell>
          <cell r="J4229" t="str">
            <v>REPUESTO</v>
          </cell>
          <cell r="K4229" t="str">
            <v>ACEITE DE MOTOR 15W40</v>
          </cell>
          <cell r="L4229">
            <v>10</v>
          </cell>
          <cell r="M4229" t="str">
            <v>GLNS.</v>
          </cell>
          <cell r="N4229" t="str">
            <v>TRACTO</v>
          </cell>
          <cell r="O4229">
            <v>39</v>
          </cell>
          <cell r="P4229" t="str">
            <v>J1</v>
          </cell>
          <cell r="Q4229" t="str">
            <v>J1</v>
          </cell>
          <cell r="R4229" t="str">
            <v>J8</v>
          </cell>
          <cell r="S4229" t="str">
            <v>PENDIENTE</v>
          </cell>
          <cell r="T4229">
            <v>0</v>
          </cell>
          <cell r="U4229" t="str">
            <v>FLOREZ CONDORI  JOSE WILLIANS</v>
          </cell>
          <cell r="V4229" t="str">
            <v>FLOREZ CONDORI  JOSE WILLIANS</v>
          </cell>
        </row>
        <row r="4230">
          <cell r="A4230">
            <v>4177</v>
          </cell>
          <cell r="B4230">
            <v>42751</v>
          </cell>
          <cell r="C4230" t="str">
            <v>ENERO</v>
          </cell>
          <cell r="D4230" t="str">
            <v>2017</v>
          </cell>
          <cell r="E4230">
            <v>714</v>
          </cell>
          <cell r="F4230" t="str">
            <v>D3P-747</v>
          </cell>
          <cell r="G4230" t="str">
            <v>A0T-985</v>
          </cell>
          <cell r="H4230" t="str">
            <v>LAS BAMBAS</v>
          </cell>
          <cell r="I4230">
            <v>187778</v>
          </cell>
          <cell r="J4230" t="str">
            <v>REPUESTO</v>
          </cell>
          <cell r="K4230" t="str">
            <v>GOBERNADOR DE AIRE</v>
          </cell>
          <cell r="L4230">
            <v>1</v>
          </cell>
          <cell r="M4230" t="str">
            <v>UNID.</v>
          </cell>
          <cell r="N4230" t="str">
            <v>TRACTO</v>
          </cell>
          <cell r="O4230">
            <v>39</v>
          </cell>
          <cell r="P4230" t="str">
            <v>M2</v>
          </cell>
          <cell r="Q4230" t="str">
            <v>J1</v>
          </cell>
          <cell r="R4230" t="str">
            <v>J6</v>
          </cell>
          <cell r="S4230" t="str">
            <v>PENDIENTE</v>
          </cell>
          <cell r="T4230">
            <v>0</v>
          </cell>
          <cell r="U4230" t="str">
            <v>CHUMPITAZ GAGO JULIO ENRIQUE</v>
          </cell>
          <cell r="V4230" t="str">
            <v>FLOREZ CONDORI  JOSE WILLIANS</v>
          </cell>
        </row>
        <row r="4231">
          <cell r="A4231">
            <v>4182</v>
          </cell>
          <cell r="B4231">
            <v>42751</v>
          </cell>
          <cell r="C4231" t="str">
            <v>ENERO</v>
          </cell>
          <cell r="D4231" t="str">
            <v>2017</v>
          </cell>
          <cell r="E4231">
            <v>832</v>
          </cell>
          <cell r="F4231" t="str">
            <v>D3P-747</v>
          </cell>
          <cell r="G4231" t="str">
            <v>A0T-985</v>
          </cell>
          <cell r="H4231" t="str">
            <v>LAS BAMBAS</v>
          </cell>
          <cell r="I4231">
            <v>190395</v>
          </cell>
          <cell r="J4231" t="str">
            <v>REPUESTO</v>
          </cell>
          <cell r="K4231" t="str">
            <v>LLANTAS REENCAUCHADAS IDY-11R22.5</v>
          </cell>
          <cell r="L4231">
            <v>4</v>
          </cell>
          <cell r="M4231" t="str">
            <v>UNID.</v>
          </cell>
          <cell r="N4231" t="str">
            <v>TRACTO</v>
          </cell>
          <cell r="O4231">
            <v>39</v>
          </cell>
          <cell r="P4231" t="str">
            <v>M6</v>
          </cell>
          <cell r="Q4231" t="str">
            <v>J1</v>
          </cell>
          <cell r="R4231" t="str">
            <v>J8</v>
          </cell>
          <cell r="S4231" t="str">
            <v>PENDIENTE</v>
          </cell>
          <cell r="T4231">
            <v>0</v>
          </cell>
          <cell r="U4231" t="str">
            <v>PARI VENTURA  EDSON ORLANDO</v>
          </cell>
          <cell r="V4231" t="str">
            <v>FLOREZ CONDORI  JOSE WILLIANS</v>
          </cell>
        </row>
        <row r="4232">
          <cell r="A4232">
            <v>4251</v>
          </cell>
          <cell r="B4232">
            <v>42751</v>
          </cell>
          <cell r="C4232" t="str">
            <v>ENERO</v>
          </cell>
          <cell r="D4232" t="str">
            <v>2017</v>
          </cell>
          <cell r="E4232">
            <v>848</v>
          </cell>
          <cell r="F4232" t="str">
            <v>D3P-754</v>
          </cell>
          <cell r="G4232" t="str">
            <v>C0V-971</v>
          </cell>
          <cell r="H4232" t="str">
            <v>LAS BAMBAS</v>
          </cell>
          <cell r="I4232">
            <v>167618</v>
          </cell>
          <cell r="J4232" t="str">
            <v>REPUESTO</v>
          </cell>
          <cell r="K4232" t="str">
            <v>CABLE CO #14</v>
          </cell>
          <cell r="L4232">
            <v>3</v>
          </cell>
          <cell r="M4232" t="str">
            <v>M</v>
          </cell>
          <cell r="N4232" t="str">
            <v>TRACTO</v>
          </cell>
          <cell r="O4232">
            <v>39</v>
          </cell>
          <cell r="P4232" t="str">
            <v>E2</v>
          </cell>
          <cell r="Q4232" t="str">
            <v>J1</v>
          </cell>
          <cell r="R4232" t="str">
            <v>J8</v>
          </cell>
          <cell r="S4232" t="str">
            <v>PENDIENTE</v>
          </cell>
          <cell r="T4232">
            <v>0</v>
          </cell>
          <cell r="U4232" t="str">
            <v>YUCA BELLIDO BORIS YERSY</v>
          </cell>
          <cell r="V4232" t="str">
            <v>FLOREZ CONDORI  JOSE WILLIANS</v>
          </cell>
        </row>
        <row r="4233">
          <cell r="A4233">
            <v>4257</v>
          </cell>
          <cell r="B4233">
            <v>42751</v>
          </cell>
          <cell r="C4233" t="str">
            <v>ENERO</v>
          </cell>
          <cell r="D4233" t="str">
            <v>2017</v>
          </cell>
          <cell r="E4233">
            <v>848</v>
          </cell>
          <cell r="F4233" t="str">
            <v>D3P-754</v>
          </cell>
          <cell r="G4233" t="str">
            <v>C0V-971</v>
          </cell>
          <cell r="H4233" t="str">
            <v>LAS BAMBAS</v>
          </cell>
          <cell r="I4233">
            <v>167618</v>
          </cell>
          <cell r="J4233" t="str">
            <v>REPUESTO</v>
          </cell>
          <cell r="K4233" t="str">
            <v>ADAPTADOR RAPIDO 5/8</v>
          </cell>
          <cell r="L4233">
            <v>2</v>
          </cell>
          <cell r="M4233" t="str">
            <v>UNID.</v>
          </cell>
          <cell r="N4233" t="str">
            <v>TRACTO</v>
          </cell>
          <cell r="O4233">
            <v>39</v>
          </cell>
          <cell r="P4233" t="str">
            <v>M1</v>
          </cell>
          <cell r="Q4233" t="str">
            <v>J1</v>
          </cell>
          <cell r="R4233" t="str">
            <v>J1</v>
          </cell>
          <cell r="S4233" t="str">
            <v>PENDIENTE</v>
          </cell>
          <cell r="T4233">
            <v>0</v>
          </cell>
          <cell r="U4233" t="str">
            <v>CABEZAS SANCHEZ JEAN JHONATAN</v>
          </cell>
          <cell r="V4233" t="str">
            <v>FLOREZ CONDORI  JOSE WILLIANS</v>
          </cell>
        </row>
        <row r="4234">
          <cell r="A4234">
            <v>4226</v>
          </cell>
          <cell r="B4234">
            <v>42751</v>
          </cell>
          <cell r="C4234" t="str">
            <v>ENERO</v>
          </cell>
          <cell r="D4234" t="str">
            <v>2017</v>
          </cell>
          <cell r="E4234">
            <v>845</v>
          </cell>
          <cell r="F4234" t="str">
            <v>D3S-725</v>
          </cell>
          <cell r="G4234" t="str">
            <v>TBL-977</v>
          </cell>
          <cell r="H4234" t="str">
            <v>LAS BAMBAS</v>
          </cell>
          <cell r="I4234">
            <v>151345</v>
          </cell>
          <cell r="J4234" t="str">
            <v>REPUESTO</v>
          </cell>
          <cell r="K4234" t="str">
            <v>REFRIGERANTE</v>
          </cell>
          <cell r="L4234">
            <v>1</v>
          </cell>
          <cell r="M4234" t="str">
            <v>GLNS.</v>
          </cell>
          <cell r="N4234" t="str">
            <v>TRACTO</v>
          </cell>
          <cell r="O4234">
            <v>39</v>
          </cell>
          <cell r="P4234" t="str">
            <v>M2</v>
          </cell>
          <cell r="Q4234" t="str">
            <v>J1</v>
          </cell>
          <cell r="R4234" t="str">
            <v>J8</v>
          </cell>
          <cell r="S4234" t="str">
            <v>PENDIENTE</v>
          </cell>
          <cell r="T4234">
            <v>0</v>
          </cell>
          <cell r="U4234" t="str">
            <v>CHUMPITAZ GAGO JULIO ENRIQUE</v>
          </cell>
          <cell r="V4234" t="str">
            <v>FLOREZ CONDORI  JOSE WILLIANS</v>
          </cell>
        </row>
        <row r="4235">
          <cell r="A4235">
            <v>4227</v>
          </cell>
          <cell r="B4235">
            <v>42751</v>
          </cell>
          <cell r="C4235" t="str">
            <v>ENERO</v>
          </cell>
          <cell r="D4235" t="str">
            <v>2017</v>
          </cell>
          <cell r="E4235">
            <v>845</v>
          </cell>
          <cell r="F4235" t="str">
            <v>D3S-725</v>
          </cell>
          <cell r="G4235" t="str">
            <v>TBL-977</v>
          </cell>
          <cell r="H4235" t="str">
            <v>LAS BAMBAS</v>
          </cell>
          <cell r="I4235">
            <v>151345</v>
          </cell>
          <cell r="J4235" t="str">
            <v>REPUESTO</v>
          </cell>
          <cell r="K4235" t="str">
            <v>AGUA LIMPIA PARABRISA</v>
          </cell>
          <cell r="L4235">
            <v>1</v>
          </cell>
          <cell r="M4235" t="str">
            <v>GLNS.</v>
          </cell>
          <cell r="N4235" t="str">
            <v>TRACTO</v>
          </cell>
          <cell r="O4235">
            <v>39</v>
          </cell>
          <cell r="P4235" t="str">
            <v>M2</v>
          </cell>
          <cell r="Q4235" t="str">
            <v>J1</v>
          </cell>
          <cell r="R4235" t="str">
            <v>J8</v>
          </cell>
          <cell r="S4235" t="str">
            <v>PENDIENTE</v>
          </cell>
          <cell r="T4235">
            <v>0</v>
          </cell>
          <cell r="U4235" t="str">
            <v>CHUMPITAZ GAGO JULIO ENRIQUE</v>
          </cell>
          <cell r="V4235" t="str">
            <v>FLOREZ CONDORI  JOSE WILLIANS</v>
          </cell>
        </row>
        <row r="4236">
          <cell r="A4236">
            <v>4235</v>
          </cell>
          <cell r="B4236">
            <v>42751</v>
          </cell>
          <cell r="C4236" t="str">
            <v>ENERO</v>
          </cell>
          <cell r="D4236" t="str">
            <v>2017</v>
          </cell>
          <cell r="E4236">
            <v>845</v>
          </cell>
          <cell r="F4236" t="str">
            <v>D3S-725</v>
          </cell>
          <cell r="G4236" t="str">
            <v>TBL-977</v>
          </cell>
          <cell r="H4236" t="str">
            <v>LAS BAMBAS</v>
          </cell>
          <cell r="I4236">
            <v>151345</v>
          </cell>
          <cell r="J4236" t="str">
            <v>REPUESTO</v>
          </cell>
          <cell r="K4236" t="str">
            <v>PARCHE RECK 10</v>
          </cell>
          <cell r="L4236">
            <v>1</v>
          </cell>
          <cell r="M4236" t="str">
            <v>UNID.</v>
          </cell>
          <cell r="N4236" t="str">
            <v>TRACTO</v>
          </cell>
          <cell r="O4236">
            <v>39</v>
          </cell>
          <cell r="P4236" t="str">
            <v>N2</v>
          </cell>
          <cell r="Q4236" t="str">
            <v>J1</v>
          </cell>
          <cell r="R4236" t="str">
            <v>J8</v>
          </cell>
          <cell r="S4236" t="str">
            <v>PENDIENTE</v>
          </cell>
          <cell r="T4236">
            <v>0</v>
          </cell>
          <cell r="U4236" t="str">
            <v>MAMANI LARICO  EDUARDO ALVARO</v>
          </cell>
          <cell r="V4236" t="str">
            <v>FLOREZ CONDORI  JOSE WILLIANS</v>
          </cell>
        </row>
        <row r="4237">
          <cell r="A4237">
            <v>4236</v>
          </cell>
          <cell r="B4237">
            <v>42751</v>
          </cell>
          <cell r="C4237" t="str">
            <v>ENERO</v>
          </cell>
          <cell r="D4237" t="str">
            <v>2017</v>
          </cell>
          <cell r="E4237">
            <v>845</v>
          </cell>
          <cell r="F4237" t="str">
            <v>D3S-725</v>
          </cell>
          <cell r="G4237" t="str">
            <v>TBL-977</v>
          </cell>
          <cell r="H4237" t="str">
            <v>LAS BAMBAS</v>
          </cell>
          <cell r="I4237">
            <v>151345</v>
          </cell>
          <cell r="J4237" t="str">
            <v>REPUESTO</v>
          </cell>
          <cell r="K4237" t="str">
            <v>PARCHE RECK 12</v>
          </cell>
          <cell r="L4237">
            <v>1</v>
          </cell>
          <cell r="M4237" t="str">
            <v>UNID.</v>
          </cell>
          <cell r="N4237" t="str">
            <v>TRACTO</v>
          </cell>
          <cell r="O4237">
            <v>39</v>
          </cell>
          <cell r="P4237" t="str">
            <v>N2</v>
          </cell>
          <cell r="Q4237" t="str">
            <v>J1</v>
          </cell>
          <cell r="R4237" t="str">
            <v>J8</v>
          </cell>
          <cell r="S4237" t="str">
            <v>PENDIENTE</v>
          </cell>
          <cell r="T4237">
            <v>0</v>
          </cell>
          <cell r="U4237" t="str">
            <v>MAMANI LARICO  EDUARDO ALVARO</v>
          </cell>
          <cell r="V4237" t="str">
            <v>FLOREZ CONDORI  JOSE WILLIANS</v>
          </cell>
        </row>
        <row r="4238">
          <cell r="A4238">
            <v>4224</v>
          </cell>
          <cell r="B4238">
            <v>42751</v>
          </cell>
          <cell r="C4238" t="str">
            <v>ENERO</v>
          </cell>
          <cell r="D4238" t="str">
            <v>2017</v>
          </cell>
          <cell r="E4238">
            <v>768</v>
          </cell>
          <cell r="F4238" t="str">
            <v>D4X-872</v>
          </cell>
          <cell r="G4238" t="str">
            <v>B4P-976</v>
          </cell>
          <cell r="H4238" t="str">
            <v>LAS BAMBAS</v>
          </cell>
          <cell r="I4238">
            <v>187246</v>
          </cell>
          <cell r="J4238" t="str">
            <v>REPUESTO</v>
          </cell>
          <cell r="K4238" t="str">
            <v>REFRIGERANTE</v>
          </cell>
          <cell r="L4238">
            <v>1</v>
          </cell>
          <cell r="M4238" t="str">
            <v>GLNS.</v>
          </cell>
          <cell r="N4238" t="str">
            <v>TRACTO</v>
          </cell>
          <cell r="O4238">
            <v>39</v>
          </cell>
          <cell r="P4238" t="str">
            <v>M5</v>
          </cell>
          <cell r="Q4238" t="str">
            <v>J1</v>
          </cell>
          <cell r="R4238" t="str">
            <v>J8</v>
          </cell>
          <cell r="S4238" t="str">
            <v>PENDIENTE</v>
          </cell>
          <cell r="T4238">
            <v>0</v>
          </cell>
          <cell r="U4238" t="str">
            <v>LOPEZ RUIZ WILBERTO</v>
          </cell>
          <cell r="V4238" t="str">
            <v>FLOREZ CONDORI  JOSE WILLIANS</v>
          </cell>
        </row>
        <row r="4239">
          <cell r="A4239">
            <v>4225</v>
          </cell>
          <cell r="B4239">
            <v>42751</v>
          </cell>
          <cell r="C4239" t="str">
            <v>ENERO</v>
          </cell>
          <cell r="D4239" t="str">
            <v>2017</v>
          </cell>
          <cell r="E4239">
            <v>768</v>
          </cell>
          <cell r="F4239" t="str">
            <v>D4X-872</v>
          </cell>
          <cell r="G4239" t="str">
            <v>B4P-976</v>
          </cell>
          <cell r="H4239" t="str">
            <v>LAS BAMBAS</v>
          </cell>
          <cell r="I4239">
            <v>187246</v>
          </cell>
          <cell r="J4239" t="str">
            <v>REPUESTO</v>
          </cell>
          <cell r="K4239" t="str">
            <v>AGUA LIMPIA PARABRISA</v>
          </cell>
          <cell r="L4239">
            <v>1</v>
          </cell>
          <cell r="M4239" t="str">
            <v>GLNS.</v>
          </cell>
          <cell r="N4239" t="str">
            <v>TRACTO</v>
          </cell>
          <cell r="O4239">
            <v>39</v>
          </cell>
          <cell r="P4239" t="str">
            <v>M5</v>
          </cell>
          <cell r="Q4239" t="str">
            <v>J1</v>
          </cell>
          <cell r="R4239" t="str">
            <v>J8</v>
          </cell>
          <cell r="S4239" t="str">
            <v>PENDIENTE</v>
          </cell>
          <cell r="T4239">
            <v>0</v>
          </cell>
          <cell r="U4239" t="str">
            <v>LOPEZ RUIZ WILBERTO</v>
          </cell>
          <cell r="V4239" t="str">
            <v>FLOREZ CONDORI  JOSE WILLIANS</v>
          </cell>
        </row>
        <row r="4240">
          <cell r="A4240">
            <v>4234</v>
          </cell>
          <cell r="B4240">
            <v>42751</v>
          </cell>
          <cell r="C4240" t="str">
            <v>ENERO</v>
          </cell>
          <cell r="D4240" t="str">
            <v>2017</v>
          </cell>
          <cell r="E4240">
            <v>846</v>
          </cell>
          <cell r="F4240" t="str">
            <v>D4X-872</v>
          </cell>
          <cell r="G4240" t="str">
            <v>B4P-976</v>
          </cell>
          <cell r="H4240" t="str">
            <v>LAS BAMBAS</v>
          </cell>
          <cell r="I4240">
            <v>188556</v>
          </cell>
          <cell r="J4240" t="str">
            <v>REPUESTO</v>
          </cell>
          <cell r="K4240" t="str">
            <v>TAPA DE TANQUE DE DEPOSITO DE LIMPIAPARABRISA</v>
          </cell>
          <cell r="L4240">
            <v>1</v>
          </cell>
          <cell r="M4240" t="str">
            <v>UNID.</v>
          </cell>
          <cell r="N4240" t="str">
            <v>TRACTO</v>
          </cell>
          <cell r="O4240">
            <v>39</v>
          </cell>
          <cell r="P4240" t="str">
            <v>M5</v>
          </cell>
          <cell r="Q4240" t="str">
            <v>J1</v>
          </cell>
          <cell r="R4240" t="str">
            <v>J8</v>
          </cell>
          <cell r="S4240" t="str">
            <v>PENDIENTE</v>
          </cell>
          <cell r="T4240">
            <v>0</v>
          </cell>
          <cell r="U4240" t="str">
            <v>LOPEZ RUIZ WILBERTO</v>
          </cell>
          <cell r="V4240" t="str">
            <v>FLOREZ CONDORI  JOSE WILLIANS</v>
          </cell>
        </row>
        <row r="4241">
          <cell r="A4241">
            <v>4178</v>
          </cell>
          <cell r="B4241">
            <v>42751</v>
          </cell>
          <cell r="C4241" t="str">
            <v>ENERO</v>
          </cell>
          <cell r="D4241" t="str">
            <v>2017</v>
          </cell>
          <cell r="E4241">
            <v>837</v>
          </cell>
          <cell r="F4241" t="str">
            <v>D6G-805</v>
          </cell>
          <cell r="G4241" t="str">
            <v>T4Z-996</v>
          </cell>
          <cell r="H4241" t="str">
            <v>LAS BAMBAS</v>
          </cell>
          <cell r="I4241">
            <v>228235</v>
          </cell>
          <cell r="J4241" t="str">
            <v>REPUESTO</v>
          </cell>
          <cell r="K4241" t="str">
            <v>MAXIBRAKE DE TRACTO</v>
          </cell>
          <cell r="L4241">
            <v>1</v>
          </cell>
          <cell r="M4241" t="str">
            <v>UNID.</v>
          </cell>
          <cell r="N4241" t="str">
            <v>TRACTO</v>
          </cell>
          <cell r="O4241">
            <v>39</v>
          </cell>
          <cell r="P4241" t="str">
            <v>M4</v>
          </cell>
          <cell r="Q4241" t="str">
            <v>J1</v>
          </cell>
          <cell r="R4241" t="str">
            <v>J8</v>
          </cell>
          <cell r="S4241" t="str">
            <v>PENDIENTE</v>
          </cell>
          <cell r="T4241">
            <v>0</v>
          </cell>
          <cell r="U4241" t="str">
            <v>JULLIRI APAZA UBALDO</v>
          </cell>
          <cell r="V4241" t="str">
            <v>FLOREZ CONDORI  JOSE WILLIANS</v>
          </cell>
        </row>
        <row r="4242">
          <cell r="A4242">
            <v>4179</v>
          </cell>
          <cell r="B4242">
            <v>42751</v>
          </cell>
          <cell r="C4242" t="str">
            <v>ENERO</v>
          </cell>
          <cell r="D4242" t="str">
            <v>2017</v>
          </cell>
          <cell r="E4242">
            <v>837</v>
          </cell>
          <cell r="F4242" t="str">
            <v>D6G-805</v>
          </cell>
          <cell r="G4242" t="str">
            <v>T4Z-996</v>
          </cell>
          <cell r="H4242" t="str">
            <v>LAS BAMBAS</v>
          </cell>
          <cell r="I4242">
            <v>228235</v>
          </cell>
          <cell r="J4242" t="str">
            <v>REPUESTO</v>
          </cell>
          <cell r="K4242" t="str">
            <v>NIPLE 45° M2 SALIDA 1/2</v>
          </cell>
          <cell r="L4242">
            <v>1</v>
          </cell>
          <cell r="M4242" t="str">
            <v>UNID.</v>
          </cell>
          <cell r="N4242" t="str">
            <v>TRACTO</v>
          </cell>
          <cell r="O4242">
            <v>39</v>
          </cell>
          <cell r="P4242" t="str">
            <v>M4</v>
          </cell>
          <cell r="Q4242" t="str">
            <v>J1</v>
          </cell>
          <cell r="R4242" t="str">
            <v>J8</v>
          </cell>
          <cell r="S4242" t="str">
            <v>PENDIENTE</v>
          </cell>
          <cell r="T4242">
            <v>0</v>
          </cell>
          <cell r="U4242" t="str">
            <v>JULLIRI APAZA UBALDO</v>
          </cell>
          <cell r="V4242" t="str">
            <v>FLOREZ CONDORI  JOSE WILLIANS</v>
          </cell>
        </row>
        <row r="4243">
          <cell r="A4243">
            <v>4219</v>
          </cell>
          <cell r="B4243">
            <v>42751</v>
          </cell>
          <cell r="C4243" t="str">
            <v>ENERO</v>
          </cell>
          <cell r="D4243" t="str">
            <v>2017</v>
          </cell>
          <cell r="E4243">
            <v>837</v>
          </cell>
          <cell r="F4243" t="str">
            <v>D6G-805</v>
          </cell>
          <cell r="G4243" t="str">
            <v>T4Z-996</v>
          </cell>
          <cell r="H4243" t="str">
            <v>LAS BAMBAS</v>
          </cell>
          <cell r="I4243">
            <v>228235</v>
          </cell>
          <cell r="J4243" t="str">
            <v>REPUESTO</v>
          </cell>
          <cell r="K4243" t="str">
            <v>REFRIGERANTE</v>
          </cell>
          <cell r="L4243">
            <v>1</v>
          </cell>
          <cell r="M4243" t="str">
            <v>GLNS.</v>
          </cell>
          <cell r="N4243" t="str">
            <v>TRACTO</v>
          </cell>
          <cell r="O4243">
            <v>39</v>
          </cell>
          <cell r="P4243" t="str">
            <v>M4</v>
          </cell>
          <cell r="Q4243" t="str">
            <v>J1</v>
          </cell>
          <cell r="R4243" t="str">
            <v>J8</v>
          </cell>
          <cell r="S4243" t="str">
            <v>PENDIENTE</v>
          </cell>
          <cell r="T4243">
            <v>0</v>
          </cell>
          <cell r="U4243" t="str">
            <v>JULLIRI APAZA UBALDO</v>
          </cell>
          <cell r="V4243" t="str">
            <v>FLOREZ CONDORI  JOSE WILLIANS</v>
          </cell>
        </row>
        <row r="4244">
          <cell r="A4244">
            <v>4220</v>
          </cell>
          <cell r="B4244">
            <v>42751</v>
          </cell>
          <cell r="C4244" t="str">
            <v>ENERO</v>
          </cell>
          <cell r="D4244" t="str">
            <v>2017</v>
          </cell>
          <cell r="E4244">
            <v>837</v>
          </cell>
          <cell r="F4244" t="str">
            <v>D6G-805</v>
          </cell>
          <cell r="G4244" t="str">
            <v>T4Z-996</v>
          </cell>
          <cell r="H4244" t="str">
            <v>LAS BAMBAS</v>
          </cell>
          <cell r="I4244">
            <v>228235</v>
          </cell>
          <cell r="J4244" t="str">
            <v>REPUESTO</v>
          </cell>
          <cell r="K4244" t="str">
            <v>ACEITE DE MOTOR 15W40</v>
          </cell>
          <cell r="L4244">
            <v>0.5</v>
          </cell>
          <cell r="M4244" t="str">
            <v>GLNS.</v>
          </cell>
          <cell r="N4244" t="str">
            <v>TRACTO</v>
          </cell>
          <cell r="O4244">
            <v>39</v>
          </cell>
          <cell r="P4244" t="str">
            <v>M4</v>
          </cell>
          <cell r="Q4244" t="str">
            <v>J1</v>
          </cell>
          <cell r="R4244" t="str">
            <v>J8</v>
          </cell>
          <cell r="S4244" t="str">
            <v>PENDIENTE</v>
          </cell>
          <cell r="T4244">
            <v>0</v>
          </cell>
          <cell r="U4244" t="str">
            <v>JULLIRI APAZA UBALDO</v>
          </cell>
          <cell r="V4244" t="str">
            <v>FLOREZ CONDORI  JOSE WILLIANS</v>
          </cell>
        </row>
        <row r="4245">
          <cell r="A4245">
            <v>4221</v>
          </cell>
          <cell r="B4245">
            <v>42751</v>
          </cell>
          <cell r="C4245" t="str">
            <v>ENERO</v>
          </cell>
          <cell r="D4245" t="str">
            <v>2017</v>
          </cell>
          <cell r="E4245">
            <v>837</v>
          </cell>
          <cell r="F4245" t="str">
            <v>D6G-805</v>
          </cell>
          <cell r="G4245" t="str">
            <v>T4Z-996</v>
          </cell>
          <cell r="H4245" t="str">
            <v>LAS BAMBAS</v>
          </cell>
          <cell r="I4245">
            <v>228235</v>
          </cell>
          <cell r="J4245" t="str">
            <v>REPUESTO</v>
          </cell>
          <cell r="K4245" t="str">
            <v>AGUA LIMPIA PARABRISA</v>
          </cell>
          <cell r="L4245">
            <v>1</v>
          </cell>
          <cell r="M4245" t="str">
            <v>GLNS.</v>
          </cell>
          <cell r="N4245" t="str">
            <v>TRACTO</v>
          </cell>
          <cell r="O4245">
            <v>39</v>
          </cell>
          <cell r="P4245" t="str">
            <v>M4</v>
          </cell>
          <cell r="Q4245" t="str">
            <v>J1</v>
          </cell>
          <cell r="R4245" t="str">
            <v>J8</v>
          </cell>
          <cell r="S4245" t="str">
            <v>PENDIENTE</v>
          </cell>
          <cell r="T4245">
            <v>0</v>
          </cell>
          <cell r="U4245" t="str">
            <v>JULLIRI APAZA UBALDO</v>
          </cell>
          <cell r="V4245" t="str">
            <v>FLOREZ CONDORI  JOSE WILLIANS</v>
          </cell>
        </row>
        <row r="4246">
          <cell r="A4246">
            <v>4245</v>
          </cell>
          <cell r="B4246">
            <v>42751</v>
          </cell>
          <cell r="C4246" t="str">
            <v>ENERO</v>
          </cell>
          <cell r="D4246" t="str">
            <v>2017</v>
          </cell>
          <cell r="E4246">
            <v>851</v>
          </cell>
          <cell r="F4246" t="str">
            <v>D7N-755</v>
          </cell>
          <cell r="G4246" t="str">
            <v>F7L-983</v>
          </cell>
          <cell r="H4246" t="str">
            <v>LAS BAMBAS</v>
          </cell>
          <cell r="I4246">
            <v>55492</v>
          </cell>
          <cell r="J4246" t="str">
            <v>REPUESTO</v>
          </cell>
          <cell r="K4246" t="str">
            <v>PARCHE RACK 14</v>
          </cell>
          <cell r="L4246">
            <v>1</v>
          </cell>
          <cell r="M4246" t="str">
            <v>UNID.</v>
          </cell>
          <cell r="N4246" t="str">
            <v>CISTERNA</v>
          </cell>
          <cell r="O4246">
            <v>39</v>
          </cell>
          <cell r="P4246" t="str">
            <v>N2</v>
          </cell>
          <cell r="Q4246" t="str">
            <v>J1</v>
          </cell>
          <cell r="R4246" t="str">
            <v>J8</v>
          </cell>
          <cell r="S4246" t="str">
            <v>PENDIENTE</v>
          </cell>
          <cell r="T4246">
            <v>0</v>
          </cell>
          <cell r="U4246" t="str">
            <v>MAMANI LARICO  EDUARDO ALVARO</v>
          </cell>
          <cell r="V4246" t="str">
            <v>FLOREZ CONDORI  JOSE WILLIANS</v>
          </cell>
        </row>
        <row r="4247">
          <cell r="A4247">
            <v>4246</v>
          </cell>
          <cell r="B4247">
            <v>42751</v>
          </cell>
          <cell r="C4247" t="str">
            <v>ENERO</v>
          </cell>
          <cell r="D4247" t="str">
            <v>2017</v>
          </cell>
          <cell r="E4247">
            <v>851</v>
          </cell>
          <cell r="F4247" t="str">
            <v>D7N-755</v>
          </cell>
          <cell r="G4247" t="str">
            <v>F7L-983</v>
          </cell>
          <cell r="H4247" t="str">
            <v>LAS BAMBAS</v>
          </cell>
          <cell r="I4247">
            <v>55492</v>
          </cell>
          <cell r="J4247" t="str">
            <v>REPUESTO</v>
          </cell>
          <cell r="K4247" t="str">
            <v>PARCHE RACK 10</v>
          </cell>
          <cell r="L4247">
            <v>1</v>
          </cell>
          <cell r="M4247" t="str">
            <v>UNID.</v>
          </cell>
          <cell r="N4247" t="str">
            <v>CISTERNA</v>
          </cell>
          <cell r="O4247">
            <v>39</v>
          </cell>
          <cell r="P4247" t="str">
            <v>N2</v>
          </cell>
          <cell r="Q4247" t="str">
            <v>J1</v>
          </cell>
          <cell r="R4247" t="str">
            <v>J8</v>
          </cell>
          <cell r="S4247" t="str">
            <v>PENDIENTE</v>
          </cell>
          <cell r="T4247">
            <v>0</v>
          </cell>
          <cell r="U4247" t="str">
            <v>MAMANI LARICO  EDUARDO ALVARO</v>
          </cell>
          <cell r="V4247" t="str">
            <v>FLOREZ CONDORI  JOSE WILLIANS</v>
          </cell>
        </row>
        <row r="4248">
          <cell r="A4248">
            <v>4252</v>
          </cell>
          <cell r="B4248">
            <v>42751</v>
          </cell>
          <cell r="C4248" t="str">
            <v>ENERO</v>
          </cell>
          <cell r="D4248" t="str">
            <v>2017</v>
          </cell>
          <cell r="E4248">
            <v>851</v>
          </cell>
          <cell r="F4248" t="str">
            <v>D7N-755</v>
          </cell>
          <cell r="G4248" t="str">
            <v>F7L-983</v>
          </cell>
          <cell r="H4248" t="str">
            <v>LAS BAMBAS</v>
          </cell>
          <cell r="I4248">
            <v>55492</v>
          </cell>
          <cell r="J4248" t="str">
            <v>REPUESTO</v>
          </cell>
          <cell r="K4248" t="str">
            <v>FOCOS H3 24V</v>
          </cell>
          <cell r="L4248">
            <v>2</v>
          </cell>
          <cell r="M4248" t="str">
            <v>UNID.</v>
          </cell>
          <cell r="N4248" t="str">
            <v>TRACTO</v>
          </cell>
          <cell r="O4248">
            <v>39</v>
          </cell>
          <cell r="P4248" t="str">
            <v>E2</v>
          </cell>
          <cell r="Q4248" t="str">
            <v>J1</v>
          </cell>
          <cell r="R4248" t="str">
            <v>J8</v>
          </cell>
          <cell r="S4248" t="str">
            <v>PENDIENTE</v>
          </cell>
          <cell r="T4248">
            <v>0</v>
          </cell>
          <cell r="U4248" t="str">
            <v>YUCA BELLIDO BORIS YERSY</v>
          </cell>
          <cell r="V4248" t="str">
            <v>FLOREZ CONDORI  JOSE WILLIANS</v>
          </cell>
        </row>
        <row r="4249">
          <cell r="A4249">
            <v>4180</v>
          </cell>
          <cell r="B4249">
            <v>42751</v>
          </cell>
          <cell r="C4249" t="str">
            <v>ENERO</v>
          </cell>
          <cell r="D4249" t="str">
            <v>2017</v>
          </cell>
          <cell r="E4249">
            <v>200</v>
          </cell>
          <cell r="F4249" t="str">
            <v>TALLER</v>
          </cell>
          <cell r="G4249" t="str">
            <v>TALLER</v>
          </cell>
          <cell r="H4249" t="str">
            <v>TALLER</v>
          </cell>
          <cell r="I4249" t="str">
            <v>TALLER</v>
          </cell>
          <cell r="J4249" t="str">
            <v>REPUESTO</v>
          </cell>
          <cell r="K4249" t="str">
            <v>DISCO DE CORTE 4</v>
          </cell>
          <cell r="L4249">
            <v>1</v>
          </cell>
          <cell r="M4249" t="str">
            <v>UNID.</v>
          </cell>
          <cell r="N4249" t="str">
            <v>TALLER</v>
          </cell>
          <cell r="O4249">
            <v>39</v>
          </cell>
          <cell r="P4249" t="str">
            <v>M4</v>
          </cell>
          <cell r="Q4249" t="str">
            <v>J1</v>
          </cell>
          <cell r="R4249" t="str">
            <v>J8</v>
          </cell>
          <cell r="S4249" t="str">
            <v>PENDIENTE</v>
          </cell>
          <cell r="T4249">
            <v>0</v>
          </cell>
          <cell r="U4249" t="str">
            <v>JULLIRI APAZA UBALDO</v>
          </cell>
          <cell r="V4249" t="str">
            <v>FLOREZ CONDORI  JOSE WILLIANS</v>
          </cell>
        </row>
        <row r="4250">
          <cell r="A4250">
            <v>4181</v>
          </cell>
          <cell r="B4250">
            <v>42751</v>
          </cell>
          <cell r="C4250" t="str">
            <v>ENERO</v>
          </cell>
          <cell r="D4250" t="str">
            <v>2017</v>
          </cell>
          <cell r="E4250">
            <v>200</v>
          </cell>
          <cell r="F4250" t="str">
            <v>TALLER</v>
          </cell>
          <cell r="G4250" t="str">
            <v>TALLER</v>
          </cell>
          <cell r="H4250" t="str">
            <v>TALLER</v>
          </cell>
          <cell r="I4250" t="str">
            <v>TALLER</v>
          </cell>
          <cell r="J4250" t="str">
            <v>REPUESTO</v>
          </cell>
          <cell r="K4250" t="str">
            <v>TRAPO INDUSTRIAL</v>
          </cell>
          <cell r="L4250">
            <v>2</v>
          </cell>
          <cell r="M4250" t="str">
            <v>KG.</v>
          </cell>
          <cell r="N4250" t="str">
            <v>TALLER</v>
          </cell>
          <cell r="O4250">
            <v>39</v>
          </cell>
          <cell r="P4250" t="str">
            <v>M5</v>
          </cell>
          <cell r="Q4250" t="str">
            <v>J1</v>
          </cell>
          <cell r="R4250" t="str">
            <v>J8</v>
          </cell>
          <cell r="S4250" t="str">
            <v>PENDIENTE</v>
          </cell>
          <cell r="T4250">
            <v>0</v>
          </cell>
          <cell r="U4250" t="str">
            <v>LOPEZ RUIZ WILBERTO</v>
          </cell>
          <cell r="V4250" t="str">
            <v>FLOREZ CONDORI  JOSE WILLIANS</v>
          </cell>
        </row>
        <row r="4251">
          <cell r="A4251">
            <v>4207</v>
          </cell>
          <cell r="B4251">
            <v>42751</v>
          </cell>
          <cell r="C4251" t="str">
            <v>ENERO</v>
          </cell>
          <cell r="D4251" t="str">
            <v>2017</v>
          </cell>
          <cell r="E4251">
            <v>200</v>
          </cell>
          <cell r="F4251" t="str">
            <v>TALLER</v>
          </cell>
          <cell r="G4251" t="str">
            <v>TALLER</v>
          </cell>
          <cell r="H4251" t="str">
            <v>TALLER</v>
          </cell>
          <cell r="I4251" t="str">
            <v>TALLER</v>
          </cell>
          <cell r="J4251" t="str">
            <v>REPUESTO</v>
          </cell>
          <cell r="K4251" t="str">
            <v>LUNAS TRANSPARENTES  PARA CARETA DE SOLDAR</v>
          </cell>
          <cell r="L4251">
            <v>2</v>
          </cell>
          <cell r="M4251" t="str">
            <v>UNID.</v>
          </cell>
          <cell r="N4251" t="str">
            <v>TALLER</v>
          </cell>
          <cell r="O4251">
            <v>39</v>
          </cell>
          <cell r="P4251" t="str">
            <v>S1</v>
          </cell>
          <cell r="Q4251" t="str">
            <v>J1</v>
          </cell>
          <cell r="R4251" t="str">
            <v>J8</v>
          </cell>
          <cell r="S4251" t="str">
            <v>PENDIENTE</v>
          </cell>
          <cell r="T4251">
            <v>0</v>
          </cell>
          <cell r="U4251" t="str">
            <v>BAYONA CRUZ CRISTIAN ARMANDO</v>
          </cell>
          <cell r="V4251" t="str">
            <v>FLOREZ CONDORI  JOSE WILLIANS</v>
          </cell>
        </row>
        <row r="4252">
          <cell r="A4252">
            <v>4213</v>
          </cell>
          <cell r="B4252">
            <v>42751</v>
          </cell>
          <cell r="C4252" t="str">
            <v>ENERO</v>
          </cell>
          <cell r="D4252" t="str">
            <v>2017</v>
          </cell>
          <cell r="E4252">
            <v>200</v>
          </cell>
          <cell r="F4252" t="str">
            <v>TALLER</v>
          </cell>
          <cell r="G4252" t="str">
            <v>TALLER</v>
          </cell>
          <cell r="H4252" t="str">
            <v>TALLER</v>
          </cell>
          <cell r="I4252" t="str">
            <v>TALLER</v>
          </cell>
          <cell r="J4252" t="str">
            <v>INSUMO TALLER</v>
          </cell>
          <cell r="K4252" t="str">
            <v>SPRAY COLOR BLANCO</v>
          </cell>
          <cell r="L4252">
            <v>1</v>
          </cell>
          <cell r="M4252" t="str">
            <v>UNID.</v>
          </cell>
          <cell r="N4252" t="str">
            <v>TALLER</v>
          </cell>
          <cell r="O4252">
            <v>39</v>
          </cell>
          <cell r="P4252" t="str">
            <v>N2</v>
          </cell>
          <cell r="Q4252" t="str">
            <v>J3</v>
          </cell>
          <cell r="R4252" t="str">
            <v>J6</v>
          </cell>
          <cell r="S4252" t="str">
            <v>PENDIENTE</v>
          </cell>
          <cell r="T4252">
            <v>0</v>
          </cell>
          <cell r="U4252" t="str">
            <v>MAMANI LARICO  EDUARDO ALVARO</v>
          </cell>
          <cell r="V4252" t="str">
            <v>CHURA PIZARRO ALBERTO</v>
          </cell>
        </row>
        <row r="4253">
          <cell r="A4253">
            <v>4214</v>
          </cell>
          <cell r="B4253">
            <v>42751</v>
          </cell>
          <cell r="C4253" t="str">
            <v>ENERO</v>
          </cell>
          <cell r="D4253" t="str">
            <v>2017</v>
          </cell>
          <cell r="E4253">
            <v>200</v>
          </cell>
          <cell r="F4253" t="str">
            <v>TALLER</v>
          </cell>
          <cell r="G4253" t="str">
            <v>TALLER</v>
          </cell>
          <cell r="H4253" t="str">
            <v>TALLER</v>
          </cell>
          <cell r="I4253" t="str">
            <v>TALLER</v>
          </cell>
          <cell r="J4253" t="str">
            <v>INSUMO TALLER</v>
          </cell>
          <cell r="K4253" t="str">
            <v>SPRAY COLOR ALUMINIO</v>
          </cell>
          <cell r="L4253">
            <v>1</v>
          </cell>
          <cell r="M4253" t="str">
            <v>UNID.</v>
          </cell>
          <cell r="N4253" t="str">
            <v>TALLER</v>
          </cell>
          <cell r="O4253">
            <v>39</v>
          </cell>
          <cell r="P4253" t="str">
            <v>N2</v>
          </cell>
          <cell r="Q4253" t="str">
            <v>J3</v>
          </cell>
          <cell r="R4253" t="str">
            <v>J6</v>
          </cell>
          <cell r="S4253" t="str">
            <v>PENDIENTE</v>
          </cell>
          <cell r="T4253">
            <v>0</v>
          </cell>
          <cell r="U4253" t="str">
            <v>MAMANI LARICO  EDUARDO ALVARO</v>
          </cell>
          <cell r="V4253" t="str">
            <v>CHURA PIZARRO ALBERTO</v>
          </cell>
        </row>
        <row r="4254">
          <cell r="A4254">
            <v>4215</v>
          </cell>
          <cell r="B4254">
            <v>42751</v>
          </cell>
          <cell r="C4254" t="str">
            <v>ENERO</v>
          </cell>
          <cell r="D4254" t="str">
            <v>2017</v>
          </cell>
          <cell r="E4254">
            <v>200</v>
          </cell>
          <cell r="F4254" t="str">
            <v>TALLER</v>
          </cell>
          <cell r="G4254" t="str">
            <v>TALLER</v>
          </cell>
          <cell r="H4254" t="str">
            <v>TALLER</v>
          </cell>
          <cell r="I4254" t="str">
            <v>TALLER</v>
          </cell>
          <cell r="J4254" t="str">
            <v>INSUMO TALLER</v>
          </cell>
          <cell r="K4254" t="str">
            <v>MEDIDOR DE REMANENTES</v>
          </cell>
          <cell r="L4254">
            <v>2</v>
          </cell>
          <cell r="M4254" t="str">
            <v>UNID.</v>
          </cell>
          <cell r="N4254" t="str">
            <v>TALLER</v>
          </cell>
          <cell r="O4254">
            <v>39</v>
          </cell>
          <cell r="P4254" t="str">
            <v>N2</v>
          </cell>
          <cell r="Q4254" t="str">
            <v>J3</v>
          </cell>
          <cell r="R4254" t="str">
            <v>J6</v>
          </cell>
          <cell r="S4254" t="str">
            <v>PENDIENTE</v>
          </cell>
          <cell r="T4254">
            <v>0</v>
          </cell>
          <cell r="U4254" t="str">
            <v>MAMANI LARICO  EDUARDO ALVARO</v>
          </cell>
          <cell r="V4254" t="str">
            <v>CHURA PIZARRO ALBERTO</v>
          </cell>
        </row>
        <row r="4255">
          <cell r="A4255">
            <v>4216</v>
          </cell>
          <cell r="B4255">
            <v>42751</v>
          </cell>
          <cell r="C4255" t="str">
            <v>ENERO</v>
          </cell>
          <cell r="D4255" t="str">
            <v>2017</v>
          </cell>
          <cell r="E4255">
            <v>200</v>
          </cell>
          <cell r="F4255" t="str">
            <v>TALLER</v>
          </cell>
          <cell r="G4255" t="str">
            <v>TALLER</v>
          </cell>
          <cell r="H4255" t="str">
            <v>TALLER</v>
          </cell>
          <cell r="I4255" t="str">
            <v>TALLER</v>
          </cell>
          <cell r="J4255" t="str">
            <v>INSUMO TALLER</v>
          </cell>
          <cell r="K4255" t="str">
            <v>PLUMON COLOR NEGRO</v>
          </cell>
          <cell r="L4255">
            <v>2</v>
          </cell>
          <cell r="M4255" t="str">
            <v>UNID.</v>
          </cell>
          <cell r="N4255" t="str">
            <v>TALLER</v>
          </cell>
          <cell r="O4255">
            <v>39</v>
          </cell>
          <cell r="P4255" t="str">
            <v>N2</v>
          </cell>
          <cell r="Q4255" t="str">
            <v>J3</v>
          </cell>
          <cell r="R4255" t="str">
            <v>J6</v>
          </cell>
          <cell r="S4255" t="str">
            <v>PENDIENTE</v>
          </cell>
          <cell r="T4255">
            <v>0</v>
          </cell>
          <cell r="U4255" t="str">
            <v>MAMANI LARICO  EDUARDO ALVARO</v>
          </cell>
          <cell r="V4255" t="str">
            <v>CHURA PIZARRO ALBERTO</v>
          </cell>
        </row>
        <row r="4256">
          <cell r="A4256">
            <v>4238</v>
          </cell>
          <cell r="B4256">
            <v>42751</v>
          </cell>
          <cell r="C4256" t="str">
            <v>ENERO</v>
          </cell>
          <cell r="D4256" t="str">
            <v>2017</v>
          </cell>
          <cell r="E4256">
            <v>200</v>
          </cell>
          <cell r="F4256" t="str">
            <v>TALLER</v>
          </cell>
          <cell r="G4256" t="str">
            <v>TALLER</v>
          </cell>
          <cell r="H4256" t="str">
            <v>TALLER</v>
          </cell>
          <cell r="I4256" t="str">
            <v>TALLER</v>
          </cell>
          <cell r="J4256" t="str">
            <v>MATERIALES</v>
          </cell>
          <cell r="K4256" t="str">
            <v>LIMPIACONTACTO</v>
          </cell>
          <cell r="L4256">
            <v>1</v>
          </cell>
          <cell r="M4256" t="str">
            <v>UNID.</v>
          </cell>
          <cell r="N4256" t="str">
            <v>TALLER</v>
          </cell>
          <cell r="O4256">
            <v>39</v>
          </cell>
          <cell r="P4256" t="str">
            <v>E3</v>
          </cell>
          <cell r="Q4256" t="str">
            <v>J1</v>
          </cell>
          <cell r="R4256" t="str">
            <v>J8</v>
          </cell>
          <cell r="S4256" t="str">
            <v>PENDIENTE</v>
          </cell>
          <cell r="T4256">
            <v>0</v>
          </cell>
          <cell r="U4256" t="str">
            <v>CONDORI CHURATA ALEX</v>
          </cell>
          <cell r="V4256" t="str">
            <v>FLOREZ CONDORI  JOSE WILLIANS</v>
          </cell>
        </row>
        <row r="4257">
          <cell r="A4257">
            <v>4242</v>
          </cell>
          <cell r="B4257">
            <v>42751</v>
          </cell>
          <cell r="C4257" t="str">
            <v>ENERO</v>
          </cell>
          <cell r="D4257" t="str">
            <v>2017</v>
          </cell>
          <cell r="E4257">
            <v>200</v>
          </cell>
          <cell r="F4257" t="str">
            <v>TALLER</v>
          </cell>
          <cell r="G4257" t="str">
            <v>TALLER</v>
          </cell>
          <cell r="H4257" t="str">
            <v>TALLER</v>
          </cell>
          <cell r="I4257" t="str">
            <v>TALLER</v>
          </cell>
          <cell r="J4257" t="str">
            <v>MATERIALES</v>
          </cell>
          <cell r="K4257" t="str">
            <v>BOTELLA DE OXIGENO DE 10 M3</v>
          </cell>
          <cell r="L4257">
            <v>2</v>
          </cell>
          <cell r="M4257" t="str">
            <v>UNID.</v>
          </cell>
          <cell r="N4257" t="str">
            <v>TALLER</v>
          </cell>
          <cell r="O4257">
            <v>39</v>
          </cell>
          <cell r="P4257" t="str">
            <v>S1</v>
          </cell>
          <cell r="Q4257" t="str">
            <v>J1</v>
          </cell>
          <cell r="R4257" t="str">
            <v>J8</v>
          </cell>
          <cell r="S4257" t="str">
            <v>PENDIENTE</v>
          </cell>
          <cell r="T4257">
            <v>0</v>
          </cell>
          <cell r="U4257" t="str">
            <v>BAYONA CRUZ CRISTIAN ARMANDO</v>
          </cell>
          <cell r="V4257" t="str">
            <v>FLOREZ CONDORI  JOSE WILLIANS</v>
          </cell>
        </row>
        <row r="4258">
          <cell r="A4258">
            <v>4243</v>
          </cell>
          <cell r="B4258">
            <v>42751</v>
          </cell>
          <cell r="C4258" t="str">
            <v>ENERO</v>
          </cell>
          <cell r="D4258" t="str">
            <v>2017</v>
          </cell>
          <cell r="E4258">
            <v>200</v>
          </cell>
          <cell r="F4258" t="str">
            <v>TALLER</v>
          </cell>
          <cell r="G4258" t="str">
            <v>TALLER</v>
          </cell>
          <cell r="H4258" t="str">
            <v>TALLER</v>
          </cell>
          <cell r="I4258" t="str">
            <v>TALLER</v>
          </cell>
          <cell r="J4258" t="str">
            <v>MATERIALES</v>
          </cell>
          <cell r="K4258" t="str">
            <v>REPUESTOS PARA CHISPEROS</v>
          </cell>
          <cell r="L4258">
            <v>1</v>
          </cell>
          <cell r="M4258" t="str">
            <v>UNID.</v>
          </cell>
          <cell r="N4258" t="str">
            <v>TALLER</v>
          </cell>
          <cell r="O4258">
            <v>39</v>
          </cell>
          <cell r="P4258" t="str">
            <v>S1</v>
          </cell>
          <cell r="Q4258" t="str">
            <v>J1</v>
          </cell>
          <cell r="R4258" t="str">
            <v>J8</v>
          </cell>
          <cell r="S4258" t="str">
            <v>PENDIENTE</v>
          </cell>
          <cell r="T4258">
            <v>0</v>
          </cell>
          <cell r="U4258" t="str">
            <v>BAYONA CRUZ CRISTIAN ARMANDO</v>
          </cell>
          <cell r="V4258" t="str">
            <v>FLOREZ CONDORI  JOSE WILLIANS</v>
          </cell>
        </row>
        <row r="4259">
          <cell r="A4259">
            <v>4258</v>
          </cell>
          <cell r="B4259">
            <v>42751</v>
          </cell>
          <cell r="C4259" t="str">
            <v>ENERO</v>
          </cell>
          <cell r="D4259" t="str">
            <v>2017</v>
          </cell>
          <cell r="E4259">
            <v>772</v>
          </cell>
          <cell r="F4259" t="str">
            <v>X2W-765</v>
          </cell>
          <cell r="G4259" t="str">
            <v>C5V-993</v>
          </cell>
          <cell r="H4259" t="str">
            <v>LAS BAMBAS</v>
          </cell>
          <cell r="I4259">
            <v>160329</v>
          </cell>
          <cell r="J4259" t="str">
            <v>REPUESTO</v>
          </cell>
          <cell r="K4259" t="str">
            <v>SOPORTE TRAVESAÑO CHASIS L</v>
          </cell>
          <cell r="L4259">
            <v>2</v>
          </cell>
          <cell r="M4259" t="str">
            <v>UNID.</v>
          </cell>
          <cell r="N4259" t="str">
            <v>TRACTO</v>
          </cell>
          <cell r="O4259">
            <v>39</v>
          </cell>
          <cell r="P4259" t="str">
            <v>M1</v>
          </cell>
          <cell r="Q4259" t="str">
            <v>J1</v>
          </cell>
          <cell r="R4259" t="str">
            <v>J1</v>
          </cell>
          <cell r="S4259" t="str">
            <v>PENDIENTE</v>
          </cell>
          <cell r="T4259">
            <v>0</v>
          </cell>
          <cell r="U4259" t="str">
            <v>CABEZAS SANCHEZ JEAN JHONATAN</v>
          </cell>
          <cell r="V4259" t="str">
            <v>FLOREZ CONDORI  JOSE WILLIANS</v>
          </cell>
        </row>
        <row r="4260">
          <cell r="A4260">
            <v>4288</v>
          </cell>
          <cell r="B4260">
            <v>42752</v>
          </cell>
          <cell r="C4260" t="str">
            <v>ENERO</v>
          </cell>
          <cell r="D4260" t="str">
            <v>2017</v>
          </cell>
          <cell r="E4260">
            <v>790</v>
          </cell>
          <cell r="F4260" t="str">
            <v>A9H-889</v>
          </cell>
          <cell r="G4260" t="str">
            <v>CAMION</v>
          </cell>
          <cell r="H4260" t="str">
            <v>TAMBOMAYO</v>
          </cell>
          <cell r="I4260">
            <v>123746</v>
          </cell>
          <cell r="J4260" t="str">
            <v>REPUESTO</v>
          </cell>
          <cell r="K4260" t="str">
            <v>FILTRO DE AIRE</v>
          </cell>
          <cell r="L4260">
            <v>1</v>
          </cell>
          <cell r="M4260" t="str">
            <v>UNID.</v>
          </cell>
          <cell r="N4260" t="str">
            <v>TRACTO</v>
          </cell>
          <cell r="O4260">
            <v>38</v>
          </cell>
          <cell r="P4260" t="str">
            <v>M5</v>
          </cell>
          <cell r="Q4260" t="str">
            <v>J1</v>
          </cell>
          <cell r="R4260" t="str">
            <v>J8</v>
          </cell>
          <cell r="S4260" t="str">
            <v>PENDIENTE</v>
          </cell>
          <cell r="T4260">
            <v>0</v>
          </cell>
          <cell r="U4260" t="str">
            <v>LOPEZ RUIZ WILBERTO</v>
          </cell>
          <cell r="V4260" t="str">
            <v>FLOREZ CONDORI  JOSE WILLIANS</v>
          </cell>
        </row>
        <row r="4261">
          <cell r="A4261">
            <v>4279</v>
          </cell>
          <cell r="B4261">
            <v>42752</v>
          </cell>
          <cell r="C4261" t="str">
            <v>ENERO</v>
          </cell>
          <cell r="D4261" t="str">
            <v>2017</v>
          </cell>
          <cell r="E4261">
            <v>855</v>
          </cell>
          <cell r="F4261" t="str">
            <v>AAN-801</v>
          </cell>
          <cell r="G4261" t="str">
            <v>CAMIONETA</v>
          </cell>
          <cell r="H4261" t="str">
            <v>LAS BAMBAS</v>
          </cell>
          <cell r="I4261">
            <v>121699</v>
          </cell>
          <cell r="J4261" t="str">
            <v>REPUESTO</v>
          </cell>
          <cell r="K4261" t="str">
            <v>FOCO MEDIANO DE 01 CONTACTO 12V</v>
          </cell>
          <cell r="L4261">
            <v>1</v>
          </cell>
          <cell r="M4261" t="str">
            <v>UNID.</v>
          </cell>
          <cell r="N4261" t="str">
            <v>CAMIONETA</v>
          </cell>
          <cell r="O4261">
            <v>38</v>
          </cell>
          <cell r="P4261" t="str">
            <v>E2</v>
          </cell>
          <cell r="Q4261" t="str">
            <v>J1</v>
          </cell>
          <cell r="R4261" t="str">
            <v>J8</v>
          </cell>
          <cell r="S4261" t="str">
            <v>PENDIENTE</v>
          </cell>
          <cell r="T4261">
            <v>0</v>
          </cell>
          <cell r="U4261" t="str">
            <v>YUCA BELLIDO BORIS YERSY</v>
          </cell>
          <cell r="V4261" t="str">
            <v>FLOREZ CONDORI  JOSE WILLIANS</v>
          </cell>
        </row>
        <row r="4262">
          <cell r="A4262">
            <v>4280</v>
          </cell>
          <cell r="B4262">
            <v>42752</v>
          </cell>
          <cell r="C4262" t="str">
            <v>ENERO</v>
          </cell>
          <cell r="D4262" t="str">
            <v>2017</v>
          </cell>
          <cell r="E4262">
            <v>855</v>
          </cell>
          <cell r="F4262" t="str">
            <v>AAN-801</v>
          </cell>
          <cell r="G4262" t="str">
            <v>CAMIONETA</v>
          </cell>
          <cell r="H4262" t="str">
            <v>LAS BAMBAS</v>
          </cell>
          <cell r="I4262">
            <v>121699</v>
          </cell>
          <cell r="J4262" t="str">
            <v>REPUESTO</v>
          </cell>
          <cell r="K4262" t="str">
            <v>FOCO DOBLE CONTACTO 12V</v>
          </cell>
          <cell r="L4262">
            <v>1</v>
          </cell>
          <cell r="M4262" t="str">
            <v>UNID.</v>
          </cell>
          <cell r="N4262" t="str">
            <v>CAMIONETA</v>
          </cell>
          <cell r="O4262">
            <v>38</v>
          </cell>
          <cell r="P4262" t="str">
            <v>E2</v>
          </cell>
          <cell r="Q4262" t="str">
            <v>J1</v>
          </cell>
          <cell r="R4262" t="str">
            <v>J8</v>
          </cell>
          <cell r="S4262" t="str">
            <v>PENDIENTE</v>
          </cell>
          <cell r="T4262">
            <v>0</v>
          </cell>
          <cell r="U4262" t="str">
            <v>YUCA BELLIDO BORIS YERSY</v>
          </cell>
          <cell r="V4262" t="str">
            <v>FLOREZ CONDORI  JOSE WILLIANS</v>
          </cell>
        </row>
        <row r="4263">
          <cell r="A4263">
            <v>4281</v>
          </cell>
          <cell r="B4263">
            <v>42752</v>
          </cell>
          <cell r="C4263" t="str">
            <v>ENERO</v>
          </cell>
          <cell r="D4263" t="str">
            <v>2017</v>
          </cell>
          <cell r="E4263">
            <v>855</v>
          </cell>
          <cell r="F4263" t="str">
            <v>AAN-801</v>
          </cell>
          <cell r="G4263" t="str">
            <v>CAMIONETA</v>
          </cell>
          <cell r="H4263" t="str">
            <v>LAS BAMBAS</v>
          </cell>
          <cell r="I4263">
            <v>121699</v>
          </cell>
          <cell r="J4263" t="str">
            <v>REPUESTO</v>
          </cell>
          <cell r="K4263" t="str">
            <v>TAPA DE PÉRTIGA</v>
          </cell>
          <cell r="L4263">
            <v>1</v>
          </cell>
          <cell r="M4263" t="str">
            <v>UNID.</v>
          </cell>
          <cell r="N4263" t="str">
            <v>CAMIONETA</v>
          </cell>
          <cell r="O4263">
            <v>38</v>
          </cell>
          <cell r="P4263" t="str">
            <v>E2</v>
          </cell>
          <cell r="Q4263" t="str">
            <v>J1</v>
          </cell>
          <cell r="R4263" t="str">
            <v>J8</v>
          </cell>
          <cell r="S4263" t="str">
            <v>PENDIENTE</v>
          </cell>
          <cell r="T4263">
            <v>0</v>
          </cell>
          <cell r="U4263" t="str">
            <v>YUCA BELLIDO BORIS YERSY</v>
          </cell>
          <cell r="V4263" t="str">
            <v>FLOREZ CONDORI  JOSE WILLIANS</v>
          </cell>
        </row>
        <row r="4264">
          <cell r="A4264">
            <v>4283</v>
          </cell>
          <cell r="B4264">
            <v>42752</v>
          </cell>
          <cell r="C4264" t="str">
            <v>ENERO</v>
          </cell>
          <cell r="D4264" t="str">
            <v>2017</v>
          </cell>
          <cell r="E4264">
            <v>850</v>
          </cell>
          <cell r="F4264" t="str">
            <v>ABQ-703</v>
          </cell>
          <cell r="G4264" t="str">
            <v>D0Z-994</v>
          </cell>
          <cell r="H4264" t="str">
            <v>LAS BAMBAS</v>
          </cell>
          <cell r="I4264">
            <v>107825</v>
          </cell>
          <cell r="J4264" t="str">
            <v>REPUESTO</v>
          </cell>
          <cell r="K4264" t="str">
            <v>SPRAY COLOR NEGRO</v>
          </cell>
          <cell r="L4264">
            <v>1</v>
          </cell>
          <cell r="M4264" t="str">
            <v>UNID.</v>
          </cell>
          <cell r="N4264" t="str">
            <v>CISTERNA</v>
          </cell>
          <cell r="O4264">
            <v>38</v>
          </cell>
          <cell r="P4264" t="str">
            <v>M4</v>
          </cell>
          <cell r="Q4264" t="str">
            <v>J1</v>
          </cell>
          <cell r="R4264" t="str">
            <v>J8</v>
          </cell>
          <cell r="S4264" t="str">
            <v>PENDIENTE</v>
          </cell>
          <cell r="T4264">
            <v>0</v>
          </cell>
          <cell r="U4264" t="str">
            <v>JULLIRI APAZA UBALDO</v>
          </cell>
          <cell r="V4264" t="str">
            <v>FLOREZ CONDORI  JOSE WILLIANS</v>
          </cell>
        </row>
        <row r="4265">
          <cell r="A4265">
            <v>4259</v>
          </cell>
          <cell r="B4265">
            <v>42752</v>
          </cell>
          <cell r="C4265" t="str">
            <v>ENERO</v>
          </cell>
          <cell r="D4265" t="str">
            <v>2017</v>
          </cell>
          <cell r="E4265">
            <v>853</v>
          </cell>
          <cell r="F4265" t="str">
            <v>ABR-741</v>
          </cell>
          <cell r="G4265" t="str">
            <v>T3N-974</v>
          </cell>
          <cell r="H4265" t="str">
            <v>LAS BAMBAS</v>
          </cell>
          <cell r="I4265">
            <v>115163</v>
          </cell>
          <cell r="J4265" t="str">
            <v>REPUESTO</v>
          </cell>
          <cell r="K4265" t="str">
            <v>TURBO</v>
          </cell>
          <cell r="L4265">
            <v>1</v>
          </cell>
          <cell r="M4265" t="str">
            <v>UNID.</v>
          </cell>
          <cell r="N4265" t="str">
            <v>TRACTO</v>
          </cell>
          <cell r="O4265">
            <v>38</v>
          </cell>
          <cell r="P4265" t="str">
            <v>M2</v>
          </cell>
          <cell r="Q4265" t="str">
            <v>J1</v>
          </cell>
          <cell r="R4265" t="str">
            <v>J8</v>
          </cell>
          <cell r="S4265" t="str">
            <v>ENTREGADO</v>
          </cell>
          <cell r="T4265">
            <v>0</v>
          </cell>
          <cell r="U4265" t="str">
            <v>CHUMPITAZ GAGO JULIO ENRIQUE</v>
          </cell>
          <cell r="V4265" t="str">
            <v>FLOREZ CONDORI  JOSE WILLIANS</v>
          </cell>
        </row>
        <row r="4266">
          <cell r="A4266">
            <v>4260</v>
          </cell>
          <cell r="B4266">
            <v>42752</v>
          </cell>
          <cell r="C4266" t="str">
            <v>ENERO</v>
          </cell>
          <cell r="D4266" t="str">
            <v>2017</v>
          </cell>
          <cell r="E4266">
            <v>853</v>
          </cell>
          <cell r="F4266" t="str">
            <v>ABR-741</v>
          </cell>
          <cell r="G4266" t="str">
            <v>T3N-974</v>
          </cell>
          <cell r="H4266" t="str">
            <v>LAS BAMBAS</v>
          </cell>
          <cell r="I4266">
            <v>115163</v>
          </cell>
          <cell r="J4266" t="str">
            <v>REPUESTO</v>
          </cell>
          <cell r="K4266" t="str">
            <v>MULTIPLE DE ESCAPE PARTE Y</v>
          </cell>
          <cell r="L4266">
            <v>1</v>
          </cell>
          <cell r="M4266" t="str">
            <v>UNID.</v>
          </cell>
          <cell r="N4266" t="str">
            <v>TRACTO</v>
          </cell>
          <cell r="O4266">
            <v>38</v>
          </cell>
          <cell r="P4266" t="str">
            <v>M2</v>
          </cell>
          <cell r="Q4266" t="str">
            <v>J1</v>
          </cell>
          <cell r="R4266" t="str">
            <v>J8</v>
          </cell>
          <cell r="S4266" t="str">
            <v>ENTREGADO</v>
          </cell>
          <cell r="T4266">
            <v>0</v>
          </cell>
          <cell r="U4266" t="str">
            <v>CHUMPITAZ GAGO JULIO ENRIQUE</v>
          </cell>
          <cell r="V4266" t="str">
            <v>FLOREZ CONDORI  JOSE WILLIANS</v>
          </cell>
        </row>
        <row r="4267">
          <cell r="A4267">
            <v>4261</v>
          </cell>
          <cell r="B4267">
            <v>42752</v>
          </cell>
          <cell r="C4267" t="str">
            <v>ENERO</v>
          </cell>
          <cell r="D4267" t="str">
            <v>2017</v>
          </cell>
          <cell r="E4267">
            <v>853</v>
          </cell>
          <cell r="F4267" t="str">
            <v>ABR-741</v>
          </cell>
          <cell r="G4267" t="str">
            <v>T3N-974</v>
          </cell>
          <cell r="H4267" t="str">
            <v>LAS BAMBAS</v>
          </cell>
          <cell r="I4267">
            <v>115163</v>
          </cell>
          <cell r="J4267" t="str">
            <v>REPUESTO</v>
          </cell>
          <cell r="K4267" t="str">
            <v>PERNOS</v>
          </cell>
          <cell r="L4267">
            <v>4</v>
          </cell>
          <cell r="M4267" t="str">
            <v>UNID.</v>
          </cell>
          <cell r="N4267" t="str">
            <v>TRACTO</v>
          </cell>
          <cell r="O4267">
            <v>38</v>
          </cell>
          <cell r="P4267" t="str">
            <v>M2</v>
          </cell>
          <cell r="Q4267" t="str">
            <v>J1</v>
          </cell>
          <cell r="R4267" t="str">
            <v>J8</v>
          </cell>
          <cell r="S4267" t="str">
            <v>ENTREGADO</v>
          </cell>
          <cell r="T4267">
            <v>0</v>
          </cell>
          <cell r="U4267" t="str">
            <v>CHUMPITAZ GAGO JULIO ENRIQUE</v>
          </cell>
          <cell r="V4267" t="str">
            <v>FLOREZ CONDORI  JOSE WILLIANS</v>
          </cell>
        </row>
        <row r="4268">
          <cell r="A4268">
            <v>4262</v>
          </cell>
          <cell r="B4268">
            <v>42752</v>
          </cell>
          <cell r="C4268" t="str">
            <v>ENERO</v>
          </cell>
          <cell r="D4268" t="str">
            <v>2017</v>
          </cell>
          <cell r="E4268">
            <v>853</v>
          </cell>
          <cell r="F4268" t="str">
            <v>ABR-741</v>
          </cell>
          <cell r="G4268" t="str">
            <v>T3N-974</v>
          </cell>
          <cell r="H4268" t="str">
            <v>LAS BAMBAS</v>
          </cell>
          <cell r="I4268">
            <v>115163</v>
          </cell>
          <cell r="J4268" t="str">
            <v>REPUESTO</v>
          </cell>
          <cell r="K4268" t="str">
            <v>ESPARRAGOS</v>
          </cell>
          <cell r="L4268">
            <v>4</v>
          </cell>
          <cell r="M4268" t="str">
            <v>UNID.</v>
          </cell>
          <cell r="N4268" t="str">
            <v>TRACTO</v>
          </cell>
          <cell r="O4268">
            <v>38</v>
          </cell>
          <cell r="P4268" t="str">
            <v>M2</v>
          </cell>
          <cell r="Q4268" t="str">
            <v>J1</v>
          </cell>
          <cell r="R4268" t="str">
            <v>J8</v>
          </cell>
          <cell r="S4268" t="str">
            <v>ENTREGADO</v>
          </cell>
          <cell r="T4268">
            <v>0</v>
          </cell>
          <cell r="U4268" t="str">
            <v>CHUMPITAZ GAGO JULIO ENRIQUE</v>
          </cell>
          <cell r="V4268" t="str">
            <v>FLOREZ CONDORI  JOSE WILLIANS</v>
          </cell>
        </row>
        <row r="4269">
          <cell r="A4269">
            <v>4263</v>
          </cell>
          <cell r="B4269">
            <v>42752</v>
          </cell>
          <cell r="C4269" t="str">
            <v>ENERO</v>
          </cell>
          <cell r="D4269" t="str">
            <v>2017</v>
          </cell>
          <cell r="E4269">
            <v>853</v>
          </cell>
          <cell r="F4269" t="str">
            <v>ABR-741</v>
          </cell>
          <cell r="G4269" t="str">
            <v>T3N-974</v>
          </cell>
          <cell r="H4269" t="str">
            <v>LAS BAMBAS</v>
          </cell>
          <cell r="I4269">
            <v>115163</v>
          </cell>
          <cell r="J4269" t="str">
            <v>REPUESTO</v>
          </cell>
          <cell r="K4269" t="str">
            <v>EMPAQUE CUADRADO</v>
          </cell>
          <cell r="L4269">
            <v>1</v>
          </cell>
          <cell r="M4269" t="str">
            <v>UNID.</v>
          </cell>
          <cell r="N4269" t="str">
            <v>TRACTO</v>
          </cell>
          <cell r="O4269">
            <v>38</v>
          </cell>
          <cell r="P4269" t="str">
            <v>M2</v>
          </cell>
          <cell r="Q4269" t="str">
            <v>J1</v>
          </cell>
          <cell r="R4269" t="str">
            <v>J8</v>
          </cell>
          <cell r="S4269" t="str">
            <v>ENTREGADO</v>
          </cell>
          <cell r="T4269">
            <v>0</v>
          </cell>
          <cell r="U4269" t="str">
            <v>CHUMPITAZ GAGO JULIO ENRIQUE</v>
          </cell>
          <cell r="V4269" t="str">
            <v>FLOREZ CONDORI  JOSE WILLIANS</v>
          </cell>
        </row>
        <row r="4270">
          <cell r="A4270">
            <v>4264</v>
          </cell>
          <cell r="B4270">
            <v>42752</v>
          </cell>
          <cell r="C4270" t="str">
            <v>ENERO</v>
          </cell>
          <cell r="D4270" t="str">
            <v>2017</v>
          </cell>
          <cell r="E4270">
            <v>853</v>
          </cell>
          <cell r="F4270" t="str">
            <v>ABR-741</v>
          </cell>
          <cell r="G4270" t="str">
            <v>T3N-974</v>
          </cell>
          <cell r="H4270" t="str">
            <v>LAS BAMBAS</v>
          </cell>
          <cell r="I4270">
            <v>115163</v>
          </cell>
          <cell r="J4270" t="str">
            <v>REPUESTO</v>
          </cell>
          <cell r="K4270" t="str">
            <v>EMPAQUE DE SALIDA</v>
          </cell>
          <cell r="L4270">
            <v>1</v>
          </cell>
          <cell r="M4270" t="str">
            <v>UNID.</v>
          </cell>
          <cell r="N4270" t="str">
            <v>TRACTO</v>
          </cell>
          <cell r="O4270">
            <v>38</v>
          </cell>
          <cell r="P4270" t="str">
            <v>M2</v>
          </cell>
          <cell r="Q4270" t="str">
            <v>J1</v>
          </cell>
          <cell r="R4270" t="str">
            <v>J8</v>
          </cell>
          <cell r="S4270" t="str">
            <v>ENTREGADO</v>
          </cell>
          <cell r="T4270">
            <v>0</v>
          </cell>
          <cell r="U4270" t="str">
            <v>CHUMPITAZ GAGO JULIO ENRIQUE</v>
          </cell>
          <cell r="V4270" t="str">
            <v>FLOREZ CONDORI  JOSE WILLIANS</v>
          </cell>
        </row>
        <row r="4271">
          <cell r="A4271">
            <v>4265</v>
          </cell>
          <cell r="B4271">
            <v>42752</v>
          </cell>
          <cell r="C4271" t="str">
            <v>ENERO</v>
          </cell>
          <cell r="D4271" t="str">
            <v>2017</v>
          </cell>
          <cell r="E4271">
            <v>853</v>
          </cell>
          <cell r="F4271" t="str">
            <v>ABR-741</v>
          </cell>
          <cell r="G4271" t="str">
            <v>T3N-974</v>
          </cell>
          <cell r="H4271" t="str">
            <v>LAS BAMBAS</v>
          </cell>
          <cell r="I4271">
            <v>115163</v>
          </cell>
          <cell r="J4271" t="str">
            <v>REPUESTO</v>
          </cell>
          <cell r="K4271" t="str">
            <v>JUEGO DE EMPAQUE DE MULTIPLE DE ESCAPE</v>
          </cell>
          <cell r="L4271">
            <v>1</v>
          </cell>
          <cell r="M4271" t="str">
            <v>UNID.</v>
          </cell>
          <cell r="N4271" t="str">
            <v>TRACTO</v>
          </cell>
          <cell r="O4271">
            <v>38</v>
          </cell>
          <cell r="P4271" t="str">
            <v>M2</v>
          </cell>
          <cell r="Q4271" t="str">
            <v>J1</v>
          </cell>
          <cell r="R4271" t="str">
            <v>J8</v>
          </cell>
          <cell r="S4271" t="str">
            <v>ENTREGADO</v>
          </cell>
          <cell r="T4271">
            <v>0</v>
          </cell>
          <cell r="U4271" t="str">
            <v>CHUMPITAZ GAGO JULIO ENRIQUE</v>
          </cell>
          <cell r="V4271" t="str">
            <v>FLOREZ CONDORI  JOSE WILLIANS</v>
          </cell>
        </row>
        <row r="4272">
          <cell r="A4272">
            <v>4276</v>
          </cell>
          <cell r="B4272">
            <v>42752</v>
          </cell>
          <cell r="C4272" t="str">
            <v>ENERO</v>
          </cell>
          <cell r="D4272" t="str">
            <v>2017</v>
          </cell>
          <cell r="E4272">
            <v>843</v>
          </cell>
          <cell r="F4272" t="str">
            <v>ABS-700</v>
          </cell>
          <cell r="G4272" t="str">
            <v>TBC-971</v>
          </cell>
          <cell r="H4272" t="str">
            <v>LAS BAMBAS</v>
          </cell>
          <cell r="I4272">
            <v>105175</v>
          </cell>
          <cell r="J4272" t="str">
            <v>REPUESTO</v>
          </cell>
          <cell r="K4272" t="str">
            <v>UNION DE BRONCE 1/8</v>
          </cell>
          <cell r="L4272">
            <v>1</v>
          </cell>
          <cell r="M4272" t="str">
            <v>UNID.</v>
          </cell>
          <cell r="N4272" t="str">
            <v>TRACTO</v>
          </cell>
          <cell r="O4272">
            <v>38</v>
          </cell>
          <cell r="P4272" t="str">
            <v>S1</v>
          </cell>
          <cell r="Q4272" t="str">
            <v>J1</v>
          </cell>
          <cell r="R4272" t="str">
            <v>J8</v>
          </cell>
          <cell r="S4272" t="str">
            <v>PENDIENTE</v>
          </cell>
          <cell r="T4272">
            <v>0</v>
          </cell>
          <cell r="U4272" t="str">
            <v>BAYONA CRUZ CRISTIAN ARMANDO</v>
          </cell>
          <cell r="V4272" t="str">
            <v>FLOREZ CONDORI  JOSE WILLIANS</v>
          </cell>
        </row>
        <row r="4273">
          <cell r="A4273">
            <v>4277</v>
          </cell>
          <cell r="B4273">
            <v>42752</v>
          </cell>
          <cell r="C4273" t="str">
            <v>ENERO</v>
          </cell>
          <cell r="D4273" t="str">
            <v>2017</v>
          </cell>
          <cell r="E4273">
            <v>843</v>
          </cell>
          <cell r="F4273" t="str">
            <v>ABS-700</v>
          </cell>
          <cell r="G4273" t="str">
            <v>TBC-971</v>
          </cell>
          <cell r="H4273" t="str">
            <v>LAS BAMBAS</v>
          </cell>
          <cell r="I4273">
            <v>105175</v>
          </cell>
          <cell r="J4273" t="str">
            <v>REPUESTO</v>
          </cell>
          <cell r="K4273" t="str">
            <v>SPRAY / AEROSOL BLANCO</v>
          </cell>
          <cell r="L4273">
            <v>2</v>
          </cell>
          <cell r="M4273" t="str">
            <v>UNID.</v>
          </cell>
          <cell r="N4273" t="str">
            <v>CISTERNA</v>
          </cell>
          <cell r="O4273">
            <v>38</v>
          </cell>
          <cell r="P4273" t="str">
            <v>M6</v>
          </cell>
          <cell r="Q4273" t="str">
            <v>J1</v>
          </cell>
          <cell r="R4273" t="str">
            <v>J8</v>
          </cell>
          <cell r="S4273" t="str">
            <v>PENDIENTE</v>
          </cell>
          <cell r="T4273">
            <v>0</v>
          </cell>
          <cell r="U4273" t="str">
            <v>PARI VENTURA  EDSON ORLANDO</v>
          </cell>
          <cell r="V4273" t="str">
            <v>FLOREZ CONDORI  JOSE WILLIANS</v>
          </cell>
        </row>
        <row r="4274">
          <cell r="A4274">
            <v>4273</v>
          </cell>
          <cell r="B4274">
            <v>42752</v>
          </cell>
          <cell r="C4274" t="str">
            <v>ENERO</v>
          </cell>
          <cell r="D4274" t="str">
            <v>2017</v>
          </cell>
          <cell r="E4274">
            <v>849</v>
          </cell>
          <cell r="F4274" t="str">
            <v>AKX-731</v>
          </cell>
          <cell r="G4274" t="str">
            <v>TCD-980</v>
          </cell>
          <cell r="H4274" t="str">
            <v>LAS BAMBAS</v>
          </cell>
          <cell r="I4274">
            <v>40489</v>
          </cell>
          <cell r="J4274" t="str">
            <v>REPUESTO</v>
          </cell>
          <cell r="K4274" t="str">
            <v>ENCHUFE DE 7 VIAS CON TAPA METALICA HEMBRA</v>
          </cell>
          <cell r="L4274">
            <v>1</v>
          </cell>
          <cell r="M4274" t="str">
            <v>UNID.</v>
          </cell>
          <cell r="N4274" t="str">
            <v>CAMION</v>
          </cell>
          <cell r="O4274">
            <v>38</v>
          </cell>
          <cell r="P4274" t="str">
            <v>J1</v>
          </cell>
          <cell r="Q4274" t="str">
            <v>J1</v>
          </cell>
          <cell r="R4274" t="str">
            <v>J8</v>
          </cell>
          <cell r="S4274" t="str">
            <v>PENDIENTE</v>
          </cell>
          <cell r="T4274">
            <v>0</v>
          </cell>
          <cell r="U4274" t="str">
            <v>FLOREZ CONDORI  JOSE WILLIANS</v>
          </cell>
          <cell r="V4274" t="str">
            <v>FLOREZ CONDORI  JOSE WILLIANS</v>
          </cell>
        </row>
        <row r="4275">
          <cell r="A4275">
            <v>4278</v>
          </cell>
          <cell r="B4275">
            <v>42752</v>
          </cell>
          <cell r="C4275" t="str">
            <v>ENERO</v>
          </cell>
          <cell r="D4275" t="str">
            <v>2017</v>
          </cell>
          <cell r="E4275">
            <v>856</v>
          </cell>
          <cell r="F4275" t="str">
            <v>AKX-767</v>
          </cell>
          <cell r="G4275" t="str">
            <v>TCR-993</v>
          </cell>
          <cell r="H4275" t="str">
            <v>LAS BAMBAS CONC.</v>
          </cell>
          <cell r="I4275">
            <v>31541</v>
          </cell>
          <cell r="J4275" t="str">
            <v>REPUESTO</v>
          </cell>
          <cell r="K4275" t="str">
            <v xml:space="preserve"> JUEGO PLUMILLAS</v>
          </cell>
          <cell r="L4275">
            <v>1</v>
          </cell>
          <cell r="M4275" t="str">
            <v>UNID.</v>
          </cell>
          <cell r="N4275" t="str">
            <v>CAMIONETA</v>
          </cell>
          <cell r="O4275">
            <v>38</v>
          </cell>
          <cell r="P4275" t="str">
            <v>J1</v>
          </cell>
          <cell r="Q4275" t="str">
            <v>J1</v>
          </cell>
          <cell r="R4275" t="str">
            <v>J8</v>
          </cell>
          <cell r="S4275" t="str">
            <v>PENDIENTE</v>
          </cell>
          <cell r="T4275">
            <v>0</v>
          </cell>
          <cell r="U4275" t="str">
            <v>FLOREZ CONDORI  JOSE WILLIANS</v>
          </cell>
          <cell r="V4275" t="str">
            <v>FLOREZ CONDORI  JOSE WILLIANS</v>
          </cell>
        </row>
        <row r="4276">
          <cell r="A4276">
            <v>4319</v>
          </cell>
          <cell r="B4276">
            <v>42752</v>
          </cell>
          <cell r="C4276" t="str">
            <v>ENERO</v>
          </cell>
          <cell r="D4276" t="str">
            <v>2017</v>
          </cell>
          <cell r="E4276">
            <v>840</v>
          </cell>
          <cell r="F4276" t="str">
            <v>AMT-876</v>
          </cell>
          <cell r="G4276" t="str">
            <v>CAMIONETA</v>
          </cell>
          <cell r="H4276" t="str">
            <v>LAS BAMBAS</v>
          </cell>
          <cell r="I4276">
            <v>40240</v>
          </cell>
          <cell r="J4276" t="str">
            <v>REPUESTO</v>
          </cell>
          <cell r="K4276" t="str">
            <v>FOCO AMBAR DE UN CONTACTO 12V</v>
          </cell>
          <cell r="L4276">
            <v>1</v>
          </cell>
          <cell r="M4276" t="str">
            <v>UNID.</v>
          </cell>
          <cell r="N4276" t="str">
            <v>CAMIONETA</v>
          </cell>
          <cell r="O4276">
            <v>38</v>
          </cell>
          <cell r="P4276" t="str">
            <v>E2</v>
          </cell>
          <cell r="Q4276" t="str">
            <v>j1</v>
          </cell>
          <cell r="R4276" t="str">
            <v>J5</v>
          </cell>
          <cell r="S4276" t="str">
            <v>PENDIENTE</v>
          </cell>
          <cell r="T4276">
            <v>0</v>
          </cell>
          <cell r="U4276" t="str">
            <v>YUCA BELLIDO BORIS YERSY</v>
          </cell>
          <cell r="V4276" t="str">
            <v>FLOREZ CONDORI  JOSE WILLIANS</v>
          </cell>
        </row>
        <row r="4277">
          <cell r="A4277">
            <v>4293</v>
          </cell>
          <cell r="B4277">
            <v>42752</v>
          </cell>
          <cell r="C4277" t="str">
            <v>ENERO</v>
          </cell>
          <cell r="D4277" t="str">
            <v>2017</v>
          </cell>
          <cell r="E4277">
            <v>788</v>
          </cell>
          <cell r="F4277" t="str">
            <v>B2L-889</v>
          </cell>
          <cell r="G4277" t="str">
            <v>CAMION</v>
          </cell>
          <cell r="H4277" t="str">
            <v>TAMBOMAYO</v>
          </cell>
          <cell r="I4277">
            <v>124981</v>
          </cell>
          <cell r="J4277" t="str">
            <v>REPUESTO</v>
          </cell>
          <cell r="K4277" t="str">
            <v>UNION DE BRONCE DE 3/8</v>
          </cell>
          <cell r="L4277">
            <v>1</v>
          </cell>
          <cell r="M4277" t="str">
            <v>UNID.</v>
          </cell>
          <cell r="N4277" t="str">
            <v>CISTERNA</v>
          </cell>
          <cell r="O4277">
            <v>38</v>
          </cell>
          <cell r="P4277" t="str">
            <v>M6</v>
          </cell>
          <cell r="Q4277" t="str">
            <v>J1</v>
          </cell>
          <cell r="R4277" t="str">
            <v>J8</v>
          </cell>
          <cell r="S4277" t="str">
            <v>PENDIENTE</v>
          </cell>
          <cell r="T4277">
            <v>0</v>
          </cell>
          <cell r="U4277" t="str">
            <v>PARI VENTURA  EDSON ORLANDO</v>
          </cell>
          <cell r="V4277" t="str">
            <v>FLOREZ CONDORI  JOSE WILLIANS</v>
          </cell>
        </row>
        <row r="4278">
          <cell r="A4278">
            <v>4294</v>
          </cell>
          <cell r="B4278">
            <v>42752</v>
          </cell>
          <cell r="C4278" t="str">
            <v>ENERO</v>
          </cell>
          <cell r="D4278" t="str">
            <v>2017</v>
          </cell>
          <cell r="E4278">
            <v>788</v>
          </cell>
          <cell r="F4278" t="str">
            <v>B2L-889</v>
          </cell>
          <cell r="G4278" t="str">
            <v>CAMION</v>
          </cell>
          <cell r="H4278" t="str">
            <v>TAMBOMAYO</v>
          </cell>
          <cell r="I4278">
            <v>124981</v>
          </cell>
          <cell r="J4278" t="str">
            <v>REPUESTO</v>
          </cell>
          <cell r="K4278" t="str">
            <v>CONO 3/8</v>
          </cell>
          <cell r="L4278">
            <v>1</v>
          </cell>
          <cell r="M4278" t="str">
            <v>UNID.</v>
          </cell>
          <cell r="N4278" t="str">
            <v>CISTERNA</v>
          </cell>
          <cell r="O4278">
            <v>38</v>
          </cell>
          <cell r="P4278" t="str">
            <v>M6</v>
          </cell>
          <cell r="Q4278" t="str">
            <v>J1</v>
          </cell>
          <cell r="R4278" t="str">
            <v>J8</v>
          </cell>
          <cell r="S4278" t="str">
            <v>PENDIENTE</v>
          </cell>
          <cell r="T4278">
            <v>0</v>
          </cell>
          <cell r="U4278" t="str">
            <v>PARI VENTURA  EDSON ORLANDO</v>
          </cell>
          <cell r="V4278" t="str">
            <v>FLOREZ CONDORI  JOSE WILLIANS</v>
          </cell>
        </row>
        <row r="4279">
          <cell r="A4279">
            <v>4295</v>
          </cell>
          <cell r="B4279">
            <v>42752</v>
          </cell>
          <cell r="C4279" t="str">
            <v>ENERO</v>
          </cell>
          <cell r="D4279" t="str">
            <v>2017</v>
          </cell>
          <cell r="E4279">
            <v>788</v>
          </cell>
          <cell r="F4279" t="str">
            <v>B2L-889</v>
          </cell>
          <cell r="G4279" t="str">
            <v>CAMION</v>
          </cell>
          <cell r="H4279" t="str">
            <v>TAMBOMAYO</v>
          </cell>
          <cell r="I4279">
            <v>124981</v>
          </cell>
          <cell r="J4279" t="str">
            <v>REPUESTO</v>
          </cell>
          <cell r="K4279" t="str">
            <v>GUIA 3/8</v>
          </cell>
          <cell r="L4279">
            <v>1</v>
          </cell>
          <cell r="M4279" t="str">
            <v>UNID.</v>
          </cell>
          <cell r="N4279" t="str">
            <v>CISTERNA</v>
          </cell>
          <cell r="O4279">
            <v>38</v>
          </cell>
          <cell r="P4279" t="str">
            <v>M6</v>
          </cell>
          <cell r="Q4279" t="str">
            <v>J1</v>
          </cell>
          <cell r="R4279" t="str">
            <v>J8</v>
          </cell>
          <cell r="S4279" t="str">
            <v>PENDIENTE</v>
          </cell>
          <cell r="T4279">
            <v>0</v>
          </cell>
          <cell r="U4279" t="str">
            <v>PARI VENTURA  EDSON ORLANDO</v>
          </cell>
          <cell r="V4279" t="str">
            <v>FLOREZ CONDORI  JOSE WILLIANS</v>
          </cell>
        </row>
        <row r="4280">
          <cell r="A4280">
            <v>4296</v>
          </cell>
          <cell r="B4280">
            <v>42752</v>
          </cell>
          <cell r="C4280" t="str">
            <v>ENERO</v>
          </cell>
          <cell r="D4280" t="str">
            <v>2017</v>
          </cell>
          <cell r="E4280">
            <v>788</v>
          </cell>
          <cell r="F4280" t="str">
            <v>B2L-889</v>
          </cell>
          <cell r="G4280" t="str">
            <v>CAMION</v>
          </cell>
          <cell r="H4280" t="str">
            <v>TAMBOMAYO</v>
          </cell>
          <cell r="I4280">
            <v>124981</v>
          </cell>
          <cell r="J4280" t="str">
            <v>REPUESTO</v>
          </cell>
          <cell r="K4280" t="str">
            <v>FILTRO DE AIRE PRIMARIO</v>
          </cell>
          <cell r="L4280">
            <v>1</v>
          </cell>
          <cell r="M4280" t="str">
            <v>UNID.</v>
          </cell>
          <cell r="N4280" t="str">
            <v>CISTERNA</v>
          </cell>
          <cell r="O4280">
            <v>38</v>
          </cell>
          <cell r="P4280" t="str">
            <v>M6</v>
          </cell>
          <cell r="Q4280" t="str">
            <v>J1</v>
          </cell>
          <cell r="R4280" t="str">
            <v>J8</v>
          </cell>
          <cell r="S4280" t="str">
            <v>PENDIENTE</v>
          </cell>
          <cell r="T4280">
            <v>0</v>
          </cell>
          <cell r="U4280" t="str">
            <v>PARI VENTURA  EDSON ORLANDO</v>
          </cell>
          <cell r="V4280" t="str">
            <v>FLOREZ CONDORI  JOSE WILLIANS</v>
          </cell>
        </row>
        <row r="4281">
          <cell r="A4281">
            <v>4297</v>
          </cell>
          <cell r="B4281">
            <v>42752</v>
          </cell>
          <cell r="C4281" t="str">
            <v>ENERO</v>
          </cell>
          <cell r="D4281" t="str">
            <v>2017</v>
          </cell>
          <cell r="E4281">
            <v>788</v>
          </cell>
          <cell r="F4281" t="str">
            <v>B2L-889</v>
          </cell>
          <cell r="G4281" t="str">
            <v>CAMION</v>
          </cell>
          <cell r="H4281" t="str">
            <v>TAMBOMAYO</v>
          </cell>
          <cell r="I4281">
            <v>124981</v>
          </cell>
          <cell r="J4281" t="str">
            <v>REPUESTO</v>
          </cell>
          <cell r="K4281" t="str">
            <v>FILTRO DE AIRE SECUNDARIO</v>
          </cell>
          <cell r="L4281">
            <v>1</v>
          </cell>
          <cell r="M4281" t="str">
            <v>UNID.</v>
          </cell>
          <cell r="N4281" t="str">
            <v>CISTERNA</v>
          </cell>
          <cell r="O4281">
            <v>38</v>
          </cell>
          <cell r="P4281" t="str">
            <v>M6</v>
          </cell>
          <cell r="Q4281" t="str">
            <v>J1</v>
          </cell>
          <cell r="R4281" t="str">
            <v>J8</v>
          </cell>
          <cell r="S4281" t="str">
            <v>PENDIENTE</v>
          </cell>
          <cell r="T4281">
            <v>0</v>
          </cell>
          <cell r="U4281" t="str">
            <v>PARI VENTURA  EDSON ORLANDO</v>
          </cell>
          <cell r="V4281" t="str">
            <v>FLOREZ CONDORI  JOSE WILLIANS</v>
          </cell>
        </row>
        <row r="4282">
          <cell r="A4282">
            <v>4298</v>
          </cell>
          <cell r="B4282">
            <v>42752</v>
          </cell>
          <cell r="C4282" t="str">
            <v>ENERO</v>
          </cell>
          <cell r="D4282" t="str">
            <v>2017</v>
          </cell>
          <cell r="E4282">
            <v>788</v>
          </cell>
          <cell r="F4282" t="str">
            <v>B2L-889</v>
          </cell>
          <cell r="G4282" t="str">
            <v>CAMION</v>
          </cell>
          <cell r="H4282" t="str">
            <v>TAMBOMAYO</v>
          </cell>
          <cell r="I4282">
            <v>124981</v>
          </cell>
          <cell r="J4282" t="str">
            <v>REPUESTO</v>
          </cell>
          <cell r="K4282" t="str">
            <v xml:space="preserve">ESPARRAGOS </v>
          </cell>
          <cell r="L4282">
            <v>8</v>
          </cell>
          <cell r="M4282" t="str">
            <v>UNID.</v>
          </cell>
          <cell r="N4282" t="str">
            <v>CISTERNA</v>
          </cell>
          <cell r="O4282">
            <v>38</v>
          </cell>
          <cell r="P4282" t="str">
            <v>M5</v>
          </cell>
          <cell r="Q4282" t="str">
            <v>J1</v>
          </cell>
          <cell r="R4282" t="str">
            <v>J8</v>
          </cell>
          <cell r="S4282" t="str">
            <v>PENDIENTE</v>
          </cell>
          <cell r="T4282">
            <v>0</v>
          </cell>
          <cell r="U4282" t="str">
            <v>LOPEZ RUIZ WILBERTO</v>
          </cell>
          <cell r="V4282" t="str">
            <v>FLOREZ CONDORI  JOSE WILLIANS</v>
          </cell>
        </row>
        <row r="4283">
          <cell r="A4283">
            <v>4299</v>
          </cell>
          <cell r="B4283">
            <v>42752</v>
          </cell>
          <cell r="C4283" t="str">
            <v>ENERO</v>
          </cell>
          <cell r="D4283" t="str">
            <v>2017</v>
          </cell>
          <cell r="E4283">
            <v>788</v>
          </cell>
          <cell r="F4283" t="str">
            <v>B2L-889</v>
          </cell>
          <cell r="G4283" t="str">
            <v>CAMION</v>
          </cell>
          <cell r="H4283" t="str">
            <v>TAMBOMAYO</v>
          </cell>
          <cell r="I4283">
            <v>124981</v>
          </cell>
          <cell r="J4283" t="str">
            <v>REPUESTO</v>
          </cell>
          <cell r="K4283" t="str">
            <v>TUERCA DE ESPARRAGOS</v>
          </cell>
          <cell r="L4283">
            <v>8</v>
          </cell>
          <cell r="M4283" t="str">
            <v>UNID.</v>
          </cell>
          <cell r="N4283" t="str">
            <v>CISTERNA</v>
          </cell>
          <cell r="O4283">
            <v>38</v>
          </cell>
          <cell r="P4283" t="str">
            <v>M5</v>
          </cell>
          <cell r="Q4283" t="str">
            <v>J1</v>
          </cell>
          <cell r="R4283" t="str">
            <v>J8</v>
          </cell>
          <cell r="S4283" t="str">
            <v>PENDIENTE</v>
          </cell>
          <cell r="T4283">
            <v>0</v>
          </cell>
          <cell r="U4283" t="str">
            <v>LOPEZ RUIZ WILBERTO</v>
          </cell>
          <cell r="V4283" t="str">
            <v>FLOREZ CONDORI  JOSE WILLIANS</v>
          </cell>
        </row>
        <row r="4284">
          <cell r="A4284">
            <v>4300</v>
          </cell>
          <cell r="B4284">
            <v>42752</v>
          </cell>
          <cell r="C4284" t="str">
            <v>ENERO</v>
          </cell>
          <cell r="D4284" t="str">
            <v>2017</v>
          </cell>
          <cell r="E4284">
            <v>788</v>
          </cell>
          <cell r="F4284" t="str">
            <v>B2L-889</v>
          </cell>
          <cell r="G4284" t="str">
            <v>CAMION</v>
          </cell>
          <cell r="H4284" t="str">
            <v>TAMBOMAYO</v>
          </cell>
          <cell r="I4284">
            <v>124981</v>
          </cell>
          <cell r="J4284" t="str">
            <v>REPUESTO</v>
          </cell>
          <cell r="K4284" t="str">
            <v>ARANDELAS DE BASE DE TURBO</v>
          </cell>
          <cell r="L4284">
            <v>8</v>
          </cell>
          <cell r="M4284" t="str">
            <v>UNID.</v>
          </cell>
          <cell r="N4284" t="str">
            <v>CISTERNA</v>
          </cell>
          <cell r="O4284">
            <v>38</v>
          </cell>
          <cell r="P4284" t="str">
            <v>M5</v>
          </cell>
          <cell r="Q4284" t="str">
            <v>J1</v>
          </cell>
          <cell r="R4284" t="str">
            <v>J8</v>
          </cell>
          <cell r="S4284" t="str">
            <v>PENDIENTE</v>
          </cell>
          <cell r="T4284">
            <v>0</v>
          </cell>
          <cell r="U4284" t="str">
            <v>LOPEZ RUIZ WILBERTO</v>
          </cell>
          <cell r="V4284" t="str">
            <v>FLOREZ CONDORI  JOSE WILLIANS</v>
          </cell>
        </row>
        <row r="4285">
          <cell r="A4285">
            <v>4301</v>
          </cell>
          <cell r="B4285">
            <v>42752</v>
          </cell>
          <cell r="C4285" t="str">
            <v>ENERO</v>
          </cell>
          <cell r="D4285" t="str">
            <v>2017</v>
          </cell>
          <cell r="E4285">
            <v>788</v>
          </cell>
          <cell r="F4285" t="str">
            <v>B2L-889</v>
          </cell>
          <cell r="G4285" t="str">
            <v>CAMION</v>
          </cell>
          <cell r="H4285" t="str">
            <v>TAMBOMAYO</v>
          </cell>
          <cell r="I4285">
            <v>124981</v>
          </cell>
          <cell r="J4285" t="str">
            <v>REPUESTO</v>
          </cell>
          <cell r="K4285" t="str">
            <v>ACEITE 15W40</v>
          </cell>
          <cell r="L4285">
            <v>2</v>
          </cell>
          <cell r="M4285" t="str">
            <v>GLNS.</v>
          </cell>
          <cell r="N4285" t="str">
            <v>CISTERNA</v>
          </cell>
          <cell r="O4285">
            <v>38</v>
          </cell>
          <cell r="P4285" t="str">
            <v>M5</v>
          </cell>
          <cell r="Q4285" t="str">
            <v>J1</v>
          </cell>
          <cell r="R4285" t="str">
            <v>J8</v>
          </cell>
          <cell r="S4285" t="str">
            <v>ENTREGADO</v>
          </cell>
          <cell r="T4285">
            <v>0</v>
          </cell>
          <cell r="U4285" t="str">
            <v>LOPEZ RUIZ WILBERTO</v>
          </cell>
          <cell r="V4285" t="str">
            <v>FLOREZ CONDORI  JOSE WILLIANS</v>
          </cell>
        </row>
        <row r="4286">
          <cell r="A4286">
            <v>4305</v>
          </cell>
          <cell r="B4286">
            <v>42752</v>
          </cell>
          <cell r="C4286" t="str">
            <v>ENERO</v>
          </cell>
          <cell r="D4286" t="str">
            <v>2017</v>
          </cell>
          <cell r="E4286">
            <v>788</v>
          </cell>
          <cell r="F4286" t="str">
            <v>B2L-889</v>
          </cell>
          <cell r="G4286" t="str">
            <v>CAMION</v>
          </cell>
          <cell r="H4286" t="str">
            <v>TAMBOMAYO</v>
          </cell>
          <cell r="I4286">
            <v>124981</v>
          </cell>
          <cell r="J4286" t="str">
            <v>REPUESTO</v>
          </cell>
          <cell r="K4286" t="str">
            <v>UNIONES DE BRONCE (SEGÚN MUESTRA)</v>
          </cell>
          <cell r="L4286">
            <v>2</v>
          </cell>
          <cell r="M4286" t="str">
            <v>UNID.</v>
          </cell>
          <cell r="N4286" t="str">
            <v>TALLER</v>
          </cell>
          <cell r="O4286">
            <v>38</v>
          </cell>
          <cell r="P4286" t="str">
            <v>M6</v>
          </cell>
          <cell r="Q4286" t="str">
            <v>J1</v>
          </cell>
          <cell r="R4286" t="str">
            <v>J5</v>
          </cell>
          <cell r="S4286" t="str">
            <v>PENDIENTE</v>
          </cell>
          <cell r="T4286">
            <v>0</v>
          </cell>
          <cell r="U4286" t="str">
            <v>PARI VENTURA  EDSON ORLANDO</v>
          </cell>
          <cell r="V4286" t="str">
            <v>FLOREZ CONDORI  JOSE WILLIANS</v>
          </cell>
        </row>
        <row r="4287">
          <cell r="A4287">
            <v>4312</v>
          </cell>
          <cell r="B4287">
            <v>42752</v>
          </cell>
          <cell r="C4287" t="str">
            <v>ENERO</v>
          </cell>
          <cell r="D4287" t="str">
            <v>2017</v>
          </cell>
          <cell r="E4287">
            <v>788</v>
          </cell>
          <cell r="F4287" t="str">
            <v>B2L-889</v>
          </cell>
          <cell r="G4287" t="str">
            <v>CAMION</v>
          </cell>
          <cell r="H4287" t="str">
            <v>TAMBOMAYO</v>
          </cell>
          <cell r="I4287">
            <v>124981</v>
          </cell>
          <cell r="J4287" t="str">
            <v>REPUESTO</v>
          </cell>
          <cell r="K4287" t="str">
            <v>BATERIAS DE 19 PLACAS C/U</v>
          </cell>
          <cell r="L4287">
            <v>2</v>
          </cell>
          <cell r="M4287" t="str">
            <v>UNID.</v>
          </cell>
          <cell r="N4287" t="str">
            <v>TRACTO</v>
          </cell>
          <cell r="O4287">
            <v>38</v>
          </cell>
          <cell r="P4287" t="str">
            <v>E2</v>
          </cell>
          <cell r="Q4287" t="str">
            <v>J1</v>
          </cell>
          <cell r="R4287" t="str">
            <v>J5</v>
          </cell>
          <cell r="S4287" t="str">
            <v>PENDIENTE</v>
          </cell>
          <cell r="T4287">
            <v>0</v>
          </cell>
          <cell r="U4287" t="str">
            <v>YUCA BELLIDO BORIS YERSY</v>
          </cell>
          <cell r="V4287" t="str">
            <v>FLOREZ CONDORI  JOSE WILLIANS</v>
          </cell>
        </row>
        <row r="4288">
          <cell r="A4288">
            <v>4313</v>
          </cell>
          <cell r="B4288">
            <v>42752</v>
          </cell>
          <cell r="C4288" t="str">
            <v>ENERO</v>
          </cell>
          <cell r="D4288" t="str">
            <v>2017</v>
          </cell>
          <cell r="E4288">
            <v>788</v>
          </cell>
          <cell r="F4288" t="str">
            <v>B2L-889</v>
          </cell>
          <cell r="G4288" t="str">
            <v>CAMION</v>
          </cell>
          <cell r="H4288" t="str">
            <v>TAMBOMAYO</v>
          </cell>
          <cell r="I4288">
            <v>124981</v>
          </cell>
          <cell r="J4288" t="str">
            <v>REPUESTO</v>
          </cell>
          <cell r="K4288" t="str">
            <v>BORNER DE BATERIA POSITIVO</v>
          </cell>
          <cell r="L4288">
            <v>2</v>
          </cell>
          <cell r="M4288" t="str">
            <v>UNID.</v>
          </cell>
          <cell r="N4288" t="str">
            <v>TRACTO</v>
          </cell>
          <cell r="O4288">
            <v>38</v>
          </cell>
          <cell r="P4288" t="str">
            <v>E2</v>
          </cell>
          <cell r="Q4288" t="str">
            <v>J1</v>
          </cell>
          <cell r="R4288" t="str">
            <v>J5</v>
          </cell>
          <cell r="S4288" t="str">
            <v>PENDIENTE</v>
          </cell>
          <cell r="T4288">
            <v>0</v>
          </cell>
          <cell r="U4288" t="str">
            <v>YUCA BELLIDO BORIS YERSY</v>
          </cell>
          <cell r="V4288" t="str">
            <v>FLOREZ CONDORI  JOSE WILLIANS</v>
          </cell>
        </row>
        <row r="4289">
          <cell r="A4289">
            <v>4314</v>
          </cell>
          <cell r="B4289">
            <v>42752</v>
          </cell>
          <cell r="C4289" t="str">
            <v>ENERO</v>
          </cell>
          <cell r="D4289" t="str">
            <v>2017</v>
          </cell>
          <cell r="E4289">
            <v>788</v>
          </cell>
          <cell r="F4289" t="str">
            <v>B2L-889</v>
          </cell>
          <cell r="G4289" t="str">
            <v>CAMION</v>
          </cell>
          <cell r="H4289" t="str">
            <v>TAMBOMAYO</v>
          </cell>
          <cell r="I4289">
            <v>124981</v>
          </cell>
          <cell r="J4289" t="str">
            <v>REPUESTO</v>
          </cell>
          <cell r="K4289" t="str">
            <v>BORNER DE BATERIA NEGATIVO</v>
          </cell>
          <cell r="L4289">
            <v>2</v>
          </cell>
          <cell r="M4289" t="str">
            <v>UNID.</v>
          </cell>
          <cell r="N4289" t="str">
            <v>TRACTO</v>
          </cell>
          <cell r="O4289">
            <v>38</v>
          </cell>
          <cell r="P4289" t="str">
            <v>E2</v>
          </cell>
          <cell r="Q4289" t="str">
            <v>J1</v>
          </cell>
          <cell r="R4289" t="str">
            <v>J5</v>
          </cell>
          <cell r="S4289" t="str">
            <v>PENDIENTE</v>
          </cell>
          <cell r="T4289">
            <v>0</v>
          </cell>
          <cell r="U4289" t="str">
            <v>YUCA BELLIDO BORIS YERSY</v>
          </cell>
          <cell r="V4289" t="str">
            <v>FLOREZ CONDORI  JOSE WILLIANS</v>
          </cell>
        </row>
        <row r="4290">
          <cell r="A4290">
            <v>4289</v>
          </cell>
          <cell r="B4290">
            <v>42752</v>
          </cell>
          <cell r="C4290" t="str">
            <v>ENERO</v>
          </cell>
          <cell r="D4290" t="str">
            <v>2017</v>
          </cell>
          <cell r="E4290">
            <v>789</v>
          </cell>
          <cell r="F4290" t="str">
            <v>B2M-948</v>
          </cell>
          <cell r="G4290" t="str">
            <v>CAMION</v>
          </cell>
          <cell r="H4290" t="str">
            <v>TAMBOMAYO</v>
          </cell>
          <cell r="I4290">
            <v>116689</v>
          </cell>
          <cell r="J4290" t="str">
            <v>REPUESTO</v>
          </cell>
          <cell r="K4290" t="str">
            <v>UNION DE 1/4 A 3/8</v>
          </cell>
          <cell r="L4290">
            <v>3</v>
          </cell>
          <cell r="M4290" t="str">
            <v>UNID.</v>
          </cell>
          <cell r="N4290" t="str">
            <v>TRACTO</v>
          </cell>
          <cell r="O4290">
            <v>38</v>
          </cell>
          <cell r="P4290" t="str">
            <v>M6</v>
          </cell>
          <cell r="Q4290" t="str">
            <v>J1</v>
          </cell>
          <cell r="R4290" t="str">
            <v>J8</v>
          </cell>
          <cell r="S4290" t="str">
            <v>PENDIENTE</v>
          </cell>
          <cell r="T4290">
            <v>0</v>
          </cell>
          <cell r="U4290" t="str">
            <v>PARI VENTURA  EDSON ORLANDO</v>
          </cell>
          <cell r="V4290" t="str">
            <v>FLOREZ CONDORI  JOSE WILLIANS</v>
          </cell>
        </row>
        <row r="4291">
          <cell r="A4291">
            <v>4303</v>
          </cell>
          <cell r="B4291">
            <v>42752</v>
          </cell>
          <cell r="C4291" t="str">
            <v>ENERO</v>
          </cell>
          <cell r="D4291" t="str">
            <v>2017</v>
          </cell>
          <cell r="E4291">
            <v>789</v>
          </cell>
          <cell r="F4291" t="str">
            <v>B2M-948</v>
          </cell>
          <cell r="G4291" t="str">
            <v>CAMION</v>
          </cell>
          <cell r="H4291" t="str">
            <v>TAMBOMAYO</v>
          </cell>
          <cell r="I4291">
            <v>116689</v>
          </cell>
          <cell r="J4291" t="str">
            <v>REPUESTO</v>
          </cell>
          <cell r="K4291" t="str">
            <v>TERMINALES</v>
          </cell>
          <cell r="L4291">
            <v>2</v>
          </cell>
          <cell r="M4291" t="str">
            <v>UNID.</v>
          </cell>
          <cell r="N4291" t="str">
            <v>CISTERNA</v>
          </cell>
          <cell r="O4291">
            <v>38</v>
          </cell>
          <cell r="P4291" t="str">
            <v>E3</v>
          </cell>
          <cell r="Q4291" t="str">
            <v>J1</v>
          </cell>
          <cell r="R4291" t="str">
            <v>J8</v>
          </cell>
          <cell r="S4291" t="str">
            <v>ENTREGADO</v>
          </cell>
          <cell r="T4291">
            <v>0</v>
          </cell>
          <cell r="U4291" t="str">
            <v>CONDORI CHURATA ALEX</v>
          </cell>
          <cell r="V4291" t="str">
            <v>FLOREZ CONDORI  JOSE WILLIANS</v>
          </cell>
        </row>
        <row r="4292">
          <cell r="A4292">
            <v>4304</v>
          </cell>
          <cell r="B4292">
            <v>42752</v>
          </cell>
          <cell r="C4292" t="str">
            <v>ENERO</v>
          </cell>
          <cell r="D4292" t="str">
            <v>2017</v>
          </cell>
          <cell r="E4292">
            <v>789</v>
          </cell>
          <cell r="F4292" t="str">
            <v>B2M-948</v>
          </cell>
          <cell r="G4292" t="str">
            <v>CAMION</v>
          </cell>
          <cell r="H4292" t="str">
            <v>TAMBOMAYO</v>
          </cell>
          <cell r="I4292">
            <v>116689</v>
          </cell>
          <cell r="J4292" t="str">
            <v>REPUESTO</v>
          </cell>
          <cell r="K4292" t="str">
            <v>CABLE #14</v>
          </cell>
          <cell r="L4292">
            <v>2</v>
          </cell>
          <cell r="M4292" t="str">
            <v>M</v>
          </cell>
          <cell r="N4292" t="str">
            <v>CISTERNA</v>
          </cell>
          <cell r="O4292">
            <v>38</v>
          </cell>
          <cell r="P4292" t="str">
            <v>E3</v>
          </cell>
          <cell r="Q4292" t="str">
            <v>J1</v>
          </cell>
          <cell r="R4292" t="str">
            <v>J8</v>
          </cell>
          <cell r="S4292" t="str">
            <v>ENTREGADO</v>
          </cell>
          <cell r="T4292">
            <v>0</v>
          </cell>
          <cell r="U4292" t="str">
            <v>CONDORI CHURATA ALEX</v>
          </cell>
          <cell r="V4292" t="str">
            <v>FLOREZ CONDORI  JOSE WILLIANS</v>
          </cell>
        </row>
        <row r="4293">
          <cell r="A4293">
            <v>4274</v>
          </cell>
          <cell r="B4293">
            <v>42752</v>
          </cell>
          <cell r="C4293" t="str">
            <v>ENERO</v>
          </cell>
          <cell r="D4293" t="str">
            <v>2017</v>
          </cell>
          <cell r="E4293">
            <v>857</v>
          </cell>
          <cell r="F4293" t="str">
            <v>C6X-739</v>
          </cell>
          <cell r="G4293" t="str">
            <v>TCS-988</v>
          </cell>
          <cell r="H4293" t="str">
            <v>LAS BAMBAS CONC.</v>
          </cell>
          <cell r="I4293">
            <v>234081</v>
          </cell>
          <cell r="J4293" t="str">
            <v>REPUESTO</v>
          </cell>
          <cell r="K4293" t="str">
            <v>FARO PIRATA</v>
          </cell>
          <cell r="L4293">
            <v>1</v>
          </cell>
          <cell r="M4293" t="str">
            <v>UNID.</v>
          </cell>
          <cell r="N4293" t="str">
            <v>TRACTO</v>
          </cell>
          <cell r="O4293">
            <v>38</v>
          </cell>
          <cell r="P4293" t="str">
            <v>J1</v>
          </cell>
          <cell r="Q4293" t="str">
            <v>J1</v>
          </cell>
          <cell r="R4293" t="str">
            <v>J8</v>
          </cell>
          <cell r="S4293" t="str">
            <v>PENDIENTE</v>
          </cell>
          <cell r="T4293">
            <v>0</v>
          </cell>
          <cell r="U4293" t="str">
            <v>FLOREZ CONDORI  JOSE WILLIANS</v>
          </cell>
          <cell r="V4293" t="str">
            <v>FLOREZ CONDORI  JOSE WILLIANS</v>
          </cell>
        </row>
        <row r="4294">
          <cell r="A4294">
            <v>4275</v>
          </cell>
          <cell r="B4294">
            <v>42752</v>
          </cell>
          <cell r="C4294" t="str">
            <v>ENERO</v>
          </cell>
          <cell r="D4294" t="str">
            <v>2017</v>
          </cell>
          <cell r="E4294">
            <v>857</v>
          </cell>
          <cell r="F4294" t="str">
            <v>C6X-739</v>
          </cell>
          <cell r="G4294" t="str">
            <v>TCS-988</v>
          </cell>
          <cell r="H4294" t="str">
            <v>LAS BAMBAS CONC.</v>
          </cell>
          <cell r="I4294">
            <v>234081</v>
          </cell>
          <cell r="J4294" t="str">
            <v>REPUESTO</v>
          </cell>
          <cell r="K4294" t="str">
            <v>FARO LATERAL CIRCULAR 2"</v>
          </cell>
          <cell r="L4294">
            <v>1</v>
          </cell>
          <cell r="M4294" t="str">
            <v>UNID.</v>
          </cell>
          <cell r="N4294" t="str">
            <v>TRACTO</v>
          </cell>
          <cell r="O4294">
            <v>38</v>
          </cell>
          <cell r="P4294" t="str">
            <v>J1</v>
          </cell>
          <cell r="Q4294" t="str">
            <v>J1</v>
          </cell>
          <cell r="R4294" t="str">
            <v>J8</v>
          </cell>
          <cell r="S4294" t="str">
            <v>PENDIENTE</v>
          </cell>
          <cell r="T4294">
            <v>0</v>
          </cell>
          <cell r="U4294" t="str">
            <v>FLOREZ CONDORI  JOSE WILLIANS</v>
          </cell>
          <cell r="V4294" t="str">
            <v>FLOREZ CONDORI  JOSE WILLIANS</v>
          </cell>
        </row>
        <row r="4295">
          <cell r="A4295">
            <v>4266</v>
          </cell>
          <cell r="B4295">
            <v>42752</v>
          </cell>
          <cell r="C4295" t="str">
            <v>ENERO</v>
          </cell>
          <cell r="D4295" t="str">
            <v>2017</v>
          </cell>
          <cell r="E4295">
            <v>771</v>
          </cell>
          <cell r="F4295" t="str">
            <v>D3O-742</v>
          </cell>
          <cell r="G4295" t="str">
            <v>B8L-971</v>
          </cell>
          <cell r="H4295" t="str">
            <v>LAS BAMBAS</v>
          </cell>
          <cell r="I4295">
            <v>189448</v>
          </cell>
          <cell r="J4295" t="str">
            <v>REPUESTO</v>
          </cell>
          <cell r="K4295" t="str">
            <v xml:space="preserve">FILTRO DE ACEITE </v>
          </cell>
          <cell r="L4295">
            <v>2</v>
          </cell>
          <cell r="M4295" t="str">
            <v>UNID.</v>
          </cell>
          <cell r="N4295" t="str">
            <v>TRACTO</v>
          </cell>
          <cell r="O4295">
            <v>38</v>
          </cell>
          <cell r="P4295" t="str">
            <v>M1</v>
          </cell>
          <cell r="Q4295" t="str">
            <v>J1</v>
          </cell>
          <cell r="R4295" t="str">
            <v>J5</v>
          </cell>
          <cell r="S4295" t="str">
            <v>PENDIENTE</v>
          </cell>
          <cell r="T4295">
            <v>0</v>
          </cell>
          <cell r="U4295" t="str">
            <v>CABEZAS SANCHEZ JEAN JHONATAN</v>
          </cell>
          <cell r="V4295" t="str">
            <v>FLOREZ CONDORI  JOSE WILLIANS</v>
          </cell>
        </row>
        <row r="4296">
          <cell r="A4296">
            <v>4267</v>
          </cell>
          <cell r="B4296">
            <v>42752</v>
          </cell>
          <cell r="C4296" t="str">
            <v>ENERO</v>
          </cell>
          <cell r="D4296" t="str">
            <v>2017</v>
          </cell>
          <cell r="E4296">
            <v>771</v>
          </cell>
          <cell r="F4296" t="str">
            <v>D3O-742</v>
          </cell>
          <cell r="G4296" t="str">
            <v>B8L-971</v>
          </cell>
          <cell r="H4296" t="str">
            <v>LAS BAMBAS</v>
          </cell>
          <cell r="I4296">
            <v>189448</v>
          </cell>
          <cell r="J4296" t="str">
            <v>REPUESTO</v>
          </cell>
          <cell r="K4296" t="str">
            <v>ACEITE 15W40</v>
          </cell>
          <cell r="L4296">
            <v>10</v>
          </cell>
          <cell r="M4296" t="str">
            <v>GLNS.</v>
          </cell>
          <cell r="N4296" t="str">
            <v>TRACTO</v>
          </cell>
          <cell r="O4296">
            <v>38</v>
          </cell>
          <cell r="P4296" t="str">
            <v>M1</v>
          </cell>
          <cell r="Q4296" t="str">
            <v>J1</v>
          </cell>
          <cell r="R4296" t="str">
            <v>J5</v>
          </cell>
          <cell r="S4296" t="str">
            <v>PENDIENTE</v>
          </cell>
          <cell r="T4296">
            <v>0</v>
          </cell>
          <cell r="U4296" t="str">
            <v>CABEZAS SANCHEZ JEAN JHONATAN</v>
          </cell>
          <cell r="V4296" t="str">
            <v>FLOREZ CONDORI  JOSE WILLIANS</v>
          </cell>
        </row>
        <row r="4297">
          <cell r="A4297">
            <v>4268</v>
          </cell>
          <cell r="B4297">
            <v>42752</v>
          </cell>
          <cell r="C4297" t="str">
            <v>ENERO</v>
          </cell>
          <cell r="D4297" t="str">
            <v>2017</v>
          </cell>
          <cell r="E4297">
            <v>771</v>
          </cell>
          <cell r="F4297" t="str">
            <v>D3O-742</v>
          </cell>
          <cell r="G4297" t="str">
            <v>B8L-971</v>
          </cell>
          <cell r="H4297" t="str">
            <v>LAS BAMBAS</v>
          </cell>
          <cell r="I4297">
            <v>189448</v>
          </cell>
          <cell r="J4297" t="str">
            <v>REPUESTO</v>
          </cell>
          <cell r="K4297" t="str">
            <v>FILTRO DE AIRE PRIMARIO</v>
          </cell>
          <cell r="L4297">
            <v>1</v>
          </cell>
          <cell r="M4297" t="str">
            <v>UNID.</v>
          </cell>
          <cell r="N4297" t="str">
            <v>TRACTO</v>
          </cell>
          <cell r="O4297">
            <v>38</v>
          </cell>
          <cell r="P4297" t="str">
            <v>M1</v>
          </cell>
          <cell r="Q4297" t="str">
            <v>J1</v>
          </cell>
          <cell r="R4297" t="str">
            <v>J5</v>
          </cell>
          <cell r="S4297" t="str">
            <v>PENDIENTE</v>
          </cell>
          <cell r="T4297">
            <v>0</v>
          </cell>
          <cell r="U4297" t="str">
            <v>CABEZAS SANCHEZ JEAN JHONATAN</v>
          </cell>
          <cell r="V4297" t="str">
            <v>FLOREZ CONDORI  JOSE WILLIANS</v>
          </cell>
        </row>
        <row r="4298">
          <cell r="A4298">
            <v>4269</v>
          </cell>
          <cell r="B4298">
            <v>42752</v>
          </cell>
          <cell r="C4298" t="str">
            <v>ENERO</v>
          </cell>
          <cell r="D4298" t="str">
            <v>2017</v>
          </cell>
          <cell r="E4298">
            <v>771</v>
          </cell>
          <cell r="F4298" t="str">
            <v>D3O-742</v>
          </cell>
          <cell r="G4298" t="str">
            <v>B8L-971</v>
          </cell>
          <cell r="H4298" t="str">
            <v>LAS BAMBAS</v>
          </cell>
          <cell r="I4298">
            <v>189448</v>
          </cell>
          <cell r="J4298" t="str">
            <v>REPUESTO</v>
          </cell>
          <cell r="K4298" t="str">
            <v>FILTRO DE AIRE SECUNDARIO</v>
          </cell>
          <cell r="L4298">
            <v>1</v>
          </cell>
          <cell r="M4298" t="str">
            <v>UNID.</v>
          </cell>
          <cell r="N4298" t="str">
            <v>TRACTO</v>
          </cell>
          <cell r="O4298">
            <v>38</v>
          </cell>
          <cell r="P4298" t="str">
            <v>M1</v>
          </cell>
          <cell r="Q4298" t="str">
            <v>J1</v>
          </cell>
          <cell r="R4298" t="str">
            <v>J5</v>
          </cell>
          <cell r="S4298" t="str">
            <v>PENDIENTE</v>
          </cell>
          <cell r="T4298">
            <v>0</v>
          </cell>
          <cell r="U4298" t="str">
            <v>CABEZAS SANCHEZ JEAN JHONATAN</v>
          </cell>
          <cell r="V4298" t="str">
            <v>FLOREZ CONDORI  JOSE WILLIANS</v>
          </cell>
        </row>
        <row r="4299">
          <cell r="A4299">
            <v>4284</v>
          </cell>
          <cell r="B4299">
            <v>42752</v>
          </cell>
          <cell r="C4299" t="str">
            <v>ENERO</v>
          </cell>
          <cell r="D4299" t="str">
            <v>2017</v>
          </cell>
          <cell r="E4299">
            <v>808</v>
          </cell>
          <cell r="F4299" t="str">
            <v>D3P-743</v>
          </cell>
          <cell r="G4299" t="str">
            <v>B8L-972</v>
          </cell>
          <cell r="H4299" t="str">
            <v>LAS BAMBAS</v>
          </cell>
          <cell r="I4299">
            <v>188419</v>
          </cell>
          <cell r="J4299" t="str">
            <v>REPUESTO</v>
          </cell>
          <cell r="K4299" t="str">
            <v xml:space="preserve">CABLE VULCANIZADO </v>
          </cell>
          <cell r="L4299">
            <v>8</v>
          </cell>
          <cell r="M4299" t="str">
            <v>M</v>
          </cell>
          <cell r="N4299" t="str">
            <v>CISTERNA</v>
          </cell>
          <cell r="O4299">
            <v>38</v>
          </cell>
          <cell r="P4299" t="str">
            <v>E3</v>
          </cell>
          <cell r="Q4299" t="str">
            <v>J1</v>
          </cell>
          <cell r="R4299" t="str">
            <v>J8</v>
          </cell>
          <cell r="S4299" t="str">
            <v>PENDIENTE</v>
          </cell>
          <cell r="T4299">
            <v>0</v>
          </cell>
          <cell r="U4299" t="str">
            <v>CONDORI CHURATA ALEX</v>
          </cell>
          <cell r="V4299" t="str">
            <v>FLOREZ CONDORI  JOSE WILLIANS</v>
          </cell>
        </row>
        <row r="4300">
          <cell r="A4300">
            <v>4285</v>
          </cell>
          <cell r="B4300">
            <v>42752</v>
          </cell>
          <cell r="C4300" t="str">
            <v>ENERO</v>
          </cell>
          <cell r="D4300" t="str">
            <v>2017</v>
          </cell>
          <cell r="E4300">
            <v>808</v>
          </cell>
          <cell r="F4300" t="str">
            <v>D3P-743</v>
          </cell>
          <cell r="G4300" t="str">
            <v>B8L-972</v>
          </cell>
          <cell r="H4300" t="str">
            <v>LAS BAMBAS</v>
          </cell>
          <cell r="I4300">
            <v>188419</v>
          </cell>
          <cell r="J4300" t="str">
            <v>REPUESTO</v>
          </cell>
          <cell r="K4300" t="str">
            <v>CABLE #14</v>
          </cell>
          <cell r="L4300">
            <v>6</v>
          </cell>
          <cell r="M4300" t="str">
            <v>M</v>
          </cell>
          <cell r="N4300" t="str">
            <v>CISTERNA</v>
          </cell>
          <cell r="O4300">
            <v>38</v>
          </cell>
          <cell r="P4300" t="str">
            <v>E3</v>
          </cell>
          <cell r="Q4300" t="str">
            <v>J1</v>
          </cell>
          <cell r="R4300" t="str">
            <v>J8</v>
          </cell>
          <cell r="S4300" t="str">
            <v>PENDIENTE</v>
          </cell>
          <cell r="T4300">
            <v>0</v>
          </cell>
          <cell r="U4300" t="str">
            <v>CONDORI CHURATA ALEX</v>
          </cell>
          <cell r="V4300" t="str">
            <v>FLOREZ CONDORI  JOSE WILLIANS</v>
          </cell>
        </row>
        <row r="4301">
          <cell r="A4301">
            <v>4286</v>
          </cell>
          <cell r="B4301">
            <v>42752</v>
          </cell>
          <cell r="C4301" t="str">
            <v>ENERO</v>
          </cell>
          <cell r="D4301" t="str">
            <v>2017</v>
          </cell>
          <cell r="E4301">
            <v>808</v>
          </cell>
          <cell r="F4301" t="str">
            <v>D3P-743</v>
          </cell>
          <cell r="G4301" t="str">
            <v>B8L-972</v>
          </cell>
          <cell r="H4301" t="str">
            <v>LAS BAMBAS</v>
          </cell>
          <cell r="I4301">
            <v>188419</v>
          </cell>
          <cell r="J4301" t="str">
            <v>REPUESTO</v>
          </cell>
          <cell r="K4301" t="str">
            <v>PERNO CON TUERCA Y ARANDELA 1/4 X 1"</v>
          </cell>
          <cell r="L4301">
            <v>1</v>
          </cell>
          <cell r="M4301" t="str">
            <v>UNID.</v>
          </cell>
          <cell r="N4301" t="str">
            <v>CISTERNA</v>
          </cell>
          <cell r="O4301">
            <v>38</v>
          </cell>
          <cell r="P4301" t="str">
            <v>E3</v>
          </cell>
          <cell r="Q4301" t="str">
            <v>J1</v>
          </cell>
          <cell r="R4301" t="str">
            <v>J8</v>
          </cell>
          <cell r="S4301" t="str">
            <v>PENDIENTE</v>
          </cell>
          <cell r="T4301">
            <v>0</v>
          </cell>
          <cell r="U4301" t="str">
            <v>CONDORI CHURATA ALEX</v>
          </cell>
          <cell r="V4301" t="str">
            <v>FLOREZ CONDORI  JOSE WILLIANS</v>
          </cell>
        </row>
        <row r="4302">
          <cell r="A4302">
            <v>4287</v>
          </cell>
          <cell r="B4302">
            <v>42752</v>
          </cell>
          <cell r="C4302" t="str">
            <v>ENERO</v>
          </cell>
          <cell r="D4302" t="str">
            <v>2017</v>
          </cell>
          <cell r="E4302">
            <v>808</v>
          </cell>
          <cell r="F4302" t="str">
            <v>D3P-743</v>
          </cell>
          <cell r="G4302" t="str">
            <v>B8L-972</v>
          </cell>
          <cell r="H4302" t="str">
            <v>LAS BAMBAS</v>
          </cell>
          <cell r="I4302">
            <v>188419</v>
          </cell>
          <cell r="J4302" t="str">
            <v>REPUESTO</v>
          </cell>
          <cell r="K4302" t="str">
            <v>AFLOJATODO</v>
          </cell>
          <cell r="L4302">
            <v>1</v>
          </cell>
          <cell r="M4302" t="str">
            <v>UNID.</v>
          </cell>
          <cell r="N4302" t="str">
            <v>CISTERNA</v>
          </cell>
          <cell r="O4302">
            <v>38</v>
          </cell>
          <cell r="P4302" t="str">
            <v>E3</v>
          </cell>
          <cell r="Q4302" t="str">
            <v>J1</v>
          </cell>
          <cell r="R4302" t="str">
            <v>J8</v>
          </cell>
          <cell r="S4302" t="str">
            <v>PENDIENTE</v>
          </cell>
          <cell r="T4302">
            <v>0</v>
          </cell>
          <cell r="U4302" t="str">
            <v>CONDORI CHURATA ALEX</v>
          </cell>
          <cell r="V4302" t="str">
            <v>FLOREZ CONDORI  JOSE WILLIANS</v>
          </cell>
        </row>
        <row r="4303">
          <cell r="A4303">
            <v>4271</v>
          </cell>
          <cell r="B4303">
            <v>42752</v>
          </cell>
          <cell r="C4303" t="str">
            <v>ENERO</v>
          </cell>
          <cell r="D4303" t="str">
            <v>2017</v>
          </cell>
          <cell r="E4303">
            <v>202</v>
          </cell>
          <cell r="F4303" t="str">
            <v>D3P-752</v>
          </cell>
          <cell r="G4303" t="str">
            <v>C5Y-985</v>
          </cell>
          <cell r="H4303" t="str">
            <v>LAS BAMBAS</v>
          </cell>
          <cell r="I4303">
            <v>150504</v>
          </cell>
          <cell r="J4303" t="str">
            <v>REPUESTO</v>
          </cell>
          <cell r="K4303" t="str">
            <v>LLANTAS REUCANCHADAS YZY2</v>
          </cell>
          <cell r="L4303">
            <v>4</v>
          </cell>
          <cell r="M4303" t="str">
            <v>UNID.</v>
          </cell>
          <cell r="N4303" t="str">
            <v>TALLER</v>
          </cell>
          <cell r="O4303">
            <v>38</v>
          </cell>
          <cell r="P4303" t="str">
            <v>N2</v>
          </cell>
          <cell r="Q4303" t="str">
            <v>J1</v>
          </cell>
          <cell r="R4303" t="str">
            <v>J8</v>
          </cell>
          <cell r="S4303" t="str">
            <v>PENDIENTE</v>
          </cell>
          <cell r="T4303">
            <v>0</v>
          </cell>
          <cell r="U4303" t="str">
            <v>MAMANI LARICO  EDUARDO ALVARO</v>
          </cell>
          <cell r="V4303" t="str">
            <v>FLOREZ CONDORI  JOSE WILLIANS</v>
          </cell>
        </row>
        <row r="4304">
          <cell r="A4304">
            <v>4272</v>
          </cell>
          <cell r="B4304">
            <v>42752</v>
          </cell>
          <cell r="C4304" t="str">
            <v>ENERO</v>
          </cell>
          <cell r="D4304" t="str">
            <v>2017</v>
          </cell>
          <cell r="E4304">
            <v>202</v>
          </cell>
          <cell r="F4304" t="str">
            <v>D3P-752</v>
          </cell>
          <cell r="G4304" t="str">
            <v>C5Y-985</v>
          </cell>
          <cell r="H4304" t="str">
            <v>LAS BAMBAS</v>
          </cell>
          <cell r="I4304">
            <v>150504</v>
          </cell>
          <cell r="J4304" t="str">
            <v>REPUESTO</v>
          </cell>
          <cell r="K4304" t="str">
            <v>PITONES</v>
          </cell>
          <cell r="L4304">
            <v>4</v>
          </cell>
          <cell r="M4304" t="str">
            <v>UNID.</v>
          </cell>
          <cell r="N4304" t="str">
            <v>TALLER</v>
          </cell>
          <cell r="O4304">
            <v>38</v>
          </cell>
          <cell r="P4304" t="str">
            <v>N2</v>
          </cell>
          <cell r="Q4304" t="str">
            <v>J1</v>
          </cell>
          <cell r="R4304" t="str">
            <v>J8</v>
          </cell>
          <cell r="S4304" t="str">
            <v>PENDIENTE</v>
          </cell>
          <cell r="T4304">
            <v>0</v>
          </cell>
          <cell r="U4304" t="str">
            <v>MAMANI LARICO  EDUARDO ALVARO</v>
          </cell>
          <cell r="V4304" t="str">
            <v>FLOREZ CONDORI  JOSE WILLIANS</v>
          </cell>
        </row>
        <row r="4305">
          <cell r="A4305">
            <v>4290</v>
          </cell>
          <cell r="B4305">
            <v>42752</v>
          </cell>
          <cell r="C4305" t="str">
            <v>ENERO</v>
          </cell>
          <cell r="D4305" t="str">
            <v>2017</v>
          </cell>
          <cell r="E4305">
            <v>848</v>
          </cell>
          <cell r="F4305" t="str">
            <v>D3P-754</v>
          </cell>
          <cell r="G4305" t="str">
            <v>C0V-971</v>
          </cell>
          <cell r="H4305" t="str">
            <v>LAS BAMBAS</v>
          </cell>
          <cell r="I4305">
            <v>167618</v>
          </cell>
          <cell r="J4305" t="str">
            <v>REPUESTO</v>
          </cell>
          <cell r="K4305" t="str">
            <v>PERNO 1/4 X 1"</v>
          </cell>
          <cell r="L4305">
            <v>20</v>
          </cell>
          <cell r="M4305" t="str">
            <v>UNID.</v>
          </cell>
          <cell r="N4305" t="str">
            <v>CISTERNA</v>
          </cell>
          <cell r="O4305">
            <v>38</v>
          </cell>
          <cell r="P4305" t="str">
            <v>M4</v>
          </cell>
          <cell r="Q4305" t="str">
            <v>J1</v>
          </cell>
          <cell r="R4305" t="str">
            <v>J8</v>
          </cell>
          <cell r="S4305" t="str">
            <v>ENTREGADO</v>
          </cell>
          <cell r="T4305">
            <v>0</v>
          </cell>
          <cell r="U4305" t="str">
            <v>JULLIRI APAZA UBALDO</v>
          </cell>
          <cell r="V4305" t="str">
            <v>FLOREZ CONDORI  JOSE WILLIANS</v>
          </cell>
        </row>
        <row r="4306">
          <cell r="A4306">
            <v>4291</v>
          </cell>
          <cell r="B4306">
            <v>42752</v>
          </cell>
          <cell r="C4306" t="str">
            <v>ENERO</v>
          </cell>
          <cell r="D4306" t="str">
            <v>2017</v>
          </cell>
          <cell r="E4306">
            <v>848</v>
          </cell>
          <cell r="F4306" t="str">
            <v>D3P-754</v>
          </cell>
          <cell r="G4306" t="str">
            <v>C0V-971</v>
          </cell>
          <cell r="H4306" t="str">
            <v>LAS BAMBAS</v>
          </cell>
          <cell r="I4306">
            <v>167618</v>
          </cell>
          <cell r="J4306" t="str">
            <v>REPUESTO</v>
          </cell>
          <cell r="K4306" t="str">
            <v>ARANDELA 1/4</v>
          </cell>
          <cell r="L4306">
            <v>40</v>
          </cell>
          <cell r="M4306" t="str">
            <v>UNID.</v>
          </cell>
          <cell r="N4306" t="str">
            <v>CISTERNA</v>
          </cell>
          <cell r="O4306">
            <v>38</v>
          </cell>
          <cell r="P4306" t="str">
            <v>M4</v>
          </cell>
          <cell r="Q4306" t="str">
            <v>J1</v>
          </cell>
          <cell r="R4306" t="str">
            <v>J8</v>
          </cell>
          <cell r="S4306" t="str">
            <v>ENTREGADO</v>
          </cell>
          <cell r="T4306">
            <v>0</v>
          </cell>
          <cell r="U4306" t="str">
            <v>JULLIRI APAZA UBALDO</v>
          </cell>
          <cell r="V4306" t="str">
            <v>FLOREZ CONDORI  JOSE WILLIANS</v>
          </cell>
        </row>
        <row r="4307">
          <cell r="A4307">
            <v>4292</v>
          </cell>
          <cell r="B4307">
            <v>42752</v>
          </cell>
          <cell r="C4307" t="str">
            <v>ENERO</v>
          </cell>
          <cell r="D4307" t="str">
            <v>2017</v>
          </cell>
          <cell r="E4307">
            <v>848</v>
          </cell>
          <cell r="F4307" t="str">
            <v>D3P-754</v>
          </cell>
          <cell r="G4307" t="str">
            <v>C0V-971</v>
          </cell>
          <cell r="H4307" t="str">
            <v>LAS BAMBAS</v>
          </cell>
          <cell r="I4307">
            <v>167618</v>
          </cell>
          <cell r="J4307" t="str">
            <v>REPUESTO</v>
          </cell>
          <cell r="K4307" t="str">
            <v>TUERCAS SEGURO DE 1/4</v>
          </cell>
          <cell r="L4307">
            <v>20</v>
          </cell>
          <cell r="M4307" t="str">
            <v>UNID.</v>
          </cell>
          <cell r="N4307" t="str">
            <v>CISTERNA</v>
          </cell>
          <cell r="O4307">
            <v>38</v>
          </cell>
          <cell r="P4307" t="str">
            <v>M4</v>
          </cell>
          <cell r="Q4307" t="str">
            <v>J1</v>
          </cell>
          <cell r="R4307" t="str">
            <v>J8</v>
          </cell>
          <cell r="S4307" t="str">
            <v>ENTREGADO</v>
          </cell>
          <cell r="T4307">
            <v>0</v>
          </cell>
          <cell r="U4307" t="str">
            <v>JULLIRI APAZA UBALDO</v>
          </cell>
          <cell r="V4307" t="str">
            <v>FLOREZ CONDORI  JOSE WILLIANS</v>
          </cell>
        </row>
        <row r="4308">
          <cell r="A4308">
            <v>4320</v>
          </cell>
          <cell r="B4308">
            <v>42752</v>
          </cell>
          <cell r="C4308" t="str">
            <v>ENERO</v>
          </cell>
          <cell r="D4308" t="str">
            <v>2017</v>
          </cell>
          <cell r="E4308">
            <v>834</v>
          </cell>
          <cell r="F4308" t="str">
            <v>D4T-927</v>
          </cell>
          <cell r="G4308" t="str">
            <v>B4Q-976</v>
          </cell>
          <cell r="H4308" t="str">
            <v>LAS BAMBAS</v>
          </cell>
          <cell r="I4308">
            <v>195693</v>
          </cell>
          <cell r="J4308" t="str">
            <v>REPUESTO</v>
          </cell>
          <cell r="K4308" t="str">
            <v>EJE Y BOCINAS (SEGÚN GRÁFICO)</v>
          </cell>
          <cell r="L4308">
            <v>4</v>
          </cell>
          <cell r="M4308" t="str">
            <v>JUEGO</v>
          </cell>
          <cell r="N4308" t="str">
            <v>TALLER</v>
          </cell>
          <cell r="O4308">
            <v>38</v>
          </cell>
          <cell r="P4308" t="str">
            <v>J1</v>
          </cell>
          <cell r="Q4308" t="str">
            <v>j1</v>
          </cell>
          <cell r="R4308" t="str">
            <v>J5</v>
          </cell>
          <cell r="S4308" t="str">
            <v>PENDIENTE</v>
          </cell>
          <cell r="T4308">
            <v>0</v>
          </cell>
          <cell r="U4308" t="str">
            <v>FLOREZ CONDORI  JOSE WILLIANS</v>
          </cell>
          <cell r="V4308" t="str">
            <v>FLOREZ CONDORI  JOSE WILLIANS</v>
          </cell>
        </row>
        <row r="4309">
          <cell r="A4309">
            <v>4321</v>
          </cell>
          <cell r="B4309">
            <v>42752</v>
          </cell>
          <cell r="C4309" t="str">
            <v>ENERO</v>
          </cell>
          <cell r="D4309" t="str">
            <v>2017</v>
          </cell>
          <cell r="E4309">
            <v>834</v>
          </cell>
          <cell r="F4309" t="str">
            <v>D4T-927</v>
          </cell>
          <cell r="G4309" t="str">
            <v>B4Q-976</v>
          </cell>
          <cell r="H4309" t="str">
            <v>LAS BAMBAS</v>
          </cell>
          <cell r="I4309">
            <v>195693</v>
          </cell>
          <cell r="J4309" t="str">
            <v>REPUESTO</v>
          </cell>
          <cell r="K4309" t="str">
            <v>BOCINAS (SEGÚN GRÁFICO)</v>
          </cell>
          <cell r="L4309">
            <v>24</v>
          </cell>
          <cell r="M4309" t="str">
            <v>UNID.</v>
          </cell>
          <cell r="N4309" t="str">
            <v>TALLER</v>
          </cell>
          <cell r="O4309">
            <v>38</v>
          </cell>
          <cell r="P4309" t="str">
            <v>J1</v>
          </cell>
          <cell r="Q4309" t="str">
            <v>j1</v>
          </cell>
          <cell r="R4309" t="str">
            <v>J5</v>
          </cell>
          <cell r="S4309" t="str">
            <v>PENDIENTE</v>
          </cell>
          <cell r="T4309">
            <v>0</v>
          </cell>
          <cell r="U4309" t="str">
            <v>FLOREZ CONDORI  JOSE WILLIANS</v>
          </cell>
          <cell r="V4309" t="str">
            <v>FLOREZ CONDORI  JOSE WILLIANS</v>
          </cell>
        </row>
        <row r="4310">
          <cell r="A4310">
            <v>4270</v>
          </cell>
          <cell r="B4310">
            <v>42752</v>
          </cell>
          <cell r="C4310" t="str">
            <v>ENERO</v>
          </cell>
          <cell r="D4310" t="str">
            <v>2017</v>
          </cell>
          <cell r="E4310">
            <v>200</v>
          </cell>
          <cell r="F4310" t="str">
            <v>TALLER</v>
          </cell>
          <cell r="G4310" t="str">
            <v>TALLER</v>
          </cell>
          <cell r="H4310" t="str">
            <v>TALLER</v>
          </cell>
          <cell r="I4310" t="str">
            <v>TALLER</v>
          </cell>
          <cell r="J4310" t="str">
            <v>MATERIALES</v>
          </cell>
          <cell r="K4310" t="str">
            <v>GRASA DE NEUMATICOS</v>
          </cell>
          <cell r="L4310">
            <v>1</v>
          </cell>
          <cell r="M4310" t="str">
            <v>UNID.</v>
          </cell>
          <cell r="N4310" t="str">
            <v>TALLER</v>
          </cell>
          <cell r="O4310">
            <v>38</v>
          </cell>
          <cell r="P4310" t="str">
            <v>N2</v>
          </cell>
          <cell r="Q4310" t="str">
            <v>J1</v>
          </cell>
          <cell r="R4310" t="str">
            <v>J8</v>
          </cell>
          <cell r="S4310" t="str">
            <v>PENDIENTE</v>
          </cell>
          <cell r="T4310">
            <v>0</v>
          </cell>
          <cell r="U4310" t="str">
            <v>MAMANI LARICO  EDUARDO ALVARO</v>
          </cell>
          <cell r="V4310" t="str">
            <v>FLOREZ CONDORI  JOSE WILLIANS</v>
          </cell>
        </row>
        <row r="4311">
          <cell r="A4311">
            <v>4302</v>
          </cell>
          <cell r="B4311">
            <v>42752</v>
          </cell>
          <cell r="C4311" t="str">
            <v>ENERO</v>
          </cell>
          <cell r="D4311" t="str">
            <v>2017</v>
          </cell>
          <cell r="E4311">
            <v>200</v>
          </cell>
          <cell r="F4311" t="str">
            <v>TALLER</v>
          </cell>
          <cell r="G4311" t="str">
            <v>TALLER</v>
          </cell>
          <cell r="H4311" t="str">
            <v>TALLER</v>
          </cell>
          <cell r="I4311" t="str">
            <v>TALLER</v>
          </cell>
          <cell r="J4311" t="str">
            <v>REPUESTO</v>
          </cell>
          <cell r="K4311" t="str">
            <v>HOJA DE SIERRA</v>
          </cell>
          <cell r="L4311">
            <v>1</v>
          </cell>
          <cell r="M4311" t="str">
            <v>UNID.</v>
          </cell>
          <cell r="N4311" t="str">
            <v>TALLER</v>
          </cell>
          <cell r="O4311">
            <v>38</v>
          </cell>
          <cell r="P4311" t="str">
            <v>M5</v>
          </cell>
          <cell r="Q4311" t="str">
            <v>J1</v>
          </cell>
          <cell r="R4311" t="str">
            <v>J8</v>
          </cell>
          <cell r="S4311" t="str">
            <v>ENTREGADO</v>
          </cell>
          <cell r="T4311">
            <v>0</v>
          </cell>
          <cell r="U4311" t="str">
            <v>LOPEZ RUIZ WILBERTO</v>
          </cell>
          <cell r="V4311" t="str">
            <v>FLOREZ CONDORI  JOSE WILLIANS</v>
          </cell>
        </row>
        <row r="4312">
          <cell r="A4312">
            <v>4306</v>
          </cell>
          <cell r="B4312">
            <v>42752</v>
          </cell>
          <cell r="C4312" t="str">
            <v>ENERO</v>
          </cell>
          <cell r="D4312" t="str">
            <v>2017</v>
          </cell>
          <cell r="E4312">
            <v>200</v>
          </cell>
          <cell r="F4312" t="str">
            <v>TALLER</v>
          </cell>
          <cell r="G4312" t="str">
            <v>TALLER</v>
          </cell>
          <cell r="H4312" t="str">
            <v>TALLER</v>
          </cell>
          <cell r="I4312" t="str">
            <v>TALLER</v>
          </cell>
          <cell r="J4312" t="str">
            <v>REPUESTO</v>
          </cell>
          <cell r="K4312" t="str">
            <v>PERNO 1/4 X 1 1/2"</v>
          </cell>
          <cell r="L4312">
            <v>1</v>
          </cell>
          <cell r="M4312" t="str">
            <v>UNID.</v>
          </cell>
          <cell r="N4312" t="str">
            <v>TRACTO</v>
          </cell>
          <cell r="O4312">
            <v>38</v>
          </cell>
          <cell r="P4312" t="str">
            <v>E3</v>
          </cell>
          <cell r="Q4312" t="str">
            <v>J1</v>
          </cell>
          <cell r="R4312" t="str">
            <v>J6</v>
          </cell>
          <cell r="S4312" t="str">
            <v>PENDIENTE</v>
          </cell>
          <cell r="T4312">
            <v>0</v>
          </cell>
          <cell r="U4312" t="str">
            <v>CONDORI CHURATA ALEX</v>
          </cell>
          <cell r="V4312" t="str">
            <v>FLOREZ CONDORI  JOSE WILLIANS</v>
          </cell>
        </row>
        <row r="4313">
          <cell r="A4313">
            <v>4307</v>
          </cell>
          <cell r="B4313">
            <v>42752</v>
          </cell>
          <cell r="C4313" t="str">
            <v>ENERO</v>
          </cell>
          <cell r="D4313" t="str">
            <v>2017</v>
          </cell>
          <cell r="E4313">
            <v>200</v>
          </cell>
          <cell r="F4313" t="str">
            <v>TALLER</v>
          </cell>
          <cell r="G4313" t="str">
            <v>TALLER</v>
          </cell>
          <cell r="H4313" t="str">
            <v>TALLER</v>
          </cell>
          <cell r="I4313" t="str">
            <v>TALLER</v>
          </cell>
          <cell r="J4313" t="str">
            <v>REPUESTO</v>
          </cell>
          <cell r="K4313" t="str">
            <v>TUERCA SEGURO</v>
          </cell>
          <cell r="L4313">
            <v>1</v>
          </cell>
          <cell r="M4313" t="str">
            <v>UNID.</v>
          </cell>
          <cell r="N4313" t="str">
            <v>TRACTO</v>
          </cell>
          <cell r="O4313">
            <v>38</v>
          </cell>
          <cell r="P4313" t="str">
            <v>E3</v>
          </cell>
          <cell r="Q4313" t="str">
            <v>J1</v>
          </cell>
          <cell r="R4313" t="str">
            <v>J7</v>
          </cell>
          <cell r="S4313" t="str">
            <v>PENDIENTE</v>
          </cell>
          <cell r="T4313">
            <v>0</v>
          </cell>
          <cell r="U4313" t="str">
            <v>CONDORI CHURATA ALEX</v>
          </cell>
          <cell r="V4313" t="str">
            <v>FLOREZ CONDORI  JOSE WILLIANS</v>
          </cell>
        </row>
        <row r="4314">
          <cell r="A4314">
            <v>4308</v>
          </cell>
          <cell r="B4314">
            <v>42752</v>
          </cell>
          <cell r="C4314" t="str">
            <v>ENERO</v>
          </cell>
          <cell r="D4314" t="str">
            <v>2017</v>
          </cell>
          <cell r="E4314">
            <v>200</v>
          </cell>
          <cell r="F4314" t="str">
            <v>TALLER</v>
          </cell>
          <cell r="G4314" t="str">
            <v>TALLER</v>
          </cell>
          <cell r="H4314" t="str">
            <v>TALLER</v>
          </cell>
          <cell r="I4314" t="str">
            <v>TALLER</v>
          </cell>
          <cell r="J4314" t="str">
            <v>REPUESTO</v>
          </cell>
          <cell r="K4314" t="str">
            <v>ARANDELA PLANA</v>
          </cell>
          <cell r="L4314">
            <v>1</v>
          </cell>
          <cell r="M4314" t="str">
            <v>UNID.</v>
          </cell>
          <cell r="N4314" t="str">
            <v>TRACTO</v>
          </cell>
          <cell r="O4314">
            <v>38</v>
          </cell>
          <cell r="P4314" t="str">
            <v>E3</v>
          </cell>
          <cell r="Q4314" t="str">
            <v>J1</v>
          </cell>
          <cell r="R4314" t="str">
            <v>J8</v>
          </cell>
          <cell r="S4314" t="str">
            <v>PENDIENTE</v>
          </cell>
          <cell r="T4314">
            <v>0</v>
          </cell>
          <cell r="U4314" t="str">
            <v>CONDORI CHURATA ALEX</v>
          </cell>
          <cell r="V4314" t="str">
            <v>FLOREZ CONDORI  JOSE WILLIANS</v>
          </cell>
        </row>
        <row r="4315">
          <cell r="A4315">
            <v>4309</v>
          </cell>
          <cell r="B4315">
            <v>42752</v>
          </cell>
          <cell r="C4315" t="str">
            <v>ENERO</v>
          </cell>
          <cell r="D4315" t="str">
            <v>2017</v>
          </cell>
          <cell r="E4315">
            <v>200</v>
          </cell>
          <cell r="F4315" t="str">
            <v>TALLER</v>
          </cell>
          <cell r="G4315" t="str">
            <v>TALLER</v>
          </cell>
          <cell r="H4315" t="str">
            <v>TALLER</v>
          </cell>
          <cell r="I4315" t="str">
            <v>TALLER</v>
          </cell>
          <cell r="J4315" t="str">
            <v>REPUESTO</v>
          </cell>
          <cell r="K4315" t="str">
            <v>PERNO 5/16 X 1 1/2</v>
          </cell>
          <cell r="L4315">
            <v>1</v>
          </cell>
          <cell r="M4315" t="str">
            <v>UNID.</v>
          </cell>
          <cell r="N4315" t="str">
            <v>TRACTO</v>
          </cell>
          <cell r="O4315">
            <v>38</v>
          </cell>
          <cell r="P4315" t="str">
            <v>E3</v>
          </cell>
          <cell r="Q4315" t="str">
            <v>J1</v>
          </cell>
          <cell r="R4315" t="str">
            <v>J9</v>
          </cell>
          <cell r="S4315" t="str">
            <v>PENDIENTE</v>
          </cell>
          <cell r="T4315">
            <v>0</v>
          </cell>
          <cell r="U4315" t="str">
            <v>CONDORI CHURATA ALEX</v>
          </cell>
          <cell r="V4315" t="str">
            <v>FLOREZ CONDORI  JOSE WILLIANS</v>
          </cell>
        </row>
        <row r="4316">
          <cell r="A4316">
            <v>4310</v>
          </cell>
          <cell r="B4316">
            <v>42752</v>
          </cell>
          <cell r="C4316" t="str">
            <v>ENERO</v>
          </cell>
          <cell r="D4316" t="str">
            <v>2017</v>
          </cell>
          <cell r="E4316">
            <v>200</v>
          </cell>
          <cell r="F4316" t="str">
            <v>TALLER</v>
          </cell>
          <cell r="G4316" t="str">
            <v>TALLER</v>
          </cell>
          <cell r="H4316" t="str">
            <v>TALLER</v>
          </cell>
          <cell r="I4316" t="str">
            <v>TALLER</v>
          </cell>
          <cell r="J4316" t="str">
            <v>REPUESTO</v>
          </cell>
          <cell r="K4316" t="str">
            <v>TUERCA 5/16</v>
          </cell>
          <cell r="L4316">
            <v>1</v>
          </cell>
          <cell r="M4316" t="str">
            <v>UNID.</v>
          </cell>
          <cell r="N4316" t="str">
            <v>TRACTO</v>
          </cell>
          <cell r="O4316">
            <v>38</v>
          </cell>
          <cell r="P4316" t="str">
            <v>E3</v>
          </cell>
          <cell r="Q4316" t="str">
            <v>J1</v>
          </cell>
          <cell r="R4316" t="str">
            <v>J10</v>
          </cell>
          <cell r="S4316" t="str">
            <v>PENDIENTE</v>
          </cell>
          <cell r="T4316">
            <v>0</v>
          </cell>
          <cell r="U4316" t="str">
            <v>CONDORI CHURATA ALEX</v>
          </cell>
          <cell r="V4316" t="str">
            <v>FLOREZ CONDORI  JOSE WILLIANS</v>
          </cell>
        </row>
        <row r="4317">
          <cell r="A4317">
            <v>4311</v>
          </cell>
          <cell r="B4317">
            <v>42752</v>
          </cell>
          <cell r="C4317" t="str">
            <v>ENERO</v>
          </cell>
          <cell r="D4317" t="str">
            <v>2017</v>
          </cell>
          <cell r="E4317">
            <v>200</v>
          </cell>
          <cell r="F4317" t="str">
            <v>TALLER</v>
          </cell>
          <cell r="G4317" t="str">
            <v>TALLER</v>
          </cell>
          <cell r="H4317" t="str">
            <v>TALLER</v>
          </cell>
          <cell r="I4317" t="str">
            <v>TALLER</v>
          </cell>
          <cell r="J4317" t="str">
            <v>REPUESTO</v>
          </cell>
          <cell r="K4317" t="str">
            <v>ARANDELA 5/16</v>
          </cell>
          <cell r="L4317">
            <v>1</v>
          </cell>
          <cell r="M4317" t="str">
            <v>UNID.</v>
          </cell>
          <cell r="N4317" t="str">
            <v>TRACTO</v>
          </cell>
          <cell r="O4317">
            <v>38</v>
          </cell>
          <cell r="P4317" t="str">
            <v>E3</v>
          </cell>
          <cell r="Q4317" t="str">
            <v>J1</v>
          </cell>
          <cell r="R4317" t="str">
            <v>J11</v>
          </cell>
          <cell r="S4317" t="str">
            <v>PENDIENTE</v>
          </cell>
          <cell r="T4317">
            <v>0</v>
          </cell>
          <cell r="U4317" t="str">
            <v>CONDORI CHURATA ALEX</v>
          </cell>
          <cell r="V4317" t="str">
            <v>FLOREZ CONDORI  JOSE WILLIANS</v>
          </cell>
        </row>
        <row r="4318">
          <cell r="A4318">
            <v>4315</v>
          </cell>
          <cell r="B4318">
            <v>42752</v>
          </cell>
          <cell r="C4318" t="str">
            <v>ENERO</v>
          </cell>
          <cell r="D4318" t="str">
            <v>2017</v>
          </cell>
          <cell r="E4318">
            <v>200</v>
          </cell>
          <cell r="F4318" t="str">
            <v>TALLER</v>
          </cell>
          <cell r="G4318" t="str">
            <v>TALLER</v>
          </cell>
          <cell r="H4318" t="str">
            <v>TALLER</v>
          </cell>
          <cell r="I4318" t="str">
            <v>TALLER</v>
          </cell>
          <cell r="J4318" t="str">
            <v>INSUMO TALLER</v>
          </cell>
          <cell r="K4318" t="str">
            <v>SPRAY VERDE</v>
          </cell>
          <cell r="L4318">
            <v>1</v>
          </cell>
          <cell r="M4318" t="str">
            <v>UNID.</v>
          </cell>
          <cell r="N4318" t="str">
            <v>CISTERNA</v>
          </cell>
          <cell r="O4318">
            <v>38</v>
          </cell>
          <cell r="P4318" t="str">
            <v>J9</v>
          </cell>
          <cell r="Q4318" t="str">
            <v>J1</v>
          </cell>
          <cell r="R4318" t="str">
            <v>J5</v>
          </cell>
          <cell r="S4318" t="str">
            <v>PENDIENTE</v>
          </cell>
          <cell r="T4318">
            <v>0</v>
          </cell>
          <cell r="U4318" t="str">
            <v>CHANG CELIS FELIPE</v>
          </cell>
          <cell r="V4318" t="str">
            <v>FLOREZ CONDORI  JOSE WILLIANS</v>
          </cell>
        </row>
        <row r="4319">
          <cell r="A4319">
            <v>4316</v>
          </cell>
          <cell r="B4319">
            <v>42752</v>
          </cell>
          <cell r="C4319" t="str">
            <v>ENERO</v>
          </cell>
          <cell r="D4319" t="str">
            <v>2017</v>
          </cell>
          <cell r="E4319">
            <v>200</v>
          </cell>
          <cell r="F4319" t="str">
            <v>TALLER</v>
          </cell>
          <cell r="G4319" t="str">
            <v>TALLER</v>
          </cell>
          <cell r="H4319" t="str">
            <v>TALLER</v>
          </cell>
          <cell r="I4319" t="str">
            <v>TALLER</v>
          </cell>
          <cell r="J4319" t="str">
            <v>REPUESTO</v>
          </cell>
          <cell r="K4319" t="str">
            <v>PRECINTOS (SEGÚN MUESTRA)</v>
          </cell>
          <cell r="L4319">
            <v>100</v>
          </cell>
          <cell r="M4319" t="str">
            <v>UNID.</v>
          </cell>
          <cell r="N4319" t="str">
            <v>TALLER</v>
          </cell>
          <cell r="O4319">
            <v>38</v>
          </cell>
          <cell r="P4319" t="str">
            <v>J9</v>
          </cell>
          <cell r="Q4319" t="str">
            <v>J7</v>
          </cell>
          <cell r="R4319" t="str">
            <v>J5</v>
          </cell>
          <cell r="S4319" t="str">
            <v>PENDIENTE</v>
          </cell>
          <cell r="T4319">
            <v>0</v>
          </cell>
          <cell r="U4319" t="str">
            <v>CHANG CELIS FELIPE</v>
          </cell>
          <cell r="V4319" t="str">
            <v>DONAYRE INGA PEDRO</v>
          </cell>
        </row>
        <row r="4320">
          <cell r="A4320">
            <v>4317</v>
          </cell>
          <cell r="B4320">
            <v>42752</v>
          </cell>
          <cell r="C4320" t="str">
            <v>ENERO</v>
          </cell>
          <cell r="D4320" t="str">
            <v>2017</v>
          </cell>
          <cell r="E4320">
            <v>200</v>
          </cell>
          <cell r="F4320" t="str">
            <v>TALLER</v>
          </cell>
          <cell r="G4320" t="str">
            <v>TALLER</v>
          </cell>
          <cell r="H4320" t="str">
            <v>TALLER</v>
          </cell>
          <cell r="I4320" t="str">
            <v>TALLER</v>
          </cell>
          <cell r="J4320" t="str">
            <v>REPUESTO</v>
          </cell>
          <cell r="K4320" t="str">
            <v>TERMINAL OJO 3/8</v>
          </cell>
          <cell r="L4320">
            <v>2</v>
          </cell>
          <cell r="M4320" t="str">
            <v>UNID.</v>
          </cell>
          <cell r="N4320" t="str">
            <v>TALLER</v>
          </cell>
          <cell r="O4320">
            <v>38</v>
          </cell>
          <cell r="P4320" t="str">
            <v>e3</v>
          </cell>
          <cell r="Q4320" t="str">
            <v>j1</v>
          </cell>
          <cell r="R4320" t="str">
            <v>J5</v>
          </cell>
          <cell r="S4320" t="str">
            <v>PENDIENTE</v>
          </cell>
          <cell r="T4320">
            <v>0</v>
          </cell>
          <cell r="U4320" t="str">
            <v>CONDORI CHURATA ALEX</v>
          </cell>
          <cell r="V4320" t="str">
            <v>FLOREZ CONDORI  JOSE WILLIANS</v>
          </cell>
        </row>
        <row r="4321">
          <cell r="A4321">
            <v>4318</v>
          </cell>
          <cell r="B4321">
            <v>42752</v>
          </cell>
          <cell r="C4321" t="str">
            <v>ENERO</v>
          </cell>
          <cell r="D4321" t="str">
            <v>2017</v>
          </cell>
          <cell r="E4321">
            <v>200</v>
          </cell>
          <cell r="F4321" t="str">
            <v>TALLER</v>
          </cell>
          <cell r="G4321" t="str">
            <v>TALLER</v>
          </cell>
          <cell r="H4321" t="str">
            <v>TALLER</v>
          </cell>
          <cell r="I4321" t="str">
            <v>TALLER</v>
          </cell>
          <cell r="J4321" t="str">
            <v>INSUMO TALLER</v>
          </cell>
          <cell r="K4321" t="str">
            <v>CINTA AISLANTE NEGRA</v>
          </cell>
          <cell r="L4321">
            <v>1</v>
          </cell>
          <cell r="M4321" t="str">
            <v>UNID.</v>
          </cell>
          <cell r="N4321" t="str">
            <v>TALLER</v>
          </cell>
          <cell r="O4321">
            <v>38</v>
          </cell>
          <cell r="P4321" t="str">
            <v>E2</v>
          </cell>
          <cell r="Q4321" t="str">
            <v>j1</v>
          </cell>
          <cell r="R4321" t="str">
            <v>J5</v>
          </cell>
          <cell r="S4321" t="str">
            <v>PENDIENTE</v>
          </cell>
          <cell r="T4321">
            <v>0</v>
          </cell>
          <cell r="U4321" t="str">
            <v>YUCA BELLIDO BORIS YERSY</v>
          </cell>
          <cell r="V4321" t="str">
            <v>FLOREZ CONDORI  JOSE WILLIANS</v>
          </cell>
        </row>
        <row r="4322">
          <cell r="A4322">
            <v>4282</v>
          </cell>
          <cell r="B4322">
            <v>42752</v>
          </cell>
          <cell r="C4322" t="str">
            <v>ENERO</v>
          </cell>
          <cell r="D4322" t="str">
            <v>2017</v>
          </cell>
          <cell r="E4322">
            <v>852</v>
          </cell>
          <cell r="F4322" t="str">
            <v>X2W-765</v>
          </cell>
          <cell r="G4322" t="str">
            <v>C5V-993</v>
          </cell>
          <cell r="H4322" t="str">
            <v>LAS BAMBAS</v>
          </cell>
          <cell r="I4322">
            <v>161632</v>
          </cell>
          <cell r="J4322" t="str">
            <v>REPUESTO</v>
          </cell>
          <cell r="K4322" t="str">
            <v>SERVICIO DE INSTALACION DE TAPABARROS</v>
          </cell>
          <cell r="L4322">
            <v>1</v>
          </cell>
          <cell r="M4322" t="str">
            <v>UNID.</v>
          </cell>
          <cell r="N4322" t="str">
            <v>CISTERNA</v>
          </cell>
          <cell r="O4322">
            <v>38</v>
          </cell>
          <cell r="P4322" t="str">
            <v>J1</v>
          </cell>
          <cell r="Q4322" t="str">
            <v>J1</v>
          </cell>
          <cell r="R4322" t="str">
            <v>J8</v>
          </cell>
          <cell r="S4322" t="str">
            <v>PENDIENTE</v>
          </cell>
          <cell r="T4322">
            <v>0</v>
          </cell>
          <cell r="U4322" t="str">
            <v>FLOREZ CONDORI  JOSE WILLIANS</v>
          </cell>
          <cell r="V4322" t="str">
            <v>FLOREZ CONDORI  JOSE WILLIANS</v>
          </cell>
        </row>
        <row r="4323">
          <cell r="A4323">
            <v>4357</v>
          </cell>
          <cell r="B4323">
            <v>42753</v>
          </cell>
          <cell r="C4323" t="str">
            <v>ENERO</v>
          </cell>
          <cell r="D4323" t="str">
            <v>2017</v>
          </cell>
          <cell r="E4323">
            <v>790</v>
          </cell>
          <cell r="F4323" t="str">
            <v>A9H-889</v>
          </cell>
          <cell r="G4323" t="str">
            <v>CAMION</v>
          </cell>
          <cell r="H4323" t="str">
            <v>TAMBOMAYO</v>
          </cell>
          <cell r="I4323">
            <v>123746</v>
          </cell>
          <cell r="J4323" t="str">
            <v>REPUESTO</v>
          </cell>
          <cell r="K4323" t="str">
            <v>FOCO H3 24V</v>
          </cell>
          <cell r="L4323">
            <v>2</v>
          </cell>
          <cell r="M4323" t="str">
            <v>UNID.</v>
          </cell>
          <cell r="N4323" t="str">
            <v>TRACTO</v>
          </cell>
          <cell r="O4323">
            <v>37</v>
          </cell>
          <cell r="P4323" t="str">
            <v>E2</v>
          </cell>
          <cell r="Q4323" t="str">
            <v>j1</v>
          </cell>
          <cell r="R4323" t="str">
            <v>J8</v>
          </cell>
          <cell r="S4323" t="str">
            <v>PENDIENTE</v>
          </cell>
          <cell r="T4323">
            <v>0</v>
          </cell>
          <cell r="U4323" t="str">
            <v>YUCA BELLIDO BORIS YERSY</v>
          </cell>
          <cell r="V4323" t="str">
            <v>FLOREZ CONDORI  JOSE WILLIANS</v>
          </cell>
        </row>
        <row r="4324">
          <cell r="A4324">
            <v>4364</v>
          </cell>
          <cell r="B4324">
            <v>42753</v>
          </cell>
          <cell r="C4324" t="str">
            <v>ENERO</v>
          </cell>
          <cell r="D4324" t="str">
            <v>2017</v>
          </cell>
          <cell r="E4324">
            <v>790</v>
          </cell>
          <cell r="F4324" t="str">
            <v>A9H-889</v>
          </cell>
          <cell r="G4324" t="str">
            <v>CAMION</v>
          </cell>
          <cell r="H4324" t="str">
            <v>TAMBOMAYO</v>
          </cell>
          <cell r="I4324">
            <v>123746</v>
          </cell>
          <cell r="J4324" t="str">
            <v>REPUESTO</v>
          </cell>
          <cell r="K4324" t="str">
            <v>REFRIGERANTE</v>
          </cell>
          <cell r="L4324">
            <v>3</v>
          </cell>
          <cell r="M4324" t="str">
            <v>GLNS.</v>
          </cell>
          <cell r="N4324" t="str">
            <v>TRACTO</v>
          </cell>
          <cell r="O4324">
            <v>37</v>
          </cell>
          <cell r="P4324" t="str">
            <v>M1</v>
          </cell>
          <cell r="Q4324" t="str">
            <v>j1</v>
          </cell>
          <cell r="R4324" t="str">
            <v>J8</v>
          </cell>
          <cell r="S4324" t="str">
            <v>PENDIENTE</v>
          </cell>
          <cell r="T4324">
            <v>0</v>
          </cell>
          <cell r="U4324" t="str">
            <v>CABEZAS SANCHEZ JEAN JHONATAN</v>
          </cell>
          <cell r="V4324" t="str">
            <v>FLOREZ CONDORI  JOSE WILLIANS</v>
          </cell>
        </row>
        <row r="4325">
          <cell r="A4325">
            <v>4362</v>
          </cell>
          <cell r="B4325">
            <v>42753</v>
          </cell>
          <cell r="C4325" t="str">
            <v>ENERO</v>
          </cell>
          <cell r="D4325" t="str">
            <v>2017</v>
          </cell>
          <cell r="E4325">
            <v>853</v>
          </cell>
          <cell r="F4325" t="str">
            <v>ABR-741</v>
          </cell>
          <cell r="G4325" t="str">
            <v>T3N-974</v>
          </cell>
          <cell r="H4325" t="str">
            <v>LAS BAMBAS</v>
          </cell>
          <cell r="I4325">
            <v>115163</v>
          </cell>
          <cell r="J4325" t="str">
            <v>REPUESTO</v>
          </cell>
          <cell r="K4325" t="str">
            <v>PERNOS DE MULTIPLE DE  ESCAPE</v>
          </cell>
          <cell r="L4325">
            <v>2</v>
          </cell>
          <cell r="M4325" t="str">
            <v>UNID.</v>
          </cell>
          <cell r="N4325" t="str">
            <v>TRACTO</v>
          </cell>
          <cell r="O4325">
            <v>37</v>
          </cell>
          <cell r="P4325" t="str">
            <v>M2</v>
          </cell>
          <cell r="Q4325" t="str">
            <v>j1</v>
          </cell>
          <cell r="R4325" t="str">
            <v>J8</v>
          </cell>
          <cell r="S4325" t="str">
            <v>PENDIENTE</v>
          </cell>
          <cell r="T4325">
            <v>0</v>
          </cell>
          <cell r="U4325" t="str">
            <v>CHUMPITAZ GAGO JULIO ENRIQUE</v>
          </cell>
          <cell r="V4325" t="str">
            <v>FLOREZ CONDORI  JOSE WILLIANS</v>
          </cell>
        </row>
        <row r="4326">
          <cell r="A4326">
            <v>4363</v>
          </cell>
          <cell r="B4326">
            <v>42753</v>
          </cell>
          <cell r="C4326" t="str">
            <v>ENERO</v>
          </cell>
          <cell r="D4326" t="str">
            <v>2017</v>
          </cell>
          <cell r="E4326">
            <v>853</v>
          </cell>
          <cell r="F4326" t="str">
            <v>ABR-741</v>
          </cell>
          <cell r="G4326" t="str">
            <v>T3N-974</v>
          </cell>
          <cell r="H4326" t="str">
            <v>LAS BAMBAS</v>
          </cell>
          <cell r="I4326">
            <v>115163</v>
          </cell>
          <cell r="J4326" t="str">
            <v>REPUESTO</v>
          </cell>
          <cell r="K4326" t="str">
            <v>ABRAZADERA DE MANGUERA DE INTERCOOLER</v>
          </cell>
          <cell r="L4326">
            <v>1</v>
          </cell>
          <cell r="M4326" t="str">
            <v>UNID.</v>
          </cell>
          <cell r="N4326" t="str">
            <v>TRACTO</v>
          </cell>
          <cell r="O4326">
            <v>37</v>
          </cell>
          <cell r="P4326" t="str">
            <v>M2</v>
          </cell>
          <cell r="Q4326" t="str">
            <v>j1</v>
          </cell>
          <cell r="R4326" t="str">
            <v>J8</v>
          </cell>
          <cell r="S4326" t="str">
            <v>PENDIENTE</v>
          </cell>
          <cell r="T4326">
            <v>0</v>
          </cell>
          <cell r="U4326" t="str">
            <v>CHUMPITAZ GAGO JULIO ENRIQUE</v>
          </cell>
          <cell r="V4326" t="str">
            <v>FLOREZ CONDORI  JOSE WILLIANS</v>
          </cell>
        </row>
        <row r="4327">
          <cell r="A4327">
            <v>4329</v>
          </cell>
          <cell r="B4327">
            <v>42753</v>
          </cell>
          <cell r="C4327" t="str">
            <v>ENERO</v>
          </cell>
          <cell r="D4327" t="str">
            <v>2017</v>
          </cell>
          <cell r="E4327">
            <v>859</v>
          </cell>
          <cell r="F4327" t="str">
            <v>AEH-888</v>
          </cell>
          <cell r="G4327" t="str">
            <v>CAMIONETA</v>
          </cell>
          <cell r="H4327" t="str">
            <v>LAS BAMBAS</v>
          </cell>
          <cell r="I4327">
            <v>98983</v>
          </cell>
          <cell r="J4327" t="str">
            <v>REPUESTO</v>
          </cell>
          <cell r="K4327" t="str">
            <v>MICA PERTIGA</v>
          </cell>
          <cell r="L4327">
            <v>1</v>
          </cell>
          <cell r="M4327" t="str">
            <v>UNID.</v>
          </cell>
          <cell r="N4327" t="str">
            <v>CAMIONETA</v>
          </cell>
          <cell r="O4327">
            <v>37</v>
          </cell>
          <cell r="P4327" t="str">
            <v>J1</v>
          </cell>
          <cell r="Q4327" t="str">
            <v>j1</v>
          </cell>
          <cell r="R4327" t="str">
            <v>J8</v>
          </cell>
          <cell r="S4327" t="str">
            <v>ENTREGADO</v>
          </cell>
          <cell r="T4327">
            <v>0</v>
          </cell>
          <cell r="U4327" t="str">
            <v>FLOREZ CONDORI  JOSE WILLIANS</v>
          </cell>
          <cell r="V4327" t="str">
            <v>FLOREZ CONDORI  JOSE WILLIANS</v>
          </cell>
        </row>
        <row r="4328">
          <cell r="A4328">
            <v>4341</v>
          </cell>
          <cell r="B4328">
            <v>42753</v>
          </cell>
          <cell r="C4328" t="str">
            <v>ENERO</v>
          </cell>
          <cell r="D4328" t="str">
            <v>2017</v>
          </cell>
          <cell r="E4328">
            <v>859</v>
          </cell>
          <cell r="F4328" t="str">
            <v>AEH-888</v>
          </cell>
          <cell r="G4328" t="str">
            <v>CAMIONETA</v>
          </cell>
          <cell r="H4328" t="str">
            <v>LAS BAMBAS</v>
          </cell>
          <cell r="I4328">
            <v>98983</v>
          </cell>
          <cell r="J4328" t="str">
            <v>REPUESTO</v>
          </cell>
          <cell r="K4328" t="str">
            <v>BATERIA 15 PLACAS</v>
          </cell>
          <cell r="L4328">
            <v>1</v>
          </cell>
          <cell r="M4328" t="str">
            <v>UNID.</v>
          </cell>
          <cell r="N4328" t="str">
            <v>CAMIONETA</v>
          </cell>
          <cell r="O4328">
            <v>37</v>
          </cell>
          <cell r="P4328" t="str">
            <v>E2</v>
          </cell>
          <cell r="Q4328" t="str">
            <v>j1</v>
          </cell>
          <cell r="R4328" t="str">
            <v>J8</v>
          </cell>
          <cell r="S4328" t="str">
            <v>PENDIENTE</v>
          </cell>
          <cell r="T4328">
            <v>0</v>
          </cell>
          <cell r="U4328" t="str">
            <v>YUCA BELLIDO BORIS YERSY</v>
          </cell>
          <cell r="V4328" t="str">
            <v>FLOREZ CONDORI  JOSE WILLIANS</v>
          </cell>
        </row>
        <row r="4329">
          <cell r="A4329">
            <v>4336</v>
          </cell>
          <cell r="B4329">
            <v>42753</v>
          </cell>
          <cell r="C4329" t="str">
            <v>ENERO</v>
          </cell>
          <cell r="D4329" t="str">
            <v>2017</v>
          </cell>
          <cell r="E4329">
            <v>828</v>
          </cell>
          <cell r="F4329" t="str">
            <v>C9M-902</v>
          </cell>
          <cell r="G4329" t="str">
            <v>B8L-970</v>
          </cell>
          <cell r="H4329" t="str">
            <v>LAS BAMBAS</v>
          </cell>
          <cell r="I4329">
            <v>213823</v>
          </cell>
          <cell r="J4329" t="str">
            <v>REPUESTO</v>
          </cell>
          <cell r="K4329" t="str">
            <v>LLANTA REENCAUCHADA IZB</v>
          </cell>
          <cell r="L4329">
            <v>1</v>
          </cell>
          <cell r="M4329" t="str">
            <v>UNID.</v>
          </cell>
          <cell r="N4329" t="str">
            <v>CISTERNA</v>
          </cell>
          <cell r="O4329">
            <v>37</v>
          </cell>
          <cell r="P4329" t="str">
            <v>N2</v>
          </cell>
          <cell r="Q4329" t="str">
            <v>j1</v>
          </cell>
          <cell r="R4329" t="str">
            <v>J8</v>
          </cell>
          <cell r="S4329" t="str">
            <v>ENTREGADO</v>
          </cell>
          <cell r="T4329">
            <v>0</v>
          </cell>
          <cell r="U4329" t="str">
            <v>MAMANI LARICO  EDUARDO ALVARO</v>
          </cell>
          <cell r="V4329" t="str">
            <v>FLOREZ CONDORI  JOSE WILLIANS</v>
          </cell>
        </row>
        <row r="4330">
          <cell r="A4330">
            <v>4337</v>
          </cell>
          <cell r="B4330">
            <v>42753</v>
          </cell>
          <cell r="C4330" t="str">
            <v>ENERO</v>
          </cell>
          <cell r="D4330" t="str">
            <v>2017</v>
          </cell>
          <cell r="E4330">
            <v>847</v>
          </cell>
          <cell r="F4330" t="str">
            <v>D3O-742</v>
          </cell>
          <cell r="G4330" t="str">
            <v>B8L-971</v>
          </cell>
          <cell r="H4330" t="str">
            <v>LAS BAMBAS</v>
          </cell>
          <cell r="I4330">
            <v>190798</v>
          </cell>
          <cell r="J4330" t="str">
            <v>REPUESTO</v>
          </cell>
          <cell r="K4330" t="str">
            <v>LLANTA REENCAUCHADA IZB</v>
          </cell>
          <cell r="L4330">
            <v>2</v>
          </cell>
          <cell r="M4330" t="str">
            <v>UNID.</v>
          </cell>
          <cell r="N4330" t="str">
            <v>CISTERNA</v>
          </cell>
          <cell r="O4330">
            <v>37</v>
          </cell>
          <cell r="P4330" t="str">
            <v>N2</v>
          </cell>
          <cell r="Q4330" t="str">
            <v>j1</v>
          </cell>
          <cell r="R4330" t="str">
            <v>J8</v>
          </cell>
          <cell r="S4330" t="str">
            <v>ENTREGADO</v>
          </cell>
          <cell r="T4330">
            <v>0</v>
          </cell>
          <cell r="U4330" t="str">
            <v>MAMANI LARICO  EDUARDO ALVARO</v>
          </cell>
          <cell r="V4330" t="str">
            <v>FLOREZ CONDORI  JOSE WILLIANS</v>
          </cell>
        </row>
        <row r="4331">
          <cell r="A4331">
            <v>4339</v>
          </cell>
          <cell r="B4331">
            <v>42753</v>
          </cell>
          <cell r="C4331" t="str">
            <v>ENERO</v>
          </cell>
          <cell r="D4331" t="str">
            <v>2017</v>
          </cell>
          <cell r="E4331">
            <v>826</v>
          </cell>
          <cell r="F4331" t="str">
            <v>D3O-745</v>
          </cell>
          <cell r="G4331" t="str">
            <v>F3L-979</v>
          </cell>
          <cell r="H4331" t="str">
            <v>LAS BAMBAS</v>
          </cell>
          <cell r="I4331">
            <v>164460</v>
          </cell>
          <cell r="J4331" t="str">
            <v>REPUESTO</v>
          </cell>
          <cell r="K4331" t="str">
            <v>FUSIBLE AEREO</v>
          </cell>
          <cell r="L4331">
            <v>1</v>
          </cell>
          <cell r="M4331" t="str">
            <v>UNID.</v>
          </cell>
          <cell r="N4331" t="str">
            <v>TRACTO</v>
          </cell>
          <cell r="O4331">
            <v>37</v>
          </cell>
          <cell r="P4331" t="str">
            <v>E2</v>
          </cell>
          <cell r="Q4331" t="str">
            <v>j1</v>
          </cell>
          <cell r="R4331" t="str">
            <v>J8</v>
          </cell>
          <cell r="S4331" t="str">
            <v>PENDIENTE</v>
          </cell>
          <cell r="T4331">
            <v>0</v>
          </cell>
          <cell r="U4331" t="str">
            <v>YUCA BELLIDO BORIS YERSY</v>
          </cell>
          <cell r="V4331" t="str">
            <v>FLOREZ CONDORI  JOSE WILLIANS</v>
          </cell>
        </row>
        <row r="4332">
          <cell r="A4332">
            <v>4354</v>
          </cell>
          <cell r="B4332">
            <v>42753</v>
          </cell>
          <cell r="C4332" t="str">
            <v>ENERO</v>
          </cell>
          <cell r="D4332" t="str">
            <v>2017</v>
          </cell>
          <cell r="E4332">
            <v>826</v>
          </cell>
          <cell r="F4332" t="str">
            <v>D3O-745</v>
          </cell>
          <cell r="G4332" t="str">
            <v>F3L-979</v>
          </cell>
          <cell r="H4332" t="str">
            <v>LAS BAMBAS</v>
          </cell>
          <cell r="I4332">
            <v>164460</v>
          </cell>
          <cell r="J4332" t="str">
            <v>REPUESTO</v>
          </cell>
          <cell r="K4332" t="str">
            <v>NEBLINEROS TRIPLE A</v>
          </cell>
          <cell r="L4332">
            <v>2</v>
          </cell>
          <cell r="M4332" t="str">
            <v>UNID.</v>
          </cell>
          <cell r="N4332" t="str">
            <v>TRACTO</v>
          </cell>
          <cell r="O4332">
            <v>37</v>
          </cell>
          <cell r="P4332" t="str">
            <v>E2</v>
          </cell>
          <cell r="Q4332" t="str">
            <v>j1</v>
          </cell>
          <cell r="R4332" t="str">
            <v>J8</v>
          </cell>
          <cell r="S4332" t="str">
            <v>ENTREGADO</v>
          </cell>
          <cell r="T4332">
            <v>0</v>
          </cell>
          <cell r="U4332" t="str">
            <v>YUCA BELLIDO BORIS YERSY</v>
          </cell>
          <cell r="V4332" t="str">
            <v>FLOREZ CONDORI  JOSE WILLIANS</v>
          </cell>
        </row>
        <row r="4333">
          <cell r="A4333">
            <v>4359</v>
          </cell>
          <cell r="B4333">
            <v>42753</v>
          </cell>
          <cell r="C4333" t="str">
            <v>ENERO</v>
          </cell>
          <cell r="D4333" t="str">
            <v>2017</v>
          </cell>
          <cell r="E4333">
            <v>826</v>
          </cell>
          <cell r="F4333" t="str">
            <v>D3O-745</v>
          </cell>
          <cell r="G4333" t="str">
            <v>F3L-979</v>
          </cell>
          <cell r="H4333" t="str">
            <v>LAS BAMBAS</v>
          </cell>
          <cell r="I4333">
            <v>164460</v>
          </cell>
          <cell r="J4333" t="str">
            <v>REPUESTO</v>
          </cell>
          <cell r="K4333" t="str">
            <v>DISCO DE CORTE 7</v>
          </cell>
          <cell r="L4333">
            <v>1</v>
          </cell>
          <cell r="M4333" t="str">
            <v>UNID.</v>
          </cell>
          <cell r="N4333" t="str">
            <v>CISTERNA</v>
          </cell>
          <cell r="O4333">
            <v>37</v>
          </cell>
          <cell r="P4333" t="str">
            <v>S1</v>
          </cell>
          <cell r="Q4333" t="str">
            <v>j1</v>
          </cell>
          <cell r="R4333" t="str">
            <v>J8</v>
          </cell>
          <cell r="S4333" t="str">
            <v>PENDIENTE</v>
          </cell>
          <cell r="T4333">
            <v>0</v>
          </cell>
          <cell r="U4333" t="str">
            <v>BAYONA CRUZ CRISTIAN ARMANDO</v>
          </cell>
          <cell r="V4333" t="str">
            <v>FLOREZ CONDORI  JOSE WILLIANS</v>
          </cell>
        </row>
        <row r="4334">
          <cell r="A4334">
            <v>4360</v>
          </cell>
          <cell r="B4334">
            <v>42753</v>
          </cell>
          <cell r="C4334" t="str">
            <v>ENERO</v>
          </cell>
          <cell r="D4334" t="str">
            <v>2017</v>
          </cell>
          <cell r="E4334">
            <v>826</v>
          </cell>
          <cell r="F4334" t="str">
            <v>D3O-745</v>
          </cell>
          <cell r="G4334" t="str">
            <v>F3L-979</v>
          </cell>
          <cell r="H4334" t="str">
            <v>LAS BAMBAS</v>
          </cell>
          <cell r="I4334">
            <v>164460</v>
          </cell>
          <cell r="J4334" t="str">
            <v>REPUESTO</v>
          </cell>
          <cell r="K4334" t="str">
            <v>AFLOJATODO</v>
          </cell>
          <cell r="L4334">
            <v>1</v>
          </cell>
          <cell r="M4334" t="str">
            <v>UNID.</v>
          </cell>
          <cell r="N4334" t="str">
            <v>CISTERNA</v>
          </cell>
          <cell r="O4334">
            <v>37</v>
          </cell>
          <cell r="P4334" t="str">
            <v>S1</v>
          </cell>
          <cell r="Q4334" t="str">
            <v>j1</v>
          </cell>
          <cell r="R4334" t="str">
            <v>J8</v>
          </cell>
          <cell r="S4334" t="str">
            <v>PENDIENTE</v>
          </cell>
          <cell r="T4334">
            <v>0</v>
          </cell>
          <cell r="U4334" t="str">
            <v>BAYONA CRUZ CRISTIAN ARMANDO</v>
          </cell>
          <cell r="V4334" t="str">
            <v>FLOREZ CONDORI  JOSE WILLIANS</v>
          </cell>
        </row>
        <row r="4335">
          <cell r="A4335">
            <v>4326</v>
          </cell>
          <cell r="B4335">
            <v>42753</v>
          </cell>
          <cell r="C4335" t="str">
            <v>ENERO</v>
          </cell>
          <cell r="D4335" t="str">
            <v>2017</v>
          </cell>
          <cell r="E4335">
            <v>820</v>
          </cell>
          <cell r="F4335" t="str">
            <v>D3P-730</v>
          </cell>
          <cell r="G4335" t="str">
            <v>TBM-980</v>
          </cell>
          <cell r="H4335" t="str">
            <v>LAS BAMBAS</v>
          </cell>
          <cell r="I4335">
            <v>109224</v>
          </cell>
          <cell r="J4335" t="str">
            <v>REPUESTO</v>
          </cell>
          <cell r="K4335" t="str">
            <v>NIPLE DE 1/2 A 3/8</v>
          </cell>
          <cell r="L4335">
            <v>1</v>
          </cell>
          <cell r="M4335" t="str">
            <v>UNID.</v>
          </cell>
          <cell r="N4335" t="str">
            <v>CISTERNA</v>
          </cell>
          <cell r="O4335">
            <v>37</v>
          </cell>
          <cell r="P4335" t="str">
            <v>J1</v>
          </cell>
          <cell r="Q4335" t="str">
            <v>j1</v>
          </cell>
          <cell r="R4335" t="str">
            <v>J8</v>
          </cell>
          <cell r="S4335" t="str">
            <v>ENTREGADO</v>
          </cell>
          <cell r="T4335">
            <v>0</v>
          </cell>
          <cell r="U4335" t="str">
            <v>FLOREZ CONDORI  JOSE WILLIANS</v>
          </cell>
          <cell r="V4335" t="str">
            <v>FLOREZ CONDORI  JOSE WILLIANS</v>
          </cell>
        </row>
        <row r="4336">
          <cell r="A4336">
            <v>4327</v>
          </cell>
          <cell r="B4336">
            <v>42753</v>
          </cell>
          <cell r="C4336" t="str">
            <v>ENERO</v>
          </cell>
          <cell r="D4336" t="str">
            <v>2017</v>
          </cell>
          <cell r="E4336">
            <v>820</v>
          </cell>
          <cell r="F4336" t="str">
            <v>D3P-730</v>
          </cell>
          <cell r="G4336" t="str">
            <v>TBM-980</v>
          </cell>
          <cell r="H4336" t="str">
            <v>LAS BAMBAS</v>
          </cell>
          <cell r="I4336">
            <v>109224</v>
          </cell>
          <cell r="J4336" t="str">
            <v>REPUESTO</v>
          </cell>
          <cell r="K4336" t="str">
            <v>NIPLE 5/8 A 3/8</v>
          </cell>
          <cell r="L4336">
            <v>1</v>
          </cell>
          <cell r="M4336" t="str">
            <v>UNID.</v>
          </cell>
          <cell r="N4336" t="str">
            <v>CISTERNA</v>
          </cell>
          <cell r="O4336">
            <v>37</v>
          </cell>
          <cell r="P4336" t="str">
            <v>J1</v>
          </cell>
          <cell r="Q4336" t="str">
            <v>j1</v>
          </cell>
          <cell r="R4336" t="str">
            <v>J8</v>
          </cell>
          <cell r="S4336" t="str">
            <v>ENTREGADO</v>
          </cell>
          <cell r="T4336">
            <v>0</v>
          </cell>
          <cell r="U4336" t="str">
            <v>FLOREZ CONDORI  JOSE WILLIANS</v>
          </cell>
          <cell r="V4336" t="str">
            <v>FLOREZ CONDORI  JOSE WILLIANS</v>
          </cell>
        </row>
        <row r="4337">
          <cell r="A4337">
            <v>4328</v>
          </cell>
          <cell r="B4337">
            <v>42753</v>
          </cell>
          <cell r="C4337" t="str">
            <v>ENERO</v>
          </cell>
          <cell r="D4337" t="str">
            <v>2017</v>
          </cell>
          <cell r="E4337">
            <v>820</v>
          </cell>
          <cell r="F4337" t="str">
            <v>D3P-730</v>
          </cell>
          <cell r="G4337" t="str">
            <v>TBM-980</v>
          </cell>
          <cell r="H4337" t="str">
            <v>LAS BAMBAS</v>
          </cell>
          <cell r="I4337">
            <v>109224</v>
          </cell>
          <cell r="J4337" t="str">
            <v>REPUESTO</v>
          </cell>
          <cell r="K4337" t="str">
            <v>TAPON DE 1/2</v>
          </cell>
          <cell r="L4337">
            <v>1</v>
          </cell>
          <cell r="M4337" t="str">
            <v>UNID.</v>
          </cell>
          <cell r="N4337" t="str">
            <v>CISTERNA</v>
          </cell>
          <cell r="O4337">
            <v>37</v>
          </cell>
          <cell r="P4337" t="str">
            <v>J1</v>
          </cell>
          <cell r="Q4337" t="str">
            <v>j1</v>
          </cell>
          <cell r="R4337" t="str">
            <v>J8</v>
          </cell>
          <cell r="S4337" t="str">
            <v>ENTREGADO</v>
          </cell>
          <cell r="T4337">
            <v>0</v>
          </cell>
          <cell r="U4337" t="str">
            <v>FLOREZ CONDORI  JOSE WILLIANS</v>
          </cell>
          <cell r="V4337" t="str">
            <v>FLOREZ CONDORI  JOSE WILLIANS</v>
          </cell>
        </row>
        <row r="4338">
          <cell r="A4338">
            <v>4322</v>
          </cell>
          <cell r="B4338">
            <v>42753</v>
          </cell>
          <cell r="C4338" t="str">
            <v>ENERO</v>
          </cell>
          <cell r="D4338" t="str">
            <v>2017</v>
          </cell>
          <cell r="E4338">
            <v>808</v>
          </cell>
          <cell r="F4338" t="str">
            <v>D3P-743</v>
          </cell>
          <cell r="G4338" t="str">
            <v>B8L-972</v>
          </cell>
          <cell r="H4338" t="str">
            <v>LAS BAMBAS</v>
          </cell>
          <cell r="I4338">
            <v>188419</v>
          </cell>
          <cell r="J4338" t="str">
            <v>REPUESTO</v>
          </cell>
          <cell r="K4338" t="str">
            <v>MINI FUSIBLE 10 A 12V</v>
          </cell>
          <cell r="L4338">
            <v>1</v>
          </cell>
          <cell r="M4338" t="str">
            <v>UNID.</v>
          </cell>
          <cell r="N4338" t="str">
            <v>TRACTO</v>
          </cell>
          <cell r="O4338">
            <v>37</v>
          </cell>
          <cell r="P4338" t="str">
            <v>E3</v>
          </cell>
          <cell r="Q4338" t="str">
            <v>j1</v>
          </cell>
          <cell r="R4338" t="str">
            <v>J8</v>
          </cell>
          <cell r="S4338" t="str">
            <v>PENDIENTE</v>
          </cell>
          <cell r="T4338">
            <v>0</v>
          </cell>
          <cell r="U4338" t="str">
            <v>CONDORI CHURATA ALEX</v>
          </cell>
          <cell r="V4338" t="str">
            <v>FLOREZ CONDORI  JOSE WILLIANS</v>
          </cell>
        </row>
        <row r="4339">
          <cell r="A4339">
            <v>4323</v>
          </cell>
          <cell r="B4339">
            <v>42753</v>
          </cell>
          <cell r="C4339" t="str">
            <v>ENERO</v>
          </cell>
          <cell r="D4339" t="str">
            <v>2017</v>
          </cell>
          <cell r="E4339">
            <v>808</v>
          </cell>
          <cell r="F4339" t="str">
            <v>D3P-743</v>
          </cell>
          <cell r="G4339" t="str">
            <v>B8L-972</v>
          </cell>
          <cell r="H4339" t="str">
            <v>LAS BAMBAS</v>
          </cell>
          <cell r="I4339">
            <v>188419</v>
          </cell>
          <cell r="J4339" t="str">
            <v>REPUESTO</v>
          </cell>
          <cell r="K4339" t="str">
            <v>CABLE CORRIENTE # 14</v>
          </cell>
          <cell r="L4339">
            <v>1</v>
          </cell>
          <cell r="M4339" t="str">
            <v>UNID.</v>
          </cell>
          <cell r="N4339" t="str">
            <v>TRACTO</v>
          </cell>
          <cell r="O4339">
            <v>37</v>
          </cell>
          <cell r="P4339" t="str">
            <v>E3</v>
          </cell>
          <cell r="Q4339" t="str">
            <v>j1</v>
          </cell>
          <cell r="R4339" t="str">
            <v>J8</v>
          </cell>
          <cell r="S4339" t="str">
            <v>PENDIENTE</v>
          </cell>
          <cell r="T4339">
            <v>0</v>
          </cell>
          <cell r="U4339" t="str">
            <v>CONDORI CHURATA ALEX</v>
          </cell>
          <cell r="V4339" t="str">
            <v>FLOREZ CONDORI  JOSE WILLIANS</v>
          </cell>
        </row>
        <row r="4340">
          <cell r="A4340">
            <v>4331</v>
          </cell>
          <cell r="B4340">
            <v>42753</v>
          </cell>
          <cell r="C4340" t="str">
            <v>ENERO</v>
          </cell>
          <cell r="D4340" t="str">
            <v>2017</v>
          </cell>
          <cell r="E4340">
            <v>808</v>
          </cell>
          <cell r="F4340" t="str">
            <v>D3P-743</v>
          </cell>
          <cell r="G4340" t="str">
            <v>B8L-972</v>
          </cell>
          <cell r="H4340" t="str">
            <v>LAS BAMBAS</v>
          </cell>
          <cell r="I4340">
            <v>188419</v>
          </cell>
          <cell r="J4340" t="str">
            <v>REPUESTO</v>
          </cell>
          <cell r="K4340" t="str">
            <v>MANGUERA SINFLEX 3/8</v>
          </cell>
          <cell r="L4340">
            <v>6</v>
          </cell>
          <cell r="M4340" t="str">
            <v>M</v>
          </cell>
          <cell r="N4340" t="str">
            <v>TRACTO</v>
          </cell>
          <cell r="O4340">
            <v>37</v>
          </cell>
          <cell r="P4340" t="str">
            <v>M4</v>
          </cell>
          <cell r="Q4340" t="str">
            <v>j1</v>
          </cell>
          <cell r="R4340" t="str">
            <v>J8</v>
          </cell>
          <cell r="S4340" t="str">
            <v>ENTREGADO</v>
          </cell>
          <cell r="T4340">
            <v>0</v>
          </cell>
          <cell r="U4340" t="str">
            <v>JULLIRI APAZA UBALDO</v>
          </cell>
          <cell r="V4340" t="str">
            <v>FLOREZ CONDORI  JOSE WILLIANS</v>
          </cell>
        </row>
        <row r="4341">
          <cell r="A4341">
            <v>4332</v>
          </cell>
          <cell r="B4341">
            <v>42753</v>
          </cell>
          <cell r="C4341" t="str">
            <v>ENERO</v>
          </cell>
          <cell r="D4341" t="str">
            <v>2017</v>
          </cell>
          <cell r="E4341">
            <v>808</v>
          </cell>
          <cell r="F4341" t="str">
            <v>D3P-743</v>
          </cell>
          <cell r="G4341" t="str">
            <v>B8L-972</v>
          </cell>
          <cell r="H4341" t="str">
            <v>LAS BAMBAS</v>
          </cell>
          <cell r="I4341">
            <v>188419</v>
          </cell>
          <cell r="J4341" t="str">
            <v>REPUESTO</v>
          </cell>
          <cell r="K4341" t="str">
            <v>UNION 3/8</v>
          </cell>
          <cell r="L4341">
            <v>2</v>
          </cell>
          <cell r="M4341" t="str">
            <v>UNID.</v>
          </cell>
          <cell r="N4341" t="str">
            <v>TRACTO</v>
          </cell>
          <cell r="O4341">
            <v>37</v>
          </cell>
          <cell r="P4341" t="str">
            <v>M4</v>
          </cell>
          <cell r="Q4341" t="str">
            <v>j1</v>
          </cell>
          <cell r="R4341" t="str">
            <v>J8</v>
          </cell>
          <cell r="S4341" t="str">
            <v>ENTREGADO</v>
          </cell>
          <cell r="T4341">
            <v>0</v>
          </cell>
          <cell r="U4341" t="str">
            <v>JULLIRI APAZA UBALDO</v>
          </cell>
          <cell r="V4341" t="str">
            <v>FLOREZ CONDORI  JOSE WILLIANS</v>
          </cell>
        </row>
        <row r="4342">
          <cell r="A4342">
            <v>4333</v>
          </cell>
          <cell r="B4342">
            <v>42753</v>
          </cell>
          <cell r="C4342" t="str">
            <v>ENERO</v>
          </cell>
          <cell r="D4342" t="str">
            <v>2017</v>
          </cell>
          <cell r="E4342">
            <v>808</v>
          </cell>
          <cell r="F4342" t="str">
            <v>D3P-743</v>
          </cell>
          <cell r="G4342" t="str">
            <v>B8L-972</v>
          </cell>
          <cell r="H4342" t="str">
            <v>LAS BAMBAS</v>
          </cell>
          <cell r="I4342">
            <v>188419</v>
          </cell>
          <cell r="J4342" t="str">
            <v>REPUESTO</v>
          </cell>
          <cell r="K4342" t="str">
            <v>AFLOJATODO</v>
          </cell>
          <cell r="L4342">
            <v>1</v>
          </cell>
          <cell r="M4342" t="str">
            <v>UNID.</v>
          </cell>
          <cell r="N4342" t="str">
            <v>TRACTO</v>
          </cell>
          <cell r="O4342">
            <v>37</v>
          </cell>
          <cell r="P4342" t="str">
            <v>M4</v>
          </cell>
          <cell r="Q4342" t="str">
            <v>j1</v>
          </cell>
          <cell r="R4342" t="str">
            <v>J8</v>
          </cell>
          <cell r="S4342" t="str">
            <v>ENTREGADO</v>
          </cell>
          <cell r="T4342">
            <v>0</v>
          </cell>
          <cell r="U4342" t="str">
            <v>JULLIRI APAZA UBALDO</v>
          </cell>
          <cell r="V4342" t="str">
            <v>FLOREZ CONDORI  JOSE WILLIANS</v>
          </cell>
        </row>
        <row r="4343">
          <cell r="A4343">
            <v>4342</v>
          </cell>
          <cell r="B4343">
            <v>42753</v>
          </cell>
          <cell r="C4343" t="str">
            <v>ENERO</v>
          </cell>
          <cell r="D4343" t="str">
            <v>2017</v>
          </cell>
          <cell r="E4343">
            <v>808</v>
          </cell>
          <cell r="F4343" t="str">
            <v>D3P-743</v>
          </cell>
          <cell r="G4343" t="str">
            <v>B8L-972</v>
          </cell>
          <cell r="H4343" t="str">
            <v>LAS BAMBAS</v>
          </cell>
          <cell r="I4343">
            <v>188419</v>
          </cell>
          <cell r="J4343" t="str">
            <v>REPUESTO</v>
          </cell>
          <cell r="K4343" t="str">
            <v>SEGURO DE DISCO TORNAMESA</v>
          </cell>
          <cell r="L4343">
            <v>1</v>
          </cell>
          <cell r="M4343" t="str">
            <v>UNID.</v>
          </cell>
          <cell r="N4343" t="str">
            <v>CISTERNA</v>
          </cell>
          <cell r="O4343">
            <v>37</v>
          </cell>
          <cell r="P4343" t="str">
            <v>M4</v>
          </cell>
          <cell r="Q4343" t="str">
            <v>j1</v>
          </cell>
          <cell r="R4343" t="str">
            <v>J8</v>
          </cell>
          <cell r="S4343" t="str">
            <v>ENTREGADO</v>
          </cell>
          <cell r="T4343">
            <v>0</v>
          </cell>
          <cell r="U4343" t="str">
            <v>JULLIRI APAZA UBALDO</v>
          </cell>
          <cell r="V4343" t="str">
            <v>FLOREZ CONDORI  JOSE WILLIANS</v>
          </cell>
        </row>
        <row r="4344">
          <cell r="A4344">
            <v>4343</v>
          </cell>
          <cell r="B4344">
            <v>42753</v>
          </cell>
          <cell r="C4344" t="str">
            <v>ENERO</v>
          </cell>
          <cell r="D4344" t="str">
            <v>2017</v>
          </cell>
          <cell r="E4344">
            <v>808</v>
          </cell>
          <cell r="F4344" t="str">
            <v>D3P-743</v>
          </cell>
          <cell r="G4344" t="str">
            <v>B8L-972</v>
          </cell>
          <cell r="H4344" t="str">
            <v>LAS BAMBAS</v>
          </cell>
          <cell r="I4344">
            <v>188419</v>
          </cell>
          <cell r="J4344" t="str">
            <v>REPUESTO</v>
          </cell>
          <cell r="K4344" t="str">
            <v>DISCO DE TORNAMESA</v>
          </cell>
          <cell r="L4344">
            <v>1</v>
          </cell>
          <cell r="M4344" t="str">
            <v>UNID.</v>
          </cell>
          <cell r="N4344" t="str">
            <v>CISTERNA</v>
          </cell>
          <cell r="O4344">
            <v>37</v>
          </cell>
          <cell r="P4344" t="str">
            <v>M4</v>
          </cell>
          <cell r="Q4344" t="str">
            <v>j1</v>
          </cell>
          <cell r="R4344" t="str">
            <v>J8</v>
          </cell>
          <cell r="S4344" t="str">
            <v>ENTREGADO</v>
          </cell>
          <cell r="T4344">
            <v>0</v>
          </cell>
          <cell r="U4344" t="str">
            <v>JULLIRI APAZA UBALDO</v>
          </cell>
          <cell r="V4344" t="str">
            <v>FLOREZ CONDORI  JOSE WILLIANS</v>
          </cell>
        </row>
        <row r="4345">
          <cell r="A4345">
            <v>4344</v>
          </cell>
          <cell r="B4345">
            <v>42753</v>
          </cell>
          <cell r="C4345" t="str">
            <v>ENERO</v>
          </cell>
          <cell r="D4345" t="str">
            <v>2017</v>
          </cell>
          <cell r="E4345">
            <v>808</v>
          </cell>
          <cell r="F4345" t="str">
            <v>D3P-743</v>
          </cell>
          <cell r="G4345" t="str">
            <v>B8L-972</v>
          </cell>
          <cell r="H4345" t="str">
            <v>LAS BAMBAS</v>
          </cell>
          <cell r="I4345">
            <v>188419</v>
          </cell>
          <cell r="J4345" t="str">
            <v>REPUESTO</v>
          </cell>
          <cell r="K4345" t="str">
            <v>TEFLON</v>
          </cell>
          <cell r="L4345">
            <v>1</v>
          </cell>
          <cell r="M4345" t="str">
            <v>UNID.</v>
          </cell>
          <cell r="N4345" t="str">
            <v>CISTERNA</v>
          </cell>
          <cell r="O4345">
            <v>37</v>
          </cell>
          <cell r="P4345" t="str">
            <v>M4</v>
          </cell>
          <cell r="Q4345" t="str">
            <v>j1</v>
          </cell>
          <cell r="R4345" t="str">
            <v>J8</v>
          </cell>
          <cell r="S4345" t="str">
            <v>ENTREGADO</v>
          </cell>
          <cell r="T4345">
            <v>0</v>
          </cell>
          <cell r="U4345" t="str">
            <v>JULLIRI APAZA UBALDO</v>
          </cell>
          <cell r="V4345" t="str">
            <v>FLOREZ CONDORI  JOSE WILLIANS</v>
          </cell>
        </row>
        <row r="4346">
          <cell r="A4346">
            <v>4345</v>
          </cell>
          <cell r="B4346">
            <v>42753</v>
          </cell>
          <cell r="C4346" t="str">
            <v>ENERO</v>
          </cell>
          <cell r="D4346" t="str">
            <v>2017</v>
          </cell>
          <cell r="E4346">
            <v>808</v>
          </cell>
          <cell r="F4346" t="str">
            <v>D3P-743</v>
          </cell>
          <cell r="G4346" t="str">
            <v>B8L-972</v>
          </cell>
          <cell r="H4346" t="str">
            <v>LAS BAMBAS</v>
          </cell>
          <cell r="I4346">
            <v>188419</v>
          </cell>
          <cell r="J4346" t="str">
            <v>REPUESTO</v>
          </cell>
          <cell r="K4346" t="str">
            <v>ARANDELA 1"</v>
          </cell>
          <cell r="L4346">
            <v>4</v>
          </cell>
          <cell r="M4346" t="str">
            <v>UNID.</v>
          </cell>
          <cell r="N4346" t="str">
            <v>CISTERNA</v>
          </cell>
          <cell r="O4346">
            <v>37</v>
          </cell>
          <cell r="P4346" t="str">
            <v>M4</v>
          </cell>
          <cell r="Q4346" t="str">
            <v>j1</v>
          </cell>
          <cell r="R4346" t="str">
            <v>J8</v>
          </cell>
          <cell r="S4346" t="str">
            <v>ENTREGADO</v>
          </cell>
          <cell r="T4346">
            <v>0</v>
          </cell>
          <cell r="U4346" t="str">
            <v>JULLIRI APAZA UBALDO</v>
          </cell>
          <cell r="V4346" t="str">
            <v>FLOREZ CONDORI  JOSE WILLIANS</v>
          </cell>
        </row>
        <row r="4347">
          <cell r="A4347">
            <v>4346</v>
          </cell>
          <cell r="B4347">
            <v>42753</v>
          </cell>
          <cell r="C4347" t="str">
            <v>ENERO</v>
          </cell>
          <cell r="D4347" t="str">
            <v>2017</v>
          </cell>
          <cell r="E4347">
            <v>808</v>
          </cell>
          <cell r="F4347" t="str">
            <v>D3P-743</v>
          </cell>
          <cell r="G4347" t="str">
            <v>B8L-972</v>
          </cell>
          <cell r="H4347" t="str">
            <v>LAS BAMBAS</v>
          </cell>
          <cell r="I4347">
            <v>188419</v>
          </cell>
          <cell r="J4347" t="str">
            <v>REPUESTO</v>
          </cell>
          <cell r="K4347" t="str">
            <v>NIPLE TIPO L  11/16 A 3/8</v>
          </cell>
          <cell r="L4347">
            <v>2</v>
          </cell>
          <cell r="M4347" t="str">
            <v>UNID.</v>
          </cell>
          <cell r="N4347" t="str">
            <v>CISTERNA</v>
          </cell>
          <cell r="O4347">
            <v>37</v>
          </cell>
          <cell r="P4347" t="str">
            <v>M4</v>
          </cell>
          <cell r="Q4347" t="str">
            <v>j1</v>
          </cell>
          <cell r="R4347" t="str">
            <v>J8</v>
          </cell>
          <cell r="S4347" t="str">
            <v>ENTREGADO</v>
          </cell>
          <cell r="T4347">
            <v>0</v>
          </cell>
          <cell r="U4347" t="str">
            <v>JULLIRI APAZA UBALDO</v>
          </cell>
          <cell r="V4347" t="str">
            <v>FLOREZ CONDORI  JOSE WILLIANS</v>
          </cell>
        </row>
        <row r="4348">
          <cell r="A4348">
            <v>4347</v>
          </cell>
          <cell r="B4348">
            <v>42753</v>
          </cell>
          <cell r="C4348" t="str">
            <v>ENERO</v>
          </cell>
          <cell r="D4348" t="str">
            <v>2017</v>
          </cell>
          <cell r="E4348">
            <v>808</v>
          </cell>
          <cell r="F4348" t="str">
            <v>D3P-743</v>
          </cell>
          <cell r="G4348" t="str">
            <v>B8L-972</v>
          </cell>
          <cell r="H4348" t="str">
            <v>LAS BAMBAS</v>
          </cell>
          <cell r="I4348">
            <v>188419</v>
          </cell>
          <cell r="J4348" t="str">
            <v>REPUESTO</v>
          </cell>
          <cell r="K4348" t="str">
            <v>CONO 3/8</v>
          </cell>
          <cell r="L4348">
            <v>1</v>
          </cell>
          <cell r="M4348" t="str">
            <v>UNID.</v>
          </cell>
          <cell r="N4348" t="str">
            <v>CISTERNA</v>
          </cell>
          <cell r="O4348">
            <v>37</v>
          </cell>
          <cell r="P4348" t="str">
            <v>M4</v>
          </cell>
          <cell r="Q4348" t="str">
            <v>j1</v>
          </cell>
          <cell r="R4348" t="str">
            <v>J8</v>
          </cell>
          <cell r="S4348" t="str">
            <v>ENTREGADO</v>
          </cell>
          <cell r="T4348">
            <v>0</v>
          </cell>
          <cell r="U4348" t="str">
            <v>JULLIRI APAZA UBALDO</v>
          </cell>
          <cell r="V4348" t="str">
            <v>FLOREZ CONDORI  JOSE WILLIANS</v>
          </cell>
        </row>
        <row r="4349">
          <cell r="A4349">
            <v>4348</v>
          </cell>
          <cell r="B4349">
            <v>42753</v>
          </cell>
          <cell r="C4349" t="str">
            <v>ENERO</v>
          </cell>
          <cell r="D4349" t="str">
            <v>2017</v>
          </cell>
          <cell r="E4349">
            <v>808</v>
          </cell>
          <cell r="F4349" t="str">
            <v>D3P-743</v>
          </cell>
          <cell r="G4349" t="str">
            <v>B8L-972</v>
          </cell>
          <cell r="H4349" t="str">
            <v>LAS BAMBAS</v>
          </cell>
          <cell r="I4349">
            <v>188419</v>
          </cell>
          <cell r="J4349" t="str">
            <v>REPUESTO</v>
          </cell>
          <cell r="K4349" t="str">
            <v>GUIA 3/8</v>
          </cell>
          <cell r="L4349">
            <v>1</v>
          </cell>
          <cell r="M4349" t="str">
            <v>UNID.</v>
          </cell>
          <cell r="N4349" t="str">
            <v>CISTERNA</v>
          </cell>
          <cell r="O4349">
            <v>37</v>
          </cell>
          <cell r="P4349" t="str">
            <v>M4</v>
          </cell>
          <cell r="Q4349" t="str">
            <v>j1</v>
          </cell>
          <cell r="R4349" t="str">
            <v>J8</v>
          </cell>
          <cell r="S4349" t="str">
            <v>ENTREGADO</v>
          </cell>
          <cell r="T4349">
            <v>0</v>
          </cell>
          <cell r="U4349" t="str">
            <v>JULLIRI APAZA UBALDO</v>
          </cell>
          <cell r="V4349" t="str">
            <v>FLOREZ CONDORI  JOSE WILLIANS</v>
          </cell>
        </row>
        <row r="4350">
          <cell r="A4350">
            <v>4349</v>
          </cell>
          <cell r="B4350">
            <v>42753</v>
          </cell>
          <cell r="C4350" t="str">
            <v>ENERO</v>
          </cell>
          <cell r="D4350" t="str">
            <v>2017</v>
          </cell>
          <cell r="E4350">
            <v>808</v>
          </cell>
          <cell r="F4350" t="str">
            <v>D3P-743</v>
          </cell>
          <cell r="G4350" t="str">
            <v>B8L-972</v>
          </cell>
          <cell r="H4350" t="str">
            <v>LAS BAMBAS</v>
          </cell>
          <cell r="I4350">
            <v>188419</v>
          </cell>
          <cell r="J4350" t="str">
            <v>REPUESTO</v>
          </cell>
          <cell r="K4350" t="str">
            <v>TUERCA 3/8</v>
          </cell>
          <cell r="L4350">
            <v>1</v>
          </cell>
          <cell r="M4350" t="str">
            <v>UNID.</v>
          </cell>
          <cell r="N4350" t="str">
            <v>CISTERNA</v>
          </cell>
          <cell r="O4350">
            <v>37</v>
          </cell>
          <cell r="P4350" t="str">
            <v>M4</v>
          </cell>
          <cell r="Q4350" t="str">
            <v>j1</v>
          </cell>
          <cell r="R4350" t="str">
            <v>J8</v>
          </cell>
          <cell r="S4350" t="str">
            <v>ENTREGADO</v>
          </cell>
          <cell r="T4350">
            <v>0</v>
          </cell>
          <cell r="U4350" t="str">
            <v>JULLIRI APAZA UBALDO</v>
          </cell>
          <cell r="V4350" t="str">
            <v>FLOREZ CONDORI  JOSE WILLIANS</v>
          </cell>
        </row>
        <row r="4351">
          <cell r="A4351">
            <v>4350</v>
          </cell>
          <cell r="B4351">
            <v>42753</v>
          </cell>
          <cell r="C4351" t="str">
            <v>ENERO</v>
          </cell>
          <cell r="D4351" t="str">
            <v>2017</v>
          </cell>
          <cell r="E4351">
            <v>808</v>
          </cell>
          <cell r="F4351" t="str">
            <v>D3P-743</v>
          </cell>
          <cell r="G4351" t="str">
            <v>B8L-972</v>
          </cell>
          <cell r="H4351" t="str">
            <v>LAS BAMBAS</v>
          </cell>
          <cell r="I4351">
            <v>188419</v>
          </cell>
          <cell r="J4351" t="str">
            <v>REPUESTO</v>
          </cell>
          <cell r="K4351" t="str">
            <v>PRECINTOS 30 CM</v>
          </cell>
          <cell r="L4351">
            <v>6</v>
          </cell>
          <cell r="M4351" t="str">
            <v>UNID.</v>
          </cell>
          <cell r="N4351" t="str">
            <v>CISTERNA</v>
          </cell>
          <cell r="O4351">
            <v>37</v>
          </cell>
          <cell r="P4351" t="str">
            <v>M4</v>
          </cell>
          <cell r="Q4351" t="str">
            <v>j1</v>
          </cell>
          <cell r="R4351" t="str">
            <v>J8</v>
          </cell>
          <cell r="S4351" t="str">
            <v>ENTREGADO</v>
          </cell>
          <cell r="T4351">
            <v>0</v>
          </cell>
          <cell r="U4351" t="str">
            <v>JULLIRI APAZA UBALDO</v>
          </cell>
          <cell r="V4351" t="str">
            <v>FLOREZ CONDORI  JOSE WILLIANS</v>
          </cell>
        </row>
        <row r="4352">
          <cell r="A4352">
            <v>4353</v>
          </cell>
          <cell r="B4352">
            <v>42753</v>
          </cell>
          <cell r="C4352" t="str">
            <v>ENERO</v>
          </cell>
          <cell r="D4352" t="str">
            <v>2017</v>
          </cell>
          <cell r="E4352">
            <v>808</v>
          </cell>
          <cell r="F4352" t="str">
            <v>D3P-743</v>
          </cell>
          <cell r="G4352" t="str">
            <v>B8L-972</v>
          </cell>
          <cell r="H4352" t="str">
            <v>LAS BAMBAS</v>
          </cell>
          <cell r="I4352">
            <v>188419</v>
          </cell>
          <cell r="J4352" t="str">
            <v>REPUESTO</v>
          </cell>
          <cell r="K4352" t="str">
            <v>NEBLINERO</v>
          </cell>
          <cell r="L4352">
            <v>1</v>
          </cell>
          <cell r="M4352" t="str">
            <v>UNID.</v>
          </cell>
          <cell r="N4352" t="str">
            <v>TRACTO</v>
          </cell>
          <cell r="O4352">
            <v>37</v>
          </cell>
          <cell r="P4352" t="str">
            <v>E3</v>
          </cell>
          <cell r="Q4352" t="str">
            <v>j1</v>
          </cell>
          <cell r="R4352" t="str">
            <v>J8</v>
          </cell>
          <cell r="S4352" t="str">
            <v>PENDIENTE</v>
          </cell>
          <cell r="T4352">
            <v>0</v>
          </cell>
          <cell r="U4352" t="str">
            <v>CONDORI CHURATA ALEX</v>
          </cell>
          <cell r="V4352" t="str">
            <v>FLOREZ CONDORI  JOSE WILLIANS</v>
          </cell>
        </row>
        <row r="4353">
          <cell r="A4353">
            <v>4338</v>
          </cell>
          <cell r="B4353">
            <v>42753</v>
          </cell>
          <cell r="C4353" t="str">
            <v>ENERO</v>
          </cell>
          <cell r="D4353" t="str">
            <v>2017</v>
          </cell>
          <cell r="E4353">
            <v>202</v>
          </cell>
          <cell r="F4353" t="str">
            <v>D3P-752</v>
          </cell>
          <cell r="G4353" t="str">
            <v>C5Y-985</v>
          </cell>
          <cell r="H4353" t="str">
            <v>LAS BAMBAS</v>
          </cell>
          <cell r="I4353">
            <v>150504</v>
          </cell>
          <cell r="J4353" t="str">
            <v>REPUESTO</v>
          </cell>
          <cell r="K4353" t="str">
            <v>SERVICIO DE PINTADO DE GUARDAFANGO</v>
          </cell>
          <cell r="L4353">
            <v>1</v>
          </cell>
          <cell r="M4353" t="str">
            <v>UNID.</v>
          </cell>
          <cell r="N4353" t="str">
            <v>CISTERNA</v>
          </cell>
          <cell r="O4353">
            <v>37</v>
          </cell>
          <cell r="P4353" t="str">
            <v>J1</v>
          </cell>
          <cell r="Q4353" t="str">
            <v>j1</v>
          </cell>
          <cell r="R4353" t="str">
            <v>J8</v>
          </cell>
          <cell r="S4353" t="str">
            <v>ENTREGADO</v>
          </cell>
          <cell r="T4353">
            <v>0</v>
          </cell>
          <cell r="U4353" t="str">
            <v>FLOREZ CONDORI  JOSE WILLIANS</v>
          </cell>
          <cell r="V4353" t="str">
            <v>FLOREZ CONDORI  JOSE WILLIANS</v>
          </cell>
        </row>
        <row r="4354">
          <cell r="A4354">
            <v>4324</v>
          </cell>
          <cell r="B4354">
            <v>42753</v>
          </cell>
          <cell r="C4354" t="str">
            <v>ENERO</v>
          </cell>
          <cell r="D4354" t="str">
            <v>2017</v>
          </cell>
          <cell r="E4354">
            <v>854</v>
          </cell>
          <cell r="F4354" t="str">
            <v>D3R-791</v>
          </cell>
          <cell r="G4354" t="str">
            <v>B1M-993</v>
          </cell>
          <cell r="H4354" t="str">
            <v>LAS BAMBAS</v>
          </cell>
          <cell r="I4354">
            <v>145329</v>
          </cell>
          <cell r="J4354" t="str">
            <v>REPUESTO</v>
          </cell>
          <cell r="K4354" t="str">
            <v>PERNO DE MANGHOLE</v>
          </cell>
          <cell r="L4354">
            <v>1</v>
          </cell>
          <cell r="M4354" t="str">
            <v>UNID.</v>
          </cell>
          <cell r="N4354" t="str">
            <v>TRACTO</v>
          </cell>
          <cell r="O4354">
            <v>37</v>
          </cell>
          <cell r="P4354" t="str">
            <v>S1</v>
          </cell>
          <cell r="Q4354" t="str">
            <v>j1</v>
          </cell>
          <cell r="R4354" t="str">
            <v>J8</v>
          </cell>
          <cell r="S4354" t="str">
            <v>PENDIENTE</v>
          </cell>
          <cell r="T4354">
            <v>0</v>
          </cell>
          <cell r="U4354" t="str">
            <v>BAYONA CRUZ CRISTIAN ARMANDO</v>
          </cell>
          <cell r="V4354" t="str">
            <v>FLOREZ CONDORI  JOSE WILLIANS</v>
          </cell>
        </row>
        <row r="4355">
          <cell r="A4355">
            <v>4325</v>
          </cell>
          <cell r="B4355">
            <v>42753</v>
          </cell>
          <cell r="C4355" t="str">
            <v>ENERO</v>
          </cell>
          <cell r="D4355" t="str">
            <v>2017</v>
          </cell>
          <cell r="E4355">
            <v>854</v>
          </cell>
          <cell r="F4355" t="str">
            <v>D3R-791</v>
          </cell>
          <cell r="G4355" t="str">
            <v>B1M-993</v>
          </cell>
          <cell r="H4355" t="str">
            <v>LAS BAMBAS</v>
          </cell>
          <cell r="I4355">
            <v>145329</v>
          </cell>
          <cell r="J4355" t="str">
            <v>REPUESTO</v>
          </cell>
          <cell r="K4355" t="str">
            <v>PERNO DE 3/2 X 2" CON TUERCA</v>
          </cell>
          <cell r="L4355">
            <v>1</v>
          </cell>
          <cell r="M4355" t="str">
            <v>UNID.</v>
          </cell>
          <cell r="N4355" t="str">
            <v>TRACTO</v>
          </cell>
          <cell r="O4355">
            <v>37</v>
          </cell>
          <cell r="P4355" t="str">
            <v>S1</v>
          </cell>
          <cell r="Q4355" t="str">
            <v>j1</v>
          </cell>
          <cell r="R4355" t="str">
            <v>J8</v>
          </cell>
          <cell r="S4355" t="str">
            <v>PENDIENTE</v>
          </cell>
          <cell r="T4355">
            <v>0</v>
          </cell>
          <cell r="U4355" t="str">
            <v>BAYONA CRUZ CRISTIAN ARMANDO</v>
          </cell>
          <cell r="V4355" t="str">
            <v>FLOREZ CONDORI  JOSE WILLIANS</v>
          </cell>
        </row>
        <row r="4356">
          <cell r="A4356">
            <v>4334</v>
          </cell>
          <cell r="B4356">
            <v>42753</v>
          </cell>
          <cell r="C4356" t="str">
            <v>ENERO</v>
          </cell>
          <cell r="D4356" t="str">
            <v>2017</v>
          </cell>
          <cell r="E4356">
            <v>854</v>
          </cell>
          <cell r="F4356" t="str">
            <v>D3R-791</v>
          </cell>
          <cell r="G4356" t="str">
            <v>B1M-993</v>
          </cell>
          <cell r="H4356" t="str">
            <v>LAS BAMBAS</v>
          </cell>
          <cell r="I4356">
            <v>145329</v>
          </cell>
          <cell r="J4356" t="str">
            <v>REPUESTO</v>
          </cell>
          <cell r="K4356" t="str">
            <v>FILTRO DE PETROLEO</v>
          </cell>
          <cell r="L4356">
            <v>1</v>
          </cell>
          <cell r="M4356" t="str">
            <v>UNID.</v>
          </cell>
          <cell r="N4356" t="str">
            <v>TRACTO</v>
          </cell>
          <cell r="O4356">
            <v>37</v>
          </cell>
          <cell r="P4356" t="str">
            <v>M2</v>
          </cell>
          <cell r="Q4356" t="str">
            <v>j1</v>
          </cell>
          <cell r="R4356" t="str">
            <v>J8</v>
          </cell>
          <cell r="S4356" t="str">
            <v>PENDIENTE</v>
          </cell>
          <cell r="T4356">
            <v>0</v>
          </cell>
          <cell r="U4356" t="str">
            <v>CHUMPITAZ GAGO JULIO ENRIQUE</v>
          </cell>
          <cell r="V4356" t="str">
            <v>FLOREZ CONDORI  JOSE WILLIANS</v>
          </cell>
        </row>
        <row r="4357">
          <cell r="A4357">
            <v>4335</v>
          </cell>
          <cell r="B4357">
            <v>42753</v>
          </cell>
          <cell r="C4357" t="str">
            <v>ENERO</v>
          </cell>
          <cell r="D4357" t="str">
            <v>2017</v>
          </cell>
          <cell r="E4357">
            <v>854</v>
          </cell>
          <cell r="F4357" t="str">
            <v>D3R-791</v>
          </cell>
          <cell r="G4357" t="str">
            <v>B1M-993</v>
          </cell>
          <cell r="H4357" t="str">
            <v>LAS BAMBAS</v>
          </cell>
          <cell r="I4357">
            <v>145329</v>
          </cell>
          <cell r="J4357" t="str">
            <v>REPUESTO</v>
          </cell>
          <cell r="K4357" t="str">
            <v>FILTRO SEPARADOR DE AGUA</v>
          </cell>
          <cell r="L4357">
            <v>1</v>
          </cell>
          <cell r="M4357" t="str">
            <v>UNID.</v>
          </cell>
          <cell r="N4357" t="str">
            <v>TRACTO</v>
          </cell>
          <cell r="O4357">
            <v>37</v>
          </cell>
          <cell r="P4357" t="str">
            <v>M2</v>
          </cell>
          <cell r="Q4357" t="str">
            <v>j1</v>
          </cell>
          <cell r="R4357" t="str">
            <v>J8</v>
          </cell>
          <cell r="S4357" t="str">
            <v>PENDIENTE</v>
          </cell>
          <cell r="T4357">
            <v>0</v>
          </cell>
          <cell r="U4357" t="str">
            <v>CHUMPITAZ GAGO JULIO ENRIQUE</v>
          </cell>
          <cell r="V4357" t="str">
            <v>FLOREZ CONDORI  JOSE WILLIANS</v>
          </cell>
        </row>
        <row r="4358">
          <cell r="A4358">
            <v>4358</v>
          </cell>
          <cell r="B4358">
            <v>42753</v>
          </cell>
          <cell r="C4358" t="str">
            <v>ENERO</v>
          </cell>
          <cell r="D4358" t="str">
            <v>2017</v>
          </cell>
          <cell r="E4358">
            <v>854</v>
          </cell>
          <cell r="F4358" t="str">
            <v>D3R-791</v>
          </cell>
          <cell r="G4358" t="str">
            <v>B1M-993</v>
          </cell>
          <cell r="H4358" t="str">
            <v>LAS BAMBAS</v>
          </cell>
          <cell r="I4358">
            <v>145329</v>
          </cell>
          <cell r="J4358" t="str">
            <v>REPUESTO</v>
          </cell>
          <cell r="K4358" t="str">
            <v>NIPLES CON TUERCA CONO Y GUIA DE 5/8 DE 45°</v>
          </cell>
          <cell r="L4358">
            <v>3</v>
          </cell>
          <cell r="M4358" t="str">
            <v>UNID.</v>
          </cell>
          <cell r="N4358" t="str">
            <v>TRACTO</v>
          </cell>
          <cell r="O4358">
            <v>37</v>
          </cell>
          <cell r="P4358" t="str">
            <v>M2</v>
          </cell>
          <cell r="Q4358" t="str">
            <v>j1</v>
          </cell>
          <cell r="R4358" t="str">
            <v>J8</v>
          </cell>
          <cell r="S4358" t="str">
            <v>PENDIENTE</v>
          </cell>
          <cell r="T4358">
            <v>0</v>
          </cell>
          <cell r="U4358" t="str">
            <v>CHUMPITAZ GAGO JULIO ENRIQUE</v>
          </cell>
          <cell r="V4358" t="str">
            <v>FLOREZ CONDORI  JOSE WILLIANS</v>
          </cell>
        </row>
        <row r="4359">
          <cell r="A4359">
            <v>4351</v>
          </cell>
          <cell r="B4359">
            <v>42753</v>
          </cell>
          <cell r="C4359" t="str">
            <v>ENERO</v>
          </cell>
          <cell r="D4359" t="str">
            <v>2017</v>
          </cell>
          <cell r="E4359">
            <v>834</v>
          </cell>
          <cell r="F4359" t="str">
            <v>D4T-927</v>
          </cell>
          <cell r="G4359" t="str">
            <v>B4Q-976</v>
          </cell>
          <cell r="H4359" t="str">
            <v>LAS BAMBAS</v>
          </cell>
          <cell r="I4359">
            <v>195693</v>
          </cell>
          <cell r="J4359" t="str">
            <v>REPUESTO</v>
          </cell>
          <cell r="K4359" t="str">
            <v>LLANTA REENCAUCHADA IBY</v>
          </cell>
          <cell r="L4359">
            <v>1</v>
          </cell>
          <cell r="M4359" t="str">
            <v>UNID.</v>
          </cell>
          <cell r="N4359" t="str">
            <v>TRACTO</v>
          </cell>
          <cell r="O4359">
            <v>37</v>
          </cell>
          <cell r="P4359" t="str">
            <v>N2</v>
          </cell>
          <cell r="Q4359" t="str">
            <v>j1</v>
          </cell>
          <cell r="R4359" t="str">
            <v>J8</v>
          </cell>
          <cell r="S4359" t="str">
            <v>PENDIENTE</v>
          </cell>
          <cell r="T4359">
            <v>0</v>
          </cell>
          <cell r="U4359" t="str">
            <v>MAMANI LARICO  EDUARDO ALVARO</v>
          </cell>
          <cell r="V4359" t="str">
            <v>FLOREZ CONDORI  JOSE WILLIANS</v>
          </cell>
        </row>
        <row r="4360">
          <cell r="A4360">
            <v>4352</v>
          </cell>
          <cell r="B4360">
            <v>42753</v>
          </cell>
          <cell r="C4360" t="str">
            <v>ENERO</v>
          </cell>
          <cell r="D4360" t="str">
            <v>2017</v>
          </cell>
          <cell r="E4360">
            <v>834</v>
          </cell>
          <cell r="F4360" t="str">
            <v>D4T-927</v>
          </cell>
          <cell r="G4360" t="str">
            <v>B4Q-976</v>
          </cell>
          <cell r="H4360" t="str">
            <v>LAS BAMBAS</v>
          </cell>
          <cell r="I4360">
            <v>195693</v>
          </cell>
          <cell r="J4360" t="str">
            <v>REPUESTO</v>
          </cell>
          <cell r="K4360" t="str">
            <v>PERNO DE 1/2 *2"</v>
          </cell>
          <cell r="L4360">
            <v>2</v>
          </cell>
          <cell r="M4360" t="str">
            <v>UNID.</v>
          </cell>
          <cell r="N4360" t="str">
            <v>TRACTO</v>
          </cell>
          <cell r="O4360">
            <v>37</v>
          </cell>
          <cell r="P4360" t="str">
            <v>N2</v>
          </cell>
          <cell r="Q4360" t="str">
            <v>j1</v>
          </cell>
          <cell r="R4360" t="str">
            <v>J8</v>
          </cell>
          <cell r="S4360" t="str">
            <v>PENDIENTE</v>
          </cell>
          <cell r="T4360">
            <v>0</v>
          </cell>
          <cell r="U4360" t="str">
            <v>MAMANI LARICO  EDUARDO ALVARO</v>
          </cell>
          <cell r="V4360" t="str">
            <v>FLOREZ CONDORI  JOSE WILLIANS</v>
          </cell>
        </row>
        <row r="4361">
          <cell r="A4361">
            <v>4355</v>
          </cell>
          <cell r="B4361">
            <v>42753</v>
          </cell>
          <cell r="C4361" t="str">
            <v>ENERO</v>
          </cell>
          <cell r="D4361" t="str">
            <v>2017</v>
          </cell>
          <cell r="E4361">
            <v>834</v>
          </cell>
          <cell r="F4361" t="str">
            <v>D4T-927</v>
          </cell>
          <cell r="G4361" t="str">
            <v>B4Q-976</v>
          </cell>
          <cell r="H4361" t="str">
            <v>LAS BAMBAS</v>
          </cell>
          <cell r="I4361">
            <v>195693</v>
          </cell>
          <cell r="J4361" t="str">
            <v>REPUESTO</v>
          </cell>
          <cell r="K4361" t="str">
            <v>TUERCA SEGURO 1/4</v>
          </cell>
          <cell r="L4361">
            <v>6</v>
          </cell>
          <cell r="M4361" t="str">
            <v>UNID.</v>
          </cell>
          <cell r="N4361" t="str">
            <v>CISTERNA</v>
          </cell>
          <cell r="O4361">
            <v>37</v>
          </cell>
          <cell r="P4361" t="str">
            <v>S1</v>
          </cell>
          <cell r="Q4361" t="str">
            <v>j1</v>
          </cell>
          <cell r="R4361" t="str">
            <v>J8</v>
          </cell>
          <cell r="S4361" t="str">
            <v>PENDIENTE</v>
          </cell>
          <cell r="T4361">
            <v>0</v>
          </cell>
          <cell r="U4361" t="str">
            <v>BAYONA CRUZ CRISTIAN ARMANDO</v>
          </cell>
          <cell r="V4361" t="str">
            <v>FLOREZ CONDORI  JOSE WILLIANS</v>
          </cell>
        </row>
        <row r="4362">
          <cell r="A4362">
            <v>4356</v>
          </cell>
          <cell r="B4362">
            <v>42753</v>
          </cell>
          <cell r="C4362" t="str">
            <v>ENERO</v>
          </cell>
          <cell r="D4362" t="str">
            <v>2017</v>
          </cell>
          <cell r="E4362">
            <v>834</v>
          </cell>
          <cell r="F4362" t="str">
            <v>D4T-927</v>
          </cell>
          <cell r="G4362" t="str">
            <v>B4Q-976</v>
          </cell>
          <cell r="H4362" t="str">
            <v>LAS BAMBAS</v>
          </cell>
          <cell r="I4362">
            <v>195693</v>
          </cell>
          <cell r="J4362" t="str">
            <v>REPUESTO</v>
          </cell>
          <cell r="K4362" t="str">
            <v>DOBLE BOLANDA PLANA</v>
          </cell>
          <cell r="L4362">
            <v>6</v>
          </cell>
          <cell r="M4362" t="str">
            <v>UNID.</v>
          </cell>
          <cell r="N4362" t="str">
            <v>CISTERNA</v>
          </cell>
          <cell r="O4362">
            <v>37</v>
          </cell>
          <cell r="P4362" t="str">
            <v>S1</v>
          </cell>
          <cell r="Q4362" t="str">
            <v>j1</v>
          </cell>
          <cell r="R4362" t="str">
            <v>J8</v>
          </cell>
          <cell r="S4362" t="str">
            <v>PENDIENTE</v>
          </cell>
          <cell r="T4362">
            <v>0</v>
          </cell>
          <cell r="U4362" t="str">
            <v>BAYONA CRUZ CRISTIAN ARMANDO</v>
          </cell>
          <cell r="V4362" t="str">
            <v>FLOREZ CONDORI  JOSE WILLIANS</v>
          </cell>
        </row>
        <row r="4363">
          <cell r="A4363">
            <v>4330</v>
          </cell>
          <cell r="B4363">
            <v>42753</v>
          </cell>
          <cell r="C4363" t="str">
            <v>ENERO</v>
          </cell>
          <cell r="D4363" t="str">
            <v>2017</v>
          </cell>
          <cell r="E4363">
            <v>200</v>
          </cell>
          <cell r="F4363" t="str">
            <v>TALLER</v>
          </cell>
          <cell r="G4363" t="str">
            <v>TALLER</v>
          </cell>
          <cell r="H4363" t="str">
            <v>TALLER</v>
          </cell>
          <cell r="I4363" t="str">
            <v>TALLER</v>
          </cell>
          <cell r="J4363" t="str">
            <v>MATERIALES</v>
          </cell>
          <cell r="K4363" t="str">
            <v>CINTA AISLANTE NEGRA</v>
          </cell>
          <cell r="L4363">
            <v>1</v>
          </cell>
          <cell r="M4363" t="str">
            <v>UNID.</v>
          </cell>
          <cell r="N4363" t="str">
            <v>TALLER</v>
          </cell>
          <cell r="O4363">
            <v>37</v>
          </cell>
          <cell r="P4363" t="str">
            <v>J1</v>
          </cell>
          <cell r="Q4363" t="str">
            <v>j1</v>
          </cell>
          <cell r="R4363" t="str">
            <v>J8</v>
          </cell>
          <cell r="S4363" t="str">
            <v>ENTREGADO</v>
          </cell>
          <cell r="T4363">
            <v>0</v>
          </cell>
          <cell r="U4363" t="str">
            <v>FLOREZ CONDORI  JOSE WILLIANS</v>
          </cell>
          <cell r="V4363" t="str">
            <v>FLOREZ CONDORI  JOSE WILLIANS</v>
          </cell>
        </row>
        <row r="4364">
          <cell r="A4364">
            <v>4340</v>
          </cell>
          <cell r="B4364">
            <v>42753</v>
          </cell>
          <cell r="C4364" t="str">
            <v>ENERO</v>
          </cell>
          <cell r="D4364" t="str">
            <v>2017</v>
          </cell>
          <cell r="E4364">
            <v>200</v>
          </cell>
          <cell r="F4364" t="str">
            <v>TALLER</v>
          </cell>
          <cell r="G4364" t="str">
            <v>TALLER</v>
          </cell>
          <cell r="H4364" t="str">
            <v>TALLER</v>
          </cell>
          <cell r="I4364" t="str">
            <v>TALLER</v>
          </cell>
          <cell r="J4364" t="str">
            <v>REPUESTO</v>
          </cell>
          <cell r="K4364" t="str">
            <v>PRECINTOS PEQUEÑOS</v>
          </cell>
          <cell r="L4364">
            <v>20</v>
          </cell>
          <cell r="M4364" t="str">
            <v>UNID.</v>
          </cell>
          <cell r="N4364" t="str">
            <v>TALLER</v>
          </cell>
          <cell r="O4364">
            <v>37</v>
          </cell>
          <cell r="P4364" t="str">
            <v>E3</v>
          </cell>
          <cell r="Q4364" t="str">
            <v>j1</v>
          </cell>
          <cell r="R4364" t="str">
            <v>J8</v>
          </cell>
          <cell r="S4364" t="str">
            <v>ENTREGADO</v>
          </cell>
          <cell r="T4364">
            <v>0</v>
          </cell>
          <cell r="U4364" t="str">
            <v>CONDORI CHURATA ALEX</v>
          </cell>
          <cell r="V4364" t="str">
            <v>FLOREZ CONDORI  JOSE WILLIANS</v>
          </cell>
        </row>
        <row r="4365">
          <cell r="A4365">
            <v>4361</v>
          </cell>
          <cell r="B4365">
            <v>42753</v>
          </cell>
          <cell r="C4365" t="str">
            <v>ENERO</v>
          </cell>
          <cell r="D4365" t="str">
            <v>2017</v>
          </cell>
          <cell r="E4365">
            <v>200</v>
          </cell>
          <cell r="F4365" t="str">
            <v>TALLER</v>
          </cell>
          <cell r="G4365" t="str">
            <v>TALLER</v>
          </cell>
          <cell r="H4365" t="str">
            <v>TALLER</v>
          </cell>
          <cell r="I4365" t="str">
            <v>TALLER</v>
          </cell>
          <cell r="J4365" t="str">
            <v>REPUESTO</v>
          </cell>
          <cell r="K4365" t="str">
            <v>SUPERCITO 332</v>
          </cell>
          <cell r="L4365">
            <v>2</v>
          </cell>
          <cell r="M4365" t="str">
            <v>KG.</v>
          </cell>
          <cell r="N4365" t="str">
            <v>TALLER</v>
          </cell>
          <cell r="O4365">
            <v>37</v>
          </cell>
          <cell r="P4365" t="str">
            <v>S1</v>
          </cell>
          <cell r="Q4365" t="str">
            <v>j1</v>
          </cell>
          <cell r="R4365" t="str">
            <v>J8</v>
          </cell>
          <cell r="S4365" t="str">
            <v>PENDIENTE</v>
          </cell>
          <cell r="T4365">
            <v>0</v>
          </cell>
          <cell r="U4365" t="str">
            <v>BAYONA CRUZ CRISTIAN ARMANDO</v>
          </cell>
          <cell r="V4365" t="str">
            <v>FLOREZ CONDORI  JOSE WILLIANS</v>
          </cell>
        </row>
        <row r="4366">
          <cell r="A4366">
            <v>4394</v>
          </cell>
          <cell r="B4366">
            <v>42754</v>
          </cell>
          <cell r="C4366" t="str">
            <v>ENERO</v>
          </cell>
          <cell r="D4366" t="str">
            <v>2017</v>
          </cell>
          <cell r="E4366">
            <v>863</v>
          </cell>
          <cell r="F4366" t="str">
            <v>ABP-729</v>
          </cell>
          <cell r="G4366" t="str">
            <v>D8K-985</v>
          </cell>
          <cell r="H4366" t="str">
            <v>LAS BAMBAS</v>
          </cell>
          <cell r="I4366">
            <v>116676</v>
          </cell>
          <cell r="J4366" t="str">
            <v>REPUESTO</v>
          </cell>
          <cell r="K4366" t="str">
            <v>FILTRO PRIMARIO DE AIRE</v>
          </cell>
          <cell r="L4366">
            <v>1</v>
          </cell>
          <cell r="M4366" t="str">
            <v>UNID.</v>
          </cell>
          <cell r="N4366" t="str">
            <v>TRACTO</v>
          </cell>
          <cell r="O4366">
            <v>36</v>
          </cell>
          <cell r="P4366" t="str">
            <v>M4</v>
          </cell>
          <cell r="Q4366" t="str">
            <v>J1</v>
          </cell>
          <cell r="R4366" t="str">
            <v>J8</v>
          </cell>
          <cell r="S4366" t="str">
            <v>ENTREGADO</v>
          </cell>
          <cell r="T4366">
            <v>0</v>
          </cell>
          <cell r="U4366" t="str">
            <v>JULLIRI APAZA UBALDO</v>
          </cell>
          <cell r="V4366" t="str">
            <v>FLOREZ CONDORI  JOSE WILLIANS</v>
          </cell>
        </row>
        <row r="4367">
          <cell r="A4367">
            <v>4371</v>
          </cell>
          <cell r="B4367">
            <v>42754</v>
          </cell>
          <cell r="C4367" t="str">
            <v>ENERO</v>
          </cell>
          <cell r="D4367" t="str">
            <v>2017</v>
          </cell>
          <cell r="E4367">
            <v>861</v>
          </cell>
          <cell r="F4367" t="str">
            <v>ABP-783</v>
          </cell>
          <cell r="G4367" t="str">
            <v>C9S-988</v>
          </cell>
          <cell r="H4367" t="str">
            <v>LAS BAMBAS</v>
          </cell>
          <cell r="I4367">
            <v>133551</v>
          </cell>
          <cell r="J4367" t="str">
            <v>REPUESTO</v>
          </cell>
          <cell r="K4367" t="str">
            <v>PARCHE RACK 10</v>
          </cell>
          <cell r="L4367">
            <v>1</v>
          </cell>
          <cell r="M4367" t="str">
            <v>UNID.</v>
          </cell>
          <cell r="N4367" t="str">
            <v>CISTERNA</v>
          </cell>
          <cell r="O4367">
            <v>36</v>
          </cell>
          <cell r="P4367" t="str">
            <v>N2</v>
          </cell>
          <cell r="Q4367" t="str">
            <v>j1</v>
          </cell>
          <cell r="R4367" t="str">
            <v>J8</v>
          </cell>
          <cell r="S4367" t="str">
            <v>PENDIENTE</v>
          </cell>
          <cell r="T4367">
            <v>0</v>
          </cell>
          <cell r="U4367" t="str">
            <v>MAMANI LARICO  EDUARDO ALVARO</v>
          </cell>
          <cell r="V4367" t="str">
            <v>FLOREZ CONDORI  JOSE WILLIANS</v>
          </cell>
        </row>
        <row r="4368">
          <cell r="A4368">
            <v>4372</v>
          </cell>
          <cell r="B4368">
            <v>42754</v>
          </cell>
          <cell r="C4368" t="str">
            <v>ENERO</v>
          </cell>
          <cell r="D4368" t="str">
            <v>2017</v>
          </cell>
          <cell r="E4368">
            <v>861</v>
          </cell>
          <cell r="F4368" t="str">
            <v>ABP-783</v>
          </cell>
          <cell r="G4368" t="str">
            <v>C9S-988</v>
          </cell>
          <cell r="H4368" t="str">
            <v>LAS BAMBAS</v>
          </cell>
          <cell r="I4368">
            <v>133551</v>
          </cell>
          <cell r="J4368" t="str">
            <v>REPUESTO</v>
          </cell>
          <cell r="K4368" t="str">
            <v>PARCHE RACK 12</v>
          </cell>
          <cell r="L4368">
            <v>1</v>
          </cell>
          <cell r="M4368" t="str">
            <v>UNID.</v>
          </cell>
          <cell r="N4368" t="str">
            <v>CISTERNA</v>
          </cell>
          <cell r="O4368">
            <v>36</v>
          </cell>
          <cell r="P4368" t="str">
            <v>N2</v>
          </cell>
          <cell r="Q4368" t="str">
            <v>j1</v>
          </cell>
          <cell r="R4368" t="str">
            <v>J8</v>
          </cell>
          <cell r="S4368" t="str">
            <v>PENDIENTE</v>
          </cell>
          <cell r="T4368">
            <v>0</v>
          </cell>
          <cell r="U4368" t="str">
            <v>MAMANI LARICO  EDUARDO ALVARO</v>
          </cell>
          <cell r="V4368" t="str">
            <v>FLOREZ CONDORI  JOSE WILLIANS</v>
          </cell>
        </row>
        <row r="4369">
          <cell r="A4369">
            <v>4375</v>
          </cell>
          <cell r="B4369">
            <v>42754</v>
          </cell>
          <cell r="C4369" t="str">
            <v>ENERO</v>
          </cell>
          <cell r="D4369" t="str">
            <v>2017</v>
          </cell>
          <cell r="E4369">
            <v>861</v>
          </cell>
          <cell r="F4369" t="str">
            <v>ABP-783</v>
          </cell>
          <cell r="G4369" t="str">
            <v>C9S-988</v>
          </cell>
          <cell r="H4369" t="str">
            <v>LAS BAMBAS</v>
          </cell>
          <cell r="I4369">
            <v>133551</v>
          </cell>
          <cell r="J4369" t="str">
            <v>REPUESTO</v>
          </cell>
          <cell r="K4369" t="str">
            <v>DIAFRAGMA NRO. 14</v>
          </cell>
          <cell r="L4369">
            <v>1</v>
          </cell>
          <cell r="M4369" t="str">
            <v>UNID.</v>
          </cell>
          <cell r="N4369" t="str">
            <v>CISTERNA</v>
          </cell>
          <cell r="O4369">
            <v>36</v>
          </cell>
          <cell r="P4369" t="str">
            <v>M5</v>
          </cell>
          <cell r="Q4369" t="str">
            <v>J1</v>
          </cell>
          <cell r="R4369" t="str">
            <v>J6</v>
          </cell>
          <cell r="S4369" t="str">
            <v>ENTREGADO</v>
          </cell>
          <cell r="T4369">
            <v>0</v>
          </cell>
          <cell r="U4369" t="str">
            <v>LOPEZ RUIZ WILBERTO</v>
          </cell>
          <cell r="V4369" t="str">
            <v>FLOREZ CONDORI  JOSE WILLIANS</v>
          </cell>
        </row>
        <row r="4370">
          <cell r="A4370">
            <v>4376</v>
          </cell>
          <cell r="B4370">
            <v>42754</v>
          </cell>
          <cell r="C4370" t="str">
            <v>ENERO</v>
          </cell>
          <cell r="D4370" t="str">
            <v>2017</v>
          </cell>
          <cell r="E4370">
            <v>861</v>
          </cell>
          <cell r="F4370" t="str">
            <v>ABP-783</v>
          </cell>
          <cell r="G4370" t="str">
            <v>C9S-988</v>
          </cell>
          <cell r="H4370" t="str">
            <v>LAS BAMBAS</v>
          </cell>
          <cell r="I4370">
            <v>133551</v>
          </cell>
          <cell r="J4370" t="str">
            <v>REPUESTO</v>
          </cell>
          <cell r="K4370" t="str">
            <v>T DE 3/8</v>
          </cell>
          <cell r="L4370">
            <v>1</v>
          </cell>
          <cell r="M4370" t="str">
            <v>UNID.</v>
          </cell>
          <cell r="N4370" t="str">
            <v>CISTERNA</v>
          </cell>
          <cell r="O4370">
            <v>36</v>
          </cell>
          <cell r="P4370" t="str">
            <v>M5</v>
          </cell>
          <cell r="Q4370" t="str">
            <v>J1</v>
          </cell>
          <cell r="R4370" t="str">
            <v>J6</v>
          </cell>
          <cell r="S4370" t="str">
            <v>ENTREGADO</v>
          </cell>
          <cell r="T4370">
            <v>0</v>
          </cell>
          <cell r="U4370" t="str">
            <v>LOPEZ RUIZ WILBERTO</v>
          </cell>
          <cell r="V4370" t="str">
            <v>FLOREZ CONDORI  JOSE WILLIANS</v>
          </cell>
        </row>
        <row r="4371">
          <cell r="A4371">
            <v>4377</v>
          </cell>
          <cell r="B4371">
            <v>42754</v>
          </cell>
          <cell r="C4371" t="str">
            <v>ENERO</v>
          </cell>
          <cell r="D4371" t="str">
            <v>2017</v>
          </cell>
          <cell r="E4371">
            <v>861</v>
          </cell>
          <cell r="F4371" t="str">
            <v>ABP-783</v>
          </cell>
          <cell r="G4371" t="str">
            <v>C9S-988</v>
          </cell>
          <cell r="H4371" t="str">
            <v>LAS BAMBAS</v>
          </cell>
          <cell r="I4371">
            <v>133551</v>
          </cell>
          <cell r="J4371" t="str">
            <v>REPUESTO</v>
          </cell>
          <cell r="K4371" t="str">
            <v>LIQUIDO LIMPIAPARABRISAS</v>
          </cell>
          <cell r="L4371">
            <v>1</v>
          </cell>
          <cell r="M4371" t="str">
            <v>GLNS.</v>
          </cell>
          <cell r="N4371" t="str">
            <v>TRACTO</v>
          </cell>
          <cell r="O4371">
            <v>36</v>
          </cell>
          <cell r="P4371" t="str">
            <v>M5</v>
          </cell>
          <cell r="Q4371" t="str">
            <v>J1</v>
          </cell>
          <cell r="R4371" t="str">
            <v>J6</v>
          </cell>
          <cell r="S4371" t="str">
            <v>ENTREGADO</v>
          </cell>
          <cell r="T4371">
            <v>0</v>
          </cell>
          <cell r="U4371" t="str">
            <v>LOPEZ RUIZ WILBERTO</v>
          </cell>
          <cell r="V4371" t="str">
            <v>FLOREZ CONDORI  JOSE WILLIANS</v>
          </cell>
        </row>
        <row r="4372">
          <cell r="A4372">
            <v>4425</v>
          </cell>
          <cell r="B4372">
            <v>42754</v>
          </cell>
          <cell r="C4372" t="str">
            <v>ENERO</v>
          </cell>
          <cell r="D4372" t="str">
            <v>2017</v>
          </cell>
          <cell r="E4372">
            <v>861</v>
          </cell>
          <cell r="F4372" t="str">
            <v>ABP-783</v>
          </cell>
          <cell r="G4372" t="str">
            <v>C9S-988</v>
          </cell>
          <cell r="H4372" t="str">
            <v>LAS BAMBAS</v>
          </cell>
          <cell r="I4372">
            <v>133551</v>
          </cell>
          <cell r="J4372" t="str">
            <v>SERVICIO</v>
          </cell>
          <cell r="K4372" t="str">
            <v>SERVICIO DE REPARACION DE INTERCOOLER</v>
          </cell>
          <cell r="L4372">
            <v>1</v>
          </cell>
          <cell r="M4372" t="str">
            <v>UNID.</v>
          </cell>
          <cell r="N4372" t="str">
            <v>TRACTO</v>
          </cell>
          <cell r="O4372">
            <v>36</v>
          </cell>
          <cell r="P4372" t="str">
            <v>J1</v>
          </cell>
          <cell r="Q4372" t="str">
            <v>J1</v>
          </cell>
          <cell r="R4372" t="str">
            <v>J8</v>
          </cell>
          <cell r="S4372" t="str">
            <v>ENTREGADO</v>
          </cell>
          <cell r="T4372">
            <v>0</v>
          </cell>
          <cell r="U4372" t="str">
            <v>FLOREZ CONDORI  JOSE WILLIANS</v>
          </cell>
          <cell r="V4372" t="str">
            <v>FLOREZ CONDORI  JOSE WILLIANS</v>
          </cell>
        </row>
        <row r="4373">
          <cell r="A4373">
            <v>4400</v>
          </cell>
          <cell r="B4373">
            <v>42754</v>
          </cell>
          <cell r="C4373" t="str">
            <v>ENERO</v>
          </cell>
          <cell r="D4373" t="str">
            <v>2017</v>
          </cell>
          <cell r="E4373">
            <v>870</v>
          </cell>
          <cell r="F4373" t="str">
            <v>AEJ-949</v>
          </cell>
          <cell r="G4373" t="str">
            <v>CAMIONETA</v>
          </cell>
          <cell r="H4373" t="str">
            <v>LAS BAMBAS</v>
          </cell>
          <cell r="I4373">
            <v>98148</v>
          </cell>
          <cell r="J4373" t="str">
            <v>REPUESTO</v>
          </cell>
          <cell r="K4373" t="str">
            <v>FILTRO DE COMBUSTIBLE</v>
          </cell>
          <cell r="L4373">
            <v>1</v>
          </cell>
          <cell r="M4373" t="str">
            <v>UNID.</v>
          </cell>
          <cell r="N4373" t="str">
            <v>CAMIONETA</v>
          </cell>
          <cell r="O4373">
            <v>36</v>
          </cell>
          <cell r="P4373" t="str">
            <v>J1</v>
          </cell>
          <cell r="Q4373" t="str">
            <v>J1</v>
          </cell>
          <cell r="R4373" t="str">
            <v>J8</v>
          </cell>
          <cell r="S4373" t="str">
            <v>PENDIENTE</v>
          </cell>
          <cell r="T4373">
            <v>0</v>
          </cell>
          <cell r="U4373" t="str">
            <v>FLOREZ CONDORI  JOSE WILLIANS</v>
          </cell>
          <cell r="V4373" t="str">
            <v>FLOREZ CONDORI  JOSE WILLIANS</v>
          </cell>
        </row>
        <row r="4374">
          <cell r="A4374">
            <v>4401</v>
          </cell>
          <cell r="B4374">
            <v>42754</v>
          </cell>
          <cell r="C4374" t="str">
            <v>ENERO</v>
          </cell>
          <cell r="D4374" t="str">
            <v>2017</v>
          </cell>
          <cell r="E4374">
            <v>870</v>
          </cell>
          <cell r="F4374" t="str">
            <v>AEJ-949</v>
          </cell>
          <cell r="G4374" t="str">
            <v>CAMIONETA</v>
          </cell>
          <cell r="H4374" t="str">
            <v>LAS BAMBAS</v>
          </cell>
          <cell r="I4374">
            <v>98148</v>
          </cell>
          <cell r="J4374" t="str">
            <v>REPUESTO</v>
          </cell>
          <cell r="K4374" t="str">
            <v>FILTRO DE AIRE</v>
          </cell>
          <cell r="L4374">
            <v>1</v>
          </cell>
          <cell r="M4374" t="str">
            <v>UNID.</v>
          </cell>
          <cell r="N4374" t="str">
            <v>CAMIONETA</v>
          </cell>
          <cell r="O4374">
            <v>36</v>
          </cell>
          <cell r="P4374" t="str">
            <v>J1</v>
          </cell>
          <cell r="Q4374" t="str">
            <v>J1</v>
          </cell>
          <cell r="R4374" t="str">
            <v>J8</v>
          </cell>
          <cell r="S4374" t="str">
            <v>PENDIENTE</v>
          </cell>
          <cell r="T4374">
            <v>0</v>
          </cell>
          <cell r="U4374" t="str">
            <v>FLOREZ CONDORI  JOSE WILLIANS</v>
          </cell>
          <cell r="V4374" t="str">
            <v>FLOREZ CONDORI  JOSE WILLIANS</v>
          </cell>
        </row>
        <row r="4375">
          <cell r="A4375">
            <v>4402</v>
          </cell>
          <cell r="B4375">
            <v>42754</v>
          </cell>
          <cell r="C4375" t="str">
            <v>ENERO</v>
          </cell>
          <cell r="D4375" t="str">
            <v>2017</v>
          </cell>
          <cell r="E4375">
            <v>870</v>
          </cell>
          <cell r="F4375" t="str">
            <v>AEJ-949</v>
          </cell>
          <cell r="G4375" t="str">
            <v>CAMIONETA</v>
          </cell>
          <cell r="H4375" t="str">
            <v>LAS BAMBAS</v>
          </cell>
          <cell r="I4375">
            <v>98148</v>
          </cell>
          <cell r="J4375" t="str">
            <v>REPUESTO</v>
          </cell>
          <cell r="K4375" t="str">
            <v>FILTRO DE ACEITE</v>
          </cell>
          <cell r="L4375">
            <v>1</v>
          </cell>
          <cell r="M4375" t="str">
            <v>UNID.</v>
          </cell>
          <cell r="N4375" t="str">
            <v>CAMIONETA</v>
          </cell>
          <cell r="O4375">
            <v>36</v>
          </cell>
          <cell r="P4375" t="str">
            <v>J1</v>
          </cell>
          <cell r="Q4375" t="str">
            <v>J1</v>
          </cell>
          <cell r="R4375" t="str">
            <v>J8</v>
          </cell>
          <cell r="S4375" t="str">
            <v>PENDIENTE</v>
          </cell>
          <cell r="T4375">
            <v>0</v>
          </cell>
          <cell r="U4375" t="str">
            <v>FLOREZ CONDORI  JOSE WILLIANS</v>
          </cell>
          <cell r="V4375" t="str">
            <v>FLOREZ CONDORI  JOSE WILLIANS</v>
          </cell>
        </row>
        <row r="4376">
          <cell r="A4376">
            <v>4403</v>
          </cell>
          <cell r="B4376">
            <v>42754</v>
          </cell>
          <cell r="C4376" t="str">
            <v>ENERO</v>
          </cell>
          <cell r="D4376" t="str">
            <v>2017</v>
          </cell>
          <cell r="E4376">
            <v>870</v>
          </cell>
          <cell r="F4376" t="str">
            <v>AEJ-949</v>
          </cell>
          <cell r="G4376" t="str">
            <v>CAMIONETA</v>
          </cell>
          <cell r="H4376" t="str">
            <v>LAS BAMBAS</v>
          </cell>
          <cell r="I4376">
            <v>98148</v>
          </cell>
          <cell r="J4376" t="str">
            <v>REPUESTO</v>
          </cell>
          <cell r="K4376" t="str">
            <v>ACEITE DE MOTOR 15W40</v>
          </cell>
          <cell r="L4376">
            <v>2</v>
          </cell>
          <cell r="M4376" t="str">
            <v>GLNS.</v>
          </cell>
          <cell r="N4376" t="str">
            <v>CAMIONETA</v>
          </cell>
          <cell r="O4376">
            <v>36</v>
          </cell>
          <cell r="P4376" t="str">
            <v>J1</v>
          </cell>
          <cell r="Q4376" t="str">
            <v>J1</v>
          </cell>
          <cell r="R4376" t="str">
            <v>J8</v>
          </cell>
          <cell r="S4376" t="str">
            <v>PENDIENTE</v>
          </cell>
          <cell r="T4376">
            <v>0</v>
          </cell>
          <cell r="U4376" t="str">
            <v>FLOREZ CONDORI  JOSE WILLIANS</v>
          </cell>
          <cell r="V4376" t="str">
            <v>FLOREZ CONDORI  JOSE WILLIANS</v>
          </cell>
        </row>
        <row r="4377">
          <cell r="A4377">
            <v>4419</v>
          </cell>
          <cell r="B4377">
            <v>42754</v>
          </cell>
          <cell r="C4377" t="str">
            <v>ENERO</v>
          </cell>
          <cell r="D4377" t="str">
            <v>2017</v>
          </cell>
          <cell r="E4377">
            <v>870</v>
          </cell>
          <cell r="F4377" t="str">
            <v>AEJ-949</v>
          </cell>
          <cell r="G4377" t="str">
            <v>CAMIONETA</v>
          </cell>
          <cell r="H4377" t="str">
            <v>LAS BAMBAS</v>
          </cell>
          <cell r="I4377">
            <v>98148</v>
          </cell>
          <cell r="J4377" t="str">
            <v>REPUESTO</v>
          </cell>
          <cell r="K4377" t="str">
            <v>FOCO PÍLOTO DE DOBLE CONTACTO 12V</v>
          </cell>
          <cell r="L4377">
            <v>1</v>
          </cell>
          <cell r="M4377" t="str">
            <v>UNID.</v>
          </cell>
          <cell r="N4377" t="str">
            <v>TRACTO</v>
          </cell>
          <cell r="O4377">
            <v>36</v>
          </cell>
          <cell r="P4377" t="str">
            <v>E3</v>
          </cell>
          <cell r="Q4377" t="str">
            <v>J1</v>
          </cell>
          <cell r="R4377" t="str">
            <v>J8</v>
          </cell>
          <cell r="S4377" t="str">
            <v>PENDIENTE</v>
          </cell>
          <cell r="T4377">
            <v>0</v>
          </cell>
          <cell r="U4377" t="str">
            <v>CONDORI CHURATA ALEX</v>
          </cell>
          <cell r="V4377" t="str">
            <v>FLOREZ CONDORI  JOSE WILLIANS</v>
          </cell>
        </row>
        <row r="4378">
          <cell r="A4378">
            <v>4420</v>
          </cell>
          <cell r="B4378">
            <v>42754</v>
          </cell>
          <cell r="C4378" t="str">
            <v>ENERO</v>
          </cell>
          <cell r="D4378" t="str">
            <v>2017</v>
          </cell>
          <cell r="E4378">
            <v>870</v>
          </cell>
          <cell r="F4378" t="str">
            <v>AEJ-949</v>
          </cell>
          <cell r="G4378" t="str">
            <v>CAMIONETA</v>
          </cell>
          <cell r="H4378" t="str">
            <v>LAS BAMBAS</v>
          </cell>
          <cell r="I4378">
            <v>98148</v>
          </cell>
          <cell r="J4378" t="str">
            <v>MATERIALES</v>
          </cell>
          <cell r="K4378" t="str">
            <v>CINTA AISLANTE NEGRA</v>
          </cell>
          <cell r="L4378">
            <v>1</v>
          </cell>
          <cell r="M4378" t="str">
            <v>UNID.</v>
          </cell>
          <cell r="N4378" t="str">
            <v>TRACTO</v>
          </cell>
          <cell r="O4378">
            <v>36</v>
          </cell>
          <cell r="P4378" t="str">
            <v>E3</v>
          </cell>
          <cell r="Q4378" t="str">
            <v>J1</v>
          </cell>
          <cell r="R4378" t="str">
            <v>J8</v>
          </cell>
          <cell r="S4378" t="str">
            <v>PENDIENTE</v>
          </cell>
          <cell r="T4378">
            <v>0</v>
          </cell>
          <cell r="U4378" t="str">
            <v>CONDORI CHURATA ALEX</v>
          </cell>
          <cell r="V4378" t="str">
            <v>FLOREZ CONDORI  JOSE WILLIANS</v>
          </cell>
        </row>
        <row r="4379">
          <cell r="A4379">
            <v>4392</v>
          </cell>
          <cell r="B4379">
            <v>42754</v>
          </cell>
          <cell r="C4379" t="str">
            <v>ENERO</v>
          </cell>
          <cell r="D4379" t="str">
            <v>2017</v>
          </cell>
          <cell r="E4379">
            <v>866</v>
          </cell>
          <cell r="F4379" t="str">
            <v>AHX-713</v>
          </cell>
          <cell r="G4379" t="str">
            <v>D9S-976</v>
          </cell>
          <cell r="H4379" t="str">
            <v>LAS BAMBAS</v>
          </cell>
          <cell r="I4379">
            <v>62590</v>
          </cell>
          <cell r="J4379" t="str">
            <v>REPUESTO</v>
          </cell>
          <cell r="K4379" t="str">
            <v>SIRENA DE RETRO</v>
          </cell>
          <cell r="L4379">
            <v>1</v>
          </cell>
          <cell r="M4379" t="str">
            <v>UNID.</v>
          </cell>
          <cell r="N4379" t="str">
            <v>CISTERNA</v>
          </cell>
          <cell r="O4379">
            <v>36</v>
          </cell>
          <cell r="P4379" t="str">
            <v>E3</v>
          </cell>
          <cell r="Q4379" t="str">
            <v>J1</v>
          </cell>
          <cell r="R4379" t="str">
            <v>J8</v>
          </cell>
          <cell r="S4379" t="str">
            <v>ENTREGADO</v>
          </cell>
          <cell r="T4379">
            <v>0</v>
          </cell>
          <cell r="U4379" t="str">
            <v>CONDORI CHURATA ALEX</v>
          </cell>
          <cell r="V4379" t="str">
            <v>FLOREZ CONDORI  JOSE WILLIANS</v>
          </cell>
        </row>
        <row r="4380">
          <cell r="A4380">
            <v>4393</v>
          </cell>
          <cell r="B4380">
            <v>42754</v>
          </cell>
          <cell r="C4380" t="str">
            <v>ENERO</v>
          </cell>
          <cell r="D4380" t="str">
            <v>2017</v>
          </cell>
          <cell r="E4380">
            <v>866</v>
          </cell>
          <cell r="F4380" t="str">
            <v>AHX-713</v>
          </cell>
          <cell r="G4380" t="str">
            <v>D9S-976</v>
          </cell>
          <cell r="H4380" t="str">
            <v>LAS BAMBAS</v>
          </cell>
          <cell r="I4380">
            <v>62590</v>
          </cell>
          <cell r="J4380" t="str">
            <v>REPUESTO</v>
          </cell>
          <cell r="K4380" t="str">
            <v>FOCO PILOTO DE 01 CONTACTO 12 V</v>
          </cell>
          <cell r="L4380">
            <v>1</v>
          </cell>
          <cell r="M4380" t="str">
            <v>UNID.</v>
          </cell>
          <cell r="N4380" t="str">
            <v>TRACTO</v>
          </cell>
          <cell r="O4380">
            <v>36</v>
          </cell>
          <cell r="P4380" t="str">
            <v>E3</v>
          </cell>
          <cell r="Q4380" t="str">
            <v>J1</v>
          </cell>
          <cell r="R4380" t="str">
            <v>J8</v>
          </cell>
          <cell r="S4380" t="str">
            <v>ENTREGADO</v>
          </cell>
          <cell r="T4380">
            <v>0</v>
          </cell>
          <cell r="U4380" t="str">
            <v>CONDORI CHURATA ALEX</v>
          </cell>
          <cell r="V4380" t="str">
            <v>FLOREZ CONDORI  JOSE WILLIANS</v>
          </cell>
        </row>
        <row r="4381">
          <cell r="A4381">
            <v>4396</v>
          </cell>
          <cell r="B4381">
            <v>42754</v>
          </cell>
          <cell r="C4381" t="str">
            <v>ENERO</v>
          </cell>
          <cell r="D4381" t="str">
            <v>2017</v>
          </cell>
          <cell r="E4381">
            <v>869</v>
          </cell>
          <cell r="F4381" t="str">
            <v>APG-726</v>
          </cell>
          <cell r="G4381" t="str">
            <v>CAMIONETA</v>
          </cell>
          <cell r="H4381" t="str">
            <v>LAS BAMBAS</v>
          </cell>
          <cell r="I4381">
            <v>10054</v>
          </cell>
          <cell r="J4381" t="str">
            <v>REPUESTO</v>
          </cell>
          <cell r="K4381" t="str">
            <v>FILTRO DE COMBUSTIBLE</v>
          </cell>
          <cell r="L4381">
            <v>1</v>
          </cell>
          <cell r="M4381" t="str">
            <v>UNID.</v>
          </cell>
          <cell r="N4381" t="str">
            <v>CAMIONETA</v>
          </cell>
          <cell r="O4381">
            <v>36</v>
          </cell>
          <cell r="P4381" t="str">
            <v>J1</v>
          </cell>
          <cell r="Q4381" t="str">
            <v>J1</v>
          </cell>
          <cell r="R4381" t="str">
            <v>J8</v>
          </cell>
          <cell r="S4381" t="str">
            <v>PENDIENTE</v>
          </cell>
          <cell r="T4381">
            <v>0</v>
          </cell>
          <cell r="U4381" t="str">
            <v>FLOREZ CONDORI  JOSE WILLIANS</v>
          </cell>
          <cell r="V4381" t="str">
            <v>FLOREZ CONDORI  JOSE WILLIANS</v>
          </cell>
        </row>
        <row r="4382">
          <cell r="A4382">
            <v>4397</v>
          </cell>
          <cell r="B4382">
            <v>42754</v>
          </cell>
          <cell r="C4382" t="str">
            <v>ENERO</v>
          </cell>
          <cell r="D4382" t="str">
            <v>2017</v>
          </cell>
          <cell r="E4382">
            <v>869</v>
          </cell>
          <cell r="F4382" t="str">
            <v>APG-726</v>
          </cell>
          <cell r="G4382" t="str">
            <v>CAMIONETA</v>
          </cell>
          <cell r="H4382" t="str">
            <v>LAS BAMBAS</v>
          </cell>
          <cell r="I4382">
            <v>10054</v>
          </cell>
          <cell r="J4382" t="str">
            <v>REPUESTO</v>
          </cell>
          <cell r="K4382" t="str">
            <v>FILTRO DE AIRE</v>
          </cell>
          <cell r="L4382">
            <v>1</v>
          </cell>
          <cell r="M4382" t="str">
            <v>UNID.</v>
          </cell>
          <cell r="N4382" t="str">
            <v>CAMIONETA</v>
          </cell>
          <cell r="O4382">
            <v>36</v>
          </cell>
          <cell r="P4382" t="str">
            <v>J1</v>
          </cell>
          <cell r="Q4382" t="str">
            <v>J1</v>
          </cell>
          <cell r="R4382" t="str">
            <v>J8</v>
          </cell>
          <cell r="S4382" t="str">
            <v>PENDIENTE</v>
          </cell>
          <cell r="T4382">
            <v>0</v>
          </cell>
          <cell r="U4382" t="str">
            <v>FLOREZ CONDORI  JOSE WILLIANS</v>
          </cell>
          <cell r="V4382" t="str">
            <v>FLOREZ CONDORI  JOSE WILLIANS</v>
          </cell>
        </row>
        <row r="4383">
          <cell r="A4383">
            <v>4398</v>
          </cell>
          <cell r="B4383">
            <v>42754</v>
          </cell>
          <cell r="C4383" t="str">
            <v>ENERO</v>
          </cell>
          <cell r="D4383" t="str">
            <v>2017</v>
          </cell>
          <cell r="E4383">
            <v>869</v>
          </cell>
          <cell r="F4383" t="str">
            <v>APG-726</v>
          </cell>
          <cell r="G4383" t="str">
            <v>CAMIONETA</v>
          </cell>
          <cell r="H4383" t="str">
            <v>LAS BAMBAS</v>
          </cell>
          <cell r="I4383">
            <v>10054</v>
          </cell>
          <cell r="J4383" t="str">
            <v>REPUESTO</v>
          </cell>
          <cell r="K4383" t="str">
            <v>FILTRO DE ACEITE</v>
          </cell>
          <cell r="L4383">
            <v>1</v>
          </cell>
          <cell r="M4383" t="str">
            <v>UNID.</v>
          </cell>
          <cell r="N4383" t="str">
            <v>CAMIONETA</v>
          </cell>
          <cell r="O4383">
            <v>36</v>
          </cell>
          <cell r="P4383" t="str">
            <v>J1</v>
          </cell>
          <cell r="Q4383" t="str">
            <v>J1</v>
          </cell>
          <cell r="R4383" t="str">
            <v>J8</v>
          </cell>
          <cell r="S4383" t="str">
            <v>PENDIENTE</v>
          </cell>
          <cell r="T4383">
            <v>0</v>
          </cell>
          <cell r="U4383" t="str">
            <v>FLOREZ CONDORI  JOSE WILLIANS</v>
          </cell>
          <cell r="V4383" t="str">
            <v>FLOREZ CONDORI  JOSE WILLIANS</v>
          </cell>
        </row>
        <row r="4384">
          <cell r="A4384">
            <v>4399</v>
          </cell>
          <cell r="B4384">
            <v>42754</v>
          </cell>
          <cell r="C4384" t="str">
            <v>ENERO</v>
          </cell>
          <cell r="D4384" t="str">
            <v>2017</v>
          </cell>
          <cell r="E4384">
            <v>869</v>
          </cell>
          <cell r="F4384" t="str">
            <v>APG-726</v>
          </cell>
          <cell r="G4384" t="str">
            <v>CAMIONETA</v>
          </cell>
          <cell r="H4384" t="str">
            <v>LAS BAMBAS</v>
          </cell>
          <cell r="I4384">
            <v>10054</v>
          </cell>
          <cell r="J4384" t="str">
            <v>REPUESTO</v>
          </cell>
          <cell r="K4384" t="str">
            <v>ACEITE DE MOTOR 15W40</v>
          </cell>
          <cell r="L4384">
            <v>2</v>
          </cell>
          <cell r="M4384" t="str">
            <v>GLNS.</v>
          </cell>
          <cell r="N4384" t="str">
            <v>CAMIONETA</v>
          </cell>
          <cell r="O4384">
            <v>36</v>
          </cell>
          <cell r="P4384" t="str">
            <v>J1</v>
          </cell>
          <cell r="Q4384" t="str">
            <v>J1</v>
          </cell>
          <cell r="R4384" t="str">
            <v>J8</v>
          </cell>
          <cell r="S4384" t="str">
            <v>PENDIENTE</v>
          </cell>
          <cell r="T4384">
            <v>0</v>
          </cell>
          <cell r="U4384" t="str">
            <v>FLOREZ CONDORI  JOSE WILLIANS</v>
          </cell>
          <cell r="V4384" t="str">
            <v>FLOREZ CONDORI  JOSE WILLIANS</v>
          </cell>
        </row>
        <row r="4385">
          <cell r="A4385">
            <v>4365</v>
          </cell>
          <cell r="B4385">
            <v>42754</v>
          </cell>
          <cell r="C4385" t="str">
            <v>ENERO</v>
          </cell>
          <cell r="D4385" t="str">
            <v>2017</v>
          </cell>
          <cell r="E4385">
            <v>819</v>
          </cell>
          <cell r="F4385" t="str">
            <v>C4G-751</v>
          </cell>
          <cell r="G4385" t="str">
            <v>CAMIONETA</v>
          </cell>
          <cell r="H4385" t="str">
            <v>LAS BAMBAS</v>
          </cell>
          <cell r="I4385">
            <v>120524</v>
          </cell>
          <cell r="J4385" t="str">
            <v>REPUESTO</v>
          </cell>
          <cell r="K4385" t="str">
            <v>EMPAQUE DE CULATA</v>
          </cell>
          <cell r="L4385">
            <v>1</v>
          </cell>
          <cell r="M4385" t="str">
            <v>UNID.</v>
          </cell>
          <cell r="N4385" t="str">
            <v>CAMIONETA</v>
          </cell>
          <cell r="O4385">
            <v>36</v>
          </cell>
          <cell r="P4385" t="str">
            <v>M6</v>
          </cell>
          <cell r="Q4385" t="str">
            <v>j1</v>
          </cell>
          <cell r="R4385" t="str">
            <v>J8</v>
          </cell>
          <cell r="S4385" t="str">
            <v>PENDIENTE</v>
          </cell>
          <cell r="T4385">
            <v>0</v>
          </cell>
          <cell r="U4385" t="str">
            <v>PARI VENTURA  EDSON ORLANDO</v>
          </cell>
          <cell r="V4385" t="str">
            <v>FLOREZ CONDORI  JOSE WILLIANS</v>
          </cell>
        </row>
        <row r="4386">
          <cell r="A4386">
            <v>4366</v>
          </cell>
          <cell r="B4386">
            <v>42754</v>
          </cell>
          <cell r="C4386" t="str">
            <v>ENERO</v>
          </cell>
          <cell r="D4386" t="str">
            <v>2017</v>
          </cell>
          <cell r="E4386">
            <v>819</v>
          </cell>
          <cell r="F4386" t="str">
            <v>C4G-751</v>
          </cell>
          <cell r="G4386" t="str">
            <v>CAMIONETA</v>
          </cell>
          <cell r="H4386" t="str">
            <v>LAS BAMBAS</v>
          </cell>
          <cell r="I4386">
            <v>120524</v>
          </cell>
          <cell r="J4386" t="str">
            <v>REPUESTO</v>
          </cell>
          <cell r="K4386" t="str">
            <v>EMPAQUE DE TAPA DE BALANCINES</v>
          </cell>
          <cell r="L4386">
            <v>1</v>
          </cell>
          <cell r="M4386" t="str">
            <v>UNID.</v>
          </cell>
          <cell r="N4386" t="str">
            <v>CAMIONETA</v>
          </cell>
          <cell r="O4386">
            <v>36</v>
          </cell>
          <cell r="P4386" t="str">
            <v>M6</v>
          </cell>
          <cell r="Q4386" t="str">
            <v>j1</v>
          </cell>
          <cell r="R4386" t="str">
            <v>J8</v>
          </cell>
          <cell r="S4386" t="str">
            <v>PENDIENTE</v>
          </cell>
          <cell r="T4386">
            <v>0</v>
          </cell>
          <cell r="U4386" t="str">
            <v>PARI VENTURA  EDSON ORLANDO</v>
          </cell>
          <cell r="V4386" t="str">
            <v>FLOREZ CONDORI  JOSE WILLIANS</v>
          </cell>
        </row>
        <row r="4387">
          <cell r="A4387">
            <v>4367</v>
          </cell>
          <cell r="B4387">
            <v>42754</v>
          </cell>
          <cell r="C4387" t="str">
            <v>ENERO</v>
          </cell>
          <cell r="D4387" t="str">
            <v>2017</v>
          </cell>
          <cell r="E4387">
            <v>819</v>
          </cell>
          <cell r="F4387" t="str">
            <v>C4G-751</v>
          </cell>
          <cell r="G4387" t="str">
            <v>CAMIONETA</v>
          </cell>
          <cell r="H4387" t="str">
            <v>LAS BAMBAS</v>
          </cell>
          <cell r="I4387">
            <v>120524</v>
          </cell>
          <cell r="J4387" t="str">
            <v>REPUESTO</v>
          </cell>
          <cell r="K4387" t="str">
            <v>EMPAQUE DE TUBO DE ESCAPE</v>
          </cell>
          <cell r="L4387">
            <v>1</v>
          </cell>
          <cell r="M4387" t="str">
            <v>UNID.</v>
          </cell>
          <cell r="N4387" t="str">
            <v>CAMIONETA</v>
          </cell>
          <cell r="O4387">
            <v>36</v>
          </cell>
          <cell r="P4387" t="str">
            <v>M6</v>
          </cell>
          <cell r="Q4387" t="str">
            <v>j1</v>
          </cell>
          <cell r="R4387" t="str">
            <v>J8</v>
          </cell>
          <cell r="S4387" t="str">
            <v>PENDIENTE</v>
          </cell>
          <cell r="T4387">
            <v>0</v>
          </cell>
          <cell r="U4387" t="str">
            <v>PARI VENTURA  EDSON ORLANDO</v>
          </cell>
          <cell r="V4387" t="str">
            <v>FLOREZ CONDORI  JOSE WILLIANS</v>
          </cell>
        </row>
        <row r="4388">
          <cell r="A4388">
            <v>4368</v>
          </cell>
          <cell r="B4388">
            <v>42754</v>
          </cell>
          <cell r="C4388" t="str">
            <v>ENERO</v>
          </cell>
          <cell r="D4388" t="str">
            <v>2017</v>
          </cell>
          <cell r="E4388">
            <v>819</v>
          </cell>
          <cell r="F4388" t="str">
            <v>C4G-751</v>
          </cell>
          <cell r="G4388" t="str">
            <v>CAMIONETA</v>
          </cell>
          <cell r="H4388" t="str">
            <v>LAS BAMBAS</v>
          </cell>
          <cell r="I4388">
            <v>120524</v>
          </cell>
          <cell r="J4388" t="str">
            <v>REPUESTO</v>
          </cell>
          <cell r="K4388" t="str">
            <v>FAJA DE DISTRIBUCION</v>
          </cell>
          <cell r="L4388">
            <v>1</v>
          </cell>
          <cell r="M4388" t="str">
            <v>UNID.</v>
          </cell>
          <cell r="N4388" t="str">
            <v>CAMIONETA</v>
          </cell>
          <cell r="O4388">
            <v>36</v>
          </cell>
          <cell r="P4388" t="str">
            <v>M6</v>
          </cell>
          <cell r="Q4388" t="str">
            <v>j1</v>
          </cell>
          <cell r="R4388" t="str">
            <v>J8</v>
          </cell>
          <cell r="S4388" t="str">
            <v>PENDIENTE</v>
          </cell>
          <cell r="T4388">
            <v>0</v>
          </cell>
          <cell r="U4388" t="str">
            <v>PARI VENTURA  EDSON ORLANDO</v>
          </cell>
          <cell r="V4388" t="str">
            <v>FLOREZ CONDORI  JOSE WILLIANS</v>
          </cell>
        </row>
        <row r="4389">
          <cell r="A4389">
            <v>4369</v>
          </cell>
          <cell r="B4389">
            <v>42754</v>
          </cell>
          <cell r="C4389" t="str">
            <v>ENERO</v>
          </cell>
          <cell r="D4389" t="str">
            <v>2017</v>
          </cell>
          <cell r="E4389">
            <v>819</v>
          </cell>
          <cell r="F4389" t="str">
            <v>C4G-751</v>
          </cell>
          <cell r="G4389" t="str">
            <v>CAMIONETA</v>
          </cell>
          <cell r="H4389" t="str">
            <v>LAS BAMBAS</v>
          </cell>
          <cell r="I4389">
            <v>120524</v>
          </cell>
          <cell r="J4389" t="str">
            <v>REPUESTO</v>
          </cell>
          <cell r="K4389" t="str">
            <v>TERMOSTATO</v>
          </cell>
          <cell r="L4389">
            <v>1</v>
          </cell>
          <cell r="M4389" t="str">
            <v>UNID.</v>
          </cell>
          <cell r="N4389" t="str">
            <v>CAMIONETA</v>
          </cell>
          <cell r="O4389">
            <v>36</v>
          </cell>
          <cell r="P4389" t="str">
            <v>M6</v>
          </cell>
          <cell r="Q4389" t="str">
            <v>j1</v>
          </cell>
          <cell r="R4389" t="str">
            <v>J8</v>
          </cell>
          <cell r="S4389" t="str">
            <v>PENDIENTE</v>
          </cell>
          <cell r="T4389">
            <v>0</v>
          </cell>
          <cell r="U4389" t="str">
            <v>PARI VENTURA  EDSON ORLANDO</v>
          </cell>
          <cell r="V4389" t="str">
            <v>FLOREZ CONDORI  JOSE WILLIANS</v>
          </cell>
        </row>
        <row r="4390">
          <cell r="A4390">
            <v>4370</v>
          </cell>
          <cell r="B4390">
            <v>42754</v>
          </cell>
          <cell r="C4390" t="str">
            <v>ENERO</v>
          </cell>
          <cell r="D4390" t="str">
            <v>2017</v>
          </cell>
          <cell r="E4390">
            <v>819</v>
          </cell>
          <cell r="F4390" t="str">
            <v>C4G-751</v>
          </cell>
          <cell r="G4390" t="str">
            <v>CAMIONETA</v>
          </cell>
          <cell r="H4390" t="str">
            <v>LAS BAMBAS</v>
          </cell>
          <cell r="I4390">
            <v>120524</v>
          </cell>
          <cell r="J4390" t="str">
            <v>REPUESTO</v>
          </cell>
          <cell r="K4390" t="str">
            <v>JUEGO DE ZAPATAS</v>
          </cell>
          <cell r="L4390">
            <v>1</v>
          </cell>
          <cell r="M4390" t="str">
            <v>JUEGO</v>
          </cell>
          <cell r="N4390" t="str">
            <v>CAMIONETA</v>
          </cell>
          <cell r="O4390">
            <v>36</v>
          </cell>
          <cell r="P4390" t="str">
            <v>M6</v>
          </cell>
          <cell r="Q4390" t="str">
            <v>j1</v>
          </cell>
          <cell r="R4390" t="str">
            <v>J8</v>
          </cell>
          <cell r="S4390" t="str">
            <v>PENDIENTE</v>
          </cell>
          <cell r="T4390">
            <v>0</v>
          </cell>
          <cell r="U4390" t="str">
            <v>PARI VENTURA  EDSON ORLANDO</v>
          </cell>
          <cell r="V4390" t="str">
            <v>FLOREZ CONDORI  JOSE WILLIANS</v>
          </cell>
        </row>
        <row r="4391">
          <cell r="A4391">
            <v>4434</v>
          </cell>
          <cell r="B4391">
            <v>42754</v>
          </cell>
          <cell r="C4391" t="str">
            <v>ENERO</v>
          </cell>
          <cell r="D4391" t="str">
            <v>2017</v>
          </cell>
          <cell r="E4391">
            <v>842</v>
          </cell>
          <cell r="F4391" t="str">
            <v>C5R-895</v>
          </cell>
          <cell r="G4391" t="str">
            <v>TBL-976</v>
          </cell>
          <cell r="H4391" t="str">
            <v>LAS BAMBAS</v>
          </cell>
          <cell r="I4391">
            <v>174179</v>
          </cell>
          <cell r="J4391" t="str">
            <v>REPUESTO</v>
          </cell>
          <cell r="K4391" t="str">
            <v>ABRAZADERA DE PAQUETE DE MUELLE 7/8 * 15" * 3 1/2" / COMPLETO</v>
          </cell>
          <cell r="L4391">
            <v>2</v>
          </cell>
          <cell r="M4391" t="str">
            <v>UNID.</v>
          </cell>
          <cell r="N4391" t="str">
            <v>CISTERNA</v>
          </cell>
          <cell r="O4391">
            <v>36</v>
          </cell>
          <cell r="P4391" t="str">
            <v>M5</v>
          </cell>
          <cell r="Q4391" t="str">
            <v>J1</v>
          </cell>
          <cell r="R4391" t="str">
            <v>J8</v>
          </cell>
          <cell r="S4391" t="str">
            <v>PENDIENTE</v>
          </cell>
          <cell r="T4391">
            <v>0</v>
          </cell>
          <cell r="U4391" t="str">
            <v>LOPEZ RUIZ WILBERTO</v>
          </cell>
          <cell r="V4391" t="str">
            <v>FLOREZ CONDORI  JOSE WILLIANS</v>
          </cell>
        </row>
        <row r="4392">
          <cell r="A4392">
            <v>4435</v>
          </cell>
          <cell r="B4392">
            <v>42754</v>
          </cell>
          <cell r="C4392" t="str">
            <v>ENERO</v>
          </cell>
          <cell r="D4392" t="str">
            <v>2017</v>
          </cell>
          <cell r="E4392">
            <v>842</v>
          </cell>
          <cell r="F4392" t="str">
            <v>C5R-895</v>
          </cell>
          <cell r="G4392" t="str">
            <v>TBL-976</v>
          </cell>
          <cell r="H4392" t="str">
            <v>LAS BAMBAS</v>
          </cell>
          <cell r="I4392">
            <v>174179</v>
          </cell>
          <cell r="J4392" t="str">
            <v>REPUESTO</v>
          </cell>
          <cell r="K4392" t="str">
            <v>PERNO CENTRO 1/2 X 7" CON TUERCA</v>
          </cell>
          <cell r="L4392">
            <v>1</v>
          </cell>
          <cell r="M4392" t="str">
            <v>UNID.</v>
          </cell>
          <cell r="N4392" t="str">
            <v>CISTERNA</v>
          </cell>
          <cell r="O4392">
            <v>36</v>
          </cell>
          <cell r="P4392" t="str">
            <v>M5</v>
          </cell>
          <cell r="Q4392" t="str">
            <v>J1</v>
          </cell>
          <cell r="R4392" t="str">
            <v>J8</v>
          </cell>
          <cell r="S4392" t="str">
            <v>PENDIENTE</v>
          </cell>
          <cell r="T4392">
            <v>0</v>
          </cell>
          <cell r="U4392" t="str">
            <v>LOPEZ RUIZ WILBERTO</v>
          </cell>
          <cell r="V4392" t="str">
            <v>FLOREZ CONDORI  JOSE WILLIANS</v>
          </cell>
        </row>
        <row r="4393">
          <cell r="A4393">
            <v>4436</v>
          </cell>
          <cell r="B4393">
            <v>42754</v>
          </cell>
          <cell r="C4393" t="str">
            <v>ENERO</v>
          </cell>
          <cell r="D4393" t="str">
            <v>2017</v>
          </cell>
          <cell r="E4393">
            <v>842</v>
          </cell>
          <cell r="F4393" t="str">
            <v>C5R-895</v>
          </cell>
          <cell r="G4393" t="str">
            <v>TBL-976</v>
          </cell>
          <cell r="H4393" t="str">
            <v>LAS BAMBAS</v>
          </cell>
          <cell r="I4393">
            <v>174179</v>
          </cell>
          <cell r="J4393" t="str">
            <v>REPUESTO</v>
          </cell>
          <cell r="K4393" t="str">
            <v xml:space="preserve">PERNO 5/8 X 6" </v>
          </cell>
          <cell r="L4393">
            <v>1</v>
          </cell>
          <cell r="M4393" t="str">
            <v>UNID.</v>
          </cell>
          <cell r="N4393" t="str">
            <v>CISTERNA</v>
          </cell>
          <cell r="O4393">
            <v>36</v>
          </cell>
          <cell r="P4393" t="str">
            <v>M4</v>
          </cell>
          <cell r="Q4393" t="str">
            <v>J1</v>
          </cell>
          <cell r="R4393" t="str">
            <v>J8</v>
          </cell>
          <cell r="S4393" t="str">
            <v>PENDIENTE</v>
          </cell>
          <cell r="T4393">
            <v>0</v>
          </cell>
          <cell r="U4393" t="str">
            <v>JULLIRI APAZA UBALDO</v>
          </cell>
          <cell r="V4393" t="str">
            <v>FLOREZ CONDORI  JOSE WILLIANS</v>
          </cell>
        </row>
        <row r="4394">
          <cell r="A4394">
            <v>4437</v>
          </cell>
          <cell r="B4394">
            <v>42754</v>
          </cell>
          <cell r="C4394" t="str">
            <v>ENERO</v>
          </cell>
          <cell r="D4394" t="str">
            <v>2017</v>
          </cell>
          <cell r="E4394">
            <v>842</v>
          </cell>
          <cell r="F4394" t="str">
            <v>C5R-895</v>
          </cell>
          <cell r="G4394" t="str">
            <v>TBL-976</v>
          </cell>
          <cell r="H4394" t="str">
            <v>LAS BAMBAS</v>
          </cell>
          <cell r="I4394">
            <v>174179</v>
          </cell>
          <cell r="J4394" t="str">
            <v>REPUESTO</v>
          </cell>
          <cell r="K4394" t="str">
            <v>ARANDELA PLANA 5/8</v>
          </cell>
          <cell r="L4394">
            <v>2</v>
          </cell>
          <cell r="M4394" t="str">
            <v>UNID.</v>
          </cell>
          <cell r="N4394" t="str">
            <v>CISTERNA</v>
          </cell>
          <cell r="O4394">
            <v>36</v>
          </cell>
          <cell r="P4394" t="str">
            <v>M4</v>
          </cell>
          <cell r="Q4394" t="str">
            <v>J1</v>
          </cell>
          <cell r="R4394" t="str">
            <v>J8</v>
          </cell>
          <cell r="S4394" t="str">
            <v>PENDIENTE</v>
          </cell>
          <cell r="T4394">
            <v>0</v>
          </cell>
          <cell r="U4394" t="str">
            <v>JULLIRI APAZA UBALDO</v>
          </cell>
          <cell r="V4394" t="str">
            <v>FLOREZ CONDORI  JOSE WILLIANS</v>
          </cell>
        </row>
        <row r="4395">
          <cell r="A4395">
            <v>4438</v>
          </cell>
          <cell r="B4395">
            <v>42754</v>
          </cell>
          <cell r="C4395" t="str">
            <v>ENERO</v>
          </cell>
          <cell r="D4395" t="str">
            <v>2017</v>
          </cell>
          <cell r="E4395">
            <v>842</v>
          </cell>
          <cell r="F4395" t="str">
            <v>C5R-895</v>
          </cell>
          <cell r="G4395" t="str">
            <v>TBL-976</v>
          </cell>
          <cell r="H4395" t="str">
            <v>LAS BAMBAS</v>
          </cell>
          <cell r="I4395">
            <v>174179</v>
          </cell>
          <cell r="J4395" t="str">
            <v>REPUESTO</v>
          </cell>
          <cell r="K4395" t="str">
            <v>TUERCA DE SEGURO DE 5/8</v>
          </cell>
          <cell r="L4395">
            <v>1</v>
          </cell>
          <cell r="M4395" t="str">
            <v>UNID.</v>
          </cell>
          <cell r="N4395" t="str">
            <v>CISTERNA</v>
          </cell>
          <cell r="O4395">
            <v>36</v>
          </cell>
          <cell r="P4395" t="str">
            <v>M4</v>
          </cell>
          <cell r="Q4395" t="str">
            <v>J1</v>
          </cell>
          <cell r="R4395" t="str">
            <v>J8</v>
          </cell>
          <cell r="S4395" t="str">
            <v>PENDIENTE</v>
          </cell>
          <cell r="T4395">
            <v>0</v>
          </cell>
          <cell r="U4395" t="str">
            <v>JULLIRI APAZA UBALDO</v>
          </cell>
          <cell r="V4395" t="str">
            <v>FLOREZ CONDORI  JOSE WILLIANS</v>
          </cell>
        </row>
        <row r="4396">
          <cell r="A4396">
            <v>4439</v>
          </cell>
          <cell r="B4396">
            <v>42754</v>
          </cell>
          <cell r="C4396" t="str">
            <v>ENERO</v>
          </cell>
          <cell r="D4396" t="str">
            <v>2017</v>
          </cell>
          <cell r="E4396">
            <v>842</v>
          </cell>
          <cell r="F4396" t="str">
            <v>C5R-895</v>
          </cell>
          <cell r="G4396" t="str">
            <v>TBL-976</v>
          </cell>
          <cell r="H4396" t="str">
            <v>LAS BAMBAS</v>
          </cell>
          <cell r="I4396">
            <v>174179</v>
          </cell>
          <cell r="J4396" t="str">
            <v>REPUESTO</v>
          </cell>
          <cell r="K4396" t="str">
            <v>CORREA DE ALTERNADOR</v>
          </cell>
          <cell r="L4396">
            <v>1</v>
          </cell>
          <cell r="M4396" t="str">
            <v>UNID.</v>
          </cell>
          <cell r="N4396" t="str">
            <v>TRACTO</v>
          </cell>
          <cell r="O4396">
            <v>36</v>
          </cell>
          <cell r="P4396" t="str">
            <v>M4</v>
          </cell>
          <cell r="Q4396" t="str">
            <v>J1</v>
          </cell>
          <cell r="R4396" t="str">
            <v>J8</v>
          </cell>
          <cell r="S4396" t="str">
            <v>PENDIENTE</v>
          </cell>
          <cell r="T4396">
            <v>0</v>
          </cell>
          <cell r="U4396" t="str">
            <v>JULLIRI APAZA UBALDO</v>
          </cell>
          <cell r="V4396" t="str">
            <v>FLOREZ CONDORI  JOSE WILLIANS</v>
          </cell>
        </row>
        <row r="4397">
          <cell r="A4397">
            <v>4423</v>
          </cell>
          <cell r="B4397">
            <v>42754</v>
          </cell>
          <cell r="C4397" t="str">
            <v>ENERO</v>
          </cell>
          <cell r="D4397" t="str">
            <v>2017</v>
          </cell>
          <cell r="E4397">
            <v>867</v>
          </cell>
          <cell r="F4397" t="str">
            <v>C5R-899</v>
          </cell>
          <cell r="G4397" t="str">
            <v>A0U-978</v>
          </cell>
          <cell r="H4397" t="str">
            <v>LAS BAMBAS</v>
          </cell>
          <cell r="I4397">
            <v>260960</v>
          </cell>
          <cell r="J4397" t="str">
            <v>SERVICIO</v>
          </cell>
          <cell r="K4397" t="str">
            <v>SERVICIO DE TAPIZADO</v>
          </cell>
          <cell r="L4397">
            <v>1</v>
          </cell>
          <cell r="M4397" t="str">
            <v>UNID.</v>
          </cell>
          <cell r="N4397" t="str">
            <v>TRACTO</v>
          </cell>
          <cell r="O4397">
            <v>36</v>
          </cell>
          <cell r="P4397" t="str">
            <v>J1</v>
          </cell>
          <cell r="Q4397" t="str">
            <v>J1</v>
          </cell>
          <cell r="R4397" t="str">
            <v>J8</v>
          </cell>
          <cell r="S4397" t="str">
            <v>ENTREGADO</v>
          </cell>
          <cell r="T4397">
            <v>0</v>
          </cell>
          <cell r="U4397" t="str">
            <v>FLOREZ CONDORI  JOSE WILLIANS</v>
          </cell>
          <cell r="V4397" t="str">
            <v>FLOREZ CONDORI  JOSE WILLIANS</v>
          </cell>
        </row>
        <row r="4398">
          <cell r="A4398">
            <v>4424</v>
          </cell>
          <cell r="B4398">
            <v>42754</v>
          </cell>
          <cell r="C4398" t="str">
            <v>ENERO</v>
          </cell>
          <cell r="D4398" t="str">
            <v>2017</v>
          </cell>
          <cell r="E4398">
            <v>867</v>
          </cell>
          <cell r="F4398" t="str">
            <v>C5R-899</v>
          </cell>
          <cell r="G4398" t="str">
            <v>A0U-978</v>
          </cell>
          <cell r="H4398" t="str">
            <v>LAS BAMBAS</v>
          </cell>
          <cell r="I4398">
            <v>260960</v>
          </cell>
          <cell r="J4398" t="str">
            <v>SERVICIO</v>
          </cell>
          <cell r="K4398" t="str">
            <v>SERVICIO DE REPARACION DE RADIADOR</v>
          </cell>
          <cell r="L4398">
            <v>1</v>
          </cell>
          <cell r="M4398" t="str">
            <v>UNID.</v>
          </cell>
          <cell r="N4398" t="str">
            <v>TRACTO</v>
          </cell>
          <cell r="O4398">
            <v>36</v>
          </cell>
          <cell r="P4398" t="str">
            <v>J1</v>
          </cell>
          <cell r="Q4398" t="str">
            <v>J1</v>
          </cell>
          <cell r="R4398" t="str">
            <v>J8</v>
          </cell>
          <cell r="S4398" t="str">
            <v>PENDIENTE</v>
          </cell>
          <cell r="T4398">
            <v>0</v>
          </cell>
          <cell r="U4398" t="str">
            <v>FLOREZ CONDORI  JOSE WILLIANS</v>
          </cell>
          <cell r="V4398" t="str">
            <v>FLOREZ CONDORI  JOSE WILLIANS</v>
          </cell>
        </row>
        <row r="4399">
          <cell r="A4399">
            <v>4418</v>
          </cell>
          <cell r="B4399">
            <v>42754</v>
          </cell>
          <cell r="C4399" t="str">
            <v>ENERO</v>
          </cell>
          <cell r="D4399" t="str">
            <v>2017</v>
          </cell>
          <cell r="E4399">
            <v>865</v>
          </cell>
          <cell r="F4399" t="str">
            <v>C9P-948</v>
          </cell>
          <cell r="G4399" t="str">
            <v>B4O-995</v>
          </cell>
          <cell r="H4399" t="str">
            <v>LAS BAMBAS</v>
          </cell>
          <cell r="I4399">
            <v>161210</v>
          </cell>
          <cell r="J4399" t="str">
            <v>REPUESTO</v>
          </cell>
          <cell r="K4399" t="str">
            <v>FAROS NEBLINEROS</v>
          </cell>
          <cell r="L4399">
            <v>2</v>
          </cell>
          <cell r="M4399" t="str">
            <v>UNID.</v>
          </cell>
          <cell r="N4399" t="str">
            <v>TRACTO</v>
          </cell>
          <cell r="O4399">
            <v>36</v>
          </cell>
          <cell r="P4399" t="str">
            <v>E2</v>
          </cell>
          <cell r="Q4399" t="str">
            <v>J1</v>
          </cell>
          <cell r="R4399" t="str">
            <v>J6</v>
          </cell>
          <cell r="S4399" t="str">
            <v>PENDIENTE</v>
          </cell>
          <cell r="T4399">
            <v>0</v>
          </cell>
          <cell r="U4399" t="str">
            <v>YUCA BELLIDO BORIS YERSY</v>
          </cell>
          <cell r="V4399" t="str">
            <v>FLOREZ CONDORI  JOSE WILLIANS</v>
          </cell>
        </row>
        <row r="4400">
          <cell r="A4400">
            <v>4427</v>
          </cell>
          <cell r="B4400">
            <v>42754</v>
          </cell>
          <cell r="C4400" t="str">
            <v>ENERO</v>
          </cell>
          <cell r="D4400" t="str">
            <v>2017</v>
          </cell>
          <cell r="E4400">
            <v>865</v>
          </cell>
          <cell r="F4400" t="str">
            <v>C9P-948</v>
          </cell>
          <cell r="G4400" t="str">
            <v>B4O-995</v>
          </cell>
          <cell r="H4400" t="str">
            <v>LAS BAMBAS</v>
          </cell>
          <cell r="I4400">
            <v>161210</v>
          </cell>
          <cell r="J4400" t="str">
            <v>REPUESTO</v>
          </cell>
          <cell r="K4400" t="str">
            <v>ACEITE 15W40</v>
          </cell>
          <cell r="L4400">
            <v>0.5</v>
          </cell>
          <cell r="M4400" t="str">
            <v>GLNS.</v>
          </cell>
          <cell r="N4400" t="str">
            <v>TRACTO</v>
          </cell>
          <cell r="O4400">
            <v>36</v>
          </cell>
          <cell r="P4400" t="str">
            <v>M8</v>
          </cell>
          <cell r="Q4400" t="str">
            <v>J1</v>
          </cell>
          <cell r="R4400" t="str">
            <v>J6</v>
          </cell>
          <cell r="S4400" t="str">
            <v>PENDIENTE</v>
          </cell>
          <cell r="T4400">
            <v>0</v>
          </cell>
          <cell r="U4400" t="str">
            <v>VARILLAS GAGO  OSCAR ALBERTO</v>
          </cell>
          <cell r="V4400" t="str">
            <v>FLOREZ CONDORI  JOSE WILLIANS</v>
          </cell>
        </row>
        <row r="4401">
          <cell r="A4401">
            <v>4428</v>
          </cell>
          <cell r="B4401">
            <v>42754</v>
          </cell>
          <cell r="C4401" t="str">
            <v>ENERO</v>
          </cell>
          <cell r="D4401" t="str">
            <v>2017</v>
          </cell>
          <cell r="E4401">
            <v>865</v>
          </cell>
          <cell r="F4401" t="str">
            <v>C9P-948</v>
          </cell>
          <cell r="G4401" t="str">
            <v>B4O-995</v>
          </cell>
          <cell r="H4401" t="str">
            <v>LAS BAMBAS</v>
          </cell>
          <cell r="I4401">
            <v>161210</v>
          </cell>
          <cell r="J4401" t="str">
            <v>REPUESTO</v>
          </cell>
          <cell r="K4401" t="str">
            <v>LIQUIDO LIMPIAPARABRISAS</v>
          </cell>
          <cell r="L4401">
            <v>1</v>
          </cell>
          <cell r="M4401" t="str">
            <v>GLNS.</v>
          </cell>
          <cell r="N4401" t="str">
            <v>TRACTO</v>
          </cell>
          <cell r="O4401">
            <v>36</v>
          </cell>
          <cell r="P4401" t="str">
            <v>M8</v>
          </cell>
          <cell r="Q4401" t="str">
            <v>J1</v>
          </cell>
          <cell r="R4401" t="str">
            <v>J6</v>
          </cell>
          <cell r="S4401" t="str">
            <v>PENDIENTE</v>
          </cell>
          <cell r="T4401">
            <v>0</v>
          </cell>
          <cell r="U4401" t="str">
            <v>VARILLAS GAGO  OSCAR ALBERTO</v>
          </cell>
          <cell r="V4401" t="str">
            <v>FLOREZ CONDORI  JOSE WILLIANS</v>
          </cell>
        </row>
        <row r="4402">
          <cell r="A4402">
            <v>4429</v>
          </cell>
          <cell r="B4402">
            <v>42754</v>
          </cell>
          <cell r="C4402" t="str">
            <v>ENERO</v>
          </cell>
          <cell r="D4402" t="str">
            <v>2017</v>
          </cell>
          <cell r="E4402">
            <v>865</v>
          </cell>
          <cell r="F4402" t="str">
            <v>C9P-948</v>
          </cell>
          <cell r="G4402" t="str">
            <v>B4O-995</v>
          </cell>
          <cell r="H4402" t="str">
            <v>LAS BAMBAS</v>
          </cell>
          <cell r="I4402">
            <v>161210</v>
          </cell>
          <cell r="J4402" t="str">
            <v>REPUESTO</v>
          </cell>
          <cell r="K4402" t="str">
            <v>NIPLES 3/8 X 3/8</v>
          </cell>
          <cell r="L4402">
            <v>2</v>
          </cell>
          <cell r="M4402" t="str">
            <v>UNID.</v>
          </cell>
          <cell r="N4402" t="str">
            <v>CISTERNA</v>
          </cell>
          <cell r="O4402">
            <v>36</v>
          </cell>
          <cell r="P4402" t="str">
            <v>M8</v>
          </cell>
          <cell r="Q4402" t="str">
            <v>J1</v>
          </cell>
          <cell r="R4402" t="str">
            <v>J6</v>
          </cell>
          <cell r="S4402" t="str">
            <v>PENDIENTE</v>
          </cell>
          <cell r="T4402">
            <v>0</v>
          </cell>
          <cell r="U4402" t="str">
            <v>VARILLAS GAGO  OSCAR ALBERTO</v>
          </cell>
          <cell r="V4402" t="str">
            <v>FLOREZ CONDORI  JOSE WILLIANS</v>
          </cell>
        </row>
        <row r="4403">
          <cell r="A4403">
            <v>4430</v>
          </cell>
          <cell r="B4403">
            <v>42754</v>
          </cell>
          <cell r="C4403" t="str">
            <v>ENERO</v>
          </cell>
          <cell r="D4403" t="str">
            <v>2017</v>
          </cell>
          <cell r="E4403">
            <v>865</v>
          </cell>
          <cell r="F4403" t="str">
            <v>C9P-948</v>
          </cell>
          <cell r="G4403" t="str">
            <v>B4O-995</v>
          </cell>
          <cell r="H4403" t="str">
            <v>LAS BAMBAS</v>
          </cell>
          <cell r="I4403">
            <v>161210</v>
          </cell>
          <cell r="J4403" t="str">
            <v>REPUESTO</v>
          </cell>
          <cell r="K4403" t="str">
            <v>CONO 3/8</v>
          </cell>
          <cell r="L4403">
            <v>5</v>
          </cell>
          <cell r="M4403" t="str">
            <v>UNID.</v>
          </cell>
          <cell r="N4403" t="str">
            <v>CISTERNA</v>
          </cell>
          <cell r="O4403">
            <v>36</v>
          </cell>
          <cell r="P4403" t="str">
            <v>M8</v>
          </cell>
          <cell r="Q4403" t="str">
            <v>J1</v>
          </cell>
          <cell r="R4403" t="str">
            <v>J6</v>
          </cell>
          <cell r="S4403" t="str">
            <v>PENDIENTE</v>
          </cell>
          <cell r="T4403">
            <v>0</v>
          </cell>
          <cell r="U4403" t="str">
            <v>VARILLAS GAGO  OSCAR ALBERTO</v>
          </cell>
          <cell r="V4403" t="str">
            <v>FLOREZ CONDORI  JOSE WILLIANS</v>
          </cell>
        </row>
        <row r="4404">
          <cell r="A4404">
            <v>4431</v>
          </cell>
          <cell r="B4404">
            <v>42754</v>
          </cell>
          <cell r="C4404" t="str">
            <v>ENERO</v>
          </cell>
          <cell r="D4404" t="str">
            <v>2017</v>
          </cell>
          <cell r="E4404">
            <v>865</v>
          </cell>
          <cell r="F4404" t="str">
            <v>C9P-948</v>
          </cell>
          <cell r="G4404" t="str">
            <v>B4O-995</v>
          </cell>
          <cell r="H4404" t="str">
            <v>LAS BAMBAS</v>
          </cell>
          <cell r="I4404">
            <v>161210</v>
          </cell>
          <cell r="J4404" t="str">
            <v>REPUESTO</v>
          </cell>
          <cell r="K4404" t="str">
            <v>GUIA 3/8</v>
          </cell>
          <cell r="L4404">
            <v>5</v>
          </cell>
          <cell r="M4404" t="str">
            <v>UNID.</v>
          </cell>
          <cell r="N4404" t="str">
            <v>CISTERNA</v>
          </cell>
          <cell r="O4404">
            <v>36</v>
          </cell>
          <cell r="P4404" t="str">
            <v>M8</v>
          </cell>
          <cell r="Q4404" t="str">
            <v>J1</v>
          </cell>
          <cell r="R4404" t="str">
            <v>J6</v>
          </cell>
          <cell r="S4404" t="str">
            <v>PENDIENTE</v>
          </cell>
          <cell r="T4404">
            <v>0</v>
          </cell>
          <cell r="U4404" t="str">
            <v>VARILLAS GAGO  OSCAR ALBERTO</v>
          </cell>
          <cell r="V4404" t="str">
            <v>FLOREZ CONDORI  JOSE WILLIANS</v>
          </cell>
        </row>
        <row r="4405">
          <cell r="A4405">
            <v>4432</v>
          </cell>
          <cell r="B4405">
            <v>42754</v>
          </cell>
          <cell r="C4405" t="str">
            <v>ENERO</v>
          </cell>
          <cell r="D4405" t="str">
            <v>2017</v>
          </cell>
          <cell r="E4405">
            <v>865</v>
          </cell>
          <cell r="F4405" t="str">
            <v>C9P-948</v>
          </cell>
          <cell r="G4405" t="str">
            <v>B4O-995</v>
          </cell>
          <cell r="H4405" t="str">
            <v>LAS BAMBAS</v>
          </cell>
          <cell r="I4405">
            <v>161210</v>
          </cell>
          <cell r="J4405" t="str">
            <v>REPUESTO</v>
          </cell>
          <cell r="K4405" t="str">
            <v>TUERCA 3/8</v>
          </cell>
          <cell r="L4405">
            <v>5</v>
          </cell>
          <cell r="M4405" t="str">
            <v>UNID.</v>
          </cell>
          <cell r="N4405" t="str">
            <v>CISTERNA</v>
          </cell>
          <cell r="O4405">
            <v>36</v>
          </cell>
          <cell r="P4405" t="str">
            <v>M8</v>
          </cell>
          <cell r="Q4405" t="str">
            <v>J1</v>
          </cell>
          <cell r="R4405" t="str">
            <v>J6</v>
          </cell>
          <cell r="S4405" t="str">
            <v>PENDIENTE</v>
          </cell>
          <cell r="T4405">
            <v>0</v>
          </cell>
          <cell r="U4405" t="str">
            <v>VARILLAS GAGO  OSCAR ALBERTO</v>
          </cell>
          <cell r="V4405" t="str">
            <v>FLOREZ CONDORI  JOSE WILLIANS</v>
          </cell>
        </row>
        <row r="4406">
          <cell r="A4406">
            <v>4433</v>
          </cell>
          <cell r="B4406">
            <v>42754</v>
          </cell>
          <cell r="C4406" t="str">
            <v>ENERO</v>
          </cell>
          <cell r="D4406" t="str">
            <v>2017</v>
          </cell>
          <cell r="E4406">
            <v>865</v>
          </cell>
          <cell r="F4406" t="str">
            <v>C9P-948</v>
          </cell>
          <cell r="G4406" t="str">
            <v>B4O-995</v>
          </cell>
          <cell r="H4406" t="str">
            <v>LAS BAMBAS</v>
          </cell>
          <cell r="I4406">
            <v>161210</v>
          </cell>
          <cell r="J4406" t="str">
            <v>REPUESTO</v>
          </cell>
          <cell r="K4406" t="str">
            <v>NIPLE 1/4 X 3/8</v>
          </cell>
          <cell r="L4406">
            <v>3</v>
          </cell>
          <cell r="M4406" t="str">
            <v>UNID.</v>
          </cell>
          <cell r="N4406" t="str">
            <v>CISTERNA</v>
          </cell>
          <cell r="O4406">
            <v>36</v>
          </cell>
          <cell r="P4406" t="str">
            <v>M8</v>
          </cell>
          <cell r="Q4406" t="str">
            <v>J1</v>
          </cell>
          <cell r="R4406" t="str">
            <v>J6</v>
          </cell>
          <cell r="S4406" t="str">
            <v>PENDIENTE</v>
          </cell>
          <cell r="T4406">
            <v>0</v>
          </cell>
          <cell r="U4406" t="str">
            <v>VARILLAS GAGO  OSCAR ALBERTO</v>
          </cell>
          <cell r="V4406" t="str">
            <v>FLOREZ CONDORI  JOSE WILLIANS</v>
          </cell>
        </row>
        <row r="4407">
          <cell r="A4407">
            <v>4378</v>
          </cell>
          <cell r="B4407">
            <v>42754</v>
          </cell>
          <cell r="C4407" t="str">
            <v>ENERO</v>
          </cell>
          <cell r="D4407" t="str">
            <v>2017</v>
          </cell>
          <cell r="E4407">
            <v>864</v>
          </cell>
          <cell r="F4407" t="str">
            <v>D3N-721</v>
          </cell>
          <cell r="G4407" t="str">
            <v>C4S-979</v>
          </cell>
          <cell r="H4407" t="str">
            <v>LAS BAMBAS</v>
          </cell>
          <cell r="I4407">
            <v>1421170</v>
          </cell>
          <cell r="J4407" t="str">
            <v>REPUESTO</v>
          </cell>
          <cell r="K4407" t="str">
            <v>ACEITE 15W40</v>
          </cell>
          <cell r="L4407">
            <v>10</v>
          </cell>
          <cell r="M4407" t="str">
            <v>GLNS.</v>
          </cell>
          <cell r="N4407" t="str">
            <v>TRACTO</v>
          </cell>
          <cell r="O4407">
            <v>36</v>
          </cell>
          <cell r="P4407" t="str">
            <v>M1</v>
          </cell>
          <cell r="Q4407" t="str">
            <v>J1</v>
          </cell>
          <cell r="R4407" t="str">
            <v>J6</v>
          </cell>
          <cell r="S4407" t="str">
            <v>ENTREGADO</v>
          </cell>
          <cell r="T4407">
            <v>0</v>
          </cell>
          <cell r="U4407" t="str">
            <v>CABEZAS SANCHEZ JEAN JHONATAN</v>
          </cell>
          <cell r="V4407" t="str">
            <v>FLOREZ CONDORI  JOSE WILLIANS</v>
          </cell>
        </row>
        <row r="4408">
          <cell r="A4408">
            <v>4379</v>
          </cell>
          <cell r="B4408">
            <v>42754</v>
          </cell>
          <cell r="C4408" t="str">
            <v>ENERO</v>
          </cell>
          <cell r="D4408" t="str">
            <v>2017</v>
          </cell>
          <cell r="E4408">
            <v>864</v>
          </cell>
          <cell r="F4408" t="str">
            <v>D3N-721</v>
          </cell>
          <cell r="G4408" t="str">
            <v>C4S-979</v>
          </cell>
          <cell r="H4408" t="str">
            <v>LAS BAMBAS</v>
          </cell>
          <cell r="I4408">
            <v>1421170</v>
          </cell>
          <cell r="J4408" t="str">
            <v>REPUESTO</v>
          </cell>
          <cell r="K4408" t="str">
            <v>FILTRO DE ACEITE</v>
          </cell>
          <cell r="L4408">
            <v>2</v>
          </cell>
          <cell r="M4408" t="str">
            <v>UNID.</v>
          </cell>
          <cell r="N4408" t="str">
            <v>TRACTO</v>
          </cell>
          <cell r="O4408">
            <v>36</v>
          </cell>
          <cell r="P4408" t="str">
            <v>M1</v>
          </cell>
          <cell r="Q4408" t="str">
            <v>J1</v>
          </cell>
          <cell r="R4408" t="str">
            <v>J6</v>
          </cell>
          <cell r="S4408" t="str">
            <v>ENTREGADO</v>
          </cell>
          <cell r="T4408">
            <v>0</v>
          </cell>
          <cell r="U4408" t="str">
            <v>CABEZAS SANCHEZ JEAN JHONATAN</v>
          </cell>
          <cell r="V4408" t="str">
            <v>FLOREZ CONDORI  JOSE WILLIANS</v>
          </cell>
        </row>
        <row r="4409">
          <cell r="A4409">
            <v>4380</v>
          </cell>
          <cell r="B4409">
            <v>42754</v>
          </cell>
          <cell r="C4409" t="str">
            <v>ENERO</v>
          </cell>
          <cell r="D4409" t="str">
            <v>2017</v>
          </cell>
          <cell r="E4409">
            <v>864</v>
          </cell>
          <cell r="F4409" t="str">
            <v>D3N-721</v>
          </cell>
          <cell r="G4409" t="str">
            <v>C4S-979</v>
          </cell>
          <cell r="H4409" t="str">
            <v>LAS BAMBAS</v>
          </cell>
          <cell r="I4409">
            <v>1421170</v>
          </cell>
          <cell r="J4409" t="str">
            <v>REPUESTO</v>
          </cell>
          <cell r="K4409" t="str">
            <v>FILTRO RACOR DE COMBUISTIBLE</v>
          </cell>
          <cell r="L4409">
            <v>1</v>
          </cell>
          <cell r="M4409" t="str">
            <v>UNID.</v>
          </cell>
          <cell r="N4409" t="str">
            <v>TRACTO</v>
          </cell>
          <cell r="O4409">
            <v>36</v>
          </cell>
          <cell r="P4409" t="str">
            <v>M1</v>
          </cell>
          <cell r="Q4409" t="str">
            <v>J1</v>
          </cell>
          <cell r="R4409" t="str">
            <v>J6</v>
          </cell>
          <cell r="S4409" t="str">
            <v>ENTREGADO</v>
          </cell>
          <cell r="T4409">
            <v>0</v>
          </cell>
          <cell r="U4409" t="str">
            <v>CABEZAS SANCHEZ JEAN JHONATAN</v>
          </cell>
          <cell r="V4409" t="str">
            <v>FLOREZ CONDORI  JOSE WILLIANS</v>
          </cell>
        </row>
        <row r="4410">
          <cell r="A4410">
            <v>4381</v>
          </cell>
          <cell r="B4410">
            <v>42754</v>
          </cell>
          <cell r="C4410" t="str">
            <v>ENERO</v>
          </cell>
          <cell r="D4410" t="str">
            <v>2017</v>
          </cell>
          <cell r="E4410">
            <v>864</v>
          </cell>
          <cell r="F4410" t="str">
            <v>D3N-721</v>
          </cell>
          <cell r="G4410" t="str">
            <v>C4S-979</v>
          </cell>
          <cell r="H4410" t="str">
            <v>LAS BAMBAS</v>
          </cell>
          <cell r="I4410">
            <v>1421170</v>
          </cell>
          <cell r="J4410" t="str">
            <v>REPUESTO</v>
          </cell>
          <cell r="K4410" t="str">
            <v>FILTRO DE COMBUSTUBLE</v>
          </cell>
          <cell r="L4410">
            <v>1</v>
          </cell>
          <cell r="M4410" t="str">
            <v>UNID.</v>
          </cell>
          <cell r="N4410" t="str">
            <v>TRACTO</v>
          </cell>
          <cell r="O4410">
            <v>36</v>
          </cell>
          <cell r="P4410" t="str">
            <v>M1</v>
          </cell>
          <cell r="Q4410" t="str">
            <v>J1</v>
          </cell>
          <cell r="R4410" t="str">
            <v>J6</v>
          </cell>
          <cell r="S4410" t="str">
            <v>ENTREGADO</v>
          </cell>
          <cell r="T4410">
            <v>0</v>
          </cell>
          <cell r="U4410" t="str">
            <v>CABEZAS SANCHEZ JEAN JHONATAN</v>
          </cell>
          <cell r="V4410" t="str">
            <v>FLOREZ CONDORI  JOSE WILLIANS</v>
          </cell>
        </row>
        <row r="4411">
          <cell r="A4411">
            <v>4382</v>
          </cell>
          <cell r="B4411">
            <v>42754</v>
          </cell>
          <cell r="C4411" t="str">
            <v>ENERO</v>
          </cell>
          <cell r="D4411" t="str">
            <v>2017</v>
          </cell>
          <cell r="E4411">
            <v>864</v>
          </cell>
          <cell r="F4411" t="str">
            <v>D3N-721</v>
          </cell>
          <cell r="G4411" t="str">
            <v>C4S-979</v>
          </cell>
          <cell r="H4411" t="str">
            <v>LAS BAMBAS</v>
          </cell>
          <cell r="I4411">
            <v>1421170</v>
          </cell>
          <cell r="J4411" t="str">
            <v>REPUESTO</v>
          </cell>
          <cell r="K4411" t="str">
            <v>REFRIGERANTE</v>
          </cell>
          <cell r="L4411">
            <v>1</v>
          </cell>
          <cell r="M4411" t="str">
            <v>GLNS.</v>
          </cell>
          <cell r="N4411" t="str">
            <v>TRACTO</v>
          </cell>
          <cell r="O4411">
            <v>36</v>
          </cell>
          <cell r="P4411" t="str">
            <v>M1</v>
          </cell>
          <cell r="Q4411" t="str">
            <v>J1</v>
          </cell>
          <cell r="R4411" t="str">
            <v>J6</v>
          </cell>
          <cell r="S4411" t="str">
            <v>ENTREGADO</v>
          </cell>
          <cell r="T4411">
            <v>0</v>
          </cell>
          <cell r="U4411" t="str">
            <v>CABEZAS SANCHEZ JEAN JHONATAN</v>
          </cell>
          <cell r="V4411" t="str">
            <v>FLOREZ CONDORI  JOSE WILLIANS</v>
          </cell>
        </row>
        <row r="4412">
          <cell r="A4412">
            <v>4383</v>
          </cell>
          <cell r="B4412">
            <v>42754</v>
          </cell>
          <cell r="C4412" t="str">
            <v>ENERO</v>
          </cell>
          <cell r="D4412" t="str">
            <v>2017</v>
          </cell>
          <cell r="E4412">
            <v>864</v>
          </cell>
          <cell r="F4412" t="str">
            <v>D3N-721</v>
          </cell>
          <cell r="G4412" t="str">
            <v>C4S-979</v>
          </cell>
          <cell r="H4412" t="str">
            <v>LAS BAMBAS</v>
          </cell>
          <cell r="I4412">
            <v>1421170</v>
          </cell>
          <cell r="J4412" t="str">
            <v>REPUESTO</v>
          </cell>
          <cell r="K4412" t="str">
            <v>AGUA LIMPIA PARABRISA</v>
          </cell>
          <cell r="L4412">
            <v>1</v>
          </cell>
          <cell r="M4412" t="str">
            <v>GLNS.</v>
          </cell>
          <cell r="N4412" t="str">
            <v>TRACTO</v>
          </cell>
          <cell r="O4412">
            <v>36</v>
          </cell>
          <cell r="P4412" t="str">
            <v>M1</v>
          </cell>
          <cell r="Q4412" t="str">
            <v>J1</v>
          </cell>
          <cell r="R4412" t="str">
            <v>J6</v>
          </cell>
          <cell r="S4412" t="str">
            <v>ENTREGADO</v>
          </cell>
          <cell r="T4412">
            <v>0</v>
          </cell>
          <cell r="U4412" t="str">
            <v>CABEZAS SANCHEZ JEAN JHONATAN</v>
          </cell>
          <cell r="V4412" t="str">
            <v>FLOREZ CONDORI  JOSE WILLIANS</v>
          </cell>
        </row>
        <row r="4413">
          <cell r="A4413">
            <v>4404</v>
          </cell>
          <cell r="B4413">
            <v>42754</v>
          </cell>
          <cell r="C4413" t="str">
            <v>ENERO</v>
          </cell>
          <cell r="D4413" t="str">
            <v>2017</v>
          </cell>
          <cell r="E4413">
            <v>864</v>
          </cell>
          <cell r="F4413" t="str">
            <v>D3N-721</v>
          </cell>
          <cell r="G4413" t="str">
            <v>C4S-979</v>
          </cell>
          <cell r="H4413" t="str">
            <v>LAS BAMBAS</v>
          </cell>
          <cell r="I4413">
            <v>1421170</v>
          </cell>
          <cell r="J4413" t="str">
            <v>REPUESTO</v>
          </cell>
          <cell r="K4413" t="str">
            <v>PERNO 1/2 X6"</v>
          </cell>
          <cell r="L4413">
            <v>1</v>
          </cell>
          <cell r="M4413" t="str">
            <v>UNID.</v>
          </cell>
          <cell r="N4413" t="str">
            <v>TRACTO</v>
          </cell>
          <cell r="O4413">
            <v>36</v>
          </cell>
          <cell r="P4413" t="str">
            <v>M1</v>
          </cell>
          <cell r="Q4413" t="str">
            <v>J1</v>
          </cell>
          <cell r="R4413" t="str">
            <v>J8</v>
          </cell>
          <cell r="S4413" t="str">
            <v>PENDIENTE</v>
          </cell>
          <cell r="T4413">
            <v>0</v>
          </cell>
          <cell r="U4413" t="str">
            <v>CABEZAS SANCHEZ JEAN JHONATAN</v>
          </cell>
          <cell r="V4413" t="str">
            <v>FLOREZ CONDORI  JOSE WILLIANS</v>
          </cell>
        </row>
        <row r="4414">
          <cell r="A4414">
            <v>4405</v>
          </cell>
          <cell r="B4414">
            <v>42754</v>
          </cell>
          <cell r="C4414" t="str">
            <v>ENERO</v>
          </cell>
          <cell r="D4414" t="str">
            <v>2017</v>
          </cell>
          <cell r="E4414">
            <v>864</v>
          </cell>
          <cell r="F4414" t="str">
            <v>D3N-721</v>
          </cell>
          <cell r="G4414" t="str">
            <v>C4S-979</v>
          </cell>
          <cell r="H4414" t="str">
            <v>LAS BAMBAS</v>
          </cell>
          <cell r="I4414">
            <v>1421170</v>
          </cell>
          <cell r="J4414" t="str">
            <v>REPUESTO</v>
          </cell>
          <cell r="K4414" t="str">
            <v>TUERCA SEGURA DE 1/2</v>
          </cell>
          <cell r="L4414">
            <v>1</v>
          </cell>
          <cell r="M4414" t="str">
            <v>UNID.</v>
          </cell>
          <cell r="N4414" t="str">
            <v>TRACTO</v>
          </cell>
          <cell r="O4414">
            <v>36</v>
          </cell>
          <cell r="P4414" t="str">
            <v>M1</v>
          </cell>
          <cell r="Q4414" t="str">
            <v>J1</v>
          </cell>
          <cell r="R4414" t="str">
            <v>J8</v>
          </cell>
          <cell r="S4414" t="str">
            <v>PENDIENTE</v>
          </cell>
          <cell r="T4414">
            <v>0</v>
          </cell>
          <cell r="U4414" t="str">
            <v>CABEZAS SANCHEZ JEAN JHONATAN</v>
          </cell>
          <cell r="V4414" t="str">
            <v>FLOREZ CONDORI  JOSE WILLIANS</v>
          </cell>
        </row>
        <row r="4415">
          <cell r="A4415">
            <v>4388</v>
          </cell>
          <cell r="B4415">
            <v>42754</v>
          </cell>
          <cell r="C4415" t="str">
            <v>ENERO</v>
          </cell>
          <cell r="D4415" t="str">
            <v>2017</v>
          </cell>
          <cell r="E4415">
            <v>862</v>
          </cell>
          <cell r="F4415" t="str">
            <v>D3Q-741</v>
          </cell>
          <cell r="G4415" t="str">
            <v>D2E-976</v>
          </cell>
          <cell r="H4415" t="str">
            <v>LAS BAMBAS</v>
          </cell>
          <cell r="I4415">
            <v>168050</v>
          </cell>
          <cell r="J4415" t="str">
            <v>REPUESTO</v>
          </cell>
          <cell r="K4415" t="str">
            <v>PERNO DE 5/8 X 2"</v>
          </cell>
          <cell r="L4415">
            <v>4</v>
          </cell>
          <cell r="M4415" t="str">
            <v>UNID.</v>
          </cell>
          <cell r="N4415" t="str">
            <v>TRACTO</v>
          </cell>
          <cell r="O4415">
            <v>36</v>
          </cell>
          <cell r="P4415" t="str">
            <v>M8</v>
          </cell>
          <cell r="Q4415" t="str">
            <v>J1</v>
          </cell>
          <cell r="R4415" t="str">
            <v>J8</v>
          </cell>
          <cell r="S4415" t="str">
            <v>PENDIENTE</v>
          </cell>
          <cell r="T4415">
            <v>0</v>
          </cell>
          <cell r="U4415" t="str">
            <v>VARILLAS GAGO  OSCAR ALBERTO</v>
          </cell>
          <cell r="V4415" t="str">
            <v>FLOREZ CONDORI  JOSE WILLIANS</v>
          </cell>
        </row>
        <row r="4416">
          <cell r="A4416">
            <v>4389</v>
          </cell>
          <cell r="B4416">
            <v>42754</v>
          </cell>
          <cell r="C4416" t="str">
            <v>ENERO</v>
          </cell>
          <cell r="D4416" t="str">
            <v>2017</v>
          </cell>
          <cell r="E4416">
            <v>862</v>
          </cell>
          <cell r="F4416" t="str">
            <v>D3Q-741</v>
          </cell>
          <cell r="G4416" t="str">
            <v>D2E-976</v>
          </cell>
          <cell r="H4416" t="str">
            <v>LAS BAMBAS</v>
          </cell>
          <cell r="I4416">
            <v>168050</v>
          </cell>
          <cell r="J4416" t="str">
            <v>REPUESTO</v>
          </cell>
          <cell r="K4416" t="str">
            <v>TUERCA SEGURAS DE 5/8</v>
          </cell>
          <cell r="L4416">
            <v>4</v>
          </cell>
          <cell r="M4416" t="str">
            <v>UNID.</v>
          </cell>
          <cell r="N4416" t="str">
            <v>TRACTO</v>
          </cell>
          <cell r="O4416">
            <v>36</v>
          </cell>
          <cell r="P4416" t="str">
            <v>M8</v>
          </cell>
          <cell r="Q4416" t="str">
            <v>J1</v>
          </cell>
          <cell r="R4416" t="str">
            <v>J8</v>
          </cell>
          <cell r="S4416" t="str">
            <v>PENDIENTE</v>
          </cell>
          <cell r="T4416">
            <v>0</v>
          </cell>
          <cell r="U4416" t="str">
            <v>VARILLAS GAGO  OSCAR ALBERTO</v>
          </cell>
          <cell r="V4416" t="str">
            <v>FLOREZ CONDORI  JOSE WILLIANS</v>
          </cell>
        </row>
        <row r="4417">
          <cell r="A4417">
            <v>4390</v>
          </cell>
          <cell r="B4417">
            <v>42754</v>
          </cell>
          <cell r="C4417" t="str">
            <v>ENERO</v>
          </cell>
          <cell r="D4417" t="str">
            <v>2017</v>
          </cell>
          <cell r="E4417">
            <v>862</v>
          </cell>
          <cell r="F4417" t="str">
            <v>D3Q-741</v>
          </cell>
          <cell r="G4417" t="str">
            <v>D2E-976</v>
          </cell>
          <cell r="H4417" t="str">
            <v>LAS BAMBAS</v>
          </cell>
          <cell r="I4417">
            <v>168050</v>
          </cell>
          <cell r="J4417" t="str">
            <v>REPUESTO</v>
          </cell>
          <cell r="K4417" t="str">
            <v>ARANDELAS PLANAS DE 5/8</v>
          </cell>
          <cell r="L4417">
            <v>8</v>
          </cell>
          <cell r="M4417" t="str">
            <v>UNID.</v>
          </cell>
          <cell r="N4417" t="str">
            <v>TRACTO</v>
          </cell>
          <cell r="O4417">
            <v>36</v>
          </cell>
          <cell r="P4417" t="str">
            <v>M8</v>
          </cell>
          <cell r="Q4417" t="str">
            <v>J1</v>
          </cell>
          <cell r="R4417" t="str">
            <v>J8</v>
          </cell>
          <cell r="S4417" t="str">
            <v>PENDIENTE</v>
          </cell>
          <cell r="T4417">
            <v>0</v>
          </cell>
          <cell r="U4417" t="str">
            <v>VARILLAS GAGO  OSCAR ALBERTO</v>
          </cell>
          <cell r="V4417" t="str">
            <v>FLOREZ CONDORI  JOSE WILLIANS</v>
          </cell>
        </row>
        <row r="4418">
          <cell r="A4418">
            <v>4391</v>
          </cell>
          <cell r="B4418">
            <v>42754</v>
          </cell>
          <cell r="C4418" t="str">
            <v>ENERO</v>
          </cell>
          <cell r="D4418" t="str">
            <v>2017</v>
          </cell>
          <cell r="E4418">
            <v>862</v>
          </cell>
          <cell r="F4418" t="str">
            <v>D3Q-741</v>
          </cell>
          <cell r="G4418" t="str">
            <v>D2E-976</v>
          </cell>
          <cell r="H4418" t="str">
            <v>LAS BAMBAS</v>
          </cell>
          <cell r="I4418">
            <v>168050</v>
          </cell>
          <cell r="J4418" t="str">
            <v>REPUESTO</v>
          </cell>
          <cell r="K4418" t="str">
            <v>SOPORTE POST DE TRAVESAÑO</v>
          </cell>
          <cell r="L4418">
            <v>2</v>
          </cell>
          <cell r="M4418" t="str">
            <v>UNID.</v>
          </cell>
          <cell r="N4418" t="str">
            <v>TRACTO</v>
          </cell>
          <cell r="O4418">
            <v>36</v>
          </cell>
          <cell r="P4418" t="str">
            <v>M8</v>
          </cell>
          <cell r="Q4418" t="str">
            <v>J1</v>
          </cell>
          <cell r="R4418" t="str">
            <v>J8</v>
          </cell>
          <cell r="S4418" t="str">
            <v>PENDIENTE</v>
          </cell>
          <cell r="T4418">
            <v>0</v>
          </cell>
          <cell r="U4418" t="str">
            <v>VARILLAS GAGO  OSCAR ALBERTO</v>
          </cell>
          <cell r="V4418" t="str">
            <v>FLOREZ CONDORI  JOSE WILLIANS</v>
          </cell>
        </row>
        <row r="4419">
          <cell r="A4419">
            <v>4415</v>
          </cell>
          <cell r="B4419">
            <v>42754</v>
          </cell>
          <cell r="C4419" t="str">
            <v>ENERO</v>
          </cell>
          <cell r="D4419" t="str">
            <v>2017</v>
          </cell>
          <cell r="E4419">
            <v>862</v>
          </cell>
          <cell r="F4419" t="str">
            <v>D3Q-741</v>
          </cell>
          <cell r="G4419" t="str">
            <v>D2E-976</v>
          </cell>
          <cell r="H4419" t="str">
            <v>LAS BAMBAS</v>
          </cell>
          <cell r="I4419">
            <v>168050</v>
          </cell>
          <cell r="J4419" t="str">
            <v>REPUESTO</v>
          </cell>
          <cell r="K4419" t="str">
            <v>CONOS 3/8</v>
          </cell>
          <cell r="L4419">
            <v>2</v>
          </cell>
          <cell r="M4419" t="str">
            <v>UNID.</v>
          </cell>
          <cell r="N4419" t="str">
            <v>CISTERNA</v>
          </cell>
          <cell r="O4419">
            <v>36</v>
          </cell>
          <cell r="P4419" t="str">
            <v>M8</v>
          </cell>
          <cell r="Q4419" t="str">
            <v>J1</v>
          </cell>
          <cell r="R4419" t="str">
            <v>J8</v>
          </cell>
          <cell r="S4419" t="str">
            <v>PENDIENTE</v>
          </cell>
          <cell r="T4419">
            <v>0</v>
          </cell>
          <cell r="U4419" t="str">
            <v>VARILLAS GAGO  OSCAR ALBERTO</v>
          </cell>
          <cell r="V4419" t="str">
            <v>FLOREZ CONDORI  JOSE WILLIANS</v>
          </cell>
        </row>
        <row r="4420">
          <cell r="A4420">
            <v>4416</v>
          </cell>
          <cell r="B4420">
            <v>42754</v>
          </cell>
          <cell r="C4420" t="str">
            <v>ENERO</v>
          </cell>
          <cell r="D4420" t="str">
            <v>2017</v>
          </cell>
          <cell r="E4420">
            <v>862</v>
          </cell>
          <cell r="F4420" t="str">
            <v>D3Q-741</v>
          </cell>
          <cell r="G4420" t="str">
            <v>D2E-976</v>
          </cell>
          <cell r="H4420" t="str">
            <v>LAS BAMBAS</v>
          </cell>
          <cell r="I4420">
            <v>168050</v>
          </cell>
          <cell r="J4420" t="str">
            <v>REPUESTO</v>
          </cell>
          <cell r="K4420" t="str">
            <v>GUIAS 3/8</v>
          </cell>
          <cell r="L4420">
            <v>2</v>
          </cell>
          <cell r="M4420" t="str">
            <v>UNID.</v>
          </cell>
          <cell r="N4420" t="str">
            <v>CISTERNA</v>
          </cell>
          <cell r="O4420">
            <v>36</v>
          </cell>
          <cell r="P4420" t="str">
            <v>M8</v>
          </cell>
          <cell r="Q4420" t="str">
            <v>J1</v>
          </cell>
          <cell r="R4420" t="str">
            <v>J8</v>
          </cell>
          <cell r="S4420" t="str">
            <v>PENDIENTE</v>
          </cell>
          <cell r="T4420">
            <v>0</v>
          </cell>
          <cell r="U4420" t="str">
            <v>VARILLAS GAGO  OSCAR ALBERTO</v>
          </cell>
          <cell r="V4420" t="str">
            <v>FLOREZ CONDORI  JOSE WILLIANS</v>
          </cell>
        </row>
        <row r="4421">
          <cell r="A4421">
            <v>4417</v>
          </cell>
          <cell r="B4421">
            <v>42754</v>
          </cell>
          <cell r="C4421" t="str">
            <v>ENERO</v>
          </cell>
          <cell r="D4421" t="str">
            <v>2017</v>
          </cell>
          <cell r="E4421">
            <v>862</v>
          </cell>
          <cell r="F4421" t="str">
            <v>D3Q-741</v>
          </cell>
          <cell r="G4421" t="str">
            <v>D2E-976</v>
          </cell>
          <cell r="H4421" t="str">
            <v>LAS BAMBAS</v>
          </cell>
          <cell r="I4421">
            <v>168050</v>
          </cell>
          <cell r="J4421" t="str">
            <v>REPUESTO</v>
          </cell>
          <cell r="K4421" t="str">
            <v>MANGUERA 3/8</v>
          </cell>
          <cell r="L4421">
            <v>1.2</v>
          </cell>
          <cell r="M4421" t="str">
            <v>M</v>
          </cell>
          <cell r="N4421" t="str">
            <v>CISTERNA</v>
          </cell>
          <cell r="O4421">
            <v>36</v>
          </cell>
          <cell r="P4421" t="str">
            <v>M8</v>
          </cell>
          <cell r="Q4421" t="str">
            <v>J1</v>
          </cell>
          <cell r="R4421" t="str">
            <v>J8</v>
          </cell>
          <cell r="S4421" t="str">
            <v>PENDIENTE</v>
          </cell>
          <cell r="T4421">
            <v>0</v>
          </cell>
          <cell r="U4421" t="str">
            <v>VARILLAS GAGO  OSCAR ALBERTO</v>
          </cell>
          <cell r="V4421" t="str">
            <v>FLOREZ CONDORI  JOSE WILLIANS</v>
          </cell>
        </row>
        <row r="4422">
          <cell r="A4422">
            <v>4421</v>
          </cell>
          <cell r="B4422">
            <v>42754</v>
          </cell>
          <cell r="C4422" t="str">
            <v>ENERO</v>
          </cell>
          <cell r="D4422" t="str">
            <v>2017</v>
          </cell>
          <cell r="E4422">
            <v>834</v>
          </cell>
          <cell r="F4422" t="str">
            <v>D4T-927</v>
          </cell>
          <cell r="G4422" t="str">
            <v>B4Q-976</v>
          </cell>
          <cell r="H4422" t="str">
            <v>LAS BAMBAS</v>
          </cell>
          <cell r="I4422">
            <v>195693</v>
          </cell>
          <cell r="J4422" t="str">
            <v>REPUESTO</v>
          </cell>
          <cell r="K4422" t="str">
            <v>FILTRO DE AIRE PRIMARIO</v>
          </cell>
          <cell r="L4422">
            <v>1</v>
          </cell>
          <cell r="M4422" t="str">
            <v>UNID.</v>
          </cell>
          <cell r="N4422" t="str">
            <v>TRACTO</v>
          </cell>
          <cell r="O4422">
            <v>36</v>
          </cell>
          <cell r="P4422" t="str">
            <v>J1</v>
          </cell>
          <cell r="Q4422" t="str">
            <v>J1</v>
          </cell>
          <cell r="R4422" t="str">
            <v>J8</v>
          </cell>
          <cell r="S4422" t="str">
            <v>PENDIENTE</v>
          </cell>
          <cell r="T4422">
            <v>0</v>
          </cell>
          <cell r="U4422" t="str">
            <v>FLOREZ CONDORI  JOSE WILLIANS</v>
          </cell>
          <cell r="V4422" t="str">
            <v>FLOREZ CONDORI  JOSE WILLIANS</v>
          </cell>
        </row>
        <row r="4423">
          <cell r="A4423">
            <v>4422</v>
          </cell>
          <cell r="B4423">
            <v>42754</v>
          </cell>
          <cell r="C4423" t="str">
            <v>ENERO</v>
          </cell>
          <cell r="D4423" t="str">
            <v>2017</v>
          </cell>
          <cell r="E4423">
            <v>834</v>
          </cell>
          <cell r="F4423" t="str">
            <v>D4T-927</v>
          </cell>
          <cell r="G4423" t="str">
            <v>B4Q-976</v>
          </cell>
          <cell r="H4423" t="str">
            <v>LAS BAMBAS</v>
          </cell>
          <cell r="I4423">
            <v>195693</v>
          </cell>
          <cell r="J4423" t="str">
            <v>REPUESTO</v>
          </cell>
          <cell r="K4423" t="str">
            <v>FILTRO DE AIRE SECUNDARIO</v>
          </cell>
          <cell r="L4423">
            <v>1</v>
          </cell>
          <cell r="M4423" t="str">
            <v>UNID.</v>
          </cell>
          <cell r="N4423" t="str">
            <v>TRACTO</v>
          </cell>
          <cell r="O4423">
            <v>36</v>
          </cell>
          <cell r="P4423" t="str">
            <v>J1</v>
          </cell>
          <cell r="Q4423" t="str">
            <v>J1</v>
          </cell>
          <cell r="R4423" t="str">
            <v>J8</v>
          </cell>
          <cell r="S4423" t="str">
            <v>PENDIENTE</v>
          </cell>
          <cell r="T4423">
            <v>0</v>
          </cell>
          <cell r="U4423" t="str">
            <v>FLOREZ CONDORI  JOSE WILLIANS</v>
          </cell>
          <cell r="V4423" t="str">
            <v>FLOREZ CONDORI  JOSE WILLIANS</v>
          </cell>
        </row>
        <row r="4424">
          <cell r="A4424">
            <v>4407</v>
          </cell>
          <cell r="B4424">
            <v>42754</v>
          </cell>
          <cell r="C4424" t="str">
            <v>ENERO</v>
          </cell>
          <cell r="D4424" t="str">
            <v>2017</v>
          </cell>
          <cell r="E4424">
            <v>770</v>
          </cell>
          <cell r="F4424" t="str">
            <v>D6F-907</v>
          </cell>
          <cell r="G4424" t="str">
            <v>T2Y-979</v>
          </cell>
          <cell r="H4424" t="str">
            <v>LAS BAMBAS</v>
          </cell>
          <cell r="I4424">
            <v>203433</v>
          </cell>
          <cell r="J4424" t="str">
            <v>REPUESTO</v>
          </cell>
          <cell r="K4424" t="str">
            <v>FUSIBLES DE 20A</v>
          </cell>
          <cell r="L4424">
            <v>3</v>
          </cell>
          <cell r="M4424" t="str">
            <v>UNID.</v>
          </cell>
          <cell r="N4424" t="str">
            <v>TRACTO</v>
          </cell>
          <cell r="O4424">
            <v>36</v>
          </cell>
          <cell r="P4424" t="str">
            <v>M4</v>
          </cell>
          <cell r="Q4424" t="str">
            <v>J1</v>
          </cell>
          <cell r="R4424" t="str">
            <v>J8</v>
          </cell>
          <cell r="S4424" t="str">
            <v>PENDIENTE</v>
          </cell>
          <cell r="T4424">
            <v>0</v>
          </cell>
          <cell r="U4424" t="str">
            <v>JULLIRI APAZA UBALDO</v>
          </cell>
          <cell r="V4424" t="str">
            <v>FLOREZ CONDORI  JOSE WILLIANS</v>
          </cell>
        </row>
        <row r="4425">
          <cell r="A4425">
            <v>4408</v>
          </cell>
          <cell r="B4425">
            <v>42754</v>
          </cell>
          <cell r="C4425" t="str">
            <v>ENERO</v>
          </cell>
          <cell r="D4425" t="str">
            <v>2017</v>
          </cell>
          <cell r="E4425">
            <v>770</v>
          </cell>
          <cell r="F4425" t="str">
            <v>D6F-907</v>
          </cell>
          <cell r="G4425" t="str">
            <v>T2Y-979</v>
          </cell>
          <cell r="H4425" t="str">
            <v>LAS BAMBAS</v>
          </cell>
          <cell r="I4425">
            <v>203433</v>
          </cell>
          <cell r="J4425" t="str">
            <v>REPUESTO</v>
          </cell>
          <cell r="K4425" t="str">
            <v>FILTRO DE COMBUSTIBLE PRIMARIO</v>
          </cell>
          <cell r="L4425">
            <v>1</v>
          </cell>
          <cell r="M4425" t="str">
            <v>UNID.</v>
          </cell>
          <cell r="N4425" t="str">
            <v>TRACTO</v>
          </cell>
          <cell r="O4425">
            <v>36</v>
          </cell>
          <cell r="P4425" t="str">
            <v>M4</v>
          </cell>
          <cell r="Q4425" t="str">
            <v>J1</v>
          </cell>
          <cell r="R4425" t="str">
            <v>J8</v>
          </cell>
          <cell r="S4425" t="str">
            <v>PENDIENTE</v>
          </cell>
          <cell r="T4425">
            <v>0</v>
          </cell>
          <cell r="U4425" t="str">
            <v>JULLIRI APAZA UBALDO</v>
          </cell>
          <cell r="V4425" t="str">
            <v>FLOREZ CONDORI  JOSE WILLIANS</v>
          </cell>
        </row>
        <row r="4426">
          <cell r="A4426">
            <v>4409</v>
          </cell>
          <cell r="B4426">
            <v>42754</v>
          </cell>
          <cell r="C4426" t="str">
            <v>ENERO</v>
          </cell>
          <cell r="D4426" t="str">
            <v>2017</v>
          </cell>
          <cell r="E4426">
            <v>770</v>
          </cell>
          <cell r="F4426" t="str">
            <v>D6F-907</v>
          </cell>
          <cell r="G4426" t="str">
            <v>T2Y-979</v>
          </cell>
          <cell r="H4426" t="str">
            <v>LAS BAMBAS</v>
          </cell>
          <cell r="I4426">
            <v>203433</v>
          </cell>
          <cell r="J4426" t="str">
            <v>REPUESTO</v>
          </cell>
          <cell r="K4426" t="str">
            <v>FILTRO DE COMBUSTIBLE SECUNDARIO TIPO VALVULA</v>
          </cell>
          <cell r="L4426">
            <v>1</v>
          </cell>
          <cell r="M4426" t="str">
            <v>UNID.</v>
          </cell>
          <cell r="N4426" t="str">
            <v>TRACTO</v>
          </cell>
          <cell r="O4426">
            <v>36</v>
          </cell>
          <cell r="P4426" t="str">
            <v>M4</v>
          </cell>
          <cell r="Q4426" t="str">
            <v>J1</v>
          </cell>
          <cell r="R4426" t="str">
            <v>J8</v>
          </cell>
          <cell r="S4426" t="str">
            <v>PENDIENTE</v>
          </cell>
          <cell r="T4426">
            <v>0</v>
          </cell>
          <cell r="U4426" t="str">
            <v>JULLIRI APAZA UBALDO</v>
          </cell>
          <cell r="V4426" t="str">
            <v>FLOREZ CONDORI  JOSE WILLIANS</v>
          </cell>
        </row>
        <row r="4427">
          <cell r="A4427">
            <v>4410</v>
          </cell>
          <cell r="B4427">
            <v>42754</v>
          </cell>
          <cell r="C4427" t="str">
            <v>ENERO</v>
          </cell>
          <cell r="D4427" t="str">
            <v>2017</v>
          </cell>
          <cell r="E4427">
            <v>770</v>
          </cell>
          <cell r="F4427" t="str">
            <v>D6F-907</v>
          </cell>
          <cell r="G4427" t="str">
            <v>T2Y-979</v>
          </cell>
          <cell r="H4427" t="str">
            <v>LAS BAMBAS</v>
          </cell>
          <cell r="I4427">
            <v>203433</v>
          </cell>
          <cell r="J4427" t="str">
            <v>REPUESTO</v>
          </cell>
          <cell r="K4427" t="str">
            <v>VALVULA  DE CEBADOR DE COMBUSTIBLE</v>
          </cell>
          <cell r="L4427">
            <v>1</v>
          </cell>
          <cell r="M4427" t="str">
            <v>UNID.</v>
          </cell>
          <cell r="N4427" t="str">
            <v>TRACTO</v>
          </cell>
          <cell r="O4427">
            <v>36</v>
          </cell>
          <cell r="P4427" t="str">
            <v>M4</v>
          </cell>
          <cell r="Q4427" t="str">
            <v>J1</v>
          </cell>
          <cell r="R4427" t="str">
            <v>J8</v>
          </cell>
          <cell r="S4427" t="str">
            <v>PENDIENTE</v>
          </cell>
          <cell r="T4427">
            <v>0</v>
          </cell>
          <cell r="U4427" t="str">
            <v>JULLIRI APAZA UBALDO</v>
          </cell>
          <cell r="V4427" t="str">
            <v>FLOREZ CONDORI  JOSE WILLIANS</v>
          </cell>
        </row>
        <row r="4428">
          <cell r="A4428">
            <v>4411</v>
          </cell>
          <cell r="B4428">
            <v>42754</v>
          </cell>
          <cell r="C4428" t="str">
            <v>ENERO</v>
          </cell>
          <cell r="D4428" t="str">
            <v>2017</v>
          </cell>
          <cell r="E4428">
            <v>770</v>
          </cell>
          <cell r="F4428" t="str">
            <v>D6F-907</v>
          </cell>
          <cell r="G4428" t="str">
            <v>T2Y-979</v>
          </cell>
          <cell r="H4428" t="str">
            <v>LAS BAMBAS</v>
          </cell>
          <cell r="I4428">
            <v>203433</v>
          </cell>
          <cell r="J4428" t="str">
            <v>REPUESTO</v>
          </cell>
          <cell r="K4428" t="str">
            <v>LIMPIACONTACTO</v>
          </cell>
          <cell r="L4428">
            <v>1</v>
          </cell>
          <cell r="M4428" t="str">
            <v>UNID.</v>
          </cell>
          <cell r="N4428" t="str">
            <v>TRACTO</v>
          </cell>
          <cell r="O4428">
            <v>36</v>
          </cell>
          <cell r="P4428" t="str">
            <v>M4</v>
          </cell>
          <cell r="Q4428" t="str">
            <v>J1</v>
          </cell>
          <cell r="R4428" t="str">
            <v>J8</v>
          </cell>
          <cell r="S4428" t="str">
            <v>PENDIENTE</v>
          </cell>
          <cell r="T4428">
            <v>0</v>
          </cell>
          <cell r="U4428" t="str">
            <v>JULLIRI APAZA UBALDO</v>
          </cell>
          <cell r="V4428" t="str">
            <v>FLOREZ CONDORI  JOSE WILLIANS</v>
          </cell>
        </row>
        <row r="4429">
          <cell r="A4429">
            <v>4412</v>
          </cell>
          <cell r="B4429">
            <v>42754</v>
          </cell>
          <cell r="C4429" t="str">
            <v>ENERO</v>
          </cell>
          <cell r="D4429" t="str">
            <v>2017</v>
          </cell>
          <cell r="E4429">
            <v>770</v>
          </cell>
          <cell r="F4429" t="str">
            <v>D6F-907</v>
          </cell>
          <cell r="G4429" t="str">
            <v>T2Y-979</v>
          </cell>
          <cell r="H4429" t="str">
            <v>LAS BAMBAS</v>
          </cell>
          <cell r="I4429">
            <v>203433</v>
          </cell>
          <cell r="J4429" t="str">
            <v>REPUESTO</v>
          </cell>
          <cell r="K4429" t="str">
            <v>SENSOR DE PRESION DE BOMBA DE COMBUSTIBLE</v>
          </cell>
          <cell r="L4429">
            <v>1</v>
          </cell>
          <cell r="M4429" t="str">
            <v>UNID.</v>
          </cell>
          <cell r="N4429" t="str">
            <v>TRACTO</v>
          </cell>
          <cell r="O4429">
            <v>36</v>
          </cell>
          <cell r="P4429" t="str">
            <v>M4</v>
          </cell>
          <cell r="Q4429" t="str">
            <v>J1</v>
          </cell>
          <cell r="R4429" t="str">
            <v>J8</v>
          </cell>
          <cell r="S4429" t="str">
            <v>PENDIENTE</v>
          </cell>
          <cell r="T4429">
            <v>0</v>
          </cell>
          <cell r="U4429" t="str">
            <v>JULLIRI APAZA UBALDO</v>
          </cell>
          <cell r="V4429" t="str">
            <v>FLOREZ CONDORI  JOSE WILLIANS</v>
          </cell>
        </row>
        <row r="4430">
          <cell r="A4430">
            <v>4406</v>
          </cell>
          <cell r="B4430">
            <v>42754</v>
          </cell>
          <cell r="C4430" t="str">
            <v>ENERO</v>
          </cell>
          <cell r="D4430" t="str">
            <v>2017</v>
          </cell>
          <cell r="E4430">
            <v>200</v>
          </cell>
          <cell r="F4430" t="str">
            <v>TALLER</v>
          </cell>
          <cell r="G4430" t="str">
            <v>TALLER</v>
          </cell>
          <cell r="H4430" t="str">
            <v>TALLER</v>
          </cell>
          <cell r="I4430" t="str">
            <v>TALLER</v>
          </cell>
          <cell r="J4430" t="str">
            <v>MATERIALES</v>
          </cell>
          <cell r="K4430" t="str">
            <v>TRAPO INDUSTRIAL</v>
          </cell>
          <cell r="L4430">
            <v>1</v>
          </cell>
          <cell r="M4430" t="str">
            <v>KG.</v>
          </cell>
          <cell r="N4430" t="str">
            <v>TALLER</v>
          </cell>
          <cell r="O4430">
            <v>36</v>
          </cell>
          <cell r="P4430" t="str">
            <v>J8</v>
          </cell>
          <cell r="Q4430" t="str">
            <v>J1</v>
          </cell>
          <cell r="R4430" t="str">
            <v>J8</v>
          </cell>
          <cell r="S4430" t="str">
            <v>PENDIENTE</v>
          </cell>
          <cell r="T4430">
            <v>0</v>
          </cell>
          <cell r="U4430" t="str">
            <v>ARANGO PAREJA ANGELA ROSARIO</v>
          </cell>
          <cell r="V4430" t="str">
            <v>FLOREZ CONDORI  JOSE WILLIANS</v>
          </cell>
        </row>
        <row r="4431">
          <cell r="A4431">
            <v>4413</v>
          </cell>
          <cell r="B4431">
            <v>42754</v>
          </cell>
          <cell r="C4431" t="str">
            <v>ENERO</v>
          </cell>
          <cell r="D4431" t="str">
            <v>2017</v>
          </cell>
          <cell r="E4431">
            <v>200</v>
          </cell>
          <cell r="F4431" t="str">
            <v>TALLER</v>
          </cell>
          <cell r="G4431" t="str">
            <v>TALLER</v>
          </cell>
          <cell r="H4431" t="str">
            <v>TALLER</v>
          </cell>
          <cell r="I4431" t="str">
            <v>TALLER</v>
          </cell>
          <cell r="J4431" t="str">
            <v>MATERIALES</v>
          </cell>
          <cell r="K4431" t="str">
            <v>TIBE</v>
          </cell>
          <cell r="L4431">
            <v>2</v>
          </cell>
          <cell r="M4431" t="str">
            <v>UNID.</v>
          </cell>
          <cell r="N4431" t="str">
            <v>TRACTO</v>
          </cell>
          <cell r="O4431">
            <v>36</v>
          </cell>
          <cell r="P4431" t="str">
            <v>M4</v>
          </cell>
          <cell r="Q4431" t="str">
            <v>J1</v>
          </cell>
          <cell r="R4431" t="str">
            <v>J8</v>
          </cell>
          <cell r="S4431" t="str">
            <v>PENDIENTE</v>
          </cell>
          <cell r="T4431">
            <v>0</v>
          </cell>
          <cell r="U4431" t="str">
            <v>JULLIRI APAZA UBALDO</v>
          </cell>
          <cell r="V4431" t="str">
            <v>FLOREZ CONDORI  JOSE WILLIANS</v>
          </cell>
        </row>
        <row r="4432">
          <cell r="A4432">
            <v>4414</v>
          </cell>
          <cell r="B4432">
            <v>42754</v>
          </cell>
          <cell r="C4432" t="str">
            <v>ENERO</v>
          </cell>
          <cell r="D4432" t="str">
            <v>2017</v>
          </cell>
          <cell r="E4432">
            <v>200</v>
          </cell>
          <cell r="F4432" t="str">
            <v>TALLER</v>
          </cell>
          <cell r="G4432" t="str">
            <v>TALLER</v>
          </cell>
          <cell r="H4432" t="str">
            <v>TALLER</v>
          </cell>
          <cell r="I4432" t="str">
            <v>TALLER</v>
          </cell>
          <cell r="J4432" t="str">
            <v>MATERIALES</v>
          </cell>
          <cell r="K4432" t="str">
            <v>TRAPO INDUSTRIAL</v>
          </cell>
          <cell r="L4432">
            <v>1</v>
          </cell>
          <cell r="M4432" t="str">
            <v>KG.</v>
          </cell>
          <cell r="N4432" t="str">
            <v>TRACTO</v>
          </cell>
          <cell r="O4432">
            <v>36</v>
          </cell>
          <cell r="P4432" t="str">
            <v>M4</v>
          </cell>
          <cell r="Q4432" t="str">
            <v>J1</v>
          </cell>
          <cell r="R4432" t="str">
            <v>J8</v>
          </cell>
          <cell r="S4432" t="str">
            <v>PENDIENTE</v>
          </cell>
          <cell r="T4432">
            <v>0</v>
          </cell>
          <cell r="U4432" t="str">
            <v>JULLIRI APAZA UBALDO</v>
          </cell>
          <cell r="V4432" t="str">
            <v>FLOREZ CONDORI  JOSE WILLIANS</v>
          </cell>
        </row>
        <row r="4433">
          <cell r="A4433">
            <v>4395</v>
          </cell>
          <cell r="B4433">
            <v>42754</v>
          </cell>
          <cell r="C4433" t="str">
            <v>ENERO</v>
          </cell>
          <cell r="D4433" t="str">
            <v>2017</v>
          </cell>
          <cell r="E4433">
            <v>868</v>
          </cell>
          <cell r="F4433" t="str">
            <v>X2W-759</v>
          </cell>
          <cell r="G4433" t="str">
            <v>C5V-999</v>
          </cell>
          <cell r="H4433" t="str">
            <v>LAS BAMBAS</v>
          </cell>
          <cell r="I4433">
            <v>158756</v>
          </cell>
          <cell r="J4433" t="str">
            <v>REPUESTO</v>
          </cell>
          <cell r="K4433" t="str">
            <v>FOCO LAGRIMA 12V</v>
          </cell>
          <cell r="L4433">
            <v>4</v>
          </cell>
          <cell r="M4433" t="str">
            <v>UNID.</v>
          </cell>
          <cell r="N4433" t="str">
            <v>TRACTO</v>
          </cell>
          <cell r="O4433">
            <v>36</v>
          </cell>
          <cell r="P4433" t="str">
            <v>E2</v>
          </cell>
          <cell r="Q4433" t="str">
            <v>J1</v>
          </cell>
          <cell r="R4433" t="str">
            <v>J8</v>
          </cell>
          <cell r="S4433" t="str">
            <v>PENDIENTE</v>
          </cell>
          <cell r="T4433">
            <v>0</v>
          </cell>
          <cell r="U4433" t="str">
            <v>YUCA BELLIDO BORIS YERSY</v>
          </cell>
          <cell r="V4433" t="str">
            <v>FLOREZ CONDORI  JOSE WILLIANS</v>
          </cell>
        </row>
        <row r="4434">
          <cell r="A4434">
            <v>4426</v>
          </cell>
          <cell r="B4434">
            <v>42754</v>
          </cell>
          <cell r="C4434" t="str">
            <v>ENERO</v>
          </cell>
          <cell r="D4434" t="str">
            <v>2017</v>
          </cell>
          <cell r="E4434">
            <v>868</v>
          </cell>
          <cell r="F4434" t="str">
            <v>X2W-759</v>
          </cell>
          <cell r="G4434" t="str">
            <v>C5V-999</v>
          </cell>
          <cell r="H4434" t="str">
            <v>LAS BAMBAS</v>
          </cell>
          <cell r="I4434">
            <v>158756</v>
          </cell>
          <cell r="J4434" t="str">
            <v>SERVICIO</v>
          </cell>
          <cell r="K4434" t="str">
            <v>SERVICIO DE TAPIZADO</v>
          </cell>
          <cell r="L4434">
            <v>1</v>
          </cell>
          <cell r="M4434" t="str">
            <v>UNID.</v>
          </cell>
          <cell r="N4434" t="str">
            <v>TRACTO</v>
          </cell>
          <cell r="O4434">
            <v>36</v>
          </cell>
          <cell r="P4434" t="str">
            <v>J1</v>
          </cell>
          <cell r="Q4434" t="str">
            <v>J1</v>
          </cell>
          <cell r="R4434" t="str">
            <v>J8</v>
          </cell>
          <cell r="S4434" t="str">
            <v>ENTREGADO</v>
          </cell>
          <cell r="T4434">
            <v>0</v>
          </cell>
          <cell r="U4434" t="str">
            <v>FLOREZ CONDORI  JOSE WILLIANS</v>
          </cell>
          <cell r="V4434" t="str">
            <v>FLOREZ CONDORI  JOSE WILLIANS</v>
          </cell>
        </row>
        <row r="4435">
          <cell r="A4435">
            <v>4373</v>
          </cell>
          <cell r="B4435">
            <v>42754</v>
          </cell>
          <cell r="C4435" t="str">
            <v>ENERO</v>
          </cell>
          <cell r="D4435" t="str">
            <v>2017</v>
          </cell>
          <cell r="E4435">
            <v>860</v>
          </cell>
          <cell r="F4435" t="str">
            <v>X2W-760</v>
          </cell>
          <cell r="G4435" t="str">
            <v>C5V-992</v>
          </cell>
          <cell r="H4435" t="str">
            <v>LAS BAMBAS</v>
          </cell>
          <cell r="I4435">
            <v>154566</v>
          </cell>
          <cell r="J4435" t="str">
            <v>REPUESTO</v>
          </cell>
          <cell r="K4435" t="str">
            <v>FARO STOP</v>
          </cell>
          <cell r="L4435">
            <v>1</v>
          </cell>
          <cell r="M4435" t="str">
            <v>UNID.</v>
          </cell>
          <cell r="N4435" t="str">
            <v>TRACTO</v>
          </cell>
          <cell r="O4435">
            <v>36</v>
          </cell>
          <cell r="P4435" t="str">
            <v>E3</v>
          </cell>
          <cell r="Q4435" t="str">
            <v>j1</v>
          </cell>
          <cell r="R4435" t="str">
            <v>J8</v>
          </cell>
          <cell r="S4435" t="str">
            <v>PENDIENTE</v>
          </cell>
          <cell r="T4435">
            <v>0</v>
          </cell>
          <cell r="U4435" t="str">
            <v>CONDORI CHURATA ALEX</v>
          </cell>
          <cell r="V4435" t="str">
            <v>FLOREZ CONDORI  JOSE WILLIANS</v>
          </cell>
        </row>
        <row r="4436">
          <cell r="A4436">
            <v>4374</v>
          </cell>
          <cell r="B4436">
            <v>42754</v>
          </cell>
          <cell r="C4436" t="str">
            <v>ENERO</v>
          </cell>
          <cell r="D4436" t="str">
            <v>2017</v>
          </cell>
          <cell r="E4436">
            <v>860</v>
          </cell>
          <cell r="F4436" t="str">
            <v>X2W-760</v>
          </cell>
          <cell r="G4436" t="str">
            <v>C5V-992</v>
          </cell>
          <cell r="H4436" t="str">
            <v>LAS BAMBAS</v>
          </cell>
          <cell r="I4436">
            <v>154566</v>
          </cell>
          <cell r="J4436" t="str">
            <v>REPUESTO</v>
          </cell>
          <cell r="K4436" t="str">
            <v>FARO INTERMITENTE</v>
          </cell>
          <cell r="L4436">
            <v>1</v>
          </cell>
          <cell r="M4436" t="str">
            <v>UNID.</v>
          </cell>
          <cell r="N4436" t="str">
            <v>TRACTO</v>
          </cell>
          <cell r="O4436">
            <v>36</v>
          </cell>
          <cell r="P4436" t="str">
            <v>E3</v>
          </cell>
          <cell r="Q4436" t="str">
            <v>j1</v>
          </cell>
          <cell r="R4436" t="str">
            <v>J8</v>
          </cell>
          <cell r="S4436" t="str">
            <v>PENDIENTE</v>
          </cell>
          <cell r="T4436">
            <v>0</v>
          </cell>
          <cell r="U4436" t="str">
            <v>CONDORI CHURATA ALEX</v>
          </cell>
          <cell r="V4436" t="str">
            <v>FLOREZ CONDORI  JOSE WILLIANS</v>
          </cell>
        </row>
        <row r="4437">
          <cell r="A4437">
            <v>4384</v>
          </cell>
          <cell r="B4437">
            <v>42754</v>
          </cell>
          <cell r="C4437" t="str">
            <v>ENERO</v>
          </cell>
          <cell r="D4437" t="str">
            <v>2017</v>
          </cell>
          <cell r="E4437">
            <v>860</v>
          </cell>
          <cell r="F4437" t="str">
            <v>X2W-760</v>
          </cell>
          <cell r="G4437" t="str">
            <v>C5V-992</v>
          </cell>
          <cell r="H4437" t="str">
            <v>LAS BAMBAS</v>
          </cell>
          <cell r="I4437">
            <v>154566</v>
          </cell>
          <cell r="J4437" t="str">
            <v>SERVICIO</v>
          </cell>
          <cell r="K4437" t="str">
            <v>SERVICIO DE REPARACION DE INTERCOOLER</v>
          </cell>
          <cell r="L4437">
            <v>1</v>
          </cell>
          <cell r="M4437" t="str">
            <v>UNID.</v>
          </cell>
          <cell r="N4437" t="str">
            <v>TRACTO</v>
          </cell>
          <cell r="O4437">
            <v>36</v>
          </cell>
          <cell r="P4437" t="str">
            <v>M2</v>
          </cell>
          <cell r="Q4437" t="str">
            <v>J1</v>
          </cell>
          <cell r="R4437" t="str">
            <v>J8</v>
          </cell>
          <cell r="S4437" t="str">
            <v>PENDIENTE</v>
          </cell>
          <cell r="T4437">
            <v>0</v>
          </cell>
          <cell r="U4437" t="str">
            <v>CHUMPITAZ GAGO JULIO ENRIQUE</v>
          </cell>
          <cell r="V4437" t="str">
            <v>FLOREZ CONDORI  JOSE WILLIANS</v>
          </cell>
        </row>
        <row r="4438">
          <cell r="A4438">
            <v>4385</v>
          </cell>
          <cell r="B4438">
            <v>42754</v>
          </cell>
          <cell r="C4438" t="str">
            <v>ENERO</v>
          </cell>
          <cell r="D4438" t="str">
            <v>2017</v>
          </cell>
          <cell r="E4438">
            <v>860</v>
          </cell>
          <cell r="F4438" t="str">
            <v>X2W-760</v>
          </cell>
          <cell r="G4438" t="str">
            <v>C5V-992</v>
          </cell>
          <cell r="H4438" t="str">
            <v>LAS BAMBAS</v>
          </cell>
          <cell r="I4438">
            <v>154566</v>
          </cell>
          <cell r="J4438" t="str">
            <v>REPUESTO</v>
          </cell>
          <cell r="K4438" t="str">
            <v>ACEITE 15W40</v>
          </cell>
          <cell r="L4438">
            <v>10</v>
          </cell>
          <cell r="M4438" t="str">
            <v>GLNS.</v>
          </cell>
          <cell r="N4438" t="str">
            <v>TRACTO</v>
          </cell>
          <cell r="O4438">
            <v>36</v>
          </cell>
          <cell r="P4438" t="str">
            <v>M2</v>
          </cell>
          <cell r="Q4438" t="str">
            <v>J1</v>
          </cell>
          <cell r="R4438" t="str">
            <v>J8</v>
          </cell>
          <cell r="S4438" t="str">
            <v>PENDIENTE</v>
          </cell>
          <cell r="T4438">
            <v>0</v>
          </cell>
          <cell r="U4438" t="str">
            <v>CHUMPITAZ GAGO JULIO ENRIQUE</v>
          </cell>
          <cell r="V4438" t="str">
            <v>FLOREZ CONDORI  JOSE WILLIANS</v>
          </cell>
        </row>
        <row r="4439">
          <cell r="A4439">
            <v>4386</v>
          </cell>
          <cell r="B4439">
            <v>42754</v>
          </cell>
          <cell r="C4439" t="str">
            <v>ENERO</v>
          </cell>
          <cell r="D4439" t="str">
            <v>2017</v>
          </cell>
          <cell r="E4439">
            <v>860</v>
          </cell>
          <cell r="F4439" t="str">
            <v>X2W-760</v>
          </cell>
          <cell r="G4439" t="str">
            <v>C5V-992</v>
          </cell>
          <cell r="H4439" t="str">
            <v>LAS BAMBAS</v>
          </cell>
          <cell r="I4439">
            <v>154566</v>
          </cell>
          <cell r="J4439" t="str">
            <v>REPUESTO</v>
          </cell>
          <cell r="K4439" t="str">
            <v>FILTRO DE ACEITE</v>
          </cell>
          <cell r="L4439">
            <v>1</v>
          </cell>
          <cell r="M4439" t="str">
            <v>UNID.</v>
          </cell>
          <cell r="N4439" t="str">
            <v>TRACTO</v>
          </cell>
          <cell r="O4439">
            <v>36</v>
          </cell>
          <cell r="P4439" t="str">
            <v>M2</v>
          </cell>
          <cell r="Q4439" t="str">
            <v>J1</v>
          </cell>
          <cell r="R4439" t="str">
            <v>J8</v>
          </cell>
          <cell r="S4439" t="str">
            <v>PENDIENTE</v>
          </cell>
          <cell r="T4439">
            <v>0</v>
          </cell>
          <cell r="U4439" t="str">
            <v>CHUMPITAZ GAGO JULIO ENRIQUE</v>
          </cell>
          <cell r="V4439" t="str">
            <v>FLOREZ CONDORI  JOSE WILLIANS</v>
          </cell>
        </row>
        <row r="4440">
          <cell r="A4440">
            <v>4387</v>
          </cell>
          <cell r="B4440">
            <v>42754</v>
          </cell>
          <cell r="C4440" t="str">
            <v>ENERO</v>
          </cell>
          <cell r="D4440" t="str">
            <v>2017</v>
          </cell>
          <cell r="E4440">
            <v>860</v>
          </cell>
          <cell r="F4440" t="str">
            <v>X2W-760</v>
          </cell>
          <cell r="G4440" t="str">
            <v>C5V-992</v>
          </cell>
          <cell r="H4440" t="str">
            <v>LAS BAMBAS</v>
          </cell>
          <cell r="I4440">
            <v>154566</v>
          </cell>
          <cell r="J4440" t="str">
            <v>REPUESTO</v>
          </cell>
          <cell r="K4440" t="str">
            <v>FILTRO DE COMBUSTIBLE</v>
          </cell>
          <cell r="L4440">
            <v>1</v>
          </cell>
          <cell r="M4440" t="str">
            <v>UNID.</v>
          </cell>
          <cell r="N4440" t="str">
            <v>TRACTO</v>
          </cell>
          <cell r="O4440">
            <v>36</v>
          </cell>
          <cell r="P4440" t="str">
            <v>M2</v>
          </cell>
          <cell r="Q4440" t="str">
            <v>J1</v>
          </cell>
          <cell r="R4440" t="str">
            <v>J8</v>
          </cell>
          <cell r="S4440" t="str">
            <v>PENDIENTE</v>
          </cell>
          <cell r="T4440">
            <v>0</v>
          </cell>
          <cell r="U4440" t="str">
            <v>CHUMPITAZ GAGO JULIO ENRIQUE</v>
          </cell>
          <cell r="V4440" t="str">
            <v>FLOREZ CONDORI  JOSE WILLIANS</v>
          </cell>
        </row>
        <row r="4441">
          <cell r="A4441">
            <v>4467</v>
          </cell>
          <cell r="B4441">
            <v>42755</v>
          </cell>
          <cell r="C4441" t="str">
            <v>ENERO</v>
          </cell>
          <cell r="D4441" t="str">
            <v>2017</v>
          </cell>
          <cell r="E4441">
            <v>875</v>
          </cell>
          <cell r="F4441" t="str">
            <v>AMV-781</v>
          </cell>
          <cell r="G4441" t="str">
            <v>CAMIONETA</v>
          </cell>
          <cell r="H4441" t="str">
            <v>LAS BAMBAS</v>
          </cell>
          <cell r="I4441">
            <v>33574</v>
          </cell>
          <cell r="J4441" t="str">
            <v>MATERIALES</v>
          </cell>
          <cell r="K4441" t="str">
            <v>DISCO DE CORTE 7"</v>
          </cell>
          <cell r="L4441">
            <v>1</v>
          </cell>
          <cell r="M4441" t="str">
            <v>UNID.</v>
          </cell>
          <cell r="N4441" t="str">
            <v>CAMIONETA</v>
          </cell>
          <cell r="O4441">
            <v>35</v>
          </cell>
          <cell r="P4441" t="str">
            <v>S1</v>
          </cell>
          <cell r="Q4441" t="str">
            <v>J1</v>
          </cell>
          <cell r="R4441" t="str">
            <v>J8</v>
          </cell>
          <cell r="S4441" t="str">
            <v>PENDIENTE</v>
          </cell>
          <cell r="T4441">
            <v>0</v>
          </cell>
          <cell r="U4441" t="str">
            <v>BAYONA CRUZ CRISTIAN ARMANDO</v>
          </cell>
          <cell r="V4441" t="str">
            <v>FLOREZ CONDORI  JOSE WILLIANS</v>
          </cell>
        </row>
        <row r="4442">
          <cell r="A4442">
            <v>4445</v>
          </cell>
          <cell r="B4442">
            <v>42755</v>
          </cell>
          <cell r="C4442" t="str">
            <v>ENERO</v>
          </cell>
          <cell r="D4442" t="str">
            <v>2017</v>
          </cell>
          <cell r="E4442">
            <v>788</v>
          </cell>
          <cell r="F4442" t="str">
            <v>B2L-889</v>
          </cell>
          <cell r="G4442" t="str">
            <v>CAMION</v>
          </cell>
          <cell r="H4442" t="str">
            <v>TAMBOMAYO</v>
          </cell>
          <cell r="I4442">
            <v>124981</v>
          </cell>
          <cell r="J4442" t="str">
            <v>REPUESTO</v>
          </cell>
          <cell r="K4442" t="str">
            <v xml:space="preserve">PERNO 1/4 </v>
          </cell>
          <cell r="L4442">
            <v>1</v>
          </cell>
          <cell r="M4442" t="str">
            <v>UNID.</v>
          </cell>
          <cell r="N4442" t="str">
            <v>TRACTO</v>
          </cell>
          <cell r="O4442">
            <v>35</v>
          </cell>
          <cell r="P4442" t="str">
            <v>E3</v>
          </cell>
          <cell r="Q4442" t="str">
            <v>J1</v>
          </cell>
          <cell r="R4442" t="str">
            <v>J8</v>
          </cell>
          <cell r="S4442" t="str">
            <v>PENDIENTE</v>
          </cell>
          <cell r="T4442">
            <v>0</v>
          </cell>
          <cell r="U4442" t="str">
            <v>CONDORI CHURATA ALEX</v>
          </cell>
          <cell r="V4442" t="str">
            <v>FLOREZ CONDORI  JOSE WILLIANS</v>
          </cell>
        </row>
        <row r="4443">
          <cell r="A4443">
            <v>4446</v>
          </cell>
          <cell r="B4443">
            <v>42755</v>
          </cell>
          <cell r="C4443" t="str">
            <v>ENERO</v>
          </cell>
          <cell r="D4443" t="str">
            <v>2017</v>
          </cell>
          <cell r="E4443">
            <v>788</v>
          </cell>
          <cell r="F4443" t="str">
            <v>B2L-889</v>
          </cell>
          <cell r="G4443" t="str">
            <v>CAMION</v>
          </cell>
          <cell r="H4443" t="str">
            <v>TAMBOMAYO</v>
          </cell>
          <cell r="I4443">
            <v>124981</v>
          </cell>
          <cell r="J4443" t="str">
            <v>REPUESTO</v>
          </cell>
          <cell r="K4443" t="str">
            <v>TUERCA SEGURA</v>
          </cell>
          <cell r="L4443">
            <v>1</v>
          </cell>
          <cell r="M4443" t="str">
            <v>UNID.</v>
          </cell>
          <cell r="N4443" t="str">
            <v>TRACTO</v>
          </cell>
          <cell r="O4443">
            <v>35</v>
          </cell>
          <cell r="P4443" t="str">
            <v>E3</v>
          </cell>
          <cell r="Q4443" t="str">
            <v>J1</v>
          </cell>
          <cell r="R4443" t="str">
            <v>J8</v>
          </cell>
          <cell r="S4443" t="str">
            <v>PENDIENTE</v>
          </cell>
          <cell r="T4443">
            <v>0</v>
          </cell>
          <cell r="U4443" t="str">
            <v>CONDORI CHURATA ALEX</v>
          </cell>
          <cell r="V4443" t="str">
            <v>FLOREZ CONDORI  JOSE WILLIANS</v>
          </cell>
        </row>
        <row r="4444">
          <cell r="A4444">
            <v>4457</v>
          </cell>
          <cell r="B4444">
            <v>42755</v>
          </cell>
          <cell r="C4444" t="str">
            <v>ENERO</v>
          </cell>
          <cell r="D4444" t="str">
            <v>2017</v>
          </cell>
          <cell r="E4444">
            <v>788</v>
          </cell>
          <cell r="F4444" t="str">
            <v>B2L-889</v>
          </cell>
          <cell r="G4444" t="str">
            <v>CAMION</v>
          </cell>
          <cell r="H4444" t="str">
            <v>TAMBOMAYO</v>
          </cell>
          <cell r="I4444">
            <v>124981</v>
          </cell>
          <cell r="J4444" t="str">
            <v>REPUESTO</v>
          </cell>
          <cell r="K4444" t="str">
            <v>PERNOS MANGHOLE</v>
          </cell>
          <cell r="L4444">
            <v>2</v>
          </cell>
          <cell r="M4444" t="str">
            <v>UNID.</v>
          </cell>
          <cell r="N4444" t="str">
            <v>CISTERNA</v>
          </cell>
          <cell r="O4444">
            <v>35</v>
          </cell>
          <cell r="P4444" t="str">
            <v>S1</v>
          </cell>
          <cell r="Q4444" t="str">
            <v>J1</v>
          </cell>
          <cell r="R4444" t="str">
            <v>J8</v>
          </cell>
          <cell r="S4444" t="str">
            <v>PENDIENTE</v>
          </cell>
          <cell r="T4444">
            <v>0</v>
          </cell>
          <cell r="U4444" t="str">
            <v>BAYONA CRUZ CRISTIAN ARMANDO</v>
          </cell>
          <cell r="V4444" t="str">
            <v>FLOREZ CONDORI  JOSE WILLIANS</v>
          </cell>
        </row>
        <row r="4445">
          <cell r="A4445">
            <v>4443</v>
          </cell>
          <cell r="B4445">
            <v>42755</v>
          </cell>
          <cell r="C4445" t="str">
            <v>ENERO</v>
          </cell>
          <cell r="D4445" t="str">
            <v>2017</v>
          </cell>
          <cell r="E4445">
            <v>867</v>
          </cell>
          <cell r="F4445" t="str">
            <v>C5R-899</v>
          </cell>
          <cell r="G4445" t="str">
            <v>A0U-978</v>
          </cell>
          <cell r="H4445" t="str">
            <v>LAS BAMBAS</v>
          </cell>
          <cell r="I4445">
            <v>260960</v>
          </cell>
          <cell r="J4445" t="str">
            <v>REPUESTO</v>
          </cell>
          <cell r="K4445" t="str">
            <v>FAJA DE ALTERNADOR</v>
          </cell>
          <cell r="L4445">
            <v>1</v>
          </cell>
          <cell r="M4445" t="str">
            <v>UNID.</v>
          </cell>
          <cell r="N4445" t="str">
            <v>TRACTO</v>
          </cell>
          <cell r="O4445">
            <v>35</v>
          </cell>
          <cell r="P4445" t="str">
            <v>M2</v>
          </cell>
          <cell r="Q4445" t="str">
            <v>J1</v>
          </cell>
          <cell r="R4445" t="str">
            <v>J8</v>
          </cell>
          <cell r="S4445" t="str">
            <v>PENDIENTE</v>
          </cell>
          <cell r="T4445">
            <v>0</v>
          </cell>
          <cell r="U4445" t="str">
            <v>CHUMPITAZ GAGO JULIO ENRIQUE</v>
          </cell>
          <cell r="V4445" t="str">
            <v>FLOREZ CONDORI  JOSE WILLIANS</v>
          </cell>
        </row>
        <row r="4446">
          <cell r="A4446">
            <v>4458</v>
          </cell>
          <cell r="B4446">
            <v>42755</v>
          </cell>
          <cell r="C4446" t="str">
            <v>ENERO</v>
          </cell>
          <cell r="D4446" t="str">
            <v>2017</v>
          </cell>
          <cell r="E4446">
            <v>865</v>
          </cell>
          <cell r="F4446" t="str">
            <v>C9P-948</v>
          </cell>
          <cell r="G4446" t="str">
            <v>B4O-995</v>
          </cell>
          <cell r="H4446" t="str">
            <v>LAS BAMBAS</v>
          </cell>
          <cell r="I4446">
            <v>161210</v>
          </cell>
          <cell r="J4446" t="str">
            <v>REPUESTO</v>
          </cell>
          <cell r="K4446" t="str">
            <v>AGUA LIMPIA PARABRISA</v>
          </cell>
          <cell r="L4446">
            <v>1</v>
          </cell>
          <cell r="M4446" t="str">
            <v>GLNS.</v>
          </cell>
          <cell r="N4446" t="str">
            <v>TRACTO</v>
          </cell>
          <cell r="O4446">
            <v>35</v>
          </cell>
          <cell r="P4446" t="str">
            <v>M8</v>
          </cell>
          <cell r="Q4446" t="str">
            <v>J1</v>
          </cell>
          <cell r="R4446" t="str">
            <v>J8</v>
          </cell>
          <cell r="S4446" t="str">
            <v>PENDIENTE</v>
          </cell>
          <cell r="T4446">
            <v>0</v>
          </cell>
          <cell r="U4446" t="str">
            <v>VARILLAS GAGO  OSCAR ALBERTO</v>
          </cell>
          <cell r="V4446" t="str">
            <v>FLOREZ CONDORI  JOSE WILLIANS</v>
          </cell>
        </row>
        <row r="4447">
          <cell r="A4447">
            <v>4459</v>
          </cell>
          <cell r="B4447">
            <v>42755</v>
          </cell>
          <cell r="C4447" t="str">
            <v>ENERO</v>
          </cell>
          <cell r="D4447" t="str">
            <v>2017</v>
          </cell>
          <cell r="E4447">
            <v>865</v>
          </cell>
          <cell r="F4447" t="str">
            <v>C9P-948</v>
          </cell>
          <cell r="G4447" t="str">
            <v>B4O-995</v>
          </cell>
          <cell r="H4447" t="str">
            <v>LAS BAMBAS</v>
          </cell>
          <cell r="I4447">
            <v>161210</v>
          </cell>
          <cell r="J4447" t="str">
            <v>REPUESTO</v>
          </cell>
          <cell r="K4447" t="str">
            <v>ACEITE 15W40</v>
          </cell>
          <cell r="L4447">
            <v>0.5</v>
          </cell>
          <cell r="M4447" t="str">
            <v>GLNS.</v>
          </cell>
          <cell r="N4447" t="str">
            <v>TRACTO</v>
          </cell>
          <cell r="O4447">
            <v>35</v>
          </cell>
          <cell r="P4447" t="str">
            <v>M8</v>
          </cell>
          <cell r="Q4447" t="str">
            <v>J1</v>
          </cell>
          <cell r="R4447" t="str">
            <v>J8</v>
          </cell>
          <cell r="S4447" t="str">
            <v>PENDIENTE</v>
          </cell>
          <cell r="T4447">
            <v>0</v>
          </cell>
          <cell r="U4447" t="str">
            <v>VARILLAS GAGO  OSCAR ALBERTO</v>
          </cell>
          <cell r="V4447" t="str">
            <v>FLOREZ CONDORI  JOSE WILLIANS</v>
          </cell>
        </row>
        <row r="4448">
          <cell r="A4448">
            <v>4460</v>
          </cell>
          <cell r="B4448">
            <v>42755</v>
          </cell>
          <cell r="C4448" t="str">
            <v>ENERO</v>
          </cell>
          <cell r="D4448" t="str">
            <v>2017</v>
          </cell>
          <cell r="E4448">
            <v>865</v>
          </cell>
          <cell r="F4448" t="str">
            <v>C9P-948</v>
          </cell>
          <cell r="G4448" t="str">
            <v>B4O-995</v>
          </cell>
          <cell r="H4448" t="str">
            <v>LAS BAMBAS</v>
          </cell>
          <cell r="I4448">
            <v>161210</v>
          </cell>
          <cell r="J4448" t="str">
            <v>REPUESTO</v>
          </cell>
          <cell r="K4448" t="str">
            <v>REFRIGERANTE</v>
          </cell>
          <cell r="L4448">
            <v>0.5</v>
          </cell>
          <cell r="M4448" t="str">
            <v>GLNS.</v>
          </cell>
          <cell r="N4448" t="str">
            <v>TRACTO</v>
          </cell>
          <cell r="O4448">
            <v>35</v>
          </cell>
          <cell r="P4448" t="str">
            <v>M8</v>
          </cell>
          <cell r="Q4448" t="str">
            <v>J1</v>
          </cell>
          <cell r="R4448" t="str">
            <v>J8</v>
          </cell>
          <cell r="S4448" t="str">
            <v>PENDIENTE</v>
          </cell>
          <cell r="T4448">
            <v>0</v>
          </cell>
          <cell r="U4448" t="str">
            <v>VARILLAS GAGO  OSCAR ALBERTO</v>
          </cell>
          <cell r="V4448" t="str">
            <v>FLOREZ CONDORI  JOSE WILLIANS</v>
          </cell>
        </row>
        <row r="4449">
          <cell r="A4449">
            <v>4461</v>
          </cell>
          <cell r="B4449">
            <v>42755</v>
          </cell>
          <cell r="C4449" t="str">
            <v>ENERO</v>
          </cell>
          <cell r="D4449" t="str">
            <v>2017</v>
          </cell>
          <cell r="E4449">
            <v>865</v>
          </cell>
          <cell r="F4449" t="str">
            <v>C9P-948</v>
          </cell>
          <cell r="G4449" t="str">
            <v>B4O-995</v>
          </cell>
          <cell r="H4449" t="str">
            <v>LAS BAMBAS</v>
          </cell>
          <cell r="I4449">
            <v>161210</v>
          </cell>
          <cell r="J4449" t="str">
            <v>REPUESTO</v>
          </cell>
          <cell r="K4449" t="str">
            <v>PRECINTO</v>
          </cell>
          <cell r="L4449">
            <v>1</v>
          </cell>
          <cell r="M4449" t="str">
            <v>GLNS.</v>
          </cell>
          <cell r="N4449" t="str">
            <v>TRACTO</v>
          </cell>
          <cell r="O4449">
            <v>35</v>
          </cell>
          <cell r="P4449" t="str">
            <v>M8</v>
          </cell>
          <cell r="Q4449" t="str">
            <v>J1</v>
          </cell>
          <cell r="R4449" t="str">
            <v>J8</v>
          </cell>
          <cell r="S4449" t="str">
            <v>PENDIENTE</v>
          </cell>
          <cell r="T4449">
            <v>0</v>
          </cell>
          <cell r="U4449" t="str">
            <v>VARILLAS GAGO  OSCAR ALBERTO</v>
          </cell>
          <cell r="V4449" t="str">
            <v>FLOREZ CONDORI  JOSE WILLIANS</v>
          </cell>
        </row>
        <row r="4450">
          <cell r="A4450">
            <v>4463</v>
          </cell>
          <cell r="B4450">
            <v>42755</v>
          </cell>
          <cell r="C4450" t="str">
            <v>ENERO</v>
          </cell>
          <cell r="D4450" t="str">
            <v>2017</v>
          </cell>
          <cell r="E4450">
            <v>865</v>
          </cell>
          <cell r="F4450" t="str">
            <v>C9P-948</v>
          </cell>
          <cell r="G4450" t="str">
            <v>B4O-995</v>
          </cell>
          <cell r="H4450" t="str">
            <v>LAS BAMBAS</v>
          </cell>
          <cell r="I4450">
            <v>161210</v>
          </cell>
          <cell r="J4450" t="str">
            <v>REPUESTO</v>
          </cell>
          <cell r="K4450" t="str">
            <v>PERNOS DE 5/8 X 6"</v>
          </cell>
          <cell r="L4450">
            <v>2</v>
          </cell>
          <cell r="M4450" t="str">
            <v>UNID.</v>
          </cell>
          <cell r="N4450" t="str">
            <v>TRACTO</v>
          </cell>
          <cell r="O4450">
            <v>35</v>
          </cell>
          <cell r="P4450" t="str">
            <v>M8</v>
          </cell>
          <cell r="Q4450" t="str">
            <v>J1</v>
          </cell>
          <cell r="R4450" t="str">
            <v>J8</v>
          </cell>
          <cell r="S4450" t="str">
            <v>PENDIENTE</v>
          </cell>
          <cell r="T4450">
            <v>0</v>
          </cell>
          <cell r="U4450" t="str">
            <v>VARILLAS GAGO  OSCAR ALBERTO</v>
          </cell>
          <cell r="V4450" t="str">
            <v>FLOREZ CONDORI  JOSE WILLIANS</v>
          </cell>
        </row>
        <row r="4451">
          <cell r="A4451">
            <v>4464</v>
          </cell>
          <cell r="B4451">
            <v>42755</v>
          </cell>
          <cell r="C4451" t="str">
            <v>ENERO</v>
          </cell>
          <cell r="D4451" t="str">
            <v>2017</v>
          </cell>
          <cell r="E4451">
            <v>865</v>
          </cell>
          <cell r="F4451" t="str">
            <v>C9P-948</v>
          </cell>
          <cell r="G4451" t="str">
            <v>B4O-995</v>
          </cell>
          <cell r="H4451" t="str">
            <v>LAS BAMBAS</v>
          </cell>
          <cell r="I4451">
            <v>161210</v>
          </cell>
          <cell r="J4451" t="str">
            <v>REPUESTO</v>
          </cell>
          <cell r="K4451" t="str">
            <v>TUERCA SEGURA DE 5/8</v>
          </cell>
          <cell r="L4451">
            <v>2</v>
          </cell>
          <cell r="M4451" t="str">
            <v>UNID.</v>
          </cell>
          <cell r="N4451" t="str">
            <v>TRACTO</v>
          </cell>
          <cell r="O4451">
            <v>35</v>
          </cell>
          <cell r="P4451" t="str">
            <v>M8</v>
          </cell>
          <cell r="Q4451" t="str">
            <v>J1</v>
          </cell>
          <cell r="R4451" t="str">
            <v>J8</v>
          </cell>
          <cell r="S4451" t="str">
            <v>PENDIENTE</v>
          </cell>
          <cell r="T4451">
            <v>0</v>
          </cell>
          <cell r="U4451" t="str">
            <v>VARILLAS GAGO  OSCAR ALBERTO</v>
          </cell>
          <cell r="V4451" t="str">
            <v>FLOREZ CONDORI  JOSE WILLIANS</v>
          </cell>
        </row>
        <row r="4452">
          <cell r="A4452">
            <v>4465</v>
          </cell>
          <cell r="B4452">
            <v>42755</v>
          </cell>
          <cell r="C4452" t="str">
            <v>ENERO</v>
          </cell>
          <cell r="D4452" t="str">
            <v>2017</v>
          </cell>
          <cell r="E4452">
            <v>865</v>
          </cell>
          <cell r="F4452" t="str">
            <v>C9P-948</v>
          </cell>
          <cell r="G4452" t="str">
            <v>B4O-995</v>
          </cell>
          <cell r="H4452" t="str">
            <v>LAS BAMBAS</v>
          </cell>
          <cell r="I4452">
            <v>161210</v>
          </cell>
          <cell r="J4452" t="str">
            <v>REPUESTO</v>
          </cell>
          <cell r="K4452" t="str">
            <v>PERNO DE 9/16 X6"</v>
          </cell>
          <cell r="L4452">
            <v>1</v>
          </cell>
          <cell r="M4452" t="str">
            <v>UNID.</v>
          </cell>
          <cell r="N4452" t="str">
            <v>TRACTO</v>
          </cell>
          <cell r="O4452">
            <v>35</v>
          </cell>
          <cell r="P4452" t="str">
            <v>M8</v>
          </cell>
          <cell r="Q4452" t="str">
            <v>J1</v>
          </cell>
          <cell r="R4452" t="str">
            <v>J8</v>
          </cell>
          <cell r="S4452" t="str">
            <v>PENDIENTE</v>
          </cell>
          <cell r="T4452">
            <v>0</v>
          </cell>
          <cell r="U4452" t="str">
            <v>VARILLAS GAGO  OSCAR ALBERTO</v>
          </cell>
          <cell r="V4452" t="str">
            <v>FLOREZ CONDORI  JOSE WILLIANS</v>
          </cell>
        </row>
        <row r="4453">
          <cell r="A4453">
            <v>4466</v>
          </cell>
          <cell r="B4453">
            <v>42755</v>
          </cell>
          <cell r="C4453" t="str">
            <v>ENERO</v>
          </cell>
          <cell r="D4453" t="str">
            <v>2017</v>
          </cell>
          <cell r="E4453">
            <v>865</v>
          </cell>
          <cell r="F4453" t="str">
            <v>C9P-948</v>
          </cell>
          <cell r="G4453" t="str">
            <v>B4O-995</v>
          </cell>
          <cell r="H4453" t="str">
            <v>LAS BAMBAS</v>
          </cell>
          <cell r="I4453">
            <v>161210</v>
          </cell>
          <cell r="J4453" t="str">
            <v>REPUESTO</v>
          </cell>
          <cell r="K4453" t="str">
            <v>TUERCA SEGURA DE 9/16</v>
          </cell>
          <cell r="L4453">
            <v>1</v>
          </cell>
          <cell r="M4453" t="str">
            <v>UNID.</v>
          </cell>
          <cell r="N4453" t="str">
            <v>TRACTO</v>
          </cell>
          <cell r="O4453">
            <v>35</v>
          </cell>
          <cell r="P4453" t="str">
            <v>M8</v>
          </cell>
          <cell r="Q4453" t="str">
            <v>J1</v>
          </cell>
          <cell r="R4453" t="str">
            <v>J8</v>
          </cell>
          <cell r="S4453" t="str">
            <v>PENDIENTE</v>
          </cell>
          <cell r="T4453">
            <v>0</v>
          </cell>
          <cell r="U4453" t="str">
            <v>VARILLAS GAGO  OSCAR ALBERTO</v>
          </cell>
          <cell r="V4453" t="str">
            <v>FLOREZ CONDORI  JOSE WILLIANS</v>
          </cell>
        </row>
        <row r="4454">
          <cell r="A4454">
            <v>4444</v>
          </cell>
          <cell r="B4454">
            <v>42755</v>
          </cell>
          <cell r="C4454" t="str">
            <v>ENERO</v>
          </cell>
          <cell r="D4454" t="str">
            <v>2017</v>
          </cell>
          <cell r="E4454">
            <v>200</v>
          </cell>
          <cell r="F4454" t="str">
            <v>TALLER</v>
          </cell>
          <cell r="G4454" t="str">
            <v>TALLER</v>
          </cell>
          <cell r="H4454" t="str">
            <v>TALLER</v>
          </cell>
          <cell r="I4454" t="str">
            <v>TALLER</v>
          </cell>
          <cell r="J4454" t="str">
            <v>MATERIALES</v>
          </cell>
          <cell r="K4454" t="str">
            <v>SELLOCORD 1/8</v>
          </cell>
          <cell r="L4454">
            <v>1</v>
          </cell>
          <cell r="M4454" t="str">
            <v>KG.</v>
          </cell>
          <cell r="N4454" t="str">
            <v>TALLER</v>
          </cell>
          <cell r="O4454">
            <v>35</v>
          </cell>
          <cell r="P4454" t="str">
            <v>S1</v>
          </cell>
          <cell r="Q4454" t="str">
            <v>J1</v>
          </cell>
          <cell r="R4454" t="str">
            <v>J8</v>
          </cell>
          <cell r="S4454" t="str">
            <v>PENDIENTE</v>
          </cell>
          <cell r="T4454">
            <v>0</v>
          </cell>
          <cell r="U4454" t="str">
            <v>BAYONA CRUZ CRISTIAN ARMANDO</v>
          </cell>
          <cell r="V4454" t="str">
            <v>FLOREZ CONDORI  JOSE WILLIANS</v>
          </cell>
        </row>
        <row r="4455">
          <cell r="A4455">
            <v>4447</v>
          </cell>
          <cell r="B4455">
            <v>42755</v>
          </cell>
          <cell r="C4455" t="str">
            <v>ENERO</v>
          </cell>
          <cell r="D4455" t="str">
            <v>2017</v>
          </cell>
          <cell r="E4455">
            <v>200</v>
          </cell>
          <cell r="F4455" t="str">
            <v>TALLER</v>
          </cell>
          <cell r="G4455" t="str">
            <v>TALLER</v>
          </cell>
          <cell r="H4455" t="str">
            <v>TALLER</v>
          </cell>
          <cell r="I4455" t="str">
            <v>TALLER</v>
          </cell>
          <cell r="J4455" t="str">
            <v>REPUESTO</v>
          </cell>
          <cell r="K4455" t="str">
            <v xml:space="preserve">PRECINTOS </v>
          </cell>
          <cell r="L4455">
            <v>10</v>
          </cell>
          <cell r="M4455" t="str">
            <v>UNID.</v>
          </cell>
          <cell r="N4455" t="str">
            <v>TALLER</v>
          </cell>
          <cell r="O4455">
            <v>35</v>
          </cell>
          <cell r="P4455" t="str">
            <v>E3</v>
          </cell>
          <cell r="Q4455" t="str">
            <v>J1</v>
          </cell>
          <cell r="R4455" t="str">
            <v>J8</v>
          </cell>
          <cell r="S4455" t="str">
            <v>PENDIENTE</v>
          </cell>
          <cell r="T4455">
            <v>0</v>
          </cell>
          <cell r="U4455" t="str">
            <v>CONDORI CHURATA ALEX</v>
          </cell>
          <cell r="V4455" t="str">
            <v>FLOREZ CONDORI  JOSE WILLIANS</v>
          </cell>
        </row>
        <row r="4456">
          <cell r="A4456">
            <v>4448</v>
          </cell>
          <cell r="B4456">
            <v>42755</v>
          </cell>
          <cell r="C4456" t="str">
            <v>ENERO</v>
          </cell>
          <cell r="D4456" t="str">
            <v>2017</v>
          </cell>
          <cell r="E4456">
            <v>200</v>
          </cell>
          <cell r="F4456" t="str">
            <v>TALLER</v>
          </cell>
          <cell r="G4456" t="str">
            <v>TALLER</v>
          </cell>
          <cell r="H4456" t="str">
            <v>TALLER</v>
          </cell>
          <cell r="I4456" t="str">
            <v>TALLER</v>
          </cell>
          <cell r="J4456" t="str">
            <v>REPUESTO</v>
          </cell>
          <cell r="K4456" t="str">
            <v>MANGUERA CORRUGADA</v>
          </cell>
          <cell r="L4456">
            <v>1</v>
          </cell>
          <cell r="M4456" t="str">
            <v>M</v>
          </cell>
          <cell r="N4456" t="str">
            <v>TALLER</v>
          </cell>
          <cell r="O4456">
            <v>35</v>
          </cell>
          <cell r="P4456" t="str">
            <v>E3</v>
          </cell>
          <cell r="Q4456" t="str">
            <v>J1</v>
          </cell>
          <cell r="R4456" t="str">
            <v>J8</v>
          </cell>
          <cell r="S4456" t="str">
            <v>PENDIENTE</v>
          </cell>
          <cell r="T4456">
            <v>0</v>
          </cell>
          <cell r="U4456" t="str">
            <v>CONDORI CHURATA ALEX</v>
          </cell>
          <cell r="V4456" t="str">
            <v>FLOREZ CONDORI  JOSE WILLIANS</v>
          </cell>
        </row>
        <row r="4457">
          <cell r="A4457">
            <v>4456</v>
          </cell>
          <cell r="B4457">
            <v>42755</v>
          </cell>
          <cell r="C4457" t="str">
            <v>ENERO</v>
          </cell>
          <cell r="D4457" t="str">
            <v>2017</v>
          </cell>
          <cell r="E4457">
            <v>200</v>
          </cell>
          <cell r="F4457" t="str">
            <v>TALLER</v>
          </cell>
          <cell r="G4457" t="str">
            <v>TALLER</v>
          </cell>
          <cell r="H4457" t="str">
            <v>TALLER</v>
          </cell>
          <cell r="I4457" t="str">
            <v>TALLER</v>
          </cell>
          <cell r="J4457" t="str">
            <v>MATERIALES</v>
          </cell>
          <cell r="K4457" t="str">
            <v>CINTA TEFLON</v>
          </cell>
          <cell r="L4457">
            <v>1</v>
          </cell>
          <cell r="M4457" t="str">
            <v>UNID.</v>
          </cell>
          <cell r="N4457" t="str">
            <v>TALLER</v>
          </cell>
          <cell r="O4457">
            <v>35</v>
          </cell>
          <cell r="P4457" t="str">
            <v>M1</v>
          </cell>
          <cell r="Q4457" t="str">
            <v>J1</v>
          </cell>
          <cell r="R4457" t="str">
            <v>J8</v>
          </cell>
          <cell r="S4457" t="str">
            <v>PENDIENTE</v>
          </cell>
          <cell r="T4457">
            <v>0</v>
          </cell>
          <cell r="U4457" t="str">
            <v>CABEZAS SANCHEZ JEAN JHONATAN</v>
          </cell>
          <cell r="V4457" t="str">
            <v>FLOREZ CONDORI  JOSE WILLIANS</v>
          </cell>
        </row>
        <row r="4458">
          <cell r="A4458">
            <v>4440</v>
          </cell>
          <cell r="B4458">
            <v>42755</v>
          </cell>
          <cell r="C4458" t="str">
            <v>ENERO</v>
          </cell>
          <cell r="D4458" t="str">
            <v>2017</v>
          </cell>
          <cell r="E4458">
            <v>868</v>
          </cell>
          <cell r="F4458" t="str">
            <v>X2W-759</v>
          </cell>
          <cell r="G4458" t="str">
            <v>C5V-999</v>
          </cell>
          <cell r="H4458" t="str">
            <v>LAS BAMBAS</v>
          </cell>
          <cell r="I4458">
            <v>158756</v>
          </cell>
          <cell r="J4458" t="str">
            <v>REPUESTO</v>
          </cell>
          <cell r="K4458" t="str">
            <v>LLANTAS REENCAUCHADAS IDY 11R 22.5</v>
          </cell>
          <cell r="L4458">
            <v>4</v>
          </cell>
          <cell r="M4458" t="str">
            <v>UNID.</v>
          </cell>
          <cell r="N4458" t="str">
            <v>TRACTO</v>
          </cell>
          <cell r="O4458">
            <v>35</v>
          </cell>
          <cell r="P4458" t="str">
            <v>N1</v>
          </cell>
          <cell r="Q4458" t="str">
            <v>J1</v>
          </cell>
          <cell r="R4458" t="str">
            <v>J8</v>
          </cell>
          <cell r="S4458" t="str">
            <v>PENDIENTE</v>
          </cell>
          <cell r="T4458">
            <v>0</v>
          </cell>
          <cell r="U4458" t="str">
            <v>AGUILAR CCANTUTA WILLY</v>
          </cell>
          <cell r="V4458" t="str">
            <v>FLOREZ CONDORI  JOSE WILLIANS</v>
          </cell>
        </row>
        <row r="4459">
          <cell r="A4459">
            <v>4441</v>
          </cell>
          <cell r="B4459">
            <v>42755</v>
          </cell>
          <cell r="C4459" t="str">
            <v>ENERO</v>
          </cell>
          <cell r="D4459" t="str">
            <v>2017</v>
          </cell>
          <cell r="E4459">
            <v>868</v>
          </cell>
          <cell r="F4459" t="str">
            <v>X2W-759</v>
          </cell>
          <cell r="G4459" t="str">
            <v>C5V-999</v>
          </cell>
          <cell r="H4459" t="str">
            <v>LAS BAMBAS</v>
          </cell>
          <cell r="I4459">
            <v>158756</v>
          </cell>
          <cell r="J4459" t="str">
            <v>REPUESTO</v>
          </cell>
          <cell r="K4459" t="str">
            <v>VALVULAS DE PINTON</v>
          </cell>
          <cell r="L4459">
            <v>4</v>
          </cell>
          <cell r="M4459" t="str">
            <v>UNID.</v>
          </cell>
          <cell r="N4459" t="str">
            <v>TRACTO</v>
          </cell>
          <cell r="O4459">
            <v>35</v>
          </cell>
          <cell r="P4459" t="str">
            <v>N1</v>
          </cell>
          <cell r="Q4459" t="str">
            <v>J1</v>
          </cell>
          <cell r="R4459" t="str">
            <v>J8</v>
          </cell>
          <cell r="S4459" t="str">
            <v>PENDIENTE</v>
          </cell>
          <cell r="T4459">
            <v>0</v>
          </cell>
          <cell r="U4459" t="str">
            <v>AGUILAR CCANTUTA WILLY</v>
          </cell>
          <cell r="V4459" t="str">
            <v>FLOREZ CONDORI  JOSE WILLIANS</v>
          </cell>
        </row>
        <row r="4460">
          <cell r="A4460">
            <v>4449</v>
          </cell>
          <cell r="B4460">
            <v>42755</v>
          </cell>
          <cell r="C4460" t="str">
            <v>ENERO</v>
          </cell>
          <cell r="D4460" t="str">
            <v>2017</v>
          </cell>
          <cell r="E4460">
            <v>868</v>
          </cell>
          <cell r="F4460" t="str">
            <v>X2W-759</v>
          </cell>
          <cell r="G4460" t="str">
            <v>C5V-999</v>
          </cell>
          <cell r="H4460" t="str">
            <v>LAS BAMBAS</v>
          </cell>
          <cell r="I4460">
            <v>158756</v>
          </cell>
          <cell r="J4460" t="str">
            <v>REPUESTO</v>
          </cell>
          <cell r="K4460" t="str">
            <v>ACEITE 15W40</v>
          </cell>
          <cell r="L4460">
            <v>10</v>
          </cell>
          <cell r="M4460" t="str">
            <v>GLNS.</v>
          </cell>
          <cell r="N4460" t="str">
            <v>TRACTO</v>
          </cell>
          <cell r="O4460">
            <v>35</v>
          </cell>
          <cell r="P4460" t="str">
            <v>M1</v>
          </cell>
          <cell r="Q4460" t="str">
            <v>J1</v>
          </cell>
          <cell r="R4460" t="str">
            <v>J8</v>
          </cell>
          <cell r="S4460" t="str">
            <v>PENDIENTE</v>
          </cell>
          <cell r="T4460">
            <v>0</v>
          </cell>
          <cell r="U4460" t="str">
            <v>CABEZAS SANCHEZ JEAN JHONATAN</v>
          </cell>
          <cell r="V4460" t="str">
            <v>FLOREZ CONDORI  JOSE WILLIANS</v>
          </cell>
        </row>
        <row r="4461">
          <cell r="A4461">
            <v>4450</v>
          </cell>
          <cell r="B4461">
            <v>42755</v>
          </cell>
          <cell r="C4461" t="str">
            <v>ENERO</v>
          </cell>
          <cell r="D4461" t="str">
            <v>2017</v>
          </cell>
          <cell r="E4461">
            <v>868</v>
          </cell>
          <cell r="F4461" t="str">
            <v>X2W-759</v>
          </cell>
          <cell r="G4461" t="str">
            <v>C5V-999</v>
          </cell>
          <cell r="H4461" t="str">
            <v>LAS BAMBAS</v>
          </cell>
          <cell r="I4461">
            <v>158756</v>
          </cell>
          <cell r="J4461" t="str">
            <v>REPUESTO</v>
          </cell>
          <cell r="K4461" t="str">
            <v>FILTRO PRIMARIO DE COMBUSTIBLE</v>
          </cell>
          <cell r="L4461">
            <v>1</v>
          </cell>
          <cell r="M4461" t="str">
            <v>UNID.</v>
          </cell>
          <cell r="N4461" t="str">
            <v>TRACTO</v>
          </cell>
          <cell r="O4461">
            <v>35</v>
          </cell>
          <cell r="P4461" t="str">
            <v>M1</v>
          </cell>
          <cell r="Q4461" t="str">
            <v>J1</v>
          </cell>
          <cell r="R4461" t="str">
            <v>J8</v>
          </cell>
          <cell r="S4461" t="str">
            <v>PENDIENTE</v>
          </cell>
          <cell r="T4461">
            <v>0</v>
          </cell>
          <cell r="U4461" t="str">
            <v>CABEZAS SANCHEZ JEAN JHONATAN</v>
          </cell>
          <cell r="V4461" t="str">
            <v>FLOREZ CONDORI  JOSE WILLIANS</v>
          </cell>
        </row>
        <row r="4462">
          <cell r="A4462">
            <v>4451</v>
          </cell>
          <cell r="B4462">
            <v>42755</v>
          </cell>
          <cell r="C4462" t="str">
            <v>ENERO</v>
          </cell>
          <cell r="D4462" t="str">
            <v>2017</v>
          </cell>
          <cell r="E4462">
            <v>868</v>
          </cell>
          <cell r="F4462" t="str">
            <v>X2W-759</v>
          </cell>
          <cell r="G4462" t="str">
            <v>C5V-999</v>
          </cell>
          <cell r="H4462" t="str">
            <v>LAS BAMBAS</v>
          </cell>
          <cell r="I4462">
            <v>158756</v>
          </cell>
          <cell r="J4462" t="str">
            <v>REPUESTO</v>
          </cell>
          <cell r="K4462" t="str">
            <v>FILTRO RACOR DE COMBUISTIBLE</v>
          </cell>
          <cell r="L4462">
            <v>1</v>
          </cell>
          <cell r="M4462" t="str">
            <v>UNID.</v>
          </cell>
          <cell r="N4462" t="str">
            <v>TRACTO</v>
          </cell>
          <cell r="O4462">
            <v>35</v>
          </cell>
          <cell r="P4462" t="str">
            <v>M1</v>
          </cell>
          <cell r="Q4462" t="str">
            <v>J1</v>
          </cell>
          <cell r="R4462" t="str">
            <v>J8</v>
          </cell>
          <cell r="S4462" t="str">
            <v>PENDIENTE</v>
          </cell>
          <cell r="T4462">
            <v>0</v>
          </cell>
          <cell r="U4462" t="str">
            <v>CABEZAS SANCHEZ JEAN JHONATAN</v>
          </cell>
          <cell r="V4462" t="str">
            <v>FLOREZ CONDORI  JOSE WILLIANS</v>
          </cell>
        </row>
        <row r="4463">
          <cell r="A4463">
            <v>4452</v>
          </cell>
          <cell r="B4463">
            <v>42755</v>
          </cell>
          <cell r="C4463" t="str">
            <v>ENERO</v>
          </cell>
          <cell r="D4463" t="str">
            <v>2017</v>
          </cell>
          <cell r="E4463">
            <v>868</v>
          </cell>
          <cell r="F4463" t="str">
            <v>X2W-759</v>
          </cell>
          <cell r="G4463" t="str">
            <v>C5V-999</v>
          </cell>
          <cell r="H4463" t="str">
            <v>LAS BAMBAS</v>
          </cell>
          <cell r="I4463">
            <v>158756</v>
          </cell>
          <cell r="J4463" t="str">
            <v>REPUESTO</v>
          </cell>
          <cell r="K4463" t="str">
            <v>FILTRO DE ACEITE</v>
          </cell>
          <cell r="L4463">
            <v>1</v>
          </cell>
          <cell r="M4463" t="str">
            <v>UNID.</v>
          </cell>
          <cell r="N4463" t="str">
            <v>TRACTO</v>
          </cell>
          <cell r="O4463">
            <v>35</v>
          </cell>
          <cell r="P4463" t="str">
            <v>M1</v>
          </cell>
          <cell r="Q4463" t="str">
            <v>J1</v>
          </cell>
          <cell r="R4463" t="str">
            <v>J8</v>
          </cell>
          <cell r="S4463" t="str">
            <v>PENDIENTE</v>
          </cell>
          <cell r="T4463">
            <v>0</v>
          </cell>
          <cell r="U4463" t="str">
            <v>CABEZAS SANCHEZ JEAN JHONATAN</v>
          </cell>
          <cell r="V4463" t="str">
            <v>FLOREZ CONDORI  JOSE WILLIANS</v>
          </cell>
        </row>
        <row r="4464">
          <cell r="A4464">
            <v>4453</v>
          </cell>
          <cell r="B4464">
            <v>42755</v>
          </cell>
          <cell r="C4464" t="str">
            <v>ENERO</v>
          </cell>
          <cell r="D4464" t="str">
            <v>2017</v>
          </cell>
          <cell r="E4464">
            <v>868</v>
          </cell>
          <cell r="F4464" t="str">
            <v>X2W-759</v>
          </cell>
          <cell r="G4464" t="str">
            <v>C5V-999</v>
          </cell>
          <cell r="H4464" t="str">
            <v>LAS BAMBAS</v>
          </cell>
          <cell r="I4464">
            <v>158756</v>
          </cell>
          <cell r="J4464" t="str">
            <v>REPUESTO</v>
          </cell>
          <cell r="K4464" t="str">
            <v>FILTRO DE AIRE</v>
          </cell>
          <cell r="L4464">
            <v>1</v>
          </cell>
          <cell r="M4464" t="str">
            <v>UNID.</v>
          </cell>
          <cell r="N4464" t="str">
            <v>TRACTO</v>
          </cell>
          <cell r="O4464">
            <v>35</v>
          </cell>
          <cell r="P4464" t="str">
            <v>M1</v>
          </cell>
          <cell r="Q4464" t="str">
            <v>J1</v>
          </cell>
          <cell r="R4464" t="str">
            <v>J8</v>
          </cell>
          <cell r="S4464" t="str">
            <v>PENDIENTE</v>
          </cell>
          <cell r="T4464">
            <v>0</v>
          </cell>
          <cell r="U4464" t="str">
            <v>CABEZAS SANCHEZ JEAN JHONATAN</v>
          </cell>
          <cell r="V4464" t="str">
            <v>FLOREZ CONDORI  JOSE WILLIANS</v>
          </cell>
        </row>
        <row r="4465">
          <cell r="A4465">
            <v>4462</v>
          </cell>
          <cell r="B4465">
            <v>42755</v>
          </cell>
          <cell r="C4465" t="str">
            <v>ENERO</v>
          </cell>
          <cell r="D4465" t="str">
            <v>2017</v>
          </cell>
          <cell r="E4465">
            <v>868</v>
          </cell>
          <cell r="F4465" t="str">
            <v>X2W-759</v>
          </cell>
          <cell r="G4465" t="str">
            <v>C5V-999</v>
          </cell>
          <cell r="H4465" t="str">
            <v>LAS BAMBAS</v>
          </cell>
          <cell r="I4465">
            <v>158756</v>
          </cell>
          <cell r="J4465" t="str">
            <v>REPUESTO</v>
          </cell>
          <cell r="K4465" t="str">
            <v>TUERCA 5/8</v>
          </cell>
          <cell r="L4465">
            <v>2</v>
          </cell>
          <cell r="M4465" t="str">
            <v>UNID.</v>
          </cell>
          <cell r="N4465" t="str">
            <v>TRACTO</v>
          </cell>
          <cell r="O4465">
            <v>35</v>
          </cell>
          <cell r="P4465" t="str">
            <v>S1</v>
          </cell>
          <cell r="Q4465" t="str">
            <v>J1</v>
          </cell>
          <cell r="R4465" t="str">
            <v>J8</v>
          </cell>
          <cell r="S4465" t="str">
            <v>PENDIENTE</v>
          </cell>
          <cell r="T4465">
            <v>0</v>
          </cell>
          <cell r="U4465" t="str">
            <v>BAYONA CRUZ CRISTIAN ARMANDO</v>
          </cell>
          <cell r="V4465" t="str">
            <v>FLOREZ CONDORI  JOSE WILLIANS</v>
          </cell>
        </row>
        <row r="4466">
          <cell r="A4466">
            <v>4468</v>
          </cell>
          <cell r="B4466">
            <v>42755</v>
          </cell>
          <cell r="C4466" t="str">
            <v>ENERO</v>
          </cell>
          <cell r="D4466" t="str">
            <v>2017</v>
          </cell>
          <cell r="E4466">
            <v>868</v>
          </cell>
          <cell r="F4466" t="str">
            <v>X2W-759</v>
          </cell>
          <cell r="G4466" t="str">
            <v>C5V-999</v>
          </cell>
          <cell r="H4466" t="str">
            <v>LAS BAMBAS</v>
          </cell>
          <cell r="I4466">
            <v>158756</v>
          </cell>
          <cell r="J4466" t="str">
            <v>REPUESTO</v>
          </cell>
          <cell r="K4466" t="str">
            <v>GUARDAFANGO NEGRO</v>
          </cell>
          <cell r="L4466">
            <v>1</v>
          </cell>
          <cell r="M4466" t="str">
            <v>UNID.</v>
          </cell>
          <cell r="N4466" t="str">
            <v>CISTERNA</v>
          </cell>
          <cell r="O4466">
            <v>35</v>
          </cell>
          <cell r="P4466" t="str">
            <v>J1</v>
          </cell>
          <cell r="Q4466" t="str">
            <v>J1</v>
          </cell>
          <cell r="R4466" t="str">
            <v>J8</v>
          </cell>
          <cell r="S4466" t="str">
            <v>PENDIENTE</v>
          </cell>
          <cell r="T4466">
            <v>0</v>
          </cell>
          <cell r="U4466" t="str">
            <v>FLOREZ CONDORI  JOSE WILLIANS</v>
          </cell>
          <cell r="V4466" t="str">
            <v>FLOREZ CONDORI  JOSE WILLIANS</v>
          </cell>
        </row>
        <row r="4467">
          <cell r="A4467">
            <v>4442</v>
          </cell>
          <cell r="B4467">
            <v>42755</v>
          </cell>
          <cell r="C4467" t="str">
            <v>ENERO</v>
          </cell>
          <cell r="D4467" t="str">
            <v>2017</v>
          </cell>
          <cell r="E4467">
            <v>860</v>
          </cell>
          <cell r="F4467" t="str">
            <v>X2W-760</v>
          </cell>
          <cell r="G4467" t="str">
            <v>C5V-992</v>
          </cell>
          <cell r="H4467" t="str">
            <v>LAS BAMBAS</v>
          </cell>
          <cell r="I4467">
            <v>154566</v>
          </cell>
          <cell r="J4467" t="str">
            <v>REPUESTO</v>
          </cell>
          <cell r="K4467" t="str">
            <v>BLOQUEADOR DE BATERIA</v>
          </cell>
          <cell r="L4467">
            <v>1</v>
          </cell>
          <cell r="M4467" t="str">
            <v>UNID.</v>
          </cell>
          <cell r="N4467" t="str">
            <v>TRACTO</v>
          </cell>
          <cell r="O4467">
            <v>35</v>
          </cell>
          <cell r="P4467" t="str">
            <v>E3</v>
          </cell>
          <cell r="Q4467" t="str">
            <v>J1</v>
          </cell>
          <cell r="R4467" t="str">
            <v>J8</v>
          </cell>
          <cell r="S4467" t="str">
            <v>PENDIENTE</v>
          </cell>
          <cell r="T4467">
            <v>0</v>
          </cell>
          <cell r="U4467" t="str">
            <v>CONDORI CHURATA ALEX</v>
          </cell>
          <cell r="V4467" t="str">
            <v>FLOREZ CONDORI  JOSE WILLIANS</v>
          </cell>
        </row>
        <row r="4468">
          <cell r="A4468">
            <v>4454</v>
          </cell>
          <cell r="B4468">
            <v>42755</v>
          </cell>
          <cell r="C4468" t="str">
            <v>ENERO</v>
          </cell>
          <cell r="D4468" t="str">
            <v>2017</v>
          </cell>
          <cell r="E4468">
            <v>860</v>
          </cell>
          <cell r="F4468" t="str">
            <v>X2W-760</v>
          </cell>
          <cell r="G4468" t="str">
            <v>C5V-992</v>
          </cell>
          <cell r="H4468" t="str">
            <v>LAS BAMBAS</v>
          </cell>
          <cell r="I4468">
            <v>154566</v>
          </cell>
          <cell r="J4468" t="str">
            <v>REPUESTO</v>
          </cell>
          <cell r="K4468" t="str">
            <v>FILTRO DE PETROLEO SEPARADOR DE AGUA</v>
          </cell>
          <cell r="L4468">
            <v>1</v>
          </cell>
          <cell r="M4468" t="str">
            <v>UNID.</v>
          </cell>
          <cell r="N4468" t="str">
            <v>TRACTO</v>
          </cell>
          <cell r="O4468">
            <v>35</v>
          </cell>
          <cell r="P4468" t="str">
            <v>M2</v>
          </cell>
          <cell r="Q4468" t="str">
            <v>J1</v>
          </cell>
          <cell r="R4468" t="str">
            <v>J8</v>
          </cell>
          <cell r="S4468" t="str">
            <v>PENDIENTE</v>
          </cell>
          <cell r="T4468">
            <v>0</v>
          </cell>
          <cell r="U4468" t="str">
            <v>CHUMPITAZ GAGO JULIO ENRIQUE</v>
          </cell>
          <cell r="V4468" t="str">
            <v>FLOREZ CONDORI  JOSE WILLIANS</v>
          </cell>
        </row>
        <row r="4469">
          <cell r="A4469">
            <v>4455</v>
          </cell>
          <cell r="B4469">
            <v>42755</v>
          </cell>
          <cell r="C4469" t="str">
            <v>ENERO</v>
          </cell>
          <cell r="D4469" t="str">
            <v>2017</v>
          </cell>
          <cell r="E4469">
            <v>860</v>
          </cell>
          <cell r="F4469" t="str">
            <v>X2W-760</v>
          </cell>
          <cell r="G4469" t="str">
            <v>C5V-992</v>
          </cell>
          <cell r="H4469" t="str">
            <v>LAS BAMBAS</v>
          </cell>
          <cell r="I4469">
            <v>154566</v>
          </cell>
          <cell r="J4469" t="str">
            <v>REPUESTO</v>
          </cell>
          <cell r="K4469" t="str">
            <v>AGUA LIMPIA PARABRISA</v>
          </cell>
          <cell r="L4469">
            <v>1</v>
          </cell>
          <cell r="M4469" t="str">
            <v>GLNS.</v>
          </cell>
          <cell r="N4469" t="str">
            <v>TRACTO</v>
          </cell>
          <cell r="O4469">
            <v>35</v>
          </cell>
          <cell r="P4469" t="str">
            <v>M2</v>
          </cell>
          <cell r="Q4469" t="str">
            <v>J1</v>
          </cell>
          <cell r="R4469" t="str">
            <v>J8</v>
          </cell>
          <cell r="S4469" t="str">
            <v>PENDIENTE</v>
          </cell>
          <cell r="T4469">
            <v>0</v>
          </cell>
          <cell r="U4469" t="str">
            <v>CHUMPITAZ GAGO JULIO ENRIQUE</v>
          </cell>
          <cell r="V4469" t="str">
            <v>FLOREZ CONDORI  JOSE WILLIANS</v>
          </cell>
        </row>
        <row r="4470">
          <cell r="A4470">
            <v>4473</v>
          </cell>
          <cell r="B4470">
            <v>42756</v>
          </cell>
          <cell r="C4470" t="str">
            <v>ENERO</v>
          </cell>
          <cell r="D4470" t="str">
            <v>2017</v>
          </cell>
          <cell r="E4470">
            <v>877</v>
          </cell>
          <cell r="F4470" t="str">
            <v>ABR-796</v>
          </cell>
          <cell r="G4470" t="str">
            <v>C9S-994</v>
          </cell>
          <cell r="H4470" t="str">
            <v>LAS BAMBAS</v>
          </cell>
          <cell r="I4470">
            <v>116409</v>
          </cell>
          <cell r="J4470" t="str">
            <v>REPUESTO</v>
          </cell>
          <cell r="K4470" t="str">
            <v>REFRIGERANTE</v>
          </cell>
          <cell r="L4470">
            <v>1</v>
          </cell>
          <cell r="M4470" t="str">
            <v>GLNS.</v>
          </cell>
          <cell r="N4470" t="str">
            <v>TRACTO</v>
          </cell>
          <cell r="O4470">
            <v>34</v>
          </cell>
          <cell r="P4470" t="str">
            <v>M5</v>
          </cell>
          <cell r="Q4470" t="str">
            <v>J1</v>
          </cell>
          <cell r="R4470" t="str">
            <v>J8</v>
          </cell>
          <cell r="S4470" t="str">
            <v>PENDIENTE</v>
          </cell>
          <cell r="T4470">
            <v>0</v>
          </cell>
          <cell r="U4470" t="str">
            <v>LOPEZ RUIZ WILBERTO</v>
          </cell>
          <cell r="V4470" t="str">
            <v>FLOREZ CONDORI  JOSE WILLIANS</v>
          </cell>
        </row>
        <row r="4471">
          <cell r="A4471">
            <v>4474</v>
          </cell>
          <cell r="B4471">
            <v>42756</v>
          </cell>
          <cell r="C4471" t="str">
            <v>ENERO</v>
          </cell>
          <cell r="D4471" t="str">
            <v>2017</v>
          </cell>
          <cell r="E4471">
            <v>877</v>
          </cell>
          <cell r="F4471" t="str">
            <v>ABR-796</v>
          </cell>
          <cell r="G4471" t="str">
            <v>C9S-994</v>
          </cell>
          <cell r="H4471" t="str">
            <v>LAS BAMBAS</v>
          </cell>
          <cell r="I4471">
            <v>116409</v>
          </cell>
          <cell r="J4471" t="str">
            <v>REPUESTO</v>
          </cell>
          <cell r="K4471" t="str">
            <v>AGUA LIMPIA PARABRISA</v>
          </cell>
          <cell r="L4471">
            <v>1</v>
          </cell>
          <cell r="M4471" t="str">
            <v>GLNS.</v>
          </cell>
          <cell r="N4471" t="str">
            <v>TRACTO</v>
          </cell>
          <cell r="O4471">
            <v>34</v>
          </cell>
          <cell r="P4471" t="str">
            <v>M5</v>
          </cell>
          <cell r="Q4471" t="str">
            <v>J1</v>
          </cell>
          <cell r="R4471" t="str">
            <v>J8</v>
          </cell>
          <cell r="S4471" t="str">
            <v>PENDIENTE</v>
          </cell>
          <cell r="T4471">
            <v>0</v>
          </cell>
          <cell r="U4471" t="str">
            <v>LOPEZ RUIZ WILBERTO</v>
          </cell>
          <cell r="V4471" t="str">
            <v>FLOREZ CONDORI  JOSE WILLIANS</v>
          </cell>
        </row>
        <row r="4472">
          <cell r="A4472">
            <v>4477</v>
          </cell>
          <cell r="B4472">
            <v>42756</v>
          </cell>
          <cell r="C4472" t="str">
            <v>ENERO</v>
          </cell>
          <cell r="D4472" t="str">
            <v>2017</v>
          </cell>
          <cell r="E4472">
            <v>877</v>
          </cell>
          <cell r="F4472" t="str">
            <v>ABR-796</v>
          </cell>
          <cell r="G4472" t="str">
            <v>C9S-994</v>
          </cell>
          <cell r="H4472" t="str">
            <v>LAS BAMBAS</v>
          </cell>
          <cell r="I4472">
            <v>116409</v>
          </cell>
          <cell r="J4472" t="str">
            <v>REPUESTO</v>
          </cell>
          <cell r="K4472" t="str">
            <v>FAROS NEBLINEROS AAA</v>
          </cell>
          <cell r="L4472">
            <v>2</v>
          </cell>
          <cell r="M4472" t="str">
            <v>UNID.</v>
          </cell>
          <cell r="N4472" t="str">
            <v>TRACTO</v>
          </cell>
          <cell r="O4472">
            <v>34</v>
          </cell>
          <cell r="P4472" t="str">
            <v>E2</v>
          </cell>
          <cell r="Q4472" t="str">
            <v>J1</v>
          </cell>
          <cell r="R4472" t="str">
            <v>J8</v>
          </cell>
          <cell r="S4472" t="str">
            <v>PENDIENTE</v>
          </cell>
          <cell r="T4472">
            <v>0</v>
          </cell>
          <cell r="U4472" t="str">
            <v>YUCA BELLIDO BORIS YERSY</v>
          </cell>
          <cell r="V4472" t="str">
            <v>FLOREZ CONDORI  JOSE WILLIANS</v>
          </cell>
        </row>
        <row r="4473">
          <cell r="A4473">
            <v>4484</v>
          </cell>
          <cell r="B4473">
            <v>42756</v>
          </cell>
          <cell r="C4473" t="str">
            <v>ENERO</v>
          </cell>
          <cell r="D4473" t="str">
            <v>2017</v>
          </cell>
          <cell r="E4473">
            <v>877</v>
          </cell>
          <cell r="F4473" t="str">
            <v>ABR-796</v>
          </cell>
          <cell r="G4473" t="str">
            <v>C9S-994</v>
          </cell>
          <cell r="H4473" t="str">
            <v>LAS BAMBAS</v>
          </cell>
          <cell r="I4473">
            <v>116409</v>
          </cell>
          <cell r="J4473" t="str">
            <v>REPUESTO</v>
          </cell>
          <cell r="K4473" t="str">
            <v>MINIFUSIBLES DE 20A</v>
          </cell>
          <cell r="L4473">
            <v>4</v>
          </cell>
          <cell r="M4473" t="str">
            <v>UNID.</v>
          </cell>
          <cell r="N4473" t="str">
            <v>TRACTO</v>
          </cell>
          <cell r="O4473">
            <v>34</v>
          </cell>
          <cell r="P4473" t="str">
            <v>E2</v>
          </cell>
          <cell r="Q4473" t="str">
            <v>J1</v>
          </cell>
          <cell r="R4473" t="str">
            <v>J8</v>
          </cell>
          <cell r="S4473" t="str">
            <v>PENDIENTE</v>
          </cell>
          <cell r="T4473">
            <v>0</v>
          </cell>
          <cell r="U4473" t="str">
            <v>YUCA BELLIDO BORIS YERSY</v>
          </cell>
          <cell r="V4473" t="str">
            <v>FLOREZ CONDORI  JOSE WILLIANS</v>
          </cell>
        </row>
        <row r="4474">
          <cell r="A4474">
            <v>4485</v>
          </cell>
          <cell r="B4474">
            <v>42756</v>
          </cell>
          <cell r="C4474" t="str">
            <v>ENERO</v>
          </cell>
          <cell r="D4474" t="str">
            <v>2017</v>
          </cell>
          <cell r="E4474">
            <v>867</v>
          </cell>
          <cell r="F4474" t="str">
            <v>C5R-899</v>
          </cell>
          <cell r="G4474" t="str">
            <v>A0U-978</v>
          </cell>
          <cell r="H4474" t="str">
            <v>LAS BAMBAS</v>
          </cell>
          <cell r="I4474">
            <v>260960</v>
          </cell>
          <cell r="J4474" t="str">
            <v>REPUESTO</v>
          </cell>
          <cell r="K4474" t="str">
            <v>DISCO DE TORNAMESA</v>
          </cell>
          <cell r="L4474">
            <v>1</v>
          </cell>
          <cell r="M4474" t="str">
            <v>UNID.</v>
          </cell>
          <cell r="N4474" t="str">
            <v>CISTERNA</v>
          </cell>
          <cell r="O4474">
            <v>34</v>
          </cell>
          <cell r="P4474" t="str">
            <v>M4</v>
          </cell>
          <cell r="Q4474" t="str">
            <v>J1</v>
          </cell>
          <cell r="R4474" t="str">
            <v>J8</v>
          </cell>
          <cell r="S4474" t="str">
            <v>PENDIENTE</v>
          </cell>
          <cell r="T4474">
            <v>0</v>
          </cell>
          <cell r="U4474" t="str">
            <v>JULLIRI APAZA UBALDO</v>
          </cell>
          <cell r="V4474" t="str">
            <v>FLOREZ CONDORI  JOSE WILLIANS</v>
          </cell>
        </row>
        <row r="4475">
          <cell r="A4475">
            <v>4486</v>
          </cell>
          <cell r="B4475">
            <v>42756</v>
          </cell>
          <cell r="C4475" t="str">
            <v>ENERO</v>
          </cell>
          <cell r="D4475" t="str">
            <v>2017</v>
          </cell>
          <cell r="E4475">
            <v>867</v>
          </cell>
          <cell r="F4475" t="str">
            <v>C5R-899</v>
          </cell>
          <cell r="G4475" t="str">
            <v>A0U-978</v>
          </cell>
          <cell r="H4475" t="str">
            <v>LAS BAMBAS</v>
          </cell>
          <cell r="I4475">
            <v>260960</v>
          </cell>
          <cell r="J4475" t="str">
            <v>REPUESTO</v>
          </cell>
          <cell r="K4475" t="str">
            <v>SEGURO DE DISCO DE TORNAMESA</v>
          </cell>
          <cell r="L4475">
            <v>1</v>
          </cell>
          <cell r="M4475" t="str">
            <v>UNID.</v>
          </cell>
          <cell r="N4475" t="str">
            <v>CISTERNA</v>
          </cell>
          <cell r="O4475">
            <v>34</v>
          </cell>
          <cell r="P4475" t="str">
            <v>M4</v>
          </cell>
          <cell r="Q4475" t="str">
            <v>J1</v>
          </cell>
          <cell r="R4475" t="str">
            <v>J8</v>
          </cell>
          <cell r="S4475" t="str">
            <v>PENDIENTE</v>
          </cell>
          <cell r="T4475">
            <v>0</v>
          </cell>
          <cell r="U4475" t="str">
            <v>JULLIRI APAZA UBALDO</v>
          </cell>
          <cell r="V4475" t="str">
            <v>FLOREZ CONDORI  JOSE WILLIANS</v>
          </cell>
        </row>
        <row r="4476">
          <cell r="A4476">
            <v>4487</v>
          </cell>
          <cell r="B4476">
            <v>42756</v>
          </cell>
          <cell r="C4476" t="str">
            <v>ENERO</v>
          </cell>
          <cell r="D4476" t="str">
            <v>2017</v>
          </cell>
          <cell r="E4476">
            <v>867</v>
          </cell>
          <cell r="F4476" t="str">
            <v>C5R-899</v>
          </cell>
          <cell r="G4476" t="str">
            <v>A0U-978</v>
          </cell>
          <cell r="H4476" t="str">
            <v>LAS BAMBAS</v>
          </cell>
          <cell r="I4476">
            <v>260960</v>
          </cell>
          <cell r="J4476" t="str">
            <v>REPUESTO</v>
          </cell>
          <cell r="K4476" t="str">
            <v>PERNO DE 1/4 X 1"</v>
          </cell>
          <cell r="L4476">
            <v>4</v>
          </cell>
          <cell r="M4476" t="str">
            <v>UNID.</v>
          </cell>
          <cell r="N4476" t="str">
            <v>CISTERNA</v>
          </cell>
          <cell r="O4476">
            <v>34</v>
          </cell>
          <cell r="P4476" t="str">
            <v>M4</v>
          </cell>
          <cell r="Q4476" t="str">
            <v>J1</v>
          </cell>
          <cell r="R4476" t="str">
            <v>J8</v>
          </cell>
          <cell r="S4476" t="str">
            <v>PENDIENTE</v>
          </cell>
          <cell r="T4476">
            <v>0</v>
          </cell>
          <cell r="U4476" t="str">
            <v>JULLIRI APAZA UBALDO</v>
          </cell>
          <cell r="V4476" t="str">
            <v>FLOREZ CONDORI  JOSE WILLIANS</v>
          </cell>
        </row>
        <row r="4477">
          <cell r="A4477">
            <v>4488</v>
          </cell>
          <cell r="B4477">
            <v>42756</v>
          </cell>
          <cell r="C4477" t="str">
            <v>ENERO</v>
          </cell>
          <cell r="D4477" t="str">
            <v>2017</v>
          </cell>
          <cell r="E4477">
            <v>867</v>
          </cell>
          <cell r="F4477" t="str">
            <v>C5R-899</v>
          </cell>
          <cell r="G4477" t="str">
            <v>A0U-978</v>
          </cell>
          <cell r="H4477" t="str">
            <v>LAS BAMBAS</v>
          </cell>
          <cell r="I4477">
            <v>260960</v>
          </cell>
          <cell r="J4477" t="str">
            <v>REPUESTO</v>
          </cell>
          <cell r="K4477" t="str">
            <v>TUERCA DE SEGURO DE 1/4</v>
          </cell>
          <cell r="L4477">
            <v>4</v>
          </cell>
          <cell r="M4477" t="str">
            <v>UNID.</v>
          </cell>
          <cell r="N4477" t="str">
            <v>CISTERNA</v>
          </cell>
          <cell r="O4477">
            <v>34</v>
          </cell>
          <cell r="P4477" t="str">
            <v>M4</v>
          </cell>
          <cell r="Q4477" t="str">
            <v>J1</v>
          </cell>
          <cell r="R4477" t="str">
            <v>J8</v>
          </cell>
          <cell r="S4477" t="str">
            <v>PENDIENTE</v>
          </cell>
          <cell r="T4477">
            <v>0</v>
          </cell>
          <cell r="U4477" t="str">
            <v>JULLIRI APAZA UBALDO</v>
          </cell>
          <cell r="V4477" t="str">
            <v>FLOREZ CONDORI  JOSE WILLIANS</v>
          </cell>
        </row>
        <row r="4478">
          <cell r="A4478">
            <v>4489</v>
          </cell>
          <cell r="B4478">
            <v>42756</v>
          </cell>
          <cell r="C4478" t="str">
            <v>ENERO</v>
          </cell>
          <cell r="D4478" t="str">
            <v>2017</v>
          </cell>
          <cell r="E4478">
            <v>867</v>
          </cell>
          <cell r="F4478" t="str">
            <v>C5R-899</v>
          </cell>
          <cell r="G4478" t="str">
            <v>A0U-978</v>
          </cell>
          <cell r="H4478" t="str">
            <v>LAS BAMBAS</v>
          </cell>
          <cell r="I4478">
            <v>260960</v>
          </cell>
          <cell r="J4478" t="str">
            <v>REPUESTO</v>
          </cell>
          <cell r="K4478" t="str">
            <v>ARANDELA PLANAS DE 1/4</v>
          </cell>
          <cell r="L4478">
            <v>8</v>
          </cell>
          <cell r="M4478" t="str">
            <v>UNID.</v>
          </cell>
          <cell r="N4478" t="str">
            <v>CISTERNA</v>
          </cell>
          <cell r="O4478">
            <v>34</v>
          </cell>
          <cell r="P4478" t="str">
            <v>M4</v>
          </cell>
          <cell r="Q4478" t="str">
            <v>J1</v>
          </cell>
          <cell r="R4478" t="str">
            <v>J8</v>
          </cell>
          <cell r="S4478" t="str">
            <v>PENDIENTE</v>
          </cell>
          <cell r="T4478">
            <v>0</v>
          </cell>
          <cell r="U4478" t="str">
            <v>JULLIRI APAZA UBALDO</v>
          </cell>
          <cell r="V4478" t="str">
            <v>FLOREZ CONDORI  JOSE WILLIANS</v>
          </cell>
        </row>
        <row r="4479">
          <cell r="A4479">
            <v>4492</v>
          </cell>
          <cell r="B4479">
            <v>42756</v>
          </cell>
          <cell r="C4479" t="str">
            <v>ENERO</v>
          </cell>
          <cell r="D4479" t="str">
            <v>2017</v>
          </cell>
          <cell r="E4479">
            <v>867</v>
          </cell>
          <cell r="F4479" t="str">
            <v>C5R-899</v>
          </cell>
          <cell r="G4479" t="str">
            <v>A0U-978</v>
          </cell>
          <cell r="H4479" t="str">
            <v>LAS BAMBAS</v>
          </cell>
          <cell r="I4479">
            <v>260960</v>
          </cell>
          <cell r="J4479" t="str">
            <v>REPUESTO</v>
          </cell>
          <cell r="K4479" t="str">
            <v>JUEGO DE BOCINAS Y EJE PARA BALANCIN</v>
          </cell>
          <cell r="L4479">
            <v>4</v>
          </cell>
          <cell r="M4479" t="str">
            <v>UNID.</v>
          </cell>
          <cell r="N4479" t="str">
            <v>CISTERNA</v>
          </cell>
          <cell r="O4479">
            <v>34</v>
          </cell>
          <cell r="P4479" t="str">
            <v>S1</v>
          </cell>
          <cell r="Q4479" t="str">
            <v>J1</v>
          </cell>
          <cell r="R4479" t="str">
            <v>J8</v>
          </cell>
          <cell r="S4479" t="str">
            <v>PENDIENTE</v>
          </cell>
          <cell r="T4479">
            <v>0</v>
          </cell>
          <cell r="U4479" t="str">
            <v>BAYONA CRUZ CRISTIAN ARMANDO</v>
          </cell>
          <cell r="V4479" t="str">
            <v>FLOREZ CONDORI  JOSE WILLIANS</v>
          </cell>
        </row>
        <row r="4480">
          <cell r="A4480">
            <v>4483</v>
          </cell>
          <cell r="B4480">
            <v>42756</v>
          </cell>
          <cell r="C4480" t="str">
            <v>ENERO</v>
          </cell>
          <cell r="D4480" t="str">
            <v>2017</v>
          </cell>
          <cell r="E4480">
            <v>832</v>
          </cell>
          <cell r="F4480" t="str">
            <v>D3P-747</v>
          </cell>
          <cell r="G4480" t="str">
            <v>A0T-985</v>
          </cell>
          <cell r="H4480" t="str">
            <v>LAS BAMBAS</v>
          </cell>
          <cell r="I4480">
            <v>190395</v>
          </cell>
          <cell r="J4480" t="str">
            <v>REPUESTO</v>
          </cell>
          <cell r="K4480" t="str">
            <v>VALVULA DE APERTURA Y CIERRE DE AIRE</v>
          </cell>
          <cell r="L4480">
            <v>1</v>
          </cell>
          <cell r="M4480" t="str">
            <v>UNID.</v>
          </cell>
          <cell r="N4480" t="str">
            <v>CISTERNA</v>
          </cell>
          <cell r="O4480">
            <v>34</v>
          </cell>
          <cell r="P4480" t="str">
            <v>J1</v>
          </cell>
          <cell r="Q4480" t="str">
            <v>J1</v>
          </cell>
          <cell r="R4480" t="str">
            <v>J8</v>
          </cell>
          <cell r="S4480" t="str">
            <v>PENDIENTE</v>
          </cell>
          <cell r="T4480">
            <v>0</v>
          </cell>
          <cell r="U4480" t="str">
            <v>FLOREZ CONDORI  JOSE WILLIANS</v>
          </cell>
          <cell r="V4480" t="str">
            <v>FLOREZ CONDORI  JOSE WILLIANS</v>
          </cell>
        </row>
        <row r="4481">
          <cell r="A4481">
            <v>4475</v>
          </cell>
          <cell r="B4481">
            <v>42756</v>
          </cell>
          <cell r="C4481" t="str">
            <v>ENERO</v>
          </cell>
          <cell r="D4481" t="str">
            <v>2017</v>
          </cell>
          <cell r="E4481">
            <v>876</v>
          </cell>
          <cell r="F4481" t="str">
            <v>D3R-742</v>
          </cell>
          <cell r="G4481" t="str">
            <v>D2E-975</v>
          </cell>
          <cell r="H4481" t="str">
            <v>LAS BAMBAS</v>
          </cell>
          <cell r="I4481">
            <v>159455</v>
          </cell>
          <cell r="J4481" t="str">
            <v>REPUESTO</v>
          </cell>
          <cell r="K4481" t="str">
            <v>AGUA LIMPIA PARABRISA</v>
          </cell>
          <cell r="L4481">
            <v>1</v>
          </cell>
          <cell r="M4481" t="str">
            <v>GLNS.</v>
          </cell>
          <cell r="N4481" t="str">
            <v>TRACTO</v>
          </cell>
          <cell r="O4481">
            <v>34</v>
          </cell>
          <cell r="P4481" t="str">
            <v>M6</v>
          </cell>
          <cell r="Q4481" t="str">
            <v>J1</v>
          </cell>
          <cell r="R4481" t="str">
            <v>J8</v>
          </cell>
          <cell r="S4481" t="str">
            <v>PENDIENTE</v>
          </cell>
          <cell r="T4481">
            <v>0</v>
          </cell>
          <cell r="U4481" t="str">
            <v>PARI VENTURA  EDSON ORLANDO</v>
          </cell>
          <cell r="V4481" t="str">
            <v>FLOREZ CONDORI  JOSE WILLIANS</v>
          </cell>
        </row>
        <row r="4482">
          <cell r="A4482">
            <v>4476</v>
          </cell>
          <cell r="B4482">
            <v>42756</v>
          </cell>
          <cell r="C4482" t="str">
            <v>ENERO</v>
          </cell>
          <cell r="D4482" t="str">
            <v>2017</v>
          </cell>
          <cell r="E4482">
            <v>876</v>
          </cell>
          <cell r="F4482" t="str">
            <v>D3R-742</v>
          </cell>
          <cell r="G4482" t="str">
            <v>D2E-975</v>
          </cell>
          <cell r="H4482" t="str">
            <v>LAS BAMBAS</v>
          </cell>
          <cell r="I4482">
            <v>159455</v>
          </cell>
          <cell r="J4482" t="str">
            <v>REPUESTO</v>
          </cell>
          <cell r="K4482" t="str">
            <v>FAROS NEBLINEROS AAA</v>
          </cell>
          <cell r="L4482">
            <v>2</v>
          </cell>
          <cell r="M4482" t="str">
            <v>UNID.</v>
          </cell>
          <cell r="N4482" t="str">
            <v>TRACTO</v>
          </cell>
          <cell r="O4482">
            <v>34</v>
          </cell>
          <cell r="P4482" t="str">
            <v>E2</v>
          </cell>
          <cell r="Q4482" t="str">
            <v>J1</v>
          </cell>
          <cell r="R4482" t="str">
            <v>J8</v>
          </cell>
          <cell r="S4482" t="str">
            <v>PENDIENTE</v>
          </cell>
          <cell r="T4482">
            <v>0</v>
          </cell>
          <cell r="U4482" t="str">
            <v>YUCA BELLIDO BORIS YERSY</v>
          </cell>
          <cell r="V4482" t="str">
            <v>FLOREZ CONDORI  JOSE WILLIANS</v>
          </cell>
        </row>
        <row r="4483">
          <cell r="A4483">
            <v>4490</v>
          </cell>
          <cell r="B4483">
            <v>42756</v>
          </cell>
          <cell r="C4483" t="str">
            <v>ENERO</v>
          </cell>
          <cell r="D4483" t="str">
            <v>2017</v>
          </cell>
          <cell r="E4483">
            <v>868</v>
          </cell>
          <cell r="F4483" t="str">
            <v>X2W-759</v>
          </cell>
          <cell r="G4483" t="str">
            <v>C5V-999</v>
          </cell>
          <cell r="H4483" t="str">
            <v>LAS BAMBAS</v>
          </cell>
          <cell r="I4483">
            <v>158756</v>
          </cell>
          <cell r="J4483" t="str">
            <v>REPUESTO</v>
          </cell>
          <cell r="K4483" t="str">
            <v>REFRIGERANTE</v>
          </cell>
          <cell r="L4483">
            <v>10</v>
          </cell>
          <cell r="M4483" t="str">
            <v>GLNS.</v>
          </cell>
          <cell r="N4483" t="str">
            <v>TRACTO</v>
          </cell>
          <cell r="O4483">
            <v>34</v>
          </cell>
          <cell r="P4483" t="str">
            <v>M1</v>
          </cell>
          <cell r="Q4483" t="str">
            <v>J1</v>
          </cell>
          <cell r="R4483" t="str">
            <v>J8</v>
          </cell>
          <cell r="S4483" t="str">
            <v>PENDIENTE</v>
          </cell>
          <cell r="T4483">
            <v>0</v>
          </cell>
          <cell r="U4483" t="str">
            <v>CABEZAS SANCHEZ JEAN JHONATAN</v>
          </cell>
          <cell r="V4483" t="str">
            <v>FLOREZ CONDORI  JOSE WILLIANS</v>
          </cell>
        </row>
        <row r="4484">
          <cell r="A4484">
            <v>4491</v>
          </cell>
          <cell r="B4484">
            <v>42756</v>
          </cell>
          <cell r="C4484" t="str">
            <v>ENERO</v>
          </cell>
          <cell r="D4484" t="str">
            <v>2017</v>
          </cell>
          <cell r="E4484">
            <v>868</v>
          </cell>
          <cell r="F4484" t="str">
            <v>X2W-759</v>
          </cell>
          <cell r="G4484" t="str">
            <v>C5V-999</v>
          </cell>
          <cell r="H4484" t="str">
            <v>LAS BAMBAS</v>
          </cell>
          <cell r="I4484">
            <v>158756</v>
          </cell>
          <cell r="J4484" t="str">
            <v>REPUESTO</v>
          </cell>
          <cell r="K4484" t="str">
            <v>TUBO DE MULTIPLE DE ESCAPE</v>
          </cell>
          <cell r="L4484">
            <v>1</v>
          </cell>
          <cell r="M4484" t="str">
            <v>UNID.</v>
          </cell>
          <cell r="N4484" t="str">
            <v>TRACTO</v>
          </cell>
          <cell r="O4484">
            <v>34</v>
          </cell>
          <cell r="P4484" t="str">
            <v>M1</v>
          </cell>
          <cell r="Q4484" t="str">
            <v>J1</v>
          </cell>
          <cell r="R4484" t="str">
            <v>J8</v>
          </cell>
          <cell r="S4484" t="str">
            <v>PENDIENTE</v>
          </cell>
          <cell r="T4484">
            <v>0</v>
          </cell>
          <cell r="U4484" t="str">
            <v>CABEZAS SANCHEZ JEAN JHONATAN</v>
          </cell>
          <cell r="V4484" t="str">
            <v>FLOREZ CONDORI  JOSE WILLIANS</v>
          </cell>
        </row>
        <row r="4485">
          <cell r="A4485">
            <v>4469</v>
          </cell>
          <cell r="B4485">
            <v>42756</v>
          </cell>
          <cell r="C4485" t="str">
            <v>ENERO</v>
          </cell>
          <cell r="D4485" t="str">
            <v>2017</v>
          </cell>
          <cell r="E4485">
            <v>874</v>
          </cell>
          <cell r="F4485" t="str">
            <v>X2W-762</v>
          </cell>
          <cell r="G4485" t="str">
            <v>C5V-998</v>
          </cell>
          <cell r="H4485" t="str">
            <v>LAS BAMBAS</v>
          </cell>
          <cell r="I4485">
            <v>163051</v>
          </cell>
          <cell r="J4485" t="str">
            <v>REPUESTO</v>
          </cell>
          <cell r="K4485" t="str">
            <v>REFRIGERANTE</v>
          </cell>
          <cell r="L4485">
            <v>1</v>
          </cell>
          <cell r="M4485" t="str">
            <v>GLNS.</v>
          </cell>
          <cell r="N4485" t="str">
            <v>TRACTO</v>
          </cell>
          <cell r="O4485">
            <v>34</v>
          </cell>
          <cell r="P4485" t="str">
            <v>M8</v>
          </cell>
          <cell r="Q4485" t="str">
            <v>J1</v>
          </cell>
          <cell r="R4485" t="str">
            <v>J8</v>
          </cell>
          <cell r="S4485" t="str">
            <v>PENDIENTE</v>
          </cell>
          <cell r="T4485">
            <v>0</v>
          </cell>
          <cell r="U4485" t="str">
            <v>VARILLAS GAGO  OSCAR ALBERTO</v>
          </cell>
          <cell r="V4485" t="str">
            <v>FLOREZ CONDORI  JOSE WILLIANS</v>
          </cell>
        </row>
        <row r="4486">
          <cell r="A4486">
            <v>4470</v>
          </cell>
          <cell r="B4486">
            <v>42756</v>
          </cell>
          <cell r="C4486" t="str">
            <v>ENERO</v>
          </cell>
          <cell r="D4486" t="str">
            <v>2017</v>
          </cell>
          <cell r="E4486">
            <v>874</v>
          </cell>
          <cell r="F4486" t="str">
            <v>X2W-762</v>
          </cell>
          <cell r="G4486" t="str">
            <v>C5V-998</v>
          </cell>
          <cell r="H4486" t="str">
            <v>LAS BAMBAS</v>
          </cell>
          <cell r="I4486">
            <v>163051</v>
          </cell>
          <cell r="J4486" t="str">
            <v>REPUESTO</v>
          </cell>
          <cell r="K4486" t="str">
            <v>PERNO DE 5/16 X 1"</v>
          </cell>
          <cell r="L4486">
            <v>4</v>
          </cell>
          <cell r="M4486" t="str">
            <v>UNID.</v>
          </cell>
          <cell r="N4486" t="str">
            <v>TRACTO</v>
          </cell>
          <cell r="O4486">
            <v>34</v>
          </cell>
          <cell r="P4486" t="str">
            <v>M8</v>
          </cell>
          <cell r="Q4486" t="str">
            <v>J1</v>
          </cell>
          <cell r="R4486" t="str">
            <v>J8</v>
          </cell>
          <cell r="S4486" t="str">
            <v>PENDIENTE</v>
          </cell>
          <cell r="T4486">
            <v>0</v>
          </cell>
          <cell r="U4486" t="str">
            <v>VARILLAS GAGO  OSCAR ALBERTO</v>
          </cell>
          <cell r="V4486" t="str">
            <v>FLOREZ CONDORI  JOSE WILLIANS</v>
          </cell>
        </row>
        <row r="4487">
          <cell r="A4487">
            <v>4471</v>
          </cell>
          <cell r="B4487">
            <v>42756</v>
          </cell>
          <cell r="C4487" t="str">
            <v>ENERO</v>
          </cell>
          <cell r="D4487" t="str">
            <v>2017</v>
          </cell>
          <cell r="E4487">
            <v>874</v>
          </cell>
          <cell r="F4487" t="str">
            <v>X2W-762</v>
          </cell>
          <cell r="G4487" t="str">
            <v>C5V-998</v>
          </cell>
          <cell r="H4487" t="str">
            <v>LAS BAMBAS</v>
          </cell>
          <cell r="I4487">
            <v>163051</v>
          </cell>
          <cell r="J4487" t="str">
            <v>REPUESTO</v>
          </cell>
          <cell r="K4487" t="str">
            <v>TUERCA SEGURA DE 5/16</v>
          </cell>
          <cell r="L4487">
            <v>4</v>
          </cell>
          <cell r="M4487" t="str">
            <v>UNID.</v>
          </cell>
          <cell r="N4487" t="str">
            <v>TRACTO</v>
          </cell>
          <cell r="O4487">
            <v>34</v>
          </cell>
          <cell r="P4487" t="str">
            <v>M8</v>
          </cell>
          <cell r="Q4487" t="str">
            <v>J1</v>
          </cell>
          <cell r="R4487" t="str">
            <v>J8</v>
          </cell>
          <cell r="S4487" t="str">
            <v>PENDIENTE</v>
          </cell>
          <cell r="T4487">
            <v>0</v>
          </cell>
          <cell r="U4487" t="str">
            <v>VARILLAS GAGO  OSCAR ALBERTO</v>
          </cell>
          <cell r="V4487" t="str">
            <v>FLOREZ CONDORI  JOSE WILLIANS</v>
          </cell>
        </row>
        <row r="4488">
          <cell r="A4488">
            <v>4472</v>
          </cell>
          <cell r="B4488">
            <v>42756</v>
          </cell>
          <cell r="C4488" t="str">
            <v>ENERO</v>
          </cell>
          <cell r="D4488" t="str">
            <v>2017</v>
          </cell>
          <cell r="E4488">
            <v>874</v>
          </cell>
          <cell r="F4488" t="str">
            <v>X2W-762</v>
          </cell>
          <cell r="G4488" t="str">
            <v>C5V-998</v>
          </cell>
          <cell r="H4488" t="str">
            <v>LAS BAMBAS</v>
          </cell>
          <cell r="I4488">
            <v>163051</v>
          </cell>
          <cell r="J4488" t="str">
            <v>REPUESTO</v>
          </cell>
          <cell r="K4488" t="str">
            <v>FOCO 9006</v>
          </cell>
          <cell r="L4488">
            <v>1</v>
          </cell>
          <cell r="M4488" t="str">
            <v>UNID.</v>
          </cell>
          <cell r="N4488" t="str">
            <v>TRACTO</v>
          </cell>
          <cell r="O4488">
            <v>34</v>
          </cell>
          <cell r="P4488" t="str">
            <v>E2</v>
          </cell>
          <cell r="Q4488" t="str">
            <v>J1</v>
          </cell>
          <cell r="R4488" t="str">
            <v>J8</v>
          </cell>
          <cell r="S4488" t="str">
            <v>PENDIENTE</v>
          </cell>
          <cell r="T4488">
            <v>0</v>
          </cell>
          <cell r="U4488" t="str">
            <v>YUCA BELLIDO BORIS YERSY</v>
          </cell>
          <cell r="V4488" t="str">
            <v>FLOREZ CONDORI  JOSE WILLIANS</v>
          </cell>
        </row>
        <row r="4489">
          <cell r="A4489">
            <v>4478</v>
          </cell>
          <cell r="B4489">
            <v>42756</v>
          </cell>
          <cell r="C4489" t="str">
            <v>ENERO</v>
          </cell>
          <cell r="D4489" t="str">
            <v>2017</v>
          </cell>
          <cell r="E4489">
            <v>874</v>
          </cell>
          <cell r="F4489" t="str">
            <v>X2W-762</v>
          </cell>
          <cell r="G4489" t="str">
            <v>C5V-998</v>
          </cell>
          <cell r="H4489" t="str">
            <v>LAS BAMBAS</v>
          </cell>
          <cell r="I4489">
            <v>163051</v>
          </cell>
          <cell r="J4489" t="str">
            <v>REPUESTO</v>
          </cell>
          <cell r="K4489" t="str">
            <v>PERNO  DE 5/8 X 6"</v>
          </cell>
          <cell r="L4489">
            <v>1</v>
          </cell>
          <cell r="M4489" t="str">
            <v>UNID.</v>
          </cell>
          <cell r="N4489" t="str">
            <v>TRACTO</v>
          </cell>
          <cell r="O4489">
            <v>34</v>
          </cell>
          <cell r="P4489" t="str">
            <v>M8</v>
          </cell>
          <cell r="Q4489" t="str">
            <v>J1</v>
          </cell>
          <cell r="R4489" t="str">
            <v>J8</v>
          </cell>
          <cell r="S4489" t="str">
            <v>PENDIENTE</v>
          </cell>
          <cell r="T4489">
            <v>0</v>
          </cell>
          <cell r="U4489" t="str">
            <v>VARILLAS GAGO  OSCAR ALBERTO</v>
          </cell>
          <cell r="V4489" t="str">
            <v>FLOREZ CONDORI  JOSE WILLIANS</v>
          </cell>
        </row>
        <row r="4490">
          <cell r="A4490">
            <v>4479</v>
          </cell>
          <cell r="B4490">
            <v>42756</v>
          </cell>
          <cell r="C4490" t="str">
            <v>ENERO</v>
          </cell>
          <cell r="D4490" t="str">
            <v>2017</v>
          </cell>
          <cell r="E4490">
            <v>874</v>
          </cell>
          <cell r="F4490" t="str">
            <v>X2W-762</v>
          </cell>
          <cell r="G4490" t="str">
            <v>C5V-998</v>
          </cell>
          <cell r="H4490" t="str">
            <v>LAS BAMBAS</v>
          </cell>
          <cell r="I4490">
            <v>163051</v>
          </cell>
          <cell r="J4490" t="str">
            <v>REPUESTO</v>
          </cell>
          <cell r="K4490" t="str">
            <v>TUERCA SEGURA DE 5/8</v>
          </cell>
          <cell r="L4490">
            <v>1</v>
          </cell>
          <cell r="M4490" t="str">
            <v>UNID.</v>
          </cell>
          <cell r="N4490" t="str">
            <v>TRACTO</v>
          </cell>
          <cell r="O4490">
            <v>34</v>
          </cell>
          <cell r="P4490" t="str">
            <v>M8</v>
          </cell>
          <cell r="Q4490" t="str">
            <v>J1</v>
          </cell>
          <cell r="R4490" t="str">
            <v>J8</v>
          </cell>
          <cell r="S4490" t="str">
            <v>PENDIENTE</v>
          </cell>
          <cell r="T4490">
            <v>0</v>
          </cell>
          <cell r="U4490" t="str">
            <v>VARILLAS GAGO  OSCAR ALBERTO</v>
          </cell>
          <cell r="V4490" t="str">
            <v>FLOREZ CONDORI  JOSE WILLIANS</v>
          </cell>
        </row>
        <row r="4491">
          <cell r="A4491">
            <v>4480</v>
          </cell>
          <cell r="B4491">
            <v>42756</v>
          </cell>
          <cell r="C4491" t="str">
            <v>ENERO</v>
          </cell>
          <cell r="D4491" t="str">
            <v>2017</v>
          </cell>
          <cell r="E4491">
            <v>874</v>
          </cell>
          <cell r="F4491" t="str">
            <v>X2W-762</v>
          </cell>
          <cell r="G4491" t="str">
            <v>C5V-998</v>
          </cell>
          <cell r="H4491" t="str">
            <v>LAS BAMBAS</v>
          </cell>
          <cell r="I4491">
            <v>163051</v>
          </cell>
          <cell r="J4491" t="str">
            <v>REPUESTO</v>
          </cell>
          <cell r="K4491" t="str">
            <v>PERNO DE 3/8 X 1"</v>
          </cell>
          <cell r="L4491">
            <v>2</v>
          </cell>
          <cell r="M4491" t="str">
            <v>UNID.</v>
          </cell>
          <cell r="N4491" t="str">
            <v>TRACTO</v>
          </cell>
          <cell r="O4491">
            <v>34</v>
          </cell>
          <cell r="P4491" t="str">
            <v>M8</v>
          </cell>
          <cell r="Q4491" t="str">
            <v>J1</v>
          </cell>
          <cell r="R4491" t="str">
            <v>J8</v>
          </cell>
          <cell r="S4491" t="str">
            <v>PENDIENTE</v>
          </cell>
          <cell r="T4491">
            <v>0</v>
          </cell>
          <cell r="U4491" t="str">
            <v>VARILLAS GAGO  OSCAR ALBERTO</v>
          </cell>
          <cell r="V4491" t="str">
            <v>FLOREZ CONDORI  JOSE WILLIANS</v>
          </cell>
        </row>
        <row r="4492">
          <cell r="A4492">
            <v>4481</v>
          </cell>
          <cell r="B4492">
            <v>42756</v>
          </cell>
          <cell r="C4492" t="str">
            <v>ENERO</v>
          </cell>
          <cell r="D4492" t="str">
            <v>2017</v>
          </cell>
          <cell r="E4492">
            <v>874</v>
          </cell>
          <cell r="F4492" t="str">
            <v>X2W-762</v>
          </cell>
          <cell r="G4492" t="str">
            <v>C5V-998</v>
          </cell>
          <cell r="H4492" t="str">
            <v>LAS BAMBAS</v>
          </cell>
          <cell r="I4492">
            <v>163051</v>
          </cell>
          <cell r="J4492" t="str">
            <v>REPUESTO</v>
          </cell>
          <cell r="K4492" t="str">
            <v>TUERCA SEGURA DE 3/8</v>
          </cell>
          <cell r="L4492">
            <v>2</v>
          </cell>
          <cell r="M4492" t="str">
            <v>UNID.</v>
          </cell>
          <cell r="N4492" t="str">
            <v>TRACTO</v>
          </cell>
          <cell r="O4492">
            <v>34</v>
          </cell>
          <cell r="P4492" t="str">
            <v>M8</v>
          </cell>
          <cell r="Q4492" t="str">
            <v>J1</v>
          </cell>
          <cell r="R4492" t="str">
            <v>J8</v>
          </cell>
          <cell r="S4492" t="str">
            <v>PENDIENTE</v>
          </cell>
          <cell r="T4492">
            <v>0</v>
          </cell>
          <cell r="U4492" t="str">
            <v>VARILLAS GAGO  OSCAR ALBERTO</v>
          </cell>
          <cell r="V4492" t="str">
            <v>FLOREZ CONDORI  JOSE WILLIANS</v>
          </cell>
        </row>
        <row r="4493">
          <cell r="A4493">
            <v>4482</v>
          </cell>
          <cell r="B4493">
            <v>42756</v>
          </cell>
          <cell r="C4493" t="str">
            <v>ENERO</v>
          </cell>
          <cell r="D4493" t="str">
            <v>2017</v>
          </cell>
          <cell r="E4493">
            <v>874</v>
          </cell>
          <cell r="F4493" t="str">
            <v>X2W-762</v>
          </cell>
          <cell r="G4493" t="str">
            <v>C5V-998</v>
          </cell>
          <cell r="H4493" t="str">
            <v>LAS BAMBAS</v>
          </cell>
          <cell r="I4493">
            <v>163051</v>
          </cell>
          <cell r="J4493" t="str">
            <v>REPUESTO</v>
          </cell>
          <cell r="K4493" t="str">
            <v>ARANDELA PLANA DE 3/8</v>
          </cell>
          <cell r="L4493">
            <v>4</v>
          </cell>
          <cell r="M4493" t="str">
            <v>UNID.</v>
          </cell>
          <cell r="N4493" t="str">
            <v>TRACTO</v>
          </cell>
          <cell r="O4493">
            <v>34</v>
          </cell>
          <cell r="P4493" t="str">
            <v>M8</v>
          </cell>
          <cell r="Q4493" t="str">
            <v>J1</v>
          </cell>
          <cell r="R4493" t="str">
            <v>J8</v>
          </cell>
          <cell r="S4493" t="str">
            <v>PENDIENTE</v>
          </cell>
          <cell r="T4493">
            <v>0</v>
          </cell>
          <cell r="U4493" t="str">
            <v>VARILLAS GAGO  OSCAR ALBERTO</v>
          </cell>
          <cell r="V4493" t="str">
            <v>FLOREZ CONDORI  JOSE WILLIANS</v>
          </cell>
        </row>
        <row r="4494">
          <cell r="A4494">
            <v>4511</v>
          </cell>
          <cell r="B4494">
            <v>42757</v>
          </cell>
          <cell r="C4494" t="str">
            <v>ENERO</v>
          </cell>
          <cell r="D4494" t="str">
            <v>2017</v>
          </cell>
          <cell r="E4494">
            <v>882</v>
          </cell>
          <cell r="F4494" t="str">
            <v>ABR-727</v>
          </cell>
          <cell r="G4494" t="str">
            <v>C9S-989</v>
          </cell>
          <cell r="H4494" t="str">
            <v>LAS BAMBAS</v>
          </cell>
          <cell r="I4494">
            <v>105299</v>
          </cell>
          <cell r="J4494" t="str">
            <v>REPUESTO</v>
          </cell>
          <cell r="K4494" t="str">
            <v>PITON CURVO</v>
          </cell>
          <cell r="L4494">
            <v>1</v>
          </cell>
          <cell r="M4494" t="str">
            <v>UNID.</v>
          </cell>
          <cell r="N4494" t="str">
            <v>TRACTO</v>
          </cell>
          <cell r="O4494">
            <v>33</v>
          </cell>
          <cell r="P4494" t="str">
            <v>N1</v>
          </cell>
          <cell r="Q4494" t="str">
            <v>J1</v>
          </cell>
          <cell r="R4494" t="str">
            <v>J1</v>
          </cell>
          <cell r="S4494" t="str">
            <v>ENTREGADO</v>
          </cell>
          <cell r="T4494">
            <v>0</v>
          </cell>
          <cell r="U4494" t="str">
            <v>AGUILAR CCANTUTA WILLY</v>
          </cell>
          <cell r="V4494" t="str">
            <v>FLOREZ CONDORI  JOSE WILLIANS</v>
          </cell>
        </row>
        <row r="4495">
          <cell r="A4495">
            <v>4512</v>
          </cell>
          <cell r="B4495">
            <v>42757</v>
          </cell>
          <cell r="C4495" t="str">
            <v>ENERO</v>
          </cell>
          <cell r="D4495" t="str">
            <v>2017</v>
          </cell>
          <cell r="E4495">
            <v>882</v>
          </cell>
          <cell r="F4495" t="str">
            <v>ABR-727</v>
          </cell>
          <cell r="G4495" t="str">
            <v>C9S-989</v>
          </cell>
          <cell r="H4495" t="str">
            <v>LAS BAMBAS</v>
          </cell>
          <cell r="I4495">
            <v>105299</v>
          </cell>
          <cell r="J4495" t="str">
            <v>REPUESTO</v>
          </cell>
          <cell r="K4495" t="str">
            <v>FAROS NEBLINEROS AAA</v>
          </cell>
          <cell r="L4495">
            <v>1</v>
          </cell>
          <cell r="M4495" t="str">
            <v>UNID.</v>
          </cell>
          <cell r="N4495" t="str">
            <v>TRACTO</v>
          </cell>
          <cell r="O4495">
            <v>33</v>
          </cell>
          <cell r="P4495" t="str">
            <v>E2</v>
          </cell>
          <cell r="Q4495" t="str">
            <v>J1</v>
          </cell>
          <cell r="R4495" t="str">
            <v>J1</v>
          </cell>
          <cell r="S4495" t="str">
            <v>ENTREGADO</v>
          </cell>
          <cell r="T4495">
            <v>0</v>
          </cell>
          <cell r="U4495" t="str">
            <v>YUCA BELLIDO BORIS YERSY</v>
          </cell>
          <cell r="V4495" t="str">
            <v>FLOREZ CONDORI  JOSE WILLIANS</v>
          </cell>
        </row>
        <row r="4496">
          <cell r="A4496">
            <v>4517</v>
          </cell>
          <cell r="B4496">
            <v>42757</v>
          </cell>
          <cell r="C4496" t="str">
            <v>ENERO</v>
          </cell>
          <cell r="D4496" t="str">
            <v>2017</v>
          </cell>
          <cell r="E4496">
            <v>882</v>
          </cell>
          <cell r="F4496" t="str">
            <v>ABR-727</v>
          </cell>
          <cell r="G4496" t="str">
            <v>C9S-989</v>
          </cell>
          <cell r="H4496" t="str">
            <v>LAS BAMBAS</v>
          </cell>
          <cell r="I4496">
            <v>105299</v>
          </cell>
          <cell r="J4496" t="str">
            <v>REPUESTO</v>
          </cell>
          <cell r="K4496" t="str">
            <v>ACEITE MOTOR 15W-40</v>
          </cell>
          <cell r="L4496">
            <v>10</v>
          </cell>
          <cell r="M4496" t="str">
            <v>GLNS.</v>
          </cell>
          <cell r="N4496" t="str">
            <v>TRACTO</v>
          </cell>
          <cell r="O4496">
            <v>33</v>
          </cell>
          <cell r="P4496" t="str">
            <v>M2</v>
          </cell>
          <cell r="Q4496" t="str">
            <v>J1</v>
          </cell>
          <cell r="R4496" t="str">
            <v>J1</v>
          </cell>
          <cell r="S4496" t="str">
            <v>ENTREGADO</v>
          </cell>
          <cell r="T4496">
            <v>0</v>
          </cell>
          <cell r="U4496" t="str">
            <v>CHUMPITAZ GAGO JULIO ENRIQUE</v>
          </cell>
          <cell r="V4496" t="str">
            <v>FLOREZ CONDORI  JOSE WILLIANS</v>
          </cell>
        </row>
        <row r="4497">
          <cell r="A4497">
            <v>4518</v>
          </cell>
          <cell r="B4497">
            <v>42757</v>
          </cell>
          <cell r="C4497" t="str">
            <v>ENERO</v>
          </cell>
          <cell r="D4497" t="str">
            <v>2017</v>
          </cell>
          <cell r="E4497">
            <v>882</v>
          </cell>
          <cell r="F4497" t="str">
            <v>ABR-727</v>
          </cell>
          <cell r="G4497" t="str">
            <v>C9S-989</v>
          </cell>
          <cell r="H4497" t="str">
            <v>LAS BAMBAS</v>
          </cell>
          <cell r="I4497">
            <v>105299</v>
          </cell>
          <cell r="J4497" t="str">
            <v>REPUESTO</v>
          </cell>
          <cell r="K4497" t="str">
            <v>FILTRO ACEITE MOTOR</v>
          </cell>
          <cell r="L4497">
            <v>2</v>
          </cell>
          <cell r="M4497" t="str">
            <v>UNID.</v>
          </cell>
          <cell r="N4497" t="str">
            <v>TRACTO</v>
          </cell>
          <cell r="O4497">
            <v>33</v>
          </cell>
          <cell r="P4497" t="str">
            <v>M2</v>
          </cell>
          <cell r="Q4497" t="str">
            <v>J1</v>
          </cell>
          <cell r="R4497" t="str">
            <v>J1</v>
          </cell>
          <cell r="S4497" t="str">
            <v>ENTREGADO</v>
          </cell>
          <cell r="T4497">
            <v>0</v>
          </cell>
          <cell r="U4497" t="str">
            <v>CHUMPITAZ GAGO JULIO ENRIQUE</v>
          </cell>
          <cell r="V4497" t="str">
            <v>FLOREZ CONDORI  JOSE WILLIANS</v>
          </cell>
        </row>
        <row r="4498">
          <cell r="A4498">
            <v>4519</v>
          </cell>
          <cell r="B4498">
            <v>42757</v>
          </cell>
          <cell r="C4498" t="str">
            <v>ENERO</v>
          </cell>
          <cell r="D4498" t="str">
            <v>2017</v>
          </cell>
          <cell r="E4498">
            <v>882</v>
          </cell>
          <cell r="F4498" t="str">
            <v>ABR-727</v>
          </cell>
          <cell r="G4498" t="str">
            <v>C9S-989</v>
          </cell>
          <cell r="H4498" t="str">
            <v>LAS BAMBAS</v>
          </cell>
          <cell r="I4498">
            <v>105299</v>
          </cell>
          <cell r="J4498" t="str">
            <v>REPUESTO</v>
          </cell>
          <cell r="K4498" t="str">
            <v>FILTRO PETROLEO</v>
          </cell>
          <cell r="L4498">
            <v>1</v>
          </cell>
          <cell r="M4498" t="str">
            <v>UNID.</v>
          </cell>
          <cell r="N4498" t="str">
            <v>TRACTO</v>
          </cell>
          <cell r="O4498">
            <v>33</v>
          </cell>
          <cell r="P4498" t="str">
            <v>M2</v>
          </cell>
          <cell r="Q4498" t="str">
            <v>J1</v>
          </cell>
          <cell r="R4498" t="str">
            <v>J1</v>
          </cell>
          <cell r="S4498" t="str">
            <v>ENTREGADO</v>
          </cell>
          <cell r="T4498">
            <v>0</v>
          </cell>
          <cell r="U4498" t="str">
            <v>CHUMPITAZ GAGO JULIO ENRIQUE</v>
          </cell>
          <cell r="V4498" t="str">
            <v>FLOREZ CONDORI  JOSE WILLIANS</v>
          </cell>
        </row>
        <row r="4499">
          <cell r="A4499">
            <v>4520</v>
          </cell>
          <cell r="B4499">
            <v>42757</v>
          </cell>
          <cell r="C4499" t="str">
            <v>ENERO</v>
          </cell>
          <cell r="D4499" t="str">
            <v>2017</v>
          </cell>
          <cell r="E4499">
            <v>882</v>
          </cell>
          <cell r="F4499" t="str">
            <v>ABR-727</v>
          </cell>
          <cell r="G4499" t="str">
            <v>C9S-989</v>
          </cell>
          <cell r="H4499" t="str">
            <v>LAS BAMBAS</v>
          </cell>
          <cell r="I4499">
            <v>105299</v>
          </cell>
          <cell r="J4499" t="str">
            <v>REPUESTO</v>
          </cell>
          <cell r="K4499" t="str">
            <v>FILTRO SEPARADOR DE AGUA</v>
          </cell>
          <cell r="L4499">
            <v>1</v>
          </cell>
          <cell r="M4499" t="str">
            <v>UNID.</v>
          </cell>
          <cell r="N4499" t="str">
            <v>TRACTO</v>
          </cell>
          <cell r="O4499">
            <v>33</v>
          </cell>
          <cell r="P4499" t="str">
            <v>M2</v>
          </cell>
          <cell r="Q4499" t="str">
            <v>J1</v>
          </cell>
          <cell r="R4499" t="str">
            <v>J1</v>
          </cell>
          <cell r="S4499" t="str">
            <v>ENTREGADO</v>
          </cell>
          <cell r="T4499">
            <v>0</v>
          </cell>
          <cell r="U4499" t="str">
            <v>CHUMPITAZ GAGO JULIO ENRIQUE</v>
          </cell>
          <cell r="V4499" t="str">
            <v>FLOREZ CONDORI  JOSE WILLIANS</v>
          </cell>
        </row>
        <row r="4500">
          <cell r="A4500">
            <v>4521</v>
          </cell>
          <cell r="B4500">
            <v>42757</v>
          </cell>
          <cell r="C4500" t="str">
            <v>ENERO</v>
          </cell>
          <cell r="D4500" t="str">
            <v>2017</v>
          </cell>
          <cell r="E4500">
            <v>882</v>
          </cell>
          <cell r="F4500" t="str">
            <v>ABR-727</v>
          </cell>
          <cell r="G4500" t="str">
            <v>C9S-989</v>
          </cell>
          <cell r="H4500" t="str">
            <v>LAS BAMBAS</v>
          </cell>
          <cell r="I4500">
            <v>105299</v>
          </cell>
          <cell r="J4500" t="str">
            <v>REPUESTO</v>
          </cell>
          <cell r="K4500" t="str">
            <v>FILTRO DE AIRE PRIMARIO</v>
          </cell>
          <cell r="L4500">
            <v>1</v>
          </cell>
          <cell r="M4500" t="str">
            <v>UNID.</v>
          </cell>
          <cell r="N4500" t="str">
            <v>TRACTO</v>
          </cell>
          <cell r="O4500">
            <v>33</v>
          </cell>
          <cell r="P4500" t="str">
            <v>M2</v>
          </cell>
          <cell r="Q4500" t="str">
            <v>J1</v>
          </cell>
          <cell r="R4500" t="str">
            <v>J1</v>
          </cell>
          <cell r="S4500" t="str">
            <v>ENTREGADO</v>
          </cell>
          <cell r="T4500">
            <v>0</v>
          </cell>
          <cell r="U4500" t="str">
            <v>CHUMPITAZ GAGO JULIO ENRIQUE</v>
          </cell>
          <cell r="V4500" t="str">
            <v>FLOREZ CONDORI  JOSE WILLIANS</v>
          </cell>
        </row>
        <row r="4501">
          <cell r="A4501">
            <v>4522</v>
          </cell>
          <cell r="B4501">
            <v>42757</v>
          </cell>
          <cell r="C4501" t="str">
            <v>ENERO</v>
          </cell>
          <cell r="D4501" t="str">
            <v>2017</v>
          </cell>
          <cell r="E4501">
            <v>882</v>
          </cell>
          <cell r="F4501" t="str">
            <v>ABR-727</v>
          </cell>
          <cell r="G4501" t="str">
            <v>C9S-989</v>
          </cell>
          <cell r="H4501" t="str">
            <v>LAS BAMBAS</v>
          </cell>
          <cell r="I4501">
            <v>105299</v>
          </cell>
          <cell r="J4501" t="str">
            <v>REPUESTO</v>
          </cell>
          <cell r="K4501" t="str">
            <v>FILTRO DE AIRE SECUNDARIO</v>
          </cell>
          <cell r="L4501">
            <v>1</v>
          </cell>
          <cell r="M4501" t="str">
            <v>UNID.</v>
          </cell>
          <cell r="N4501" t="str">
            <v>TRACTO</v>
          </cell>
          <cell r="O4501">
            <v>33</v>
          </cell>
          <cell r="P4501" t="str">
            <v>M2</v>
          </cell>
          <cell r="Q4501" t="str">
            <v>J1</v>
          </cell>
          <cell r="R4501" t="str">
            <v>J1</v>
          </cell>
          <cell r="S4501" t="str">
            <v>ENTREGADO</v>
          </cell>
          <cell r="T4501">
            <v>0</v>
          </cell>
          <cell r="U4501" t="str">
            <v>CHUMPITAZ GAGO JULIO ENRIQUE</v>
          </cell>
          <cell r="V4501" t="str">
            <v>FLOREZ CONDORI  JOSE WILLIANS</v>
          </cell>
        </row>
        <row r="4502">
          <cell r="A4502">
            <v>4516</v>
          </cell>
          <cell r="B4502">
            <v>42757</v>
          </cell>
          <cell r="C4502" t="str">
            <v>ENERO</v>
          </cell>
          <cell r="D4502" t="str">
            <v>2017</v>
          </cell>
          <cell r="E4502">
            <v>888</v>
          </cell>
          <cell r="F4502" t="str">
            <v>AEH-862</v>
          </cell>
          <cell r="G4502" t="str">
            <v>CAMIONETA</v>
          </cell>
          <cell r="H4502" t="str">
            <v>LAS BAMBAS</v>
          </cell>
          <cell r="I4502">
            <v>107349</v>
          </cell>
          <cell r="J4502" t="str">
            <v>REPUESTO</v>
          </cell>
          <cell r="K4502" t="str">
            <v>LIQUIDO LIMPIAPARABRISAS</v>
          </cell>
          <cell r="L4502">
            <v>1</v>
          </cell>
          <cell r="M4502" t="str">
            <v>GLNS.</v>
          </cell>
          <cell r="N4502" t="str">
            <v>CAMIONETA</v>
          </cell>
          <cell r="O4502">
            <v>33</v>
          </cell>
          <cell r="P4502" t="str">
            <v>M8</v>
          </cell>
          <cell r="Q4502" t="str">
            <v>J1</v>
          </cell>
          <cell r="R4502" t="str">
            <v>J1</v>
          </cell>
          <cell r="S4502" t="str">
            <v>ENTREGADO</v>
          </cell>
          <cell r="T4502">
            <v>0</v>
          </cell>
          <cell r="U4502" t="str">
            <v>VARILLAS GAGO  OSCAR ALBERTO</v>
          </cell>
          <cell r="V4502" t="str">
            <v>FLOREZ CONDORI  JOSE WILLIANS</v>
          </cell>
        </row>
        <row r="4503">
          <cell r="A4503">
            <v>4493</v>
          </cell>
          <cell r="B4503">
            <v>42757</v>
          </cell>
          <cell r="C4503" t="str">
            <v>ENERO</v>
          </cell>
          <cell r="D4503" t="str">
            <v>2017</v>
          </cell>
          <cell r="E4503">
            <v>883</v>
          </cell>
          <cell r="F4503" t="str">
            <v>C9N-807</v>
          </cell>
          <cell r="G4503" t="str">
            <v>B4O-994</v>
          </cell>
          <cell r="H4503" t="str">
            <v>LAS BAMBAS</v>
          </cell>
          <cell r="I4503">
            <v>213786</v>
          </cell>
          <cell r="J4503" t="str">
            <v>REPUESTO</v>
          </cell>
          <cell r="K4503" t="str">
            <v>AGUA LIMPIA PARABRISA</v>
          </cell>
          <cell r="L4503">
            <v>1</v>
          </cell>
          <cell r="M4503" t="str">
            <v>UNID.</v>
          </cell>
          <cell r="N4503" t="str">
            <v>TRACTO</v>
          </cell>
          <cell r="O4503">
            <v>33</v>
          </cell>
          <cell r="P4503" t="str">
            <v>M5</v>
          </cell>
          <cell r="Q4503" t="str">
            <v>J1</v>
          </cell>
          <cell r="R4503" t="str">
            <v>J1</v>
          </cell>
          <cell r="S4503" t="str">
            <v>ENTREGADO</v>
          </cell>
          <cell r="T4503">
            <v>0</v>
          </cell>
          <cell r="U4503" t="str">
            <v>LOPEZ RUIZ WILBERTO</v>
          </cell>
          <cell r="V4503" t="str">
            <v>FLOREZ CONDORI  JOSE WILLIANS</v>
          </cell>
        </row>
        <row r="4504">
          <cell r="A4504">
            <v>4494</v>
          </cell>
          <cell r="B4504">
            <v>42757</v>
          </cell>
          <cell r="C4504" t="str">
            <v>ENERO</v>
          </cell>
          <cell r="D4504" t="str">
            <v>2017</v>
          </cell>
          <cell r="E4504">
            <v>883</v>
          </cell>
          <cell r="F4504" t="str">
            <v>C9N-807</v>
          </cell>
          <cell r="G4504" t="str">
            <v>B4O-994</v>
          </cell>
          <cell r="H4504" t="str">
            <v>LAS BAMBAS</v>
          </cell>
          <cell r="I4504">
            <v>213786</v>
          </cell>
          <cell r="J4504" t="str">
            <v>REPUESTO</v>
          </cell>
          <cell r="K4504" t="str">
            <v>REFRIGERANTE</v>
          </cell>
          <cell r="L4504">
            <v>1</v>
          </cell>
          <cell r="M4504" t="str">
            <v>UNID.</v>
          </cell>
          <cell r="N4504" t="str">
            <v>TRACTO</v>
          </cell>
          <cell r="O4504">
            <v>33</v>
          </cell>
          <cell r="P4504" t="str">
            <v>M5</v>
          </cell>
          <cell r="Q4504" t="str">
            <v>J1</v>
          </cell>
          <cell r="R4504" t="str">
            <v>J1</v>
          </cell>
          <cell r="S4504" t="str">
            <v>ENTREGADO</v>
          </cell>
          <cell r="T4504">
            <v>0</v>
          </cell>
          <cell r="U4504" t="str">
            <v>LOPEZ RUIZ WILBERTO</v>
          </cell>
          <cell r="V4504" t="str">
            <v>FLOREZ CONDORI  JOSE WILLIANS</v>
          </cell>
        </row>
        <row r="4505">
          <cell r="A4505">
            <v>4513</v>
          </cell>
          <cell r="B4505">
            <v>42757</v>
          </cell>
          <cell r="C4505" t="str">
            <v>ENERO</v>
          </cell>
          <cell r="D4505" t="str">
            <v>2017</v>
          </cell>
          <cell r="E4505">
            <v>883</v>
          </cell>
          <cell r="F4505" t="str">
            <v>C9N-807</v>
          </cell>
          <cell r="G4505" t="str">
            <v>B4O-994</v>
          </cell>
          <cell r="H4505" t="str">
            <v>LAS BAMBAS</v>
          </cell>
          <cell r="I4505">
            <v>213786</v>
          </cell>
          <cell r="J4505" t="str">
            <v>REPUESTO</v>
          </cell>
          <cell r="K4505" t="str">
            <v>REFRIGERANTE</v>
          </cell>
          <cell r="L4505">
            <v>1</v>
          </cell>
          <cell r="M4505" t="str">
            <v>GLNS.</v>
          </cell>
          <cell r="N4505" t="str">
            <v>TRACTO</v>
          </cell>
          <cell r="O4505">
            <v>33</v>
          </cell>
          <cell r="P4505" t="str">
            <v>M5</v>
          </cell>
          <cell r="Q4505" t="str">
            <v>J1</v>
          </cell>
          <cell r="R4505" t="str">
            <v>J1</v>
          </cell>
          <cell r="S4505" t="str">
            <v>ENTREGADO</v>
          </cell>
          <cell r="T4505">
            <v>0</v>
          </cell>
          <cell r="U4505" t="str">
            <v>LOPEZ RUIZ WILBERTO</v>
          </cell>
          <cell r="V4505" t="str">
            <v>FLOREZ CONDORI  JOSE WILLIANS</v>
          </cell>
        </row>
        <row r="4506">
          <cell r="A4506">
            <v>4514</v>
          </cell>
          <cell r="B4506">
            <v>42757</v>
          </cell>
          <cell r="C4506" t="str">
            <v>ENERO</v>
          </cell>
          <cell r="D4506" t="str">
            <v>2017</v>
          </cell>
          <cell r="E4506">
            <v>883</v>
          </cell>
          <cell r="F4506" t="str">
            <v>C9N-807</v>
          </cell>
          <cell r="G4506" t="str">
            <v>B4O-994</v>
          </cell>
          <cell r="H4506" t="str">
            <v>LAS BAMBAS</v>
          </cell>
          <cell r="I4506">
            <v>213786</v>
          </cell>
          <cell r="J4506" t="str">
            <v>REPUESTO</v>
          </cell>
          <cell r="K4506" t="str">
            <v>AGUA LIMPIA PARABRISA</v>
          </cell>
          <cell r="L4506">
            <v>1</v>
          </cell>
          <cell r="M4506" t="str">
            <v>GLNS.</v>
          </cell>
          <cell r="N4506" t="str">
            <v>TRACTO</v>
          </cell>
          <cell r="O4506">
            <v>33</v>
          </cell>
          <cell r="P4506" t="str">
            <v>M5</v>
          </cell>
          <cell r="Q4506" t="str">
            <v>J1</v>
          </cell>
          <cell r="R4506" t="str">
            <v>J1</v>
          </cell>
          <cell r="S4506" t="str">
            <v>ENTREGADO</v>
          </cell>
          <cell r="T4506">
            <v>0</v>
          </cell>
          <cell r="U4506" t="str">
            <v>LOPEZ RUIZ WILBERTO</v>
          </cell>
          <cell r="V4506" t="str">
            <v>FLOREZ CONDORI  JOSE WILLIANS</v>
          </cell>
        </row>
        <row r="4507">
          <cell r="A4507">
            <v>4515</v>
          </cell>
          <cell r="B4507">
            <v>42757</v>
          </cell>
          <cell r="C4507" t="str">
            <v>ENERO</v>
          </cell>
          <cell r="D4507" t="str">
            <v>2017</v>
          </cell>
          <cell r="E4507">
            <v>883</v>
          </cell>
          <cell r="F4507" t="str">
            <v>C9N-807</v>
          </cell>
          <cell r="G4507" t="str">
            <v>B4O-994</v>
          </cell>
          <cell r="H4507" t="str">
            <v>LAS BAMBAS</v>
          </cell>
          <cell r="I4507">
            <v>213786</v>
          </cell>
          <cell r="J4507" t="str">
            <v>REPUESTO</v>
          </cell>
          <cell r="K4507" t="str">
            <v xml:space="preserve">PERNO 5/8 </v>
          </cell>
          <cell r="L4507">
            <v>2</v>
          </cell>
          <cell r="M4507" t="str">
            <v>UNID.</v>
          </cell>
          <cell r="N4507" t="str">
            <v>TRACTO</v>
          </cell>
          <cell r="O4507">
            <v>33</v>
          </cell>
          <cell r="P4507" t="str">
            <v>M5</v>
          </cell>
          <cell r="Q4507" t="str">
            <v>J1</v>
          </cell>
          <cell r="R4507" t="str">
            <v>J1</v>
          </cell>
          <cell r="S4507" t="str">
            <v>ENTREGADO</v>
          </cell>
          <cell r="T4507">
            <v>0</v>
          </cell>
          <cell r="U4507" t="str">
            <v>LOPEZ RUIZ WILBERTO</v>
          </cell>
          <cell r="V4507" t="str">
            <v>FLOREZ CONDORI  JOSE WILLIANS</v>
          </cell>
        </row>
        <row r="4508">
          <cell r="A4508">
            <v>4508</v>
          </cell>
          <cell r="B4508">
            <v>42757</v>
          </cell>
          <cell r="C4508" t="str">
            <v>ENERO</v>
          </cell>
          <cell r="D4508" t="str">
            <v>2017</v>
          </cell>
          <cell r="E4508">
            <v>873</v>
          </cell>
          <cell r="F4508" t="str">
            <v>D3O-745</v>
          </cell>
          <cell r="G4508" t="str">
            <v>F3L-979</v>
          </cell>
          <cell r="H4508" t="str">
            <v>LAS BAMBAS</v>
          </cell>
          <cell r="I4508">
            <v>164732</v>
          </cell>
          <cell r="J4508" t="str">
            <v>REPUESTO</v>
          </cell>
          <cell r="K4508" t="str">
            <v>RODAJES DE BOCAMAZA</v>
          </cell>
          <cell r="L4508">
            <v>2</v>
          </cell>
          <cell r="M4508" t="str">
            <v>UNID.</v>
          </cell>
          <cell r="N4508" t="str">
            <v>TRACTO</v>
          </cell>
          <cell r="O4508">
            <v>33</v>
          </cell>
          <cell r="P4508" t="str">
            <v>M2</v>
          </cell>
          <cell r="Q4508" t="str">
            <v>J1</v>
          </cell>
          <cell r="R4508" t="str">
            <v>J1</v>
          </cell>
          <cell r="S4508" t="str">
            <v>PENDIENTE</v>
          </cell>
          <cell r="T4508">
            <v>0</v>
          </cell>
          <cell r="U4508" t="str">
            <v>CHUMPITAZ GAGO JULIO ENRIQUE</v>
          </cell>
          <cell r="V4508" t="str">
            <v>FLOREZ CONDORI  JOSE WILLIANS</v>
          </cell>
        </row>
        <row r="4509">
          <cell r="A4509">
            <v>4509</v>
          </cell>
          <cell r="B4509">
            <v>42757</v>
          </cell>
          <cell r="C4509" t="str">
            <v>ENERO</v>
          </cell>
          <cell r="D4509" t="str">
            <v>2017</v>
          </cell>
          <cell r="E4509">
            <v>873</v>
          </cell>
          <cell r="F4509" t="str">
            <v>D3O-745</v>
          </cell>
          <cell r="G4509" t="str">
            <v>F3L-979</v>
          </cell>
          <cell r="H4509" t="str">
            <v>LAS BAMBAS</v>
          </cell>
          <cell r="I4509">
            <v>164732</v>
          </cell>
          <cell r="J4509" t="str">
            <v>REPUESTO</v>
          </cell>
          <cell r="K4509" t="str">
            <v>SERVICIO DE RELLENADO BOCAMAZA</v>
          </cell>
          <cell r="L4509">
            <v>1</v>
          </cell>
          <cell r="M4509" t="str">
            <v>UNID.</v>
          </cell>
          <cell r="N4509" t="str">
            <v>TRACTO</v>
          </cell>
          <cell r="O4509">
            <v>33</v>
          </cell>
          <cell r="P4509" t="str">
            <v>M2</v>
          </cell>
          <cell r="Q4509" t="str">
            <v>J1</v>
          </cell>
          <cell r="R4509" t="str">
            <v>J1</v>
          </cell>
          <cell r="S4509" t="str">
            <v>PENDIENTE</v>
          </cell>
          <cell r="T4509">
            <v>0</v>
          </cell>
          <cell r="U4509" t="str">
            <v>CHUMPITAZ GAGO JULIO ENRIQUE</v>
          </cell>
          <cell r="V4509" t="str">
            <v>FLOREZ CONDORI  JOSE WILLIANS</v>
          </cell>
        </row>
        <row r="4510">
          <cell r="A4510">
            <v>4510</v>
          </cell>
          <cell r="B4510">
            <v>42757</v>
          </cell>
          <cell r="C4510" t="str">
            <v>ENERO</v>
          </cell>
          <cell r="D4510" t="str">
            <v>2017</v>
          </cell>
          <cell r="E4510">
            <v>202</v>
          </cell>
          <cell r="F4510" t="str">
            <v>D3P-752</v>
          </cell>
          <cell r="G4510" t="str">
            <v>C5Y-985</v>
          </cell>
          <cell r="H4510" t="str">
            <v>LAS BAMBAS</v>
          </cell>
          <cell r="I4510">
            <v>150504</v>
          </cell>
          <cell r="J4510" t="str">
            <v>REPUESTO</v>
          </cell>
          <cell r="K4510" t="str">
            <v>SERVICIO DE RELLENADO BOCAMAZA</v>
          </cell>
          <cell r="L4510">
            <v>1</v>
          </cell>
          <cell r="M4510" t="str">
            <v>UNID.</v>
          </cell>
          <cell r="N4510" t="str">
            <v>TRACTO</v>
          </cell>
          <cell r="O4510">
            <v>33</v>
          </cell>
          <cell r="P4510" t="str">
            <v>M2</v>
          </cell>
          <cell r="Q4510" t="str">
            <v>J1</v>
          </cell>
          <cell r="R4510" t="str">
            <v>J1</v>
          </cell>
          <cell r="S4510" t="str">
            <v>PENDIENTE</v>
          </cell>
          <cell r="T4510">
            <v>0</v>
          </cell>
          <cell r="U4510" t="str">
            <v>CHUMPITAZ GAGO JULIO ENRIQUE</v>
          </cell>
          <cell r="V4510" t="str">
            <v>FLOREZ CONDORI  JOSE WILLIANS</v>
          </cell>
        </row>
        <row r="4511">
          <cell r="A4511">
            <v>4501</v>
          </cell>
          <cell r="B4511">
            <v>42757</v>
          </cell>
          <cell r="C4511" t="str">
            <v>ENERO</v>
          </cell>
          <cell r="D4511" t="str">
            <v>2017</v>
          </cell>
          <cell r="E4511">
            <v>884</v>
          </cell>
          <cell r="F4511" t="str">
            <v>D3S-767</v>
          </cell>
          <cell r="G4511" t="str">
            <v>B8L-973</v>
          </cell>
          <cell r="H4511" t="str">
            <v>LAS BAMBAS</v>
          </cell>
          <cell r="I4511">
            <v>190813</v>
          </cell>
          <cell r="J4511" t="str">
            <v>REPUESTO</v>
          </cell>
          <cell r="K4511" t="str">
            <v>REFRIGERANTE</v>
          </cell>
          <cell r="L4511">
            <v>1</v>
          </cell>
          <cell r="M4511" t="str">
            <v>GLNS.</v>
          </cell>
          <cell r="N4511" t="str">
            <v>TRACTO</v>
          </cell>
          <cell r="O4511">
            <v>33</v>
          </cell>
          <cell r="P4511" t="str">
            <v>M1</v>
          </cell>
          <cell r="Q4511" t="str">
            <v>J1</v>
          </cell>
          <cell r="R4511" t="str">
            <v>J1</v>
          </cell>
          <cell r="S4511" t="str">
            <v>ENTREGADO</v>
          </cell>
          <cell r="T4511">
            <v>0</v>
          </cell>
          <cell r="U4511" t="str">
            <v>CABEZAS SANCHEZ JEAN JHONATAN</v>
          </cell>
          <cell r="V4511" t="str">
            <v>FLOREZ CONDORI  JOSE WILLIANS</v>
          </cell>
        </row>
        <row r="4512">
          <cell r="A4512">
            <v>4502</v>
          </cell>
          <cell r="B4512">
            <v>42757</v>
          </cell>
          <cell r="C4512" t="str">
            <v>ENERO</v>
          </cell>
          <cell r="D4512" t="str">
            <v>2017</v>
          </cell>
          <cell r="E4512">
            <v>884</v>
          </cell>
          <cell r="F4512" t="str">
            <v>D3S-767</v>
          </cell>
          <cell r="G4512" t="str">
            <v>B8L-973</v>
          </cell>
          <cell r="H4512" t="str">
            <v>LAS BAMBAS</v>
          </cell>
          <cell r="I4512">
            <v>190813</v>
          </cell>
          <cell r="J4512" t="str">
            <v>REPUESTO</v>
          </cell>
          <cell r="K4512" t="str">
            <v>VALVULA RELAY DE FRENO</v>
          </cell>
          <cell r="L4512">
            <v>1</v>
          </cell>
          <cell r="M4512" t="str">
            <v>UNID.</v>
          </cell>
          <cell r="N4512" t="str">
            <v>TRACTO</v>
          </cell>
          <cell r="O4512">
            <v>33</v>
          </cell>
          <cell r="P4512" t="str">
            <v>M1</v>
          </cell>
          <cell r="Q4512" t="str">
            <v>J1</v>
          </cell>
          <cell r="R4512" t="str">
            <v>J1</v>
          </cell>
          <cell r="S4512" t="str">
            <v>ENTREGADO</v>
          </cell>
          <cell r="T4512">
            <v>0</v>
          </cell>
          <cell r="U4512" t="str">
            <v>CABEZAS SANCHEZ JEAN JHONATAN</v>
          </cell>
          <cell r="V4512" t="str">
            <v>FLOREZ CONDORI  JOSE WILLIANS</v>
          </cell>
        </row>
        <row r="4513">
          <cell r="A4513">
            <v>4503</v>
          </cell>
          <cell r="B4513">
            <v>42757</v>
          </cell>
          <cell r="C4513" t="str">
            <v>ENERO</v>
          </cell>
          <cell r="D4513" t="str">
            <v>2017</v>
          </cell>
          <cell r="E4513">
            <v>884</v>
          </cell>
          <cell r="F4513" t="str">
            <v>D3S-767</v>
          </cell>
          <cell r="G4513" t="str">
            <v>B8L-973</v>
          </cell>
          <cell r="H4513" t="str">
            <v>LAS BAMBAS</v>
          </cell>
          <cell r="I4513">
            <v>190813</v>
          </cell>
          <cell r="J4513" t="str">
            <v>REPUESTO</v>
          </cell>
          <cell r="K4513" t="str">
            <v>TAPON 3/8</v>
          </cell>
          <cell r="L4513">
            <v>1</v>
          </cell>
          <cell r="M4513" t="str">
            <v>UNID.</v>
          </cell>
          <cell r="N4513" t="str">
            <v>TRACTO</v>
          </cell>
          <cell r="O4513">
            <v>33</v>
          </cell>
          <cell r="P4513" t="str">
            <v>M1</v>
          </cell>
          <cell r="Q4513" t="str">
            <v>J1</v>
          </cell>
          <cell r="R4513" t="str">
            <v>J1</v>
          </cell>
          <cell r="S4513" t="str">
            <v>ENTREGADO</v>
          </cell>
          <cell r="T4513">
            <v>0</v>
          </cell>
          <cell r="U4513" t="str">
            <v>CABEZAS SANCHEZ JEAN JHONATAN</v>
          </cell>
          <cell r="V4513" t="str">
            <v>FLOREZ CONDORI  JOSE WILLIANS</v>
          </cell>
        </row>
        <row r="4514">
          <cell r="A4514">
            <v>4504</v>
          </cell>
          <cell r="B4514">
            <v>42757</v>
          </cell>
          <cell r="C4514" t="str">
            <v>ENERO</v>
          </cell>
          <cell r="D4514" t="str">
            <v>2017</v>
          </cell>
          <cell r="E4514">
            <v>884</v>
          </cell>
          <cell r="F4514" t="str">
            <v>D3S-767</v>
          </cell>
          <cell r="G4514" t="str">
            <v>B8L-973</v>
          </cell>
          <cell r="H4514" t="str">
            <v>LAS BAMBAS</v>
          </cell>
          <cell r="I4514">
            <v>190813</v>
          </cell>
          <cell r="J4514" t="str">
            <v>REPUESTO</v>
          </cell>
          <cell r="K4514" t="str">
            <v>GRASA</v>
          </cell>
          <cell r="L4514">
            <v>2</v>
          </cell>
          <cell r="M4514" t="str">
            <v>KG.</v>
          </cell>
          <cell r="N4514" t="str">
            <v>TRACTO</v>
          </cell>
          <cell r="O4514">
            <v>33</v>
          </cell>
          <cell r="P4514" t="str">
            <v>M1</v>
          </cell>
          <cell r="Q4514" t="str">
            <v>J1</v>
          </cell>
          <cell r="R4514" t="str">
            <v>J1</v>
          </cell>
          <cell r="S4514" t="str">
            <v>ENTREGADO</v>
          </cell>
          <cell r="T4514">
            <v>0</v>
          </cell>
          <cell r="U4514" t="str">
            <v>CABEZAS SANCHEZ JEAN JHONATAN</v>
          </cell>
          <cell r="V4514" t="str">
            <v>FLOREZ CONDORI  JOSE WILLIANS</v>
          </cell>
        </row>
        <row r="4515">
          <cell r="A4515">
            <v>4505</v>
          </cell>
          <cell r="B4515">
            <v>42757</v>
          </cell>
          <cell r="C4515" t="str">
            <v>ENERO</v>
          </cell>
          <cell r="D4515" t="str">
            <v>2017</v>
          </cell>
          <cell r="E4515">
            <v>884</v>
          </cell>
          <cell r="F4515" t="str">
            <v>D3S-767</v>
          </cell>
          <cell r="G4515" t="str">
            <v>B8L-973</v>
          </cell>
          <cell r="H4515" t="str">
            <v>LAS BAMBAS</v>
          </cell>
          <cell r="I4515">
            <v>190813</v>
          </cell>
          <cell r="J4515" t="str">
            <v>REPUESTO</v>
          </cell>
          <cell r="K4515" t="str">
            <v>ESTIKER INFLAMABLE</v>
          </cell>
          <cell r="L4515">
            <v>1</v>
          </cell>
          <cell r="M4515" t="str">
            <v>UNID.</v>
          </cell>
          <cell r="N4515" t="str">
            <v>TRACTO</v>
          </cell>
          <cell r="O4515">
            <v>33</v>
          </cell>
          <cell r="P4515" t="str">
            <v>M1</v>
          </cell>
          <cell r="Q4515" t="str">
            <v>J1</v>
          </cell>
          <cell r="R4515" t="str">
            <v>J1</v>
          </cell>
          <cell r="S4515" t="str">
            <v>ENTREGADO</v>
          </cell>
          <cell r="T4515">
            <v>0</v>
          </cell>
          <cell r="U4515" t="str">
            <v>CABEZAS SANCHEZ JEAN JHONATAN</v>
          </cell>
          <cell r="V4515" t="str">
            <v>FLOREZ CONDORI  JOSE WILLIANS</v>
          </cell>
        </row>
        <row r="4516">
          <cell r="A4516">
            <v>4523</v>
          </cell>
          <cell r="B4516">
            <v>42757</v>
          </cell>
          <cell r="C4516" t="str">
            <v>ENERO</v>
          </cell>
          <cell r="D4516" t="str">
            <v>2017</v>
          </cell>
          <cell r="E4516">
            <v>885</v>
          </cell>
          <cell r="F4516" t="str">
            <v>D6F-825</v>
          </cell>
          <cell r="G4516" t="str">
            <v>T2Y-992</v>
          </cell>
          <cell r="H4516" t="str">
            <v>LAS BAMBAS</v>
          </cell>
          <cell r="I4516">
            <v>191467</v>
          </cell>
          <cell r="J4516" t="str">
            <v>REPUESTO</v>
          </cell>
          <cell r="K4516" t="str">
            <v>MOTOR DE AIRE ACONDICIONADO</v>
          </cell>
          <cell r="L4516">
            <v>1</v>
          </cell>
          <cell r="M4516" t="str">
            <v>UNID.</v>
          </cell>
          <cell r="N4516" t="str">
            <v>TRACTO</v>
          </cell>
          <cell r="O4516">
            <v>33</v>
          </cell>
          <cell r="P4516" t="str">
            <v>M8</v>
          </cell>
          <cell r="Q4516" t="str">
            <v>J1</v>
          </cell>
          <cell r="R4516" t="str">
            <v>J1</v>
          </cell>
          <cell r="S4516" t="str">
            <v>PENDIENTE</v>
          </cell>
          <cell r="T4516">
            <v>0</v>
          </cell>
          <cell r="U4516" t="str">
            <v>VARILLAS GAGO  OSCAR ALBERTO</v>
          </cell>
          <cell r="V4516" t="str">
            <v>FLOREZ CONDORI  JOSE WILLIANS</v>
          </cell>
        </row>
        <row r="4517">
          <cell r="A4517">
            <v>4495</v>
          </cell>
          <cell r="B4517">
            <v>42757</v>
          </cell>
          <cell r="C4517" t="str">
            <v>ENERO</v>
          </cell>
          <cell r="D4517" t="str">
            <v>2017</v>
          </cell>
          <cell r="E4517">
            <v>889</v>
          </cell>
          <cell r="F4517" t="str">
            <v>D7V-714</v>
          </cell>
          <cell r="G4517" t="str">
            <v>F7M-971</v>
          </cell>
          <cell r="H4517" t="str">
            <v>LAS BAMBAS</v>
          </cell>
          <cell r="I4517">
            <v>55103</v>
          </cell>
          <cell r="J4517" t="str">
            <v>REPUESTO</v>
          </cell>
          <cell r="K4517" t="str">
            <v>PERNO 1/4X2"</v>
          </cell>
          <cell r="L4517">
            <v>6</v>
          </cell>
          <cell r="M4517" t="str">
            <v>UNID.</v>
          </cell>
          <cell r="N4517" t="str">
            <v>TRACTO</v>
          </cell>
          <cell r="O4517">
            <v>33</v>
          </cell>
          <cell r="P4517" t="str">
            <v>M8</v>
          </cell>
          <cell r="Q4517" t="str">
            <v>J1</v>
          </cell>
          <cell r="R4517" t="str">
            <v>J1</v>
          </cell>
          <cell r="S4517" t="str">
            <v>ENTREGADO</v>
          </cell>
          <cell r="T4517">
            <v>0</v>
          </cell>
          <cell r="U4517" t="str">
            <v>VARILLAS GAGO  OSCAR ALBERTO</v>
          </cell>
          <cell r="V4517" t="str">
            <v>FLOREZ CONDORI  JOSE WILLIANS</v>
          </cell>
        </row>
        <row r="4518">
          <cell r="A4518">
            <v>4496</v>
          </cell>
          <cell r="B4518">
            <v>42757</v>
          </cell>
          <cell r="C4518" t="str">
            <v>ENERO</v>
          </cell>
          <cell r="D4518" t="str">
            <v>2017</v>
          </cell>
          <cell r="E4518">
            <v>889</v>
          </cell>
          <cell r="F4518" t="str">
            <v>D7V-714</v>
          </cell>
          <cell r="G4518" t="str">
            <v>F7M-971</v>
          </cell>
          <cell r="H4518" t="str">
            <v>LAS BAMBAS</v>
          </cell>
          <cell r="I4518">
            <v>55103</v>
          </cell>
          <cell r="J4518" t="str">
            <v>REPUESTO</v>
          </cell>
          <cell r="K4518" t="str">
            <v>TUERCA DE 1/4</v>
          </cell>
          <cell r="L4518">
            <v>6</v>
          </cell>
          <cell r="M4518" t="str">
            <v>UNID.</v>
          </cell>
          <cell r="N4518" t="str">
            <v>TRACTO</v>
          </cell>
          <cell r="O4518">
            <v>33</v>
          </cell>
          <cell r="P4518" t="str">
            <v>M8</v>
          </cell>
          <cell r="Q4518" t="str">
            <v>J1</v>
          </cell>
          <cell r="R4518" t="str">
            <v>J1</v>
          </cell>
          <cell r="S4518" t="str">
            <v>ENTREGADO</v>
          </cell>
          <cell r="T4518">
            <v>0</v>
          </cell>
          <cell r="U4518" t="str">
            <v>VARILLAS GAGO  OSCAR ALBERTO</v>
          </cell>
          <cell r="V4518" t="str">
            <v>FLOREZ CONDORI  JOSE WILLIANS</v>
          </cell>
        </row>
        <row r="4519">
          <cell r="A4519">
            <v>4497</v>
          </cell>
          <cell r="B4519">
            <v>42757</v>
          </cell>
          <cell r="C4519" t="str">
            <v>ENERO</v>
          </cell>
          <cell r="D4519" t="str">
            <v>2017</v>
          </cell>
          <cell r="E4519">
            <v>889</v>
          </cell>
          <cell r="F4519" t="str">
            <v>D7V-714</v>
          </cell>
          <cell r="G4519" t="str">
            <v>F7M-971</v>
          </cell>
          <cell r="H4519" t="str">
            <v>LAS BAMBAS</v>
          </cell>
          <cell r="I4519">
            <v>55103</v>
          </cell>
          <cell r="J4519" t="str">
            <v>REPUESTO</v>
          </cell>
          <cell r="K4519" t="str">
            <v>ARANDELA PLANA 1/4</v>
          </cell>
          <cell r="L4519">
            <v>12</v>
          </cell>
          <cell r="M4519" t="str">
            <v>UNID.</v>
          </cell>
          <cell r="N4519" t="str">
            <v>TRACTO</v>
          </cell>
          <cell r="O4519">
            <v>33</v>
          </cell>
          <cell r="P4519" t="str">
            <v>M8</v>
          </cell>
          <cell r="Q4519" t="str">
            <v>J1</v>
          </cell>
          <cell r="R4519" t="str">
            <v>J1</v>
          </cell>
          <cell r="S4519" t="str">
            <v>ENTREGADO</v>
          </cell>
          <cell r="T4519">
            <v>0</v>
          </cell>
          <cell r="U4519" t="str">
            <v>VARILLAS GAGO  OSCAR ALBERTO</v>
          </cell>
          <cell r="V4519" t="str">
            <v>FLOREZ CONDORI  JOSE WILLIANS</v>
          </cell>
        </row>
        <row r="4520">
          <cell r="A4520">
            <v>4498</v>
          </cell>
          <cell r="B4520">
            <v>42757</v>
          </cell>
          <cell r="C4520" t="str">
            <v>ENERO</v>
          </cell>
          <cell r="D4520" t="str">
            <v>2017</v>
          </cell>
          <cell r="E4520">
            <v>887</v>
          </cell>
          <cell r="F4520" t="str">
            <v>X2W-763</v>
          </cell>
          <cell r="G4520" t="str">
            <v>C5V-997</v>
          </cell>
          <cell r="H4520" t="str">
            <v>LAS BAMBAS</v>
          </cell>
          <cell r="I4520">
            <v>161638</v>
          </cell>
          <cell r="J4520" t="str">
            <v>REPUESTO</v>
          </cell>
          <cell r="K4520" t="str">
            <v>ACEITE MOTOR 15W-40</v>
          </cell>
          <cell r="L4520">
            <v>12</v>
          </cell>
          <cell r="M4520" t="str">
            <v>GLNS.</v>
          </cell>
          <cell r="N4520" t="str">
            <v>TRACTO</v>
          </cell>
          <cell r="O4520">
            <v>33</v>
          </cell>
          <cell r="P4520" t="str">
            <v>M5</v>
          </cell>
          <cell r="Q4520" t="str">
            <v>J1</v>
          </cell>
          <cell r="R4520" t="str">
            <v>J1</v>
          </cell>
          <cell r="S4520" t="str">
            <v>ENTREGADO</v>
          </cell>
          <cell r="T4520">
            <v>0</v>
          </cell>
          <cell r="U4520" t="str">
            <v>LOPEZ RUIZ WILBERTO</v>
          </cell>
          <cell r="V4520" t="str">
            <v>FLOREZ CONDORI  JOSE WILLIANS</v>
          </cell>
        </row>
        <row r="4521">
          <cell r="A4521">
            <v>4499</v>
          </cell>
          <cell r="B4521">
            <v>42757</v>
          </cell>
          <cell r="C4521" t="str">
            <v>ENERO</v>
          </cell>
          <cell r="D4521" t="str">
            <v>2017</v>
          </cell>
          <cell r="E4521">
            <v>887</v>
          </cell>
          <cell r="F4521" t="str">
            <v>X2W-763</v>
          </cell>
          <cell r="G4521" t="str">
            <v>C5V-997</v>
          </cell>
          <cell r="H4521" t="str">
            <v>LAS BAMBAS</v>
          </cell>
          <cell r="I4521">
            <v>161638</v>
          </cell>
          <cell r="J4521" t="str">
            <v>REPUESTO</v>
          </cell>
          <cell r="K4521" t="str">
            <v>FILTRO DE COMBUSTIBLE</v>
          </cell>
          <cell r="L4521">
            <v>2</v>
          </cell>
          <cell r="M4521" t="str">
            <v>UNID.</v>
          </cell>
          <cell r="N4521" t="str">
            <v>TRACTO</v>
          </cell>
          <cell r="O4521">
            <v>33</v>
          </cell>
          <cell r="P4521" t="str">
            <v>M5</v>
          </cell>
          <cell r="Q4521" t="str">
            <v>J1</v>
          </cell>
          <cell r="R4521" t="str">
            <v>J1</v>
          </cell>
          <cell r="S4521" t="str">
            <v>ENTREGADO</v>
          </cell>
          <cell r="T4521">
            <v>0</v>
          </cell>
          <cell r="U4521" t="str">
            <v>LOPEZ RUIZ WILBERTO</v>
          </cell>
          <cell r="V4521" t="str">
            <v>FLOREZ CONDORI  JOSE WILLIANS</v>
          </cell>
        </row>
        <row r="4522">
          <cell r="A4522">
            <v>4500</v>
          </cell>
          <cell r="B4522">
            <v>42757</v>
          </cell>
          <cell r="C4522" t="str">
            <v>ENERO</v>
          </cell>
          <cell r="D4522" t="str">
            <v>2017</v>
          </cell>
          <cell r="E4522">
            <v>887</v>
          </cell>
          <cell r="F4522" t="str">
            <v>X2W-763</v>
          </cell>
          <cell r="G4522" t="str">
            <v>C5V-997</v>
          </cell>
          <cell r="H4522" t="str">
            <v>LAS BAMBAS</v>
          </cell>
          <cell r="I4522">
            <v>161638</v>
          </cell>
          <cell r="J4522" t="str">
            <v>REPUESTO</v>
          </cell>
          <cell r="K4522" t="str">
            <v>FILTRO DE ACEITE</v>
          </cell>
          <cell r="L4522">
            <v>1</v>
          </cell>
          <cell r="M4522" t="str">
            <v>UNID.</v>
          </cell>
          <cell r="N4522" t="str">
            <v>TRACTO</v>
          </cell>
          <cell r="O4522">
            <v>33</v>
          </cell>
          <cell r="P4522" t="str">
            <v>M5</v>
          </cell>
          <cell r="Q4522" t="str">
            <v>J1</v>
          </cell>
          <cell r="R4522" t="str">
            <v>J1</v>
          </cell>
          <cell r="S4522" t="str">
            <v>ENTREGADO</v>
          </cell>
          <cell r="T4522">
            <v>0</v>
          </cell>
          <cell r="U4522" t="str">
            <v>LOPEZ RUIZ WILBERTO</v>
          </cell>
          <cell r="V4522" t="str">
            <v>FLOREZ CONDORI  JOSE WILLIANS</v>
          </cell>
        </row>
        <row r="4523">
          <cell r="A4523">
            <v>4506</v>
          </cell>
          <cell r="B4523">
            <v>42757</v>
          </cell>
          <cell r="C4523" t="str">
            <v>ENERO</v>
          </cell>
          <cell r="D4523" t="str">
            <v>2017</v>
          </cell>
          <cell r="E4523">
            <v>890</v>
          </cell>
          <cell r="F4523" t="str">
            <v>X2W-791</v>
          </cell>
          <cell r="G4523" t="str">
            <v>C5V-989</v>
          </cell>
          <cell r="H4523" t="str">
            <v>LAS BAMBAS</v>
          </cell>
          <cell r="I4523">
            <v>152581</v>
          </cell>
          <cell r="J4523" t="str">
            <v>REPUESTO</v>
          </cell>
          <cell r="K4523" t="str">
            <v>PITON CURVO</v>
          </cell>
          <cell r="L4523">
            <v>1</v>
          </cell>
          <cell r="M4523" t="str">
            <v>UNID.</v>
          </cell>
          <cell r="N4523" t="str">
            <v>TRACTO</v>
          </cell>
          <cell r="O4523">
            <v>33</v>
          </cell>
          <cell r="P4523" t="str">
            <v>M5</v>
          </cell>
          <cell r="Q4523" t="str">
            <v>J1</v>
          </cell>
          <cell r="R4523" t="str">
            <v>J1</v>
          </cell>
          <cell r="S4523" t="str">
            <v>ENTREGADO</v>
          </cell>
          <cell r="T4523">
            <v>0</v>
          </cell>
          <cell r="U4523" t="str">
            <v>LOPEZ RUIZ WILBERTO</v>
          </cell>
          <cell r="V4523" t="str">
            <v>FLOREZ CONDORI  JOSE WILLIANS</v>
          </cell>
        </row>
        <row r="4524">
          <cell r="A4524">
            <v>4507</v>
          </cell>
          <cell r="B4524">
            <v>42757</v>
          </cell>
          <cell r="C4524" t="str">
            <v>ENERO</v>
          </cell>
          <cell r="D4524" t="str">
            <v>2017</v>
          </cell>
          <cell r="E4524">
            <v>890</v>
          </cell>
          <cell r="F4524" t="str">
            <v>X2W-791</v>
          </cell>
          <cell r="G4524" t="str">
            <v>C5V-989</v>
          </cell>
          <cell r="H4524" t="str">
            <v>LAS BAMBAS</v>
          </cell>
          <cell r="I4524">
            <v>152581</v>
          </cell>
          <cell r="J4524" t="str">
            <v>REPUESTO</v>
          </cell>
          <cell r="K4524" t="str">
            <v>AEROSOL COLOR BLANCO</v>
          </cell>
          <cell r="L4524">
            <v>1</v>
          </cell>
          <cell r="M4524" t="str">
            <v>UNID.</v>
          </cell>
          <cell r="N4524" t="str">
            <v>TRACTO</v>
          </cell>
          <cell r="O4524">
            <v>33</v>
          </cell>
          <cell r="P4524" t="str">
            <v>M5</v>
          </cell>
          <cell r="Q4524" t="str">
            <v>J1</v>
          </cell>
          <cell r="R4524" t="str">
            <v>J1</v>
          </cell>
          <cell r="S4524" t="str">
            <v>ENTREGADO</v>
          </cell>
          <cell r="T4524">
            <v>0</v>
          </cell>
          <cell r="U4524" t="str">
            <v>LOPEZ RUIZ WILBERTO</v>
          </cell>
          <cell r="V4524" t="str">
            <v>FLOREZ CONDORI  JOSE WILLIANS</v>
          </cell>
        </row>
        <row r="4525">
          <cell r="A4525">
            <v>4547</v>
          </cell>
          <cell r="B4525">
            <v>42758</v>
          </cell>
          <cell r="C4525" t="str">
            <v>ENERO</v>
          </cell>
          <cell r="D4525" t="str">
            <v>2017</v>
          </cell>
          <cell r="E4525">
            <v>899</v>
          </cell>
          <cell r="F4525" t="str">
            <v>ABQ-704</v>
          </cell>
          <cell r="G4525" t="str">
            <v>TBB-995</v>
          </cell>
          <cell r="H4525" t="str">
            <v>LAS BAMBAS</v>
          </cell>
          <cell r="I4525">
            <v>116693</v>
          </cell>
          <cell r="J4525" t="str">
            <v>REPUESTO</v>
          </cell>
          <cell r="K4525" t="str">
            <v>MANGUERA DE 3/4 PARA HIDROLINA</v>
          </cell>
          <cell r="L4525">
            <v>0.4</v>
          </cell>
          <cell r="M4525" t="str">
            <v>M</v>
          </cell>
          <cell r="N4525" t="str">
            <v>TRACTO</v>
          </cell>
          <cell r="O4525">
            <v>32</v>
          </cell>
          <cell r="P4525" t="str">
            <v>M5</v>
          </cell>
          <cell r="Q4525" t="str">
            <v>J1</v>
          </cell>
          <cell r="R4525" t="str">
            <v>J8</v>
          </cell>
          <cell r="S4525" t="str">
            <v>ENTREGADO</v>
          </cell>
          <cell r="T4525">
            <v>0</v>
          </cell>
          <cell r="U4525" t="str">
            <v>LOPEZ RUIZ WILBERTO</v>
          </cell>
          <cell r="V4525" t="str">
            <v>FLOREZ CONDORI  JOSE WILLIANS</v>
          </cell>
        </row>
        <row r="4526">
          <cell r="A4526">
            <v>4548</v>
          </cell>
          <cell r="B4526">
            <v>42758</v>
          </cell>
          <cell r="C4526" t="str">
            <v>ENERO</v>
          </cell>
          <cell r="D4526" t="str">
            <v>2017</v>
          </cell>
          <cell r="E4526">
            <v>899</v>
          </cell>
          <cell r="F4526" t="str">
            <v>ABQ-704</v>
          </cell>
          <cell r="G4526" t="str">
            <v>TBB-995</v>
          </cell>
          <cell r="H4526" t="str">
            <v>LAS BAMBAS</v>
          </cell>
          <cell r="I4526">
            <v>116693</v>
          </cell>
          <cell r="J4526" t="str">
            <v>REPUESTO</v>
          </cell>
          <cell r="K4526" t="str">
            <v>ABRAZADERAS</v>
          </cell>
          <cell r="L4526">
            <v>2</v>
          </cell>
          <cell r="M4526" t="str">
            <v>UNID.</v>
          </cell>
          <cell r="N4526" t="str">
            <v>TRACTO</v>
          </cell>
          <cell r="O4526">
            <v>32</v>
          </cell>
          <cell r="P4526" t="str">
            <v>M5</v>
          </cell>
          <cell r="Q4526" t="str">
            <v>J1</v>
          </cell>
          <cell r="R4526" t="str">
            <v>J8</v>
          </cell>
          <cell r="S4526" t="str">
            <v>ENTREGADO</v>
          </cell>
          <cell r="T4526">
            <v>0</v>
          </cell>
          <cell r="U4526" t="str">
            <v>LOPEZ RUIZ WILBERTO</v>
          </cell>
          <cell r="V4526" t="str">
            <v>FLOREZ CONDORI  JOSE WILLIANS</v>
          </cell>
        </row>
        <row r="4527">
          <cell r="A4527">
            <v>4549</v>
          </cell>
          <cell r="B4527">
            <v>42758</v>
          </cell>
          <cell r="C4527" t="str">
            <v>ENERO</v>
          </cell>
          <cell r="D4527" t="str">
            <v>2017</v>
          </cell>
          <cell r="E4527">
            <v>899</v>
          </cell>
          <cell r="F4527" t="str">
            <v>ABQ-704</v>
          </cell>
          <cell r="G4527" t="str">
            <v>TBB-995</v>
          </cell>
          <cell r="H4527" t="str">
            <v>LAS BAMBAS</v>
          </cell>
          <cell r="I4527">
            <v>116693</v>
          </cell>
          <cell r="J4527" t="str">
            <v>REPUESTO</v>
          </cell>
          <cell r="K4527" t="str">
            <v>HIDROLINA</v>
          </cell>
          <cell r="L4527">
            <v>1</v>
          </cell>
          <cell r="M4527" t="str">
            <v>GLNS.</v>
          </cell>
          <cell r="N4527" t="str">
            <v>TRACTO</v>
          </cell>
          <cell r="O4527">
            <v>32</v>
          </cell>
          <cell r="P4527" t="str">
            <v>M5</v>
          </cell>
          <cell r="Q4527" t="str">
            <v>J1</v>
          </cell>
          <cell r="R4527" t="str">
            <v>J8</v>
          </cell>
          <cell r="S4527" t="str">
            <v>ENTREGADO</v>
          </cell>
          <cell r="T4527">
            <v>0</v>
          </cell>
          <cell r="U4527" t="str">
            <v>LOPEZ RUIZ WILBERTO</v>
          </cell>
          <cell r="V4527" t="str">
            <v>FLOREZ CONDORI  JOSE WILLIANS</v>
          </cell>
        </row>
        <row r="4528">
          <cell r="A4528">
            <v>4550</v>
          </cell>
          <cell r="B4528">
            <v>42758</v>
          </cell>
          <cell r="C4528" t="str">
            <v>ENERO</v>
          </cell>
          <cell r="D4528" t="str">
            <v>2017</v>
          </cell>
          <cell r="E4528">
            <v>899</v>
          </cell>
          <cell r="F4528" t="str">
            <v>ABQ-704</v>
          </cell>
          <cell r="G4528" t="str">
            <v>TBB-995</v>
          </cell>
          <cell r="H4528" t="str">
            <v>LAS BAMBAS</v>
          </cell>
          <cell r="I4528">
            <v>116693</v>
          </cell>
          <cell r="J4528" t="str">
            <v>REPUESTO</v>
          </cell>
          <cell r="K4528" t="str">
            <v>FILTRO DE HIDROLINA</v>
          </cell>
          <cell r="L4528">
            <v>1</v>
          </cell>
          <cell r="M4528" t="str">
            <v>UNID.</v>
          </cell>
          <cell r="N4528" t="str">
            <v>TRACTO</v>
          </cell>
          <cell r="O4528">
            <v>32</v>
          </cell>
          <cell r="P4528" t="str">
            <v>M5</v>
          </cell>
          <cell r="Q4528" t="str">
            <v>J1</v>
          </cell>
          <cell r="R4528" t="str">
            <v>J8</v>
          </cell>
          <cell r="S4528" t="str">
            <v>ENTREGADO</v>
          </cell>
          <cell r="T4528">
            <v>0</v>
          </cell>
          <cell r="U4528" t="str">
            <v>LOPEZ RUIZ WILBERTO</v>
          </cell>
          <cell r="V4528" t="str">
            <v>FLOREZ CONDORI  JOSE WILLIANS</v>
          </cell>
        </row>
        <row r="4529">
          <cell r="A4529">
            <v>4560</v>
          </cell>
          <cell r="B4529">
            <v>42758</v>
          </cell>
          <cell r="C4529" t="str">
            <v>ENERO</v>
          </cell>
          <cell r="D4529" t="str">
            <v>2017</v>
          </cell>
          <cell r="E4529">
            <v>899</v>
          </cell>
          <cell r="F4529" t="str">
            <v>ABQ-704</v>
          </cell>
          <cell r="G4529" t="str">
            <v>TBB-995</v>
          </cell>
          <cell r="H4529" t="str">
            <v>LAS BAMBAS</v>
          </cell>
          <cell r="I4529">
            <v>116693</v>
          </cell>
          <cell r="J4529" t="str">
            <v>REPUESTO</v>
          </cell>
          <cell r="K4529" t="str">
            <v>FARO LATERAL RECTANGULAR AMBAR</v>
          </cell>
          <cell r="L4529">
            <v>1</v>
          </cell>
          <cell r="M4529" t="str">
            <v>UNID.</v>
          </cell>
          <cell r="N4529" t="str">
            <v>TRACTO</v>
          </cell>
          <cell r="O4529">
            <v>32</v>
          </cell>
          <cell r="P4529" t="str">
            <v>E3</v>
          </cell>
          <cell r="Q4529" t="str">
            <v>J1</v>
          </cell>
          <cell r="R4529" t="str">
            <v>J8</v>
          </cell>
          <cell r="S4529" t="str">
            <v>ENTREGADO</v>
          </cell>
          <cell r="T4529">
            <v>0</v>
          </cell>
          <cell r="U4529" t="str">
            <v>CONDORI CHURATA ALEX</v>
          </cell>
          <cell r="V4529" t="str">
            <v>FLOREZ CONDORI  JOSE WILLIANS</v>
          </cell>
        </row>
        <row r="4530">
          <cell r="A4530">
            <v>4561</v>
          </cell>
          <cell r="B4530">
            <v>42758</v>
          </cell>
          <cell r="C4530" t="str">
            <v>ENERO</v>
          </cell>
          <cell r="D4530" t="str">
            <v>2017</v>
          </cell>
          <cell r="E4530">
            <v>899</v>
          </cell>
          <cell r="F4530" t="str">
            <v>ABQ-704</v>
          </cell>
          <cell r="G4530" t="str">
            <v>TBB-995</v>
          </cell>
          <cell r="H4530" t="str">
            <v>LAS BAMBAS</v>
          </cell>
          <cell r="I4530">
            <v>116693</v>
          </cell>
          <cell r="J4530" t="str">
            <v>REPUESTO</v>
          </cell>
          <cell r="K4530" t="str">
            <v>NEBLINERO</v>
          </cell>
          <cell r="L4530">
            <v>2</v>
          </cell>
          <cell r="M4530" t="str">
            <v>UNID.</v>
          </cell>
          <cell r="N4530" t="str">
            <v>TRACTO</v>
          </cell>
          <cell r="O4530">
            <v>32</v>
          </cell>
          <cell r="P4530" t="str">
            <v>E3</v>
          </cell>
          <cell r="Q4530" t="str">
            <v>J1</v>
          </cell>
          <cell r="R4530" t="str">
            <v>J8</v>
          </cell>
          <cell r="S4530" t="str">
            <v>ENTREGADO</v>
          </cell>
          <cell r="T4530">
            <v>0</v>
          </cell>
          <cell r="U4530" t="str">
            <v>CONDORI CHURATA ALEX</v>
          </cell>
          <cell r="V4530" t="str">
            <v>FLOREZ CONDORI  JOSE WILLIANS</v>
          </cell>
        </row>
        <row r="4531">
          <cell r="A4531">
            <v>4529</v>
          </cell>
          <cell r="B4531">
            <v>42758</v>
          </cell>
          <cell r="C4531" t="str">
            <v>ENERO</v>
          </cell>
          <cell r="D4531" t="str">
            <v>2017</v>
          </cell>
          <cell r="E4531">
            <v>894</v>
          </cell>
          <cell r="F4531" t="str">
            <v>ABQ-780</v>
          </cell>
          <cell r="G4531" t="str">
            <v>C9S-990</v>
          </cell>
          <cell r="H4531" t="str">
            <v>LAS BAMBAS</v>
          </cell>
          <cell r="I4531">
            <v>121963</v>
          </cell>
          <cell r="J4531" t="str">
            <v>REPUESTO</v>
          </cell>
          <cell r="K4531" t="str">
            <v>ACEITE DE MOTOR 15W40</v>
          </cell>
          <cell r="L4531">
            <v>10</v>
          </cell>
          <cell r="M4531" t="str">
            <v>GLNS.</v>
          </cell>
          <cell r="N4531" t="str">
            <v>TRACTO</v>
          </cell>
          <cell r="O4531">
            <v>32</v>
          </cell>
          <cell r="P4531" t="str">
            <v>M5</v>
          </cell>
          <cell r="Q4531" t="str">
            <v>J1</v>
          </cell>
          <cell r="R4531" t="str">
            <v>J8</v>
          </cell>
          <cell r="S4531" t="str">
            <v>ENTREGADO</v>
          </cell>
          <cell r="T4531">
            <v>0</v>
          </cell>
          <cell r="U4531" t="str">
            <v>LOPEZ RUIZ WILBERTO</v>
          </cell>
          <cell r="V4531" t="str">
            <v>FLOREZ CONDORI  JOSE WILLIANS</v>
          </cell>
        </row>
        <row r="4532">
          <cell r="A4532">
            <v>4530</v>
          </cell>
          <cell r="B4532">
            <v>42758</v>
          </cell>
          <cell r="C4532" t="str">
            <v>ENERO</v>
          </cell>
          <cell r="D4532" t="str">
            <v>2017</v>
          </cell>
          <cell r="E4532">
            <v>894</v>
          </cell>
          <cell r="F4532" t="str">
            <v>ABQ-780</v>
          </cell>
          <cell r="G4532" t="str">
            <v>C9S-990</v>
          </cell>
          <cell r="H4532" t="str">
            <v>LAS BAMBAS</v>
          </cell>
          <cell r="I4532">
            <v>121963</v>
          </cell>
          <cell r="J4532" t="str">
            <v>REPUESTO</v>
          </cell>
          <cell r="K4532" t="str">
            <v>FILTRO DE ACEITE</v>
          </cell>
          <cell r="L4532">
            <v>2</v>
          </cell>
          <cell r="M4532" t="str">
            <v>UNID.</v>
          </cell>
          <cell r="N4532" t="str">
            <v>TRACTO</v>
          </cell>
          <cell r="O4532">
            <v>32</v>
          </cell>
          <cell r="P4532" t="str">
            <v>M5</v>
          </cell>
          <cell r="Q4532" t="str">
            <v>J1</v>
          </cell>
          <cell r="R4532" t="str">
            <v>J8</v>
          </cell>
          <cell r="S4532" t="str">
            <v>ENTREGADO</v>
          </cell>
          <cell r="T4532">
            <v>0</v>
          </cell>
          <cell r="U4532" t="str">
            <v>LOPEZ RUIZ WILBERTO</v>
          </cell>
          <cell r="V4532" t="str">
            <v>FLOREZ CONDORI  JOSE WILLIANS</v>
          </cell>
        </row>
        <row r="4533">
          <cell r="A4533">
            <v>4531</v>
          </cell>
          <cell r="B4533">
            <v>42758</v>
          </cell>
          <cell r="C4533" t="str">
            <v>ENERO</v>
          </cell>
          <cell r="D4533" t="str">
            <v>2017</v>
          </cell>
          <cell r="E4533">
            <v>894</v>
          </cell>
          <cell r="F4533" t="str">
            <v>ABQ-780</v>
          </cell>
          <cell r="G4533" t="str">
            <v>C9S-990</v>
          </cell>
          <cell r="H4533" t="str">
            <v>LAS BAMBAS</v>
          </cell>
          <cell r="I4533">
            <v>121963</v>
          </cell>
          <cell r="J4533" t="str">
            <v>REPUESTO</v>
          </cell>
          <cell r="K4533" t="str">
            <v>FILTRO DE COMBUSTIBLE</v>
          </cell>
          <cell r="L4533">
            <v>2</v>
          </cell>
          <cell r="M4533" t="str">
            <v>UNID.</v>
          </cell>
          <cell r="N4533" t="str">
            <v>TRACTO</v>
          </cell>
          <cell r="O4533">
            <v>32</v>
          </cell>
          <cell r="P4533" t="str">
            <v>M5</v>
          </cell>
          <cell r="Q4533" t="str">
            <v>J1</v>
          </cell>
          <cell r="R4533" t="str">
            <v>J8</v>
          </cell>
          <cell r="S4533" t="str">
            <v>ENTREGADO</v>
          </cell>
          <cell r="T4533">
            <v>0</v>
          </cell>
          <cell r="U4533" t="str">
            <v>LOPEZ RUIZ WILBERTO</v>
          </cell>
          <cell r="V4533" t="str">
            <v>FLOREZ CONDORI  JOSE WILLIANS</v>
          </cell>
        </row>
        <row r="4534">
          <cell r="A4534">
            <v>4532</v>
          </cell>
          <cell r="B4534">
            <v>42758</v>
          </cell>
          <cell r="C4534" t="str">
            <v>ENERO</v>
          </cell>
          <cell r="D4534" t="str">
            <v>2017</v>
          </cell>
          <cell r="E4534">
            <v>894</v>
          </cell>
          <cell r="F4534" t="str">
            <v>ABQ-780</v>
          </cell>
          <cell r="G4534" t="str">
            <v>C9S-990</v>
          </cell>
          <cell r="H4534" t="str">
            <v>LAS BAMBAS</v>
          </cell>
          <cell r="I4534">
            <v>121963</v>
          </cell>
          <cell r="J4534" t="str">
            <v>REPUESTO</v>
          </cell>
          <cell r="K4534" t="str">
            <v>FILTRO DE AIRE</v>
          </cell>
          <cell r="L4534">
            <v>1</v>
          </cell>
          <cell r="M4534" t="str">
            <v>UNID.</v>
          </cell>
          <cell r="N4534" t="str">
            <v>TRACTO</v>
          </cell>
          <cell r="O4534">
            <v>32</v>
          </cell>
          <cell r="P4534" t="str">
            <v>M5</v>
          </cell>
          <cell r="Q4534" t="str">
            <v>J1</v>
          </cell>
          <cell r="R4534" t="str">
            <v>J8</v>
          </cell>
          <cell r="S4534" t="str">
            <v>ENTREGADO</v>
          </cell>
          <cell r="T4534">
            <v>0</v>
          </cell>
          <cell r="U4534" t="str">
            <v>LOPEZ RUIZ WILBERTO</v>
          </cell>
          <cell r="V4534" t="str">
            <v>FLOREZ CONDORI  JOSE WILLIANS</v>
          </cell>
        </row>
        <row r="4535">
          <cell r="A4535">
            <v>4533</v>
          </cell>
          <cell r="B4535">
            <v>42758</v>
          </cell>
          <cell r="C4535" t="str">
            <v>ENERO</v>
          </cell>
          <cell r="D4535" t="str">
            <v>2017</v>
          </cell>
          <cell r="E4535">
            <v>894</v>
          </cell>
          <cell r="F4535" t="str">
            <v>ABQ-780</v>
          </cell>
          <cell r="G4535" t="str">
            <v>C9S-990</v>
          </cell>
          <cell r="H4535" t="str">
            <v>LAS BAMBAS</v>
          </cell>
          <cell r="I4535">
            <v>121963</v>
          </cell>
          <cell r="J4535" t="str">
            <v>REPUESTO</v>
          </cell>
          <cell r="K4535" t="str">
            <v>ACEITE DE CAJA</v>
          </cell>
          <cell r="L4535">
            <v>4</v>
          </cell>
          <cell r="M4535" t="str">
            <v>GLNS.</v>
          </cell>
          <cell r="N4535" t="str">
            <v>TRACTO</v>
          </cell>
          <cell r="O4535">
            <v>32</v>
          </cell>
          <cell r="P4535" t="str">
            <v>M5</v>
          </cell>
          <cell r="Q4535" t="str">
            <v>J1</v>
          </cell>
          <cell r="R4535" t="str">
            <v>J8</v>
          </cell>
          <cell r="S4535" t="str">
            <v>ENTREGADO</v>
          </cell>
          <cell r="T4535">
            <v>0</v>
          </cell>
          <cell r="U4535" t="str">
            <v>LOPEZ RUIZ WILBERTO</v>
          </cell>
          <cell r="V4535" t="str">
            <v>FLOREZ CONDORI  JOSE WILLIANS</v>
          </cell>
        </row>
        <row r="4536">
          <cell r="A4536">
            <v>4534</v>
          </cell>
          <cell r="B4536">
            <v>42758</v>
          </cell>
          <cell r="C4536" t="str">
            <v>ENERO</v>
          </cell>
          <cell r="D4536" t="str">
            <v>2017</v>
          </cell>
          <cell r="E4536">
            <v>894</v>
          </cell>
          <cell r="F4536" t="str">
            <v>ABQ-780</v>
          </cell>
          <cell r="G4536" t="str">
            <v>C9S-990</v>
          </cell>
          <cell r="H4536" t="str">
            <v>LAS BAMBAS</v>
          </cell>
          <cell r="I4536">
            <v>121963</v>
          </cell>
          <cell r="J4536" t="str">
            <v>REPUESTO</v>
          </cell>
          <cell r="K4536" t="str">
            <v>ACEITE DE CORONA</v>
          </cell>
          <cell r="L4536">
            <v>9</v>
          </cell>
          <cell r="M4536" t="str">
            <v>GLNS.</v>
          </cell>
          <cell r="N4536" t="str">
            <v>TRACTO</v>
          </cell>
          <cell r="O4536">
            <v>32</v>
          </cell>
          <cell r="P4536" t="str">
            <v>M5</v>
          </cell>
          <cell r="Q4536" t="str">
            <v>J1</v>
          </cell>
          <cell r="R4536" t="str">
            <v>J8</v>
          </cell>
          <cell r="S4536" t="str">
            <v>ENTREGADO</v>
          </cell>
          <cell r="T4536">
            <v>0</v>
          </cell>
          <cell r="U4536" t="str">
            <v>LOPEZ RUIZ WILBERTO</v>
          </cell>
          <cell r="V4536" t="str">
            <v>FLOREZ CONDORI  JOSE WILLIANS</v>
          </cell>
        </row>
        <row r="4537">
          <cell r="A4537">
            <v>4535</v>
          </cell>
          <cell r="B4537">
            <v>42758</v>
          </cell>
          <cell r="C4537" t="str">
            <v>ENERO</v>
          </cell>
          <cell r="D4537" t="str">
            <v>2017</v>
          </cell>
          <cell r="E4537">
            <v>894</v>
          </cell>
          <cell r="F4537" t="str">
            <v>ABQ-780</v>
          </cell>
          <cell r="G4537" t="str">
            <v>C9S-990</v>
          </cell>
          <cell r="H4537" t="str">
            <v>LAS BAMBAS</v>
          </cell>
          <cell r="I4537">
            <v>121963</v>
          </cell>
          <cell r="J4537" t="str">
            <v>REPUESTO</v>
          </cell>
          <cell r="K4537" t="str">
            <v>AGUA LIMPIA PARABRISA</v>
          </cell>
          <cell r="L4537">
            <v>1</v>
          </cell>
          <cell r="M4537" t="str">
            <v>GLNS.</v>
          </cell>
          <cell r="N4537" t="str">
            <v>TRACTO</v>
          </cell>
          <cell r="O4537">
            <v>32</v>
          </cell>
          <cell r="P4537" t="str">
            <v>M5</v>
          </cell>
          <cell r="Q4537" t="str">
            <v>J1</v>
          </cell>
          <cell r="R4537" t="str">
            <v>J8</v>
          </cell>
          <cell r="S4537" t="str">
            <v>ENTREGADO</v>
          </cell>
          <cell r="T4537">
            <v>0</v>
          </cell>
          <cell r="U4537" t="str">
            <v>LOPEZ RUIZ WILBERTO</v>
          </cell>
          <cell r="V4537" t="str">
            <v>FLOREZ CONDORI  JOSE WILLIANS</v>
          </cell>
        </row>
        <row r="4538">
          <cell r="A4538">
            <v>4536</v>
          </cell>
          <cell r="B4538">
            <v>42758</v>
          </cell>
          <cell r="C4538" t="str">
            <v>ENERO</v>
          </cell>
          <cell r="D4538" t="str">
            <v>2017</v>
          </cell>
          <cell r="E4538">
            <v>894</v>
          </cell>
          <cell r="F4538" t="str">
            <v>ABQ-780</v>
          </cell>
          <cell r="G4538" t="str">
            <v>C9S-990</v>
          </cell>
          <cell r="H4538" t="str">
            <v>LAS BAMBAS</v>
          </cell>
          <cell r="I4538">
            <v>121963</v>
          </cell>
          <cell r="J4538" t="str">
            <v>REPUESTO</v>
          </cell>
          <cell r="K4538" t="str">
            <v>FILTRO DE CORONA</v>
          </cell>
          <cell r="L4538">
            <v>1</v>
          </cell>
          <cell r="M4538" t="str">
            <v>UNID.</v>
          </cell>
          <cell r="N4538" t="str">
            <v>TRACTO</v>
          </cell>
          <cell r="O4538">
            <v>32</v>
          </cell>
          <cell r="P4538" t="str">
            <v>E3</v>
          </cell>
          <cell r="Q4538" t="str">
            <v>J1</v>
          </cell>
          <cell r="R4538" t="str">
            <v>J8</v>
          </cell>
          <cell r="S4538" t="str">
            <v>ENTREGADO</v>
          </cell>
          <cell r="T4538">
            <v>0</v>
          </cell>
          <cell r="U4538" t="str">
            <v>CONDORI CHURATA ALEX</v>
          </cell>
          <cell r="V4538" t="str">
            <v>FLOREZ CONDORI  JOSE WILLIANS</v>
          </cell>
        </row>
        <row r="4539">
          <cell r="A4539">
            <v>4592</v>
          </cell>
          <cell r="B4539">
            <v>42758</v>
          </cell>
          <cell r="C4539" t="str">
            <v>ENERO</v>
          </cell>
          <cell r="D4539" t="str">
            <v>2017</v>
          </cell>
          <cell r="E4539">
            <v>894</v>
          </cell>
          <cell r="F4539" t="str">
            <v>ABQ-780</v>
          </cell>
          <cell r="G4539" t="str">
            <v>C9S-990</v>
          </cell>
          <cell r="H4539" t="str">
            <v>LAS BAMBAS</v>
          </cell>
          <cell r="I4539">
            <v>121963</v>
          </cell>
          <cell r="J4539" t="str">
            <v>REPUESTO</v>
          </cell>
          <cell r="K4539" t="str">
            <v>JUEGO DE ZAPATAZ</v>
          </cell>
          <cell r="L4539">
            <v>2</v>
          </cell>
          <cell r="M4539" t="str">
            <v>UNID.</v>
          </cell>
          <cell r="N4539" t="str">
            <v>CISTERNA</v>
          </cell>
          <cell r="O4539">
            <v>32</v>
          </cell>
          <cell r="P4539" t="str">
            <v>M5</v>
          </cell>
          <cell r="Q4539" t="str">
            <v>J1</v>
          </cell>
          <cell r="R4539" t="str">
            <v>J8</v>
          </cell>
          <cell r="S4539" t="str">
            <v>ENTREGADO</v>
          </cell>
          <cell r="T4539">
            <v>0</v>
          </cell>
          <cell r="U4539" t="str">
            <v>LOPEZ RUIZ WILBERTO</v>
          </cell>
          <cell r="V4539" t="str">
            <v>FLOREZ CONDORI  JOSE WILLIANS</v>
          </cell>
        </row>
        <row r="4540">
          <cell r="A4540">
            <v>4593</v>
          </cell>
          <cell r="B4540">
            <v>42758</v>
          </cell>
          <cell r="C4540" t="str">
            <v>ENERO</v>
          </cell>
          <cell r="D4540" t="str">
            <v>2017</v>
          </cell>
          <cell r="E4540">
            <v>894</v>
          </cell>
          <cell r="F4540" t="str">
            <v>ABQ-780</v>
          </cell>
          <cell r="G4540" t="str">
            <v>C9S-990</v>
          </cell>
          <cell r="H4540" t="str">
            <v>LAS BAMBAS</v>
          </cell>
          <cell r="I4540">
            <v>121963</v>
          </cell>
          <cell r="J4540" t="str">
            <v>SERVICIO</v>
          </cell>
          <cell r="K4540" t="str">
            <v>SERVICIO DE SEPILLADO DE TAMBORES</v>
          </cell>
          <cell r="L4540">
            <v>4</v>
          </cell>
          <cell r="M4540" t="str">
            <v>UNID.</v>
          </cell>
          <cell r="N4540" t="str">
            <v>CISTERNA</v>
          </cell>
          <cell r="O4540">
            <v>32</v>
          </cell>
          <cell r="P4540" t="str">
            <v>M5</v>
          </cell>
          <cell r="Q4540" t="str">
            <v>J1</v>
          </cell>
          <cell r="R4540" t="str">
            <v>J8</v>
          </cell>
          <cell r="S4540" t="str">
            <v>ENTREGADO</v>
          </cell>
          <cell r="T4540">
            <v>0</v>
          </cell>
          <cell r="U4540" t="str">
            <v>LOPEZ RUIZ WILBERTO</v>
          </cell>
          <cell r="V4540" t="str">
            <v>FLOREZ CONDORI  JOSE WILLIANS</v>
          </cell>
        </row>
        <row r="4541">
          <cell r="A4541">
            <v>4544</v>
          </cell>
          <cell r="B4541">
            <v>42758</v>
          </cell>
          <cell r="C4541" t="str">
            <v>ENERO</v>
          </cell>
          <cell r="D4541" t="str">
            <v>2017</v>
          </cell>
          <cell r="E4541">
            <v>898</v>
          </cell>
          <cell r="F4541" t="str">
            <v>ABR-759</v>
          </cell>
          <cell r="G4541" t="str">
            <v>D0Z-995</v>
          </cell>
          <cell r="H4541" t="str">
            <v>LAS BAMBAS</v>
          </cell>
          <cell r="I4541">
            <v>118421</v>
          </cell>
          <cell r="J4541" t="str">
            <v>REPUESTO</v>
          </cell>
          <cell r="K4541" t="str">
            <v>FOCO LAGRIMA 12V</v>
          </cell>
          <cell r="L4541">
            <v>5</v>
          </cell>
          <cell r="M4541" t="str">
            <v>UNID.</v>
          </cell>
          <cell r="N4541" t="str">
            <v>TRACTO</v>
          </cell>
          <cell r="O4541">
            <v>32</v>
          </cell>
          <cell r="P4541" t="str">
            <v>E2</v>
          </cell>
          <cell r="Q4541" t="str">
            <v>J1</v>
          </cell>
          <cell r="R4541" t="str">
            <v>J8</v>
          </cell>
          <cell r="S4541" t="str">
            <v>ENTREGADO</v>
          </cell>
          <cell r="T4541">
            <v>0</v>
          </cell>
          <cell r="U4541" t="str">
            <v>YUCA BELLIDO BORIS YERSY</v>
          </cell>
          <cell r="V4541" t="str">
            <v>FLOREZ CONDORI  JOSE WILLIANS</v>
          </cell>
        </row>
        <row r="4542">
          <cell r="A4542">
            <v>4542</v>
          </cell>
          <cell r="B4542">
            <v>42758</v>
          </cell>
          <cell r="C4542" t="str">
            <v>ENERO</v>
          </cell>
          <cell r="D4542" t="str">
            <v>2017</v>
          </cell>
          <cell r="E4542">
            <v>896</v>
          </cell>
          <cell r="F4542" t="str">
            <v>AKW-731</v>
          </cell>
          <cell r="G4542" t="str">
            <v>TCR-989</v>
          </cell>
          <cell r="H4542" t="str">
            <v>LAS BAMBAS CONC.</v>
          </cell>
          <cell r="I4542">
            <v>34071</v>
          </cell>
          <cell r="J4542" t="str">
            <v>REPUESTO</v>
          </cell>
          <cell r="K4542" t="str">
            <v>AGUA LIMPIA PARABRISA</v>
          </cell>
          <cell r="L4542">
            <v>1</v>
          </cell>
          <cell r="M4542" t="str">
            <v>GLNS.</v>
          </cell>
          <cell r="N4542" t="str">
            <v>TRACTO</v>
          </cell>
          <cell r="O4542">
            <v>32</v>
          </cell>
          <cell r="P4542" t="str">
            <v>M5</v>
          </cell>
          <cell r="Q4542" t="str">
            <v>J1</v>
          </cell>
          <cell r="R4542" t="str">
            <v>J8</v>
          </cell>
          <cell r="S4542" t="str">
            <v>ENTREGADO</v>
          </cell>
          <cell r="T4542">
            <v>0</v>
          </cell>
          <cell r="U4542" t="str">
            <v>LOPEZ RUIZ WILBERTO</v>
          </cell>
          <cell r="V4542" t="str">
            <v>FLOREZ CONDORI  JOSE WILLIANS</v>
          </cell>
        </row>
        <row r="4543">
          <cell r="A4543">
            <v>4551</v>
          </cell>
          <cell r="B4543">
            <v>42758</v>
          </cell>
          <cell r="C4543" t="str">
            <v>ENERO</v>
          </cell>
          <cell r="D4543" t="str">
            <v>2017</v>
          </cell>
          <cell r="E4543">
            <v>896</v>
          </cell>
          <cell r="F4543" t="str">
            <v>AKW-731</v>
          </cell>
          <cell r="G4543" t="str">
            <v>TCR-989</v>
          </cell>
          <cell r="H4543" t="str">
            <v>LAS BAMBAS CONC.</v>
          </cell>
          <cell r="I4543">
            <v>34071</v>
          </cell>
          <cell r="J4543" t="str">
            <v>REPUESTO</v>
          </cell>
          <cell r="K4543" t="str">
            <v>FARO LATERAL CIRCULAR 2" ROJO</v>
          </cell>
          <cell r="L4543">
            <v>1</v>
          </cell>
          <cell r="M4543" t="str">
            <v>UNID.</v>
          </cell>
          <cell r="N4543" t="str">
            <v>TOLVA</v>
          </cell>
          <cell r="O4543">
            <v>32</v>
          </cell>
          <cell r="P4543" t="str">
            <v>E3</v>
          </cell>
          <cell r="Q4543" t="str">
            <v>J1</v>
          </cell>
          <cell r="R4543" t="str">
            <v>J8</v>
          </cell>
          <cell r="S4543" t="str">
            <v>ENTREGADO</v>
          </cell>
          <cell r="T4543">
            <v>0</v>
          </cell>
          <cell r="U4543" t="str">
            <v>CONDORI CHURATA ALEX</v>
          </cell>
          <cell r="V4543" t="str">
            <v>FLOREZ CONDORI  JOSE WILLIANS</v>
          </cell>
        </row>
        <row r="4544">
          <cell r="A4544">
            <v>4562</v>
          </cell>
          <cell r="B4544">
            <v>42758</v>
          </cell>
          <cell r="C4544" t="str">
            <v>ENERO</v>
          </cell>
          <cell r="D4544" t="str">
            <v>2017</v>
          </cell>
          <cell r="E4544">
            <v>835</v>
          </cell>
          <cell r="F4544" t="str">
            <v>AKW-894</v>
          </cell>
          <cell r="G4544" t="str">
            <v>TBN-978</v>
          </cell>
          <cell r="H4544" t="str">
            <v>LAS BAMBAS</v>
          </cell>
          <cell r="I4544">
            <v>45645</v>
          </cell>
          <cell r="J4544" t="str">
            <v>REPUESTO</v>
          </cell>
          <cell r="K4544" t="str">
            <v>RELAY 12V</v>
          </cell>
          <cell r="L4544">
            <v>1</v>
          </cell>
          <cell r="M4544" t="str">
            <v>UNID.</v>
          </cell>
          <cell r="N4544" t="str">
            <v>TRACTO</v>
          </cell>
          <cell r="O4544">
            <v>32</v>
          </cell>
          <cell r="P4544" t="str">
            <v>E2</v>
          </cell>
          <cell r="Q4544" t="str">
            <v>J1</v>
          </cell>
          <cell r="R4544" t="str">
            <v>J8</v>
          </cell>
          <cell r="S4544" t="str">
            <v>ENTREGADO</v>
          </cell>
          <cell r="T4544">
            <v>0</v>
          </cell>
          <cell r="U4544" t="str">
            <v>YUCA BELLIDO BORIS YERSY</v>
          </cell>
          <cell r="V4544" t="str">
            <v>FLOREZ CONDORI  JOSE WILLIANS</v>
          </cell>
        </row>
        <row r="4545">
          <cell r="A4545">
            <v>4563</v>
          </cell>
          <cell r="B4545">
            <v>42758</v>
          </cell>
          <cell r="C4545" t="str">
            <v>ENERO</v>
          </cell>
          <cell r="D4545" t="str">
            <v>2017</v>
          </cell>
          <cell r="E4545">
            <v>835</v>
          </cell>
          <cell r="F4545" t="str">
            <v>AKW-894</v>
          </cell>
          <cell r="G4545" t="str">
            <v>TBN-978</v>
          </cell>
          <cell r="H4545" t="str">
            <v>LAS BAMBAS</v>
          </cell>
          <cell r="I4545">
            <v>45645</v>
          </cell>
          <cell r="J4545" t="str">
            <v>REPUESTO</v>
          </cell>
          <cell r="K4545" t="str">
            <v>TECLA PULSADORA</v>
          </cell>
          <cell r="L4545">
            <v>1</v>
          </cell>
          <cell r="M4545" t="str">
            <v>UNID.</v>
          </cell>
          <cell r="N4545" t="str">
            <v>TRACTO</v>
          </cell>
          <cell r="O4545">
            <v>32</v>
          </cell>
          <cell r="P4545" t="str">
            <v>E2</v>
          </cell>
          <cell r="Q4545" t="str">
            <v>J1</v>
          </cell>
          <cell r="R4545" t="str">
            <v>J8</v>
          </cell>
          <cell r="S4545" t="str">
            <v>ENTREGADO</v>
          </cell>
          <cell r="T4545">
            <v>0</v>
          </cell>
          <cell r="U4545" t="str">
            <v>YUCA BELLIDO BORIS YERSY</v>
          </cell>
          <cell r="V4545" t="str">
            <v>FLOREZ CONDORI  JOSE WILLIANS</v>
          </cell>
        </row>
        <row r="4546">
          <cell r="A4546">
            <v>4564</v>
          </cell>
          <cell r="B4546">
            <v>42758</v>
          </cell>
          <cell r="C4546" t="str">
            <v>ENERO</v>
          </cell>
          <cell r="D4546" t="str">
            <v>2017</v>
          </cell>
          <cell r="E4546">
            <v>835</v>
          </cell>
          <cell r="F4546" t="str">
            <v>AKW-894</v>
          </cell>
          <cell r="G4546" t="str">
            <v>TBN-978</v>
          </cell>
          <cell r="H4546" t="str">
            <v>LAS BAMBAS</v>
          </cell>
          <cell r="I4546">
            <v>45645</v>
          </cell>
          <cell r="J4546" t="str">
            <v>REPUESTO</v>
          </cell>
          <cell r="K4546" t="str">
            <v>FUSIBLE 20V</v>
          </cell>
          <cell r="L4546">
            <v>1</v>
          </cell>
          <cell r="M4546" t="str">
            <v>UNID.</v>
          </cell>
          <cell r="N4546" t="str">
            <v>TRACTO</v>
          </cell>
          <cell r="O4546">
            <v>32</v>
          </cell>
          <cell r="P4546" t="str">
            <v>E2</v>
          </cell>
          <cell r="Q4546" t="str">
            <v>J1</v>
          </cell>
          <cell r="R4546" t="str">
            <v>J8</v>
          </cell>
          <cell r="S4546" t="str">
            <v>ENTREGADO</v>
          </cell>
          <cell r="T4546">
            <v>0</v>
          </cell>
          <cell r="U4546" t="str">
            <v>YUCA BELLIDO BORIS YERSY</v>
          </cell>
          <cell r="V4546" t="str">
            <v>FLOREZ CONDORI  JOSE WILLIANS</v>
          </cell>
        </row>
        <row r="4547">
          <cell r="A4547">
            <v>4565</v>
          </cell>
          <cell r="B4547">
            <v>42758</v>
          </cell>
          <cell r="C4547" t="str">
            <v>ENERO</v>
          </cell>
          <cell r="D4547" t="str">
            <v>2017</v>
          </cell>
          <cell r="E4547">
            <v>835</v>
          </cell>
          <cell r="F4547" t="str">
            <v>AKW-894</v>
          </cell>
          <cell r="G4547" t="str">
            <v>TBN-978</v>
          </cell>
          <cell r="H4547" t="str">
            <v>LAS BAMBAS</v>
          </cell>
          <cell r="I4547">
            <v>45645</v>
          </cell>
          <cell r="J4547" t="str">
            <v>REPUESTO</v>
          </cell>
          <cell r="K4547" t="str">
            <v>TERMINAL HEMBRA</v>
          </cell>
          <cell r="L4547">
            <v>5</v>
          </cell>
          <cell r="M4547" t="str">
            <v>UNID.</v>
          </cell>
          <cell r="N4547" t="str">
            <v>TRACTO</v>
          </cell>
          <cell r="O4547">
            <v>32</v>
          </cell>
          <cell r="P4547" t="str">
            <v>E2</v>
          </cell>
          <cell r="Q4547" t="str">
            <v>J1</v>
          </cell>
          <cell r="R4547" t="str">
            <v>J8</v>
          </cell>
          <cell r="S4547" t="str">
            <v>ENTREGADO</v>
          </cell>
          <cell r="T4547">
            <v>0</v>
          </cell>
          <cell r="U4547" t="str">
            <v>YUCA BELLIDO BORIS YERSY</v>
          </cell>
          <cell r="V4547" t="str">
            <v>FLOREZ CONDORI  JOSE WILLIANS</v>
          </cell>
        </row>
        <row r="4548">
          <cell r="A4548">
            <v>4566</v>
          </cell>
          <cell r="B4548">
            <v>42758</v>
          </cell>
          <cell r="C4548" t="str">
            <v>ENERO</v>
          </cell>
          <cell r="D4548" t="str">
            <v>2017</v>
          </cell>
          <cell r="E4548">
            <v>835</v>
          </cell>
          <cell r="F4548" t="str">
            <v>AKW-894</v>
          </cell>
          <cell r="G4548" t="str">
            <v>TBN-978</v>
          </cell>
          <cell r="H4548" t="str">
            <v>LAS BAMBAS</v>
          </cell>
          <cell r="I4548">
            <v>45645</v>
          </cell>
          <cell r="J4548" t="str">
            <v>REPUESTO</v>
          </cell>
          <cell r="K4548" t="str">
            <v>CABLE CORRIENTE # 14</v>
          </cell>
          <cell r="L4548">
            <v>14</v>
          </cell>
          <cell r="M4548" t="str">
            <v>M</v>
          </cell>
          <cell r="N4548" t="str">
            <v>TRACTO</v>
          </cell>
          <cell r="O4548">
            <v>32</v>
          </cell>
          <cell r="P4548" t="str">
            <v>E2</v>
          </cell>
          <cell r="Q4548" t="str">
            <v>J1</v>
          </cell>
          <cell r="R4548" t="str">
            <v>J8</v>
          </cell>
          <cell r="S4548" t="str">
            <v>ENTREGADO</v>
          </cell>
          <cell r="T4548">
            <v>0</v>
          </cell>
          <cell r="U4548" t="str">
            <v>YUCA BELLIDO BORIS YERSY</v>
          </cell>
          <cell r="V4548" t="str">
            <v>FLOREZ CONDORI  JOSE WILLIANS</v>
          </cell>
        </row>
        <row r="4549">
          <cell r="A4549">
            <v>4585</v>
          </cell>
          <cell r="B4549">
            <v>42758</v>
          </cell>
          <cell r="C4549" t="str">
            <v>ENERO</v>
          </cell>
          <cell r="D4549" t="str">
            <v>2017</v>
          </cell>
          <cell r="E4549">
            <v>849</v>
          </cell>
          <cell r="F4549" t="str">
            <v>AKX-731</v>
          </cell>
          <cell r="G4549" t="str">
            <v>TCD-980</v>
          </cell>
          <cell r="H4549" t="str">
            <v>LAS BAMBAS</v>
          </cell>
          <cell r="I4549">
            <v>40489</v>
          </cell>
          <cell r="J4549" t="str">
            <v>REPUESTO</v>
          </cell>
          <cell r="K4549" t="str">
            <v>PLANCHA DE 1/2 X 1.4M X 1M</v>
          </cell>
          <cell r="L4549">
            <v>1</v>
          </cell>
          <cell r="M4549" t="str">
            <v>UNID.</v>
          </cell>
          <cell r="N4549" t="str">
            <v>CISTERNA</v>
          </cell>
          <cell r="O4549">
            <v>32</v>
          </cell>
          <cell r="P4549" t="str">
            <v>S1</v>
          </cell>
          <cell r="Q4549" t="str">
            <v>J1</v>
          </cell>
          <cell r="R4549" t="str">
            <v>J6</v>
          </cell>
          <cell r="S4549" t="str">
            <v>ENTREGADO</v>
          </cell>
          <cell r="T4549">
            <v>0</v>
          </cell>
          <cell r="U4549" t="str">
            <v>BAYONA CRUZ CRISTIAN ARMANDO</v>
          </cell>
          <cell r="V4549" t="str">
            <v>FLOREZ CONDORI  JOSE WILLIANS</v>
          </cell>
        </row>
        <row r="4550">
          <cell r="A4550">
            <v>4569</v>
          </cell>
          <cell r="B4550">
            <v>42758</v>
          </cell>
          <cell r="C4550" t="str">
            <v>ENERO</v>
          </cell>
          <cell r="D4550" t="str">
            <v>2017</v>
          </cell>
          <cell r="E4550">
            <v>901</v>
          </cell>
          <cell r="F4550" t="str">
            <v>C5R-892</v>
          </cell>
          <cell r="G4550" t="str">
            <v>A0T-983</v>
          </cell>
          <cell r="H4550" t="str">
            <v>LAS BAMBAS</v>
          </cell>
          <cell r="I4550">
            <v>230683</v>
          </cell>
          <cell r="J4550" t="str">
            <v>REPUESTO</v>
          </cell>
          <cell r="K4550" t="str">
            <v>UNION DE 3/8 DE ACOPLE RAPIDO</v>
          </cell>
          <cell r="L4550">
            <v>2</v>
          </cell>
          <cell r="M4550" t="str">
            <v>UNID.</v>
          </cell>
          <cell r="N4550" t="str">
            <v>CISTERNA</v>
          </cell>
          <cell r="O4550">
            <v>32</v>
          </cell>
          <cell r="P4550" t="str">
            <v>M4</v>
          </cell>
          <cell r="Q4550" t="str">
            <v>J1</v>
          </cell>
          <cell r="R4550" t="str">
            <v>J8</v>
          </cell>
          <cell r="S4550" t="str">
            <v>ENTREGADO</v>
          </cell>
          <cell r="T4550">
            <v>0</v>
          </cell>
          <cell r="U4550" t="str">
            <v>JULLIRI APAZA UBALDO</v>
          </cell>
          <cell r="V4550" t="str">
            <v>FLOREZ CONDORI  JOSE WILLIANS</v>
          </cell>
        </row>
        <row r="4551">
          <cell r="A4551">
            <v>4570</v>
          </cell>
          <cell r="B4551">
            <v>42758</v>
          </cell>
          <cell r="C4551" t="str">
            <v>ENERO</v>
          </cell>
          <cell r="D4551" t="str">
            <v>2017</v>
          </cell>
          <cell r="E4551">
            <v>901</v>
          </cell>
          <cell r="F4551" t="str">
            <v>C5R-892</v>
          </cell>
          <cell r="G4551" t="str">
            <v>A0T-983</v>
          </cell>
          <cell r="H4551" t="str">
            <v>LAS BAMBAS</v>
          </cell>
          <cell r="I4551">
            <v>230683</v>
          </cell>
          <cell r="J4551" t="str">
            <v>REPUESTO</v>
          </cell>
          <cell r="K4551" t="str">
            <v>UNION TIPO TEE DE 3/8 ACOPLE RAPIDO</v>
          </cell>
          <cell r="L4551">
            <v>2</v>
          </cell>
          <cell r="M4551" t="str">
            <v>UNID.</v>
          </cell>
          <cell r="N4551" t="str">
            <v>CISTERNA</v>
          </cell>
          <cell r="O4551">
            <v>32</v>
          </cell>
          <cell r="P4551" t="str">
            <v>M4</v>
          </cell>
          <cell r="Q4551" t="str">
            <v>J1</v>
          </cell>
          <cell r="R4551" t="str">
            <v>J8</v>
          </cell>
          <cell r="S4551" t="str">
            <v>ENTREGADO</v>
          </cell>
          <cell r="T4551">
            <v>0</v>
          </cell>
          <cell r="U4551" t="str">
            <v>JULLIRI APAZA UBALDO</v>
          </cell>
          <cell r="V4551" t="str">
            <v>FLOREZ CONDORI  JOSE WILLIANS</v>
          </cell>
        </row>
        <row r="4552">
          <cell r="A4552">
            <v>4571</v>
          </cell>
          <cell r="B4552">
            <v>42758</v>
          </cell>
          <cell r="C4552" t="str">
            <v>ENERO</v>
          </cell>
          <cell r="D4552" t="str">
            <v>2017</v>
          </cell>
          <cell r="E4552">
            <v>901</v>
          </cell>
          <cell r="F4552" t="str">
            <v>C5R-892</v>
          </cell>
          <cell r="G4552" t="str">
            <v>A0T-983</v>
          </cell>
          <cell r="H4552" t="str">
            <v>LAS BAMBAS</v>
          </cell>
          <cell r="I4552">
            <v>230683</v>
          </cell>
          <cell r="J4552" t="str">
            <v>REPUESTO</v>
          </cell>
          <cell r="K4552" t="str">
            <v>PRECINTOS</v>
          </cell>
          <cell r="L4552">
            <v>6</v>
          </cell>
          <cell r="M4552" t="str">
            <v>UNID.</v>
          </cell>
          <cell r="N4552" t="str">
            <v>CISTERNA</v>
          </cell>
          <cell r="O4552">
            <v>32</v>
          </cell>
          <cell r="P4552" t="str">
            <v>M4</v>
          </cell>
          <cell r="Q4552" t="str">
            <v>J1</v>
          </cell>
          <cell r="R4552" t="str">
            <v>J8</v>
          </cell>
          <cell r="S4552" t="str">
            <v>ENTREGADO</v>
          </cell>
          <cell r="T4552">
            <v>0</v>
          </cell>
          <cell r="U4552" t="str">
            <v>JULLIRI APAZA UBALDO</v>
          </cell>
          <cell r="V4552" t="str">
            <v>FLOREZ CONDORI  JOSE WILLIANS</v>
          </cell>
        </row>
        <row r="4553">
          <cell r="A4553">
            <v>4575</v>
          </cell>
          <cell r="B4553">
            <v>42758</v>
          </cell>
          <cell r="C4553" t="str">
            <v>ENERO</v>
          </cell>
          <cell r="D4553" t="str">
            <v>2017</v>
          </cell>
          <cell r="E4553">
            <v>901</v>
          </cell>
          <cell r="F4553" t="str">
            <v>C5R-892</v>
          </cell>
          <cell r="G4553" t="str">
            <v>A0T-983</v>
          </cell>
          <cell r="H4553" t="str">
            <v>LAS BAMBAS</v>
          </cell>
          <cell r="I4553">
            <v>230683</v>
          </cell>
          <cell r="J4553" t="str">
            <v>REPUESTO</v>
          </cell>
          <cell r="K4553" t="str">
            <v>FOCO LAGRIMON AMBAR</v>
          </cell>
          <cell r="L4553">
            <v>1</v>
          </cell>
          <cell r="M4553" t="str">
            <v>UNID.</v>
          </cell>
          <cell r="N4553" t="str">
            <v>TRACTO</v>
          </cell>
          <cell r="O4553">
            <v>32</v>
          </cell>
          <cell r="P4553" t="str">
            <v>E2</v>
          </cell>
          <cell r="Q4553" t="str">
            <v>J1</v>
          </cell>
          <cell r="R4553" t="str">
            <v>J8</v>
          </cell>
          <cell r="S4553" t="str">
            <v>ENTREGADO</v>
          </cell>
          <cell r="T4553">
            <v>0</v>
          </cell>
          <cell r="U4553" t="str">
            <v>YUCA BELLIDO BORIS YERSY</v>
          </cell>
          <cell r="V4553" t="str">
            <v>FLOREZ CONDORI  JOSE WILLIANS</v>
          </cell>
        </row>
        <row r="4554">
          <cell r="A4554">
            <v>4576</v>
          </cell>
          <cell r="B4554">
            <v>42758</v>
          </cell>
          <cell r="C4554" t="str">
            <v>ENERO</v>
          </cell>
          <cell r="D4554" t="str">
            <v>2017</v>
          </cell>
          <cell r="E4554">
            <v>901</v>
          </cell>
          <cell r="F4554" t="str">
            <v>C5R-892</v>
          </cell>
          <cell r="G4554" t="str">
            <v>A0T-983</v>
          </cell>
          <cell r="H4554" t="str">
            <v>LAS BAMBAS</v>
          </cell>
          <cell r="I4554">
            <v>230683</v>
          </cell>
          <cell r="J4554" t="str">
            <v>REPUESTO</v>
          </cell>
          <cell r="K4554" t="str">
            <v>FOCO 9006</v>
          </cell>
          <cell r="L4554">
            <v>1</v>
          </cell>
          <cell r="M4554" t="str">
            <v>UNID.</v>
          </cell>
          <cell r="N4554" t="str">
            <v>TRACTO</v>
          </cell>
          <cell r="O4554">
            <v>32</v>
          </cell>
          <cell r="P4554" t="str">
            <v>E2</v>
          </cell>
          <cell r="Q4554" t="str">
            <v>J1</v>
          </cell>
          <cell r="R4554" t="str">
            <v>J8</v>
          </cell>
          <cell r="S4554" t="str">
            <v>ENTREGADO</v>
          </cell>
          <cell r="T4554">
            <v>0</v>
          </cell>
          <cell r="U4554" t="str">
            <v>YUCA BELLIDO BORIS YERSY</v>
          </cell>
          <cell r="V4554" t="str">
            <v>FLOREZ CONDORI  JOSE WILLIANS</v>
          </cell>
        </row>
        <row r="4555">
          <cell r="A4555">
            <v>4591</v>
          </cell>
          <cell r="B4555">
            <v>42758</v>
          </cell>
          <cell r="C4555" t="str">
            <v>ENERO</v>
          </cell>
          <cell r="D4555" t="str">
            <v>2017</v>
          </cell>
          <cell r="E4555">
            <v>901</v>
          </cell>
          <cell r="F4555" t="str">
            <v>C5R-892</v>
          </cell>
          <cell r="G4555" t="str">
            <v>A0T-983</v>
          </cell>
          <cell r="H4555" t="str">
            <v>LAS BAMBAS</v>
          </cell>
          <cell r="I4555">
            <v>230683</v>
          </cell>
          <cell r="J4555" t="str">
            <v>REPUESTO</v>
          </cell>
          <cell r="K4555" t="str">
            <v>MOTOR DE LIMPIAPARABRISAS</v>
          </cell>
          <cell r="L4555">
            <v>1</v>
          </cell>
          <cell r="M4555" t="str">
            <v>UNID.</v>
          </cell>
          <cell r="N4555" t="str">
            <v>TRACTO</v>
          </cell>
          <cell r="O4555">
            <v>32</v>
          </cell>
          <cell r="P4555" t="str">
            <v>E2</v>
          </cell>
          <cell r="Q4555" t="str">
            <v>J1</v>
          </cell>
          <cell r="R4555" t="str">
            <v>J6</v>
          </cell>
          <cell r="S4555" t="str">
            <v>ENTREGADO</v>
          </cell>
          <cell r="T4555">
            <v>0</v>
          </cell>
          <cell r="U4555" t="str">
            <v>YUCA BELLIDO BORIS YERSY</v>
          </cell>
          <cell r="V4555" t="str">
            <v>FLOREZ CONDORI  JOSE WILLIANS</v>
          </cell>
        </row>
        <row r="4556">
          <cell r="A4556">
            <v>4524</v>
          </cell>
          <cell r="B4556">
            <v>42758</v>
          </cell>
          <cell r="C4556" t="str">
            <v>ENERO</v>
          </cell>
          <cell r="D4556" t="str">
            <v>2017</v>
          </cell>
          <cell r="E4556">
            <v>892</v>
          </cell>
          <cell r="F4556" t="str">
            <v>C6X-739</v>
          </cell>
          <cell r="G4556" t="str">
            <v>TCS-988</v>
          </cell>
          <cell r="H4556" t="str">
            <v>LAS BAMBAS CONC.</v>
          </cell>
          <cell r="I4556">
            <v>235419</v>
          </cell>
          <cell r="J4556" t="str">
            <v>REPUESTO</v>
          </cell>
          <cell r="K4556" t="str">
            <v>FARO LATERAL CIRCULAR 2" ROJO</v>
          </cell>
          <cell r="L4556">
            <v>1</v>
          </cell>
          <cell r="M4556" t="str">
            <v>UNID.</v>
          </cell>
          <cell r="N4556" t="str">
            <v>TRACTO</v>
          </cell>
          <cell r="O4556">
            <v>32</v>
          </cell>
          <cell r="P4556" t="str">
            <v>E3</v>
          </cell>
          <cell r="Q4556" t="str">
            <v>J1</v>
          </cell>
          <cell r="R4556" t="str">
            <v>J1</v>
          </cell>
          <cell r="S4556" t="str">
            <v>ENTREGADO</v>
          </cell>
          <cell r="T4556">
            <v>0</v>
          </cell>
          <cell r="U4556" t="str">
            <v>CONDORI CHURATA ALEX</v>
          </cell>
          <cell r="V4556" t="str">
            <v>FLOREZ CONDORI  JOSE WILLIANS</v>
          </cell>
        </row>
        <row r="4557">
          <cell r="A4557">
            <v>4525</v>
          </cell>
          <cell r="B4557">
            <v>42758</v>
          </cell>
          <cell r="C4557" t="str">
            <v>ENERO</v>
          </cell>
          <cell r="D4557" t="str">
            <v>2017</v>
          </cell>
          <cell r="E4557">
            <v>892</v>
          </cell>
          <cell r="F4557" t="str">
            <v>C6X-739</v>
          </cell>
          <cell r="G4557" t="str">
            <v>TCS-988</v>
          </cell>
          <cell r="H4557" t="str">
            <v>LAS BAMBAS CONC.</v>
          </cell>
          <cell r="I4557">
            <v>235419</v>
          </cell>
          <cell r="J4557" t="str">
            <v>REPUESTO</v>
          </cell>
          <cell r="K4557" t="str">
            <v>FOCO 806</v>
          </cell>
          <cell r="L4557">
            <v>2</v>
          </cell>
          <cell r="M4557" t="str">
            <v>UNID.</v>
          </cell>
          <cell r="N4557" t="str">
            <v>TRACTO</v>
          </cell>
          <cell r="O4557">
            <v>32</v>
          </cell>
          <cell r="P4557" t="str">
            <v>E3</v>
          </cell>
          <cell r="Q4557" t="str">
            <v>J1</v>
          </cell>
          <cell r="R4557" t="str">
            <v>J1</v>
          </cell>
          <cell r="S4557" t="str">
            <v>ENTREGADO</v>
          </cell>
          <cell r="T4557">
            <v>0</v>
          </cell>
          <cell r="U4557" t="str">
            <v>CONDORI CHURATA ALEX</v>
          </cell>
          <cell r="V4557" t="str">
            <v>FLOREZ CONDORI  JOSE WILLIANS</v>
          </cell>
        </row>
        <row r="4558">
          <cell r="A4558">
            <v>4559</v>
          </cell>
          <cell r="B4558">
            <v>42758</v>
          </cell>
          <cell r="C4558" t="str">
            <v>ENERO</v>
          </cell>
          <cell r="D4558" t="str">
            <v>2017</v>
          </cell>
          <cell r="E4558">
            <v>902</v>
          </cell>
          <cell r="F4558" t="str">
            <v>D3P-747</v>
          </cell>
          <cell r="G4558" t="str">
            <v>A0T-985</v>
          </cell>
          <cell r="H4558" t="str">
            <v>LAS BAMBAS</v>
          </cell>
          <cell r="I4558">
            <v>191689</v>
          </cell>
          <cell r="J4558" t="str">
            <v>REPUESTO</v>
          </cell>
          <cell r="K4558" t="str">
            <v>CABLE CORRIENTE # 14</v>
          </cell>
          <cell r="L4558">
            <v>4</v>
          </cell>
          <cell r="M4558" t="str">
            <v>M</v>
          </cell>
          <cell r="N4558" t="str">
            <v>TRACTO</v>
          </cell>
          <cell r="O4558">
            <v>32</v>
          </cell>
          <cell r="P4558" t="str">
            <v>E2</v>
          </cell>
          <cell r="Q4558" t="str">
            <v>J1</v>
          </cell>
          <cell r="R4558" t="str">
            <v>J8</v>
          </cell>
          <cell r="S4558" t="str">
            <v>ENTREGADO</v>
          </cell>
          <cell r="T4558">
            <v>0</v>
          </cell>
          <cell r="U4558" t="str">
            <v>YUCA BELLIDO BORIS YERSY</v>
          </cell>
          <cell r="V4558" t="str">
            <v>FLOREZ CONDORI  JOSE WILLIANS</v>
          </cell>
        </row>
        <row r="4559">
          <cell r="A4559">
            <v>4589</v>
          </cell>
          <cell r="B4559">
            <v>42758</v>
          </cell>
          <cell r="C4559" t="str">
            <v>ENERO</v>
          </cell>
          <cell r="D4559" t="str">
            <v>2017</v>
          </cell>
          <cell r="E4559">
            <v>902</v>
          </cell>
          <cell r="F4559" t="str">
            <v>D3P-747</v>
          </cell>
          <cell r="G4559" t="str">
            <v>A0T-985</v>
          </cell>
          <cell r="H4559" t="str">
            <v>LAS BAMBAS</v>
          </cell>
          <cell r="I4559">
            <v>191689</v>
          </cell>
          <cell r="J4559" t="str">
            <v>REPUESTO</v>
          </cell>
          <cell r="K4559" t="str">
            <v>AGUA LIMPIA PARABRISA</v>
          </cell>
          <cell r="L4559">
            <v>1</v>
          </cell>
          <cell r="M4559" t="str">
            <v>UNID.</v>
          </cell>
          <cell r="N4559" t="str">
            <v>TRACTO</v>
          </cell>
          <cell r="O4559">
            <v>32</v>
          </cell>
          <cell r="P4559" t="str">
            <v>M4</v>
          </cell>
          <cell r="Q4559" t="str">
            <v>J1</v>
          </cell>
          <cell r="R4559" t="str">
            <v>J8</v>
          </cell>
          <cell r="S4559" t="str">
            <v>ENTREGADO</v>
          </cell>
          <cell r="T4559">
            <v>0</v>
          </cell>
          <cell r="U4559" t="str">
            <v>JULLIRI APAZA UBALDO</v>
          </cell>
          <cell r="V4559" t="str">
            <v>FLOREZ CONDORI  JOSE WILLIANS</v>
          </cell>
        </row>
        <row r="4560">
          <cell r="A4560">
            <v>4590</v>
          </cell>
          <cell r="B4560">
            <v>42758</v>
          </cell>
          <cell r="C4560" t="str">
            <v>ENERO</v>
          </cell>
          <cell r="D4560" t="str">
            <v>2017</v>
          </cell>
          <cell r="E4560">
            <v>902</v>
          </cell>
          <cell r="F4560" t="str">
            <v>D3P-747</v>
          </cell>
          <cell r="G4560" t="str">
            <v>A0T-985</v>
          </cell>
          <cell r="H4560" t="str">
            <v>LAS BAMBAS</v>
          </cell>
          <cell r="I4560">
            <v>191689</v>
          </cell>
          <cell r="J4560" t="str">
            <v>REPUESTO</v>
          </cell>
          <cell r="K4560" t="str">
            <v>VALVULA DE DESCARGA DE DESFOGUE / FRENO DE SERVICIO</v>
          </cell>
          <cell r="L4560">
            <v>1</v>
          </cell>
          <cell r="M4560" t="str">
            <v>UNID.</v>
          </cell>
          <cell r="N4560" t="str">
            <v>CISTERNA</v>
          </cell>
          <cell r="O4560">
            <v>32</v>
          </cell>
          <cell r="P4560" t="str">
            <v>M4</v>
          </cell>
          <cell r="Q4560" t="str">
            <v>J1</v>
          </cell>
          <cell r="R4560" t="str">
            <v>J8</v>
          </cell>
          <cell r="S4560" t="str">
            <v>ENTREGADO</v>
          </cell>
          <cell r="T4560">
            <v>0</v>
          </cell>
          <cell r="U4560" t="str">
            <v>JULLIRI APAZA UBALDO</v>
          </cell>
          <cell r="V4560" t="str">
            <v>FLOREZ CONDORI  JOSE WILLIANS</v>
          </cell>
        </row>
        <row r="4561">
          <cell r="A4561">
            <v>4572</v>
          </cell>
          <cell r="B4561">
            <v>42758</v>
          </cell>
          <cell r="C4561" t="str">
            <v>ENERO</v>
          </cell>
          <cell r="D4561" t="str">
            <v>2017</v>
          </cell>
          <cell r="E4561">
            <v>885</v>
          </cell>
          <cell r="F4561" t="str">
            <v>D6F-825</v>
          </cell>
          <cell r="G4561" t="str">
            <v>T2Y-992</v>
          </cell>
          <cell r="H4561" t="str">
            <v>LAS BAMBAS</v>
          </cell>
          <cell r="I4561">
            <v>191467</v>
          </cell>
          <cell r="J4561" t="str">
            <v>SERVICIO</v>
          </cell>
          <cell r="K4561" t="str">
            <v>SERVICIO DE  TAPIZADO DE ASIENTO DE CONDUCTOR</v>
          </cell>
          <cell r="L4561">
            <v>1</v>
          </cell>
          <cell r="M4561" t="str">
            <v>UNID.</v>
          </cell>
          <cell r="N4561" t="str">
            <v>TRACTO</v>
          </cell>
          <cell r="O4561">
            <v>32</v>
          </cell>
          <cell r="P4561" t="str">
            <v>M8</v>
          </cell>
          <cell r="Q4561" t="str">
            <v>J1</v>
          </cell>
          <cell r="R4561" t="str">
            <v>J8</v>
          </cell>
          <cell r="S4561" t="str">
            <v>ENTREGADO</v>
          </cell>
          <cell r="T4561">
            <v>0</v>
          </cell>
          <cell r="U4561" t="str">
            <v>VARILLAS GAGO  OSCAR ALBERTO</v>
          </cell>
          <cell r="V4561" t="str">
            <v>FLOREZ CONDORI  JOSE WILLIANS</v>
          </cell>
        </row>
        <row r="4562">
          <cell r="A4562">
            <v>4573</v>
          </cell>
          <cell r="B4562">
            <v>42758</v>
          </cell>
          <cell r="C4562" t="str">
            <v>ENERO</v>
          </cell>
          <cell r="D4562" t="str">
            <v>2017</v>
          </cell>
          <cell r="E4562">
            <v>885</v>
          </cell>
          <cell r="F4562" t="str">
            <v>D6F-825</v>
          </cell>
          <cell r="G4562" t="str">
            <v>T2Y-992</v>
          </cell>
          <cell r="H4562" t="str">
            <v>LAS BAMBAS</v>
          </cell>
          <cell r="I4562">
            <v>191467</v>
          </cell>
          <cell r="J4562" t="str">
            <v>REPUESTO</v>
          </cell>
          <cell r="K4562" t="str">
            <v>CINTURON DE SEGURIDAD</v>
          </cell>
          <cell r="L4562">
            <v>1</v>
          </cell>
          <cell r="M4562" t="str">
            <v>UNID.</v>
          </cell>
          <cell r="N4562" t="str">
            <v>TRACTO</v>
          </cell>
          <cell r="O4562">
            <v>32</v>
          </cell>
          <cell r="P4562" t="str">
            <v>M8</v>
          </cell>
          <cell r="Q4562" t="str">
            <v>J1</v>
          </cell>
          <cell r="R4562" t="str">
            <v>J8</v>
          </cell>
          <cell r="S4562" t="str">
            <v>PENDIENTE</v>
          </cell>
          <cell r="T4562">
            <v>0</v>
          </cell>
          <cell r="U4562" t="str">
            <v>VARILLAS GAGO  OSCAR ALBERTO</v>
          </cell>
          <cell r="V4562" t="str">
            <v>FLOREZ CONDORI  JOSE WILLIANS</v>
          </cell>
        </row>
        <row r="4563">
          <cell r="A4563">
            <v>4594</v>
          </cell>
          <cell r="B4563">
            <v>42758</v>
          </cell>
          <cell r="C4563" t="str">
            <v>ENERO</v>
          </cell>
          <cell r="D4563" t="str">
            <v>2017</v>
          </cell>
          <cell r="E4563">
            <v>885</v>
          </cell>
          <cell r="F4563" t="str">
            <v>D6F-825</v>
          </cell>
          <cell r="G4563" t="str">
            <v>T2Y-992</v>
          </cell>
          <cell r="H4563" t="str">
            <v>LAS BAMBAS</v>
          </cell>
          <cell r="I4563">
            <v>191467</v>
          </cell>
          <cell r="J4563" t="str">
            <v>REPUESTO</v>
          </cell>
          <cell r="K4563" t="str">
            <v>CORREA DE ALTERNADOR</v>
          </cell>
          <cell r="L4563">
            <v>1</v>
          </cell>
          <cell r="M4563" t="str">
            <v>UNID.</v>
          </cell>
          <cell r="N4563" t="str">
            <v>TRACTO</v>
          </cell>
          <cell r="O4563">
            <v>32</v>
          </cell>
          <cell r="P4563" t="str">
            <v>M8</v>
          </cell>
          <cell r="Q4563" t="str">
            <v>J1</v>
          </cell>
          <cell r="R4563" t="str">
            <v>J8</v>
          </cell>
          <cell r="S4563" t="str">
            <v>ENTREGADO</v>
          </cell>
          <cell r="T4563">
            <v>0</v>
          </cell>
          <cell r="U4563" t="str">
            <v>VARILLAS GAGO  OSCAR ALBERTO</v>
          </cell>
          <cell r="V4563" t="str">
            <v>FLOREZ CONDORI  JOSE WILLIANS</v>
          </cell>
        </row>
        <row r="4564">
          <cell r="A4564">
            <v>4552</v>
          </cell>
          <cell r="B4564">
            <v>42758</v>
          </cell>
          <cell r="C4564" t="str">
            <v>ENERO</v>
          </cell>
          <cell r="D4564" t="str">
            <v>2017</v>
          </cell>
          <cell r="E4564">
            <v>895</v>
          </cell>
          <cell r="F4564" t="str">
            <v>D6F-907</v>
          </cell>
          <cell r="G4564" t="str">
            <v>T2Y-979</v>
          </cell>
          <cell r="H4564" t="str">
            <v>LAS BAMBAS</v>
          </cell>
          <cell r="I4564">
            <v>204753</v>
          </cell>
          <cell r="J4564" t="str">
            <v>REPUESTO</v>
          </cell>
          <cell r="K4564" t="str">
            <v>AGUA LIMPIA PARABRISA</v>
          </cell>
          <cell r="L4564">
            <v>1</v>
          </cell>
          <cell r="M4564" t="str">
            <v>GLNS.</v>
          </cell>
          <cell r="N4564" t="str">
            <v>TRACTO</v>
          </cell>
          <cell r="O4564">
            <v>32</v>
          </cell>
          <cell r="P4564" t="str">
            <v>M8</v>
          </cell>
          <cell r="Q4564" t="str">
            <v>J1</v>
          </cell>
          <cell r="R4564" t="str">
            <v>J8</v>
          </cell>
          <cell r="S4564" t="str">
            <v>ENTREGADO</v>
          </cell>
          <cell r="T4564">
            <v>0</v>
          </cell>
          <cell r="U4564" t="str">
            <v>VARILLAS GAGO  OSCAR ALBERTO</v>
          </cell>
          <cell r="V4564" t="str">
            <v>FLOREZ CONDORI  JOSE WILLIANS</v>
          </cell>
        </row>
        <row r="4565">
          <cell r="A4565">
            <v>4553</v>
          </cell>
          <cell r="B4565">
            <v>42758</v>
          </cell>
          <cell r="C4565" t="str">
            <v>ENERO</v>
          </cell>
          <cell r="D4565" t="str">
            <v>2017</v>
          </cell>
          <cell r="E4565">
            <v>895</v>
          </cell>
          <cell r="F4565" t="str">
            <v>D6F-907</v>
          </cell>
          <cell r="G4565" t="str">
            <v>T2Y-979</v>
          </cell>
          <cell r="H4565" t="str">
            <v>LAS BAMBAS</v>
          </cell>
          <cell r="I4565">
            <v>204753</v>
          </cell>
          <cell r="J4565" t="str">
            <v>REPUESTO</v>
          </cell>
          <cell r="K4565" t="str">
            <v>MULTIPLE FRONTAL DE ESCAPE (Y)</v>
          </cell>
          <cell r="L4565">
            <v>1</v>
          </cell>
          <cell r="M4565" t="str">
            <v>UNID.</v>
          </cell>
          <cell r="N4565" t="str">
            <v>TRACTO</v>
          </cell>
          <cell r="O4565">
            <v>32</v>
          </cell>
          <cell r="P4565" t="str">
            <v>M8</v>
          </cell>
          <cell r="Q4565" t="str">
            <v>J1</v>
          </cell>
          <cell r="R4565" t="str">
            <v>J8</v>
          </cell>
          <cell r="S4565" t="str">
            <v>ENTREGADO</v>
          </cell>
          <cell r="T4565">
            <v>0</v>
          </cell>
          <cell r="U4565" t="str">
            <v>VARILLAS GAGO  OSCAR ALBERTO</v>
          </cell>
          <cell r="V4565" t="str">
            <v>FLOREZ CONDORI  JOSE WILLIANS</v>
          </cell>
        </row>
        <row r="4566">
          <cell r="A4566">
            <v>4554</v>
          </cell>
          <cell r="B4566">
            <v>42758</v>
          </cell>
          <cell r="C4566" t="str">
            <v>ENERO</v>
          </cell>
          <cell r="D4566" t="str">
            <v>2017</v>
          </cell>
          <cell r="E4566">
            <v>895</v>
          </cell>
          <cell r="F4566" t="str">
            <v>D6F-907</v>
          </cell>
          <cell r="G4566" t="str">
            <v>T2Y-979</v>
          </cell>
          <cell r="H4566" t="str">
            <v>LAS BAMBAS</v>
          </cell>
          <cell r="I4566">
            <v>204753</v>
          </cell>
          <cell r="J4566" t="str">
            <v>REPUESTO</v>
          </cell>
          <cell r="K4566" t="str">
            <v>JUEGO DE EMPAQUE DE MULTIPLE DE ESCAPE</v>
          </cell>
          <cell r="L4566">
            <v>1</v>
          </cell>
          <cell r="M4566" t="str">
            <v>UNID.</v>
          </cell>
          <cell r="N4566" t="str">
            <v>TRACTO</v>
          </cell>
          <cell r="O4566">
            <v>32</v>
          </cell>
          <cell r="P4566" t="str">
            <v>M8</v>
          </cell>
          <cell r="Q4566" t="str">
            <v>J1</v>
          </cell>
          <cell r="R4566" t="str">
            <v>J8</v>
          </cell>
          <cell r="S4566" t="str">
            <v>ENTREGADO</v>
          </cell>
          <cell r="T4566">
            <v>0</v>
          </cell>
          <cell r="U4566" t="str">
            <v>VARILLAS GAGO  OSCAR ALBERTO</v>
          </cell>
          <cell r="V4566" t="str">
            <v>FLOREZ CONDORI  JOSE WILLIANS</v>
          </cell>
        </row>
        <row r="4567">
          <cell r="A4567">
            <v>4555</v>
          </cell>
          <cell r="B4567">
            <v>42758</v>
          </cell>
          <cell r="C4567" t="str">
            <v>ENERO</v>
          </cell>
          <cell r="D4567" t="str">
            <v>2017</v>
          </cell>
          <cell r="E4567">
            <v>895</v>
          </cell>
          <cell r="F4567" t="str">
            <v>D6F-907</v>
          </cell>
          <cell r="G4567" t="str">
            <v>T2Y-979</v>
          </cell>
          <cell r="H4567" t="str">
            <v>LAS BAMBAS</v>
          </cell>
          <cell r="I4567">
            <v>204753</v>
          </cell>
          <cell r="J4567" t="str">
            <v>REPUESTO</v>
          </cell>
          <cell r="K4567" t="str">
            <v>EMPAQUE RECTAGULAR DE TURBO</v>
          </cell>
          <cell r="L4567">
            <v>1</v>
          </cell>
          <cell r="M4567" t="str">
            <v>UNID.</v>
          </cell>
          <cell r="N4567" t="str">
            <v>TRACTO</v>
          </cell>
          <cell r="O4567">
            <v>32</v>
          </cell>
          <cell r="P4567" t="str">
            <v>M8</v>
          </cell>
          <cell r="Q4567" t="str">
            <v>J1</v>
          </cell>
          <cell r="R4567" t="str">
            <v>J8</v>
          </cell>
          <cell r="S4567" t="str">
            <v>ENTREGADO</v>
          </cell>
          <cell r="T4567">
            <v>0</v>
          </cell>
          <cell r="U4567" t="str">
            <v>VARILLAS GAGO  OSCAR ALBERTO</v>
          </cell>
          <cell r="V4567" t="str">
            <v>FLOREZ CONDORI  JOSE WILLIANS</v>
          </cell>
        </row>
        <row r="4568">
          <cell r="A4568">
            <v>4556</v>
          </cell>
          <cell r="B4568">
            <v>42758</v>
          </cell>
          <cell r="C4568" t="str">
            <v>ENERO</v>
          </cell>
          <cell r="D4568" t="str">
            <v>2017</v>
          </cell>
          <cell r="E4568">
            <v>895</v>
          </cell>
          <cell r="F4568" t="str">
            <v>D6F-907</v>
          </cell>
          <cell r="G4568" t="str">
            <v>T2Y-979</v>
          </cell>
          <cell r="H4568" t="str">
            <v>LAS BAMBAS</v>
          </cell>
          <cell r="I4568">
            <v>204753</v>
          </cell>
          <cell r="J4568" t="str">
            <v>REPUESTO</v>
          </cell>
          <cell r="K4568" t="str">
            <v>EMPAQUE DE RETORNO DE ACEITE DE TURBO</v>
          </cell>
          <cell r="L4568">
            <v>1</v>
          </cell>
          <cell r="M4568" t="str">
            <v>UNID.</v>
          </cell>
          <cell r="N4568" t="str">
            <v>TRACTO</v>
          </cell>
          <cell r="O4568">
            <v>32</v>
          </cell>
          <cell r="P4568" t="str">
            <v>M8</v>
          </cell>
          <cell r="Q4568" t="str">
            <v>J1</v>
          </cell>
          <cell r="R4568" t="str">
            <v>J8</v>
          </cell>
          <cell r="S4568" t="str">
            <v>ENTREGADO</v>
          </cell>
          <cell r="T4568">
            <v>0</v>
          </cell>
          <cell r="U4568" t="str">
            <v>VARILLAS GAGO  OSCAR ALBERTO</v>
          </cell>
          <cell r="V4568" t="str">
            <v>FLOREZ CONDORI  JOSE WILLIANS</v>
          </cell>
        </row>
        <row r="4569">
          <cell r="A4569">
            <v>4557</v>
          </cell>
          <cell r="B4569">
            <v>42758</v>
          </cell>
          <cell r="C4569" t="str">
            <v>ENERO</v>
          </cell>
          <cell r="D4569" t="str">
            <v>2017</v>
          </cell>
          <cell r="E4569">
            <v>895</v>
          </cell>
          <cell r="F4569" t="str">
            <v>D6F-907</v>
          </cell>
          <cell r="G4569" t="str">
            <v>T2Y-979</v>
          </cell>
          <cell r="H4569" t="str">
            <v>LAS BAMBAS</v>
          </cell>
          <cell r="I4569">
            <v>204753</v>
          </cell>
          <cell r="J4569" t="str">
            <v>REPUESTO</v>
          </cell>
          <cell r="K4569" t="str">
            <v>FILTRO SEPARADOR DE AGUA / VALVULA</v>
          </cell>
          <cell r="L4569">
            <v>1</v>
          </cell>
          <cell r="M4569" t="str">
            <v>UNID.</v>
          </cell>
          <cell r="N4569" t="str">
            <v>TRACTO</v>
          </cell>
          <cell r="O4569">
            <v>32</v>
          </cell>
          <cell r="P4569" t="str">
            <v>M8</v>
          </cell>
          <cell r="Q4569" t="str">
            <v>J1</v>
          </cell>
          <cell r="R4569" t="str">
            <v>J8</v>
          </cell>
          <cell r="S4569" t="str">
            <v>ENTREGADO</v>
          </cell>
          <cell r="T4569">
            <v>0</v>
          </cell>
          <cell r="U4569" t="str">
            <v>VARILLAS GAGO  OSCAR ALBERTO</v>
          </cell>
          <cell r="V4569" t="str">
            <v>FLOREZ CONDORI  JOSE WILLIANS</v>
          </cell>
        </row>
        <row r="4570">
          <cell r="A4570">
            <v>4558</v>
          </cell>
          <cell r="B4570">
            <v>42758</v>
          </cell>
          <cell r="C4570" t="str">
            <v>ENERO</v>
          </cell>
          <cell r="D4570" t="str">
            <v>2017</v>
          </cell>
          <cell r="E4570">
            <v>837</v>
          </cell>
          <cell r="F4570" t="str">
            <v>D6G-805</v>
          </cell>
          <cell r="G4570" t="str">
            <v>T4Z-996</v>
          </cell>
          <cell r="H4570" t="str">
            <v>LAS BAMBAS</v>
          </cell>
          <cell r="I4570">
            <v>228235</v>
          </cell>
          <cell r="J4570" t="str">
            <v>REPUESTO</v>
          </cell>
          <cell r="K4570" t="str">
            <v>ORING DE TAPA DE BOMBA DE AGUA</v>
          </cell>
          <cell r="L4570">
            <v>1</v>
          </cell>
          <cell r="M4570" t="str">
            <v>UNID.</v>
          </cell>
          <cell r="N4570" t="str">
            <v>TRACTO</v>
          </cell>
          <cell r="O4570" t="e">
            <v>#VALUE!</v>
          </cell>
          <cell r="P4570" t="str">
            <v>M8</v>
          </cell>
          <cell r="Q4570" t="str">
            <v>J1</v>
          </cell>
          <cell r="R4570" t="str">
            <v>J8</v>
          </cell>
          <cell r="S4570" t="str">
            <v>ENTREGADO</v>
          </cell>
          <cell r="T4570" t="str">
            <v>ANULADO</v>
          </cell>
          <cell r="U4570" t="str">
            <v>VARILLAS GAGO  OSCAR ALBERTO</v>
          </cell>
          <cell r="V4570" t="str">
            <v>FLOREZ CONDORI  JOSE WILLIANS</v>
          </cell>
        </row>
        <row r="4571">
          <cell r="A4571">
            <v>4567</v>
          </cell>
          <cell r="B4571">
            <v>42758</v>
          </cell>
          <cell r="C4571" t="str">
            <v>ENERO</v>
          </cell>
          <cell r="D4571" t="str">
            <v>2017</v>
          </cell>
          <cell r="E4571">
            <v>837</v>
          </cell>
          <cell r="F4571" t="str">
            <v>D6G-805</v>
          </cell>
          <cell r="G4571" t="str">
            <v>T4Z-996</v>
          </cell>
          <cell r="H4571" t="str">
            <v>LAS BAMBAS</v>
          </cell>
          <cell r="I4571">
            <v>228235</v>
          </cell>
          <cell r="J4571" t="str">
            <v>REPUESTO</v>
          </cell>
          <cell r="K4571" t="str">
            <v>SEGURO DE TAPA DE BOMBA DE AGUA / SERIE 60</v>
          </cell>
          <cell r="L4571">
            <v>1</v>
          </cell>
          <cell r="M4571" t="str">
            <v>UNID.</v>
          </cell>
          <cell r="N4571" t="str">
            <v>TRACTO</v>
          </cell>
          <cell r="O4571">
            <v>32</v>
          </cell>
          <cell r="P4571" t="str">
            <v>M4</v>
          </cell>
          <cell r="Q4571" t="str">
            <v>J1</v>
          </cell>
          <cell r="R4571" t="str">
            <v>J8</v>
          </cell>
          <cell r="S4571" t="str">
            <v>ENTREGADO</v>
          </cell>
          <cell r="T4571">
            <v>0</v>
          </cell>
          <cell r="U4571" t="str">
            <v>JULLIRI APAZA UBALDO</v>
          </cell>
          <cell r="V4571" t="str">
            <v>FLOREZ CONDORI  JOSE WILLIANS</v>
          </cell>
        </row>
        <row r="4572">
          <cell r="A4572">
            <v>4568</v>
          </cell>
          <cell r="B4572">
            <v>42758</v>
          </cell>
          <cell r="C4572" t="str">
            <v>ENERO</v>
          </cell>
          <cell r="D4572" t="str">
            <v>2017</v>
          </cell>
          <cell r="E4572">
            <v>837</v>
          </cell>
          <cell r="F4572" t="str">
            <v>D6G-805</v>
          </cell>
          <cell r="G4572" t="str">
            <v>T4Z-996</v>
          </cell>
          <cell r="H4572" t="str">
            <v>LAS BAMBAS</v>
          </cell>
          <cell r="I4572">
            <v>228235</v>
          </cell>
          <cell r="J4572" t="str">
            <v>REPUESTO</v>
          </cell>
          <cell r="K4572" t="str">
            <v>KIT DE REPARACION DE BOMBA DE AGUA</v>
          </cell>
          <cell r="L4572">
            <v>1</v>
          </cell>
          <cell r="M4572" t="str">
            <v>UNID.</v>
          </cell>
          <cell r="N4572" t="str">
            <v>TRACTO</v>
          </cell>
          <cell r="O4572">
            <v>32</v>
          </cell>
          <cell r="P4572" t="str">
            <v>M4</v>
          </cell>
          <cell r="Q4572" t="str">
            <v>J1</v>
          </cell>
          <cell r="R4572" t="str">
            <v>J8</v>
          </cell>
          <cell r="S4572" t="str">
            <v>ENTREGADO</v>
          </cell>
          <cell r="T4572">
            <v>0</v>
          </cell>
          <cell r="U4572" t="str">
            <v>JULLIRI APAZA UBALDO</v>
          </cell>
          <cell r="V4572" t="str">
            <v>FLOREZ CONDORI  JOSE WILLIANS</v>
          </cell>
        </row>
        <row r="4573">
          <cell r="A4573">
            <v>4574</v>
          </cell>
          <cell r="B4573">
            <v>42758</v>
          </cell>
          <cell r="C4573" t="str">
            <v>ENERO</v>
          </cell>
          <cell r="D4573" t="str">
            <v>2017</v>
          </cell>
          <cell r="E4573">
            <v>837</v>
          </cell>
          <cell r="F4573" t="str">
            <v>D6G-805</v>
          </cell>
          <cell r="G4573" t="str">
            <v>T4Z-996</v>
          </cell>
          <cell r="H4573" t="str">
            <v>LAS BAMBAS</v>
          </cell>
          <cell r="I4573">
            <v>228235</v>
          </cell>
          <cell r="J4573" t="str">
            <v>REPUESTO</v>
          </cell>
          <cell r="K4573" t="str">
            <v>ORING DE TAPA DE BOMBA DE AGUA</v>
          </cell>
          <cell r="L4573">
            <v>1</v>
          </cell>
          <cell r="M4573" t="str">
            <v>UNID.</v>
          </cell>
          <cell r="N4573" t="str">
            <v>TRACTO</v>
          </cell>
          <cell r="O4573">
            <v>32</v>
          </cell>
          <cell r="P4573" t="str">
            <v>M8</v>
          </cell>
          <cell r="Q4573" t="str">
            <v>J1</v>
          </cell>
          <cell r="R4573" t="str">
            <v>J8</v>
          </cell>
          <cell r="S4573" t="str">
            <v>ENTREGADO</v>
          </cell>
          <cell r="T4573">
            <v>0</v>
          </cell>
          <cell r="U4573" t="str">
            <v>VARILLAS GAGO  OSCAR ALBERTO</v>
          </cell>
          <cell r="V4573" t="str">
            <v>FLOREZ CONDORI  JOSE WILLIANS</v>
          </cell>
        </row>
        <row r="4574">
          <cell r="A4574">
            <v>4577</v>
          </cell>
          <cell r="B4574">
            <v>42758</v>
          </cell>
          <cell r="C4574" t="str">
            <v>ENERO</v>
          </cell>
          <cell r="D4574" t="str">
            <v>2017</v>
          </cell>
          <cell r="E4574">
            <v>903</v>
          </cell>
          <cell r="F4574" t="str">
            <v>D6G-805</v>
          </cell>
          <cell r="G4574" t="str">
            <v>T4Z-996</v>
          </cell>
          <cell r="H4574" t="str">
            <v>LAS BAMBAS</v>
          </cell>
          <cell r="I4574">
            <v>229548</v>
          </cell>
          <cell r="J4574" t="str">
            <v>REPUESTO</v>
          </cell>
          <cell r="K4574" t="str">
            <v>FARO LATERAL RECTANGULAR AMBAR</v>
          </cell>
          <cell r="L4574">
            <v>1</v>
          </cell>
          <cell r="M4574" t="str">
            <v>UNID.</v>
          </cell>
          <cell r="N4574" t="str">
            <v>CISTERNA</v>
          </cell>
          <cell r="O4574">
            <v>32</v>
          </cell>
          <cell r="P4574" t="str">
            <v>E3</v>
          </cell>
          <cell r="Q4574" t="str">
            <v>J1</v>
          </cell>
          <cell r="R4574" t="str">
            <v>J8</v>
          </cell>
          <cell r="S4574" t="str">
            <v>ENTREGADO</v>
          </cell>
          <cell r="T4574">
            <v>0</v>
          </cell>
          <cell r="U4574" t="str">
            <v>CONDORI CHURATA ALEX</v>
          </cell>
          <cell r="V4574" t="str">
            <v>FLOREZ CONDORI  JOSE WILLIANS</v>
          </cell>
        </row>
        <row r="4575">
          <cell r="A4575">
            <v>4526</v>
          </cell>
          <cell r="B4575">
            <v>42758</v>
          </cell>
          <cell r="C4575" t="str">
            <v>ENERO</v>
          </cell>
          <cell r="D4575" t="str">
            <v>2017</v>
          </cell>
          <cell r="E4575">
            <v>200</v>
          </cell>
          <cell r="F4575" t="str">
            <v>TALLER</v>
          </cell>
          <cell r="G4575" t="str">
            <v>TALLER</v>
          </cell>
          <cell r="H4575" t="str">
            <v>TALLER</v>
          </cell>
          <cell r="I4575" t="str">
            <v>TALLER</v>
          </cell>
          <cell r="J4575" t="str">
            <v>INSUMO TALLER</v>
          </cell>
          <cell r="K4575" t="str">
            <v>THINER</v>
          </cell>
          <cell r="L4575">
            <v>2</v>
          </cell>
          <cell r="M4575" t="str">
            <v>GLNS.</v>
          </cell>
          <cell r="N4575" t="str">
            <v>TALLER</v>
          </cell>
          <cell r="O4575">
            <v>32</v>
          </cell>
          <cell r="P4575" t="str">
            <v>S4</v>
          </cell>
          <cell r="Q4575" t="str">
            <v>J1</v>
          </cell>
          <cell r="R4575" t="str">
            <v>J6</v>
          </cell>
          <cell r="S4575" t="str">
            <v>ENTREGADO</v>
          </cell>
          <cell r="T4575">
            <v>0</v>
          </cell>
          <cell r="U4575" t="str">
            <v>SURCO QUISPE JOHNNY</v>
          </cell>
          <cell r="V4575" t="str">
            <v>FLOREZ CONDORI  JOSE WILLIANS</v>
          </cell>
        </row>
        <row r="4576">
          <cell r="A4576">
            <v>4527</v>
          </cell>
          <cell r="B4576">
            <v>42758</v>
          </cell>
          <cell r="C4576" t="str">
            <v>ENERO</v>
          </cell>
          <cell r="D4576" t="str">
            <v>2017</v>
          </cell>
          <cell r="E4576">
            <v>200</v>
          </cell>
          <cell r="F4576" t="str">
            <v>TALLER</v>
          </cell>
          <cell r="G4576" t="str">
            <v>TALLER</v>
          </cell>
          <cell r="H4576" t="str">
            <v>TALLER</v>
          </cell>
          <cell r="I4576" t="str">
            <v>TALLER</v>
          </cell>
          <cell r="J4576" t="str">
            <v>INSUMO TALLER</v>
          </cell>
          <cell r="K4576" t="str">
            <v>ESCOBILLON DE COPA</v>
          </cell>
          <cell r="L4576">
            <v>2</v>
          </cell>
          <cell r="M4576" t="str">
            <v>UNID.</v>
          </cell>
          <cell r="N4576" t="str">
            <v>TALLER</v>
          </cell>
          <cell r="O4576">
            <v>32</v>
          </cell>
          <cell r="P4576" t="str">
            <v>S4</v>
          </cell>
          <cell r="Q4576" t="str">
            <v>J1</v>
          </cell>
          <cell r="R4576" t="str">
            <v>J6</v>
          </cell>
          <cell r="S4576" t="str">
            <v>ENTREGADO</v>
          </cell>
          <cell r="T4576">
            <v>0</v>
          </cell>
          <cell r="U4576" t="str">
            <v>SURCO QUISPE JOHNNY</v>
          </cell>
          <cell r="V4576" t="str">
            <v>FLOREZ CONDORI  JOSE WILLIANS</v>
          </cell>
        </row>
        <row r="4577">
          <cell r="A4577">
            <v>4528</v>
          </cell>
          <cell r="B4577">
            <v>42758</v>
          </cell>
          <cell r="C4577" t="str">
            <v>ENERO</v>
          </cell>
          <cell r="D4577" t="str">
            <v>2017</v>
          </cell>
          <cell r="E4577">
            <v>200</v>
          </cell>
          <cell r="F4577" t="str">
            <v>TALLER</v>
          </cell>
          <cell r="G4577" t="str">
            <v>TALLER</v>
          </cell>
          <cell r="H4577" t="str">
            <v>TALLER</v>
          </cell>
          <cell r="I4577" t="str">
            <v>TALLER</v>
          </cell>
          <cell r="J4577" t="str">
            <v>INSUMO TALLER</v>
          </cell>
          <cell r="K4577" t="str">
            <v>LIJAS NRO. 60</v>
          </cell>
          <cell r="L4577">
            <v>2</v>
          </cell>
          <cell r="M4577" t="str">
            <v>UNID.</v>
          </cell>
          <cell r="N4577" t="str">
            <v>TALLER</v>
          </cell>
          <cell r="O4577">
            <v>32</v>
          </cell>
          <cell r="P4577" t="str">
            <v>S4</v>
          </cell>
          <cell r="Q4577" t="str">
            <v>J1</v>
          </cell>
          <cell r="R4577" t="str">
            <v>J6</v>
          </cell>
          <cell r="S4577" t="str">
            <v>ENTREGADO</v>
          </cell>
          <cell r="T4577">
            <v>0</v>
          </cell>
          <cell r="U4577" t="str">
            <v>SURCO QUISPE JOHNNY</v>
          </cell>
          <cell r="V4577" t="str">
            <v>FLOREZ CONDORI  JOSE WILLIANS</v>
          </cell>
        </row>
        <row r="4578">
          <cell r="A4578">
            <v>4537</v>
          </cell>
          <cell r="B4578">
            <v>42758</v>
          </cell>
          <cell r="C4578" t="str">
            <v>ENERO</v>
          </cell>
          <cell r="D4578" t="str">
            <v>2017</v>
          </cell>
          <cell r="E4578">
            <v>200</v>
          </cell>
          <cell r="F4578" t="str">
            <v>TALLER</v>
          </cell>
          <cell r="G4578" t="str">
            <v>TALLER</v>
          </cell>
          <cell r="H4578" t="str">
            <v>TALLER</v>
          </cell>
          <cell r="I4578" t="str">
            <v>TALLER</v>
          </cell>
          <cell r="J4578" t="str">
            <v>INSUMO TALLER</v>
          </cell>
          <cell r="K4578" t="str">
            <v>CINTA AISLANTE NEGRA</v>
          </cell>
          <cell r="L4578">
            <v>1</v>
          </cell>
          <cell r="M4578" t="str">
            <v>UNID.</v>
          </cell>
          <cell r="N4578" t="str">
            <v>TALLER</v>
          </cell>
          <cell r="O4578">
            <v>32</v>
          </cell>
          <cell r="P4578" t="str">
            <v>E3</v>
          </cell>
          <cell r="Q4578" t="str">
            <v>J1</v>
          </cell>
          <cell r="R4578" t="str">
            <v>J8</v>
          </cell>
          <cell r="S4578" t="str">
            <v>ENTREGADO</v>
          </cell>
          <cell r="T4578">
            <v>0</v>
          </cell>
          <cell r="U4578" t="str">
            <v>CONDORI CHURATA ALEX</v>
          </cell>
          <cell r="V4578" t="str">
            <v>FLOREZ CONDORI  JOSE WILLIANS</v>
          </cell>
        </row>
        <row r="4579">
          <cell r="A4579">
            <v>4538</v>
          </cell>
          <cell r="B4579">
            <v>42758</v>
          </cell>
          <cell r="C4579" t="str">
            <v>ENERO</v>
          </cell>
          <cell r="D4579" t="str">
            <v>2017</v>
          </cell>
          <cell r="E4579">
            <v>200</v>
          </cell>
          <cell r="F4579" t="str">
            <v>TALLER</v>
          </cell>
          <cell r="G4579" t="str">
            <v>TALLER</v>
          </cell>
          <cell r="H4579" t="str">
            <v>TALLER</v>
          </cell>
          <cell r="I4579" t="str">
            <v>TALLER</v>
          </cell>
          <cell r="J4579" t="str">
            <v>INSUMO TALLER</v>
          </cell>
          <cell r="K4579" t="str">
            <v>PRECINTOS</v>
          </cell>
          <cell r="L4579">
            <v>10</v>
          </cell>
          <cell r="M4579" t="str">
            <v>UNID.</v>
          </cell>
          <cell r="N4579" t="str">
            <v>TALLER</v>
          </cell>
          <cell r="O4579">
            <v>32</v>
          </cell>
          <cell r="P4579" t="str">
            <v>E3</v>
          </cell>
          <cell r="Q4579" t="str">
            <v>J1</v>
          </cell>
          <cell r="R4579" t="str">
            <v>J8</v>
          </cell>
          <cell r="S4579" t="str">
            <v>ENTREGADO</v>
          </cell>
          <cell r="T4579">
            <v>0</v>
          </cell>
          <cell r="U4579" t="str">
            <v>CONDORI CHURATA ALEX</v>
          </cell>
          <cell r="V4579" t="str">
            <v>FLOREZ CONDORI  JOSE WILLIANS</v>
          </cell>
        </row>
        <row r="4580">
          <cell r="A4580">
            <v>4539</v>
          </cell>
          <cell r="B4580">
            <v>42758</v>
          </cell>
          <cell r="C4580" t="str">
            <v>ENERO</v>
          </cell>
          <cell r="D4580" t="str">
            <v>2017</v>
          </cell>
          <cell r="E4580">
            <v>200</v>
          </cell>
          <cell r="F4580" t="str">
            <v>TALLER</v>
          </cell>
          <cell r="G4580" t="str">
            <v>TALLER</v>
          </cell>
          <cell r="H4580" t="str">
            <v>TALLER</v>
          </cell>
          <cell r="I4580" t="str">
            <v>TALLER</v>
          </cell>
          <cell r="J4580" t="str">
            <v>INSUMO TALLER</v>
          </cell>
          <cell r="K4580" t="str">
            <v>DISCO DE CORTE 4</v>
          </cell>
          <cell r="L4580">
            <v>1</v>
          </cell>
          <cell r="M4580" t="str">
            <v>UNID.</v>
          </cell>
          <cell r="N4580" t="str">
            <v>TALLER</v>
          </cell>
          <cell r="O4580">
            <v>32</v>
          </cell>
          <cell r="P4580" t="str">
            <v>S1</v>
          </cell>
          <cell r="Q4580" t="str">
            <v>J1</v>
          </cell>
          <cell r="R4580" t="str">
            <v>J8</v>
          </cell>
          <cell r="S4580" t="str">
            <v>ENTREGADO</v>
          </cell>
          <cell r="T4580">
            <v>0</v>
          </cell>
          <cell r="U4580" t="str">
            <v>BAYONA CRUZ CRISTIAN ARMANDO</v>
          </cell>
          <cell r="V4580" t="str">
            <v>FLOREZ CONDORI  JOSE WILLIANS</v>
          </cell>
        </row>
        <row r="4581">
          <cell r="A4581">
            <v>4540</v>
          </cell>
          <cell r="B4581">
            <v>42758</v>
          </cell>
          <cell r="C4581" t="str">
            <v>ENERO</v>
          </cell>
          <cell r="D4581" t="str">
            <v>2017</v>
          </cell>
          <cell r="E4581">
            <v>200</v>
          </cell>
          <cell r="F4581" t="str">
            <v>TALLER</v>
          </cell>
          <cell r="G4581" t="str">
            <v>TALLER</v>
          </cell>
          <cell r="H4581" t="str">
            <v>TALLER</v>
          </cell>
          <cell r="I4581" t="str">
            <v>TALLER</v>
          </cell>
          <cell r="J4581" t="str">
            <v>INSUMO TALLER</v>
          </cell>
          <cell r="K4581" t="str">
            <v>PERNO DE 3/8 X2</v>
          </cell>
          <cell r="L4581">
            <v>5</v>
          </cell>
          <cell r="M4581" t="str">
            <v>UNID.</v>
          </cell>
          <cell r="N4581" t="str">
            <v>TALLER</v>
          </cell>
          <cell r="O4581">
            <v>32</v>
          </cell>
          <cell r="P4581" t="str">
            <v>S1</v>
          </cell>
          <cell r="Q4581" t="str">
            <v>J1</v>
          </cell>
          <cell r="R4581" t="str">
            <v>J8</v>
          </cell>
          <cell r="S4581" t="str">
            <v>ENTREGADO</v>
          </cell>
          <cell r="T4581">
            <v>0</v>
          </cell>
          <cell r="U4581" t="str">
            <v>BAYONA CRUZ CRISTIAN ARMANDO</v>
          </cell>
          <cell r="V4581" t="str">
            <v>FLOREZ CONDORI  JOSE WILLIANS</v>
          </cell>
        </row>
        <row r="4582">
          <cell r="A4582">
            <v>4541</v>
          </cell>
          <cell r="B4582">
            <v>42758</v>
          </cell>
          <cell r="C4582" t="str">
            <v>ENERO</v>
          </cell>
          <cell r="D4582" t="str">
            <v>2017</v>
          </cell>
          <cell r="E4582">
            <v>200</v>
          </cell>
          <cell r="F4582" t="str">
            <v>TALLER</v>
          </cell>
          <cell r="G4582" t="str">
            <v>TALLER</v>
          </cell>
          <cell r="H4582" t="str">
            <v>TALLER</v>
          </cell>
          <cell r="I4582" t="str">
            <v>TALLER</v>
          </cell>
          <cell r="J4582" t="str">
            <v>INSUMO TALLER</v>
          </cell>
          <cell r="K4582" t="str">
            <v>VOLANDAS PLANAS</v>
          </cell>
          <cell r="L4582">
            <v>5</v>
          </cell>
          <cell r="M4582" t="str">
            <v>UNID.</v>
          </cell>
          <cell r="N4582" t="str">
            <v>TALLER</v>
          </cell>
          <cell r="O4582">
            <v>32</v>
          </cell>
          <cell r="P4582" t="str">
            <v>S1</v>
          </cell>
          <cell r="Q4582" t="str">
            <v>J1</v>
          </cell>
          <cell r="R4582" t="str">
            <v>J8</v>
          </cell>
          <cell r="S4582" t="str">
            <v>ENTREGADO</v>
          </cell>
          <cell r="T4582">
            <v>0</v>
          </cell>
          <cell r="U4582" t="str">
            <v>BAYONA CRUZ CRISTIAN ARMANDO</v>
          </cell>
          <cell r="V4582" t="str">
            <v>FLOREZ CONDORI  JOSE WILLIANS</v>
          </cell>
        </row>
        <row r="4583">
          <cell r="A4583">
            <v>4545</v>
          </cell>
          <cell r="B4583">
            <v>42758</v>
          </cell>
          <cell r="C4583" t="str">
            <v>ENERO</v>
          </cell>
          <cell r="D4583" t="str">
            <v>2017</v>
          </cell>
          <cell r="E4583">
            <v>900</v>
          </cell>
          <cell r="F4583" t="str">
            <v>X2W-761</v>
          </cell>
          <cell r="G4583" t="str">
            <v>C5V-996</v>
          </cell>
          <cell r="H4583" t="str">
            <v>LAS BAMBAS</v>
          </cell>
          <cell r="I4583">
            <v>150322</v>
          </cell>
          <cell r="J4583" t="str">
            <v>REPUESTO</v>
          </cell>
          <cell r="K4583" t="str">
            <v>SELLOCORD 1/8</v>
          </cell>
          <cell r="L4583">
            <v>1</v>
          </cell>
          <cell r="M4583" t="str">
            <v>KG.</v>
          </cell>
          <cell r="N4583" t="str">
            <v>CAMIONETA</v>
          </cell>
          <cell r="O4583">
            <v>32</v>
          </cell>
          <cell r="P4583" t="str">
            <v>S1</v>
          </cell>
          <cell r="Q4583" t="str">
            <v>J1</v>
          </cell>
          <cell r="R4583" t="str">
            <v>J8</v>
          </cell>
          <cell r="S4583" t="str">
            <v>ENTREGADO</v>
          </cell>
          <cell r="T4583">
            <v>0</v>
          </cell>
          <cell r="U4583" t="str">
            <v>BAYONA CRUZ CRISTIAN ARMANDO</v>
          </cell>
          <cell r="V4583" t="str">
            <v>FLOREZ CONDORI  JOSE WILLIANS</v>
          </cell>
        </row>
        <row r="4584">
          <cell r="A4584">
            <v>4578</v>
          </cell>
          <cell r="B4584">
            <v>42758</v>
          </cell>
          <cell r="C4584" t="str">
            <v>ENERO</v>
          </cell>
          <cell r="D4584" t="str">
            <v>2017</v>
          </cell>
          <cell r="E4584">
            <v>900</v>
          </cell>
          <cell r="F4584" t="str">
            <v>X2W-761</v>
          </cell>
          <cell r="G4584" t="str">
            <v>C5V-996</v>
          </cell>
          <cell r="H4584" t="str">
            <v>LAS BAMBAS</v>
          </cell>
          <cell r="I4584">
            <v>150322</v>
          </cell>
          <cell r="J4584" t="str">
            <v>REPUESTO</v>
          </cell>
          <cell r="K4584" t="str">
            <v>REFRIGERANTE</v>
          </cell>
          <cell r="L4584">
            <v>1</v>
          </cell>
          <cell r="M4584" t="str">
            <v>UNID.</v>
          </cell>
          <cell r="N4584" t="str">
            <v>TRACTO</v>
          </cell>
          <cell r="O4584">
            <v>32</v>
          </cell>
          <cell r="P4584" t="str">
            <v>M8</v>
          </cell>
          <cell r="Q4584" t="str">
            <v>J1</v>
          </cell>
          <cell r="R4584" t="str">
            <v>J8</v>
          </cell>
          <cell r="S4584" t="str">
            <v>ENTREGADO</v>
          </cell>
          <cell r="T4584">
            <v>0</v>
          </cell>
          <cell r="U4584" t="str">
            <v>VARILLAS GAGO  OSCAR ALBERTO</v>
          </cell>
          <cell r="V4584" t="str">
            <v>FLOREZ CONDORI  JOSE WILLIANS</v>
          </cell>
        </row>
        <row r="4585">
          <cell r="A4585">
            <v>4579</v>
          </cell>
          <cell r="B4585">
            <v>42758</v>
          </cell>
          <cell r="C4585" t="str">
            <v>ENERO</v>
          </cell>
          <cell r="D4585" t="str">
            <v>2017</v>
          </cell>
          <cell r="E4585">
            <v>900</v>
          </cell>
          <cell r="F4585" t="str">
            <v>X2W-761</v>
          </cell>
          <cell r="G4585" t="str">
            <v>C5V-996</v>
          </cell>
          <cell r="H4585" t="str">
            <v>LAS BAMBAS</v>
          </cell>
          <cell r="I4585">
            <v>150322</v>
          </cell>
          <cell r="J4585" t="str">
            <v>REPUESTO</v>
          </cell>
          <cell r="K4585" t="str">
            <v>PERNO DE 1/2 X 1 1/2"</v>
          </cell>
          <cell r="L4585">
            <v>1</v>
          </cell>
          <cell r="M4585" t="str">
            <v>UNID.</v>
          </cell>
          <cell r="N4585" t="str">
            <v>TRACTO</v>
          </cell>
          <cell r="O4585">
            <v>32</v>
          </cell>
          <cell r="P4585" t="str">
            <v>M8</v>
          </cell>
          <cell r="Q4585" t="str">
            <v>J1</v>
          </cell>
          <cell r="R4585" t="str">
            <v>J8</v>
          </cell>
          <cell r="S4585" t="str">
            <v>ENTREGADO</v>
          </cell>
          <cell r="T4585">
            <v>0</v>
          </cell>
          <cell r="U4585" t="str">
            <v>VARILLAS GAGO  OSCAR ALBERTO</v>
          </cell>
          <cell r="V4585" t="str">
            <v>FLOREZ CONDORI  JOSE WILLIANS</v>
          </cell>
        </row>
        <row r="4586">
          <cell r="A4586">
            <v>4580</v>
          </cell>
          <cell r="B4586">
            <v>42758</v>
          </cell>
          <cell r="C4586" t="str">
            <v>ENERO</v>
          </cell>
          <cell r="D4586" t="str">
            <v>2017</v>
          </cell>
          <cell r="E4586">
            <v>900</v>
          </cell>
          <cell r="F4586" t="str">
            <v>X2W-761</v>
          </cell>
          <cell r="G4586" t="str">
            <v>C5V-996</v>
          </cell>
          <cell r="H4586" t="str">
            <v>LAS BAMBAS</v>
          </cell>
          <cell r="I4586">
            <v>150322</v>
          </cell>
          <cell r="J4586" t="str">
            <v>REPUESTO</v>
          </cell>
          <cell r="K4586" t="str">
            <v>TUERCA SEGURA DE 1/2</v>
          </cell>
          <cell r="L4586">
            <v>1</v>
          </cell>
          <cell r="M4586" t="str">
            <v>UNID.</v>
          </cell>
          <cell r="N4586" t="str">
            <v>TRACTO</v>
          </cell>
          <cell r="O4586">
            <v>32</v>
          </cell>
          <cell r="P4586" t="str">
            <v>M8</v>
          </cell>
          <cell r="Q4586" t="str">
            <v>J1</v>
          </cell>
          <cell r="R4586" t="str">
            <v>J8</v>
          </cell>
          <cell r="S4586" t="str">
            <v>ENTREGADO</v>
          </cell>
          <cell r="T4586">
            <v>0</v>
          </cell>
          <cell r="U4586" t="str">
            <v>VARILLAS GAGO  OSCAR ALBERTO</v>
          </cell>
          <cell r="V4586" t="str">
            <v>FLOREZ CONDORI  JOSE WILLIANS</v>
          </cell>
        </row>
        <row r="4587">
          <cell r="A4587">
            <v>4581</v>
          </cell>
          <cell r="B4587">
            <v>42758</v>
          </cell>
          <cell r="C4587" t="str">
            <v>ENERO</v>
          </cell>
          <cell r="D4587" t="str">
            <v>2017</v>
          </cell>
          <cell r="E4587">
            <v>900</v>
          </cell>
          <cell r="F4587" t="str">
            <v>X2W-761</v>
          </cell>
          <cell r="G4587" t="str">
            <v>C5V-996</v>
          </cell>
          <cell r="H4587" t="str">
            <v>LAS BAMBAS</v>
          </cell>
          <cell r="I4587">
            <v>150322</v>
          </cell>
          <cell r="J4587" t="str">
            <v>REPUESTO</v>
          </cell>
          <cell r="K4587" t="str">
            <v>ARANDELA PLANA DE 1/2</v>
          </cell>
          <cell r="L4587">
            <v>2</v>
          </cell>
          <cell r="M4587" t="str">
            <v>UNID.</v>
          </cell>
          <cell r="N4587" t="str">
            <v>TRACTO</v>
          </cell>
          <cell r="O4587">
            <v>32</v>
          </cell>
          <cell r="P4587" t="str">
            <v>M8</v>
          </cell>
          <cell r="Q4587" t="str">
            <v>J1</v>
          </cell>
          <cell r="R4587" t="str">
            <v>J8</v>
          </cell>
          <cell r="S4587" t="str">
            <v>ENTREGADO</v>
          </cell>
          <cell r="T4587">
            <v>0</v>
          </cell>
          <cell r="U4587" t="str">
            <v>VARILLAS GAGO  OSCAR ALBERTO</v>
          </cell>
          <cell r="V4587" t="str">
            <v>FLOREZ CONDORI  JOSE WILLIANS</v>
          </cell>
        </row>
        <row r="4588">
          <cell r="A4588">
            <v>4582</v>
          </cell>
          <cell r="B4588">
            <v>42758</v>
          </cell>
          <cell r="C4588" t="str">
            <v>ENERO</v>
          </cell>
          <cell r="D4588" t="str">
            <v>2017</v>
          </cell>
          <cell r="E4588">
            <v>900</v>
          </cell>
          <cell r="F4588" t="str">
            <v>X2W-761</v>
          </cell>
          <cell r="G4588" t="str">
            <v>C5V-996</v>
          </cell>
          <cell r="H4588" t="str">
            <v>LAS BAMBAS</v>
          </cell>
          <cell r="I4588">
            <v>150322</v>
          </cell>
          <cell r="J4588" t="str">
            <v>REPUESTO</v>
          </cell>
          <cell r="K4588" t="str">
            <v>TAPABARRO NEGRO / REPARADO</v>
          </cell>
          <cell r="L4588">
            <v>1</v>
          </cell>
          <cell r="M4588" t="str">
            <v>UNID.</v>
          </cell>
          <cell r="N4588" t="str">
            <v>TRACTO</v>
          </cell>
          <cell r="O4588">
            <v>32</v>
          </cell>
          <cell r="P4588" t="str">
            <v>M8</v>
          </cell>
          <cell r="Q4588" t="str">
            <v>J1</v>
          </cell>
          <cell r="R4588" t="str">
            <v>J8</v>
          </cell>
          <cell r="S4588" t="str">
            <v>ENTREGADO</v>
          </cell>
          <cell r="T4588">
            <v>0</v>
          </cell>
          <cell r="U4588" t="str">
            <v>VARILLAS GAGO  OSCAR ALBERTO</v>
          </cell>
          <cell r="V4588" t="str">
            <v>FLOREZ CONDORI  JOSE WILLIANS</v>
          </cell>
        </row>
        <row r="4589">
          <cell r="A4589">
            <v>4583</v>
          </cell>
          <cell r="B4589">
            <v>42758</v>
          </cell>
          <cell r="C4589" t="str">
            <v>ENERO</v>
          </cell>
          <cell r="D4589" t="str">
            <v>2017</v>
          </cell>
          <cell r="E4589">
            <v>900</v>
          </cell>
          <cell r="F4589" t="str">
            <v>X2W-761</v>
          </cell>
          <cell r="G4589" t="str">
            <v>C5V-996</v>
          </cell>
          <cell r="H4589" t="str">
            <v>LAS BAMBAS</v>
          </cell>
          <cell r="I4589">
            <v>150322</v>
          </cell>
          <cell r="J4589" t="str">
            <v>REPUESTO</v>
          </cell>
          <cell r="K4589" t="str">
            <v>CABLE CORRIENTE # 14</v>
          </cell>
          <cell r="L4589">
            <v>3</v>
          </cell>
          <cell r="M4589" t="str">
            <v>M</v>
          </cell>
          <cell r="N4589" t="str">
            <v>TRACTO</v>
          </cell>
          <cell r="O4589">
            <v>32</v>
          </cell>
          <cell r="P4589" t="str">
            <v>E3</v>
          </cell>
          <cell r="Q4589" t="str">
            <v>J1</v>
          </cell>
          <cell r="R4589" t="str">
            <v>J8</v>
          </cell>
          <cell r="S4589" t="str">
            <v>ENTREGADO</v>
          </cell>
          <cell r="T4589">
            <v>0</v>
          </cell>
          <cell r="U4589" t="str">
            <v>CONDORI CHURATA ALEX</v>
          </cell>
          <cell r="V4589" t="str">
            <v>FLOREZ CONDORI  JOSE WILLIANS</v>
          </cell>
        </row>
        <row r="4590">
          <cell r="A4590">
            <v>4584</v>
          </cell>
          <cell r="B4590">
            <v>42758</v>
          </cell>
          <cell r="C4590" t="str">
            <v>ENERO</v>
          </cell>
          <cell r="D4590" t="str">
            <v>2017</v>
          </cell>
          <cell r="E4590">
            <v>900</v>
          </cell>
          <cell r="F4590" t="str">
            <v>X2W-761</v>
          </cell>
          <cell r="G4590" t="str">
            <v>C5V-996</v>
          </cell>
          <cell r="H4590" t="str">
            <v>LAS BAMBAS</v>
          </cell>
          <cell r="I4590">
            <v>150322</v>
          </cell>
          <cell r="J4590" t="str">
            <v>REPUESTO</v>
          </cell>
          <cell r="K4590" t="str">
            <v>BASE DE BOCINA EXCENTRICA</v>
          </cell>
          <cell r="L4590">
            <v>1</v>
          </cell>
          <cell r="M4590" t="str">
            <v>UNID.</v>
          </cell>
          <cell r="N4590" t="str">
            <v>CISTERNA</v>
          </cell>
          <cell r="O4590">
            <v>32</v>
          </cell>
          <cell r="P4590" t="str">
            <v>M8</v>
          </cell>
          <cell r="Q4590" t="str">
            <v>J1</v>
          </cell>
          <cell r="R4590" t="str">
            <v>J6</v>
          </cell>
          <cell r="S4590" t="str">
            <v>ENTREGADO</v>
          </cell>
          <cell r="T4590">
            <v>0</v>
          </cell>
          <cell r="U4590" t="str">
            <v>VARILLAS GAGO  OSCAR ALBERTO</v>
          </cell>
          <cell r="V4590" t="str">
            <v>FLOREZ CONDORI  JOSE WILLIANS</v>
          </cell>
        </row>
        <row r="4591">
          <cell r="A4591">
            <v>4586</v>
          </cell>
          <cell r="B4591">
            <v>42758</v>
          </cell>
          <cell r="C4591" t="str">
            <v>ENERO</v>
          </cell>
          <cell r="D4591" t="str">
            <v>2017</v>
          </cell>
          <cell r="E4591">
            <v>900</v>
          </cell>
          <cell r="F4591" t="str">
            <v>X2W-761</v>
          </cell>
          <cell r="G4591" t="str">
            <v>C5V-996</v>
          </cell>
          <cell r="H4591" t="str">
            <v>LAS BAMBAS</v>
          </cell>
          <cell r="I4591">
            <v>150322</v>
          </cell>
          <cell r="J4591" t="str">
            <v>REPUESTO</v>
          </cell>
          <cell r="K4591" t="str">
            <v>MINIFUSIBLES DE 20A</v>
          </cell>
          <cell r="L4591">
            <v>2</v>
          </cell>
          <cell r="M4591" t="str">
            <v>UNID.</v>
          </cell>
          <cell r="N4591" t="str">
            <v>TRACTO</v>
          </cell>
          <cell r="O4591">
            <v>32</v>
          </cell>
          <cell r="P4591" t="str">
            <v>E3</v>
          </cell>
          <cell r="Q4591" t="str">
            <v>J1</v>
          </cell>
          <cell r="R4591" t="str">
            <v>J6</v>
          </cell>
          <cell r="S4591" t="str">
            <v>ENTREGADO</v>
          </cell>
          <cell r="T4591">
            <v>0</v>
          </cell>
          <cell r="U4591" t="str">
            <v>CONDORI CHURATA ALEX</v>
          </cell>
          <cell r="V4591" t="str">
            <v>FLOREZ CONDORI  JOSE WILLIANS</v>
          </cell>
        </row>
        <row r="4592">
          <cell r="A4592">
            <v>4587</v>
          </cell>
          <cell r="B4592">
            <v>42758</v>
          </cell>
          <cell r="C4592" t="str">
            <v>ENERO</v>
          </cell>
          <cell r="D4592" t="str">
            <v>2017</v>
          </cell>
          <cell r="E4592">
            <v>900</v>
          </cell>
          <cell r="F4592" t="str">
            <v>X2W-761</v>
          </cell>
          <cell r="G4592" t="str">
            <v>C5V-996</v>
          </cell>
          <cell r="H4592" t="str">
            <v>LAS BAMBAS</v>
          </cell>
          <cell r="I4592">
            <v>150322</v>
          </cell>
          <cell r="J4592" t="str">
            <v>REPUESTO</v>
          </cell>
          <cell r="K4592" t="str">
            <v>FARO DE POSICION  4" AMBAR</v>
          </cell>
          <cell r="L4592">
            <v>1</v>
          </cell>
          <cell r="M4592" t="str">
            <v>UNID.</v>
          </cell>
          <cell r="N4592" t="str">
            <v>CISTERNA</v>
          </cell>
          <cell r="O4592">
            <v>32</v>
          </cell>
          <cell r="P4592" t="str">
            <v>E3</v>
          </cell>
          <cell r="Q4592" t="str">
            <v>J1</v>
          </cell>
          <cell r="R4592" t="str">
            <v>J8</v>
          </cell>
          <cell r="S4592" t="str">
            <v>ENTREGADO</v>
          </cell>
          <cell r="T4592">
            <v>0</v>
          </cell>
          <cell r="U4592" t="str">
            <v>CONDORI CHURATA ALEX</v>
          </cell>
          <cell r="V4592" t="str">
            <v>FLOREZ CONDORI  JOSE WILLIANS</v>
          </cell>
        </row>
        <row r="4593">
          <cell r="A4593">
            <v>4588</v>
          </cell>
          <cell r="B4593">
            <v>42758</v>
          </cell>
          <cell r="C4593" t="str">
            <v>ENERO</v>
          </cell>
          <cell r="D4593" t="str">
            <v>2017</v>
          </cell>
          <cell r="E4593">
            <v>900</v>
          </cell>
          <cell r="F4593" t="str">
            <v>X2W-761</v>
          </cell>
          <cell r="G4593" t="str">
            <v>C5V-996</v>
          </cell>
          <cell r="H4593" t="str">
            <v>LAS BAMBAS</v>
          </cell>
          <cell r="I4593">
            <v>150322</v>
          </cell>
          <cell r="J4593" t="str">
            <v>REPUESTO</v>
          </cell>
          <cell r="K4593" t="str">
            <v>FOCO LAGRIMON AMBAR  DOBLE CONTACTO</v>
          </cell>
          <cell r="L4593">
            <v>1</v>
          </cell>
          <cell r="M4593" t="str">
            <v>UNID.</v>
          </cell>
          <cell r="N4593" t="str">
            <v>TRACTO</v>
          </cell>
          <cell r="O4593">
            <v>32</v>
          </cell>
          <cell r="P4593" t="str">
            <v>E3</v>
          </cell>
          <cell r="Q4593" t="str">
            <v>J1</v>
          </cell>
          <cell r="R4593" t="str">
            <v>J8</v>
          </cell>
          <cell r="S4593" t="str">
            <v>ENTREGADO</v>
          </cell>
          <cell r="T4593">
            <v>0</v>
          </cell>
          <cell r="U4593" t="str">
            <v>CONDORI CHURATA ALEX</v>
          </cell>
          <cell r="V4593" t="str">
            <v>FLOREZ CONDORI  JOSE WILLIANS</v>
          </cell>
        </row>
        <row r="4594">
          <cell r="A4594">
            <v>4543</v>
          </cell>
          <cell r="B4594">
            <v>42758</v>
          </cell>
          <cell r="C4594" t="str">
            <v>ENERO</v>
          </cell>
          <cell r="D4594" t="str">
            <v>2017</v>
          </cell>
          <cell r="E4594">
            <v>891</v>
          </cell>
          <cell r="F4594" t="str">
            <v>X2W-788</v>
          </cell>
          <cell r="G4594" t="str">
            <v>C5V-994</v>
          </cell>
          <cell r="H4594" t="str">
            <v>LAS BAMBAS</v>
          </cell>
          <cell r="I4594">
            <v>145614</v>
          </cell>
          <cell r="J4594" t="str">
            <v>SERVICIO</v>
          </cell>
          <cell r="K4594" t="str">
            <v>SERVICIO DE REPARACION DE ESPEJO RETROVISOR</v>
          </cell>
          <cell r="L4594">
            <v>1</v>
          </cell>
          <cell r="M4594" t="str">
            <v>UNID.</v>
          </cell>
          <cell r="N4594" t="str">
            <v>TRACTO</v>
          </cell>
          <cell r="O4594">
            <v>32</v>
          </cell>
          <cell r="P4594" t="str">
            <v>M1</v>
          </cell>
          <cell r="Q4594" t="str">
            <v>J1</v>
          </cell>
          <cell r="R4594" t="str">
            <v>J8</v>
          </cell>
          <cell r="S4594" t="str">
            <v>ENTREGADO</v>
          </cell>
          <cell r="T4594">
            <v>0</v>
          </cell>
          <cell r="U4594" t="str">
            <v>CABEZAS SANCHEZ JEAN JHONATAN</v>
          </cell>
          <cell r="V4594" t="str">
            <v>FLOREZ CONDORI  JOSE WILLIANS</v>
          </cell>
        </row>
        <row r="4595">
          <cell r="A4595">
            <v>4546</v>
          </cell>
          <cell r="B4595">
            <v>42758</v>
          </cell>
          <cell r="C4595" t="str">
            <v>ENERO</v>
          </cell>
          <cell r="D4595" t="str">
            <v>2017</v>
          </cell>
          <cell r="E4595">
            <v>891</v>
          </cell>
          <cell r="F4595" t="str">
            <v>X2W-788</v>
          </cell>
          <cell r="G4595" t="str">
            <v>C5V-994</v>
          </cell>
          <cell r="H4595" t="str">
            <v>LAS BAMBAS</v>
          </cell>
          <cell r="I4595">
            <v>145614</v>
          </cell>
          <cell r="J4595" t="str">
            <v>REPUESTO</v>
          </cell>
          <cell r="K4595" t="str">
            <v>ACEITE DE MOTOR 15W40</v>
          </cell>
          <cell r="L4595">
            <v>1</v>
          </cell>
          <cell r="M4595" t="str">
            <v>GLNS.</v>
          </cell>
          <cell r="N4595" t="str">
            <v>TRACTO</v>
          </cell>
          <cell r="O4595">
            <v>32</v>
          </cell>
          <cell r="P4595" t="str">
            <v>M1</v>
          </cell>
          <cell r="Q4595" t="str">
            <v>J1</v>
          </cell>
          <cell r="R4595" t="str">
            <v>J8</v>
          </cell>
          <cell r="S4595" t="str">
            <v>ENTREGADO</v>
          </cell>
          <cell r="T4595">
            <v>0</v>
          </cell>
          <cell r="U4595" t="str">
            <v>CABEZAS SANCHEZ JEAN JHONATAN</v>
          </cell>
          <cell r="V4595" t="str">
            <v>FLOREZ CONDORI  JOSE WILLIANS</v>
          </cell>
        </row>
        <row r="4596">
          <cell r="A4596">
            <v>4624</v>
          </cell>
          <cell r="B4596">
            <v>42759</v>
          </cell>
          <cell r="C4596" t="str">
            <v>ENERO</v>
          </cell>
          <cell r="D4596" t="str">
            <v>2017</v>
          </cell>
          <cell r="E4596">
            <v>894</v>
          </cell>
          <cell r="F4596" t="str">
            <v>ABQ-780</v>
          </cell>
          <cell r="G4596" t="str">
            <v>C9S-990</v>
          </cell>
          <cell r="H4596" t="str">
            <v>LAS BAMBAS</v>
          </cell>
          <cell r="I4596">
            <v>121963</v>
          </cell>
          <cell r="J4596" t="str">
            <v>REPUESTO</v>
          </cell>
          <cell r="K4596" t="str">
            <v>SPRAY BLANCO</v>
          </cell>
          <cell r="L4596">
            <v>1</v>
          </cell>
          <cell r="M4596" t="str">
            <v>UNID.</v>
          </cell>
          <cell r="N4596" t="str">
            <v>CISTERNA</v>
          </cell>
          <cell r="O4596">
            <v>31</v>
          </cell>
          <cell r="P4596" t="str">
            <v>S1</v>
          </cell>
          <cell r="Q4596" t="str">
            <v>J1</v>
          </cell>
          <cell r="R4596" t="str">
            <v>J8</v>
          </cell>
          <cell r="S4596" t="str">
            <v>ENTREGADO</v>
          </cell>
          <cell r="T4596">
            <v>0</v>
          </cell>
          <cell r="U4596" t="str">
            <v>BAYONA CRUZ CRISTIAN ARMANDO</v>
          </cell>
          <cell r="V4596" t="str">
            <v>FLOREZ CONDORI  JOSE WILLIANS</v>
          </cell>
        </row>
        <row r="4597">
          <cell r="A4597">
            <v>4625</v>
          </cell>
          <cell r="B4597">
            <v>42759</v>
          </cell>
          <cell r="C4597" t="str">
            <v>ENERO</v>
          </cell>
          <cell r="D4597" t="str">
            <v>2017</v>
          </cell>
          <cell r="E4597">
            <v>894</v>
          </cell>
          <cell r="F4597" t="str">
            <v>ABQ-780</v>
          </cell>
          <cell r="G4597" t="str">
            <v>C9S-990</v>
          </cell>
          <cell r="H4597" t="str">
            <v>LAS BAMBAS</v>
          </cell>
          <cell r="I4597">
            <v>121963</v>
          </cell>
          <cell r="J4597" t="str">
            <v>REPUESTO</v>
          </cell>
          <cell r="K4597" t="str">
            <v>CINTA REFLECTICA</v>
          </cell>
          <cell r="L4597">
            <v>0.4</v>
          </cell>
          <cell r="M4597" t="str">
            <v>M</v>
          </cell>
          <cell r="N4597" t="str">
            <v>CISTERNA</v>
          </cell>
          <cell r="O4597">
            <v>31</v>
          </cell>
          <cell r="P4597" t="str">
            <v>S1</v>
          </cell>
          <cell r="Q4597" t="str">
            <v>J1</v>
          </cell>
          <cell r="R4597" t="str">
            <v>J8</v>
          </cell>
          <cell r="S4597" t="str">
            <v>ENTREGADO</v>
          </cell>
          <cell r="T4597">
            <v>0</v>
          </cell>
          <cell r="U4597" t="str">
            <v>BAYONA CRUZ CRISTIAN ARMANDO</v>
          </cell>
          <cell r="V4597" t="str">
            <v>FLOREZ CONDORI  JOSE WILLIANS</v>
          </cell>
        </row>
        <row r="4598">
          <cell r="A4598">
            <v>4598</v>
          </cell>
          <cell r="B4598">
            <v>42759</v>
          </cell>
          <cell r="C4598" t="str">
            <v>ENERO</v>
          </cell>
          <cell r="D4598" t="str">
            <v>2017</v>
          </cell>
          <cell r="E4598">
            <v>853</v>
          </cell>
          <cell r="F4598" t="str">
            <v>ABR-741</v>
          </cell>
          <cell r="G4598" t="str">
            <v>T3N-974</v>
          </cell>
          <cell r="H4598" t="str">
            <v>LAS BAMBAS</v>
          </cell>
          <cell r="I4598">
            <v>115163</v>
          </cell>
          <cell r="J4598" t="str">
            <v>REPUESTO</v>
          </cell>
          <cell r="K4598" t="str">
            <v>ACEITE DE MOTOR 15W40</v>
          </cell>
          <cell r="L4598">
            <v>0.5</v>
          </cell>
          <cell r="M4598" t="str">
            <v>GLNS.</v>
          </cell>
          <cell r="N4598" t="str">
            <v>TRACTO</v>
          </cell>
          <cell r="O4598">
            <v>31</v>
          </cell>
          <cell r="P4598" t="str">
            <v>M8</v>
          </cell>
          <cell r="Q4598" t="str">
            <v>J1</v>
          </cell>
          <cell r="R4598" t="str">
            <v>J8</v>
          </cell>
          <cell r="S4598" t="str">
            <v>ENTREGADO</v>
          </cell>
          <cell r="T4598">
            <v>0</v>
          </cell>
          <cell r="U4598" t="str">
            <v>VARILLAS GAGO  OSCAR ALBERTO</v>
          </cell>
          <cell r="V4598" t="str">
            <v>FLOREZ CONDORI  JOSE WILLIANS</v>
          </cell>
        </row>
        <row r="4599">
          <cell r="A4599">
            <v>4599</v>
          </cell>
          <cell r="B4599">
            <v>42759</v>
          </cell>
          <cell r="C4599" t="str">
            <v>ENERO</v>
          </cell>
          <cell r="D4599" t="str">
            <v>2017</v>
          </cell>
          <cell r="E4599">
            <v>853</v>
          </cell>
          <cell r="F4599" t="str">
            <v>ABR-741</v>
          </cell>
          <cell r="G4599" t="str">
            <v>T3N-974</v>
          </cell>
          <cell r="H4599" t="str">
            <v>LAS BAMBAS</v>
          </cell>
          <cell r="I4599">
            <v>115163</v>
          </cell>
          <cell r="J4599" t="str">
            <v>REPUESTO</v>
          </cell>
          <cell r="K4599" t="str">
            <v>BATERIA</v>
          </cell>
          <cell r="L4599">
            <v>4</v>
          </cell>
          <cell r="M4599" t="str">
            <v>UNID.</v>
          </cell>
          <cell r="N4599" t="str">
            <v>TRACTO</v>
          </cell>
          <cell r="O4599">
            <v>31</v>
          </cell>
          <cell r="P4599" t="str">
            <v>E2</v>
          </cell>
          <cell r="Q4599" t="str">
            <v>J1</v>
          </cell>
          <cell r="R4599" t="str">
            <v>J8</v>
          </cell>
          <cell r="S4599" t="str">
            <v>ENTREGADO</v>
          </cell>
          <cell r="T4599">
            <v>0</v>
          </cell>
          <cell r="U4599" t="str">
            <v>YUCA BELLIDO BORIS YERSY</v>
          </cell>
          <cell r="V4599" t="str">
            <v>FLOREZ CONDORI  JOSE WILLIANS</v>
          </cell>
        </row>
        <row r="4600">
          <cell r="A4600">
            <v>4600</v>
          </cell>
          <cell r="B4600">
            <v>42759</v>
          </cell>
          <cell r="C4600" t="str">
            <v>ENERO</v>
          </cell>
          <cell r="D4600" t="str">
            <v>2017</v>
          </cell>
          <cell r="E4600">
            <v>853</v>
          </cell>
          <cell r="F4600" t="str">
            <v>ABR-741</v>
          </cell>
          <cell r="G4600" t="str">
            <v>T3N-974</v>
          </cell>
          <cell r="H4600" t="str">
            <v>LAS BAMBAS</v>
          </cell>
          <cell r="I4600">
            <v>115163</v>
          </cell>
          <cell r="J4600" t="str">
            <v>REPUESTO</v>
          </cell>
          <cell r="K4600" t="str">
            <v>BLOQUEADOR DE CORRIENTE</v>
          </cell>
          <cell r="L4600">
            <v>1</v>
          </cell>
          <cell r="M4600" t="str">
            <v>UNID.</v>
          </cell>
          <cell r="N4600" t="str">
            <v>TRACTO</v>
          </cell>
          <cell r="O4600">
            <v>31</v>
          </cell>
          <cell r="P4600" t="str">
            <v>E2</v>
          </cell>
          <cell r="Q4600" t="str">
            <v>J1</v>
          </cell>
          <cell r="R4600" t="str">
            <v>J8</v>
          </cell>
          <cell r="S4600" t="str">
            <v>PENDIENTE</v>
          </cell>
          <cell r="T4600">
            <v>0</v>
          </cell>
          <cell r="U4600" t="str">
            <v>YUCA BELLIDO BORIS YERSY</v>
          </cell>
          <cell r="V4600" t="str">
            <v>FLOREZ CONDORI  JOSE WILLIANS</v>
          </cell>
        </row>
        <row r="4601">
          <cell r="A4601">
            <v>4602</v>
          </cell>
          <cell r="B4601">
            <v>42759</v>
          </cell>
          <cell r="C4601" t="str">
            <v>ENERO</v>
          </cell>
          <cell r="D4601" t="str">
            <v>2017</v>
          </cell>
          <cell r="E4601">
            <v>897</v>
          </cell>
          <cell r="F4601" t="str">
            <v>AMT-876</v>
          </cell>
          <cell r="G4601" t="str">
            <v>CAMIONETA</v>
          </cell>
          <cell r="H4601" t="str">
            <v>LAS BAMBAS</v>
          </cell>
          <cell r="I4601">
            <v>41784</v>
          </cell>
          <cell r="J4601" t="str">
            <v>REPUESTO</v>
          </cell>
          <cell r="K4601" t="str">
            <v>FILTRO DE ACEITE</v>
          </cell>
          <cell r="L4601">
            <v>1</v>
          </cell>
          <cell r="M4601" t="str">
            <v>UNID.</v>
          </cell>
          <cell r="N4601" t="str">
            <v>CAMIONETA</v>
          </cell>
          <cell r="O4601">
            <v>31</v>
          </cell>
          <cell r="P4601" t="str">
            <v>J1</v>
          </cell>
          <cell r="Q4601" t="str">
            <v>J1</v>
          </cell>
          <cell r="R4601" t="str">
            <v>J8</v>
          </cell>
          <cell r="S4601" t="str">
            <v>ENTREGADO</v>
          </cell>
          <cell r="T4601">
            <v>0</v>
          </cell>
          <cell r="U4601" t="str">
            <v>FLOREZ CONDORI  JOSE WILLIANS</v>
          </cell>
          <cell r="V4601" t="str">
            <v>FLOREZ CONDORI  JOSE WILLIANS</v>
          </cell>
        </row>
        <row r="4602">
          <cell r="A4602">
            <v>4603</v>
          </cell>
          <cell r="B4602">
            <v>42759</v>
          </cell>
          <cell r="C4602" t="str">
            <v>ENERO</v>
          </cell>
          <cell r="D4602" t="str">
            <v>2017</v>
          </cell>
          <cell r="E4602">
            <v>897</v>
          </cell>
          <cell r="F4602" t="str">
            <v>AMT-876</v>
          </cell>
          <cell r="G4602" t="str">
            <v>CAMIONETA</v>
          </cell>
          <cell r="H4602" t="str">
            <v>LAS BAMBAS</v>
          </cell>
          <cell r="I4602">
            <v>41784</v>
          </cell>
          <cell r="J4602" t="str">
            <v>REPUESTO</v>
          </cell>
          <cell r="K4602" t="str">
            <v>FILTRO DE COMBUSTIBLE</v>
          </cell>
          <cell r="L4602">
            <v>1</v>
          </cell>
          <cell r="M4602" t="str">
            <v>UNID.</v>
          </cell>
          <cell r="N4602" t="str">
            <v>CAMIONETA</v>
          </cell>
          <cell r="O4602">
            <v>31</v>
          </cell>
          <cell r="P4602" t="str">
            <v>J1</v>
          </cell>
          <cell r="Q4602" t="str">
            <v>J1</v>
          </cell>
          <cell r="R4602" t="str">
            <v>J8</v>
          </cell>
          <cell r="S4602" t="str">
            <v>ENTREGADO</v>
          </cell>
          <cell r="T4602">
            <v>0</v>
          </cell>
          <cell r="U4602" t="str">
            <v>FLOREZ CONDORI  JOSE WILLIANS</v>
          </cell>
          <cell r="V4602" t="str">
            <v>FLOREZ CONDORI  JOSE WILLIANS</v>
          </cell>
        </row>
        <row r="4603">
          <cell r="A4603">
            <v>4604</v>
          </cell>
          <cell r="B4603">
            <v>42759</v>
          </cell>
          <cell r="C4603" t="str">
            <v>ENERO</v>
          </cell>
          <cell r="D4603" t="str">
            <v>2017</v>
          </cell>
          <cell r="E4603">
            <v>897</v>
          </cell>
          <cell r="F4603" t="str">
            <v>AMT-876</v>
          </cell>
          <cell r="G4603" t="str">
            <v>CAMIONETA</v>
          </cell>
          <cell r="H4603" t="str">
            <v>LAS BAMBAS</v>
          </cell>
          <cell r="I4603">
            <v>41784</v>
          </cell>
          <cell r="J4603" t="str">
            <v>REPUESTO</v>
          </cell>
          <cell r="K4603" t="str">
            <v>FILTRO DE AIRE</v>
          </cell>
          <cell r="L4603">
            <v>1</v>
          </cell>
          <cell r="M4603" t="str">
            <v>UNID.</v>
          </cell>
          <cell r="N4603" t="str">
            <v>CAMIONETA</v>
          </cell>
          <cell r="O4603">
            <v>31</v>
          </cell>
          <cell r="P4603" t="str">
            <v>J1</v>
          </cell>
          <cell r="Q4603" t="str">
            <v>J1</v>
          </cell>
          <cell r="R4603" t="str">
            <v>J8</v>
          </cell>
          <cell r="S4603" t="str">
            <v>ENTREGADO</v>
          </cell>
          <cell r="T4603">
            <v>0</v>
          </cell>
          <cell r="U4603" t="str">
            <v>FLOREZ CONDORI  JOSE WILLIANS</v>
          </cell>
          <cell r="V4603" t="str">
            <v>FLOREZ CONDORI  JOSE WILLIANS</v>
          </cell>
        </row>
        <row r="4604">
          <cell r="A4604">
            <v>4605</v>
          </cell>
          <cell r="B4604">
            <v>42759</v>
          </cell>
          <cell r="C4604" t="str">
            <v>ENERO</v>
          </cell>
          <cell r="D4604" t="str">
            <v>2017</v>
          </cell>
          <cell r="E4604">
            <v>897</v>
          </cell>
          <cell r="F4604" t="str">
            <v>AMT-876</v>
          </cell>
          <cell r="G4604" t="str">
            <v>CAMIONETA</v>
          </cell>
          <cell r="H4604" t="str">
            <v>LAS BAMBAS</v>
          </cell>
          <cell r="I4604">
            <v>41784</v>
          </cell>
          <cell r="J4604" t="str">
            <v>REPUESTO</v>
          </cell>
          <cell r="K4604" t="str">
            <v>ACEITE DE MOTOR 15W40</v>
          </cell>
          <cell r="L4604">
            <v>2</v>
          </cell>
          <cell r="M4604" t="str">
            <v>GLNS.</v>
          </cell>
          <cell r="N4604" t="str">
            <v>CAMIONETA</v>
          </cell>
          <cell r="O4604">
            <v>31</v>
          </cell>
          <cell r="P4604" t="str">
            <v>J1</v>
          </cell>
          <cell r="Q4604" t="str">
            <v>J1</v>
          </cell>
          <cell r="R4604" t="str">
            <v>J8</v>
          </cell>
          <cell r="S4604" t="str">
            <v>ENTREGADO</v>
          </cell>
          <cell r="T4604">
            <v>0</v>
          </cell>
          <cell r="U4604" t="str">
            <v>FLOREZ CONDORI  JOSE WILLIANS</v>
          </cell>
          <cell r="V4604" t="str">
            <v>FLOREZ CONDORI  JOSE WILLIANS</v>
          </cell>
        </row>
        <row r="4605">
          <cell r="A4605">
            <v>4617</v>
          </cell>
          <cell r="B4605">
            <v>42759</v>
          </cell>
          <cell r="C4605" t="str">
            <v>ENERO</v>
          </cell>
          <cell r="D4605" t="str">
            <v>2017</v>
          </cell>
          <cell r="E4605">
            <v>905</v>
          </cell>
          <cell r="F4605" t="str">
            <v>D3P-744</v>
          </cell>
          <cell r="G4605" t="str">
            <v>A0F-996</v>
          </cell>
          <cell r="H4605" t="str">
            <v>LAS BAMBAS</v>
          </cell>
          <cell r="I4605">
            <v>161019</v>
          </cell>
          <cell r="J4605" t="str">
            <v>REPUESTO</v>
          </cell>
          <cell r="K4605" t="str">
            <v>JUEGO DE ZAPATA</v>
          </cell>
          <cell r="L4605">
            <v>2</v>
          </cell>
          <cell r="M4605" t="str">
            <v>UNID.</v>
          </cell>
          <cell r="N4605" t="str">
            <v>TRACTO</v>
          </cell>
          <cell r="O4605">
            <v>31</v>
          </cell>
          <cell r="P4605" t="str">
            <v>M6</v>
          </cell>
          <cell r="Q4605" t="str">
            <v>J1</v>
          </cell>
          <cell r="R4605" t="str">
            <v>J8</v>
          </cell>
          <cell r="S4605" t="str">
            <v>ENTREGADO</v>
          </cell>
          <cell r="T4605">
            <v>0</v>
          </cell>
          <cell r="U4605" t="str">
            <v>PARI VENTURA  EDSON ORLANDO</v>
          </cell>
          <cell r="V4605" t="str">
            <v>FLOREZ CONDORI  JOSE WILLIANS</v>
          </cell>
        </row>
        <row r="4606">
          <cell r="A4606">
            <v>4618</v>
          </cell>
          <cell r="B4606">
            <v>42759</v>
          </cell>
          <cell r="C4606" t="str">
            <v>ENERO</v>
          </cell>
          <cell r="D4606" t="str">
            <v>2017</v>
          </cell>
          <cell r="E4606">
            <v>905</v>
          </cell>
          <cell r="F4606" t="str">
            <v>D3P-744</v>
          </cell>
          <cell r="G4606" t="str">
            <v>A0F-996</v>
          </cell>
          <cell r="H4606" t="str">
            <v>LAS BAMBAS</v>
          </cell>
          <cell r="I4606">
            <v>161019</v>
          </cell>
          <cell r="J4606" t="str">
            <v>REPUESTO</v>
          </cell>
          <cell r="K4606" t="str">
            <v>RESORTES PEQUEÑOS DE ZAPATA</v>
          </cell>
          <cell r="L4606">
            <v>8</v>
          </cell>
          <cell r="M4606" t="str">
            <v>UNID.</v>
          </cell>
          <cell r="N4606" t="str">
            <v>TRACTO</v>
          </cell>
          <cell r="O4606">
            <v>31</v>
          </cell>
          <cell r="P4606" t="str">
            <v>M6</v>
          </cell>
          <cell r="Q4606" t="str">
            <v>J1</v>
          </cell>
          <cell r="R4606" t="str">
            <v>J8</v>
          </cell>
          <cell r="S4606" t="str">
            <v>ENTREGADO</v>
          </cell>
          <cell r="T4606">
            <v>0</v>
          </cell>
          <cell r="U4606" t="str">
            <v>PARI VENTURA  EDSON ORLANDO</v>
          </cell>
          <cell r="V4606" t="str">
            <v>FLOREZ CONDORI  JOSE WILLIANS</v>
          </cell>
        </row>
        <row r="4607">
          <cell r="A4607">
            <v>4619</v>
          </cell>
          <cell r="B4607">
            <v>42759</v>
          </cell>
          <cell r="C4607" t="str">
            <v>ENERO</v>
          </cell>
          <cell r="D4607" t="str">
            <v>2017</v>
          </cell>
          <cell r="E4607">
            <v>905</v>
          </cell>
          <cell r="F4607" t="str">
            <v>D3P-744</v>
          </cell>
          <cell r="G4607" t="str">
            <v>A0F-996</v>
          </cell>
          <cell r="H4607" t="str">
            <v>LAS BAMBAS</v>
          </cell>
          <cell r="I4607">
            <v>161019</v>
          </cell>
          <cell r="J4607" t="str">
            <v>REPUESTO</v>
          </cell>
          <cell r="K4607" t="str">
            <v>RESORTES GRANDES DE PAZATA</v>
          </cell>
          <cell r="L4607">
            <v>4</v>
          </cell>
          <cell r="M4607" t="str">
            <v>UNID.</v>
          </cell>
          <cell r="N4607" t="str">
            <v>TRACTO</v>
          </cell>
          <cell r="O4607">
            <v>31</v>
          </cell>
          <cell r="P4607" t="str">
            <v>M6</v>
          </cell>
          <cell r="Q4607" t="str">
            <v>J1</v>
          </cell>
          <cell r="R4607" t="str">
            <v>J8</v>
          </cell>
          <cell r="S4607" t="str">
            <v>ENTREGADO</v>
          </cell>
          <cell r="T4607">
            <v>0</v>
          </cell>
          <cell r="U4607" t="str">
            <v>PARI VENTURA  EDSON ORLANDO</v>
          </cell>
          <cell r="V4607" t="str">
            <v>FLOREZ CONDORI  JOSE WILLIANS</v>
          </cell>
        </row>
        <row r="4608">
          <cell r="A4608">
            <v>4609</v>
          </cell>
          <cell r="B4608">
            <v>42759</v>
          </cell>
          <cell r="C4608" t="str">
            <v>ENERO</v>
          </cell>
          <cell r="D4608" t="str">
            <v>2017</v>
          </cell>
          <cell r="E4608">
            <v>902</v>
          </cell>
          <cell r="F4608" t="str">
            <v>D3P-747</v>
          </cell>
          <cell r="G4608" t="str">
            <v>A0T-985</v>
          </cell>
          <cell r="H4608" t="str">
            <v>LAS BAMBAS</v>
          </cell>
          <cell r="I4608">
            <v>191689</v>
          </cell>
          <cell r="J4608" t="str">
            <v>REPUESTO</v>
          </cell>
          <cell r="K4608" t="str">
            <v>PERNO DE 3/16 X1/2"</v>
          </cell>
          <cell r="L4608">
            <v>2</v>
          </cell>
          <cell r="M4608" t="str">
            <v>UNID.</v>
          </cell>
          <cell r="N4608" t="str">
            <v>CISTERNA</v>
          </cell>
          <cell r="O4608">
            <v>31</v>
          </cell>
          <cell r="P4608" t="str">
            <v>M5</v>
          </cell>
          <cell r="Q4608" t="str">
            <v>J1</v>
          </cell>
          <cell r="R4608" t="str">
            <v>J8</v>
          </cell>
          <cell r="S4608" t="str">
            <v>ENTREGADO</v>
          </cell>
          <cell r="T4608">
            <v>0</v>
          </cell>
          <cell r="U4608" t="str">
            <v>LOPEZ RUIZ WILBERTO</v>
          </cell>
          <cell r="V4608" t="str">
            <v>FLOREZ CONDORI  JOSE WILLIANS</v>
          </cell>
        </row>
        <row r="4609">
          <cell r="A4609">
            <v>4610</v>
          </cell>
          <cell r="B4609">
            <v>42759</v>
          </cell>
          <cell r="C4609" t="str">
            <v>ENERO</v>
          </cell>
          <cell r="D4609" t="str">
            <v>2017</v>
          </cell>
          <cell r="E4609">
            <v>902</v>
          </cell>
          <cell r="F4609" t="str">
            <v>D3P-747</v>
          </cell>
          <cell r="G4609" t="str">
            <v>A0T-985</v>
          </cell>
          <cell r="H4609" t="str">
            <v>LAS BAMBAS</v>
          </cell>
          <cell r="I4609">
            <v>191689</v>
          </cell>
          <cell r="J4609" t="str">
            <v>REPUESTO</v>
          </cell>
          <cell r="K4609" t="str">
            <v>PERNO DE 5/16 X 1"</v>
          </cell>
          <cell r="L4609">
            <v>2</v>
          </cell>
          <cell r="M4609" t="str">
            <v>UNID.</v>
          </cell>
          <cell r="N4609" t="str">
            <v>CISTERNA</v>
          </cell>
          <cell r="O4609">
            <v>31</v>
          </cell>
          <cell r="P4609" t="str">
            <v>M5</v>
          </cell>
          <cell r="Q4609" t="str">
            <v>J1</v>
          </cell>
          <cell r="R4609" t="str">
            <v>J8</v>
          </cell>
          <cell r="S4609" t="str">
            <v>ENTREGADO</v>
          </cell>
          <cell r="T4609">
            <v>0</v>
          </cell>
          <cell r="U4609" t="str">
            <v>LOPEZ RUIZ WILBERTO</v>
          </cell>
          <cell r="V4609" t="str">
            <v>FLOREZ CONDORI  JOSE WILLIANS</v>
          </cell>
        </row>
        <row r="4610">
          <cell r="A4610">
            <v>4611</v>
          </cell>
          <cell r="B4610">
            <v>42759</v>
          </cell>
          <cell r="C4610" t="str">
            <v>ENERO</v>
          </cell>
          <cell r="D4610" t="str">
            <v>2017</v>
          </cell>
          <cell r="E4610">
            <v>902</v>
          </cell>
          <cell r="F4610" t="str">
            <v>D3P-747</v>
          </cell>
          <cell r="G4610" t="str">
            <v>A0T-985</v>
          </cell>
          <cell r="H4610" t="str">
            <v>LAS BAMBAS</v>
          </cell>
          <cell r="I4610">
            <v>191689</v>
          </cell>
          <cell r="J4610" t="str">
            <v>REPUESTO</v>
          </cell>
          <cell r="K4610" t="str">
            <v>TUERCA DE 5/16</v>
          </cell>
          <cell r="L4610">
            <v>2</v>
          </cell>
          <cell r="M4610" t="str">
            <v>UNID.</v>
          </cell>
          <cell r="N4610" t="str">
            <v>CISTERNA</v>
          </cell>
          <cell r="O4610">
            <v>31</v>
          </cell>
          <cell r="P4610" t="str">
            <v>M5</v>
          </cell>
          <cell r="Q4610" t="str">
            <v>J1</v>
          </cell>
          <cell r="R4610" t="str">
            <v>J8</v>
          </cell>
          <cell r="S4610" t="str">
            <v>ENTREGADO</v>
          </cell>
          <cell r="T4610">
            <v>0</v>
          </cell>
          <cell r="U4610" t="str">
            <v>LOPEZ RUIZ WILBERTO</v>
          </cell>
          <cell r="V4610" t="str">
            <v>FLOREZ CONDORI  JOSE WILLIANS</v>
          </cell>
        </row>
        <row r="4611">
          <cell r="A4611">
            <v>4620</v>
          </cell>
          <cell r="B4611">
            <v>42759</v>
          </cell>
          <cell r="C4611" t="str">
            <v>ENERO</v>
          </cell>
          <cell r="D4611" t="str">
            <v>2017</v>
          </cell>
          <cell r="E4611">
            <v>902</v>
          </cell>
          <cell r="F4611" t="str">
            <v>D3P-747</v>
          </cell>
          <cell r="G4611" t="str">
            <v>A0T-985</v>
          </cell>
          <cell r="H4611" t="str">
            <v>LAS BAMBAS</v>
          </cell>
          <cell r="I4611">
            <v>191689</v>
          </cell>
          <cell r="J4611" t="str">
            <v>REPUESTO</v>
          </cell>
          <cell r="K4611" t="str">
            <v>NIPLE DE 1/2  EN  L  SALIDA A 3/8</v>
          </cell>
          <cell r="L4611">
            <v>2</v>
          </cell>
          <cell r="M4611" t="str">
            <v>UNID.</v>
          </cell>
          <cell r="N4611" t="str">
            <v>CISTERNA</v>
          </cell>
          <cell r="O4611">
            <v>31</v>
          </cell>
          <cell r="P4611" t="str">
            <v>M5</v>
          </cell>
          <cell r="Q4611" t="str">
            <v>J1</v>
          </cell>
          <cell r="R4611" t="str">
            <v>J8</v>
          </cell>
          <cell r="S4611" t="str">
            <v>ENTREGADO</v>
          </cell>
          <cell r="T4611">
            <v>0</v>
          </cell>
          <cell r="U4611" t="str">
            <v>LOPEZ RUIZ WILBERTO</v>
          </cell>
          <cell r="V4611" t="str">
            <v>FLOREZ CONDORI  JOSE WILLIANS</v>
          </cell>
        </row>
        <row r="4612">
          <cell r="A4612">
            <v>4621</v>
          </cell>
          <cell r="B4612">
            <v>42759</v>
          </cell>
          <cell r="C4612" t="str">
            <v>ENERO</v>
          </cell>
          <cell r="D4612" t="str">
            <v>2017</v>
          </cell>
          <cell r="E4612">
            <v>902</v>
          </cell>
          <cell r="F4612" t="str">
            <v>D3P-747</v>
          </cell>
          <cell r="G4612" t="str">
            <v>A0T-985</v>
          </cell>
          <cell r="H4612" t="str">
            <v>LAS BAMBAS</v>
          </cell>
          <cell r="I4612">
            <v>191689</v>
          </cell>
          <cell r="J4612" t="str">
            <v>REPUESTO</v>
          </cell>
          <cell r="K4612" t="str">
            <v>CONO , GUIA Y TUERCA DE 3/8.</v>
          </cell>
          <cell r="L4612">
            <v>2</v>
          </cell>
          <cell r="M4612" t="str">
            <v>UNID.</v>
          </cell>
          <cell r="N4612" t="str">
            <v>CISTERNA</v>
          </cell>
          <cell r="O4612">
            <v>31</v>
          </cell>
          <cell r="P4612" t="str">
            <v>M5</v>
          </cell>
          <cell r="Q4612" t="str">
            <v>J1</v>
          </cell>
          <cell r="R4612" t="str">
            <v>J8</v>
          </cell>
          <cell r="S4612" t="str">
            <v>ENTREGADO</v>
          </cell>
          <cell r="T4612">
            <v>0</v>
          </cell>
          <cell r="U4612" t="str">
            <v>LOPEZ RUIZ WILBERTO</v>
          </cell>
          <cell r="V4612" t="str">
            <v>FLOREZ CONDORI  JOSE WILLIANS</v>
          </cell>
        </row>
        <row r="4613">
          <cell r="A4613">
            <v>4622</v>
          </cell>
          <cell r="B4613">
            <v>42759</v>
          </cell>
          <cell r="C4613" t="str">
            <v>ENERO</v>
          </cell>
          <cell r="D4613" t="str">
            <v>2017</v>
          </cell>
          <cell r="E4613">
            <v>902</v>
          </cell>
          <cell r="F4613" t="str">
            <v>D3P-747</v>
          </cell>
          <cell r="G4613" t="str">
            <v>A0T-985</v>
          </cell>
          <cell r="H4613" t="str">
            <v>LAS BAMBAS</v>
          </cell>
          <cell r="I4613">
            <v>191689</v>
          </cell>
          <cell r="J4613" t="str">
            <v>REPUESTO</v>
          </cell>
          <cell r="K4613" t="str">
            <v>PRECINTOS</v>
          </cell>
          <cell r="L4613">
            <v>6</v>
          </cell>
          <cell r="M4613" t="str">
            <v>UNID.</v>
          </cell>
          <cell r="N4613" t="str">
            <v>CISTERNA</v>
          </cell>
          <cell r="O4613">
            <v>31</v>
          </cell>
          <cell r="P4613" t="str">
            <v>M5</v>
          </cell>
          <cell r="Q4613" t="str">
            <v>J1</v>
          </cell>
          <cell r="R4613" t="str">
            <v>J8</v>
          </cell>
          <cell r="S4613" t="str">
            <v>ENTREGADO</v>
          </cell>
          <cell r="T4613">
            <v>0</v>
          </cell>
          <cell r="U4613" t="str">
            <v>LOPEZ RUIZ WILBERTO</v>
          </cell>
          <cell r="V4613" t="str">
            <v>FLOREZ CONDORI  JOSE WILLIANS</v>
          </cell>
        </row>
        <row r="4614">
          <cell r="A4614">
            <v>4623</v>
          </cell>
          <cell r="B4614">
            <v>42759</v>
          </cell>
          <cell r="C4614" t="str">
            <v>ENERO</v>
          </cell>
          <cell r="D4614" t="str">
            <v>2017</v>
          </cell>
          <cell r="E4614">
            <v>202</v>
          </cell>
          <cell r="F4614" t="str">
            <v>D3P-752</v>
          </cell>
          <cell r="G4614" t="str">
            <v>C5Y-985</v>
          </cell>
          <cell r="H4614" t="str">
            <v>LAS BAMBAS</v>
          </cell>
          <cell r="I4614">
            <v>150504</v>
          </cell>
          <cell r="J4614" t="str">
            <v>REPUESTO</v>
          </cell>
          <cell r="K4614" t="str">
            <v>MANIJA PARA PUERTA LADO IZQUIERDO</v>
          </cell>
          <cell r="L4614">
            <v>1</v>
          </cell>
          <cell r="M4614" t="str">
            <v>UNID.</v>
          </cell>
          <cell r="N4614" t="str">
            <v>TRACTO</v>
          </cell>
          <cell r="O4614">
            <v>31</v>
          </cell>
          <cell r="P4614" t="str">
            <v>E2</v>
          </cell>
          <cell r="Q4614" t="str">
            <v>J1</v>
          </cell>
          <cell r="R4614" t="str">
            <v>J8</v>
          </cell>
          <cell r="S4614" t="str">
            <v>PENDIENTE</v>
          </cell>
          <cell r="T4614">
            <v>0</v>
          </cell>
          <cell r="U4614" t="str">
            <v>YUCA BELLIDO BORIS YERSY</v>
          </cell>
          <cell r="V4614" t="str">
            <v>FLOREZ CONDORI  JOSE WILLIANS</v>
          </cell>
        </row>
        <row r="4615">
          <cell r="A4615">
            <v>4613</v>
          </cell>
          <cell r="B4615">
            <v>42759</v>
          </cell>
          <cell r="C4615" t="str">
            <v>ENERO</v>
          </cell>
          <cell r="D4615" t="str">
            <v>2017</v>
          </cell>
          <cell r="E4615">
            <v>878</v>
          </cell>
          <cell r="F4615" t="str">
            <v>D6F-903</v>
          </cell>
          <cell r="G4615" t="str">
            <v>B8K-997</v>
          </cell>
          <cell r="H4615" t="str">
            <v>LAS BAMBAS</v>
          </cell>
          <cell r="I4615">
            <v>224591</v>
          </cell>
          <cell r="J4615" t="str">
            <v>SERVICIO</v>
          </cell>
          <cell r="K4615" t="str">
            <v>SERVICIO DE REPARACION DE RADIO BASE</v>
          </cell>
          <cell r="L4615">
            <v>1</v>
          </cell>
          <cell r="M4615" t="str">
            <v>UNID.</v>
          </cell>
          <cell r="N4615" t="str">
            <v>TALLER</v>
          </cell>
          <cell r="O4615">
            <v>31</v>
          </cell>
          <cell r="P4615" t="str">
            <v>J8</v>
          </cell>
          <cell r="Q4615" t="str">
            <v>J1</v>
          </cell>
          <cell r="R4615" t="str">
            <v>J8</v>
          </cell>
          <cell r="S4615" t="str">
            <v>ENTREGADO</v>
          </cell>
          <cell r="T4615">
            <v>0</v>
          </cell>
          <cell r="U4615" t="str">
            <v>ARANGO PAREJA ANGELA ROSARIO</v>
          </cell>
          <cell r="V4615" t="str">
            <v>FLOREZ CONDORI  JOSE WILLIANS</v>
          </cell>
        </row>
        <row r="4616">
          <cell r="A4616">
            <v>4595</v>
          </cell>
          <cell r="B4616">
            <v>42759</v>
          </cell>
          <cell r="C4616" t="str">
            <v>ENERO</v>
          </cell>
          <cell r="D4616" t="str">
            <v>2017</v>
          </cell>
          <cell r="E4616">
            <v>200</v>
          </cell>
          <cell r="F4616" t="str">
            <v>TALLER</v>
          </cell>
          <cell r="G4616" t="str">
            <v>TALLER</v>
          </cell>
          <cell r="H4616" t="str">
            <v>TALLER</v>
          </cell>
          <cell r="I4616" t="str">
            <v>TALLER</v>
          </cell>
          <cell r="J4616" t="str">
            <v>MATERIALES</v>
          </cell>
          <cell r="K4616" t="str">
            <v>TRAPO INDUSTRIAL</v>
          </cell>
          <cell r="L4616">
            <v>1</v>
          </cell>
          <cell r="M4616" t="str">
            <v>KG.</v>
          </cell>
          <cell r="N4616" t="str">
            <v>TALLER</v>
          </cell>
          <cell r="O4616">
            <v>31</v>
          </cell>
          <cell r="P4616" t="str">
            <v>J8</v>
          </cell>
          <cell r="Q4616" t="str">
            <v>J1</v>
          </cell>
          <cell r="R4616" t="str">
            <v>J8</v>
          </cell>
          <cell r="S4616" t="str">
            <v>ENTREGADO</v>
          </cell>
          <cell r="T4616">
            <v>0</v>
          </cell>
          <cell r="U4616" t="str">
            <v>ARANGO PAREJA ANGELA ROSARIO</v>
          </cell>
          <cell r="V4616" t="str">
            <v>FLOREZ CONDORI  JOSE WILLIANS</v>
          </cell>
        </row>
        <row r="4617">
          <cell r="A4617">
            <v>4596</v>
          </cell>
          <cell r="B4617">
            <v>42759</v>
          </cell>
          <cell r="C4617" t="str">
            <v>ENERO</v>
          </cell>
          <cell r="D4617" t="str">
            <v>2017</v>
          </cell>
          <cell r="E4617">
            <v>200</v>
          </cell>
          <cell r="F4617" t="str">
            <v>TALLER</v>
          </cell>
          <cell r="G4617" t="str">
            <v>TALLER</v>
          </cell>
          <cell r="H4617" t="str">
            <v>TALLER</v>
          </cell>
          <cell r="I4617" t="str">
            <v>TALLER</v>
          </cell>
          <cell r="J4617" t="str">
            <v>MATERIALES</v>
          </cell>
          <cell r="K4617" t="str">
            <v>WAIPE</v>
          </cell>
          <cell r="L4617">
            <v>0.5</v>
          </cell>
          <cell r="M4617" t="str">
            <v>KG.</v>
          </cell>
          <cell r="N4617" t="str">
            <v>TALLER</v>
          </cell>
          <cell r="O4617">
            <v>31</v>
          </cell>
          <cell r="P4617" t="str">
            <v>E3</v>
          </cell>
          <cell r="Q4617" t="str">
            <v>J1</v>
          </cell>
          <cell r="R4617" t="str">
            <v>J8</v>
          </cell>
          <cell r="S4617" t="str">
            <v>ENTREGADO</v>
          </cell>
          <cell r="T4617">
            <v>0</v>
          </cell>
          <cell r="U4617" t="str">
            <v>CONDORI CHURATA ALEX</v>
          </cell>
          <cell r="V4617" t="str">
            <v>FLOREZ CONDORI  JOSE WILLIANS</v>
          </cell>
        </row>
        <row r="4618">
          <cell r="A4618">
            <v>4597</v>
          </cell>
          <cell r="B4618">
            <v>42759</v>
          </cell>
          <cell r="C4618" t="str">
            <v>ENERO</v>
          </cell>
          <cell r="D4618" t="str">
            <v>2017</v>
          </cell>
          <cell r="E4618">
            <v>200</v>
          </cell>
          <cell r="F4618" t="str">
            <v>TALLER</v>
          </cell>
          <cell r="G4618" t="str">
            <v>TALLER</v>
          </cell>
          <cell r="H4618" t="str">
            <v>TALLER</v>
          </cell>
          <cell r="I4618" t="str">
            <v>TALLER</v>
          </cell>
          <cell r="J4618" t="str">
            <v>MATERIALES</v>
          </cell>
          <cell r="K4618" t="str">
            <v>TIBE</v>
          </cell>
          <cell r="L4618">
            <v>1</v>
          </cell>
          <cell r="M4618" t="str">
            <v>UNID.</v>
          </cell>
          <cell r="N4618" t="str">
            <v>TALLER</v>
          </cell>
          <cell r="O4618">
            <v>31</v>
          </cell>
          <cell r="P4618" t="str">
            <v>E3</v>
          </cell>
          <cell r="Q4618" t="str">
            <v>J1</v>
          </cell>
          <cell r="R4618" t="str">
            <v>J8</v>
          </cell>
          <cell r="S4618" t="str">
            <v>ENTREGADO</v>
          </cell>
          <cell r="T4618">
            <v>0</v>
          </cell>
          <cell r="U4618" t="str">
            <v>CONDORI CHURATA ALEX</v>
          </cell>
          <cell r="V4618" t="str">
            <v>FLOREZ CONDORI  JOSE WILLIANS</v>
          </cell>
        </row>
        <row r="4619">
          <cell r="A4619">
            <v>4607</v>
          </cell>
          <cell r="B4619">
            <v>42759</v>
          </cell>
          <cell r="C4619" t="str">
            <v>ENERO</v>
          </cell>
          <cell r="D4619" t="str">
            <v>2017</v>
          </cell>
          <cell r="E4619">
            <v>200</v>
          </cell>
          <cell r="F4619" t="str">
            <v>TALLER</v>
          </cell>
          <cell r="G4619" t="str">
            <v>TALLER</v>
          </cell>
          <cell r="H4619" t="str">
            <v>TALLER</v>
          </cell>
          <cell r="I4619" t="str">
            <v>TALLER</v>
          </cell>
          <cell r="J4619" t="str">
            <v>REPUESTO</v>
          </cell>
          <cell r="K4619" t="str">
            <v>CINTA AISLANTE NEGRA</v>
          </cell>
          <cell r="L4619">
            <v>1</v>
          </cell>
          <cell r="M4619" t="str">
            <v>UNID.</v>
          </cell>
          <cell r="N4619" t="str">
            <v>TALLER</v>
          </cell>
          <cell r="O4619">
            <v>31</v>
          </cell>
          <cell r="P4619" t="str">
            <v>E2</v>
          </cell>
          <cell r="Q4619" t="str">
            <v>J1</v>
          </cell>
          <cell r="R4619" t="str">
            <v>J8</v>
          </cell>
          <cell r="S4619" t="str">
            <v>ENTREGADO</v>
          </cell>
          <cell r="T4619">
            <v>0</v>
          </cell>
          <cell r="U4619" t="str">
            <v>YUCA BELLIDO BORIS YERSY</v>
          </cell>
          <cell r="V4619" t="str">
            <v>FLOREZ CONDORI  JOSE WILLIANS</v>
          </cell>
        </row>
        <row r="4620">
          <cell r="A4620">
            <v>4608</v>
          </cell>
          <cell r="B4620">
            <v>42759</v>
          </cell>
          <cell r="C4620" t="str">
            <v>ENERO</v>
          </cell>
          <cell r="D4620" t="str">
            <v>2017</v>
          </cell>
          <cell r="E4620">
            <v>200</v>
          </cell>
          <cell r="F4620" t="str">
            <v>TALLER</v>
          </cell>
          <cell r="G4620" t="str">
            <v>TALLER</v>
          </cell>
          <cell r="H4620" t="str">
            <v>TALLER</v>
          </cell>
          <cell r="I4620" t="str">
            <v>TALLER</v>
          </cell>
          <cell r="J4620" t="str">
            <v>REPUESTO</v>
          </cell>
          <cell r="K4620" t="str">
            <v>PRECINTOS</v>
          </cell>
          <cell r="L4620">
            <v>20</v>
          </cell>
          <cell r="M4620" t="str">
            <v>UNID.</v>
          </cell>
          <cell r="N4620" t="str">
            <v>TALLER</v>
          </cell>
          <cell r="O4620">
            <v>31</v>
          </cell>
          <cell r="P4620" t="str">
            <v>E2</v>
          </cell>
          <cell r="Q4620" t="str">
            <v>J1</v>
          </cell>
          <cell r="R4620" t="str">
            <v>J8</v>
          </cell>
          <cell r="S4620" t="str">
            <v>ENTREGADO</v>
          </cell>
          <cell r="T4620">
            <v>0</v>
          </cell>
          <cell r="U4620" t="str">
            <v>YUCA BELLIDO BORIS YERSY</v>
          </cell>
          <cell r="V4620" t="str">
            <v>FLOREZ CONDORI  JOSE WILLIANS</v>
          </cell>
        </row>
        <row r="4621">
          <cell r="A4621">
            <v>4612</v>
          </cell>
          <cell r="B4621">
            <v>42759</v>
          </cell>
          <cell r="C4621" t="str">
            <v>ENERO</v>
          </cell>
          <cell r="D4621" t="str">
            <v>2017</v>
          </cell>
          <cell r="E4621">
            <v>200</v>
          </cell>
          <cell r="F4621" t="str">
            <v>TALLER</v>
          </cell>
          <cell r="G4621" t="str">
            <v>TALLER</v>
          </cell>
          <cell r="H4621" t="str">
            <v>TALLER</v>
          </cell>
          <cell r="I4621" t="str">
            <v>TALLER</v>
          </cell>
          <cell r="J4621" t="str">
            <v>SERVICIO</v>
          </cell>
          <cell r="K4621" t="str">
            <v>SERVICIO DE INSTALACION DE CABEZAL DE COMPRESORA</v>
          </cell>
          <cell r="L4621">
            <v>1</v>
          </cell>
          <cell r="M4621" t="str">
            <v>UNID.</v>
          </cell>
          <cell r="N4621" t="str">
            <v>TALLER</v>
          </cell>
          <cell r="O4621">
            <v>31</v>
          </cell>
          <cell r="P4621" t="str">
            <v>J8</v>
          </cell>
          <cell r="Q4621" t="str">
            <v>J1</v>
          </cell>
          <cell r="R4621" t="str">
            <v>J8</v>
          </cell>
          <cell r="S4621" t="str">
            <v>ENTREGADO</v>
          </cell>
          <cell r="T4621">
            <v>0</v>
          </cell>
          <cell r="U4621" t="str">
            <v>ARANGO PAREJA ANGELA ROSARIO</v>
          </cell>
          <cell r="V4621" t="str">
            <v>FLOREZ CONDORI  JOSE WILLIANS</v>
          </cell>
        </row>
        <row r="4622">
          <cell r="A4622">
            <v>4601</v>
          </cell>
          <cell r="B4622">
            <v>42759</v>
          </cell>
          <cell r="C4622" t="str">
            <v>ENERO</v>
          </cell>
          <cell r="D4622" t="str">
            <v>2017</v>
          </cell>
          <cell r="E4622">
            <v>900</v>
          </cell>
          <cell r="F4622" t="str">
            <v>X2W-761</v>
          </cell>
          <cell r="G4622" t="str">
            <v>C5V-996</v>
          </cell>
          <cell r="H4622" t="str">
            <v>LAS BAMBAS</v>
          </cell>
          <cell r="I4622">
            <v>150322</v>
          </cell>
          <cell r="J4622" t="str">
            <v>REPUESTO</v>
          </cell>
          <cell r="K4622" t="str">
            <v>BLOQUEADOR DE CORRIENTE</v>
          </cell>
          <cell r="L4622">
            <v>1</v>
          </cell>
          <cell r="M4622" t="str">
            <v>UNID.</v>
          </cell>
          <cell r="N4622" t="str">
            <v>TRACTO</v>
          </cell>
          <cell r="O4622">
            <v>31</v>
          </cell>
          <cell r="P4622" t="str">
            <v>E2</v>
          </cell>
          <cell r="Q4622" t="str">
            <v>J1</v>
          </cell>
          <cell r="R4622" t="str">
            <v>J8</v>
          </cell>
          <cell r="S4622" t="str">
            <v>ENTREGADO</v>
          </cell>
          <cell r="T4622">
            <v>0</v>
          </cell>
          <cell r="U4622" t="str">
            <v>YUCA BELLIDO BORIS YERSY</v>
          </cell>
          <cell r="V4622" t="str">
            <v>FLOREZ CONDORI  JOSE WILLIANS</v>
          </cell>
        </row>
        <row r="4623">
          <cell r="A4623">
            <v>4606</v>
          </cell>
          <cell r="B4623">
            <v>42759</v>
          </cell>
          <cell r="C4623" t="str">
            <v>ENERO</v>
          </cell>
          <cell r="D4623" t="str">
            <v>2017</v>
          </cell>
          <cell r="E4623">
            <v>900</v>
          </cell>
          <cell r="F4623" t="str">
            <v>X2W-761</v>
          </cell>
          <cell r="G4623" t="str">
            <v>C5V-996</v>
          </cell>
          <cell r="H4623" t="str">
            <v>LAS BAMBAS</v>
          </cell>
          <cell r="I4623">
            <v>150322</v>
          </cell>
          <cell r="J4623" t="str">
            <v>REPUESTO</v>
          </cell>
          <cell r="K4623" t="str">
            <v>LLANTAS REENCAUCHADAS IDY</v>
          </cell>
          <cell r="L4623">
            <v>8</v>
          </cell>
          <cell r="M4623" t="str">
            <v>UNID.</v>
          </cell>
          <cell r="N4623" t="str">
            <v>TRACTO</v>
          </cell>
          <cell r="O4623">
            <v>31</v>
          </cell>
          <cell r="P4623" t="str">
            <v>N2</v>
          </cell>
          <cell r="Q4623" t="str">
            <v>J1</v>
          </cell>
          <cell r="R4623" t="str">
            <v>J8</v>
          </cell>
          <cell r="S4623" t="str">
            <v>ENTREGADO</v>
          </cell>
          <cell r="T4623">
            <v>0</v>
          </cell>
          <cell r="U4623" t="str">
            <v>MAMANI LARICO  EDUARDO ALVARO</v>
          </cell>
          <cell r="V4623" t="str">
            <v>FLOREZ CONDORI  JOSE WILLIANS</v>
          </cell>
        </row>
        <row r="4624">
          <cell r="A4624">
            <v>4614</v>
          </cell>
          <cell r="B4624">
            <v>42759</v>
          </cell>
          <cell r="C4624" t="str">
            <v>ENERO</v>
          </cell>
          <cell r="D4624" t="str">
            <v>2017</v>
          </cell>
          <cell r="E4624">
            <v>900</v>
          </cell>
          <cell r="F4624" t="str">
            <v>X2W-761</v>
          </cell>
          <cell r="G4624" t="str">
            <v>C5V-996</v>
          </cell>
          <cell r="H4624" t="str">
            <v>LAS BAMBAS</v>
          </cell>
          <cell r="I4624">
            <v>150322</v>
          </cell>
          <cell r="J4624" t="str">
            <v>REPUESTO</v>
          </cell>
          <cell r="K4624" t="str">
            <v>VALVULA DE PITON</v>
          </cell>
          <cell r="L4624">
            <v>8</v>
          </cell>
          <cell r="M4624" t="str">
            <v>UNID.</v>
          </cell>
          <cell r="N4624" t="str">
            <v>TRACTO</v>
          </cell>
          <cell r="O4624">
            <v>31</v>
          </cell>
          <cell r="P4624" t="str">
            <v>N2</v>
          </cell>
          <cell r="Q4624" t="str">
            <v>J1</v>
          </cell>
          <cell r="R4624" t="str">
            <v>J8</v>
          </cell>
          <cell r="S4624" t="str">
            <v>ENTREGADO</v>
          </cell>
          <cell r="T4624">
            <v>0</v>
          </cell>
          <cell r="U4624" t="str">
            <v>MAMANI LARICO  EDUARDO ALVARO</v>
          </cell>
          <cell r="V4624" t="str">
            <v>FLOREZ CONDORI  JOSE WILLIANS</v>
          </cell>
        </row>
        <row r="4625">
          <cell r="A4625">
            <v>4615</v>
          </cell>
          <cell r="B4625">
            <v>42759</v>
          </cell>
          <cell r="C4625" t="str">
            <v>ENERO</v>
          </cell>
          <cell r="D4625" t="str">
            <v>2017</v>
          </cell>
          <cell r="E4625">
            <v>900</v>
          </cell>
          <cell r="F4625" t="str">
            <v>X2W-761</v>
          </cell>
          <cell r="G4625" t="str">
            <v>C5V-996</v>
          </cell>
          <cell r="H4625" t="str">
            <v>LAS BAMBAS</v>
          </cell>
          <cell r="I4625">
            <v>150322</v>
          </cell>
          <cell r="J4625" t="str">
            <v>REPUESTO</v>
          </cell>
          <cell r="K4625" t="str">
            <v>BOCINA TIPO TORRE</v>
          </cell>
          <cell r="L4625">
            <v>1</v>
          </cell>
          <cell r="M4625" t="str">
            <v>UNID.</v>
          </cell>
          <cell r="N4625" t="str">
            <v>CISTERNA</v>
          </cell>
          <cell r="O4625">
            <v>31</v>
          </cell>
          <cell r="P4625" t="str">
            <v>M8</v>
          </cell>
          <cell r="Q4625" t="str">
            <v>J1</v>
          </cell>
          <cell r="R4625" t="str">
            <v>J5</v>
          </cell>
          <cell r="S4625" t="str">
            <v>ENTREGADO</v>
          </cell>
          <cell r="T4625">
            <v>0</v>
          </cell>
          <cell r="U4625" t="str">
            <v>VARILLAS GAGO  OSCAR ALBERTO</v>
          </cell>
          <cell r="V4625" t="str">
            <v>FLOREZ CONDORI  JOSE WILLIANS</v>
          </cell>
        </row>
        <row r="4626">
          <cell r="A4626">
            <v>4616</v>
          </cell>
          <cell r="B4626">
            <v>42759</v>
          </cell>
          <cell r="C4626" t="str">
            <v>ENERO</v>
          </cell>
          <cell r="D4626" t="str">
            <v>2017</v>
          </cell>
          <cell r="E4626">
            <v>900</v>
          </cell>
          <cell r="F4626" t="str">
            <v>X2W-761</v>
          </cell>
          <cell r="G4626" t="str">
            <v>C5V-996</v>
          </cell>
          <cell r="H4626" t="str">
            <v>LAS BAMBAS</v>
          </cell>
          <cell r="I4626">
            <v>150322</v>
          </cell>
          <cell r="J4626" t="str">
            <v>REPUESTO</v>
          </cell>
          <cell r="K4626" t="str">
            <v>BASE DE BOCINA TIPO TORRE</v>
          </cell>
          <cell r="L4626">
            <v>1</v>
          </cell>
          <cell r="M4626" t="str">
            <v>UNID.</v>
          </cell>
          <cell r="N4626" t="str">
            <v>CISTERNA</v>
          </cell>
          <cell r="O4626">
            <v>31</v>
          </cell>
          <cell r="P4626" t="str">
            <v>M8</v>
          </cell>
          <cell r="Q4626" t="str">
            <v>J1</v>
          </cell>
          <cell r="R4626" t="str">
            <v>J5</v>
          </cell>
          <cell r="S4626" t="str">
            <v>ENTREGADO</v>
          </cell>
          <cell r="T4626">
            <v>0</v>
          </cell>
          <cell r="U4626" t="str">
            <v>VARILLAS GAGO  OSCAR ALBERTO</v>
          </cell>
          <cell r="V4626" t="str">
            <v>FLOREZ CONDORI  JOSE WILLIANS</v>
          </cell>
        </row>
        <row r="4627">
          <cell r="A4627">
            <v>4672</v>
          </cell>
          <cell r="B4627">
            <v>42760</v>
          </cell>
          <cell r="C4627" t="str">
            <v>ENERO</v>
          </cell>
          <cell r="D4627" t="str">
            <v>2017</v>
          </cell>
          <cell r="E4627">
            <v>913</v>
          </cell>
          <cell r="F4627" t="str">
            <v>A5O-859</v>
          </cell>
          <cell r="G4627" t="str">
            <v>B6Y-971</v>
          </cell>
          <cell r="H4627" t="str">
            <v>LAS BAMBAS</v>
          </cell>
          <cell r="I4627">
            <v>119867</v>
          </cell>
          <cell r="J4627" t="str">
            <v>REPUESTO</v>
          </cell>
          <cell r="K4627" t="str">
            <v>TERMINAL OJO DE BATERIA 3/8</v>
          </cell>
          <cell r="L4627">
            <v>2</v>
          </cell>
          <cell r="M4627" t="str">
            <v>UNID.</v>
          </cell>
          <cell r="N4627" t="str">
            <v>TRACTO</v>
          </cell>
          <cell r="O4627">
            <v>30</v>
          </cell>
          <cell r="P4627" t="str">
            <v>E3</v>
          </cell>
          <cell r="Q4627" t="str">
            <v>J1</v>
          </cell>
          <cell r="R4627" t="str">
            <v>J6</v>
          </cell>
          <cell r="S4627" t="str">
            <v>ENTREGADO</v>
          </cell>
          <cell r="T4627">
            <v>0</v>
          </cell>
          <cell r="U4627" t="str">
            <v>CONDORI CHURATA ALEX</v>
          </cell>
          <cell r="V4627" t="str">
            <v>FLOREZ CONDORI  JOSE WILLIANS</v>
          </cell>
        </row>
        <row r="4628">
          <cell r="A4628">
            <v>4676</v>
          </cell>
          <cell r="B4628">
            <v>42760</v>
          </cell>
          <cell r="C4628" t="str">
            <v>ENERO</v>
          </cell>
          <cell r="D4628" t="str">
            <v>2017</v>
          </cell>
          <cell r="E4628">
            <v>913</v>
          </cell>
          <cell r="F4628" t="str">
            <v>A5O-859</v>
          </cell>
          <cell r="G4628" t="str">
            <v>B6Y-971</v>
          </cell>
          <cell r="H4628" t="str">
            <v>LAS BAMBAS</v>
          </cell>
          <cell r="I4628">
            <v>119867</v>
          </cell>
          <cell r="J4628" t="str">
            <v>REPUESTO</v>
          </cell>
          <cell r="K4628" t="str">
            <v>FOCO PILIOTO DE 01 CONTACTO</v>
          </cell>
          <cell r="L4628">
            <v>1</v>
          </cell>
          <cell r="M4628" t="str">
            <v>UNID.</v>
          </cell>
          <cell r="N4628" t="str">
            <v>TRACTO</v>
          </cell>
          <cell r="O4628">
            <v>30</v>
          </cell>
          <cell r="P4628" t="str">
            <v>E2</v>
          </cell>
          <cell r="Q4628" t="str">
            <v>J1</v>
          </cell>
          <cell r="R4628" t="str">
            <v>J8</v>
          </cell>
          <cell r="S4628" t="str">
            <v>ENTREGADO</v>
          </cell>
          <cell r="T4628">
            <v>0</v>
          </cell>
          <cell r="U4628" t="str">
            <v>YUCA BELLIDO BORIS YERSY</v>
          </cell>
          <cell r="V4628" t="str">
            <v>FLOREZ CONDORI  JOSE WILLIANS</v>
          </cell>
        </row>
        <row r="4629">
          <cell r="A4629">
            <v>4677</v>
          </cell>
          <cell r="B4629">
            <v>42760</v>
          </cell>
          <cell r="C4629" t="str">
            <v>ENERO</v>
          </cell>
          <cell r="D4629" t="str">
            <v>2017</v>
          </cell>
          <cell r="E4629">
            <v>913</v>
          </cell>
          <cell r="F4629" t="str">
            <v>A5O-859</v>
          </cell>
          <cell r="G4629" t="str">
            <v>B6Y-971</v>
          </cell>
          <cell r="H4629" t="str">
            <v>LAS BAMBAS</v>
          </cell>
          <cell r="I4629">
            <v>119867</v>
          </cell>
          <cell r="J4629" t="str">
            <v>REPUESTO</v>
          </cell>
          <cell r="K4629" t="str">
            <v>FOCO  PILOTO DE 02 CONTACTO</v>
          </cell>
          <cell r="L4629">
            <v>1</v>
          </cell>
          <cell r="M4629" t="str">
            <v>UNID.</v>
          </cell>
          <cell r="N4629" t="str">
            <v>TRACTO</v>
          </cell>
          <cell r="O4629">
            <v>30</v>
          </cell>
          <cell r="P4629" t="str">
            <v>E2</v>
          </cell>
          <cell r="Q4629" t="str">
            <v>J1</v>
          </cell>
          <cell r="R4629" t="str">
            <v>J8</v>
          </cell>
          <cell r="S4629" t="str">
            <v>ENTREGADO</v>
          </cell>
          <cell r="T4629">
            <v>0</v>
          </cell>
          <cell r="U4629" t="str">
            <v>YUCA BELLIDO BORIS YERSY</v>
          </cell>
          <cell r="V4629" t="str">
            <v>FLOREZ CONDORI  JOSE WILLIANS</v>
          </cell>
        </row>
        <row r="4630">
          <cell r="A4630">
            <v>4678</v>
          </cell>
          <cell r="B4630">
            <v>42760</v>
          </cell>
          <cell r="C4630" t="str">
            <v>ENERO</v>
          </cell>
          <cell r="D4630" t="str">
            <v>2017</v>
          </cell>
          <cell r="E4630">
            <v>913</v>
          </cell>
          <cell r="F4630" t="str">
            <v>A5O-859</v>
          </cell>
          <cell r="G4630" t="str">
            <v>B6Y-971</v>
          </cell>
          <cell r="H4630" t="str">
            <v>LAS BAMBAS</v>
          </cell>
          <cell r="I4630">
            <v>119867</v>
          </cell>
          <cell r="J4630" t="str">
            <v>REPUESTO</v>
          </cell>
          <cell r="K4630" t="str">
            <v>FOCO LAGRIMON DE 1 CONTACTO</v>
          </cell>
          <cell r="L4630">
            <v>1</v>
          </cell>
          <cell r="M4630" t="str">
            <v>UNID.</v>
          </cell>
          <cell r="N4630" t="str">
            <v>TRACTO</v>
          </cell>
          <cell r="O4630">
            <v>30</v>
          </cell>
          <cell r="P4630" t="str">
            <v>E2</v>
          </cell>
          <cell r="Q4630" t="str">
            <v>J1</v>
          </cell>
          <cell r="R4630" t="str">
            <v>J8</v>
          </cell>
          <cell r="S4630" t="str">
            <v>ENTREGADO</v>
          </cell>
          <cell r="T4630">
            <v>0</v>
          </cell>
          <cell r="U4630" t="str">
            <v>YUCA BELLIDO BORIS YERSY</v>
          </cell>
          <cell r="V4630" t="str">
            <v>FLOREZ CONDORI  JOSE WILLIANS</v>
          </cell>
        </row>
        <row r="4631">
          <cell r="A4631">
            <v>4679</v>
          </cell>
          <cell r="B4631">
            <v>42760</v>
          </cell>
          <cell r="C4631" t="str">
            <v>ENERO</v>
          </cell>
          <cell r="D4631" t="str">
            <v>2017</v>
          </cell>
          <cell r="E4631">
            <v>913</v>
          </cell>
          <cell r="F4631" t="str">
            <v>A5O-859</v>
          </cell>
          <cell r="G4631" t="str">
            <v>B6Y-971</v>
          </cell>
          <cell r="H4631" t="str">
            <v>LAS BAMBAS</v>
          </cell>
          <cell r="I4631">
            <v>119867</v>
          </cell>
          <cell r="J4631" t="str">
            <v>REPUESTO</v>
          </cell>
          <cell r="K4631" t="str">
            <v>FOCO LAGRIMON DE 2 CONTACTO</v>
          </cell>
          <cell r="L4631">
            <v>1</v>
          </cell>
          <cell r="M4631" t="str">
            <v>UNID.</v>
          </cell>
          <cell r="N4631" t="str">
            <v>TRACTO</v>
          </cell>
          <cell r="O4631">
            <v>30</v>
          </cell>
          <cell r="P4631" t="str">
            <v>E2</v>
          </cell>
          <cell r="Q4631" t="str">
            <v>J1</v>
          </cell>
          <cell r="R4631" t="str">
            <v>J8</v>
          </cell>
          <cell r="S4631" t="str">
            <v>ENTREGADO</v>
          </cell>
          <cell r="T4631">
            <v>0</v>
          </cell>
          <cell r="U4631" t="str">
            <v>YUCA BELLIDO BORIS YERSY</v>
          </cell>
          <cell r="V4631" t="str">
            <v>FLOREZ CONDORI  JOSE WILLIANS</v>
          </cell>
        </row>
        <row r="4632">
          <cell r="A4632">
            <v>4630</v>
          </cell>
          <cell r="B4632">
            <v>42760</v>
          </cell>
          <cell r="C4632" t="str">
            <v>ENERO</v>
          </cell>
          <cell r="D4632" t="str">
            <v>2017</v>
          </cell>
          <cell r="E4632">
            <v>906</v>
          </cell>
          <cell r="F4632" t="str">
            <v>AAN-801</v>
          </cell>
          <cell r="G4632" t="str">
            <v>CAMIONETA</v>
          </cell>
          <cell r="H4632" t="str">
            <v>LAS BAMBAS</v>
          </cell>
          <cell r="I4632">
            <v>123482</v>
          </cell>
          <cell r="J4632" t="str">
            <v>REPUESTO</v>
          </cell>
          <cell r="K4632" t="str">
            <v>FILTRO DE AIRE</v>
          </cell>
          <cell r="L4632">
            <v>1</v>
          </cell>
          <cell r="M4632" t="str">
            <v>UNID.</v>
          </cell>
          <cell r="N4632" t="str">
            <v>CAMIONETA</v>
          </cell>
          <cell r="O4632">
            <v>30</v>
          </cell>
          <cell r="P4632" t="str">
            <v>M6</v>
          </cell>
          <cell r="Q4632" t="str">
            <v>J1</v>
          </cell>
          <cell r="R4632" t="str">
            <v>J8</v>
          </cell>
          <cell r="S4632" t="str">
            <v>ENTREGADO</v>
          </cell>
          <cell r="T4632">
            <v>0</v>
          </cell>
          <cell r="U4632" t="str">
            <v>PARI VENTURA  EDSON ORLANDO</v>
          </cell>
          <cell r="V4632" t="str">
            <v>FLOREZ CONDORI  JOSE WILLIANS</v>
          </cell>
        </row>
        <row r="4633">
          <cell r="A4633">
            <v>4631</v>
          </cell>
          <cell r="B4633">
            <v>42760</v>
          </cell>
          <cell r="C4633" t="str">
            <v>ENERO</v>
          </cell>
          <cell r="D4633" t="str">
            <v>2017</v>
          </cell>
          <cell r="E4633">
            <v>906</v>
          </cell>
          <cell r="F4633" t="str">
            <v>AAN-801</v>
          </cell>
          <cell r="G4633" t="str">
            <v>CAMIONETA</v>
          </cell>
          <cell r="H4633" t="str">
            <v>LAS BAMBAS</v>
          </cell>
          <cell r="I4633">
            <v>123482</v>
          </cell>
          <cell r="J4633" t="str">
            <v>REPUESTO</v>
          </cell>
          <cell r="K4633" t="str">
            <v>FILTRO DE COMBUSTIBLE</v>
          </cell>
          <cell r="L4633">
            <v>1</v>
          </cell>
          <cell r="M4633" t="str">
            <v>UNID.</v>
          </cell>
          <cell r="N4633" t="str">
            <v>CAMIONETA</v>
          </cell>
          <cell r="O4633">
            <v>30</v>
          </cell>
          <cell r="P4633" t="str">
            <v>M6</v>
          </cell>
          <cell r="Q4633" t="str">
            <v>J1</v>
          </cell>
          <cell r="R4633" t="str">
            <v>J8</v>
          </cell>
          <cell r="S4633" t="str">
            <v>ENTREGADO</v>
          </cell>
          <cell r="T4633">
            <v>0</v>
          </cell>
          <cell r="U4633" t="str">
            <v>PARI VENTURA  EDSON ORLANDO</v>
          </cell>
          <cell r="V4633" t="str">
            <v>FLOREZ CONDORI  JOSE WILLIANS</v>
          </cell>
        </row>
        <row r="4634">
          <cell r="A4634">
            <v>4632</v>
          </cell>
          <cell r="B4634">
            <v>42760</v>
          </cell>
          <cell r="C4634" t="str">
            <v>ENERO</v>
          </cell>
          <cell r="D4634" t="str">
            <v>2017</v>
          </cell>
          <cell r="E4634">
            <v>906</v>
          </cell>
          <cell r="F4634" t="str">
            <v>AAN-801</v>
          </cell>
          <cell r="G4634" t="str">
            <v>CAMIONETA</v>
          </cell>
          <cell r="H4634" t="str">
            <v>LAS BAMBAS</v>
          </cell>
          <cell r="I4634">
            <v>123482</v>
          </cell>
          <cell r="J4634" t="str">
            <v>REPUESTO</v>
          </cell>
          <cell r="K4634" t="str">
            <v>FILTRO DE ACEITE</v>
          </cell>
          <cell r="L4634">
            <v>1</v>
          </cell>
          <cell r="M4634" t="str">
            <v>UNID.</v>
          </cell>
          <cell r="N4634" t="str">
            <v>CAMIONETA</v>
          </cell>
          <cell r="O4634">
            <v>30</v>
          </cell>
          <cell r="P4634" t="str">
            <v>M6</v>
          </cell>
          <cell r="Q4634" t="str">
            <v>J1</v>
          </cell>
          <cell r="R4634" t="str">
            <v>J8</v>
          </cell>
          <cell r="S4634" t="str">
            <v>ENTREGADO</v>
          </cell>
          <cell r="T4634">
            <v>0</v>
          </cell>
          <cell r="U4634" t="str">
            <v>PARI VENTURA  EDSON ORLANDO</v>
          </cell>
          <cell r="V4634" t="str">
            <v>FLOREZ CONDORI  JOSE WILLIANS</v>
          </cell>
        </row>
        <row r="4635">
          <cell r="A4635">
            <v>4633</v>
          </cell>
          <cell r="B4635">
            <v>42760</v>
          </cell>
          <cell r="C4635" t="str">
            <v>ENERO</v>
          </cell>
          <cell r="D4635" t="str">
            <v>2017</v>
          </cell>
          <cell r="E4635">
            <v>906</v>
          </cell>
          <cell r="F4635" t="str">
            <v>AAN-801</v>
          </cell>
          <cell r="G4635" t="str">
            <v>CAMIONETA</v>
          </cell>
          <cell r="H4635" t="str">
            <v>LAS BAMBAS</v>
          </cell>
          <cell r="I4635">
            <v>123482</v>
          </cell>
          <cell r="J4635" t="str">
            <v>REPUESTO</v>
          </cell>
          <cell r="K4635" t="str">
            <v>ACEITE DE MOTOR 15W40</v>
          </cell>
          <cell r="L4635">
            <v>2</v>
          </cell>
          <cell r="M4635" t="str">
            <v>GLNS.</v>
          </cell>
          <cell r="N4635" t="str">
            <v>CAMIONETA</v>
          </cell>
          <cell r="O4635">
            <v>30</v>
          </cell>
          <cell r="P4635" t="str">
            <v>M6</v>
          </cell>
          <cell r="Q4635" t="str">
            <v>J1</v>
          </cell>
          <cell r="R4635" t="str">
            <v>J8</v>
          </cell>
          <cell r="S4635" t="str">
            <v>ENTREGADO</v>
          </cell>
          <cell r="T4635">
            <v>0</v>
          </cell>
          <cell r="U4635" t="str">
            <v>PARI VENTURA  EDSON ORLANDO</v>
          </cell>
          <cell r="V4635" t="str">
            <v>FLOREZ CONDORI  JOSE WILLIANS</v>
          </cell>
        </row>
        <row r="4636">
          <cell r="A4636">
            <v>4645</v>
          </cell>
          <cell r="B4636">
            <v>42760</v>
          </cell>
          <cell r="C4636" t="str">
            <v>ENERO</v>
          </cell>
          <cell r="D4636" t="str">
            <v>2017</v>
          </cell>
          <cell r="E4636">
            <v>911</v>
          </cell>
          <cell r="F4636" t="str">
            <v>ABQ-703</v>
          </cell>
          <cell r="G4636" t="str">
            <v>D0Z-994</v>
          </cell>
          <cell r="H4636" t="str">
            <v>LAS BAMBAS</v>
          </cell>
          <cell r="I4636">
            <v>109154</v>
          </cell>
          <cell r="J4636" t="str">
            <v>REPUESTO</v>
          </cell>
          <cell r="K4636" t="str">
            <v>REFRIGERANTE</v>
          </cell>
          <cell r="L4636">
            <v>1</v>
          </cell>
          <cell r="M4636" t="str">
            <v>GLNS.</v>
          </cell>
          <cell r="N4636" t="str">
            <v>TRACTO</v>
          </cell>
          <cell r="O4636">
            <v>30</v>
          </cell>
          <cell r="P4636" t="str">
            <v>M1</v>
          </cell>
          <cell r="Q4636" t="str">
            <v>J1</v>
          </cell>
          <cell r="R4636" t="str">
            <v>J8</v>
          </cell>
          <cell r="S4636" t="str">
            <v>ENTREGADO</v>
          </cell>
          <cell r="T4636">
            <v>0</v>
          </cell>
          <cell r="U4636" t="str">
            <v>CABEZAS SANCHEZ JEAN JHONATAN</v>
          </cell>
          <cell r="V4636" t="str">
            <v>FLOREZ CONDORI  JOSE WILLIANS</v>
          </cell>
        </row>
        <row r="4637">
          <cell r="A4637">
            <v>4646</v>
          </cell>
          <cell r="B4637">
            <v>42760</v>
          </cell>
          <cell r="C4637" t="str">
            <v>ENERO</v>
          </cell>
          <cell r="D4637" t="str">
            <v>2017</v>
          </cell>
          <cell r="E4637">
            <v>911</v>
          </cell>
          <cell r="F4637" t="str">
            <v>ABQ-703</v>
          </cell>
          <cell r="G4637" t="str">
            <v>D0Z-994</v>
          </cell>
          <cell r="H4637" t="str">
            <v>LAS BAMBAS</v>
          </cell>
          <cell r="I4637">
            <v>109154</v>
          </cell>
          <cell r="J4637" t="str">
            <v>REPUESTO</v>
          </cell>
          <cell r="K4637" t="str">
            <v>MANGUERA  DE 3/4</v>
          </cell>
          <cell r="L4637">
            <v>0.35</v>
          </cell>
          <cell r="M4637" t="str">
            <v>M</v>
          </cell>
          <cell r="N4637" t="str">
            <v>TRACTO</v>
          </cell>
          <cell r="O4637">
            <v>30</v>
          </cell>
          <cell r="P4637" t="str">
            <v>M1</v>
          </cell>
          <cell r="Q4637" t="str">
            <v>J1</v>
          </cell>
          <cell r="R4637" t="str">
            <v>J8</v>
          </cell>
          <cell r="S4637" t="str">
            <v>ENTREGADO</v>
          </cell>
          <cell r="T4637">
            <v>0</v>
          </cell>
          <cell r="U4637" t="str">
            <v>CABEZAS SANCHEZ JEAN JHONATAN</v>
          </cell>
          <cell r="V4637" t="str">
            <v>FLOREZ CONDORI  JOSE WILLIANS</v>
          </cell>
        </row>
        <row r="4638">
          <cell r="A4638">
            <v>4647</v>
          </cell>
          <cell r="B4638">
            <v>42760</v>
          </cell>
          <cell r="C4638" t="str">
            <v>ENERO</v>
          </cell>
          <cell r="D4638" t="str">
            <v>2017</v>
          </cell>
          <cell r="E4638">
            <v>911</v>
          </cell>
          <cell r="F4638" t="str">
            <v>ABQ-703</v>
          </cell>
          <cell r="G4638" t="str">
            <v>D0Z-994</v>
          </cell>
          <cell r="H4638" t="str">
            <v>LAS BAMBAS</v>
          </cell>
          <cell r="I4638">
            <v>109154</v>
          </cell>
          <cell r="J4638" t="str">
            <v>REPUESTO</v>
          </cell>
          <cell r="K4638" t="str">
            <v>ABRAZADERA 85*90</v>
          </cell>
          <cell r="L4638">
            <v>2</v>
          </cell>
          <cell r="M4638" t="str">
            <v>UNID.</v>
          </cell>
          <cell r="N4638" t="str">
            <v>TRACTO</v>
          </cell>
          <cell r="O4638">
            <v>30</v>
          </cell>
          <cell r="P4638" t="str">
            <v>M1</v>
          </cell>
          <cell r="Q4638" t="str">
            <v>J1</v>
          </cell>
          <cell r="R4638" t="str">
            <v>J8</v>
          </cell>
          <cell r="S4638" t="str">
            <v>ENTREGADO</v>
          </cell>
          <cell r="T4638">
            <v>0</v>
          </cell>
          <cell r="U4638" t="str">
            <v>CABEZAS SANCHEZ JEAN JHONATAN</v>
          </cell>
          <cell r="V4638" t="str">
            <v>FLOREZ CONDORI  JOSE WILLIANS</v>
          </cell>
        </row>
        <row r="4639">
          <cell r="A4639">
            <v>4648</v>
          </cell>
          <cell r="B4639">
            <v>42760</v>
          </cell>
          <cell r="C4639" t="str">
            <v>ENERO</v>
          </cell>
          <cell r="D4639" t="str">
            <v>2017</v>
          </cell>
          <cell r="E4639">
            <v>911</v>
          </cell>
          <cell r="F4639" t="str">
            <v>ABQ-703</v>
          </cell>
          <cell r="G4639" t="str">
            <v>D0Z-994</v>
          </cell>
          <cell r="H4639" t="str">
            <v>LAS BAMBAS</v>
          </cell>
          <cell r="I4639">
            <v>109154</v>
          </cell>
          <cell r="J4639" t="str">
            <v>REPUESTO</v>
          </cell>
          <cell r="K4639" t="str">
            <v>HIDROLINA</v>
          </cell>
          <cell r="L4639">
            <v>1</v>
          </cell>
          <cell r="M4639" t="str">
            <v>GLNS.</v>
          </cell>
          <cell r="N4639" t="str">
            <v>TRACTO</v>
          </cell>
          <cell r="O4639">
            <v>30</v>
          </cell>
          <cell r="P4639" t="str">
            <v>M1</v>
          </cell>
          <cell r="Q4639" t="str">
            <v>J1</v>
          </cell>
          <cell r="R4639" t="str">
            <v>J8</v>
          </cell>
          <cell r="S4639" t="str">
            <v>ENTREGADO</v>
          </cell>
          <cell r="T4639">
            <v>0</v>
          </cell>
          <cell r="U4639" t="str">
            <v>CABEZAS SANCHEZ JEAN JHONATAN</v>
          </cell>
          <cell r="V4639" t="str">
            <v>FLOREZ CONDORI  JOSE WILLIANS</v>
          </cell>
        </row>
        <row r="4640">
          <cell r="A4640">
            <v>4664</v>
          </cell>
          <cell r="B4640">
            <v>42760</v>
          </cell>
          <cell r="C4640" t="str">
            <v>ENERO</v>
          </cell>
          <cell r="D4640" t="str">
            <v>2017</v>
          </cell>
          <cell r="E4640">
            <v>911</v>
          </cell>
          <cell r="F4640" t="str">
            <v>ABQ-703</v>
          </cell>
          <cell r="G4640" t="str">
            <v>D0Z-994</v>
          </cell>
          <cell r="H4640" t="str">
            <v>LAS BAMBAS</v>
          </cell>
          <cell r="I4640">
            <v>109154</v>
          </cell>
          <cell r="J4640" t="str">
            <v>REPUESTO</v>
          </cell>
          <cell r="K4640" t="str">
            <v>VALVULA PITON</v>
          </cell>
          <cell r="L4640">
            <v>8</v>
          </cell>
          <cell r="M4640" t="str">
            <v>UNID.</v>
          </cell>
          <cell r="N4640" t="str">
            <v>TRACTO</v>
          </cell>
          <cell r="O4640">
            <v>30</v>
          </cell>
          <cell r="P4640" t="str">
            <v>N1</v>
          </cell>
          <cell r="Q4640" t="str">
            <v>J3</v>
          </cell>
          <cell r="R4640" t="str">
            <v>J6</v>
          </cell>
          <cell r="S4640" t="str">
            <v>ENTREGADO</v>
          </cell>
          <cell r="T4640">
            <v>0</v>
          </cell>
          <cell r="U4640" t="str">
            <v>AGUILAR CCANTUTA WILLY</v>
          </cell>
          <cell r="V4640" t="str">
            <v>CHURA PIZARRO ALBERTO</v>
          </cell>
        </row>
        <row r="4641">
          <cell r="A4641">
            <v>4665</v>
          </cell>
          <cell r="B4641">
            <v>42760</v>
          </cell>
          <cell r="C4641" t="str">
            <v>ENERO</v>
          </cell>
          <cell r="D4641" t="str">
            <v>2017</v>
          </cell>
          <cell r="E4641">
            <v>911</v>
          </cell>
          <cell r="F4641" t="str">
            <v>ABQ-703</v>
          </cell>
          <cell r="G4641" t="str">
            <v>D0Z-994</v>
          </cell>
          <cell r="H4641" t="str">
            <v>LAS BAMBAS</v>
          </cell>
          <cell r="I4641">
            <v>109154</v>
          </cell>
          <cell r="J4641" t="str">
            <v>REPUESTO</v>
          </cell>
          <cell r="K4641" t="str">
            <v>PARCHE RACK 14</v>
          </cell>
          <cell r="L4641">
            <v>1</v>
          </cell>
          <cell r="M4641" t="str">
            <v>UNID.</v>
          </cell>
          <cell r="N4641" t="str">
            <v>TRACTO</v>
          </cell>
          <cell r="O4641">
            <v>30</v>
          </cell>
          <cell r="P4641" t="str">
            <v>N1</v>
          </cell>
          <cell r="Q4641" t="str">
            <v>J3</v>
          </cell>
          <cell r="R4641" t="str">
            <v>J6</v>
          </cell>
          <cell r="S4641" t="str">
            <v>ENTREGADO</v>
          </cell>
          <cell r="T4641">
            <v>0</v>
          </cell>
          <cell r="U4641" t="str">
            <v>AGUILAR CCANTUTA WILLY</v>
          </cell>
          <cell r="V4641" t="str">
            <v>CHURA PIZARRO ALBERTO</v>
          </cell>
        </row>
        <row r="4642">
          <cell r="A4642">
            <v>4636</v>
          </cell>
          <cell r="B4642">
            <v>42760</v>
          </cell>
          <cell r="C4642" t="str">
            <v>ENERO</v>
          </cell>
          <cell r="D4642" t="str">
            <v>2017</v>
          </cell>
          <cell r="E4642">
            <v>894</v>
          </cell>
          <cell r="F4642" t="str">
            <v>ABQ-780</v>
          </cell>
          <cell r="G4642" t="str">
            <v>C9S-990</v>
          </cell>
          <cell r="H4642" t="str">
            <v>LAS BAMBAS</v>
          </cell>
          <cell r="I4642">
            <v>121963</v>
          </cell>
          <cell r="J4642" t="str">
            <v>REPUESTO</v>
          </cell>
          <cell r="K4642" t="str">
            <v>SERVICIO DE REPARACION DE INTERCCOLER</v>
          </cell>
          <cell r="L4642">
            <v>1</v>
          </cell>
          <cell r="M4642" t="str">
            <v>UNID.</v>
          </cell>
          <cell r="N4642" t="str">
            <v>TRACTO</v>
          </cell>
          <cell r="O4642">
            <v>30</v>
          </cell>
          <cell r="P4642" t="str">
            <v>M5</v>
          </cell>
          <cell r="Q4642" t="str">
            <v>J1</v>
          </cell>
          <cell r="R4642" t="str">
            <v>J8</v>
          </cell>
          <cell r="S4642" t="str">
            <v>ENTREGADO</v>
          </cell>
          <cell r="T4642">
            <v>0</v>
          </cell>
          <cell r="U4642" t="str">
            <v>LOPEZ RUIZ WILBERTO</v>
          </cell>
          <cell r="V4642" t="str">
            <v>FLOREZ CONDORI  JOSE WILLIANS</v>
          </cell>
        </row>
        <row r="4643">
          <cell r="A4643">
            <v>4654</v>
          </cell>
          <cell r="B4643">
            <v>42760</v>
          </cell>
          <cell r="C4643" t="str">
            <v>ENERO</v>
          </cell>
          <cell r="D4643" t="str">
            <v>2017</v>
          </cell>
          <cell r="E4643">
            <v>894</v>
          </cell>
          <cell r="F4643" t="str">
            <v>ABQ-780</v>
          </cell>
          <cell r="G4643" t="str">
            <v>C9S-990</v>
          </cell>
          <cell r="H4643" t="str">
            <v>LAS BAMBAS</v>
          </cell>
          <cell r="I4643">
            <v>121963</v>
          </cell>
          <cell r="J4643" t="str">
            <v>REPUESTO</v>
          </cell>
          <cell r="K4643" t="str">
            <v>DISCO DE CORTE 7"</v>
          </cell>
          <cell r="L4643">
            <v>2</v>
          </cell>
          <cell r="M4643" t="str">
            <v>UNID.</v>
          </cell>
          <cell r="N4643" t="str">
            <v>CISTERNA</v>
          </cell>
          <cell r="O4643">
            <v>30</v>
          </cell>
          <cell r="P4643" t="str">
            <v>S1</v>
          </cell>
          <cell r="Q4643" t="str">
            <v>J1</v>
          </cell>
          <cell r="R4643" t="str">
            <v>J6</v>
          </cell>
          <cell r="S4643" t="str">
            <v>ENTREGADO</v>
          </cell>
          <cell r="T4643">
            <v>0</v>
          </cell>
          <cell r="U4643" t="str">
            <v>BAYONA CRUZ CRISTIAN ARMANDO</v>
          </cell>
          <cell r="V4643" t="str">
            <v>FLOREZ CONDORI  JOSE WILLIANS</v>
          </cell>
        </row>
        <row r="4644">
          <cell r="A4644">
            <v>4662</v>
          </cell>
          <cell r="B4644">
            <v>42760</v>
          </cell>
          <cell r="C4644" t="str">
            <v>ENERO</v>
          </cell>
          <cell r="D4644" t="str">
            <v>2017</v>
          </cell>
          <cell r="E4644">
            <v>894</v>
          </cell>
          <cell r="F4644" t="str">
            <v>ABQ-780</v>
          </cell>
          <cell r="G4644" t="str">
            <v>C9S-990</v>
          </cell>
          <cell r="H4644" t="str">
            <v>LAS BAMBAS</v>
          </cell>
          <cell r="I4644">
            <v>121963</v>
          </cell>
          <cell r="J4644" t="str">
            <v>REPUESTO</v>
          </cell>
          <cell r="K4644" t="str">
            <v>PERNO 1/4 X 4</v>
          </cell>
          <cell r="L4644">
            <v>1</v>
          </cell>
          <cell r="M4644" t="str">
            <v>UNID.</v>
          </cell>
          <cell r="N4644" t="str">
            <v>CISTERNA</v>
          </cell>
          <cell r="O4644">
            <v>30</v>
          </cell>
          <cell r="P4644" t="str">
            <v>S1</v>
          </cell>
          <cell r="Q4644" t="str">
            <v>J1</v>
          </cell>
          <cell r="R4644" t="str">
            <v>J6</v>
          </cell>
          <cell r="S4644" t="str">
            <v>ENTREGADO</v>
          </cell>
          <cell r="T4644">
            <v>0</v>
          </cell>
          <cell r="U4644" t="str">
            <v>BAYONA CRUZ CRISTIAN ARMANDO</v>
          </cell>
          <cell r="V4644" t="str">
            <v>FLOREZ CONDORI  JOSE WILLIANS</v>
          </cell>
        </row>
        <row r="4645">
          <cell r="A4645">
            <v>4663</v>
          </cell>
          <cell r="B4645">
            <v>42760</v>
          </cell>
          <cell r="C4645" t="str">
            <v>ENERO</v>
          </cell>
          <cell r="D4645" t="str">
            <v>2017</v>
          </cell>
          <cell r="E4645">
            <v>894</v>
          </cell>
          <cell r="F4645" t="str">
            <v>ABQ-780</v>
          </cell>
          <cell r="G4645" t="str">
            <v>C9S-990</v>
          </cell>
          <cell r="H4645" t="str">
            <v>LAS BAMBAS</v>
          </cell>
          <cell r="I4645">
            <v>121963</v>
          </cell>
          <cell r="J4645" t="str">
            <v>REPUESTO</v>
          </cell>
          <cell r="K4645" t="str">
            <v>TUERCA 1/4</v>
          </cell>
          <cell r="L4645">
            <v>1</v>
          </cell>
          <cell r="M4645" t="str">
            <v>UNID.</v>
          </cell>
          <cell r="N4645" t="str">
            <v>CISTERNA</v>
          </cell>
          <cell r="O4645">
            <v>30</v>
          </cell>
          <cell r="P4645" t="str">
            <v>S1</v>
          </cell>
          <cell r="Q4645" t="str">
            <v>J1</v>
          </cell>
          <cell r="R4645" t="str">
            <v>J6</v>
          </cell>
          <cell r="S4645" t="str">
            <v>ENTREGADO</v>
          </cell>
          <cell r="T4645">
            <v>0</v>
          </cell>
          <cell r="U4645" t="str">
            <v>BAYONA CRUZ CRISTIAN ARMANDO</v>
          </cell>
          <cell r="V4645" t="str">
            <v>FLOREZ CONDORI  JOSE WILLIANS</v>
          </cell>
        </row>
        <row r="4646">
          <cell r="A4646">
            <v>4626</v>
          </cell>
          <cell r="B4646">
            <v>42760</v>
          </cell>
          <cell r="C4646" t="str">
            <v>ENERO</v>
          </cell>
          <cell r="D4646" t="str">
            <v>2017</v>
          </cell>
          <cell r="E4646">
            <v>908</v>
          </cell>
          <cell r="F4646" t="str">
            <v>AEH-801</v>
          </cell>
          <cell r="G4646" t="str">
            <v>CAMIONETA</v>
          </cell>
          <cell r="H4646" t="str">
            <v>LAS BAMBAS</v>
          </cell>
          <cell r="I4646">
            <v>97337</v>
          </cell>
          <cell r="J4646" t="str">
            <v>REPUESTO</v>
          </cell>
          <cell r="K4646" t="str">
            <v>FILTRO DE AIRE</v>
          </cell>
          <cell r="L4646">
            <v>1</v>
          </cell>
          <cell r="M4646" t="str">
            <v>UNID.</v>
          </cell>
          <cell r="N4646" t="str">
            <v>CAMIONETA</v>
          </cell>
          <cell r="O4646">
            <v>30</v>
          </cell>
          <cell r="P4646" t="str">
            <v>M6</v>
          </cell>
          <cell r="Q4646" t="str">
            <v>J1</v>
          </cell>
          <cell r="R4646" t="str">
            <v>J8</v>
          </cell>
          <cell r="S4646" t="str">
            <v>ENTREGADO</v>
          </cell>
          <cell r="T4646">
            <v>0</v>
          </cell>
          <cell r="U4646" t="str">
            <v>PARI VENTURA  EDSON ORLANDO</v>
          </cell>
          <cell r="V4646" t="str">
            <v>FLOREZ CONDORI  JOSE WILLIANS</v>
          </cell>
        </row>
        <row r="4647">
          <cell r="A4647">
            <v>4627</v>
          </cell>
          <cell r="B4647">
            <v>42760</v>
          </cell>
          <cell r="C4647" t="str">
            <v>ENERO</v>
          </cell>
          <cell r="D4647" t="str">
            <v>2017</v>
          </cell>
          <cell r="E4647">
            <v>908</v>
          </cell>
          <cell r="F4647" t="str">
            <v>AEH-801</v>
          </cell>
          <cell r="G4647" t="str">
            <v>CAMIONETA</v>
          </cell>
          <cell r="H4647" t="str">
            <v>LAS BAMBAS</v>
          </cell>
          <cell r="I4647">
            <v>97337</v>
          </cell>
          <cell r="J4647" t="str">
            <v>REPUESTO</v>
          </cell>
          <cell r="K4647" t="str">
            <v>FILTRO DE COMBUSTIBLE</v>
          </cell>
          <cell r="L4647">
            <v>1</v>
          </cell>
          <cell r="M4647" t="str">
            <v>UNID.</v>
          </cell>
          <cell r="N4647" t="str">
            <v>CAMIONETA</v>
          </cell>
          <cell r="O4647">
            <v>30</v>
          </cell>
          <cell r="P4647" t="str">
            <v>M6</v>
          </cell>
          <cell r="Q4647" t="str">
            <v>J1</v>
          </cell>
          <cell r="R4647" t="str">
            <v>J8</v>
          </cell>
          <cell r="S4647" t="str">
            <v>ENTREGADO</v>
          </cell>
          <cell r="T4647">
            <v>0</v>
          </cell>
          <cell r="U4647" t="str">
            <v>PARI VENTURA  EDSON ORLANDO</v>
          </cell>
          <cell r="V4647" t="str">
            <v>FLOREZ CONDORI  JOSE WILLIANS</v>
          </cell>
        </row>
        <row r="4648">
          <cell r="A4648">
            <v>4628</v>
          </cell>
          <cell r="B4648">
            <v>42760</v>
          </cell>
          <cell r="C4648" t="str">
            <v>ENERO</v>
          </cell>
          <cell r="D4648" t="str">
            <v>2017</v>
          </cell>
          <cell r="E4648">
            <v>908</v>
          </cell>
          <cell r="F4648" t="str">
            <v>AEH-801</v>
          </cell>
          <cell r="G4648" t="str">
            <v>CAMIONETA</v>
          </cell>
          <cell r="H4648" t="str">
            <v>LAS BAMBAS</v>
          </cell>
          <cell r="I4648">
            <v>97337</v>
          </cell>
          <cell r="J4648" t="str">
            <v>REPUESTO</v>
          </cell>
          <cell r="K4648" t="str">
            <v>FILTRO DE ACEITE</v>
          </cell>
          <cell r="L4648">
            <v>1</v>
          </cell>
          <cell r="M4648" t="str">
            <v>UNID.</v>
          </cell>
          <cell r="N4648" t="str">
            <v>CAMIONETA</v>
          </cell>
          <cell r="O4648">
            <v>30</v>
          </cell>
          <cell r="P4648" t="str">
            <v>M6</v>
          </cell>
          <cell r="Q4648" t="str">
            <v>J1</v>
          </cell>
          <cell r="R4648" t="str">
            <v>J8</v>
          </cell>
          <cell r="S4648" t="str">
            <v>ENTREGADO</v>
          </cell>
          <cell r="T4648">
            <v>0</v>
          </cell>
          <cell r="U4648" t="str">
            <v>PARI VENTURA  EDSON ORLANDO</v>
          </cell>
          <cell r="V4648" t="str">
            <v>FLOREZ CONDORI  JOSE WILLIANS</v>
          </cell>
        </row>
        <row r="4649">
          <cell r="A4649">
            <v>4629</v>
          </cell>
          <cell r="B4649">
            <v>42760</v>
          </cell>
          <cell r="C4649" t="str">
            <v>ENERO</v>
          </cell>
          <cell r="D4649" t="str">
            <v>2017</v>
          </cell>
          <cell r="E4649">
            <v>908</v>
          </cell>
          <cell r="F4649" t="str">
            <v>AEH-801</v>
          </cell>
          <cell r="G4649" t="str">
            <v>CAMIONETA</v>
          </cell>
          <cell r="H4649" t="str">
            <v>LAS BAMBAS</v>
          </cell>
          <cell r="I4649">
            <v>97337</v>
          </cell>
          <cell r="J4649" t="str">
            <v>REPUESTO</v>
          </cell>
          <cell r="K4649" t="str">
            <v>ACEITE DE MOTOR 15W40</v>
          </cell>
          <cell r="L4649">
            <v>2</v>
          </cell>
          <cell r="M4649" t="str">
            <v>GLNS.</v>
          </cell>
          <cell r="N4649" t="str">
            <v>CAMIONETA</v>
          </cell>
          <cell r="O4649">
            <v>30</v>
          </cell>
          <cell r="P4649" t="str">
            <v>M6</v>
          </cell>
          <cell r="Q4649" t="str">
            <v>J1</v>
          </cell>
          <cell r="R4649" t="str">
            <v>J8</v>
          </cell>
          <cell r="S4649" t="str">
            <v>ENTREGADO</v>
          </cell>
          <cell r="T4649">
            <v>0</v>
          </cell>
          <cell r="U4649" t="str">
            <v>PARI VENTURA  EDSON ORLANDO</v>
          </cell>
          <cell r="V4649" t="str">
            <v>FLOREZ CONDORI  JOSE WILLIANS</v>
          </cell>
        </row>
        <row r="4650">
          <cell r="A4650">
            <v>4634</v>
          </cell>
          <cell r="B4650">
            <v>42760</v>
          </cell>
          <cell r="C4650" t="str">
            <v>ENERO</v>
          </cell>
          <cell r="D4650" t="str">
            <v>2017</v>
          </cell>
          <cell r="E4650">
            <v>908</v>
          </cell>
          <cell r="F4650" t="str">
            <v>AEH-801</v>
          </cell>
          <cell r="G4650" t="str">
            <v>CAMIONETA</v>
          </cell>
          <cell r="H4650" t="str">
            <v>LAS BAMBAS</v>
          </cell>
          <cell r="I4650">
            <v>97337</v>
          </cell>
          <cell r="J4650" t="str">
            <v>REPUESTO</v>
          </cell>
          <cell r="K4650" t="str">
            <v>JUEGO PASTILLAS DE FRENO</v>
          </cell>
          <cell r="L4650">
            <v>1</v>
          </cell>
          <cell r="M4650" t="str">
            <v>UNID.</v>
          </cell>
          <cell r="N4650" t="str">
            <v>CAMIONETA</v>
          </cell>
          <cell r="O4650">
            <v>30</v>
          </cell>
          <cell r="P4650" t="str">
            <v>M6</v>
          </cell>
          <cell r="Q4650" t="str">
            <v>J1</v>
          </cell>
          <cell r="R4650" t="str">
            <v>J8</v>
          </cell>
          <cell r="S4650" t="str">
            <v>ENTREGADO</v>
          </cell>
          <cell r="T4650">
            <v>0</v>
          </cell>
          <cell r="U4650" t="str">
            <v>PARI VENTURA  EDSON ORLANDO</v>
          </cell>
          <cell r="V4650" t="str">
            <v>FLOREZ CONDORI  JOSE WILLIANS</v>
          </cell>
        </row>
        <row r="4651">
          <cell r="A4651">
            <v>4637</v>
          </cell>
          <cell r="B4651">
            <v>42760</v>
          </cell>
          <cell r="C4651" t="str">
            <v>ENERO</v>
          </cell>
          <cell r="D4651" t="str">
            <v>2017</v>
          </cell>
          <cell r="E4651">
            <v>908</v>
          </cell>
          <cell r="F4651" t="str">
            <v>AEH-801</v>
          </cell>
          <cell r="G4651" t="str">
            <v>CAMIONETA</v>
          </cell>
          <cell r="H4651" t="str">
            <v>LAS BAMBAS</v>
          </cell>
          <cell r="I4651">
            <v>97337</v>
          </cell>
          <cell r="J4651" t="str">
            <v>REPUESTO</v>
          </cell>
          <cell r="K4651" t="str">
            <v>LLANTA NUEVA  DUNLOP DISEÑO MT2 245/75R</v>
          </cell>
          <cell r="L4651">
            <v>1</v>
          </cell>
          <cell r="M4651" t="str">
            <v>UNID.</v>
          </cell>
          <cell r="N4651" t="str">
            <v>CAMIONETA</v>
          </cell>
          <cell r="O4651">
            <v>30</v>
          </cell>
          <cell r="P4651" t="str">
            <v>N2</v>
          </cell>
          <cell r="Q4651" t="str">
            <v>J1</v>
          </cell>
          <cell r="R4651" t="str">
            <v>J8</v>
          </cell>
          <cell r="S4651" t="str">
            <v>ENTREGADO</v>
          </cell>
          <cell r="T4651">
            <v>0</v>
          </cell>
          <cell r="U4651" t="str">
            <v>MAMANI LARICO  EDUARDO ALVARO</v>
          </cell>
          <cell r="V4651" t="str">
            <v>FLOREZ CONDORI  JOSE WILLIANS</v>
          </cell>
        </row>
        <row r="4652">
          <cell r="A4652">
            <v>4684</v>
          </cell>
          <cell r="B4652">
            <v>42760</v>
          </cell>
          <cell r="C4652" t="str">
            <v>ENERO</v>
          </cell>
          <cell r="D4652" t="str">
            <v>2017</v>
          </cell>
          <cell r="E4652">
            <v>908</v>
          </cell>
          <cell r="F4652" t="str">
            <v>AEH-801</v>
          </cell>
          <cell r="G4652" t="str">
            <v>CAMIONETA</v>
          </cell>
          <cell r="H4652" t="str">
            <v>LAS BAMBAS</v>
          </cell>
          <cell r="I4652">
            <v>97337</v>
          </cell>
          <cell r="J4652" t="str">
            <v>REPUESTO</v>
          </cell>
          <cell r="K4652" t="str">
            <v>ESPARRAGOS CON TUERCA</v>
          </cell>
          <cell r="L4652">
            <v>6</v>
          </cell>
          <cell r="M4652" t="str">
            <v>UNID.</v>
          </cell>
          <cell r="N4652" t="str">
            <v>CAMIONETA</v>
          </cell>
          <cell r="O4652">
            <v>30</v>
          </cell>
          <cell r="P4652" t="str">
            <v>M6</v>
          </cell>
          <cell r="Q4652" t="str">
            <v>J1</v>
          </cell>
          <cell r="R4652" t="str">
            <v>J8</v>
          </cell>
          <cell r="S4652" t="str">
            <v>ENTREGADO</v>
          </cell>
          <cell r="T4652">
            <v>0</v>
          </cell>
          <cell r="U4652" t="str">
            <v>PARI VENTURA  EDSON ORLANDO</v>
          </cell>
          <cell r="V4652" t="str">
            <v>FLOREZ CONDORI  JOSE WILLIANS</v>
          </cell>
        </row>
        <row r="4653">
          <cell r="A4653">
            <v>4635</v>
          </cell>
          <cell r="B4653">
            <v>42760</v>
          </cell>
          <cell r="C4653" t="str">
            <v>ENERO</v>
          </cell>
          <cell r="D4653" t="str">
            <v>2017</v>
          </cell>
          <cell r="E4653">
            <v>888</v>
          </cell>
          <cell r="F4653" t="str">
            <v>AEH-862</v>
          </cell>
          <cell r="G4653" t="str">
            <v>CAMIONETA</v>
          </cell>
          <cell r="H4653" t="str">
            <v>LAS BAMBAS</v>
          </cell>
          <cell r="I4653">
            <v>107349</v>
          </cell>
          <cell r="J4653" t="str">
            <v>REPUESTO</v>
          </cell>
          <cell r="K4653" t="str">
            <v>FOCO DOBLE CONTACTO 12V</v>
          </cell>
          <cell r="L4653">
            <v>2</v>
          </cell>
          <cell r="M4653" t="str">
            <v>UNID.</v>
          </cell>
          <cell r="N4653" t="str">
            <v>CAMIONETA</v>
          </cell>
          <cell r="O4653">
            <v>30</v>
          </cell>
          <cell r="P4653" t="str">
            <v>E2</v>
          </cell>
          <cell r="Q4653" t="str">
            <v>J1</v>
          </cell>
          <cell r="R4653" t="str">
            <v>J8</v>
          </cell>
          <cell r="S4653" t="str">
            <v>ENTREGADO</v>
          </cell>
          <cell r="T4653">
            <v>0</v>
          </cell>
          <cell r="U4653" t="str">
            <v>YUCA BELLIDO BORIS YERSY</v>
          </cell>
          <cell r="V4653" t="str">
            <v>FLOREZ CONDORI  JOSE WILLIANS</v>
          </cell>
        </row>
        <row r="4654">
          <cell r="A4654">
            <v>4653</v>
          </cell>
          <cell r="B4654">
            <v>42760</v>
          </cell>
          <cell r="C4654" t="str">
            <v>ENERO</v>
          </cell>
          <cell r="D4654" t="str">
            <v>2017</v>
          </cell>
          <cell r="E4654">
            <v>912</v>
          </cell>
          <cell r="F4654" t="str">
            <v>C5R-895</v>
          </cell>
          <cell r="G4654" t="str">
            <v>TBL-976</v>
          </cell>
          <cell r="H4654" t="str">
            <v>LAS BAMBAS</v>
          </cell>
          <cell r="I4654">
            <v>175495</v>
          </cell>
          <cell r="J4654" t="str">
            <v>REPUESTO</v>
          </cell>
          <cell r="K4654" t="str">
            <v>FARO NEBLINERO AAA</v>
          </cell>
          <cell r="L4654">
            <v>1</v>
          </cell>
          <cell r="M4654" t="str">
            <v>UNID.</v>
          </cell>
          <cell r="N4654" t="str">
            <v>TRACTO</v>
          </cell>
          <cell r="O4654">
            <v>30</v>
          </cell>
          <cell r="P4654" t="str">
            <v>E2</v>
          </cell>
          <cell r="Q4654" t="str">
            <v>J1</v>
          </cell>
          <cell r="R4654" t="str">
            <v>J8</v>
          </cell>
          <cell r="S4654" t="str">
            <v>ENTREGADO</v>
          </cell>
          <cell r="T4654">
            <v>0</v>
          </cell>
          <cell r="U4654" t="str">
            <v>YUCA BELLIDO BORIS YERSY</v>
          </cell>
          <cell r="V4654" t="str">
            <v>FLOREZ CONDORI  JOSE WILLIANS</v>
          </cell>
        </row>
        <row r="4655">
          <cell r="A4655">
            <v>4642</v>
          </cell>
          <cell r="B4655">
            <v>42760</v>
          </cell>
          <cell r="C4655" t="str">
            <v>ENERO</v>
          </cell>
          <cell r="D4655" t="str">
            <v>2017</v>
          </cell>
          <cell r="E4655">
            <v>909</v>
          </cell>
          <cell r="F4655" t="str">
            <v>C9M-902</v>
          </cell>
          <cell r="G4655" t="str">
            <v>B8L-970</v>
          </cell>
          <cell r="H4655" t="str">
            <v>LAS BAMBAS</v>
          </cell>
          <cell r="I4655">
            <v>215158</v>
          </cell>
          <cell r="J4655" t="str">
            <v>REPUESTO</v>
          </cell>
          <cell r="K4655" t="str">
            <v>DISCO DE TORNAMESA</v>
          </cell>
          <cell r="L4655">
            <v>1</v>
          </cell>
          <cell r="M4655" t="str">
            <v>UNID.</v>
          </cell>
          <cell r="N4655" t="str">
            <v>CISTERNA</v>
          </cell>
          <cell r="O4655">
            <v>30</v>
          </cell>
          <cell r="P4655" t="str">
            <v>M8</v>
          </cell>
          <cell r="Q4655" t="str">
            <v>J1</v>
          </cell>
          <cell r="R4655" t="str">
            <v>J8</v>
          </cell>
          <cell r="S4655" t="str">
            <v>ENTREGADO</v>
          </cell>
          <cell r="T4655">
            <v>0</v>
          </cell>
          <cell r="U4655" t="str">
            <v>VARILLAS GAGO  OSCAR ALBERTO</v>
          </cell>
          <cell r="V4655" t="str">
            <v>FLOREZ CONDORI  JOSE WILLIANS</v>
          </cell>
        </row>
        <row r="4656">
          <cell r="A4656">
            <v>4643</v>
          </cell>
          <cell r="B4656">
            <v>42760</v>
          </cell>
          <cell r="C4656" t="str">
            <v>ENERO</v>
          </cell>
          <cell r="D4656" t="str">
            <v>2017</v>
          </cell>
          <cell r="E4656">
            <v>909</v>
          </cell>
          <cell r="F4656" t="str">
            <v>C9M-902</v>
          </cell>
          <cell r="G4656" t="str">
            <v>B8L-970</v>
          </cell>
          <cell r="H4656" t="str">
            <v>LAS BAMBAS</v>
          </cell>
          <cell r="I4656">
            <v>215158</v>
          </cell>
          <cell r="J4656" t="str">
            <v>REPUESTO</v>
          </cell>
          <cell r="K4656" t="str">
            <v>REFRIGERANTE</v>
          </cell>
          <cell r="L4656">
            <v>0.5</v>
          </cell>
          <cell r="M4656" t="str">
            <v>GLNS.</v>
          </cell>
          <cell r="N4656" t="str">
            <v>TRACTO</v>
          </cell>
          <cell r="O4656">
            <v>30</v>
          </cell>
          <cell r="P4656" t="str">
            <v>M8</v>
          </cell>
          <cell r="Q4656" t="str">
            <v>J1</v>
          </cell>
          <cell r="R4656" t="str">
            <v>J8</v>
          </cell>
          <cell r="S4656" t="str">
            <v>ENTREGADO</v>
          </cell>
          <cell r="T4656">
            <v>0</v>
          </cell>
          <cell r="U4656" t="str">
            <v>VARILLAS GAGO  OSCAR ALBERTO</v>
          </cell>
          <cell r="V4656" t="str">
            <v>FLOREZ CONDORI  JOSE WILLIANS</v>
          </cell>
        </row>
        <row r="4657">
          <cell r="A4657">
            <v>4644</v>
          </cell>
          <cell r="B4657">
            <v>42760</v>
          </cell>
          <cell r="C4657" t="str">
            <v>ENERO</v>
          </cell>
          <cell r="D4657" t="str">
            <v>2017</v>
          </cell>
          <cell r="E4657">
            <v>909</v>
          </cell>
          <cell r="F4657" t="str">
            <v>C9M-902</v>
          </cell>
          <cell r="G4657" t="str">
            <v>B8L-970</v>
          </cell>
          <cell r="H4657" t="str">
            <v>LAS BAMBAS</v>
          </cell>
          <cell r="I4657">
            <v>215158</v>
          </cell>
          <cell r="J4657" t="str">
            <v>REPUESTO</v>
          </cell>
          <cell r="K4657" t="str">
            <v>AGUA LIMPIA PARABRISA</v>
          </cell>
          <cell r="L4657">
            <v>0.5</v>
          </cell>
          <cell r="M4657" t="str">
            <v>GLNS.</v>
          </cell>
          <cell r="N4657" t="str">
            <v>TRACTO</v>
          </cell>
          <cell r="O4657">
            <v>30</v>
          </cell>
          <cell r="P4657" t="str">
            <v>M8</v>
          </cell>
          <cell r="Q4657" t="str">
            <v>J1</v>
          </cell>
          <cell r="R4657" t="str">
            <v>J8</v>
          </cell>
          <cell r="S4657" t="str">
            <v>ENTREGADO</v>
          </cell>
          <cell r="T4657">
            <v>0</v>
          </cell>
          <cell r="U4657" t="str">
            <v>VARILLAS GAGO  OSCAR ALBERTO</v>
          </cell>
          <cell r="V4657" t="str">
            <v>FLOREZ CONDORI  JOSE WILLIANS</v>
          </cell>
        </row>
        <row r="4658">
          <cell r="A4658">
            <v>4652</v>
          </cell>
          <cell r="B4658">
            <v>42760</v>
          </cell>
          <cell r="C4658" t="str">
            <v>ENERO</v>
          </cell>
          <cell r="D4658" t="str">
            <v>2017</v>
          </cell>
          <cell r="E4658">
            <v>909</v>
          </cell>
          <cell r="F4658" t="str">
            <v>C9M-902</v>
          </cell>
          <cell r="G4658" t="str">
            <v>B8L-970</v>
          </cell>
          <cell r="H4658" t="str">
            <v>LAS BAMBAS</v>
          </cell>
          <cell r="I4658">
            <v>215158</v>
          </cell>
          <cell r="J4658" t="str">
            <v>REPUESTO</v>
          </cell>
          <cell r="K4658" t="str">
            <v>CIRCULINA</v>
          </cell>
          <cell r="L4658">
            <v>1</v>
          </cell>
          <cell r="M4658" t="str">
            <v>UNID.</v>
          </cell>
          <cell r="N4658" t="str">
            <v>TRACTO</v>
          </cell>
          <cell r="O4658">
            <v>30</v>
          </cell>
          <cell r="P4658" t="str">
            <v>E2</v>
          </cell>
          <cell r="Q4658" t="str">
            <v>J1</v>
          </cell>
          <cell r="R4658" t="str">
            <v>J8</v>
          </cell>
          <cell r="S4658" t="str">
            <v>PENDIENTE</v>
          </cell>
          <cell r="T4658">
            <v>0</v>
          </cell>
          <cell r="U4658" t="str">
            <v>YUCA BELLIDO BORIS YERSY</v>
          </cell>
          <cell r="V4658" t="str">
            <v>FLOREZ CONDORI  JOSE WILLIANS</v>
          </cell>
        </row>
        <row r="4659">
          <cell r="A4659">
            <v>4658</v>
          </cell>
          <cell r="B4659">
            <v>42760</v>
          </cell>
          <cell r="C4659" t="str">
            <v>ENERO</v>
          </cell>
          <cell r="D4659" t="str">
            <v>2017</v>
          </cell>
          <cell r="E4659">
            <v>909</v>
          </cell>
          <cell r="F4659" t="str">
            <v>C9M-902</v>
          </cell>
          <cell r="G4659" t="str">
            <v>B8L-970</v>
          </cell>
          <cell r="H4659" t="str">
            <v>LAS BAMBAS</v>
          </cell>
          <cell r="I4659">
            <v>215158</v>
          </cell>
          <cell r="J4659" t="str">
            <v>REPUESTO</v>
          </cell>
          <cell r="K4659" t="str">
            <v>MINIFUSIBLES DE 15AMP</v>
          </cell>
          <cell r="L4659">
            <v>2</v>
          </cell>
          <cell r="M4659" t="str">
            <v>UNID.</v>
          </cell>
          <cell r="N4659" t="str">
            <v>TRACTO</v>
          </cell>
          <cell r="O4659">
            <v>30</v>
          </cell>
          <cell r="P4659" t="str">
            <v>E3</v>
          </cell>
          <cell r="Q4659" t="str">
            <v>J1</v>
          </cell>
          <cell r="R4659" t="str">
            <v>J6</v>
          </cell>
          <cell r="S4659" t="str">
            <v>ENTREGADO</v>
          </cell>
          <cell r="T4659">
            <v>0</v>
          </cell>
          <cell r="U4659" t="str">
            <v>CONDORI CHURATA ALEX</v>
          </cell>
          <cell r="V4659" t="str">
            <v>FLOREZ CONDORI  JOSE WILLIANS</v>
          </cell>
        </row>
        <row r="4660">
          <cell r="A4660">
            <v>4659</v>
          </cell>
          <cell r="B4660">
            <v>42760</v>
          </cell>
          <cell r="C4660" t="str">
            <v>ENERO</v>
          </cell>
          <cell r="D4660" t="str">
            <v>2017</v>
          </cell>
          <cell r="E4660">
            <v>909</v>
          </cell>
          <cell r="F4660" t="str">
            <v>C9M-902</v>
          </cell>
          <cell r="G4660" t="str">
            <v>B8L-970</v>
          </cell>
          <cell r="H4660" t="str">
            <v>LAS BAMBAS</v>
          </cell>
          <cell r="I4660">
            <v>215158</v>
          </cell>
          <cell r="J4660" t="str">
            <v>REPUESTO</v>
          </cell>
          <cell r="K4660" t="str">
            <v>FARO LATERAL RECTANGULAR</v>
          </cell>
          <cell r="L4660">
            <v>1</v>
          </cell>
          <cell r="M4660" t="str">
            <v>UNID.</v>
          </cell>
          <cell r="N4660" t="str">
            <v>CISTERNA</v>
          </cell>
          <cell r="O4660">
            <v>30</v>
          </cell>
          <cell r="P4660" t="str">
            <v>E3</v>
          </cell>
          <cell r="Q4660" t="str">
            <v>J1</v>
          </cell>
          <cell r="R4660" t="str">
            <v>J6</v>
          </cell>
          <cell r="S4660" t="str">
            <v>ENTREGADO</v>
          </cell>
          <cell r="T4660">
            <v>0</v>
          </cell>
          <cell r="U4660" t="str">
            <v>CONDORI CHURATA ALEX</v>
          </cell>
          <cell r="V4660" t="str">
            <v>FLOREZ CONDORI  JOSE WILLIANS</v>
          </cell>
        </row>
        <row r="4661">
          <cell r="A4661">
            <v>4673</v>
          </cell>
          <cell r="B4661">
            <v>42760</v>
          </cell>
          <cell r="C4661" t="str">
            <v>ENERO</v>
          </cell>
          <cell r="D4661" t="str">
            <v>2017</v>
          </cell>
          <cell r="E4661">
            <v>921</v>
          </cell>
          <cell r="F4661" t="str">
            <v>D3O-745</v>
          </cell>
          <cell r="G4661" t="str">
            <v>F3L-979</v>
          </cell>
          <cell r="H4661" t="str">
            <v>LAS BAMBAS</v>
          </cell>
          <cell r="I4661">
            <v>165784</v>
          </cell>
          <cell r="J4661" t="str">
            <v>REPUESTO</v>
          </cell>
          <cell r="K4661" t="str">
            <v>FAROS REDONDOS PEQUEÑOS</v>
          </cell>
          <cell r="L4661">
            <v>2</v>
          </cell>
          <cell r="M4661" t="str">
            <v>UNID.</v>
          </cell>
          <cell r="N4661" t="str">
            <v>CISTERNA</v>
          </cell>
          <cell r="O4661">
            <v>30</v>
          </cell>
          <cell r="P4661" t="str">
            <v>E2</v>
          </cell>
          <cell r="Q4661" t="str">
            <v>J1</v>
          </cell>
          <cell r="R4661" t="str">
            <v>J6</v>
          </cell>
          <cell r="S4661" t="str">
            <v>ENTREGADO</v>
          </cell>
          <cell r="T4661">
            <v>0</v>
          </cell>
          <cell r="U4661" t="str">
            <v>YUCA BELLIDO BORIS YERSY</v>
          </cell>
          <cell r="V4661" t="str">
            <v>FLOREZ CONDORI  JOSE WILLIANS</v>
          </cell>
        </row>
        <row r="4662">
          <cell r="A4662">
            <v>4674</v>
          </cell>
          <cell r="B4662">
            <v>42760</v>
          </cell>
          <cell r="C4662" t="str">
            <v>ENERO</v>
          </cell>
          <cell r="D4662" t="str">
            <v>2017</v>
          </cell>
          <cell r="E4662">
            <v>921</v>
          </cell>
          <cell r="F4662" t="str">
            <v>D3O-745</v>
          </cell>
          <cell r="G4662" t="str">
            <v>F3L-979</v>
          </cell>
          <cell r="H4662" t="str">
            <v>LAS BAMBAS</v>
          </cell>
          <cell r="I4662">
            <v>165784</v>
          </cell>
          <cell r="J4662" t="str">
            <v>REPUESTO</v>
          </cell>
          <cell r="K4662" t="str">
            <v>CABLE NRO 14</v>
          </cell>
          <cell r="L4662">
            <v>2</v>
          </cell>
          <cell r="M4662" t="str">
            <v>M</v>
          </cell>
          <cell r="N4662" t="str">
            <v>CISTERNA</v>
          </cell>
          <cell r="O4662">
            <v>30</v>
          </cell>
          <cell r="P4662" t="str">
            <v>E2</v>
          </cell>
          <cell r="Q4662" t="str">
            <v>J1</v>
          </cell>
          <cell r="R4662" t="str">
            <v>J6</v>
          </cell>
          <cell r="S4662" t="str">
            <v>ENTREGADO</v>
          </cell>
          <cell r="T4662">
            <v>0</v>
          </cell>
          <cell r="U4662" t="str">
            <v>YUCA BELLIDO BORIS YERSY</v>
          </cell>
          <cell r="V4662" t="str">
            <v>FLOREZ CONDORI  JOSE WILLIANS</v>
          </cell>
        </row>
        <row r="4663">
          <cell r="A4663">
            <v>4680</v>
          </cell>
          <cell r="B4663">
            <v>42760</v>
          </cell>
          <cell r="C4663" t="str">
            <v>ENERO</v>
          </cell>
          <cell r="D4663" t="str">
            <v>2017</v>
          </cell>
          <cell r="E4663">
            <v>921</v>
          </cell>
          <cell r="F4663" t="str">
            <v>D3O-745</v>
          </cell>
          <cell r="G4663" t="str">
            <v>F3L-979</v>
          </cell>
          <cell r="H4663" t="str">
            <v>LAS BAMBAS</v>
          </cell>
          <cell r="I4663">
            <v>165784</v>
          </cell>
          <cell r="J4663" t="str">
            <v>REPUESTO</v>
          </cell>
          <cell r="K4663" t="str">
            <v>TAPA DE TANQUE DE COMBUSTIBLE</v>
          </cell>
          <cell r="L4663">
            <v>2</v>
          </cell>
          <cell r="M4663" t="str">
            <v>UNID.</v>
          </cell>
          <cell r="N4663" t="str">
            <v>TRACTO</v>
          </cell>
          <cell r="O4663">
            <v>30</v>
          </cell>
          <cell r="P4663" t="str">
            <v>M2</v>
          </cell>
          <cell r="Q4663" t="str">
            <v>J1</v>
          </cell>
          <cell r="R4663" t="str">
            <v>J8</v>
          </cell>
          <cell r="S4663" t="str">
            <v>ENTREGADO</v>
          </cell>
          <cell r="T4663">
            <v>0</v>
          </cell>
          <cell r="U4663" t="str">
            <v>CHUMPITAZ GAGO JULIO ENRIQUE</v>
          </cell>
          <cell r="V4663" t="str">
            <v>FLOREZ CONDORI  JOSE WILLIANS</v>
          </cell>
        </row>
        <row r="4664">
          <cell r="A4664">
            <v>4681</v>
          </cell>
          <cell r="B4664">
            <v>42760</v>
          </cell>
          <cell r="C4664" t="str">
            <v>ENERO</v>
          </cell>
          <cell r="D4664" t="str">
            <v>2017</v>
          </cell>
          <cell r="E4664">
            <v>921</v>
          </cell>
          <cell r="F4664" t="str">
            <v>D3O-745</v>
          </cell>
          <cell r="G4664" t="str">
            <v>F3L-979</v>
          </cell>
          <cell r="H4664" t="str">
            <v>LAS BAMBAS</v>
          </cell>
          <cell r="I4664">
            <v>165784</v>
          </cell>
          <cell r="J4664" t="str">
            <v>REPUESTO</v>
          </cell>
          <cell r="K4664" t="str">
            <v>CABLE CORRIENTE # 14</v>
          </cell>
          <cell r="L4664">
            <v>4</v>
          </cell>
          <cell r="M4664" t="str">
            <v>M</v>
          </cell>
          <cell r="N4664" t="str">
            <v>CISTERNA</v>
          </cell>
          <cell r="O4664">
            <v>30</v>
          </cell>
          <cell r="P4664" t="str">
            <v>E2</v>
          </cell>
          <cell r="Q4664" t="str">
            <v>J1</v>
          </cell>
          <cell r="R4664" t="str">
            <v>J8</v>
          </cell>
          <cell r="S4664" t="str">
            <v>ENTREGADO</v>
          </cell>
          <cell r="T4664">
            <v>0</v>
          </cell>
          <cell r="U4664" t="str">
            <v>YUCA BELLIDO BORIS YERSY</v>
          </cell>
          <cell r="V4664" t="str">
            <v>FLOREZ CONDORI  JOSE WILLIANS</v>
          </cell>
        </row>
        <row r="4665">
          <cell r="A4665">
            <v>4682</v>
          </cell>
          <cell r="B4665">
            <v>42760</v>
          </cell>
          <cell r="C4665" t="str">
            <v>ENERO</v>
          </cell>
          <cell r="D4665" t="str">
            <v>2017</v>
          </cell>
          <cell r="E4665">
            <v>921</v>
          </cell>
          <cell r="F4665" t="str">
            <v>D3O-745</v>
          </cell>
          <cell r="G4665" t="str">
            <v>F3L-979</v>
          </cell>
          <cell r="H4665" t="str">
            <v>LAS BAMBAS</v>
          </cell>
          <cell r="I4665">
            <v>165784</v>
          </cell>
          <cell r="J4665" t="str">
            <v>REPUESTO</v>
          </cell>
          <cell r="K4665" t="str">
            <v>MANGUERA CORRUGADA 1/4</v>
          </cell>
          <cell r="L4665">
            <v>3</v>
          </cell>
          <cell r="M4665" t="str">
            <v>M</v>
          </cell>
          <cell r="N4665" t="str">
            <v>CISTERNA</v>
          </cell>
          <cell r="O4665">
            <v>30</v>
          </cell>
          <cell r="P4665" t="str">
            <v>E2</v>
          </cell>
          <cell r="Q4665" t="str">
            <v>J1</v>
          </cell>
          <cell r="R4665" t="str">
            <v>J8</v>
          </cell>
          <cell r="S4665" t="str">
            <v>ENTREGADO</v>
          </cell>
          <cell r="T4665">
            <v>0</v>
          </cell>
          <cell r="U4665" t="str">
            <v>YUCA BELLIDO BORIS YERSY</v>
          </cell>
          <cell r="V4665" t="str">
            <v>FLOREZ CONDORI  JOSE WILLIANS</v>
          </cell>
        </row>
        <row r="4666">
          <cell r="A4666">
            <v>4640</v>
          </cell>
          <cell r="B4666">
            <v>42760</v>
          </cell>
          <cell r="C4666" t="str">
            <v>ENERO</v>
          </cell>
          <cell r="D4666" t="str">
            <v>2017</v>
          </cell>
          <cell r="E4666">
            <v>914</v>
          </cell>
          <cell r="F4666" t="str">
            <v>D4X-872</v>
          </cell>
          <cell r="G4666" t="str">
            <v>B4P-976</v>
          </cell>
          <cell r="H4666" t="str">
            <v>LAS BAMBAS</v>
          </cell>
          <cell r="I4666">
            <v>189870</v>
          </cell>
          <cell r="J4666" t="str">
            <v>REPUESTO</v>
          </cell>
          <cell r="K4666" t="str">
            <v>CABLE CORRIENTE # 14</v>
          </cell>
          <cell r="L4666">
            <v>3</v>
          </cell>
          <cell r="M4666" t="str">
            <v>M</v>
          </cell>
          <cell r="N4666" t="str">
            <v>TRACTO</v>
          </cell>
          <cell r="O4666">
            <v>30</v>
          </cell>
          <cell r="P4666" t="str">
            <v>E2</v>
          </cell>
          <cell r="Q4666" t="str">
            <v>J1</v>
          </cell>
          <cell r="R4666" t="str">
            <v>J8</v>
          </cell>
          <cell r="S4666" t="str">
            <v>ENTREGADO</v>
          </cell>
          <cell r="T4666">
            <v>0</v>
          </cell>
          <cell r="U4666" t="str">
            <v>YUCA BELLIDO BORIS YERSY</v>
          </cell>
          <cell r="V4666" t="str">
            <v>FLOREZ CONDORI  JOSE WILLIANS</v>
          </cell>
        </row>
        <row r="4667">
          <cell r="A4667">
            <v>4641</v>
          </cell>
          <cell r="B4667">
            <v>42760</v>
          </cell>
          <cell r="C4667" t="str">
            <v>ENERO</v>
          </cell>
          <cell r="D4667" t="str">
            <v>2017</v>
          </cell>
          <cell r="E4667">
            <v>914</v>
          </cell>
          <cell r="F4667" t="str">
            <v>D4X-872</v>
          </cell>
          <cell r="G4667" t="str">
            <v>B4P-976</v>
          </cell>
          <cell r="H4667" t="str">
            <v>LAS BAMBAS</v>
          </cell>
          <cell r="I4667">
            <v>189870</v>
          </cell>
          <cell r="J4667" t="str">
            <v>REPUESTO</v>
          </cell>
          <cell r="K4667" t="str">
            <v>MANGUERA CORRUGADA</v>
          </cell>
          <cell r="L4667">
            <v>0.3</v>
          </cell>
          <cell r="M4667" t="str">
            <v>M</v>
          </cell>
          <cell r="N4667" t="str">
            <v>TRACTO</v>
          </cell>
          <cell r="O4667">
            <v>30</v>
          </cell>
          <cell r="P4667" t="str">
            <v>E2</v>
          </cell>
          <cell r="Q4667" t="str">
            <v>J1</v>
          </cell>
          <cell r="R4667" t="str">
            <v>J8</v>
          </cell>
          <cell r="S4667" t="str">
            <v>ENTREGADO</v>
          </cell>
          <cell r="T4667">
            <v>0</v>
          </cell>
          <cell r="U4667" t="str">
            <v>YUCA BELLIDO BORIS YERSY</v>
          </cell>
          <cell r="V4667" t="str">
            <v>FLOREZ CONDORI  JOSE WILLIANS</v>
          </cell>
        </row>
        <row r="4668">
          <cell r="A4668">
            <v>4649</v>
          </cell>
          <cell r="B4668">
            <v>42760</v>
          </cell>
          <cell r="C4668" t="str">
            <v>ENERO</v>
          </cell>
          <cell r="D4668" t="str">
            <v>2017</v>
          </cell>
          <cell r="E4668">
            <v>914</v>
          </cell>
          <cell r="F4668" t="str">
            <v>D4X-872</v>
          </cell>
          <cell r="G4668" t="str">
            <v>B4P-976</v>
          </cell>
          <cell r="H4668" t="str">
            <v>LAS BAMBAS</v>
          </cell>
          <cell r="I4668">
            <v>189870</v>
          </cell>
          <cell r="J4668" t="str">
            <v>REPUESTO</v>
          </cell>
          <cell r="K4668" t="str">
            <v>AGUA LIMPIA PARABRISA</v>
          </cell>
          <cell r="L4668">
            <v>0.5</v>
          </cell>
          <cell r="M4668" t="str">
            <v>GLNS.</v>
          </cell>
          <cell r="N4668" t="str">
            <v>TRACTO</v>
          </cell>
          <cell r="O4668">
            <v>30</v>
          </cell>
          <cell r="P4668" t="str">
            <v>M4</v>
          </cell>
          <cell r="Q4668" t="str">
            <v>J1</v>
          </cell>
          <cell r="R4668" t="str">
            <v>J8</v>
          </cell>
          <cell r="S4668" t="str">
            <v>ENTREGADO</v>
          </cell>
          <cell r="T4668">
            <v>0</v>
          </cell>
          <cell r="U4668" t="str">
            <v>JULLIRI APAZA UBALDO</v>
          </cell>
          <cell r="V4668" t="str">
            <v>FLOREZ CONDORI  JOSE WILLIANS</v>
          </cell>
        </row>
        <row r="4669">
          <cell r="A4669">
            <v>4650</v>
          </cell>
          <cell r="B4669">
            <v>42760</v>
          </cell>
          <cell r="C4669" t="str">
            <v>ENERO</v>
          </cell>
          <cell r="D4669" t="str">
            <v>2017</v>
          </cell>
          <cell r="E4669">
            <v>914</v>
          </cell>
          <cell r="F4669" t="str">
            <v>D4X-872</v>
          </cell>
          <cell r="G4669" t="str">
            <v>B4P-976</v>
          </cell>
          <cell r="H4669" t="str">
            <v>LAS BAMBAS</v>
          </cell>
          <cell r="I4669">
            <v>189870</v>
          </cell>
          <cell r="J4669" t="str">
            <v>REPUESTO</v>
          </cell>
          <cell r="K4669" t="str">
            <v>PRECINTOS 30CM</v>
          </cell>
          <cell r="L4669">
            <v>6</v>
          </cell>
          <cell r="M4669" t="str">
            <v>UNID.</v>
          </cell>
          <cell r="N4669" t="str">
            <v>TRACTO</v>
          </cell>
          <cell r="O4669">
            <v>30</v>
          </cell>
          <cell r="P4669" t="str">
            <v>M4</v>
          </cell>
          <cell r="Q4669" t="str">
            <v>J1</v>
          </cell>
          <cell r="R4669" t="str">
            <v>J8</v>
          </cell>
          <cell r="S4669" t="str">
            <v>ENTREGADO</v>
          </cell>
          <cell r="T4669">
            <v>0</v>
          </cell>
          <cell r="U4669" t="str">
            <v>JULLIRI APAZA UBALDO</v>
          </cell>
          <cell r="V4669" t="str">
            <v>FLOREZ CONDORI  JOSE WILLIANS</v>
          </cell>
        </row>
        <row r="4670">
          <cell r="A4670">
            <v>4666</v>
          </cell>
          <cell r="B4670">
            <v>42760</v>
          </cell>
          <cell r="C4670" t="str">
            <v>ENERO</v>
          </cell>
          <cell r="D4670" t="str">
            <v>2017</v>
          </cell>
          <cell r="E4670">
            <v>895</v>
          </cell>
          <cell r="F4670" t="str">
            <v>D6F-907</v>
          </cell>
          <cell r="G4670" t="str">
            <v>T2Y-979</v>
          </cell>
          <cell r="H4670" t="str">
            <v>LAS BAMBAS</v>
          </cell>
          <cell r="I4670">
            <v>204753</v>
          </cell>
          <cell r="J4670" t="str">
            <v>REPUESTO</v>
          </cell>
          <cell r="K4670" t="str">
            <v>MANDO DE LUCES DE DIRECCION</v>
          </cell>
          <cell r="L4670">
            <v>1</v>
          </cell>
          <cell r="M4670" t="str">
            <v>UNID.</v>
          </cell>
          <cell r="N4670" t="str">
            <v>TRACTO</v>
          </cell>
          <cell r="O4670">
            <v>30</v>
          </cell>
          <cell r="P4670" t="str">
            <v>J1</v>
          </cell>
          <cell r="Q4670" t="str">
            <v>J1</v>
          </cell>
          <cell r="R4670" t="str">
            <v>J6</v>
          </cell>
          <cell r="S4670" t="str">
            <v>ENTREGADO</v>
          </cell>
          <cell r="T4670">
            <v>0</v>
          </cell>
          <cell r="U4670" t="str">
            <v>FLOREZ CONDORI  JOSE WILLIANS</v>
          </cell>
          <cell r="V4670" t="str">
            <v>FLOREZ CONDORI  JOSE WILLIANS</v>
          </cell>
        </row>
        <row r="4671">
          <cell r="A4671">
            <v>4661</v>
          </cell>
          <cell r="B4671">
            <v>42760</v>
          </cell>
          <cell r="C4671" t="str">
            <v>ENERO</v>
          </cell>
          <cell r="D4671" t="str">
            <v>2017</v>
          </cell>
          <cell r="E4671">
            <v>915</v>
          </cell>
          <cell r="F4671" t="str">
            <v>D6G-806</v>
          </cell>
          <cell r="G4671" t="str">
            <v>B8K-998</v>
          </cell>
          <cell r="H4671" t="str">
            <v>LAS BAMBAS</v>
          </cell>
          <cell r="I4671">
            <v>224827</v>
          </cell>
          <cell r="J4671" t="str">
            <v>REPUESTO</v>
          </cell>
          <cell r="K4671" t="str">
            <v>ELECTROVALVULA FAN CLUTCH (VENTILADOR)</v>
          </cell>
          <cell r="L4671">
            <v>1</v>
          </cell>
          <cell r="M4671" t="str">
            <v>UNID.</v>
          </cell>
          <cell r="N4671" t="str">
            <v>TRACTO</v>
          </cell>
          <cell r="O4671">
            <v>30</v>
          </cell>
          <cell r="P4671" t="str">
            <v>M5</v>
          </cell>
          <cell r="Q4671" t="str">
            <v>J1</v>
          </cell>
          <cell r="R4671" t="str">
            <v>J6</v>
          </cell>
          <cell r="S4671" t="str">
            <v>ENTREGADO</v>
          </cell>
          <cell r="T4671">
            <v>0</v>
          </cell>
          <cell r="U4671" t="str">
            <v>LOPEZ RUIZ WILBERTO</v>
          </cell>
          <cell r="V4671" t="str">
            <v>FLOREZ CONDORI  JOSE WILLIANS</v>
          </cell>
        </row>
        <row r="4672">
          <cell r="A4672">
            <v>4667</v>
          </cell>
          <cell r="B4672">
            <v>42760</v>
          </cell>
          <cell r="C4672" t="str">
            <v>ENERO</v>
          </cell>
          <cell r="D4672" t="str">
            <v>2017</v>
          </cell>
          <cell r="E4672">
            <v>915</v>
          </cell>
          <cell r="F4672" t="str">
            <v>D6G-806</v>
          </cell>
          <cell r="G4672" t="str">
            <v>B8K-998</v>
          </cell>
          <cell r="H4672" t="str">
            <v>LAS BAMBAS</v>
          </cell>
          <cell r="I4672">
            <v>224827</v>
          </cell>
          <cell r="J4672" t="str">
            <v>REPUESTO</v>
          </cell>
          <cell r="K4672" t="str">
            <v>TAPA DE DEPOSITO DE AGUA LIMPIAPARABRISAS (COLUNBIA)</v>
          </cell>
          <cell r="L4672">
            <v>1</v>
          </cell>
          <cell r="M4672" t="str">
            <v>UNID.</v>
          </cell>
          <cell r="N4672" t="str">
            <v>TRACTO</v>
          </cell>
          <cell r="O4672">
            <v>30</v>
          </cell>
          <cell r="P4672" t="str">
            <v>M5</v>
          </cell>
          <cell r="Q4672" t="str">
            <v>J1</v>
          </cell>
          <cell r="R4672" t="str">
            <v>J6</v>
          </cell>
          <cell r="S4672" t="str">
            <v>ENTREGADO</v>
          </cell>
          <cell r="T4672">
            <v>0</v>
          </cell>
          <cell r="U4672" t="str">
            <v>LOPEZ RUIZ WILBERTO</v>
          </cell>
          <cell r="V4672" t="str">
            <v>FLOREZ CONDORI  JOSE WILLIANS</v>
          </cell>
        </row>
        <row r="4673">
          <cell r="A4673">
            <v>4675</v>
          </cell>
          <cell r="B4673">
            <v>42760</v>
          </cell>
          <cell r="C4673" t="str">
            <v>ENERO</v>
          </cell>
          <cell r="D4673" t="str">
            <v>2017</v>
          </cell>
          <cell r="E4673">
            <v>915</v>
          </cell>
          <cell r="F4673" t="str">
            <v>D6G-806</v>
          </cell>
          <cell r="G4673" t="str">
            <v>B8K-998</v>
          </cell>
          <cell r="H4673" t="str">
            <v>LAS BAMBAS</v>
          </cell>
          <cell r="I4673">
            <v>224827</v>
          </cell>
          <cell r="J4673" t="str">
            <v>REPUESTO</v>
          </cell>
          <cell r="K4673" t="str">
            <v>ABRAZADERA NORMA 7/8</v>
          </cell>
          <cell r="L4673">
            <v>2</v>
          </cell>
          <cell r="M4673" t="str">
            <v>UNID.</v>
          </cell>
          <cell r="N4673" t="str">
            <v>TRACTO</v>
          </cell>
          <cell r="O4673">
            <v>30</v>
          </cell>
          <cell r="P4673" t="str">
            <v>M4</v>
          </cell>
          <cell r="Q4673" t="str">
            <v>J1</v>
          </cell>
          <cell r="R4673" t="str">
            <v>J6</v>
          </cell>
          <cell r="S4673" t="str">
            <v>ENTREGADO</v>
          </cell>
          <cell r="T4673">
            <v>0</v>
          </cell>
          <cell r="U4673" t="str">
            <v>JULLIRI APAZA UBALDO</v>
          </cell>
          <cell r="V4673" t="str">
            <v>FLOREZ CONDORI  JOSE WILLIANS</v>
          </cell>
        </row>
        <row r="4674">
          <cell r="A4674">
            <v>4685</v>
          </cell>
          <cell r="B4674">
            <v>42760</v>
          </cell>
          <cell r="C4674" t="str">
            <v>ENERO</v>
          </cell>
          <cell r="D4674" t="str">
            <v>2017</v>
          </cell>
          <cell r="E4674">
            <v>915</v>
          </cell>
          <cell r="F4674" t="str">
            <v>D6G-806</v>
          </cell>
          <cell r="G4674" t="str">
            <v>B8K-998</v>
          </cell>
          <cell r="H4674" t="str">
            <v>LAS BAMBAS</v>
          </cell>
          <cell r="I4674">
            <v>224827</v>
          </cell>
          <cell r="J4674" t="str">
            <v>REPUESTO</v>
          </cell>
          <cell r="K4674" t="str">
            <v>MANGUERA CORRUGADA 1/4</v>
          </cell>
          <cell r="L4674">
            <v>1</v>
          </cell>
          <cell r="M4674" t="str">
            <v>M</v>
          </cell>
          <cell r="N4674" t="str">
            <v>TRACTO</v>
          </cell>
          <cell r="O4674">
            <v>30</v>
          </cell>
          <cell r="P4674" t="str">
            <v>M5</v>
          </cell>
          <cell r="Q4674" t="str">
            <v>J1</v>
          </cell>
          <cell r="R4674" t="str">
            <v>J8</v>
          </cell>
          <cell r="S4674" t="str">
            <v>ENTREGADO</v>
          </cell>
          <cell r="T4674">
            <v>0</v>
          </cell>
          <cell r="U4674" t="str">
            <v>LOPEZ RUIZ WILBERTO</v>
          </cell>
          <cell r="V4674" t="str">
            <v>FLOREZ CONDORI  JOSE WILLIANS</v>
          </cell>
        </row>
        <row r="4675">
          <cell r="A4675">
            <v>4686</v>
          </cell>
          <cell r="B4675">
            <v>42760</v>
          </cell>
          <cell r="C4675" t="str">
            <v>ENERO</v>
          </cell>
          <cell r="D4675" t="str">
            <v>2017</v>
          </cell>
          <cell r="E4675">
            <v>915</v>
          </cell>
          <cell r="F4675" t="str">
            <v>D6G-806</v>
          </cell>
          <cell r="G4675" t="str">
            <v>B8K-998</v>
          </cell>
          <cell r="H4675" t="str">
            <v>LAS BAMBAS</v>
          </cell>
          <cell r="I4675">
            <v>224827</v>
          </cell>
          <cell r="J4675" t="str">
            <v>REPUESTO</v>
          </cell>
          <cell r="K4675" t="str">
            <v>PRECINTOS</v>
          </cell>
          <cell r="L4675">
            <v>6</v>
          </cell>
          <cell r="M4675" t="str">
            <v>UNID.</v>
          </cell>
          <cell r="N4675" t="str">
            <v>TRACTO</v>
          </cell>
          <cell r="O4675">
            <v>30</v>
          </cell>
          <cell r="P4675" t="str">
            <v>M5</v>
          </cell>
          <cell r="Q4675" t="str">
            <v>J1</v>
          </cell>
          <cell r="R4675" t="str">
            <v>J8</v>
          </cell>
          <cell r="S4675" t="str">
            <v>ENTREGADO</v>
          </cell>
          <cell r="T4675">
            <v>0</v>
          </cell>
          <cell r="U4675" t="str">
            <v>LOPEZ RUIZ WILBERTO</v>
          </cell>
          <cell r="V4675" t="str">
            <v>FLOREZ CONDORI  JOSE WILLIANS</v>
          </cell>
        </row>
        <row r="4676">
          <cell r="A4676">
            <v>4638</v>
          </cell>
          <cell r="B4676">
            <v>42760</v>
          </cell>
          <cell r="C4676" t="str">
            <v>ENERO</v>
          </cell>
          <cell r="D4676" t="str">
            <v>2017</v>
          </cell>
          <cell r="E4676">
            <v>200</v>
          </cell>
          <cell r="F4676" t="str">
            <v>TALLER</v>
          </cell>
          <cell r="G4676" t="str">
            <v>TALLER</v>
          </cell>
          <cell r="H4676" t="str">
            <v>TALLER</v>
          </cell>
          <cell r="I4676" t="str">
            <v>TALLER</v>
          </cell>
          <cell r="J4676" t="str">
            <v>INSUMO TALLER</v>
          </cell>
          <cell r="K4676" t="str">
            <v>CINTA AISLANTE NEGRA</v>
          </cell>
          <cell r="L4676">
            <v>1</v>
          </cell>
          <cell r="M4676" t="str">
            <v>UNID.</v>
          </cell>
          <cell r="N4676" t="str">
            <v>TALLER</v>
          </cell>
          <cell r="O4676">
            <v>30</v>
          </cell>
          <cell r="P4676" t="str">
            <v>E2</v>
          </cell>
          <cell r="Q4676" t="str">
            <v>J1</v>
          </cell>
          <cell r="R4676" t="str">
            <v>J8</v>
          </cell>
          <cell r="S4676" t="str">
            <v>ENTREGADO</v>
          </cell>
          <cell r="T4676">
            <v>0</v>
          </cell>
          <cell r="U4676" t="str">
            <v>YUCA BELLIDO BORIS YERSY</v>
          </cell>
          <cell r="V4676" t="str">
            <v>FLOREZ CONDORI  JOSE WILLIANS</v>
          </cell>
        </row>
        <row r="4677">
          <cell r="A4677">
            <v>4651</v>
          </cell>
          <cell r="B4677">
            <v>42760</v>
          </cell>
          <cell r="C4677" t="str">
            <v>ENERO</v>
          </cell>
          <cell r="D4677" t="str">
            <v>2017</v>
          </cell>
          <cell r="E4677">
            <v>200</v>
          </cell>
          <cell r="F4677" t="str">
            <v>TALLER</v>
          </cell>
          <cell r="G4677" t="str">
            <v>TALLER</v>
          </cell>
          <cell r="H4677" t="str">
            <v>TALLER</v>
          </cell>
          <cell r="I4677" t="str">
            <v>TALLER</v>
          </cell>
          <cell r="J4677" t="str">
            <v>MATERIALES</v>
          </cell>
          <cell r="K4677" t="str">
            <v>PRECINTOS 200</v>
          </cell>
          <cell r="L4677">
            <v>10</v>
          </cell>
          <cell r="M4677" t="str">
            <v>UNID.</v>
          </cell>
          <cell r="N4677" t="str">
            <v>TALLER</v>
          </cell>
          <cell r="O4677">
            <v>30</v>
          </cell>
          <cell r="P4677" t="str">
            <v>M4</v>
          </cell>
          <cell r="Q4677" t="str">
            <v>J1</v>
          </cell>
          <cell r="R4677" t="str">
            <v>J8</v>
          </cell>
          <cell r="S4677" t="str">
            <v>ENTREGADO</v>
          </cell>
          <cell r="T4677">
            <v>0</v>
          </cell>
          <cell r="U4677" t="str">
            <v>JULLIRI APAZA UBALDO</v>
          </cell>
          <cell r="V4677" t="str">
            <v>FLOREZ CONDORI  JOSE WILLIANS</v>
          </cell>
        </row>
        <row r="4678">
          <cell r="A4678">
            <v>4655</v>
          </cell>
          <cell r="B4678">
            <v>42760</v>
          </cell>
          <cell r="C4678" t="str">
            <v>ENERO</v>
          </cell>
          <cell r="D4678" t="str">
            <v>2017</v>
          </cell>
          <cell r="E4678">
            <v>200</v>
          </cell>
          <cell r="F4678" t="str">
            <v>TALLER</v>
          </cell>
          <cell r="G4678" t="str">
            <v>TALLER</v>
          </cell>
          <cell r="H4678" t="str">
            <v>TALLER</v>
          </cell>
          <cell r="I4678" t="str">
            <v>TALLER</v>
          </cell>
          <cell r="J4678" t="str">
            <v>INSUMO TALLER</v>
          </cell>
          <cell r="K4678" t="str">
            <v>PERNO 3/8 X 2</v>
          </cell>
          <cell r="L4678">
            <v>10</v>
          </cell>
          <cell r="M4678" t="str">
            <v>UNID.</v>
          </cell>
          <cell r="N4678" t="str">
            <v>TALLER</v>
          </cell>
          <cell r="O4678">
            <v>30</v>
          </cell>
          <cell r="P4678" t="str">
            <v>S1</v>
          </cell>
          <cell r="Q4678" t="str">
            <v>J1</v>
          </cell>
          <cell r="R4678" t="str">
            <v>J6</v>
          </cell>
          <cell r="S4678" t="str">
            <v>ENTREGADO</v>
          </cell>
          <cell r="T4678">
            <v>0</v>
          </cell>
          <cell r="U4678" t="str">
            <v>BAYONA CRUZ CRISTIAN ARMANDO</v>
          </cell>
          <cell r="V4678" t="str">
            <v>FLOREZ CONDORI  JOSE WILLIANS</v>
          </cell>
        </row>
        <row r="4679">
          <cell r="A4679">
            <v>4656</v>
          </cell>
          <cell r="B4679">
            <v>42760</v>
          </cell>
          <cell r="C4679" t="str">
            <v>ENERO</v>
          </cell>
          <cell r="D4679" t="str">
            <v>2017</v>
          </cell>
          <cell r="E4679">
            <v>200</v>
          </cell>
          <cell r="F4679" t="str">
            <v>TALLER</v>
          </cell>
          <cell r="G4679" t="str">
            <v>TALLER</v>
          </cell>
          <cell r="H4679" t="str">
            <v>TALLER</v>
          </cell>
          <cell r="I4679" t="str">
            <v>TALLER</v>
          </cell>
          <cell r="J4679" t="str">
            <v>INSUMO TALLER</v>
          </cell>
          <cell r="K4679" t="str">
            <v>ARANDELA PLANA 3/8</v>
          </cell>
          <cell r="L4679">
            <v>10</v>
          </cell>
          <cell r="M4679" t="str">
            <v>UNID.</v>
          </cell>
          <cell r="N4679" t="str">
            <v>TALLER</v>
          </cell>
          <cell r="O4679">
            <v>30</v>
          </cell>
          <cell r="P4679" t="str">
            <v>S1</v>
          </cell>
          <cell r="Q4679" t="str">
            <v>J1</v>
          </cell>
          <cell r="R4679" t="str">
            <v>J6</v>
          </cell>
          <cell r="S4679" t="str">
            <v>ENTREGADO</v>
          </cell>
          <cell r="T4679">
            <v>0</v>
          </cell>
          <cell r="U4679" t="str">
            <v>BAYONA CRUZ CRISTIAN ARMANDO</v>
          </cell>
          <cell r="V4679" t="str">
            <v>FLOREZ CONDORI  JOSE WILLIANS</v>
          </cell>
        </row>
        <row r="4680">
          <cell r="A4680">
            <v>4657</v>
          </cell>
          <cell r="B4680">
            <v>42760</v>
          </cell>
          <cell r="C4680" t="str">
            <v>ENERO</v>
          </cell>
          <cell r="D4680" t="str">
            <v>2017</v>
          </cell>
          <cell r="E4680">
            <v>200</v>
          </cell>
          <cell r="F4680" t="str">
            <v>TALLER</v>
          </cell>
          <cell r="G4680" t="str">
            <v>TALLER</v>
          </cell>
          <cell r="H4680" t="str">
            <v>TALLER</v>
          </cell>
          <cell r="I4680" t="str">
            <v>TALLER</v>
          </cell>
          <cell r="J4680" t="str">
            <v>INSUMO TALLER</v>
          </cell>
          <cell r="K4680" t="str">
            <v>CELLOCORD</v>
          </cell>
          <cell r="L4680">
            <v>1</v>
          </cell>
          <cell r="M4680" t="str">
            <v>KG.</v>
          </cell>
          <cell r="N4680" t="str">
            <v>TALLER</v>
          </cell>
          <cell r="O4680">
            <v>30</v>
          </cell>
          <cell r="P4680" t="str">
            <v>S1</v>
          </cell>
          <cell r="Q4680" t="str">
            <v>J1</v>
          </cell>
          <cell r="R4680" t="str">
            <v>J6</v>
          </cell>
          <cell r="S4680" t="str">
            <v>ENTREGADO</v>
          </cell>
          <cell r="T4680">
            <v>0</v>
          </cell>
          <cell r="U4680" t="str">
            <v>BAYONA CRUZ CRISTIAN ARMANDO</v>
          </cell>
          <cell r="V4680" t="str">
            <v>FLOREZ CONDORI  JOSE WILLIANS</v>
          </cell>
        </row>
        <row r="4681">
          <cell r="A4681">
            <v>4660</v>
          </cell>
          <cell r="B4681">
            <v>42760</v>
          </cell>
          <cell r="C4681" t="str">
            <v>ENERO</v>
          </cell>
          <cell r="D4681" t="str">
            <v>2017</v>
          </cell>
          <cell r="E4681">
            <v>200</v>
          </cell>
          <cell r="F4681" t="str">
            <v>TALLER</v>
          </cell>
          <cell r="G4681" t="str">
            <v>TALLER</v>
          </cell>
          <cell r="H4681" t="str">
            <v>TALLER</v>
          </cell>
          <cell r="I4681" t="str">
            <v>TALLER</v>
          </cell>
          <cell r="J4681" t="str">
            <v>MATERIALES</v>
          </cell>
          <cell r="K4681" t="str">
            <v>CABLE 1/2 PARA SOLDADURA</v>
          </cell>
          <cell r="L4681">
            <v>40</v>
          </cell>
          <cell r="M4681" t="str">
            <v>M</v>
          </cell>
          <cell r="N4681" t="str">
            <v>TALLER</v>
          </cell>
          <cell r="O4681">
            <v>30</v>
          </cell>
          <cell r="P4681" t="str">
            <v>J7</v>
          </cell>
          <cell r="Q4681" t="str">
            <v>J7</v>
          </cell>
          <cell r="R4681" t="str">
            <v>J6</v>
          </cell>
          <cell r="S4681" t="str">
            <v>ENTREGADO</v>
          </cell>
          <cell r="T4681">
            <v>0</v>
          </cell>
          <cell r="U4681" t="str">
            <v>DONAYRE INGA PEDRO</v>
          </cell>
          <cell r="V4681" t="str">
            <v>DONAYRE INGA PEDRO</v>
          </cell>
        </row>
        <row r="4682">
          <cell r="A4682">
            <v>4668</v>
          </cell>
          <cell r="B4682">
            <v>42760</v>
          </cell>
          <cell r="C4682" t="str">
            <v>ENERO</v>
          </cell>
          <cell r="D4682" t="str">
            <v>2017</v>
          </cell>
          <cell r="E4682">
            <v>200</v>
          </cell>
          <cell r="F4682" t="str">
            <v>TALLER</v>
          </cell>
          <cell r="G4682" t="str">
            <v>TALLER</v>
          </cell>
          <cell r="H4682" t="str">
            <v>TALLER</v>
          </cell>
          <cell r="I4682" t="str">
            <v>TALLER</v>
          </cell>
          <cell r="J4682" t="str">
            <v>INSUMO TALLER</v>
          </cell>
          <cell r="K4682" t="str">
            <v>LIMPIACONTACTO</v>
          </cell>
          <cell r="L4682">
            <v>1</v>
          </cell>
          <cell r="M4682" t="str">
            <v>UNID.</v>
          </cell>
          <cell r="N4682" t="str">
            <v>TALLER</v>
          </cell>
          <cell r="O4682">
            <v>30</v>
          </cell>
          <cell r="P4682" t="str">
            <v>S1</v>
          </cell>
          <cell r="Q4682" t="str">
            <v>J1</v>
          </cell>
          <cell r="R4682" t="str">
            <v>J6</v>
          </cell>
          <cell r="S4682" t="str">
            <v>ENTREGADO</v>
          </cell>
          <cell r="T4682">
            <v>0</v>
          </cell>
          <cell r="U4682" t="str">
            <v>BAYONA CRUZ CRISTIAN ARMANDO</v>
          </cell>
          <cell r="V4682" t="str">
            <v>FLOREZ CONDORI  JOSE WILLIANS</v>
          </cell>
        </row>
        <row r="4683">
          <cell r="A4683">
            <v>4669</v>
          </cell>
          <cell r="B4683">
            <v>42760</v>
          </cell>
          <cell r="C4683" t="str">
            <v>ENERO</v>
          </cell>
          <cell r="D4683" t="str">
            <v>2017</v>
          </cell>
          <cell r="E4683">
            <v>200</v>
          </cell>
          <cell r="F4683" t="str">
            <v>TALLER</v>
          </cell>
          <cell r="G4683" t="str">
            <v>TALLER</v>
          </cell>
          <cell r="H4683" t="str">
            <v>TALLER</v>
          </cell>
          <cell r="I4683" t="str">
            <v>TALLER</v>
          </cell>
          <cell r="J4683" t="str">
            <v>INSUMO TALLER</v>
          </cell>
          <cell r="K4683" t="str">
            <v>DISCO DE CORTE 4</v>
          </cell>
          <cell r="L4683">
            <v>1</v>
          </cell>
          <cell r="M4683" t="str">
            <v>UNID.</v>
          </cell>
          <cell r="N4683" t="str">
            <v>TALLER</v>
          </cell>
          <cell r="O4683">
            <v>30</v>
          </cell>
          <cell r="P4683" t="str">
            <v>S1</v>
          </cell>
          <cell r="Q4683" t="str">
            <v>J1</v>
          </cell>
          <cell r="R4683" t="str">
            <v>J6</v>
          </cell>
          <cell r="S4683" t="str">
            <v>ENTREGADO</v>
          </cell>
          <cell r="T4683">
            <v>0</v>
          </cell>
          <cell r="U4683" t="str">
            <v>BAYONA CRUZ CRISTIAN ARMANDO</v>
          </cell>
          <cell r="V4683" t="str">
            <v>FLOREZ CONDORI  JOSE WILLIANS</v>
          </cell>
        </row>
        <row r="4684">
          <cell r="A4684">
            <v>4670</v>
          </cell>
          <cell r="B4684">
            <v>42760</v>
          </cell>
          <cell r="C4684" t="str">
            <v>ENERO</v>
          </cell>
          <cell r="D4684" t="str">
            <v>2017</v>
          </cell>
          <cell r="E4684">
            <v>200</v>
          </cell>
          <cell r="F4684" t="str">
            <v>TALLER</v>
          </cell>
          <cell r="G4684" t="str">
            <v>TALLER</v>
          </cell>
          <cell r="H4684" t="str">
            <v>TALLER</v>
          </cell>
          <cell r="I4684" t="str">
            <v>TALLER</v>
          </cell>
          <cell r="J4684" t="str">
            <v>INSUMO TALLER</v>
          </cell>
          <cell r="K4684" t="str">
            <v>DISCO DE DESBASTE 4"</v>
          </cell>
          <cell r="L4684">
            <v>1</v>
          </cell>
          <cell r="M4684" t="str">
            <v>UNID.</v>
          </cell>
          <cell r="N4684" t="str">
            <v>TALLER</v>
          </cell>
          <cell r="O4684">
            <v>30</v>
          </cell>
          <cell r="P4684" t="str">
            <v>S1</v>
          </cell>
          <cell r="Q4684" t="str">
            <v>J1</v>
          </cell>
          <cell r="R4684" t="str">
            <v>J6</v>
          </cell>
          <cell r="S4684" t="str">
            <v>ENTREGADO</v>
          </cell>
          <cell r="T4684">
            <v>0</v>
          </cell>
          <cell r="U4684" t="str">
            <v>BAYONA CRUZ CRISTIAN ARMANDO</v>
          </cell>
          <cell r="V4684" t="str">
            <v>FLOREZ CONDORI  JOSE WILLIANS</v>
          </cell>
        </row>
        <row r="4685">
          <cell r="A4685">
            <v>4671</v>
          </cell>
          <cell r="B4685">
            <v>42760</v>
          </cell>
          <cell r="C4685" t="str">
            <v>ENERO</v>
          </cell>
          <cell r="D4685" t="str">
            <v>2017</v>
          </cell>
          <cell r="E4685">
            <v>200</v>
          </cell>
          <cell r="F4685" t="str">
            <v>TALLER</v>
          </cell>
          <cell r="G4685" t="str">
            <v>TALLER</v>
          </cell>
          <cell r="H4685" t="str">
            <v>TALLER</v>
          </cell>
          <cell r="I4685" t="str">
            <v>TALLER</v>
          </cell>
          <cell r="J4685" t="str">
            <v>INSUMO TALLER</v>
          </cell>
          <cell r="K4685" t="str">
            <v>TUERCAS 5/8</v>
          </cell>
          <cell r="L4685">
            <v>100</v>
          </cell>
          <cell r="M4685" t="str">
            <v>UNID.</v>
          </cell>
          <cell r="N4685" t="str">
            <v>TALLER</v>
          </cell>
          <cell r="O4685">
            <v>30</v>
          </cell>
          <cell r="P4685" t="str">
            <v>J7</v>
          </cell>
          <cell r="Q4685" t="str">
            <v>J7</v>
          </cell>
          <cell r="R4685" t="str">
            <v>J6</v>
          </cell>
          <cell r="S4685" t="str">
            <v>ENTREGADO</v>
          </cell>
          <cell r="T4685">
            <v>0</v>
          </cell>
          <cell r="U4685" t="str">
            <v>DONAYRE INGA PEDRO</v>
          </cell>
          <cell r="V4685" t="str">
            <v>DONAYRE INGA PEDRO</v>
          </cell>
        </row>
        <row r="4686">
          <cell r="A4686">
            <v>4683</v>
          </cell>
          <cell r="B4686">
            <v>42760</v>
          </cell>
          <cell r="C4686" t="str">
            <v>ENERO</v>
          </cell>
          <cell r="D4686" t="str">
            <v>2017</v>
          </cell>
          <cell r="E4686">
            <v>200</v>
          </cell>
          <cell r="F4686" t="str">
            <v>TALLER</v>
          </cell>
          <cell r="G4686" t="str">
            <v>TALLER</v>
          </cell>
          <cell r="H4686" t="str">
            <v>TALLER</v>
          </cell>
          <cell r="I4686" t="str">
            <v>TALLER</v>
          </cell>
          <cell r="J4686" t="str">
            <v>REPUESTO</v>
          </cell>
          <cell r="K4686" t="str">
            <v>PINTURA BASE</v>
          </cell>
          <cell r="L4686">
            <v>10</v>
          </cell>
          <cell r="M4686" t="str">
            <v>KG.</v>
          </cell>
          <cell r="N4686" t="str">
            <v>TALLER</v>
          </cell>
          <cell r="O4686">
            <v>30</v>
          </cell>
          <cell r="P4686" t="str">
            <v>J8</v>
          </cell>
          <cell r="Q4686" t="str">
            <v>J1</v>
          </cell>
          <cell r="R4686" t="str">
            <v>J8</v>
          </cell>
          <cell r="S4686" t="str">
            <v>ENTREGADO</v>
          </cell>
          <cell r="T4686">
            <v>0</v>
          </cell>
          <cell r="U4686" t="str">
            <v>ARANGO PAREJA ANGELA ROSARIO</v>
          </cell>
          <cell r="V4686" t="str">
            <v>FLOREZ CONDORI  JOSE WILLIANS</v>
          </cell>
        </row>
        <row r="4687">
          <cell r="A4687">
            <v>4639</v>
          </cell>
          <cell r="B4687">
            <v>42760</v>
          </cell>
          <cell r="C4687" t="str">
            <v>ENERO</v>
          </cell>
          <cell r="D4687" t="str">
            <v>2017</v>
          </cell>
          <cell r="E4687">
            <v>907</v>
          </cell>
          <cell r="F4687" t="str">
            <v>X2W-762</v>
          </cell>
          <cell r="G4687" t="str">
            <v>C5V-998</v>
          </cell>
          <cell r="H4687" t="str">
            <v>LAS BAMBAS</v>
          </cell>
          <cell r="I4687">
            <v>163311</v>
          </cell>
          <cell r="J4687" t="str">
            <v>REPUESTO</v>
          </cell>
          <cell r="K4687" t="str">
            <v>SERVICIO DE SOLDADURA AUTOGENA DE CAÑERIA DE LUBRICACION</v>
          </cell>
          <cell r="L4687">
            <v>1</v>
          </cell>
          <cell r="M4687" t="str">
            <v>UNID.</v>
          </cell>
          <cell r="N4687" t="str">
            <v>TRACTO</v>
          </cell>
          <cell r="O4687">
            <v>30</v>
          </cell>
          <cell r="P4687" t="str">
            <v>M8</v>
          </cell>
          <cell r="Q4687" t="str">
            <v>J1</v>
          </cell>
          <cell r="R4687" t="str">
            <v>J8</v>
          </cell>
          <cell r="S4687" t="str">
            <v>ENTREGADO</v>
          </cell>
          <cell r="T4687">
            <v>0</v>
          </cell>
          <cell r="U4687" t="str">
            <v>VARILLAS GAGO  OSCAR ALBERTO</v>
          </cell>
          <cell r="V4687" t="str">
            <v>FLOREZ CONDORI  JOSE WILLIANS</v>
          </cell>
        </row>
        <row r="4688">
          <cell r="A4688">
            <v>4687</v>
          </cell>
          <cell r="B4688">
            <v>42761</v>
          </cell>
          <cell r="C4688" t="str">
            <v>ENERO</v>
          </cell>
          <cell r="D4688" t="str">
            <v>2017</v>
          </cell>
          <cell r="E4688">
            <v>913</v>
          </cell>
          <cell r="F4688" t="str">
            <v>A5O-859</v>
          </cell>
          <cell r="G4688" t="str">
            <v>B6Y-971</v>
          </cell>
          <cell r="H4688" t="str">
            <v>LAS BAMBAS</v>
          </cell>
          <cell r="I4688">
            <v>119867</v>
          </cell>
          <cell r="J4688" t="str">
            <v>REPUESTO</v>
          </cell>
          <cell r="K4688" t="str">
            <v>TERMINAL OJO 1/4</v>
          </cell>
          <cell r="L4688">
            <v>1</v>
          </cell>
          <cell r="M4688" t="str">
            <v>UNID.</v>
          </cell>
          <cell r="N4688" t="str">
            <v>TRACTO</v>
          </cell>
          <cell r="O4688">
            <v>29</v>
          </cell>
          <cell r="P4688" t="str">
            <v>E2</v>
          </cell>
          <cell r="Q4688" t="str">
            <v>J1</v>
          </cell>
          <cell r="R4688" t="str">
            <v>J8</v>
          </cell>
          <cell r="S4688" t="str">
            <v>ENTREGADO</v>
          </cell>
          <cell r="T4688">
            <v>0</v>
          </cell>
          <cell r="U4688" t="str">
            <v>YUCA BELLIDO BORIS YERSY</v>
          </cell>
          <cell r="V4688" t="str">
            <v>FLOREZ CONDORI  JOSE WILLIANS</v>
          </cell>
        </row>
        <row r="4689">
          <cell r="A4689">
            <v>4716</v>
          </cell>
          <cell r="B4689">
            <v>42761</v>
          </cell>
          <cell r="C4689" t="str">
            <v>ENERO</v>
          </cell>
          <cell r="D4689" t="str">
            <v>2017</v>
          </cell>
          <cell r="E4689">
            <v>853</v>
          </cell>
          <cell r="F4689" t="str">
            <v>ABR-741</v>
          </cell>
          <cell r="G4689" t="str">
            <v>T3N-974</v>
          </cell>
          <cell r="H4689" t="str">
            <v>LAS BAMBAS</v>
          </cell>
          <cell r="I4689">
            <v>115163</v>
          </cell>
          <cell r="J4689" t="str">
            <v>REPUESTO</v>
          </cell>
          <cell r="K4689" t="str">
            <v>PERNO 5/16 X 1</v>
          </cell>
          <cell r="L4689">
            <v>2</v>
          </cell>
          <cell r="M4689" t="str">
            <v>UNID.</v>
          </cell>
          <cell r="N4689" t="str">
            <v>TRACTO</v>
          </cell>
          <cell r="O4689">
            <v>29</v>
          </cell>
          <cell r="P4689" t="str">
            <v>M4</v>
          </cell>
          <cell r="Q4689" t="str">
            <v>J1</v>
          </cell>
          <cell r="R4689" t="str">
            <v>J6</v>
          </cell>
          <cell r="S4689" t="str">
            <v>ENTREGADO</v>
          </cell>
          <cell r="T4689">
            <v>0</v>
          </cell>
          <cell r="U4689" t="str">
            <v>JULLIRI APAZA UBALDO</v>
          </cell>
          <cell r="V4689" t="str">
            <v>FLOREZ CONDORI  JOSE WILLIANS</v>
          </cell>
        </row>
        <row r="4690">
          <cell r="A4690">
            <v>4717</v>
          </cell>
          <cell r="B4690">
            <v>42761</v>
          </cell>
          <cell r="C4690" t="str">
            <v>ENERO</v>
          </cell>
          <cell r="D4690" t="str">
            <v>2017</v>
          </cell>
          <cell r="E4690">
            <v>853</v>
          </cell>
          <cell r="F4690" t="str">
            <v>ABR-741</v>
          </cell>
          <cell r="G4690" t="str">
            <v>T3N-974</v>
          </cell>
          <cell r="H4690" t="str">
            <v>LAS BAMBAS</v>
          </cell>
          <cell r="I4690">
            <v>115163</v>
          </cell>
          <cell r="J4690" t="str">
            <v>REPUESTO</v>
          </cell>
          <cell r="K4690" t="str">
            <v>TUERCA 5/16</v>
          </cell>
          <cell r="L4690">
            <v>2</v>
          </cell>
          <cell r="M4690" t="str">
            <v>UNID.</v>
          </cell>
          <cell r="N4690" t="str">
            <v>TRACTO</v>
          </cell>
          <cell r="O4690">
            <v>29</v>
          </cell>
          <cell r="P4690" t="str">
            <v>M4</v>
          </cell>
          <cell r="Q4690" t="str">
            <v>J1</v>
          </cell>
          <cell r="R4690" t="str">
            <v>J6</v>
          </cell>
          <cell r="S4690" t="str">
            <v>ENTREGADO</v>
          </cell>
          <cell r="T4690">
            <v>0</v>
          </cell>
          <cell r="U4690" t="str">
            <v>JULLIRI APAZA UBALDO</v>
          </cell>
          <cell r="V4690" t="str">
            <v>FLOREZ CONDORI  JOSE WILLIANS</v>
          </cell>
        </row>
        <row r="4691">
          <cell r="A4691">
            <v>4718</v>
          </cell>
          <cell r="B4691">
            <v>42761</v>
          </cell>
          <cell r="C4691" t="str">
            <v>ENERO</v>
          </cell>
          <cell r="D4691" t="str">
            <v>2017</v>
          </cell>
          <cell r="E4691">
            <v>853</v>
          </cell>
          <cell r="F4691" t="str">
            <v>ABR-741</v>
          </cell>
          <cell r="G4691" t="str">
            <v>T3N-974</v>
          </cell>
          <cell r="H4691" t="str">
            <v>LAS BAMBAS</v>
          </cell>
          <cell r="I4691">
            <v>115163</v>
          </cell>
          <cell r="J4691" t="str">
            <v>REPUESTO</v>
          </cell>
          <cell r="K4691" t="str">
            <v>ARANDELA PLANA 5/16</v>
          </cell>
          <cell r="L4691">
            <v>4</v>
          </cell>
          <cell r="M4691" t="str">
            <v>UNID.</v>
          </cell>
          <cell r="N4691" t="str">
            <v>TRACTO</v>
          </cell>
          <cell r="O4691">
            <v>29</v>
          </cell>
          <cell r="P4691" t="str">
            <v>M4</v>
          </cell>
          <cell r="Q4691" t="str">
            <v>J1</v>
          </cell>
          <cell r="R4691" t="str">
            <v>J6</v>
          </cell>
          <cell r="S4691" t="str">
            <v>ENTREGADO</v>
          </cell>
          <cell r="T4691">
            <v>0</v>
          </cell>
          <cell r="U4691" t="str">
            <v>JULLIRI APAZA UBALDO</v>
          </cell>
          <cell r="V4691" t="str">
            <v>FLOREZ CONDORI  JOSE WILLIANS</v>
          </cell>
        </row>
        <row r="4692">
          <cell r="A4692">
            <v>4719</v>
          </cell>
          <cell r="B4692">
            <v>42761</v>
          </cell>
          <cell r="C4692" t="str">
            <v>ENERO</v>
          </cell>
          <cell r="D4692" t="str">
            <v>2017</v>
          </cell>
          <cell r="E4692">
            <v>853</v>
          </cell>
          <cell r="F4692" t="str">
            <v>ABR-741</v>
          </cell>
          <cell r="G4692" t="str">
            <v>T3N-974</v>
          </cell>
          <cell r="H4692" t="str">
            <v>LAS BAMBAS</v>
          </cell>
          <cell r="I4692">
            <v>115163</v>
          </cell>
          <cell r="J4692" t="str">
            <v>REPUESTO</v>
          </cell>
          <cell r="K4692" t="str">
            <v>PERNO 1/4 X 1/2</v>
          </cell>
          <cell r="L4692">
            <v>1</v>
          </cell>
          <cell r="M4692" t="str">
            <v>UNID.</v>
          </cell>
          <cell r="N4692" t="str">
            <v>TRACTO</v>
          </cell>
          <cell r="O4692">
            <v>29</v>
          </cell>
          <cell r="P4692" t="str">
            <v>M4</v>
          </cell>
          <cell r="Q4692" t="str">
            <v>J1</v>
          </cell>
          <cell r="R4692" t="str">
            <v>J6</v>
          </cell>
          <cell r="S4692" t="str">
            <v>ENTREGADO</v>
          </cell>
          <cell r="T4692">
            <v>0</v>
          </cell>
          <cell r="U4692" t="str">
            <v>JULLIRI APAZA UBALDO</v>
          </cell>
          <cell r="V4692" t="str">
            <v>FLOREZ CONDORI  JOSE WILLIANS</v>
          </cell>
        </row>
        <row r="4693">
          <cell r="A4693">
            <v>4720</v>
          </cell>
          <cell r="B4693">
            <v>42761</v>
          </cell>
          <cell r="C4693" t="str">
            <v>ENERO</v>
          </cell>
          <cell r="D4693" t="str">
            <v>2017</v>
          </cell>
          <cell r="E4693">
            <v>853</v>
          </cell>
          <cell r="F4693" t="str">
            <v>ABR-741</v>
          </cell>
          <cell r="G4693" t="str">
            <v>T3N-974</v>
          </cell>
          <cell r="H4693" t="str">
            <v>LAS BAMBAS</v>
          </cell>
          <cell r="I4693">
            <v>115163</v>
          </cell>
          <cell r="J4693" t="str">
            <v>REPUESTO</v>
          </cell>
          <cell r="K4693" t="str">
            <v>TUERCA 1/4</v>
          </cell>
          <cell r="L4693">
            <v>1</v>
          </cell>
          <cell r="M4693" t="str">
            <v>UNID.</v>
          </cell>
          <cell r="N4693" t="str">
            <v>TRACTO</v>
          </cell>
          <cell r="O4693">
            <v>29</v>
          </cell>
          <cell r="P4693" t="str">
            <v>M4</v>
          </cell>
          <cell r="Q4693" t="str">
            <v>J1</v>
          </cell>
          <cell r="R4693" t="str">
            <v>J6</v>
          </cell>
          <cell r="S4693" t="str">
            <v>ENTREGADO</v>
          </cell>
          <cell r="T4693">
            <v>0</v>
          </cell>
          <cell r="U4693" t="str">
            <v>JULLIRI APAZA UBALDO</v>
          </cell>
          <cell r="V4693" t="str">
            <v>FLOREZ CONDORI  JOSE WILLIANS</v>
          </cell>
        </row>
        <row r="4694">
          <cell r="A4694">
            <v>4721</v>
          </cell>
          <cell r="B4694">
            <v>42761</v>
          </cell>
          <cell r="C4694" t="str">
            <v>ENERO</v>
          </cell>
          <cell r="D4694" t="str">
            <v>2017</v>
          </cell>
          <cell r="E4694">
            <v>853</v>
          </cell>
          <cell r="F4694" t="str">
            <v>ABR-741</v>
          </cell>
          <cell r="G4694" t="str">
            <v>T3N-974</v>
          </cell>
          <cell r="H4694" t="str">
            <v>LAS BAMBAS</v>
          </cell>
          <cell r="I4694">
            <v>115163</v>
          </cell>
          <cell r="J4694" t="str">
            <v>REPUESTO</v>
          </cell>
          <cell r="K4694" t="str">
            <v>ARANDELA PLANA 1/4</v>
          </cell>
          <cell r="L4694">
            <v>2</v>
          </cell>
          <cell r="M4694" t="str">
            <v>UNID.</v>
          </cell>
          <cell r="N4694" t="str">
            <v>TRACTO</v>
          </cell>
          <cell r="O4694">
            <v>29</v>
          </cell>
          <cell r="P4694" t="str">
            <v>M4</v>
          </cell>
          <cell r="Q4694" t="str">
            <v>J1</v>
          </cell>
          <cell r="R4694" t="str">
            <v>J6</v>
          </cell>
          <cell r="S4694" t="str">
            <v>ENTREGADO</v>
          </cell>
          <cell r="T4694">
            <v>0</v>
          </cell>
          <cell r="U4694" t="str">
            <v>JULLIRI APAZA UBALDO</v>
          </cell>
          <cell r="V4694" t="str">
            <v>FLOREZ CONDORI  JOSE WILLIANS</v>
          </cell>
        </row>
        <row r="4695">
          <cell r="A4695">
            <v>4704</v>
          </cell>
          <cell r="B4695">
            <v>42761</v>
          </cell>
          <cell r="C4695" t="str">
            <v>ENERO</v>
          </cell>
          <cell r="D4695" t="str">
            <v>2017</v>
          </cell>
          <cell r="E4695">
            <v>849</v>
          </cell>
          <cell r="F4695" t="str">
            <v>AKX-731</v>
          </cell>
          <cell r="G4695" t="str">
            <v>TCD-980</v>
          </cell>
          <cell r="H4695" t="str">
            <v>LAS BAMBAS</v>
          </cell>
          <cell r="I4695">
            <v>40489</v>
          </cell>
          <cell r="J4695" t="str">
            <v>REPUESTO</v>
          </cell>
          <cell r="K4695" t="str">
            <v>FILTRO DE COMBUSTIBLE</v>
          </cell>
          <cell r="L4695">
            <v>1</v>
          </cell>
          <cell r="M4695" t="str">
            <v>UNID.</v>
          </cell>
          <cell r="N4695" t="str">
            <v>TRACTO</v>
          </cell>
          <cell r="O4695">
            <v>29</v>
          </cell>
          <cell r="P4695" t="str">
            <v>J5</v>
          </cell>
          <cell r="Q4695" t="str">
            <v>J5</v>
          </cell>
          <cell r="R4695" t="str">
            <v>J6</v>
          </cell>
          <cell r="S4695" t="str">
            <v>ENTREGADO</v>
          </cell>
          <cell r="T4695">
            <v>0</v>
          </cell>
          <cell r="U4695" t="str">
            <v>CONZA HUALLA NOELIA</v>
          </cell>
          <cell r="V4695" t="str">
            <v>CONZA HUALLA NOELIA</v>
          </cell>
        </row>
        <row r="4696">
          <cell r="A4696">
            <v>4730</v>
          </cell>
          <cell r="B4696">
            <v>42761</v>
          </cell>
          <cell r="C4696" t="str">
            <v>ENERO</v>
          </cell>
          <cell r="D4696" t="str">
            <v>2017</v>
          </cell>
          <cell r="E4696">
            <v>819</v>
          </cell>
          <cell r="F4696" t="str">
            <v>C4G-751</v>
          </cell>
          <cell r="G4696" t="str">
            <v>CAMIONETA</v>
          </cell>
          <cell r="H4696" t="str">
            <v>LAS BAMBAS</v>
          </cell>
          <cell r="I4696">
            <v>120524</v>
          </cell>
          <cell r="J4696" t="str">
            <v>REPUESTO</v>
          </cell>
          <cell r="K4696" t="str">
            <v>GASOLINA</v>
          </cell>
          <cell r="L4696">
            <v>2</v>
          </cell>
          <cell r="M4696" t="str">
            <v>GLNS.</v>
          </cell>
          <cell r="N4696" t="str">
            <v>CAMIONETA</v>
          </cell>
          <cell r="O4696">
            <v>29</v>
          </cell>
          <cell r="P4696" t="str">
            <v>M6</v>
          </cell>
          <cell r="Q4696" t="str">
            <v>J1</v>
          </cell>
          <cell r="R4696" t="str">
            <v>J6</v>
          </cell>
          <cell r="S4696" t="str">
            <v>ENTREGADO</v>
          </cell>
          <cell r="T4696">
            <v>0</v>
          </cell>
          <cell r="U4696" t="str">
            <v>PARI VENTURA  EDSON ORLANDO</v>
          </cell>
          <cell r="V4696" t="str">
            <v>FLOREZ CONDORI  JOSE WILLIANS</v>
          </cell>
        </row>
        <row r="4697">
          <cell r="A4697">
            <v>4722</v>
          </cell>
          <cell r="B4697">
            <v>42761</v>
          </cell>
          <cell r="C4697" t="str">
            <v>ENERO</v>
          </cell>
          <cell r="D4697" t="str">
            <v>2017</v>
          </cell>
          <cell r="E4697">
            <v>912</v>
          </cell>
          <cell r="F4697" t="str">
            <v>C5R-895</v>
          </cell>
          <cell r="G4697" t="str">
            <v>TBL-976</v>
          </cell>
          <cell r="H4697" t="str">
            <v>LAS BAMBAS</v>
          </cell>
          <cell r="I4697">
            <v>175495</v>
          </cell>
          <cell r="J4697" t="str">
            <v>REPUESTO</v>
          </cell>
          <cell r="K4697" t="str">
            <v>ABRAZADERA DE INTERCOOLER</v>
          </cell>
          <cell r="L4697">
            <v>1</v>
          </cell>
          <cell r="M4697" t="str">
            <v>UNID.</v>
          </cell>
          <cell r="N4697" t="str">
            <v>TRACTO</v>
          </cell>
          <cell r="O4697">
            <v>29</v>
          </cell>
          <cell r="P4697" t="str">
            <v>M1</v>
          </cell>
          <cell r="Q4697" t="str">
            <v>J1</v>
          </cell>
          <cell r="R4697" t="str">
            <v>J6</v>
          </cell>
          <cell r="S4697" t="str">
            <v>ENTREGADO</v>
          </cell>
          <cell r="T4697">
            <v>0</v>
          </cell>
          <cell r="U4697" t="str">
            <v>CABEZAS SANCHEZ JEAN JHONATAN</v>
          </cell>
          <cell r="V4697" t="str">
            <v>FLOREZ CONDORI  JOSE WILLIANS</v>
          </cell>
        </row>
        <row r="4698">
          <cell r="A4698">
            <v>4695</v>
          </cell>
          <cell r="B4698">
            <v>42761</v>
          </cell>
          <cell r="C4698" t="str">
            <v>ENERO</v>
          </cell>
          <cell r="D4698" t="str">
            <v>2017</v>
          </cell>
          <cell r="E4698">
            <v>918</v>
          </cell>
          <cell r="F4698" t="str">
            <v>C5R-896</v>
          </cell>
          <cell r="G4698" t="str">
            <v>A0U-977</v>
          </cell>
          <cell r="H4698" t="str">
            <v>LAS BAMBAS</v>
          </cell>
          <cell r="I4698">
            <v>217318</v>
          </cell>
          <cell r="J4698" t="str">
            <v>REPUESTO</v>
          </cell>
          <cell r="K4698" t="str">
            <v>TURBO</v>
          </cell>
          <cell r="L4698">
            <v>1</v>
          </cell>
          <cell r="M4698" t="str">
            <v>UNID.</v>
          </cell>
          <cell r="N4698" t="str">
            <v>TRACTO</v>
          </cell>
          <cell r="O4698">
            <v>29</v>
          </cell>
          <cell r="P4698" t="str">
            <v>M8</v>
          </cell>
          <cell r="Q4698" t="str">
            <v>J1</v>
          </cell>
          <cell r="R4698" t="str">
            <v>J6</v>
          </cell>
          <cell r="S4698" t="str">
            <v>ENTREGADO</v>
          </cell>
          <cell r="T4698">
            <v>0</v>
          </cell>
          <cell r="U4698" t="str">
            <v>VARILLAS GAGO  OSCAR ALBERTO</v>
          </cell>
          <cell r="V4698" t="str">
            <v>FLOREZ CONDORI  JOSE WILLIANS</v>
          </cell>
        </row>
        <row r="4699">
          <cell r="A4699">
            <v>4696</v>
          </cell>
          <cell r="B4699">
            <v>42761</v>
          </cell>
          <cell r="C4699" t="str">
            <v>ENERO</v>
          </cell>
          <cell r="D4699" t="str">
            <v>2017</v>
          </cell>
          <cell r="E4699">
            <v>918</v>
          </cell>
          <cell r="F4699" t="str">
            <v>C5R-896</v>
          </cell>
          <cell r="G4699" t="str">
            <v>A0U-977</v>
          </cell>
          <cell r="H4699" t="str">
            <v>LAS BAMBAS</v>
          </cell>
          <cell r="I4699">
            <v>217318</v>
          </cell>
          <cell r="J4699" t="str">
            <v>REPUESTO</v>
          </cell>
          <cell r="K4699" t="str">
            <v>FOCO LAGRIMON AMBAR</v>
          </cell>
          <cell r="L4699">
            <v>1</v>
          </cell>
          <cell r="M4699" t="str">
            <v>UNID.</v>
          </cell>
          <cell r="N4699" t="str">
            <v>TRACTO</v>
          </cell>
          <cell r="O4699">
            <v>29</v>
          </cell>
          <cell r="P4699" t="str">
            <v>E2</v>
          </cell>
          <cell r="Q4699" t="str">
            <v>J1</v>
          </cell>
          <cell r="R4699" t="str">
            <v>J6</v>
          </cell>
          <cell r="S4699" t="str">
            <v>ENTREGADO</v>
          </cell>
          <cell r="T4699">
            <v>0</v>
          </cell>
          <cell r="U4699" t="str">
            <v>YUCA BELLIDO BORIS YERSY</v>
          </cell>
          <cell r="V4699" t="str">
            <v>FLOREZ CONDORI  JOSE WILLIANS</v>
          </cell>
        </row>
        <row r="4700">
          <cell r="A4700">
            <v>4697</v>
          </cell>
          <cell r="B4700">
            <v>42761</v>
          </cell>
          <cell r="C4700" t="str">
            <v>ENERO</v>
          </cell>
          <cell r="D4700" t="str">
            <v>2017</v>
          </cell>
          <cell r="E4700">
            <v>918</v>
          </cell>
          <cell r="F4700" t="str">
            <v>C5R-896</v>
          </cell>
          <cell r="G4700" t="str">
            <v>A0U-977</v>
          </cell>
          <cell r="H4700" t="str">
            <v>LAS BAMBAS</v>
          </cell>
          <cell r="I4700">
            <v>217318</v>
          </cell>
          <cell r="J4700" t="str">
            <v>REPUESTO</v>
          </cell>
          <cell r="K4700" t="str">
            <v>FARO LATERAL RECTANGULAR AMBAR</v>
          </cell>
          <cell r="L4700">
            <v>1</v>
          </cell>
          <cell r="M4700" t="str">
            <v>UNID.</v>
          </cell>
          <cell r="N4700" t="str">
            <v>CISTERNA</v>
          </cell>
          <cell r="O4700">
            <v>29</v>
          </cell>
          <cell r="P4700" t="str">
            <v>E2</v>
          </cell>
          <cell r="Q4700" t="str">
            <v>J1</v>
          </cell>
          <cell r="R4700" t="str">
            <v>J6</v>
          </cell>
          <cell r="S4700" t="str">
            <v>ENTREGADO</v>
          </cell>
          <cell r="T4700">
            <v>0</v>
          </cell>
          <cell r="U4700" t="str">
            <v>YUCA BELLIDO BORIS YERSY</v>
          </cell>
          <cell r="V4700" t="str">
            <v>FLOREZ CONDORI  JOSE WILLIANS</v>
          </cell>
        </row>
        <row r="4701">
          <cell r="A4701">
            <v>4698</v>
          </cell>
          <cell r="B4701">
            <v>42761</v>
          </cell>
          <cell r="C4701" t="str">
            <v>ENERO</v>
          </cell>
          <cell r="D4701" t="str">
            <v>2017</v>
          </cell>
          <cell r="E4701">
            <v>918</v>
          </cell>
          <cell r="F4701" t="str">
            <v>C5R-896</v>
          </cell>
          <cell r="G4701" t="str">
            <v>A0U-977</v>
          </cell>
          <cell r="H4701" t="str">
            <v>LAS BAMBAS</v>
          </cell>
          <cell r="I4701">
            <v>217318</v>
          </cell>
          <cell r="J4701" t="str">
            <v>REPUESTO</v>
          </cell>
          <cell r="K4701" t="str">
            <v>PARCHE RACK 14</v>
          </cell>
          <cell r="L4701">
            <v>1</v>
          </cell>
          <cell r="M4701" t="str">
            <v>UNID.</v>
          </cell>
          <cell r="N4701" t="str">
            <v>CISTERNA</v>
          </cell>
          <cell r="O4701">
            <v>29</v>
          </cell>
          <cell r="P4701" t="str">
            <v>N2</v>
          </cell>
          <cell r="Q4701" t="str">
            <v>J3</v>
          </cell>
          <cell r="R4701" t="str">
            <v>J6</v>
          </cell>
          <cell r="S4701" t="str">
            <v>ENTREGADO</v>
          </cell>
          <cell r="T4701">
            <v>0</v>
          </cell>
          <cell r="U4701" t="str">
            <v>MAMANI LARICO  EDUARDO ALVARO</v>
          </cell>
          <cell r="V4701" t="str">
            <v>CHURA PIZARRO ALBERTO</v>
          </cell>
        </row>
        <row r="4702">
          <cell r="A4702">
            <v>4699</v>
          </cell>
          <cell r="B4702">
            <v>42761</v>
          </cell>
          <cell r="C4702" t="str">
            <v>ENERO</v>
          </cell>
          <cell r="D4702" t="str">
            <v>2017</v>
          </cell>
          <cell r="E4702">
            <v>918</v>
          </cell>
          <cell r="F4702" t="str">
            <v>C5R-896</v>
          </cell>
          <cell r="G4702" t="str">
            <v>A0U-977</v>
          </cell>
          <cell r="H4702" t="str">
            <v>LAS BAMBAS</v>
          </cell>
          <cell r="I4702">
            <v>217318</v>
          </cell>
          <cell r="J4702" t="str">
            <v>REPUESTO</v>
          </cell>
          <cell r="K4702" t="str">
            <v>ESPARRAGOS DE RUEDA</v>
          </cell>
          <cell r="L4702">
            <v>1</v>
          </cell>
          <cell r="M4702" t="str">
            <v>UNID.</v>
          </cell>
          <cell r="N4702" t="str">
            <v>CISTERNA</v>
          </cell>
          <cell r="O4702">
            <v>29</v>
          </cell>
          <cell r="P4702" t="str">
            <v>M8</v>
          </cell>
          <cell r="Q4702" t="str">
            <v>J1</v>
          </cell>
          <cell r="R4702" t="str">
            <v>J6</v>
          </cell>
          <cell r="S4702" t="str">
            <v>ENTREGADO</v>
          </cell>
          <cell r="T4702">
            <v>0</v>
          </cell>
          <cell r="U4702" t="str">
            <v>VARILLAS GAGO  OSCAR ALBERTO</v>
          </cell>
          <cell r="V4702" t="str">
            <v>FLOREZ CONDORI  JOSE WILLIANS</v>
          </cell>
        </row>
        <row r="4703">
          <cell r="A4703">
            <v>4700</v>
          </cell>
          <cell r="B4703">
            <v>42761</v>
          </cell>
          <cell r="C4703" t="str">
            <v>ENERO</v>
          </cell>
          <cell r="D4703" t="str">
            <v>2017</v>
          </cell>
          <cell r="E4703">
            <v>918</v>
          </cell>
          <cell r="F4703" t="str">
            <v>C5R-896</v>
          </cell>
          <cell r="G4703" t="str">
            <v>A0U-977</v>
          </cell>
          <cell r="H4703" t="str">
            <v>LAS BAMBAS</v>
          </cell>
          <cell r="I4703">
            <v>217318</v>
          </cell>
          <cell r="J4703" t="str">
            <v>REPUESTO</v>
          </cell>
          <cell r="K4703" t="str">
            <v>TUERCA DEL ESPARRAGO</v>
          </cell>
          <cell r="L4703">
            <v>1</v>
          </cell>
          <cell r="M4703" t="str">
            <v>UNID.</v>
          </cell>
          <cell r="N4703" t="str">
            <v>CISTERNA</v>
          </cell>
          <cell r="O4703">
            <v>29</v>
          </cell>
          <cell r="P4703" t="str">
            <v>M8</v>
          </cell>
          <cell r="Q4703" t="str">
            <v>J1</v>
          </cell>
          <cell r="R4703" t="str">
            <v>J6</v>
          </cell>
          <cell r="S4703" t="str">
            <v>ENTREGADO</v>
          </cell>
          <cell r="T4703">
            <v>0</v>
          </cell>
          <cell r="U4703" t="str">
            <v>VARILLAS GAGO  OSCAR ALBERTO</v>
          </cell>
          <cell r="V4703" t="str">
            <v>FLOREZ CONDORI  JOSE WILLIANS</v>
          </cell>
        </row>
        <row r="4704">
          <cell r="A4704">
            <v>4724</v>
          </cell>
          <cell r="B4704">
            <v>42761</v>
          </cell>
          <cell r="C4704" t="str">
            <v>ENERO</v>
          </cell>
          <cell r="D4704" t="str">
            <v>2017</v>
          </cell>
          <cell r="E4704">
            <v>909</v>
          </cell>
          <cell r="F4704" t="str">
            <v>C9M-902</v>
          </cell>
          <cell r="G4704" t="str">
            <v>B8L-970</v>
          </cell>
          <cell r="H4704" t="str">
            <v>LAS BAMBAS</v>
          </cell>
          <cell r="I4704">
            <v>215158</v>
          </cell>
          <cell r="J4704" t="str">
            <v>SERVICIO</v>
          </cell>
          <cell r="K4704" t="str">
            <v>SERVICIO DE REPARACION DE RADIO BASE</v>
          </cell>
          <cell r="L4704">
            <v>1</v>
          </cell>
          <cell r="M4704" t="str">
            <v>UNID.</v>
          </cell>
          <cell r="N4704" t="str">
            <v>TRACTO</v>
          </cell>
          <cell r="O4704" t="e">
            <v>#VALUE!</v>
          </cell>
          <cell r="P4704" t="str">
            <v>J1</v>
          </cell>
          <cell r="Q4704" t="str">
            <v>J1</v>
          </cell>
          <cell r="R4704" t="str">
            <v>J6</v>
          </cell>
          <cell r="S4704" t="str">
            <v>ENTREGADO</v>
          </cell>
          <cell r="T4704" t="str">
            <v>ANULADO</v>
          </cell>
          <cell r="U4704" t="str">
            <v>FLOREZ CONDORI  JOSE WILLIANS</v>
          </cell>
          <cell r="V4704" t="str">
            <v>FLOREZ CONDORI  JOSE WILLIANS</v>
          </cell>
        </row>
        <row r="4705">
          <cell r="A4705">
            <v>4692</v>
          </cell>
          <cell r="B4705">
            <v>42761</v>
          </cell>
          <cell r="C4705" t="str">
            <v>ENERO</v>
          </cell>
          <cell r="D4705" t="str">
            <v>2017</v>
          </cell>
          <cell r="E4705">
            <v>917</v>
          </cell>
          <cell r="F4705" t="str">
            <v>D3O-742</v>
          </cell>
          <cell r="G4705" t="str">
            <v>B8L-971</v>
          </cell>
          <cell r="H4705" t="str">
            <v>LAS BAMBAS</v>
          </cell>
          <cell r="I4705">
            <v>192122</v>
          </cell>
          <cell r="J4705" t="str">
            <v>REPUESTO</v>
          </cell>
          <cell r="K4705" t="str">
            <v>FOCO PILOTO DOBLE CONTACTO</v>
          </cell>
          <cell r="L4705">
            <v>1</v>
          </cell>
          <cell r="M4705" t="str">
            <v>UNID.</v>
          </cell>
          <cell r="N4705" t="str">
            <v>TRACTO</v>
          </cell>
          <cell r="O4705">
            <v>29</v>
          </cell>
          <cell r="P4705" t="str">
            <v>E3</v>
          </cell>
          <cell r="Q4705" t="str">
            <v>J1</v>
          </cell>
          <cell r="R4705" t="str">
            <v>J6</v>
          </cell>
          <cell r="S4705" t="str">
            <v>ENTREGADO</v>
          </cell>
          <cell r="T4705">
            <v>0</v>
          </cell>
          <cell r="U4705" t="str">
            <v>CONDORI CHURATA ALEX</v>
          </cell>
          <cell r="V4705" t="str">
            <v>FLOREZ CONDORI  JOSE WILLIANS</v>
          </cell>
        </row>
        <row r="4706">
          <cell r="A4706">
            <v>4693</v>
          </cell>
          <cell r="B4706">
            <v>42761</v>
          </cell>
          <cell r="C4706" t="str">
            <v>ENERO</v>
          </cell>
          <cell r="D4706" t="str">
            <v>2017</v>
          </cell>
          <cell r="E4706">
            <v>917</v>
          </cell>
          <cell r="F4706" t="str">
            <v>D3O-742</v>
          </cell>
          <cell r="G4706" t="str">
            <v>B8L-971</v>
          </cell>
          <cell r="H4706" t="str">
            <v>LAS BAMBAS</v>
          </cell>
          <cell r="I4706">
            <v>192122</v>
          </cell>
          <cell r="J4706" t="str">
            <v>REPUESTO</v>
          </cell>
          <cell r="K4706" t="str">
            <v>FARO LATERAL CIRCULAR 2" COLOR NARANJA</v>
          </cell>
          <cell r="L4706">
            <v>1</v>
          </cell>
          <cell r="M4706" t="str">
            <v>UNID.</v>
          </cell>
          <cell r="N4706" t="str">
            <v>CISTERNA</v>
          </cell>
          <cell r="O4706">
            <v>29</v>
          </cell>
          <cell r="P4706" t="str">
            <v>E3</v>
          </cell>
          <cell r="Q4706" t="str">
            <v>J1</v>
          </cell>
          <cell r="R4706" t="str">
            <v>J6</v>
          </cell>
          <cell r="S4706" t="str">
            <v>ENTREGADO</v>
          </cell>
          <cell r="T4706">
            <v>0</v>
          </cell>
          <cell r="U4706" t="str">
            <v>CONDORI CHURATA ALEX</v>
          </cell>
          <cell r="V4706" t="str">
            <v>FLOREZ CONDORI  JOSE WILLIANS</v>
          </cell>
        </row>
        <row r="4707">
          <cell r="A4707">
            <v>4694</v>
          </cell>
          <cell r="B4707">
            <v>42761</v>
          </cell>
          <cell r="C4707" t="str">
            <v>ENERO</v>
          </cell>
          <cell r="D4707" t="str">
            <v>2017</v>
          </cell>
          <cell r="E4707">
            <v>917</v>
          </cell>
          <cell r="F4707" t="str">
            <v>D3O-742</v>
          </cell>
          <cell r="G4707" t="str">
            <v>B8L-971</v>
          </cell>
          <cell r="H4707" t="str">
            <v>LAS BAMBAS</v>
          </cell>
          <cell r="I4707">
            <v>192122</v>
          </cell>
          <cell r="J4707" t="str">
            <v>REPUESTO</v>
          </cell>
          <cell r="K4707" t="str">
            <v>PRESINTOS 200</v>
          </cell>
          <cell r="L4707">
            <v>10</v>
          </cell>
          <cell r="M4707" t="str">
            <v>UNID.</v>
          </cell>
          <cell r="N4707" t="str">
            <v>CISTERNA</v>
          </cell>
          <cell r="O4707">
            <v>29</v>
          </cell>
          <cell r="P4707" t="str">
            <v>E3</v>
          </cell>
          <cell r="Q4707" t="str">
            <v>J1</v>
          </cell>
          <cell r="R4707" t="str">
            <v>J6</v>
          </cell>
          <cell r="S4707" t="str">
            <v>ENTREGADO</v>
          </cell>
          <cell r="T4707">
            <v>0</v>
          </cell>
          <cell r="U4707" t="str">
            <v>CONDORI CHURATA ALEX</v>
          </cell>
          <cell r="V4707" t="str">
            <v>FLOREZ CONDORI  JOSE WILLIANS</v>
          </cell>
        </row>
        <row r="4708">
          <cell r="A4708">
            <v>4708</v>
          </cell>
          <cell r="B4708">
            <v>42761</v>
          </cell>
          <cell r="C4708" t="str">
            <v>ENERO</v>
          </cell>
          <cell r="D4708" t="str">
            <v>2017</v>
          </cell>
          <cell r="E4708">
            <v>917</v>
          </cell>
          <cell r="F4708" t="str">
            <v>D3O-742</v>
          </cell>
          <cell r="G4708" t="str">
            <v>B8L-971</v>
          </cell>
          <cell r="H4708" t="str">
            <v>LAS BAMBAS</v>
          </cell>
          <cell r="I4708">
            <v>192122</v>
          </cell>
          <cell r="J4708" t="str">
            <v>REPUESTO</v>
          </cell>
          <cell r="K4708" t="str">
            <v>LLAVE DE COMBUSTIBLE LH</v>
          </cell>
          <cell r="L4708">
            <v>1</v>
          </cell>
          <cell r="M4708" t="str">
            <v>UNID.</v>
          </cell>
          <cell r="N4708" t="str">
            <v>TRACTO</v>
          </cell>
          <cell r="O4708">
            <v>29</v>
          </cell>
          <cell r="P4708" t="str">
            <v>M8</v>
          </cell>
          <cell r="Q4708" t="str">
            <v>J1</v>
          </cell>
          <cell r="R4708" t="str">
            <v>J6</v>
          </cell>
          <cell r="S4708" t="str">
            <v>ENTREGADO</v>
          </cell>
          <cell r="T4708">
            <v>0</v>
          </cell>
          <cell r="U4708" t="str">
            <v>VARILLAS GAGO  OSCAR ALBERTO</v>
          </cell>
          <cell r="V4708" t="str">
            <v>FLOREZ CONDORI  JOSE WILLIANS</v>
          </cell>
        </row>
        <row r="4709">
          <cell r="A4709">
            <v>4709</v>
          </cell>
          <cell r="B4709">
            <v>42761</v>
          </cell>
          <cell r="C4709" t="str">
            <v>ENERO</v>
          </cell>
          <cell r="D4709" t="str">
            <v>2017</v>
          </cell>
          <cell r="E4709">
            <v>917</v>
          </cell>
          <cell r="F4709" t="str">
            <v>D3O-742</v>
          </cell>
          <cell r="G4709" t="str">
            <v>B8L-971</v>
          </cell>
          <cell r="H4709" t="str">
            <v>LAS BAMBAS</v>
          </cell>
          <cell r="I4709">
            <v>192122</v>
          </cell>
          <cell r="J4709" t="str">
            <v>REPUESTO</v>
          </cell>
          <cell r="K4709" t="str">
            <v>LLAVE DE COMBUSTIBLE RH</v>
          </cell>
          <cell r="L4709">
            <v>1</v>
          </cell>
          <cell r="M4709" t="str">
            <v>UNID.</v>
          </cell>
          <cell r="N4709" t="str">
            <v>TRACTO</v>
          </cell>
          <cell r="O4709">
            <v>29</v>
          </cell>
          <cell r="P4709" t="str">
            <v>M8</v>
          </cell>
          <cell r="Q4709" t="str">
            <v>J1</v>
          </cell>
          <cell r="R4709" t="str">
            <v>J6</v>
          </cell>
          <cell r="S4709" t="str">
            <v>ENTREGADO</v>
          </cell>
          <cell r="T4709">
            <v>0</v>
          </cell>
          <cell r="U4709" t="str">
            <v>VARILLAS GAGO  OSCAR ALBERTO</v>
          </cell>
          <cell r="V4709" t="str">
            <v>FLOREZ CONDORI  JOSE WILLIANS</v>
          </cell>
        </row>
        <row r="4710">
          <cell r="A4710">
            <v>4710</v>
          </cell>
          <cell r="B4710">
            <v>42761</v>
          </cell>
          <cell r="C4710" t="str">
            <v>ENERO</v>
          </cell>
          <cell r="D4710" t="str">
            <v>2017</v>
          </cell>
          <cell r="E4710">
            <v>917</v>
          </cell>
          <cell r="F4710" t="str">
            <v>D3O-742</v>
          </cell>
          <cell r="G4710" t="str">
            <v>B8L-971</v>
          </cell>
          <cell r="H4710" t="str">
            <v>LAS BAMBAS</v>
          </cell>
          <cell r="I4710">
            <v>192122</v>
          </cell>
          <cell r="J4710" t="str">
            <v>REPUESTO</v>
          </cell>
          <cell r="K4710" t="str">
            <v>FILTRO DE COMBUSTIBLE</v>
          </cell>
          <cell r="L4710">
            <v>1</v>
          </cell>
          <cell r="M4710" t="str">
            <v>UNID.</v>
          </cell>
          <cell r="N4710" t="str">
            <v>TRACTO</v>
          </cell>
          <cell r="O4710">
            <v>29</v>
          </cell>
          <cell r="P4710" t="str">
            <v>M8</v>
          </cell>
          <cell r="Q4710" t="str">
            <v>J1</v>
          </cell>
          <cell r="R4710" t="str">
            <v>J6</v>
          </cell>
          <cell r="S4710" t="str">
            <v>ENTREGADO</v>
          </cell>
          <cell r="T4710">
            <v>0</v>
          </cell>
          <cell r="U4710" t="str">
            <v>VARILLAS GAGO  OSCAR ALBERTO</v>
          </cell>
          <cell r="V4710" t="str">
            <v>FLOREZ CONDORI  JOSE WILLIANS</v>
          </cell>
        </row>
        <row r="4711">
          <cell r="A4711">
            <v>4711</v>
          </cell>
          <cell r="B4711">
            <v>42761</v>
          </cell>
          <cell r="C4711" t="str">
            <v>ENERO</v>
          </cell>
          <cell r="D4711" t="str">
            <v>2017</v>
          </cell>
          <cell r="E4711">
            <v>917</v>
          </cell>
          <cell r="F4711" t="str">
            <v>D3O-742</v>
          </cell>
          <cell r="G4711" t="str">
            <v>B8L-971</v>
          </cell>
          <cell r="H4711" t="str">
            <v>LAS BAMBAS</v>
          </cell>
          <cell r="I4711">
            <v>192122</v>
          </cell>
          <cell r="J4711" t="str">
            <v>REPUESTO</v>
          </cell>
          <cell r="K4711" t="str">
            <v>FORMADOR DE EMPAQUETADURAS (GOMALACKA)</v>
          </cell>
          <cell r="L4711">
            <v>1</v>
          </cell>
          <cell r="M4711" t="str">
            <v>UNID.</v>
          </cell>
          <cell r="N4711" t="str">
            <v>TRACTO</v>
          </cell>
          <cell r="O4711">
            <v>29</v>
          </cell>
          <cell r="P4711" t="str">
            <v>M8</v>
          </cell>
          <cell r="Q4711" t="str">
            <v>J1</v>
          </cell>
          <cell r="R4711" t="str">
            <v>J6</v>
          </cell>
          <cell r="S4711" t="str">
            <v>ENTREGADO</v>
          </cell>
          <cell r="T4711">
            <v>0</v>
          </cell>
          <cell r="U4711" t="str">
            <v>VARILLAS GAGO  OSCAR ALBERTO</v>
          </cell>
          <cell r="V4711" t="str">
            <v>FLOREZ CONDORI  JOSE WILLIANS</v>
          </cell>
        </row>
        <row r="4712">
          <cell r="A4712">
            <v>4689</v>
          </cell>
          <cell r="B4712">
            <v>42761</v>
          </cell>
          <cell r="C4712" t="str">
            <v>ENERO</v>
          </cell>
          <cell r="D4712" t="str">
            <v>2017</v>
          </cell>
          <cell r="E4712">
            <v>905</v>
          </cell>
          <cell r="F4712" t="str">
            <v>D3P-744</v>
          </cell>
          <cell r="G4712" t="str">
            <v>A0F-996</v>
          </cell>
          <cell r="H4712" t="str">
            <v>LAS BAMBAS</v>
          </cell>
          <cell r="I4712">
            <v>161019</v>
          </cell>
          <cell r="J4712" t="str">
            <v>REPUESTO</v>
          </cell>
          <cell r="K4712" t="str">
            <v>ZAPATAS</v>
          </cell>
          <cell r="L4712">
            <v>1</v>
          </cell>
          <cell r="M4712" t="str">
            <v>JUEGO</v>
          </cell>
          <cell r="N4712" t="str">
            <v>CISTERNA</v>
          </cell>
          <cell r="O4712">
            <v>29</v>
          </cell>
          <cell r="P4712" t="str">
            <v>M1</v>
          </cell>
          <cell r="Q4712" t="str">
            <v>J1</v>
          </cell>
          <cell r="R4712" t="str">
            <v>J6</v>
          </cell>
          <cell r="S4712" t="str">
            <v>ENTREGADO</v>
          </cell>
          <cell r="T4712">
            <v>0</v>
          </cell>
          <cell r="U4712" t="str">
            <v>CABEZAS SANCHEZ JEAN JHONATAN</v>
          </cell>
          <cell r="V4712" t="str">
            <v>FLOREZ CONDORI  JOSE WILLIANS</v>
          </cell>
        </row>
        <row r="4713">
          <cell r="A4713">
            <v>4690</v>
          </cell>
          <cell r="B4713">
            <v>42761</v>
          </cell>
          <cell r="C4713" t="str">
            <v>ENERO</v>
          </cell>
          <cell r="D4713" t="str">
            <v>2017</v>
          </cell>
          <cell r="E4713">
            <v>905</v>
          </cell>
          <cell r="F4713" t="str">
            <v>D3P-744</v>
          </cell>
          <cell r="G4713" t="str">
            <v>A0F-996</v>
          </cell>
          <cell r="H4713" t="str">
            <v>LAS BAMBAS</v>
          </cell>
          <cell r="I4713">
            <v>161019</v>
          </cell>
          <cell r="J4713" t="str">
            <v>REPUESTO</v>
          </cell>
          <cell r="K4713" t="str">
            <v>RESORTES GRANDES DE PAZATA</v>
          </cell>
          <cell r="L4713">
            <v>2</v>
          </cell>
          <cell r="M4713" t="str">
            <v>UNID.</v>
          </cell>
          <cell r="N4713" t="str">
            <v>CISTERNA</v>
          </cell>
          <cell r="O4713">
            <v>29</v>
          </cell>
          <cell r="P4713" t="str">
            <v>M1</v>
          </cell>
          <cell r="Q4713" t="str">
            <v>J1</v>
          </cell>
          <cell r="R4713" t="str">
            <v>J6</v>
          </cell>
          <cell r="S4713" t="str">
            <v>ENTREGADO</v>
          </cell>
          <cell r="T4713">
            <v>0</v>
          </cell>
          <cell r="U4713" t="str">
            <v>CABEZAS SANCHEZ JEAN JHONATAN</v>
          </cell>
          <cell r="V4713" t="str">
            <v>FLOREZ CONDORI  JOSE WILLIANS</v>
          </cell>
        </row>
        <row r="4714">
          <cell r="A4714">
            <v>4691</v>
          </cell>
          <cell r="B4714">
            <v>42761</v>
          </cell>
          <cell r="C4714" t="str">
            <v>ENERO</v>
          </cell>
          <cell r="D4714" t="str">
            <v>2017</v>
          </cell>
          <cell r="E4714">
            <v>905</v>
          </cell>
          <cell r="F4714" t="str">
            <v>D3P-744</v>
          </cell>
          <cell r="G4714" t="str">
            <v>A0F-996</v>
          </cell>
          <cell r="H4714" t="str">
            <v>LAS BAMBAS</v>
          </cell>
          <cell r="I4714">
            <v>161019</v>
          </cell>
          <cell r="J4714" t="str">
            <v>REPUESTO</v>
          </cell>
          <cell r="K4714" t="str">
            <v>RESORTES PEQUEÑOS DE ZAPATA</v>
          </cell>
          <cell r="L4714">
            <v>4</v>
          </cell>
          <cell r="M4714" t="str">
            <v>UNID.</v>
          </cell>
          <cell r="N4714" t="str">
            <v>CISTERNA</v>
          </cell>
          <cell r="O4714">
            <v>29</v>
          </cell>
          <cell r="P4714" t="str">
            <v>M1</v>
          </cell>
          <cell r="Q4714" t="str">
            <v>J1</v>
          </cell>
          <cell r="R4714" t="str">
            <v>J6</v>
          </cell>
          <cell r="S4714" t="str">
            <v>ENTREGADO</v>
          </cell>
          <cell r="T4714">
            <v>0</v>
          </cell>
          <cell r="U4714" t="str">
            <v>CABEZAS SANCHEZ JEAN JHONATAN</v>
          </cell>
          <cell r="V4714" t="str">
            <v>FLOREZ CONDORI  JOSE WILLIANS</v>
          </cell>
        </row>
        <row r="4715">
          <cell r="A4715">
            <v>4725</v>
          </cell>
          <cell r="B4715">
            <v>42761</v>
          </cell>
          <cell r="C4715" t="str">
            <v>ENERO</v>
          </cell>
          <cell r="D4715" t="str">
            <v>2017</v>
          </cell>
          <cell r="E4715">
            <v>902</v>
          </cell>
          <cell r="F4715" t="str">
            <v>D3P-747</v>
          </cell>
          <cell r="G4715" t="str">
            <v>A0T-985</v>
          </cell>
          <cell r="H4715" t="str">
            <v>LAS BAMBAS</v>
          </cell>
          <cell r="I4715">
            <v>191689</v>
          </cell>
          <cell r="J4715" t="str">
            <v>SERVICIO</v>
          </cell>
          <cell r="K4715" t="str">
            <v>SERVICION DE REPARACION DE PETETE</v>
          </cell>
          <cell r="L4715">
            <v>1</v>
          </cell>
          <cell r="M4715" t="str">
            <v>UNID.</v>
          </cell>
          <cell r="N4715" t="str">
            <v>TRACTO</v>
          </cell>
          <cell r="O4715">
            <v>29</v>
          </cell>
          <cell r="P4715" t="str">
            <v>J1</v>
          </cell>
          <cell r="Q4715" t="str">
            <v>J1</v>
          </cell>
          <cell r="R4715" t="str">
            <v>J6</v>
          </cell>
          <cell r="S4715" t="str">
            <v>ENTREGADO</v>
          </cell>
          <cell r="T4715">
            <v>0</v>
          </cell>
          <cell r="U4715" t="str">
            <v>FLOREZ CONDORI  JOSE WILLIANS</v>
          </cell>
          <cell r="V4715" t="str">
            <v>FLOREZ CONDORI  JOSE WILLIANS</v>
          </cell>
        </row>
        <row r="4716">
          <cell r="A4716">
            <v>4703</v>
          </cell>
          <cell r="B4716">
            <v>42761</v>
          </cell>
          <cell r="C4716" t="str">
            <v>ENERO</v>
          </cell>
          <cell r="D4716" t="str">
            <v>2017</v>
          </cell>
          <cell r="E4716">
            <v>202</v>
          </cell>
          <cell r="F4716" t="str">
            <v>D3P-752</v>
          </cell>
          <cell r="G4716" t="str">
            <v>C5Y-985</v>
          </cell>
          <cell r="H4716" t="str">
            <v>LAS BAMBAS</v>
          </cell>
          <cell r="I4716">
            <v>150504</v>
          </cell>
          <cell r="J4716" t="str">
            <v>REPUESTO</v>
          </cell>
          <cell r="K4716" t="str">
            <v>FILTRO DE HIDROLINA</v>
          </cell>
          <cell r="L4716">
            <v>1</v>
          </cell>
          <cell r="M4716" t="str">
            <v>UNID.</v>
          </cell>
          <cell r="N4716" t="str">
            <v>TRACTO</v>
          </cell>
          <cell r="O4716">
            <v>29</v>
          </cell>
          <cell r="P4716" t="str">
            <v>M2</v>
          </cell>
          <cell r="Q4716" t="str">
            <v>J1</v>
          </cell>
          <cell r="R4716" t="str">
            <v>J6</v>
          </cell>
          <cell r="S4716" t="str">
            <v>ENTREGADO</v>
          </cell>
          <cell r="T4716">
            <v>0</v>
          </cell>
          <cell r="U4716" t="str">
            <v>CHUMPITAZ GAGO JULIO ENRIQUE</v>
          </cell>
          <cell r="V4716" t="str">
            <v>FLOREZ CONDORI  JOSE WILLIANS</v>
          </cell>
        </row>
        <row r="4717">
          <cell r="A4717">
            <v>4733</v>
          </cell>
          <cell r="B4717">
            <v>42761</v>
          </cell>
          <cell r="C4717" t="str">
            <v>ENERO</v>
          </cell>
          <cell r="D4717" t="str">
            <v>2017</v>
          </cell>
          <cell r="E4717">
            <v>919</v>
          </cell>
          <cell r="F4717" t="str">
            <v>D3R-791</v>
          </cell>
          <cell r="G4717" t="str">
            <v>B1M-993</v>
          </cell>
          <cell r="H4717" t="str">
            <v>LAS BAMBAS</v>
          </cell>
          <cell r="I4717">
            <v>146627</v>
          </cell>
          <cell r="J4717" t="str">
            <v>REPUESTO</v>
          </cell>
          <cell r="K4717" t="str">
            <v>PLANCHA 1/2 X 1.4M X 1M</v>
          </cell>
          <cell r="L4717">
            <v>1</v>
          </cell>
          <cell r="M4717" t="str">
            <v>UNID.</v>
          </cell>
          <cell r="N4717" t="str">
            <v>CISTERNA</v>
          </cell>
          <cell r="O4717">
            <v>29</v>
          </cell>
          <cell r="P4717" t="str">
            <v>S1</v>
          </cell>
          <cell r="Q4717" t="str">
            <v>J1</v>
          </cell>
          <cell r="R4717" t="str">
            <v>J6</v>
          </cell>
          <cell r="S4717" t="str">
            <v>ENTREGADO</v>
          </cell>
          <cell r="T4717">
            <v>0</v>
          </cell>
          <cell r="U4717" t="str">
            <v>BAYONA CRUZ CRISTIAN ARMANDO</v>
          </cell>
          <cell r="V4717" t="str">
            <v>FLOREZ CONDORI  JOSE WILLIANS</v>
          </cell>
        </row>
        <row r="4718">
          <cell r="A4718">
            <v>4734</v>
          </cell>
          <cell r="B4718">
            <v>42761</v>
          </cell>
          <cell r="C4718" t="str">
            <v>ENERO</v>
          </cell>
          <cell r="D4718" t="str">
            <v>2017</v>
          </cell>
          <cell r="E4718">
            <v>919</v>
          </cell>
          <cell r="F4718" t="str">
            <v>D3R-791</v>
          </cell>
          <cell r="G4718" t="str">
            <v>B1M-993</v>
          </cell>
          <cell r="H4718" t="str">
            <v>LAS BAMBAS</v>
          </cell>
          <cell r="I4718">
            <v>146627</v>
          </cell>
          <cell r="J4718" t="str">
            <v>REPUESTO</v>
          </cell>
          <cell r="K4718" t="str">
            <v>KING PIN PARA PLANCHA DE 1/2</v>
          </cell>
          <cell r="L4718">
            <v>1</v>
          </cell>
          <cell r="M4718" t="str">
            <v>UNID.</v>
          </cell>
          <cell r="N4718" t="str">
            <v>CISTERNA</v>
          </cell>
          <cell r="O4718">
            <v>29</v>
          </cell>
          <cell r="P4718" t="str">
            <v>S1</v>
          </cell>
          <cell r="Q4718" t="str">
            <v>J1</v>
          </cell>
          <cell r="R4718" t="str">
            <v>J6</v>
          </cell>
          <cell r="S4718" t="str">
            <v>ENTREGADO</v>
          </cell>
          <cell r="T4718">
            <v>0</v>
          </cell>
          <cell r="U4718" t="str">
            <v>BAYONA CRUZ CRISTIAN ARMANDO</v>
          </cell>
          <cell r="V4718" t="str">
            <v>FLOREZ CONDORI  JOSE WILLIANS</v>
          </cell>
        </row>
        <row r="4719">
          <cell r="A4719">
            <v>4705</v>
          </cell>
          <cell r="B4719">
            <v>42761</v>
          </cell>
          <cell r="C4719" t="str">
            <v>ENERO</v>
          </cell>
          <cell r="D4719" t="str">
            <v>2017</v>
          </cell>
          <cell r="E4719">
            <v>910</v>
          </cell>
          <cell r="F4719" t="str">
            <v>D3S-725</v>
          </cell>
          <cell r="G4719" t="str">
            <v>TBL-977</v>
          </cell>
          <cell r="H4719" t="str">
            <v>LAS BAMBAS</v>
          </cell>
          <cell r="I4719">
            <v>152676</v>
          </cell>
          <cell r="J4719" t="str">
            <v>REPUESTO</v>
          </cell>
          <cell r="K4719" t="str">
            <v>LLANTAS</v>
          </cell>
          <cell r="L4719">
            <v>4</v>
          </cell>
          <cell r="M4719" t="str">
            <v>UNID.</v>
          </cell>
          <cell r="N4719" t="str">
            <v>CISTERNA</v>
          </cell>
          <cell r="O4719">
            <v>29</v>
          </cell>
          <cell r="P4719" t="str">
            <v>N2</v>
          </cell>
          <cell r="Q4719" t="str">
            <v>J3</v>
          </cell>
          <cell r="R4719" t="str">
            <v>J6</v>
          </cell>
          <cell r="S4719" t="str">
            <v>ENTREGADO</v>
          </cell>
          <cell r="T4719">
            <v>0</v>
          </cell>
          <cell r="U4719" t="str">
            <v>MAMANI LARICO  EDUARDO ALVARO</v>
          </cell>
          <cell r="V4719" t="str">
            <v>CHURA PIZARRO ALBERTO</v>
          </cell>
        </row>
        <row r="4720">
          <cell r="A4720">
            <v>4712</v>
          </cell>
          <cell r="B4720">
            <v>42761</v>
          </cell>
          <cell r="C4720" t="str">
            <v>ENERO</v>
          </cell>
          <cell r="D4720" t="str">
            <v>2017</v>
          </cell>
          <cell r="E4720">
            <v>910</v>
          </cell>
          <cell r="F4720" t="str">
            <v>D3S-725</v>
          </cell>
          <cell r="G4720" t="str">
            <v>TBL-977</v>
          </cell>
          <cell r="H4720" t="str">
            <v>LAS BAMBAS</v>
          </cell>
          <cell r="I4720">
            <v>152676</v>
          </cell>
          <cell r="J4720" t="str">
            <v>REPUESTO</v>
          </cell>
          <cell r="K4720" t="str">
            <v>ZAPATAS</v>
          </cell>
          <cell r="L4720">
            <v>3</v>
          </cell>
          <cell r="M4720" t="str">
            <v>JUEGO</v>
          </cell>
          <cell r="N4720" t="str">
            <v>CISTERNA</v>
          </cell>
          <cell r="O4720">
            <v>29</v>
          </cell>
          <cell r="P4720" t="str">
            <v>M5</v>
          </cell>
          <cell r="Q4720" t="str">
            <v>J1</v>
          </cell>
          <cell r="R4720" t="str">
            <v>J6</v>
          </cell>
          <cell r="S4720" t="str">
            <v>ENTREGADO</v>
          </cell>
          <cell r="T4720">
            <v>0</v>
          </cell>
          <cell r="U4720" t="str">
            <v>LOPEZ RUIZ WILBERTO</v>
          </cell>
          <cell r="V4720" t="str">
            <v>FLOREZ CONDORI  JOSE WILLIANS</v>
          </cell>
        </row>
        <row r="4721">
          <cell r="A4721">
            <v>4713</v>
          </cell>
          <cell r="B4721">
            <v>42761</v>
          </cell>
          <cell r="C4721" t="str">
            <v>ENERO</v>
          </cell>
          <cell r="D4721" t="str">
            <v>2017</v>
          </cell>
          <cell r="E4721">
            <v>910</v>
          </cell>
          <cell r="F4721" t="str">
            <v>D3S-725</v>
          </cell>
          <cell r="G4721" t="str">
            <v>TBL-977</v>
          </cell>
          <cell r="H4721" t="str">
            <v>LAS BAMBAS</v>
          </cell>
          <cell r="I4721">
            <v>152676</v>
          </cell>
          <cell r="J4721" t="str">
            <v>REPUESTO</v>
          </cell>
          <cell r="K4721" t="str">
            <v>RESORTES GRANDES DE PAZATA</v>
          </cell>
          <cell r="L4721">
            <v>6</v>
          </cell>
          <cell r="M4721" t="str">
            <v>UNID.</v>
          </cell>
          <cell r="N4721" t="str">
            <v>CISTERNA</v>
          </cell>
          <cell r="O4721">
            <v>29</v>
          </cell>
          <cell r="P4721" t="str">
            <v>M5</v>
          </cell>
          <cell r="Q4721" t="str">
            <v>J1</v>
          </cell>
          <cell r="R4721" t="str">
            <v>J6</v>
          </cell>
          <cell r="S4721" t="str">
            <v>ENTREGADO</v>
          </cell>
          <cell r="T4721">
            <v>0</v>
          </cell>
          <cell r="U4721" t="str">
            <v>LOPEZ RUIZ WILBERTO</v>
          </cell>
          <cell r="V4721" t="str">
            <v>FLOREZ CONDORI  JOSE WILLIANS</v>
          </cell>
        </row>
        <row r="4722">
          <cell r="A4722">
            <v>4714</v>
          </cell>
          <cell r="B4722">
            <v>42761</v>
          </cell>
          <cell r="C4722" t="str">
            <v>ENERO</v>
          </cell>
          <cell r="D4722" t="str">
            <v>2017</v>
          </cell>
          <cell r="E4722">
            <v>910</v>
          </cell>
          <cell r="F4722" t="str">
            <v>D3S-725</v>
          </cell>
          <cell r="G4722" t="str">
            <v>TBL-977</v>
          </cell>
          <cell r="H4722" t="str">
            <v>LAS BAMBAS</v>
          </cell>
          <cell r="I4722">
            <v>152676</v>
          </cell>
          <cell r="J4722" t="str">
            <v>REPUESTO</v>
          </cell>
          <cell r="K4722" t="str">
            <v>RESORTES CHICOS DE ZAPATA</v>
          </cell>
          <cell r="L4722">
            <v>4</v>
          </cell>
          <cell r="M4722" t="str">
            <v>UNID.</v>
          </cell>
          <cell r="N4722" t="str">
            <v>CISTERNA</v>
          </cell>
          <cell r="O4722">
            <v>29</v>
          </cell>
          <cell r="P4722" t="str">
            <v>M5</v>
          </cell>
          <cell r="Q4722" t="str">
            <v>J1</v>
          </cell>
          <cell r="R4722" t="str">
            <v>J6</v>
          </cell>
          <cell r="S4722" t="str">
            <v>ENTREGADO</v>
          </cell>
          <cell r="T4722">
            <v>0</v>
          </cell>
          <cell r="U4722" t="str">
            <v>LOPEZ RUIZ WILBERTO</v>
          </cell>
          <cell r="V4722" t="str">
            <v>FLOREZ CONDORI  JOSE WILLIANS</v>
          </cell>
        </row>
        <row r="4723">
          <cell r="A4723">
            <v>4702</v>
          </cell>
          <cell r="B4723">
            <v>42761</v>
          </cell>
          <cell r="C4723" t="str">
            <v>ENERO</v>
          </cell>
          <cell r="D4723" t="str">
            <v>2017</v>
          </cell>
          <cell r="E4723">
            <v>903</v>
          </cell>
          <cell r="F4723" t="str">
            <v>D6G-805</v>
          </cell>
          <cell r="G4723" t="str">
            <v>T4Z-996</v>
          </cell>
          <cell r="H4723" t="str">
            <v>LAS BAMBAS</v>
          </cell>
          <cell r="I4723">
            <v>229548</v>
          </cell>
          <cell r="J4723" t="str">
            <v>REPUESTO</v>
          </cell>
          <cell r="K4723" t="str">
            <v>MANGUERA CORRUGADA 1/4</v>
          </cell>
          <cell r="L4723">
            <v>1</v>
          </cell>
          <cell r="M4723" t="str">
            <v>M</v>
          </cell>
          <cell r="N4723" t="str">
            <v>CISTERNA</v>
          </cell>
          <cell r="O4723">
            <v>29</v>
          </cell>
          <cell r="P4723" t="str">
            <v>E2</v>
          </cell>
          <cell r="Q4723" t="str">
            <v>J1</v>
          </cell>
          <cell r="R4723" t="str">
            <v>J6</v>
          </cell>
          <cell r="S4723" t="str">
            <v>ENTREGADO</v>
          </cell>
          <cell r="T4723">
            <v>0</v>
          </cell>
          <cell r="U4723" t="str">
            <v>YUCA BELLIDO BORIS YERSY</v>
          </cell>
          <cell r="V4723" t="str">
            <v>FLOREZ CONDORI  JOSE WILLIANS</v>
          </cell>
        </row>
        <row r="4724">
          <cell r="A4724">
            <v>4732</v>
          </cell>
          <cell r="B4724">
            <v>42761</v>
          </cell>
          <cell r="C4724" t="str">
            <v>ENERO</v>
          </cell>
          <cell r="D4724" t="str">
            <v>2017</v>
          </cell>
          <cell r="E4724">
            <v>915</v>
          </cell>
          <cell r="F4724" t="str">
            <v>D6G-806</v>
          </cell>
          <cell r="G4724" t="str">
            <v>B8K-998</v>
          </cell>
          <cell r="H4724" t="str">
            <v>LAS BAMBAS</v>
          </cell>
          <cell r="I4724">
            <v>224827</v>
          </cell>
          <cell r="J4724" t="str">
            <v>REPUESTO</v>
          </cell>
          <cell r="K4724" t="str">
            <v>SEGURO DE DISCO DE TORNAMESA</v>
          </cell>
          <cell r="L4724">
            <v>1</v>
          </cell>
          <cell r="M4724" t="str">
            <v>UNID.</v>
          </cell>
          <cell r="N4724" t="str">
            <v>CISTERNA</v>
          </cell>
          <cell r="O4724">
            <v>29</v>
          </cell>
          <cell r="P4724" t="str">
            <v>M4</v>
          </cell>
          <cell r="Q4724" t="str">
            <v>J1</v>
          </cell>
          <cell r="R4724" t="str">
            <v>J6</v>
          </cell>
          <cell r="S4724" t="str">
            <v>PENDIENTE</v>
          </cell>
          <cell r="T4724">
            <v>0</v>
          </cell>
          <cell r="U4724" t="str">
            <v>JULLIRI APAZA UBALDO</v>
          </cell>
          <cell r="V4724" t="str">
            <v>FLOREZ CONDORI  JOSE WILLIANS</v>
          </cell>
        </row>
        <row r="4725">
          <cell r="A4725">
            <v>4688</v>
          </cell>
          <cell r="B4725">
            <v>42761</v>
          </cell>
          <cell r="C4725" t="str">
            <v>ENERO</v>
          </cell>
          <cell r="D4725" t="str">
            <v>2017</v>
          </cell>
          <cell r="E4725">
            <v>920</v>
          </cell>
          <cell r="F4725" t="str">
            <v>D7N-755</v>
          </cell>
          <cell r="G4725" t="str">
            <v>F7L-983</v>
          </cell>
          <cell r="H4725" t="str">
            <v>LAS BAMBAS</v>
          </cell>
          <cell r="I4725">
            <v>56840</v>
          </cell>
          <cell r="J4725" t="str">
            <v>REPUESTO</v>
          </cell>
          <cell r="K4725" t="str">
            <v>MANGUERA CORRUGADA</v>
          </cell>
          <cell r="L4725">
            <v>4</v>
          </cell>
          <cell r="M4725" t="str">
            <v>M</v>
          </cell>
          <cell r="N4725" t="str">
            <v>TRACTO</v>
          </cell>
          <cell r="O4725">
            <v>29</v>
          </cell>
          <cell r="P4725" t="str">
            <v>E2</v>
          </cell>
          <cell r="Q4725" t="str">
            <v>J1</v>
          </cell>
          <cell r="R4725" t="str">
            <v>J8</v>
          </cell>
          <cell r="S4725" t="str">
            <v>ENTREGADO</v>
          </cell>
          <cell r="T4725">
            <v>0</v>
          </cell>
          <cell r="U4725" t="str">
            <v>YUCA BELLIDO BORIS YERSY</v>
          </cell>
          <cell r="V4725" t="str">
            <v>FLOREZ CONDORI  JOSE WILLIANS</v>
          </cell>
        </row>
        <row r="4726">
          <cell r="A4726">
            <v>4706</v>
          </cell>
          <cell r="B4726">
            <v>42761</v>
          </cell>
          <cell r="C4726" t="str">
            <v>ENERO</v>
          </cell>
          <cell r="D4726" t="str">
            <v>2017</v>
          </cell>
          <cell r="E4726">
            <v>200</v>
          </cell>
          <cell r="F4726" t="str">
            <v>TALLER</v>
          </cell>
          <cell r="G4726" t="str">
            <v>TALLER</v>
          </cell>
          <cell r="H4726" t="str">
            <v>TALLER</v>
          </cell>
          <cell r="I4726" t="str">
            <v>TALLER</v>
          </cell>
          <cell r="J4726" t="str">
            <v>INSUMO TALLER</v>
          </cell>
          <cell r="K4726" t="str">
            <v>BISAGRAS 3/8 X 2</v>
          </cell>
          <cell r="L4726">
            <v>2</v>
          </cell>
          <cell r="M4726" t="str">
            <v>UNID.</v>
          </cell>
          <cell r="N4726" t="str">
            <v>TALLER</v>
          </cell>
          <cell r="O4726">
            <v>29</v>
          </cell>
          <cell r="P4726" t="str">
            <v>S1</v>
          </cell>
          <cell r="Q4726" t="str">
            <v>J1</v>
          </cell>
          <cell r="R4726" t="str">
            <v>J6</v>
          </cell>
          <cell r="S4726" t="str">
            <v>PENDIENTE</v>
          </cell>
          <cell r="T4726">
            <v>0</v>
          </cell>
          <cell r="U4726" t="str">
            <v>BAYONA CRUZ CRISTIAN ARMANDO</v>
          </cell>
          <cell r="V4726" t="str">
            <v>FLOREZ CONDORI  JOSE WILLIANS</v>
          </cell>
        </row>
        <row r="4727">
          <cell r="A4727">
            <v>4707</v>
          </cell>
          <cell r="B4727">
            <v>42761</v>
          </cell>
          <cell r="C4727" t="str">
            <v>ENERO</v>
          </cell>
          <cell r="D4727" t="str">
            <v>2017</v>
          </cell>
          <cell r="E4727">
            <v>200</v>
          </cell>
          <cell r="F4727" t="str">
            <v>TALLER</v>
          </cell>
          <cell r="G4727" t="str">
            <v>TALLER</v>
          </cell>
          <cell r="H4727" t="str">
            <v>TALLER</v>
          </cell>
          <cell r="I4727" t="str">
            <v>TALLER</v>
          </cell>
          <cell r="J4727" t="str">
            <v>INSUMO TALLER</v>
          </cell>
          <cell r="K4727" t="str">
            <v>PERNO 3/8 X 2</v>
          </cell>
          <cell r="L4727">
            <v>1</v>
          </cell>
          <cell r="M4727" t="str">
            <v>UNID.</v>
          </cell>
          <cell r="N4727" t="str">
            <v>TALLER</v>
          </cell>
          <cell r="O4727">
            <v>29</v>
          </cell>
          <cell r="P4727" t="str">
            <v>S1</v>
          </cell>
          <cell r="Q4727" t="str">
            <v>J1</v>
          </cell>
          <cell r="R4727" t="str">
            <v>J6</v>
          </cell>
          <cell r="S4727" t="str">
            <v>ENTREGADO</v>
          </cell>
          <cell r="T4727">
            <v>0</v>
          </cell>
          <cell r="U4727" t="str">
            <v>BAYONA CRUZ CRISTIAN ARMANDO</v>
          </cell>
          <cell r="V4727" t="str">
            <v>FLOREZ CONDORI  JOSE WILLIANS</v>
          </cell>
        </row>
        <row r="4728">
          <cell r="A4728">
            <v>4715</v>
          </cell>
          <cell r="B4728">
            <v>42761</v>
          </cell>
          <cell r="C4728" t="str">
            <v>ENERO</v>
          </cell>
          <cell r="D4728" t="str">
            <v>2017</v>
          </cell>
          <cell r="E4728">
            <v>200</v>
          </cell>
          <cell r="F4728" t="str">
            <v>TALLER</v>
          </cell>
          <cell r="G4728" t="str">
            <v>TALLER</v>
          </cell>
          <cell r="H4728" t="str">
            <v>TALLER</v>
          </cell>
          <cell r="I4728" t="str">
            <v>TALLER</v>
          </cell>
          <cell r="J4728" t="str">
            <v>INSUMO TALLER</v>
          </cell>
          <cell r="K4728" t="str">
            <v>CINTA NEGRA AISLANTE</v>
          </cell>
          <cell r="L4728">
            <v>1</v>
          </cell>
          <cell r="M4728" t="str">
            <v>UNID.</v>
          </cell>
          <cell r="N4728" t="str">
            <v>TALLER</v>
          </cell>
          <cell r="O4728">
            <v>29</v>
          </cell>
          <cell r="P4728" t="str">
            <v>S1</v>
          </cell>
          <cell r="Q4728" t="str">
            <v>J1</v>
          </cell>
          <cell r="R4728" t="str">
            <v>J6</v>
          </cell>
          <cell r="S4728" t="str">
            <v>ENTREGADO</v>
          </cell>
          <cell r="T4728">
            <v>0</v>
          </cell>
          <cell r="U4728" t="str">
            <v>BAYONA CRUZ CRISTIAN ARMANDO</v>
          </cell>
          <cell r="V4728" t="str">
            <v>FLOREZ CONDORI  JOSE WILLIANS</v>
          </cell>
        </row>
        <row r="4729">
          <cell r="A4729">
            <v>4723</v>
          </cell>
          <cell r="B4729">
            <v>42761</v>
          </cell>
          <cell r="C4729" t="str">
            <v>ENERO</v>
          </cell>
          <cell r="D4729" t="str">
            <v>2017</v>
          </cell>
          <cell r="E4729">
            <v>200</v>
          </cell>
          <cell r="F4729" t="str">
            <v>TALLER</v>
          </cell>
          <cell r="G4729" t="str">
            <v>TALLER</v>
          </cell>
          <cell r="H4729" t="str">
            <v>TALLER</v>
          </cell>
          <cell r="I4729" t="str">
            <v>TALLER</v>
          </cell>
          <cell r="J4729" t="str">
            <v>IMPLEMENTACION</v>
          </cell>
          <cell r="K4729" t="str">
            <v>GARRUCHA DE 6"</v>
          </cell>
          <cell r="L4729">
            <v>4</v>
          </cell>
          <cell r="M4729" t="str">
            <v>UNID.</v>
          </cell>
          <cell r="N4729" t="str">
            <v>TALLER</v>
          </cell>
          <cell r="O4729">
            <v>29</v>
          </cell>
          <cell r="P4729" t="str">
            <v>S1</v>
          </cell>
          <cell r="Q4729" t="str">
            <v>J1</v>
          </cell>
          <cell r="R4729" t="str">
            <v>J6</v>
          </cell>
          <cell r="S4729" t="str">
            <v>PENDIENTE</v>
          </cell>
          <cell r="T4729">
            <v>0</v>
          </cell>
          <cell r="U4729" t="str">
            <v>BAYONA CRUZ CRISTIAN ARMANDO</v>
          </cell>
          <cell r="V4729" t="str">
            <v>FLOREZ CONDORI  JOSE WILLIANS</v>
          </cell>
        </row>
        <row r="4730">
          <cell r="A4730">
            <v>4726</v>
          </cell>
          <cell r="B4730">
            <v>42761</v>
          </cell>
          <cell r="C4730" t="str">
            <v>ENERO</v>
          </cell>
          <cell r="D4730" t="str">
            <v>2017</v>
          </cell>
          <cell r="E4730">
            <v>200</v>
          </cell>
          <cell r="F4730" t="str">
            <v>TALLER</v>
          </cell>
          <cell r="G4730" t="str">
            <v>TALLER</v>
          </cell>
          <cell r="H4730" t="str">
            <v>TALLER</v>
          </cell>
          <cell r="I4730" t="str">
            <v>TALLER</v>
          </cell>
          <cell r="J4730" t="str">
            <v>IMPLEMENTACION</v>
          </cell>
          <cell r="K4730" t="str">
            <v>PLATINAS 2 X 1/8 X 6M</v>
          </cell>
          <cell r="L4730">
            <v>7</v>
          </cell>
          <cell r="M4730" t="str">
            <v>UNID.</v>
          </cell>
          <cell r="N4730" t="str">
            <v>TALLER</v>
          </cell>
          <cell r="O4730">
            <v>29</v>
          </cell>
          <cell r="P4730" t="str">
            <v>S1</v>
          </cell>
          <cell r="Q4730" t="str">
            <v>J1</v>
          </cell>
          <cell r="R4730" t="str">
            <v>J6</v>
          </cell>
          <cell r="S4730" t="str">
            <v>ENTREGADO</v>
          </cell>
          <cell r="T4730">
            <v>0</v>
          </cell>
          <cell r="U4730" t="str">
            <v>BAYONA CRUZ CRISTIAN ARMANDO</v>
          </cell>
          <cell r="V4730" t="str">
            <v>FLOREZ CONDORI  JOSE WILLIANS</v>
          </cell>
        </row>
        <row r="4731">
          <cell r="A4731">
            <v>4727</v>
          </cell>
          <cell r="B4731">
            <v>42761</v>
          </cell>
          <cell r="C4731" t="str">
            <v>ENERO</v>
          </cell>
          <cell r="D4731" t="str">
            <v>2017</v>
          </cell>
          <cell r="E4731">
            <v>200</v>
          </cell>
          <cell r="F4731" t="str">
            <v>TALLER</v>
          </cell>
          <cell r="G4731" t="str">
            <v>TALLER</v>
          </cell>
          <cell r="H4731" t="str">
            <v>TALLER</v>
          </cell>
          <cell r="I4731" t="str">
            <v>TALLER</v>
          </cell>
          <cell r="J4731" t="str">
            <v>IMPLEMENTACION</v>
          </cell>
          <cell r="K4731" t="str">
            <v>PLANCHA 3/32 X 1.2M X 2.4M</v>
          </cell>
          <cell r="L4731">
            <v>1</v>
          </cell>
          <cell r="M4731" t="str">
            <v>UNID.</v>
          </cell>
          <cell r="N4731" t="str">
            <v>TALLER</v>
          </cell>
          <cell r="O4731">
            <v>29</v>
          </cell>
          <cell r="P4731" t="str">
            <v>S1</v>
          </cell>
          <cell r="Q4731" t="str">
            <v>J1</v>
          </cell>
          <cell r="R4731" t="str">
            <v>J6</v>
          </cell>
          <cell r="S4731" t="str">
            <v>PENDIENTE</v>
          </cell>
          <cell r="T4731">
            <v>0</v>
          </cell>
          <cell r="U4731" t="str">
            <v>BAYONA CRUZ CRISTIAN ARMANDO</v>
          </cell>
          <cell r="V4731" t="str">
            <v>FLOREZ CONDORI  JOSE WILLIANS</v>
          </cell>
        </row>
        <row r="4732">
          <cell r="A4732">
            <v>4728</v>
          </cell>
          <cell r="B4732">
            <v>42761</v>
          </cell>
          <cell r="C4732" t="str">
            <v>ENERO</v>
          </cell>
          <cell r="D4732" t="str">
            <v>2017</v>
          </cell>
          <cell r="E4732">
            <v>200</v>
          </cell>
          <cell r="F4732" t="str">
            <v>TALLER</v>
          </cell>
          <cell r="G4732" t="str">
            <v>TALLER</v>
          </cell>
          <cell r="H4732" t="str">
            <v>TALLER</v>
          </cell>
          <cell r="I4732" t="str">
            <v>TALLER</v>
          </cell>
          <cell r="J4732" t="str">
            <v>IMPLEMENTACION</v>
          </cell>
          <cell r="K4732" t="str">
            <v>BISAGRAS 3/8 X 2</v>
          </cell>
          <cell r="L4732">
            <v>100</v>
          </cell>
          <cell r="M4732" t="str">
            <v>UNID.</v>
          </cell>
          <cell r="N4732" t="str">
            <v>TALLER</v>
          </cell>
          <cell r="O4732">
            <v>29</v>
          </cell>
          <cell r="P4732" t="str">
            <v>S1</v>
          </cell>
          <cell r="Q4732" t="str">
            <v>J1</v>
          </cell>
          <cell r="R4732" t="str">
            <v>J6</v>
          </cell>
          <cell r="S4732" t="str">
            <v>ENTREGADO</v>
          </cell>
          <cell r="T4732">
            <v>0</v>
          </cell>
          <cell r="U4732" t="str">
            <v>BAYONA CRUZ CRISTIAN ARMANDO</v>
          </cell>
          <cell r="V4732" t="str">
            <v>FLOREZ CONDORI  JOSE WILLIANS</v>
          </cell>
        </row>
        <row r="4733">
          <cell r="A4733">
            <v>4729</v>
          </cell>
          <cell r="B4733">
            <v>42761</v>
          </cell>
          <cell r="C4733" t="str">
            <v>ENERO</v>
          </cell>
          <cell r="D4733" t="str">
            <v>2017</v>
          </cell>
          <cell r="E4733">
            <v>200</v>
          </cell>
          <cell r="F4733" t="str">
            <v>TALLER</v>
          </cell>
          <cell r="G4733" t="str">
            <v>TALLER</v>
          </cell>
          <cell r="H4733" t="str">
            <v>TALLER</v>
          </cell>
          <cell r="I4733" t="str">
            <v>TALLER</v>
          </cell>
          <cell r="J4733" t="str">
            <v>IMPLEMENTACION</v>
          </cell>
          <cell r="K4733" t="str">
            <v>ARANDELAS PLANAS 1/2</v>
          </cell>
          <cell r="L4733">
            <v>100</v>
          </cell>
          <cell r="M4733" t="str">
            <v>UNID.</v>
          </cell>
          <cell r="N4733" t="str">
            <v>TALLER</v>
          </cell>
          <cell r="O4733">
            <v>29</v>
          </cell>
          <cell r="P4733" t="str">
            <v>S1</v>
          </cell>
          <cell r="Q4733" t="str">
            <v>J1</v>
          </cell>
          <cell r="R4733" t="str">
            <v>J6</v>
          </cell>
          <cell r="S4733" t="str">
            <v>ENTREGADO</v>
          </cell>
          <cell r="T4733">
            <v>0</v>
          </cell>
          <cell r="U4733" t="str">
            <v>BAYONA CRUZ CRISTIAN ARMANDO</v>
          </cell>
          <cell r="V4733" t="str">
            <v>FLOREZ CONDORI  JOSE WILLIANS</v>
          </cell>
        </row>
        <row r="4734">
          <cell r="A4734">
            <v>4731</v>
          </cell>
          <cell r="B4734">
            <v>42761</v>
          </cell>
          <cell r="C4734" t="str">
            <v>ENERO</v>
          </cell>
          <cell r="D4734" t="str">
            <v>2017</v>
          </cell>
          <cell r="E4734">
            <v>200</v>
          </cell>
          <cell r="F4734" t="str">
            <v>TALLER</v>
          </cell>
          <cell r="G4734" t="str">
            <v>TALLER</v>
          </cell>
          <cell r="H4734" t="str">
            <v>TALLER</v>
          </cell>
          <cell r="I4734" t="str">
            <v>TALLER</v>
          </cell>
          <cell r="J4734" t="str">
            <v>INSUMO TALLER</v>
          </cell>
          <cell r="K4734" t="str">
            <v>TIZA DE CALDERO</v>
          </cell>
          <cell r="L4734">
            <v>1</v>
          </cell>
          <cell r="M4734" t="str">
            <v>UNID.</v>
          </cell>
          <cell r="N4734" t="str">
            <v>TALLER</v>
          </cell>
          <cell r="O4734">
            <v>29</v>
          </cell>
          <cell r="P4734" t="str">
            <v>S1</v>
          </cell>
          <cell r="Q4734" t="str">
            <v>J1</v>
          </cell>
          <cell r="R4734" t="str">
            <v>J6</v>
          </cell>
          <cell r="S4734" t="str">
            <v>ENTREGADO</v>
          </cell>
          <cell r="T4734">
            <v>0</v>
          </cell>
          <cell r="U4734" t="str">
            <v>BAYONA CRUZ CRISTIAN ARMANDO</v>
          </cell>
          <cell r="V4734" t="str">
            <v>FLOREZ CONDORI  JOSE WILLIANS</v>
          </cell>
        </row>
        <row r="4735">
          <cell r="A4735">
            <v>4701</v>
          </cell>
          <cell r="B4735">
            <v>42761</v>
          </cell>
          <cell r="C4735" t="str">
            <v>ENERO</v>
          </cell>
          <cell r="D4735" t="str">
            <v>2017</v>
          </cell>
          <cell r="E4735">
            <v>852</v>
          </cell>
          <cell r="F4735" t="str">
            <v>X2W-765</v>
          </cell>
          <cell r="G4735" t="str">
            <v>C5V-993</v>
          </cell>
          <cell r="H4735" t="str">
            <v>LAS BAMBAS</v>
          </cell>
          <cell r="I4735">
            <v>161632</v>
          </cell>
          <cell r="J4735" t="str">
            <v>REPUESTO</v>
          </cell>
          <cell r="K4735" t="str">
            <v>BATERIA</v>
          </cell>
          <cell r="L4735">
            <v>1</v>
          </cell>
          <cell r="M4735" t="str">
            <v>UNID.</v>
          </cell>
          <cell r="N4735" t="str">
            <v>TRACTO</v>
          </cell>
          <cell r="O4735">
            <v>29</v>
          </cell>
          <cell r="P4735" t="str">
            <v>J7</v>
          </cell>
          <cell r="Q4735" t="str">
            <v>J7</v>
          </cell>
          <cell r="R4735" t="str">
            <v>J6</v>
          </cell>
          <cell r="S4735" t="str">
            <v>ENTREGADO</v>
          </cell>
          <cell r="T4735">
            <v>0</v>
          </cell>
          <cell r="U4735" t="str">
            <v>DONAYRE INGA PEDRO</v>
          </cell>
          <cell r="V4735" t="str">
            <v>DONAYRE INGA PEDRO</v>
          </cell>
        </row>
        <row r="4736">
          <cell r="A4736">
            <v>4747</v>
          </cell>
          <cell r="B4736">
            <v>42762</v>
          </cell>
          <cell r="C4736" t="str">
            <v>ENERO</v>
          </cell>
          <cell r="D4736" t="str">
            <v>2017</v>
          </cell>
          <cell r="E4736">
            <v>829</v>
          </cell>
          <cell r="F4736" t="str">
            <v>A5O-859</v>
          </cell>
          <cell r="G4736" t="str">
            <v>B6Y-971</v>
          </cell>
          <cell r="H4736" t="str">
            <v>LAS BAMBAS</v>
          </cell>
          <cell r="I4736">
            <v>119039</v>
          </cell>
          <cell r="J4736" t="str">
            <v>REPUESTO</v>
          </cell>
          <cell r="K4736" t="str">
            <v>AGUA LIMPIA PARABRISA</v>
          </cell>
          <cell r="L4736">
            <v>1</v>
          </cell>
          <cell r="M4736" t="str">
            <v>GLNS.</v>
          </cell>
          <cell r="N4736" t="str">
            <v>TRACTO</v>
          </cell>
          <cell r="O4736">
            <v>28</v>
          </cell>
          <cell r="P4736" t="str">
            <v>M8</v>
          </cell>
          <cell r="Q4736" t="str">
            <v>J1</v>
          </cell>
          <cell r="R4736" t="str">
            <v>J8</v>
          </cell>
          <cell r="S4736" t="str">
            <v>ENTREGADO</v>
          </cell>
          <cell r="T4736">
            <v>0</v>
          </cell>
          <cell r="U4736" t="str">
            <v>VARILLAS GAGO  OSCAR ALBERTO</v>
          </cell>
          <cell r="V4736" t="str">
            <v>FLOREZ CONDORI  JOSE WILLIANS</v>
          </cell>
        </row>
        <row r="4737">
          <cell r="A4737">
            <v>4735</v>
          </cell>
          <cell r="B4737">
            <v>42762</v>
          </cell>
          <cell r="C4737" t="str">
            <v>ENERO</v>
          </cell>
          <cell r="D4737" t="str">
            <v>2017</v>
          </cell>
          <cell r="E4737">
            <v>928</v>
          </cell>
          <cell r="F4737" t="str">
            <v>ABP-729</v>
          </cell>
          <cell r="G4737" t="str">
            <v>D8K-985</v>
          </cell>
          <cell r="H4737" t="str">
            <v>LAS BAMBAS</v>
          </cell>
          <cell r="I4737">
            <v>117998</v>
          </cell>
          <cell r="J4737" t="str">
            <v>REPUESTO</v>
          </cell>
          <cell r="K4737" t="str">
            <v>ADAPTADOR RECUPERADOR DE VAPOR</v>
          </cell>
          <cell r="L4737">
            <v>1</v>
          </cell>
          <cell r="M4737" t="str">
            <v>UNID.</v>
          </cell>
          <cell r="N4737" t="str">
            <v>CISTERNA</v>
          </cell>
          <cell r="O4737">
            <v>28</v>
          </cell>
          <cell r="P4737" t="str">
            <v>S1</v>
          </cell>
          <cell r="Q4737" t="str">
            <v>J1</v>
          </cell>
          <cell r="R4737" t="str">
            <v>J8</v>
          </cell>
          <cell r="S4737" t="str">
            <v>ENTREGADO</v>
          </cell>
          <cell r="T4737">
            <v>0</v>
          </cell>
          <cell r="U4737" t="str">
            <v>BAYONA CRUZ CRISTIAN ARMANDO</v>
          </cell>
          <cell r="V4737" t="str">
            <v>FLOREZ CONDORI  JOSE WILLIANS</v>
          </cell>
        </row>
        <row r="4738">
          <cell r="A4738">
            <v>4736</v>
          </cell>
          <cell r="B4738">
            <v>42762</v>
          </cell>
          <cell r="C4738" t="str">
            <v>ENERO</v>
          </cell>
          <cell r="D4738" t="str">
            <v>2017</v>
          </cell>
          <cell r="E4738">
            <v>928</v>
          </cell>
          <cell r="F4738" t="str">
            <v>ABP-729</v>
          </cell>
          <cell r="G4738" t="str">
            <v>D8K-985</v>
          </cell>
          <cell r="H4738" t="str">
            <v>LAS BAMBAS</v>
          </cell>
          <cell r="I4738">
            <v>117998</v>
          </cell>
          <cell r="J4738" t="str">
            <v>REPUESTO</v>
          </cell>
          <cell r="K4738" t="str">
            <v>CINTA TEFLON</v>
          </cell>
          <cell r="L4738">
            <v>1</v>
          </cell>
          <cell r="M4738" t="str">
            <v>UNID.</v>
          </cell>
          <cell r="N4738" t="str">
            <v>CISTERNA</v>
          </cell>
          <cell r="O4738">
            <v>28</v>
          </cell>
          <cell r="P4738" t="str">
            <v>S1</v>
          </cell>
          <cell r="Q4738" t="str">
            <v>J1</v>
          </cell>
          <cell r="R4738" t="str">
            <v>J8</v>
          </cell>
          <cell r="S4738" t="str">
            <v>ENTREGADO</v>
          </cell>
          <cell r="T4738">
            <v>0</v>
          </cell>
          <cell r="U4738" t="str">
            <v>BAYONA CRUZ CRISTIAN ARMANDO</v>
          </cell>
          <cell r="V4738" t="str">
            <v>FLOREZ CONDORI  JOSE WILLIANS</v>
          </cell>
        </row>
        <row r="4739">
          <cell r="A4739">
            <v>4737</v>
          </cell>
          <cell r="B4739">
            <v>42762</v>
          </cell>
          <cell r="C4739" t="str">
            <v>ENERO</v>
          </cell>
          <cell r="D4739" t="str">
            <v>2017</v>
          </cell>
          <cell r="E4739">
            <v>928</v>
          </cell>
          <cell r="F4739" t="str">
            <v>ABP-729</v>
          </cell>
          <cell r="G4739" t="str">
            <v>D8K-985</v>
          </cell>
          <cell r="H4739" t="str">
            <v>LAS BAMBAS</v>
          </cell>
          <cell r="I4739">
            <v>117998</v>
          </cell>
          <cell r="J4739" t="str">
            <v>REPUESTO</v>
          </cell>
          <cell r="K4739" t="str">
            <v>CONECTOR DE 3/8 NPT A 3/8 MANGUERA 90°</v>
          </cell>
          <cell r="L4739">
            <v>1</v>
          </cell>
          <cell r="M4739" t="str">
            <v>UNID.</v>
          </cell>
          <cell r="N4739" t="str">
            <v>CISTERNA</v>
          </cell>
          <cell r="O4739">
            <v>28</v>
          </cell>
          <cell r="P4739" t="str">
            <v>S1</v>
          </cell>
          <cell r="Q4739" t="str">
            <v>J1</v>
          </cell>
          <cell r="R4739" t="str">
            <v>J8</v>
          </cell>
          <cell r="S4739" t="str">
            <v>ENTREGADO</v>
          </cell>
          <cell r="T4739">
            <v>0</v>
          </cell>
          <cell r="U4739" t="str">
            <v>BAYONA CRUZ CRISTIAN ARMANDO</v>
          </cell>
          <cell r="V4739" t="str">
            <v>FLOREZ CONDORI  JOSE WILLIANS</v>
          </cell>
        </row>
        <row r="4740">
          <cell r="A4740">
            <v>4740</v>
          </cell>
          <cell r="B4740">
            <v>42762</v>
          </cell>
          <cell r="C4740" t="str">
            <v>ENERO</v>
          </cell>
          <cell r="D4740" t="str">
            <v>2017</v>
          </cell>
          <cell r="E4740">
            <v>928</v>
          </cell>
          <cell r="F4740" t="str">
            <v>ABP-729</v>
          </cell>
          <cell r="G4740" t="str">
            <v>D8K-985</v>
          </cell>
          <cell r="H4740" t="str">
            <v>LAS BAMBAS</v>
          </cell>
          <cell r="I4740">
            <v>117998</v>
          </cell>
          <cell r="J4740" t="str">
            <v>REPUESTO</v>
          </cell>
          <cell r="K4740" t="str">
            <v>PITON</v>
          </cell>
          <cell r="L4740">
            <v>2</v>
          </cell>
          <cell r="M4740" t="str">
            <v>UNID.</v>
          </cell>
          <cell r="N4740" t="str">
            <v>CISTERNA</v>
          </cell>
          <cell r="O4740">
            <v>28</v>
          </cell>
          <cell r="P4740" t="str">
            <v>N2</v>
          </cell>
          <cell r="Q4740" t="str">
            <v>J1</v>
          </cell>
          <cell r="R4740" t="str">
            <v>J8</v>
          </cell>
          <cell r="S4740" t="str">
            <v>ENTREGADO</v>
          </cell>
          <cell r="T4740">
            <v>0</v>
          </cell>
          <cell r="U4740" t="str">
            <v>MAMANI LARICO  EDUARDO ALVARO</v>
          </cell>
          <cell r="V4740" t="str">
            <v>FLOREZ CONDORI  JOSE WILLIANS</v>
          </cell>
        </row>
        <row r="4741">
          <cell r="A4741">
            <v>4757</v>
          </cell>
          <cell r="B4741">
            <v>42762</v>
          </cell>
          <cell r="C4741" t="str">
            <v>ENERO</v>
          </cell>
          <cell r="D4741" t="str">
            <v>2017</v>
          </cell>
          <cell r="E4741">
            <v>932</v>
          </cell>
          <cell r="F4741" t="str">
            <v>ABP-783</v>
          </cell>
          <cell r="G4741" t="str">
            <v>C9S-988</v>
          </cell>
          <cell r="H4741" t="str">
            <v>LAS BAMBAS</v>
          </cell>
          <cell r="I4741">
            <v>134871</v>
          </cell>
          <cell r="J4741" t="str">
            <v>REPUESTO</v>
          </cell>
          <cell r="K4741" t="str">
            <v>ACEITE DE MOTOR 15W40</v>
          </cell>
          <cell r="L4741">
            <v>10</v>
          </cell>
          <cell r="M4741" t="str">
            <v>GLNS.</v>
          </cell>
          <cell r="N4741" t="str">
            <v>TRACTO</v>
          </cell>
          <cell r="O4741">
            <v>28</v>
          </cell>
          <cell r="P4741" t="str">
            <v>M8</v>
          </cell>
          <cell r="Q4741" t="str">
            <v>J7</v>
          </cell>
          <cell r="R4741" t="str">
            <v>J5</v>
          </cell>
          <cell r="S4741" t="str">
            <v>ENTREGADO</v>
          </cell>
          <cell r="T4741">
            <v>0</v>
          </cell>
          <cell r="U4741" t="str">
            <v>VARILLAS GAGO  OSCAR ALBERTO</v>
          </cell>
          <cell r="V4741" t="str">
            <v>DONAYRE INGA PEDRO</v>
          </cell>
        </row>
        <row r="4742">
          <cell r="A4742">
            <v>4758</v>
          </cell>
          <cell r="B4742">
            <v>42762</v>
          </cell>
          <cell r="C4742" t="str">
            <v>ENERO</v>
          </cell>
          <cell r="D4742" t="str">
            <v>2017</v>
          </cell>
          <cell r="E4742">
            <v>932</v>
          </cell>
          <cell r="F4742" t="str">
            <v>ABP-783</v>
          </cell>
          <cell r="G4742" t="str">
            <v>C9S-988</v>
          </cell>
          <cell r="H4742" t="str">
            <v>LAS BAMBAS</v>
          </cell>
          <cell r="I4742">
            <v>134871</v>
          </cell>
          <cell r="J4742" t="str">
            <v>REPUESTO</v>
          </cell>
          <cell r="K4742" t="str">
            <v xml:space="preserve">FILTROS DE ACEITE </v>
          </cell>
          <cell r="L4742">
            <v>2</v>
          </cell>
          <cell r="M4742" t="str">
            <v>UNID.</v>
          </cell>
          <cell r="N4742" t="str">
            <v>TRACTO</v>
          </cell>
          <cell r="O4742">
            <v>28</v>
          </cell>
          <cell r="P4742" t="str">
            <v>M8</v>
          </cell>
          <cell r="Q4742" t="str">
            <v>J7</v>
          </cell>
          <cell r="R4742" t="str">
            <v>J5</v>
          </cell>
          <cell r="S4742" t="str">
            <v>ENTREGADO</v>
          </cell>
          <cell r="T4742">
            <v>0</v>
          </cell>
          <cell r="U4742" t="str">
            <v>VARILLAS GAGO  OSCAR ALBERTO</v>
          </cell>
          <cell r="V4742" t="str">
            <v>DONAYRE INGA PEDRO</v>
          </cell>
        </row>
        <row r="4743">
          <cell r="A4743">
            <v>4759</v>
          </cell>
          <cell r="B4743">
            <v>42762</v>
          </cell>
          <cell r="C4743" t="str">
            <v>ENERO</v>
          </cell>
          <cell r="D4743" t="str">
            <v>2017</v>
          </cell>
          <cell r="E4743">
            <v>932</v>
          </cell>
          <cell r="F4743" t="str">
            <v>ABP-783</v>
          </cell>
          <cell r="G4743" t="str">
            <v>C9S-988</v>
          </cell>
          <cell r="H4743" t="str">
            <v>LAS BAMBAS</v>
          </cell>
          <cell r="I4743">
            <v>134871</v>
          </cell>
          <cell r="J4743" t="str">
            <v>REPUESTO</v>
          </cell>
          <cell r="K4743" t="str">
            <v>FILTRO DE COMBUSTIBLE</v>
          </cell>
          <cell r="L4743">
            <v>1</v>
          </cell>
          <cell r="M4743" t="str">
            <v>UNID.</v>
          </cell>
          <cell r="N4743" t="str">
            <v>TRACTO</v>
          </cell>
          <cell r="O4743">
            <v>28</v>
          </cell>
          <cell r="P4743" t="str">
            <v>M8</v>
          </cell>
          <cell r="Q4743" t="str">
            <v>J7</v>
          </cell>
          <cell r="R4743" t="str">
            <v>J5</v>
          </cell>
          <cell r="S4743" t="str">
            <v>ENTREGADO</v>
          </cell>
          <cell r="T4743">
            <v>0</v>
          </cell>
          <cell r="U4743" t="str">
            <v>VARILLAS GAGO  OSCAR ALBERTO</v>
          </cell>
          <cell r="V4743" t="str">
            <v>DONAYRE INGA PEDRO</v>
          </cell>
        </row>
        <row r="4744">
          <cell r="A4744">
            <v>4760</v>
          </cell>
          <cell r="B4744">
            <v>42762</v>
          </cell>
          <cell r="C4744" t="str">
            <v>ENERO</v>
          </cell>
          <cell r="D4744" t="str">
            <v>2017</v>
          </cell>
          <cell r="E4744">
            <v>932</v>
          </cell>
          <cell r="F4744" t="str">
            <v>ABP-783</v>
          </cell>
          <cell r="G4744" t="str">
            <v>C9S-988</v>
          </cell>
          <cell r="H4744" t="str">
            <v>LAS BAMBAS</v>
          </cell>
          <cell r="I4744">
            <v>134871</v>
          </cell>
          <cell r="J4744" t="str">
            <v>REPUESTO</v>
          </cell>
          <cell r="K4744" t="str">
            <v>FILTRO SEPARADOR DE AGUA CON VALVULA 01</v>
          </cell>
          <cell r="L4744">
            <v>1</v>
          </cell>
          <cell r="M4744" t="str">
            <v>UNID.</v>
          </cell>
          <cell r="N4744" t="str">
            <v>TRACTO</v>
          </cell>
          <cell r="O4744">
            <v>28</v>
          </cell>
          <cell r="P4744" t="str">
            <v>M8</v>
          </cell>
          <cell r="Q4744" t="str">
            <v>J7</v>
          </cell>
          <cell r="R4744" t="str">
            <v>J5</v>
          </cell>
          <cell r="S4744" t="str">
            <v>ENTREGADO</v>
          </cell>
          <cell r="T4744">
            <v>0</v>
          </cell>
          <cell r="U4744" t="str">
            <v>VARILLAS GAGO  OSCAR ALBERTO</v>
          </cell>
          <cell r="V4744" t="str">
            <v>DONAYRE INGA PEDRO</v>
          </cell>
        </row>
        <row r="4745">
          <cell r="A4745">
            <v>4761</v>
          </cell>
          <cell r="B4745">
            <v>42762</v>
          </cell>
          <cell r="C4745" t="str">
            <v>ENERO</v>
          </cell>
          <cell r="D4745" t="str">
            <v>2017</v>
          </cell>
          <cell r="E4745">
            <v>932</v>
          </cell>
          <cell r="F4745" t="str">
            <v>ABP-783</v>
          </cell>
          <cell r="G4745" t="str">
            <v>C9S-988</v>
          </cell>
          <cell r="H4745" t="str">
            <v>LAS BAMBAS</v>
          </cell>
          <cell r="I4745">
            <v>134871</v>
          </cell>
          <cell r="J4745" t="str">
            <v>REPUESTO</v>
          </cell>
          <cell r="K4745" t="str">
            <v xml:space="preserve">FILTRO DE AIRE PRIMARIO </v>
          </cell>
          <cell r="L4745">
            <v>1</v>
          </cell>
          <cell r="M4745" t="str">
            <v>UNID.</v>
          </cell>
          <cell r="N4745" t="str">
            <v>TRACTO</v>
          </cell>
          <cell r="O4745">
            <v>28</v>
          </cell>
          <cell r="P4745" t="str">
            <v>M8</v>
          </cell>
          <cell r="Q4745" t="str">
            <v>J7</v>
          </cell>
          <cell r="R4745" t="str">
            <v>J5</v>
          </cell>
          <cell r="S4745" t="str">
            <v>ENTREGADO</v>
          </cell>
          <cell r="T4745">
            <v>0</v>
          </cell>
          <cell r="U4745" t="str">
            <v>VARILLAS GAGO  OSCAR ALBERTO</v>
          </cell>
          <cell r="V4745" t="str">
            <v>DONAYRE INGA PEDRO</v>
          </cell>
        </row>
        <row r="4746">
          <cell r="A4746">
            <v>4762</v>
          </cell>
          <cell r="B4746">
            <v>42762</v>
          </cell>
          <cell r="C4746" t="str">
            <v>ENERO</v>
          </cell>
          <cell r="D4746" t="str">
            <v>2017</v>
          </cell>
          <cell r="E4746">
            <v>932</v>
          </cell>
          <cell r="F4746" t="str">
            <v>ABP-783</v>
          </cell>
          <cell r="G4746" t="str">
            <v>C9S-988</v>
          </cell>
          <cell r="H4746" t="str">
            <v>LAS BAMBAS</v>
          </cell>
          <cell r="I4746">
            <v>134871</v>
          </cell>
          <cell r="J4746" t="str">
            <v>REPUESTO</v>
          </cell>
          <cell r="K4746" t="str">
            <v>FILTRO DE AIRE SECUNDARIO</v>
          </cell>
          <cell r="L4746">
            <v>1</v>
          </cell>
          <cell r="M4746" t="str">
            <v>UNID.</v>
          </cell>
          <cell r="N4746" t="str">
            <v>TRACTO</v>
          </cell>
          <cell r="O4746">
            <v>28</v>
          </cell>
          <cell r="P4746" t="str">
            <v>M8</v>
          </cell>
          <cell r="Q4746" t="str">
            <v>J7</v>
          </cell>
          <cell r="R4746" t="str">
            <v>J5</v>
          </cell>
          <cell r="S4746" t="str">
            <v>ENTREGADO</v>
          </cell>
          <cell r="T4746">
            <v>0</v>
          </cell>
          <cell r="U4746" t="str">
            <v>VARILLAS GAGO  OSCAR ALBERTO</v>
          </cell>
          <cell r="V4746" t="str">
            <v>DONAYRE INGA PEDRO</v>
          </cell>
        </row>
        <row r="4747">
          <cell r="A4747">
            <v>4763</v>
          </cell>
          <cell r="B4747">
            <v>42762</v>
          </cell>
          <cell r="C4747" t="str">
            <v>ENERO</v>
          </cell>
          <cell r="D4747" t="str">
            <v>2017</v>
          </cell>
          <cell r="E4747">
            <v>932</v>
          </cell>
          <cell r="F4747" t="str">
            <v>ABP-783</v>
          </cell>
          <cell r="G4747" t="str">
            <v>C9S-988</v>
          </cell>
          <cell r="H4747" t="str">
            <v>LAS BAMBAS</v>
          </cell>
          <cell r="I4747">
            <v>134871</v>
          </cell>
          <cell r="J4747" t="str">
            <v>REPUESTO</v>
          </cell>
          <cell r="K4747" t="str">
            <v>LIQUIDO REFRIGERANTE</v>
          </cell>
          <cell r="L4747">
            <v>0.5</v>
          </cell>
          <cell r="M4747" t="str">
            <v>GLNS.</v>
          </cell>
          <cell r="N4747" t="str">
            <v>TRACTO</v>
          </cell>
          <cell r="O4747">
            <v>28</v>
          </cell>
          <cell r="P4747" t="str">
            <v>M8</v>
          </cell>
          <cell r="Q4747" t="str">
            <v>J7</v>
          </cell>
          <cell r="R4747" t="str">
            <v>J5</v>
          </cell>
          <cell r="S4747" t="str">
            <v>ENTREGADO</v>
          </cell>
          <cell r="T4747">
            <v>0</v>
          </cell>
          <cell r="U4747" t="str">
            <v>VARILLAS GAGO  OSCAR ALBERTO</v>
          </cell>
          <cell r="V4747" t="str">
            <v>DONAYRE INGA PEDRO</v>
          </cell>
        </row>
        <row r="4748">
          <cell r="A4748">
            <v>4765</v>
          </cell>
          <cell r="B4748">
            <v>42762</v>
          </cell>
          <cell r="C4748" t="str">
            <v>ENERO</v>
          </cell>
          <cell r="D4748" t="str">
            <v>2017</v>
          </cell>
          <cell r="E4748">
            <v>932</v>
          </cell>
          <cell r="F4748" t="str">
            <v>ABP-783</v>
          </cell>
          <cell r="G4748" t="str">
            <v>C9S-988</v>
          </cell>
          <cell r="H4748" t="str">
            <v>LAS BAMBAS</v>
          </cell>
          <cell r="I4748">
            <v>134871</v>
          </cell>
          <cell r="J4748" t="str">
            <v>REPUESTO</v>
          </cell>
          <cell r="K4748" t="str">
            <v>INTERCOOLER</v>
          </cell>
          <cell r="L4748">
            <v>1</v>
          </cell>
          <cell r="M4748" t="str">
            <v>UNID.</v>
          </cell>
          <cell r="N4748" t="str">
            <v>TRACTO</v>
          </cell>
          <cell r="O4748">
            <v>28</v>
          </cell>
          <cell r="P4748" t="str">
            <v>M8</v>
          </cell>
          <cell r="Q4748" t="str">
            <v>J7</v>
          </cell>
          <cell r="R4748" t="str">
            <v>J6</v>
          </cell>
          <cell r="S4748" t="str">
            <v>ENTREGADO</v>
          </cell>
          <cell r="T4748">
            <v>0</v>
          </cell>
          <cell r="U4748" t="str">
            <v>VARILLAS GAGO  OSCAR ALBERTO</v>
          </cell>
          <cell r="V4748" t="str">
            <v>DONAYRE INGA PEDRO</v>
          </cell>
        </row>
        <row r="4749">
          <cell r="A4749">
            <v>4738</v>
          </cell>
          <cell r="B4749">
            <v>42762</v>
          </cell>
          <cell r="C4749" t="str">
            <v>ENERO</v>
          </cell>
          <cell r="D4749" t="str">
            <v>2017</v>
          </cell>
          <cell r="E4749">
            <v>926</v>
          </cell>
          <cell r="F4749" t="str">
            <v>ABQ-705</v>
          </cell>
          <cell r="G4749" t="str">
            <v>D0Z-996</v>
          </cell>
          <cell r="H4749" t="str">
            <v>LAS BAMBAS</v>
          </cell>
          <cell r="I4749">
            <v>116133</v>
          </cell>
          <cell r="J4749" t="str">
            <v>REPUESTO</v>
          </cell>
          <cell r="K4749" t="str">
            <v>FAJA DE ALTERNADOR</v>
          </cell>
          <cell r="L4749">
            <v>1</v>
          </cell>
          <cell r="M4749" t="str">
            <v>UNID.</v>
          </cell>
          <cell r="N4749" t="str">
            <v>TRACTO</v>
          </cell>
          <cell r="O4749">
            <v>28</v>
          </cell>
          <cell r="P4749" t="str">
            <v>M5</v>
          </cell>
          <cell r="Q4749" t="str">
            <v>J1</v>
          </cell>
          <cell r="R4749" t="str">
            <v>J8</v>
          </cell>
          <cell r="S4749" t="str">
            <v>ENTREGADO</v>
          </cell>
          <cell r="T4749">
            <v>0</v>
          </cell>
          <cell r="U4749" t="str">
            <v>LOPEZ RUIZ WILBERTO</v>
          </cell>
          <cell r="V4749" t="str">
            <v>FLOREZ CONDORI  JOSE WILLIANS</v>
          </cell>
        </row>
        <row r="4750">
          <cell r="A4750">
            <v>4749</v>
          </cell>
          <cell r="B4750">
            <v>42762</v>
          </cell>
          <cell r="C4750" t="str">
            <v>ENERO</v>
          </cell>
          <cell r="D4750" t="str">
            <v>2017</v>
          </cell>
          <cell r="E4750">
            <v>926</v>
          </cell>
          <cell r="F4750" t="str">
            <v>ABQ-705</v>
          </cell>
          <cell r="G4750" t="str">
            <v>D0Z-996</v>
          </cell>
          <cell r="H4750" t="str">
            <v>LAS BAMBAS</v>
          </cell>
          <cell r="I4750">
            <v>116133</v>
          </cell>
          <cell r="J4750" t="str">
            <v>REPUESTO</v>
          </cell>
          <cell r="K4750" t="str">
            <v>PERNO 1/4 DE 1"</v>
          </cell>
          <cell r="L4750">
            <v>6</v>
          </cell>
          <cell r="M4750" t="str">
            <v>UNID.</v>
          </cell>
          <cell r="N4750" t="str">
            <v>TRACTO</v>
          </cell>
          <cell r="O4750">
            <v>28</v>
          </cell>
          <cell r="P4750" t="str">
            <v>M6</v>
          </cell>
          <cell r="Q4750" t="str">
            <v>J1</v>
          </cell>
          <cell r="R4750" t="str">
            <v>J8</v>
          </cell>
          <cell r="S4750" t="str">
            <v>ENTREGADO</v>
          </cell>
          <cell r="T4750">
            <v>0</v>
          </cell>
          <cell r="U4750" t="str">
            <v>PARI VENTURA  EDSON ORLANDO</v>
          </cell>
          <cell r="V4750" t="str">
            <v>FLOREZ CONDORI  JOSE WILLIANS</v>
          </cell>
        </row>
        <row r="4751">
          <cell r="A4751">
            <v>4750</v>
          </cell>
          <cell r="B4751">
            <v>42762</v>
          </cell>
          <cell r="C4751" t="str">
            <v>ENERO</v>
          </cell>
          <cell r="D4751" t="str">
            <v>2017</v>
          </cell>
          <cell r="E4751">
            <v>926</v>
          </cell>
          <cell r="F4751" t="str">
            <v>ABQ-705</v>
          </cell>
          <cell r="G4751" t="str">
            <v>D0Z-996</v>
          </cell>
          <cell r="H4751" t="str">
            <v>LAS BAMBAS</v>
          </cell>
          <cell r="I4751">
            <v>116133</v>
          </cell>
          <cell r="J4751" t="str">
            <v>REPUESTO</v>
          </cell>
          <cell r="K4751" t="str">
            <v>TUERCA 1/4</v>
          </cell>
          <cell r="L4751">
            <v>6</v>
          </cell>
          <cell r="M4751" t="str">
            <v>UNID.</v>
          </cell>
          <cell r="N4751" t="str">
            <v>TRACTO</v>
          </cell>
          <cell r="O4751">
            <v>28</v>
          </cell>
          <cell r="P4751" t="str">
            <v>M7</v>
          </cell>
          <cell r="Q4751" t="str">
            <v>J1</v>
          </cell>
          <cell r="R4751" t="str">
            <v>J8</v>
          </cell>
          <cell r="S4751" t="str">
            <v>ENTREGADO</v>
          </cell>
          <cell r="T4751">
            <v>0</v>
          </cell>
          <cell r="U4751" t="str">
            <v>ROBLES ROJAS  JOSE MIGUEL</v>
          </cell>
          <cell r="V4751" t="str">
            <v>FLOREZ CONDORI  JOSE WILLIANS</v>
          </cell>
        </row>
        <row r="4752">
          <cell r="A4752">
            <v>4751</v>
          </cell>
          <cell r="B4752">
            <v>42762</v>
          </cell>
          <cell r="C4752" t="str">
            <v>ENERO</v>
          </cell>
          <cell r="D4752" t="str">
            <v>2017</v>
          </cell>
          <cell r="E4752">
            <v>926</v>
          </cell>
          <cell r="F4752" t="str">
            <v>ABQ-705</v>
          </cell>
          <cell r="G4752" t="str">
            <v>D0Z-996</v>
          </cell>
          <cell r="H4752" t="str">
            <v>LAS BAMBAS</v>
          </cell>
          <cell r="I4752">
            <v>116133</v>
          </cell>
          <cell r="J4752" t="str">
            <v>REPUESTO</v>
          </cell>
          <cell r="K4752" t="str">
            <v>VOLANDAS 1/4</v>
          </cell>
          <cell r="L4752">
            <v>12</v>
          </cell>
          <cell r="M4752" t="str">
            <v>UNID.</v>
          </cell>
          <cell r="N4752" t="str">
            <v>TRACTO</v>
          </cell>
          <cell r="O4752">
            <v>28</v>
          </cell>
          <cell r="P4752" t="str">
            <v>M8</v>
          </cell>
          <cell r="Q4752" t="str">
            <v>J1</v>
          </cell>
          <cell r="R4752" t="str">
            <v>J8</v>
          </cell>
          <cell r="S4752" t="str">
            <v>ENTREGADO</v>
          </cell>
          <cell r="T4752">
            <v>0</v>
          </cell>
          <cell r="U4752" t="str">
            <v>VARILLAS GAGO  OSCAR ALBERTO</v>
          </cell>
          <cell r="V4752" t="str">
            <v>FLOREZ CONDORI  JOSE WILLIANS</v>
          </cell>
        </row>
        <row r="4753">
          <cell r="A4753">
            <v>4767</v>
          </cell>
          <cell r="B4753">
            <v>42762</v>
          </cell>
          <cell r="C4753" t="str">
            <v>ENERO</v>
          </cell>
          <cell r="D4753" t="str">
            <v>2017</v>
          </cell>
          <cell r="E4753">
            <v>935</v>
          </cell>
          <cell r="F4753" t="str">
            <v>AEH-801</v>
          </cell>
          <cell r="G4753" t="str">
            <v>CAMIONETA</v>
          </cell>
          <cell r="H4753" t="str">
            <v>LAS BAMBAS</v>
          </cell>
          <cell r="I4753">
            <v>91610</v>
          </cell>
          <cell r="J4753" t="str">
            <v>REPUESTO</v>
          </cell>
          <cell r="K4753" t="str">
            <v>FOCO H3</v>
          </cell>
          <cell r="L4753">
            <v>1</v>
          </cell>
          <cell r="M4753" t="str">
            <v>UNID.</v>
          </cell>
          <cell r="N4753" t="str">
            <v>CAMIONETA</v>
          </cell>
          <cell r="O4753">
            <v>28</v>
          </cell>
          <cell r="P4753" t="str">
            <v>J7</v>
          </cell>
          <cell r="Q4753" t="str">
            <v>J7</v>
          </cell>
          <cell r="R4753" t="str">
            <v>J6</v>
          </cell>
          <cell r="S4753" t="str">
            <v>ENTREGADO</v>
          </cell>
          <cell r="T4753">
            <v>0</v>
          </cell>
          <cell r="U4753" t="str">
            <v>DONAYRE INGA PEDRO</v>
          </cell>
          <cell r="V4753" t="str">
            <v>DONAYRE INGA PEDRO</v>
          </cell>
        </row>
        <row r="4754">
          <cell r="A4754">
            <v>4748</v>
          </cell>
          <cell r="B4754">
            <v>42762</v>
          </cell>
          <cell r="C4754" t="str">
            <v>ENERO</v>
          </cell>
          <cell r="D4754" t="str">
            <v>2017</v>
          </cell>
          <cell r="E4754">
            <v>927</v>
          </cell>
          <cell r="F4754" t="str">
            <v>AHX-713</v>
          </cell>
          <cell r="G4754" t="str">
            <v>D9S-976</v>
          </cell>
          <cell r="H4754" t="str">
            <v>LAS BAMBAS</v>
          </cell>
          <cell r="I4754">
            <v>65921</v>
          </cell>
          <cell r="J4754" t="str">
            <v>REPUESTO</v>
          </cell>
          <cell r="K4754" t="str">
            <v>LED PARA PLACA</v>
          </cell>
          <cell r="L4754">
            <v>1</v>
          </cell>
          <cell r="M4754" t="str">
            <v>UNID.</v>
          </cell>
          <cell r="N4754" t="str">
            <v>CISTERNA</v>
          </cell>
          <cell r="O4754">
            <v>28</v>
          </cell>
          <cell r="P4754" t="str">
            <v>E2</v>
          </cell>
          <cell r="Q4754" t="str">
            <v>J1</v>
          </cell>
          <cell r="R4754" t="str">
            <v>J8</v>
          </cell>
          <cell r="S4754" t="str">
            <v>ENTREGADO</v>
          </cell>
          <cell r="T4754">
            <v>0</v>
          </cell>
          <cell r="U4754" t="str">
            <v>YUCA BELLIDO BORIS YERSY</v>
          </cell>
          <cell r="V4754" t="str">
            <v>FLOREZ CONDORI  JOSE WILLIANS</v>
          </cell>
        </row>
        <row r="4755">
          <cell r="A4755">
            <v>4752</v>
          </cell>
          <cell r="B4755">
            <v>42762</v>
          </cell>
          <cell r="C4755" t="str">
            <v>ENERO</v>
          </cell>
          <cell r="D4755" t="str">
            <v>2017</v>
          </cell>
          <cell r="E4755">
            <v>923</v>
          </cell>
          <cell r="F4755" t="str">
            <v>B2M-948</v>
          </cell>
          <cell r="G4755" t="str">
            <v>CAMION</v>
          </cell>
          <cell r="H4755" t="str">
            <v>TAMBOMAYO</v>
          </cell>
          <cell r="I4755">
            <v>117553</v>
          </cell>
          <cell r="J4755" t="str">
            <v>REPUESTO</v>
          </cell>
          <cell r="K4755" t="str">
            <v>BLOQUEADOR DE CORRIENTE</v>
          </cell>
          <cell r="L4755">
            <v>1</v>
          </cell>
          <cell r="M4755" t="str">
            <v>UNID.</v>
          </cell>
          <cell r="N4755" t="str">
            <v>TRACTO</v>
          </cell>
          <cell r="O4755">
            <v>28</v>
          </cell>
          <cell r="P4755" t="str">
            <v>E3</v>
          </cell>
          <cell r="Q4755" t="str">
            <v>J1</v>
          </cell>
          <cell r="R4755" t="str">
            <v>J8</v>
          </cell>
          <cell r="S4755" t="str">
            <v>PENDIENTE</v>
          </cell>
          <cell r="T4755">
            <v>0</v>
          </cell>
          <cell r="U4755" t="str">
            <v>CONDORI CHURATA ALEX</v>
          </cell>
          <cell r="V4755" t="str">
            <v>FLOREZ CONDORI  JOSE WILLIANS</v>
          </cell>
        </row>
        <row r="4756">
          <cell r="A4756">
            <v>4741</v>
          </cell>
          <cell r="B4756">
            <v>42762</v>
          </cell>
          <cell r="C4756" t="str">
            <v>ENERO</v>
          </cell>
          <cell r="D4756" t="str">
            <v>2017</v>
          </cell>
          <cell r="E4756">
            <v>930</v>
          </cell>
          <cell r="F4756" t="str">
            <v>D3N-721</v>
          </cell>
          <cell r="G4756" t="str">
            <v>C4S-979</v>
          </cell>
          <cell r="H4756" t="str">
            <v>LAS BAMBAS</v>
          </cell>
          <cell r="I4756">
            <v>143430</v>
          </cell>
          <cell r="J4756" t="str">
            <v>REPUESTO</v>
          </cell>
          <cell r="K4756" t="str">
            <v>ACCESORIO DE PULPO</v>
          </cell>
          <cell r="L4756">
            <v>1</v>
          </cell>
          <cell r="M4756" t="str">
            <v>UNID.</v>
          </cell>
          <cell r="N4756" t="str">
            <v>CISTERNA</v>
          </cell>
          <cell r="O4756">
            <v>28</v>
          </cell>
          <cell r="P4756" t="str">
            <v>M1</v>
          </cell>
          <cell r="Q4756" t="str">
            <v>J1</v>
          </cell>
          <cell r="R4756" t="str">
            <v>J8</v>
          </cell>
          <cell r="S4756" t="str">
            <v>ENTREGADO</v>
          </cell>
          <cell r="T4756">
            <v>0</v>
          </cell>
          <cell r="U4756" t="str">
            <v>CABEZAS SANCHEZ JEAN JHONATAN</v>
          </cell>
          <cell r="V4756" t="str">
            <v>FLOREZ CONDORI  JOSE WILLIANS</v>
          </cell>
        </row>
        <row r="4757">
          <cell r="A4757">
            <v>4753</v>
          </cell>
          <cell r="B4757">
            <v>42762</v>
          </cell>
          <cell r="C4757" t="str">
            <v>ENERO</v>
          </cell>
          <cell r="D4757" t="str">
            <v>2017</v>
          </cell>
          <cell r="E4757">
            <v>930</v>
          </cell>
          <cell r="F4757" t="str">
            <v>D3N-721</v>
          </cell>
          <cell r="G4757" t="str">
            <v>C4S-979</v>
          </cell>
          <cell r="H4757" t="str">
            <v>LAS BAMBAS</v>
          </cell>
          <cell r="I4757">
            <v>143430</v>
          </cell>
          <cell r="J4757" t="str">
            <v>REPUESTO</v>
          </cell>
          <cell r="K4757" t="str">
            <v>AGUA LIMPIA PARABRISA</v>
          </cell>
          <cell r="L4757">
            <v>1</v>
          </cell>
          <cell r="M4757" t="str">
            <v>GLNS.</v>
          </cell>
          <cell r="N4757" t="str">
            <v>TRACTO</v>
          </cell>
          <cell r="O4757">
            <v>28</v>
          </cell>
          <cell r="P4757" t="str">
            <v>M5</v>
          </cell>
          <cell r="Q4757" t="str">
            <v>J1</v>
          </cell>
          <cell r="R4757" t="str">
            <v>J8</v>
          </cell>
          <cell r="S4757" t="str">
            <v>ENTREGADO</v>
          </cell>
          <cell r="T4757">
            <v>0</v>
          </cell>
          <cell r="U4757" t="str">
            <v>LOPEZ RUIZ WILBERTO</v>
          </cell>
          <cell r="V4757" t="str">
            <v>FLOREZ CONDORI  JOSE WILLIANS</v>
          </cell>
        </row>
        <row r="4758">
          <cell r="A4758">
            <v>4754</v>
          </cell>
          <cell r="B4758">
            <v>42762</v>
          </cell>
          <cell r="C4758" t="str">
            <v>ENERO</v>
          </cell>
          <cell r="D4758" t="str">
            <v>2017</v>
          </cell>
          <cell r="E4758">
            <v>930</v>
          </cell>
          <cell r="F4758" t="str">
            <v>D3N-721</v>
          </cell>
          <cell r="G4758" t="str">
            <v>C4S-979</v>
          </cell>
          <cell r="H4758" t="str">
            <v>LAS BAMBAS</v>
          </cell>
          <cell r="I4758">
            <v>143430</v>
          </cell>
          <cell r="J4758" t="str">
            <v>REPUESTO</v>
          </cell>
          <cell r="K4758" t="str">
            <v>FARO LATERAL REDONDO ROJO</v>
          </cell>
          <cell r="L4758">
            <v>1</v>
          </cell>
          <cell r="M4758" t="str">
            <v>UNID.</v>
          </cell>
          <cell r="N4758" t="str">
            <v>TRACTO</v>
          </cell>
          <cell r="O4758">
            <v>28</v>
          </cell>
          <cell r="P4758" t="str">
            <v>E2</v>
          </cell>
          <cell r="Q4758" t="str">
            <v>J1</v>
          </cell>
          <cell r="R4758" t="str">
            <v>J8</v>
          </cell>
          <cell r="S4758" t="str">
            <v>ENTREGADO</v>
          </cell>
          <cell r="T4758">
            <v>0</v>
          </cell>
          <cell r="U4758" t="str">
            <v>YUCA BELLIDO BORIS YERSY</v>
          </cell>
          <cell r="V4758" t="str">
            <v>FLOREZ CONDORI  JOSE WILLIANS</v>
          </cell>
        </row>
        <row r="4759">
          <cell r="A4759">
            <v>4739</v>
          </cell>
          <cell r="B4759">
            <v>42762</v>
          </cell>
          <cell r="C4759" t="str">
            <v>ENERO</v>
          </cell>
          <cell r="D4759" t="str">
            <v>2017</v>
          </cell>
          <cell r="E4759">
            <v>202</v>
          </cell>
          <cell r="F4759" t="str">
            <v>D3P-752</v>
          </cell>
          <cell r="G4759" t="str">
            <v>C5Y-985</v>
          </cell>
          <cell r="H4759" t="str">
            <v>LAS BAMBAS</v>
          </cell>
          <cell r="I4759">
            <v>150504</v>
          </cell>
          <cell r="J4759" t="str">
            <v>REPUESTO</v>
          </cell>
          <cell r="K4759" t="str">
            <v>HIDROLINA</v>
          </cell>
          <cell r="L4759">
            <v>1</v>
          </cell>
          <cell r="M4759" t="str">
            <v>GLNS.</v>
          </cell>
          <cell r="N4759" t="str">
            <v>TRACTO</v>
          </cell>
          <cell r="O4759">
            <v>28</v>
          </cell>
          <cell r="P4759" t="str">
            <v>M2</v>
          </cell>
          <cell r="Q4759" t="str">
            <v>J1</v>
          </cell>
          <cell r="R4759" t="str">
            <v>J8</v>
          </cell>
          <cell r="S4759" t="str">
            <v>ENTREGADO</v>
          </cell>
          <cell r="T4759">
            <v>0</v>
          </cell>
          <cell r="U4759" t="str">
            <v>CHUMPITAZ GAGO JULIO ENRIQUE</v>
          </cell>
          <cell r="V4759" t="str">
            <v>FLOREZ CONDORI  JOSE WILLIANS</v>
          </cell>
        </row>
        <row r="4760">
          <cell r="A4760">
            <v>4742</v>
          </cell>
          <cell r="B4760">
            <v>42762</v>
          </cell>
          <cell r="C4760" t="str">
            <v>ENERO</v>
          </cell>
          <cell r="D4760" t="str">
            <v>2017</v>
          </cell>
          <cell r="E4760">
            <v>924</v>
          </cell>
          <cell r="F4760" t="str">
            <v>D3Q-741</v>
          </cell>
          <cell r="G4760" t="str">
            <v>D2E-976</v>
          </cell>
          <cell r="H4760" t="str">
            <v>LAS BAMBAS</v>
          </cell>
          <cell r="I4760">
            <v>169381</v>
          </cell>
          <cell r="J4760" t="str">
            <v>REPUESTO</v>
          </cell>
          <cell r="K4760" t="str">
            <v>AGUA LIMPIA PARABRISA</v>
          </cell>
          <cell r="L4760">
            <v>1</v>
          </cell>
          <cell r="M4760" t="str">
            <v>UNID.</v>
          </cell>
          <cell r="N4760" t="str">
            <v>TRACTO</v>
          </cell>
          <cell r="O4760">
            <v>28</v>
          </cell>
          <cell r="P4760" t="str">
            <v>M8</v>
          </cell>
          <cell r="Q4760" t="str">
            <v>J1</v>
          </cell>
          <cell r="R4760" t="str">
            <v>J8</v>
          </cell>
          <cell r="S4760" t="str">
            <v>ENTREGADO</v>
          </cell>
          <cell r="T4760">
            <v>0</v>
          </cell>
          <cell r="U4760" t="str">
            <v>VARILLAS GAGO  OSCAR ALBERTO</v>
          </cell>
          <cell r="V4760" t="str">
            <v>FLOREZ CONDORI  JOSE WILLIANS</v>
          </cell>
        </row>
        <row r="4761">
          <cell r="A4761">
            <v>4743</v>
          </cell>
          <cell r="B4761">
            <v>42762</v>
          </cell>
          <cell r="C4761" t="str">
            <v>ENERO</v>
          </cell>
          <cell r="D4761" t="str">
            <v>2017</v>
          </cell>
          <cell r="E4761">
            <v>924</v>
          </cell>
          <cell r="F4761" t="str">
            <v>D3Q-741</v>
          </cell>
          <cell r="G4761" t="str">
            <v>D2E-976</v>
          </cell>
          <cell r="H4761" t="str">
            <v>LAS BAMBAS</v>
          </cell>
          <cell r="I4761">
            <v>169381</v>
          </cell>
          <cell r="J4761" t="str">
            <v>REPUESTO</v>
          </cell>
          <cell r="K4761" t="str">
            <v>NIPLE MPT 3/8 CON SALIDA DE 5/8</v>
          </cell>
          <cell r="L4761">
            <v>1</v>
          </cell>
          <cell r="M4761" t="str">
            <v>UNID.</v>
          </cell>
          <cell r="N4761" t="str">
            <v>TRACTO</v>
          </cell>
          <cell r="O4761">
            <v>28</v>
          </cell>
          <cell r="P4761" t="str">
            <v>M8</v>
          </cell>
          <cell r="Q4761" t="str">
            <v>J1</v>
          </cell>
          <cell r="R4761" t="str">
            <v>J8</v>
          </cell>
          <cell r="S4761" t="str">
            <v>ENTREGADO</v>
          </cell>
          <cell r="T4761">
            <v>0</v>
          </cell>
          <cell r="U4761" t="str">
            <v>VARILLAS GAGO  OSCAR ALBERTO</v>
          </cell>
          <cell r="V4761" t="str">
            <v>FLOREZ CONDORI  JOSE WILLIANS</v>
          </cell>
        </row>
        <row r="4762">
          <cell r="A4762">
            <v>4744</v>
          </cell>
          <cell r="B4762">
            <v>42762</v>
          </cell>
          <cell r="C4762" t="str">
            <v>ENERO</v>
          </cell>
          <cell r="D4762" t="str">
            <v>2017</v>
          </cell>
          <cell r="E4762">
            <v>924</v>
          </cell>
          <cell r="F4762" t="str">
            <v>D3Q-741</v>
          </cell>
          <cell r="G4762" t="str">
            <v>D2E-976</v>
          </cell>
          <cell r="H4762" t="str">
            <v>LAS BAMBAS</v>
          </cell>
          <cell r="I4762">
            <v>169381</v>
          </cell>
          <cell r="J4762" t="str">
            <v>REPUESTO</v>
          </cell>
          <cell r="K4762" t="str">
            <v>CONO 5/8</v>
          </cell>
          <cell r="L4762">
            <v>1</v>
          </cell>
          <cell r="M4762" t="str">
            <v>UNID.</v>
          </cell>
          <cell r="N4762" t="str">
            <v>TRACTO</v>
          </cell>
          <cell r="O4762">
            <v>28</v>
          </cell>
          <cell r="P4762" t="str">
            <v>M8</v>
          </cell>
          <cell r="Q4762" t="str">
            <v>J1</v>
          </cell>
          <cell r="R4762" t="str">
            <v>J8</v>
          </cell>
          <cell r="S4762" t="str">
            <v>ENTREGADO</v>
          </cell>
          <cell r="T4762">
            <v>0</v>
          </cell>
          <cell r="U4762" t="str">
            <v>VARILLAS GAGO  OSCAR ALBERTO</v>
          </cell>
          <cell r="V4762" t="str">
            <v>FLOREZ CONDORI  JOSE WILLIANS</v>
          </cell>
        </row>
        <row r="4763">
          <cell r="A4763">
            <v>4745</v>
          </cell>
          <cell r="B4763">
            <v>42762</v>
          </cell>
          <cell r="C4763" t="str">
            <v>ENERO</v>
          </cell>
          <cell r="D4763" t="str">
            <v>2017</v>
          </cell>
          <cell r="E4763">
            <v>924</v>
          </cell>
          <cell r="F4763" t="str">
            <v>D3Q-741</v>
          </cell>
          <cell r="G4763" t="str">
            <v>D2E-976</v>
          </cell>
          <cell r="H4763" t="str">
            <v>LAS BAMBAS</v>
          </cell>
          <cell r="I4763">
            <v>169381</v>
          </cell>
          <cell r="J4763" t="str">
            <v>REPUESTO</v>
          </cell>
          <cell r="K4763" t="str">
            <v>GUIA 5/8</v>
          </cell>
          <cell r="L4763">
            <v>1</v>
          </cell>
          <cell r="M4763" t="str">
            <v>UNID.</v>
          </cell>
          <cell r="N4763" t="str">
            <v>TRACTO</v>
          </cell>
          <cell r="O4763">
            <v>28</v>
          </cell>
          <cell r="P4763" t="str">
            <v>M8</v>
          </cell>
          <cell r="Q4763" t="str">
            <v>J1</v>
          </cell>
          <cell r="R4763" t="str">
            <v>J8</v>
          </cell>
          <cell r="S4763" t="str">
            <v>ENTREGADO</v>
          </cell>
          <cell r="T4763">
            <v>0</v>
          </cell>
          <cell r="U4763" t="str">
            <v>VARILLAS GAGO  OSCAR ALBERTO</v>
          </cell>
          <cell r="V4763" t="str">
            <v>FLOREZ CONDORI  JOSE WILLIANS</v>
          </cell>
        </row>
        <row r="4764">
          <cell r="A4764">
            <v>4746</v>
          </cell>
          <cell r="B4764">
            <v>42762</v>
          </cell>
          <cell r="C4764" t="str">
            <v>ENERO</v>
          </cell>
          <cell r="D4764" t="str">
            <v>2017</v>
          </cell>
          <cell r="E4764">
            <v>924</v>
          </cell>
          <cell r="F4764" t="str">
            <v>D3Q-741</v>
          </cell>
          <cell r="G4764" t="str">
            <v>D2E-976</v>
          </cell>
          <cell r="H4764" t="str">
            <v>LAS BAMBAS</v>
          </cell>
          <cell r="I4764">
            <v>169381</v>
          </cell>
          <cell r="J4764" t="str">
            <v>REPUESTO</v>
          </cell>
          <cell r="K4764" t="str">
            <v>TUERCA DE 5/8</v>
          </cell>
          <cell r="L4764">
            <v>1</v>
          </cell>
          <cell r="M4764" t="str">
            <v>UNID.</v>
          </cell>
          <cell r="N4764" t="str">
            <v>TRACTO</v>
          </cell>
          <cell r="O4764">
            <v>28</v>
          </cell>
          <cell r="P4764" t="str">
            <v>M8</v>
          </cell>
          <cell r="Q4764" t="str">
            <v>J1</v>
          </cell>
          <cell r="R4764" t="str">
            <v>J8</v>
          </cell>
          <cell r="S4764" t="str">
            <v>ENTREGADO</v>
          </cell>
          <cell r="T4764">
            <v>0</v>
          </cell>
          <cell r="U4764" t="str">
            <v>VARILLAS GAGO  OSCAR ALBERTO</v>
          </cell>
          <cell r="V4764" t="str">
            <v>FLOREZ CONDORI  JOSE WILLIANS</v>
          </cell>
        </row>
        <row r="4765">
          <cell r="A4765">
            <v>4755</v>
          </cell>
          <cell r="B4765">
            <v>42762</v>
          </cell>
          <cell r="C4765" t="str">
            <v>ENERO</v>
          </cell>
          <cell r="D4765" t="str">
            <v>2017</v>
          </cell>
          <cell r="E4765">
            <v>924</v>
          </cell>
          <cell r="F4765" t="str">
            <v>D3Q-741</v>
          </cell>
          <cell r="G4765" t="str">
            <v>D2E-976</v>
          </cell>
          <cell r="H4765" t="str">
            <v>LAS BAMBAS</v>
          </cell>
          <cell r="I4765">
            <v>169381</v>
          </cell>
          <cell r="J4765" t="str">
            <v>REPUESTO</v>
          </cell>
          <cell r="K4765" t="str">
            <v>SPRAY VERDE</v>
          </cell>
          <cell r="L4765">
            <v>1</v>
          </cell>
          <cell r="M4765" t="str">
            <v>UNID.</v>
          </cell>
          <cell r="N4765" t="str">
            <v>CISTERNA</v>
          </cell>
          <cell r="O4765">
            <v>28</v>
          </cell>
          <cell r="P4765" t="str">
            <v>S1</v>
          </cell>
          <cell r="Q4765" t="str">
            <v>J1</v>
          </cell>
          <cell r="R4765" t="str">
            <v>J8</v>
          </cell>
          <cell r="S4765" t="str">
            <v>ENTREGADO</v>
          </cell>
          <cell r="T4765">
            <v>0</v>
          </cell>
          <cell r="U4765" t="str">
            <v>BAYONA CRUZ CRISTIAN ARMANDO</v>
          </cell>
          <cell r="V4765" t="str">
            <v>FLOREZ CONDORI  JOSE WILLIANS</v>
          </cell>
        </row>
        <row r="4766">
          <cell r="A4766">
            <v>4764</v>
          </cell>
          <cell r="B4766">
            <v>42762</v>
          </cell>
          <cell r="C4766" t="str">
            <v>ENERO</v>
          </cell>
          <cell r="D4766" t="str">
            <v>2017</v>
          </cell>
          <cell r="E4766">
            <v>910</v>
          </cell>
          <cell r="F4766" t="str">
            <v>D3S-725</v>
          </cell>
          <cell r="G4766" t="str">
            <v>TBL-977</v>
          </cell>
          <cell r="H4766" t="str">
            <v>LAS BAMBAS</v>
          </cell>
          <cell r="I4766">
            <v>152676</v>
          </cell>
          <cell r="J4766" t="str">
            <v>REPUESTO</v>
          </cell>
          <cell r="K4766" t="str">
            <v>CARTUCHO DE PULPO</v>
          </cell>
          <cell r="L4766">
            <v>1</v>
          </cell>
          <cell r="M4766" t="str">
            <v>UNID.</v>
          </cell>
          <cell r="N4766" t="str">
            <v>TRACTO</v>
          </cell>
          <cell r="O4766">
            <v>28</v>
          </cell>
          <cell r="P4766" t="str">
            <v>M5</v>
          </cell>
          <cell r="Q4766" t="str">
            <v>J7</v>
          </cell>
          <cell r="R4766" t="str">
            <v>J5</v>
          </cell>
          <cell r="S4766" t="str">
            <v>ENTREGADO</v>
          </cell>
          <cell r="T4766">
            <v>0</v>
          </cell>
          <cell r="U4766" t="str">
            <v>LOPEZ RUIZ WILBERTO</v>
          </cell>
          <cell r="V4766" t="str">
            <v>DONAYRE INGA PEDRO</v>
          </cell>
        </row>
        <row r="4767">
          <cell r="A4767">
            <v>4766</v>
          </cell>
          <cell r="B4767">
            <v>42762</v>
          </cell>
          <cell r="C4767" t="str">
            <v>ENERO</v>
          </cell>
          <cell r="D4767" t="str">
            <v>2017</v>
          </cell>
          <cell r="E4767">
            <v>903</v>
          </cell>
          <cell r="F4767" t="str">
            <v>D6G-805</v>
          </cell>
          <cell r="G4767" t="str">
            <v>T4Z-996</v>
          </cell>
          <cell r="H4767" t="str">
            <v>LAS BAMBAS</v>
          </cell>
          <cell r="I4767">
            <v>229548</v>
          </cell>
          <cell r="J4767" t="str">
            <v>REPUESTO</v>
          </cell>
          <cell r="K4767" t="str">
            <v>GRECA DE PUERTA</v>
          </cell>
          <cell r="L4767">
            <v>1</v>
          </cell>
          <cell r="M4767" t="str">
            <v>UNID.</v>
          </cell>
          <cell r="N4767" t="str">
            <v>TRACTO</v>
          </cell>
          <cell r="O4767">
            <v>28</v>
          </cell>
          <cell r="P4767" t="str">
            <v>J6</v>
          </cell>
          <cell r="Q4767" t="str">
            <v>J7</v>
          </cell>
          <cell r="R4767" t="str">
            <v>J6</v>
          </cell>
          <cell r="S4767" t="str">
            <v>ENTREGADO</v>
          </cell>
          <cell r="T4767">
            <v>0</v>
          </cell>
          <cell r="U4767" t="str">
            <v>VILLANUEVA BEJAR  YHORDAN MICHEL</v>
          </cell>
          <cell r="V4767" t="str">
            <v>DONAYRE INGA PEDRO</v>
          </cell>
        </row>
        <row r="4768">
          <cell r="A4768">
            <v>4756</v>
          </cell>
          <cell r="B4768">
            <v>42762</v>
          </cell>
          <cell r="C4768" t="str">
            <v>ENERO</v>
          </cell>
          <cell r="D4768" t="str">
            <v>2017</v>
          </cell>
          <cell r="E4768">
            <v>200</v>
          </cell>
          <cell r="F4768" t="str">
            <v>TALLER</v>
          </cell>
          <cell r="G4768" t="str">
            <v>TALLER</v>
          </cell>
          <cell r="H4768" t="str">
            <v>TALLER</v>
          </cell>
          <cell r="I4768" t="str">
            <v>TALLER</v>
          </cell>
          <cell r="J4768" t="str">
            <v>IMPLEMENTACION</v>
          </cell>
          <cell r="K4768" t="str">
            <v>TOMACORRIENTE DE 3 TOMAS</v>
          </cell>
          <cell r="L4768">
            <v>1</v>
          </cell>
          <cell r="M4768" t="str">
            <v>UNID.</v>
          </cell>
          <cell r="N4768" t="str">
            <v>TALLER</v>
          </cell>
          <cell r="O4768">
            <v>28</v>
          </cell>
          <cell r="P4768" t="str">
            <v>E2</v>
          </cell>
          <cell r="Q4768" t="str">
            <v>J7</v>
          </cell>
          <cell r="R4768" t="str">
            <v>J6</v>
          </cell>
          <cell r="S4768" t="str">
            <v>PENDIENTE</v>
          </cell>
          <cell r="T4768">
            <v>0</v>
          </cell>
          <cell r="U4768" t="str">
            <v>YUCA BELLIDO BORIS YERSY</v>
          </cell>
          <cell r="V4768" t="str">
            <v>DONAYRE INGA PEDRO</v>
          </cell>
        </row>
        <row r="4769">
          <cell r="A4769">
            <v>4768</v>
          </cell>
          <cell r="B4769">
            <v>42763</v>
          </cell>
          <cell r="C4769" t="str">
            <v>ENERO</v>
          </cell>
          <cell r="D4769" t="str">
            <v>2017</v>
          </cell>
          <cell r="E4769">
            <v>934</v>
          </cell>
          <cell r="F4769" t="str">
            <v>AKW-860</v>
          </cell>
          <cell r="G4769" t="str">
            <v>F5Z-991</v>
          </cell>
          <cell r="H4769" t="str">
            <v>LAS BAMBAS</v>
          </cell>
          <cell r="I4769">
            <v>45676</v>
          </cell>
          <cell r="J4769" t="str">
            <v>REPUESTO</v>
          </cell>
          <cell r="K4769" t="str">
            <v>MATACHISPA</v>
          </cell>
          <cell r="L4769">
            <v>1</v>
          </cell>
          <cell r="M4769" t="str">
            <v>UNID.</v>
          </cell>
          <cell r="N4769" t="str">
            <v>TRACTO</v>
          </cell>
          <cell r="O4769">
            <v>27</v>
          </cell>
          <cell r="P4769" t="str">
            <v>M6</v>
          </cell>
          <cell r="Q4769" t="str">
            <v>J7</v>
          </cell>
          <cell r="R4769" t="str">
            <v>J6</v>
          </cell>
          <cell r="S4769" t="str">
            <v>ENTREGADO</v>
          </cell>
          <cell r="T4769">
            <v>0</v>
          </cell>
          <cell r="U4769" t="str">
            <v>PARI VENTURA  EDSON ORLANDO</v>
          </cell>
          <cell r="V4769" t="str">
            <v>DONAYRE INGA PEDRO</v>
          </cell>
        </row>
        <row r="4770">
          <cell r="A4770">
            <v>4777</v>
          </cell>
          <cell r="B4770">
            <v>42763</v>
          </cell>
          <cell r="C4770" t="str">
            <v>ENERO</v>
          </cell>
          <cell r="D4770" t="str">
            <v>2017</v>
          </cell>
          <cell r="E4770">
            <v>788</v>
          </cell>
          <cell r="F4770" t="str">
            <v>B2L-889</v>
          </cell>
          <cell r="G4770" t="str">
            <v>CAMION</v>
          </cell>
          <cell r="H4770" t="str">
            <v>TAMBOMAYO</v>
          </cell>
          <cell r="I4770">
            <v>124981</v>
          </cell>
          <cell r="J4770" t="str">
            <v>REPUESTO</v>
          </cell>
          <cell r="K4770" t="str">
            <v>ACEITE 15W40</v>
          </cell>
          <cell r="L4770">
            <v>4</v>
          </cell>
          <cell r="M4770" t="str">
            <v>UNID.</v>
          </cell>
          <cell r="N4770" t="str">
            <v>CAMION</v>
          </cell>
          <cell r="O4770">
            <v>27</v>
          </cell>
          <cell r="P4770" t="str">
            <v>J6</v>
          </cell>
          <cell r="Q4770" t="str">
            <v>J7</v>
          </cell>
          <cell r="R4770" t="str">
            <v>J6</v>
          </cell>
          <cell r="S4770" t="str">
            <v>ENTREGADO</v>
          </cell>
          <cell r="T4770">
            <v>0</v>
          </cell>
          <cell r="U4770" t="str">
            <v>VILLANUEVA BEJAR  YHORDAN MICHEL</v>
          </cell>
          <cell r="V4770" t="str">
            <v>DONAYRE INGA PEDRO</v>
          </cell>
        </row>
        <row r="4771">
          <cell r="A4771">
            <v>4781</v>
          </cell>
          <cell r="B4771">
            <v>42763</v>
          </cell>
          <cell r="C4771" t="str">
            <v>ENERO</v>
          </cell>
          <cell r="D4771" t="str">
            <v>2017</v>
          </cell>
          <cell r="E4771">
            <v>923</v>
          </cell>
          <cell r="F4771" t="str">
            <v>B2M-948</v>
          </cell>
          <cell r="G4771" t="str">
            <v>CAMION</v>
          </cell>
          <cell r="H4771" t="str">
            <v>TAMBOMAYO</v>
          </cell>
          <cell r="I4771">
            <v>117553</v>
          </cell>
          <cell r="J4771" t="str">
            <v>REPUESTO</v>
          </cell>
          <cell r="K4771" t="str">
            <v>FOCO PILOTO DE 2 CONTACTO  24 V</v>
          </cell>
          <cell r="L4771">
            <v>1</v>
          </cell>
          <cell r="M4771" t="str">
            <v>UNID.</v>
          </cell>
          <cell r="N4771" t="str">
            <v>TRACTO</v>
          </cell>
          <cell r="O4771">
            <v>27</v>
          </cell>
          <cell r="P4771" t="str">
            <v>E2</v>
          </cell>
          <cell r="Q4771" t="str">
            <v>J1</v>
          </cell>
          <cell r="R4771" t="str">
            <v>J8</v>
          </cell>
          <cell r="S4771" t="str">
            <v>ENTREGADO</v>
          </cell>
          <cell r="T4771">
            <v>0</v>
          </cell>
          <cell r="U4771" t="str">
            <v>YUCA BELLIDO BORIS YERSY</v>
          </cell>
          <cell r="V4771" t="str">
            <v>FLOREZ CONDORI  JOSE WILLIANS</v>
          </cell>
        </row>
        <row r="4772">
          <cell r="A4772">
            <v>4782</v>
          </cell>
          <cell r="B4772">
            <v>42763</v>
          </cell>
          <cell r="C4772" t="str">
            <v>ENERO</v>
          </cell>
          <cell r="D4772" t="str">
            <v>2017</v>
          </cell>
          <cell r="E4772">
            <v>923</v>
          </cell>
          <cell r="F4772" t="str">
            <v>B2M-948</v>
          </cell>
          <cell r="G4772" t="str">
            <v>CAMION</v>
          </cell>
          <cell r="H4772" t="str">
            <v>TAMBOMAYO</v>
          </cell>
          <cell r="I4772">
            <v>117553</v>
          </cell>
          <cell r="J4772" t="str">
            <v>REPUESTO</v>
          </cell>
          <cell r="K4772" t="str">
            <v>TERMINAL BATERIA POSITIVO</v>
          </cell>
          <cell r="L4772">
            <v>1</v>
          </cell>
          <cell r="M4772" t="str">
            <v>UNID.</v>
          </cell>
          <cell r="N4772" t="str">
            <v>TRACTO</v>
          </cell>
          <cell r="O4772">
            <v>27</v>
          </cell>
          <cell r="P4772" t="str">
            <v>E2</v>
          </cell>
          <cell r="Q4772" t="str">
            <v>J1</v>
          </cell>
          <cell r="R4772" t="str">
            <v>J8</v>
          </cell>
          <cell r="S4772" t="str">
            <v>ENTREGADO</v>
          </cell>
          <cell r="T4772">
            <v>0</v>
          </cell>
          <cell r="U4772" t="str">
            <v>YUCA BELLIDO BORIS YERSY</v>
          </cell>
          <cell r="V4772" t="str">
            <v>FLOREZ CONDORI  JOSE WILLIANS</v>
          </cell>
        </row>
        <row r="4773">
          <cell r="A4773">
            <v>4775</v>
          </cell>
          <cell r="B4773">
            <v>42763</v>
          </cell>
          <cell r="C4773" t="str">
            <v>ENERO</v>
          </cell>
          <cell r="D4773" t="str">
            <v>2017</v>
          </cell>
          <cell r="E4773">
            <v>912</v>
          </cell>
          <cell r="F4773" t="str">
            <v>C5R-895</v>
          </cell>
          <cell r="G4773" t="str">
            <v>TBL-976</v>
          </cell>
          <cell r="H4773" t="str">
            <v>LAS BAMBAS</v>
          </cell>
          <cell r="I4773">
            <v>175495</v>
          </cell>
          <cell r="J4773" t="str">
            <v>REPUESTO</v>
          </cell>
          <cell r="K4773" t="str">
            <v>ABRAZADERA PARA INTERCOOOLER</v>
          </cell>
          <cell r="L4773">
            <v>1</v>
          </cell>
          <cell r="M4773" t="str">
            <v>UNID.</v>
          </cell>
          <cell r="N4773" t="str">
            <v>TRACTO</v>
          </cell>
          <cell r="O4773">
            <v>27</v>
          </cell>
          <cell r="P4773" t="str">
            <v>M2</v>
          </cell>
          <cell r="Q4773" t="str">
            <v>J7</v>
          </cell>
          <cell r="R4773" t="str">
            <v>J6</v>
          </cell>
          <cell r="S4773" t="str">
            <v>ENTREGADO</v>
          </cell>
          <cell r="T4773">
            <v>0</v>
          </cell>
          <cell r="U4773" t="str">
            <v>CHUMPITAZ GAGO JULIO ENRIQUE</v>
          </cell>
          <cell r="V4773" t="str">
            <v>DONAYRE INGA PEDRO</v>
          </cell>
        </row>
        <row r="4774">
          <cell r="A4774">
            <v>4779</v>
          </cell>
          <cell r="B4774">
            <v>42763</v>
          </cell>
          <cell r="C4774" t="str">
            <v>ENERO</v>
          </cell>
          <cell r="D4774" t="str">
            <v>2017</v>
          </cell>
          <cell r="E4774">
            <v>202</v>
          </cell>
          <cell r="F4774" t="str">
            <v>D3P-752</v>
          </cell>
          <cell r="G4774" t="str">
            <v>C5Y-985</v>
          </cell>
          <cell r="H4774" t="str">
            <v>LAS BAMBAS</v>
          </cell>
          <cell r="I4774">
            <v>150504</v>
          </cell>
          <cell r="J4774" t="str">
            <v>REPUESTO</v>
          </cell>
          <cell r="K4774" t="str">
            <v>TAPA DE BOCAMAZA DE EJE DE CISTERNA</v>
          </cell>
          <cell r="L4774">
            <v>1</v>
          </cell>
          <cell r="M4774" t="str">
            <v>UNID.</v>
          </cell>
          <cell r="N4774" t="str">
            <v>CISTERNA</v>
          </cell>
          <cell r="O4774">
            <v>27</v>
          </cell>
          <cell r="P4774" t="str">
            <v>M2</v>
          </cell>
          <cell r="Q4774" t="str">
            <v>J7</v>
          </cell>
          <cell r="R4774" t="str">
            <v>J6</v>
          </cell>
          <cell r="S4774" t="str">
            <v>ENTREGADO</v>
          </cell>
          <cell r="T4774">
            <v>0</v>
          </cell>
          <cell r="U4774" t="str">
            <v>CHUMPITAZ GAGO JULIO ENRIQUE</v>
          </cell>
          <cell r="V4774" t="str">
            <v>DONAYRE INGA PEDRO</v>
          </cell>
        </row>
        <row r="4775">
          <cell r="A4775">
            <v>4780</v>
          </cell>
          <cell r="B4775">
            <v>42763</v>
          </cell>
          <cell r="C4775" t="str">
            <v>ENERO</v>
          </cell>
          <cell r="D4775" t="str">
            <v>2017</v>
          </cell>
          <cell r="E4775">
            <v>202</v>
          </cell>
          <cell r="F4775" t="str">
            <v>D3P-752</v>
          </cell>
          <cell r="G4775" t="str">
            <v>C5Y-985</v>
          </cell>
          <cell r="H4775" t="str">
            <v>LAS BAMBAS</v>
          </cell>
          <cell r="I4775">
            <v>150504</v>
          </cell>
          <cell r="J4775" t="str">
            <v>REPUESTO</v>
          </cell>
          <cell r="K4775" t="str">
            <v>MANGUERA DE SALIDA DE COMPRESORA A MISION</v>
          </cell>
          <cell r="L4775">
            <v>1</v>
          </cell>
          <cell r="M4775" t="str">
            <v>UNID.</v>
          </cell>
          <cell r="N4775" t="str">
            <v>TRACTO</v>
          </cell>
          <cell r="O4775" t="e">
            <v>#VALUE!</v>
          </cell>
          <cell r="P4775" t="str">
            <v>M2</v>
          </cell>
          <cell r="Q4775" t="str">
            <v>J7</v>
          </cell>
          <cell r="R4775" t="str">
            <v>J6</v>
          </cell>
          <cell r="S4775" t="str">
            <v>ENTREGADO</v>
          </cell>
          <cell r="T4775" t="str">
            <v>ANULADO</v>
          </cell>
          <cell r="U4775" t="str">
            <v>CHUMPITAZ GAGO JULIO ENRIQUE</v>
          </cell>
          <cell r="V4775" t="str">
            <v>DONAYRE INGA PEDRO</v>
          </cell>
        </row>
        <row r="4776">
          <cell r="A4776">
            <v>4769</v>
          </cell>
          <cell r="B4776">
            <v>42763</v>
          </cell>
          <cell r="C4776" t="str">
            <v>ENERO</v>
          </cell>
          <cell r="D4776" t="str">
            <v>2017</v>
          </cell>
          <cell r="E4776">
            <v>910</v>
          </cell>
          <cell r="F4776" t="str">
            <v>D3S-725</v>
          </cell>
          <cell r="G4776" t="str">
            <v>TBL-977</v>
          </cell>
          <cell r="H4776" t="str">
            <v>LAS BAMBAS</v>
          </cell>
          <cell r="I4776">
            <v>152676</v>
          </cell>
          <cell r="J4776" t="str">
            <v>REPUESTO</v>
          </cell>
          <cell r="K4776" t="str">
            <v>MATACHISPA</v>
          </cell>
          <cell r="L4776">
            <v>1</v>
          </cell>
          <cell r="M4776" t="str">
            <v>UNID.</v>
          </cell>
          <cell r="N4776" t="str">
            <v>TRACTO</v>
          </cell>
          <cell r="O4776">
            <v>27</v>
          </cell>
          <cell r="P4776" t="str">
            <v>M6</v>
          </cell>
          <cell r="Q4776" t="str">
            <v>J7</v>
          </cell>
          <cell r="R4776" t="str">
            <v>J6</v>
          </cell>
          <cell r="S4776" t="str">
            <v>ENTREGADO</v>
          </cell>
          <cell r="T4776">
            <v>0</v>
          </cell>
          <cell r="U4776" t="str">
            <v>PARI VENTURA  EDSON ORLANDO</v>
          </cell>
          <cell r="V4776" t="str">
            <v>DONAYRE INGA PEDRO</v>
          </cell>
        </row>
        <row r="4777">
          <cell r="A4777">
            <v>4778</v>
          </cell>
          <cell r="B4777">
            <v>42763</v>
          </cell>
          <cell r="C4777" t="str">
            <v>ENERO</v>
          </cell>
          <cell r="D4777" t="str">
            <v>2017</v>
          </cell>
          <cell r="E4777">
            <v>941</v>
          </cell>
          <cell r="F4777" t="str">
            <v>D4T-927</v>
          </cell>
          <cell r="G4777" t="str">
            <v>B4Q-976</v>
          </cell>
          <cell r="H4777" t="str">
            <v>LAS BAMBAS</v>
          </cell>
          <cell r="I4777">
            <v>197059</v>
          </cell>
          <cell r="J4777" t="str">
            <v>REPUESTO</v>
          </cell>
          <cell r="K4777" t="str">
            <v>FOCO DOBLE CONTACTO 12V</v>
          </cell>
          <cell r="L4777">
            <v>1</v>
          </cell>
          <cell r="M4777" t="str">
            <v>UNID.</v>
          </cell>
          <cell r="N4777" t="str">
            <v>TRACTO</v>
          </cell>
          <cell r="O4777">
            <v>27</v>
          </cell>
          <cell r="P4777" t="str">
            <v>E2</v>
          </cell>
          <cell r="Q4777" t="str">
            <v>J7</v>
          </cell>
          <cell r="R4777" t="str">
            <v>J6</v>
          </cell>
          <cell r="S4777" t="str">
            <v>ENTREGADO</v>
          </cell>
          <cell r="T4777">
            <v>0</v>
          </cell>
          <cell r="U4777" t="str">
            <v>YUCA BELLIDO BORIS YERSY</v>
          </cell>
          <cell r="V4777" t="str">
            <v>DONAYRE INGA PEDRO</v>
          </cell>
        </row>
        <row r="4778">
          <cell r="A4778">
            <v>4770</v>
          </cell>
          <cell r="B4778">
            <v>42763</v>
          </cell>
          <cell r="C4778" t="str">
            <v>ENERO</v>
          </cell>
          <cell r="D4778" t="str">
            <v>2017</v>
          </cell>
          <cell r="E4778">
            <v>933</v>
          </cell>
          <cell r="F4778" t="str">
            <v>D6F-898</v>
          </cell>
          <cell r="G4778" t="str">
            <v>T4L-996</v>
          </cell>
          <cell r="H4778" t="str">
            <v>LAS BAMBAS</v>
          </cell>
          <cell r="I4778">
            <v>169579</v>
          </cell>
          <cell r="J4778" t="str">
            <v>REPUESTO</v>
          </cell>
          <cell r="K4778" t="str">
            <v>FILTRO DE AIRE PRIMARIO</v>
          </cell>
          <cell r="L4778">
            <v>1</v>
          </cell>
          <cell r="M4778" t="str">
            <v>UNID.</v>
          </cell>
          <cell r="N4778" t="str">
            <v>TRACTO</v>
          </cell>
          <cell r="O4778">
            <v>27</v>
          </cell>
          <cell r="P4778" t="str">
            <v>M2</v>
          </cell>
          <cell r="Q4778" t="str">
            <v>J7</v>
          </cell>
          <cell r="R4778" t="str">
            <v>J6</v>
          </cell>
          <cell r="S4778" t="str">
            <v>ENTREGADO</v>
          </cell>
          <cell r="T4778">
            <v>0</v>
          </cell>
          <cell r="U4778" t="str">
            <v>CHUMPITAZ GAGO JULIO ENRIQUE</v>
          </cell>
          <cell r="V4778" t="str">
            <v>DONAYRE INGA PEDRO</v>
          </cell>
        </row>
        <row r="4779">
          <cell r="A4779">
            <v>4771</v>
          </cell>
          <cell r="B4779">
            <v>42763</v>
          </cell>
          <cell r="C4779" t="str">
            <v>ENERO</v>
          </cell>
          <cell r="D4779" t="str">
            <v>2017</v>
          </cell>
          <cell r="E4779">
            <v>933</v>
          </cell>
          <cell r="F4779" t="str">
            <v>D6F-898</v>
          </cell>
          <cell r="G4779" t="str">
            <v>T4L-996</v>
          </cell>
          <cell r="H4779" t="str">
            <v>LAS BAMBAS</v>
          </cell>
          <cell r="I4779">
            <v>169579</v>
          </cell>
          <cell r="J4779" t="str">
            <v>REPUESTO</v>
          </cell>
          <cell r="K4779" t="str">
            <v>LIQUIDO LIMPIAPARABRISAS</v>
          </cell>
          <cell r="L4779">
            <v>1</v>
          </cell>
          <cell r="M4779" t="str">
            <v>GLNS.</v>
          </cell>
          <cell r="N4779" t="str">
            <v>TRACTO</v>
          </cell>
          <cell r="O4779">
            <v>27</v>
          </cell>
          <cell r="P4779" t="str">
            <v>M2</v>
          </cell>
          <cell r="Q4779" t="str">
            <v>J7</v>
          </cell>
          <cell r="R4779" t="str">
            <v>J6</v>
          </cell>
          <cell r="S4779" t="str">
            <v>ENTREGADO</v>
          </cell>
          <cell r="T4779">
            <v>0</v>
          </cell>
          <cell r="U4779" t="str">
            <v>CHUMPITAZ GAGO JULIO ENRIQUE</v>
          </cell>
          <cell r="V4779" t="str">
            <v>DONAYRE INGA PEDRO</v>
          </cell>
        </row>
        <row r="4780">
          <cell r="A4780">
            <v>4773</v>
          </cell>
          <cell r="B4780">
            <v>42763</v>
          </cell>
          <cell r="C4780" t="str">
            <v>ENERO</v>
          </cell>
          <cell r="D4780" t="str">
            <v>2017</v>
          </cell>
          <cell r="E4780">
            <v>933</v>
          </cell>
          <cell r="F4780" t="str">
            <v>D6F-898</v>
          </cell>
          <cell r="G4780" t="str">
            <v>T4L-996</v>
          </cell>
          <cell r="H4780" t="str">
            <v>LAS BAMBAS</v>
          </cell>
          <cell r="I4780">
            <v>169579</v>
          </cell>
          <cell r="J4780" t="str">
            <v>REPUESTO</v>
          </cell>
          <cell r="K4780" t="str">
            <v>FILTRO DE PETROLEO</v>
          </cell>
          <cell r="L4780">
            <v>1</v>
          </cell>
          <cell r="M4780" t="str">
            <v>UNID.</v>
          </cell>
          <cell r="N4780" t="str">
            <v>TRACTO</v>
          </cell>
          <cell r="O4780">
            <v>27</v>
          </cell>
          <cell r="P4780" t="str">
            <v>M2</v>
          </cell>
          <cell r="Q4780" t="str">
            <v>J7</v>
          </cell>
          <cell r="R4780" t="str">
            <v>J6</v>
          </cell>
          <cell r="S4780" t="str">
            <v>ENTREGADO</v>
          </cell>
          <cell r="T4780">
            <v>0</v>
          </cell>
          <cell r="U4780" t="str">
            <v>CHUMPITAZ GAGO JULIO ENRIQUE</v>
          </cell>
          <cell r="V4780" t="str">
            <v>DONAYRE INGA PEDRO</v>
          </cell>
        </row>
        <row r="4781">
          <cell r="A4781">
            <v>4774</v>
          </cell>
          <cell r="B4781">
            <v>42763</v>
          </cell>
          <cell r="C4781" t="str">
            <v>ENERO</v>
          </cell>
          <cell r="D4781" t="str">
            <v>2017</v>
          </cell>
          <cell r="E4781">
            <v>933</v>
          </cell>
          <cell r="F4781" t="str">
            <v>D6F-898</v>
          </cell>
          <cell r="G4781" t="str">
            <v>T4L-996</v>
          </cell>
          <cell r="H4781" t="str">
            <v>LAS BAMBAS</v>
          </cell>
          <cell r="I4781">
            <v>169579</v>
          </cell>
          <cell r="J4781" t="str">
            <v>REPUESTO</v>
          </cell>
          <cell r="K4781" t="str">
            <v>FILTRO CEBADOR DE COMBUSTIBLE</v>
          </cell>
          <cell r="L4781">
            <v>1</v>
          </cell>
          <cell r="M4781" t="str">
            <v>UNID.</v>
          </cell>
          <cell r="N4781" t="str">
            <v>TRACTO</v>
          </cell>
          <cell r="O4781">
            <v>27</v>
          </cell>
          <cell r="P4781" t="str">
            <v>M2</v>
          </cell>
          <cell r="Q4781" t="str">
            <v>J7</v>
          </cell>
          <cell r="R4781" t="str">
            <v>J6</v>
          </cell>
          <cell r="S4781" t="str">
            <v>ENTREGADO</v>
          </cell>
          <cell r="T4781">
            <v>0</v>
          </cell>
          <cell r="U4781" t="str">
            <v>CHUMPITAZ GAGO JULIO ENRIQUE</v>
          </cell>
          <cell r="V4781" t="str">
            <v>DONAYRE INGA PEDRO</v>
          </cell>
        </row>
        <row r="4782">
          <cell r="A4782">
            <v>4772</v>
          </cell>
          <cell r="B4782">
            <v>42763</v>
          </cell>
          <cell r="C4782" t="str">
            <v>ENERO</v>
          </cell>
          <cell r="D4782" t="str">
            <v>2017</v>
          </cell>
          <cell r="E4782">
            <v>903</v>
          </cell>
          <cell r="F4782" t="str">
            <v>D6G-805</v>
          </cell>
          <cell r="G4782" t="str">
            <v>T4Z-996</v>
          </cell>
          <cell r="H4782" t="str">
            <v>LAS BAMBAS</v>
          </cell>
          <cell r="I4782">
            <v>229548</v>
          </cell>
          <cell r="J4782" t="str">
            <v>REPUESTO</v>
          </cell>
          <cell r="K4782" t="str">
            <v>LIQUIDO LIMPIAPARABRISAS</v>
          </cell>
          <cell r="L4782">
            <v>1</v>
          </cell>
          <cell r="M4782" t="str">
            <v>GLNS.</v>
          </cell>
          <cell r="N4782" t="str">
            <v>TRACTO</v>
          </cell>
          <cell r="O4782">
            <v>27</v>
          </cell>
          <cell r="P4782" t="str">
            <v>M2</v>
          </cell>
          <cell r="Q4782" t="str">
            <v>J7</v>
          </cell>
          <cell r="R4782" t="str">
            <v>J6</v>
          </cell>
          <cell r="S4782" t="str">
            <v>ENTREGADO</v>
          </cell>
          <cell r="T4782">
            <v>0</v>
          </cell>
          <cell r="U4782" t="str">
            <v>CHUMPITAZ GAGO JULIO ENRIQUE</v>
          </cell>
          <cell r="V4782" t="str">
            <v>DONAYRE INGA PEDRO</v>
          </cell>
        </row>
        <row r="4783">
          <cell r="A4783">
            <v>4776</v>
          </cell>
          <cell r="B4783">
            <v>42763</v>
          </cell>
          <cell r="C4783" t="str">
            <v>ENERO</v>
          </cell>
          <cell r="D4783" t="str">
            <v>2017</v>
          </cell>
          <cell r="E4783">
            <v>200</v>
          </cell>
          <cell r="F4783" t="str">
            <v>TALLER</v>
          </cell>
          <cell r="G4783" t="str">
            <v>TALLER</v>
          </cell>
          <cell r="H4783" t="str">
            <v>TALLER</v>
          </cell>
          <cell r="I4783" t="str">
            <v>TALLER</v>
          </cell>
          <cell r="J4783" t="str">
            <v>INSUMO TALLER</v>
          </cell>
          <cell r="K4783" t="str">
            <v>SILICONA GREY</v>
          </cell>
          <cell r="L4783">
            <v>1</v>
          </cell>
          <cell r="M4783" t="str">
            <v>UNID.</v>
          </cell>
          <cell r="N4783" t="str">
            <v>TALLER</v>
          </cell>
          <cell r="O4783">
            <v>27</v>
          </cell>
          <cell r="P4783" t="str">
            <v>M2</v>
          </cell>
          <cell r="Q4783" t="str">
            <v>J7</v>
          </cell>
          <cell r="R4783" t="str">
            <v>J6</v>
          </cell>
          <cell r="S4783" t="str">
            <v>ENTREGADO</v>
          </cell>
          <cell r="T4783">
            <v>0</v>
          </cell>
          <cell r="U4783" t="str">
            <v>CHUMPITAZ GAGO JULIO ENRIQUE</v>
          </cell>
          <cell r="V4783" t="str">
            <v>DONAYRE INGA PEDRO</v>
          </cell>
        </row>
        <row r="4784">
          <cell r="A4784">
            <v>4783</v>
          </cell>
          <cell r="B4784">
            <v>42763</v>
          </cell>
          <cell r="C4784" t="str">
            <v>ENERO</v>
          </cell>
          <cell r="D4784" t="str">
            <v>2017</v>
          </cell>
          <cell r="E4784">
            <v>940</v>
          </cell>
          <cell r="F4784" t="str">
            <v>X2W-760</v>
          </cell>
          <cell r="G4784" t="str">
            <v>C5V-992</v>
          </cell>
          <cell r="H4784" t="str">
            <v>LAS BAMBAS</v>
          </cell>
          <cell r="I4784">
            <v>155901</v>
          </cell>
          <cell r="J4784" t="str">
            <v>REPUESTO</v>
          </cell>
          <cell r="K4784" t="str">
            <v>FARO STOP 4" ROJO</v>
          </cell>
          <cell r="L4784">
            <v>1</v>
          </cell>
          <cell r="M4784" t="str">
            <v>UNID.</v>
          </cell>
          <cell r="N4784" t="str">
            <v>CISTERNA</v>
          </cell>
          <cell r="O4784">
            <v>27</v>
          </cell>
          <cell r="P4784" t="str">
            <v>E2</v>
          </cell>
          <cell r="Q4784" t="str">
            <v>J1</v>
          </cell>
          <cell r="R4784" t="str">
            <v>J8</v>
          </cell>
          <cell r="S4784" t="str">
            <v>ENTREGADO</v>
          </cell>
          <cell r="T4784">
            <v>0</v>
          </cell>
          <cell r="U4784" t="str">
            <v>YUCA BELLIDO BORIS YERSY</v>
          </cell>
          <cell r="V4784" t="str">
            <v>FLOREZ CONDORI  JOSE WILLIANS</v>
          </cell>
        </row>
        <row r="4785">
          <cell r="A4785">
            <v>4784</v>
          </cell>
          <cell r="B4785">
            <v>42763</v>
          </cell>
          <cell r="C4785" t="str">
            <v>ENERO</v>
          </cell>
          <cell r="D4785" t="str">
            <v>2017</v>
          </cell>
          <cell r="E4785">
            <v>940</v>
          </cell>
          <cell r="F4785" t="str">
            <v>X2W-760</v>
          </cell>
          <cell r="G4785" t="str">
            <v>C5V-992</v>
          </cell>
          <cell r="H4785" t="str">
            <v>LAS BAMBAS</v>
          </cell>
          <cell r="I4785">
            <v>155901</v>
          </cell>
          <cell r="J4785" t="str">
            <v>REPUESTO</v>
          </cell>
          <cell r="K4785" t="str">
            <v>FARO LATERAL  CIRCULAR 2" ROJO</v>
          </cell>
          <cell r="L4785">
            <v>1</v>
          </cell>
          <cell r="M4785" t="str">
            <v>UNID.</v>
          </cell>
          <cell r="N4785" t="str">
            <v>CISTERNA</v>
          </cell>
          <cell r="O4785">
            <v>27</v>
          </cell>
          <cell r="P4785" t="str">
            <v>E2</v>
          </cell>
          <cell r="Q4785" t="str">
            <v>J1</v>
          </cell>
          <cell r="R4785" t="str">
            <v>J8</v>
          </cell>
          <cell r="S4785" t="str">
            <v>ENTREGADO</v>
          </cell>
          <cell r="T4785">
            <v>0</v>
          </cell>
          <cell r="U4785" t="str">
            <v>YUCA BELLIDO BORIS YERSY</v>
          </cell>
          <cell r="V4785" t="str">
            <v>FLOREZ CONDORI  JOSE WILLIANS</v>
          </cell>
        </row>
        <row r="4786">
          <cell r="A4786">
            <v>4785</v>
          </cell>
          <cell r="B4786">
            <v>42763</v>
          </cell>
          <cell r="C4786" t="str">
            <v>ENERO</v>
          </cell>
          <cell r="D4786" t="str">
            <v>2017</v>
          </cell>
          <cell r="E4786">
            <v>940</v>
          </cell>
          <cell r="F4786" t="str">
            <v>X2W-760</v>
          </cell>
          <cell r="G4786" t="str">
            <v>C5V-992</v>
          </cell>
          <cell r="H4786" t="str">
            <v>LAS BAMBAS</v>
          </cell>
          <cell r="I4786">
            <v>155901</v>
          </cell>
          <cell r="J4786" t="str">
            <v>REPUESTO</v>
          </cell>
          <cell r="K4786" t="str">
            <v>FOCO H3 DE 12V</v>
          </cell>
          <cell r="L4786">
            <v>1</v>
          </cell>
          <cell r="M4786" t="str">
            <v>UNID.</v>
          </cell>
          <cell r="N4786" t="str">
            <v>TRACTO</v>
          </cell>
          <cell r="O4786">
            <v>27</v>
          </cell>
          <cell r="P4786" t="str">
            <v>E2</v>
          </cell>
          <cell r="Q4786" t="str">
            <v>J1</v>
          </cell>
          <cell r="R4786" t="str">
            <v>J8</v>
          </cell>
          <cell r="S4786" t="str">
            <v>ENTREGADO</v>
          </cell>
          <cell r="T4786">
            <v>0</v>
          </cell>
          <cell r="U4786" t="str">
            <v>YUCA BELLIDO BORIS YERSY</v>
          </cell>
          <cell r="V4786" t="str">
            <v>FLOREZ CONDORI  JOSE WILLIANS</v>
          </cell>
        </row>
        <row r="4787">
          <cell r="A4787">
            <v>4786</v>
          </cell>
          <cell r="B4787">
            <v>42765</v>
          </cell>
          <cell r="C4787" t="str">
            <v>ENERO</v>
          </cell>
          <cell r="D4787" t="str">
            <v>2017</v>
          </cell>
          <cell r="E4787">
            <v>927</v>
          </cell>
          <cell r="F4787" t="str">
            <v>AHX-713</v>
          </cell>
          <cell r="G4787" t="str">
            <v>D9S-976</v>
          </cell>
          <cell r="H4787" t="str">
            <v>LAS BAMBAS</v>
          </cell>
          <cell r="I4787">
            <v>65921</v>
          </cell>
          <cell r="J4787" t="str">
            <v>REPUESTO</v>
          </cell>
          <cell r="K4787" t="str">
            <v>LLANTAS REENCAUCHADAS</v>
          </cell>
          <cell r="L4787">
            <v>2</v>
          </cell>
          <cell r="M4787" t="str">
            <v>UNID.</v>
          </cell>
          <cell r="N4787" t="str">
            <v>CISTERNA</v>
          </cell>
          <cell r="O4787">
            <v>25</v>
          </cell>
          <cell r="P4787" t="str">
            <v>N1</v>
          </cell>
          <cell r="Q4787" t="str">
            <v>J3</v>
          </cell>
          <cell r="R4787" t="str">
            <v>J6</v>
          </cell>
          <cell r="S4787" t="str">
            <v>ENTREGADO</v>
          </cell>
          <cell r="T4787">
            <v>0</v>
          </cell>
          <cell r="U4787" t="str">
            <v>AGUILAR CCANTUTA WILLY</v>
          </cell>
          <cell r="V4787" t="str">
            <v>CHURA PIZARRO ALBERTO</v>
          </cell>
        </row>
        <row r="4788">
          <cell r="A4788">
            <v>4787</v>
          </cell>
          <cell r="B4788">
            <v>42765</v>
          </cell>
          <cell r="C4788" t="str">
            <v>ENERO</v>
          </cell>
          <cell r="D4788" t="str">
            <v>2017</v>
          </cell>
          <cell r="E4788">
            <v>938</v>
          </cell>
          <cell r="F4788" t="str">
            <v>C9P-948</v>
          </cell>
          <cell r="G4788" t="str">
            <v>B4O-995</v>
          </cell>
          <cell r="H4788" t="str">
            <v>LAS BAMBAS</v>
          </cell>
          <cell r="I4788">
            <v>162533</v>
          </cell>
          <cell r="J4788" t="str">
            <v>REPUESTO</v>
          </cell>
          <cell r="K4788" t="str">
            <v>FAROS NEBLINEROS</v>
          </cell>
          <cell r="L4788">
            <v>2</v>
          </cell>
          <cell r="M4788" t="str">
            <v>UNID.</v>
          </cell>
          <cell r="N4788" t="str">
            <v>TRACTO</v>
          </cell>
          <cell r="O4788">
            <v>25</v>
          </cell>
          <cell r="P4788" t="str">
            <v>E3</v>
          </cell>
          <cell r="Q4788" t="str">
            <v>J7</v>
          </cell>
          <cell r="R4788" t="str">
            <v>J6</v>
          </cell>
          <cell r="S4788" t="str">
            <v>ENTREGADO</v>
          </cell>
          <cell r="T4788">
            <v>0</v>
          </cell>
          <cell r="U4788" t="str">
            <v>CONDORI CHURATA ALEX</v>
          </cell>
          <cell r="V4788" t="str">
            <v>DONAYRE INGA PEDRO</v>
          </cell>
        </row>
        <row r="4789">
          <cell r="A4789">
            <v>4788</v>
          </cell>
          <cell r="B4789">
            <v>42765</v>
          </cell>
          <cell r="C4789" t="str">
            <v>ENERO</v>
          </cell>
          <cell r="D4789" t="str">
            <v>2017</v>
          </cell>
          <cell r="E4789">
            <v>927</v>
          </cell>
          <cell r="F4789" t="str">
            <v>AHX-713</v>
          </cell>
          <cell r="G4789" t="str">
            <v>D9S-976</v>
          </cell>
          <cell r="H4789" t="str">
            <v>LAS BAMBAS</v>
          </cell>
          <cell r="I4789">
            <v>65921</v>
          </cell>
          <cell r="J4789" t="str">
            <v>REPUESTO</v>
          </cell>
          <cell r="K4789" t="str">
            <v>LLANTAS REENCAUCHADAS</v>
          </cell>
          <cell r="L4789">
            <v>2</v>
          </cell>
          <cell r="M4789" t="str">
            <v>UNID.</v>
          </cell>
          <cell r="N4789" t="str">
            <v>CISTERNA</v>
          </cell>
          <cell r="O4789">
            <v>25</v>
          </cell>
          <cell r="P4789" t="str">
            <v>N1</v>
          </cell>
          <cell r="Q4789" t="str">
            <v>J3</v>
          </cell>
          <cell r="R4789" t="str">
            <v>J6</v>
          </cell>
          <cell r="S4789" t="str">
            <v>ENTREGADO</v>
          </cell>
          <cell r="T4789">
            <v>0</v>
          </cell>
          <cell r="U4789" t="str">
            <v>AGUILAR CCANTUTA WILLY</v>
          </cell>
          <cell r="V4789" t="str">
            <v>CHURA PIZARRO ALBERTO</v>
          </cell>
        </row>
        <row r="4790">
          <cell r="A4790">
            <v>4789</v>
          </cell>
          <cell r="B4790">
            <v>42765</v>
          </cell>
          <cell r="C4790" t="str">
            <v>ENERO</v>
          </cell>
          <cell r="D4790" t="str">
            <v>2017</v>
          </cell>
          <cell r="E4790">
            <v>202</v>
          </cell>
          <cell r="F4790" t="str">
            <v>D3P-752</v>
          </cell>
          <cell r="G4790" t="str">
            <v>C5Y-985</v>
          </cell>
          <cell r="H4790" t="str">
            <v>LAS BAMBAS</v>
          </cell>
          <cell r="I4790">
            <v>150504</v>
          </cell>
          <cell r="J4790" t="str">
            <v>REPUESTO</v>
          </cell>
          <cell r="K4790" t="str">
            <v>LLANTA</v>
          </cell>
          <cell r="L4790">
            <v>1</v>
          </cell>
          <cell r="M4790" t="str">
            <v>UNID.</v>
          </cell>
          <cell r="N4790" t="str">
            <v>CISTERNA</v>
          </cell>
          <cell r="O4790">
            <v>25</v>
          </cell>
          <cell r="P4790" t="str">
            <v>N1</v>
          </cell>
          <cell r="Q4790" t="str">
            <v>J3</v>
          </cell>
          <cell r="R4790" t="str">
            <v>J6</v>
          </cell>
          <cell r="S4790" t="str">
            <v>ENTREGADO</v>
          </cell>
          <cell r="T4790">
            <v>0</v>
          </cell>
          <cell r="U4790" t="str">
            <v>AGUILAR CCANTUTA WILLY</v>
          </cell>
          <cell r="V4790" t="str">
            <v>CHURA PIZARRO ALBERTO</v>
          </cell>
        </row>
        <row r="4791">
          <cell r="A4791">
            <v>4790</v>
          </cell>
          <cell r="B4791">
            <v>42765</v>
          </cell>
          <cell r="C4791" t="str">
            <v>ENERO</v>
          </cell>
          <cell r="D4791" t="str">
            <v>2017</v>
          </cell>
          <cell r="E4791">
            <v>200</v>
          </cell>
          <cell r="F4791" t="str">
            <v>TALLER</v>
          </cell>
          <cell r="G4791" t="str">
            <v>TALLER</v>
          </cell>
          <cell r="H4791" t="str">
            <v>TALLER</v>
          </cell>
          <cell r="I4791" t="str">
            <v>TALLER</v>
          </cell>
          <cell r="J4791" t="str">
            <v>INSUMO TALLER</v>
          </cell>
          <cell r="K4791" t="str">
            <v>CINTA AISLANTE NEGRA</v>
          </cell>
          <cell r="L4791">
            <v>1</v>
          </cell>
          <cell r="M4791" t="str">
            <v>UNID.</v>
          </cell>
          <cell r="N4791" t="str">
            <v>TALLER</v>
          </cell>
          <cell r="O4791">
            <v>25</v>
          </cell>
          <cell r="P4791" t="str">
            <v>E3</v>
          </cell>
          <cell r="Q4791" t="str">
            <v>J7</v>
          </cell>
          <cell r="R4791" t="str">
            <v>J6</v>
          </cell>
          <cell r="S4791" t="str">
            <v>ENTREGADO</v>
          </cell>
          <cell r="T4791">
            <v>0</v>
          </cell>
          <cell r="U4791" t="str">
            <v>CONDORI CHURATA ALEX</v>
          </cell>
          <cell r="V4791" t="str">
            <v>DONAYRE INGA PEDRO</v>
          </cell>
        </row>
        <row r="4792">
          <cell r="A4792">
            <v>4791</v>
          </cell>
          <cell r="B4792">
            <v>42765</v>
          </cell>
          <cell r="C4792" t="str">
            <v>ENERO</v>
          </cell>
          <cell r="D4792" t="str">
            <v>2017</v>
          </cell>
          <cell r="E4792">
            <v>200</v>
          </cell>
          <cell r="F4792" t="str">
            <v>TALLER</v>
          </cell>
          <cell r="G4792" t="str">
            <v>TALLER</v>
          </cell>
          <cell r="H4792" t="str">
            <v>TALLER</v>
          </cell>
          <cell r="I4792" t="str">
            <v>TALLER</v>
          </cell>
          <cell r="J4792" t="str">
            <v>INSUMO TALLER</v>
          </cell>
          <cell r="K4792" t="str">
            <v>PRESINTOS 200</v>
          </cell>
          <cell r="L4792">
            <v>10</v>
          </cell>
          <cell r="M4792" t="str">
            <v>UNID.</v>
          </cell>
          <cell r="N4792" t="str">
            <v>TALLER</v>
          </cell>
          <cell r="O4792">
            <v>25</v>
          </cell>
          <cell r="P4792" t="str">
            <v>E3</v>
          </cell>
          <cell r="Q4792" t="str">
            <v>J7</v>
          </cell>
          <cell r="R4792" t="str">
            <v>J6</v>
          </cell>
          <cell r="S4792" t="str">
            <v>ENTREGADO</v>
          </cell>
          <cell r="T4792">
            <v>0</v>
          </cell>
          <cell r="U4792" t="str">
            <v>CONDORI CHURATA ALEX</v>
          </cell>
          <cell r="V4792" t="str">
            <v>DONAYRE INGA PEDRO</v>
          </cell>
        </row>
        <row r="4793">
          <cell r="A4793">
            <v>4792</v>
          </cell>
          <cell r="B4793">
            <v>42765</v>
          </cell>
          <cell r="C4793" t="str">
            <v>ENERO</v>
          </cell>
          <cell r="D4793" t="str">
            <v>2017</v>
          </cell>
          <cell r="E4793">
            <v>938</v>
          </cell>
          <cell r="F4793" t="str">
            <v>C9P-948</v>
          </cell>
          <cell r="G4793" t="str">
            <v>B4O-995</v>
          </cell>
          <cell r="H4793" t="str">
            <v>LAS BAMBAS</v>
          </cell>
          <cell r="I4793">
            <v>162533</v>
          </cell>
          <cell r="J4793" t="str">
            <v>INSUMO TALLER</v>
          </cell>
          <cell r="K4793" t="str">
            <v>SPRAY COLOR BLANCO</v>
          </cell>
          <cell r="L4793">
            <v>1</v>
          </cell>
          <cell r="M4793" t="str">
            <v>UNID.</v>
          </cell>
          <cell r="N4793" t="str">
            <v>TALLER</v>
          </cell>
          <cell r="O4793">
            <v>25</v>
          </cell>
          <cell r="P4793" t="str">
            <v>J3</v>
          </cell>
          <cell r="Q4793" t="str">
            <v>J3</v>
          </cell>
          <cell r="R4793" t="str">
            <v>J6</v>
          </cell>
          <cell r="S4793" t="str">
            <v>ENTREGADO</v>
          </cell>
          <cell r="T4793">
            <v>0</v>
          </cell>
          <cell r="U4793" t="str">
            <v>CHURA PIZARRO ALBERTO</v>
          </cell>
          <cell r="V4793" t="str">
            <v>CHURA PIZARRO ALBERTO</v>
          </cell>
        </row>
        <row r="4794">
          <cell r="A4794">
            <v>4793</v>
          </cell>
          <cell r="B4794">
            <v>42765</v>
          </cell>
          <cell r="C4794" t="str">
            <v>ENERO</v>
          </cell>
          <cell r="D4794" t="str">
            <v>2017</v>
          </cell>
          <cell r="E4794">
            <v>938</v>
          </cell>
          <cell r="F4794" t="str">
            <v>C9P-948</v>
          </cell>
          <cell r="G4794" t="str">
            <v>B4O-995</v>
          </cell>
          <cell r="H4794" t="str">
            <v>LAS BAMBAS</v>
          </cell>
          <cell r="I4794">
            <v>162533</v>
          </cell>
          <cell r="J4794" t="str">
            <v>INSUMO TALLER</v>
          </cell>
          <cell r="K4794" t="str">
            <v>SPRAY COLOR ALUMINIO</v>
          </cell>
          <cell r="L4794">
            <v>1</v>
          </cell>
          <cell r="M4794" t="str">
            <v>UNID.</v>
          </cell>
          <cell r="N4794" t="str">
            <v>TALLER</v>
          </cell>
          <cell r="O4794">
            <v>25</v>
          </cell>
          <cell r="P4794" t="str">
            <v>J3</v>
          </cell>
          <cell r="Q4794" t="str">
            <v>J3</v>
          </cell>
          <cell r="R4794" t="str">
            <v>J6</v>
          </cell>
          <cell r="S4794" t="str">
            <v>ENTREGADO</v>
          </cell>
          <cell r="T4794">
            <v>0</v>
          </cell>
          <cell r="U4794" t="str">
            <v>CHURA PIZARRO ALBERTO</v>
          </cell>
          <cell r="V4794" t="str">
            <v>CHURA PIZARRO ALBERTO</v>
          </cell>
        </row>
        <row r="4795">
          <cell r="A4795">
            <v>4794</v>
          </cell>
          <cell r="B4795">
            <v>42765</v>
          </cell>
          <cell r="C4795" t="str">
            <v>ENERO</v>
          </cell>
          <cell r="D4795" t="str">
            <v>2017</v>
          </cell>
          <cell r="E4795">
            <v>938</v>
          </cell>
          <cell r="F4795" t="str">
            <v>C9P-948</v>
          </cell>
          <cell r="G4795" t="str">
            <v>B4O-995</v>
          </cell>
          <cell r="H4795" t="str">
            <v>LAS BAMBAS</v>
          </cell>
          <cell r="I4795">
            <v>162533</v>
          </cell>
          <cell r="J4795" t="str">
            <v>REPUESTO</v>
          </cell>
          <cell r="K4795" t="str">
            <v>FILTRO DE AIRE</v>
          </cell>
          <cell r="L4795">
            <v>1</v>
          </cell>
          <cell r="M4795" t="str">
            <v>UNID.</v>
          </cell>
          <cell r="N4795" t="str">
            <v>TRACTO</v>
          </cell>
          <cell r="O4795">
            <v>25</v>
          </cell>
          <cell r="P4795" t="str">
            <v>M6</v>
          </cell>
          <cell r="Q4795" t="str">
            <v>J7</v>
          </cell>
          <cell r="R4795" t="str">
            <v>J6</v>
          </cell>
          <cell r="S4795" t="str">
            <v>ENTREGADO</v>
          </cell>
          <cell r="T4795">
            <v>0</v>
          </cell>
          <cell r="U4795" t="str">
            <v>PARI VENTURA  EDSON ORLANDO</v>
          </cell>
          <cell r="V4795" t="str">
            <v>DONAYRE INGA PEDRO</v>
          </cell>
        </row>
        <row r="4796">
          <cell r="A4796">
            <v>4795</v>
          </cell>
          <cell r="B4796">
            <v>42765</v>
          </cell>
          <cell r="C4796" t="str">
            <v>ENERO</v>
          </cell>
          <cell r="D4796" t="str">
            <v>2017</v>
          </cell>
          <cell r="E4796">
            <v>938</v>
          </cell>
          <cell r="F4796" t="str">
            <v>C9P-948</v>
          </cell>
          <cell r="G4796" t="str">
            <v>B4O-995</v>
          </cell>
          <cell r="H4796" t="str">
            <v>LAS BAMBAS</v>
          </cell>
          <cell r="I4796">
            <v>162533</v>
          </cell>
          <cell r="J4796" t="str">
            <v>REPUESTO</v>
          </cell>
          <cell r="K4796" t="str">
            <v>FILTRO SEPARADOR VALVULA</v>
          </cell>
          <cell r="L4796">
            <v>1</v>
          </cell>
          <cell r="M4796" t="str">
            <v>UNID.</v>
          </cell>
          <cell r="N4796" t="str">
            <v>TRACTO</v>
          </cell>
          <cell r="O4796">
            <v>25</v>
          </cell>
          <cell r="P4796" t="str">
            <v>M6</v>
          </cell>
          <cell r="Q4796" t="str">
            <v>J7</v>
          </cell>
          <cell r="R4796" t="str">
            <v>J6</v>
          </cell>
          <cell r="S4796" t="str">
            <v>ENTREGADO</v>
          </cell>
          <cell r="T4796">
            <v>0</v>
          </cell>
          <cell r="U4796" t="str">
            <v>PARI VENTURA  EDSON ORLANDO</v>
          </cell>
          <cell r="V4796" t="str">
            <v>DONAYRE INGA PEDRO</v>
          </cell>
        </row>
        <row r="4797">
          <cell r="A4797">
            <v>4796</v>
          </cell>
          <cell r="B4797">
            <v>42765</v>
          </cell>
          <cell r="C4797" t="str">
            <v>ENERO</v>
          </cell>
          <cell r="D4797" t="str">
            <v>2017</v>
          </cell>
          <cell r="E4797">
            <v>938</v>
          </cell>
          <cell r="F4797" t="str">
            <v>C9P-948</v>
          </cell>
          <cell r="G4797" t="str">
            <v>B4O-995</v>
          </cell>
          <cell r="H4797" t="str">
            <v>LAS BAMBAS</v>
          </cell>
          <cell r="I4797">
            <v>162533</v>
          </cell>
          <cell r="J4797" t="str">
            <v>REPUESTO</v>
          </cell>
          <cell r="K4797" t="str">
            <v>FILTRO DE ACEITE</v>
          </cell>
          <cell r="L4797">
            <v>1</v>
          </cell>
          <cell r="M4797" t="str">
            <v>UNID.</v>
          </cell>
          <cell r="N4797" t="str">
            <v>TRACTO</v>
          </cell>
          <cell r="O4797">
            <v>25</v>
          </cell>
          <cell r="P4797" t="str">
            <v>M6</v>
          </cell>
          <cell r="Q4797" t="str">
            <v>J7</v>
          </cell>
          <cell r="R4797" t="str">
            <v>J6</v>
          </cell>
          <cell r="S4797" t="str">
            <v>ENTREGADO</v>
          </cell>
          <cell r="T4797">
            <v>0</v>
          </cell>
          <cell r="U4797" t="str">
            <v>PARI VENTURA  EDSON ORLANDO</v>
          </cell>
          <cell r="V4797" t="str">
            <v>DONAYRE INGA PEDRO</v>
          </cell>
        </row>
        <row r="4798">
          <cell r="A4798">
            <v>4797</v>
          </cell>
          <cell r="B4798">
            <v>42765</v>
          </cell>
          <cell r="C4798" t="str">
            <v>ENERO</v>
          </cell>
          <cell r="D4798" t="str">
            <v>2017</v>
          </cell>
          <cell r="E4798">
            <v>938</v>
          </cell>
          <cell r="F4798" t="str">
            <v>C9P-948</v>
          </cell>
          <cell r="G4798" t="str">
            <v>B4O-995</v>
          </cell>
          <cell r="H4798" t="str">
            <v>LAS BAMBAS</v>
          </cell>
          <cell r="I4798">
            <v>162533</v>
          </cell>
          <cell r="J4798" t="str">
            <v>REPUESTO</v>
          </cell>
          <cell r="K4798" t="str">
            <v>ACEITE 15W40</v>
          </cell>
          <cell r="L4798">
            <v>10</v>
          </cell>
          <cell r="M4798" t="str">
            <v>GLNS.</v>
          </cell>
          <cell r="N4798" t="str">
            <v>TRACTO</v>
          </cell>
          <cell r="O4798">
            <v>25</v>
          </cell>
          <cell r="P4798" t="str">
            <v>M6</v>
          </cell>
          <cell r="Q4798" t="str">
            <v>J7</v>
          </cell>
          <cell r="R4798" t="str">
            <v>J6</v>
          </cell>
          <cell r="S4798" t="str">
            <v>ENTREGADO</v>
          </cell>
          <cell r="T4798">
            <v>0</v>
          </cell>
          <cell r="U4798" t="str">
            <v>PARI VENTURA  EDSON ORLANDO</v>
          </cell>
          <cell r="V4798" t="str">
            <v>DONAYRE INGA PEDRO</v>
          </cell>
        </row>
        <row r="4799">
          <cell r="A4799">
            <v>4798</v>
          </cell>
          <cell r="B4799">
            <v>42765</v>
          </cell>
          <cell r="C4799" t="str">
            <v>ENERO</v>
          </cell>
          <cell r="D4799" t="str">
            <v>2017</v>
          </cell>
          <cell r="E4799">
            <v>938</v>
          </cell>
          <cell r="F4799" t="str">
            <v>C9P-948</v>
          </cell>
          <cell r="G4799" t="str">
            <v>B4O-995</v>
          </cell>
          <cell r="H4799" t="str">
            <v>LAS BAMBAS</v>
          </cell>
          <cell r="I4799">
            <v>162533</v>
          </cell>
          <cell r="J4799" t="str">
            <v>REPUESTO</v>
          </cell>
          <cell r="K4799" t="str">
            <v>LIQUIDO REFRIGERANTE</v>
          </cell>
          <cell r="L4799">
            <v>0.5</v>
          </cell>
          <cell r="M4799" t="str">
            <v>GLNS.</v>
          </cell>
          <cell r="N4799" t="str">
            <v>TRACTO</v>
          </cell>
          <cell r="O4799">
            <v>25</v>
          </cell>
          <cell r="P4799" t="str">
            <v>M2</v>
          </cell>
          <cell r="Q4799" t="str">
            <v>J7</v>
          </cell>
          <cell r="R4799" t="str">
            <v>J6</v>
          </cell>
          <cell r="S4799" t="str">
            <v>ENTREGADO</v>
          </cell>
          <cell r="T4799">
            <v>0</v>
          </cell>
          <cell r="U4799" t="str">
            <v>CHUMPITAZ GAGO JULIO ENRIQUE</v>
          </cell>
          <cell r="V4799" t="str">
            <v>DONAYRE INGA PEDRO</v>
          </cell>
        </row>
        <row r="4800">
          <cell r="A4800">
            <v>4799</v>
          </cell>
          <cell r="B4800">
            <v>42765</v>
          </cell>
          <cell r="C4800" t="str">
            <v>ENERO</v>
          </cell>
          <cell r="D4800" t="str">
            <v>2017</v>
          </cell>
          <cell r="E4800">
            <v>202</v>
          </cell>
          <cell r="F4800" t="str">
            <v>D3P-752</v>
          </cell>
          <cell r="G4800" t="str">
            <v>C5Y-985</v>
          </cell>
          <cell r="H4800" t="str">
            <v>LAS BAMBAS</v>
          </cell>
          <cell r="I4800">
            <v>150504</v>
          </cell>
          <cell r="J4800" t="str">
            <v>REPUESTO</v>
          </cell>
          <cell r="K4800" t="str">
            <v>LIQUIDO REFRIGERANTE</v>
          </cell>
          <cell r="L4800">
            <v>1</v>
          </cell>
          <cell r="M4800" t="str">
            <v>GLNS.</v>
          </cell>
          <cell r="N4800" t="str">
            <v>TRACTO</v>
          </cell>
          <cell r="O4800">
            <v>25</v>
          </cell>
          <cell r="P4800" t="str">
            <v>M2</v>
          </cell>
          <cell r="Q4800" t="str">
            <v>J7</v>
          </cell>
          <cell r="R4800" t="str">
            <v>J6</v>
          </cell>
          <cell r="S4800" t="str">
            <v>ENTREGADO</v>
          </cell>
          <cell r="T4800">
            <v>0</v>
          </cell>
          <cell r="U4800" t="str">
            <v>CHUMPITAZ GAGO JULIO ENRIQUE</v>
          </cell>
          <cell r="V4800" t="str">
            <v>DONAYRE INGA PEDRO</v>
          </cell>
        </row>
        <row r="4801">
          <cell r="A4801">
            <v>4800</v>
          </cell>
          <cell r="B4801">
            <v>42765</v>
          </cell>
          <cell r="C4801" t="str">
            <v>ENERO</v>
          </cell>
          <cell r="D4801" t="str">
            <v>2017</v>
          </cell>
          <cell r="E4801">
            <v>942</v>
          </cell>
          <cell r="F4801" t="str">
            <v>B2L-889</v>
          </cell>
          <cell r="G4801" t="str">
            <v>CAMION</v>
          </cell>
          <cell r="H4801" t="str">
            <v>TAMBOMAYO</v>
          </cell>
          <cell r="I4801">
            <v>125256</v>
          </cell>
          <cell r="J4801" t="str">
            <v>REPUESTO</v>
          </cell>
          <cell r="K4801" t="str">
            <v>DISCO DE CORTE 7"</v>
          </cell>
          <cell r="L4801">
            <v>1</v>
          </cell>
          <cell r="M4801" t="str">
            <v>UNID.</v>
          </cell>
          <cell r="N4801" t="str">
            <v>CAMION</v>
          </cell>
          <cell r="O4801">
            <v>25</v>
          </cell>
          <cell r="P4801" t="str">
            <v>S4</v>
          </cell>
          <cell r="Q4801" t="str">
            <v>J7</v>
          </cell>
          <cell r="R4801" t="str">
            <v>J6</v>
          </cell>
          <cell r="S4801" t="str">
            <v>ENTREGADO</v>
          </cell>
          <cell r="T4801">
            <v>0</v>
          </cell>
          <cell r="U4801" t="str">
            <v>SURCO QUISPE JOHNNY</v>
          </cell>
          <cell r="V4801" t="str">
            <v>DONAYRE INGA PEDRO</v>
          </cell>
        </row>
        <row r="4802">
          <cell r="A4802">
            <v>4801</v>
          </cell>
          <cell r="B4802">
            <v>42765</v>
          </cell>
          <cell r="C4802" t="str">
            <v>ENERO</v>
          </cell>
          <cell r="D4802" t="str">
            <v>2017</v>
          </cell>
          <cell r="E4802">
            <v>942</v>
          </cell>
          <cell r="F4802" t="str">
            <v>B2L-889</v>
          </cell>
          <cell r="G4802" t="str">
            <v>CAMION</v>
          </cell>
          <cell r="H4802" t="str">
            <v>TAMBOMAYO</v>
          </cell>
          <cell r="I4802">
            <v>125256</v>
          </cell>
          <cell r="J4802" t="str">
            <v>REPUESTO</v>
          </cell>
          <cell r="K4802" t="str">
            <v>DISCO DE CORTE 4"</v>
          </cell>
          <cell r="L4802">
            <v>1</v>
          </cell>
          <cell r="M4802" t="str">
            <v>UNID.</v>
          </cell>
          <cell r="N4802" t="str">
            <v>CAMION</v>
          </cell>
          <cell r="O4802">
            <v>25</v>
          </cell>
          <cell r="P4802" t="str">
            <v>S4</v>
          </cell>
          <cell r="Q4802" t="str">
            <v>J7</v>
          </cell>
          <cell r="R4802" t="str">
            <v>J6</v>
          </cell>
          <cell r="S4802" t="str">
            <v>ENTREGADO</v>
          </cell>
          <cell r="T4802">
            <v>0</v>
          </cell>
          <cell r="U4802" t="str">
            <v>SURCO QUISPE JOHNNY</v>
          </cell>
          <cell r="V4802" t="str">
            <v>DONAYRE INGA PEDRO</v>
          </cell>
        </row>
        <row r="4803">
          <cell r="A4803">
            <v>4802</v>
          </cell>
          <cell r="B4803">
            <v>42765</v>
          </cell>
          <cell r="C4803" t="str">
            <v>ENERO</v>
          </cell>
          <cell r="D4803" t="str">
            <v>2017</v>
          </cell>
          <cell r="E4803">
            <v>942</v>
          </cell>
          <cell r="F4803" t="str">
            <v>B2L-889</v>
          </cell>
          <cell r="G4803" t="str">
            <v>CAMION</v>
          </cell>
          <cell r="H4803" t="str">
            <v>TAMBOMAYO</v>
          </cell>
          <cell r="I4803">
            <v>125256</v>
          </cell>
          <cell r="J4803" t="str">
            <v>REPUESTO</v>
          </cell>
          <cell r="K4803" t="str">
            <v>LUNA CLARA SOLDAR</v>
          </cell>
          <cell r="L4803">
            <v>2</v>
          </cell>
          <cell r="M4803" t="str">
            <v>UNID.</v>
          </cell>
          <cell r="N4803" t="str">
            <v>CAMION</v>
          </cell>
          <cell r="O4803">
            <v>25</v>
          </cell>
          <cell r="P4803" t="str">
            <v>S4</v>
          </cell>
          <cell r="Q4803" t="str">
            <v>J7</v>
          </cell>
          <cell r="R4803" t="str">
            <v>J6</v>
          </cell>
          <cell r="S4803" t="str">
            <v>ENTREGADO</v>
          </cell>
          <cell r="T4803">
            <v>0</v>
          </cell>
          <cell r="U4803" t="str">
            <v>SURCO QUISPE JOHNNY</v>
          </cell>
          <cell r="V4803" t="str">
            <v>DONAYRE INGA PEDRO</v>
          </cell>
        </row>
        <row r="4804">
          <cell r="A4804">
            <v>4803</v>
          </cell>
          <cell r="B4804">
            <v>42765</v>
          </cell>
          <cell r="C4804" t="str">
            <v>ENERO</v>
          </cell>
          <cell r="D4804" t="str">
            <v>2017</v>
          </cell>
          <cell r="E4804">
            <v>942</v>
          </cell>
          <cell r="F4804" t="str">
            <v>B2L-889</v>
          </cell>
          <cell r="G4804" t="str">
            <v>CAMION</v>
          </cell>
          <cell r="H4804" t="str">
            <v>TAMBOMAYO</v>
          </cell>
          <cell r="I4804">
            <v>125256</v>
          </cell>
          <cell r="J4804" t="str">
            <v>REPUESTO</v>
          </cell>
          <cell r="K4804" t="str">
            <v>CELLOCORD 1/8</v>
          </cell>
          <cell r="L4804">
            <v>1</v>
          </cell>
          <cell r="M4804" t="str">
            <v>UNID.</v>
          </cell>
          <cell r="N4804" t="str">
            <v>CAMION</v>
          </cell>
          <cell r="O4804">
            <v>25</v>
          </cell>
          <cell r="P4804" t="str">
            <v>S4</v>
          </cell>
          <cell r="Q4804" t="str">
            <v>J7</v>
          </cell>
          <cell r="R4804" t="str">
            <v>J6</v>
          </cell>
          <cell r="S4804" t="str">
            <v>ENTREGADO</v>
          </cell>
          <cell r="T4804">
            <v>0</v>
          </cell>
          <cell r="U4804" t="str">
            <v>SURCO QUISPE JOHNNY</v>
          </cell>
          <cell r="V4804" t="str">
            <v>DONAYRE INGA PEDRO</v>
          </cell>
        </row>
        <row r="4805">
          <cell r="A4805">
            <v>4804</v>
          </cell>
          <cell r="B4805">
            <v>42765</v>
          </cell>
          <cell r="C4805" t="str">
            <v>ENERO</v>
          </cell>
          <cell r="D4805" t="str">
            <v>2017</v>
          </cell>
          <cell r="E4805">
            <v>938</v>
          </cell>
          <cell r="F4805" t="str">
            <v>C9P-948</v>
          </cell>
          <cell r="G4805" t="str">
            <v>B4O-995</v>
          </cell>
          <cell r="H4805" t="str">
            <v>LAS BAMBAS</v>
          </cell>
          <cell r="I4805">
            <v>162533</v>
          </cell>
          <cell r="J4805" t="str">
            <v>REPUESTO</v>
          </cell>
          <cell r="K4805" t="str">
            <v>FOCO PILOTO DE UN CONTACTO 12 V</v>
          </cell>
          <cell r="L4805">
            <v>1</v>
          </cell>
          <cell r="M4805" t="str">
            <v>UNID.</v>
          </cell>
          <cell r="N4805" t="str">
            <v>TRACTO</v>
          </cell>
          <cell r="O4805">
            <v>25</v>
          </cell>
          <cell r="P4805" t="str">
            <v>E3</v>
          </cell>
          <cell r="Q4805" t="str">
            <v>J7</v>
          </cell>
          <cell r="R4805" t="str">
            <v>J6</v>
          </cell>
          <cell r="S4805" t="str">
            <v>ENTREGADO</v>
          </cell>
          <cell r="T4805">
            <v>0</v>
          </cell>
          <cell r="U4805" t="str">
            <v>CONDORI CHURATA ALEX</v>
          </cell>
          <cell r="V4805" t="str">
            <v>DONAYRE INGA PEDRO</v>
          </cell>
        </row>
        <row r="4806">
          <cell r="A4806">
            <v>4805</v>
          </cell>
          <cell r="B4806">
            <v>42765</v>
          </cell>
          <cell r="C4806" t="str">
            <v>ENERO</v>
          </cell>
          <cell r="D4806" t="str">
            <v>2017</v>
          </cell>
          <cell r="E4806">
            <v>200</v>
          </cell>
          <cell r="F4806" t="str">
            <v>TALLER</v>
          </cell>
          <cell r="G4806" t="str">
            <v>TALLER</v>
          </cell>
          <cell r="H4806" t="str">
            <v>TALLER</v>
          </cell>
          <cell r="I4806" t="str">
            <v>TALLER</v>
          </cell>
          <cell r="J4806" t="str">
            <v>HERRAMIENTAS</v>
          </cell>
          <cell r="K4806" t="str">
            <v>EXTENSION PARA TORQUIMETRO CON ENCASTRE DE 1"</v>
          </cell>
          <cell r="L4806">
            <v>1</v>
          </cell>
          <cell r="M4806" t="str">
            <v>UNID.</v>
          </cell>
          <cell r="N4806" t="str">
            <v>TALLER</v>
          </cell>
          <cell r="O4806">
            <v>25</v>
          </cell>
          <cell r="P4806" t="str">
            <v>J3</v>
          </cell>
          <cell r="Q4806" t="str">
            <v>J3</v>
          </cell>
          <cell r="R4806" t="str">
            <v>J6</v>
          </cell>
          <cell r="S4806" t="str">
            <v>PENDIENTE</v>
          </cell>
          <cell r="T4806">
            <v>0</v>
          </cell>
          <cell r="U4806" t="str">
            <v>CHURA PIZARRO ALBERTO</v>
          </cell>
          <cell r="V4806" t="str">
            <v>CHURA PIZARRO ALBERTO</v>
          </cell>
        </row>
        <row r="4807">
          <cell r="A4807">
            <v>4806</v>
          </cell>
          <cell r="B4807">
            <v>42765</v>
          </cell>
          <cell r="C4807" t="str">
            <v>ENERO</v>
          </cell>
          <cell r="D4807" t="str">
            <v>2017</v>
          </cell>
          <cell r="E4807">
            <v>200</v>
          </cell>
          <cell r="F4807" t="str">
            <v>TALLER</v>
          </cell>
          <cell r="G4807" t="str">
            <v>TALLER</v>
          </cell>
          <cell r="H4807" t="str">
            <v>TALLER</v>
          </cell>
          <cell r="I4807" t="str">
            <v>TALLER</v>
          </cell>
          <cell r="J4807" t="str">
            <v>IMPLEMENTACION</v>
          </cell>
          <cell r="K4807" t="str">
            <v>PLANCHA 1/8 X 4M X 8M</v>
          </cell>
          <cell r="L4807">
            <v>1</v>
          </cell>
          <cell r="M4807" t="str">
            <v>UNID.</v>
          </cell>
          <cell r="N4807" t="str">
            <v>TALLER</v>
          </cell>
          <cell r="O4807">
            <v>25</v>
          </cell>
          <cell r="P4807" t="str">
            <v>S1</v>
          </cell>
          <cell r="Q4807" t="str">
            <v>J7</v>
          </cell>
          <cell r="R4807" t="str">
            <v>J6</v>
          </cell>
          <cell r="S4807" t="str">
            <v>PENDIENTE</v>
          </cell>
          <cell r="T4807">
            <v>0</v>
          </cell>
          <cell r="U4807" t="str">
            <v>BAYONA CRUZ CRISTIAN ARMANDO</v>
          </cell>
          <cell r="V4807" t="str">
            <v>DONAYRE INGA PEDRO</v>
          </cell>
        </row>
        <row r="4808">
          <cell r="A4808">
            <v>4807</v>
          </cell>
          <cell r="B4808">
            <v>42765</v>
          </cell>
          <cell r="C4808" t="str">
            <v>ENERO</v>
          </cell>
          <cell r="D4808" t="str">
            <v>2017</v>
          </cell>
          <cell r="E4808">
            <v>200</v>
          </cell>
          <cell r="F4808" t="str">
            <v>TALLER</v>
          </cell>
          <cell r="G4808" t="str">
            <v>TALLER</v>
          </cell>
          <cell r="H4808" t="str">
            <v>TALLER</v>
          </cell>
          <cell r="I4808" t="str">
            <v>TALLER</v>
          </cell>
          <cell r="J4808" t="str">
            <v>IMPLEMENTACION</v>
          </cell>
          <cell r="K4808" t="str">
            <v>BROCA 1/4</v>
          </cell>
          <cell r="L4808">
            <v>1</v>
          </cell>
          <cell r="M4808" t="str">
            <v>UNID.</v>
          </cell>
          <cell r="N4808" t="str">
            <v>TALLER</v>
          </cell>
          <cell r="O4808">
            <v>2</v>
          </cell>
          <cell r="P4808" t="str">
            <v>S1</v>
          </cell>
          <cell r="Q4808" t="str">
            <v>J7</v>
          </cell>
          <cell r="R4808" t="str">
            <v>J6</v>
          </cell>
          <cell r="S4808" t="str">
            <v>ENTREGADO</v>
          </cell>
          <cell r="T4808">
            <v>42767</v>
          </cell>
          <cell r="U4808" t="str">
            <v>BAYONA CRUZ CRISTIAN ARMANDO</v>
          </cell>
          <cell r="V4808" t="str">
            <v>DONAYRE INGA PEDRO</v>
          </cell>
        </row>
        <row r="4809">
          <cell r="A4809">
            <v>4808</v>
          </cell>
          <cell r="B4809">
            <v>42765</v>
          </cell>
          <cell r="C4809" t="str">
            <v>ENERO</v>
          </cell>
          <cell r="D4809" t="str">
            <v>2017</v>
          </cell>
          <cell r="E4809">
            <v>200</v>
          </cell>
          <cell r="F4809" t="str">
            <v>TALLER</v>
          </cell>
          <cell r="G4809" t="str">
            <v>TALLER</v>
          </cell>
          <cell r="H4809" t="str">
            <v>TALLER</v>
          </cell>
          <cell r="I4809" t="str">
            <v>TALLER</v>
          </cell>
          <cell r="J4809" t="str">
            <v>IMPLEMENTACION</v>
          </cell>
          <cell r="K4809" t="str">
            <v>BROCA 5/16</v>
          </cell>
          <cell r="L4809">
            <v>1</v>
          </cell>
          <cell r="M4809" t="str">
            <v>UNID.</v>
          </cell>
          <cell r="N4809" t="str">
            <v>TALLER</v>
          </cell>
          <cell r="O4809">
            <v>2</v>
          </cell>
          <cell r="P4809" t="str">
            <v>S1</v>
          </cell>
          <cell r="Q4809" t="str">
            <v>J7</v>
          </cell>
          <cell r="R4809" t="str">
            <v>J6</v>
          </cell>
          <cell r="S4809" t="str">
            <v>ENTREGADO</v>
          </cell>
          <cell r="T4809">
            <v>42767</v>
          </cell>
          <cell r="U4809" t="str">
            <v>BAYONA CRUZ CRISTIAN ARMANDO</v>
          </cell>
          <cell r="V4809" t="str">
            <v>DONAYRE INGA PEDRO</v>
          </cell>
        </row>
        <row r="4810">
          <cell r="A4810">
            <v>4809</v>
          </cell>
          <cell r="B4810">
            <v>42765</v>
          </cell>
          <cell r="C4810" t="str">
            <v>ENERO</v>
          </cell>
          <cell r="D4810" t="str">
            <v>2017</v>
          </cell>
          <cell r="E4810">
            <v>200</v>
          </cell>
          <cell r="F4810" t="str">
            <v>TALLER</v>
          </cell>
          <cell r="G4810" t="str">
            <v>TALLER</v>
          </cell>
          <cell r="H4810" t="str">
            <v>TALLER</v>
          </cell>
          <cell r="I4810" t="str">
            <v>TALLER</v>
          </cell>
          <cell r="J4810" t="str">
            <v>IMPLEMENTACION</v>
          </cell>
          <cell r="K4810" t="str">
            <v>BROCA 3/8</v>
          </cell>
          <cell r="L4810">
            <v>1</v>
          </cell>
          <cell r="M4810" t="str">
            <v>UNID.</v>
          </cell>
          <cell r="N4810" t="str">
            <v>TALLER</v>
          </cell>
          <cell r="O4810">
            <v>2</v>
          </cell>
          <cell r="P4810" t="str">
            <v>S1</v>
          </cell>
          <cell r="Q4810" t="str">
            <v>J7</v>
          </cell>
          <cell r="R4810" t="str">
            <v>J6</v>
          </cell>
          <cell r="S4810" t="str">
            <v>ENTREGADO</v>
          </cell>
          <cell r="T4810">
            <v>42767</v>
          </cell>
          <cell r="U4810" t="str">
            <v>BAYONA CRUZ CRISTIAN ARMANDO</v>
          </cell>
          <cell r="V4810" t="str">
            <v>DONAYRE INGA PEDRO</v>
          </cell>
        </row>
        <row r="4811">
          <cell r="A4811">
            <v>4810</v>
          </cell>
          <cell r="B4811">
            <v>42765</v>
          </cell>
          <cell r="C4811" t="str">
            <v>ENERO</v>
          </cell>
          <cell r="D4811" t="str">
            <v>2017</v>
          </cell>
          <cell r="E4811">
            <v>200</v>
          </cell>
          <cell r="F4811" t="str">
            <v>TALLER</v>
          </cell>
          <cell r="G4811" t="str">
            <v>TALLER</v>
          </cell>
          <cell r="H4811" t="str">
            <v>TALLER</v>
          </cell>
          <cell r="I4811" t="str">
            <v>TALLER</v>
          </cell>
          <cell r="J4811" t="str">
            <v>IMPLEMENTACION</v>
          </cell>
          <cell r="K4811" t="str">
            <v>BROCA 3/16</v>
          </cell>
          <cell r="L4811">
            <v>1</v>
          </cell>
          <cell r="M4811" t="str">
            <v>UNID.</v>
          </cell>
          <cell r="N4811" t="str">
            <v>TALLER</v>
          </cell>
          <cell r="O4811">
            <v>2</v>
          </cell>
          <cell r="P4811" t="str">
            <v>S1</v>
          </cell>
          <cell r="Q4811" t="str">
            <v>J7</v>
          </cell>
          <cell r="R4811" t="str">
            <v>J6</v>
          </cell>
          <cell r="S4811" t="str">
            <v>ENTREGADO</v>
          </cell>
          <cell r="T4811">
            <v>42767</v>
          </cell>
          <cell r="U4811" t="str">
            <v>BAYONA CRUZ CRISTIAN ARMANDO</v>
          </cell>
          <cell r="V4811" t="str">
            <v>DONAYRE INGA PEDRO</v>
          </cell>
        </row>
        <row r="4812">
          <cell r="A4812">
            <v>4811</v>
          </cell>
          <cell r="B4812">
            <v>42765</v>
          </cell>
          <cell r="C4812" t="str">
            <v>ENERO</v>
          </cell>
          <cell r="D4812" t="str">
            <v>2017</v>
          </cell>
          <cell r="E4812">
            <v>938</v>
          </cell>
          <cell r="F4812" t="str">
            <v>C9P-948</v>
          </cell>
          <cell r="G4812" t="str">
            <v>B4O-995</v>
          </cell>
          <cell r="H4812" t="str">
            <v>LAS BAMBAS</v>
          </cell>
          <cell r="I4812">
            <v>162533</v>
          </cell>
          <cell r="J4812" t="str">
            <v>REPUESTO</v>
          </cell>
          <cell r="K4812" t="str">
            <v>MANDO DE LUCES DE DIRECCION</v>
          </cell>
          <cell r="L4812">
            <v>1</v>
          </cell>
          <cell r="M4812" t="str">
            <v>UNID.</v>
          </cell>
          <cell r="N4812" t="str">
            <v>TRACTO</v>
          </cell>
          <cell r="O4812">
            <v>0</v>
          </cell>
          <cell r="P4812" t="str">
            <v>E3</v>
          </cell>
          <cell r="Q4812" t="str">
            <v>J7</v>
          </cell>
          <cell r="R4812" t="str">
            <v>J6</v>
          </cell>
          <cell r="S4812" t="str">
            <v>ENTREGADO</v>
          </cell>
          <cell r="T4812">
            <v>42765</v>
          </cell>
          <cell r="U4812" t="str">
            <v>CONDORI CHURATA ALEX</v>
          </cell>
          <cell r="V4812" t="str">
            <v>DONAYRE INGA PEDRO</v>
          </cell>
        </row>
        <row r="4813">
          <cell r="A4813">
            <v>4812</v>
          </cell>
          <cell r="B4813">
            <v>42765</v>
          </cell>
          <cell r="C4813" t="str">
            <v>ENERO</v>
          </cell>
          <cell r="D4813" t="str">
            <v>2017</v>
          </cell>
          <cell r="E4813">
            <v>942</v>
          </cell>
          <cell r="F4813" t="str">
            <v>B2L-889</v>
          </cell>
          <cell r="G4813" t="str">
            <v>CAMION</v>
          </cell>
          <cell r="H4813" t="str">
            <v>TAMBOMAYO</v>
          </cell>
          <cell r="I4813">
            <v>125256</v>
          </cell>
          <cell r="J4813" t="str">
            <v>REPUESTO</v>
          </cell>
          <cell r="K4813" t="str">
            <v>PERNO MANHOLE</v>
          </cell>
          <cell r="L4813">
            <v>1</v>
          </cell>
          <cell r="M4813" t="str">
            <v>UNID.</v>
          </cell>
          <cell r="N4813" t="str">
            <v>CAMION</v>
          </cell>
          <cell r="O4813">
            <v>25</v>
          </cell>
          <cell r="P4813" t="str">
            <v>S1</v>
          </cell>
          <cell r="Q4813" t="str">
            <v>J7</v>
          </cell>
          <cell r="R4813" t="str">
            <v>J6</v>
          </cell>
          <cell r="S4813" t="str">
            <v>PENDIENTE</v>
          </cell>
          <cell r="T4813">
            <v>0</v>
          </cell>
          <cell r="U4813" t="str">
            <v>BAYONA CRUZ CRISTIAN ARMANDO</v>
          </cell>
          <cell r="V4813" t="str">
            <v>DONAYRE INGA PEDRO</v>
          </cell>
        </row>
        <row r="4814">
          <cell r="A4814">
            <v>4813</v>
          </cell>
          <cell r="B4814">
            <v>42765</v>
          </cell>
          <cell r="C4814" t="str">
            <v>ENERO</v>
          </cell>
          <cell r="D4814" t="str">
            <v>2017</v>
          </cell>
          <cell r="E4814">
            <v>949</v>
          </cell>
          <cell r="F4814" t="str">
            <v>X2W-791</v>
          </cell>
          <cell r="G4814" t="str">
            <v>C5V-989</v>
          </cell>
          <cell r="H4814" t="str">
            <v>LAS BAMBAS</v>
          </cell>
          <cell r="I4814">
            <v>153898</v>
          </cell>
          <cell r="J4814" t="str">
            <v>REPUESTO</v>
          </cell>
          <cell r="K4814" t="str">
            <v>FAROS NEBLINEROS</v>
          </cell>
          <cell r="L4814">
            <v>2</v>
          </cell>
          <cell r="M4814" t="str">
            <v>UNID.</v>
          </cell>
          <cell r="N4814" t="str">
            <v>TRACTO</v>
          </cell>
          <cell r="O4814">
            <v>0</v>
          </cell>
          <cell r="P4814" t="str">
            <v>E3</v>
          </cell>
          <cell r="Q4814" t="str">
            <v>J7</v>
          </cell>
          <cell r="R4814" t="str">
            <v>J6</v>
          </cell>
          <cell r="S4814" t="str">
            <v>ENTREGADO</v>
          </cell>
          <cell r="T4814">
            <v>42765</v>
          </cell>
          <cell r="U4814" t="str">
            <v>CONDORI CHURATA ALEX</v>
          </cell>
          <cell r="V4814" t="str">
            <v>DONAYRE INGA PEDRO</v>
          </cell>
        </row>
        <row r="4815">
          <cell r="A4815">
            <v>4814</v>
          </cell>
          <cell r="B4815">
            <v>42765</v>
          </cell>
          <cell r="C4815" t="str">
            <v>ENERO</v>
          </cell>
          <cell r="D4815" t="str">
            <v>2017</v>
          </cell>
          <cell r="E4815">
            <v>942</v>
          </cell>
          <cell r="F4815" t="str">
            <v>B2L-889</v>
          </cell>
          <cell r="G4815" t="str">
            <v>CAMION</v>
          </cell>
          <cell r="H4815" t="str">
            <v>TAMBOMAYO</v>
          </cell>
          <cell r="I4815">
            <v>125256</v>
          </cell>
          <cell r="J4815" t="str">
            <v>REPUESTO</v>
          </cell>
          <cell r="K4815" t="str">
            <v>O-RING</v>
          </cell>
          <cell r="L4815">
            <v>1</v>
          </cell>
          <cell r="M4815" t="str">
            <v>UNID.</v>
          </cell>
          <cell r="N4815" t="str">
            <v>CAMION</v>
          </cell>
          <cell r="O4815">
            <v>0</v>
          </cell>
          <cell r="P4815" t="str">
            <v>M5</v>
          </cell>
          <cell r="Q4815" t="str">
            <v>J7</v>
          </cell>
          <cell r="R4815" t="str">
            <v>J6</v>
          </cell>
          <cell r="S4815" t="str">
            <v>ENTREGADO</v>
          </cell>
          <cell r="T4815">
            <v>42765</v>
          </cell>
          <cell r="U4815" t="str">
            <v>LOPEZ RUIZ WILBERTO</v>
          </cell>
          <cell r="V4815" t="str">
            <v>DONAYRE INGA PEDRO</v>
          </cell>
        </row>
        <row r="4816">
          <cell r="A4816">
            <v>4815</v>
          </cell>
          <cell r="B4816">
            <v>42765</v>
          </cell>
          <cell r="C4816" t="str">
            <v>ENERO</v>
          </cell>
          <cell r="D4816" t="str">
            <v>2017</v>
          </cell>
          <cell r="E4816">
            <v>955</v>
          </cell>
          <cell r="F4816" t="str">
            <v>X2W-759</v>
          </cell>
          <cell r="G4816" t="str">
            <v>C5V-999</v>
          </cell>
          <cell r="H4816" t="str">
            <v>LAS BAMBAS</v>
          </cell>
          <cell r="I4816">
            <v>160081</v>
          </cell>
          <cell r="J4816" t="str">
            <v>REPUESTO</v>
          </cell>
          <cell r="K4816" t="str">
            <v>Y MULTIPLE DE ESCAPE</v>
          </cell>
          <cell r="L4816">
            <v>1</v>
          </cell>
          <cell r="M4816" t="str">
            <v>UNID.</v>
          </cell>
          <cell r="N4816" t="str">
            <v>TRACTO</v>
          </cell>
          <cell r="O4816">
            <v>2</v>
          </cell>
          <cell r="P4816" t="str">
            <v>M9</v>
          </cell>
          <cell r="Q4816" t="str">
            <v>J7</v>
          </cell>
          <cell r="R4816" t="str">
            <v>J6</v>
          </cell>
          <cell r="S4816" t="str">
            <v>ENTREGADO</v>
          </cell>
          <cell r="T4816">
            <v>42767</v>
          </cell>
          <cell r="U4816" t="str">
            <v>POMA SALAZAR CIRO</v>
          </cell>
          <cell r="V4816" t="str">
            <v>DONAYRE INGA PEDRO</v>
          </cell>
        </row>
        <row r="4817">
          <cell r="A4817">
            <v>4816</v>
          </cell>
          <cell r="B4817">
            <v>42765</v>
          </cell>
          <cell r="C4817" t="str">
            <v>ENERO</v>
          </cell>
          <cell r="D4817" t="str">
            <v>2017</v>
          </cell>
          <cell r="E4817">
            <v>955</v>
          </cell>
          <cell r="F4817" t="str">
            <v>X2W-759</v>
          </cell>
          <cell r="G4817" t="str">
            <v>C5V-999</v>
          </cell>
          <cell r="H4817" t="str">
            <v>LAS BAMBAS</v>
          </cell>
          <cell r="I4817">
            <v>160081</v>
          </cell>
          <cell r="J4817" t="str">
            <v>REPUESTO</v>
          </cell>
          <cell r="K4817" t="str">
            <v>EMPAQUES DEL Y MULTIPLE DE ESCAPE</v>
          </cell>
          <cell r="L4817">
            <v>1</v>
          </cell>
          <cell r="M4817" t="str">
            <v>JUEGO</v>
          </cell>
          <cell r="N4817" t="str">
            <v>TRACTO</v>
          </cell>
          <cell r="O4817">
            <v>2</v>
          </cell>
          <cell r="P4817" t="str">
            <v>M9</v>
          </cell>
          <cell r="Q4817" t="str">
            <v>J7</v>
          </cell>
          <cell r="R4817" t="str">
            <v>J6</v>
          </cell>
          <cell r="S4817" t="str">
            <v>ENTREGADO</v>
          </cell>
          <cell r="T4817">
            <v>42767</v>
          </cell>
          <cell r="U4817" t="str">
            <v>POMA SALAZAR CIRO</v>
          </cell>
          <cell r="V4817" t="str">
            <v>DONAYRE INGA PEDRO</v>
          </cell>
        </row>
        <row r="4818">
          <cell r="A4818">
            <v>4817</v>
          </cell>
          <cell r="B4818">
            <v>42765</v>
          </cell>
          <cell r="C4818" t="str">
            <v>ENERO</v>
          </cell>
          <cell r="D4818" t="str">
            <v>2017</v>
          </cell>
          <cell r="E4818">
            <v>947</v>
          </cell>
          <cell r="F4818" t="str">
            <v>ABR-759</v>
          </cell>
          <cell r="G4818" t="str">
            <v>D0Z-995</v>
          </cell>
          <cell r="H4818" t="str">
            <v>LAS BAMBAS</v>
          </cell>
          <cell r="I4818">
            <v>119757</v>
          </cell>
          <cell r="J4818" t="str">
            <v>REPUESTO</v>
          </cell>
          <cell r="K4818" t="str">
            <v>DISCO DE TORNAMESA</v>
          </cell>
          <cell r="L4818">
            <v>1</v>
          </cell>
          <cell r="M4818" t="str">
            <v>UNID.</v>
          </cell>
          <cell r="N4818" t="str">
            <v>CISTERNA</v>
          </cell>
          <cell r="O4818">
            <v>2</v>
          </cell>
          <cell r="P4818" t="str">
            <v>M2</v>
          </cell>
          <cell r="Q4818" t="str">
            <v>J7</v>
          </cell>
          <cell r="R4818" t="str">
            <v>J6</v>
          </cell>
          <cell r="S4818" t="str">
            <v>ENTREGADO</v>
          </cell>
          <cell r="T4818">
            <v>42767</v>
          </cell>
          <cell r="U4818" t="str">
            <v>CHUMPITAZ GAGO JULIO ENRIQUE</v>
          </cell>
          <cell r="V4818" t="str">
            <v>DONAYRE INGA PEDRO</v>
          </cell>
        </row>
        <row r="4819">
          <cell r="A4819">
            <v>4818</v>
          </cell>
          <cell r="B4819">
            <v>42765</v>
          </cell>
          <cell r="C4819" t="str">
            <v>ENERO</v>
          </cell>
          <cell r="D4819" t="str">
            <v>2017</v>
          </cell>
          <cell r="E4819">
            <v>947</v>
          </cell>
          <cell r="F4819" t="str">
            <v>ABR-759</v>
          </cell>
          <cell r="G4819" t="str">
            <v>D0Z-995</v>
          </cell>
          <cell r="H4819" t="str">
            <v>LAS BAMBAS</v>
          </cell>
          <cell r="I4819">
            <v>119757</v>
          </cell>
          <cell r="J4819" t="str">
            <v>REPUESTO</v>
          </cell>
          <cell r="K4819" t="str">
            <v>SEGURO DE TORNAMESA</v>
          </cell>
          <cell r="L4819">
            <v>1</v>
          </cell>
          <cell r="M4819" t="str">
            <v>UNID.</v>
          </cell>
          <cell r="N4819" t="str">
            <v>CISTERNA</v>
          </cell>
          <cell r="O4819">
            <v>1</v>
          </cell>
          <cell r="P4819" t="str">
            <v>M2</v>
          </cell>
          <cell r="Q4819" t="str">
            <v>J7</v>
          </cell>
          <cell r="R4819" t="str">
            <v>J6</v>
          </cell>
          <cell r="S4819" t="str">
            <v>ENTREGADO</v>
          </cell>
          <cell r="T4819">
            <v>42766</v>
          </cell>
          <cell r="U4819" t="str">
            <v>CHUMPITAZ GAGO JULIO ENRIQUE</v>
          </cell>
          <cell r="V4819" t="str">
            <v>DONAYRE INGA PEDRO</v>
          </cell>
        </row>
        <row r="4820">
          <cell r="A4820">
            <v>4819</v>
          </cell>
          <cell r="B4820">
            <v>42765</v>
          </cell>
          <cell r="C4820" t="str">
            <v>ENERO</v>
          </cell>
          <cell r="D4820" t="str">
            <v>2017</v>
          </cell>
          <cell r="E4820">
            <v>947</v>
          </cell>
          <cell r="F4820" t="str">
            <v>ABR-759</v>
          </cell>
          <cell r="G4820" t="str">
            <v>D0Z-995</v>
          </cell>
          <cell r="H4820" t="str">
            <v>LAS BAMBAS</v>
          </cell>
          <cell r="I4820">
            <v>119757</v>
          </cell>
          <cell r="J4820" t="str">
            <v>REPUESTO</v>
          </cell>
          <cell r="K4820" t="str">
            <v>GUARDAFARO LADO DERECHO</v>
          </cell>
          <cell r="L4820">
            <v>1</v>
          </cell>
          <cell r="M4820" t="str">
            <v>UNID.</v>
          </cell>
          <cell r="N4820" t="str">
            <v>TRACTO</v>
          </cell>
          <cell r="O4820">
            <v>1</v>
          </cell>
          <cell r="P4820" t="str">
            <v>M2</v>
          </cell>
          <cell r="Q4820" t="str">
            <v>J7</v>
          </cell>
          <cell r="R4820" t="str">
            <v>J6</v>
          </cell>
          <cell r="S4820" t="str">
            <v>ENTREGADO</v>
          </cell>
          <cell r="T4820">
            <v>42766</v>
          </cell>
          <cell r="U4820" t="str">
            <v>CHUMPITAZ GAGO JULIO ENRIQUE</v>
          </cell>
          <cell r="V4820" t="str">
            <v>DONAYRE INGA PEDRO</v>
          </cell>
        </row>
        <row r="4821">
          <cell r="A4821">
            <v>4820</v>
          </cell>
          <cell r="B4821">
            <v>42766</v>
          </cell>
          <cell r="C4821" t="str">
            <v>ENERO</v>
          </cell>
          <cell r="D4821" t="str">
            <v>2017</v>
          </cell>
          <cell r="E4821">
            <v>200</v>
          </cell>
          <cell r="F4821" t="str">
            <v>TALLER</v>
          </cell>
          <cell r="G4821" t="str">
            <v>TALLER</v>
          </cell>
          <cell r="H4821" t="str">
            <v>TALLER</v>
          </cell>
          <cell r="I4821" t="str">
            <v>TALLER</v>
          </cell>
          <cell r="J4821" t="str">
            <v>INSUMO TALLER</v>
          </cell>
          <cell r="K4821" t="str">
            <v>SERVICIO DE PRENSADO DE MANGUERA DE LUBRICACION</v>
          </cell>
          <cell r="L4821">
            <v>1</v>
          </cell>
          <cell r="M4821" t="str">
            <v>UNID.</v>
          </cell>
          <cell r="N4821" t="str">
            <v>TALLER</v>
          </cell>
          <cell r="O4821">
            <v>0</v>
          </cell>
          <cell r="P4821" t="str">
            <v>J1</v>
          </cell>
          <cell r="Q4821" t="str">
            <v>J1</v>
          </cell>
          <cell r="R4821" t="str">
            <v>J8</v>
          </cell>
          <cell r="S4821" t="str">
            <v>ENTREGADO</v>
          </cell>
          <cell r="T4821">
            <v>42766</v>
          </cell>
          <cell r="U4821" t="str">
            <v>FLOREZ CONDORI  JOSE WILLIANS</v>
          </cell>
          <cell r="V4821" t="str">
            <v>FLOREZ CONDORI  JOSE WILLIANS</v>
          </cell>
        </row>
        <row r="4822">
          <cell r="A4822">
            <v>4821</v>
          </cell>
          <cell r="B4822">
            <v>42766</v>
          </cell>
          <cell r="C4822" t="str">
            <v>ENERO</v>
          </cell>
          <cell r="D4822" t="str">
            <v>2017</v>
          </cell>
          <cell r="E4822">
            <v>200</v>
          </cell>
          <cell r="F4822" t="str">
            <v>TALLER</v>
          </cell>
          <cell r="G4822" t="str">
            <v>TALLER</v>
          </cell>
          <cell r="H4822" t="str">
            <v>TALLER</v>
          </cell>
          <cell r="I4822" t="str">
            <v>TALLER</v>
          </cell>
          <cell r="J4822" t="str">
            <v>INSUMO TALLER</v>
          </cell>
          <cell r="K4822" t="str">
            <v>CILINDRO DE GRASA</v>
          </cell>
          <cell r="L4822">
            <v>1</v>
          </cell>
          <cell r="M4822" t="str">
            <v>UNID.</v>
          </cell>
          <cell r="N4822" t="str">
            <v>TALLER</v>
          </cell>
          <cell r="O4822">
            <v>0</v>
          </cell>
          <cell r="P4822" t="str">
            <v>J1</v>
          </cell>
          <cell r="Q4822" t="str">
            <v>J1</v>
          </cell>
          <cell r="R4822" t="str">
            <v>J8</v>
          </cell>
          <cell r="S4822" t="str">
            <v>ENTREGADO</v>
          </cell>
          <cell r="T4822">
            <v>42766</v>
          </cell>
          <cell r="U4822" t="str">
            <v>FLOREZ CONDORI  JOSE WILLIANS</v>
          </cell>
          <cell r="V4822" t="str">
            <v>FLOREZ CONDORI  JOSE WILLIANS</v>
          </cell>
        </row>
        <row r="4823">
          <cell r="A4823">
            <v>4822</v>
          </cell>
          <cell r="B4823">
            <v>42766</v>
          </cell>
          <cell r="C4823" t="str">
            <v>ENERO</v>
          </cell>
          <cell r="D4823" t="str">
            <v>2017</v>
          </cell>
          <cell r="E4823">
            <v>954</v>
          </cell>
          <cell r="F4823" t="str">
            <v>X2W-762</v>
          </cell>
          <cell r="G4823" t="str">
            <v>C5V-998</v>
          </cell>
          <cell r="H4823" t="str">
            <v>LAS BAMBAS</v>
          </cell>
          <cell r="I4823">
            <v>164357</v>
          </cell>
          <cell r="J4823" t="str">
            <v>REPUESTO</v>
          </cell>
          <cell r="K4823" t="str">
            <v>LLANTA REENCAUCHADA IZB</v>
          </cell>
          <cell r="L4823">
            <v>1</v>
          </cell>
          <cell r="M4823" t="str">
            <v>UNID.</v>
          </cell>
          <cell r="N4823" t="str">
            <v>CISTERNA</v>
          </cell>
          <cell r="O4823">
            <v>0</v>
          </cell>
          <cell r="P4823" t="str">
            <v>N2</v>
          </cell>
          <cell r="Q4823" t="str">
            <v>J1</v>
          </cell>
          <cell r="R4823" t="str">
            <v>J8</v>
          </cell>
          <cell r="S4823" t="str">
            <v>ENTREGADO</v>
          </cell>
          <cell r="T4823">
            <v>42766</v>
          </cell>
          <cell r="U4823" t="str">
            <v>MAMANI LARICO  EDUARDO ALVARO</v>
          </cell>
          <cell r="V4823" t="str">
            <v>FLOREZ CONDORI  JOSE WILLIANS</v>
          </cell>
        </row>
        <row r="4824">
          <cell r="A4824">
            <v>4823</v>
          </cell>
          <cell r="B4824">
            <v>42766</v>
          </cell>
          <cell r="C4824" t="str">
            <v>ENERO</v>
          </cell>
          <cell r="D4824" t="str">
            <v>2017</v>
          </cell>
          <cell r="E4824">
            <v>953</v>
          </cell>
          <cell r="F4824" t="str">
            <v>AKX-805</v>
          </cell>
          <cell r="G4824" t="str">
            <v>F5Z-985</v>
          </cell>
          <cell r="H4824" t="str">
            <v>LAS BAMBAS</v>
          </cell>
          <cell r="I4824">
            <v>43787</v>
          </cell>
          <cell r="J4824" t="str">
            <v>REPUESTO</v>
          </cell>
          <cell r="K4824" t="str">
            <v>LIMPIAPARABRISA</v>
          </cell>
          <cell r="L4824">
            <v>1</v>
          </cell>
          <cell r="M4824" t="str">
            <v>GLNS.</v>
          </cell>
          <cell r="N4824" t="str">
            <v>TRACTO</v>
          </cell>
          <cell r="O4824">
            <v>0</v>
          </cell>
          <cell r="P4824" t="str">
            <v>M4</v>
          </cell>
          <cell r="Q4824" t="str">
            <v>J1</v>
          </cell>
          <cell r="R4824" t="str">
            <v>J8</v>
          </cell>
          <cell r="S4824" t="str">
            <v>ENTREGADO</v>
          </cell>
          <cell r="T4824">
            <v>42766</v>
          </cell>
          <cell r="U4824" t="str">
            <v>JULLIRI APAZA UBALDO</v>
          </cell>
          <cell r="V4824" t="str">
            <v>FLOREZ CONDORI  JOSE WILLIANS</v>
          </cell>
        </row>
        <row r="4825">
          <cell r="A4825">
            <v>4824</v>
          </cell>
          <cell r="B4825">
            <v>42766</v>
          </cell>
          <cell r="C4825" t="str">
            <v>ENERO</v>
          </cell>
          <cell r="D4825" t="str">
            <v>2017</v>
          </cell>
          <cell r="E4825">
            <v>953</v>
          </cell>
          <cell r="F4825" t="str">
            <v>AKX-805</v>
          </cell>
          <cell r="G4825" t="str">
            <v>F5Z-985</v>
          </cell>
          <cell r="H4825" t="str">
            <v>LAS BAMBAS</v>
          </cell>
          <cell r="I4825">
            <v>43787</v>
          </cell>
          <cell r="J4825" t="str">
            <v>REPUESTO</v>
          </cell>
          <cell r="K4825" t="str">
            <v>REFRIGERANTE</v>
          </cell>
          <cell r="L4825">
            <v>1</v>
          </cell>
          <cell r="M4825" t="str">
            <v>GLNS.</v>
          </cell>
          <cell r="N4825" t="str">
            <v>TRACTO</v>
          </cell>
          <cell r="O4825">
            <v>0</v>
          </cell>
          <cell r="P4825" t="str">
            <v>M4</v>
          </cell>
          <cell r="Q4825" t="str">
            <v>J1</v>
          </cell>
          <cell r="R4825" t="str">
            <v>J8</v>
          </cell>
          <cell r="S4825" t="str">
            <v>ENTREGADO</v>
          </cell>
          <cell r="T4825">
            <v>42766</v>
          </cell>
          <cell r="U4825" t="str">
            <v>JULLIRI APAZA UBALDO</v>
          </cell>
          <cell r="V4825" t="str">
            <v>FLOREZ CONDORI  JOSE WILLIANS</v>
          </cell>
        </row>
        <row r="4826">
          <cell r="A4826">
            <v>4825</v>
          </cell>
          <cell r="B4826">
            <v>42766</v>
          </cell>
          <cell r="C4826" t="str">
            <v>ENERO</v>
          </cell>
          <cell r="D4826" t="str">
            <v>2017</v>
          </cell>
          <cell r="E4826">
            <v>957</v>
          </cell>
          <cell r="F4826" t="str">
            <v>AEH-888</v>
          </cell>
          <cell r="G4826" t="str">
            <v>CAMIONETA</v>
          </cell>
          <cell r="H4826" t="str">
            <v>LAS BAMBAS</v>
          </cell>
          <cell r="I4826">
            <v>101688</v>
          </cell>
          <cell r="J4826" t="str">
            <v>REPUESTO</v>
          </cell>
          <cell r="K4826" t="str">
            <v>FILTRO DE AIRE</v>
          </cell>
          <cell r="L4826">
            <v>1</v>
          </cell>
          <cell r="M4826" t="str">
            <v>UNID.</v>
          </cell>
          <cell r="N4826" t="str">
            <v>CAMIONETA</v>
          </cell>
          <cell r="O4826">
            <v>0</v>
          </cell>
          <cell r="P4826" t="str">
            <v>J1</v>
          </cell>
          <cell r="Q4826" t="str">
            <v>J1</v>
          </cell>
          <cell r="R4826" t="str">
            <v>J8</v>
          </cell>
          <cell r="S4826" t="str">
            <v>ENTREGADO</v>
          </cell>
          <cell r="T4826">
            <v>42766</v>
          </cell>
          <cell r="U4826" t="str">
            <v>FLOREZ CONDORI  JOSE WILLIANS</v>
          </cell>
          <cell r="V4826" t="str">
            <v>FLOREZ CONDORI  JOSE WILLIANS</v>
          </cell>
        </row>
        <row r="4827">
          <cell r="A4827">
            <v>4826</v>
          </cell>
          <cell r="B4827">
            <v>42766</v>
          </cell>
          <cell r="C4827" t="str">
            <v>ENERO</v>
          </cell>
          <cell r="D4827" t="str">
            <v>2017</v>
          </cell>
          <cell r="E4827">
            <v>957</v>
          </cell>
          <cell r="F4827" t="str">
            <v>AEH-888</v>
          </cell>
          <cell r="G4827" t="str">
            <v>CAMIONETA</v>
          </cell>
          <cell r="H4827" t="str">
            <v>LAS BAMBAS</v>
          </cell>
          <cell r="I4827">
            <v>101688</v>
          </cell>
          <cell r="J4827" t="str">
            <v>REPUESTO</v>
          </cell>
          <cell r="K4827" t="str">
            <v>FILTRO  DE ACEITE</v>
          </cell>
          <cell r="L4827">
            <v>1</v>
          </cell>
          <cell r="M4827" t="str">
            <v>UNID.</v>
          </cell>
          <cell r="N4827" t="str">
            <v>CAMIONETA</v>
          </cell>
          <cell r="O4827">
            <v>0</v>
          </cell>
          <cell r="P4827" t="str">
            <v>J1</v>
          </cell>
          <cell r="Q4827" t="str">
            <v>J1</v>
          </cell>
          <cell r="R4827" t="str">
            <v>J8</v>
          </cell>
          <cell r="S4827" t="str">
            <v>ENTREGADO</v>
          </cell>
          <cell r="T4827">
            <v>42766</v>
          </cell>
          <cell r="U4827" t="str">
            <v>FLOREZ CONDORI  JOSE WILLIANS</v>
          </cell>
          <cell r="V4827" t="str">
            <v>FLOREZ CONDORI  JOSE WILLIANS</v>
          </cell>
        </row>
        <row r="4828">
          <cell r="A4828">
            <v>4827</v>
          </cell>
          <cell r="B4828">
            <v>42766</v>
          </cell>
          <cell r="C4828" t="str">
            <v>ENERO</v>
          </cell>
          <cell r="D4828" t="str">
            <v>2017</v>
          </cell>
          <cell r="E4828">
            <v>957</v>
          </cell>
          <cell r="F4828" t="str">
            <v>AEH-888</v>
          </cell>
          <cell r="G4828" t="str">
            <v>CAMIONETA</v>
          </cell>
          <cell r="H4828" t="str">
            <v>LAS BAMBAS</v>
          </cell>
          <cell r="I4828">
            <v>101688</v>
          </cell>
          <cell r="J4828" t="str">
            <v>REPUESTO</v>
          </cell>
          <cell r="K4828" t="str">
            <v>FILTRO DE COMBISTIBLE</v>
          </cell>
          <cell r="L4828">
            <v>1</v>
          </cell>
          <cell r="M4828" t="str">
            <v>UNID.</v>
          </cell>
          <cell r="N4828" t="str">
            <v>CAMIONETA</v>
          </cell>
          <cell r="O4828">
            <v>0</v>
          </cell>
          <cell r="P4828" t="str">
            <v>J1</v>
          </cell>
          <cell r="Q4828" t="str">
            <v>J1</v>
          </cell>
          <cell r="R4828" t="str">
            <v>J8</v>
          </cell>
          <cell r="S4828" t="str">
            <v>ENTREGADO</v>
          </cell>
          <cell r="T4828">
            <v>42766</v>
          </cell>
          <cell r="U4828" t="str">
            <v>FLOREZ CONDORI  JOSE WILLIANS</v>
          </cell>
          <cell r="V4828" t="str">
            <v>FLOREZ CONDORI  JOSE WILLIANS</v>
          </cell>
        </row>
        <row r="4829">
          <cell r="A4829">
            <v>4828</v>
          </cell>
          <cell r="B4829">
            <v>42766</v>
          </cell>
          <cell r="C4829" t="str">
            <v>ENERO</v>
          </cell>
          <cell r="D4829" t="str">
            <v>2017</v>
          </cell>
          <cell r="E4829">
            <v>957</v>
          </cell>
          <cell r="F4829" t="str">
            <v>AEH-888</v>
          </cell>
          <cell r="G4829" t="str">
            <v>CAMIONETA</v>
          </cell>
          <cell r="H4829" t="str">
            <v>LAS BAMBAS</v>
          </cell>
          <cell r="I4829">
            <v>101688</v>
          </cell>
          <cell r="J4829" t="str">
            <v>REPUESTO</v>
          </cell>
          <cell r="K4829" t="str">
            <v>ACEITE DE MOTOR 15W40</v>
          </cell>
          <cell r="L4829">
            <v>2</v>
          </cell>
          <cell r="M4829" t="str">
            <v>GLNS.</v>
          </cell>
          <cell r="N4829" t="str">
            <v>CAMIONETA</v>
          </cell>
          <cell r="O4829">
            <v>0</v>
          </cell>
          <cell r="P4829" t="str">
            <v>J1</v>
          </cell>
          <cell r="Q4829" t="str">
            <v>J1</v>
          </cell>
          <cell r="R4829" t="str">
            <v>J8</v>
          </cell>
          <cell r="S4829" t="str">
            <v>ENTREGADO</v>
          </cell>
          <cell r="T4829">
            <v>42766</v>
          </cell>
          <cell r="U4829" t="str">
            <v>FLOREZ CONDORI  JOSE WILLIANS</v>
          </cell>
          <cell r="V4829" t="str">
            <v>FLOREZ CONDORI  JOSE WILLIANS</v>
          </cell>
        </row>
        <row r="4830">
          <cell r="A4830">
            <v>4829</v>
          </cell>
          <cell r="B4830">
            <v>42766</v>
          </cell>
          <cell r="C4830" t="str">
            <v>ENERO</v>
          </cell>
          <cell r="D4830" t="str">
            <v>2017</v>
          </cell>
          <cell r="E4830">
            <v>953</v>
          </cell>
          <cell r="F4830" t="str">
            <v>AKX-805</v>
          </cell>
          <cell r="G4830" t="str">
            <v>F5Z-985</v>
          </cell>
          <cell r="H4830" t="str">
            <v>LAS BAMBAS</v>
          </cell>
          <cell r="I4830">
            <v>43787</v>
          </cell>
          <cell r="J4830" t="str">
            <v>REPUESTO</v>
          </cell>
          <cell r="K4830" t="str">
            <v>FAJA ESTABILIZADORA DE BASE DE BOLSA</v>
          </cell>
          <cell r="L4830">
            <v>1</v>
          </cell>
          <cell r="M4830" t="str">
            <v>UNID.</v>
          </cell>
          <cell r="N4830" t="str">
            <v>TRACTO</v>
          </cell>
          <cell r="O4830">
            <v>0</v>
          </cell>
          <cell r="P4830" t="str">
            <v>M5</v>
          </cell>
          <cell r="Q4830" t="str">
            <v>J1</v>
          </cell>
          <cell r="R4830" t="str">
            <v>J8</v>
          </cell>
          <cell r="S4830" t="str">
            <v>ENTREGADO</v>
          </cell>
          <cell r="T4830">
            <v>42766</v>
          </cell>
          <cell r="U4830" t="str">
            <v>LOPEZ RUIZ WILBERTO</v>
          </cell>
          <cell r="V4830" t="str">
            <v>FLOREZ CONDORI  JOSE WILLIANS</v>
          </cell>
        </row>
        <row r="4831">
          <cell r="A4831">
            <v>4830</v>
          </cell>
          <cell r="B4831">
            <v>42766</v>
          </cell>
          <cell r="C4831" t="str">
            <v>ENERO</v>
          </cell>
          <cell r="D4831" t="str">
            <v>2017</v>
          </cell>
          <cell r="E4831">
            <v>956</v>
          </cell>
          <cell r="F4831" t="str">
            <v>D6F-903</v>
          </cell>
          <cell r="G4831" t="str">
            <v>B8K-997</v>
          </cell>
          <cell r="H4831" t="str">
            <v>LAS BAMBAS</v>
          </cell>
          <cell r="I4831">
            <v>225806</v>
          </cell>
          <cell r="J4831" t="str">
            <v>REPUESTO</v>
          </cell>
          <cell r="K4831" t="str">
            <v>ABRAZADERA DE INTERCOOLER</v>
          </cell>
          <cell r="L4831">
            <v>2</v>
          </cell>
          <cell r="M4831" t="str">
            <v>UNID.</v>
          </cell>
          <cell r="N4831" t="str">
            <v>TRACTO</v>
          </cell>
          <cell r="O4831">
            <v>0</v>
          </cell>
          <cell r="P4831" t="str">
            <v>M1</v>
          </cell>
          <cell r="Q4831" t="str">
            <v>J1</v>
          </cell>
          <cell r="R4831" t="str">
            <v>J8</v>
          </cell>
          <cell r="S4831" t="str">
            <v>ENTREGADO</v>
          </cell>
          <cell r="T4831">
            <v>42766</v>
          </cell>
          <cell r="U4831" t="str">
            <v>CABEZAS SANCHEZ JEAN JHONATAN</v>
          </cell>
          <cell r="V4831" t="str">
            <v>FLOREZ CONDORI  JOSE WILLIANS</v>
          </cell>
        </row>
        <row r="4832">
          <cell r="A4832">
            <v>4831</v>
          </cell>
          <cell r="B4832">
            <v>42766</v>
          </cell>
          <cell r="C4832" t="str">
            <v>ENERO</v>
          </cell>
          <cell r="D4832" t="str">
            <v>2017</v>
          </cell>
          <cell r="E4832">
            <v>956</v>
          </cell>
          <cell r="F4832" t="str">
            <v>D6F-903</v>
          </cell>
          <cell r="G4832" t="str">
            <v>B8K-997</v>
          </cell>
          <cell r="H4832" t="str">
            <v>LAS BAMBAS</v>
          </cell>
          <cell r="I4832">
            <v>225806</v>
          </cell>
          <cell r="J4832" t="str">
            <v>REPUESTO</v>
          </cell>
          <cell r="K4832" t="str">
            <v>LIMPIAPARABRISA</v>
          </cell>
          <cell r="L4832">
            <v>1</v>
          </cell>
          <cell r="M4832" t="str">
            <v>GLNS.</v>
          </cell>
          <cell r="N4832" t="str">
            <v>TRACTO</v>
          </cell>
          <cell r="O4832">
            <v>0</v>
          </cell>
          <cell r="P4832" t="str">
            <v>M1</v>
          </cell>
          <cell r="Q4832" t="str">
            <v>J1</v>
          </cell>
          <cell r="R4832" t="str">
            <v>J8</v>
          </cell>
          <cell r="S4832" t="str">
            <v>ENTREGADO</v>
          </cell>
          <cell r="T4832">
            <v>42766</v>
          </cell>
          <cell r="U4832" t="str">
            <v>CABEZAS SANCHEZ JEAN JHONATAN</v>
          </cell>
          <cell r="V4832" t="str">
            <v>FLOREZ CONDORI  JOSE WILLIANS</v>
          </cell>
        </row>
        <row r="4833">
          <cell r="A4833">
            <v>4832</v>
          </cell>
          <cell r="B4833">
            <v>42766</v>
          </cell>
          <cell r="C4833" t="str">
            <v>ENERO</v>
          </cell>
          <cell r="D4833" t="str">
            <v>2017</v>
          </cell>
          <cell r="E4833">
            <v>956</v>
          </cell>
          <cell r="F4833" t="str">
            <v>D6F-903</v>
          </cell>
          <cell r="G4833" t="str">
            <v>B8K-997</v>
          </cell>
          <cell r="H4833" t="str">
            <v>LAS BAMBAS</v>
          </cell>
          <cell r="I4833">
            <v>225806</v>
          </cell>
          <cell r="J4833" t="str">
            <v>REPUESTO</v>
          </cell>
          <cell r="K4833" t="str">
            <v>REFRIGERANTE</v>
          </cell>
          <cell r="L4833">
            <v>1</v>
          </cell>
          <cell r="M4833" t="str">
            <v>GLNS.</v>
          </cell>
          <cell r="N4833" t="str">
            <v>TRACTO</v>
          </cell>
          <cell r="O4833">
            <v>0</v>
          </cell>
          <cell r="P4833" t="str">
            <v>M1</v>
          </cell>
          <cell r="Q4833" t="str">
            <v>J1</v>
          </cell>
          <cell r="R4833" t="str">
            <v>J8</v>
          </cell>
          <cell r="S4833" t="str">
            <v>ENTREGADO</v>
          </cell>
          <cell r="T4833">
            <v>42766</v>
          </cell>
          <cell r="U4833" t="str">
            <v>CABEZAS SANCHEZ JEAN JHONATAN</v>
          </cell>
          <cell r="V4833" t="str">
            <v>FLOREZ CONDORI  JOSE WILLIANS</v>
          </cell>
        </row>
        <row r="4834">
          <cell r="A4834">
            <v>4833</v>
          </cell>
          <cell r="B4834">
            <v>42766</v>
          </cell>
          <cell r="C4834" t="str">
            <v>ENERO</v>
          </cell>
          <cell r="D4834" t="str">
            <v>2017</v>
          </cell>
          <cell r="E4834">
            <v>948</v>
          </cell>
          <cell r="F4834" t="str">
            <v>ABQ-704</v>
          </cell>
          <cell r="G4834" t="str">
            <v>TBB-995</v>
          </cell>
          <cell r="H4834" t="str">
            <v>LAS BAMBAS</v>
          </cell>
          <cell r="I4834">
            <v>118013</v>
          </cell>
          <cell r="J4834" t="str">
            <v>REPUESTO</v>
          </cell>
          <cell r="K4834" t="str">
            <v>FOCO 9006</v>
          </cell>
          <cell r="L4834">
            <v>1</v>
          </cell>
          <cell r="M4834" t="str">
            <v>UNID.</v>
          </cell>
          <cell r="N4834" t="str">
            <v>TRACTO</v>
          </cell>
          <cell r="O4834">
            <v>0</v>
          </cell>
          <cell r="P4834" t="str">
            <v>E3</v>
          </cell>
          <cell r="Q4834" t="str">
            <v>J1</v>
          </cell>
          <cell r="R4834" t="str">
            <v>J8</v>
          </cell>
          <cell r="S4834" t="str">
            <v>ENTREGADO</v>
          </cell>
          <cell r="T4834">
            <v>42766</v>
          </cell>
          <cell r="U4834" t="str">
            <v>CONDORI CHURATA ALEX</v>
          </cell>
          <cell r="V4834" t="str">
            <v>FLOREZ CONDORI  JOSE WILLIANS</v>
          </cell>
        </row>
        <row r="4835">
          <cell r="A4835">
            <v>4834</v>
          </cell>
          <cell r="B4835">
            <v>42766</v>
          </cell>
          <cell r="C4835" t="str">
            <v>ENERO</v>
          </cell>
          <cell r="D4835" t="str">
            <v>2017</v>
          </cell>
          <cell r="E4835">
            <v>954</v>
          </cell>
          <cell r="F4835" t="str">
            <v>X2W-762</v>
          </cell>
          <cell r="G4835" t="str">
            <v>C5V-998</v>
          </cell>
          <cell r="H4835" t="str">
            <v>LAS BAMBAS</v>
          </cell>
          <cell r="I4835">
            <v>164357</v>
          </cell>
          <cell r="J4835" t="str">
            <v>REPUESTO</v>
          </cell>
          <cell r="K4835" t="str">
            <v>FARO REDONDO PEQUEÑO LED</v>
          </cell>
          <cell r="L4835">
            <v>1</v>
          </cell>
          <cell r="M4835" t="str">
            <v>UNID.</v>
          </cell>
          <cell r="N4835" t="str">
            <v>CISTERNA</v>
          </cell>
          <cell r="O4835">
            <v>0</v>
          </cell>
          <cell r="P4835" t="str">
            <v>E2</v>
          </cell>
          <cell r="Q4835" t="str">
            <v>J1</v>
          </cell>
          <cell r="R4835" t="str">
            <v>J8</v>
          </cell>
          <cell r="S4835" t="str">
            <v>ENTREGADO</v>
          </cell>
          <cell r="T4835">
            <v>42766</v>
          </cell>
          <cell r="U4835" t="str">
            <v>YUCA BELLIDO BORIS YERSY</v>
          </cell>
          <cell r="V4835" t="str">
            <v>FLOREZ CONDORI  JOSE WILLIANS</v>
          </cell>
        </row>
        <row r="4836">
          <cell r="A4836">
            <v>4835</v>
          </cell>
          <cell r="B4836">
            <v>42766</v>
          </cell>
          <cell r="C4836" t="str">
            <v>ENERO</v>
          </cell>
          <cell r="D4836" t="str">
            <v>2017</v>
          </cell>
          <cell r="E4836">
            <v>954</v>
          </cell>
          <cell r="F4836" t="str">
            <v>X2W-762</v>
          </cell>
          <cell r="G4836" t="str">
            <v>C5V-998</v>
          </cell>
          <cell r="H4836" t="str">
            <v>LAS BAMBAS</v>
          </cell>
          <cell r="I4836">
            <v>164357</v>
          </cell>
          <cell r="J4836" t="str">
            <v>REPUESTO</v>
          </cell>
          <cell r="K4836" t="str">
            <v>LIMPIAPARABRISA</v>
          </cell>
          <cell r="L4836">
            <v>1</v>
          </cell>
          <cell r="M4836" t="str">
            <v>GLNS.</v>
          </cell>
          <cell r="N4836" t="str">
            <v>TRACTO</v>
          </cell>
          <cell r="O4836">
            <v>0</v>
          </cell>
          <cell r="P4836" t="str">
            <v>M5</v>
          </cell>
          <cell r="Q4836" t="str">
            <v>J1</v>
          </cell>
          <cell r="R4836" t="str">
            <v>J8</v>
          </cell>
          <cell r="S4836" t="str">
            <v>ENTREGADO</v>
          </cell>
          <cell r="T4836">
            <v>42766</v>
          </cell>
          <cell r="U4836" t="str">
            <v>LOPEZ RUIZ WILBERTO</v>
          </cell>
          <cell r="V4836" t="str">
            <v>FLOREZ CONDORI  JOSE WILLIANS</v>
          </cell>
        </row>
        <row r="4837">
          <cell r="A4837">
            <v>4836</v>
          </cell>
          <cell r="B4837">
            <v>42766</v>
          </cell>
          <cell r="C4837" t="str">
            <v>ENERO</v>
          </cell>
          <cell r="D4837" t="str">
            <v>2017</v>
          </cell>
          <cell r="E4837">
            <v>952</v>
          </cell>
          <cell r="F4837" t="str">
            <v>ABR-796</v>
          </cell>
          <cell r="G4837" t="str">
            <v>C9S-994</v>
          </cell>
          <cell r="H4837" t="str">
            <v>LAS BAMBAS</v>
          </cell>
          <cell r="I4837">
            <v>117729</v>
          </cell>
          <cell r="J4837" t="str">
            <v>REPUESTO</v>
          </cell>
          <cell r="K4837" t="str">
            <v>FAROS REDONDOS BLANCOS LED</v>
          </cell>
          <cell r="L4837">
            <v>2</v>
          </cell>
          <cell r="M4837" t="str">
            <v>UNID.</v>
          </cell>
          <cell r="N4837" t="str">
            <v>TRACTO</v>
          </cell>
          <cell r="O4837">
            <v>0</v>
          </cell>
          <cell r="P4837" t="str">
            <v>E2</v>
          </cell>
          <cell r="Q4837" t="str">
            <v>J1</v>
          </cell>
          <cell r="R4837" t="str">
            <v>J8</v>
          </cell>
          <cell r="S4837" t="str">
            <v>ENTREGADO</v>
          </cell>
          <cell r="T4837">
            <v>42766</v>
          </cell>
          <cell r="U4837" t="str">
            <v>YUCA BELLIDO BORIS YERSY</v>
          </cell>
          <cell r="V4837" t="str">
            <v>FLOREZ CONDORI  JOSE WILLIANS</v>
          </cell>
        </row>
        <row r="4838">
          <cell r="A4838">
            <v>4837</v>
          </cell>
          <cell r="B4838">
            <v>42766</v>
          </cell>
          <cell r="C4838" t="str">
            <v>ENERO</v>
          </cell>
          <cell r="D4838" t="str">
            <v>2017</v>
          </cell>
          <cell r="E4838">
            <v>952</v>
          </cell>
          <cell r="F4838" t="str">
            <v>ABR-796</v>
          </cell>
          <cell r="G4838" t="str">
            <v>C9S-994</v>
          </cell>
          <cell r="H4838" t="str">
            <v>LAS BAMBAS</v>
          </cell>
          <cell r="I4838">
            <v>117729</v>
          </cell>
          <cell r="J4838" t="str">
            <v>REPUESTO</v>
          </cell>
          <cell r="K4838" t="str">
            <v>MINIFUSIBLES DE 20V</v>
          </cell>
          <cell r="L4838">
            <v>4</v>
          </cell>
          <cell r="M4838" t="str">
            <v>UNID.</v>
          </cell>
          <cell r="N4838" t="str">
            <v>TRACTO</v>
          </cell>
          <cell r="O4838">
            <v>0</v>
          </cell>
          <cell r="P4838" t="str">
            <v>E2</v>
          </cell>
          <cell r="Q4838" t="str">
            <v>J1</v>
          </cell>
          <cell r="R4838" t="str">
            <v>J8</v>
          </cell>
          <cell r="S4838" t="str">
            <v>ENTREGADO</v>
          </cell>
          <cell r="T4838">
            <v>42766</v>
          </cell>
          <cell r="U4838" t="str">
            <v>YUCA BELLIDO BORIS YERSY</v>
          </cell>
          <cell r="V4838" t="str">
            <v>FLOREZ CONDORI  JOSE WILLIANS</v>
          </cell>
        </row>
        <row r="4839">
          <cell r="A4839">
            <v>4838</v>
          </cell>
          <cell r="B4839">
            <v>42766</v>
          </cell>
          <cell r="C4839" t="str">
            <v>ENERO</v>
          </cell>
          <cell r="D4839" t="str">
            <v>2017</v>
          </cell>
          <cell r="E4839">
            <v>942</v>
          </cell>
          <cell r="F4839" t="str">
            <v>B2L-889</v>
          </cell>
          <cell r="G4839" t="str">
            <v>CAMION</v>
          </cell>
          <cell r="H4839" t="str">
            <v>TAMBOMAYO</v>
          </cell>
          <cell r="I4839">
            <v>125256</v>
          </cell>
          <cell r="J4839" t="str">
            <v>REPUESTO</v>
          </cell>
          <cell r="K4839" t="str">
            <v>SOLDIMIX</v>
          </cell>
          <cell r="L4839">
            <v>1</v>
          </cell>
          <cell r="M4839" t="str">
            <v>UNID.</v>
          </cell>
          <cell r="N4839" t="str">
            <v>CISTERNA</v>
          </cell>
          <cell r="O4839">
            <v>0</v>
          </cell>
          <cell r="P4839" t="str">
            <v>S1</v>
          </cell>
          <cell r="Q4839" t="str">
            <v>J1</v>
          </cell>
          <cell r="R4839" t="str">
            <v>J8</v>
          </cell>
          <cell r="S4839" t="str">
            <v>ENTREGADO</v>
          </cell>
          <cell r="T4839">
            <v>42766</v>
          </cell>
          <cell r="U4839" t="str">
            <v>BAYONA CRUZ CRISTIAN ARMANDO</v>
          </cell>
          <cell r="V4839" t="str">
            <v>FLOREZ CONDORI  JOSE WILLIANS</v>
          </cell>
        </row>
        <row r="4840">
          <cell r="A4840">
            <v>4839</v>
          </cell>
          <cell r="B4840">
            <v>42766</v>
          </cell>
          <cell r="C4840" t="str">
            <v>ENERO</v>
          </cell>
          <cell r="D4840" t="str">
            <v>2017</v>
          </cell>
          <cell r="E4840">
            <v>948</v>
          </cell>
          <cell r="F4840" t="str">
            <v>ABQ-704</v>
          </cell>
          <cell r="G4840" t="str">
            <v>TBB-995</v>
          </cell>
          <cell r="H4840" t="str">
            <v>LAS BAMBAS</v>
          </cell>
          <cell r="I4840">
            <v>118013</v>
          </cell>
          <cell r="J4840" t="str">
            <v>REPUESTO</v>
          </cell>
          <cell r="K4840" t="str">
            <v>FILTRO DE ACEITE</v>
          </cell>
          <cell r="L4840">
            <v>2</v>
          </cell>
          <cell r="M4840" t="str">
            <v>UNID.</v>
          </cell>
          <cell r="N4840" t="str">
            <v>TRACTO</v>
          </cell>
          <cell r="O4840">
            <v>0</v>
          </cell>
          <cell r="P4840" t="str">
            <v>M2</v>
          </cell>
          <cell r="Q4840" t="str">
            <v>J1</v>
          </cell>
          <cell r="R4840" t="str">
            <v>J8</v>
          </cell>
          <cell r="S4840" t="str">
            <v>ENTREGADO</v>
          </cell>
          <cell r="T4840">
            <v>42766</v>
          </cell>
          <cell r="U4840" t="str">
            <v>CHUMPITAZ GAGO JULIO ENRIQUE</v>
          </cell>
          <cell r="V4840" t="str">
            <v>FLOREZ CONDORI  JOSE WILLIANS</v>
          </cell>
        </row>
        <row r="4841">
          <cell r="A4841">
            <v>4840</v>
          </cell>
          <cell r="B4841">
            <v>42766</v>
          </cell>
          <cell r="C4841" t="str">
            <v>ENERO</v>
          </cell>
          <cell r="D4841" t="str">
            <v>2017</v>
          </cell>
          <cell r="E4841">
            <v>948</v>
          </cell>
          <cell r="F4841" t="str">
            <v>ABQ-704</v>
          </cell>
          <cell r="G4841" t="str">
            <v>TBB-995</v>
          </cell>
          <cell r="H4841" t="str">
            <v>LAS BAMBAS</v>
          </cell>
          <cell r="I4841">
            <v>118013</v>
          </cell>
          <cell r="J4841" t="str">
            <v>REPUESTO</v>
          </cell>
          <cell r="K4841" t="str">
            <v>FILTRO DE COMBUSTIBLE</v>
          </cell>
          <cell r="L4841">
            <v>2</v>
          </cell>
          <cell r="M4841" t="str">
            <v>UNID.</v>
          </cell>
          <cell r="N4841" t="str">
            <v>TRACTO</v>
          </cell>
          <cell r="O4841">
            <v>0</v>
          </cell>
          <cell r="P4841" t="str">
            <v>M2</v>
          </cell>
          <cell r="Q4841" t="str">
            <v>J1</v>
          </cell>
          <cell r="R4841" t="str">
            <v>J8</v>
          </cell>
          <cell r="S4841" t="str">
            <v>ENTREGADO</v>
          </cell>
          <cell r="T4841">
            <v>42766</v>
          </cell>
          <cell r="U4841" t="str">
            <v>CHUMPITAZ GAGO JULIO ENRIQUE</v>
          </cell>
          <cell r="V4841" t="str">
            <v>FLOREZ CONDORI  JOSE WILLIANS</v>
          </cell>
        </row>
        <row r="4842">
          <cell r="A4842">
            <v>4841</v>
          </cell>
          <cell r="B4842">
            <v>42766</v>
          </cell>
          <cell r="C4842" t="str">
            <v>ENERO</v>
          </cell>
          <cell r="D4842" t="str">
            <v>2017</v>
          </cell>
          <cell r="E4842">
            <v>948</v>
          </cell>
          <cell r="F4842" t="str">
            <v>ABQ-704</v>
          </cell>
          <cell r="G4842" t="str">
            <v>TBB-995</v>
          </cell>
          <cell r="H4842" t="str">
            <v>LAS BAMBAS</v>
          </cell>
          <cell r="I4842">
            <v>118013</v>
          </cell>
          <cell r="J4842" t="str">
            <v>REPUESTO</v>
          </cell>
          <cell r="K4842" t="str">
            <v>ACEITE DE MOTOR 15W40</v>
          </cell>
          <cell r="L4842">
            <v>10</v>
          </cell>
          <cell r="M4842" t="str">
            <v>GLNS.</v>
          </cell>
          <cell r="N4842" t="str">
            <v>TRACTO</v>
          </cell>
          <cell r="O4842">
            <v>0</v>
          </cell>
          <cell r="P4842" t="str">
            <v>M2</v>
          </cell>
          <cell r="Q4842" t="str">
            <v>J1</v>
          </cell>
          <cell r="R4842" t="str">
            <v>J8</v>
          </cell>
          <cell r="S4842" t="str">
            <v>ENTREGADO</v>
          </cell>
          <cell r="T4842">
            <v>42766</v>
          </cell>
          <cell r="U4842" t="str">
            <v>CHUMPITAZ GAGO JULIO ENRIQUE</v>
          </cell>
          <cell r="V4842" t="str">
            <v>FLOREZ CONDORI  JOSE WILLIANS</v>
          </cell>
        </row>
        <row r="4843">
          <cell r="A4843">
            <v>4842</v>
          </cell>
          <cell r="B4843">
            <v>42766</v>
          </cell>
          <cell r="C4843" t="str">
            <v>ENERO</v>
          </cell>
          <cell r="D4843" t="str">
            <v>2017</v>
          </cell>
          <cell r="E4843">
            <v>948</v>
          </cell>
          <cell r="F4843" t="str">
            <v>ABQ-704</v>
          </cell>
          <cell r="G4843" t="str">
            <v>TBB-995</v>
          </cell>
          <cell r="H4843" t="str">
            <v>LAS BAMBAS</v>
          </cell>
          <cell r="I4843">
            <v>118013</v>
          </cell>
          <cell r="J4843" t="str">
            <v>REPUESTO</v>
          </cell>
          <cell r="K4843" t="str">
            <v>ACEITE DE CAJA</v>
          </cell>
          <cell r="L4843">
            <v>4</v>
          </cell>
          <cell r="M4843" t="str">
            <v>GLNS.</v>
          </cell>
          <cell r="N4843" t="str">
            <v>TRACTO</v>
          </cell>
          <cell r="O4843">
            <v>0</v>
          </cell>
          <cell r="P4843" t="str">
            <v>M2</v>
          </cell>
          <cell r="Q4843" t="str">
            <v>J1</v>
          </cell>
          <cell r="R4843" t="str">
            <v>J8</v>
          </cell>
          <cell r="S4843" t="str">
            <v>ENTREGADO</v>
          </cell>
          <cell r="T4843">
            <v>42766</v>
          </cell>
          <cell r="U4843" t="str">
            <v>CHUMPITAZ GAGO JULIO ENRIQUE</v>
          </cell>
          <cell r="V4843" t="str">
            <v>FLOREZ CONDORI  JOSE WILLIANS</v>
          </cell>
        </row>
        <row r="4844">
          <cell r="A4844">
            <v>4843</v>
          </cell>
          <cell r="B4844">
            <v>42766</v>
          </cell>
          <cell r="C4844" t="str">
            <v>ENERO</v>
          </cell>
          <cell r="D4844" t="str">
            <v>2017</v>
          </cell>
          <cell r="E4844">
            <v>948</v>
          </cell>
          <cell r="F4844" t="str">
            <v>ABQ-704</v>
          </cell>
          <cell r="G4844" t="str">
            <v>TBB-995</v>
          </cell>
          <cell r="H4844" t="str">
            <v>LAS BAMBAS</v>
          </cell>
          <cell r="I4844">
            <v>118013</v>
          </cell>
          <cell r="J4844" t="str">
            <v>REPUESTO</v>
          </cell>
          <cell r="K4844" t="str">
            <v>ACEITE DE CORONA</v>
          </cell>
          <cell r="L4844">
            <v>10</v>
          </cell>
          <cell r="M4844" t="str">
            <v>GLNS.</v>
          </cell>
          <cell r="N4844" t="str">
            <v>TRACTO</v>
          </cell>
          <cell r="O4844">
            <v>0</v>
          </cell>
          <cell r="P4844" t="str">
            <v>M2</v>
          </cell>
          <cell r="Q4844" t="str">
            <v>J1</v>
          </cell>
          <cell r="R4844" t="str">
            <v>J8</v>
          </cell>
          <cell r="S4844" t="str">
            <v>ENTREGADO</v>
          </cell>
          <cell r="T4844">
            <v>42766</v>
          </cell>
          <cell r="U4844" t="str">
            <v>CHUMPITAZ GAGO JULIO ENRIQUE</v>
          </cell>
          <cell r="V4844" t="str">
            <v>FLOREZ CONDORI  JOSE WILLIANS</v>
          </cell>
        </row>
        <row r="4845">
          <cell r="A4845">
            <v>4844</v>
          </cell>
          <cell r="B4845">
            <v>42766</v>
          </cell>
          <cell r="C4845" t="str">
            <v>ENERO</v>
          </cell>
          <cell r="D4845" t="str">
            <v>2017</v>
          </cell>
          <cell r="E4845">
            <v>948</v>
          </cell>
          <cell r="F4845" t="str">
            <v>ABQ-704</v>
          </cell>
          <cell r="G4845" t="str">
            <v>TBB-995</v>
          </cell>
          <cell r="H4845" t="str">
            <v>LAS BAMBAS</v>
          </cell>
          <cell r="I4845">
            <v>118013</v>
          </cell>
          <cell r="J4845" t="str">
            <v>REPUESTO</v>
          </cell>
          <cell r="K4845" t="str">
            <v>FILTRO DE CORONA</v>
          </cell>
          <cell r="L4845">
            <v>1</v>
          </cell>
          <cell r="M4845" t="str">
            <v>UNID.</v>
          </cell>
          <cell r="N4845" t="str">
            <v>TRACTO</v>
          </cell>
          <cell r="O4845">
            <v>0</v>
          </cell>
          <cell r="P4845" t="str">
            <v>M2</v>
          </cell>
          <cell r="Q4845" t="str">
            <v>J1</v>
          </cell>
          <cell r="R4845" t="str">
            <v>J8</v>
          </cell>
          <cell r="S4845" t="str">
            <v>ENTREGADO</v>
          </cell>
          <cell r="T4845">
            <v>42766</v>
          </cell>
          <cell r="U4845" t="str">
            <v>CHUMPITAZ GAGO JULIO ENRIQUE</v>
          </cell>
          <cell r="V4845" t="str">
            <v>FLOREZ CONDORI  JOSE WILLIANS</v>
          </cell>
        </row>
        <row r="4846">
          <cell r="A4846">
            <v>4845</v>
          </cell>
          <cell r="B4846">
            <v>42766</v>
          </cell>
          <cell r="C4846" t="str">
            <v>ENERO</v>
          </cell>
          <cell r="D4846" t="str">
            <v>2017</v>
          </cell>
          <cell r="E4846">
            <v>200</v>
          </cell>
          <cell r="F4846" t="str">
            <v>TALLER</v>
          </cell>
          <cell r="G4846" t="str">
            <v>TALLER</v>
          </cell>
          <cell r="H4846" t="str">
            <v>TALLER</v>
          </cell>
          <cell r="I4846" t="str">
            <v>TALLER</v>
          </cell>
          <cell r="J4846" t="str">
            <v>REPUESTO</v>
          </cell>
          <cell r="K4846" t="str">
            <v>TEROCAL</v>
          </cell>
          <cell r="L4846">
            <v>1</v>
          </cell>
          <cell r="M4846" t="str">
            <v>UNID.</v>
          </cell>
          <cell r="N4846" t="str">
            <v>TALLER</v>
          </cell>
          <cell r="O4846">
            <v>0</v>
          </cell>
          <cell r="P4846" t="str">
            <v>M1</v>
          </cell>
          <cell r="Q4846" t="str">
            <v>J1</v>
          </cell>
          <cell r="R4846" t="str">
            <v>J8</v>
          </cell>
          <cell r="S4846" t="str">
            <v>ENTREGADO</v>
          </cell>
          <cell r="T4846">
            <v>42766</v>
          </cell>
          <cell r="U4846" t="str">
            <v>CABEZAS SANCHEZ JEAN JHONATAN</v>
          </cell>
          <cell r="V4846" t="str">
            <v>FLOREZ CONDORI  JOSE WILLIANS</v>
          </cell>
        </row>
        <row r="4847">
          <cell r="A4847">
            <v>4846</v>
          </cell>
          <cell r="B4847">
            <v>42766</v>
          </cell>
          <cell r="C4847" t="str">
            <v>ENERO</v>
          </cell>
          <cell r="D4847" t="str">
            <v>2017</v>
          </cell>
          <cell r="E4847">
            <v>948</v>
          </cell>
          <cell r="F4847" t="str">
            <v>ABQ-704</v>
          </cell>
          <cell r="G4847" t="str">
            <v>TBB-995</v>
          </cell>
          <cell r="H4847" t="str">
            <v>LAS BAMBAS</v>
          </cell>
          <cell r="I4847">
            <v>118013</v>
          </cell>
          <cell r="J4847" t="str">
            <v>REPUESTO</v>
          </cell>
          <cell r="K4847" t="str">
            <v>LLANTA  REENCAUCHADA IDY</v>
          </cell>
          <cell r="L4847">
            <v>4</v>
          </cell>
          <cell r="M4847" t="str">
            <v>UNID.</v>
          </cell>
          <cell r="N4847" t="str">
            <v>TRACTO</v>
          </cell>
          <cell r="O4847">
            <v>0</v>
          </cell>
          <cell r="P4847" t="str">
            <v>N2</v>
          </cell>
          <cell r="Q4847" t="str">
            <v>J1</v>
          </cell>
          <cell r="R4847" t="str">
            <v>J8</v>
          </cell>
          <cell r="S4847" t="str">
            <v>ENTREGADO</v>
          </cell>
          <cell r="T4847">
            <v>42766</v>
          </cell>
          <cell r="U4847" t="str">
            <v>MAMANI LARICO  EDUARDO ALVARO</v>
          </cell>
          <cell r="V4847" t="str">
            <v>FLOREZ CONDORI  JOSE WILLIANS</v>
          </cell>
        </row>
        <row r="4848">
          <cell r="A4848">
            <v>4847</v>
          </cell>
          <cell r="B4848">
            <v>42766</v>
          </cell>
          <cell r="C4848" t="str">
            <v>ENERO</v>
          </cell>
          <cell r="D4848" t="str">
            <v>2017</v>
          </cell>
          <cell r="E4848">
            <v>957</v>
          </cell>
          <cell r="F4848" t="str">
            <v>AEH-888</v>
          </cell>
          <cell r="G4848" t="str">
            <v>CAMIONETA</v>
          </cell>
          <cell r="H4848" t="str">
            <v>LAS BAMBAS</v>
          </cell>
          <cell r="I4848">
            <v>101688</v>
          </cell>
          <cell r="J4848" t="str">
            <v>REPUESTO</v>
          </cell>
          <cell r="K4848" t="str">
            <v>TAPON DE FAJA</v>
          </cell>
          <cell r="L4848">
            <v>6</v>
          </cell>
          <cell r="M4848" t="str">
            <v>UNID.</v>
          </cell>
          <cell r="N4848" t="str">
            <v>CAMIONETA</v>
          </cell>
          <cell r="O4848">
            <v>24</v>
          </cell>
          <cell r="P4848" t="str">
            <v>M6</v>
          </cell>
          <cell r="Q4848" t="str">
            <v>J1</v>
          </cell>
          <cell r="R4848" t="str">
            <v>J8</v>
          </cell>
          <cell r="S4848" t="str">
            <v>PENDIENTE</v>
          </cell>
          <cell r="T4848">
            <v>0</v>
          </cell>
          <cell r="U4848" t="str">
            <v>PARI VENTURA  EDSON ORLANDO</v>
          </cell>
          <cell r="V4848" t="str">
            <v>FLOREZ CONDORI  JOSE WILLIANS</v>
          </cell>
        </row>
        <row r="4849">
          <cell r="A4849">
            <v>4848</v>
          </cell>
          <cell r="B4849">
            <v>42766</v>
          </cell>
          <cell r="C4849" t="str">
            <v>ENERO</v>
          </cell>
          <cell r="D4849" t="str">
            <v>2017</v>
          </cell>
          <cell r="E4849">
            <v>948</v>
          </cell>
          <cell r="F4849" t="str">
            <v>ABQ-704</v>
          </cell>
          <cell r="G4849" t="str">
            <v>TBB-995</v>
          </cell>
          <cell r="H4849" t="str">
            <v>LAS BAMBAS</v>
          </cell>
          <cell r="I4849">
            <v>118013</v>
          </cell>
          <cell r="J4849" t="str">
            <v>REPUESTO</v>
          </cell>
          <cell r="K4849" t="str">
            <v>VALVULA DE PITON</v>
          </cell>
          <cell r="L4849">
            <v>4</v>
          </cell>
          <cell r="M4849" t="str">
            <v>UNID.</v>
          </cell>
          <cell r="N4849" t="str">
            <v>TRACTO</v>
          </cell>
          <cell r="O4849">
            <v>0</v>
          </cell>
          <cell r="P4849" t="str">
            <v>N2</v>
          </cell>
          <cell r="Q4849" t="str">
            <v>J1</v>
          </cell>
          <cell r="R4849" t="str">
            <v>J8</v>
          </cell>
          <cell r="S4849" t="str">
            <v>ENTREGADO</v>
          </cell>
          <cell r="T4849">
            <v>42766</v>
          </cell>
          <cell r="U4849" t="str">
            <v>MAMANI LARICO  EDUARDO ALVARO</v>
          </cell>
          <cell r="V4849" t="str">
            <v>FLOREZ CONDORI  JOSE WILLIANS</v>
          </cell>
        </row>
        <row r="4850">
          <cell r="A4850">
            <v>4849</v>
          </cell>
          <cell r="B4850">
            <v>42766</v>
          </cell>
          <cell r="C4850" t="str">
            <v>ENERO</v>
          </cell>
          <cell r="D4850" t="str">
            <v>2017</v>
          </cell>
          <cell r="E4850">
            <v>961</v>
          </cell>
          <cell r="F4850" t="str">
            <v>D6G-805</v>
          </cell>
          <cell r="G4850" t="str">
            <v>T4Z-996</v>
          </cell>
          <cell r="H4850" t="str">
            <v>LAS BAMBAS</v>
          </cell>
          <cell r="I4850">
            <v>229800</v>
          </cell>
          <cell r="J4850" t="str">
            <v>REPUESTO</v>
          </cell>
          <cell r="K4850" t="str">
            <v>MINIFUSIBLES DE 15V</v>
          </cell>
          <cell r="L4850">
            <v>1</v>
          </cell>
          <cell r="M4850" t="str">
            <v>UNID.</v>
          </cell>
          <cell r="N4850" t="str">
            <v>TRACTO</v>
          </cell>
          <cell r="O4850">
            <v>0</v>
          </cell>
          <cell r="P4850" t="str">
            <v>E3</v>
          </cell>
          <cell r="Q4850" t="str">
            <v>J1</v>
          </cell>
          <cell r="R4850" t="str">
            <v>J8</v>
          </cell>
          <cell r="S4850" t="str">
            <v>ENTREGADO</v>
          </cell>
          <cell r="T4850">
            <v>42766</v>
          </cell>
          <cell r="U4850" t="str">
            <v>CONDORI CHURATA ALEX</v>
          </cell>
          <cell r="V4850" t="str">
            <v>FLOREZ CONDORI  JOSE WILLIANS</v>
          </cell>
        </row>
        <row r="4851">
          <cell r="A4851">
            <v>4850</v>
          </cell>
          <cell r="B4851">
            <v>42766</v>
          </cell>
          <cell r="C4851" t="str">
            <v>ENERO</v>
          </cell>
          <cell r="D4851" t="str">
            <v>2017</v>
          </cell>
          <cell r="E4851">
            <v>958</v>
          </cell>
          <cell r="F4851" t="str">
            <v>D3P-754</v>
          </cell>
          <cell r="G4851" t="str">
            <v>C0V-971</v>
          </cell>
          <cell r="H4851" t="str">
            <v>LAS BAMBAS</v>
          </cell>
          <cell r="I4851">
            <v>170295</v>
          </cell>
          <cell r="J4851" t="str">
            <v>REPUESTO</v>
          </cell>
          <cell r="K4851" t="str">
            <v>FOCO H3 12V</v>
          </cell>
          <cell r="L4851">
            <v>1</v>
          </cell>
          <cell r="M4851" t="str">
            <v>UNID.</v>
          </cell>
          <cell r="N4851" t="str">
            <v>CISTERNA</v>
          </cell>
          <cell r="O4851">
            <v>0</v>
          </cell>
          <cell r="P4851" t="str">
            <v>E3</v>
          </cell>
          <cell r="Q4851" t="str">
            <v>J1</v>
          </cell>
          <cell r="R4851" t="str">
            <v>J8</v>
          </cell>
          <cell r="S4851" t="str">
            <v>ENTREGADO</v>
          </cell>
          <cell r="T4851">
            <v>42766</v>
          </cell>
          <cell r="U4851" t="str">
            <v>CONDORI CHURATA ALEX</v>
          </cell>
          <cell r="V4851" t="str">
            <v>FLOREZ CONDORI  JOSE WILLIANS</v>
          </cell>
        </row>
        <row r="4852">
          <cell r="A4852">
            <v>4851</v>
          </cell>
          <cell r="B4852">
            <v>42766</v>
          </cell>
          <cell r="C4852" t="str">
            <v>ENERO</v>
          </cell>
          <cell r="D4852" t="str">
            <v>2017</v>
          </cell>
          <cell r="E4852">
            <v>958</v>
          </cell>
          <cell r="F4852" t="str">
            <v>D3P-754</v>
          </cell>
          <cell r="G4852" t="str">
            <v>C0V-971</v>
          </cell>
          <cell r="H4852" t="str">
            <v>LAS BAMBAS</v>
          </cell>
          <cell r="I4852">
            <v>170295</v>
          </cell>
          <cell r="J4852" t="str">
            <v>REPUESTO</v>
          </cell>
          <cell r="K4852" t="str">
            <v>CINTILLOS</v>
          </cell>
          <cell r="L4852">
            <v>5</v>
          </cell>
          <cell r="M4852" t="str">
            <v>UNID.</v>
          </cell>
          <cell r="N4852" t="str">
            <v>CISTERNA</v>
          </cell>
          <cell r="O4852">
            <v>0</v>
          </cell>
          <cell r="P4852" t="str">
            <v>E3</v>
          </cell>
          <cell r="Q4852" t="str">
            <v>J1</v>
          </cell>
          <cell r="R4852" t="str">
            <v>J8</v>
          </cell>
          <cell r="S4852" t="str">
            <v>ENTREGADO</v>
          </cell>
          <cell r="T4852">
            <v>42766</v>
          </cell>
          <cell r="U4852" t="str">
            <v>CONDORI CHURATA ALEX</v>
          </cell>
          <cell r="V4852" t="str">
            <v>FLOREZ CONDORI  JOSE WILLIANS</v>
          </cell>
        </row>
        <row r="4853">
          <cell r="A4853">
            <v>4852</v>
          </cell>
          <cell r="B4853">
            <v>42766</v>
          </cell>
          <cell r="C4853" t="str">
            <v>ENERO</v>
          </cell>
          <cell r="D4853" t="str">
            <v>2017</v>
          </cell>
          <cell r="E4853">
            <v>963</v>
          </cell>
          <cell r="F4853" t="str">
            <v>C5R-892</v>
          </cell>
          <cell r="G4853" t="str">
            <v>A0T-983</v>
          </cell>
          <cell r="H4853" t="str">
            <v>LAS BAMBAS</v>
          </cell>
          <cell r="I4853">
            <v>232001</v>
          </cell>
          <cell r="J4853" t="str">
            <v>REPUESTO</v>
          </cell>
          <cell r="K4853" t="str">
            <v xml:space="preserve">TECLA ELEVALUNA LH </v>
          </cell>
          <cell r="L4853">
            <v>1</v>
          </cell>
          <cell r="M4853" t="str">
            <v>UNID.</v>
          </cell>
          <cell r="N4853" t="str">
            <v>TRACTO</v>
          </cell>
          <cell r="O4853">
            <v>0</v>
          </cell>
          <cell r="P4853" t="str">
            <v>E2</v>
          </cell>
          <cell r="Q4853" t="str">
            <v>J1</v>
          </cell>
          <cell r="R4853" t="str">
            <v>J8</v>
          </cell>
          <cell r="S4853" t="str">
            <v>ENTREGADO</v>
          </cell>
          <cell r="T4853">
            <v>42766</v>
          </cell>
          <cell r="U4853" t="str">
            <v>YUCA BELLIDO BORIS YERSY</v>
          </cell>
          <cell r="V4853" t="str">
            <v>FLOREZ CONDORI  JOSE WILLIANS</v>
          </cell>
        </row>
        <row r="4854">
          <cell r="A4854">
            <v>4853</v>
          </cell>
          <cell r="B4854">
            <v>42766</v>
          </cell>
          <cell r="C4854" t="str">
            <v>ENERO</v>
          </cell>
          <cell r="D4854" t="str">
            <v>2017</v>
          </cell>
          <cell r="E4854">
            <v>958</v>
          </cell>
          <cell r="F4854" t="str">
            <v>D3P-754</v>
          </cell>
          <cell r="G4854" t="str">
            <v>C0V-971</v>
          </cell>
          <cell r="H4854" t="str">
            <v>LAS BAMBAS</v>
          </cell>
          <cell r="I4854">
            <v>170295</v>
          </cell>
          <cell r="J4854" t="str">
            <v>REPUESTO</v>
          </cell>
          <cell r="K4854" t="str">
            <v>GOBERNADOR  DE AIRE</v>
          </cell>
          <cell r="L4854">
            <v>1</v>
          </cell>
          <cell r="M4854" t="str">
            <v>UNID.</v>
          </cell>
          <cell r="N4854" t="str">
            <v>TRACTO</v>
          </cell>
          <cell r="O4854">
            <v>0</v>
          </cell>
          <cell r="P4854" t="str">
            <v>M2</v>
          </cell>
          <cell r="Q4854" t="str">
            <v>J1</v>
          </cell>
          <cell r="R4854" t="str">
            <v>J8</v>
          </cell>
          <cell r="S4854" t="str">
            <v>ENTREGADO</v>
          </cell>
          <cell r="T4854">
            <v>42766</v>
          </cell>
          <cell r="U4854" t="str">
            <v>CHUMPITAZ GAGO JULIO ENRIQUE</v>
          </cell>
          <cell r="V4854" t="str">
            <v>FLOREZ CONDORI  JOSE WILLIANS</v>
          </cell>
        </row>
        <row r="4855">
          <cell r="A4855">
            <v>4854</v>
          </cell>
          <cell r="B4855">
            <v>42766</v>
          </cell>
          <cell r="C4855" t="str">
            <v>ENERO</v>
          </cell>
          <cell r="D4855" t="str">
            <v>2017</v>
          </cell>
          <cell r="E4855">
            <v>958</v>
          </cell>
          <cell r="F4855" t="str">
            <v>D3P-754</v>
          </cell>
          <cell r="G4855" t="str">
            <v>C0V-971</v>
          </cell>
          <cell r="H4855" t="str">
            <v>LAS BAMBAS</v>
          </cell>
          <cell r="I4855">
            <v>170295</v>
          </cell>
          <cell r="J4855" t="str">
            <v>REPUESTO</v>
          </cell>
          <cell r="K4855" t="str">
            <v>TUBO DE ESCAPE ACORDEON</v>
          </cell>
          <cell r="L4855">
            <v>1</v>
          </cell>
          <cell r="M4855" t="str">
            <v>UNID.</v>
          </cell>
          <cell r="N4855" t="str">
            <v>TRACTO</v>
          </cell>
          <cell r="O4855">
            <v>24</v>
          </cell>
          <cell r="P4855" t="str">
            <v>M2</v>
          </cell>
          <cell r="Q4855" t="str">
            <v>J1</v>
          </cell>
          <cell r="R4855" t="str">
            <v>J8</v>
          </cell>
          <cell r="S4855" t="str">
            <v>PENDIENTE</v>
          </cell>
          <cell r="T4855">
            <v>0</v>
          </cell>
          <cell r="U4855" t="str">
            <v>CHUMPITAZ GAGO JULIO ENRIQUE</v>
          </cell>
          <cell r="V4855" t="str">
            <v>FLOREZ CONDORI  JOSE WILLIANS</v>
          </cell>
        </row>
        <row r="4856">
          <cell r="A4856">
            <v>4855</v>
          </cell>
          <cell r="B4856">
            <v>42766</v>
          </cell>
          <cell r="C4856" t="str">
            <v>ENERO</v>
          </cell>
          <cell r="D4856" t="str">
            <v>2017</v>
          </cell>
          <cell r="E4856">
            <v>958</v>
          </cell>
          <cell r="F4856" t="str">
            <v>D3P-754</v>
          </cell>
          <cell r="G4856" t="str">
            <v>C0V-971</v>
          </cell>
          <cell r="H4856" t="str">
            <v>LAS BAMBAS</v>
          </cell>
          <cell r="I4856">
            <v>170295</v>
          </cell>
          <cell r="J4856" t="str">
            <v>REPUESTO</v>
          </cell>
          <cell r="K4856" t="str">
            <v>ABRAZADERA PARA SOPORTE DE MANGUERA DE RADIADOR</v>
          </cell>
          <cell r="L4856">
            <v>2</v>
          </cell>
          <cell r="M4856" t="str">
            <v>UNID.</v>
          </cell>
          <cell r="N4856" t="str">
            <v>TRACTO</v>
          </cell>
          <cell r="O4856">
            <v>0</v>
          </cell>
          <cell r="P4856" t="str">
            <v>M2</v>
          </cell>
          <cell r="Q4856" t="str">
            <v>J1</v>
          </cell>
          <cell r="R4856" t="str">
            <v>J8</v>
          </cell>
          <cell r="S4856" t="str">
            <v>ENTREGADO</v>
          </cell>
          <cell r="T4856">
            <v>42766</v>
          </cell>
          <cell r="U4856" t="str">
            <v>CHUMPITAZ GAGO JULIO ENRIQUE</v>
          </cell>
          <cell r="V4856" t="str">
            <v>FLOREZ CONDORI  JOSE WILLIANS</v>
          </cell>
        </row>
        <row r="4857">
          <cell r="A4857">
            <v>4856</v>
          </cell>
          <cell r="B4857">
            <v>42766</v>
          </cell>
          <cell r="C4857" t="str">
            <v>ENERO</v>
          </cell>
          <cell r="D4857" t="str">
            <v>2017</v>
          </cell>
          <cell r="E4857">
            <v>200</v>
          </cell>
          <cell r="F4857" t="str">
            <v>TALLER</v>
          </cell>
          <cell r="G4857" t="str">
            <v>TALLER</v>
          </cell>
          <cell r="H4857" t="str">
            <v>TALLER</v>
          </cell>
          <cell r="I4857" t="str">
            <v>TALLER</v>
          </cell>
          <cell r="J4857" t="str">
            <v>INSUMO TALLER</v>
          </cell>
          <cell r="K4857" t="str">
            <v>CINTA VULCANIZADA 3M</v>
          </cell>
          <cell r="L4857">
            <v>1</v>
          </cell>
          <cell r="M4857" t="str">
            <v>UNID.</v>
          </cell>
          <cell r="N4857" t="str">
            <v>TALLER</v>
          </cell>
          <cell r="O4857">
            <v>24</v>
          </cell>
          <cell r="P4857" t="str">
            <v>S1</v>
          </cell>
          <cell r="Q4857" t="str">
            <v>J7</v>
          </cell>
          <cell r="R4857" t="str">
            <v>J5</v>
          </cell>
          <cell r="S4857" t="str">
            <v>PENDIENTE</v>
          </cell>
          <cell r="T4857">
            <v>0</v>
          </cell>
          <cell r="U4857" t="str">
            <v>BAYONA CRUZ CRISTIAN ARMANDO</v>
          </cell>
          <cell r="V4857" t="str">
            <v>DONAYRE INGA PEDRO</v>
          </cell>
        </row>
        <row r="4858">
          <cell r="A4858">
            <v>4857</v>
          </cell>
          <cell r="B4858">
            <v>42767</v>
          </cell>
          <cell r="C4858" t="str">
            <v>FEBRERO</v>
          </cell>
          <cell r="D4858" t="str">
            <v>2017</v>
          </cell>
          <cell r="E4858">
            <v>200</v>
          </cell>
          <cell r="F4858" t="str">
            <v>TALLER</v>
          </cell>
          <cell r="G4858" t="str">
            <v>TALLER</v>
          </cell>
          <cell r="H4858" t="str">
            <v>TALLER</v>
          </cell>
          <cell r="I4858" t="str">
            <v>TALLER</v>
          </cell>
          <cell r="J4858" t="str">
            <v>INSUMO TALLER</v>
          </cell>
          <cell r="K4858" t="str">
            <v>MANGUERA CORRUGADA 3/8</v>
          </cell>
          <cell r="L4858">
            <v>1</v>
          </cell>
          <cell r="M4858" t="str">
            <v>M</v>
          </cell>
          <cell r="N4858" t="str">
            <v>TALLER</v>
          </cell>
          <cell r="O4858">
            <v>0</v>
          </cell>
          <cell r="P4858" t="str">
            <v>E2</v>
          </cell>
          <cell r="Q4858" t="str">
            <v>J1</v>
          </cell>
          <cell r="R4858" t="str">
            <v>J8</v>
          </cell>
          <cell r="S4858" t="str">
            <v>ENTREGADO</v>
          </cell>
          <cell r="T4858">
            <v>42767</v>
          </cell>
          <cell r="U4858" t="str">
            <v>YUCA BELLIDO BORIS YERSY</v>
          </cell>
          <cell r="V4858" t="str">
            <v>FLOREZ CONDORI  JOSE WILLIANS</v>
          </cell>
        </row>
        <row r="4859">
          <cell r="A4859">
            <v>4858</v>
          </cell>
          <cell r="B4859">
            <v>42767</v>
          </cell>
          <cell r="C4859" t="str">
            <v>FEBRERO</v>
          </cell>
          <cell r="D4859" t="str">
            <v>2017</v>
          </cell>
          <cell r="E4859">
            <v>919</v>
          </cell>
          <cell r="F4859" t="str">
            <v>D3R-791</v>
          </cell>
          <cell r="G4859" t="str">
            <v>B1M-993</v>
          </cell>
          <cell r="H4859" t="str">
            <v>LAS BAMBAS</v>
          </cell>
          <cell r="I4859">
            <v>146627</v>
          </cell>
          <cell r="J4859" t="str">
            <v>REPUESTO</v>
          </cell>
          <cell r="K4859" t="str">
            <v>DISCO DE CORTE 7"</v>
          </cell>
          <cell r="L4859">
            <v>2</v>
          </cell>
          <cell r="M4859" t="str">
            <v>UNID.</v>
          </cell>
          <cell r="N4859" t="str">
            <v>CISTERNA</v>
          </cell>
          <cell r="O4859">
            <v>0</v>
          </cell>
          <cell r="P4859" t="str">
            <v>S1</v>
          </cell>
          <cell r="Q4859" t="str">
            <v>J1</v>
          </cell>
          <cell r="R4859" t="str">
            <v>J8</v>
          </cell>
          <cell r="S4859" t="str">
            <v>ENTREGADO</v>
          </cell>
          <cell r="T4859">
            <v>42767</v>
          </cell>
          <cell r="U4859" t="str">
            <v>BAYONA CRUZ CRISTIAN ARMANDO</v>
          </cell>
          <cell r="V4859" t="str">
            <v>FLOREZ CONDORI  JOSE WILLIANS</v>
          </cell>
        </row>
        <row r="4860">
          <cell r="A4860">
            <v>4859</v>
          </cell>
          <cell r="B4860">
            <v>42767</v>
          </cell>
          <cell r="C4860" t="str">
            <v>FEBRERO</v>
          </cell>
          <cell r="D4860" t="str">
            <v>2017</v>
          </cell>
          <cell r="E4860">
            <v>919</v>
          </cell>
          <cell r="F4860" t="str">
            <v>D3R-791</v>
          </cell>
          <cell r="G4860" t="str">
            <v>B1M-993</v>
          </cell>
          <cell r="H4860" t="str">
            <v>LAS BAMBAS</v>
          </cell>
          <cell r="I4860">
            <v>146627</v>
          </cell>
          <cell r="J4860" t="str">
            <v>REPUESTO</v>
          </cell>
          <cell r="K4860" t="str">
            <v>PERNO DE 5/8 X 2" CON TUERCA Y SEGURO</v>
          </cell>
          <cell r="L4860">
            <v>8</v>
          </cell>
          <cell r="M4860" t="str">
            <v>UNID.</v>
          </cell>
          <cell r="N4860" t="str">
            <v>CISTERNA</v>
          </cell>
          <cell r="O4860">
            <v>0</v>
          </cell>
          <cell r="P4860" t="str">
            <v>S1</v>
          </cell>
          <cell r="Q4860" t="str">
            <v>J1</v>
          </cell>
          <cell r="R4860" t="str">
            <v>J8</v>
          </cell>
          <cell r="S4860" t="str">
            <v>ENTREGADO</v>
          </cell>
          <cell r="T4860">
            <v>42767</v>
          </cell>
          <cell r="U4860" t="str">
            <v>BAYONA CRUZ CRISTIAN ARMANDO</v>
          </cell>
          <cell r="V4860" t="str">
            <v>FLOREZ CONDORI  JOSE WILLIANS</v>
          </cell>
        </row>
        <row r="4861">
          <cell r="A4861">
            <v>4860</v>
          </cell>
          <cell r="B4861">
            <v>42767</v>
          </cell>
          <cell r="C4861" t="str">
            <v>FEBRERO</v>
          </cell>
          <cell r="D4861" t="str">
            <v>2017</v>
          </cell>
          <cell r="E4861">
            <v>958</v>
          </cell>
          <cell r="F4861" t="str">
            <v>D3P-754</v>
          </cell>
          <cell r="G4861" t="str">
            <v>C0V-971</v>
          </cell>
          <cell r="H4861" t="str">
            <v>LAS BAMBAS</v>
          </cell>
          <cell r="I4861">
            <v>170295</v>
          </cell>
          <cell r="J4861" t="str">
            <v>REPUESTO</v>
          </cell>
          <cell r="K4861" t="str">
            <v>PARCHE RACK 14</v>
          </cell>
          <cell r="L4861">
            <v>1</v>
          </cell>
          <cell r="M4861" t="str">
            <v>UNID.</v>
          </cell>
          <cell r="N4861" t="str">
            <v>CISTERNA</v>
          </cell>
          <cell r="O4861">
            <v>0</v>
          </cell>
          <cell r="P4861" t="str">
            <v>N2</v>
          </cell>
          <cell r="Q4861" t="str">
            <v>J1</v>
          </cell>
          <cell r="R4861" t="str">
            <v>J8</v>
          </cell>
          <cell r="S4861" t="str">
            <v>ENTREGADO</v>
          </cell>
          <cell r="T4861">
            <v>42767</v>
          </cell>
          <cell r="U4861" t="str">
            <v>MAMANI LARICO  EDUARDO ALVARO</v>
          </cell>
          <cell r="V4861" t="str">
            <v>FLOREZ CONDORI  JOSE WILLIANS</v>
          </cell>
        </row>
        <row r="4862">
          <cell r="A4862">
            <v>4861</v>
          </cell>
          <cell r="B4862">
            <v>42767</v>
          </cell>
          <cell r="C4862" t="str">
            <v>FEBRERO</v>
          </cell>
          <cell r="D4862" t="str">
            <v>2017</v>
          </cell>
          <cell r="E4862">
            <v>200</v>
          </cell>
          <cell r="F4862" t="str">
            <v>TALLER</v>
          </cell>
          <cell r="G4862" t="str">
            <v>TALLER</v>
          </cell>
          <cell r="H4862" t="str">
            <v>TALLER</v>
          </cell>
          <cell r="I4862" t="str">
            <v>TALLER</v>
          </cell>
          <cell r="J4862" t="str">
            <v>REPUESTO</v>
          </cell>
          <cell r="K4862" t="str">
            <v>SPRAY ALUMINIO</v>
          </cell>
          <cell r="L4862">
            <v>1</v>
          </cell>
          <cell r="M4862" t="str">
            <v>UNID.</v>
          </cell>
          <cell r="N4862" t="str">
            <v>TALLER</v>
          </cell>
          <cell r="O4862">
            <v>0</v>
          </cell>
          <cell r="P4862" t="str">
            <v>N2</v>
          </cell>
          <cell r="Q4862" t="str">
            <v>J1</v>
          </cell>
          <cell r="R4862" t="str">
            <v>J8</v>
          </cell>
          <cell r="S4862" t="str">
            <v>ENTREGADO</v>
          </cell>
          <cell r="T4862">
            <v>42767</v>
          </cell>
          <cell r="U4862" t="str">
            <v>MAMANI LARICO  EDUARDO ALVARO</v>
          </cell>
          <cell r="V4862" t="str">
            <v>FLOREZ CONDORI  JOSE WILLIANS</v>
          </cell>
        </row>
        <row r="4863">
          <cell r="A4863">
            <v>4862</v>
          </cell>
          <cell r="B4863">
            <v>42767</v>
          </cell>
          <cell r="C4863" t="str">
            <v>FEBRERO</v>
          </cell>
          <cell r="D4863" t="str">
            <v>2017</v>
          </cell>
          <cell r="E4863">
            <v>200</v>
          </cell>
          <cell r="F4863" t="str">
            <v>TALLER</v>
          </cell>
          <cell r="G4863" t="str">
            <v>TALLER</v>
          </cell>
          <cell r="H4863" t="str">
            <v>TALLER</v>
          </cell>
          <cell r="I4863" t="str">
            <v>TALLER</v>
          </cell>
          <cell r="J4863" t="str">
            <v>REPUESTO</v>
          </cell>
          <cell r="K4863" t="str">
            <v>SPRAY BLANCO</v>
          </cell>
          <cell r="L4863">
            <v>1</v>
          </cell>
          <cell r="M4863" t="str">
            <v>UNID.</v>
          </cell>
          <cell r="N4863" t="str">
            <v>TALLER</v>
          </cell>
          <cell r="O4863">
            <v>0</v>
          </cell>
          <cell r="P4863" t="str">
            <v>N2</v>
          </cell>
          <cell r="Q4863" t="str">
            <v>J1</v>
          </cell>
          <cell r="R4863" t="str">
            <v>J8</v>
          </cell>
          <cell r="S4863" t="str">
            <v>ENTREGADO</v>
          </cell>
          <cell r="T4863">
            <v>42767</v>
          </cell>
          <cell r="U4863" t="str">
            <v>MAMANI LARICO  EDUARDO ALVARO</v>
          </cell>
          <cell r="V4863" t="str">
            <v>FLOREZ CONDORI  JOSE WILLIANS</v>
          </cell>
        </row>
        <row r="4864">
          <cell r="A4864">
            <v>4863</v>
          </cell>
          <cell r="B4864">
            <v>42767</v>
          </cell>
          <cell r="C4864" t="str">
            <v>FEBRERO</v>
          </cell>
          <cell r="D4864" t="str">
            <v>2017</v>
          </cell>
          <cell r="E4864">
            <v>962</v>
          </cell>
          <cell r="F4864" t="str">
            <v>C6X-739</v>
          </cell>
          <cell r="G4864" t="str">
            <v>TCS-988</v>
          </cell>
          <cell r="H4864" t="str">
            <v>LAS BAMBAS CONC.</v>
          </cell>
          <cell r="I4864">
            <v>236739</v>
          </cell>
          <cell r="J4864" t="str">
            <v>REPUESTO</v>
          </cell>
          <cell r="K4864" t="str">
            <v>LIMPIAPARABRISA</v>
          </cell>
          <cell r="L4864">
            <v>1</v>
          </cell>
          <cell r="M4864" t="str">
            <v>GLNS.</v>
          </cell>
          <cell r="N4864" t="str">
            <v>TRACTO</v>
          </cell>
          <cell r="O4864">
            <v>0</v>
          </cell>
          <cell r="P4864" t="str">
            <v>M1</v>
          </cell>
          <cell r="Q4864" t="str">
            <v>J1</v>
          </cell>
          <cell r="R4864" t="str">
            <v>J6</v>
          </cell>
          <cell r="S4864" t="str">
            <v>ENTREGADO</v>
          </cell>
          <cell r="T4864">
            <v>42767</v>
          </cell>
          <cell r="U4864" t="str">
            <v>CABEZAS SANCHEZ JEAN JHONATAN</v>
          </cell>
          <cell r="V4864" t="str">
            <v>FLOREZ CONDORI  JOSE WILLIANS</v>
          </cell>
        </row>
        <row r="4865">
          <cell r="A4865">
            <v>4864</v>
          </cell>
          <cell r="B4865">
            <v>42767</v>
          </cell>
          <cell r="C4865" t="str">
            <v>FEBRERO</v>
          </cell>
          <cell r="D4865" t="str">
            <v>2017</v>
          </cell>
          <cell r="E4865">
            <v>962</v>
          </cell>
          <cell r="F4865" t="str">
            <v>C6X-739</v>
          </cell>
          <cell r="G4865" t="str">
            <v>TCS-988</v>
          </cell>
          <cell r="H4865" t="str">
            <v>LAS BAMBAS CONC.</v>
          </cell>
          <cell r="I4865">
            <v>236739</v>
          </cell>
          <cell r="J4865" t="str">
            <v>REPUESTO</v>
          </cell>
          <cell r="K4865" t="str">
            <v>REFRIGERANTE</v>
          </cell>
          <cell r="L4865">
            <v>0.5</v>
          </cell>
          <cell r="M4865" t="str">
            <v>GLNS.</v>
          </cell>
          <cell r="N4865" t="str">
            <v>TRACTO</v>
          </cell>
          <cell r="O4865">
            <v>0</v>
          </cell>
          <cell r="P4865" t="str">
            <v>M1</v>
          </cell>
          <cell r="Q4865" t="str">
            <v>J1</v>
          </cell>
          <cell r="R4865" t="str">
            <v>J6</v>
          </cell>
          <cell r="S4865" t="str">
            <v>ENTREGADO</v>
          </cell>
          <cell r="T4865">
            <v>42767</v>
          </cell>
          <cell r="U4865" t="str">
            <v>CABEZAS SANCHEZ JEAN JHONATAN</v>
          </cell>
          <cell r="V4865" t="str">
            <v>FLOREZ CONDORI  JOSE WILLIANS</v>
          </cell>
        </row>
        <row r="4866">
          <cell r="A4866">
            <v>4865</v>
          </cell>
          <cell r="B4866">
            <v>42767</v>
          </cell>
          <cell r="C4866" t="str">
            <v>FEBRERO</v>
          </cell>
          <cell r="D4866" t="str">
            <v>2017</v>
          </cell>
          <cell r="E4866">
            <v>961</v>
          </cell>
          <cell r="F4866" t="str">
            <v>D6G-805</v>
          </cell>
          <cell r="G4866" t="str">
            <v>T4Z-996</v>
          </cell>
          <cell r="H4866" t="str">
            <v>LAS BAMBAS</v>
          </cell>
          <cell r="I4866">
            <v>229800</v>
          </cell>
          <cell r="J4866" t="str">
            <v>REPUESTO</v>
          </cell>
          <cell r="K4866" t="str">
            <v>KIT  REPARACION DE SECADOR DE AIRE</v>
          </cell>
          <cell r="L4866">
            <v>1</v>
          </cell>
          <cell r="M4866" t="str">
            <v>UNID.</v>
          </cell>
          <cell r="N4866" t="str">
            <v>TRACTO</v>
          </cell>
          <cell r="O4866">
            <v>0</v>
          </cell>
          <cell r="P4866" t="str">
            <v>M2</v>
          </cell>
          <cell r="Q4866" t="str">
            <v>J1</v>
          </cell>
          <cell r="R4866" t="str">
            <v>J8</v>
          </cell>
          <cell r="S4866" t="str">
            <v>ENTREGADO</v>
          </cell>
          <cell r="T4866">
            <v>42767</v>
          </cell>
          <cell r="U4866" t="str">
            <v>CHUMPITAZ GAGO JULIO ENRIQUE</v>
          </cell>
          <cell r="V4866" t="str">
            <v>FLOREZ CONDORI  JOSE WILLIANS</v>
          </cell>
        </row>
        <row r="4867">
          <cell r="A4867">
            <v>4866</v>
          </cell>
          <cell r="B4867">
            <v>42767</v>
          </cell>
          <cell r="C4867" t="str">
            <v>FEBRERO</v>
          </cell>
          <cell r="D4867" t="str">
            <v>2017</v>
          </cell>
          <cell r="E4867">
            <v>961</v>
          </cell>
          <cell r="F4867" t="str">
            <v>D6G-805</v>
          </cell>
          <cell r="G4867" t="str">
            <v>T4Z-996</v>
          </cell>
          <cell r="H4867" t="str">
            <v>LAS BAMBAS</v>
          </cell>
          <cell r="I4867">
            <v>229800</v>
          </cell>
          <cell r="J4867" t="str">
            <v>REPUESTO</v>
          </cell>
          <cell r="K4867" t="str">
            <v>FILTRO DE SECADOR DE AIRE</v>
          </cell>
          <cell r="L4867">
            <v>1</v>
          </cell>
          <cell r="M4867" t="str">
            <v>UNID.</v>
          </cell>
          <cell r="N4867" t="str">
            <v>TRACTO</v>
          </cell>
          <cell r="O4867">
            <v>0</v>
          </cell>
          <cell r="P4867" t="str">
            <v>M2</v>
          </cell>
          <cell r="Q4867" t="str">
            <v>J1</v>
          </cell>
          <cell r="R4867" t="str">
            <v>J8</v>
          </cell>
          <cell r="S4867" t="str">
            <v>ENTREGADO</v>
          </cell>
          <cell r="T4867">
            <v>42767</v>
          </cell>
          <cell r="U4867" t="str">
            <v>CHUMPITAZ GAGO JULIO ENRIQUE</v>
          </cell>
          <cell r="V4867" t="str">
            <v>FLOREZ CONDORI  JOSE WILLIANS</v>
          </cell>
        </row>
        <row r="4868">
          <cell r="A4868">
            <v>4867</v>
          </cell>
          <cell r="B4868">
            <v>42767</v>
          </cell>
          <cell r="C4868" t="str">
            <v>FEBRERO</v>
          </cell>
          <cell r="D4868" t="str">
            <v>2017</v>
          </cell>
          <cell r="E4868">
            <v>964</v>
          </cell>
          <cell r="F4868" t="str">
            <v>X2W-788</v>
          </cell>
          <cell r="G4868" t="str">
            <v>C5V-994</v>
          </cell>
          <cell r="H4868" t="str">
            <v>LAS BAMBAS</v>
          </cell>
          <cell r="I4868">
            <v>146919</v>
          </cell>
          <cell r="J4868" t="str">
            <v>REPUESTO</v>
          </cell>
          <cell r="K4868" t="str">
            <v>CONJUNTO DE EMBRAGUE</v>
          </cell>
          <cell r="L4868">
            <v>1</v>
          </cell>
          <cell r="M4868" t="str">
            <v>UNID.</v>
          </cell>
          <cell r="N4868" t="str">
            <v>TRACTO</v>
          </cell>
          <cell r="O4868">
            <v>0</v>
          </cell>
          <cell r="P4868" t="str">
            <v>M5</v>
          </cell>
          <cell r="Q4868" t="str">
            <v>J1</v>
          </cell>
          <cell r="R4868" t="str">
            <v>J8</v>
          </cell>
          <cell r="S4868" t="str">
            <v>ENTREGADO</v>
          </cell>
          <cell r="T4868">
            <v>42767</v>
          </cell>
          <cell r="U4868" t="str">
            <v>LOPEZ RUIZ WILBERTO</v>
          </cell>
          <cell r="V4868" t="str">
            <v>FLOREZ CONDORI  JOSE WILLIANS</v>
          </cell>
        </row>
        <row r="4869">
          <cell r="A4869">
            <v>4868</v>
          </cell>
          <cell r="B4869">
            <v>42767</v>
          </cell>
          <cell r="C4869" t="str">
            <v>FEBRERO</v>
          </cell>
          <cell r="D4869" t="str">
            <v>2017</v>
          </cell>
          <cell r="E4869">
            <v>964</v>
          </cell>
          <cell r="F4869" t="str">
            <v>X2W-788</v>
          </cell>
          <cell r="G4869" t="str">
            <v>C5V-994</v>
          </cell>
          <cell r="H4869" t="str">
            <v>LAS BAMBAS</v>
          </cell>
          <cell r="I4869">
            <v>146919</v>
          </cell>
          <cell r="J4869" t="str">
            <v>REPUESTO</v>
          </cell>
          <cell r="K4869" t="str">
            <v>DISCO PEQUEÑO DE PROPULSOR DE  EMBRAGUE</v>
          </cell>
          <cell r="L4869">
            <v>1</v>
          </cell>
          <cell r="M4869" t="str">
            <v>UNID.</v>
          </cell>
          <cell r="N4869" t="str">
            <v>TRACTO</v>
          </cell>
          <cell r="O4869">
            <v>0</v>
          </cell>
          <cell r="P4869" t="str">
            <v>M5</v>
          </cell>
          <cell r="Q4869" t="str">
            <v>J1</v>
          </cell>
          <cell r="R4869" t="str">
            <v>J8</v>
          </cell>
          <cell r="S4869" t="str">
            <v>ENTREGADO</v>
          </cell>
          <cell r="T4869">
            <v>42767</v>
          </cell>
          <cell r="U4869" t="str">
            <v>LOPEZ RUIZ WILBERTO</v>
          </cell>
          <cell r="V4869" t="str">
            <v>FLOREZ CONDORI  JOSE WILLIANS</v>
          </cell>
        </row>
        <row r="4870">
          <cell r="A4870">
            <v>4869</v>
          </cell>
          <cell r="B4870">
            <v>42767</v>
          </cell>
          <cell r="C4870" t="str">
            <v>FEBRERO</v>
          </cell>
          <cell r="D4870" t="str">
            <v>2017</v>
          </cell>
          <cell r="E4870">
            <v>964</v>
          </cell>
          <cell r="F4870" t="str">
            <v>X2W-788</v>
          </cell>
          <cell r="G4870" t="str">
            <v>C5V-994</v>
          </cell>
          <cell r="H4870" t="str">
            <v>LAS BAMBAS</v>
          </cell>
          <cell r="I4870">
            <v>146919</v>
          </cell>
          <cell r="J4870" t="str">
            <v>REPUESTO</v>
          </cell>
          <cell r="K4870" t="str">
            <v>ACEITE DE MOTOR 15W40</v>
          </cell>
          <cell r="L4870">
            <v>1</v>
          </cell>
          <cell r="M4870" t="str">
            <v>GLNS.</v>
          </cell>
          <cell r="N4870" t="str">
            <v>TRACTO</v>
          </cell>
          <cell r="O4870">
            <v>0</v>
          </cell>
          <cell r="P4870" t="str">
            <v>M5</v>
          </cell>
          <cell r="Q4870" t="str">
            <v>J1</v>
          </cell>
          <cell r="R4870" t="str">
            <v>J8</v>
          </cell>
          <cell r="S4870" t="str">
            <v>ENTREGADO</v>
          </cell>
          <cell r="T4870">
            <v>42767</v>
          </cell>
          <cell r="U4870" t="str">
            <v>LOPEZ RUIZ WILBERTO</v>
          </cell>
          <cell r="V4870" t="str">
            <v>FLOREZ CONDORI  JOSE WILLIANS</v>
          </cell>
        </row>
        <row r="4871">
          <cell r="A4871">
            <v>4870</v>
          </cell>
          <cell r="B4871">
            <v>42767</v>
          </cell>
          <cell r="C4871" t="str">
            <v>FEBRERO</v>
          </cell>
          <cell r="D4871" t="str">
            <v>2017</v>
          </cell>
          <cell r="E4871">
            <v>955</v>
          </cell>
          <cell r="F4871" t="str">
            <v>X2W-759</v>
          </cell>
          <cell r="G4871" t="str">
            <v>C5V-999</v>
          </cell>
          <cell r="H4871" t="str">
            <v>LAS BAMBAS</v>
          </cell>
          <cell r="I4871">
            <v>160081</v>
          </cell>
          <cell r="J4871" t="str">
            <v>REPUESTO</v>
          </cell>
          <cell r="K4871" t="str">
            <v>ARANDELA DE ALUMINIO</v>
          </cell>
          <cell r="L4871">
            <v>2</v>
          </cell>
          <cell r="M4871" t="str">
            <v>UNID.</v>
          </cell>
          <cell r="N4871" t="str">
            <v>TRACTO</v>
          </cell>
          <cell r="O4871">
            <v>0</v>
          </cell>
          <cell r="P4871" t="str">
            <v>M9</v>
          </cell>
          <cell r="Q4871" t="str">
            <v>J1</v>
          </cell>
          <cell r="R4871" t="str">
            <v>J6</v>
          </cell>
          <cell r="S4871" t="str">
            <v>ENTREGADO</v>
          </cell>
          <cell r="T4871">
            <v>42767</v>
          </cell>
          <cell r="U4871" t="str">
            <v>POMA SALAZAR CIRO</v>
          </cell>
          <cell r="V4871" t="str">
            <v>FLOREZ CONDORI  JOSE WILLIANS</v>
          </cell>
        </row>
        <row r="4872">
          <cell r="A4872">
            <v>4871</v>
          </cell>
          <cell r="B4872">
            <v>42767</v>
          </cell>
          <cell r="C4872" t="str">
            <v>FEBRERO</v>
          </cell>
          <cell r="D4872" t="str">
            <v>2017</v>
          </cell>
          <cell r="E4872">
            <v>966</v>
          </cell>
          <cell r="F4872" t="str">
            <v>X2W-765</v>
          </cell>
          <cell r="G4872" t="str">
            <v>C5V-993</v>
          </cell>
          <cell r="H4872" t="str">
            <v>LAS BAMBAS</v>
          </cell>
          <cell r="I4872">
            <v>164235</v>
          </cell>
          <cell r="J4872" t="str">
            <v>REPUESTO</v>
          </cell>
          <cell r="K4872" t="str">
            <v xml:space="preserve">FILTRO DE ACEITE </v>
          </cell>
          <cell r="L4872">
            <v>1</v>
          </cell>
          <cell r="M4872" t="str">
            <v>UNID.</v>
          </cell>
          <cell r="N4872" t="str">
            <v>TRACTO</v>
          </cell>
          <cell r="O4872">
            <v>0</v>
          </cell>
          <cell r="P4872" t="str">
            <v>M2</v>
          </cell>
          <cell r="Q4872" t="str">
            <v>J1</v>
          </cell>
          <cell r="R4872" t="str">
            <v>J1</v>
          </cell>
          <cell r="S4872" t="str">
            <v>ENTREGADO</v>
          </cell>
          <cell r="T4872">
            <v>42767</v>
          </cell>
          <cell r="U4872" t="str">
            <v>CHUMPITAZ GAGO JULIO ENRIQUE</v>
          </cell>
          <cell r="V4872" t="str">
            <v>FLOREZ CONDORI  JOSE WILLIANS</v>
          </cell>
        </row>
        <row r="4873">
          <cell r="A4873">
            <v>4872</v>
          </cell>
          <cell r="B4873">
            <v>42767</v>
          </cell>
          <cell r="C4873" t="str">
            <v>FEBRERO</v>
          </cell>
          <cell r="D4873" t="str">
            <v>2017</v>
          </cell>
          <cell r="E4873">
            <v>966</v>
          </cell>
          <cell r="F4873" t="str">
            <v>X2W-765</v>
          </cell>
          <cell r="G4873" t="str">
            <v>C5V-993</v>
          </cell>
          <cell r="H4873" t="str">
            <v>LAS BAMBAS</v>
          </cell>
          <cell r="I4873">
            <v>164235</v>
          </cell>
          <cell r="J4873" t="str">
            <v>REPUESTO</v>
          </cell>
          <cell r="K4873" t="str">
            <v>FILTRO DE PETROLEO</v>
          </cell>
          <cell r="L4873">
            <v>1</v>
          </cell>
          <cell r="M4873" t="str">
            <v>UNID.</v>
          </cell>
          <cell r="N4873" t="str">
            <v>TRACTO</v>
          </cell>
          <cell r="O4873">
            <v>0</v>
          </cell>
          <cell r="P4873" t="str">
            <v>M2</v>
          </cell>
          <cell r="Q4873" t="str">
            <v>J1</v>
          </cell>
          <cell r="R4873" t="str">
            <v>J1</v>
          </cell>
          <cell r="S4873" t="str">
            <v>ENTREGADO</v>
          </cell>
          <cell r="T4873">
            <v>42767</v>
          </cell>
          <cell r="U4873" t="str">
            <v>CHUMPITAZ GAGO JULIO ENRIQUE</v>
          </cell>
          <cell r="V4873" t="str">
            <v>FLOREZ CONDORI  JOSE WILLIANS</v>
          </cell>
        </row>
        <row r="4874">
          <cell r="A4874">
            <v>4873</v>
          </cell>
          <cell r="B4874">
            <v>42767</v>
          </cell>
          <cell r="C4874" t="str">
            <v>FEBRERO</v>
          </cell>
          <cell r="D4874" t="str">
            <v>2017</v>
          </cell>
          <cell r="E4874">
            <v>966</v>
          </cell>
          <cell r="F4874" t="str">
            <v>X2W-765</v>
          </cell>
          <cell r="G4874" t="str">
            <v>C5V-993</v>
          </cell>
          <cell r="H4874" t="str">
            <v>LAS BAMBAS</v>
          </cell>
          <cell r="I4874">
            <v>164235</v>
          </cell>
          <cell r="J4874" t="str">
            <v>REPUESTO</v>
          </cell>
          <cell r="K4874" t="str">
            <v>FILTRO RACORD</v>
          </cell>
          <cell r="L4874">
            <v>1</v>
          </cell>
          <cell r="M4874" t="str">
            <v>UNID.</v>
          </cell>
          <cell r="N4874" t="str">
            <v>TRACTO</v>
          </cell>
          <cell r="O4874">
            <v>0</v>
          </cell>
          <cell r="P4874" t="str">
            <v>M2</v>
          </cell>
          <cell r="Q4874" t="str">
            <v>J1</v>
          </cell>
          <cell r="R4874" t="str">
            <v>J1</v>
          </cell>
          <cell r="S4874" t="str">
            <v>ENTREGADO</v>
          </cell>
          <cell r="T4874">
            <v>42767</v>
          </cell>
          <cell r="U4874" t="str">
            <v>CHUMPITAZ GAGO JULIO ENRIQUE</v>
          </cell>
          <cell r="V4874" t="str">
            <v>FLOREZ CONDORI  JOSE WILLIANS</v>
          </cell>
        </row>
        <row r="4875">
          <cell r="A4875">
            <v>4874</v>
          </cell>
          <cell r="B4875">
            <v>42767</v>
          </cell>
          <cell r="C4875" t="str">
            <v>FEBRERO</v>
          </cell>
          <cell r="D4875" t="str">
            <v>2017</v>
          </cell>
          <cell r="E4875">
            <v>966</v>
          </cell>
          <cell r="F4875" t="str">
            <v>X2W-765</v>
          </cell>
          <cell r="G4875" t="str">
            <v>C5V-993</v>
          </cell>
          <cell r="H4875" t="str">
            <v>LAS BAMBAS</v>
          </cell>
          <cell r="I4875">
            <v>164235</v>
          </cell>
          <cell r="J4875" t="str">
            <v>REPUESTO</v>
          </cell>
          <cell r="K4875" t="str">
            <v>ACEITE MOTOR 15W-40</v>
          </cell>
          <cell r="L4875">
            <v>10</v>
          </cell>
          <cell r="M4875" t="str">
            <v>GLNS.</v>
          </cell>
          <cell r="N4875" t="str">
            <v>TRACTO</v>
          </cell>
          <cell r="O4875">
            <v>0</v>
          </cell>
          <cell r="P4875" t="str">
            <v>M2</v>
          </cell>
          <cell r="Q4875" t="str">
            <v>J1</v>
          </cell>
          <cell r="R4875" t="str">
            <v>J1</v>
          </cell>
          <cell r="S4875" t="str">
            <v>ENTREGADO</v>
          </cell>
          <cell r="T4875">
            <v>42767</v>
          </cell>
          <cell r="U4875" t="str">
            <v>CHUMPITAZ GAGO JULIO ENRIQUE</v>
          </cell>
          <cell r="V4875" t="str">
            <v>FLOREZ CONDORI  JOSE WILLIANS</v>
          </cell>
        </row>
        <row r="4876">
          <cell r="A4876">
            <v>4875</v>
          </cell>
          <cell r="B4876">
            <v>42767</v>
          </cell>
          <cell r="C4876" t="str">
            <v>FEBRERO</v>
          </cell>
          <cell r="D4876" t="str">
            <v>2017</v>
          </cell>
          <cell r="E4876">
            <v>966</v>
          </cell>
          <cell r="F4876" t="str">
            <v>X2W-765</v>
          </cell>
          <cell r="G4876" t="str">
            <v>C5V-993</v>
          </cell>
          <cell r="H4876" t="str">
            <v>LAS BAMBAS</v>
          </cell>
          <cell r="I4876">
            <v>164235</v>
          </cell>
          <cell r="J4876" t="str">
            <v>REPUESTO</v>
          </cell>
          <cell r="K4876" t="str">
            <v>FILTRO DE AIRE</v>
          </cell>
          <cell r="L4876">
            <v>1</v>
          </cell>
          <cell r="M4876" t="str">
            <v>UNID.</v>
          </cell>
          <cell r="N4876" t="str">
            <v>TRACTO</v>
          </cell>
          <cell r="O4876">
            <v>0</v>
          </cell>
          <cell r="P4876" t="str">
            <v>M2</v>
          </cell>
          <cell r="Q4876" t="str">
            <v>J1</v>
          </cell>
          <cell r="R4876" t="str">
            <v>J1</v>
          </cell>
          <cell r="S4876" t="str">
            <v>ENTREGADO</v>
          </cell>
          <cell r="T4876">
            <v>42767</v>
          </cell>
          <cell r="U4876" t="str">
            <v>CHUMPITAZ GAGO JULIO ENRIQUE</v>
          </cell>
          <cell r="V4876" t="str">
            <v>FLOREZ CONDORI  JOSE WILLIANS</v>
          </cell>
        </row>
        <row r="4877">
          <cell r="A4877">
            <v>4876</v>
          </cell>
          <cell r="B4877">
            <v>42767</v>
          </cell>
          <cell r="C4877" t="str">
            <v>FEBRERO</v>
          </cell>
          <cell r="D4877" t="str">
            <v>2017</v>
          </cell>
          <cell r="E4877">
            <v>939</v>
          </cell>
          <cell r="F4877" t="str">
            <v>AKX-767</v>
          </cell>
          <cell r="G4877" t="str">
            <v>TCR-993</v>
          </cell>
          <cell r="H4877" t="str">
            <v>LAS BAMBAS CONC.</v>
          </cell>
          <cell r="I4877">
            <v>32874</v>
          </cell>
          <cell r="J4877" t="str">
            <v>REPUESTO</v>
          </cell>
          <cell r="K4877" t="str">
            <v>PERNO DE 5/16 X 1 1/2"</v>
          </cell>
          <cell r="L4877">
            <v>2</v>
          </cell>
          <cell r="M4877" t="str">
            <v>UNID.</v>
          </cell>
          <cell r="N4877" t="str">
            <v>TRACTO</v>
          </cell>
          <cell r="O4877">
            <v>0</v>
          </cell>
          <cell r="P4877" t="str">
            <v>E2</v>
          </cell>
          <cell r="Q4877" t="str">
            <v>J1</v>
          </cell>
          <cell r="R4877" t="str">
            <v>J8</v>
          </cell>
          <cell r="S4877" t="str">
            <v>ENTREGADO</v>
          </cell>
          <cell r="T4877">
            <v>42767</v>
          </cell>
          <cell r="U4877" t="str">
            <v>YUCA BELLIDO BORIS YERSY</v>
          </cell>
          <cell r="V4877" t="str">
            <v>FLOREZ CONDORI  JOSE WILLIANS</v>
          </cell>
        </row>
        <row r="4878">
          <cell r="A4878">
            <v>4877</v>
          </cell>
          <cell r="B4878">
            <v>42767</v>
          </cell>
          <cell r="C4878" t="str">
            <v>FEBRERO</v>
          </cell>
          <cell r="D4878" t="str">
            <v>2017</v>
          </cell>
          <cell r="E4878">
            <v>939</v>
          </cell>
          <cell r="F4878" t="str">
            <v>AKX-767</v>
          </cell>
          <cell r="G4878" t="str">
            <v>TCR-993</v>
          </cell>
          <cell r="H4878" t="str">
            <v>LAS BAMBAS CONC.</v>
          </cell>
          <cell r="I4878">
            <v>32874</v>
          </cell>
          <cell r="J4878" t="str">
            <v>REPUESTO</v>
          </cell>
          <cell r="K4878" t="str">
            <v>TUERCA</v>
          </cell>
          <cell r="L4878">
            <v>2</v>
          </cell>
          <cell r="M4878" t="str">
            <v>UNID.</v>
          </cell>
          <cell r="N4878" t="str">
            <v>TRACTO</v>
          </cell>
          <cell r="O4878">
            <v>0</v>
          </cell>
          <cell r="P4878" t="str">
            <v>E2</v>
          </cell>
          <cell r="Q4878" t="str">
            <v>J1</v>
          </cell>
          <cell r="R4878" t="str">
            <v>J8</v>
          </cell>
          <cell r="S4878" t="str">
            <v>ENTREGADO</v>
          </cell>
          <cell r="T4878">
            <v>42767</v>
          </cell>
          <cell r="U4878" t="str">
            <v>YUCA BELLIDO BORIS YERSY</v>
          </cell>
          <cell r="V4878" t="str">
            <v>FLOREZ CONDORI  JOSE WILLIANS</v>
          </cell>
        </row>
        <row r="4879">
          <cell r="A4879">
            <v>4878</v>
          </cell>
          <cell r="B4879">
            <v>42767</v>
          </cell>
          <cell r="C4879" t="str">
            <v>FEBRERO</v>
          </cell>
          <cell r="D4879" t="str">
            <v>2017</v>
          </cell>
          <cell r="E4879">
            <v>939</v>
          </cell>
          <cell r="F4879" t="str">
            <v>AKX-767</v>
          </cell>
          <cell r="G4879" t="str">
            <v>TCR-993</v>
          </cell>
          <cell r="H4879" t="str">
            <v>LAS BAMBAS CONC.</v>
          </cell>
          <cell r="I4879">
            <v>32874</v>
          </cell>
          <cell r="J4879" t="str">
            <v>REPUESTO</v>
          </cell>
          <cell r="K4879" t="str">
            <v>ARANDELA PLANA</v>
          </cell>
          <cell r="L4879">
            <v>4</v>
          </cell>
          <cell r="M4879" t="str">
            <v>UNID.</v>
          </cell>
          <cell r="N4879" t="str">
            <v>TRACTO</v>
          </cell>
          <cell r="O4879">
            <v>0</v>
          </cell>
          <cell r="P4879" t="str">
            <v>E2</v>
          </cell>
          <cell r="Q4879" t="str">
            <v>J1</v>
          </cell>
          <cell r="R4879" t="str">
            <v>J8</v>
          </cell>
          <cell r="S4879" t="str">
            <v>ENTREGADO</v>
          </cell>
          <cell r="T4879">
            <v>42767</v>
          </cell>
          <cell r="U4879" t="str">
            <v>YUCA BELLIDO BORIS YERSY</v>
          </cell>
          <cell r="V4879" t="str">
            <v>FLOREZ CONDORI  JOSE WILLIANS</v>
          </cell>
        </row>
        <row r="4880">
          <cell r="A4880">
            <v>4879</v>
          </cell>
          <cell r="B4880">
            <v>42767</v>
          </cell>
          <cell r="C4880" t="str">
            <v>FEBRERO</v>
          </cell>
          <cell r="D4880" t="str">
            <v>2017</v>
          </cell>
          <cell r="E4880">
            <v>968</v>
          </cell>
          <cell r="F4880" t="str">
            <v>X2W-762</v>
          </cell>
          <cell r="G4880" t="str">
            <v>C5V-998</v>
          </cell>
          <cell r="H4880" t="str">
            <v>LAS BAMBAS</v>
          </cell>
          <cell r="I4880">
            <v>164617</v>
          </cell>
          <cell r="J4880" t="str">
            <v>REPUESTO</v>
          </cell>
          <cell r="K4880" t="str">
            <v>DIODOS</v>
          </cell>
          <cell r="L4880">
            <v>2</v>
          </cell>
          <cell r="M4880" t="str">
            <v>UNID.</v>
          </cell>
          <cell r="N4880" t="str">
            <v>CISTERNA</v>
          </cell>
          <cell r="O4880">
            <v>0</v>
          </cell>
          <cell r="P4880" t="str">
            <v>E2</v>
          </cell>
          <cell r="Q4880" t="str">
            <v>J1</v>
          </cell>
          <cell r="R4880" t="str">
            <v>J8</v>
          </cell>
          <cell r="S4880" t="str">
            <v>ENTREGADO</v>
          </cell>
          <cell r="T4880">
            <v>42767</v>
          </cell>
          <cell r="U4880" t="str">
            <v>YUCA BELLIDO BORIS YERSY</v>
          </cell>
          <cell r="V4880" t="str">
            <v>FLOREZ CONDORI  JOSE WILLIANS</v>
          </cell>
        </row>
        <row r="4881">
          <cell r="A4881">
            <v>4880</v>
          </cell>
          <cell r="B4881">
            <v>42767</v>
          </cell>
          <cell r="C4881" t="str">
            <v>FEBRERO</v>
          </cell>
          <cell r="D4881" t="str">
            <v>2017</v>
          </cell>
          <cell r="E4881">
            <v>968</v>
          </cell>
          <cell r="F4881" t="str">
            <v>X2W-762</v>
          </cell>
          <cell r="G4881" t="str">
            <v>C5V-998</v>
          </cell>
          <cell r="H4881" t="str">
            <v>LAS BAMBAS</v>
          </cell>
          <cell r="I4881">
            <v>164617</v>
          </cell>
          <cell r="J4881" t="str">
            <v>REPUESTO</v>
          </cell>
          <cell r="K4881" t="str">
            <v>TERMINAL OJO 3/16</v>
          </cell>
          <cell r="L4881">
            <v>4</v>
          </cell>
          <cell r="M4881" t="str">
            <v>UNID.</v>
          </cell>
          <cell r="N4881" t="str">
            <v>CISTERNA</v>
          </cell>
          <cell r="O4881">
            <v>0</v>
          </cell>
          <cell r="P4881" t="str">
            <v>E2</v>
          </cell>
          <cell r="Q4881" t="str">
            <v>J1</v>
          </cell>
          <cell r="R4881" t="str">
            <v>J8</v>
          </cell>
          <cell r="S4881" t="str">
            <v>ENTREGADO</v>
          </cell>
          <cell r="T4881">
            <v>42767</v>
          </cell>
          <cell r="U4881" t="str">
            <v>YUCA BELLIDO BORIS YERSY</v>
          </cell>
          <cell r="V4881" t="str">
            <v>FLOREZ CONDORI  JOSE WILLIANS</v>
          </cell>
        </row>
        <row r="4882">
          <cell r="A4882">
            <v>4881</v>
          </cell>
          <cell r="B4882">
            <v>42767</v>
          </cell>
          <cell r="C4882" t="str">
            <v>FEBRERO</v>
          </cell>
          <cell r="D4882" t="str">
            <v>2017</v>
          </cell>
          <cell r="E4882">
            <v>200</v>
          </cell>
          <cell r="F4882" t="str">
            <v>TALLER</v>
          </cell>
          <cell r="G4882" t="str">
            <v>TALLER</v>
          </cell>
          <cell r="H4882" t="str">
            <v>TALLER</v>
          </cell>
          <cell r="I4882" t="str">
            <v>TALLER</v>
          </cell>
          <cell r="J4882" t="str">
            <v>INSUMO TALLER</v>
          </cell>
          <cell r="K4882" t="str">
            <v>SOLDIMIX</v>
          </cell>
          <cell r="L4882">
            <v>1</v>
          </cell>
          <cell r="M4882" t="str">
            <v>UNID.</v>
          </cell>
          <cell r="N4882" t="str">
            <v>TALLER</v>
          </cell>
          <cell r="O4882">
            <v>0</v>
          </cell>
          <cell r="P4882" t="str">
            <v>E2</v>
          </cell>
          <cell r="Q4882" t="str">
            <v>J1</v>
          </cell>
          <cell r="R4882" t="str">
            <v>J8</v>
          </cell>
          <cell r="S4882" t="str">
            <v>ENTREGADO</v>
          </cell>
          <cell r="T4882">
            <v>42767</v>
          </cell>
          <cell r="U4882" t="str">
            <v>YUCA BELLIDO BORIS YERSY</v>
          </cell>
          <cell r="V4882" t="str">
            <v>FLOREZ CONDORI  JOSE WILLIANS</v>
          </cell>
        </row>
        <row r="4883">
          <cell r="A4883">
            <v>4882</v>
          </cell>
          <cell r="B4883">
            <v>42767</v>
          </cell>
          <cell r="C4883" t="str">
            <v>FEBRERO</v>
          </cell>
          <cell r="D4883" t="str">
            <v>2017</v>
          </cell>
          <cell r="E4883">
            <v>971</v>
          </cell>
          <cell r="F4883" t="str">
            <v>ABR-796</v>
          </cell>
          <cell r="G4883" t="str">
            <v>C9S-994</v>
          </cell>
          <cell r="H4883" t="str">
            <v>LAS BAMBAS</v>
          </cell>
          <cell r="I4883">
            <v>117993</v>
          </cell>
          <cell r="J4883" t="str">
            <v>REPUESTO</v>
          </cell>
          <cell r="K4883" t="str">
            <v>SERVICIO DE REPARACION DE RADIADOR</v>
          </cell>
          <cell r="L4883">
            <v>1</v>
          </cell>
          <cell r="M4883" t="str">
            <v>UNID.</v>
          </cell>
          <cell r="N4883" t="str">
            <v>TRACTO</v>
          </cell>
          <cell r="O4883">
            <v>0</v>
          </cell>
          <cell r="P4883" t="str">
            <v>M5</v>
          </cell>
          <cell r="Q4883" t="str">
            <v>J1</v>
          </cell>
          <cell r="R4883" t="str">
            <v>J8</v>
          </cell>
          <cell r="S4883" t="str">
            <v>ENTREGADO</v>
          </cell>
          <cell r="T4883">
            <v>42767</v>
          </cell>
          <cell r="U4883" t="str">
            <v>LOPEZ RUIZ WILBERTO</v>
          </cell>
          <cell r="V4883" t="str">
            <v>FLOREZ CONDORI  JOSE WILLIANS</v>
          </cell>
        </row>
        <row r="4884">
          <cell r="A4884">
            <v>4883</v>
          </cell>
          <cell r="B4884">
            <v>42767</v>
          </cell>
          <cell r="C4884" t="str">
            <v>FEBRERO</v>
          </cell>
          <cell r="D4884" t="str">
            <v>2017</v>
          </cell>
          <cell r="E4884">
            <v>946</v>
          </cell>
          <cell r="F4884" t="str">
            <v>ABR-727</v>
          </cell>
          <cell r="G4884" t="str">
            <v>C9S-989</v>
          </cell>
          <cell r="H4884" t="str">
            <v>LAS BAMBAS</v>
          </cell>
          <cell r="I4884">
            <v>106615</v>
          </cell>
          <cell r="J4884" t="str">
            <v>REPUESTO</v>
          </cell>
          <cell r="K4884" t="str">
            <v>CIRCULINA</v>
          </cell>
          <cell r="L4884">
            <v>1</v>
          </cell>
          <cell r="M4884" t="str">
            <v>UNID.</v>
          </cell>
          <cell r="N4884" t="str">
            <v>TRACTO</v>
          </cell>
          <cell r="O4884">
            <v>1</v>
          </cell>
          <cell r="P4884" t="str">
            <v>E3</v>
          </cell>
          <cell r="Q4884" t="str">
            <v>J1</v>
          </cell>
          <cell r="R4884" t="str">
            <v>J8</v>
          </cell>
          <cell r="S4884" t="str">
            <v>ENTREGADO</v>
          </cell>
          <cell r="T4884">
            <v>42768</v>
          </cell>
          <cell r="U4884" t="str">
            <v>CONDORI CHURATA ALEX</v>
          </cell>
          <cell r="V4884" t="str">
            <v>FLOREZ CONDORI  JOSE WILLIANS</v>
          </cell>
        </row>
        <row r="4885">
          <cell r="A4885">
            <v>4884</v>
          </cell>
          <cell r="B4885">
            <v>42767</v>
          </cell>
          <cell r="C4885" t="str">
            <v>FEBRERO</v>
          </cell>
          <cell r="D4885" t="str">
            <v>2017</v>
          </cell>
          <cell r="E4885">
            <v>946</v>
          </cell>
          <cell r="F4885" t="str">
            <v>ABR-727</v>
          </cell>
          <cell r="G4885" t="str">
            <v>C9S-989</v>
          </cell>
          <cell r="H4885" t="str">
            <v>LAS BAMBAS</v>
          </cell>
          <cell r="I4885">
            <v>106615</v>
          </cell>
          <cell r="J4885" t="str">
            <v>REPUESTO</v>
          </cell>
          <cell r="K4885" t="str">
            <v>SILICONA GREY</v>
          </cell>
          <cell r="L4885">
            <v>1</v>
          </cell>
          <cell r="M4885" t="str">
            <v>UNID.</v>
          </cell>
          <cell r="N4885" t="str">
            <v>TRACTO</v>
          </cell>
          <cell r="O4885">
            <v>1</v>
          </cell>
          <cell r="P4885" t="str">
            <v>E3</v>
          </cell>
          <cell r="Q4885" t="str">
            <v>J1</v>
          </cell>
          <cell r="R4885" t="str">
            <v>J8</v>
          </cell>
          <cell r="S4885" t="str">
            <v>ENTREGADO</v>
          </cell>
          <cell r="T4885">
            <v>42768</v>
          </cell>
          <cell r="U4885" t="str">
            <v>CONDORI CHURATA ALEX</v>
          </cell>
          <cell r="V4885" t="str">
            <v>FLOREZ CONDORI  JOSE WILLIANS</v>
          </cell>
        </row>
        <row r="4886">
          <cell r="A4886">
            <v>4885</v>
          </cell>
          <cell r="B4886">
            <v>42768</v>
          </cell>
          <cell r="C4886" t="str">
            <v>FEBRERO</v>
          </cell>
          <cell r="D4886" t="str">
            <v>2017</v>
          </cell>
          <cell r="E4886">
            <v>967</v>
          </cell>
          <cell r="F4886" t="str">
            <v>X2W-761</v>
          </cell>
          <cell r="G4886" t="str">
            <v>C5V-996</v>
          </cell>
          <cell r="H4886" t="str">
            <v>LAS BAMBAS</v>
          </cell>
          <cell r="I4886">
            <v>151620</v>
          </cell>
          <cell r="J4886" t="str">
            <v>REPUESTO</v>
          </cell>
          <cell r="K4886" t="str">
            <v>TAPA DE REFRIGERANTE</v>
          </cell>
          <cell r="L4886">
            <v>1</v>
          </cell>
          <cell r="M4886" t="str">
            <v>UNID.</v>
          </cell>
          <cell r="N4886" t="str">
            <v>TRACTO</v>
          </cell>
          <cell r="O4886">
            <v>0</v>
          </cell>
          <cell r="P4886" t="str">
            <v>M9</v>
          </cell>
          <cell r="Q4886" t="str">
            <v>J1</v>
          </cell>
          <cell r="R4886" t="str">
            <v>J8</v>
          </cell>
          <cell r="S4886" t="str">
            <v>ENTREGADO</v>
          </cell>
          <cell r="T4886">
            <v>42768</v>
          </cell>
          <cell r="U4886" t="str">
            <v>POMA SALAZAR CIRO</v>
          </cell>
          <cell r="V4886" t="str">
            <v>FLOREZ CONDORI  JOSE WILLIANS</v>
          </cell>
        </row>
        <row r="4887">
          <cell r="A4887">
            <v>4886</v>
          </cell>
          <cell r="B4887">
            <v>42768</v>
          </cell>
          <cell r="C4887" t="str">
            <v>FEBRERO</v>
          </cell>
          <cell r="D4887" t="str">
            <v>2017</v>
          </cell>
          <cell r="E4887">
            <v>885</v>
          </cell>
          <cell r="F4887" t="str">
            <v>D6F-825</v>
          </cell>
          <cell r="G4887" t="str">
            <v>T2Y-992</v>
          </cell>
          <cell r="H4887" t="str">
            <v>LAS BAMBAS</v>
          </cell>
          <cell r="I4887">
            <v>191467</v>
          </cell>
          <cell r="J4887" t="str">
            <v>REPUESTO</v>
          </cell>
          <cell r="K4887" t="str">
            <v>PERNO 5/16 X 3"</v>
          </cell>
          <cell r="L4887">
            <v>3</v>
          </cell>
          <cell r="M4887" t="str">
            <v>UNID.</v>
          </cell>
          <cell r="N4887" t="str">
            <v>TRACTO</v>
          </cell>
          <cell r="O4887">
            <v>0</v>
          </cell>
          <cell r="P4887" t="str">
            <v>S1</v>
          </cell>
          <cell r="Q4887" t="str">
            <v>J1</v>
          </cell>
          <cell r="R4887" t="str">
            <v>J8</v>
          </cell>
          <cell r="S4887" t="str">
            <v>ENTREGADO</v>
          </cell>
          <cell r="T4887">
            <v>42768</v>
          </cell>
          <cell r="U4887" t="str">
            <v>BAYONA CRUZ CRISTIAN ARMANDO</v>
          </cell>
          <cell r="V4887" t="str">
            <v>FLOREZ CONDORI  JOSE WILLIANS</v>
          </cell>
        </row>
        <row r="4888">
          <cell r="A4888">
            <v>4887</v>
          </cell>
          <cell r="B4888">
            <v>42768</v>
          </cell>
          <cell r="C4888" t="str">
            <v>FEBRERO</v>
          </cell>
          <cell r="D4888" t="str">
            <v>2017</v>
          </cell>
          <cell r="E4888">
            <v>885</v>
          </cell>
          <cell r="F4888" t="str">
            <v>D6F-825</v>
          </cell>
          <cell r="G4888" t="str">
            <v>T2Y-992</v>
          </cell>
          <cell r="H4888" t="str">
            <v>LAS BAMBAS</v>
          </cell>
          <cell r="I4888">
            <v>191467</v>
          </cell>
          <cell r="J4888" t="str">
            <v>REPUESTO</v>
          </cell>
          <cell r="K4888" t="str">
            <v>DOBLE VOLANDA PLANA Y TUERCA</v>
          </cell>
          <cell r="L4888">
            <v>2</v>
          </cell>
          <cell r="M4888" t="str">
            <v>UNID.</v>
          </cell>
          <cell r="N4888" t="str">
            <v>TRACTO</v>
          </cell>
          <cell r="O4888">
            <v>0</v>
          </cell>
          <cell r="P4888" t="str">
            <v>S1</v>
          </cell>
          <cell r="Q4888" t="str">
            <v>J1</v>
          </cell>
          <cell r="R4888" t="str">
            <v>J8</v>
          </cell>
          <cell r="S4888" t="str">
            <v>ENTREGADO</v>
          </cell>
          <cell r="T4888">
            <v>42768</v>
          </cell>
          <cell r="U4888" t="str">
            <v>BAYONA CRUZ CRISTIAN ARMANDO</v>
          </cell>
          <cell r="V4888" t="str">
            <v>FLOREZ CONDORI  JOSE WILLIANS</v>
          </cell>
        </row>
        <row r="4889">
          <cell r="A4889">
            <v>4888</v>
          </cell>
          <cell r="B4889">
            <v>42768</v>
          </cell>
          <cell r="C4889" t="str">
            <v>FEBRERO</v>
          </cell>
          <cell r="D4889" t="str">
            <v>2017</v>
          </cell>
          <cell r="E4889">
            <v>885</v>
          </cell>
          <cell r="F4889" t="str">
            <v>D6F-825</v>
          </cell>
          <cell r="G4889" t="str">
            <v>T2Y-992</v>
          </cell>
          <cell r="H4889" t="str">
            <v>LAS BAMBAS</v>
          </cell>
          <cell r="I4889">
            <v>191467</v>
          </cell>
          <cell r="J4889" t="str">
            <v>REPUESTO</v>
          </cell>
          <cell r="K4889" t="str">
            <v>PERNO 1/4 X 1"</v>
          </cell>
          <cell r="L4889">
            <v>4</v>
          </cell>
          <cell r="M4889" t="str">
            <v>UNID.</v>
          </cell>
          <cell r="N4889" t="str">
            <v>TRACTO</v>
          </cell>
          <cell r="O4889">
            <v>0</v>
          </cell>
          <cell r="P4889" t="str">
            <v>S1</v>
          </cell>
          <cell r="Q4889" t="str">
            <v>J1</v>
          </cell>
          <cell r="R4889" t="str">
            <v>J8</v>
          </cell>
          <cell r="S4889" t="str">
            <v>ENTREGADO</v>
          </cell>
          <cell r="T4889">
            <v>42768</v>
          </cell>
          <cell r="U4889" t="str">
            <v>BAYONA CRUZ CRISTIAN ARMANDO</v>
          </cell>
          <cell r="V4889" t="str">
            <v>FLOREZ CONDORI  JOSE WILLIANS</v>
          </cell>
        </row>
        <row r="4890">
          <cell r="A4890">
            <v>4889</v>
          </cell>
          <cell r="B4890">
            <v>42768</v>
          </cell>
          <cell r="C4890" t="str">
            <v>FEBRERO</v>
          </cell>
          <cell r="D4890" t="str">
            <v>2017</v>
          </cell>
          <cell r="E4890">
            <v>885</v>
          </cell>
          <cell r="F4890" t="str">
            <v>D6F-825</v>
          </cell>
          <cell r="G4890" t="str">
            <v>T2Y-992</v>
          </cell>
          <cell r="H4890" t="str">
            <v>LAS BAMBAS</v>
          </cell>
          <cell r="I4890">
            <v>191467</v>
          </cell>
          <cell r="J4890" t="str">
            <v>REPUESTO</v>
          </cell>
          <cell r="K4890" t="str">
            <v>BOLANDA DE PRESION</v>
          </cell>
          <cell r="L4890">
            <v>1</v>
          </cell>
          <cell r="M4890" t="str">
            <v>UNID.</v>
          </cell>
          <cell r="N4890" t="str">
            <v>TRACTO</v>
          </cell>
          <cell r="O4890">
            <v>0</v>
          </cell>
          <cell r="P4890" t="str">
            <v>S1</v>
          </cell>
          <cell r="Q4890" t="str">
            <v>J1</v>
          </cell>
          <cell r="R4890" t="str">
            <v>J8</v>
          </cell>
          <cell r="S4890" t="str">
            <v>ENTREGADO</v>
          </cell>
          <cell r="T4890">
            <v>42768</v>
          </cell>
          <cell r="U4890" t="str">
            <v>BAYONA CRUZ CRISTIAN ARMANDO</v>
          </cell>
          <cell r="V4890" t="str">
            <v>FLOREZ CONDORI  JOSE WILLIANS</v>
          </cell>
        </row>
        <row r="4891">
          <cell r="A4891">
            <v>4890</v>
          </cell>
          <cell r="B4891">
            <v>42768</v>
          </cell>
          <cell r="C4891" t="str">
            <v>FEBRERO</v>
          </cell>
          <cell r="D4891" t="str">
            <v>2017</v>
          </cell>
          <cell r="E4891">
            <v>885</v>
          </cell>
          <cell r="F4891" t="str">
            <v>D6F-825</v>
          </cell>
          <cell r="G4891" t="str">
            <v>T2Y-992</v>
          </cell>
          <cell r="H4891" t="str">
            <v>LAS BAMBAS</v>
          </cell>
          <cell r="I4891">
            <v>191467</v>
          </cell>
          <cell r="J4891" t="str">
            <v>REPUESTO</v>
          </cell>
          <cell r="K4891" t="str">
            <v>BOLANDA PLANA</v>
          </cell>
          <cell r="L4891">
            <v>1</v>
          </cell>
          <cell r="M4891" t="str">
            <v>UNID.</v>
          </cell>
          <cell r="N4891" t="str">
            <v>TRACTO</v>
          </cell>
          <cell r="O4891">
            <v>0</v>
          </cell>
          <cell r="P4891" t="str">
            <v>S1</v>
          </cell>
          <cell r="Q4891" t="str">
            <v>J1</v>
          </cell>
          <cell r="R4891" t="str">
            <v>J8</v>
          </cell>
          <cell r="S4891" t="str">
            <v>ENTREGADO</v>
          </cell>
          <cell r="T4891">
            <v>42768</v>
          </cell>
          <cell r="U4891" t="str">
            <v>BAYONA CRUZ CRISTIAN ARMANDO</v>
          </cell>
          <cell r="V4891" t="str">
            <v>FLOREZ CONDORI  JOSE WILLIANS</v>
          </cell>
        </row>
        <row r="4892">
          <cell r="A4892">
            <v>4891</v>
          </cell>
          <cell r="B4892">
            <v>42768</v>
          </cell>
          <cell r="C4892" t="str">
            <v>FEBRERO</v>
          </cell>
          <cell r="D4892" t="str">
            <v>2017</v>
          </cell>
          <cell r="E4892">
            <v>885</v>
          </cell>
          <cell r="F4892" t="str">
            <v>D6F-825</v>
          </cell>
          <cell r="G4892" t="str">
            <v>T2Y-992</v>
          </cell>
          <cell r="H4892" t="str">
            <v>LAS BAMBAS</v>
          </cell>
          <cell r="I4892">
            <v>191467</v>
          </cell>
          <cell r="J4892" t="str">
            <v>REPUESTO</v>
          </cell>
          <cell r="K4892" t="str">
            <v>SPRAY NEGRO</v>
          </cell>
          <cell r="L4892">
            <v>1</v>
          </cell>
          <cell r="M4892" t="str">
            <v>UNID.</v>
          </cell>
          <cell r="N4892" t="str">
            <v>TRACTO</v>
          </cell>
          <cell r="O4892">
            <v>0</v>
          </cell>
          <cell r="P4892" t="str">
            <v>S1</v>
          </cell>
          <cell r="Q4892" t="str">
            <v>J1</v>
          </cell>
          <cell r="R4892" t="str">
            <v>J8</v>
          </cell>
          <cell r="S4892" t="str">
            <v>ENTREGADO</v>
          </cell>
          <cell r="T4892">
            <v>42768</v>
          </cell>
          <cell r="U4892" t="str">
            <v>BAYONA CRUZ CRISTIAN ARMANDO</v>
          </cell>
          <cell r="V4892" t="str">
            <v>FLOREZ CONDORI  JOSE WILLIANS</v>
          </cell>
        </row>
        <row r="4893">
          <cell r="A4893">
            <v>4892</v>
          </cell>
          <cell r="B4893">
            <v>42768</v>
          </cell>
          <cell r="C4893" t="str">
            <v>FEBRERO</v>
          </cell>
          <cell r="D4893" t="str">
            <v>2017</v>
          </cell>
          <cell r="E4893">
            <v>955</v>
          </cell>
          <cell r="F4893" t="str">
            <v>X2W-759</v>
          </cell>
          <cell r="G4893" t="str">
            <v>C5V-999</v>
          </cell>
          <cell r="H4893" t="str">
            <v>LAS BAMBAS</v>
          </cell>
          <cell r="I4893">
            <v>160081</v>
          </cell>
          <cell r="J4893" t="str">
            <v>REPUESTO</v>
          </cell>
          <cell r="K4893" t="str">
            <v>FARO LATERAL CIRCULAR DE 2" AMBAR</v>
          </cell>
          <cell r="L4893">
            <v>1</v>
          </cell>
          <cell r="M4893" t="str">
            <v>UNID.</v>
          </cell>
          <cell r="N4893" t="str">
            <v>CISTERNA</v>
          </cell>
          <cell r="O4893">
            <v>0</v>
          </cell>
          <cell r="P4893" t="str">
            <v>E3</v>
          </cell>
          <cell r="Q4893" t="str">
            <v>J1</v>
          </cell>
          <cell r="R4893" t="str">
            <v>J8</v>
          </cell>
          <cell r="S4893" t="str">
            <v>ENTREGADO</v>
          </cell>
          <cell r="T4893">
            <v>42768</v>
          </cell>
          <cell r="U4893" t="str">
            <v>CONDORI CHURATA ALEX</v>
          </cell>
          <cell r="V4893" t="str">
            <v>FLOREZ CONDORI  JOSE WILLIANS</v>
          </cell>
        </row>
        <row r="4894">
          <cell r="A4894">
            <v>4893</v>
          </cell>
          <cell r="B4894">
            <v>42768</v>
          </cell>
          <cell r="C4894" t="str">
            <v>FEBRERO</v>
          </cell>
          <cell r="D4894" t="str">
            <v>2017</v>
          </cell>
          <cell r="E4894">
            <v>955</v>
          </cell>
          <cell r="F4894" t="str">
            <v>X2W-759</v>
          </cell>
          <cell r="G4894" t="str">
            <v>C5V-999</v>
          </cell>
          <cell r="H4894" t="str">
            <v>LAS BAMBAS</v>
          </cell>
          <cell r="I4894">
            <v>160081</v>
          </cell>
          <cell r="J4894" t="str">
            <v>REPUESTO</v>
          </cell>
          <cell r="K4894" t="str">
            <v>PORTA RELAY</v>
          </cell>
          <cell r="L4894">
            <v>1</v>
          </cell>
          <cell r="M4894" t="str">
            <v>UNID.</v>
          </cell>
          <cell r="N4894" t="str">
            <v>TRACTO</v>
          </cell>
          <cell r="O4894">
            <v>0</v>
          </cell>
          <cell r="P4894" t="str">
            <v>E3</v>
          </cell>
          <cell r="Q4894" t="str">
            <v>J1</v>
          </cell>
          <cell r="R4894" t="str">
            <v>J8</v>
          </cell>
          <cell r="S4894" t="str">
            <v>ENTREGADO</v>
          </cell>
          <cell r="T4894">
            <v>42768</v>
          </cell>
          <cell r="U4894" t="str">
            <v>CONDORI CHURATA ALEX</v>
          </cell>
          <cell r="V4894" t="str">
            <v>FLOREZ CONDORI  JOSE WILLIANS</v>
          </cell>
        </row>
        <row r="4895">
          <cell r="A4895">
            <v>4894</v>
          </cell>
          <cell r="B4895">
            <v>42768</v>
          </cell>
          <cell r="C4895" t="str">
            <v>FEBRERO</v>
          </cell>
          <cell r="D4895" t="str">
            <v>2017</v>
          </cell>
          <cell r="E4895">
            <v>955</v>
          </cell>
          <cell r="F4895" t="str">
            <v>X2W-759</v>
          </cell>
          <cell r="G4895" t="str">
            <v>C5V-999</v>
          </cell>
          <cell r="H4895" t="str">
            <v>LAS BAMBAS</v>
          </cell>
          <cell r="I4895">
            <v>160081</v>
          </cell>
          <cell r="J4895" t="str">
            <v>REPUESTO</v>
          </cell>
          <cell r="K4895" t="str">
            <v>TERMINAL HEMBRA</v>
          </cell>
          <cell r="L4895">
            <v>4</v>
          </cell>
          <cell r="M4895" t="str">
            <v>UNID.</v>
          </cell>
          <cell r="N4895" t="str">
            <v>TRACTO</v>
          </cell>
          <cell r="O4895">
            <v>0</v>
          </cell>
          <cell r="P4895" t="str">
            <v>E3</v>
          </cell>
          <cell r="Q4895" t="str">
            <v>J1</v>
          </cell>
          <cell r="R4895" t="str">
            <v>J8</v>
          </cell>
          <cell r="S4895" t="str">
            <v>ENTREGADO</v>
          </cell>
          <cell r="T4895">
            <v>42768</v>
          </cell>
          <cell r="U4895" t="str">
            <v>CONDORI CHURATA ALEX</v>
          </cell>
          <cell r="V4895" t="str">
            <v>FLOREZ CONDORI  JOSE WILLIANS</v>
          </cell>
        </row>
        <row r="4896">
          <cell r="A4896">
            <v>4895</v>
          </cell>
          <cell r="B4896">
            <v>42768</v>
          </cell>
          <cell r="C4896" t="str">
            <v>FEBRERO</v>
          </cell>
          <cell r="D4896" t="str">
            <v>2017</v>
          </cell>
          <cell r="E4896">
            <v>955</v>
          </cell>
          <cell r="F4896" t="str">
            <v>X2W-759</v>
          </cell>
          <cell r="G4896" t="str">
            <v>C5V-999</v>
          </cell>
          <cell r="H4896" t="str">
            <v>LAS BAMBAS</v>
          </cell>
          <cell r="I4896">
            <v>160081</v>
          </cell>
          <cell r="J4896" t="str">
            <v>REPUESTO</v>
          </cell>
          <cell r="K4896" t="str">
            <v>CABLE CORRIENTE # 14</v>
          </cell>
          <cell r="L4896">
            <v>2</v>
          </cell>
          <cell r="M4896" t="str">
            <v>M</v>
          </cell>
          <cell r="N4896" t="str">
            <v>TRACTO</v>
          </cell>
          <cell r="O4896">
            <v>0</v>
          </cell>
          <cell r="P4896" t="str">
            <v>E3</v>
          </cell>
          <cell r="Q4896" t="str">
            <v>J1</v>
          </cell>
          <cell r="R4896" t="str">
            <v>J8</v>
          </cell>
          <cell r="S4896" t="str">
            <v>ENTREGADO</v>
          </cell>
          <cell r="T4896">
            <v>42768</v>
          </cell>
          <cell r="U4896" t="str">
            <v>CONDORI CHURATA ALEX</v>
          </cell>
          <cell r="V4896" t="str">
            <v>FLOREZ CONDORI  JOSE WILLIANS</v>
          </cell>
        </row>
        <row r="4897">
          <cell r="A4897">
            <v>4896</v>
          </cell>
          <cell r="B4897">
            <v>42768</v>
          </cell>
          <cell r="C4897" t="str">
            <v>FEBRERO</v>
          </cell>
          <cell r="D4897" t="str">
            <v>2017</v>
          </cell>
          <cell r="E4897">
            <v>955</v>
          </cell>
          <cell r="F4897" t="str">
            <v>X2W-759</v>
          </cell>
          <cell r="G4897" t="str">
            <v>C5V-999</v>
          </cell>
          <cell r="H4897" t="str">
            <v>LAS BAMBAS</v>
          </cell>
          <cell r="I4897">
            <v>160081</v>
          </cell>
          <cell r="J4897" t="str">
            <v>REPUESTO</v>
          </cell>
          <cell r="K4897" t="str">
            <v>MINIFUSIBLE 15A</v>
          </cell>
          <cell r="L4897">
            <v>1</v>
          </cell>
          <cell r="M4897" t="str">
            <v>UNID.</v>
          </cell>
          <cell r="N4897" t="str">
            <v>TRACTO</v>
          </cell>
          <cell r="O4897">
            <v>0</v>
          </cell>
          <cell r="P4897" t="str">
            <v>E3</v>
          </cell>
          <cell r="Q4897" t="str">
            <v>J1</v>
          </cell>
          <cell r="R4897" t="str">
            <v>J8</v>
          </cell>
          <cell r="S4897" t="str">
            <v>ENTREGADO</v>
          </cell>
          <cell r="T4897">
            <v>42768</v>
          </cell>
          <cell r="U4897" t="str">
            <v>CONDORI CHURATA ALEX</v>
          </cell>
          <cell r="V4897" t="str">
            <v>FLOREZ CONDORI  JOSE WILLIANS</v>
          </cell>
        </row>
        <row r="4898">
          <cell r="A4898">
            <v>4897</v>
          </cell>
          <cell r="B4898">
            <v>42768</v>
          </cell>
          <cell r="C4898" t="str">
            <v>FEBRERO</v>
          </cell>
          <cell r="D4898" t="str">
            <v>2017</v>
          </cell>
          <cell r="E4898">
            <v>955</v>
          </cell>
          <cell r="F4898" t="str">
            <v>X2W-759</v>
          </cell>
          <cell r="G4898" t="str">
            <v>C5V-999</v>
          </cell>
          <cell r="H4898" t="str">
            <v>LAS BAMBAS</v>
          </cell>
          <cell r="I4898">
            <v>160081</v>
          </cell>
          <cell r="J4898" t="str">
            <v>REPUESTO</v>
          </cell>
          <cell r="K4898" t="str">
            <v>GUARDAFANGO NEGRO</v>
          </cell>
          <cell r="L4898">
            <v>2</v>
          </cell>
          <cell r="M4898" t="str">
            <v>UNID.</v>
          </cell>
          <cell r="N4898" t="str">
            <v>CISTERNA</v>
          </cell>
          <cell r="O4898">
            <v>0</v>
          </cell>
          <cell r="P4898" t="str">
            <v>J1</v>
          </cell>
          <cell r="Q4898" t="str">
            <v>J1</v>
          </cell>
          <cell r="R4898" t="str">
            <v>J8</v>
          </cell>
          <cell r="S4898" t="str">
            <v>ENTREGADO</v>
          </cell>
          <cell r="T4898">
            <v>42768</v>
          </cell>
          <cell r="U4898" t="str">
            <v>FLOREZ CONDORI  JOSE WILLIANS</v>
          </cell>
          <cell r="V4898" t="str">
            <v>FLOREZ CONDORI  JOSE WILLIANS</v>
          </cell>
        </row>
        <row r="4899">
          <cell r="A4899">
            <v>4898</v>
          </cell>
          <cell r="B4899">
            <v>42768</v>
          </cell>
          <cell r="C4899" t="str">
            <v>FEBRERO</v>
          </cell>
          <cell r="D4899" t="str">
            <v>2017</v>
          </cell>
          <cell r="E4899">
            <v>967</v>
          </cell>
          <cell r="F4899" t="str">
            <v>X2W-761</v>
          </cell>
          <cell r="G4899" t="str">
            <v>C5V-996</v>
          </cell>
          <cell r="H4899" t="str">
            <v>LAS BAMBAS</v>
          </cell>
          <cell r="I4899">
            <v>151620</v>
          </cell>
          <cell r="J4899" t="str">
            <v>REPUESTO</v>
          </cell>
          <cell r="K4899" t="str">
            <v>GUARDAFANGO NEGRO</v>
          </cell>
          <cell r="L4899">
            <v>1</v>
          </cell>
          <cell r="M4899" t="str">
            <v>UNID.</v>
          </cell>
          <cell r="N4899" t="str">
            <v>CISTERNA</v>
          </cell>
          <cell r="O4899">
            <v>0</v>
          </cell>
          <cell r="P4899" t="str">
            <v>J1</v>
          </cell>
          <cell r="Q4899" t="str">
            <v>J1</v>
          </cell>
          <cell r="R4899" t="str">
            <v>J8</v>
          </cell>
          <cell r="S4899" t="str">
            <v>ENTREGADO</v>
          </cell>
          <cell r="T4899">
            <v>42768</v>
          </cell>
          <cell r="U4899" t="str">
            <v>FLOREZ CONDORI  JOSE WILLIANS</v>
          </cell>
          <cell r="V4899" t="str">
            <v>FLOREZ CONDORI  JOSE WILLIANS</v>
          </cell>
        </row>
        <row r="4900">
          <cell r="A4900">
            <v>4899</v>
          </cell>
          <cell r="B4900">
            <v>42768</v>
          </cell>
          <cell r="C4900" t="str">
            <v>FEBRERO</v>
          </cell>
          <cell r="D4900" t="str">
            <v>2017</v>
          </cell>
          <cell r="E4900">
            <v>969</v>
          </cell>
          <cell r="F4900" t="str">
            <v>B2M-948</v>
          </cell>
          <cell r="G4900" t="str">
            <v>CAMION</v>
          </cell>
          <cell r="H4900" t="str">
            <v>TAMBOMAYO</v>
          </cell>
          <cell r="I4900">
            <v>118149</v>
          </cell>
          <cell r="J4900" t="str">
            <v>REPUESTO</v>
          </cell>
          <cell r="K4900" t="str">
            <v xml:space="preserve">LLANTAS NUEVAS </v>
          </cell>
          <cell r="L4900">
            <v>2</v>
          </cell>
          <cell r="M4900" t="str">
            <v>UNID.</v>
          </cell>
          <cell r="N4900" t="str">
            <v>TRACTO</v>
          </cell>
          <cell r="O4900">
            <v>22</v>
          </cell>
          <cell r="P4900" t="str">
            <v>N2</v>
          </cell>
          <cell r="Q4900" t="str">
            <v>J1</v>
          </cell>
          <cell r="R4900" t="str">
            <v>J8</v>
          </cell>
          <cell r="S4900" t="str">
            <v>PENDIENTE</v>
          </cell>
          <cell r="T4900">
            <v>0</v>
          </cell>
          <cell r="U4900" t="str">
            <v>MAMANI LARICO  EDUARDO ALVARO</v>
          </cell>
          <cell r="V4900" t="str">
            <v>FLOREZ CONDORI  JOSE WILLIANS</v>
          </cell>
        </row>
        <row r="4901">
          <cell r="A4901">
            <v>4900</v>
          </cell>
          <cell r="B4901">
            <v>42768</v>
          </cell>
          <cell r="C4901" t="str">
            <v>FEBRERO</v>
          </cell>
          <cell r="D4901" t="str">
            <v>2017</v>
          </cell>
          <cell r="E4901">
            <v>966</v>
          </cell>
          <cell r="F4901" t="str">
            <v>X2W-765</v>
          </cell>
          <cell r="G4901" t="str">
            <v>C5V-993</v>
          </cell>
          <cell r="H4901" t="str">
            <v>LAS BAMBAS</v>
          </cell>
          <cell r="I4901">
            <v>164235</v>
          </cell>
          <cell r="J4901" t="str">
            <v>REPUESTO</v>
          </cell>
          <cell r="K4901" t="str">
            <v>SOPORTE DE CAJA DE BATERIA (JUEGO)</v>
          </cell>
          <cell r="L4901">
            <v>1</v>
          </cell>
          <cell r="M4901" t="str">
            <v>UNID.</v>
          </cell>
          <cell r="N4901" t="str">
            <v>TRACTO</v>
          </cell>
          <cell r="O4901">
            <v>22</v>
          </cell>
          <cell r="P4901" t="str">
            <v>J1</v>
          </cell>
          <cell r="Q4901" t="str">
            <v>J1</v>
          </cell>
          <cell r="R4901" t="str">
            <v>J8</v>
          </cell>
          <cell r="S4901" t="str">
            <v>PENDIENTE</v>
          </cell>
          <cell r="T4901">
            <v>0</v>
          </cell>
          <cell r="U4901" t="str">
            <v>FLOREZ CONDORI  JOSE WILLIANS</v>
          </cell>
          <cell r="V4901" t="str">
            <v>FLOREZ CONDORI  JOSE WILLIANS</v>
          </cell>
        </row>
        <row r="4902">
          <cell r="A4902">
            <v>4901</v>
          </cell>
          <cell r="B4902">
            <v>42768</v>
          </cell>
          <cell r="C4902" t="str">
            <v>FEBRERO</v>
          </cell>
          <cell r="D4902" t="str">
            <v>2017</v>
          </cell>
          <cell r="E4902">
            <v>885</v>
          </cell>
          <cell r="F4902" t="str">
            <v>D6F-825</v>
          </cell>
          <cell r="G4902" t="str">
            <v>T2Y-992</v>
          </cell>
          <cell r="H4902" t="str">
            <v>LAS BAMBAS</v>
          </cell>
          <cell r="I4902">
            <v>191467</v>
          </cell>
          <cell r="J4902" t="str">
            <v>REPUESTO</v>
          </cell>
          <cell r="K4902" t="str">
            <v>FARO PIRATA</v>
          </cell>
          <cell r="L4902">
            <v>1</v>
          </cell>
          <cell r="M4902" t="str">
            <v>UNID.</v>
          </cell>
          <cell r="N4902" t="str">
            <v>CISTERNA</v>
          </cell>
          <cell r="O4902">
            <v>0</v>
          </cell>
          <cell r="P4902" t="str">
            <v>E3</v>
          </cell>
          <cell r="Q4902" t="str">
            <v>J1</v>
          </cell>
          <cell r="R4902" t="str">
            <v>J8</v>
          </cell>
          <cell r="S4902" t="str">
            <v>ENTREGADO</v>
          </cell>
          <cell r="T4902">
            <v>42768</v>
          </cell>
          <cell r="U4902" t="str">
            <v>CONDORI CHURATA ALEX</v>
          </cell>
          <cell r="V4902" t="str">
            <v>FLOREZ CONDORI  JOSE WILLIANS</v>
          </cell>
        </row>
        <row r="4903">
          <cell r="A4903">
            <v>4902</v>
          </cell>
          <cell r="B4903">
            <v>42768</v>
          </cell>
          <cell r="C4903" t="str">
            <v>FEBRERO</v>
          </cell>
          <cell r="D4903" t="str">
            <v>2017</v>
          </cell>
          <cell r="E4903">
            <v>865</v>
          </cell>
          <cell r="F4903" t="str">
            <v>C9P-948</v>
          </cell>
          <cell r="G4903" t="str">
            <v>B4O-995</v>
          </cell>
          <cell r="H4903" t="str">
            <v>LAS BAMBAS</v>
          </cell>
          <cell r="I4903">
            <v>161210</v>
          </cell>
          <cell r="J4903" t="str">
            <v>REPUESTO</v>
          </cell>
          <cell r="K4903" t="str">
            <v>MANGUERA CORRUGADA 1/4</v>
          </cell>
          <cell r="L4903">
            <v>0.5</v>
          </cell>
          <cell r="M4903" t="str">
            <v>M</v>
          </cell>
          <cell r="N4903" t="str">
            <v>CISTERNA</v>
          </cell>
          <cell r="O4903">
            <v>0</v>
          </cell>
          <cell r="P4903" t="str">
            <v>E3</v>
          </cell>
          <cell r="Q4903" t="str">
            <v>J1</v>
          </cell>
          <cell r="R4903" t="str">
            <v>J8</v>
          </cell>
          <cell r="S4903" t="str">
            <v>ENTREGADO</v>
          </cell>
          <cell r="T4903">
            <v>42768</v>
          </cell>
          <cell r="U4903" t="str">
            <v>CONDORI CHURATA ALEX</v>
          </cell>
          <cell r="V4903" t="str">
            <v>FLOREZ CONDORI  JOSE WILLIANS</v>
          </cell>
        </row>
        <row r="4904">
          <cell r="A4904">
            <v>4903</v>
          </cell>
          <cell r="B4904">
            <v>42768</v>
          </cell>
          <cell r="C4904" t="str">
            <v>FEBRERO</v>
          </cell>
          <cell r="D4904" t="str">
            <v>2017</v>
          </cell>
          <cell r="E4904">
            <v>944</v>
          </cell>
          <cell r="F4904" t="str">
            <v>D3S-764</v>
          </cell>
          <cell r="G4904" t="str">
            <v>TBL-998</v>
          </cell>
          <cell r="H4904" t="str">
            <v>LAS BAMBAS</v>
          </cell>
          <cell r="I4904">
            <v>131014</v>
          </cell>
          <cell r="J4904" t="str">
            <v>REPUESTO</v>
          </cell>
          <cell r="K4904" t="str">
            <v>FILTRO DE COMBUSTIBLE</v>
          </cell>
          <cell r="L4904">
            <v>2</v>
          </cell>
          <cell r="M4904" t="str">
            <v>UNID.</v>
          </cell>
          <cell r="N4904" t="str">
            <v>TRACTO</v>
          </cell>
          <cell r="O4904">
            <v>0</v>
          </cell>
          <cell r="P4904" t="str">
            <v>M2</v>
          </cell>
          <cell r="Q4904" t="str">
            <v>J1</v>
          </cell>
          <cell r="R4904" t="str">
            <v>J8</v>
          </cell>
          <cell r="S4904" t="str">
            <v>ENTREGADO</v>
          </cell>
          <cell r="T4904">
            <v>42768</v>
          </cell>
          <cell r="U4904" t="str">
            <v>CHUMPITAZ GAGO JULIO ENRIQUE</v>
          </cell>
          <cell r="V4904" t="str">
            <v>FLOREZ CONDORI  JOSE WILLIANS</v>
          </cell>
        </row>
        <row r="4905">
          <cell r="A4905">
            <v>4904</v>
          </cell>
          <cell r="B4905">
            <v>42768</v>
          </cell>
          <cell r="C4905" t="str">
            <v>FEBRERO</v>
          </cell>
          <cell r="D4905" t="str">
            <v>2017</v>
          </cell>
          <cell r="E4905">
            <v>955</v>
          </cell>
          <cell r="F4905" t="str">
            <v>X2W-759</v>
          </cell>
          <cell r="G4905" t="str">
            <v>C5V-999</v>
          </cell>
          <cell r="H4905" t="str">
            <v>LAS BAMBAS</v>
          </cell>
          <cell r="I4905">
            <v>160081</v>
          </cell>
          <cell r="J4905" t="str">
            <v>REPUESTO</v>
          </cell>
          <cell r="K4905" t="str">
            <v>SOLDADURA DE ALUMINIO 1/8</v>
          </cell>
          <cell r="L4905">
            <v>1</v>
          </cell>
          <cell r="M4905" t="str">
            <v>KG.</v>
          </cell>
          <cell r="N4905" t="str">
            <v>TALLER</v>
          </cell>
          <cell r="O4905">
            <v>0</v>
          </cell>
          <cell r="P4905" t="str">
            <v>S1</v>
          </cell>
          <cell r="Q4905" t="str">
            <v>J1</v>
          </cell>
          <cell r="R4905" t="str">
            <v>J8</v>
          </cell>
          <cell r="S4905" t="str">
            <v>ENTREGADO</v>
          </cell>
          <cell r="T4905">
            <v>42768</v>
          </cell>
          <cell r="U4905" t="str">
            <v>BAYONA CRUZ CRISTIAN ARMANDO</v>
          </cell>
          <cell r="V4905" t="str">
            <v>FLOREZ CONDORI  JOSE WILLIANS</v>
          </cell>
        </row>
        <row r="4906">
          <cell r="A4906">
            <v>4905</v>
          </cell>
          <cell r="B4906">
            <v>42768</v>
          </cell>
          <cell r="C4906" t="str">
            <v>FEBRERO</v>
          </cell>
          <cell r="D4906" t="str">
            <v>2017</v>
          </cell>
          <cell r="E4906">
            <v>955</v>
          </cell>
          <cell r="F4906" t="str">
            <v>X2W-759</v>
          </cell>
          <cell r="G4906" t="str">
            <v>C5V-999</v>
          </cell>
          <cell r="H4906" t="str">
            <v>LAS BAMBAS</v>
          </cell>
          <cell r="I4906">
            <v>160081</v>
          </cell>
          <cell r="J4906" t="str">
            <v>SERVICIO</v>
          </cell>
          <cell r="K4906" t="str">
            <v>SERVICIO DE REPARACION DE ESPEJO PANORAMICO</v>
          </cell>
          <cell r="L4906">
            <v>1</v>
          </cell>
          <cell r="M4906" t="str">
            <v>UNID.</v>
          </cell>
          <cell r="N4906" t="str">
            <v>TRACTO</v>
          </cell>
          <cell r="O4906">
            <v>0</v>
          </cell>
          <cell r="P4906" t="str">
            <v>J1</v>
          </cell>
          <cell r="Q4906" t="str">
            <v>J1</v>
          </cell>
          <cell r="R4906" t="str">
            <v>J8</v>
          </cell>
          <cell r="S4906" t="str">
            <v>ENTREGADO</v>
          </cell>
          <cell r="T4906">
            <v>42768</v>
          </cell>
          <cell r="U4906" t="str">
            <v>FLOREZ CONDORI  JOSE WILLIANS</v>
          </cell>
          <cell r="V4906" t="str">
            <v>FLOREZ CONDORI  JOSE WILLIANS</v>
          </cell>
        </row>
        <row r="4907">
          <cell r="A4907">
            <v>4906</v>
          </cell>
          <cell r="B4907">
            <v>42768</v>
          </cell>
          <cell r="C4907" t="str">
            <v>FEBRERO</v>
          </cell>
          <cell r="D4907" t="str">
            <v>2017</v>
          </cell>
          <cell r="E4907">
            <v>974</v>
          </cell>
          <cell r="F4907" t="str">
            <v>D3S-764</v>
          </cell>
          <cell r="G4907" t="str">
            <v>TBL-998</v>
          </cell>
          <cell r="H4907" t="str">
            <v>LAS BAMBAS</v>
          </cell>
          <cell r="I4907">
            <v>131247</v>
          </cell>
          <cell r="J4907" t="str">
            <v>REPUESTO</v>
          </cell>
          <cell r="K4907" t="str">
            <v>PERNO DE 1/4 X 1"</v>
          </cell>
          <cell r="L4907">
            <v>4</v>
          </cell>
          <cell r="M4907" t="str">
            <v>UNID.</v>
          </cell>
          <cell r="N4907" t="str">
            <v>TRACTO</v>
          </cell>
          <cell r="O4907">
            <v>0</v>
          </cell>
          <cell r="P4907" t="str">
            <v>E3</v>
          </cell>
          <cell r="Q4907" t="str">
            <v>J1</v>
          </cell>
          <cell r="R4907" t="str">
            <v>J8</v>
          </cell>
          <cell r="S4907" t="str">
            <v>ENTREGADO</v>
          </cell>
          <cell r="T4907">
            <v>42768</v>
          </cell>
          <cell r="U4907" t="str">
            <v>CONDORI CHURATA ALEX</v>
          </cell>
          <cell r="V4907" t="str">
            <v>FLOREZ CONDORI  JOSE WILLIANS</v>
          </cell>
        </row>
        <row r="4908">
          <cell r="A4908">
            <v>4907</v>
          </cell>
          <cell r="B4908">
            <v>42768</v>
          </cell>
          <cell r="C4908" t="str">
            <v>FEBRERO</v>
          </cell>
          <cell r="D4908" t="str">
            <v>2017</v>
          </cell>
          <cell r="E4908">
            <v>974</v>
          </cell>
          <cell r="F4908" t="str">
            <v>D3S-764</v>
          </cell>
          <cell r="G4908" t="str">
            <v>TBL-998</v>
          </cell>
          <cell r="H4908" t="str">
            <v>LAS BAMBAS</v>
          </cell>
          <cell r="I4908">
            <v>131247</v>
          </cell>
          <cell r="J4908" t="str">
            <v>REPUESTO</v>
          </cell>
          <cell r="K4908" t="str">
            <v>TUERCA</v>
          </cell>
          <cell r="L4908">
            <v>4</v>
          </cell>
          <cell r="M4908" t="str">
            <v>UNID.</v>
          </cell>
          <cell r="N4908" t="str">
            <v>TRACTO</v>
          </cell>
          <cell r="O4908">
            <v>0</v>
          </cell>
          <cell r="P4908" t="str">
            <v>E3</v>
          </cell>
          <cell r="Q4908" t="str">
            <v>J1</v>
          </cell>
          <cell r="R4908" t="str">
            <v>J8</v>
          </cell>
          <cell r="S4908" t="str">
            <v>ENTREGADO</v>
          </cell>
          <cell r="T4908">
            <v>42768</v>
          </cell>
          <cell r="U4908" t="str">
            <v>CONDORI CHURATA ALEX</v>
          </cell>
          <cell r="V4908" t="str">
            <v>FLOREZ CONDORI  JOSE WILLIANS</v>
          </cell>
        </row>
        <row r="4909">
          <cell r="A4909">
            <v>4908</v>
          </cell>
          <cell r="B4909">
            <v>42768</v>
          </cell>
          <cell r="C4909" t="str">
            <v>FEBRERO</v>
          </cell>
          <cell r="D4909" t="str">
            <v>2017</v>
          </cell>
          <cell r="E4909">
            <v>974</v>
          </cell>
          <cell r="F4909" t="str">
            <v>D3S-764</v>
          </cell>
          <cell r="G4909" t="str">
            <v>TBL-998</v>
          </cell>
          <cell r="H4909" t="str">
            <v>LAS BAMBAS</v>
          </cell>
          <cell r="I4909">
            <v>131247</v>
          </cell>
          <cell r="J4909" t="str">
            <v>REPUESTO</v>
          </cell>
          <cell r="K4909" t="str">
            <v>ARANDELA PLANA</v>
          </cell>
          <cell r="L4909">
            <v>8</v>
          </cell>
          <cell r="M4909" t="str">
            <v>UNID.</v>
          </cell>
          <cell r="N4909" t="str">
            <v>TRACTO</v>
          </cell>
          <cell r="O4909">
            <v>0</v>
          </cell>
          <cell r="P4909" t="str">
            <v>E3</v>
          </cell>
          <cell r="Q4909" t="str">
            <v>J1</v>
          </cell>
          <cell r="R4909" t="str">
            <v>J8</v>
          </cell>
          <cell r="S4909" t="str">
            <v>ENTREGADO</v>
          </cell>
          <cell r="T4909">
            <v>42768</v>
          </cell>
          <cell r="U4909" t="str">
            <v>CONDORI CHURATA ALEX</v>
          </cell>
          <cell r="V4909" t="str">
            <v>FLOREZ CONDORI  JOSE WILLIANS</v>
          </cell>
        </row>
        <row r="4910">
          <cell r="A4910">
            <v>4909</v>
          </cell>
          <cell r="B4910">
            <v>42768</v>
          </cell>
          <cell r="C4910" t="str">
            <v>FEBRERO</v>
          </cell>
          <cell r="D4910" t="str">
            <v>2017</v>
          </cell>
          <cell r="E4910">
            <v>976</v>
          </cell>
          <cell r="F4910" t="str">
            <v>C5R-892</v>
          </cell>
          <cell r="G4910" t="str">
            <v>A0T-983</v>
          </cell>
          <cell r="H4910" t="str">
            <v>LAS BAMBAS</v>
          </cell>
          <cell r="I4910">
            <v>232263</v>
          </cell>
          <cell r="J4910" t="str">
            <v>REPUESTO</v>
          </cell>
          <cell r="K4910" t="str">
            <v>BOMBA DE COMBUSTIBLE</v>
          </cell>
          <cell r="L4910">
            <v>1</v>
          </cell>
          <cell r="M4910" t="str">
            <v>UNID.</v>
          </cell>
          <cell r="N4910" t="str">
            <v>TRACTO</v>
          </cell>
          <cell r="O4910">
            <v>0</v>
          </cell>
          <cell r="P4910" t="str">
            <v>M2</v>
          </cell>
          <cell r="Q4910" t="str">
            <v>J1</v>
          </cell>
          <cell r="R4910" t="str">
            <v>J8</v>
          </cell>
          <cell r="S4910" t="str">
            <v>ENTREGADO</v>
          </cell>
          <cell r="T4910">
            <v>42768</v>
          </cell>
          <cell r="U4910" t="str">
            <v>CHUMPITAZ GAGO JULIO ENRIQUE</v>
          </cell>
          <cell r="V4910" t="str">
            <v>FLOREZ CONDORI  JOSE WILLIANS</v>
          </cell>
        </row>
        <row r="4911">
          <cell r="A4911">
            <v>4910</v>
          </cell>
          <cell r="B4911">
            <v>42768</v>
          </cell>
          <cell r="C4911" t="str">
            <v>FEBRERO</v>
          </cell>
          <cell r="D4911" t="str">
            <v>2017</v>
          </cell>
          <cell r="E4911">
            <v>976</v>
          </cell>
          <cell r="F4911" t="str">
            <v>C5R-892</v>
          </cell>
          <cell r="G4911" t="str">
            <v>A0T-983</v>
          </cell>
          <cell r="H4911" t="str">
            <v>LAS BAMBAS</v>
          </cell>
          <cell r="I4911">
            <v>232263</v>
          </cell>
          <cell r="J4911" t="str">
            <v>REPUESTO</v>
          </cell>
          <cell r="K4911" t="str">
            <v>FILTRO DE AIRE</v>
          </cell>
          <cell r="L4911">
            <v>1</v>
          </cell>
          <cell r="M4911" t="str">
            <v>UNID.</v>
          </cell>
          <cell r="N4911" t="str">
            <v>TRACTO</v>
          </cell>
          <cell r="O4911">
            <v>0</v>
          </cell>
          <cell r="P4911" t="str">
            <v>M2</v>
          </cell>
          <cell r="Q4911" t="str">
            <v>J1</v>
          </cell>
          <cell r="R4911" t="str">
            <v>J8</v>
          </cell>
          <cell r="S4911" t="str">
            <v>ENTREGADO</v>
          </cell>
          <cell r="T4911">
            <v>42768</v>
          </cell>
          <cell r="U4911" t="str">
            <v>CHUMPITAZ GAGO JULIO ENRIQUE</v>
          </cell>
          <cell r="V4911" t="str">
            <v>FLOREZ CONDORI  JOSE WILLIANS</v>
          </cell>
        </row>
        <row r="4912">
          <cell r="A4912">
            <v>4911</v>
          </cell>
          <cell r="B4912">
            <v>42768</v>
          </cell>
          <cell r="C4912" t="str">
            <v>FEBRERO</v>
          </cell>
          <cell r="D4912" t="str">
            <v>2017</v>
          </cell>
          <cell r="E4912">
            <v>978</v>
          </cell>
          <cell r="F4912" t="str">
            <v>D3S-767</v>
          </cell>
          <cell r="G4912" t="str">
            <v>B8L-973</v>
          </cell>
          <cell r="H4912" t="str">
            <v>LAS BAMBAS</v>
          </cell>
          <cell r="I4912">
            <v>192399</v>
          </cell>
          <cell r="J4912" t="str">
            <v>SERVICIO</v>
          </cell>
          <cell r="K4912" t="str">
            <v>REPARACION DE RADIADOR</v>
          </cell>
          <cell r="L4912">
            <v>1</v>
          </cell>
          <cell r="M4912" t="str">
            <v>UNID.</v>
          </cell>
          <cell r="N4912" t="str">
            <v>TRACTO</v>
          </cell>
          <cell r="O4912">
            <v>0</v>
          </cell>
          <cell r="P4912" t="str">
            <v>M1</v>
          </cell>
          <cell r="Q4912" t="str">
            <v>J1</v>
          </cell>
          <cell r="R4912" t="str">
            <v>J8</v>
          </cell>
          <cell r="S4912" t="str">
            <v>ENTREGADO</v>
          </cell>
          <cell r="T4912">
            <v>42768</v>
          </cell>
          <cell r="U4912" t="str">
            <v>CABEZAS SANCHEZ JEAN JHONATAN</v>
          </cell>
          <cell r="V4912" t="str">
            <v>FLOREZ CONDORI  JOSE WILLIANS</v>
          </cell>
        </row>
        <row r="4913">
          <cell r="A4913">
            <v>4912</v>
          </cell>
          <cell r="B4913">
            <v>42768</v>
          </cell>
          <cell r="C4913" t="str">
            <v>FEBRERO</v>
          </cell>
          <cell r="D4913" t="str">
            <v>2017</v>
          </cell>
          <cell r="E4913">
            <v>976</v>
          </cell>
          <cell r="F4913" t="str">
            <v>C5R-892</v>
          </cell>
          <cell r="G4913" t="str">
            <v>A0T-983</v>
          </cell>
          <cell r="H4913" t="str">
            <v>LAS BAMBAS</v>
          </cell>
          <cell r="I4913">
            <v>232263</v>
          </cell>
          <cell r="J4913" t="str">
            <v>REPUESTO</v>
          </cell>
          <cell r="K4913" t="str">
            <v>FILTRO DE COMBUSTIBLE</v>
          </cell>
          <cell r="L4913">
            <v>1</v>
          </cell>
          <cell r="M4913" t="str">
            <v>UNID.</v>
          </cell>
          <cell r="N4913" t="str">
            <v>TRACTO</v>
          </cell>
          <cell r="O4913">
            <v>0</v>
          </cell>
          <cell r="P4913" t="str">
            <v>M2</v>
          </cell>
          <cell r="Q4913" t="str">
            <v>J1</v>
          </cell>
          <cell r="R4913" t="str">
            <v>J8</v>
          </cell>
          <cell r="S4913" t="str">
            <v>ENTREGADO</v>
          </cell>
          <cell r="T4913">
            <v>42768</v>
          </cell>
          <cell r="U4913" t="str">
            <v>CHUMPITAZ GAGO JULIO ENRIQUE</v>
          </cell>
          <cell r="V4913" t="str">
            <v>FLOREZ CONDORI  JOSE WILLIANS</v>
          </cell>
        </row>
        <row r="4914">
          <cell r="A4914">
            <v>4913</v>
          </cell>
          <cell r="B4914">
            <v>42768</v>
          </cell>
          <cell r="C4914" t="str">
            <v>FEBRERO</v>
          </cell>
          <cell r="D4914" t="str">
            <v>2017</v>
          </cell>
          <cell r="E4914">
            <v>976</v>
          </cell>
          <cell r="F4914" t="str">
            <v>C5R-892</v>
          </cell>
          <cell r="G4914" t="str">
            <v>A0T-983</v>
          </cell>
          <cell r="H4914" t="str">
            <v>LAS BAMBAS</v>
          </cell>
          <cell r="I4914">
            <v>232263</v>
          </cell>
          <cell r="J4914" t="str">
            <v>REPUESTO</v>
          </cell>
          <cell r="K4914" t="str">
            <v>FILTRO RACOR DE COMBUISTIBLE</v>
          </cell>
          <cell r="L4914">
            <v>1</v>
          </cell>
          <cell r="M4914" t="str">
            <v>UNID.</v>
          </cell>
          <cell r="N4914" t="str">
            <v>TRACTO</v>
          </cell>
          <cell r="O4914">
            <v>0</v>
          </cell>
          <cell r="P4914" t="str">
            <v>M2</v>
          </cell>
          <cell r="Q4914" t="str">
            <v>J1</v>
          </cell>
          <cell r="R4914" t="str">
            <v>J8</v>
          </cell>
          <cell r="S4914" t="str">
            <v>ENTREGADO</v>
          </cell>
          <cell r="T4914">
            <v>42768</v>
          </cell>
          <cell r="U4914" t="str">
            <v>CHUMPITAZ GAGO JULIO ENRIQUE</v>
          </cell>
          <cell r="V4914" t="str">
            <v>FLOREZ CONDORI  JOSE WILLIANS</v>
          </cell>
        </row>
        <row r="4915">
          <cell r="A4915">
            <v>4914</v>
          </cell>
          <cell r="B4915">
            <v>42769</v>
          </cell>
          <cell r="C4915" t="str">
            <v>FEBRERO</v>
          </cell>
          <cell r="D4915" t="str">
            <v>2017</v>
          </cell>
          <cell r="E4915">
            <v>979</v>
          </cell>
          <cell r="F4915" t="str">
            <v>D3P-730</v>
          </cell>
          <cell r="G4915" t="str">
            <v>TBM-980</v>
          </cell>
          <cell r="H4915" t="str">
            <v>LAS BAMBAS</v>
          </cell>
          <cell r="I4915">
            <v>112229</v>
          </cell>
          <cell r="J4915" t="str">
            <v>REPUESTO</v>
          </cell>
          <cell r="K4915" t="str">
            <v>FOCO LAGRIMON DE 2 CONTACTO AMBAR</v>
          </cell>
          <cell r="L4915">
            <v>1</v>
          </cell>
          <cell r="M4915" t="str">
            <v>UNID.</v>
          </cell>
          <cell r="N4915" t="str">
            <v>TRACTO</v>
          </cell>
          <cell r="O4915">
            <v>0</v>
          </cell>
          <cell r="P4915" t="str">
            <v>E3</v>
          </cell>
          <cell r="Q4915" t="str">
            <v>J1</v>
          </cell>
          <cell r="R4915" t="str">
            <v>J8</v>
          </cell>
          <cell r="S4915" t="str">
            <v>ENTREGADO</v>
          </cell>
          <cell r="T4915">
            <v>42769</v>
          </cell>
          <cell r="U4915" t="str">
            <v>CONDORI CHURATA ALEX</v>
          </cell>
          <cell r="V4915" t="str">
            <v>FLOREZ CONDORI  JOSE WILLIANS</v>
          </cell>
        </row>
        <row r="4916">
          <cell r="A4916">
            <v>4915</v>
          </cell>
          <cell r="B4916">
            <v>42769</v>
          </cell>
          <cell r="C4916" t="str">
            <v>FEBRERO</v>
          </cell>
          <cell r="D4916" t="str">
            <v>2017</v>
          </cell>
          <cell r="E4916">
            <v>979</v>
          </cell>
          <cell r="F4916" t="str">
            <v>D3P-730</v>
          </cell>
          <cell r="G4916" t="str">
            <v>TBM-980</v>
          </cell>
          <cell r="H4916" t="str">
            <v>LAS BAMBAS</v>
          </cell>
          <cell r="I4916">
            <v>112229</v>
          </cell>
          <cell r="J4916" t="str">
            <v>REPUESTO</v>
          </cell>
          <cell r="K4916" t="str">
            <v>FOCO PILOTO DE 2 CONTACTO  12 V</v>
          </cell>
          <cell r="L4916">
            <v>1</v>
          </cell>
          <cell r="M4916" t="str">
            <v>UNID.</v>
          </cell>
          <cell r="N4916" t="str">
            <v>TRACTO</v>
          </cell>
          <cell r="O4916">
            <v>0</v>
          </cell>
          <cell r="P4916" t="str">
            <v>E3</v>
          </cell>
          <cell r="Q4916" t="str">
            <v>J1</v>
          </cell>
          <cell r="R4916" t="str">
            <v>J8</v>
          </cell>
          <cell r="S4916" t="str">
            <v>ENTREGADO</v>
          </cell>
          <cell r="T4916">
            <v>42769</v>
          </cell>
          <cell r="U4916" t="str">
            <v>CONDORI CHURATA ALEX</v>
          </cell>
          <cell r="V4916" t="str">
            <v>FLOREZ CONDORI  JOSE WILLIANS</v>
          </cell>
        </row>
        <row r="4917">
          <cell r="A4917">
            <v>4916</v>
          </cell>
          <cell r="B4917">
            <v>42769</v>
          </cell>
          <cell r="C4917" t="str">
            <v>FEBRERO</v>
          </cell>
          <cell r="D4917" t="str">
            <v>2017</v>
          </cell>
          <cell r="E4917">
            <v>979</v>
          </cell>
          <cell r="F4917" t="str">
            <v>D3P-730</v>
          </cell>
          <cell r="G4917" t="str">
            <v>TBM-980</v>
          </cell>
          <cell r="H4917" t="str">
            <v>LAS BAMBAS</v>
          </cell>
          <cell r="I4917">
            <v>112229</v>
          </cell>
          <cell r="J4917" t="str">
            <v>REPUESTO</v>
          </cell>
          <cell r="K4917" t="str">
            <v xml:space="preserve">PRECINTOS PEQUEÑOS </v>
          </cell>
          <cell r="L4917">
            <v>1</v>
          </cell>
          <cell r="M4917" t="str">
            <v>UNID.</v>
          </cell>
          <cell r="N4917" t="str">
            <v>TRACTO</v>
          </cell>
          <cell r="O4917">
            <v>0</v>
          </cell>
          <cell r="P4917" t="str">
            <v>E3</v>
          </cell>
          <cell r="Q4917" t="str">
            <v>J1</v>
          </cell>
          <cell r="R4917" t="str">
            <v>J8</v>
          </cell>
          <cell r="S4917" t="str">
            <v>ENTREGADO</v>
          </cell>
          <cell r="T4917">
            <v>42769</v>
          </cell>
          <cell r="U4917" t="str">
            <v>CONDORI CHURATA ALEX</v>
          </cell>
          <cell r="V4917" t="str">
            <v>FLOREZ CONDORI  JOSE WILLIANS</v>
          </cell>
        </row>
        <row r="4918">
          <cell r="A4918">
            <v>4917</v>
          </cell>
          <cell r="B4918">
            <v>42769</v>
          </cell>
          <cell r="C4918" t="str">
            <v>FEBRERO</v>
          </cell>
          <cell r="D4918" t="str">
            <v>2017</v>
          </cell>
          <cell r="E4918">
            <v>984</v>
          </cell>
          <cell r="F4918" t="str">
            <v>C5R-895</v>
          </cell>
          <cell r="G4918" t="str">
            <v>TBL-976</v>
          </cell>
          <cell r="H4918" t="str">
            <v>LAS BAMBAS</v>
          </cell>
          <cell r="I4918">
            <v>176811</v>
          </cell>
          <cell r="J4918" t="str">
            <v>REPUESTO</v>
          </cell>
          <cell r="K4918" t="str">
            <v xml:space="preserve">PITON </v>
          </cell>
          <cell r="L4918">
            <v>2</v>
          </cell>
          <cell r="M4918" t="str">
            <v>UNID.</v>
          </cell>
          <cell r="N4918" t="str">
            <v>TRACTO</v>
          </cell>
          <cell r="O4918">
            <v>0</v>
          </cell>
          <cell r="P4918" t="str">
            <v>N2</v>
          </cell>
          <cell r="Q4918" t="str">
            <v>J1</v>
          </cell>
          <cell r="R4918" t="str">
            <v>J8</v>
          </cell>
          <cell r="S4918" t="str">
            <v>ENTREGADO</v>
          </cell>
          <cell r="T4918">
            <v>42769</v>
          </cell>
          <cell r="U4918" t="str">
            <v>MAMANI LARICO  EDUARDO ALVARO</v>
          </cell>
          <cell r="V4918" t="str">
            <v>FLOREZ CONDORI  JOSE WILLIANS</v>
          </cell>
        </row>
        <row r="4919">
          <cell r="A4919">
            <v>4918</v>
          </cell>
          <cell r="B4919">
            <v>42769</v>
          </cell>
          <cell r="C4919" t="str">
            <v>FEBRERO</v>
          </cell>
          <cell r="D4919" t="str">
            <v>2017</v>
          </cell>
          <cell r="E4919">
            <v>983</v>
          </cell>
          <cell r="F4919" t="str">
            <v>ABQ-703</v>
          </cell>
          <cell r="G4919" t="str">
            <v>D0Z-994</v>
          </cell>
          <cell r="H4919" t="str">
            <v>LAS BAMBAS</v>
          </cell>
          <cell r="I4919">
            <v>110477</v>
          </cell>
          <cell r="J4919" t="str">
            <v>REPUESTO</v>
          </cell>
          <cell r="K4919" t="str">
            <v>PARCHE RACK 14</v>
          </cell>
          <cell r="L4919">
            <v>2</v>
          </cell>
          <cell r="M4919" t="str">
            <v>UNID.</v>
          </cell>
          <cell r="N4919" t="str">
            <v>TRACTO</v>
          </cell>
          <cell r="O4919">
            <v>0</v>
          </cell>
          <cell r="P4919" t="str">
            <v>N1</v>
          </cell>
          <cell r="Q4919" t="str">
            <v>J1</v>
          </cell>
          <cell r="R4919" t="str">
            <v>J8</v>
          </cell>
          <cell r="S4919" t="str">
            <v>ENTREGADO</v>
          </cell>
          <cell r="T4919">
            <v>42769</v>
          </cell>
          <cell r="U4919" t="str">
            <v>AGUILAR CCANTUTA WILLY</v>
          </cell>
          <cell r="V4919" t="str">
            <v>FLOREZ CONDORI  JOSE WILLIANS</v>
          </cell>
        </row>
        <row r="4920">
          <cell r="A4920">
            <v>4919</v>
          </cell>
          <cell r="B4920">
            <v>42769</v>
          </cell>
          <cell r="C4920" t="str">
            <v>FEBRERO</v>
          </cell>
          <cell r="D4920" t="str">
            <v>2017</v>
          </cell>
          <cell r="E4920">
            <v>979</v>
          </cell>
          <cell r="F4920" t="str">
            <v>D3P-730</v>
          </cell>
          <cell r="G4920" t="str">
            <v>TBM-980</v>
          </cell>
          <cell r="H4920" t="str">
            <v>LAS BAMBAS</v>
          </cell>
          <cell r="I4920">
            <v>112229</v>
          </cell>
          <cell r="J4920" t="str">
            <v>REPUESTO</v>
          </cell>
          <cell r="K4920" t="str">
            <v>MINIFUSIBLE DE 10A</v>
          </cell>
          <cell r="L4920">
            <v>1</v>
          </cell>
          <cell r="M4920" t="str">
            <v>UNID.</v>
          </cell>
          <cell r="N4920" t="str">
            <v>TRACTO</v>
          </cell>
          <cell r="O4920">
            <v>0</v>
          </cell>
          <cell r="P4920" t="str">
            <v>E3</v>
          </cell>
          <cell r="Q4920" t="str">
            <v>J1</v>
          </cell>
          <cell r="R4920" t="str">
            <v>J8</v>
          </cell>
          <cell r="S4920" t="str">
            <v>ENTREGADO</v>
          </cell>
          <cell r="T4920">
            <v>42769</v>
          </cell>
          <cell r="U4920" t="str">
            <v>CONDORI CHURATA ALEX</v>
          </cell>
          <cell r="V4920" t="str">
            <v>FLOREZ CONDORI  JOSE WILLIANS</v>
          </cell>
        </row>
        <row r="4921">
          <cell r="A4921">
            <v>4920</v>
          </cell>
          <cell r="B4921">
            <v>42769</v>
          </cell>
          <cell r="C4921" t="str">
            <v>FEBRERO</v>
          </cell>
          <cell r="D4921" t="str">
            <v>2017</v>
          </cell>
          <cell r="E4921">
            <v>973</v>
          </cell>
          <cell r="F4921" t="str">
            <v>D6F-907</v>
          </cell>
          <cell r="G4921" t="str">
            <v>T2Y-979</v>
          </cell>
          <cell r="H4921" t="str">
            <v>LAS BAMBAS</v>
          </cell>
          <cell r="I4921">
            <v>206065</v>
          </cell>
          <cell r="J4921" t="str">
            <v>REPUESTO</v>
          </cell>
          <cell r="K4921" t="str">
            <v>DISCO DE EMBRAGUE COMPLETO</v>
          </cell>
          <cell r="L4921">
            <v>1</v>
          </cell>
          <cell r="M4921" t="str">
            <v>UNID.</v>
          </cell>
          <cell r="N4921" t="str">
            <v>TRACTO</v>
          </cell>
          <cell r="O4921">
            <v>0</v>
          </cell>
          <cell r="P4921" t="str">
            <v>M1</v>
          </cell>
          <cell r="Q4921" t="str">
            <v>J1</v>
          </cell>
          <cell r="R4921" t="str">
            <v>J8</v>
          </cell>
          <cell r="S4921" t="str">
            <v>ENTREGADO</v>
          </cell>
          <cell r="T4921">
            <v>42769</v>
          </cell>
          <cell r="U4921" t="str">
            <v>CABEZAS SANCHEZ JEAN JHONATAN</v>
          </cell>
          <cell r="V4921" t="str">
            <v>FLOREZ CONDORI  JOSE WILLIANS</v>
          </cell>
        </row>
        <row r="4922">
          <cell r="A4922">
            <v>4921</v>
          </cell>
          <cell r="B4922">
            <v>42769</v>
          </cell>
          <cell r="C4922" t="str">
            <v>FEBRERO</v>
          </cell>
          <cell r="D4922" t="str">
            <v>2017</v>
          </cell>
          <cell r="E4922">
            <v>973</v>
          </cell>
          <cell r="F4922" t="str">
            <v>D6F-907</v>
          </cell>
          <cell r="G4922" t="str">
            <v>T2Y-979</v>
          </cell>
          <cell r="H4922" t="str">
            <v>LAS BAMBAS</v>
          </cell>
          <cell r="I4922">
            <v>206065</v>
          </cell>
          <cell r="J4922" t="str">
            <v>REPUESTO</v>
          </cell>
          <cell r="K4922" t="str">
            <v>TURBO COMPLETO</v>
          </cell>
          <cell r="L4922">
            <v>1</v>
          </cell>
          <cell r="M4922" t="str">
            <v>UNID.</v>
          </cell>
          <cell r="N4922" t="str">
            <v>TRACTO</v>
          </cell>
          <cell r="O4922">
            <v>0</v>
          </cell>
          <cell r="P4922" t="str">
            <v>M1</v>
          </cell>
          <cell r="Q4922" t="str">
            <v>J1</v>
          </cell>
          <cell r="R4922" t="str">
            <v>J8</v>
          </cell>
          <cell r="S4922" t="str">
            <v>ENTREGADO</v>
          </cell>
          <cell r="T4922">
            <v>42769</v>
          </cell>
          <cell r="U4922" t="str">
            <v>CABEZAS SANCHEZ JEAN JHONATAN</v>
          </cell>
          <cell r="V4922" t="str">
            <v>FLOREZ CONDORI  JOSE WILLIANS</v>
          </cell>
        </row>
        <row r="4923">
          <cell r="A4923">
            <v>4922</v>
          </cell>
          <cell r="B4923">
            <v>42769</v>
          </cell>
          <cell r="C4923" t="str">
            <v>FEBRERO</v>
          </cell>
          <cell r="D4923" t="str">
            <v>2017</v>
          </cell>
          <cell r="E4923">
            <v>973</v>
          </cell>
          <cell r="F4923" t="str">
            <v>D6F-907</v>
          </cell>
          <cell r="G4923" t="str">
            <v>T2Y-979</v>
          </cell>
          <cell r="H4923" t="str">
            <v>LAS BAMBAS</v>
          </cell>
          <cell r="I4923">
            <v>206065</v>
          </cell>
          <cell r="J4923" t="str">
            <v>REPUESTO</v>
          </cell>
          <cell r="K4923" t="str">
            <v>EMPAQUE DE MULTIPLE DE ESCAPE (JUEGO)</v>
          </cell>
          <cell r="L4923">
            <v>1</v>
          </cell>
          <cell r="M4923" t="str">
            <v>UNID.</v>
          </cell>
          <cell r="N4923" t="str">
            <v>TRACTO</v>
          </cell>
          <cell r="O4923">
            <v>0</v>
          </cell>
          <cell r="P4923" t="str">
            <v>M1</v>
          </cell>
          <cell r="Q4923" t="str">
            <v>J1</v>
          </cell>
          <cell r="R4923" t="str">
            <v>J8</v>
          </cell>
          <cell r="S4923" t="str">
            <v>ENTREGADO</v>
          </cell>
          <cell r="T4923">
            <v>42769</v>
          </cell>
          <cell r="U4923" t="str">
            <v>CABEZAS SANCHEZ JEAN JHONATAN</v>
          </cell>
          <cell r="V4923" t="str">
            <v>FLOREZ CONDORI  JOSE WILLIANS</v>
          </cell>
        </row>
        <row r="4924">
          <cell r="A4924">
            <v>4923</v>
          </cell>
          <cell r="B4924">
            <v>42769</v>
          </cell>
          <cell r="C4924" t="str">
            <v>FEBRERO</v>
          </cell>
          <cell r="D4924" t="str">
            <v>2017</v>
          </cell>
          <cell r="E4924">
            <v>973</v>
          </cell>
          <cell r="F4924" t="str">
            <v>D6F-907</v>
          </cell>
          <cell r="G4924" t="str">
            <v>T2Y-979</v>
          </cell>
          <cell r="H4924" t="str">
            <v>LAS BAMBAS</v>
          </cell>
          <cell r="I4924">
            <v>206065</v>
          </cell>
          <cell r="J4924" t="str">
            <v>REPUESTO</v>
          </cell>
          <cell r="K4924" t="str">
            <v>EMPAQUE DE BASE DE TURBO</v>
          </cell>
          <cell r="L4924">
            <v>1</v>
          </cell>
          <cell r="M4924" t="str">
            <v>UNID.</v>
          </cell>
          <cell r="N4924" t="str">
            <v>TRACTO</v>
          </cell>
          <cell r="O4924">
            <v>0</v>
          </cell>
          <cell r="P4924" t="str">
            <v>M1</v>
          </cell>
          <cell r="Q4924" t="str">
            <v>J1</v>
          </cell>
          <cell r="R4924" t="str">
            <v>J8</v>
          </cell>
          <cell r="S4924" t="str">
            <v>ENTREGADO</v>
          </cell>
          <cell r="T4924">
            <v>42769</v>
          </cell>
          <cell r="U4924" t="str">
            <v>CABEZAS SANCHEZ JEAN JHONATAN</v>
          </cell>
          <cell r="V4924" t="str">
            <v>FLOREZ CONDORI  JOSE WILLIANS</v>
          </cell>
        </row>
        <row r="4925">
          <cell r="A4925">
            <v>4924</v>
          </cell>
          <cell r="B4925">
            <v>42769</v>
          </cell>
          <cell r="C4925" t="str">
            <v>FEBRERO</v>
          </cell>
          <cell r="D4925" t="str">
            <v>2017</v>
          </cell>
          <cell r="E4925">
            <v>973</v>
          </cell>
          <cell r="F4925" t="str">
            <v>D6F-907</v>
          </cell>
          <cell r="G4925" t="str">
            <v>T2Y-979</v>
          </cell>
          <cell r="H4925" t="str">
            <v>LAS BAMBAS</v>
          </cell>
          <cell r="I4925">
            <v>206065</v>
          </cell>
          <cell r="J4925" t="str">
            <v>REPUESTO</v>
          </cell>
          <cell r="K4925" t="str">
            <v>PERNO DE MULTIPLE DE ESCAPE M12</v>
          </cell>
          <cell r="L4925">
            <v>12</v>
          </cell>
          <cell r="M4925" t="str">
            <v>UNID.</v>
          </cell>
          <cell r="N4925" t="str">
            <v>TRACTO</v>
          </cell>
          <cell r="O4925">
            <v>0</v>
          </cell>
          <cell r="P4925" t="str">
            <v>M1</v>
          </cell>
          <cell r="Q4925" t="str">
            <v>J1</v>
          </cell>
          <cell r="R4925" t="str">
            <v>J8</v>
          </cell>
          <cell r="S4925" t="str">
            <v>ENTREGADO</v>
          </cell>
          <cell r="T4925">
            <v>42769</v>
          </cell>
          <cell r="U4925" t="str">
            <v>CABEZAS SANCHEZ JEAN JHONATAN</v>
          </cell>
          <cell r="V4925" t="str">
            <v>FLOREZ CONDORI  JOSE WILLIANS</v>
          </cell>
        </row>
        <row r="4926">
          <cell r="A4926">
            <v>4925</v>
          </cell>
          <cell r="B4926">
            <v>42769</v>
          </cell>
          <cell r="C4926" t="str">
            <v>FEBRERO</v>
          </cell>
          <cell r="D4926" t="str">
            <v>2017</v>
          </cell>
          <cell r="E4926">
            <v>973</v>
          </cell>
          <cell r="F4926" t="str">
            <v>D6F-907</v>
          </cell>
          <cell r="G4926" t="str">
            <v>T2Y-979</v>
          </cell>
          <cell r="H4926" t="str">
            <v>LAS BAMBAS</v>
          </cell>
          <cell r="I4926">
            <v>206065</v>
          </cell>
          <cell r="J4926" t="str">
            <v>REPUESTO</v>
          </cell>
          <cell r="K4926" t="str">
            <v>ESPARRAGO PARA TURBO</v>
          </cell>
          <cell r="L4926">
            <v>4</v>
          </cell>
          <cell r="M4926" t="str">
            <v>UNID.</v>
          </cell>
          <cell r="N4926" t="str">
            <v>TRACTO</v>
          </cell>
          <cell r="O4926">
            <v>0</v>
          </cell>
          <cell r="P4926" t="str">
            <v>M1</v>
          </cell>
          <cell r="Q4926" t="str">
            <v>J1</v>
          </cell>
          <cell r="R4926" t="str">
            <v>J8</v>
          </cell>
          <cell r="S4926" t="str">
            <v>ENTREGADO</v>
          </cell>
          <cell r="T4926">
            <v>42769</v>
          </cell>
          <cell r="U4926" t="str">
            <v>CABEZAS SANCHEZ JEAN JHONATAN</v>
          </cell>
          <cell r="V4926" t="str">
            <v>FLOREZ CONDORI  JOSE WILLIANS</v>
          </cell>
        </row>
        <row r="4927">
          <cell r="A4927">
            <v>4926</v>
          </cell>
          <cell r="B4927">
            <v>42769</v>
          </cell>
          <cell r="C4927" t="str">
            <v>FEBRERO</v>
          </cell>
          <cell r="D4927" t="str">
            <v>2017</v>
          </cell>
          <cell r="E4927">
            <v>973</v>
          </cell>
          <cell r="F4927" t="str">
            <v>D6F-907</v>
          </cell>
          <cell r="G4927" t="str">
            <v>T2Y-979</v>
          </cell>
          <cell r="H4927" t="str">
            <v>LAS BAMBAS</v>
          </cell>
          <cell r="I4927">
            <v>206065</v>
          </cell>
          <cell r="J4927" t="str">
            <v>REPUESTO</v>
          </cell>
          <cell r="K4927" t="str">
            <v>TUBO DE ESCAPE  (Y)</v>
          </cell>
          <cell r="L4927">
            <v>1</v>
          </cell>
          <cell r="M4927" t="str">
            <v>UNID.</v>
          </cell>
          <cell r="N4927" t="str">
            <v>TRACTO</v>
          </cell>
          <cell r="O4927">
            <v>0</v>
          </cell>
          <cell r="P4927" t="str">
            <v>M1</v>
          </cell>
          <cell r="Q4927" t="str">
            <v>J1</v>
          </cell>
          <cell r="R4927" t="str">
            <v>J8</v>
          </cell>
          <cell r="S4927" t="str">
            <v>ENTREGADO</v>
          </cell>
          <cell r="T4927">
            <v>42769</v>
          </cell>
          <cell r="U4927" t="str">
            <v>CABEZAS SANCHEZ JEAN JHONATAN</v>
          </cell>
          <cell r="V4927" t="str">
            <v>FLOREZ CONDORI  JOSE WILLIANS</v>
          </cell>
        </row>
        <row r="4928">
          <cell r="A4928">
            <v>4927</v>
          </cell>
          <cell r="B4928">
            <v>42769</v>
          </cell>
          <cell r="C4928" t="str">
            <v>FEBRERO</v>
          </cell>
          <cell r="D4928" t="str">
            <v>2017</v>
          </cell>
          <cell r="E4928">
            <v>987</v>
          </cell>
          <cell r="F4928" t="str">
            <v>D3O-745</v>
          </cell>
          <cell r="G4928" t="str">
            <v>F3L-979</v>
          </cell>
          <cell r="H4928" t="str">
            <v>LAS BAMBAS</v>
          </cell>
          <cell r="I4928">
            <v>167094</v>
          </cell>
          <cell r="J4928" t="str">
            <v>REPUESTO</v>
          </cell>
          <cell r="K4928" t="str">
            <v>CABLE NRO. 14</v>
          </cell>
          <cell r="L4928">
            <v>4</v>
          </cell>
          <cell r="M4928" t="str">
            <v>M</v>
          </cell>
          <cell r="N4928" t="str">
            <v>TRACTO</v>
          </cell>
          <cell r="O4928">
            <v>0</v>
          </cell>
          <cell r="P4928" t="str">
            <v>E2</v>
          </cell>
          <cell r="Q4928" t="str">
            <v>J1</v>
          </cell>
          <cell r="R4928" t="str">
            <v>J6</v>
          </cell>
          <cell r="S4928" t="str">
            <v>ENTREGADO</v>
          </cell>
          <cell r="T4928">
            <v>42769</v>
          </cell>
          <cell r="U4928" t="str">
            <v>YUCA BELLIDO BORIS YERSY</v>
          </cell>
          <cell r="V4928" t="str">
            <v>FLOREZ CONDORI  JOSE WILLIANS</v>
          </cell>
        </row>
        <row r="4929">
          <cell r="A4929">
            <v>4928</v>
          </cell>
          <cell r="B4929">
            <v>42769</v>
          </cell>
          <cell r="C4929" t="str">
            <v>FEBRERO</v>
          </cell>
          <cell r="D4929" t="str">
            <v>2017</v>
          </cell>
          <cell r="E4929">
            <v>987</v>
          </cell>
          <cell r="F4929" t="str">
            <v>D3O-745</v>
          </cell>
          <cell r="G4929" t="str">
            <v>F3L-979</v>
          </cell>
          <cell r="H4929" t="str">
            <v>LAS BAMBAS</v>
          </cell>
          <cell r="I4929">
            <v>167094</v>
          </cell>
          <cell r="J4929" t="str">
            <v>REPUESTO</v>
          </cell>
          <cell r="K4929" t="str">
            <v>TUBO CORRUGADO 1/4</v>
          </cell>
          <cell r="L4929">
            <v>3</v>
          </cell>
          <cell r="M4929" t="str">
            <v>M</v>
          </cell>
          <cell r="N4929" t="str">
            <v>TRACTO</v>
          </cell>
          <cell r="O4929">
            <v>0</v>
          </cell>
          <cell r="P4929" t="str">
            <v>E2</v>
          </cell>
          <cell r="Q4929" t="str">
            <v>J1</v>
          </cell>
          <cell r="R4929" t="str">
            <v>J6</v>
          </cell>
          <cell r="S4929" t="str">
            <v>ENTREGADO</v>
          </cell>
          <cell r="T4929">
            <v>42769</v>
          </cell>
          <cell r="U4929" t="str">
            <v>YUCA BELLIDO BORIS YERSY</v>
          </cell>
          <cell r="V4929" t="str">
            <v>FLOREZ CONDORI  JOSE WILLIANS</v>
          </cell>
        </row>
        <row r="4930">
          <cell r="A4930">
            <v>4929</v>
          </cell>
          <cell r="B4930">
            <v>42769</v>
          </cell>
          <cell r="C4930" t="str">
            <v>FEBRERO</v>
          </cell>
          <cell r="D4930" t="str">
            <v>2017</v>
          </cell>
          <cell r="E4930">
            <v>979</v>
          </cell>
          <cell r="F4930" t="str">
            <v>D3P-730</v>
          </cell>
          <cell r="G4930" t="str">
            <v>TBM-980</v>
          </cell>
          <cell r="H4930" t="str">
            <v>LAS BAMBAS</v>
          </cell>
          <cell r="I4930">
            <v>112229</v>
          </cell>
          <cell r="J4930" t="str">
            <v>REPUESTO</v>
          </cell>
          <cell r="K4930" t="str">
            <v>MANDO DE LUCES DE DIRECCION</v>
          </cell>
          <cell r="L4930">
            <v>1</v>
          </cell>
          <cell r="M4930" t="str">
            <v>UNID.</v>
          </cell>
          <cell r="N4930" t="str">
            <v>TRACTO</v>
          </cell>
          <cell r="O4930">
            <v>0</v>
          </cell>
          <cell r="P4930" t="str">
            <v>E3</v>
          </cell>
          <cell r="Q4930" t="str">
            <v>J1</v>
          </cell>
          <cell r="R4930" t="str">
            <v>J6</v>
          </cell>
          <cell r="S4930" t="str">
            <v>ENTREGADO</v>
          </cell>
          <cell r="T4930">
            <v>42769</v>
          </cell>
          <cell r="U4930" t="str">
            <v>CONDORI CHURATA ALEX</v>
          </cell>
          <cell r="V4930" t="str">
            <v>FLOREZ CONDORI  JOSE WILLIANS</v>
          </cell>
        </row>
        <row r="4931">
          <cell r="A4931">
            <v>4930</v>
          </cell>
          <cell r="B4931">
            <v>42769</v>
          </cell>
          <cell r="C4931" t="str">
            <v>FEBRERO</v>
          </cell>
          <cell r="D4931" t="str">
            <v>2017</v>
          </cell>
          <cell r="E4931">
            <v>964</v>
          </cell>
          <cell r="F4931" t="str">
            <v>X2W-788</v>
          </cell>
          <cell r="G4931" t="str">
            <v>C5V-994</v>
          </cell>
          <cell r="H4931" t="str">
            <v>LAS BAMBAS</v>
          </cell>
          <cell r="I4931">
            <v>146919</v>
          </cell>
          <cell r="J4931" t="str">
            <v>REPUESTO</v>
          </cell>
          <cell r="K4931" t="str">
            <v>FOCO LAGRIMON DOBLE CONTACTO 12 V COLOR AMBAR</v>
          </cell>
          <cell r="L4931">
            <v>1</v>
          </cell>
          <cell r="M4931" t="str">
            <v>UNID.</v>
          </cell>
          <cell r="N4931" t="str">
            <v>TRACTO</v>
          </cell>
          <cell r="O4931">
            <v>0</v>
          </cell>
          <cell r="P4931" t="str">
            <v>E3</v>
          </cell>
          <cell r="Q4931" t="str">
            <v>J1</v>
          </cell>
          <cell r="R4931" t="str">
            <v>J6</v>
          </cell>
          <cell r="S4931" t="str">
            <v>ENTREGADO</v>
          </cell>
          <cell r="T4931">
            <v>42769</v>
          </cell>
          <cell r="U4931" t="str">
            <v>CONDORI CHURATA ALEX</v>
          </cell>
          <cell r="V4931" t="str">
            <v>FLOREZ CONDORI  JOSE WILLIANS</v>
          </cell>
        </row>
        <row r="4932">
          <cell r="A4932">
            <v>4931</v>
          </cell>
          <cell r="B4932">
            <v>42769</v>
          </cell>
          <cell r="C4932" t="str">
            <v>FEBRERO</v>
          </cell>
          <cell r="D4932" t="str">
            <v>2017</v>
          </cell>
          <cell r="E4932">
            <v>964</v>
          </cell>
          <cell r="F4932" t="str">
            <v>X2W-788</v>
          </cell>
          <cell r="G4932" t="str">
            <v>C5V-994</v>
          </cell>
          <cell r="H4932" t="str">
            <v>LAS BAMBAS</v>
          </cell>
          <cell r="I4932">
            <v>146919</v>
          </cell>
          <cell r="J4932" t="str">
            <v>REPUESTO</v>
          </cell>
          <cell r="K4932" t="str">
            <v>PRESINTOS 200</v>
          </cell>
          <cell r="L4932">
            <v>5</v>
          </cell>
          <cell r="M4932" t="str">
            <v>UNID.</v>
          </cell>
          <cell r="N4932" t="str">
            <v>TRACTO</v>
          </cell>
          <cell r="O4932">
            <v>0</v>
          </cell>
          <cell r="P4932" t="str">
            <v>E3</v>
          </cell>
          <cell r="Q4932" t="str">
            <v>J1</v>
          </cell>
          <cell r="R4932" t="str">
            <v>J6</v>
          </cell>
          <cell r="S4932" t="str">
            <v>ENTREGADO</v>
          </cell>
          <cell r="T4932">
            <v>42769</v>
          </cell>
          <cell r="U4932" t="str">
            <v>CONDORI CHURATA ALEX</v>
          </cell>
          <cell r="V4932" t="str">
            <v>FLOREZ CONDORI  JOSE WILLIANS</v>
          </cell>
        </row>
        <row r="4933">
          <cell r="A4933">
            <v>4932</v>
          </cell>
          <cell r="B4933">
            <v>42769</v>
          </cell>
          <cell r="C4933" t="str">
            <v>FEBRERO</v>
          </cell>
          <cell r="D4933" t="str">
            <v>2017</v>
          </cell>
          <cell r="E4933">
            <v>964</v>
          </cell>
          <cell r="F4933" t="str">
            <v>X2W-788</v>
          </cell>
          <cell r="G4933" t="str">
            <v>C5V-994</v>
          </cell>
          <cell r="H4933" t="str">
            <v>LAS BAMBAS</v>
          </cell>
          <cell r="I4933">
            <v>146919</v>
          </cell>
          <cell r="J4933" t="str">
            <v>REPUESTO</v>
          </cell>
          <cell r="K4933" t="str">
            <v>SOCKET DE DOBLE CONTACTO DE FOCO PIRATA</v>
          </cell>
          <cell r="L4933">
            <v>1</v>
          </cell>
          <cell r="M4933" t="str">
            <v>UNID.</v>
          </cell>
          <cell r="N4933" t="str">
            <v>TRACTO</v>
          </cell>
          <cell r="O4933">
            <v>0</v>
          </cell>
          <cell r="P4933" t="str">
            <v>E3</v>
          </cell>
          <cell r="Q4933" t="str">
            <v>J1</v>
          </cell>
          <cell r="R4933" t="str">
            <v>J6</v>
          </cell>
          <cell r="S4933" t="str">
            <v>ENTREGADO</v>
          </cell>
          <cell r="T4933">
            <v>42769</v>
          </cell>
          <cell r="U4933" t="str">
            <v>CONDORI CHURATA ALEX</v>
          </cell>
          <cell r="V4933" t="str">
            <v>FLOREZ CONDORI  JOSE WILLIANS</v>
          </cell>
        </row>
        <row r="4934">
          <cell r="A4934">
            <v>4933</v>
          </cell>
          <cell r="B4934">
            <v>42769</v>
          </cell>
          <cell r="C4934" t="str">
            <v>FEBRERO</v>
          </cell>
          <cell r="D4934" t="str">
            <v>2017</v>
          </cell>
          <cell r="E4934">
            <v>989</v>
          </cell>
          <cell r="F4934" t="str">
            <v>AAN-801</v>
          </cell>
          <cell r="G4934" t="str">
            <v>CAMIONETA</v>
          </cell>
          <cell r="H4934" t="str">
            <v>LAS BAMBAS</v>
          </cell>
          <cell r="I4934">
            <v>125106</v>
          </cell>
          <cell r="J4934" t="str">
            <v>REPUESTO</v>
          </cell>
          <cell r="K4934" t="str">
            <v>FOCO MEDIANO DE UN CONTACTO DE 12 V</v>
          </cell>
          <cell r="L4934">
            <v>1</v>
          </cell>
          <cell r="M4934" t="str">
            <v>UNID.</v>
          </cell>
          <cell r="N4934" t="str">
            <v>CAMIONETA</v>
          </cell>
          <cell r="O4934">
            <v>0</v>
          </cell>
          <cell r="P4934" t="str">
            <v>E2</v>
          </cell>
          <cell r="Q4934" t="str">
            <v>J1</v>
          </cell>
          <cell r="R4934" t="str">
            <v>J6</v>
          </cell>
          <cell r="S4934" t="str">
            <v>ENTREGADO</v>
          </cell>
          <cell r="T4934">
            <v>42769</v>
          </cell>
          <cell r="U4934" t="str">
            <v>YUCA BELLIDO BORIS YERSY</v>
          </cell>
          <cell r="V4934" t="str">
            <v>FLOREZ CONDORI  JOSE WILLIANS</v>
          </cell>
        </row>
        <row r="4935">
          <cell r="A4935">
            <v>4934</v>
          </cell>
          <cell r="B4935">
            <v>42769</v>
          </cell>
          <cell r="C4935" t="str">
            <v>FEBRERO</v>
          </cell>
          <cell r="D4935" t="str">
            <v>2017</v>
          </cell>
          <cell r="E4935">
            <v>989</v>
          </cell>
          <cell r="F4935" t="str">
            <v>AAN-801</v>
          </cell>
          <cell r="G4935" t="str">
            <v>CAMIONETA</v>
          </cell>
          <cell r="H4935" t="str">
            <v>LAS BAMBAS</v>
          </cell>
          <cell r="I4935">
            <v>125106</v>
          </cell>
          <cell r="J4935" t="str">
            <v>REPUESTO</v>
          </cell>
          <cell r="K4935" t="str">
            <v>PRESINTOS 200</v>
          </cell>
          <cell r="L4935">
            <v>20</v>
          </cell>
          <cell r="M4935" t="str">
            <v>UNID.</v>
          </cell>
          <cell r="N4935" t="str">
            <v>CAMIONETA</v>
          </cell>
          <cell r="O4935">
            <v>0</v>
          </cell>
          <cell r="P4935" t="str">
            <v>E2</v>
          </cell>
          <cell r="Q4935" t="str">
            <v>J1</v>
          </cell>
          <cell r="R4935" t="str">
            <v>J6</v>
          </cell>
          <cell r="S4935" t="str">
            <v>ENTREGADO</v>
          </cell>
          <cell r="T4935">
            <v>42769</v>
          </cell>
          <cell r="U4935" t="str">
            <v>YUCA BELLIDO BORIS YERSY</v>
          </cell>
          <cell r="V4935" t="str">
            <v>FLOREZ CONDORI  JOSE WILLIANS</v>
          </cell>
        </row>
        <row r="4936">
          <cell r="A4936">
            <v>4935</v>
          </cell>
          <cell r="B4936">
            <v>42769</v>
          </cell>
          <cell r="C4936" t="str">
            <v>FEBRERO</v>
          </cell>
          <cell r="D4936" t="str">
            <v>2017</v>
          </cell>
          <cell r="E4936">
            <v>202</v>
          </cell>
          <cell r="F4936" t="str">
            <v>D3P-752</v>
          </cell>
          <cell r="G4936" t="str">
            <v>C5Y-985</v>
          </cell>
          <cell r="H4936" t="str">
            <v>LAS BAMBAS</v>
          </cell>
          <cell r="I4936">
            <v>150504</v>
          </cell>
          <cell r="J4936" t="str">
            <v>REPUESTO</v>
          </cell>
          <cell r="K4936" t="str">
            <v>ELECTROVALVULA FAN CLUTCH (VENTILADOR)</v>
          </cell>
          <cell r="L4936">
            <v>1</v>
          </cell>
          <cell r="M4936" t="str">
            <v>UNID.</v>
          </cell>
          <cell r="N4936" t="str">
            <v>TRACTO</v>
          </cell>
          <cell r="O4936">
            <v>2</v>
          </cell>
          <cell r="P4936" t="str">
            <v>E2</v>
          </cell>
          <cell r="Q4936" t="str">
            <v>J1</v>
          </cell>
          <cell r="R4936" t="str">
            <v>J6</v>
          </cell>
          <cell r="S4936" t="str">
            <v>ENTREGADO</v>
          </cell>
          <cell r="T4936">
            <v>42771</v>
          </cell>
          <cell r="U4936" t="str">
            <v>YUCA BELLIDO BORIS YERSY</v>
          </cell>
          <cell r="V4936" t="str">
            <v>FLOREZ CONDORI  JOSE WILLIANS</v>
          </cell>
        </row>
        <row r="4937">
          <cell r="A4937">
            <v>4936</v>
          </cell>
          <cell r="B4937">
            <v>42769</v>
          </cell>
          <cell r="C4937" t="str">
            <v>FEBRERO</v>
          </cell>
          <cell r="D4937" t="str">
            <v>2017</v>
          </cell>
          <cell r="E4937">
            <v>985</v>
          </cell>
          <cell r="F4937" t="str">
            <v>AKW-894</v>
          </cell>
          <cell r="G4937" t="str">
            <v>TBN-978</v>
          </cell>
          <cell r="H4937" t="str">
            <v>LAS BAMBAS</v>
          </cell>
          <cell r="I4937">
            <v>48288</v>
          </cell>
          <cell r="J4937" t="str">
            <v>REPUESTO</v>
          </cell>
          <cell r="K4937" t="str">
            <v>PERNO 1/4 X 1</v>
          </cell>
          <cell r="L4937">
            <v>2</v>
          </cell>
          <cell r="M4937" t="str">
            <v>UNID.</v>
          </cell>
          <cell r="N4937" t="str">
            <v>TRACTO</v>
          </cell>
          <cell r="O4937">
            <v>0</v>
          </cell>
          <cell r="P4937" t="str">
            <v>M6</v>
          </cell>
          <cell r="Q4937" t="str">
            <v>J1</v>
          </cell>
          <cell r="R4937" t="str">
            <v>J6</v>
          </cell>
          <cell r="S4937" t="str">
            <v>ENTREGADO</v>
          </cell>
          <cell r="T4937">
            <v>42769</v>
          </cell>
          <cell r="U4937" t="str">
            <v>PARI VENTURA  EDSON ORLANDO</v>
          </cell>
          <cell r="V4937" t="str">
            <v>FLOREZ CONDORI  JOSE WILLIANS</v>
          </cell>
        </row>
        <row r="4938">
          <cell r="A4938">
            <v>4937</v>
          </cell>
          <cell r="B4938">
            <v>42769</v>
          </cell>
          <cell r="C4938" t="str">
            <v>FEBRERO</v>
          </cell>
          <cell r="D4938" t="str">
            <v>2017</v>
          </cell>
          <cell r="E4938">
            <v>985</v>
          </cell>
          <cell r="F4938" t="str">
            <v>AKW-894</v>
          </cell>
          <cell r="G4938" t="str">
            <v>TBN-978</v>
          </cell>
          <cell r="H4938" t="str">
            <v>LAS BAMBAS</v>
          </cell>
          <cell r="I4938">
            <v>48288</v>
          </cell>
          <cell r="J4938" t="str">
            <v>REPUESTO</v>
          </cell>
          <cell r="K4938" t="str">
            <v>ARANDELA PLANA 5/16</v>
          </cell>
          <cell r="L4938">
            <v>4</v>
          </cell>
          <cell r="M4938" t="str">
            <v>UNID.</v>
          </cell>
          <cell r="N4938" t="str">
            <v>TRACTO</v>
          </cell>
          <cell r="O4938">
            <v>0</v>
          </cell>
          <cell r="P4938" t="str">
            <v>M6</v>
          </cell>
          <cell r="Q4938" t="str">
            <v>J1</v>
          </cell>
          <cell r="R4938" t="str">
            <v>J6</v>
          </cell>
          <cell r="S4938" t="str">
            <v>ENTREGADO</v>
          </cell>
          <cell r="T4938">
            <v>42769</v>
          </cell>
          <cell r="U4938" t="str">
            <v>PARI VENTURA  EDSON ORLANDO</v>
          </cell>
          <cell r="V4938" t="str">
            <v>FLOREZ CONDORI  JOSE WILLIANS</v>
          </cell>
        </row>
        <row r="4939">
          <cell r="A4939">
            <v>4938</v>
          </cell>
          <cell r="B4939">
            <v>42769</v>
          </cell>
          <cell r="C4939" t="str">
            <v>FEBRERO</v>
          </cell>
          <cell r="D4939" t="str">
            <v>2017</v>
          </cell>
          <cell r="E4939">
            <v>985</v>
          </cell>
          <cell r="F4939" t="str">
            <v>AKW-894</v>
          </cell>
          <cell r="G4939" t="str">
            <v>TBN-978</v>
          </cell>
          <cell r="H4939" t="str">
            <v>LAS BAMBAS</v>
          </cell>
          <cell r="I4939">
            <v>48288</v>
          </cell>
          <cell r="J4939" t="str">
            <v>REPUESTO</v>
          </cell>
          <cell r="K4939" t="str">
            <v>TUERCA SEGURO 1/4</v>
          </cell>
          <cell r="L4939">
            <v>2</v>
          </cell>
          <cell r="M4939" t="str">
            <v>UNID.</v>
          </cell>
          <cell r="N4939" t="str">
            <v>TRACTO</v>
          </cell>
          <cell r="O4939">
            <v>0</v>
          </cell>
          <cell r="P4939" t="str">
            <v>M6</v>
          </cell>
          <cell r="Q4939" t="str">
            <v>J1</v>
          </cell>
          <cell r="R4939" t="str">
            <v>J6</v>
          </cell>
          <cell r="S4939" t="str">
            <v>ENTREGADO</v>
          </cell>
          <cell r="T4939">
            <v>42769</v>
          </cell>
          <cell r="U4939" t="str">
            <v>PARI VENTURA  EDSON ORLANDO</v>
          </cell>
          <cell r="V4939" t="str">
            <v>FLOREZ CONDORI  JOSE WILLIANS</v>
          </cell>
        </row>
        <row r="4940">
          <cell r="A4940">
            <v>4939</v>
          </cell>
          <cell r="B4940">
            <v>42769</v>
          </cell>
          <cell r="C4940" t="str">
            <v>FEBRERO</v>
          </cell>
          <cell r="D4940" t="str">
            <v>2017</v>
          </cell>
          <cell r="E4940">
            <v>985</v>
          </cell>
          <cell r="F4940" t="str">
            <v>AKW-894</v>
          </cell>
          <cell r="G4940" t="str">
            <v>TBN-978</v>
          </cell>
          <cell r="H4940" t="str">
            <v>LAS BAMBAS</v>
          </cell>
          <cell r="I4940">
            <v>48288</v>
          </cell>
          <cell r="J4940" t="str">
            <v>REPUESTO</v>
          </cell>
          <cell r="K4940" t="str">
            <v>PERNO 3/8 X 1</v>
          </cell>
          <cell r="L4940">
            <v>3</v>
          </cell>
          <cell r="M4940" t="str">
            <v>UNID.</v>
          </cell>
          <cell r="N4940" t="str">
            <v>TRACTO</v>
          </cell>
          <cell r="O4940">
            <v>0</v>
          </cell>
          <cell r="P4940" t="str">
            <v>M6</v>
          </cell>
          <cell r="Q4940" t="str">
            <v>J1</v>
          </cell>
          <cell r="R4940" t="str">
            <v>J6</v>
          </cell>
          <cell r="S4940" t="str">
            <v>ENTREGADO</v>
          </cell>
          <cell r="T4940">
            <v>42769</v>
          </cell>
          <cell r="U4940" t="str">
            <v>PARI VENTURA  EDSON ORLANDO</v>
          </cell>
          <cell r="V4940" t="str">
            <v>FLOREZ CONDORI  JOSE WILLIANS</v>
          </cell>
        </row>
        <row r="4941">
          <cell r="A4941">
            <v>4940</v>
          </cell>
          <cell r="B4941">
            <v>42769</v>
          </cell>
          <cell r="C4941" t="str">
            <v>FEBRERO</v>
          </cell>
          <cell r="D4941" t="str">
            <v>2017</v>
          </cell>
          <cell r="E4941">
            <v>985</v>
          </cell>
          <cell r="F4941" t="str">
            <v>AKW-894</v>
          </cell>
          <cell r="G4941" t="str">
            <v>TBN-978</v>
          </cell>
          <cell r="H4941" t="str">
            <v>LAS BAMBAS</v>
          </cell>
          <cell r="I4941">
            <v>48288</v>
          </cell>
          <cell r="J4941" t="str">
            <v>REPUESTO</v>
          </cell>
          <cell r="K4941" t="str">
            <v>TUERCA SEGURO 3/8</v>
          </cell>
          <cell r="L4941">
            <v>3</v>
          </cell>
          <cell r="M4941" t="str">
            <v>UNID.</v>
          </cell>
          <cell r="N4941" t="str">
            <v>TRACTO</v>
          </cell>
          <cell r="O4941">
            <v>0</v>
          </cell>
          <cell r="P4941" t="str">
            <v>M6</v>
          </cell>
          <cell r="Q4941" t="str">
            <v>J1</v>
          </cell>
          <cell r="R4941" t="str">
            <v>J6</v>
          </cell>
          <cell r="S4941" t="str">
            <v>ENTREGADO</v>
          </cell>
          <cell r="T4941">
            <v>42769</v>
          </cell>
          <cell r="U4941" t="str">
            <v>PARI VENTURA  EDSON ORLANDO</v>
          </cell>
          <cell r="V4941" t="str">
            <v>FLOREZ CONDORI  JOSE WILLIANS</v>
          </cell>
        </row>
        <row r="4942">
          <cell r="A4942">
            <v>4941</v>
          </cell>
          <cell r="B4942">
            <v>42769</v>
          </cell>
          <cell r="C4942" t="str">
            <v>FEBRERO</v>
          </cell>
          <cell r="D4942" t="str">
            <v>2017</v>
          </cell>
          <cell r="E4942">
            <v>985</v>
          </cell>
          <cell r="F4942" t="str">
            <v>AKW-894</v>
          </cell>
          <cell r="G4942" t="str">
            <v>TBN-978</v>
          </cell>
          <cell r="H4942" t="str">
            <v>LAS BAMBAS</v>
          </cell>
          <cell r="I4942">
            <v>48288</v>
          </cell>
          <cell r="J4942" t="str">
            <v>REPUESTO</v>
          </cell>
          <cell r="K4942" t="str">
            <v>ARANDELA PLANA 3/8</v>
          </cell>
          <cell r="L4942">
            <v>3</v>
          </cell>
          <cell r="M4942" t="str">
            <v>UNID.</v>
          </cell>
          <cell r="N4942" t="str">
            <v>TRACTO</v>
          </cell>
          <cell r="O4942">
            <v>0</v>
          </cell>
          <cell r="P4942" t="str">
            <v>M6</v>
          </cell>
          <cell r="Q4942" t="str">
            <v>J1</v>
          </cell>
          <cell r="R4942" t="str">
            <v>J6</v>
          </cell>
          <cell r="S4942" t="str">
            <v>ENTREGADO</v>
          </cell>
          <cell r="T4942">
            <v>42769</v>
          </cell>
          <cell r="U4942" t="str">
            <v>PARI VENTURA  EDSON ORLANDO</v>
          </cell>
          <cell r="V4942" t="str">
            <v>FLOREZ CONDORI  JOSE WILLIANS</v>
          </cell>
        </row>
        <row r="4943">
          <cell r="A4943">
            <v>4942</v>
          </cell>
          <cell r="B4943">
            <v>42769</v>
          </cell>
          <cell r="C4943" t="str">
            <v>FEBRERO</v>
          </cell>
          <cell r="D4943" t="str">
            <v>2017</v>
          </cell>
          <cell r="E4943">
            <v>990</v>
          </cell>
          <cell r="F4943" t="str">
            <v>D6F-903</v>
          </cell>
          <cell r="G4943" t="str">
            <v>B8K-997</v>
          </cell>
          <cell r="H4943" t="str">
            <v>LAS BAMBAS</v>
          </cell>
          <cell r="I4943">
            <v>606674</v>
          </cell>
          <cell r="J4943" t="str">
            <v>REPUESTO</v>
          </cell>
          <cell r="K4943" t="str">
            <v>PERNO 1/4 X 1</v>
          </cell>
          <cell r="L4943">
            <v>2</v>
          </cell>
          <cell r="M4943" t="str">
            <v>UNID.</v>
          </cell>
          <cell r="N4943" t="str">
            <v>TRACTO</v>
          </cell>
          <cell r="O4943">
            <v>0</v>
          </cell>
          <cell r="P4943" t="str">
            <v>E3</v>
          </cell>
          <cell r="Q4943" t="str">
            <v>J1</v>
          </cell>
          <cell r="R4943" t="str">
            <v>J6</v>
          </cell>
          <cell r="S4943" t="str">
            <v>ENTREGADO</v>
          </cell>
          <cell r="T4943">
            <v>42769</v>
          </cell>
          <cell r="U4943" t="str">
            <v>CONDORI CHURATA ALEX</v>
          </cell>
          <cell r="V4943" t="str">
            <v>FLOREZ CONDORI  JOSE WILLIANS</v>
          </cell>
        </row>
        <row r="4944">
          <cell r="A4944">
            <v>4943</v>
          </cell>
          <cell r="B4944">
            <v>42769</v>
          </cell>
          <cell r="C4944" t="str">
            <v>FEBRERO</v>
          </cell>
          <cell r="D4944" t="str">
            <v>2017</v>
          </cell>
          <cell r="E4944">
            <v>990</v>
          </cell>
          <cell r="F4944" t="str">
            <v>D6F-903</v>
          </cell>
          <cell r="G4944" t="str">
            <v>B8K-997</v>
          </cell>
          <cell r="H4944" t="str">
            <v>LAS BAMBAS</v>
          </cell>
          <cell r="I4944">
            <v>606674</v>
          </cell>
          <cell r="J4944" t="str">
            <v>REPUESTO</v>
          </cell>
          <cell r="K4944" t="str">
            <v>ARANDELA PLANA 1/4</v>
          </cell>
          <cell r="L4944">
            <v>2</v>
          </cell>
          <cell r="M4944" t="str">
            <v>UNID.</v>
          </cell>
          <cell r="N4944" t="str">
            <v>TRACTO</v>
          </cell>
          <cell r="O4944">
            <v>0</v>
          </cell>
          <cell r="P4944" t="str">
            <v>E3</v>
          </cell>
          <cell r="Q4944" t="str">
            <v>J1</v>
          </cell>
          <cell r="R4944" t="str">
            <v>J6</v>
          </cell>
          <cell r="S4944" t="str">
            <v>ENTREGADO</v>
          </cell>
          <cell r="T4944">
            <v>42769</v>
          </cell>
          <cell r="U4944" t="str">
            <v>CONDORI CHURATA ALEX</v>
          </cell>
          <cell r="V4944" t="str">
            <v>FLOREZ CONDORI  JOSE WILLIANS</v>
          </cell>
        </row>
        <row r="4945">
          <cell r="A4945">
            <v>4944</v>
          </cell>
          <cell r="B4945">
            <v>42769</v>
          </cell>
          <cell r="C4945" t="str">
            <v>FEBRERO</v>
          </cell>
          <cell r="D4945" t="str">
            <v>2017</v>
          </cell>
          <cell r="E4945">
            <v>990</v>
          </cell>
          <cell r="F4945" t="str">
            <v>D6F-903</v>
          </cell>
          <cell r="G4945" t="str">
            <v>B8K-997</v>
          </cell>
          <cell r="H4945" t="str">
            <v>LAS BAMBAS</v>
          </cell>
          <cell r="I4945">
            <v>606674</v>
          </cell>
          <cell r="J4945" t="str">
            <v>REPUESTO</v>
          </cell>
          <cell r="K4945" t="str">
            <v>TUERCA SEGURO 1/4</v>
          </cell>
          <cell r="L4945">
            <v>2</v>
          </cell>
          <cell r="M4945" t="str">
            <v>UNID.</v>
          </cell>
          <cell r="N4945" t="str">
            <v>TRACTO</v>
          </cell>
          <cell r="O4945">
            <v>0</v>
          </cell>
          <cell r="P4945" t="str">
            <v>E3</v>
          </cell>
          <cell r="Q4945" t="str">
            <v>J1</v>
          </cell>
          <cell r="R4945" t="str">
            <v>J6</v>
          </cell>
          <cell r="S4945" t="str">
            <v>ENTREGADO</v>
          </cell>
          <cell r="T4945">
            <v>42769</v>
          </cell>
          <cell r="U4945" t="str">
            <v>CONDORI CHURATA ALEX</v>
          </cell>
          <cell r="V4945" t="str">
            <v>FLOREZ CONDORI  JOSE WILLIANS</v>
          </cell>
        </row>
        <row r="4946">
          <cell r="A4946">
            <v>4945</v>
          </cell>
          <cell r="B4946">
            <v>42769</v>
          </cell>
          <cell r="C4946" t="str">
            <v>FEBRERO</v>
          </cell>
          <cell r="D4946" t="str">
            <v>2017</v>
          </cell>
          <cell r="E4946">
            <v>984</v>
          </cell>
          <cell r="F4946" t="str">
            <v>C5R-895</v>
          </cell>
          <cell r="G4946" t="str">
            <v>TBL-976</v>
          </cell>
          <cell r="H4946" t="str">
            <v>LAS BAMBAS</v>
          </cell>
          <cell r="I4946">
            <v>176811</v>
          </cell>
          <cell r="J4946" t="str">
            <v>REPUESTO</v>
          </cell>
          <cell r="K4946" t="str">
            <v>REFRIGERANTE</v>
          </cell>
          <cell r="L4946">
            <v>10</v>
          </cell>
          <cell r="M4946" t="str">
            <v>GLNS.</v>
          </cell>
          <cell r="N4946" t="str">
            <v>TRACTO</v>
          </cell>
          <cell r="O4946">
            <v>0</v>
          </cell>
          <cell r="P4946" t="str">
            <v>M1</v>
          </cell>
          <cell r="Q4946" t="str">
            <v>J1</v>
          </cell>
          <cell r="R4946" t="str">
            <v>J6</v>
          </cell>
          <cell r="S4946" t="str">
            <v>ENTREGADO</v>
          </cell>
          <cell r="T4946">
            <v>42769</v>
          </cell>
          <cell r="U4946" t="str">
            <v>CABEZAS SANCHEZ JEAN JHONATAN</v>
          </cell>
          <cell r="V4946" t="str">
            <v>FLOREZ CONDORI  JOSE WILLIANS</v>
          </cell>
        </row>
        <row r="4947">
          <cell r="A4947">
            <v>4946</v>
          </cell>
          <cell r="B4947">
            <v>42769</v>
          </cell>
          <cell r="C4947" t="str">
            <v>FEBRERO</v>
          </cell>
          <cell r="D4947" t="str">
            <v>2017</v>
          </cell>
          <cell r="E4947">
            <v>990</v>
          </cell>
          <cell r="F4947" t="str">
            <v>D6F-903</v>
          </cell>
          <cell r="G4947" t="str">
            <v>B8K-997</v>
          </cell>
          <cell r="H4947" t="str">
            <v>LAS BAMBAS</v>
          </cell>
          <cell r="I4947">
            <v>606674</v>
          </cell>
          <cell r="J4947" t="str">
            <v>SERVICIO</v>
          </cell>
          <cell r="K4947" t="str">
            <v>SERVICIO DE REPARACION DE PETETE</v>
          </cell>
          <cell r="L4947">
            <v>1</v>
          </cell>
          <cell r="M4947" t="str">
            <v>UNID.</v>
          </cell>
          <cell r="N4947" t="str">
            <v>TRACTO</v>
          </cell>
          <cell r="O4947">
            <v>1</v>
          </cell>
          <cell r="P4947" t="str">
            <v>E2</v>
          </cell>
          <cell r="Q4947" t="str">
            <v>J1</v>
          </cell>
          <cell r="R4947" t="str">
            <v>J6</v>
          </cell>
          <cell r="S4947" t="str">
            <v>ENTREGADO</v>
          </cell>
          <cell r="T4947">
            <v>42770</v>
          </cell>
          <cell r="U4947" t="str">
            <v>YUCA BELLIDO BORIS YERSY</v>
          </cell>
          <cell r="V4947" t="str">
            <v>FLOREZ CONDORI  JOSE WILLIANS</v>
          </cell>
        </row>
        <row r="4948">
          <cell r="A4948">
            <v>4947</v>
          </cell>
          <cell r="B4948">
            <v>42769</v>
          </cell>
          <cell r="C4948" t="str">
            <v>FEBRERO</v>
          </cell>
          <cell r="D4948" t="str">
            <v>2017</v>
          </cell>
          <cell r="E4948">
            <v>966</v>
          </cell>
          <cell r="F4948" t="str">
            <v>X2W-765</v>
          </cell>
          <cell r="G4948" t="str">
            <v>C5V-993</v>
          </cell>
          <cell r="H4948" t="str">
            <v>LAS BAMBAS</v>
          </cell>
          <cell r="I4948">
            <v>164235</v>
          </cell>
          <cell r="J4948" t="str">
            <v>REPUESTO</v>
          </cell>
          <cell r="K4948" t="str">
            <v>PERNO 3/8 X 1</v>
          </cell>
          <cell r="L4948">
            <v>4</v>
          </cell>
          <cell r="M4948" t="str">
            <v>UNID.</v>
          </cell>
          <cell r="N4948" t="str">
            <v>CISTERNA</v>
          </cell>
          <cell r="O4948">
            <v>0</v>
          </cell>
          <cell r="P4948" t="str">
            <v>E3</v>
          </cell>
          <cell r="Q4948" t="str">
            <v>J1</v>
          </cell>
          <cell r="R4948" t="str">
            <v>J6</v>
          </cell>
          <cell r="S4948" t="str">
            <v>ENTREGADO</v>
          </cell>
          <cell r="T4948">
            <v>42769</v>
          </cell>
          <cell r="U4948" t="str">
            <v>CONDORI CHURATA ALEX</v>
          </cell>
          <cell r="V4948" t="str">
            <v>FLOREZ CONDORI  JOSE WILLIANS</v>
          </cell>
        </row>
        <row r="4949">
          <cell r="A4949">
            <v>4948</v>
          </cell>
          <cell r="B4949">
            <v>42769</v>
          </cell>
          <cell r="C4949" t="str">
            <v>FEBRERO</v>
          </cell>
          <cell r="D4949" t="str">
            <v>2017</v>
          </cell>
          <cell r="E4949">
            <v>966</v>
          </cell>
          <cell r="F4949" t="str">
            <v>X2W-765</v>
          </cell>
          <cell r="G4949" t="str">
            <v>C5V-993</v>
          </cell>
          <cell r="H4949" t="str">
            <v>LAS BAMBAS</v>
          </cell>
          <cell r="I4949">
            <v>164235</v>
          </cell>
          <cell r="J4949" t="str">
            <v>REPUESTO</v>
          </cell>
          <cell r="K4949" t="str">
            <v>TUERCA SEGURA 3/8</v>
          </cell>
          <cell r="L4949">
            <v>4</v>
          </cell>
          <cell r="M4949" t="str">
            <v>UNID.</v>
          </cell>
          <cell r="N4949" t="str">
            <v>CISTERNA</v>
          </cell>
          <cell r="O4949">
            <v>0</v>
          </cell>
          <cell r="P4949" t="str">
            <v>E3</v>
          </cell>
          <cell r="Q4949" t="str">
            <v>J1</v>
          </cell>
          <cell r="R4949" t="str">
            <v>J6</v>
          </cell>
          <cell r="S4949" t="str">
            <v>ENTREGADO</v>
          </cell>
          <cell r="T4949">
            <v>42769</v>
          </cell>
          <cell r="U4949" t="str">
            <v>CONDORI CHURATA ALEX</v>
          </cell>
          <cell r="V4949" t="str">
            <v>FLOREZ CONDORI  JOSE WILLIANS</v>
          </cell>
        </row>
        <row r="4950">
          <cell r="A4950">
            <v>4949</v>
          </cell>
          <cell r="B4950">
            <v>42769</v>
          </cell>
          <cell r="C4950" t="str">
            <v>FEBRERO</v>
          </cell>
          <cell r="D4950" t="str">
            <v>2017</v>
          </cell>
          <cell r="E4950">
            <v>966</v>
          </cell>
          <cell r="F4950" t="str">
            <v>X2W-765</v>
          </cell>
          <cell r="G4950" t="str">
            <v>C5V-993</v>
          </cell>
          <cell r="H4950" t="str">
            <v>LAS BAMBAS</v>
          </cell>
          <cell r="I4950">
            <v>164235</v>
          </cell>
          <cell r="J4950" t="str">
            <v>REPUESTO</v>
          </cell>
          <cell r="K4950" t="str">
            <v>ARANDELA PLANA 3/8</v>
          </cell>
          <cell r="L4950">
            <v>8</v>
          </cell>
          <cell r="M4950" t="str">
            <v>UNID.</v>
          </cell>
          <cell r="N4950" t="str">
            <v>CISTERNA</v>
          </cell>
          <cell r="O4950">
            <v>0</v>
          </cell>
          <cell r="P4950" t="str">
            <v>E3</v>
          </cell>
          <cell r="Q4950" t="str">
            <v>J1</v>
          </cell>
          <cell r="R4950" t="str">
            <v>J6</v>
          </cell>
          <cell r="S4950" t="str">
            <v>ENTREGADO</v>
          </cell>
          <cell r="T4950">
            <v>42769</v>
          </cell>
          <cell r="U4950" t="str">
            <v>CONDORI CHURATA ALEX</v>
          </cell>
          <cell r="V4950" t="str">
            <v>FLOREZ CONDORI  JOSE WILLIANS</v>
          </cell>
        </row>
        <row r="4951">
          <cell r="A4951">
            <v>4950</v>
          </cell>
          <cell r="B4951">
            <v>42769</v>
          </cell>
          <cell r="C4951" t="str">
            <v>FEBRERO</v>
          </cell>
          <cell r="D4951" t="str">
            <v>2017</v>
          </cell>
          <cell r="E4951">
            <v>987</v>
          </cell>
          <cell r="F4951" t="str">
            <v>D3O-745</v>
          </cell>
          <cell r="G4951" t="str">
            <v>F3L-979</v>
          </cell>
          <cell r="H4951" t="str">
            <v>LAS BAMBAS</v>
          </cell>
          <cell r="I4951">
            <v>167094</v>
          </cell>
          <cell r="J4951" t="str">
            <v>REPUESTO</v>
          </cell>
          <cell r="K4951" t="str">
            <v>DISCO DE TORNAMESA</v>
          </cell>
          <cell r="L4951">
            <v>1</v>
          </cell>
          <cell r="M4951" t="str">
            <v>UNID.</v>
          </cell>
          <cell r="N4951" t="str">
            <v>CISTERNA</v>
          </cell>
          <cell r="O4951">
            <v>0</v>
          </cell>
          <cell r="P4951" t="str">
            <v>M2</v>
          </cell>
          <cell r="Q4951" t="str">
            <v>J1</v>
          </cell>
          <cell r="R4951" t="str">
            <v>J6</v>
          </cell>
          <cell r="S4951" t="str">
            <v>ENTREGADO</v>
          </cell>
          <cell r="T4951">
            <v>42769</v>
          </cell>
          <cell r="U4951" t="str">
            <v>CHUMPITAZ GAGO JULIO ENRIQUE</v>
          </cell>
          <cell r="V4951" t="str">
            <v>FLOREZ CONDORI  JOSE WILLIANS</v>
          </cell>
        </row>
        <row r="4952">
          <cell r="A4952">
            <v>4951</v>
          </cell>
          <cell r="B4952">
            <v>42769</v>
          </cell>
          <cell r="C4952" t="str">
            <v>FEBRERO</v>
          </cell>
          <cell r="D4952" t="str">
            <v>2017</v>
          </cell>
          <cell r="E4952">
            <v>987</v>
          </cell>
          <cell r="F4952" t="str">
            <v>D3O-745</v>
          </cell>
          <cell r="G4952" t="str">
            <v>F3L-979</v>
          </cell>
          <cell r="H4952" t="str">
            <v>LAS BAMBAS</v>
          </cell>
          <cell r="I4952">
            <v>167094</v>
          </cell>
          <cell r="J4952" t="str">
            <v>REPUESTO</v>
          </cell>
          <cell r="K4952" t="str">
            <v>SEGURO DE TORNAMESA</v>
          </cell>
          <cell r="L4952">
            <v>1</v>
          </cell>
          <cell r="M4952" t="str">
            <v>UNID.</v>
          </cell>
          <cell r="N4952" t="str">
            <v>CISTERNA</v>
          </cell>
          <cell r="O4952">
            <v>0</v>
          </cell>
          <cell r="P4952" t="str">
            <v>M2</v>
          </cell>
          <cell r="Q4952" t="str">
            <v>J1</v>
          </cell>
          <cell r="R4952" t="str">
            <v>J6</v>
          </cell>
          <cell r="S4952" t="str">
            <v>ENTREGADO</v>
          </cell>
          <cell r="T4952">
            <v>42769</v>
          </cell>
          <cell r="U4952" t="str">
            <v>CHUMPITAZ GAGO JULIO ENRIQUE</v>
          </cell>
          <cell r="V4952" t="str">
            <v>FLOREZ CONDORI  JOSE WILLIANS</v>
          </cell>
        </row>
        <row r="4953">
          <cell r="A4953">
            <v>4952</v>
          </cell>
          <cell r="B4953">
            <v>42769</v>
          </cell>
          <cell r="C4953" t="str">
            <v>FEBRERO</v>
          </cell>
          <cell r="D4953" t="str">
            <v>2017</v>
          </cell>
          <cell r="E4953">
            <v>987</v>
          </cell>
          <cell r="F4953" t="str">
            <v>D3O-745</v>
          </cell>
          <cell r="G4953" t="str">
            <v>F3L-979</v>
          </cell>
          <cell r="H4953" t="str">
            <v>LAS BAMBAS</v>
          </cell>
          <cell r="I4953">
            <v>167094</v>
          </cell>
          <cell r="J4953" t="str">
            <v>REPUESTO</v>
          </cell>
          <cell r="K4953" t="str">
            <v>LLANTAS REENCAUCHADAS</v>
          </cell>
          <cell r="L4953">
            <v>3</v>
          </cell>
          <cell r="M4953" t="str">
            <v>UNID.</v>
          </cell>
          <cell r="N4953" t="str">
            <v>CISTERNA</v>
          </cell>
          <cell r="O4953">
            <v>0</v>
          </cell>
          <cell r="P4953" t="str">
            <v>N1</v>
          </cell>
          <cell r="Q4953" t="str">
            <v>J1</v>
          </cell>
          <cell r="R4953" t="str">
            <v>J6</v>
          </cell>
          <cell r="S4953" t="str">
            <v>ENTREGADO</v>
          </cell>
          <cell r="T4953">
            <v>42769</v>
          </cell>
          <cell r="U4953" t="str">
            <v>AGUILAR CCANTUTA WILLY</v>
          </cell>
          <cell r="V4953" t="str">
            <v>FLOREZ CONDORI  JOSE WILLIANS</v>
          </cell>
        </row>
        <row r="4954">
          <cell r="A4954">
            <v>4953</v>
          </cell>
          <cell r="B4954">
            <v>42769</v>
          </cell>
          <cell r="C4954" t="str">
            <v>FEBRERO</v>
          </cell>
          <cell r="D4954" t="str">
            <v>2017</v>
          </cell>
          <cell r="E4954">
            <v>200</v>
          </cell>
          <cell r="F4954" t="str">
            <v>TALLER</v>
          </cell>
          <cell r="G4954" t="str">
            <v>TALLER</v>
          </cell>
          <cell r="H4954" t="str">
            <v>TALLER</v>
          </cell>
          <cell r="I4954" t="str">
            <v>TALLER</v>
          </cell>
          <cell r="J4954" t="str">
            <v>INSUMO TALLER</v>
          </cell>
          <cell r="K4954" t="str">
            <v>TRAPOS SUELTOS</v>
          </cell>
          <cell r="L4954">
            <v>1</v>
          </cell>
          <cell r="M4954" t="str">
            <v>KG.</v>
          </cell>
          <cell r="N4954" t="str">
            <v>TALLER</v>
          </cell>
          <cell r="O4954">
            <v>0</v>
          </cell>
          <cell r="P4954" t="str">
            <v>J6</v>
          </cell>
          <cell r="Q4954" t="str">
            <v>J6</v>
          </cell>
          <cell r="R4954" t="str">
            <v>J6</v>
          </cell>
          <cell r="S4954" t="str">
            <v>ENTREGADO</v>
          </cell>
          <cell r="T4954">
            <v>42769</v>
          </cell>
          <cell r="U4954" t="str">
            <v>VILLANUEVA BEJAR  YHORDAN MICHEL</v>
          </cell>
          <cell r="V4954" t="str">
            <v>VILLANUEVA BEJAR  YHORDAN MICHEL</v>
          </cell>
        </row>
        <row r="4955">
          <cell r="A4955">
            <v>4954</v>
          </cell>
          <cell r="B4955">
            <v>42770</v>
          </cell>
          <cell r="C4955" t="str">
            <v>FEBRERO</v>
          </cell>
          <cell r="D4955" t="str">
            <v>2017</v>
          </cell>
          <cell r="E4955">
            <v>984</v>
          </cell>
          <cell r="F4955" t="str">
            <v>C5R-895</v>
          </cell>
          <cell r="G4955" t="str">
            <v>TBL-976</v>
          </cell>
          <cell r="H4955" t="str">
            <v>LAS BAMBAS</v>
          </cell>
          <cell r="I4955">
            <v>176811</v>
          </cell>
          <cell r="J4955" t="str">
            <v>REPUESTO</v>
          </cell>
          <cell r="K4955" t="str">
            <v>LIQUIDO REFRIGERANTE</v>
          </cell>
          <cell r="L4955">
            <v>1</v>
          </cell>
          <cell r="M4955" t="str">
            <v>GLNS.</v>
          </cell>
          <cell r="N4955" t="str">
            <v>TRACTO</v>
          </cell>
          <cell r="O4955">
            <v>-1</v>
          </cell>
          <cell r="P4955" t="str">
            <v>J5</v>
          </cell>
          <cell r="Q4955" t="str">
            <v>J7</v>
          </cell>
          <cell r="R4955" t="str">
            <v>J5</v>
          </cell>
          <cell r="S4955" t="str">
            <v>ENTREGADO</v>
          </cell>
          <cell r="T4955">
            <v>42769</v>
          </cell>
          <cell r="U4955" t="str">
            <v>CONZA HUALLA NOELIA</v>
          </cell>
          <cell r="V4955" t="str">
            <v>DONAYRE INGA PEDRO</v>
          </cell>
        </row>
        <row r="4956">
          <cell r="A4956">
            <v>4955</v>
          </cell>
          <cell r="B4956">
            <v>42771</v>
          </cell>
          <cell r="C4956" t="str">
            <v>FEBRERO</v>
          </cell>
          <cell r="D4956" t="str">
            <v>2017</v>
          </cell>
          <cell r="E4956">
            <v>975</v>
          </cell>
          <cell r="F4956" t="str">
            <v>C9M-902</v>
          </cell>
          <cell r="G4956" t="str">
            <v>B8L-970</v>
          </cell>
          <cell r="H4956" t="str">
            <v>LAS BAMBAS</v>
          </cell>
          <cell r="I4956">
            <v>216482</v>
          </cell>
          <cell r="J4956" t="str">
            <v>REPUESTO</v>
          </cell>
          <cell r="K4956" t="str">
            <v>FARO NEBLINERO</v>
          </cell>
          <cell r="L4956">
            <v>1</v>
          </cell>
          <cell r="M4956" t="str">
            <v>UNID.</v>
          </cell>
          <cell r="N4956" t="str">
            <v>TRACTO</v>
          </cell>
          <cell r="O4956">
            <v>0</v>
          </cell>
          <cell r="P4956" t="str">
            <v>E3</v>
          </cell>
          <cell r="Q4956" t="str">
            <v>J1</v>
          </cell>
          <cell r="R4956" t="str">
            <v>J8</v>
          </cell>
          <cell r="S4956" t="str">
            <v>ENTREGADO</v>
          </cell>
          <cell r="T4956">
            <v>42771</v>
          </cell>
          <cell r="U4956" t="str">
            <v>CONDORI CHURATA ALEX</v>
          </cell>
          <cell r="V4956" t="str">
            <v>FLOREZ CONDORI  JOSE WILLIANS</v>
          </cell>
        </row>
        <row r="4957">
          <cell r="A4957">
            <v>4956</v>
          </cell>
          <cell r="B4957">
            <v>42771</v>
          </cell>
          <cell r="C4957" t="str">
            <v>FEBRERO</v>
          </cell>
          <cell r="D4957" t="str">
            <v>2017</v>
          </cell>
          <cell r="E4957">
            <v>982</v>
          </cell>
          <cell r="F4957" t="str">
            <v>B2L-889</v>
          </cell>
          <cell r="G4957" t="str">
            <v>CAMION</v>
          </cell>
          <cell r="H4957" t="str">
            <v>TAMBOMAYO</v>
          </cell>
          <cell r="I4957">
            <v>125988</v>
          </cell>
          <cell r="J4957" t="str">
            <v>REPUESTO</v>
          </cell>
          <cell r="K4957" t="str">
            <v>DADO 17 ESTRELLADO</v>
          </cell>
          <cell r="L4957">
            <v>1</v>
          </cell>
          <cell r="M4957" t="str">
            <v>UNID.</v>
          </cell>
          <cell r="N4957" t="str">
            <v>TRACTO</v>
          </cell>
          <cell r="O4957">
            <v>0</v>
          </cell>
          <cell r="P4957" t="str">
            <v>M2</v>
          </cell>
          <cell r="Q4957" t="str">
            <v>J1</v>
          </cell>
          <cell r="R4957" t="str">
            <v>J8</v>
          </cell>
          <cell r="S4957" t="str">
            <v>ENTREGADO</v>
          </cell>
          <cell r="T4957">
            <v>42771</v>
          </cell>
          <cell r="U4957" t="str">
            <v>CHUMPITAZ GAGO JULIO ENRIQUE</v>
          </cell>
          <cell r="V4957" t="str">
            <v>FLOREZ CONDORI  JOSE WILLIANS</v>
          </cell>
        </row>
        <row r="4958">
          <cell r="A4958">
            <v>4957</v>
          </cell>
          <cell r="B4958">
            <v>42771</v>
          </cell>
          <cell r="C4958" t="str">
            <v>FEBRERO</v>
          </cell>
          <cell r="D4958" t="str">
            <v>2017</v>
          </cell>
          <cell r="E4958">
            <v>200</v>
          </cell>
          <cell r="F4958" t="str">
            <v>TALLER</v>
          </cell>
          <cell r="G4958" t="str">
            <v>TALLER</v>
          </cell>
          <cell r="H4958" t="str">
            <v>TALLER</v>
          </cell>
          <cell r="I4958" t="str">
            <v>TALLER</v>
          </cell>
          <cell r="J4958" t="str">
            <v>REPUESTO</v>
          </cell>
          <cell r="K4958" t="str">
            <v>DADO TORX NRO 55</v>
          </cell>
          <cell r="L4958">
            <v>1</v>
          </cell>
          <cell r="M4958" t="str">
            <v>UNID.</v>
          </cell>
          <cell r="N4958" t="str">
            <v>TALLER</v>
          </cell>
          <cell r="O4958">
            <v>0</v>
          </cell>
          <cell r="P4958" t="str">
            <v>M2</v>
          </cell>
          <cell r="Q4958" t="str">
            <v>J1</v>
          </cell>
          <cell r="R4958" t="str">
            <v>J8</v>
          </cell>
          <cell r="S4958" t="str">
            <v>ENTREGADO</v>
          </cell>
          <cell r="T4958">
            <v>42771</v>
          </cell>
          <cell r="U4958" t="str">
            <v>CHUMPITAZ GAGO JULIO ENRIQUE</v>
          </cell>
          <cell r="V4958" t="str">
            <v>FLOREZ CONDORI  JOSE WILLIANS</v>
          </cell>
        </row>
        <row r="4959">
          <cell r="A4959">
            <v>4958</v>
          </cell>
          <cell r="B4959">
            <v>42771</v>
          </cell>
          <cell r="C4959" t="str">
            <v>FEBRERO</v>
          </cell>
          <cell r="D4959" t="str">
            <v>2017</v>
          </cell>
          <cell r="E4959">
            <v>200</v>
          </cell>
          <cell r="F4959" t="str">
            <v>TALLER</v>
          </cell>
          <cell r="G4959" t="str">
            <v>TALLER</v>
          </cell>
          <cell r="H4959" t="str">
            <v>TALLER</v>
          </cell>
          <cell r="I4959" t="str">
            <v>TALLER</v>
          </cell>
          <cell r="J4959" t="str">
            <v>MATERIALES</v>
          </cell>
          <cell r="K4959" t="str">
            <v>CAJA DE HERRAMIENTA DESPLEGABLE</v>
          </cell>
          <cell r="L4959">
            <v>1</v>
          </cell>
          <cell r="M4959" t="str">
            <v>UNID.</v>
          </cell>
          <cell r="N4959" t="str">
            <v>TALLER</v>
          </cell>
          <cell r="O4959">
            <v>19</v>
          </cell>
          <cell r="P4959" t="str">
            <v>E3</v>
          </cell>
          <cell r="Q4959" t="str">
            <v>J1</v>
          </cell>
          <cell r="R4959" t="str">
            <v>J8</v>
          </cell>
          <cell r="S4959" t="str">
            <v>PENDIENTE</v>
          </cell>
          <cell r="T4959">
            <v>0</v>
          </cell>
          <cell r="U4959" t="str">
            <v>CONDORI CHURATA ALEX</v>
          </cell>
          <cell r="V4959" t="str">
            <v>FLOREZ CONDORI  JOSE WILLIANS</v>
          </cell>
        </row>
        <row r="4960">
          <cell r="A4960">
            <v>4959</v>
          </cell>
          <cell r="B4960">
            <v>42771</v>
          </cell>
          <cell r="C4960" t="str">
            <v>FEBRERO</v>
          </cell>
          <cell r="D4960" t="str">
            <v>2017</v>
          </cell>
          <cell r="E4960">
            <v>992</v>
          </cell>
          <cell r="F4960" t="str">
            <v>D3Q-741</v>
          </cell>
          <cell r="G4960" t="str">
            <v>D2E-976</v>
          </cell>
          <cell r="H4960" t="str">
            <v>LAS BAMBAS</v>
          </cell>
          <cell r="I4960">
            <v>170168</v>
          </cell>
          <cell r="J4960" t="str">
            <v>REPUESTO</v>
          </cell>
          <cell r="K4960" t="str">
            <v>FARO NEBLINERO</v>
          </cell>
          <cell r="L4960">
            <v>2</v>
          </cell>
          <cell r="M4960" t="str">
            <v>UNID.</v>
          </cell>
          <cell r="N4960" t="str">
            <v>TRACTO</v>
          </cell>
          <cell r="O4960">
            <v>0</v>
          </cell>
          <cell r="P4960" t="str">
            <v>E3</v>
          </cell>
          <cell r="Q4960" t="str">
            <v>J1</v>
          </cell>
          <cell r="R4960" t="str">
            <v>J8</v>
          </cell>
          <cell r="S4960" t="str">
            <v>PENDIENTE</v>
          </cell>
          <cell r="T4960">
            <v>42771</v>
          </cell>
          <cell r="U4960" t="str">
            <v>CONDORI CHURATA ALEX</v>
          </cell>
          <cell r="V4960" t="str">
            <v>FLOREZ CONDORI  JOSE WILLIANS</v>
          </cell>
        </row>
        <row r="4961">
          <cell r="A4961">
            <v>4960</v>
          </cell>
          <cell r="B4961">
            <v>42771</v>
          </cell>
          <cell r="C4961" t="str">
            <v>FEBRERO</v>
          </cell>
          <cell r="D4961" t="str">
            <v>2017</v>
          </cell>
          <cell r="E4961">
            <v>975</v>
          </cell>
          <cell r="F4961" t="str">
            <v>C9M-902</v>
          </cell>
          <cell r="G4961" t="str">
            <v>B8L-970</v>
          </cell>
          <cell r="H4961" t="str">
            <v>LAS BAMBAS</v>
          </cell>
          <cell r="I4961">
            <v>216482</v>
          </cell>
          <cell r="J4961" t="str">
            <v>SERVICIO</v>
          </cell>
          <cell r="K4961" t="str">
            <v>SERVICIO DE REPARACION DE RADIO DE COMUNICACIÓN</v>
          </cell>
          <cell r="L4961">
            <v>1</v>
          </cell>
          <cell r="M4961" t="str">
            <v>UNID.</v>
          </cell>
          <cell r="N4961" t="str">
            <v>TRACTO</v>
          </cell>
          <cell r="O4961">
            <v>2</v>
          </cell>
          <cell r="P4961" t="str">
            <v>E3</v>
          </cell>
          <cell r="Q4961" t="str">
            <v>J1</v>
          </cell>
          <cell r="R4961" t="str">
            <v>J8</v>
          </cell>
          <cell r="S4961" t="str">
            <v>ENTREGADO</v>
          </cell>
          <cell r="T4961">
            <v>42773</v>
          </cell>
          <cell r="U4961" t="str">
            <v>CONDORI CHURATA ALEX</v>
          </cell>
          <cell r="V4961" t="str">
            <v>FLOREZ CONDORI  JOSE WILLIANS</v>
          </cell>
        </row>
        <row r="4962">
          <cell r="A4962">
            <v>4961</v>
          </cell>
          <cell r="B4962">
            <v>42771</v>
          </cell>
          <cell r="C4962" t="str">
            <v>FEBRERO</v>
          </cell>
          <cell r="D4962" t="str">
            <v>2017</v>
          </cell>
          <cell r="E4962">
            <v>983</v>
          </cell>
          <cell r="F4962" t="str">
            <v>ABQ-703</v>
          </cell>
          <cell r="G4962" t="str">
            <v>D0Z-994</v>
          </cell>
          <cell r="H4962" t="str">
            <v>LAS BAMBAS</v>
          </cell>
          <cell r="I4962">
            <v>110477</v>
          </cell>
          <cell r="J4962" t="str">
            <v>REPUESTO</v>
          </cell>
          <cell r="K4962" t="str">
            <v>ABRAZADERA</v>
          </cell>
          <cell r="L4962">
            <v>1</v>
          </cell>
          <cell r="M4962" t="str">
            <v>UNID.</v>
          </cell>
          <cell r="N4962" t="str">
            <v>TRACTO</v>
          </cell>
          <cell r="O4962">
            <v>0</v>
          </cell>
          <cell r="P4962" t="str">
            <v>M2</v>
          </cell>
          <cell r="Q4962" t="str">
            <v>J1</v>
          </cell>
          <cell r="R4962" t="str">
            <v>J8</v>
          </cell>
          <cell r="S4962" t="str">
            <v>ENTREGADO</v>
          </cell>
          <cell r="T4962">
            <v>42771</v>
          </cell>
          <cell r="U4962" t="str">
            <v>CHUMPITAZ GAGO JULIO ENRIQUE</v>
          </cell>
          <cell r="V4962" t="str">
            <v>FLOREZ CONDORI  JOSE WILLIANS</v>
          </cell>
        </row>
        <row r="4963">
          <cell r="A4963">
            <v>4962</v>
          </cell>
          <cell r="B4963">
            <v>42771</v>
          </cell>
          <cell r="C4963" t="str">
            <v>FEBRERO</v>
          </cell>
          <cell r="D4963" t="str">
            <v>2017</v>
          </cell>
          <cell r="E4963">
            <v>992</v>
          </cell>
          <cell r="F4963" t="str">
            <v>D3Q-741</v>
          </cell>
          <cell r="G4963" t="str">
            <v>D2E-976</v>
          </cell>
          <cell r="H4963" t="str">
            <v>LAS BAMBAS</v>
          </cell>
          <cell r="I4963">
            <v>170168</v>
          </cell>
          <cell r="J4963" t="str">
            <v>REPUESTO</v>
          </cell>
          <cell r="K4963" t="str">
            <v>PERNO DE 5/16 X 2"</v>
          </cell>
          <cell r="L4963">
            <v>2</v>
          </cell>
          <cell r="M4963" t="str">
            <v>UNID.</v>
          </cell>
          <cell r="N4963" t="str">
            <v>TRACTO</v>
          </cell>
          <cell r="O4963">
            <v>0</v>
          </cell>
          <cell r="P4963" t="str">
            <v>E3</v>
          </cell>
          <cell r="Q4963" t="str">
            <v>J1</v>
          </cell>
          <cell r="R4963" t="str">
            <v>J8</v>
          </cell>
          <cell r="S4963" t="str">
            <v>ENTREGADO</v>
          </cell>
          <cell r="T4963">
            <v>42771</v>
          </cell>
          <cell r="U4963" t="str">
            <v>CONDORI CHURATA ALEX</v>
          </cell>
          <cell r="V4963" t="str">
            <v>FLOREZ CONDORI  JOSE WILLIANS</v>
          </cell>
        </row>
        <row r="4964">
          <cell r="A4964">
            <v>4963</v>
          </cell>
          <cell r="B4964">
            <v>42771</v>
          </cell>
          <cell r="C4964" t="str">
            <v>FEBRERO</v>
          </cell>
          <cell r="D4964" t="str">
            <v>2017</v>
          </cell>
          <cell r="E4964">
            <v>992</v>
          </cell>
          <cell r="F4964" t="str">
            <v>D3Q-741</v>
          </cell>
          <cell r="G4964" t="str">
            <v>D2E-976</v>
          </cell>
          <cell r="H4964" t="str">
            <v>LAS BAMBAS</v>
          </cell>
          <cell r="I4964">
            <v>170168</v>
          </cell>
          <cell r="J4964" t="str">
            <v>REPUESTO</v>
          </cell>
          <cell r="K4964" t="str">
            <v>TUERCA 5/16</v>
          </cell>
          <cell r="L4964">
            <v>2</v>
          </cell>
          <cell r="M4964" t="str">
            <v>UNID.</v>
          </cell>
          <cell r="N4964" t="str">
            <v>TRACTO</v>
          </cell>
          <cell r="O4964">
            <v>0</v>
          </cell>
          <cell r="P4964" t="str">
            <v>E3</v>
          </cell>
          <cell r="Q4964" t="str">
            <v>J1</v>
          </cell>
          <cell r="R4964" t="str">
            <v>J8</v>
          </cell>
          <cell r="S4964" t="str">
            <v>ENTREGADO</v>
          </cell>
          <cell r="T4964">
            <v>42771</v>
          </cell>
          <cell r="U4964" t="str">
            <v>CONDORI CHURATA ALEX</v>
          </cell>
          <cell r="V4964" t="str">
            <v>FLOREZ CONDORI  JOSE WILLIANS</v>
          </cell>
        </row>
        <row r="4965">
          <cell r="A4965">
            <v>4964</v>
          </cell>
          <cell r="B4965">
            <v>42771</v>
          </cell>
          <cell r="C4965" t="str">
            <v>FEBRERO</v>
          </cell>
          <cell r="D4965" t="str">
            <v>2017</v>
          </cell>
          <cell r="E4965">
            <v>926</v>
          </cell>
          <cell r="F4965" t="str">
            <v>ABQ-705</v>
          </cell>
          <cell r="G4965" t="str">
            <v>D0Z-996</v>
          </cell>
          <cell r="H4965" t="str">
            <v>LAS BAMBAS</v>
          </cell>
          <cell r="I4965">
            <v>116133</v>
          </cell>
          <cell r="J4965" t="str">
            <v>REPUESTO</v>
          </cell>
          <cell r="K4965" t="str">
            <v>LLAVE DE PASO (JUEGO RH - LH)</v>
          </cell>
          <cell r="L4965">
            <v>1</v>
          </cell>
          <cell r="M4965" t="str">
            <v>UNID.</v>
          </cell>
          <cell r="N4965" t="str">
            <v>TRACTO</v>
          </cell>
          <cell r="O4965">
            <v>19</v>
          </cell>
          <cell r="P4965" t="str">
            <v>M2</v>
          </cell>
          <cell r="Q4965" t="str">
            <v>J1</v>
          </cell>
          <cell r="R4965" t="str">
            <v>J8</v>
          </cell>
          <cell r="S4965" t="str">
            <v>PENDIENTE</v>
          </cell>
          <cell r="T4965">
            <v>0</v>
          </cell>
          <cell r="U4965" t="str">
            <v>CHUMPITAZ GAGO JULIO ENRIQUE</v>
          </cell>
          <cell r="V4965" t="str">
            <v>FLOREZ CONDORI  JOSE WILLIANS</v>
          </cell>
        </row>
        <row r="4966">
          <cell r="A4966">
            <v>4965</v>
          </cell>
          <cell r="B4966">
            <v>42771</v>
          </cell>
          <cell r="C4966" t="str">
            <v>FEBRERO</v>
          </cell>
          <cell r="D4966" t="str">
            <v>2017</v>
          </cell>
          <cell r="E4966">
            <v>961</v>
          </cell>
          <cell r="F4966" t="str">
            <v>D6G-805</v>
          </cell>
          <cell r="G4966" t="str">
            <v>T4Z-996</v>
          </cell>
          <cell r="H4966" t="str">
            <v>LAS BAMBAS</v>
          </cell>
          <cell r="I4966">
            <v>229800</v>
          </cell>
          <cell r="J4966" t="str">
            <v>REPUESTO</v>
          </cell>
          <cell r="K4966" t="str">
            <v>GOBERNADOR  DE AIRE</v>
          </cell>
          <cell r="L4966">
            <v>1</v>
          </cell>
          <cell r="M4966" t="str">
            <v>UNID.</v>
          </cell>
          <cell r="N4966" t="str">
            <v>TRACTO</v>
          </cell>
          <cell r="O4966">
            <v>0</v>
          </cell>
          <cell r="P4966" t="str">
            <v>M2</v>
          </cell>
          <cell r="Q4966" t="str">
            <v>J1</v>
          </cell>
          <cell r="R4966" t="str">
            <v>J8</v>
          </cell>
          <cell r="S4966" t="str">
            <v>ENTREGADO</v>
          </cell>
          <cell r="T4966">
            <v>42771</v>
          </cell>
          <cell r="U4966" t="str">
            <v>CHUMPITAZ GAGO JULIO ENRIQUE</v>
          </cell>
          <cell r="V4966" t="str">
            <v>FLOREZ CONDORI  JOSE WILLIANS</v>
          </cell>
        </row>
        <row r="4967">
          <cell r="A4967">
            <v>4966</v>
          </cell>
          <cell r="B4967">
            <v>42771</v>
          </cell>
          <cell r="C4967" t="str">
            <v>FEBRERO</v>
          </cell>
          <cell r="D4967" t="str">
            <v>2017</v>
          </cell>
          <cell r="E4967">
            <v>991</v>
          </cell>
          <cell r="F4967" t="str">
            <v>A5O-859</v>
          </cell>
          <cell r="G4967" t="str">
            <v>B6Y-971</v>
          </cell>
          <cell r="H4967" t="str">
            <v>LAS BAMBAS</v>
          </cell>
          <cell r="I4967">
            <v>120535</v>
          </cell>
          <cell r="J4967" t="str">
            <v>REPUESTO</v>
          </cell>
          <cell r="K4967" t="str">
            <v>FOCO  PILOTO 2 CONTACTO 12V</v>
          </cell>
          <cell r="L4967">
            <v>1</v>
          </cell>
          <cell r="M4967" t="str">
            <v>UNID.</v>
          </cell>
          <cell r="N4967" t="str">
            <v>TRACTO</v>
          </cell>
          <cell r="O4967">
            <v>0</v>
          </cell>
          <cell r="P4967" t="str">
            <v>E3</v>
          </cell>
          <cell r="Q4967" t="str">
            <v>J1</v>
          </cell>
          <cell r="R4967" t="str">
            <v>J8</v>
          </cell>
          <cell r="S4967" t="str">
            <v>ENTREGADO</v>
          </cell>
          <cell r="T4967">
            <v>42771</v>
          </cell>
          <cell r="U4967" t="str">
            <v>CONDORI CHURATA ALEX</v>
          </cell>
          <cell r="V4967" t="str">
            <v>FLOREZ CONDORI  JOSE WILLIANS</v>
          </cell>
        </row>
        <row r="4968">
          <cell r="A4968">
            <v>4967</v>
          </cell>
          <cell r="B4968">
            <v>42771</v>
          </cell>
          <cell r="C4968" t="str">
            <v>FEBRERO</v>
          </cell>
          <cell r="D4968" t="str">
            <v>2017</v>
          </cell>
          <cell r="E4968">
            <v>991</v>
          </cell>
          <cell r="F4968" t="str">
            <v>A5O-859</v>
          </cell>
          <cell r="G4968" t="str">
            <v>B6Y-971</v>
          </cell>
          <cell r="H4968" t="str">
            <v>LAS BAMBAS</v>
          </cell>
          <cell r="I4968">
            <v>120535</v>
          </cell>
          <cell r="J4968" t="str">
            <v>REPUESTO</v>
          </cell>
          <cell r="K4968" t="str">
            <v>FARO DELANTERO  LH</v>
          </cell>
          <cell r="L4968">
            <v>1</v>
          </cell>
          <cell r="M4968" t="str">
            <v>UNID.</v>
          </cell>
          <cell r="N4968" t="str">
            <v>TRACTO</v>
          </cell>
          <cell r="O4968">
            <v>0</v>
          </cell>
          <cell r="P4968" t="str">
            <v>E3</v>
          </cell>
          <cell r="Q4968" t="str">
            <v>J1</v>
          </cell>
          <cell r="R4968" t="str">
            <v>J8</v>
          </cell>
          <cell r="S4968" t="str">
            <v>ENTREGADO</v>
          </cell>
          <cell r="T4968">
            <v>42771</v>
          </cell>
          <cell r="U4968" t="str">
            <v>CONDORI CHURATA ALEX</v>
          </cell>
          <cell r="V4968" t="str">
            <v>FLOREZ CONDORI  JOSE WILLIANS</v>
          </cell>
        </row>
        <row r="4969">
          <cell r="A4969">
            <v>4968</v>
          </cell>
          <cell r="B4969">
            <v>42771</v>
          </cell>
          <cell r="C4969" t="str">
            <v>FEBRERO</v>
          </cell>
          <cell r="D4969" t="str">
            <v>2017</v>
          </cell>
          <cell r="E4969">
            <v>991</v>
          </cell>
          <cell r="F4969" t="str">
            <v>A5O-859</v>
          </cell>
          <cell r="G4969" t="str">
            <v>B6Y-971</v>
          </cell>
          <cell r="H4969" t="str">
            <v>LAS BAMBAS</v>
          </cell>
          <cell r="I4969">
            <v>120535</v>
          </cell>
          <cell r="J4969" t="str">
            <v>REPUESTO</v>
          </cell>
          <cell r="K4969" t="str">
            <v>ACEITE DE MOTOR 15W40</v>
          </cell>
          <cell r="L4969">
            <v>1</v>
          </cell>
          <cell r="M4969" t="str">
            <v>GLNS.</v>
          </cell>
          <cell r="N4969" t="str">
            <v>TRACTO</v>
          </cell>
          <cell r="O4969">
            <v>0</v>
          </cell>
          <cell r="P4969" t="str">
            <v>J1</v>
          </cell>
          <cell r="Q4969" t="str">
            <v>J1</v>
          </cell>
          <cell r="R4969" t="str">
            <v>J8</v>
          </cell>
          <cell r="S4969" t="str">
            <v>ENTREGADO</v>
          </cell>
          <cell r="T4969">
            <v>42771</v>
          </cell>
          <cell r="U4969" t="str">
            <v>FLOREZ CONDORI  JOSE WILLIANS</v>
          </cell>
          <cell r="V4969" t="str">
            <v>FLOREZ CONDORI  JOSE WILLIANS</v>
          </cell>
        </row>
        <row r="4970">
          <cell r="A4970">
            <v>4969</v>
          </cell>
          <cell r="B4970">
            <v>42771</v>
          </cell>
          <cell r="C4970" t="str">
            <v>FEBRERO</v>
          </cell>
          <cell r="D4970" t="str">
            <v>2017</v>
          </cell>
          <cell r="E4970">
            <v>992</v>
          </cell>
          <cell r="F4970" t="str">
            <v>D3Q-741</v>
          </cell>
          <cell r="G4970" t="str">
            <v>D2E-976</v>
          </cell>
          <cell r="H4970" t="str">
            <v>LAS BAMBAS</v>
          </cell>
          <cell r="I4970">
            <v>170168</v>
          </cell>
          <cell r="J4970" t="str">
            <v>REPUESTO</v>
          </cell>
          <cell r="K4970" t="str">
            <v>REFRIGERANTE</v>
          </cell>
          <cell r="L4970">
            <v>1</v>
          </cell>
          <cell r="M4970" t="str">
            <v>GLNS.</v>
          </cell>
          <cell r="N4970" t="str">
            <v>TRACTO</v>
          </cell>
          <cell r="O4970">
            <v>0</v>
          </cell>
          <cell r="P4970" t="str">
            <v>J1</v>
          </cell>
          <cell r="Q4970" t="str">
            <v>J1</v>
          </cell>
          <cell r="R4970" t="str">
            <v>J8</v>
          </cell>
          <cell r="S4970" t="str">
            <v>ENTREGADO</v>
          </cell>
          <cell r="T4970">
            <v>42771</v>
          </cell>
          <cell r="U4970" t="str">
            <v>FLOREZ CONDORI  JOSE WILLIANS</v>
          </cell>
          <cell r="V4970" t="str">
            <v>FLOREZ CONDORI  JOSE WILLIANS</v>
          </cell>
        </row>
        <row r="4971">
          <cell r="A4971">
            <v>4970</v>
          </cell>
          <cell r="B4971">
            <v>42771</v>
          </cell>
          <cell r="C4971" t="str">
            <v>FEBRERO</v>
          </cell>
          <cell r="D4971" t="str">
            <v>2017</v>
          </cell>
          <cell r="E4971">
            <v>992</v>
          </cell>
          <cell r="F4971" t="str">
            <v>D3Q-741</v>
          </cell>
          <cell r="G4971" t="str">
            <v>D2E-976</v>
          </cell>
          <cell r="H4971" t="str">
            <v>LAS BAMBAS</v>
          </cell>
          <cell r="I4971">
            <v>170168</v>
          </cell>
          <cell r="J4971" t="str">
            <v>REPUESTO</v>
          </cell>
          <cell r="K4971" t="str">
            <v>AGUA LIMPIA PARABRISA</v>
          </cell>
          <cell r="L4971">
            <v>1</v>
          </cell>
          <cell r="M4971" t="str">
            <v>GLNS.</v>
          </cell>
          <cell r="N4971" t="str">
            <v>TRACTO</v>
          </cell>
          <cell r="O4971">
            <v>0</v>
          </cell>
          <cell r="P4971" t="str">
            <v>J1</v>
          </cell>
          <cell r="Q4971" t="str">
            <v>J1</v>
          </cell>
          <cell r="R4971" t="str">
            <v>J8</v>
          </cell>
          <cell r="S4971" t="str">
            <v>ENTREGADO</v>
          </cell>
          <cell r="T4971">
            <v>42771</v>
          </cell>
          <cell r="U4971" t="str">
            <v>FLOREZ CONDORI  JOSE WILLIANS</v>
          </cell>
          <cell r="V4971" t="str">
            <v>FLOREZ CONDORI  JOSE WILLIANS</v>
          </cell>
        </row>
        <row r="4972">
          <cell r="A4972">
            <v>4971</v>
          </cell>
          <cell r="B4972">
            <v>42771</v>
          </cell>
          <cell r="C4972" t="str">
            <v>FEBRERO</v>
          </cell>
          <cell r="D4972" t="str">
            <v>2017</v>
          </cell>
          <cell r="E4972">
            <v>993</v>
          </cell>
          <cell r="F4972" t="str">
            <v>ABP-729</v>
          </cell>
          <cell r="G4972" t="str">
            <v>D8K-985</v>
          </cell>
          <cell r="H4972" t="str">
            <v>LAS BAMBAS</v>
          </cell>
          <cell r="I4972">
            <v>119361</v>
          </cell>
          <cell r="J4972" t="str">
            <v>REPUESTO</v>
          </cell>
          <cell r="K4972" t="str">
            <v>FARO NEBLINERO AAA</v>
          </cell>
          <cell r="L4972">
            <v>1</v>
          </cell>
          <cell r="M4972" t="str">
            <v>UNID.</v>
          </cell>
          <cell r="N4972" t="str">
            <v>TRACTO</v>
          </cell>
          <cell r="O4972">
            <v>0</v>
          </cell>
          <cell r="P4972" t="str">
            <v>E3</v>
          </cell>
          <cell r="Q4972" t="str">
            <v>J1</v>
          </cell>
          <cell r="R4972" t="str">
            <v>J8</v>
          </cell>
          <cell r="S4972" t="str">
            <v>ENTREGADO</v>
          </cell>
          <cell r="T4972">
            <v>42771</v>
          </cell>
          <cell r="U4972" t="str">
            <v>CONDORI CHURATA ALEX</v>
          </cell>
          <cell r="V4972" t="str">
            <v>FLOREZ CONDORI  JOSE WILLIANS</v>
          </cell>
        </row>
        <row r="4973">
          <cell r="A4973">
            <v>4972</v>
          </cell>
          <cell r="B4973">
            <v>42772</v>
          </cell>
          <cell r="C4973" t="str">
            <v>FEBRERO</v>
          </cell>
          <cell r="D4973" t="str">
            <v>2017</v>
          </cell>
          <cell r="E4973">
            <v>991</v>
          </cell>
          <cell r="F4973" t="str">
            <v>A5O-859</v>
          </cell>
          <cell r="G4973" t="str">
            <v>B6Y-971</v>
          </cell>
          <cell r="H4973" t="str">
            <v>LAS BAMBAS</v>
          </cell>
          <cell r="I4973">
            <v>120535</v>
          </cell>
          <cell r="J4973" t="str">
            <v>REPUESTO</v>
          </cell>
          <cell r="K4973" t="str">
            <v>TAPA DE TANQUE LIMPIAPARABRISA</v>
          </cell>
          <cell r="L4973">
            <v>1</v>
          </cell>
          <cell r="M4973" t="str">
            <v>UNID.</v>
          </cell>
          <cell r="N4973" t="str">
            <v>TRACTO</v>
          </cell>
          <cell r="O4973">
            <v>18</v>
          </cell>
          <cell r="P4973" t="str">
            <v>M9</v>
          </cell>
          <cell r="Q4973" t="str">
            <v>J1</v>
          </cell>
          <cell r="R4973" t="str">
            <v>J8</v>
          </cell>
          <cell r="S4973" t="str">
            <v>PENDIENTE</v>
          </cell>
          <cell r="T4973">
            <v>0</v>
          </cell>
          <cell r="U4973" t="str">
            <v>POMA SALAZAR CIRO</v>
          </cell>
          <cell r="V4973" t="str">
            <v>FLOREZ CONDORI  JOSE WILLIANS</v>
          </cell>
        </row>
        <row r="4974">
          <cell r="A4974">
            <v>4973</v>
          </cell>
          <cell r="B4974">
            <v>42772</v>
          </cell>
          <cell r="C4974" t="str">
            <v>FEBRERO</v>
          </cell>
          <cell r="D4974" t="str">
            <v>2017</v>
          </cell>
          <cell r="E4974">
            <v>991</v>
          </cell>
          <cell r="F4974" t="str">
            <v>A5O-859</v>
          </cell>
          <cell r="G4974" t="str">
            <v>B6Y-971</v>
          </cell>
          <cell r="H4974" t="str">
            <v>LAS BAMBAS</v>
          </cell>
          <cell r="I4974">
            <v>120535</v>
          </cell>
          <cell r="J4974" t="str">
            <v>SERVICIO</v>
          </cell>
          <cell r="K4974" t="str">
            <v>SERVICIO DE REPARACION DE QUINTA RUEDA</v>
          </cell>
          <cell r="L4974">
            <v>1</v>
          </cell>
          <cell r="M4974" t="str">
            <v>UNID.</v>
          </cell>
          <cell r="N4974" t="str">
            <v>TRACTO</v>
          </cell>
          <cell r="O4974">
            <v>1</v>
          </cell>
          <cell r="P4974" t="str">
            <v>J1</v>
          </cell>
          <cell r="Q4974" t="str">
            <v>J1</v>
          </cell>
          <cell r="R4974" t="str">
            <v>J8</v>
          </cell>
          <cell r="S4974" t="str">
            <v>ENTREGADO</v>
          </cell>
          <cell r="T4974">
            <v>42773</v>
          </cell>
          <cell r="U4974" t="str">
            <v>FLOREZ CONDORI  JOSE WILLIANS</v>
          </cell>
          <cell r="V4974" t="str">
            <v>FLOREZ CONDORI  JOSE WILLIANS</v>
          </cell>
        </row>
        <row r="4975">
          <cell r="A4975">
            <v>4974</v>
          </cell>
          <cell r="B4975">
            <v>42772</v>
          </cell>
          <cell r="C4975" t="str">
            <v>FEBRERO</v>
          </cell>
          <cell r="D4975" t="str">
            <v>2017</v>
          </cell>
          <cell r="E4975">
            <v>992</v>
          </cell>
          <cell r="F4975" t="str">
            <v>D3Q-741</v>
          </cell>
          <cell r="G4975" t="str">
            <v>D2E-976</v>
          </cell>
          <cell r="H4975" t="str">
            <v>LAS BAMBAS</v>
          </cell>
          <cell r="I4975">
            <v>170168</v>
          </cell>
          <cell r="J4975" t="str">
            <v>REPUESTO</v>
          </cell>
          <cell r="K4975" t="str">
            <v>SOLDADURA CHANFER</v>
          </cell>
          <cell r="L4975">
            <v>1</v>
          </cell>
          <cell r="M4975" t="str">
            <v>KG.</v>
          </cell>
          <cell r="N4975" t="str">
            <v>CISTERNA</v>
          </cell>
          <cell r="O4975">
            <v>18</v>
          </cell>
          <cell r="P4975" t="str">
            <v>J1</v>
          </cell>
          <cell r="Q4975" t="str">
            <v>J1</v>
          </cell>
          <cell r="R4975" t="str">
            <v>J8</v>
          </cell>
          <cell r="S4975" t="str">
            <v>ENTREGADO</v>
          </cell>
          <cell r="T4975">
            <v>0</v>
          </cell>
          <cell r="U4975" t="str">
            <v>FLOREZ CONDORI  JOSE WILLIANS</v>
          </cell>
          <cell r="V4975" t="str">
            <v>FLOREZ CONDORI  JOSE WILLIANS</v>
          </cell>
        </row>
        <row r="4976">
          <cell r="A4976">
            <v>4975</v>
          </cell>
          <cell r="B4976">
            <v>42772</v>
          </cell>
          <cell r="C4976" t="str">
            <v>FEBRERO</v>
          </cell>
          <cell r="D4976" t="str">
            <v>2017</v>
          </cell>
          <cell r="E4976">
            <v>995</v>
          </cell>
          <cell r="F4976" t="str">
            <v>D6G-806</v>
          </cell>
          <cell r="G4976" t="str">
            <v>B8K-998</v>
          </cell>
          <cell r="H4976" t="str">
            <v>LAS BAMBAS</v>
          </cell>
          <cell r="I4976">
            <v>226298</v>
          </cell>
          <cell r="J4976" t="str">
            <v>REPUESTO</v>
          </cell>
          <cell r="K4976" t="str">
            <v>TURBO COMPLETO</v>
          </cell>
          <cell r="L4976">
            <v>1</v>
          </cell>
          <cell r="M4976" t="str">
            <v>UNID.</v>
          </cell>
          <cell r="N4976" t="str">
            <v>TRACTO</v>
          </cell>
          <cell r="O4976">
            <v>18</v>
          </cell>
          <cell r="P4976" t="str">
            <v>M1</v>
          </cell>
          <cell r="Q4976" t="str">
            <v>J1</v>
          </cell>
          <cell r="R4976" t="str">
            <v>J8</v>
          </cell>
          <cell r="S4976" t="str">
            <v>PENDIENTE</v>
          </cell>
          <cell r="T4976">
            <v>0</v>
          </cell>
          <cell r="U4976" t="str">
            <v>CABEZAS SANCHEZ JEAN JHONATAN</v>
          </cell>
          <cell r="V4976" t="str">
            <v>FLOREZ CONDORI  JOSE WILLIANS</v>
          </cell>
        </row>
        <row r="4977">
          <cell r="A4977">
            <v>4976</v>
          </cell>
          <cell r="B4977">
            <v>42772</v>
          </cell>
          <cell r="C4977" t="str">
            <v>FEBRERO</v>
          </cell>
          <cell r="D4977" t="str">
            <v>2017</v>
          </cell>
          <cell r="E4977">
            <v>996</v>
          </cell>
          <cell r="F4977" t="str">
            <v>ABS-700</v>
          </cell>
          <cell r="G4977" t="str">
            <v>TBC-971</v>
          </cell>
          <cell r="H4977" t="str">
            <v>LAS BAMBAS</v>
          </cell>
          <cell r="I4977">
            <v>106521</v>
          </cell>
          <cell r="J4977" t="str">
            <v>REPUESTO</v>
          </cell>
          <cell r="K4977" t="str">
            <v>RELAY</v>
          </cell>
          <cell r="L4977">
            <v>1</v>
          </cell>
          <cell r="M4977" t="str">
            <v>UNID.</v>
          </cell>
          <cell r="N4977" t="str">
            <v>TRACTO</v>
          </cell>
          <cell r="O4977">
            <v>0</v>
          </cell>
          <cell r="P4977" t="str">
            <v>E2</v>
          </cell>
          <cell r="Q4977" t="str">
            <v>J1</v>
          </cell>
          <cell r="R4977" t="str">
            <v>J8</v>
          </cell>
          <cell r="S4977" t="str">
            <v>ENTREGADO</v>
          </cell>
          <cell r="T4977">
            <v>42772</v>
          </cell>
          <cell r="U4977" t="str">
            <v>YUCA BELLIDO BORIS YERSY</v>
          </cell>
          <cell r="V4977" t="str">
            <v>FLOREZ CONDORI  JOSE WILLIANS</v>
          </cell>
        </row>
        <row r="4978">
          <cell r="A4978">
            <v>4977</v>
          </cell>
          <cell r="B4978">
            <v>42772</v>
          </cell>
          <cell r="C4978" t="str">
            <v>FEBRERO</v>
          </cell>
          <cell r="D4978" t="str">
            <v>2017</v>
          </cell>
          <cell r="E4978">
            <v>996</v>
          </cell>
          <cell r="F4978" t="str">
            <v>ABS-700</v>
          </cell>
          <cell r="G4978" t="str">
            <v>TBC-971</v>
          </cell>
          <cell r="H4978" t="str">
            <v>LAS BAMBAS</v>
          </cell>
          <cell r="I4978">
            <v>106521</v>
          </cell>
          <cell r="J4978" t="str">
            <v>REPUESTO</v>
          </cell>
          <cell r="K4978" t="str">
            <v>PRECINTOS GRANDES</v>
          </cell>
          <cell r="L4978">
            <v>10</v>
          </cell>
          <cell r="M4978" t="str">
            <v>UNID.</v>
          </cell>
          <cell r="N4978" t="str">
            <v>TRACTO</v>
          </cell>
          <cell r="O4978">
            <v>0</v>
          </cell>
          <cell r="P4978" t="str">
            <v>E2</v>
          </cell>
          <cell r="Q4978" t="str">
            <v>J1</v>
          </cell>
          <cell r="R4978" t="str">
            <v>J8</v>
          </cell>
          <cell r="S4978" t="str">
            <v>ENTREGADO</v>
          </cell>
          <cell r="T4978">
            <v>42772</v>
          </cell>
          <cell r="U4978" t="str">
            <v>YUCA BELLIDO BORIS YERSY</v>
          </cell>
          <cell r="V4978" t="str">
            <v>FLOREZ CONDORI  JOSE WILLIANS</v>
          </cell>
        </row>
        <row r="4979">
          <cell r="A4979">
            <v>4978</v>
          </cell>
          <cell r="B4979">
            <v>42772</v>
          </cell>
          <cell r="C4979" t="str">
            <v>FEBRERO</v>
          </cell>
          <cell r="D4979" t="str">
            <v>2017</v>
          </cell>
          <cell r="E4979">
            <v>995</v>
          </cell>
          <cell r="F4979" t="str">
            <v>D6G-806</v>
          </cell>
          <cell r="G4979" t="str">
            <v>B8K-998</v>
          </cell>
          <cell r="H4979" t="str">
            <v>LAS BAMBAS</v>
          </cell>
          <cell r="I4979">
            <v>226298</v>
          </cell>
          <cell r="J4979" t="str">
            <v>REPUESTO</v>
          </cell>
          <cell r="K4979" t="str">
            <v>PARCHE RACK 12</v>
          </cell>
          <cell r="L4979">
            <v>1</v>
          </cell>
          <cell r="M4979" t="str">
            <v>UNID.</v>
          </cell>
          <cell r="N4979" t="str">
            <v>TRACTO</v>
          </cell>
          <cell r="O4979">
            <v>0</v>
          </cell>
          <cell r="P4979" t="str">
            <v>N1</v>
          </cell>
          <cell r="Q4979" t="str">
            <v>J1</v>
          </cell>
          <cell r="R4979" t="str">
            <v>J8</v>
          </cell>
          <cell r="S4979" t="str">
            <v>ENTREGADO</v>
          </cell>
          <cell r="T4979">
            <v>42772</v>
          </cell>
          <cell r="U4979" t="str">
            <v>AGUILAR CCANTUTA WILLY</v>
          </cell>
          <cell r="V4979" t="str">
            <v>FLOREZ CONDORI  JOSE WILLIANS</v>
          </cell>
        </row>
        <row r="4980">
          <cell r="A4980">
            <v>4979</v>
          </cell>
          <cell r="B4980">
            <v>42772</v>
          </cell>
          <cell r="C4980" t="str">
            <v>FEBRERO</v>
          </cell>
          <cell r="D4980" t="str">
            <v>2017</v>
          </cell>
          <cell r="E4980">
            <v>997</v>
          </cell>
          <cell r="F4980" t="str">
            <v>ABP-783</v>
          </cell>
          <cell r="G4980" t="str">
            <v>C9S-988</v>
          </cell>
          <cell r="H4980" t="str">
            <v>LAS BAMBAS</v>
          </cell>
          <cell r="I4980">
            <v>136201</v>
          </cell>
          <cell r="J4980" t="str">
            <v>REPUESTO</v>
          </cell>
          <cell r="K4980" t="str">
            <v>MANGUERA DE AGUA DE TERMOSTATO TIPO CODO</v>
          </cell>
          <cell r="L4980">
            <v>1</v>
          </cell>
          <cell r="M4980" t="str">
            <v>UNID.</v>
          </cell>
          <cell r="N4980" t="str">
            <v>TRACTO</v>
          </cell>
          <cell r="O4980">
            <v>0</v>
          </cell>
          <cell r="P4980" t="str">
            <v>M2</v>
          </cell>
          <cell r="Q4980" t="str">
            <v>J1</v>
          </cell>
          <cell r="R4980" t="str">
            <v>J8</v>
          </cell>
          <cell r="S4980" t="str">
            <v>ENTREGADO</v>
          </cell>
          <cell r="T4980">
            <v>42772</v>
          </cell>
          <cell r="U4980" t="str">
            <v>CHUMPITAZ GAGO JULIO ENRIQUE</v>
          </cell>
          <cell r="V4980" t="str">
            <v>FLOREZ CONDORI  JOSE WILLIANS</v>
          </cell>
        </row>
        <row r="4981">
          <cell r="A4981">
            <v>4980</v>
          </cell>
          <cell r="B4981">
            <v>42772</v>
          </cell>
          <cell r="C4981" t="str">
            <v>FEBRERO</v>
          </cell>
          <cell r="D4981" t="str">
            <v>2017</v>
          </cell>
          <cell r="E4981">
            <v>997</v>
          </cell>
          <cell r="F4981" t="str">
            <v>ABP-783</v>
          </cell>
          <cell r="G4981" t="str">
            <v>C9S-988</v>
          </cell>
          <cell r="H4981" t="str">
            <v>LAS BAMBAS</v>
          </cell>
          <cell r="I4981">
            <v>136201</v>
          </cell>
          <cell r="J4981" t="str">
            <v>REPUESTO</v>
          </cell>
          <cell r="K4981" t="str">
            <v>FOCO 9006</v>
          </cell>
          <cell r="L4981">
            <v>1</v>
          </cell>
          <cell r="M4981" t="str">
            <v>UNID.</v>
          </cell>
          <cell r="N4981" t="str">
            <v>TRACTO</v>
          </cell>
          <cell r="O4981">
            <v>0</v>
          </cell>
          <cell r="P4981" t="str">
            <v>E2</v>
          </cell>
          <cell r="Q4981" t="str">
            <v>J1</v>
          </cell>
          <cell r="R4981" t="str">
            <v>J8</v>
          </cell>
          <cell r="S4981" t="str">
            <v>ENTREGADO</v>
          </cell>
          <cell r="T4981">
            <v>42772</v>
          </cell>
          <cell r="U4981" t="str">
            <v>YUCA BELLIDO BORIS YERSY</v>
          </cell>
          <cell r="V4981" t="str">
            <v>FLOREZ CONDORI  JOSE WILLIANS</v>
          </cell>
        </row>
        <row r="4982">
          <cell r="A4982">
            <v>4981</v>
          </cell>
          <cell r="B4982">
            <v>42772</v>
          </cell>
          <cell r="C4982" t="str">
            <v>FEBRERO</v>
          </cell>
          <cell r="D4982" t="str">
            <v>2017</v>
          </cell>
          <cell r="E4982">
            <v>997</v>
          </cell>
          <cell r="F4982" t="str">
            <v>ABP-783</v>
          </cell>
          <cell r="G4982" t="str">
            <v>C9S-988</v>
          </cell>
          <cell r="H4982" t="str">
            <v>LAS BAMBAS</v>
          </cell>
          <cell r="I4982">
            <v>136201</v>
          </cell>
          <cell r="J4982" t="str">
            <v>REPUESTO</v>
          </cell>
          <cell r="K4982" t="str">
            <v>FOCO 1 CONTACTO 12V</v>
          </cell>
          <cell r="L4982">
            <v>1</v>
          </cell>
          <cell r="M4982" t="str">
            <v>UNID.</v>
          </cell>
          <cell r="N4982" t="str">
            <v>TRACTO</v>
          </cell>
          <cell r="O4982">
            <v>0</v>
          </cell>
          <cell r="P4982" t="str">
            <v>E2</v>
          </cell>
          <cell r="Q4982" t="str">
            <v>J1</v>
          </cell>
          <cell r="R4982" t="str">
            <v>J8</v>
          </cell>
          <cell r="S4982" t="str">
            <v>ENTREGADO</v>
          </cell>
          <cell r="T4982">
            <v>42772</v>
          </cell>
          <cell r="U4982" t="str">
            <v>YUCA BELLIDO BORIS YERSY</v>
          </cell>
          <cell r="V4982" t="str">
            <v>FLOREZ CONDORI  JOSE WILLIANS</v>
          </cell>
        </row>
        <row r="4983">
          <cell r="A4983">
            <v>4982</v>
          </cell>
          <cell r="B4983">
            <v>42772</v>
          </cell>
          <cell r="C4983" t="str">
            <v>FEBRERO</v>
          </cell>
          <cell r="D4983" t="str">
            <v>2017</v>
          </cell>
          <cell r="E4983">
            <v>994</v>
          </cell>
          <cell r="F4983" t="str">
            <v>AEG-922</v>
          </cell>
          <cell r="G4983" t="str">
            <v>CAMIONETA</v>
          </cell>
          <cell r="H4983" t="str">
            <v>LAS BAMBAS</v>
          </cell>
          <cell r="I4983">
            <v>107825</v>
          </cell>
          <cell r="J4983" t="str">
            <v>REPUESTO</v>
          </cell>
          <cell r="K4983" t="str">
            <v xml:space="preserve">CRUCETA DE EJE CARDAN </v>
          </cell>
          <cell r="L4983">
            <v>1</v>
          </cell>
          <cell r="M4983" t="str">
            <v>UNID.</v>
          </cell>
          <cell r="N4983" t="str">
            <v>CAMIONETA</v>
          </cell>
          <cell r="O4983">
            <v>0</v>
          </cell>
          <cell r="P4983" t="str">
            <v>M6</v>
          </cell>
          <cell r="Q4983" t="str">
            <v>J1</v>
          </cell>
          <cell r="R4983" t="str">
            <v>J8</v>
          </cell>
          <cell r="S4983" t="str">
            <v>ENTREGADO</v>
          </cell>
          <cell r="T4983">
            <v>42772</v>
          </cell>
          <cell r="U4983" t="str">
            <v>PARI VENTURA  EDSON ORLANDO</v>
          </cell>
          <cell r="V4983" t="str">
            <v>FLOREZ CONDORI  JOSE WILLIANS</v>
          </cell>
        </row>
        <row r="4984">
          <cell r="A4984">
            <v>4983</v>
          </cell>
          <cell r="B4984">
            <v>42772</v>
          </cell>
          <cell r="C4984" t="str">
            <v>FEBRERO</v>
          </cell>
          <cell r="D4984" t="str">
            <v>2017</v>
          </cell>
          <cell r="E4984">
            <v>998</v>
          </cell>
          <cell r="F4984" t="str">
            <v>D6F-898</v>
          </cell>
          <cell r="G4984" t="str">
            <v>T4L-996</v>
          </cell>
          <cell r="H4984" t="str">
            <v>LAS BAMBAS</v>
          </cell>
          <cell r="I4984">
            <v>170929</v>
          </cell>
          <cell r="J4984" t="str">
            <v>REPUESTO</v>
          </cell>
          <cell r="K4984" t="str">
            <v>PARCHE RACK 14</v>
          </cell>
          <cell r="L4984">
            <v>1</v>
          </cell>
          <cell r="M4984" t="str">
            <v>UNID.</v>
          </cell>
          <cell r="N4984" t="str">
            <v>TRACTO</v>
          </cell>
          <cell r="O4984">
            <v>0</v>
          </cell>
          <cell r="P4984" t="str">
            <v>N2</v>
          </cell>
          <cell r="Q4984" t="str">
            <v>J1</v>
          </cell>
          <cell r="R4984" t="str">
            <v>J8</v>
          </cell>
          <cell r="S4984" t="str">
            <v>ENTREGADO</v>
          </cell>
          <cell r="T4984">
            <v>42772</v>
          </cell>
          <cell r="U4984" t="str">
            <v>MAMANI LARICO  EDUARDO ALVARO</v>
          </cell>
          <cell r="V4984" t="str">
            <v>FLOREZ CONDORI  JOSE WILLIANS</v>
          </cell>
        </row>
        <row r="4985">
          <cell r="A4985">
            <v>4984</v>
          </cell>
          <cell r="B4985">
            <v>42772</v>
          </cell>
          <cell r="C4985" t="str">
            <v>FEBRERO</v>
          </cell>
          <cell r="D4985" t="str">
            <v>2017</v>
          </cell>
          <cell r="E4985">
            <v>998</v>
          </cell>
          <cell r="F4985" t="str">
            <v>D6F-898</v>
          </cell>
          <cell r="G4985" t="str">
            <v>T4L-996</v>
          </cell>
          <cell r="H4985" t="str">
            <v>LAS BAMBAS</v>
          </cell>
          <cell r="I4985">
            <v>170929</v>
          </cell>
          <cell r="J4985" t="str">
            <v>REPUESTO</v>
          </cell>
          <cell r="K4985" t="str">
            <v>PARCHE RACK 10</v>
          </cell>
          <cell r="L4985">
            <v>1</v>
          </cell>
          <cell r="M4985" t="str">
            <v>UNID.</v>
          </cell>
          <cell r="N4985" t="str">
            <v>TRACTO</v>
          </cell>
          <cell r="O4985">
            <v>0</v>
          </cell>
          <cell r="P4985" t="str">
            <v>N2</v>
          </cell>
          <cell r="Q4985" t="str">
            <v>J1</v>
          </cell>
          <cell r="R4985" t="str">
            <v>J8</v>
          </cell>
          <cell r="S4985" t="str">
            <v>ENTREGADO</v>
          </cell>
          <cell r="T4985">
            <v>42772</v>
          </cell>
          <cell r="U4985" t="str">
            <v>MAMANI LARICO  EDUARDO ALVARO</v>
          </cell>
          <cell r="V4985" t="str">
            <v>FLOREZ CONDORI  JOSE WILLIANS</v>
          </cell>
        </row>
        <row r="4986">
          <cell r="A4986">
            <v>4985</v>
          </cell>
          <cell r="B4986">
            <v>42772</v>
          </cell>
          <cell r="C4986" t="str">
            <v>FEBRERO</v>
          </cell>
          <cell r="D4986" t="str">
            <v>2017</v>
          </cell>
          <cell r="E4986">
            <v>997</v>
          </cell>
          <cell r="F4986" t="str">
            <v>ABP-783</v>
          </cell>
          <cell r="G4986" t="str">
            <v>C9S-988</v>
          </cell>
          <cell r="H4986" t="str">
            <v>LAS BAMBAS</v>
          </cell>
          <cell r="I4986">
            <v>136201</v>
          </cell>
          <cell r="J4986" t="str">
            <v>REPUESTO</v>
          </cell>
          <cell r="K4986" t="str">
            <v>VALVULA BOLSA DE AIRE</v>
          </cell>
          <cell r="L4986">
            <v>1</v>
          </cell>
          <cell r="M4986" t="str">
            <v>UNID.</v>
          </cell>
          <cell r="N4986" t="str">
            <v>CISTERNA</v>
          </cell>
          <cell r="O4986">
            <v>18</v>
          </cell>
          <cell r="P4986" t="str">
            <v>M2</v>
          </cell>
          <cell r="Q4986" t="str">
            <v>J1</v>
          </cell>
          <cell r="R4986" t="str">
            <v>J8</v>
          </cell>
          <cell r="S4986" t="str">
            <v>PENDIENTE</v>
          </cell>
          <cell r="T4986">
            <v>0</v>
          </cell>
          <cell r="U4986" t="str">
            <v>CHUMPITAZ GAGO JULIO ENRIQUE</v>
          </cell>
          <cell r="V4986" t="str">
            <v>FLOREZ CONDORI  JOSE WILLIANS</v>
          </cell>
        </row>
        <row r="4987">
          <cell r="A4987">
            <v>4986</v>
          </cell>
          <cell r="B4987">
            <v>42772</v>
          </cell>
          <cell r="C4987" t="str">
            <v>FEBRERO</v>
          </cell>
          <cell r="D4987" t="str">
            <v>2017</v>
          </cell>
          <cell r="E4987">
            <v>995</v>
          </cell>
          <cell r="F4987" t="str">
            <v>D6G-806</v>
          </cell>
          <cell r="G4987" t="str">
            <v>B8K-998</v>
          </cell>
          <cell r="H4987" t="str">
            <v>LAS BAMBAS</v>
          </cell>
          <cell r="I4987">
            <v>226298</v>
          </cell>
          <cell r="J4987" t="str">
            <v>REPUESTO</v>
          </cell>
          <cell r="K4987" t="str">
            <v>FOCO 2 CONTACTO 12V</v>
          </cell>
          <cell r="L4987">
            <v>1</v>
          </cell>
          <cell r="M4987" t="str">
            <v>UNID.</v>
          </cell>
          <cell r="N4987" t="str">
            <v>TRACTO</v>
          </cell>
          <cell r="O4987">
            <v>0</v>
          </cell>
          <cell r="P4987" t="str">
            <v>E2</v>
          </cell>
          <cell r="Q4987" t="str">
            <v>J1</v>
          </cell>
          <cell r="R4987" t="str">
            <v>J8</v>
          </cell>
          <cell r="S4987" t="str">
            <v>ENTREGADO</v>
          </cell>
          <cell r="T4987">
            <v>42772</v>
          </cell>
          <cell r="U4987" t="str">
            <v>YUCA BELLIDO BORIS YERSY</v>
          </cell>
          <cell r="V4987" t="str">
            <v>FLOREZ CONDORI  JOSE WILLIANS</v>
          </cell>
        </row>
        <row r="4988">
          <cell r="A4988">
            <v>4987</v>
          </cell>
          <cell r="B4988">
            <v>42772</v>
          </cell>
          <cell r="C4988" t="str">
            <v>FEBRERO</v>
          </cell>
          <cell r="D4988" t="str">
            <v>2017</v>
          </cell>
          <cell r="E4988">
            <v>995</v>
          </cell>
          <cell r="F4988" t="str">
            <v>D6G-806</v>
          </cell>
          <cell r="G4988" t="str">
            <v>B8K-998</v>
          </cell>
          <cell r="H4988" t="str">
            <v>LAS BAMBAS</v>
          </cell>
          <cell r="I4988">
            <v>226298</v>
          </cell>
          <cell r="J4988" t="str">
            <v>REPUESTO</v>
          </cell>
          <cell r="K4988" t="str">
            <v>FARO LATERAL RECTANGULAR AMBAR</v>
          </cell>
          <cell r="L4988">
            <v>1</v>
          </cell>
          <cell r="M4988" t="str">
            <v>UNID.</v>
          </cell>
          <cell r="N4988" t="str">
            <v>TRACTO</v>
          </cell>
          <cell r="O4988">
            <v>0</v>
          </cell>
          <cell r="P4988" t="str">
            <v>E2</v>
          </cell>
          <cell r="Q4988" t="str">
            <v>J1</v>
          </cell>
          <cell r="R4988" t="str">
            <v>J8</v>
          </cell>
          <cell r="S4988" t="str">
            <v>ENTREGADO</v>
          </cell>
          <cell r="T4988">
            <v>42772</v>
          </cell>
          <cell r="U4988" t="str">
            <v>YUCA BELLIDO BORIS YERSY</v>
          </cell>
          <cell r="V4988" t="str">
            <v>FLOREZ CONDORI  JOSE WILLIANS</v>
          </cell>
        </row>
        <row r="4989">
          <cell r="A4989">
            <v>4988</v>
          </cell>
          <cell r="B4989">
            <v>42772</v>
          </cell>
          <cell r="C4989" t="str">
            <v>FEBRERO</v>
          </cell>
          <cell r="D4989" t="str">
            <v>2017</v>
          </cell>
          <cell r="E4989">
            <v>876</v>
          </cell>
          <cell r="F4989" t="str">
            <v>D3R-742</v>
          </cell>
          <cell r="G4989" t="str">
            <v>D2E-975</v>
          </cell>
          <cell r="H4989" t="str">
            <v>LAS BAMBAS</v>
          </cell>
          <cell r="I4989">
            <v>159455</v>
          </cell>
          <cell r="J4989" t="str">
            <v>REPUESTO</v>
          </cell>
          <cell r="K4989" t="str">
            <v>MANGUERA NRO2</v>
          </cell>
          <cell r="L4989">
            <v>2</v>
          </cell>
          <cell r="M4989" t="str">
            <v>UNID.</v>
          </cell>
          <cell r="N4989" t="str">
            <v>TRACTO</v>
          </cell>
          <cell r="O4989">
            <v>0</v>
          </cell>
          <cell r="P4989" t="str">
            <v>M8</v>
          </cell>
          <cell r="Q4989" t="str">
            <v>J1</v>
          </cell>
          <cell r="R4989" t="str">
            <v>J8</v>
          </cell>
          <cell r="S4989" t="str">
            <v>ENTREGADO</v>
          </cell>
          <cell r="T4989">
            <v>42772</v>
          </cell>
          <cell r="U4989" t="str">
            <v>VARILLAS GAGO  OSCAR ALBERTO</v>
          </cell>
          <cell r="V4989" t="str">
            <v>FLOREZ CONDORI  JOSE WILLIANS</v>
          </cell>
        </row>
        <row r="4990">
          <cell r="A4990">
            <v>4989</v>
          </cell>
          <cell r="B4990">
            <v>42772</v>
          </cell>
          <cell r="C4990" t="str">
            <v>FEBRERO</v>
          </cell>
          <cell r="D4990" t="str">
            <v>2017</v>
          </cell>
          <cell r="E4990">
            <v>876</v>
          </cell>
          <cell r="F4990" t="str">
            <v>D3R-742</v>
          </cell>
          <cell r="G4990" t="str">
            <v>D2E-975</v>
          </cell>
          <cell r="H4990" t="str">
            <v>LAS BAMBAS</v>
          </cell>
          <cell r="I4990">
            <v>159455</v>
          </cell>
          <cell r="J4990" t="str">
            <v>REPUESTO</v>
          </cell>
          <cell r="K4990" t="str">
            <v>NIPLE NRO 04</v>
          </cell>
          <cell r="L4990">
            <v>2</v>
          </cell>
          <cell r="M4990" t="str">
            <v>UNID.</v>
          </cell>
          <cell r="N4990" t="str">
            <v>TRACTO</v>
          </cell>
          <cell r="O4990">
            <v>0</v>
          </cell>
          <cell r="P4990" t="str">
            <v>M8</v>
          </cell>
          <cell r="Q4990" t="str">
            <v>J1</v>
          </cell>
          <cell r="R4990" t="str">
            <v>J8</v>
          </cell>
          <cell r="S4990" t="str">
            <v>ENTREGADO</v>
          </cell>
          <cell r="T4990">
            <v>42772</v>
          </cell>
          <cell r="U4990" t="str">
            <v>VARILLAS GAGO  OSCAR ALBERTO</v>
          </cell>
          <cell r="V4990" t="str">
            <v>FLOREZ CONDORI  JOSE WILLIANS</v>
          </cell>
        </row>
        <row r="4991">
          <cell r="A4991">
            <v>4990</v>
          </cell>
          <cell r="B4991">
            <v>42772</v>
          </cell>
          <cell r="C4991" t="str">
            <v>FEBRERO</v>
          </cell>
          <cell r="D4991" t="str">
            <v>2017</v>
          </cell>
          <cell r="E4991">
            <v>876</v>
          </cell>
          <cell r="F4991" t="str">
            <v>D3R-742</v>
          </cell>
          <cell r="G4991" t="str">
            <v>D2E-975</v>
          </cell>
          <cell r="H4991" t="str">
            <v>LAS BAMBAS</v>
          </cell>
          <cell r="I4991">
            <v>159455</v>
          </cell>
          <cell r="J4991" t="str">
            <v>REPUESTO</v>
          </cell>
          <cell r="K4991" t="str">
            <v>NIPLE NRO 3.37</v>
          </cell>
          <cell r="L4991">
            <v>1</v>
          </cell>
          <cell r="M4991" t="str">
            <v>UNID.</v>
          </cell>
          <cell r="N4991" t="str">
            <v>TRACTO</v>
          </cell>
          <cell r="O4991">
            <v>0</v>
          </cell>
          <cell r="P4991" t="str">
            <v>M8</v>
          </cell>
          <cell r="Q4991" t="str">
            <v>J1</v>
          </cell>
          <cell r="R4991" t="str">
            <v>J8</v>
          </cell>
          <cell r="S4991" t="str">
            <v>ENTREGADO</v>
          </cell>
          <cell r="T4991">
            <v>42772</v>
          </cell>
          <cell r="U4991" t="str">
            <v>VARILLAS GAGO  OSCAR ALBERTO</v>
          </cell>
          <cell r="V4991" t="str">
            <v>FLOREZ CONDORI  JOSE WILLIANS</v>
          </cell>
        </row>
        <row r="4992">
          <cell r="A4992">
            <v>4991</v>
          </cell>
          <cell r="B4992">
            <v>42772</v>
          </cell>
          <cell r="C4992" t="str">
            <v>FEBRERO</v>
          </cell>
          <cell r="D4992" t="str">
            <v>2017</v>
          </cell>
          <cell r="E4992">
            <v>876</v>
          </cell>
          <cell r="F4992" t="str">
            <v>D3R-742</v>
          </cell>
          <cell r="G4992" t="str">
            <v>D2E-975</v>
          </cell>
          <cell r="H4992" t="str">
            <v>LAS BAMBAS</v>
          </cell>
          <cell r="I4992">
            <v>159455</v>
          </cell>
          <cell r="J4992" t="str">
            <v>REPUESTO</v>
          </cell>
          <cell r="K4992" t="str">
            <v>NIPLE 3.29</v>
          </cell>
          <cell r="L4992">
            <v>1</v>
          </cell>
          <cell r="M4992" t="str">
            <v>UNID.</v>
          </cell>
          <cell r="N4992" t="str">
            <v>TRACTO</v>
          </cell>
          <cell r="O4992">
            <v>0</v>
          </cell>
          <cell r="P4992" t="str">
            <v>M8</v>
          </cell>
          <cell r="Q4992" t="str">
            <v>J1</v>
          </cell>
          <cell r="R4992" t="str">
            <v>J8</v>
          </cell>
          <cell r="S4992" t="str">
            <v>ENTREGADO</v>
          </cell>
          <cell r="T4992">
            <v>42772</v>
          </cell>
          <cell r="U4992" t="str">
            <v>VARILLAS GAGO  OSCAR ALBERTO</v>
          </cell>
          <cell r="V4992" t="str">
            <v>FLOREZ CONDORI  JOSE WILLIANS</v>
          </cell>
        </row>
        <row r="4993">
          <cell r="A4993">
            <v>4992</v>
          </cell>
          <cell r="B4993">
            <v>42772</v>
          </cell>
          <cell r="C4993" t="str">
            <v>FEBRERO</v>
          </cell>
          <cell r="D4993" t="str">
            <v>2017</v>
          </cell>
          <cell r="E4993">
            <v>991</v>
          </cell>
          <cell r="F4993" t="str">
            <v>A5O-859</v>
          </cell>
          <cell r="G4993" t="str">
            <v>B6Y-971</v>
          </cell>
          <cell r="H4993" t="str">
            <v>LAS BAMBAS</v>
          </cell>
          <cell r="I4993">
            <v>120535</v>
          </cell>
          <cell r="J4993" t="str">
            <v>REPUESTO</v>
          </cell>
          <cell r="K4993" t="str">
            <v>KING PIN</v>
          </cell>
          <cell r="L4993">
            <v>1</v>
          </cell>
          <cell r="M4993" t="str">
            <v>UNID.</v>
          </cell>
          <cell r="N4993" t="str">
            <v>TRACTO</v>
          </cell>
          <cell r="O4993">
            <v>18</v>
          </cell>
          <cell r="P4993" t="str">
            <v>M2</v>
          </cell>
          <cell r="Q4993" t="str">
            <v>J1</v>
          </cell>
          <cell r="R4993" t="str">
            <v>J8</v>
          </cell>
          <cell r="S4993" t="str">
            <v>PENDIENTE</v>
          </cell>
          <cell r="T4993">
            <v>0</v>
          </cell>
          <cell r="U4993" t="str">
            <v>CHUMPITAZ GAGO JULIO ENRIQUE</v>
          </cell>
          <cell r="V4993" t="str">
            <v>FLOREZ CONDORI  JOSE WILLIANS</v>
          </cell>
        </row>
        <row r="4994">
          <cell r="A4994">
            <v>4993</v>
          </cell>
          <cell r="B4994">
            <v>42772</v>
          </cell>
          <cell r="C4994" t="str">
            <v>FEBRERO</v>
          </cell>
          <cell r="D4994" t="str">
            <v>2017</v>
          </cell>
          <cell r="E4994">
            <v>200</v>
          </cell>
          <cell r="F4994" t="str">
            <v>TALLER</v>
          </cell>
          <cell r="G4994" t="str">
            <v>TALLER</v>
          </cell>
          <cell r="H4994" t="str">
            <v>TALLER</v>
          </cell>
          <cell r="I4994" t="str">
            <v>TALLER</v>
          </cell>
          <cell r="J4994" t="str">
            <v>REPUESTO</v>
          </cell>
          <cell r="K4994" t="str">
            <v>ESPATULA</v>
          </cell>
          <cell r="L4994">
            <v>1</v>
          </cell>
          <cell r="M4994" t="str">
            <v>UNID.</v>
          </cell>
          <cell r="N4994" t="str">
            <v>TALLER</v>
          </cell>
          <cell r="O4994">
            <v>0</v>
          </cell>
          <cell r="P4994" t="str">
            <v>J1</v>
          </cell>
          <cell r="Q4994" t="str">
            <v>J1</v>
          </cell>
          <cell r="R4994" t="str">
            <v>J8</v>
          </cell>
          <cell r="S4994" t="str">
            <v>ENTREGADO</v>
          </cell>
          <cell r="T4994">
            <v>42772</v>
          </cell>
          <cell r="U4994" t="str">
            <v>FLOREZ CONDORI  JOSE WILLIANS</v>
          </cell>
          <cell r="V4994" t="str">
            <v>FLOREZ CONDORI  JOSE WILLIANS</v>
          </cell>
        </row>
        <row r="4995">
          <cell r="A4995">
            <v>4994</v>
          </cell>
          <cell r="B4995">
            <v>42772</v>
          </cell>
          <cell r="C4995" t="str">
            <v>FEBRERO</v>
          </cell>
          <cell r="D4995" t="str">
            <v>2017</v>
          </cell>
          <cell r="E4995">
            <v>1001</v>
          </cell>
          <cell r="F4995" t="str">
            <v>AAM-837</v>
          </cell>
          <cell r="G4995" t="str">
            <v>CAMIONETA</v>
          </cell>
          <cell r="H4995" t="str">
            <v>LAS BAMBAS</v>
          </cell>
          <cell r="I4995">
            <v>126915</v>
          </cell>
          <cell r="J4995" t="str">
            <v>REPUESTO</v>
          </cell>
          <cell r="K4995" t="str">
            <v>FILTRO DE COMBUSTIBLE</v>
          </cell>
          <cell r="L4995">
            <v>1</v>
          </cell>
          <cell r="M4995" t="str">
            <v>UNID.</v>
          </cell>
          <cell r="N4995" t="str">
            <v>CAMIONETA</v>
          </cell>
          <cell r="O4995">
            <v>0</v>
          </cell>
          <cell r="P4995" t="str">
            <v>J8</v>
          </cell>
          <cell r="Q4995" t="str">
            <v>J1</v>
          </cell>
          <cell r="R4995" t="str">
            <v>J8</v>
          </cell>
          <cell r="S4995" t="str">
            <v>ENTREGADO</v>
          </cell>
          <cell r="T4995">
            <v>42772</v>
          </cell>
          <cell r="U4995" t="str">
            <v>ARANGO PAREJA ANGELA ROSARIO</v>
          </cell>
          <cell r="V4995" t="str">
            <v>FLOREZ CONDORI  JOSE WILLIANS</v>
          </cell>
        </row>
        <row r="4996">
          <cell r="A4996">
            <v>4995</v>
          </cell>
          <cell r="B4996">
            <v>42772</v>
          </cell>
          <cell r="C4996" t="str">
            <v>FEBRERO</v>
          </cell>
          <cell r="D4996" t="str">
            <v>2017</v>
          </cell>
          <cell r="E4996">
            <v>1001</v>
          </cell>
          <cell r="F4996" t="str">
            <v>AAM-837</v>
          </cell>
          <cell r="G4996" t="str">
            <v>CAMIONETA</v>
          </cell>
          <cell r="H4996" t="str">
            <v>LAS BAMBAS</v>
          </cell>
          <cell r="I4996">
            <v>126915</v>
          </cell>
          <cell r="J4996" t="str">
            <v>REPUESTO</v>
          </cell>
          <cell r="K4996" t="str">
            <v>FILTRO DE ACEITE</v>
          </cell>
          <cell r="L4996">
            <v>1</v>
          </cell>
          <cell r="M4996" t="str">
            <v>UNID.</v>
          </cell>
          <cell r="N4996" t="str">
            <v>CAMIONETA</v>
          </cell>
          <cell r="O4996">
            <v>0</v>
          </cell>
          <cell r="P4996" t="str">
            <v>J8</v>
          </cell>
          <cell r="Q4996" t="str">
            <v>J1</v>
          </cell>
          <cell r="R4996" t="str">
            <v>J8</v>
          </cell>
          <cell r="S4996" t="str">
            <v>ENTREGADO</v>
          </cell>
          <cell r="T4996">
            <v>42772</v>
          </cell>
          <cell r="U4996" t="str">
            <v>ARANGO PAREJA ANGELA ROSARIO</v>
          </cell>
          <cell r="V4996" t="str">
            <v>FLOREZ CONDORI  JOSE WILLIANS</v>
          </cell>
        </row>
        <row r="4997">
          <cell r="A4997">
            <v>4996</v>
          </cell>
          <cell r="B4997">
            <v>42772</v>
          </cell>
          <cell r="C4997" t="str">
            <v>FEBRERO</v>
          </cell>
          <cell r="D4997" t="str">
            <v>2017</v>
          </cell>
          <cell r="E4997">
            <v>1001</v>
          </cell>
          <cell r="F4997" t="str">
            <v>AAM-837</v>
          </cell>
          <cell r="G4997" t="str">
            <v>CAMIONETA</v>
          </cell>
          <cell r="H4997" t="str">
            <v>LAS BAMBAS</v>
          </cell>
          <cell r="I4997">
            <v>126915</v>
          </cell>
          <cell r="J4997" t="str">
            <v>REPUESTO</v>
          </cell>
          <cell r="K4997" t="str">
            <v>FILTRO DE AIRE</v>
          </cell>
          <cell r="L4997">
            <v>1</v>
          </cell>
          <cell r="M4997" t="str">
            <v>UNID.</v>
          </cell>
          <cell r="N4997" t="str">
            <v>CAMIONETA</v>
          </cell>
          <cell r="O4997">
            <v>0</v>
          </cell>
          <cell r="P4997" t="str">
            <v>J8</v>
          </cell>
          <cell r="Q4997" t="str">
            <v>J1</v>
          </cell>
          <cell r="R4997" t="str">
            <v>J8</v>
          </cell>
          <cell r="S4997" t="str">
            <v>ENTREGADO</v>
          </cell>
          <cell r="T4997">
            <v>42772</v>
          </cell>
          <cell r="U4997" t="str">
            <v>ARANGO PAREJA ANGELA ROSARIO</v>
          </cell>
          <cell r="V4997" t="str">
            <v>FLOREZ CONDORI  JOSE WILLIANS</v>
          </cell>
        </row>
        <row r="4998">
          <cell r="A4998">
            <v>4997</v>
          </cell>
          <cell r="B4998">
            <v>42772</v>
          </cell>
          <cell r="C4998" t="str">
            <v>FEBRERO</v>
          </cell>
          <cell r="D4998" t="str">
            <v>2017</v>
          </cell>
          <cell r="E4998">
            <v>1001</v>
          </cell>
          <cell r="F4998" t="str">
            <v>AAM-837</v>
          </cell>
          <cell r="G4998" t="str">
            <v>CAMIONETA</v>
          </cell>
          <cell r="H4998" t="str">
            <v>LAS BAMBAS</v>
          </cell>
          <cell r="I4998">
            <v>126915</v>
          </cell>
          <cell r="J4998" t="str">
            <v>REPUESTO</v>
          </cell>
          <cell r="K4998" t="str">
            <v>ACEITE DE MOTOR 15W40</v>
          </cell>
          <cell r="L4998">
            <v>2</v>
          </cell>
          <cell r="M4998" t="str">
            <v>GLNS.</v>
          </cell>
          <cell r="N4998" t="str">
            <v>CAMIONETA</v>
          </cell>
          <cell r="O4998">
            <v>0</v>
          </cell>
          <cell r="P4998" t="str">
            <v>J8</v>
          </cell>
          <cell r="Q4998" t="str">
            <v>J1</v>
          </cell>
          <cell r="R4998" t="str">
            <v>J8</v>
          </cell>
          <cell r="S4998" t="str">
            <v>ENTREGADO</v>
          </cell>
          <cell r="T4998">
            <v>42772</v>
          </cell>
          <cell r="U4998" t="str">
            <v>ARANGO PAREJA ANGELA ROSARIO</v>
          </cell>
          <cell r="V4998" t="str">
            <v>FLOREZ CONDORI  JOSE WILLIANS</v>
          </cell>
        </row>
        <row r="4999">
          <cell r="A4999">
            <v>4998</v>
          </cell>
          <cell r="B4999">
            <v>42772</v>
          </cell>
          <cell r="C4999" t="str">
            <v>FEBRERO</v>
          </cell>
          <cell r="D4999" t="str">
            <v>2017</v>
          </cell>
          <cell r="E4999">
            <v>1003</v>
          </cell>
          <cell r="F4999" t="str">
            <v>C5R-899</v>
          </cell>
          <cell r="G4999" t="str">
            <v>A0U-978</v>
          </cell>
          <cell r="H4999" t="str">
            <v>LAS BAMBAS</v>
          </cell>
          <cell r="I4999">
            <v>263967</v>
          </cell>
          <cell r="J4999" t="str">
            <v>REPUESTO</v>
          </cell>
          <cell r="K4999" t="str">
            <v>GOBERNADOR  DE AIRE</v>
          </cell>
          <cell r="L4999">
            <v>1</v>
          </cell>
          <cell r="M4999" t="str">
            <v>UNID.</v>
          </cell>
          <cell r="N4999" t="str">
            <v>TRACTO</v>
          </cell>
          <cell r="O4999">
            <v>0</v>
          </cell>
          <cell r="P4999" t="str">
            <v>M2</v>
          </cell>
          <cell r="Q4999" t="str">
            <v>J1</v>
          </cell>
          <cell r="R4999" t="str">
            <v>J8</v>
          </cell>
          <cell r="S4999" t="str">
            <v>ENTREGADO</v>
          </cell>
          <cell r="T4999">
            <v>42772</v>
          </cell>
          <cell r="U4999" t="str">
            <v>CHUMPITAZ GAGO JULIO ENRIQUE</v>
          </cell>
          <cell r="V4999" t="str">
            <v>FLOREZ CONDORI  JOSE WILLIANS</v>
          </cell>
        </row>
        <row r="5000">
          <cell r="A5000">
            <v>4999</v>
          </cell>
          <cell r="B5000">
            <v>42772</v>
          </cell>
          <cell r="C5000" t="str">
            <v>FEBRERO</v>
          </cell>
          <cell r="D5000" t="str">
            <v>2017</v>
          </cell>
          <cell r="E5000">
            <v>999</v>
          </cell>
          <cell r="F5000" t="str">
            <v>D3P-743</v>
          </cell>
          <cell r="G5000" t="str">
            <v>B8L-972</v>
          </cell>
          <cell r="H5000" t="str">
            <v>LAS BAMBAS</v>
          </cell>
          <cell r="I5000">
            <v>191072</v>
          </cell>
          <cell r="J5000" t="str">
            <v>REPUESTO</v>
          </cell>
          <cell r="K5000" t="str">
            <v>FILTRO DE AIRE</v>
          </cell>
          <cell r="L5000">
            <v>1</v>
          </cell>
          <cell r="M5000" t="str">
            <v>UNID.</v>
          </cell>
          <cell r="N5000" t="str">
            <v>TRACTO</v>
          </cell>
          <cell r="O5000">
            <v>0</v>
          </cell>
          <cell r="P5000" t="str">
            <v>M2</v>
          </cell>
          <cell r="Q5000" t="str">
            <v>J1</v>
          </cell>
          <cell r="R5000" t="str">
            <v>J8</v>
          </cell>
          <cell r="S5000" t="str">
            <v>ENTREGADO</v>
          </cell>
          <cell r="T5000">
            <v>42772</v>
          </cell>
          <cell r="U5000" t="str">
            <v>CHUMPITAZ GAGO JULIO ENRIQUE</v>
          </cell>
          <cell r="V5000" t="str">
            <v>FLOREZ CONDORI  JOSE WILLIANS</v>
          </cell>
        </row>
        <row r="5001">
          <cell r="A5001">
            <v>5000</v>
          </cell>
          <cell r="B5001">
            <v>42772</v>
          </cell>
          <cell r="C5001" t="str">
            <v>FEBRERO</v>
          </cell>
          <cell r="D5001" t="str">
            <v>2017</v>
          </cell>
          <cell r="E5001">
            <v>1004</v>
          </cell>
          <cell r="F5001" t="str">
            <v>D3N-721</v>
          </cell>
          <cell r="G5001" t="str">
            <v>C4S-979</v>
          </cell>
          <cell r="H5001" t="str">
            <v>LAS BAMBAS</v>
          </cell>
          <cell r="I5001">
            <v>144759</v>
          </cell>
          <cell r="J5001" t="str">
            <v>REPUESTO</v>
          </cell>
          <cell r="K5001" t="str">
            <v>BATERIA</v>
          </cell>
          <cell r="L5001">
            <v>4</v>
          </cell>
          <cell r="M5001" t="str">
            <v>UNID.</v>
          </cell>
          <cell r="N5001" t="str">
            <v>TRACTO</v>
          </cell>
          <cell r="O5001">
            <v>0</v>
          </cell>
          <cell r="P5001" t="str">
            <v>E2</v>
          </cell>
          <cell r="Q5001" t="str">
            <v>J1</v>
          </cell>
          <cell r="R5001" t="str">
            <v>J8</v>
          </cell>
          <cell r="S5001" t="str">
            <v>ENTREGADO</v>
          </cell>
          <cell r="T5001">
            <v>42772</v>
          </cell>
          <cell r="U5001" t="str">
            <v>YUCA BELLIDO BORIS YERSY</v>
          </cell>
          <cell r="V5001" t="str">
            <v>FLOREZ CONDORI  JOSE WILLIANS</v>
          </cell>
        </row>
        <row r="5002">
          <cell r="A5002">
            <v>5001</v>
          </cell>
          <cell r="B5002">
            <v>42772</v>
          </cell>
          <cell r="C5002" t="str">
            <v>FEBRERO</v>
          </cell>
          <cell r="D5002" t="str">
            <v>2017</v>
          </cell>
          <cell r="E5002">
            <v>1003</v>
          </cell>
          <cell r="F5002" t="str">
            <v>C5R-899</v>
          </cell>
          <cell r="G5002" t="str">
            <v>A0U-978</v>
          </cell>
          <cell r="H5002" t="str">
            <v>LAS BAMBAS</v>
          </cell>
          <cell r="I5002">
            <v>263967</v>
          </cell>
          <cell r="J5002" t="str">
            <v>REPUESTO</v>
          </cell>
          <cell r="K5002" t="str">
            <v>FARO NEBLINERO AAA</v>
          </cell>
          <cell r="L5002">
            <v>2</v>
          </cell>
          <cell r="M5002" t="str">
            <v>UNID.</v>
          </cell>
          <cell r="N5002" t="str">
            <v>TRACTO</v>
          </cell>
          <cell r="O5002">
            <v>0</v>
          </cell>
          <cell r="P5002" t="str">
            <v>E2</v>
          </cell>
          <cell r="Q5002" t="str">
            <v>J1</v>
          </cell>
          <cell r="R5002" t="str">
            <v>J8</v>
          </cell>
          <cell r="S5002" t="str">
            <v>ENTREGADO</v>
          </cell>
          <cell r="T5002">
            <v>42772</v>
          </cell>
          <cell r="U5002" t="str">
            <v>YUCA BELLIDO BORIS YERSY</v>
          </cell>
          <cell r="V5002" t="str">
            <v>FLOREZ CONDORI  JOSE WILLIANS</v>
          </cell>
        </row>
        <row r="5003">
          <cell r="A5003">
            <v>5002</v>
          </cell>
          <cell r="B5003">
            <v>42772</v>
          </cell>
          <cell r="C5003" t="str">
            <v>FEBRERO</v>
          </cell>
          <cell r="D5003" t="str">
            <v>2017</v>
          </cell>
          <cell r="E5003">
            <v>1005</v>
          </cell>
          <cell r="F5003" t="str">
            <v>APF-776</v>
          </cell>
          <cell r="G5003" t="str">
            <v>CAMIONETA</v>
          </cell>
          <cell r="H5003" t="str">
            <v>LAS BAMBAS</v>
          </cell>
          <cell r="I5003">
            <v>15155</v>
          </cell>
          <cell r="J5003" t="str">
            <v>REPUESTO</v>
          </cell>
          <cell r="K5003" t="str">
            <v>FILTRO DE COMBUSTIBLE</v>
          </cell>
          <cell r="L5003">
            <v>1</v>
          </cell>
          <cell r="M5003" t="str">
            <v>UNID.</v>
          </cell>
          <cell r="N5003" t="str">
            <v>TRACTO</v>
          </cell>
          <cell r="O5003">
            <v>0</v>
          </cell>
          <cell r="P5003" t="str">
            <v>M6</v>
          </cell>
          <cell r="Q5003" t="str">
            <v>J1</v>
          </cell>
          <cell r="R5003" t="str">
            <v>J8</v>
          </cell>
          <cell r="S5003" t="str">
            <v>ENTREGADO</v>
          </cell>
          <cell r="T5003">
            <v>42772</v>
          </cell>
          <cell r="U5003" t="str">
            <v>PARI VENTURA  EDSON ORLANDO</v>
          </cell>
          <cell r="V5003" t="str">
            <v>FLOREZ CONDORI  JOSE WILLIANS</v>
          </cell>
        </row>
        <row r="5004">
          <cell r="A5004">
            <v>5003</v>
          </cell>
          <cell r="B5004">
            <v>42772</v>
          </cell>
          <cell r="C5004" t="str">
            <v>FEBRERO</v>
          </cell>
          <cell r="D5004" t="str">
            <v>2017</v>
          </cell>
          <cell r="E5004">
            <v>1005</v>
          </cell>
          <cell r="F5004" t="str">
            <v>APF-776</v>
          </cell>
          <cell r="G5004" t="str">
            <v>CAMIONETA</v>
          </cell>
          <cell r="H5004" t="str">
            <v>LAS BAMBAS</v>
          </cell>
          <cell r="I5004">
            <v>15155</v>
          </cell>
          <cell r="J5004" t="str">
            <v>REPUESTO</v>
          </cell>
          <cell r="K5004" t="str">
            <v>FILTRO DE ACEITE</v>
          </cell>
          <cell r="L5004">
            <v>1</v>
          </cell>
          <cell r="M5004" t="str">
            <v>UNID.</v>
          </cell>
          <cell r="N5004" t="str">
            <v>TRACTO</v>
          </cell>
          <cell r="O5004">
            <v>0</v>
          </cell>
          <cell r="P5004" t="str">
            <v>M6</v>
          </cell>
          <cell r="Q5004" t="str">
            <v>J1</v>
          </cell>
          <cell r="R5004" t="str">
            <v>J8</v>
          </cell>
          <cell r="S5004" t="str">
            <v>ENTREGADO</v>
          </cell>
          <cell r="T5004">
            <v>42772</v>
          </cell>
          <cell r="U5004" t="str">
            <v>PARI VENTURA  EDSON ORLANDO</v>
          </cell>
          <cell r="V5004" t="str">
            <v>FLOREZ CONDORI  JOSE WILLIANS</v>
          </cell>
        </row>
        <row r="5005">
          <cell r="A5005">
            <v>5004</v>
          </cell>
          <cell r="B5005">
            <v>42772</v>
          </cell>
          <cell r="C5005" t="str">
            <v>FEBRERO</v>
          </cell>
          <cell r="D5005" t="str">
            <v>2017</v>
          </cell>
          <cell r="E5005">
            <v>1005</v>
          </cell>
          <cell r="F5005" t="str">
            <v>APF-776</v>
          </cell>
          <cell r="G5005" t="str">
            <v>CAMIONETA</v>
          </cell>
          <cell r="H5005" t="str">
            <v>LAS BAMBAS</v>
          </cell>
          <cell r="I5005">
            <v>15155</v>
          </cell>
          <cell r="J5005" t="str">
            <v>REPUESTO</v>
          </cell>
          <cell r="K5005" t="str">
            <v>FILTRO DE AIRE</v>
          </cell>
          <cell r="L5005">
            <v>1</v>
          </cell>
          <cell r="M5005" t="str">
            <v>UNID.</v>
          </cell>
          <cell r="N5005" t="str">
            <v>TRACTO</v>
          </cell>
          <cell r="O5005">
            <v>0</v>
          </cell>
          <cell r="P5005" t="str">
            <v>M6</v>
          </cell>
          <cell r="Q5005" t="str">
            <v>J1</v>
          </cell>
          <cell r="R5005" t="str">
            <v>J8</v>
          </cell>
          <cell r="S5005" t="str">
            <v>ENTREGADO</v>
          </cell>
          <cell r="T5005">
            <v>42772</v>
          </cell>
          <cell r="U5005" t="str">
            <v>PARI VENTURA  EDSON ORLANDO</v>
          </cell>
          <cell r="V5005" t="str">
            <v>FLOREZ CONDORI  JOSE WILLIANS</v>
          </cell>
        </row>
        <row r="5006">
          <cell r="A5006">
            <v>5005</v>
          </cell>
          <cell r="B5006">
            <v>42772</v>
          </cell>
          <cell r="C5006" t="str">
            <v>FEBRERO</v>
          </cell>
          <cell r="D5006" t="str">
            <v>2017</v>
          </cell>
          <cell r="E5006">
            <v>1005</v>
          </cell>
          <cell r="F5006" t="str">
            <v>APF-776</v>
          </cell>
          <cell r="G5006" t="str">
            <v>CAMIONETA</v>
          </cell>
          <cell r="H5006" t="str">
            <v>LAS BAMBAS</v>
          </cell>
          <cell r="I5006">
            <v>15155</v>
          </cell>
          <cell r="J5006" t="str">
            <v>REPUESTO</v>
          </cell>
          <cell r="K5006" t="str">
            <v>ACEITE DE MOTOR 15W40</v>
          </cell>
          <cell r="L5006">
            <v>2</v>
          </cell>
          <cell r="M5006" t="str">
            <v>GLNS.</v>
          </cell>
          <cell r="N5006" t="str">
            <v>TRACTO</v>
          </cell>
          <cell r="O5006">
            <v>0</v>
          </cell>
          <cell r="P5006" t="str">
            <v>M6</v>
          </cell>
          <cell r="Q5006" t="str">
            <v>J1</v>
          </cell>
          <cell r="R5006" t="str">
            <v>J8</v>
          </cell>
          <cell r="S5006" t="str">
            <v>ENTREGADO</v>
          </cell>
          <cell r="T5006">
            <v>42772</v>
          </cell>
          <cell r="U5006" t="str">
            <v>PARI VENTURA  EDSON ORLANDO</v>
          </cell>
          <cell r="V5006" t="str">
            <v>FLOREZ CONDORI  JOSE WILLIANS</v>
          </cell>
        </row>
        <row r="5007">
          <cell r="A5007">
            <v>5006</v>
          </cell>
          <cell r="B5007">
            <v>42772</v>
          </cell>
          <cell r="C5007" t="str">
            <v>FEBRERO</v>
          </cell>
          <cell r="D5007" t="str">
            <v>2017</v>
          </cell>
          <cell r="E5007">
            <v>200</v>
          </cell>
          <cell r="F5007" t="str">
            <v>TALLER</v>
          </cell>
          <cell r="G5007" t="str">
            <v>TALLER</v>
          </cell>
          <cell r="H5007" t="str">
            <v>TALLER</v>
          </cell>
          <cell r="I5007" t="str">
            <v>TALLER</v>
          </cell>
          <cell r="J5007" t="str">
            <v>REPUESTO</v>
          </cell>
          <cell r="K5007" t="str">
            <v>CINTA AISLANTE NEGRA</v>
          </cell>
          <cell r="L5007">
            <v>1</v>
          </cell>
          <cell r="M5007" t="str">
            <v>UNID.</v>
          </cell>
          <cell r="N5007" t="str">
            <v>TRACTO</v>
          </cell>
          <cell r="O5007">
            <v>0</v>
          </cell>
          <cell r="P5007" t="str">
            <v>E3</v>
          </cell>
          <cell r="Q5007" t="str">
            <v>J1</v>
          </cell>
          <cell r="R5007" t="str">
            <v>J8</v>
          </cell>
          <cell r="S5007" t="str">
            <v>ENTREGADO</v>
          </cell>
          <cell r="T5007">
            <v>42772</v>
          </cell>
          <cell r="U5007" t="str">
            <v>CONDORI CHURATA ALEX</v>
          </cell>
          <cell r="V5007" t="str">
            <v>FLOREZ CONDORI  JOSE WILLIANS</v>
          </cell>
        </row>
        <row r="5008">
          <cell r="A5008">
            <v>5007</v>
          </cell>
          <cell r="B5008">
            <v>42773</v>
          </cell>
          <cell r="C5008" t="str">
            <v>FEBRERO</v>
          </cell>
          <cell r="D5008" t="str">
            <v>2017</v>
          </cell>
          <cell r="E5008">
            <v>982</v>
          </cell>
          <cell r="F5008" t="str">
            <v>B2L-889</v>
          </cell>
          <cell r="G5008" t="str">
            <v>CAMION</v>
          </cell>
          <cell r="H5008" t="str">
            <v>TAMBOMAYO</v>
          </cell>
          <cell r="I5008">
            <v>125988</v>
          </cell>
          <cell r="J5008" t="str">
            <v>REPUESTO</v>
          </cell>
          <cell r="K5008" t="str">
            <v>JUEGO DE METALES DE VIELA ESTANDAR</v>
          </cell>
          <cell r="L5008">
            <v>1</v>
          </cell>
          <cell r="M5008" t="str">
            <v>UNID.</v>
          </cell>
          <cell r="N5008" t="str">
            <v>TRACTO</v>
          </cell>
          <cell r="O5008">
            <v>17</v>
          </cell>
          <cell r="P5008" t="str">
            <v>M2</v>
          </cell>
          <cell r="Q5008" t="str">
            <v>J1</v>
          </cell>
          <cell r="R5008" t="str">
            <v>J8</v>
          </cell>
          <cell r="S5008" t="str">
            <v>PENDIENTE</v>
          </cell>
          <cell r="T5008">
            <v>0</v>
          </cell>
          <cell r="U5008" t="str">
            <v>CHUMPITAZ GAGO JULIO ENRIQUE</v>
          </cell>
          <cell r="V5008" t="str">
            <v>FLOREZ CONDORI  JOSE WILLIANS</v>
          </cell>
        </row>
        <row r="5009">
          <cell r="A5009">
            <v>5008</v>
          </cell>
          <cell r="B5009">
            <v>42773</v>
          </cell>
          <cell r="C5009" t="str">
            <v>FEBRERO</v>
          </cell>
          <cell r="D5009" t="str">
            <v>2017</v>
          </cell>
          <cell r="E5009">
            <v>982</v>
          </cell>
          <cell r="F5009" t="str">
            <v>B2L-889</v>
          </cell>
          <cell r="G5009" t="str">
            <v>CAMION</v>
          </cell>
          <cell r="H5009" t="str">
            <v>TAMBOMAYO</v>
          </cell>
          <cell r="I5009">
            <v>125988</v>
          </cell>
          <cell r="J5009" t="str">
            <v>REPUESTO</v>
          </cell>
          <cell r="K5009" t="str">
            <v>JUEGO DE METALES BANCADA  ESTANDAR</v>
          </cell>
          <cell r="L5009">
            <v>1</v>
          </cell>
          <cell r="M5009" t="str">
            <v>UNID.</v>
          </cell>
          <cell r="N5009" t="str">
            <v>TRACTO</v>
          </cell>
          <cell r="O5009">
            <v>17</v>
          </cell>
          <cell r="P5009" t="str">
            <v>M2</v>
          </cell>
          <cell r="Q5009" t="str">
            <v>J1</v>
          </cell>
          <cell r="R5009" t="str">
            <v>J8</v>
          </cell>
          <cell r="S5009" t="str">
            <v>PENDIENTE</v>
          </cell>
          <cell r="T5009">
            <v>0</v>
          </cell>
          <cell r="U5009" t="str">
            <v>CHUMPITAZ GAGO JULIO ENRIQUE</v>
          </cell>
          <cell r="V5009" t="str">
            <v>FLOREZ CONDORI  JOSE WILLIANS</v>
          </cell>
        </row>
        <row r="5010">
          <cell r="A5010">
            <v>5009</v>
          </cell>
          <cell r="B5010">
            <v>42773</v>
          </cell>
          <cell r="C5010" t="str">
            <v>FEBRERO</v>
          </cell>
          <cell r="D5010" t="str">
            <v>2017</v>
          </cell>
          <cell r="E5010">
            <v>982</v>
          </cell>
          <cell r="F5010" t="str">
            <v>B2L-889</v>
          </cell>
          <cell r="G5010" t="str">
            <v>CAMION</v>
          </cell>
          <cell r="H5010" t="str">
            <v>TAMBOMAYO</v>
          </cell>
          <cell r="I5010">
            <v>125988</v>
          </cell>
          <cell r="J5010" t="str">
            <v>REPUESTO</v>
          </cell>
          <cell r="K5010" t="str">
            <v>JUEGO SEPARADOR ESTANDAR</v>
          </cell>
          <cell r="L5010">
            <v>1</v>
          </cell>
          <cell r="M5010" t="str">
            <v>UNID.</v>
          </cell>
          <cell r="N5010" t="str">
            <v>TRACTO</v>
          </cell>
          <cell r="O5010">
            <v>17</v>
          </cell>
          <cell r="P5010" t="str">
            <v>M2</v>
          </cell>
          <cell r="Q5010" t="str">
            <v>J1</v>
          </cell>
          <cell r="R5010" t="str">
            <v>J8</v>
          </cell>
          <cell r="S5010" t="str">
            <v>PENDIENTE</v>
          </cell>
          <cell r="T5010">
            <v>0</v>
          </cell>
          <cell r="U5010" t="str">
            <v>CHUMPITAZ GAGO JULIO ENRIQUE</v>
          </cell>
          <cell r="V5010" t="str">
            <v>FLOREZ CONDORI  JOSE WILLIANS</v>
          </cell>
        </row>
        <row r="5011">
          <cell r="A5011">
            <v>5010</v>
          </cell>
          <cell r="B5011">
            <v>42773</v>
          </cell>
          <cell r="C5011" t="str">
            <v>FEBRERO</v>
          </cell>
          <cell r="D5011" t="str">
            <v>2017</v>
          </cell>
          <cell r="E5011">
            <v>982</v>
          </cell>
          <cell r="F5011" t="str">
            <v>B2L-889</v>
          </cell>
          <cell r="G5011" t="str">
            <v>CAMION</v>
          </cell>
          <cell r="H5011" t="str">
            <v>TAMBOMAYO</v>
          </cell>
          <cell r="I5011">
            <v>125988</v>
          </cell>
          <cell r="J5011" t="str">
            <v>REPUESTO</v>
          </cell>
          <cell r="K5011" t="str">
            <v>CAMISAS</v>
          </cell>
          <cell r="L5011">
            <v>6</v>
          </cell>
          <cell r="M5011" t="str">
            <v>UNID.</v>
          </cell>
          <cell r="N5011" t="str">
            <v>TRACTO</v>
          </cell>
          <cell r="O5011">
            <v>17</v>
          </cell>
          <cell r="P5011" t="str">
            <v>M2</v>
          </cell>
          <cell r="Q5011" t="str">
            <v>J1</v>
          </cell>
          <cell r="R5011" t="str">
            <v>J8</v>
          </cell>
          <cell r="S5011" t="str">
            <v>PENDIENTE</v>
          </cell>
          <cell r="T5011">
            <v>0</v>
          </cell>
          <cell r="U5011" t="str">
            <v>CHUMPITAZ GAGO JULIO ENRIQUE</v>
          </cell>
          <cell r="V5011" t="str">
            <v>FLOREZ CONDORI  JOSE WILLIANS</v>
          </cell>
        </row>
        <row r="5012">
          <cell r="A5012">
            <v>5011</v>
          </cell>
          <cell r="B5012">
            <v>42773</v>
          </cell>
          <cell r="C5012" t="str">
            <v>FEBRERO</v>
          </cell>
          <cell r="D5012" t="str">
            <v>2017</v>
          </cell>
          <cell r="E5012">
            <v>982</v>
          </cell>
          <cell r="F5012" t="str">
            <v>B2L-889</v>
          </cell>
          <cell r="G5012" t="str">
            <v>CAMION</v>
          </cell>
          <cell r="H5012" t="str">
            <v>TAMBOMAYO</v>
          </cell>
          <cell r="I5012">
            <v>125988</v>
          </cell>
          <cell r="J5012" t="str">
            <v>REPUESTO</v>
          </cell>
          <cell r="K5012" t="str">
            <v>JUEGO ANILLO PARA PISTON</v>
          </cell>
          <cell r="L5012">
            <v>1</v>
          </cell>
          <cell r="M5012" t="str">
            <v>UNID.</v>
          </cell>
          <cell r="N5012" t="str">
            <v>TRACTO</v>
          </cell>
          <cell r="O5012">
            <v>17</v>
          </cell>
          <cell r="P5012" t="str">
            <v>M2</v>
          </cell>
          <cell r="Q5012" t="str">
            <v>J1</v>
          </cell>
          <cell r="R5012" t="str">
            <v>J8</v>
          </cell>
          <cell r="S5012" t="str">
            <v>PENDIENTE</v>
          </cell>
          <cell r="T5012">
            <v>0</v>
          </cell>
          <cell r="U5012" t="str">
            <v>CHUMPITAZ GAGO JULIO ENRIQUE</v>
          </cell>
          <cell r="V5012" t="str">
            <v>FLOREZ CONDORI  JOSE WILLIANS</v>
          </cell>
        </row>
        <row r="5013">
          <cell r="A5013">
            <v>5012</v>
          </cell>
          <cell r="B5013">
            <v>42773</v>
          </cell>
          <cell r="C5013" t="str">
            <v>FEBRERO</v>
          </cell>
          <cell r="D5013" t="str">
            <v>2017</v>
          </cell>
          <cell r="E5013">
            <v>982</v>
          </cell>
          <cell r="F5013" t="str">
            <v>B2L-889</v>
          </cell>
          <cell r="G5013" t="str">
            <v>CAMION</v>
          </cell>
          <cell r="H5013" t="str">
            <v>TAMBOMAYO</v>
          </cell>
          <cell r="I5013">
            <v>125988</v>
          </cell>
          <cell r="J5013" t="str">
            <v>REPUESTO</v>
          </cell>
          <cell r="K5013" t="str">
            <v>JUEGO DE EMPAQUES</v>
          </cell>
          <cell r="L5013">
            <v>1</v>
          </cell>
          <cell r="M5013" t="str">
            <v>UNID.</v>
          </cell>
          <cell r="N5013" t="str">
            <v>TRACTO</v>
          </cell>
          <cell r="O5013">
            <v>17</v>
          </cell>
          <cell r="P5013" t="str">
            <v>M2</v>
          </cell>
          <cell r="Q5013" t="str">
            <v>J1</v>
          </cell>
          <cell r="R5013" t="str">
            <v>J8</v>
          </cell>
          <cell r="S5013" t="str">
            <v>PENDIENTE</v>
          </cell>
          <cell r="T5013">
            <v>0</v>
          </cell>
          <cell r="U5013" t="str">
            <v>CHUMPITAZ GAGO JULIO ENRIQUE</v>
          </cell>
          <cell r="V5013" t="str">
            <v>FLOREZ CONDORI  JOSE WILLIANS</v>
          </cell>
        </row>
        <row r="5014">
          <cell r="A5014">
            <v>5013</v>
          </cell>
          <cell r="B5014">
            <v>42773</v>
          </cell>
          <cell r="C5014" t="str">
            <v>FEBRERO</v>
          </cell>
          <cell r="D5014" t="str">
            <v>2017</v>
          </cell>
          <cell r="E5014">
            <v>982</v>
          </cell>
          <cell r="F5014" t="str">
            <v>B2L-889</v>
          </cell>
          <cell r="G5014" t="str">
            <v>CAMION</v>
          </cell>
          <cell r="H5014" t="str">
            <v>TAMBOMAYO</v>
          </cell>
          <cell r="I5014">
            <v>125988</v>
          </cell>
          <cell r="J5014" t="str">
            <v>REPUESTO</v>
          </cell>
          <cell r="K5014" t="str">
            <v>JUEGO DE METALES DE EJE LEVA</v>
          </cell>
          <cell r="L5014">
            <v>1</v>
          </cell>
          <cell r="M5014" t="str">
            <v>UNID.</v>
          </cell>
          <cell r="N5014" t="str">
            <v>TRACTO</v>
          </cell>
          <cell r="O5014">
            <v>17</v>
          </cell>
          <cell r="P5014" t="str">
            <v>M2</v>
          </cell>
          <cell r="Q5014" t="str">
            <v>J1</v>
          </cell>
          <cell r="R5014" t="str">
            <v>J8</v>
          </cell>
          <cell r="S5014" t="str">
            <v>PENDIENTE</v>
          </cell>
          <cell r="T5014">
            <v>0</v>
          </cell>
          <cell r="U5014" t="str">
            <v>CHUMPITAZ GAGO JULIO ENRIQUE</v>
          </cell>
          <cell r="V5014" t="str">
            <v>FLOREZ CONDORI  JOSE WILLIANS</v>
          </cell>
        </row>
        <row r="5015">
          <cell r="A5015">
            <v>5014</v>
          </cell>
          <cell r="B5015">
            <v>42773</v>
          </cell>
          <cell r="C5015" t="str">
            <v>FEBRERO</v>
          </cell>
          <cell r="D5015" t="str">
            <v>2017</v>
          </cell>
          <cell r="E5015">
            <v>982</v>
          </cell>
          <cell r="F5015" t="str">
            <v>B2L-889</v>
          </cell>
          <cell r="G5015" t="str">
            <v>CAMION</v>
          </cell>
          <cell r="H5015" t="str">
            <v>TAMBOMAYO</v>
          </cell>
          <cell r="I5015">
            <v>125988</v>
          </cell>
          <cell r="J5015" t="str">
            <v>REPUESTO</v>
          </cell>
          <cell r="K5015" t="str">
            <v>SERVICIO DE RESTIFICACION DE CULATA</v>
          </cell>
          <cell r="L5015">
            <v>1</v>
          </cell>
          <cell r="M5015" t="str">
            <v>UNID.</v>
          </cell>
          <cell r="N5015" t="str">
            <v>TRACTO</v>
          </cell>
          <cell r="O5015">
            <v>17</v>
          </cell>
          <cell r="P5015" t="str">
            <v>M2</v>
          </cell>
          <cell r="Q5015" t="str">
            <v>J1</v>
          </cell>
          <cell r="R5015" t="str">
            <v>J8</v>
          </cell>
          <cell r="S5015" t="str">
            <v>PENDIENTE</v>
          </cell>
          <cell r="T5015">
            <v>0</v>
          </cell>
          <cell r="U5015" t="str">
            <v>CHUMPITAZ GAGO JULIO ENRIQUE</v>
          </cell>
          <cell r="V5015" t="str">
            <v>FLOREZ CONDORI  JOSE WILLIANS</v>
          </cell>
        </row>
        <row r="5016">
          <cell r="A5016">
            <v>5015</v>
          </cell>
          <cell r="B5016">
            <v>42773</v>
          </cell>
          <cell r="C5016" t="str">
            <v>FEBRERO</v>
          </cell>
          <cell r="D5016" t="str">
            <v>2017</v>
          </cell>
          <cell r="E5016">
            <v>973</v>
          </cell>
          <cell r="F5016" t="str">
            <v>D6F-907</v>
          </cell>
          <cell r="G5016" t="str">
            <v>T2Y-979</v>
          </cell>
          <cell r="H5016" t="str">
            <v>LAS BAMBAS</v>
          </cell>
          <cell r="I5016">
            <v>206065</v>
          </cell>
          <cell r="J5016" t="str">
            <v>REPUESTO</v>
          </cell>
          <cell r="K5016" t="str">
            <v>MANGUERA DE AGUA DE TERMOSTATO TIPO CODO</v>
          </cell>
          <cell r="L5016">
            <v>1</v>
          </cell>
          <cell r="M5016" t="str">
            <v>UNID.</v>
          </cell>
          <cell r="N5016" t="str">
            <v>TRACTO</v>
          </cell>
          <cell r="O5016">
            <v>0</v>
          </cell>
          <cell r="P5016" t="str">
            <v>M1</v>
          </cell>
          <cell r="Q5016" t="str">
            <v>J1</v>
          </cell>
          <cell r="R5016" t="str">
            <v>J8</v>
          </cell>
          <cell r="S5016" t="str">
            <v>ENTREGADO</v>
          </cell>
          <cell r="T5016">
            <v>42773</v>
          </cell>
          <cell r="U5016" t="str">
            <v>CABEZAS SANCHEZ JEAN JHONATAN</v>
          </cell>
          <cell r="V5016" t="str">
            <v>FLOREZ CONDORI  JOSE WILLIANS</v>
          </cell>
        </row>
        <row r="5017">
          <cell r="A5017">
            <v>5016</v>
          </cell>
          <cell r="B5017">
            <v>42773</v>
          </cell>
          <cell r="C5017" t="str">
            <v>FEBRERO</v>
          </cell>
          <cell r="D5017" t="str">
            <v>2017</v>
          </cell>
          <cell r="E5017">
            <v>973</v>
          </cell>
          <cell r="F5017" t="str">
            <v>D6F-907</v>
          </cell>
          <cell r="G5017" t="str">
            <v>T2Y-979</v>
          </cell>
          <cell r="H5017" t="str">
            <v>LAS BAMBAS</v>
          </cell>
          <cell r="I5017">
            <v>206065</v>
          </cell>
          <cell r="J5017" t="str">
            <v>REPUESTO</v>
          </cell>
          <cell r="K5017" t="str">
            <v>ABRAZADERADE TUBO DE ESCAPE</v>
          </cell>
          <cell r="L5017">
            <v>1</v>
          </cell>
          <cell r="M5017" t="str">
            <v>UNID.</v>
          </cell>
          <cell r="N5017" t="str">
            <v>TRACTO</v>
          </cell>
          <cell r="O5017">
            <v>0</v>
          </cell>
          <cell r="P5017" t="str">
            <v>M1</v>
          </cell>
          <cell r="Q5017" t="str">
            <v>J1</v>
          </cell>
          <cell r="R5017" t="str">
            <v>J8</v>
          </cell>
          <cell r="S5017" t="str">
            <v>ENTREGADO</v>
          </cell>
          <cell r="T5017">
            <v>42773</v>
          </cell>
          <cell r="U5017" t="str">
            <v>CABEZAS SANCHEZ JEAN JHONATAN</v>
          </cell>
          <cell r="V5017" t="str">
            <v>FLOREZ CONDORI  JOSE WILLIANS</v>
          </cell>
        </row>
        <row r="5018">
          <cell r="A5018">
            <v>5017</v>
          </cell>
          <cell r="B5018">
            <v>42773</v>
          </cell>
          <cell r="C5018" t="str">
            <v>FEBRERO</v>
          </cell>
          <cell r="D5018" t="str">
            <v>2017</v>
          </cell>
          <cell r="E5018">
            <v>982</v>
          </cell>
          <cell r="F5018" t="str">
            <v>B2L-889</v>
          </cell>
          <cell r="G5018" t="str">
            <v>CAMION</v>
          </cell>
          <cell r="H5018" t="str">
            <v>TAMBOMAYO</v>
          </cell>
          <cell r="I5018">
            <v>125988</v>
          </cell>
          <cell r="J5018" t="str">
            <v>REPUESTO</v>
          </cell>
          <cell r="K5018" t="str">
            <v>SERVICIO DE REPACION DE TURBO</v>
          </cell>
          <cell r="L5018">
            <v>1</v>
          </cell>
          <cell r="M5018" t="str">
            <v>UNID.</v>
          </cell>
          <cell r="N5018" t="str">
            <v>TRACTO</v>
          </cell>
          <cell r="O5018">
            <v>17</v>
          </cell>
          <cell r="P5018" t="str">
            <v>M2</v>
          </cell>
          <cell r="Q5018" t="str">
            <v>J1</v>
          </cell>
          <cell r="R5018" t="str">
            <v>J8</v>
          </cell>
          <cell r="S5018" t="str">
            <v>PENDIENTE</v>
          </cell>
          <cell r="T5018">
            <v>0</v>
          </cell>
          <cell r="U5018" t="str">
            <v>CHUMPITAZ GAGO JULIO ENRIQUE</v>
          </cell>
          <cell r="V5018" t="str">
            <v>FLOREZ CONDORI  JOSE WILLIANS</v>
          </cell>
        </row>
        <row r="5019">
          <cell r="A5019">
            <v>5018</v>
          </cell>
          <cell r="B5019">
            <v>42773</v>
          </cell>
          <cell r="C5019" t="str">
            <v>FEBRERO</v>
          </cell>
          <cell r="D5019" t="str">
            <v>2017</v>
          </cell>
          <cell r="E5019">
            <v>982</v>
          </cell>
          <cell r="F5019" t="str">
            <v>B2L-889</v>
          </cell>
          <cell r="G5019" t="str">
            <v>CAMION</v>
          </cell>
          <cell r="H5019" t="str">
            <v>TAMBOMAYO</v>
          </cell>
          <cell r="I5019">
            <v>125988</v>
          </cell>
          <cell r="J5019" t="str">
            <v>REPUESTO</v>
          </cell>
          <cell r="K5019" t="str">
            <v>SERVICIO DE REPARACION DE INYECTORES</v>
          </cell>
          <cell r="L5019">
            <v>1</v>
          </cell>
          <cell r="M5019" t="str">
            <v>UNID.</v>
          </cell>
          <cell r="N5019" t="str">
            <v>TRACTO</v>
          </cell>
          <cell r="O5019">
            <v>17</v>
          </cell>
          <cell r="P5019" t="str">
            <v>M2</v>
          </cell>
          <cell r="Q5019" t="str">
            <v>J1</v>
          </cell>
          <cell r="R5019" t="str">
            <v>J8</v>
          </cell>
          <cell r="S5019" t="str">
            <v>PENDIENTE</v>
          </cell>
          <cell r="T5019">
            <v>0</v>
          </cell>
          <cell r="U5019" t="str">
            <v>CHUMPITAZ GAGO JULIO ENRIQUE</v>
          </cell>
          <cell r="V5019" t="str">
            <v>FLOREZ CONDORI  JOSE WILLIANS</v>
          </cell>
        </row>
        <row r="5020">
          <cell r="A5020">
            <v>5019</v>
          </cell>
          <cell r="B5020">
            <v>42773</v>
          </cell>
          <cell r="C5020" t="str">
            <v>FEBRERO</v>
          </cell>
          <cell r="D5020" t="str">
            <v>2017</v>
          </cell>
          <cell r="E5020">
            <v>1000</v>
          </cell>
          <cell r="F5020" t="str">
            <v>ABQ-705</v>
          </cell>
          <cell r="G5020" t="str">
            <v>D0Z-996</v>
          </cell>
          <cell r="H5020" t="str">
            <v>LAS BAMBAS</v>
          </cell>
          <cell r="I5020">
            <v>117516</v>
          </cell>
          <cell r="J5020" t="str">
            <v>REPUESTO</v>
          </cell>
          <cell r="K5020" t="str">
            <v>SOPORTE DE MOTOR</v>
          </cell>
          <cell r="L5020">
            <v>1</v>
          </cell>
          <cell r="M5020" t="str">
            <v>UNID.</v>
          </cell>
          <cell r="N5020" t="str">
            <v>TRACTO</v>
          </cell>
          <cell r="O5020">
            <v>0</v>
          </cell>
          <cell r="P5020" t="str">
            <v>M2</v>
          </cell>
          <cell r="Q5020" t="str">
            <v>J1</v>
          </cell>
          <cell r="R5020" t="str">
            <v>J8</v>
          </cell>
          <cell r="S5020" t="str">
            <v>ENTREGADO</v>
          </cell>
          <cell r="T5020">
            <v>42773</v>
          </cell>
          <cell r="U5020" t="str">
            <v>CHUMPITAZ GAGO JULIO ENRIQUE</v>
          </cell>
          <cell r="V5020" t="str">
            <v>FLOREZ CONDORI  JOSE WILLIANS</v>
          </cell>
        </row>
        <row r="5021">
          <cell r="A5021">
            <v>5020</v>
          </cell>
          <cell r="B5021">
            <v>42773</v>
          </cell>
          <cell r="C5021" t="str">
            <v>FEBRERO</v>
          </cell>
          <cell r="D5021" t="str">
            <v>2017</v>
          </cell>
          <cell r="E5021">
            <v>1000</v>
          </cell>
          <cell r="F5021" t="str">
            <v>ABQ-705</v>
          </cell>
          <cell r="G5021" t="str">
            <v>D0Z-996</v>
          </cell>
          <cell r="H5021" t="str">
            <v>LAS BAMBAS</v>
          </cell>
          <cell r="I5021">
            <v>117516</v>
          </cell>
          <cell r="J5021" t="str">
            <v>REPUESTO</v>
          </cell>
          <cell r="K5021" t="str">
            <v>CRUCETA DE EJE CARDAN CHICA</v>
          </cell>
          <cell r="L5021">
            <v>1</v>
          </cell>
          <cell r="M5021" t="str">
            <v>UNID.</v>
          </cell>
          <cell r="N5021" t="str">
            <v>TRACTO</v>
          </cell>
          <cell r="O5021">
            <v>17</v>
          </cell>
          <cell r="P5021" t="str">
            <v>M2</v>
          </cell>
          <cell r="Q5021" t="str">
            <v>J1</v>
          </cell>
          <cell r="R5021" t="str">
            <v>J8</v>
          </cell>
          <cell r="S5021" t="str">
            <v>PENDIENTE</v>
          </cell>
          <cell r="T5021">
            <v>0</v>
          </cell>
          <cell r="U5021" t="str">
            <v>CHUMPITAZ GAGO JULIO ENRIQUE</v>
          </cell>
          <cell r="V5021" t="str">
            <v>FLOREZ CONDORI  JOSE WILLIANS</v>
          </cell>
        </row>
        <row r="5022">
          <cell r="A5022">
            <v>5021</v>
          </cell>
          <cell r="B5022">
            <v>42773</v>
          </cell>
          <cell r="C5022" t="str">
            <v>FEBRERO</v>
          </cell>
          <cell r="D5022" t="str">
            <v>2017</v>
          </cell>
          <cell r="E5022">
            <v>1003</v>
          </cell>
          <cell r="F5022" t="str">
            <v>C5R-899</v>
          </cell>
          <cell r="G5022" t="str">
            <v>A0U-978</v>
          </cell>
          <cell r="H5022" t="str">
            <v>LAS BAMBAS</v>
          </cell>
          <cell r="I5022">
            <v>263967</v>
          </cell>
          <cell r="J5022" t="str">
            <v>REPUESTO</v>
          </cell>
          <cell r="K5022" t="str">
            <v>SPRAY BLANCO</v>
          </cell>
          <cell r="L5022">
            <v>1</v>
          </cell>
          <cell r="M5022" t="str">
            <v>UNID.</v>
          </cell>
          <cell r="N5022" t="str">
            <v>TRACTO</v>
          </cell>
          <cell r="O5022">
            <v>1</v>
          </cell>
          <cell r="P5022" t="str">
            <v>E3</v>
          </cell>
          <cell r="Q5022" t="str">
            <v>J1</v>
          </cell>
          <cell r="R5022" t="str">
            <v>J8</v>
          </cell>
          <cell r="S5022" t="str">
            <v>ENTREGADO</v>
          </cell>
          <cell r="T5022">
            <v>42774</v>
          </cell>
          <cell r="U5022" t="str">
            <v>CONDORI CHURATA ALEX</v>
          </cell>
          <cell r="V5022" t="str">
            <v>FLOREZ CONDORI  JOSE WILLIANS</v>
          </cell>
        </row>
        <row r="5023">
          <cell r="A5023">
            <v>5022</v>
          </cell>
          <cell r="B5023">
            <v>42773</v>
          </cell>
          <cell r="C5023" t="str">
            <v>FEBRERO</v>
          </cell>
          <cell r="D5023" t="str">
            <v>2017</v>
          </cell>
          <cell r="E5023">
            <v>1000</v>
          </cell>
          <cell r="F5023" t="str">
            <v>ABQ-705</v>
          </cell>
          <cell r="G5023" t="str">
            <v>D0Z-996</v>
          </cell>
          <cell r="H5023" t="str">
            <v>LAS BAMBAS</v>
          </cell>
          <cell r="I5023">
            <v>117516</v>
          </cell>
          <cell r="J5023" t="str">
            <v>REPUESTO</v>
          </cell>
          <cell r="K5023" t="str">
            <v>SPRAY BLANCO</v>
          </cell>
          <cell r="L5023">
            <v>1</v>
          </cell>
          <cell r="M5023" t="str">
            <v>UNID.</v>
          </cell>
          <cell r="N5023" t="str">
            <v>TRACTO</v>
          </cell>
          <cell r="O5023">
            <v>1</v>
          </cell>
          <cell r="P5023" t="str">
            <v>E3</v>
          </cell>
          <cell r="Q5023" t="str">
            <v>J1</v>
          </cell>
          <cell r="R5023" t="str">
            <v>J8</v>
          </cell>
          <cell r="S5023" t="str">
            <v>ENTREGADO</v>
          </cell>
          <cell r="T5023">
            <v>42774</v>
          </cell>
          <cell r="U5023" t="str">
            <v>CONDORI CHURATA ALEX</v>
          </cell>
          <cell r="V5023" t="str">
            <v>FLOREZ CONDORI  JOSE WILLIANS</v>
          </cell>
        </row>
        <row r="5024">
          <cell r="A5024">
            <v>5023</v>
          </cell>
          <cell r="B5024">
            <v>42774</v>
          </cell>
          <cell r="C5024" t="str">
            <v>FEBRERO</v>
          </cell>
          <cell r="D5024" t="str">
            <v>2017</v>
          </cell>
          <cell r="E5024">
            <v>200</v>
          </cell>
          <cell r="F5024" t="str">
            <v>TALLER</v>
          </cell>
          <cell r="G5024" t="str">
            <v>TALLER</v>
          </cell>
          <cell r="H5024" t="str">
            <v>TALLER</v>
          </cell>
          <cell r="I5024" t="str">
            <v>TALLER</v>
          </cell>
          <cell r="J5024" t="str">
            <v>REPUESTO</v>
          </cell>
          <cell r="K5024" t="str">
            <v>PISTOLA DE ALTA PRESION PARA PINTAR</v>
          </cell>
          <cell r="L5024">
            <v>1</v>
          </cell>
          <cell r="M5024" t="str">
            <v>UNID.</v>
          </cell>
          <cell r="N5024" t="str">
            <v>TALLER</v>
          </cell>
          <cell r="O5024">
            <v>0</v>
          </cell>
          <cell r="P5024" t="str">
            <v>J1</v>
          </cell>
          <cell r="Q5024" t="str">
            <v>J1</v>
          </cell>
          <cell r="R5024" t="str">
            <v>J8</v>
          </cell>
          <cell r="S5024" t="str">
            <v>ENTREGADO</v>
          </cell>
          <cell r="T5024">
            <v>42774</v>
          </cell>
          <cell r="U5024" t="str">
            <v>FLOREZ CONDORI  JOSE WILLIANS</v>
          </cell>
          <cell r="V5024" t="str">
            <v>FLOREZ CONDORI  JOSE WILLIANS</v>
          </cell>
        </row>
        <row r="5025">
          <cell r="A5025">
            <v>5024</v>
          </cell>
          <cell r="B5025">
            <v>42774</v>
          </cell>
          <cell r="C5025" t="str">
            <v>FEBRERO</v>
          </cell>
          <cell r="D5025" t="str">
            <v>2017</v>
          </cell>
          <cell r="E5025">
            <v>653</v>
          </cell>
          <cell r="F5025" t="str">
            <v>D4W-805</v>
          </cell>
          <cell r="G5025" t="str">
            <v>CAMIONETA</v>
          </cell>
          <cell r="H5025" t="str">
            <v>MANTENIMIENTO</v>
          </cell>
          <cell r="I5025">
            <v>0</v>
          </cell>
          <cell r="J5025" t="str">
            <v>REPUESTO</v>
          </cell>
          <cell r="K5025" t="str">
            <v>CABLE CORRIENTE # 14</v>
          </cell>
          <cell r="L5025">
            <v>6</v>
          </cell>
          <cell r="M5025" t="str">
            <v>M</v>
          </cell>
          <cell r="N5025" t="str">
            <v>CAMIONETA</v>
          </cell>
          <cell r="O5025">
            <v>0</v>
          </cell>
          <cell r="P5025" t="str">
            <v>E3</v>
          </cell>
          <cell r="Q5025" t="str">
            <v>J1</v>
          </cell>
          <cell r="R5025" t="str">
            <v>J8</v>
          </cell>
          <cell r="S5025" t="str">
            <v>ENTREGADO</v>
          </cell>
          <cell r="T5025">
            <v>42774</v>
          </cell>
          <cell r="U5025" t="str">
            <v>CONDORI CHURATA ALEX</v>
          </cell>
          <cell r="V5025" t="str">
            <v>FLOREZ CONDORI  JOSE WILLIANS</v>
          </cell>
        </row>
        <row r="5026">
          <cell r="A5026">
            <v>5025</v>
          </cell>
          <cell r="B5026">
            <v>42774</v>
          </cell>
          <cell r="C5026" t="str">
            <v>FEBRERO</v>
          </cell>
          <cell r="D5026" t="str">
            <v>2017</v>
          </cell>
          <cell r="E5026">
            <v>653</v>
          </cell>
          <cell r="F5026" t="str">
            <v>D4W-805</v>
          </cell>
          <cell r="G5026" t="str">
            <v>CAMIONETA</v>
          </cell>
          <cell r="H5026" t="str">
            <v>MANTENIMIENTO</v>
          </cell>
          <cell r="I5026">
            <v>0</v>
          </cell>
          <cell r="J5026" t="str">
            <v>REPUESTO</v>
          </cell>
          <cell r="K5026" t="str">
            <v>AFLOJATODO</v>
          </cell>
          <cell r="L5026">
            <v>1</v>
          </cell>
          <cell r="M5026" t="str">
            <v>UNID.</v>
          </cell>
          <cell r="N5026" t="str">
            <v>CAMIONETA</v>
          </cell>
          <cell r="O5026">
            <v>0</v>
          </cell>
          <cell r="P5026" t="str">
            <v>E3</v>
          </cell>
          <cell r="Q5026" t="str">
            <v>J1</v>
          </cell>
          <cell r="R5026" t="str">
            <v>J8</v>
          </cell>
          <cell r="S5026" t="str">
            <v>ENTREGADO</v>
          </cell>
          <cell r="T5026">
            <v>42774</v>
          </cell>
          <cell r="U5026" t="str">
            <v>CONDORI CHURATA ALEX</v>
          </cell>
          <cell r="V5026" t="str">
            <v>FLOREZ CONDORI  JOSE WILLIANS</v>
          </cell>
        </row>
        <row r="5027">
          <cell r="A5027">
            <v>5026</v>
          </cell>
          <cell r="B5027">
            <v>42774</v>
          </cell>
          <cell r="C5027" t="str">
            <v>FEBRERO</v>
          </cell>
          <cell r="D5027" t="str">
            <v>2017</v>
          </cell>
          <cell r="E5027">
            <v>653</v>
          </cell>
          <cell r="F5027" t="str">
            <v>D4W-805</v>
          </cell>
          <cell r="G5027" t="str">
            <v>CAMIONETA</v>
          </cell>
          <cell r="H5027" t="str">
            <v>MANTENIMIENTO</v>
          </cell>
          <cell r="I5027">
            <v>0</v>
          </cell>
          <cell r="J5027" t="str">
            <v>REPUESTO</v>
          </cell>
          <cell r="K5027" t="str">
            <v>PORTAFUSIBLE</v>
          </cell>
          <cell r="L5027">
            <v>2</v>
          </cell>
          <cell r="M5027" t="str">
            <v>UNID.</v>
          </cell>
          <cell r="N5027" t="str">
            <v>CAMIONETA</v>
          </cell>
          <cell r="O5027">
            <v>0</v>
          </cell>
          <cell r="P5027" t="str">
            <v>E3</v>
          </cell>
          <cell r="Q5027" t="str">
            <v>J1</v>
          </cell>
          <cell r="R5027" t="str">
            <v>J8</v>
          </cell>
          <cell r="S5027" t="str">
            <v>ENTREGADO</v>
          </cell>
          <cell r="T5027">
            <v>42774</v>
          </cell>
          <cell r="U5027" t="str">
            <v>CONDORI CHURATA ALEX</v>
          </cell>
          <cell r="V5027" t="str">
            <v>FLOREZ CONDORI  JOSE WILLIANS</v>
          </cell>
        </row>
        <row r="5028">
          <cell r="A5028">
            <v>5027</v>
          </cell>
          <cell r="B5028">
            <v>42774</v>
          </cell>
          <cell r="C5028" t="str">
            <v>FEBRERO</v>
          </cell>
          <cell r="D5028" t="str">
            <v>2017</v>
          </cell>
          <cell r="E5028">
            <v>653</v>
          </cell>
          <cell r="F5028" t="str">
            <v>D4W-805</v>
          </cell>
          <cell r="G5028" t="str">
            <v>CAMIONETA</v>
          </cell>
          <cell r="H5028" t="str">
            <v>MANTENIMIENTO</v>
          </cell>
          <cell r="I5028">
            <v>0</v>
          </cell>
          <cell r="J5028" t="str">
            <v>REPUESTO</v>
          </cell>
          <cell r="K5028" t="str">
            <v>CIRCULINA</v>
          </cell>
          <cell r="L5028">
            <v>1</v>
          </cell>
          <cell r="M5028" t="str">
            <v>UNID.</v>
          </cell>
          <cell r="N5028" t="str">
            <v>CAMIONETA</v>
          </cell>
          <cell r="O5028">
            <v>0</v>
          </cell>
          <cell r="P5028" t="str">
            <v>E3</v>
          </cell>
          <cell r="Q5028" t="str">
            <v>J1</v>
          </cell>
          <cell r="R5028" t="str">
            <v>J8</v>
          </cell>
          <cell r="S5028" t="str">
            <v>ENTREGADO</v>
          </cell>
          <cell r="T5028">
            <v>42774</v>
          </cell>
          <cell r="U5028" t="str">
            <v>CONDORI CHURATA ALEX</v>
          </cell>
          <cell r="V5028" t="str">
            <v>FLOREZ CONDORI  JOSE WILLIANS</v>
          </cell>
        </row>
        <row r="5029">
          <cell r="A5029">
            <v>5028</v>
          </cell>
          <cell r="B5029">
            <v>42774</v>
          </cell>
          <cell r="C5029" t="str">
            <v>FEBRERO</v>
          </cell>
          <cell r="D5029" t="str">
            <v>2017</v>
          </cell>
          <cell r="E5029">
            <v>653</v>
          </cell>
          <cell r="F5029" t="str">
            <v>D4W-805</v>
          </cell>
          <cell r="G5029" t="str">
            <v>CAMIONETA</v>
          </cell>
          <cell r="H5029" t="str">
            <v>MANTENIMIENTO</v>
          </cell>
          <cell r="I5029">
            <v>0</v>
          </cell>
          <cell r="J5029" t="str">
            <v>REPUESTO</v>
          </cell>
          <cell r="K5029" t="str">
            <v>FUSIBLE DE 15A</v>
          </cell>
          <cell r="L5029">
            <v>2</v>
          </cell>
          <cell r="M5029" t="str">
            <v>UNID.</v>
          </cell>
          <cell r="N5029" t="str">
            <v>CAMIONETA</v>
          </cell>
          <cell r="O5029">
            <v>0</v>
          </cell>
          <cell r="P5029" t="str">
            <v>E3</v>
          </cell>
          <cell r="Q5029" t="str">
            <v>J1</v>
          </cell>
          <cell r="R5029" t="str">
            <v>J8</v>
          </cell>
          <cell r="S5029" t="str">
            <v>ENTREGADO</v>
          </cell>
          <cell r="T5029">
            <v>42774</v>
          </cell>
          <cell r="U5029" t="str">
            <v>CONDORI CHURATA ALEX</v>
          </cell>
          <cell r="V5029" t="str">
            <v>FLOREZ CONDORI  JOSE WILLIANS</v>
          </cell>
        </row>
        <row r="5030">
          <cell r="A5030">
            <v>5029</v>
          </cell>
          <cell r="B5030">
            <v>42774</v>
          </cell>
          <cell r="C5030" t="str">
            <v>FEBRERO</v>
          </cell>
          <cell r="D5030" t="str">
            <v>2017</v>
          </cell>
          <cell r="E5030">
            <v>653</v>
          </cell>
          <cell r="F5030" t="str">
            <v>D4W-805</v>
          </cell>
          <cell r="G5030" t="str">
            <v>CAMIONETA</v>
          </cell>
          <cell r="H5030" t="str">
            <v>MANTENIMIENTO</v>
          </cell>
          <cell r="I5030">
            <v>0</v>
          </cell>
          <cell r="J5030" t="str">
            <v>REPUESTO</v>
          </cell>
          <cell r="K5030" t="str">
            <v>TERMINAL OJO 3/8</v>
          </cell>
          <cell r="L5030">
            <v>2</v>
          </cell>
          <cell r="M5030" t="str">
            <v>UNID.</v>
          </cell>
          <cell r="N5030" t="str">
            <v>CAMIONETA</v>
          </cell>
          <cell r="O5030">
            <v>0</v>
          </cell>
          <cell r="P5030" t="str">
            <v>E3</v>
          </cell>
          <cell r="Q5030" t="str">
            <v>J1</v>
          </cell>
          <cell r="R5030" t="str">
            <v>J8</v>
          </cell>
          <cell r="S5030" t="str">
            <v>ENTREGADO</v>
          </cell>
          <cell r="T5030">
            <v>42774</v>
          </cell>
          <cell r="U5030" t="str">
            <v>CONDORI CHURATA ALEX</v>
          </cell>
          <cell r="V5030" t="str">
            <v>FLOREZ CONDORI  JOSE WILLIANS</v>
          </cell>
        </row>
        <row r="5031">
          <cell r="A5031">
            <v>5030</v>
          </cell>
          <cell r="B5031">
            <v>42774</v>
          </cell>
          <cell r="C5031" t="str">
            <v>FEBRERO</v>
          </cell>
          <cell r="D5031" t="str">
            <v>2017</v>
          </cell>
          <cell r="E5031">
            <v>653</v>
          </cell>
          <cell r="F5031" t="str">
            <v>D4W-805</v>
          </cell>
          <cell r="G5031" t="str">
            <v>CAMIONETA</v>
          </cell>
          <cell r="H5031" t="str">
            <v>MANTENIMIENTO</v>
          </cell>
          <cell r="I5031">
            <v>0</v>
          </cell>
          <cell r="J5031" t="str">
            <v>REPUESTO</v>
          </cell>
          <cell r="K5031" t="str">
            <v>MANGUERA CORRUGADA 1/4</v>
          </cell>
          <cell r="L5031">
            <v>6</v>
          </cell>
          <cell r="M5031" t="str">
            <v>M</v>
          </cell>
          <cell r="N5031" t="str">
            <v>CAMIONETA</v>
          </cell>
          <cell r="O5031">
            <v>16</v>
          </cell>
          <cell r="P5031" t="str">
            <v>E3</v>
          </cell>
          <cell r="Q5031" t="str">
            <v>J1</v>
          </cell>
          <cell r="R5031" t="str">
            <v>J8</v>
          </cell>
          <cell r="S5031" t="str">
            <v>PENDIENTE</v>
          </cell>
          <cell r="T5031">
            <v>0</v>
          </cell>
          <cell r="U5031" t="str">
            <v>CONDORI CHURATA ALEX</v>
          </cell>
          <cell r="V5031" t="str">
            <v>FLOREZ CONDORI  JOSE WILLIANS</v>
          </cell>
        </row>
        <row r="5032">
          <cell r="A5032">
            <v>5031</v>
          </cell>
          <cell r="B5032">
            <v>42774</v>
          </cell>
          <cell r="C5032" t="str">
            <v>FEBRERO</v>
          </cell>
          <cell r="D5032" t="str">
            <v>2017</v>
          </cell>
          <cell r="E5032">
            <v>605</v>
          </cell>
          <cell r="F5032" t="str">
            <v>D3P-746</v>
          </cell>
          <cell r="G5032" t="str">
            <v>C0T-974</v>
          </cell>
          <cell r="H5032" t="str">
            <v>LAS BAMBAS</v>
          </cell>
          <cell r="I5032">
            <v>131626</v>
          </cell>
          <cell r="J5032" t="str">
            <v>SERVICIO</v>
          </cell>
          <cell r="K5032" t="str">
            <v>SERVICIO DE REPARACION DE QUINTA RUEDA</v>
          </cell>
          <cell r="L5032">
            <v>1</v>
          </cell>
          <cell r="M5032" t="str">
            <v>UNID.</v>
          </cell>
          <cell r="N5032" t="str">
            <v>TRACTO</v>
          </cell>
          <cell r="O5032">
            <v>16</v>
          </cell>
          <cell r="P5032" t="str">
            <v>J1</v>
          </cell>
          <cell r="Q5032" t="str">
            <v>J1</v>
          </cell>
          <cell r="R5032" t="str">
            <v>J8</v>
          </cell>
          <cell r="S5032" t="str">
            <v>PENDIENTE</v>
          </cell>
          <cell r="T5032">
            <v>0</v>
          </cell>
          <cell r="U5032" t="str">
            <v>FLOREZ CONDORI  JOSE WILLIANS</v>
          </cell>
          <cell r="V5032" t="str">
            <v>FLOREZ CONDORI  JOSE WILLIANS</v>
          </cell>
        </row>
        <row r="5033">
          <cell r="A5033">
            <v>5032</v>
          </cell>
          <cell r="B5033">
            <v>42775</v>
          </cell>
          <cell r="C5033" t="str">
            <v>FEBRERO</v>
          </cell>
          <cell r="D5033" t="str">
            <v>2017</v>
          </cell>
          <cell r="E5033">
            <v>202</v>
          </cell>
          <cell r="F5033" t="str">
            <v>D3P-752</v>
          </cell>
          <cell r="G5033" t="str">
            <v>C5Y-985</v>
          </cell>
          <cell r="H5033" t="str">
            <v>LAS BAMBAS</v>
          </cell>
          <cell r="I5033">
            <v>150504</v>
          </cell>
          <cell r="J5033" t="str">
            <v>REPUESTO</v>
          </cell>
          <cell r="K5033" t="str">
            <v>SOPORTE DE BRAZO DE ESPEJO LADO DERECHO</v>
          </cell>
          <cell r="L5033">
            <v>1</v>
          </cell>
          <cell r="M5033" t="str">
            <v>UNID.</v>
          </cell>
          <cell r="N5033" t="str">
            <v>TRACTO</v>
          </cell>
          <cell r="O5033" t="e">
            <v>#VALUE!</v>
          </cell>
          <cell r="P5033" t="str">
            <v>M2</v>
          </cell>
          <cell r="Q5033" t="str">
            <v>J1</v>
          </cell>
          <cell r="R5033" t="str">
            <v>J6</v>
          </cell>
          <cell r="S5033" t="str">
            <v>ENTREGADO</v>
          </cell>
          <cell r="T5033" t="str">
            <v>TALLER</v>
          </cell>
          <cell r="U5033" t="str">
            <v>CHUMPITAZ GAGO JULIO ENRIQUE</v>
          </cell>
          <cell r="V5033" t="str">
            <v>FLOREZ CONDORI  JOSE WILLIANS</v>
          </cell>
        </row>
        <row r="5034">
          <cell r="A5034">
            <v>5033</v>
          </cell>
          <cell r="B5034">
            <v>42775</v>
          </cell>
          <cell r="C5034" t="str">
            <v>FEBRERO</v>
          </cell>
          <cell r="D5034" t="str">
            <v>2017</v>
          </cell>
          <cell r="E5034">
            <v>200</v>
          </cell>
          <cell r="F5034" t="str">
            <v>TALLER</v>
          </cell>
          <cell r="G5034" t="str">
            <v>TALLER</v>
          </cell>
          <cell r="H5034" t="str">
            <v>TALLER</v>
          </cell>
          <cell r="I5034" t="str">
            <v>TALLER</v>
          </cell>
          <cell r="J5034" t="str">
            <v>INSUMO TALLER</v>
          </cell>
          <cell r="K5034" t="str">
            <v>TRAPOS SUELTOS</v>
          </cell>
          <cell r="L5034">
            <v>1</v>
          </cell>
          <cell r="M5034" t="str">
            <v>KG.</v>
          </cell>
          <cell r="N5034" t="str">
            <v>TALLER</v>
          </cell>
          <cell r="O5034">
            <v>15</v>
          </cell>
          <cell r="P5034" t="str">
            <v>J6</v>
          </cell>
          <cell r="Q5034" t="str">
            <v>J6</v>
          </cell>
          <cell r="R5034" t="str">
            <v>J6</v>
          </cell>
          <cell r="S5034" t="str">
            <v>PENDIENTE</v>
          </cell>
          <cell r="T5034">
            <v>0</v>
          </cell>
          <cell r="U5034" t="str">
            <v>VILLANUEVA BEJAR  YHORDAN MICHEL</v>
          </cell>
          <cell r="V5034" t="str">
            <v>VILLANUEVA BEJAR  YHORDAN MICHEL</v>
          </cell>
        </row>
        <row r="5035">
          <cell r="A5035">
            <v>5034</v>
          </cell>
          <cell r="B5035">
            <v>42775</v>
          </cell>
          <cell r="C5035" t="str">
            <v>FEBRERO</v>
          </cell>
          <cell r="D5035" t="str">
            <v>2017</v>
          </cell>
          <cell r="E5035">
            <v>1012</v>
          </cell>
          <cell r="F5035" t="str">
            <v>D3P-746</v>
          </cell>
          <cell r="G5035" t="str">
            <v>C0T-974</v>
          </cell>
          <cell r="H5035" t="str">
            <v>LAS BAMBAS</v>
          </cell>
          <cell r="I5035">
            <v>131660</v>
          </cell>
          <cell r="J5035" t="str">
            <v>REPUESTO</v>
          </cell>
          <cell r="K5035" t="str">
            <v>TEMPLADOR DE CAPOT</v>
          </cell>
          <cell r="L5035">
            <v>1</v>
          </cell>
          <cell r="M5035" t="str">
            <v>UNID.</v>
          </cell>
          <cell r="N5035" t="str">
            <v>TRACTO</v>
          </cell>
          <cell r="O5035" t="e">
            <v>#VALUE!</v>
          </cell>
          <cell r="P5035" t="str">
            <v>M6</v>
          </cell>
          <cell r="Q5035" t="str">
            <v>J1</v>
          </cell>
          <cell r="R5035" t="str">
            <v>J8</v>
          </cell>
          <cell r="S5035" t="str">
            <v>ENTREGADO</v>
          </cell>
          <cell r="T5035" t="str">
            <v>TALLER</v>
          </cell>
          <cell r="U5035" t="str">
            <v>PARI VENTURA  EDSON ORLANDO</v>
          </cell>
          <cell r="V5035" t="str">
            <v>FLOREZ CONDORI  JOSE WILLIANS</v>
          </cell>
        </row>
        <row r="5036">
          <cell r="A5036">
            <v>5035</v>
          </cell>
          <cell r="B5036">
            <v>42775</v>
          </cell>
          <cell r="C5036" t="str">
            <v>FEBRERO</v>
          </cell>
          <cell r="D5036" t="str">
            <v>2017</v>
          </cell>
          <cell r="E5036">
            <v>200</v>
          </cell>
          <cell r="F5036" t="str">
            <v>TALLER</v>
          </cell>
          <cell r="G5036" t="str">
            <v>TALLER</v>
          </cell>
          <cell r="H5036" t="str">
            <v>TALLER</v>
          </cell>
          <cell r="I5036" t="str">
            <v>TALLER</v>
          </cell>
          <cell r="J5036" t="str">
            <v>INSUMO TALLER</v>
          </cell>
          <cell r="K5036" t="str">
            <v>VARILLA  INOX</v>
          </cell>
          <cell r="L5036">
            <v>1</v>
          </cell>
          <cell r="M5036" t="str">
            <v>KG.</v>
          </cell>
          <cell r="N5036" t="str">
            <v>TALLER</v>
          </cell>
          <cell r="O5036">
            <v>15</v>
          </cell>
          <cell r="P5036" t="str">
            <v>J1</v>
          </cell>
          <cell r="Q5036" t="str">
            <v>J1</v>
          </cell>
          <cell r="R5036" t="str">
            <v>J8</v>
          </cell>
          <cell r="S5036" t="str">
            <v>ENTREGADO</v>
          </cell>
          <cell r="T5036">
            <v>0</v>
          </cell>
          <cell r="U5036" t="str">
            <v>FLOREZ CONDORI  JOSE WILLIANS</v>
          </cell>
          <cell r="V5036" t="str">
            <v>FLOREZ CONDORI  JOSE WILLIANS</v>
          </cell>
        </row>
        <row r="5037">
          <cell r="A5037">
            <v>5036</v>
          </cell>
          <cell r="B5037">
            <v>42775</v>
          </cell>
          <cell r="C5037" t="str">
            <v>FEBRERO</v>
          </cell>
          <cell r="D5037" t="str">
            <v>2017</v>
          </cell>
          <cell r="E5037">
            <v>200</v>
          </cell>
          <cell r="F5037" t="str">
            <v>TALLER</v>
          </cell>
          <cell r="G5037" t="str">
            <v>TALLER</v>
          </cell>
          <cell r="H5037" t="str">
            <v>TALLER</v>
          </cell>
          <cell r="I5037" t="str">
            <v>TALLER</v>
          </cell>
          <cell r="J5037" t="str">
            <v>INSUMO TALLER</v>
          </cell>
          <cell r="K5037" t="str">
            <v>SUPERCITO 1/32</v>
          </cell>
          <cell r="L5037">
            <v>1</v>
          </cell>
          <cell r="M5037" t="str">
            <v>KG.</v>
          </cell>
          <cell r="N5037" t="str">
            <v>TALLER</v>
          </cell>
          <cell r="O5037">
            <v>15</v>
          </cell>
          <cell r="P5037" t="str">
            <v>J1</v>
          </cell>
          <cell r="Q5037" t="str">
            <v>J1</v>
          </cell>
          <cell r="R5037" t="str">
            <v>J8</v>
          </cell>
          <cell r="S5037" t="str">
            <v>PENDIENTE</v>
          </cell>
          <cell r="T5037">
            <v>0</v>
          </cell>
          <cell r="U5037" t="str">
            <v>FLOREZ CONDORI  JOSE WILLIANS</v>
          </cell>
          <cell r="V5037" t="str">
            <v>FLOREZ CONDORI  JOSE WILLIANS</v>
          </cell>
        </row>
        <row r="5038">
          <cell r="A5038">
            <v>5037</v>
          </cell>
          <cell r="B5038">
            <v>42775</v>
          </cell>
          <cell r="C5038" t="str">
            <v>FEBRERO</v>
          </cell>
          <cell r="D5038" t="str">
            <v>2017</v>
          </cell>
          <cell r="E5038">
            <v>653</v>
          </cell>
          <cell r="F5038" t="str">
            <v>D4W-805</v>
          </cell>
          <cell r="G5038" t="str">
            <v>CAMIONETA</v>
          </cell>
          <cell r="H5038" t="str">
            <v>MANTENIMIENTO</v>
          </cell>
          <cell r="I5038">
            <v>0</v>
          </cell>
          <cell r="J5038" t="str">
            <v>REPUESTO</v>
          </cell>
          <cell r="K5038" t="str">
            <v>ESPARRAGOS DE RUEDA</v>
          </cell>
          <cell r="L5038">
            <v>10</v>
          </cell>
          <cell r="M5038" t="str">
            <v>UNID.</v>
          </cell>
          <cell r="N5038" t="str">
            <v>CAMIONETA</v>
          </cell>
          <cell r="O5038">
            <v>15</v>
          </cell>
          <cell r="P5038" t="str">
            <v>N2</v>
          </cell>
          <cell r="Q5038" t="str">
            <v>J1</v>
          </cell>
          <cell r="R5038" t="str">
            <v>J6</v>
          </cell>
          <cell r="S5038" t="str">
            <v>ENTREGADO</v>
          </cell>
          <cell r="T5038">
            <v>0</v>
          </cell>
          <cell r="U5038" t="str">
            <v>MAMANI LARICO  EDUARDO ALVARO</v>
          </cell>
          <cell r="V5038" t="str">
            <v>FLOREZ CONDORI  JOSE WILLIANS</v>
          </cell>
        </row>
        <row r="5039">
          <cell r="A5039">
            <v>5038</v>
          </cell>
          <cell r="B5039">
            <v>42775</v>
          </cell>
          <cell r="C5039" t="str">
            <v>FEBRERO</v>
          </cell>
          <cell r="D5039" t="str">
            <v>2017</v>
          </cell>
          <cell r="E5039">
            <v>200</v>
          </cell>
          <cell r="F5039" t="str">
            <v>TALLER</v>
          </cell>
          <cell r="G5039" t="str">
            <v>TALLER</v>
          </cell>
          <cell r="H5039" t="str">
            <v>TALLER</v>
          </cell>
          <cell r="I5039" t="str">
            <v>TALLER</v>
          </cell>
          <cell r="J5039" t="str">
            <v>INSUMO TALLER</v>
          </cell>
          <cell r="K5039" t="str">
            <v>BOTELLA DE OXIGENO DE 10 M3</v>
          </cell>
          <cell r="L5039">
            <v>2</v>
          </cell>
          <cell r="M5039" t="str">
            <v>UNID.</v>
          </cell>
          <cell r="N5039" t="str">
            <v>TALLER</v>
          </cell>
          <cell r="O5039">
            <v>15</v>
          </cell>
          <cell r="P5039" t="str">
            <v>S4</v>
          </cell>
          <cell r="Q5039" t="str">
            <v>J1</v>
          </cell>
          <cell r="R5039" t="str">
            <v>J6</v>
          </cell>
          <cell r="S5039" t="str">
            <v>ENTREGADO</v>
          </cell>
          <cell r="T5039">
            <v>0</v>
          </cell>
          <cell r="U5039" t="str">
            <v>SURCO QUISPE JOHNNY</v>
          </cell>
          <cell r="V5039" t="str">
            <v>FLOREZ CONDORI  JOSE WILLIANS</v>
          </cell>
        </row>
        <row r="5040">
          <cell r="A5040">
            <v>5039</v>
          </cell>
          <cell r="B5040">
            <v>42775</v>
          </cell>
          <cell r="C5040" t="str">
            <v>FEBRERO</v>
          </cell>
          <cell r="D5040" t="str">
            <v>2017</v>
          </cell>
          <cell r="E5040">
            <v>200</v>
          </cell>
          <cell r="F5040" t="str">
            <v>TALLER</v>
          </cell>
          <cell r="G5040" t="str">
            <v>TALLER</v>
          </cell>
          <cell r="H5040" t="str">
            <v>TALLER</v>
          </cell>
          <cell r="I5040" t="str">
            <v>TALLER</v>
          </cell>
          <cell r="J5040" t="str">
            <v>MATERIALES</v>
          </cell>
          <cell r="K5040" t="str">
            <v xml:space="preserve">PRECINTOS </v>
          </cell>
          <cell r="L5040">
            <v>10</v>
          </cell>
          <cell r="M5040" t="str">
            <v>UNID.</v>
          </cell>
          <cell r="N5040" t="str">
            <v>TALLER</v>
          </cell>
          <cell r="O5040">
            <v>15</v>
          </cell>
          <cell r="P5040" t="str">
            <v>E3</v>
          </cell>
          <cell r="Q5040" t="str">
            <v>J1</v>
          </cell>
          <cell r="R5040" t="str">
            <v>J8</v>
          </cell>
          <cell r="S5040" t="str">
            <v>ENTREGADO</v>
          </cell>
          <cell r="T5040">
            <v>0</v>
          </cell>
          <cell r="U5040" t="str">
            <v>CONDORI CHURATA ALEX</v>
          </cell>
          <cell r="V5040" t="str">
            <v>FLOREZ CONDORI  JOSE WILLIANS</v>
          </cell>
        </row>
        <row r="5041">
          <cell r="A5041">
            <v>5040</v>
          </cell>
          <cell r="B5041">
            <v>42776</v>
          </cell>
          <cell r="C5041" t="str">
            <v>FEBRERO</v>
          </cell>
          <cell r="D5041" t="str">
            <v>2017</v>
          </cell>
          <cell r="E5041">
            <v>202</v>
          </cell>
          <cell r="F5041" t="str">
            <v>D3P-752</v>
          </cell>
          <cell r="G5041" t="str">
            <v>C5Y-985</v>
          </cell>
          <cell r="H5041" t="str">
            <v>LAS BAMBAS</v>
          </cell>
          <cell r="I5041">
            <v>150504</v>
          </cell>
          <cell r="J5041" t="str">
            <v>REPUESTO</v>
          </cell>
          <cell r="K5041" t="str">
            <v>ESPEJO IZQUIERDO COMPLETO</v>
          </cell>
          <cell r="L5041">
            <v>1</v>
          </cell>
          <cell r="M5041" t="str">
            <v>UNID.</v>
          </cell>
          <cell r="N5041" t="str">
            <v>TRACTO</v>
          </cell>
          <cell r="O5041">
            <v>14</v>
          </cell>
          <cell r="P5041" t="str">
            <v>J1</v>
          </cell>
          <cell r="Q5041" t="str">
            <v>J1</v>
          </cell>
          <cell r="R5041" t="str">
            <v>J8</v>
          </cell>
          <cell r="S5041" t="str">
            <v>PENDIENTE</v>
          </cell>
          <cell r="T5041">
            <v>0</v>
          </cell>
          <cell r="U5041" t="str">
            <v>FLOREZ CONDORI  JOSE WILLIANS</v>
          </cell>
          <cell r="V5041" t="str">
            <v>FLOREZ CONDORI  JOSE WILLIANS</v>
          </cell>
        </row>
        <row r="5042">
          <cell r="A5042">
            <v>5041</v>
          </cell>
          <cell r="B5042">
            <v>42776</v>
          </cell>
          <cell r="C5042" t="str">
            <v>FEBRERO</v>
          </cell>
          <cell r="D5042" t="str">
            <v>2017</v>
          </cell>
          <cell r="E5042">
            <v>202</v>
          </cell>
          <cell r="F5042" t="str">
            <v>D3P-752</v>
          </cell>
          <cell r="G5042" t="str">
            <v>C5Y-985</v>
          </cell>
          <cell r="H5042" t="str">
            <v>LAS BAMBAS</v>
          </cell>
          <cell r="I5042">
            <v>150504</v>
          </cell>
          <cell r="J5042" t="str">
            <v>REPUESTO</v>
          </cell>
          <cell r="K5042" t="str">
            <v>ESPEJO DERECHO COMPLETO</v>
          </cell>
          <cell r="L5042">
            <v>1</v>
          </cell>
          <cell r="M5042" t="str">
            <v>UNID.</v>
          </cell>
          <cell r="N5042" t="str">
            <v>TRACTO</v>
          </cell>
          <cell r="O5042">
            <v>14</v>
          </cell>
          <cell r="P5042" t="str">
            <v>J1</v>
          </cell>
          <cell r="Q5042" t="str">
            <v>J1</v>
          </cell>
          <cell r="R5042" t="str">
            <v>J8</v>
          </cell>
          <cell r="S5042" t="str">
            <v>PENDIENTE</v>
          </cell>
          <cell r="T5042">
            <v>0</v>
          </cell>
          <cell r="U5042" t="str">
            <v>FLOREZ CONDORI  JOSE WILLIANS</v>
          </cell>
          <cell r="V5042" t="str">
            <v>FLOREZ CONDORI  JOSE WILLIANS</v>
          </cell>
        </row>
        <row r="5043">
          <cell r="A5043">
            <v>5042</v>
          </cell>
          <cell r="B5043">
            <v>42776</v>
          </cell>
          <cell r="C5043" t="str">
            <v>FEBRERO</v>
          </cell>
          <cell r="D5043" t="str">
            <v>2017</v>
          </cell>
          <cell r="E5043">
            <v>202</v>
          </cell>
          <cell r="F5043" t="str">
            <v>D3P-752</v>
          </cell>
          <cell r="G5043" t="str">
            <v>C5Y-985</v>
          </cell>
          <cell r="H5043" t="str">
            <v>LAS BAMBAS</v>
          </cell>
          <cell r="I5043">
            <v>150504</v>
          </cell>
          <cell r="J5043" t="str">
            <v>REPUESTO</v>
          </cell>
          <cell r="K5043" t="str">
            <v>RADIADOR DE AIRE ACONDICIONADO</v>
          </cell>
          <cell r="L5043">
            <v>1</v>
          </cell>
          <cell r="M5043" t="str">
            <v>UNID.</v>
          </cell>
          <cell r="N5043" t="str">
            <v>TRACTO</v>
          </cell>
          <cell r="O5043">
            <v>14</v>
          </cell>
          <cell r="P5043" t="str">
            <v>J1</v>
          </cell>
          <cell r="Q5043" t="str">
            <v>J1</v>
          </cell>
          <cell r="R5043" t="str">
            <v>J8</v>
          </cell>
          <cell r="S5043" t="str">
            <v>PENDIENTE</v>
          </cell>
          <cell r="T5043">
            <v>0</v>
          </cell>
          <cell r="U5043" t="str">
            <v>FLOREZ CONDORI  JOSE WILLIANS</v>
          </cell>
          <cell r="V5043" t="str">
            <v>FLOREZ CONDORI  JOSE WILLIANS</v>
          </cell>
        </row>
        <row r="5044">
          <cell r="A5044">
            <v>5043</v>
          </cell>
          <cell r="B5044">
            <v>42776</v>
          </cell>
          <cell r="C5044" t="str">
            <v>FEBRERO</v>
          </cell>
          <cell r="D5044" t="str">
            <v>2017</v>
          </cell>
          <cell r="E5044">
            <v>991</v>
          </cell>
          <cell r="F5044" t="str">
            <v>A5O-859</v>
          </cell>
          <cell r="G5044" t="str">
            <v>B6Y-971</v>
          </cell>
          <cell r="H5044" t="str">
            <v>LAS BAMBAS</v>
          </cell>
          <cell r="I5044">
            <v>120535</v>
          </cell>
          <cell r="J5044" t="str">
            <v>REPUESTO</v>
          </cell>
          <cell r="K5044" t="str">
            <v>LLANTAS RENCAUCHADAS IDY</v>
          </cell>
          <cell r="L5044">
            <v>4</v>
          </cell>
          <cell r="M5044" t="str">
            <v>UNID.</v>
          </cell>
          <cell r="N5044" t="str">
            <v>CISTERNA</v>
          </cell>
          <cell r="O5044">
            <v>14</v>
          </cell>
          <cell r="P5044" t="str">
            <v>N2</v>
          </cell>
          <cell r="Q5044" t="str">
            <v>J1</v>
          </cell>
          <cell r="R5044" t="str">
            <v>J8</v>
          </cell>
          <cell r="S5044" t="str">
            <v>ENTREGADO</v>
          </cell>
          <cell r="T5044">
            <v>0</v>
          </cell>
          <cell r="U5044" t="str">
            <v>MAMANI LARICO  EDUARDO ALVARO</v>
          </cell>
          <cell r="V5044" t="str">
            <v>FLOREZ CONDORI  JOSE WILLIANS</v>
          </cell>
        </row>
        <row r="5045">
          <cell r="A5045">
            <v>5044</v>
          </cell>
          <cell r="B5045">
            <v>42776</v>
          </cell>
          <cell r="C5045" t="str">
            <v>FEBRERO</v>
          </cell>
          <cell r="D5045" t="str">
            <v>2017</v>
          </cell>
          <cell r="E5045">
            <v>200</v>
          </cell>
          <cell r="F5045" t="str">
            <v>TALLER</v>
          </cell>
          <cell r="G5045" t="str">
            <v>TALLER</v>
          </cell>
          <cell r="H5045" t="str">
            <v>TALLER</v>
          </cell>
          <cell r="I5045" t="str">
            <v>TALLER</v>
          </cell>
          <cell r="J5045" t="str">
            <v>INSUMO TALLER</v>
          </cell>
          <cell r="K5045" t="str">
            <v>MANOMETRO DE PRUEBA DE PRESION 0-15 L</v>
          </cell>
          <cell r="L5045">
            <v>1</v>
          </cell>
          <cell r="M5045" t="str">
            <v>UNID.</v>
          </cell>
          <cell r="N5045" t="str">
            <v>TALLER</v>
          </cell>
          <cell r="O5045">
            <v>14</v>
          </cell>
          <cell r="P5045" t="str">
            <v>J9</v>
          </cell>
          <cell r="Q5045" t="str">
            <v>J1</v>
          </cell>
          <cell r="R5045" t="str">
            <v>J8</v>
          </cell>
          <cell r="S5045" t="str">
            <v>PENDIENTE</v>
          </cell>
          <cell r="T5045">
            <v>0</v>
          </cell>
          <cell r="U5045" t="str">
            <v>CHANG CELIS FELIPE</v>
          </cell>
          <cell r="V5045" t="str">
            <v>FLOREZ CONDORI  JOSE WILLIANS</v>
          </cell>
        </row>
        <row r="5046">
          <cell r="A5046">
            <v>5045</v>
          </cell>
          <cell r="B5046">
            <v>42776</v>
          </cell>
          <cell r="C5046" t="str">
            <v>FEBRERO</v>
          </cell>
          <cell r="D5046" t="str">
            <v>2017</v>
          </cell>
          <cell r="E5046">
            <v>973</v>
          </cell>
          <cell r="F5046" t="str">
            <v>D6F-907</v>
          </cell>
          <cell r="G5046" t="str">
            <v>T2Y-979</v>
          </cell>
          <cell r="H5046" t="str">
            <v>LAS BAMBAS</v>
          </cell>
          <cell r="I5046">
            <v>206065</v>
          </cell>
          <cell r="J5046" t="str">
            <v>REPUESTO</v>
          </cell>
          <cell r="K5046" t="str">
            <v>LLAVE DE PASO (JUEGO RH - LH)</v>
          </cell>
          <cell r="L5046">
            <v>1</v>
          </cell>
          <cell r="M5046" t="str">
            <v>UNID.</v>
          </cell>
          <cell r="N5046" t="str">
            <v>CISTERNA</v>
          </cell>
          <cell r="O5046">
            <v>14</v>
          </cell>
          <cell r="P5046" t="str">
            <v>M1</v>
          </cell>
          <cell r="Q5046" t="str">
            <v>J1</v>
          </cell>
          <cell r="R5046" t="str">
            <v>J8</v>
          </cell>
          <cell r="S5046" t="str">
            <v>PENDIENTE</v>
          </cell>
          <cell r="T5046">
            <v>0</v>
          </cell>
          <cell r="U5046" t="str">
            <v>CABEZAS SANCHEZ JEAN JHONATAN</v>
          </cell>
          <cell r="V5046" t="str">
            <v>FLOREZ CONDORI  JOSE WILLIANS</v>
          </cell>
        </row>
        <row r="5047">
          <cell r="A5047">
            <v>5046</v>
          </cell>
          <cell r="B5047">
            <v>42776</v>
          </cell>
          <cell r="C5047" t="str">
            <v>FEBRERO</v>
          </cell>
          <cell r="D5047" t="str">
            <v>2017</v>
          </cell>
          <cell r="E5047">
            <v>200</v>
          </cell>
          <cell r="F5047" t="str">
            <v>TALLER</v>
          </cell>
          <cell r="G5047" t="str">
            <v>TALLER</v>
          </cell>
          <cell r="H5047" t="str">
            <v>TALLER</v>
          </cell>
          <cell r="I5047" t="str">
            <v>TALLER</v>
          </cell>
          <cell r="J5047" t="str">
            <v>INSUMO TALLER</v>
          </cell>
          <cell r="K5047" t="str">
            <v>LIJA DE FIERRO</v>
          </cell>
          <cell r="L5047">
            <v>1</v>
          </cell>
          <cell r="M5047" t="str">
            <v>UNID.</v>
          </cell>
          <cell r="N5047" t="str">
            <v>TALLER</v>
          </cell>
          <cell r="O5047">
            <v>14</v>
          </cell>
          <cell r="P5047" t="str">
            <v>J8</v>
          </cell>
          <cell r="Q5047" t="str">
            <v>J1</v>
          </cell>
          <cell r="R5047" t="str">
            <v>J8</v>
          </cell>
          <cell r="S5047" t="str">
            <v>ENTREGADO</v>
          </cell>
          <cell r="T5047">
            <v>0</v>
          </cell>
          <cell r="U5047" t="str">
            <v>ARANGO PAREJA ANGELA ROSARIO</v>
          </cell>
          <cell r="V5047" t="str">
            <v>FLOREZ CONDORI  JOSE WILLIANS</v>
          </cell>
        </row>
        <row r="5048">
          <cell r="A5048">
            <v>5047</v>
          </cell>
          <cell r="B5048">
            <v>42776</v>
          </cell>
          <cell r="C5048" t="str">
            <v>FEBRERO</v>
          </cell>
          <cell r="D5048" t="str">
            <v>2017</v>
          </cell>
          <cell r="E5048">
            <v>200</v>
          </cell>
          <cell r="F5048" t="str">
            <v>TALLER</v>
          </cell>
          <cell r="G5048" t="str">
            <v>TALLER</v>
          </cell>
          <cell r="H5048" t="str">
            <v>TALLER</v>
          </cell>
          <cell r="I5048" t="str">
            <v>TALLER</v>
          </cell>
          <cell r="J5048" t="str">
            <v>REPUESTO</v>
          </cell>
          <cell r="K5048" t="str">
            <v>PERNOS</v>
          </cell>
          <cell r="L5048">
            <v>1</v>
          </cell>
          <cell r="M5048" t="str">
            <v>UNID.</v>
          </cell>
          <cell r="N5048" t="str">
            <v>TALLER</v>
          </cell>
          <cell r="O5048">
            <v>14</v>
          </cell>
          <cell r="P5048" t="str">
            <v>E3</v>
          </cell>
          <cell r="Q5048" t="str">
            <v>J1</v>
          </cell>
          <cell r="R5048" t="str">
            <v>J8</v>
          </cell>
          <cell r="S5048" t="str">
            <v>ENTREGADO</v>
          </cell>
          <cell r="T5048">
            <v>0</v>
          </cell>
          <cell r="U5048" t="str">
            <v>CONDORI CHURATA ALEX</v>
          </cell>
          <cell r="V5048" t="str">
            <v>FLOREZ CONDORI  JOSE WILLIANS</v>
          </cell>
        </row>
        <row r="5049">
          <cell r="A5049">
            <v>5048</v>
          </cell>
          <cell r="B5049">
            <v>42776</v>
          </cell>
          <cell r="C5049" t="str">
            <v>FEBRERO</v>
          </cell>
          <cell r="D5049" t="str">
            <v>2017</v>
          </cell>
          <cell r="E5049">
            <v>991</v>
          </cell>
          <cell r="F5049" t="str">
            <v>A5O-859</v>
          </cell>
          <cell r="G5049" t="str">
            <v>B6Y-971</v>
          </cell>
          <cell r="H5049" t="str">
            <v>LAS BAMBAS</v>
          </cell>
          <cell r="I5049">
            <v>120535</v>
          </cell>
          <cell r="J5049" t="str">
            <v>REPUESTO</v>
          </cell>
          <cell r="K5049" t="str">
            <v>DISCO DE CORTE DE 7</v>
          </cell>
          <cell r="L5049">
            <v>1</v>
          </cell>
          <cell r="M5049" t="str">
            <v>UNID.</v>
          </cell>
          <cell r="N5049" t="str">
            <v>CISTERNA</v>
          </cell>
          <cell r="O5049">
            <v>14</v>
          </cell>
          <cell r="P5049" t="str">
            <v>S4</v>
          </cell>
          <cell r="Q5049" t="str">
            <v>J1</v>
          </cell>
          <cell r="R5049" t="str">
            <v>J8</v>
          </cell>
          <cell r="S5049" t="str">
            <v>ENTREGADO</v>
          </cell>
          <cell r="T5049">
            <v>0</v>
          </cell>
          <cell r="U5049" t="str">
            <v>SURCO QUISPE JOHNNY</v>
          </cell>
          <cell r="V5049" t="str">
            <v>FLOREZ CONDORI  JOSE WILLIANS</v>
          </cell>
        </row>
        <row r="5050">
          <cell r="A5050">
            <v>5049</v>
          </cell>
          <cell r="B5050">
            <v>42776</v>
          </cell>
          <cell r="C5050" t="str">
            <v>FEBRERO</v>
          </cell>
          <cell r="D5050" t="str">
            <v>2017</v>
          </cell>
          <cell r="E5050">
            <v>991</v>
          </cell>
          <cell r="F5050" t="str">
            <v>A5O-859</v>
          </cell>
          <cell r="G5050" t="str">
            <v>B6Y-971</v>
          </cell>
          <cell r="H5050" t="str">
            <v>LAS BAMBAS</v>
          </cell>
          <cell r="I5050">
            <v>120535</v>
          </cell>
          <cell r="J5050" t="str">
            <v>REPUESTO</v>
          </cell>
          <cell r="K5050" t="str">
            <v>DISCO DE DESBASTE DE 7</v>
          </cell>
          <cell r="L5050">
            <v>1</v>
          </cell>
          <cell r="M5050" t="str">
            <v>UNID.</v>
          </cell>
          <cell r="N5050" t="str">
            <v>CISTERNA</v>
          </cell>
          <cell r="O5050">
            <v>14</v>
          </cell>
          <cell r="P5050" t="str">
            <v>S4</v>
          </cell>
          <cell r="Q5050" t="str">
            <v>J1</v>
          </cell>
          <cell r="R5050" t="str">
            <v>J8</v>
          </cell>
          <cell r="S5050" t="str">
            <v>ENTREGADO</v>
          </cell>
          <cell r="T5050">
            <v>0</v>
          </cell>
          <cell r="U5050" t="str">
            <v>SURCO QUISPE JOHNNY</v>
          </cell>
          <cell r="V5050" t="str">
            <v>FLOREZ CONDORI  JOSE WILLIANS</v>
          </cell>
        </row>
        <row r="5051">
          <cell r="A5051">
            <v>5050</v>
          </cell>
          <cell r="B5051">
            <v>42776</v>
          </cell>
          <cell r="C5051" t="str">
            <v>FEBRERO</v>
          </cell>
          <cell r="D5051" t="str">
            <v>2017</v>
          </cell>
          <cell r="E5051">
            <v>991</v>
          </cell>
          <cell r="F5051" t="str">
            <v>A5O-859</v>
          </cell>
          <cell r="G5051" t="str">
            <v>B6Y-971</v>
          </cell>
          <cell r="H5051" t="str">
            <v>LAS BAMBAS</v>
          </cell>
          <cell r="I5051">
            <v>120535</v>
          </cell>
          <cell r="J5051" t="str">
            <v>REPUESTO</v>
          </cell>
          <cell r="K5051" t="str">
            <v>PERNO DE 5 * 1</v>
          </cell>
          <cell r="L5051">
            <v>1</v>
          </cell>
          <cell r="M5051" t="str">
            <v>UNID.</v>
          </cell>
          <cell r="N5051" t="str">
            <v>CISTERNA</v>
          </cell>
          <cell r="O5051">
            <v>14</v>
          </cell>
          <cell r="P5051" t="str">
            <v>S4</v>
          </cell>
          <cell r="Q5051" t="str">
            <v>J1</v>
          </cell>
          <cell r="R5051" t="str">
            <v>J8</v>
          </cell>
          <cell r="S5051" t="str">
            <v>ENTREGADO</v>
          </cell>
          <cell r="T5051">
            <v>0</v>
          </cell>
          <cell r="U5051" t="str">
            <v>SURCO QUISPE JOHNNY</v>
          </cell>
          <cell r="V5051" t="str">
            <v>FLOREZ CONDORI  JOSE WILLIANS</v>
          </cell>
        </row>
        <row r="5052">
          <cell r="A5052">
            <v>5051</v>
          </cell>
          <cell r="B5052">
            <v>42776</v>
          </cell>
          <cell r="C5052" t="str">
            <v>FEBRERO</v>
          </cell>
          <cell r="D5052" t="str">
            <v>2017</v>
          </cell>
          <cell r="E5052">
            <v>991</v>
          </cell>
          <cell r="F5052" t="str">
            <v>A5O-859</v>
          </cell>
          <cell r="G5052" t="str">
            <v>B6Y-971</v>
          </cell>
          <cell r="H5052" t="str">
            <v>LAS BAMBAS</v>
          </cell>
          <cell r="I5052">
            <v>120535</v>
          </cell>
          <cell r="J5052" t="str">
            <v>REPUESTO</v>
          </cell>
          <cell r="K5052" t="str">
            <v>TUERCA DE SEGURO DE 1"</v>
          </cell>
          <cell r="L5052">
            <v>1</v>
          </cell>
          <cell r="M5052" t="str">
            <v>UNID.</v>
          </cell>
          <cell r="N5052" t="str">
            <v>CISTERNA</v>
          </cell>
          <cell r="O5052">
            <v>14</v>
          </cell>
          <cell r="P5052" t="str">
            <v>S4</v>
          </cell>
          <cell r="Q5052" t="str">
            <v>J1</v>
          </cell>
          <cell r="R5052" t="str">
            <v>J8</v>
          </cell>
          <cell r="S5052" t="str">
            <v>ENTREGADO</v>
          </cell>
          <cell r="T5052">
            <v>0</v>
          </cell>
          <cell r="U5052" t="str">
            <v>SURCO QUISPE JOHNNY</v>
          </cell>
          <cell r="V5052" t="str">
            <v>FLOREZ CONDORI  JOSE WILLIANS</v>
          </cell>
        </row>
        <row r="5053">
          <cell r="A5053">
            <v>5052</v>
          </cell>
          <cell r="B5053">
            <v>42776</v>
          </cell>
          <cell r="C5053" t="str">
            <v>FEBRERO</v>
          </cell>
          <cell r="D5053" t="str">
            <v>2017</v>
          </cell>
          <cell r="E5053">
            <v>1012</v>
          </cell>
          <cell r="F5053" t="str">
            <v>D3P-746</v>
          </cell>
          <cell r="G5053" t="str">
            <v>C0T-974</v>
          </cell>
          <cell r="H5053" t="str">
            <v>LAS BAMBAS</v>
          </cell>
          <cell r="I5053">
            <v>131660</v>
          </cell>
          <cell r="J5053" t="str">
            <v>REPUESTO</v>
          </cell>
          <cell r="K5053" t="str">
            <v>DISCO DE TORNAMESA</v>
          </cell>
          <cell r="L5053">
            <v>1</v>
          </cell>
          <cell r="M5053" t="str">
            <v>UNID.</v>
          </cell>
          <cell r="N5053" t="str">
            <v>CISTERNA</v>
          </cell>
          <cell r="O5053">
            <v>14</v>
          </cell>
          <cell r="P5053" t="str">
            <v>M9</v>
          </cell>
          <cell r="Q5053" t="str">
            <v>J1</v>
          </cell>
          <cell r="R5053" t="str">
            <v>J8</v>
          </cell>
          <cell r="S5053" t="str">
            <v>ENTREGADO</v>
          </cell>
          <cell r="T5053">
            <v>0</v>
          </cell>
          <cell r="U5053" t="str">
            <v>POMA SALAZAR CIRO</v>
          </cell>
          <cell r="V5053" t="str">
            <v>FLOREZ CONDORI  JOSE WILLIANS</v>
          </cell>
        </row>
        <row r="5054">
          <cell r="A5054">
            <v>5053</v>
          </cell>
          <cell r="B5054">
            <v>42776</v>
          </cell>
          <cell r="C5054" t="str">
            <v>FEBRERO</v>
          </cell>
          <cell r="D5054" t="str">
            <v>2017</v>
          </cell>
          <cell r="E5054">
            <v>1012</v>
          </cell>
          <cell r="F5054" t="str">
            <v>D3P-746</v>
          </cell>
          <cell r="G5054" t="str">
            <v>C0T-974</v>
          </cell>
          <cell r="H5054" t="str">
            <v>LAS BAMBAS</v>
          </cell>
          <cell r="I5054">
            <v>131660</v>
          </cell>
          <cell r="J5054" t="str">
            <v>REPUESTO</v>
          </cell>
          <cell r="K5054" t="str">
            <v>SEGURO DE TORNAMESA</v>
          </cell>
          <cell r="L5054">
            <v>1</v>
          </cell>
          <cell r="M5054" t="str">
            <v>UNID.</v>
          </cell>
          <cell r="N5054" t="str">
            <v>CISTERNA</v>
          </cell>
          <cell r="O5054">
            <v>14</v>
          </cell>
          <cell r="P5054" t="str">
            <v>M9</v>
          </cell>
          <cell r="Q5054" t="str">
            <v>J1</v>
          </cell>
          <cell r="R5054" t="str">
            <v>J8</v>
          </cell>
          <cell r="S5054" t="str">
            <v>ENTREGADO</v>
          </cell>
          <cell r="T5054">
            <v>0</v>
          </cell>
          <cell r="U5054" t="str">
            <v>POMA SALAZAR CIRO</v>
          </cell>
          <cell r="V5054" t="str">
            <v>FLOREZ CONDORI  JOSE WILLIANS</v>
          </cell>
        </row>
        <row r="5055">
          <cell r="A5055">
            <v>5054</v>
          </cell>
          <cell r="B5055">
            <v>42776</v>
          </cell>
          <cell r="C5055" t="str">
            <v>FEBRERO</v>
          </cell>
          <cell r="D5055" t="str">
            <v>2017</v>
          </cell>
          <cell r="E5055">
            <v>1012</v>
          </cell>
          <cell r="F5055" t="str">
            <v>D3P-746</v>
          </cell>
          <cell r="G5055" t="str">
            <v>C0T-974</v>
          </cell>
          <cell r="H5055" t="str">
            <v>LAS BAMBAS</v>
          </cell>
          <cell r="I5055">
            <v>131660</v>
          </cell>
          <cell r="J5055" t="str">
            <v>REPUESTO</v>
          </cell>
          <cell r="K5055" t="str">
            <v>MARCADOR  RESTRICCION AIRE</v>
          </cell>
          <cell r="L5055">
            <v>1</v>
          </cell>
          <cell r="M5055" t="str">
            <v>UNID.</v>
          </cell>
          <cell r="N5055" t="str">
            <v>TRACTO</v>
          </cell>
          <cell r="O5055">
            <v>14</v>
          </cell>
          <cell r="P5055" t="str">
            <v>M6</v>
          </cell>
          <cell r="Q5055" t="str">
            <v>J1</v>
          </cell>
          <cell r="R5055" t="str">
            <v>J8</v>
          </cell>
          <cell r="S5055" t="str">
            <v>PENDIENTE</v>
          </cell>
          <cell r="T5055">
            <v>0</v>
          </cell>
          <cell r="U5055" t="str">
            <v>PARI VENTURA  EDSON ORLANDO</v>
          </cell>
          <cell r="V5055" t="str">
            <v>FLOREZ CONDORI  JOSE WILLIANS</v>
          </cell>
        </row>
        <row r="5056">
          <cell r="A5056">
            <v>5055</v>
          </cell>
          <cell r="B5056">
            <v>42776</v>
          </cell>
          <cell r="C5056" t="str">
            <v>FEBRERO</v>
          </cell>
          <cell r="D5056" t="str">
            <v>2017</v>
          </cell>
          <cell r="E5056">
            <v>202</v>
          </cell>
          <cell r="F5056" t="str">
            <v>D3P-752</v>
          </cell>
          <cell r="G5056" t="str">
            <v>C5Y-985</v>
          </cell>
          <cell r="H5056" t="str">
            <v>LAS BAMBAS</v>
          </cell>
          <cell r="I5056">
            <v>150504</v>
          </cell>
          <cell r="J5056" t="str">
            <v>REPUESTO</v>
          </cell>
          <cell r="K5056" t="str">
            <v>SERVICIO DE REPARACION DE ESPEJO LH</v>
          </cell>
          <cell r="L5056">
            <v>1</v>
          </cell>
          <cell r="M5056" t="str">
            <v>UNID.</v>
          </cell>
          <cell r="N5056" t="str">
            <v>TRACTO</v>
          </cell>
          <cell r="O5056">
            <v>14</v>
          </cell>
          <cell r="P5056" t="str">
            <v>J1</v>
          </cell>
          <cell r="Q5056" t="str">
            <v>J1</v>
          </cell>
          <cell r="R5056" t="str">
            <v>J8</v>
          </cell>
          <cell r="S5056" t="str">
            <v>PENDIENTE</v>
          </cell>
          <cell r="T5056">
            <v>0</v>
          </cell>
          <cell r="U5056" t="str">
            <v>FLOREZ CONDORI  JOSE WILLIANS</v>
          </cell>
          <cell r="V5056" t="str">
            <v>FLOREZ CONDORI  JOSE WILLIANS</v>
          </cell>
        </row>
        <row r="5057">
          <cell r="A5057">
            <v>5056</v>
          </cell>
          <cell r="B5057">
            <v>42777</v>
          </cell>
          <cell r="C5057" t="str">
            <v>FEBRERO</v>
          </cell>
          <cell r="D5057" t="str">
            <v>2017</v>
          </cell>
          <cell r="E5057">
            <v>991</v>
          </cell>
          <cell r="F5057" t="str">
            <v>A5O-859</v>
          </cell>
          <cell r="G5057" t="str">
            <v>B6Y-971</v>
          </cell>
          <cell r="H5057" t="str">
            <v>LAS BAMBAS</v>
          </cell>
          <cell r="I5057">
            <v>120535</v>
          </cell>
          <cell r="J5057" t="str">
            <v>REPUESTO</v>
          </cell>
          <cell r="K5057" t="str">
            <v>CABLE CORRIENTE # 14</v>
          </cell>
          <cell r="L5057">
            <v>8</v>
          </cell>
          <cell r="M5057" t="str">
            <v>M</v>
          </cell>
          <cell r="N5057" t="str">
            <v>CISTERNA</v>
          </cell>
          <cell r="O5057">
            <v>13</v>
          </cell>
          <cell r="P5057" t="str">
            <v>E2</v>
          </cell>
          <cell r="Q5057" t="str">
            <v>J1</v>
          </cell>
          <cell r="R5057" t="str">
            <v>J8</v>
          </cell>
          <cell r="S5057" t="str">
            <v>ENTREGADO</v>
          </cell>
          <cell r="T5057">
            <v>0</v>
          </cell>
          <cell r="U5057" t="str">
            <v>YUCA BELLIDO BORIS YERSY</v>
          </cell>
          <cell r="V5057" t="str">
            <v>FLOREZ CONDORI  JOSE WILLIANS</v>
          </cell>
        </row>
        <row r="5058">
          <cell r="A5058">
            <v>5057</v>
          </cell>
          <cell r="B5058">
            <v>42777</v>
          </cell>
          <cell r="C5058" t="str">
            <v>FEBRERO</v>
          </cell>
          <cell r="D5058" t="str">
            <v>2017</v>
          </cell>
          <cell r="E5058">
            <v>991</v>
          </cell>
          <cell r="F5058" t="str">
            <v>A5O-859</v>
          </cell>
          <cell r="G5058" t="str">
            <v>B6Y-971</v>
          </cell>
          <cell r="H5058" t="str">
            <v>LAS BAMBAS</v>
          </cell>
          <cell r="I5058">
            <v>120535</v>
          </cell>
          <cell r="J5058" t="str">
            <v>REPUESTO</v>
          </cell>
          <cell r="K5058" t="str">
            <v xml:space="preserve">PRECINTOS PEQUEÑOS </v>
          </cell>
          <cell r="L5058">
            <v>15</v>
          </cell>
          <cell r="M5058" t="str">
            <v>UNID.</v>
          </cell>
          <cell r="N5058" t="str">
            <v>CISTERNA</v>
          </cell>
          <cell r="O5058">
            <v>13</v>
          </cell>
          <cell r="P5058" t="str">
            <v>E2</v>
          </cell>
          <cell r="Q5058" t="str">
            <v>J1</v>
          </cell>
          <cell r="R5058" t="str">
            <v>J8</v>
          </cell>
          <cell r="S5058" t="str">
            <v>ENTREGADO</v>
          </cell>
          <cell r="T5058">
            <v>0</v>
          </cell>
          <cell r="U5058" t="str">
            <v>YUCA BELLIDO BORIS YERSY</v>
          </cell>
          <cell r="V5058" t="str">
            <v>FLOREZ CONDORI  JOSE WILLIANS</v>
          </cell>
        </row>
        <row r="5059">
          <cell r="A5059">
            <v>5058</v>
          </cell>
          <cell r="B5059">
            <v>42777</v>
          </cell>
          <cell r="C5059" t="str">
            <v>FEBRERO</v>
          </cell>
          <cell r="D5059" t="str">
            <v>2017</v>
          </cell>
          <cell r="E5059">
            <v>991</v>
          </cell>
          <cell r="F5059" t="str">
            <v>A5O-859</v>
          </cell>
          <cell r="G5059" t="str">
            <v>B6Y-971</v>
          </cell>
          <cell r="H5059" t="str">
            <v>LAS BAMBAS</v>
          </cell>
          <cell r="I5059">
            <v>120535</v>
          </cell>
          <cell r="J5059" t="str">
            <v>REPUESTO</v>
          </cell>
          <cell r="K5059" t="str">
            <v>MANGUERA CORRUGADA</v>
          </cell>
          <cell r="L5059">
            <v>5</v>
          </cell>
          <cell r="M5059" t="str">
            <v>M</v>
          </cell>
          <cell r="N5059" t="str">
            <v>CISTERNA</v>
          </cell>
          <cell r="O5059">
            <v>13</v>
          </cell>
          <cell r="P5059" t="str">
            <v>E2</v>
          </cell>
          <cell r="Q5059" t="str">
            <v>J1</v>
          </cell>
          <cell r="R5059" t="str">
            <v>J8</v>
          </cell>
          <cell r="S5059" t="str">
            <v>ENTREGADO</v>
          </cell>
          <cell r="T5059">
            <v>0</v>
          </cell>
          <cell r="U5059" t="str">
            <v>YUCA BELLIDO BORIS YERSY</v>
          </cell>
          <cell r="V5059" t="str">
            <v>FLOREZ CONDORI  JOSE WILLIANS</v>
          </cell>
        </row>
        <row r="5060">
          <cell r="A5060">
            <v>5059</v>
          </cell>
          <cell r="B5060">
            <v>42777</v>
          </cell>
          <cell r="C5060" t="str">
            <v>FEBRERO</v>
          </cell>
          <cell r="D5060" t="str">
            <v>2017</v>
          </cell>
          <cell r="E5060">
            <v>991</v>
          </cell>
          <cell r="F5060" t="str">
            <v>A5O-859</v>
          </cell>
          <cell r="G5060" t="str">
            <v>B6Y-971</v>
          </cell>
          <cell r="H5060" t="str">
            <v>LAS BAMBAS</v>
          </cell>
          <cell r="I5060">
            <v>120535</v>
          </cell>
          <cell r="J5060" t="str">
            <v>REPUESTO</v>
          </cell>
          <cell r="K5060" t="str">
            <v>CINTA AISLANTE NEGRA</v>
          </cell>
          <cell r="L5060">
            <v>1</v>
          </cell>
          <cell r="M5060" t="str">
            <v>UNID.</v>
          </cell>
          <cell r="N5060" t="str">
            <v>CISTERNA</v>
          </cell>
          <cell r="O5060">
            <v>13</v>
          </cell>
          <cell r="P5060" t="str">
            <v>E2</v>
          </cell>
          <cell r="Q5060" t="str">
            <v>J1</v>
          </cell>
          <cell r="R5060" t="str">
            <v>J8</v>
          </cell>
          <cell r="S5060" t="str">
            <v>ENTREGADO</v>
          </cell>
          <cell r="T5060">
            <v>0</v>
          </cell>
          <cell r="U5060" t="str">
            <v>YUCA BELLIDO BORIS YERSY</v>
          </cell>
          <cell r="V5060" t="str">
            <v>FLOREZ CONDORI  JOSE WILLIANS</v>
          </cell>
        </row>
        <row r="5061">
          <cell r="A5061">
            <v>5060</v>
          </cell>
          <cell r="B5061">
            <v>42777</v>
          </cell>
          <cell r="C5061" t="str">
            <v>FEBRERO</v>
          </cell>
          <cell r="D5061" t="str">
            <v>2017</v>
          </cell>
          <cell r="E5061">
            <v>991</v>
          </cell>
          <cell r="F5061" t="str">
            <v>A5O-859</v>
          </cell>
          <cell r="G5061" t="str">
            <v>B6Y-971</v>
          </cell>
          <cell r="H5061" t="str">
            <v>LAS BAMBAS</v>
          </cell>
          <cell r="I5061">
            <v>120535</v>
          </cell>
          <cell r="J5061" t="str">
            <v>REPUESTO</v>
          </cell>
          <cell r="K5061" t="str">
            <v>DISCO DE TORNAMESA</v>
          </cell>
          <cell r="L5061">
            <v>1</v>
          </cell>
          <cell r="M5061" t="str">
            <v>UNID.</v>
          </cell>
          <cell r="N5061" t="str">
            <v>CISTERNA</v>
          </cell>
          <cell r="O5061">
            <v>13</v>
          </cell>
          <cell r="P5061" t="str">
            <v>M1</v>
          </cell>
          <cell r="Q5061" t="str">
            <v>J1</v>
          </cell>
          <cell r="R5061" t="str">
            <v>J8</v>
          </cell>
          <cell r="S5061" t="str">
            <v>ENTREGADO</v>
          </cell>
          <cell r="T5061">
            <v>0</v>
          </cell>
          <cell r="U5061" t="str">
            <v>CABEZAS SANCHEZ JEAN JHONATAN</v>
          </cell>
          <cell r="V5061" t="str">
            <v>FLOREZ CONDORI  JOSE WILLIANS</v>
          </cell>
        </row>
        <row r="5062">
          <cell r="A5062">
            <v>5061</v>
          </cell>
          <cell r="B5062">
            <v>42777</v>
          </cell>
          <cell r="C5062" t="str">
            <v>FEBRERO</v>
          </cell>
          <cell r="D5062" t="str">
            <v>2017</v>
          </cell>
          <cell r="E5062">
            <v>991</v>
          </cell>
          <cell r="F5062" t="str">
            <v>A5O-859</v>
          </cell>
          <cell r="G5062" t="str">
            <v>B6Y-971</v>
          </cell>
          <cell r="H5062" t="str">
            <v>LAS BAMBAS</v>
          </cell>
          <cell r="I5062">
            <v>120535</v>
          </cell>
          <cell r="J5062" t="str">
            <v>REPUESTO</v>
          </cell>
          <cell r="K5062" t="str">
            <v>SEGURO DE TORNAMESA</v>
          </cell>
          <cell r="L5062">
            <v>1</v>
          </cell>
          <cell r="M5062" t="str">
            <v>UNID.</v>
          </cell>
          <cell r="N5062" t="str">
            <v>CISTERNA</v>
          </cell>
          <cell r="O5062">
            <v>13</v>
          </cell>
          <cell r="P5062" t="str">
            <v>M1</v>
          </cell>
          <cell r="Q5062" t="str">
            <v>J1</v>
          </cell>
          <cell r="R5062" t="str">
            <v>J8</v>
          </cell>
          <cell r="S5062" t="str">
            <v>ENTREGADO</v>
          </cell>
          <cell r="T5062">
            <v>0</v>
          </cell>
          <cell r="U5062" t="str">
            <v>CABEZAS SANCHEZ JEAN JHONATAN</v>
          </cell>
          <cell r="V5062" t="str">
            <v>FLOREZ CONDORI  JOSE WILLIANS</v>
          </cell>
        </row>
        <row r="5063">
          <cell r="A5063">
            <v>5062</v>
          </cell>
          <cell r="B5063">
            <v>42778</v>
          </cell>
          <cell r="C5063" t="str">
            <v>FEBRERO</v>
          </cell>
          <cell r="D5063" t="str">
            <v>2017</v>
          </cell>
          <cell r="E5063">
            <v>200</v>
          </cell>
          <cell r="F5063" t="str">
            <v>TALLER</v>
          </cell>
          <cell r="G5063" t="str">
            <v>TALLER</v>
          </cell>
          <cell r="H5063" t="str">
            <v>TALLER</v>
          </cell>
          <cell r="I5063" t="str">
            <v>TALLER</v>
          </cell>
          <cell r="J5063" t="str">
            <v>REPUESTO</v>
          </cell>
          <cell r="K5063" t="str">
            <v>SERVICIO DE REPARACION DE CARGADOR DE BATERIA</v>
          </cell>
          <cell r="L5063">
            <v>1</v>
          </cell>
          <cell r="M5063" t="str">
            <v>UNID.</v>
          </cell>
          <cell r="N5063" t="str">
            <v>TALLER</v>
          </cell>
          <cell r="O5063">
            <v>12</v>
          </cell>
          <cell r="P5063" t="str">
            <v>J1</v>
          </cell>
          <cell r="Q5063" t="str">
            <v>J1</v>
          </cell>
          <cell r="R5063" t="str">
            <v>J8</v>
          </cell>
          <cell r="S5063" t="str">
            <v>PENDIENTE</v>
          </cell>
          <cell r="T5063">
            <v>0</v>
          </cell>
          <cell r="U5063" t="str">
            <v>FLOREZ CONDORI  JOSE WILLIANS</v>
          </cell>
          <cell r="V5063" t="str">
            <v>FLOREZ CONDORI  JOSE WILLIANS</v>
          </cell>
        </row>
        <row r="5064">
          <cell r="A5064">
            <v>5063</v>
          </cell>
          <cell r="B5064">
            <v>42778</v>
          </cell>
          <cell r="C5064" t="str">
            <v>FEBRERO</v>
          </cell>
          <cell r="D5064" t="str">
            <v>2017</v>
          </cell>
          <cell r="E5064">
            <v>1019</v>
          </cell>
          <cell r="F5064" t="str">
            <v>AEH-862</v>
          </cell>
          <cell r="G5064" t="str">
            <v>CAMIONETA</v>
          </cell>
          <cell r="H5064" t="str">
            <v>LAS BAMBAS</v>
          </cell>
          <cell r="I5064">
            <v>110683</v>
          </cell>
          <cell r="J5064" t="str">
            <v>REPUESTO</v>
          </cell>
          <cell r="K5064" t="str">
            <v>FILTRO DE AIRE</v>
          </cell>
          <cell r="L5064">
            <v>1</v>
          </cell>
          <cell r="M5064" t="str">
            <v>UNID.</v>
          </cell>
          <cell r="N5064" t="str">
            <v>CAMIONETA</v>
          </cell>
          <cell r="O5064">
            <v>12</v>
          </cell>
          <cell r="P5064" t="str">
            <v>J8</v>
          </cell>
          <cell r="Q5064" t="str">
            <v>J1</v>
          </cell>
          <cell r="R5064" t="str">
            <v>J8</v>
          </cell>
          <cell r="S5064" t="str">
            <v>ENTREGADO</v>
          </cell>
          <cell r="T5064">
            <v>0</v>
          </cell>
          <cell r="U5064" t="str">
            <v>ARANGO PAREJA ANGELA ROSARIO</v>
          </cell>
          <cell r="V5064" t="str">
            <v>FLOREZ CONDORI  JOSE WILLIANS</v>
          </cell>
        </row>
        <row r="5065">
          <cell r="A5065">
            <v>5064</v>
          </cell>
          <cell r="B5065">
            <v>42778</v>
          </cell>
          <cell r="C5065" t="str">
            <v>FEBRERO</v>
          </cell>
          <cell r="D5065" t="str">
            <v>2017</v>
          </cell>
          <cell r="E5065">
            <v>1019</v>
          </cell>
          <cell r="F5065" t="str">
            <v>AEH-862</v>
          </cell>
          <cell r="G5065" t="str">
            <v>CAMIONETA</v>
          </cell>
          <cell r="H5065" t="str">
            <v>LAS BAMBAS</v>
          </cell>
          <cell r="I5065">
            <v>110683</v>
          </cell>
          <cell r="J5065" t="str">
            <v>REPUESTO</v>
          </cell>
          <cell r="K5065" t="str">
            <v>FILTRO DE ACEITE</v>
          </cell>
          <cell r="L5065">
            <v>1</v>
          </cell>
          <cell r="M5065" t="str">
            <v>UNID.</v>
          </cell>
          <cell r="N5065" t="str">
            <v>CAMIONETA</v>
          </cell>
          <cell r="O5065">
            <v>12</v>
          </cell>
          <cell r="P5065" t="str">
            <v>J8</v>
          </cell>
          <cell r="Q5065" t="str">
            <v>J1</v>
          </cell>
          <cell r="R5065" t="str">
            <v>J8</v>
          </cell>
          <cell r="S5065" t="str">
            <v>ENTREGADO</v>
          </cell>
          <cell r="T5065">
            <v>0</v>
          </cell>
          <cell r="U5065" t="str">
            <v>ARANGO PAREJA ANGELA ROSARIO</v>
          </cell>
          <cell r="V5065" t="str">
            <v>FLOREZ CONDORI  JOSE WILLIANS</v>
          </cell>
        </row>
        <row r="5066">
          <cell r="A5066">
            <v>5065</v>
          </cell>
          <cell r="B5066">
            <v>42778</v>
          </cell>
          <cell r="C5066" t="str">
            <v>FEBRERO</v>
          </cell>
          <cell r="D5066" t="str">
            <v>2017</v>
          </cell>
          <cell r="E5066">
            <v>1019</v>
          </cell>
          <cell r="F5066" t="str">
            <v>AEH-862</v>
          </cell>
          <cell r="G5066" t="str">
            <v>CAMIONETA</v>
          </cell>
          <cell r="H5066" t="str">
            <v>LAS BAMBAS</v>
          </cell>
          <cell r="I5066">
            <v>110683</v>
          </cell>
          <cell r="J5066" t="str">
            <v>REPUESTO</v>
          </cell>
          <cell r="K5066" t="str">
            <v>FILTRO DE COMBUSTIBLE</v>
          </cell>
          <cell r="L5066">
            <v>1</v>
          </cell>
          <cell r="M5066" t="str">
            <v>UNID.</v>
          </cell>
          <cell r="N5066" t="str">
            <v>CAMIONETA</v>
          </cell>
          <cell r="O5066">
            <v>12</v>
          </cell>
          <cell r="P5066" t="str">
            <v>J8</v>
          </cell>
          <cell r="Q5066" t="str">
            <v>J1</v>
          </cell>
          <cell r="R5066" t="str">
            <v>J8</v>
          </cell>
          <cell r="S5066" t="str">
            <v>ENTREGADO</v>
          </cell>
          <cell r="T5066">
            <v>0</v>
          </cell>
          <cell r="U5066" t="str">
            <v>ARANGO PAREJA ANGELA ROSARIO</v>
          </cell>
          <cell r="V5066" t="str">
            <v>FLOREZ CONDORI  JOSE WILLIANS</v>
          </cell>
        </row>
        <row r="5067">
          <cell r="A5067">
            <v>5066</v>
          </cell>
          <cell r="B5067">
            <v>42778</v>
          </cell>
          <cell r="C5067" t="str">
            <v>FEBRERO</v>
          </cell>
          <cell r="D5067" t="str">
            <v>2017</v>
          </cell>
          <cell r="E5067">
            <v>1019</v>
          </cell>
          <cell r="F5067" t="str">
            <v>AEH-862</v>
          </cell>
          <cell r="G5067" t="str">
            <v>CAMIONETA</v>
          </cell>
          <cell r="H5067" t="str">
            <v>LAS BAMBAS</v>
          </cell>
          <cell r="I5067">
            <v>110683</v>
          </cell>
          <cell r="J5067" t="str">
            <v>REPUESTO</v>
          </cell>
          <cell r="K5067" t="str">
            <v>ACEITE DE MOTOR 15W40</v>
          </cell>
          <cell r="L5067">
            <v>2</v>
          </cell>
          <cell r="M5067" t="str">
            <v>GLNS.</v>
          </cell>
          <cell r="N5067" t="str">
            <v>CAMIONETA</v>
          </cell>
          <cell r="O5067">
            <v>12</v>
          </cell>
          <cell r="P5067" t="str">
            <v>J8</v>
          </cell>
          <cell r="Q5067" t="str">
            <v>J1</v>
          </cell>
          <cell r="R5067" t="str">
            <v>J8</v>
          </cell>
          <cell r="S5067" t="str">
            <v>ENTREGADO</v>
          </cell>
          <cell r="T5067">
            <v>0</v>
          </cell>
          <cell r="U5067" t="str">
            <v>ARANGO PAREJA ANGELA ROSARIO</v>
          </cell>
          <cell r="V5067" t="str">
            <v>FLOREZ CONDORI  JOSE WILLIANS</v>
          </cell>
        </row>
        <row r="5068">
          <cell r="A5068">
            <v>5067</v>
          </cell>
          <cell r="B5068">
            <v>42778</v>
          </cell>
          <cell r="C5068" t="str">
            <v>FEBRERO</v>
          </cell>
          <cell r="D5068" t="str">
            <v>2017</v>
          </cell>
          <cell r="E5068">
            <v>1016</v>
          </cell>
          <cell r="F5068" t="str">
            <v>AEH-920</v>
          </cell>
          <cell r="G5068" t="str">
            <v>CAMIONETA</v>
          </cell>
          <cell r="H5068" t="str">
            <v>LAS BAMBAS</v>
          </cell>
          <cell r="I5068">
            <v>102580</v>
          </cell>
          <cell r="J5068" t="str">
            <v>REPUESTO</v>
          </cell>
          <cell r="K5068" t="str">
            <v>FILTRO DE AIRE</v>
          </cell>
          <cell r="L5068">
            <v>1</v>
          </cell>
          <cell r="M5068" t="str">
            <v>UNID.</v>
          </cell>
          <cell r="N5068" t="str">
            <v>CAMIONETA</v>
          </cell>
          <cell r="O5068">
            <v>12</v>
          </cell>
          <cell r="P5068" t="str">
            <v>J8</v>
          </cell>
          <cell r="Q5068" t="str">
            <v>J1</v>
          </cell>
          <cell r="R5068" t="str">
            <v>J8</v>
          </cell>
          <cell r="S5068" t="str">
            <v>ENTREGADO</v>
          </cell>
          <cell r="T5068">
            <v>0</v>
          </cell>
          <cell r="U5068" t="str">
            <v>ARANGO PAREJA ANGELA ROSARIO</v>
          </cell>
          <cell r="V5068" t="str">
            <v>FLOREZ CONDORI  JOSE WILLIANS</v>
          </cell>
        </row>
        <row r="5069">
          <cell r="A5069">
            <v>5068</v>
          </cell>
          <cell r="B5069">
            <v>42778</v>
          </cell>
          <cell r="C5069" t="str">
            <v>FEBRERO</v>
          </cell>
          <cell r="D5069" t="str">
            <v>2017</v>
          </cell>
          <cell r="E5069">
            <v>1016</v>
          </cell>
          <cell r="F5069" t="str">
            <v>AEH-920</v>
          </cell>
          <cell r="G5069" t="str">
            <v>CAMIONETA</v>
          </cell>
          <cell r="H5069" t="str">
            <v>LAS BAMBAS</v>
          </cell>
          <cell r="I5069">
            <v>102580</v>
          </cell>
          <cell r="J5069" t="str">
            <v>REPUESTO</v>
          </cell>
          <cell r="K5069" t="str">
            <v>FILTRO DE ACEITE</v>
          </cell>
          <cell r="L5069">
            <v>1</v>
          </cell>
          <cell r="M5069" t="str">
            <v>UNID.</v>
          </cell>
          <cell r="N5069" t="str">
            <v>CAMIONETA</v>
          </cell>
          <cell r="O5069">
            <v>12</v>
          </cell>
          <cell r="P5069" t="str">
            <v>J8</v>
          </cell>
          <cell r="Q5069" t="str">
            <v>J1</v>
          </cell>
          <cell r="R5069" t="str">
            <v>J8</v>
          </cell>
          <cell r="S5069" t="str">
            <v>ENTREGADO</v>
          </cell>
          <cell r="T5069">
            <v>0</v>
          </cell>
          <cell r="U5069" t="str">
            <v>ARANGO PAREJA ANGELA ROSARIO</v>
          </cell>
          <cell r="V5069" t="str">
            <v>FLOREZ CONDORI  JOSE WILLIANS</v>
          </cell>
        </row>
        <row r="5070">
          <cell r="A5070">
            <v>5069</v>
          </cell>
          <cell r="B5070">
            <v>42778</v>
          </cell>
          <cell r="C5070" t="str">
            <v>FEBRERO</v>
          </cell>
          <cell r="D5070" t="str">
            <v>2017</v>
          </cell>
          <cell r="E5070">
            <v>1016</v>
          </cell>
          <cell r="F5070" t="str">
            <v>AEH-920</v>
          </cell>
          <cell r="G5070" t="str">
            <v>CAMIONETA</v>
          </cell>
          <cell r="H5070" t="str">
            <v>LAS BAMBAS</v>
          </cell>
          <cell r="I5070">
            <v>102580</v>
          </cell>
          <cell r="J5070" t="str">
            <v>REPUESTO</v>
          </cell>
          <cell r="K5070" t="str">
            <v>FILTRO DE COMBUSTIBLE</v>
          </cell>
          <cell r="L5070">
            <v>1</v>
          </cell>
          <cell r="M5070" t="str">
            <v>UNID.</v>
          </cell>
          <cell r="N5070" t="str">
            <v>CAMIONETA</v>
          </cell>
          <cell r="O5070">
            <v>12</v>
          </cell>
          <cell r="P5070" t="str">
            <v>J8</v>
          </cell>
          <cell r="Q5070" t="str">
            <v>J1</v>
          </cell>
          <cell r="R5070" t="str">
            <v>J8</v>
          </cell>
          <cell r="S5070" t="str">
            <v>ENTREGADO</v>
          </cell>
          <cell r="T5070">
            <v>0</v>
          </cell>
          <cell r="U5070" t="str">
            <v>ARANGO PAREJA ANGELA ROSARIO</v>
          </cell>
          <cell r="V5070" t="str">
            <v>FLOREZ CONDORI  JOSE WILLIANS</v>
          </cell>
        </row>
        <row r="5071">
          <cell r="A5071">
            <v>5070</v>
          </cell>
          <cell r="B5071">
            <v>42778</v>
          </cell>
          <cell r="C5071" t="str">
            <v>FEBRERO</v>
          </cell>
          <cell r="D5071" t="str">
            <v>2017</v>
          </cell>
          <cell r="E5071">
            <v>1016</v>
          </cell>
          <cell r="F5071" t="str">
            <v>AEH-920</v>
          </cell>
          <cell r="G5071" t="str">
            <v>CAMIONETA</v>
          </cell>
          <cell r="H5071" t="str">
            <v>LAS BAMBAS</v>
          </cell>
          <cell r="I5071">
            <v>102580</v>
          </cell>
          <cell r="J5071" t="str">
            <v>REPUESTO</v>
          </cell>
          <cell r="K5071" t="str">
            <v>ACEITE DE MOTOR 15W40</v>
          </cell>
          <cell r="L5071">
            <v>2</v>
          </cell>
          <cell r="M5071" t="str">
            <v>GLNS.</v>
          </cell>
          <cell r="N5071" t="str">
            <v>CAMIONETA</v>
          </cell>
          <cell r="O5071">
            <v>12</v>
          </cell>
          <cell r="P5071" t="str">
            <v>J8</v>
          </cell>
          <cell r="Q5071" t="str">
            <v>J1</v>
          </cell>
          <cell r="R5071" t="str">
            <v>J8</v>
          </cell>
          <cell r="S5071" t="str">
            <v>ENTREGADO</v>
          </cell>
          <cell r="T5071">
            <v>0</v>
          </cell>
          <cell r="U5071" t="str">
            <v>ARANGO PAREJA ANGELA ROSARIO</v>
          </cell>
          <cell r="V5071" t="str">
            <v>FLOREZ CONDORI  JOSE WILLIANS</v>
          </cell>
        </row>
        <row r="5072">
          <cell r="A5072">
            <v>5071</v>
          </cell>
          <cell r="B5072">
            <v>42778</v>
          </cell>
          <cell r="C5072" t="str">
            <v>FEBRERO</v>
          </cell>
          <cell r="D5072" t="str">
            <v>2017</v>
          </cell>
          <cell r="E5072">
            <v>1014</v>
          </cell>
          <cell r="F5072" t="str">
            <v>D3P-744</v>
          </cell>
          <cell r="G5072" t="str">
            <v>A0F-996</v>
          </cell>
          <cell r="H5072" t="str">
            <v>LAS BAMBAS</v>
          </cell>
          <cell r="I5072">
            <v>162328</v>
          </cell>
          <cell r="J5072" t="str">
            <v>REPUESTO</v>
          </cell>
          <cell r="K5072" t="str">
            <v>TUBO ROSCADO PARA RECUPERADOR DE VAPOR</v>
          </cell>
          <cell r="L5072">
            <v>1</v>
          </cell>
          <cell r="M5072" t="str">
            <v>UNID.</v>
          </cell>
          <cell r="N5072" t="str">
            <v>CISTERNA</v>
          </cell>
          <cell r="O5072" t="e">
            <v>#VALUE!</v>
          </cell>
          <cell r="P5072" t="str">
            <v>M5</v>
          </cell>
          <cell r="Q5072" t="str">
            <v>J1</v>
          </cell>
          <cell r="R5072" t="str">
            <v>J8</v>
          </cell>
          <cell r="S5072" t="str">
            <v>ENTREGADO</v>
          </cell>
          <cell r="T5072" t="str">
            <v>ANULADO</v>
          </cell>
          <cell r="U5072" t="str">
            <v>LOPEZ RUIZ WILBERTO</v>
          </cell>
          <cell r="V5072" t="str">
            <v>FLOREZ CONDORI  JOSE WILLIANS</v>
          </cell>
        </row>
        <row r="5073">
          <cell r="A5073">
            <v>5072</v>
          </cell>
          <cell r="B5073">
            <v>42778</v>
          </cell>
          <cell r="C5073" t="str">
            <v>FEBRERO</v>
          </cell>
          <cell r="D5073" t="str">
            <v>2017</v>
          </cell>
          <cell r="E5073">
            <v>1014</v>
          </cell>
          <cell r="F5073" t="str">
            <v>D3P-744</v>
          </cell>
          <cell r="G5073" t="str">
            <v>A0F-996</v>
          </cell>
          <cell r="H5073" t="str">
            <v>LAS BAMBAS</v>
          </cell>
          <cell r="I5073">
            <v>162328</v>
          </cell>
          <cell r="J5073" t="str">
            <v>REPUESTO</v>
          </cell>
          <cell r="K5073" t="str">
            <v>RECUPERADOR DE VAPOR</v>
          </cell>
          <cell r="L5073">
            <v>1</v>
          </cell>
          <cell r="M5073" t="str">
            <v>UNID.</v>
          </cell>
          <cell r="N5073" t="str">
            <v>CISTERNA</v>
          </cell>
          <cell r="O5073">
            <v>1</v>
          </cell>
          <cell r="P5073" t="str">
            <v>M5</v>
          </cell>
          <cell r="Q5073" t="str">
            <v>J1</v>
          </cell>
          <cell r="R5073" t="str">
            <v>J8</v>
          </cell>
          <cell r="S5073" t="str">
            <v>ENTREGADO</v>
          </cell>
          <cell r="T5073">
            <v>42779</v>
          </cell>
          <cell r="U5073" t="str">
            <v>LOPEZ RUIZ WILBERTO</v>
          </cell>
          <cell r="V5073" t="str">
            <v>FLOREZ CONDORI  JOSE WILLIANS</v>
          </cell>
        </row>
        <row r="5074">
          <cell r="A5074">
            <v>5073</v>
          </cell>
          <cell r="B5074">
            <v>42778</v>
          </cell>
          <cell r="C5074" t="str">
            <v>FEBRERO</v>
          </cell>
          <cell r="D5074" t="str">
            <v>2017</v>
          </cell>
          <cell r="E5074">
            <v>1014</v>
          </cell>
          <cell r="F5074" t="str">
            <v>D3P-744</v>
          </cell>
          <cell r="G5074" t="str">
            <v>A0F-996</v>
          </cell>
          <cell r="H5074" t="str">
            <v>LAS BAMBAS</v>
          </cell>
          <cell r="I5074">
            <v>162328</v>
          </cell>
          <cell r="J5074" t="str">
            <v>REPUESTO</v>
          </cell>
          <cell r="K5074" t="str">
            <v>MATACHISPA</v>
          </cell>
          <cell r="L5074">
            <v>1</v>
          </cell>
          <cell r="M5074" t="str">
            <v>UNID.</v>
          </cell>
          <cell r="N5074" t="str">
            <v>CISTERNA</v>
          </cell>
          <cell r="O5074" t="e">
            <v>#VALUE!</v>
          </cell>
          <cell r="P5074" t="str">
            <v>M5</v>
          </cell>
          <cell r="Q5074" t="str">
            <v>J1</v>
          </cell>
          <cell r="R5074" t="str">
            <v>J8</v>
          </cell>
          <cell r="S5074" t="str">
            <v>ENTREGADO</v>
          </cell>
          <cell r="T5074" t="str">
            <v>TALLER</v>
          </cell>
          <cell r="U5074" t="str">
            <v>LOPEZ RUIZ WILBERTO</v>
          </cell>
          <cell r="V5074" t="str">
            <v>FLOREZ CONDORI  JOSE WILLIANS</v>
          </cell>
        </row>
        <row r="5075">
          <cell r="A5075">
            <v>5074</v>
          </cell>
          <cell r="B5075">
            <v>42778</v>
          </cell>
          <cell r="C5075" t="str">
            <v>FEBRERO</v>
          </cell>
          <cell r="D5075" t="str">
            <v>2017</v>
          </cell>
          <cell r="E5075">
            <v>1037</v>
          </cell>
          <cell r="F5075" t="str">
            <v>D6G-805</v>
          </cell>
          <cell r="G5075" t="str">
            <v>T4Z-996</v>
          </cell>
          <cell r="H5075" t="str">
            <v>LAS BAMBAS</v>
          </cell>
          <cell r="I5075">
            <v>230855</v>
          </cell>
          <cell r="J5075" t="str">
            <v>REPUESTO</v>
          </cell>
          <cell r="K5075" t="str">
            <v>SECADOR DE AIRE COMPLETO</v>
          </cell>
          <cell r="L5075">
            <v>1</v>
          </cell>
          <cell r="M5075" t="str">
            <v>UNID.</v>
          </cell>
          <cell r="N5075" t="str">
            <v>TRACTO</v>
          </cell>
          <cell r="O5075">
            <v>1</v>
          </cell>
          <cell r="P5075" t="str">
            <v>M1</v>
          </cell>
          <cell r="Q5075" t="str">
            <v>J1</v>
          </cell>
          <cell r="R5075" t="str">
            <v>J8</v>
          </cell>
          <cell r="S5075" t="str">
            <v>ENTREGADO</v>
          </cell>
          <cell r="T5075">
            <v>42779</v>
          </cell>
          <cell r="U5075" t="str">
            <v>CABEZAS SANCHEZ JEAN JHONATAN</v>
          </cell>
          <cell r="V5075" t="str">
            <v>FLOREZ CONDORI  JOSE WILLIANS</v>
          </cell>
        </row>
        <row r="5076">
          <cell r="A5076">
            <v>5075</v>
          </cell>
          <cell r="B5076">
            <v>42778</v>
          </cell>
          <cell r="C5076" t="str">
            <v>FEBRERO</v>
          </cell>
          <cell r="D5076" t="str">
            <v>2017</v>
          </cell>
          <cell r="E5076">
            <v>1024</v>
          </cell>
          <cell r="F5076" t="str">
            <v>C5R-892</v>
          </cell>
          <cell r="G5076" t="str">
            <v>A0T-983</v>
          </cell>
          <cell r="H5076" t="str">
            <v>LAS BAMBAS</v>
          </cell>
          <cell r="I5076">
            <v>233311</v>
          </cell>
          <cell r="J5076" t="str">
            <v>REPUESTO</v>
          </cell>
          <cell r="K5076" t="str">
            <v>BOMBA DE COMBUSTIBLE</v>
          </cell>
          <cell r="L5076">
            <v>1</v>
          </cell>
          <cell r="M5076" t="str">
            <v>UNID.</v>
          </cell>
          <cell r="N5076" t="str">
            <v>TRACTO</v>
          </cell>
          <cell r="O5076">
            <v>12</v>
          </cell>
          <cell r="P5076" t="str">
            <v>M5</v>
          </cell>
          <cell r="Q5076" t="str">
            <v>J1</v>
          </cell>
          <cell r="R5076" t="str">
            <v>J6</v>
          </cell>
          <cell r="S5076" t="str">
            <v>ENTREGADO</v>
          </cell>
          <cell r="T5076">
            <v>0</v>
          </cell>
          <cell r="U5076" t="str">
            <v>LOPEZ RUIZ WILBERTO</v>
          </cell>
          <cell r="V5076" t="str">
            <v>FLOREZ CONDORI  JOSE WILLIANS</v>
          </cell>
        </row>
        <row r="5077">
          <cell r="A5077">
            <v>5076</v>
          </cell>
          <cell r="B5077">
            <v>42778</v>
          </cell>
          <cell r="C5077" t="str">
            <v>FEBRERO</v>
          </cell>
          <cell r="D5077" t="str">
            <v>2017</v>
          </cell>
          <cell r="E5077">
            <v>200</v>
          </cell>
          <cell r="F5077" t="str">
            <v>TALLER</v>
          </cell>
          <cell r="G5077" t="str">
            <v>TALLER</v>
          </cell>
          <cell r="H5077" t="str">
            <v>TALLER</v>
          </cell>
          <cell r="I5077" t="str">
            <v>TALLER</v>
          </cell>
          <cell r="J5077" t="str">
            <v>INSUMO TALLER</v>
          </cell>
          <cell r="K5077" t="str">
            <v>SOLDADURA CELLOCORD 1160 1/8</v>
          </cell>
          <cell r="L5077">
            <v>2</v>
          </cell>
          <cell r="M5077" t="str">
            <v>KG.</v>
          </cell>
          <cell r="N5077" t="str">
            <v>TALLER</v>
          </cell>
          <cell r="O5077">
            <v>12</v>
          </cell>
          <cell r="P5077" t="str">
            <v>S1</v>
          </cell>
          <cell r="Q5077" t="str">
            <v>J1</v>
          </cell>
          <cell r="R5077" t="str">
            <v>J8</v>
          </cell>
          <cell r="S5077" t="str">
            <v>PENDIENTE</v>
          </cell>
          <cell r="T5077">
            <v>0</v>
          </cell>
          <cell r="U5077" t="str">
            <v>BAYONA CRUZ CRISTIAN ARMANDO</v>
          </cell>
          <cell r="V5077" t="str">
            <v>FLOREZ CONDORI  JOSE WILLIANS</v>
          </cell>
        </row>
        <row r="5078">
          <cell r="A5078">
            <v>5077</v>
          </cell>
          <cell r="B5078">
            <v>42779</v>
          </cell>
          <cell r="C5078" t="str">
            <v>FEBRERO</v>
          </cell>
          <cell r="D5078" t="str">
            <v>2017</v>
          </cell>
          <cell r="E5078">
            <v>1031</v>
          </cell>
          <cell r="F5078" t="str">
            <v>C5R-896</v>
          </cell>
          <cell r="G5078" t="str">
            <v>A0U-977</v>
          </cell>
          <cell r="H5078" t="str">
            <v>LAS BAMBAS</v>
          </cell>
          <cell r="I5078">
            <v>218990</v>
          </cell>
          <cell r="J5078" t="str">
            <v>REPUESTO</v>
          </cell>
          <cell r="K5078" t="str">
            <v>MANGUERA DE 3/8</v>
          </cell>
          <cell r="L5078">
            <v>3.5</v>
          </cell>
          <cell r="M5078" t="str">
            <v>M</v>
          </cell>
          <cell r="N5078" t="str">
            <v>CISTERNA</v>
          </cell>
          <cell r="O5078">
            <v>11</v>
          </cell>
          <cell r="P5078" t="str">
            <v>S1</v>
          </cell>
          <cell r="Q5078" t="str">
            <v>J1</v>
          </cell>
          <cell r="R5078" t="str">
            <v>J6</v>
          </cell>
          <cell r="S5078" t="str">
            <v>PENDIENTE</v>
          </cell>
          <cell r="T5078">
            <v>0</v>
          </cell>
          <cell r="U5078" t="str">
            <v>BAYONA CRUZ CRISTIAN ARMANDO</v>
          </cell>
          <cell r="V5078" t="str">
            <v>FLOREZ CONDORI  JOSE WILLIANS</v>
          </cell>
        </row>
        <row r="5079">
          <cell r="A5079">
            <v>5078</v>
          </cell>
          <cell r="B5079">
            <v>42779</v>
          </cell>
          <cell r="C5079" t="str">
            <v>FEBRERO</v>
          </cell>
          <cell r="D5079" t="str">
            <v>2017</v>
          </cell>
          <cell r="E5079">
            <v>1031</v>
          </cell>
          <cell r="F5079" t="str">
            <v>C5R-896</v>
          </cell>
          <cell r="G5079" t="str">
            <v>A0U-977</v>
          </cell>
          <cell r="H5079" t="str">
            <v>LAS BAMBAS</v>
          </cell>
          <cell r="I5079">
            <v>218990</v>
          </cell>
          <cell r="J5079" t="str">
            <v>REPUESTO</v>
          </cell>
          <cell r="K5079" t="str">
            <v>UNION DE MANGUERA DE 3/8 CON CONO Y GUIA</v>
          </cell>
          <cell r="L5079">
            <v>2</v>
          </cell>
          <cell r="M5079" t="str">
            <v>UNID.</v>
          </cell>
          <cell r="N5079" t="str">
            <v>CISTERNA</v>
          </cell>
          <cell r="O5079">
            <v>11</v>
          </cell>
          <cell r="P5079" t="str">
            <v>S1</v>
          </cell>
          <cell r="Q5079" t="str">
            <v>J1</v>
          </cell>
          <cell r="R5079" t="str">
            <v>J6</v>
          </cell>
          <cell r="S5079" t="str">
            <v>ENTREGADO</v>
          </cell>
          <cell r="T5079">
            <v>0</v>
          </cell>
          <cell r="U5079" t="str">
            <v>BAYONA CRUZ CRISTIAN ARMANDO</v>
          </cell>
          <cell r="V5079" t="str">
            <v>FLOREZ CONDORI  JOSE WILLIANS</v>
          </cell>
        </row>
        <row r="5080">
          <cell r="A5080">
            <v>5079</v>
          </cell>
          <cell r="B5080">
            <v>42779</v>
          </cell>
          <cell r="C5080" t="str">
            <v>FEBRERO</v>
          </cell>
          <cell r="D5080" t="str">
            <v>2017</v>
          </cell>
          <cell r="E5080">
            <v>1029</v>
          </cell>
          <cell r="F5080" t="str">
            <v>X2W-761</v>
          </cell>
          <cell r="G5080" t="str">
            <v>C5V-996</v>
          </cell>
          <cell r="H5080" t="str">
            <v>LAS BAMBAS</v>
          </cell>
          <cell r="I5080">
            <v>152928</v>
          </cell>
          <cell r="J5080" t="str">
            <v>REPUESTO</v>
          </cell>
          <cell r="K5080" t="str">
            <v>MINIFUSIBLE DE 20 AMP</v>
          </cell>
          <cell r="L5080">
            <v>3</v>
          </cell>
          <cell r="M5080" t="str">
            <v>UNID.</v>
          </cell>
          <cell r="N5080" t="str">
            <v>TRACTO</v>
          </cell>
          <cell r="O5080">
            <v>11</v>
          </cell>
          <cell r="P5080" t="str">
            <v>E3</v>
          </cell>
          <cell r="Q5080" t="str">
            <v>J1</v>
          </cell>
          <cell r="R5080" t="str">
            <v>J6</v>
          </cell>
          <cell r="S5080" t="str">
            <v>ENTREGADO</v>
          </cell>
          <cell r="T5080">
            <v>0</v>
          </cell>
          <cell r="U5080" t="str">
            <v>CONDORI CHURATA ALEX</v>
          </cell>
          <cell r="V5080" t="str">
            <v>FLOREZ CONDORI  JOSE WILLIANS</v>
          </cell>
        </row>
        <row r="5081">
          <cell r="A5081">
            <v>5080</v>
          </cell>
          <cell r="B5081">
            <v>42779</v>
          </cell>
          <cell r="C5081" t="str">
            <v>FEBRERO</v>
          </cell>
          <cell r="D5081" t="str">
            <v>2017</v>
          </cell>
          <cell r="E5081">
            <v>1031</v>
          </cell>
          <cell r="F5081" t="str">
            <v>C5R-896</v>
          </cell>
          <cell r="G5081" t="str">
            <v>A0U-977</v>
          </cell>
          <cell r="H5081" t="str">
            <v>LAS BAMBAS</v>
          </cell>
          <cell r="I5081">
            <v>218990</v>
          </cell>
          <cell r="J5081" t="str">
            <v>REPUESTO</v>
          </cell>
          <cell r="K5081" t="str">
            <v>PRESINTOS 200</v>
          </cell>
          <cell r="L5081">
            <v>8</v>
          </cell>
          <cell r="M5081" t="str">
            <v>UNID.</v>
          </cell>
          <cell r="N5081" t="str">
            <v>CISTERNA</v>
          </cell>
          <cell r="O5081">
            <v>11</v>
          </cell>
          <cell r="P5081" t="str">
            <v>S1</v>
          </cell>
          <cell r="Q5081" t="str">
            <v>J1</v>
          </cell>
          <cell r="R5081" t="str">
            <v>J6</v>
          </cell>
          <cell r="S5081" t="str">
            <v>ENTREGADO</v>
          </cell>
          <cell r="T5081">
            <v>0</v>
          </cell>
          <cell r="U5081" t="str">
            <v>BAYONA CRUZ CRISTIAN ARMANDO</v>
          </cell>
          <cell r="V5081" t="str">
            <v>FLOREZ CONDORI  JOSE WILLIANS</v>
          </cell>
        </row>
        <row r="5082">
          <cell r="A5082">
            <v>5081</v>
          </cell>
          <cell r="B5082">
            <v>42779</v>
          </cell>
          <cell r="C5082" t="str">
            <v>FEBRERO</v>
          </cell>
          <cell r="D5082" t="str">
            <v>2017</v>
          </cell>
          <cell r="E5082">
            <v>1033</v>
          </cell>
          <cell r="F5082" t="str">
            <v>X2W-760</v>
          </cell>
          <cell r="G5082" t="str">
            <v>C5V-992</v>
          </cell>
          <cell r="H5082" t="str">
            <v>LAS BAMBAS</v>
          </cell>
          <cell r="I5082">
            <v>157202</v>
          </cell>
          <cell r="J5082" t="str">
            <v>REPUESTO</v>
          </cell>
          <cell r="K5082" t="str">
            <v>EMPAQUE MANHOLE GRANDE</v>
          </cell>
          <cell r="L5082">
            <v>1</v>
          </cell>
          <cell r="M5082" t="str">
            <v>UNID.</v>
          </cell>
          <cell r="N5082" t="str">
            <v>CISTERNA</v>
          </cell>
          <cell r="O5082">
            <v>11</v>
          </cell>
          <cell r="P5082" t="str">
            <v>S1</v>
          </cell>
          <cell r="Q5082" t="str">
            <v>J1</v>
          </cell>
          <cell r="R5082" t="str">
            <v>J6</v>
          </cell>
          <cell r="S5082" t="str">
            <v>ENTREGADO</v>
          </cell>
          <cell r="T5082">
            <v>0</v>
          </cell>
          <cell r="U5082" t="str">
            <v>BAYONA CRUZ CRISTIAN ARMANDO</v>
          </cell>
          <cell r="V5082" t="str">
            <v>FLOREZ CONDORI  JOSE WILLIANS</v>
          </cell>
        </row>
        <row r="5083">
          <cell r="A5083">
            <v>5082</v>
          </cell>
          <cell r="B5083">
            <v>42779</v>
          </cell>
          <cell r="C5083" t="str">
            <v>FEBRERO</v>
          </cell>
          <cell r="D5083" t="str">
            <v>2017</v>
          </cell>
          <cell r="E5083">
            <v>1033</v>
          </cell>
          <cell r="F5083" t="str">
            <v>X2W-760</v>
          </cell>
          <cell r="G5083" t="str">
            <v>C5V-992</v>
          </cell>
          <cell r="H5083" t="str">
            <v>LAS BAMBAS</v>
          </cell>
          <cell r="I5083">
            <v>157202</v>
          </cell>
          <cell r="J5083" t="str">
            <v>REPUESTO</v>
          </cell>
          <cell r="K5083" t="str">
            <v>PERNO MANHOLE</v>
          </cell>
          <cell r="L5083">
            <v>1</v>
          </cell>
          <cell r="M5083" t="str">
            <v>UNID.</v>
          </cell>
          <cell r="N5083" t="str">
            <v>CISTERNA</v>
          </cell>
          <cell r="O5083">
            <v>11</v>
          </cell>
          <cell r="P5083" t="str">
            <v>S1</v>
          </cell>
          <cell r="Q5083" t="str">
            <v>J1</v>
          </cell>
          <cell r="R5083" t="str">
            <v>J6</v>
          </cell>
          <cell r="S5083" t="str">
            <v>ENTREGADO</v>
          </cell>
          <cell r="T5083">
            <v>0</v>
          </cell>
          <cell r="U5083" t="str">
            <v>BAYONA CRUZ CRISTIAN ARMANDO</v>
          </cell>
          <cell r="V5083" t="str">
            <v>FLOREZ CONDORI  JOSE WILLIANS</v>
          </cell>
        </row>
        <row r="5084">
          <cell r="A5084">
            <v>5083</v>
          </cell>
          <cell r="B5084">
            <v>42779</v>
          </cell>
          <cell r="C5084" t="str">
            <v>FEBRERO</v>
          </cell>
          <cell r="D5084" t="str">
            <v>2017</v>
          </cell>
          <cell r="E5084">
            <v>1031</v>
          </cell>
          <cell r="F5084" t="str">
            <v>C5R-896</v>
          </cell>
          <cell r="G5084" t="str">
            <v>A0U-977</v>
          </cell>
          <cell r="H5084" t="str">
            <v>LAS BAMBAS</v>
          </cell>
          <cell r="I5084">
            <v>218990</v>
          </cell>
          <cell r="J5084" t="str">
            <v>REPUESTO</v>
          </cell>
          <cell r="K5084" t="str">
            <v>PERNO MANHOLE</v>
          </cell>
          <cell r="L5084">
            <v>1</v>
          </cell>
          <cell r="M5084" t="str">
            <v>UNID.</v>
          </cell>
          <cell r="N5084" t="str">
            <v>CISTERNA</v>
          </cell>
          <cell r="O5084">
            <v>11</v>
          </cell>
          <cell r="P5084" t="str">
            <v>S1</v>
          </cell>
          <cell r="Q5084" t="str">
            <v>J1</v>
          </cell>
          <cell r="R5084" t="str">
            <v>J6</v>
          </cell>
          <cell r="S5084" t="str">
            <v>ENTREGADO</v>
          </cell>
          <cell r="T5084">
            <v>0</v>
          </cell>
          <cell r="U5084" t="str">
            <v>BAYONA CRUZ CRISTIAN ARMANDO</v>
          </cell>
          <cell r="V5084" t="str">
            <v>FLOREZ CONDORI  JOSE WILLIANS</v>
          </cell>
        </row>
        <row r="5085">
          <cell r="A5085">
            <v>5084</v>
          </cell>
          <cell r="B5085">
            <v>42779</v>
          </cell>
          <cell r="C5085" t="str">
            <v>FEBRERO</v>
          </cell>
          <cell r="D5085" t="str">
            <v>2017</v>
          </cell>
          <cell r="E5085">
            <v>1027</v>
          </cell>
          <cell r="F5085" t="str">
            <v>D6F-825</v>
          </cell>
          <cell r="G5085" t="str">
            <v>T2Y-992</v>
          </cell>
          <cell r="H5085" t="str">
            <v>LAS BAMBAS</v>
          </cell>
          <cell r="I5085">
            <v>192794</v>
          </cell>
          <cell r="J5085" t="str">
            <v>REPUESTO</v>
          </cell>
          <cell r="K5085" t="str">
            <v>REFRIGERANTE</v>
          </cell>
          <cell r="L5085">
            <v>1</v>
          </cell>
          <cell r="M5085" t="str">
            <v>GLNS.</v>
          </cell>
          <cell r="N5085" t="str">
            <v>TRACTO</v>
          </cell>
          <cell r="O5085">
            <v>11</v>
          </cell>
          <cell r="P5085" t="str">
            <v>M10</v>
          </cell>
          <cell r="Q5085" t="str">
            <v>J1</v>
          </cell>
          <cell r="R5085" t="str">
            <v>J6</v>
          </cell>
          <cell r="S5085" t="str">
            <v>ENTREGADO</v>
          </cell>
          <cell r="T5085">
            <v>0</v>
          </cell>
          <cell r="U5085" t="str">
            <v>MAMANI SANTOS BLADIMIR</v>
          </cell>
          <cell r="V5085" t="str">
            <v>FLOREZ CONDORI  JOSE WILLIANS</v>
          </cell>
        </row>
        <row r="5086">
          <cell r="A5086">
            <v>5085</v>
          </cell>
          <cell r="B5086">
            <v>42779</v>
          </cell>
          <cell r="C5086" t="str">
            <v>FEBRERO</v>
          </cell>
          <cell r="D5086" t="str">
            <v>2017</v>
          </cell>
          <cell r="E5086">
            <v>1028</v>
          </cell>
          <cell r="F5086" t="str">
            <v>ABQ-780</v>
          </cell>
          <cell r="G5086" t="str">
            <v>C9S-990</v>
          </cell>
          <cell r="H5086" t="str">
            <v>LAS BAMBAS</v>
          </cell>
          <cell r="I5086">
            <v>123286</v>
          </cell>
          <cell r="J5086" t="str">
            <v>REPUESTO</v>
          </cell>
          <cell r="K5086" t="str">
            <v>MANGUERA CODO DE AGUA</v>
          </cell>
          <cell r="L5086">
            <v>1</v>
          </cell>
          <cell r="M5086" t="str">
            <v>UNID.</v>
          </cell>
          <cell r="N5086" t="str">
            <v>TRACTO</v>
          </cell>
          <cell r="O5086">
            <v>11</v>
          </cell>
          <cell r="P5086" t="str">
            <v>M5</v>
          </cell>
          <cell r="Q5086" t="str">
            <v>J1</v>
          </cell>
          <cell r="R5086" t="str">
            <v>J8</v>
          </cell>
          <cell r="S5086" t="str">
            <v>ENTREGADO</v>
          </cell>
          <cell r="T5086">
            <v>0</v>
          </cell>
          <cell r="U5086" t="str">
            <v>LOPEZ RUIZ WILBERTO</v>
          </cell>
          <cell r="V5086" t="str">
            <v>FLOREZ CONDORI  JOSE WILLIANS</v>
          </cell>
        </row>
        <row r="5087">
          <cell r="A5087">
            <v>5086</v>
          </cell>
          <cell r="B5087">
            <v>42779</v>
          </cell>
          <cell r="C5087" t="str">
            <v>FEBRERO</v>
          </cell>
          <cell r="D5087" t="str">
            <v>2017</v>
          </cell>
          <cell r="E5087">
            <v>1028</v>
          </cell>
          <cell r="F5087" t="str">
            <v>ABQ-780</v>
          </cell>
          <cell r="G5087" t="str">
            <v>C9S-990</v>
          </cell>
          <cell r="H5087" t="str">
            <v>LAS BAMBAS</v>
          </cell>
          <cell r="I5087">
            <v>123286</v>
          </cell>
          <cell r="J5087" t="str">
            <v>REPUESTO</v>
          </cell>
          <cell r="K5087" t="str">
            <v>REFRIGERANTE</v>
          </cell>
          <cell r="L5087">
            <v>2</v>
          </cell>
          <cell r="M5087" t="str">
            <v>GLNS.</v>
          </cell>
          <cell r="N5087" t="str">
            <v>TRACTO</v>
          </cell>
          <cell r="O5087">
            <v>11</v>
          </cell>
          <cell r="P5087" t="str">
            <v>M5</v>
          </cell>
          <cell r="Q5087" t="str">
            <v>J1</v>
          </cell>
          <cell r="R5087" t="str">
            <v>J8</v>
          </cell>
          <cell r="S5087" t="str">
            <v>ENTREGADO</v>
          </cell>
          <cell r="T5087">
            <v>0</v>
          </cell>
          <cell r="U5087" t="str">
            <v>LOPEZ RUIZ WILBERTO</v>
          </cell>
          <cell r="V5087" t="str">
            <v>FLOREZ CONDORI  JOSE WILLIANS</v>
          </cell>
        </row>
        <row r="5088">
          <cell r="A5088">
            <v>5087</v>
          </cell>
          <cell r="B5088">
            <v>42779</v>
          </cell>
          <cell r="C5088" t="str">
            <v>FEBRERO</v>
          </cell>
          <cell r="D5088" t="str">
            <v>2017</v>
          </cell>
          <cell r="E5088">
            <v>1028</v>
          </cell>
          <cell r="F5088" t="str">
            <v>ABQ-780</v>
          </cell>
          <cell r="G5088" t="str">
            <v>C9S-990</v>
          </cell>
          <cell r="H5088" t="str">
            <v>LAS BAMBAS</v>
          </cell>
          <cell r="I5088">
            <v>123286</v>
          </cell>
          <cell r="J5088" t="str">
            <v>REPUESTO</v>
          </cell>
          <cell r="K5088" t="str">
            <v>AGUA LIMPIA PARABRISA</v>
          </cell>
          <cell r="L5088">
            <v>1</v>
          </cell>
          <cell r="M5088" t="str">
            <v>GLNS.</v>
          </cell>
          <cell r="N5088" t="str">
            <v>TRACTO</v>
          </cell>
          <cell r="O5088">
            <v>11</v>
          </cell>
          <cell r="P5088" t="str">
            <v>M5</v>
          </cell>
          <cell r="Q5088" t="str">
            <v>J1</v>
          </cell>
          <cell r="R5088" t="str">
            <v>J8</v>
          </cell>
          <cell r="S5088" t="str">
            <v>ENTREGADO</v>
          </cell>
          <cell r="T5088">
            <v>0</v>
          </cell>
          <cell r="U5088" t="str">
            <v>LOPEZ RUIZ WILBERTO</v>
          </cell>
          <cell r="V5088" t="str">
            <v>FLOREZ CONDORI  JOSE WILLIANS</v>
          </cell>
        </row>
        <row r="5089">
          <cell r="A5089">
            <v>5088</v>
          </cell>
          <cell r="B5089">
            <v>42779</v>
          </cell>
          <cell r="C5089" t="str">
            <v>FEBRERO</v>
          </cell>
          <cell r="D5089" t="str">
            <v>2017</v>
          </cell>
          <cell r="E5089">
            <v>1028</v>
          </cell>
          <cell r="F5089" t="str">
            <v>ABQ-780</v>
          </cell>
          <cell r="G5089" t="str">
            <v>C9S-990</v>
          </cell>
          <cell r="H5089" t="str">
            <v>LAS BAMBAS</v>
          </cell>
          <cell r="I5089">
            <v>123286</v>
          </cell>
          <cell r="J5089" t="str">
            <v>REPUESTO</v>
          </cell>
          <cell r="K5089" t="str">
            <v>ABRAZADERA PARA MANGUERA DE AGUA</v>
          </cell>
          <cell r="L5089">
            <v>2</v>
          </cell>
          <cell r="M5089" t="str">
            <v>UNID.</v>
          </cell>
          <cell r="N5089" t="str">
            <v>TRACTO</v>
          </cell>
          <cell r="O5089">
            <v>11</v>
          </cell>
          <cell r="P5089" t="str">
            <v>M5</v>
          </cell>
          <cell r="Q5089" t="str">
            <v>J1</v>
          </cell>
          <cell r="R5089" t="str">
            <v>J8</v>
          </cell>
          <cell r="S5089" t="str">
            <v>ENTREGADO</v>
          </cell>
          <cell r="T5089">
            <v>0</v>
          </cell>
          <cell r="U5089" t="str">
            <v>LOPEZ RUIZ WILBERTO</v>
          </cell>
          <cell r="V5089" t="str">
            <v>FLOREZ CONDORI  JOSE WILLIANS</v>
          </cell>
        </row>
        <row r="5090">
          <cell r="A5090">
            <v>5089</v>
          </cell>
          <cell r="B5090">
            <v>42779</v>
          </cell>
          <cell r="C5090" t="str">
            <v>FEBRERO</v>
          </cell>
          <cell r="D5090" t="str">
            <v>2017</v>
          </cell>
          <cell r="E5090">
            <v>1029</v>
          </cell>
          <cell r="F5090" t="str">
            <v>X2W-761</v>
          </cell>
          <cell r="G5090" t="str">
            <v>C5V-996</v>
          </cell>
          <cell r="H5090" t="str">
            <v>LAS BAMBAS</v>
          </cell>
          <cell r="I5090">
            <v>152928</v>
          </cell>
          <cell r="J5090" t="str">
            <v>REPUESTO</v>
          </cell>
          <cell r="K5090" t="str">
            <v>CABLE CORRIENTE # 14</v>
          </cell>
          <cell r="L5090">
            <v>4</v>
          </cell>
          <cell r="M5090" t="str">
            <v>M</v>
          </cell>
          <cell r="N5090" t="str">
            <v>CISTERNA</v>
          </cell>
          <cell r="O5090">
            <v>11</v>
          </cell>
          <cell r="P5090" t="str">
            <v>E3</v>
          </cell>
          <cell r="Q5090" t="str">
            <v>J1</v>
          </cell>
          <cell r="R5090" t="str">
            <v>J8</v>
          </cell>
          <cell r="S5090" t="str">
            <v>ENTREGADO</v>
          </cell>
          <cell r="T5090">
            <v>0</v>
          </cell>
          <cell r="U5090" t="str">
            <v>CONDORI CHURATA ALEX</v>
          </cell>
          <cell r="V5090" t="str">
            <v>FLOREZ CONDORI  JOSE WILLIANS</v>
          </cell>
        </row>
        <row r="5091">
          <cell r="A5091">
            <v>5090</v>
          </cell>
          <cell r="B5091">
            <v>42779</v>
          </cell>
          <cell r="C5091" t="str">
            <v>FEBRERO</v>
          </cell>
          <cell r="D5091" t="str">
            <v>2017</v>
          </cell>
          <cell r="E5091">
            <v>1029</v>
          </cell>
          <cell r="F5091" t="str">
            <v>X2W-761</v>
          </cell>
          <cell r="G5091" t="str">
            <v>C5V-996</v>
          </cell>
          <cell r="H5091" t="str">
            <v>LAS BAMBAS</v>
          </cell>
          <cell r="I5091">
            <v>152928</v>
          </cell>
          <cell r="J5091" t="str">
            <v>REPUESTO</v>
          </cell>
          <cell r="K5091" t="str">
            <v xml:space="preserve">PRECINTOS PEQUEÑOS </v>
          </cell>
          <cell r="L5091">
            <v>10</v>
          </cell>
          <cell r="M5091" t="str">
            <v>UNID.</v>
          </cell>
          <cell r="N5091" t="str">
            <v>CISTERNA</v>
          </cell>
          <cell r="O5091">
            <v>11</v>
          </cell>
          <cell r="P5091" t="str">
            <v>E3</v>
          </cell>
          <cell r="Q5091" t="str">
            <v>J1</v>
          </cell>
          <cell r="R5091" t="str">
            <v>J8</v>
          </cell>
          <cell r="S5091" t="str">
            <v>ENTREGADO</v>
          </cell>
          <cell r="T5091">
            <v>0</v>
          </cell>
          <cell r="U5091" t="str">
            <v>CONDORI CHURATA ALEX</v>
          </cell>
          <cell r="V5091" t="str">
            <v>FLOREZ CONDORI  JOSE WILLIANS</v>
          </cell>
        </row>
        <row r="5092">
          <cell r="A5092">
            <v>5091</v>
          </cell>
          <cell r="B5092">
            <v>42779</v>
          </cell>
          <cell r="C5092" t="str">
            <v>FEBRERO</v>
          </cell>
          <cell r="D5092" t="str">
            <v>2017</v>
          </cell>
          <cell r="E5092">
            <v>200</v>
          </cell>
          <cell r="F5092" t="str">
            <v>TALLER</v>
          </cell>
          <cell r="G5092" t="str">
            <v>TALLER</v>
          </cell>
          <cell r="H5092" t="str">
            <v>TALLER</v>
          </cell>
          <cell r="I5092" t="str">
            <v>TALLER</v>
          </cell>
          <cell r="J5092" t="str">
            <v>REPUESTO</v>
          </cell>
          <cell r="K5092" t="str">
            <v>ABRAZADERA 8-12</v>
          </cell>
          <cell r="L5092">
            <v>1</v>
          </cell>
          <cell r="M5092" t="str">
            <v>UNID.</v>
          </cell>
          <cell r="N5092" t="str">
            <v>TALLER</v>
          </cell>
          <cell r="O5092">
            <v>11</v>
          </cell>
          <cell r="P5092" t="str">
            <v>J9</v>
          </cell>
          <cell r="Q5092" t="str">
            <v>J9</v>
          </cell>
          <cell r="R5092" t="str">
            <v>J9</v>
          </cell>
          <cell r="S5092" t="str">
            <v>ENTREGADO</v>
          </cell>
          <cell r="T5092">
            <v>0</v>
          </cell>
          <cell r="U5092" t="str">
            <v>CHANG CELIS FELIPE</v>
          </cell>
          <cell r="V5092" t="str">
            <v>CHANG CELIS FELIPE</v>
          </cell>
        </row>
        <row r="5093">
          <cell r="A5093">
            <v>5092</v>
          </cell>
          <cell r="B5093">
            <v>42779</v>
          </cell>
          <cell r="C5093" t="str">
            <v>FEBRERO</v>
          </cell>
          <cell r="D5093" t="str">
            <v>2017</v>
          </cell>
          <cell r="E5093">
            <v>1024</v>
          </cell>
          <cell r="F5093" t="str">
            <v>C5R-892</v>
          </cell>
          <cell r="G5093" t="str">
            <v>A0T-983</v>
          </cell>
          <cell r="H5093" t="str">
            <v>LAS BAMBAS</v>
          </cell>
          <cell r="I5093">
            <v>233311</v>
          </cell>
          <cell r="J5093" t="str">
            <v>REPUESTO</v>
          </cell>
          <cell r="K5093" t="str">
            <v>PONCHO DE PALANCA DE CAMBIOS</v>
          </cell>
          <cell r="L5093">
            <v>1</v>
          </cell>
          <cell r="M5093" t="str">
            <v>UNID.</v>
          </cell>
          <cell r="N5093" t="str">
            <v>TRACTO</v>
          </cell>
          <cell r="O5093">
            <v>11</v>
          </cell>
          <cell r="P5093" t="str">
            <v>J1</v>
          </cell>
          <cell r="Q5093" t="str">
            <v>J1</v>
          </cell>
          <cell r="R5093" t="str">
            <v>J8</v>
          </cell>
          <cell r="S5093" t="str">
            <v>ENTREGADO</v>
          </cell>
          <cell r="T5093">
            <v>0</v>
          </cell>
          <cell r="U5093" t="str">
            <v>FLOREZ CONDORI  JOSE WILLIANS</v>
          </cell>
          <cell r="V5093" t="str">
            <v>FLOREZ CONDORI  JOSE WILLIANS</v>
          </cell>
        </row>
        <row r="5094">
          <cell r="A5094">
            <v>5093</v>
          </cell>
          <cell r="B5094">
            <v>42779</v>
          </cell>
          <cell r="C5094" t="str">
            <v>FEBRERO</v>
          </cell>
          <cell r="D5094" t="str">
            <v>2017</v>
          </cell>
          <cell r="E5094">
            <v>1033</v>
          </cell>
          <cell r="F5094" t="str">
            <v>X2W-760</v>
          </cell>
          <cell r="G5094" t="str">
            <v>C5V-992</v>
          </cell>
          <cell r="H5094" t="str">
            <v>LAS BAMBAS</v>
          </cell>
          <cell r="I5094">
            <v>157202</v>
          </cell>
          <cell r="J5094" t="str">
            <v>REPUESTO</v>
          </cell>
          <cell r="K5094" t="str">
            <v>REFRIGERANTE</v>
          </cell>
          <cell r="L5094">
            <v>1</v>
          </cell>
          <cell r="M5094" t="str">
            <v>GLNS.</v>
          </cell>
          <cell r="N5094" t="str">
            <v>TRACTO</v>
          </cell>
          <cell r="O5094">
            <v>11</v>
          </cell>
          <cell r="P5094" t="str">
            <v>M10</v>
          </cell>
          <cell r="Q5094" t="str">
            <v>J1</v>
          </cell>
          <cell r="R5094" t="str">
            <v>J8</v>
          </cell>
          <cell r="S5094" t="str">
            <v>PENDIENTE</v>
          </cell>
          <cell r="T5094">
            <v>0</v>
          </cell>
          <cell r="U5094" t="str">
            <v>MAMANI SANTOS BLADIMIR</v>
          </cell>
          <cell r="V5094" t="str">
            <v>FLOREZ CONDORI  JOSE WILLIANS</v>
          </cell>
        </row>
        <row r="5095">
          <cell r="A5095">
            <v>5094</v>
          </cell>
          <cell r="B5095">
            <v>42779</v>
          </cell>
          <cell r="C5095" t="str">
            <v>FEBRERO</v>
          </cell>
          <cell r="D5095" t="str">
            <v>2017</v>
          </cell>
          <cell r="E5095">
            <v>1022</v>
          </cell>
          <cell r="F5095" t="str">
            <v>X2W-791</v>
          </cell>
          <cell r="G5095" t="str">
            <v>C5V-989</v>
          </cell>
          <cell r="H5095" t="str">
            <v>LAS BAMBAS</v>
          </cell>
          <cell r="I5095">
            <v>155212</v>
          </cell>
          <cell r="J5095" t="str">
            <v>REPUESTO</v>
          </cell>
          <cell r="K5095" t="str">
            <v>SPRAY BLANCO</v>
          </cell>
          <cell r="L5095">
            <v>1</v>
          </cell>
          <cell r="M5095" t="str">
            <v>UNID.</v>
          </cell>
          <cell r="N5095" t="str">
            <v>CISTERNA</v>
          </cell>
          <cell r="O5095">
            <v>11</v>
          </cell>
          <cell r="P5095" t="str">
            <v>S1</v>
          </cell>
          <cell r="Q5095" t="str">
            <v>J1</v>
          </cell>
          <cell r="R5095" t="str">
            <v>J8</v>
          </cell>
          <cell r="S5095" t="str">
            <v>ENTREGADO</v>
          </cell>
          <cell r="T5095">
            <v>0</v>
          </cell>
          <cell r="U5095" t="str">
            <v>BAYONA CRUZ CRISTIAN ARMANDO</v>
          </cell>
          <cell r="V5095" t="str">
            <v>FLOREZ CONDORI  JOSE WILLIANS</v>
          </cell>
        </row>
        <row r="5096">
          <cell r="A5096">
            <v>5095</v>
          </cell>
          <cell r="B5096">
            <v>42779</v>
          </cell>
          <cell r="C5096" t="str">
            <v>FEBRERO</v>
          </cell>
          <cell r="D5096" t="str">
            <v>2017</v>
          </cell>
          <cell r="E5096">
            <v>1022</v>
          </cell>
          <cell r="F5096" t="str">
            <v>X2W-791</v>
          </cell>
          <cell r="G5096" t="str">
            <v>C5V-989</v>
          </cell>
          <cell r="H5096" t="str">
            <v>LAS BAMBAS</v>
          </cell>
          <cell r="I5096">
            <v>155212</v>
          </cell>
          <cell r="J5096" t="str">
            <v>REPUESTO</v>
          </cell>
          <cell r="K5096" t="str">
            <v>PERNO 3/8 X 2"</v>
          </cell>
          <cell r="L5096">
            <v>5</v>
          </cell>
          <cell r="M5096" t="str">
            <v>UNID.</v>
          </cell>
          <cell r="N5096" t="str">
            <v>CISTERNA</v>
          </cell>
          <cell r="O5096">
            <v>11</v>
          </cell>
          <cell r="P5096" t="str">
            <v>S1</v>
          </cell>
          <cell r="Q5096" t="str">
            <v>J1</v>
          </cell>
          <cell r="R5096" t="str">
            <v>J8</v>
          </cell>
          <cell r="S5096" t="str">
            <v>ENTREGADO</v>
          </cell>
          <cell r="T5096">
            <v>0</v>
          </cell>
          <cell r="U5096" t="str">
            <v>BAYONA CRUZ CRISTIAN ARMANDO</v>
          </cell>
          <cell r="V5096" t="str">
            <v>FLOREZ CONDORI  JOSE WILLIANS</v>
          </cell>
        </row>
        <row r="5097">
          <cell r="A5097">
            <v>5096</v>
          </cell>
          <cell r="B5097">
            <v>42779</v>
          </cell>
          <cell r="C5097" t="str">
            <v>FEBRERO</v>
          </cell>
          <cell r="D5097" t="str">
            <v>2017</v>
          </cell>
          <cell r="E5097">
            <v>1029</v>
          </cell>
          <cell r="F5097" t="str">
            <v>X2W-761</v>
          </cell>
          <cell r="G5097" t="str">
            <v>C5V-996</v>
          </cell>
          <cell r="H5097" t="str">
            <v>LAS BAMBAS</v>
          </cell>
          <cell r="I5097">
            <v>152928</v>
          </cell>
          <cell r="J5097" t="str">
            <v>REPUESTO</v>
          </cell>
          <cell r="K5097" t="str">
            <v>PERNO DE 1/4 X 1"</v>
          </cell>
          <cell r="L5097">
            <v>1</v>
          </cell>
          <cell r="M5097" t="str">
            <v>UNID.</v>
          </cell>
          <cell r="N5097" t="str">
            <v>CISTERNA</v>
          </cell>
          <cell r="O5097">
            <v>11</v>
          </cell>
          <cell r="P5097" t="str">
            <v>E3</v>
          </cell>
          <cell r="Q5097" t="str">
            <v>J1</v>
          </cell>
          <cell r="R5097" t="str">
            <v>J8</v>
          </cell>
          <cell r="S5097" t="str">
            <v>ENTREGADO</v>
          </cell>
          <cell r="T5097">
            <v>0</v>
          </cell>
          <cell r="U5097" t="str">
            <v>CONDORI CHURATA ALEX</v>
          </cell>
          <cell r="V5097" t="str">
            <v>FLOREZ CONDORI  JOSE WILLIANS</v>
          </cell>
        </row>
        <row r="5098">
          <cell r="A5098">
            <v>5097</v>
          </cell>
          <cell r="B5098">
            <v>42779</v>
          </cell>
          <cell r="C5098" t="str">
            <v>FEBRERO</v>
          </cell>
          <cell r="D5098" t="str">
            <v>2017</v>
          </cell>
          <cell r="E5098">
            <v>1029</v>
          </cell>
          <cell r="F5098" t="str">
            <v>X2W-761</v>
          </cell>
          <cell r="G5098" t="str">
            <v>C5V-996</v>
          </cell>
          <cell r="H5098" t="str">
            <v>LAS BAMBAS</v>
          </cell>
          <cell r="I5098">
            <v>152928</v>
          </cell>
          <cell r="J5098" t="str">
            <v>REPUESTO</v>
          </cell>
          <cell r="K5098" t="str">
            <v>TUERCA DE SEGURO DE 1"</v>
          </cell>
          <cell r="L5098">
            <v>1</v>
          </cell>
          <cell r="M5098" t="str">
            <v>UNID.</v>
          </cell>
          <cell r="N5098" t="str">
            <v>CISTERNA</v>
          </cell>
          <cell r="O5098">
            <v>11</v>
          </cell>
          <cell r="P5098" t="str">
            <v>E3</v>
          </cell>
          <cell r="Q5098" t="str">
            <v>J1</v>
          </cell>
          <cell r="R5098" t="str">
            <v>J8</v>
          </cell>
          <cell r="S5098" t="str">
            <v>ENTREGADO</v>
          </cell>
          <cell r="T5098">
            <v>0</v>
          </cell>
          <cell r="U5098" t="str">
            <v>CONDORI CHURATA ALEX</v>
          </cell>
          <cell r="V5098" t="str">
            <v>FLOREZ CONDORI  JOSE WILLIANS</v>
          </cell>
        </row>
        <row r="5099">
          <cell r="A5099">
            <v>5098</v>
          </cell>
          <cell r="B5099">
            <v>42779</v>
          </cell>
          <cell r="C5099" t="str">
            <v>FEBRERO</v>
          </cell>
          <cell r="D5099" t="str">
            <v>2017</v>
          </cell>
          <cell r="E5099">
            <v>1033</v>
          </cell>
          <cell r="F5099" t="str">
            <v>X2W-760</v>
          </cell>
          <cell r="G5099" t="str">
            <v>C5V-992</v>
          </cell>
          <cell r="H5099" t="str">
            <v>LAS BAMBAS</v>
          </cell>
          <cell r="I5099">
            <v>157202</v>
          </cell>
          <cell r="J5099" t="str">
            <v>REPUESTO</v>
          </cell>
          <cell r="K5099" t="str">
            <v>PLACA METALICA 1202</v>
          </cell>
          <cell r="L5099">
            <v>1</v>
          </cell>
          <cell r="M5099" t="str">
            <v>UNID.</v>
          </cell>
          <cell r="N5099" t="str">
            <v>CISTERNA</v>
          </cell>
          <cell r="O5099">
            <v>11</v>
          </cell>
          <cell r="P5099" t="str">
            <v>J1</v>
          </cell>
          <cell r="Q5099" t="str">
            <v>J1</v>
          </cell>
          <cell r="R5099" t="str">
            <v>J8</v>
          </cell>
          <cell r="S5099" t="str">
            <v>PENDIENTE</v>
          </cell>
          <cell r="T5099">
            <v>0</v>
          </cell>
          <cell r="U5099" t="str">
            <v>FLOREZ CONDORI  JOSE WILLIANS</v>
          </cell>
          <cell r="V5099" t="str">
            <v>FLOREZ CONDORI  JOSE WILLIANS</v>
          </cell>
        </row>
        <row r="5100">
          <cell r="A5100">
            <v>5099</v>
          </cell>
          <cell r="B5100">
            <v>42779</v>
          </cell>
          <cell r="C5100" t="str">
            <v>FEBRERO</v>
          </cell>
          <cell r="D5100" t="str">
            <v>2017</v>
          </cell>
          <cell r="E5100">
            <v>1033</v>
          </cell>
          <cell r="F5100" t="str">
            <v>X2W-760</v>
          </cell>
          <cell r="G5100" t="str">
            <v>C5V-992</v>
          </cell>
          <cell r="H5100" t="str">
            <v>LAS BAMBAS</v>
          </cell>
          <cell r="I5100">
            <v>157202</v>
          </cell>
          <cell r="J5100" t="str">
            <v>REPUESTO</v>
          </cell>
          <cell r="K5100" t="str">
            <v>STICKER 1202</v>
          </cell>
          <cell r="L5100">
            <v>1</v>
          </cell>
          <cell r="M5100" t="str">
            <v>UNID.</v>
          </cell>
          <cell r="N5100" t="str">
            <v>CISTERNA</v>
          </cell>
          <cell r="O5100">
            <v>11</v>
          </cell>
          <cell r="P5100" t="str">
            <v>J1</v>
          </cell>
          <cell r="Q5100" t="str">
            <v>J1</v>
          </cell>
          <cell r="R5100" t="str">
            <v>J8</v>
          </cell>
          <cell r="S5100" t="str">
            <v>ENTREGADO</v>
          </cell>
          <cell r="T5100">
            <v>0</v>
          </cell>
          <cell r="U5100" t="str">
            <v>FLOREZ CONDORI  JOSE WILLIANS</v>
          </cell>
          <cell r="V5100" t="str">
            <v>FLOREZ CONDORI  JOSE WILLIANS</v>
          </cell>
        </row>
        <row r="5101">
          <cell r="A5101">
            <v>5100</v>
          </cell>
          <cell r="B5101">
            <v>42779</v>
          </cell>
          <cell r="C5101" t="str">
            <v>FEBRERO</v>
          </cell>
          <cell r="D5101" t="str">
            <v>2017</v>
          </cell>
          <cell r="E5101">
            <v>1029</v>
          </cell>
          <cell r="F5101" t="str">
            <v>X2W-761</v>
          </cell>
          <cell r="G5101" t="str">
            <v>C5V-996</v>
          </cell>
          <cell r="H5101" t="str">
            <v>LAS BAMBAS</v>
          </cell>
          <cell r="I5101">
            <v>152928</v>
          </cell>
          <cell r="J5101" t="str">
            <v>REPUESTO</v>
          </cell>
          <cell r="K5101" t="str">
            <v>SENSOR OPTICO</v>
          </cell>
          <cell r="L5101">
            <v>1</v>
          </cell>
          <cell r="M5101" t="str">
            <v>UNID.</v>
          </cell>
          <cell r="N5101" t="str">
            <v>CISTERNA</v>
          </cell>
          <cell r="O5101">
            <v>11</v>
          </cell>
          <cell r="P5101" t="str">
            <v>E3</v>
          </cell>
          <cell r="Q5101" t="str">
            <v>J1</v>
          </cell>
          <cell r="R5101" t="str">
            <v>J6</v>
          </cell>
          <cell r="S5101" t="str">
            <v>ENTREGADO</v>
          </cell>
          <cell r="T5101">
            <v>0</v>
          </cell>
          <cell r="U5101" t="str">
            <v>CONDORI CHURATA ALEX</v>
          </cell>
          <cell r="V5101" t="str">
            <v>FLOREZ CONDORI  JOSE WILLIANS</v>
          </cell>
        </row>
        <row r="5102">
          <cell r="A5102">
            <v>5101</v>
          </cell>
          <cell r="B5102">
            <v>42779</v>
          </cell>
          <cell r="C5102" t="str">
            <v>FEBRERO</v>
          </cell>
          <cell r="D5102" t="str">
            <v>2017</v>
          </cell>
          <cell r="E5102">
            <v>1025</v>
          </cell>
          <cell r="F5102" t="str">
            <v>ABR-727</v>
          </cell>
          <cell r="G5102" t="str">
            <v>C9S-989</v>
          </cell>
          <cell r="H5102" t="str">
            <v>LAS BAMBAS</v>
          </cell>
          <cell r="I5102">
            <v>107938</v>
          </cell>
          <cell r="J5102" t="str">
            <v>REPUESTO</v>
          </cell>
          <cell r="K5102" t="str">
            <v>CIRCULINA</v>
          </cell>
          <cell r="L5102">
            <v>1</v>
          </cell>
          <cell r="M5102" t="str">
            <v>UNID.</v>
          </cell>
          <cell r="N5102" t="str">
            <v>TRACTO</v>
          </cell>
          <cell r="O5102">
            <v>11</v>
          </cell>
          <cell r="P5102" t="str">
            <v>E2</v>
          </cell>
          <cell r="Q5102" t="str">
            <v>J1</v>
          </cell>
          <cell r="R5102" t="str">
            <v>J8</v>
          </cell>
          <cell r="S5102" t="str">
            <v>PENDIENTE</v>
          </cell>
          <cell r="T5102">
            <v>0</v>
          </cell>
          <cell r="U5102" t="str">
            <v>YUCA BELLIDO BORIS YERSY</v>
          </cell>
          <cell r="V5102" t="str">
            <v>FLOREZ CONDORI  JOSE WILLIANS</v>
          </cell>
        </row>
        <row r="5103">
          <cell r="A5103">
            <v>5102</v>
          </cell>
          <cell r="B5103">
            <v>42779</v>
          </cell>
          <cell r="C5103" t="str">
            <v>FEBRERO</v>
          </cell>
          <cell r="D5103" t="str">
            <v>2017</v>
          </cell>
          <cell r="E5103">
            <v>1017</v>
          </cell>
          <cell r="F5103" t="str">
            <v>AMT-866</v>
          </cell>
          <cell r="G5103" t="str">
            <v>CAMIONETA</v>
          </cell>
          <cell r="H5103" t="str">
            <v>LAS BAMBAS</v>
          </cell>
          <cell r="I5103">
            <v>45931</v>
          </cell>
          <cell r="J5103" t="str">
            <v>REPUESTO</v>
          </cell>
          <cell r="K5103" t="str">
            <v>FILTRO DE AIRE</v>
          </cell>
          <cell r="L5103">
            <v>1</v>
          </cell>
          <cell r="M5103" t="str">
            <v>UNID.</v>
          </cell>
          <cell r="N5103" t="str">
            <v>CAMIONETA</v>
          </cell>
          <cell r="O5103">
            <v>11</v>
          </cell>
          <cell r="P5103" t="str">
            <v>M6</v>
          </cell>
          <cell r="Q5103" t="str">
            <v>J1</v>
          </cell>
          <cell r="R5103" t="str">
            <v>J8</v>
          </cell>
          <cell r="S5103" t="str">
            <v>ENTREGADO</v>
          </cell>
          <cell r="T5103">
            <v>0</v>
          </cell>
          <cell r="U5103" t="str">
            <v>PARI VENTURA  EDSON ORLANDO</v>
          </cell>
          <cell r="V5103" t="str">
            <v>FLOREZ CONDORI  JOSE WILLIANS</v>
          </cell>
        </row>
        <row r="5104">
          <cell r="A5104">
            <v>5103</v>
          </cell>
          <cell r="B5104">
            <v>42779</v>
          </cell>
          <cell r="C5104" t="str">
            <v>FEBRERO</v>
          </cell>
          <cell r="D5104" t="str">
            <v>2017</v>
          </cell>
          <cell r="E5104">
            <v>1017</v>
          </cell>
          <cell r="F5104" t="str">
            <v>AMT-866</v>
          </cell>
          <cell r="G5104" t="str">
            <v>CAMIONETA</v>
          </cell>
          <cell r="H5104" t="str">
            <v>LAS BAMBAS</v>
          </cell>
          <cell r="I5104">
            <v>45931</v>
          </cell>
          <cell r="J5104" t="str">
            <v>REPUESTO</v>
          </cell>
          <cell r="K5104" t="str">
            <v>FILTRO DE ACEITE</v>
          </cell>
          <cell r="L5104">
            <v>1</v>
          </cell>
          <cell r="M5104" t="str">
            <v>UNID.</v>
          </cell>
          <cell r="N5104" t="str">
            <v>CAMIONETA</v>
          </cell>
          <cell r="O5104">
            <v>11</v>
          </cell>
          <cell r="P5104" t="str">
            <v>M6</v>
          </cell>
          <cell r="Q5104" t="str">
            <v>J1</v>
          </cell>
          <cell r="R5104" t="str">
            <v>J8</v>
          </cell>
          <cell r="S5104" t="str">
            <v>ENTREGADO</v>
          </cell>
          <cell r="T5104">
            <v>0</v>
          </cell>
          <cell r="U5104" t="str">
            <v>PARI VENTURA  EDSON ORLANDO</v>
          </cell>
          <cell r="V5104" t="str">
            <v>FLOREZ CONDORI  JOSE WILLIANS</v>
          </cell>
        </row>
        <row r="5105">
          <cell r="A5105">
            <v>5104</v>
          </cell>
          <cell r="B5105">
            <v>42779</v>
          </cell>
          <cell r="C5105" t="str">
            <v>FEBRERO</v>
          </cell>
          <cell r="D5105" t="str">
            <v>2017</v>
          </cell>
          <cell r="E5105">
            <v>1017</v>
          </cell>
          <cell r="F5105" t="str">
            <v>AMT-866</v>
          </cell>
          <cell r="G5105" t="str">
            <v>CAMIONETA</v>
          </cell>
          <cell r="H5105" t="str">
            <v>LAS BAMBAS</v>
          </cell>
          <cell r="I5105">
            <v>45931</v>
          </cell>
          <cell r="J5105" t="str">
            <v>REPUESTO</v>
          </cell>
          <cell r="K5105" t="str">
            <v>FILTRO DE COMBUSTIBLE</v>
          </cell>
          <cell r="L5105">
            <v>1</v>
          </cell>
          <cell r="M5105" t="str">
            <v>UNID.</v>
          </cell>
          <cell r="N5105" t="str">
            <v>CAMIONETA</v>
          </cell>
          <cell r="O5105">
            <v>11</v>
          </cell>
          <cell r="P5105" t="str">
            <v>M6</v>
          </cell>
          <cell r="Q5105" t="str">
            <v>J1</v>
          </cell>
          <cell r="R5105" t="str">
            <v>J8</v>
          </cell>
          <cell r="S5105" t="str">
            <v>ENTREGADO</v>
          </cell>
          <cell r="T5105">
            <v>0</v>
          </cell>
          <cell r="U5105" t="str">
            <v>PARI VENTURA  EDSON ORLANDO</v>
          </cell>
          <cell r="V5105" t="str">
            <v>FLOREZ CONDORI  JOSE WILLIANS</v>
          </cell>
        </row>
        <row r="5106">
          <cell r="A5106">
            <v>5105</v>
          </cell>
          <cell r="B5106">
            <v>42779</v>
          </cell>
          <cell r="C5106" t="str">
            <v>FEBRERO</v>
          </cell>
          <cell r="D5106" t="str">
            <v>2017</v>
          </cell>
          <cell r="E5106">
            <v>1017</v>
          </cell>
          <cell r="F5106" t="str">
            <v>AMT-866</v>
          </cell>
          <cell r="G5106" t="str">
            <v>CAMIONETA</v>
          </cell>
          <cell r="H5106" t="str">
            <v>LAS BAMBAS</v>
          </cell>
          <cell r="I5106">
            <v>45931</v>
          </cell>
          <cell r="J5106" t="str">
            <v>REPUESTO</v>
          </cell>
          <cell r="K5106" t="str">
            <v>ACEITE DE MOTOR 15W40</v>
          </cell>
          <cell r="L5106">
            <v>2</v>
          </cell>
          <cell r="M5106" t="str">
            <v>GLNS.</v>
          </cell>
          <cell r="N5106" t="str">
            <v>CAMIONETA</v>
          </cell>
          <cell r="O5106">
            <v>11</v>
          </cell>
          <cell r="P5106" t="str">
            <v>M6</v>
          </cell>
          <cell r="Q5106" t="str">
            <v>J1</v>
          </cell>
          <cell r="R5106" t="str">
            <v>J8</v>
          </cell>
          <cell r="S5106" t="str">
            <v>ENTREGADO</v>
          </cell>
          <cell r="T5106">
            <v>0</v>
          </cell>
          <cell r="U5106" t="str">
            <v>PARI VENTURA  EDSON ORLANDO</v>
          </cell>
          <cell r="V5106" t="str">
            <v>FLOREZ CONDORI  JOSE WILLIANS</v>
          </cell>
        </row>
        <row r="5107">
          <cell r="A5107">
            <v>5106</v>
          </cell>
          <cell r="B5107">
            <v>42779</v>
          </cell>
          <cell r="C5107" t="str">
            <v>FEBRERO</v>
          </cell>
          <cell r="D5107" t="str">
            <v>2017</v>
          </cell>
          <cell r="E5107">
            <v>1023</v>
          </cell>
          <cell r="F5107" t="str">
            <v>D6F-903</v>
          </cell>
          <cell r="G5107" t="str">
            <v>B8K-997</v>
          </cell>
          <cell r="H5107" t="str">
            <v>LAS BAMBAS</v>
          </cell>
          <cell r="I5107">
            <v>227147</v>
          </cell>
          <cell r="J5107" t="str">
            <v>REPUESTO</v>
          </cell>
          <cell r="K5107" t="str">
            <v>FARO RECTANGULAR</v>
          </cell>
          <cell r="L5107">
            <v>2</v>
          </cell>
          <cell r="M5107" t="str">
            <v>UNID.</v>
          </cell>
          <cell r="N5107" t="str">
            <v>CISTERNA</v>
          </cell>
          <cell r="O5107">
            <v>11</v>
          </cell>
          <cell r="P5107" t="str">
            <v>E3</v>
          </cell>
          <cell r="Q5107" t="str">
            <v>J1</v>
          </cell>
          <cell r="R5107" t="str">
            <v>J6</v>
          </cell>
          <cell r="S5107" t="str">
            <v>ENTREGADO</v>
          </cell>
          <cell r="T5107">
            <v>0</v>
          </cell>
          <cell r="U5107" t="str">
            <v>CONDORI CHURATA ALEX</v>
          </cell>
          <cell r="V5107" t="str">
            <v>FLOREZ CONDORI  JOSE WILLIANS</v>
          </cell>
        </row>
        <row r="5108">
          <cell r="A5108">
            <v>5107</v>
          </cell>
          <cell r="B5108">
            <v>42779</v>
          </cell>
          <cell r="C5108" t="str">
            <v>FEBRERO</v>
          </cell>
          <cell r="D5108" t="str">
            <v>2017</v>
          </cell>
          <cell r="E5108">
            <v>1023</v>
          </cell>
          <cell r="F5108" t="str">
            <v>D6F-903</v>
          </cell>
          <cell r="G5108" t="str">
            <v>B8K-997</v>
          </cell>
          <cell r="H5108" t="str">
            <v>LAS BAMBAS</v>
          </cell>
          <cell r="I5108">
            <v>227147</v>
          </cell>
          <cell r="J5108" t="str">
            <v>REPUESTO</v>
          </cell>
          <cell r="K5108" t="str">
            <v>FOCO PILOTO DOBLE CONTACTO 12 V</v>
          </cell>
          <cell r="L5108">
            <v>1</v>
          </cell>
          <cell r="M5108" t="str">
            <v>UNID.</v>
          </cell>
          <cell r="N5108" t="str">
            <v>TRACTO</v>
          </cell>
          <cell r="O5108">
            <v>11</v>
          </cell>
          <cell r="P5108" t="str">
            <v>E3</v>
          </cell>
          <cell r="Q5108" t="str">
            <v>J1</v>
          </cell>
          <cell r="R5108" t="str">
            <v>J6</v>
          </cell>
          <cell r="S5108" t="str">
            <v>ENTREGADO</v>
          </cell>
          <cell r="T5108">
            <v>0</v>
          </cell>
          <cell r="U5108" t="str">
            <v>CONDORI CHURATA ALEX</v>
          </cell>
          <cell r="V5108" t="str">
            <v>FLOREZ CONDORI  JOSE WILLIANS</v>
          </cell>
        </row>
        <row r="5109">
          <cell r="A5109">
            <v>5108</v>
          </cell>
          <cell r="B5109">
            <v>42779</v>
          </cell>
          <cell r="C5109" t="str">
            <v>FEBRERO</v>
          </cell>
          <cell r="D5109" t="str">
            <v>2017</v>
          </cell>
          <cell r="E5109">
            <v>1023</v>
          </cell>
          <cell r="F5109" t="str">
            <v>D6F-903</v>
          </cell>
          <cell r="G5109" t="str">
            <v>B8K-997</v>
          </cell>
          <cell r="H5109" t="str">
            <v>LAS BAMBAS</v>
          </cell>
          <cell r="I5109">
            <v>227147</v>
          </cell>
          <cell r="J5109" t="str">
            <v>REPUESTO</v>
          </cell>
          <cell r="K5109" t="str">
            <v>CIRCULINA DE 12 V</v>
          </cell>
          <cell r="L5109">
            <v>1</v>
          </cell>
          <cell r="M5109" t="str">
            <v>UNID.</v>
          </cell>
          <cell r="N5109" t="str">
            <v>TRACTO</v>
          </cell>
          <cell r="O5109">
            <v>11</v>
          </cell>
          <cell r="P5109" t="str">
            <v>E3</v>
          </cell>
          <cell r="Q5109" t="str">
            <v>J1</v>
          </cell>
          <cell r="R5109" t="str">
            <v>J6</v>
          </cell>
          <cell r="S5109" t="str">
            <v>PENDIENTE</v>
          </cell>
          <cell r="T5109">
            <v>0</v>
          </cell>
          <cell r="U5109" t="str">
            <v>CONDORI CHURATA ALEX</v>
          </cell>
          <cell r="V5109" t="str">
            <v>FLOREZ CONDORI  JOSE WILLIANS</v>
          </cell>
        </row>
        <row r="5110">
          <cell r="A5110">
            <v>5109</v>
          </cell>
          <cell r="B5110">
            <v>42779</v>
          </cell>
          <cell r="C5110" t="str">
            <v>FEBRERO</v>
          </cell>
          <cell r="D5110" t="str">
            <v>2017</v>
          </cell>
          <cell r="E5110">
            <v>1029</v>
          </cell>
          <cell r="F5110" t="str">
            <v>X2W-761</v>
          </cell>
          <cell r="G5110" t="str">
            <v>C5V-996</v>
          </cell>
          <cell r="H5110" t="str">
            <v>LAS BAMBAS</v>
          </cell>
          <cell r="I5110">
            <v>152928</v>
          </cell>
          <cell r="J5110" t="str">
            <v>REPUESTO</v>
          </cell>
          <cell r="K5110" t="str">
            <v>FILTRO DE COMBUSTIBLE PRIMARIO</v>
          </cell>
          <cell r="L5110">
            <v>1</v>
          </cell>
          <cell r="M5110" t="str">
            <v>UNID.</v>
          </cell>
          <cell r="N5110" t="str">
            <v>TRACTO</v>
          </cell>
          <cell r="O5110">
            <v>11</v>
          </cell>
          <cell r="P5110" t="str">
            <v>M9</v>
          </cell>
          <cell r="Q5110" t="str">
            <v>J1</v>
          </cell>
          <cell r="R5110" t="str">
            <v>J8</v>
          </cell>
          <cell r="S5110" t="str">
            <v>ENTREGADO</v>
          </cell>
          <cell r="T5110">
            <v>0</v>
          </cell>
          <cell r="U5110" t="str">
            <v>POMA SALAZAR CIRO</v>
          </cell>
          <cell r="V5110" t="str">
            <v>FLOREZ CONDORI  JOSE WILLIANS</v>
          </cell>
        </row>
        <row r="5111">
          <cell r="A5111">
            <v>5110</v>
          </cell>
          <cell r="B5111">
            <v>42779</v>
          </cell>
          <cell r="C5111" t="str">
            <v>FEBRERO</v>
          </cell>
          <cell r="D5111" t="str">
            <v>2017</v>
          </cell>
          <cell r="E5111">
            <v>200</v>
          </cell>
          <cell r="F5111" t="str">
            <v>TALLER</v>
          </cell>
          <cell r="G5111" t="str">
            <v>TALLER</v>
          </cell>
          <cell r="H5111" t="str">
            <v>TALLER</v>
          </cell>
          <cell r="I5111" t="str">
            <v>TALLER</v>
          </cell>
          <cell r="J5111" t="str">
            <v>REPUESTO</v>
          </cell>
          <cell r="K5111" t="str">
            <v>MEDIDOR DE PRESION DE AIRE PSL CURVO</v>
          </cell>
          <cell r="L5111">
            <v>1</v>
          </cell>
          <cell r="M5111" t="str">
            <v>UNID.</v>
          </cell>
          <cell r="N5111" t="str">
            <v>TALLER</v>
          </cell>
          <cell r="O5111">
            <v>11</v>
          </cell>
          <cell r="P5111" t="str">
            <v>N2</v>
          </cell>
          <cell r="Q5111" t="str">
            <v>J1</v>
          </cell>
          <cell r="R5111" t="str">
            <v>J8</v>
          </cell>
          <cell r="S5111" t="str">
            <v>PENDIENTE</v>
          </cell>
          <cell r="T5111">
            <v>0</v>
          </cell>
          <cell r="U5111" t="str">
            <v>MAMANI LARICO  EDUARDO ALVARO</v>
          </cell>
          <cell r="V5111" t="str">
            <v>FLOREZ CONDORI  JOSE WILLIANS</v>
          </cell>
        </row>
        <row r="5112">
          <cell r="A5112">
            <v>5111</v>
          </cell>
          <cell r="B5112">
            <v>42779</v>
          </cell>
          <cell r="C5112" t="str">
            <v>FEBRERO</v>
          </cell>
          <cell r="D5112" t="str">
            <v>2017</v>
          </cell>
          <cell r="E5112">
            <v>200</v>
          </cell>
          <cell r="F5112" t="str">
            <v>TALLER</v>
          </cell>
          <cell r="G5112" t="str">
            <v>TALLER</v>
          </cell>
          <cell r="H5112" t="str">
            <v>TALLER</v>
          </cell>
          <cell r="I5112" t="str">
            <v>TALLER</v>
          </cell>
          <cell r="J5112" t="str">
            <v>REPUESTO</v>
          </cell>
          <cell r="K5112" t="str">
            <v>MEDIDOR DE PRESION DE AIRE PSL RECTO</v>
          </cell>
          <cell r="L5112">
            <v>1</v>
          </cell>
          <cell r="M5112" t="str">
            <v>UNID.</v>
          </cell>
          <cell r="N5112" t="str">
            <v>TALLER</v>
          </cell>
          <cell r="O5112">
            <v>11</v>
          </cell>
          <cell r="P5112" t="str">
            <v>N2</v>
          </cell>
          <cell r="Q5112" t="str">
            <v>J1</v>
          </cell>
          <cell r="R5112" t="str">
            <v>J8</v>
          </cell>
          <cell r="S5112" t="str">
            <v>PENDIENTE</v>
          </cell>
          <cell r="T5112">
            <v>0</v>
          </cell>
          <cell r="U5112" t="str">
            <v>MAMANI LARICO  EDUARDO ALVARO</v>
          </cell>
          <cell r="V5112" t="str">
            <v>FLOREZ CONDORI  JOSE WILLIANS</v>
          </cell>
        </row>
        <row r="5113">
          <cell r="A5113">
            <v>5112</v>
          </cell>
          <cell r="B5113">
            <v>42779</v>
          </cell>
          <cell r="C5113" t="str">
            <v>FEBRERO</v>
          </cell>
          <cell r="D5113" t="str">
            <v>2017</v>
          </cell>
          <cell r="E5113">
            <v>200</v>
          </cell>
          <cell r="F5113" t="str">
            <v>TALLER</v>
          </cell>
          <cell r="G5113" t="str">
            <v>TALLER</v>
          </cell>
          <cell r="H5113" t="str">
            <v>TALLER</v>
          </cell>
          <cell r="I5113" t="str">
            <v>TALLER</v>
          </cell>
          <cell r="J5113" t="str">
            <v>MATERIALES</v>
          </cell>
          <cell r="K5113" t="str">
            <v>CAJA DE HERRAMIENTA 1558</v>
          </cell>
          <cell r="L5113">
            <v>1</v>
          </cell>
          <cell r="M5113" t="str">
            <v>UNID.</v>
          </cell>
          <cell r="N5113" t="str">
            <v>TALLER</v>
          </cell>
          <cell r="O5113">
            <v>11</v>
          </cell>
          <cell r="P5113" t="str">
            <v>M10</v>
          </cell>
          <cell r="Q5113" t="str">
            <v>J1</v>
          </cell>
          <cell r="R5113" t="str">
            <v>J8</v>
          </cell>
          <cell r="S5113" t="str">
            <v>ENTREGADO</v>
          </cell>
          <cell r="T5113">
            <v>0</v>
          </cell>
          <cell r="U5113" t="str">
            <v>MAMANI SANTOS BLADIMIR</v>
          </cell>
          <cell r="V5113" t="str">
            <v>FLOREZ CONDORI  JOSE WILLIANS</v>
          </cell>
        </row>
        <row r="5114">
          <cell r="A5114">
            <v>5113</v>
          </cell>
          <cell r="B5114">
            <v>42779</v>
          </cell>
          <cell r="C5114" t="str">
            <v>FEBRERO</v>
          </cell>
          <cell r="D5114" t="str">
            <v>2017</v>
          </cell>
          <cell r="E5114">
            <v>1029</v>
          </cell>
          <cell r="F5114" t="str">
            <v>X2W-761</v>
          </cell>
          <cell r="G5114" t="str">
            <v>C5V-996</v>
          </cell>
          <cell r="H5114" t="str">
            <v>LAS BAMBAS</v>
          </cell>
          <cell r="I5114">
            <v>152928</v>
          </cell>
          <cell r="J5114" t="str">
            <v>REPUESTO</v>
          </cell>
          <cell r="K5114" t="str">
            <v>FILTRO DE COMBUSTIBLE  SEPARADOR DE AGUA</v>
          </cell>
          <cell r="L5114">
            <v>1</v>
          </cell>
          <cell r="M5114" t="str">
            <v>UNID.</v>
          </cell>
          <cell r="N5114" t="str">
            <v>TRACTO</v>
          </cell>
          <cell r="O5114">
            <v>11</v>
          </cell>
          <cell r="P5114" t="str">
            <v>M9</v>
          </cell>
          <cell r="Q5114" t="str">
            <v>J1</v>
          </cell>
          <cell r="R5114" t="str">
            <v>J8</v>
          </cell>
          <cell r="S5114" t="str">
            <v>ENTREGADO</v>
          </cell>
          <cell r="T5114">
            <v>0</v>
          </cell>
          <cell r="U5114" t="str">
            <v>POMA SALAZAR CIRO</v>
          </cell>
          <cell r="V5114" t="str">
            <v>FLOREZ CONDORI  JOSE WILLIANS</v>
          </cell>
        </row>
        <row r="5115">
          <cell r="A5115">
            <v>5114</v>
          </cell>
          <cell r="B5115">
            <v>42779</v>
          </cell>
          <cell r="C5115" t="str">
            <v>FEBRERO</v>
          </cell>
          <cell r="D5115" t="str">
            <v>2017</v>
          </cell>
          <cell r="E5115">
            <v>1029</v>
          </cell>
          <cell r="F5115" t="str">
            <v>X2W-761</v>
          </cell>
          <cell r="G5115" t="str">
            <v>C5V-996</v>
          </cell>
          <cell r="H5115" t="str">
            <v>LAS BAMBAS</v>
          </cell>
          <cell r="I5115">
            <v>152928</v>
          </cell>
          <cell r="J5115" t="str">
            <v>REPUESTO</v>
          </cell>
          <cell r="K5115" t="str">
            <v>PULMON DE AIRE</v>
          </cell>
          <cell r="L5115">
            <v>1</v>
          </cell>
          <cell r="M5115" t="str">
            <v>UNID.</v>
          </cell>
          <cell r="N5115" t="str">
            <v>TRACTO</v>
          </cell>
          <cell r="O5115">
            <v>11</v>
          </cell>
          <cell r="P5115" t="str">
            <v>M9</v>
          </cell>
          <cell r="Q5115" t="str">
            <v>J1</v>
          </cell>
          <cell r="R5115" t="str">
            <v>J8</v>
          </cell>
          <cell r="S5115" t="str">
            <v>ENTREGADO</v>
          </cell>
          <cell r="T5115">
            <v>0</v>
          </cell>
          <cell r="U5115" t="str">
            <v>POMA SALAZAR CIRO</v>
          </cell>
          <cell r="V5115" t="str">
            <v>FLOREZ CONDORI  JOSE WILLIANS</v>
          </cell>
        </row>
        <row r="5116">
          <cell r="A5116">
            <v>5115</v>
          </cell>
          <cell r="B5116">
            <v>42779</v>
          </cell>
          <cell r="C5116" t="str">
            <v>FEBRERO</v>
          </cell>
          <cell r="D5116" t="str">
            <v>2017</v>
          </cell>
          <cell r="E5116">
            <v>1029</v>
          </cell>
          <cell r="F5116" t="str">
            <v>X2W-761</v>
          </cell>
          <cell r="G5116" t="str">
            <v>C5V-996</v>
          </cell>
          <cell r="H5116" t="str">
            <v>LAS BAMBAS</v>
          </cell>
          <cell r="I5116">
            <v>152928</v>
          </cell>
          <cell r="J5116" t="str">
            <v>REPUESTO</v>
          </cell>
          <cell r="K5116" t="str">
            <v>ABRAZADERA DEE TUBO DE ESCAPE</v>
          </cell>
          <cell r="L5116">
            <v>1</v>
          </cell>
          <cell r="M5116" t="str">
            <v>UNID.</v>
          </cell>
          <cell r="N5116" t="str">
            <v>TRACTO</v>
          </cell>
          <cell r="O5116">
            <v>11</v>
          </cell>
          <cell r="P5116" t="str">
            <v>M9</v>
          </cell>
          <cell r="Q5116" t="str">
            <v>J1</v>
          </cell>
          <cell r="R5116" t="str">
            <v>J8</v>
          </cell>
          <cell r="S5116" t="str">
            <v>ENTREGADO</v>
          </cell>
          <cell r="T5116">
            <v>0</v>
          </cell>
          <cell r="U5116" t="str">
            <v>POMA SALAZAR CIRO</v>
          </cell>
          <cell r="V5116" t="str">
            <v>FLOREZ CONDORI  JOSE WILLIANS</v>
          </cell>
        </row>
        <row r="5117">
          <cell r="A5117">
            <v>5116</v>
          </cell>
          <cell r="B5117">
            <v>42779</v>
          </cell>
          <cell r="C5117" t="str">
            <v>FEBRERO</v>
          </cell>
          <cell r="D5117" t="str">
            <v>2017</v>
          </cell>
          <cell r="E5117">
            <v>1019</v>
          </cell>
          <cell r="F5117" t="str">
            <v>AEH-862</v>
          </cell>
          <cell r="G5117" t="str">
            <v>CAMIONETA</v>
          </cell>
          <cell r="H5117" t="str">
            <v>LAS BAMBAS</v>
          </cell>
          <cell r="I5117">
            <v>110683</v>
          </cell>
          <cell r="J5117" t="str">
            <v>REPUESTO</v>
          </cell>
          <cell r="K5117" t="str">
            <v>FOCO 1 CONTACTO 12V</v>
          </cell>
          <cell r="L5117">
            <v>1</v>
          </cell>
          <cell r="M5117" t="str">
            <v>UNID.</v>
          </cell>
          <cell r="N5117" t="str">
            <v>CAMIONETA</v>
          </cell>
          <cell r="O5117">
            <v>11</v>
          </cell>
          <cell r="P5117" t="str">
            <v>E3</v>
          </cell>
          <cell r="Q5117" t="str">
            <v>J1</v>
          </cell>
          <cell r="R5117" t="str">
            <v>J8</v>
          </cell>
          <cell r="S5117" t="str">
            <v>ENTREGADO</v>
          </cell>
          <cell r="T5117">
            <v>0</v>
          </cell>
          <cell r="U5117" t="str">
            <v>CONDORI CHURATA ALEX</v>
          </cell>
          <cell r="V5117" t="str">
            <v>FLOREZ CONDORI  JOSE WILLIANS</v>
          </cell>
        </row>
        <row r="5118">
          <cell r="A5118">
            <v>5117</v>
          </cell>
          <cell r="B5118">
            <v>42779</v>
          </cell>
          <cell r="C5118" t="str">
            <v>FEBRERO</v>
          </cell>
          <cell r="D5118" t="str">
            <v>2017</v>
          </cell>
          <cell r="E5118">
            <v>1031</v>
          </cell>
          <cell r="F5118" t="str">
            <v>C5R-896</v>
          </cell>
          <cell r="G5118" t="str">
            <v>A0U-977</v>
          </cell>
          <cell r="H5118" t="str">
            <v>LAS BAMBAS</v>
          </cell>
          <cell r="I5118">
            <v>218990</v>
          </cell>
          <cell r="J5118" t="str">
            <v>REPUESTO</v>
          </cell>
          <cell r="K5118" t="str">
            <v>PARCHE RACK12</v>
          </cell>
          <cell r="L5118">
            <v>1</v>
          </cell>
          <cell r="M5118" t="str">
            <v>UNID.</v>
          </cell>
          <cell r="N5118" t="str">
            <v>CISTERNA</v>
          </cell>
          <cell r="O5118">
            <v>11</v>
          </cell>
          <cell r="P5118" t="str">
            <v>N2</v>
          </cell>
          <cell r="Q5118" t="str">
            <v>J1</v>
          </cell>
          <cell r="R5118" t="str">
            <v>J8</v>
          </cell>
          <cell r="S5118" t="str">
            <v>ENTREGADO</v>
          </cell>
          <cell r="T5118">
            <v>0</v>
          </cell>
          <cell r="U5118" t="str">
            <v>MAMANI LARICO  EDUARDO ALVARO</v>
          </cell>
          <cell r="V5118" t="str">
            <v>FLOREZ CONDORI  JOSE WILLIANS</v>
          </cell>
        </row>
        <row r="5119">
          <cell r="A5119">
            <v>5118</v>
          </cell>
          <cell r="B5119">
            <v>42779</v>
          </cell>
          <cell r="C5119" t="str">
            <v>FEBRERO</v>
          </cell>
          <cell r="D5119" t="str">
            <v>2017</v>
          </cell>
          <cell r="E5119">
            <v>1031</v>
          </cell>
          <cell r="F5119" t="str">
            <v>C5R-896</v>
          </cell>
          <cell r="G5119" t="str">
            <v>A0U-977</v>
          </cell>
          <cell r="H5119" t="str">
            <v>LAS BAMBAS</v>
          </cell>
          <cell r="I5119">
            <v>218990</v>
          </cell>
          <cell r="J5119" t="str">
            <v>REPUESTO</v>
          </cell>
          <cell r="K5119" t="str">
            <v>PARCHE RACK10</v>
          </cell>
          <cell r="L5119">
            <v>1</v>
          </cell>
          <cell r="M5119" t="str">
            <v>UNID.</v>
          </cell>
          <cell r="N5119" t="str">
            <v>CISTERNA</v>
          </cell>
          <cell r="O5119">
            <v>11</v>
          </cell>
          <cell r="P5119" t="str">
            <v>N2</v>
          </cell>
          <cell r="Q5119" t="str">
            <v>J1</v>
          </cell>
          <cell r="R5119" t="str">
            <v>J8</v>
          </cell>
          <cell r="S5119" t="str">
            <v>ENTREGADO</v>
          </cell>
          <cell r="T5119">
            <v>0</v>
          </cell>
          <cell r="U5119" t="str">
            <v>MAMANI LARICO  EDUARDO ALVARO</v>
          </cell>
          <cell r="V5119" t="str">
            <v>FLOREZ CONDORI  JOSE WILLIANS</v>
          </cell>
        </row>
        <row r="5120">
          <cell r="A5120">
            <v>5119</v>
          </cell>
          <cell r="B5120">
            <v>42779</v>
          </cell>
          <cell r="C5120" t="str">
            <v>FEBRERO</v>
          </cell>
          <cell r="D5120" t="str">
            <v>2017</v>
          </cell>
          <cell r="E5120">
            <v>200</v>
          </cell>
          <cell r="F5120" t="str">
            <v>TALLER</v>
          </cell>
          <cell r="G5120" t="str">
            <v>TALLER</v>
          </cell>
          <cell r="H5120" t="str">
            <v>TALLER</v>
          </cell>
          <cell r="I5120" t="str">
            <v>TALLER</v>
          </cell>
          <cell r="J5120" t="str">
            <v>REPUESTO</v>
          </cell>
          <cell r="K5120" t="str">
            <v>PIEDRA ABRASIVA CILÍNDRICA PLANA EJE 1/4"</v>
          </cell>
          <cell r="L5120">
            <v>1</v>
          </cell>
          <cell r="M5120" t="str">
            <v>UNID.</v>
          </cell>
          <cell r="N5120" t="str">
            <v>TALLER</v>
          </cell>
          <cell r="O5120">
            <v>11</v>
          </cell>
          <cell r="P5120" t="str">
            <v>N2</v>
          </cell>
          <cell r="Q5120" t="str">
            <v>J1</v>
          </cell>
          <cell r="R5120" t="str">
            <v>J8</v>
          </cell>
          <cell r="S5120" t="str">
            <v>PENDIENTE</v>
          </cell>
          <cell r="T5120">
            <v>0</v>
          </cell>
          <cell r="U5120" t="str">
            <v>MAMANI LARICO  EDUARDO ALVARO</v>
          </cell>
          <cell r="V5120" t="str">
            <v>FLOREZ CONDORI  JOSE WILLIANS</v>
          </cell>
        </row>
        <row r="5121">
          <cell r="A5121">
            <v>5120</v>
          </cell>
          <cell r="B5121">
            <v>42779</v>
          </cell>
          <cell r="C5121" t="str">
            <v>FEBRERO</v>
          </cell>
          <cell r="D5121" t="str">
            <v>2017</v>
          </cell>
          <cell r="E5121">
            <v>1024</v>
          </cell>
          <cell r="F5121" t="str">
            <v>C5R-892</v>
          </cell>
          <cell r="G5121" t="str">
            <v>A0T-983</v>
          </cell>
          <cell r="H5121" t="str">
            <v>LAS BAMBAS</v>
          </cell>
          <cell r="I5121">
            <v>233311</v>
          </cell>
          <cell r="J5121" t="str">
            <v>REPUESTO</v>
          </cell>
          <cell r="K5121" t="str">
            <v>FOCO DE 2 CONTANTO DE 12V</v>
          </cell>
          <cell r="L5121">
            <v>2</v>
          </cell>
          <cell r="M5121" t="str">
            <v>UNID.</v>
          </cell>
          <cell r="N5121" t="str">
            <v>TRACTO</v>
          </cell>
          <cell r="O5121">
            <v>11</v>
          </cell>
          <cell r="P5121" t="str">
            <v>E3</v>
          </cell>
          <cell r="Q5121" t="str">
            <v>J1</v>
          </cell>
          <cell r="R5121" t="str">
            <v>J8</v>
          </cell>
          <cell r="S5121" t="str">
            <v>ENTREGADO</v>
          </cell>
          <cell r="T5121">
            <v>0</v>
          </cell>
          <cell r="U5121" t="str">
            <v>CONDORI CHURATA ALEX</v>
          </cell>
          <cell r="V5121" t="str">
            <v>FLOREZ CONDORI  JOSE WILLIANS</v>
          </cell>
        </row>
        <row r="5122">
          <cell r="A5122">
            <v>5121</v>
          </cell>
          <cell r="B5122">
            <v>42779</v>
          </cell>
          <cell r="C5122" t="str">
            <v>FEBRERO</v>
          </cell>
          <cell r="D5122" t="str">
            <v>2017</v>
          </cell>
          <cell r="E5122">
            <v>1030</v>
          </cell>
          <cell r="F5122" t="str">
            <v>C9P-948</v>
          </cell>
          <cell r="G5122" t="str">
            <v>B4O-995</v>
          </cell>
          <cell r="H5122" t="str">
            <v>LAS BAMBAS</v>
          </cell>
          <cell r="I5122">
            <v>163853</v>
          </cell>
          <cell r="J5122" t="str">
            <v>REPUESTO</v>
          </cell>
          <cell r="K5122" t="str">
            <v>CIRCULINA</v>
          </cell>
          <cell r="L5122">
            <v>1</v>
          </cell>
          <cell r="M5122" t="str">
            <v>UNID.</v>
          </cell>
          <cell r="N5122" t="str">
            <v>TRACTO</v>
          </cell>
          <cell r="O5122">
            <v>11</v>
          </cell>
          <cell r="P5122" t="str">
            <v>E3</v>
          </cell>
          <cell r="Q5122" t="str">
            <v>J1</v>
          </cell>
          <cell r="R5122" t="str">
            <v>J8</v>
          </cell>
          <cell r="S5122" t="str">
            <v>PENDIENTE</v>
          </cell>
          <cell r="T5122">
            <v>0</v>
          </cell>
          <cell r="U5122" t="str">
            <v>CONDORI CHURATA ALEX</v>
          </cell>
          <cell r="V5122" t="str">
            <v>FLOREZ CONDORI  JOSE WILLIANS</v>
          </cell>
        </row>
        <row r="5123">
          <cell r="A5123">
            <v>5122</v>
          </cell>
          <cell r="B5123">
            <v>42779</v>
          </cell>
          <cell r="C5123" t="str">
            <v>FEBRERO</v>
          </cell>
          <cell r="D5123" t="str">
            <v>2017</v>
          </cell>
          <cell r="E5123">
            <v>1028</v>
          </cell>
          <cell r="F5123" t="str">
            <v>ABQ-780</v>
          </cell>
          <cell r="G5123" t="str">
            <v>C9S-990</v>
          </cell>
          <cell r="H5123" t="str">
            <v>LAS BAMBAS</v>
          </cell>
          <cell r="I5123">
            <v>123286</v>
          </cell>
          <cell r="J5123" t="str">
            <v>REPUESTO</v>
          </cell>
          <cell r="K5123" t="str">
            <v>INTERCOOLER</v>
          </cell>
          <cell r="L5123">
            <v>2</v>
          </cell>
          <cell r="M5123" t="str">
            <v>UNID.</v>
          </cell>
          <cell r="N5123" t="str">
            <v>TRACTO</v>
          </cell>
          <cell r="O5123">
            <v>11</v>
          </cell>
          <cell r="P5123" t="str">
            <v>M5</v>
          </cell>
          <cell r="Q5123" t="str">
            <v>J1</v>
          </cell>
          <cell r="R5123" t="str">
            <v>J8</v>
          </cell>
          <cell r="S5123" t="str">
            <v>ENTREGADO</v>
          </cell>
          <cell r="T5123">
            <v>0</v>
          </cell>
          <cell r="U5123" t="str">
            <v>LOPEZ RUIZ WILBERTO</v>
          </cell>
          <cell r="V5123" t="str">
            <v>FLOREZ CONDORI  JOSE WILLIANS</v>
          </cell>
        </row>
        <row r="5124">
          <cell r="A5124">
            <v>5123</v>
          </cell>
          <cell r="B5124">
            <v>42779</v>
          </cell>
          <cell r="C5124" t="str">
            <v>FEBRERO</v>
          </cell>
          <cell r="D5124" t="str">
            <v>2017</v>
          </cell>
          <cell r="E5124">
            <v>1002</v>
          </cell>
          <cell r="F5124" t="str">
            <v>D3R-742</v>
          </cell>
          <cell r="G5124" t="str">
            <v>D2E-975</v>
          </cell>
          <cell r="H5124" t="str">
            <v>LAS BAMBAS</v>
          </cell>
          <cell r="I5124">
            <v>162071</v>
          </cell>
          <cell r="J5124" t="str">
            <v>REPUESTO</v>
          </cell>
          <cell r="K5124" t="str">
            <v>VISAGRAS 1/2 X 4"</v>
          </cell>
          <cell r="L5124">
            <v>2</v>
          </cell>
          <cell r="M5124" t="str">
            <v>UNID.</v>
          </cell>
          <cell r="N5124" t="str">
            <v>CISTERNA</v>
          </cell>
          <cell r="O5124">
            <v>11</v>
          </cell>
          <cell r="P5124" t="str">
            <v>S1</v>
          </cell>
          <cell r="Q5124" t="str">
            <v>J1</v>
          </cell>
          <cell r="R5124" t="str">
            <v>J8</v>
          </cell>
          <cell r="S5124" t="str">
            <v>ENTREGADO</v>
          </cell>
          <cell r="T5124">
            <v>0</v>
          </cell>
          <cell r="U5124" t="str">
            <v>BAYONA CRUZ CRISTIAN ARMANDO</v>
          </cell>
          <cell r="V5124" t="str">
            <v>FLOREZ CONDORI  JOSE WILLIANS</v>
          </cell>
        </row>
        <row r="5125">
          <cell r="A5125">
            <v>5124</v>
          </cell>
          <cell r="B5125">
            <v>42779</v>
          </cell>
          <cell r="C5125" t="str">
            <v>FEBRERO</v>
          </cell>
          <cell r="D5125" t="str">
            <v>2017</v>
          </cell>
          <cell r="E5125">
            <v>1022</v>
          </cell>
          <cell r="F5125" t="str">
            <v>X2W-791</v>
          </cell>
          <cell r="G5125" t="str">
            <v>C5V-989</v>
          </cell>
          <cell r="H5125" t="str">
            <v>LAS BAMBAS</v>
          </cell>
          <cell r="I5125">
            <v>155212</v>
          </cell>
          <cell r="J5125" t="str">
            <v>REPUESTO</v>
          </cell>
          <cell r="K5125" t="str">
            <v>JUEGO DE ZAPATAS</v>
          </cell>
          <cell r="L5125">
            <v>3</v>
          </cell>
          <cell r="M5125" t="str">
            <v>UNID.</v>
          </cell>
          <cell r="N5125" t="str">
            <v>CISTERNA</v>
          </cell>
          <cell r="O5125">
            <v>11</v>
          </cell>
          <cell r="P5125" t="str">
            <v>M6</v>
          </cell>
          <cell r="Q5125" t="str">
            <v>J1</v>
          </cell>
          <cell r="R5125" t="str">
            <v>J8</v>
          </cell>
          <cell r="S5125" t="str">
            <v>ENTREGADO</v>
          </cell>
          <cell r="T5125">
            <v>0</v>
          </cell>
          <cell r="U5125" t="str">
            <v>PARI VENTURA  EDSON ORLANDO</v>
          </cell>
          <cell r="V5125" t="str">
            <v>FLOREZ CONDORI  JOSE WILLIANS</v>
          </cell>
        </row>
        <row r="5126">
          <cell r="A5126">
            <v>5125</v>
          </cell>
          <cell r="B5126">
            <v>42779</v>
          </cell>
          <cell r="C5126" t="str">
            <v>FEBRERO</v>
          </cell>
          <cell r="D5126" t="str">
            <v>2017</v>
          </cell>
          <cell r="E5126">
            <v>1022</v>
          </cell>
          <cell r="F5126" t="str">
            <v>X2W-791</v>
          </cell>
          <cell r="G5126" t="str">
            <v>C5V-989</v>
          </cell>
          <cell r="H5126" t="str">
            <v>LAS BAMBAS</v>
          </cell>
          <cell r="I5126">
            <v>155212</v>
          </cell>
          <cell r="J5126" t="str">
            <v>REPUESTO</v>
          </cell>
          <cell r="K5126" t="str">
            <v>RESORTES GRANDES</v>
          </cell>
          <cell r="L5126">
            <v>6</v>
          </cell>
          <cell r="M5126" t="str">
            <v>UNID.</v>
          </cell>
          <cell r="N5126" t="str">
            <v>CISTERNA</v>
          </cell>
          <cell r="O5126">
            <v>11</v>
          </cell>
          <cell r="P5126" t="str">
            <v>M6</v>
          </cell>
          <cell r="Q5126" t="str">
            <v>J1</v>
          </cell>
          <cell r="R5126" t="str">
            <v>J8</v>
          </cell>
          <cell r="S5126" t="str">
            <v>ENTREGADO</v>
          </cell>
          <cell r="T5126">
            <v>0</v>
          </cell>
          <cell r="U5126" t="str">
            <v>PARI VENTURA  EDSON ORLANDO</v>
          </cell>
          <cell r="V5126" t="str">
            <v>FLOREZ CONDORI  JOSE WILLIANS</v>
          </cell>
        </row>
        <row r="5127">
          <cell r="A5127">
            <v>5126</v>
          </cell>
          <cell r="B5127">
            <v>42779</v>
          </cell>
          <cell r="C5127" t="str">
            <v>FEBRERO</v>
          </cell>
          <cell r="D5127" t="str">
            <v>2017</v>
          </cell>
          <cell r="E5127">
            <v>1022</v>
          </cell>
          <cell r="F5127" t="str">
            <v>X2W-791</v>
          </cell>
          <cell r="G5127" t="str">
            <v>C5V-989</v>
          </cell>
          <cell r="H5127" t="str">
            <v>LAS BAMBAS</v>
          </cell>
          <cell r="I5127">
            <v>155212</v>
          </cell>
          <cell r="J5127" t="str">
            <v>REPUESTO</v>
          </cell>
          <cell r="K5127" t="str">
            <v>SEGURO DE RODILLO</v>
          </cell>
          <cell r="L5127">
            <v>10</v>
          </cell>
          <cell r="M5127" t="str">
            <v>UNID.</v>
          </cell>
          <cell r="N5127" t="str">
            <v>CISTERNA</v>
          </cell>
          <cell r="O5127">
            <v>11</v>
          </cell>
          <cell r="P5127" t="str">
            <v>M6</v>
          </cell>
          <cell r="Q5127" t="str">
            <v>J1</v>
          </cell>
          <cell r="R5127" t="str">
            <v>J8</v>
          </cell>
          <cell r="S5127" t="str">
            <v>PENDIENTE</v>
          </cell>
          <cell r="T5127">
            <v>0</v>
          </cell>
          <cell r="U5127" t="str">
            <v>PARI VENTURA  EDSON ORLANDO</v>
          </cell>
          <cell r="V5127" t="str">
            <v>FLOREZ CONDORI  JOSE WILLIANS</v>
          </cell>
        </row>
        <row r="5128">
          <cell r="A5128">
            <v>5127</v>
          </cell>
          <cell r="B5128">
            <v>42779</v>
          </cell>
          <cell r="C5128" t="str">
            <v>FEBRERO</v>
          </cell>
          <cell r="D5128" t="str">
            <v>2017</v>
          </cell>
          <cell r="E5128">
            <v>200</v>
          </cell>
          <cell r="F5128" t="str">
            <v>TALLER</v>
          </cell>
          <cell r="G5128" t="str">
            <v>TALLER</v>
          </cell>
          <cell r="H5128" t="str">
            <v>TALLER</v>
          </cell>
          <cell r="I5128" t="str">
            <v>TALLER</v>
          </cell>
          <cell r="J5128" t="str">
            <v>INSUMO TALLER</v>
          </cell>
          <cell r="K5128" t="str">
            <v>TIZA CALDERO</v>
          </cell>
          <cell r="L5128">
            <v>1</v>
          </cell>
          <cell r="M5128" t="str">
            <v>UNID.</v>
          </cell>
          <cell r="N5128" t="str">
            <v>TALLER</v>
          </cell>
          <cell r="O5128">
            <v>11</v>
          </cell>
          <cell r="P5128" t="str">
            <v>S1</v>
          </cell>
          <cell r="Q5128" t="str">
            <v>J1</v>
          </cell>
          <cell r="R5128" t="str">
            <v>J8</v>
          </cell>
          <cell r="S5128" t="str">
            <v>ENTREGADO</v>
          </cell>
          <cell r="T5128">
            <v>0</v>
          </cell>
          <cell r="U5128" t="str">
            <v>BAYONA CRUZ CRISTIAN ARMANDO</v>
          </cell>
          <cell r="V5128" t="str">
            <v>FLOREZ CONDORI  JOSE WILLIANS</v>
          </cell>
        </row>
        <row r="5129">
          <cell r="A5129">
            <v>5128</v>
          </cell>
          <cell r="B5129">
            <v>42779</v>
          </cell>
          <cell r="C5129" t="str">
            <v>FEBRERO</v>
          </cell>
          <cell r="D5129" t="str">
            <v>2017</v>
          </cell>
          <cell r="E5129">
            <v>1027</v>
          </cell>
          <cell r="F5129" t="str">
            <v>D6F-825</v>
          </cell>
          <cell r="G5129" t="str">
            <v>T2Y-992</v>
          </cell>
          <cell r="H5129" t="str">
            <v>LAS BAMBAS</v>
          </cell>
          <cell r="I5129">
            <v>192794</v>
          </cell>
          <cell r="J5129" t="str">
            <v>REPUESTO</v>
          </cell>
          <cell r="K5129" t="str">
            <v>EMPAQUE 10 MANHOL</v>
          </cell>
          <cell r="L5129">
            <v>2</v>
          </cell>
          <cell r="M5129" t="str">
            <v>UNID.</v>
          </cell>
          <cell r="N5129" t="str">
            <v>CISTERNA</v>
          </cell>
          <cell r="O5129">
            <v>11</v>
          </cell>
          <cell r="P5129" t="str">
            <v>S1</v>
          </cell>
          <cell r="Q5129" t="str">
            <v>J1</v>
          </cell>
          <cell r="R5129" t="str">
            <v>J8</v>
          </cell>
          <cell r="S5129" t="str">
            <v>PENDIENTE</v>
          </cell>
          <cell r="T5129">
            <v>0</v>
          </cell>
          <cell r="U5129" t="str">
            <v>BAYONA CRUZ CRISTIAN ARMANDO</v>
          </cell>
          <cell r="V5129" t="str">
            <v>FLOREZ CONDORI  JOSE WILLIANS</v>
          </cell>
        </row>
        <row r="5130">
          <cell r="A5130">
            <v>5129</v>
          </cell>
          <cell r="B5130">
            <v>42780</v>
          </cell>
          <cell r="C5130" t="str">
            <v>FEBRERO</v>
          </cell>
          <cell r="D5130" t="str">
            <v>2017</v>
          </cell>
          <cell r="E5130">
            <v>1035</v>
          </cell>
          <cell r="F5130" t="str">
            <v>AKX-805</v>
          </cell>
          <cell r="G5130" t="str">
            <v>F5Z-985</v>
          </cell>
          <cell r="H5130" t="str">
            <v>LAS BAMBAS</v>
          </cell>
          <cell r="I5130">
            <v>45101</v>
          </cell>
          <cell r="J5130" t="str">
            <v>REPUESTO</v>
          </cell>
          <cell r="K5130" t="str">
            <v>FOCO DE 1 CONTACTO 12V</v>
          </cell>
          <cell r="L5130">
            <v>1</v>
          </cell>
          <cell r="M5130" t="str">
            <v>UNID.</v>
          </cell>
          <cell r="N5130" t="str">
            <v>TRACTO</v>
          </cell>
          <cell r="O5130">
            <v>0</v>
          </cell>
          <cell r="P5130" t="str">
            <v>E3</v>
          </cell>
          <cell r="Q5130" t="str">
            <v>J1</v>
          </cell>
          <cell r="R5130" t="str">
            <v>J8</v>
          </cell>
          <cell r="S5130" t="str">
            <v>ENTREGADO</v>
          </cell>
          <cell r="T5130">
            <v>42780</v>
          </cell>
          <cell r="U5130" t="str">
            <v>CONDORI CHURATA ALEX</v>
          </cell>
          <cell r="V5130" t="str">
            <v>FLOREZ CONDORI  JOSE WILLIANS</v>
          </cell>
        </row>
        <row r="5131">
          <cell r="A5131">
            <v>5130</v>
          </cell>
          <cell r="B5131">
            <v>42780</v>
          </cell>
          <cell r="C5131" t="str">
            <v>FEBRERO</v>
          </cell>
          <cell r="D5131" t="str">
            <v>2017</v>
          </cell>
          <cell r="E5131">
            <v>1025</v>
          </cell>
          <cell r="F5131" t="str">
            <v>ABR-727</v>
          </cell>
          <cell r="G5131" t="str">
            <v>C9S-989</v>
          </cell>
          <cell r="H5131" t="str">
            <v>LAS BAMBAS</v>
          </cell>
          <cell r="I5131">
            <v>107938</v>
          </cell>
          <cell r="J5131" t="str">
            <v>REPUESTO</v>
          </cell>
          <cell r="K5131" t="str">
            <v>TEFLON</v>
          </cell>
          <cell r="L5131">
            <v>1</v>
          </cell>
          <cell r="M5131" t="str">
            <v>UNID.</v>
          </cell>
          <cell r="N5131" t="str">
            <v>CISTERNA</v>
          </cell>
          <cell r="O5131">
            <v>0</v>
          </cell>
          <cell r="P5131" t="str">
            <v>S1</v>
          </cell>
          <cell r="Q5131" t="str">
            <v>J1</v>
          </cell>
          <cell r="R5131" t="str">
            <v>J8</v>
          </cell>
          <cell r="S5131" t="str">
            <v>ENTREGADO</v>
          </cell>
          <cell r="T5131">
            <v>42780</v>
          </cell>
          <cell r="U5131" t="str">
            <v>BAYONA CRUZ CRISTIAN ARMANDO</v>
          </cell>
          <cell r="V5131" t="str">
            <v>FLOREZ CONDORI  JOSE WILLIANS</v>
          </cell>
        </row>
        <row r="5132">
          <cell r="A5132">
            <v>5131</v>
          </cell>
          <cell r="B5132">
            <v>42780</v>
          </cell>
          <cell r="C5132" t="str">
            <v>FEBRERO</v>
          </cell>
          <cell r="D5132" t="str">
            <v>2017</v>
          </cell>
          <cell r="E5132">
            <v>1025</v>
          </cell>
          <cell r="F5132" t="str">
            <v>ABR-727</v>
          </cell>
          <cell r="G5132" t="str">
            <v>C9S-989</v>
          </cell>
          <cell r="H5132" t="str">
            <v>LAS BAMBAS</v>
          </cell>
          <cell r="I5132">
            <v>107938</v>
          </cell>
          <cell r="J5132" t="str">
            <v>REPUESTO</v>
          </cell>
          <cell r="K5132" t="str">
            <v>MANGUERA DE AIRE 3/8</v>
          </cell>
          <cell r="L5132">
            <v>0.5</v>
          </cell>
          <cell r="M5132" t="str">
            <v>M</v>
          </cell>
          <cell r="N5132" t="str">
            <v>CISTERNA</v>
          </cell>
          <cell r="O5132">
            <v>0</v>
          </cell>
          <cell r="P5132" t="str">
            <v>S1</v>
          </cell>
          <cell r="Q5132" t="str">
            <v>J1</v>
          </cell>
          <cell r="R5132" t="str">
            <v>J8</v>
          </cell>
          <cell r="S5132" t="str">
            <v>ENTREGADO</v>
          </cell>
          <cell r="T5132">
            <v>42780</v>
          </cell>
          <cell r="U5132" t="str">
            <v>BAYONA CRUZ CRISTIAN ARMANDO</v>
          </cell>
          <cell r="V5132" t="str">
            <v>FLOREZ CONDORI  JOSE WILLIANS</v>
          </cell>
        </row>
        <row r="5133">
          <cell r="A5133">
            <v>5132</v>
          </cell>
          <cell r="B5133">
            <v>42780</v>
          </cell>
          <cell r="C5133" t="str">
            <v>FEBRERO</v>
          </cell>
          <cell r="D5133" t="str">
            <v>2017</v>
          </cell>
          <cell r="E5133">
            <v>200</v>
          </cell>
          <cell r="F5133" t="str">
            <v>TALLER</v>
          </cell>
          <cell r="G5133" t="str">
            <v>TALLER</v>
          </cell>
          <cell r="H5133" t="str">
            <v>TALLER</v>
          </cell>
          <cell r="I5133" t="str">
            <v>TALLER</v>
          </cell>
          <cell r="J5133" t="str">
            <v>REPUESTO</v>
          </cell>
          <cell r="K5133" t="str">
            <v>GRASA PARA ORING BLANCA</v>
          </cell>
          <cell r="L5133">
            <v>1</v>
          </cell>
          <cell r="M5133" t="str">
            <v>UNID.</v>
          </cell>
          <cell r="N5133" t="str">
            <v>TALLER</v>
          </cell>
          <cell r="O5133">
            <v>10</v>
          </cell>
          <cell r="P5133" t="str">
            <v>S1</v>
          </cell>
          <cell r="Q5133" t="str">
            <v>J1</v>
          </cell>
          <cell r="R5133" t="str">
            <v>J8</v>
          </cell>
          <cell r="S5133" t="str">
            <v>PENDIENTE</v>
          </cell>
          <cell r="T5133">
            <v>0</v>
          </cell>
          <cell r="U5133" t="str">
            <v>BAYONA CRUZ CRISTIAN ARMANDO</v>
          </cell>
          <cell r="V5133" t="str">
            <v>FLOREZ CONDORI  JOSE WILLIANS</v>
          </cell>
        </row>
        <row r="5134">
          <cell r="A5134">
            <v>5133</v>
          </cell>
          <cell r="B5134">
            <v>42780</v>
          </cell>
          <cell r="C5134" t="str">
            <v>FEBRERO</v>
          </cell>
          <cell r="D5134" t="str">
            <v>2017</v>
          </cell>
          <cell r="E5134">
            <v>200</v>
          </cell>
          <cell r="F5134" t="str">
            <v>TALLER</v>
          </cell>
          <cell r="G5134" t="str">
            <v>TALLER</v>
          </cell>
          <cell r="H5134" t="str">
            <v>TALLER</v>
          </cell>
          <cell r="I5134" t="str">
            <v>TALLER</v>
          </cell>
          <cell r="J5134" t="str">
            <v>REPUESTO</v>
          </cell>
          <cell r="K5134" t="str">
            <v xml:space="preserve"> ACEITE 3 EN 1</v>
          </cell>
          <cell r="L5134">
            <v>1</v>
          </cell>
          <cell r="M5134" t="str">
            <v>UNID.</v>
          </cell>
          <cell r="N5134" t="str">
            <v>TALLER</v>
          </cell>
          <cell r="O5134">
            <v>10</v>
          </cell>
          <cell r="P5134" t="str">
            <v>S1</v>
          </cell>
          <cell r="Q5134" t="str">
            <v>J1</v>
          </cell>
          <cell r="R5134" t="str">
            <v>J8</v>
          </cell>
          <cell r="S5134" t="str">
            <v>PENDIENTE</v>
          </cell>
          <cell r="T5134">
            <v>0</v>
          </cell>
          <cell r="U5134" t="str">
            <v>BAYONA CRUZ CRISTIAN ARMANDO</v>
          </cell>
          <cell r="V5134" t="str">
            <v>FLOREZ CONDORI  JOSE WILLIANS</v>
          </cell>
        </row>
        <row r="5135">
          <cell r="A5135">
            <v>5134</v>
          </cell>
          <cell r="B5135">
            <v>42780</v>
          </cell>
          <cell r="C5135" t="str">
            <v>FEBRERO</v>
          </cell>
          <cell r="D5135" t="str">
            <v>2017</v>
          </cell>
          <cell r="E5135">
            <v>1021</v>
          </cell>
          <cell r="F5135" t="str">
            <v>AEH-888</v>
          </cell>
          <cell r="G5135" t="str">
            <v>CAMIONETA</v>
          </cell>
          <cell r="H5135" t="str">
            <v>LAS BAMBAS</v>
          </cell>
          <cell r="I5135">
            <v>103277</v>
          </cell>
          <cell r="J5135" t="str">
            <v>REPUESTO</v>
          </cell>
          <cell r="K5135" t="str">
            <v>FARO NEBLINERO AAA</v>
          </cell>
          <cell r="L5135">
            <v>2</v>
          </cell>
          <cell r="M5135" t="str">
            <v>UNID.</v>
          </cell>
          <cell r="N5135" t="str">
            <v>CAMIONETA</v>
          </cell>
          <cell r="O5135">
            <v>0</v>
          </cell>
          <cell r="P5135" t="str">
            <v>E2</v>
          </cell>
          <cell r="Q5135" t="str">
            <v>J1</v>
          </cell>
          <cell r="R5135" t="str">
            <v>J8</v>
          </cell>
          <cell r="S5135" t="str">
            <v>ENTREGADO</v>
          </cell>
          <cell r="T5135">
            <v>42780</v>
          </cell>
          <cell r="U5135" t="str">
            <v>YUCA BELLIDO BORIS YERSY</v>
          </cell>
          <cell r="V5135" t="str">
            <v>FLOREZ CONDORI  JOSE WILLIANS</v>
          </cell>
        </row>
        <row r="5136">
          <cell r="A5136">
            <v>5135</v>
          </cell>
          <cell r="B5136">
            <v>42780</v>
          </cell>
          <cell r="C5136" t="str">
            <v>FEBRERO</v>
          </cell>
          <cell r="D5136" t="str">
            <v>2017</v>
          </cell>
          <cell r="E5136">
            <v>1034</v>
          </cell>
          <cell r="F5136" t="str">
            <v>C9N-807</v>
          </cell>
          <cell r="G5136" t="str">
            <v>B4O-994</v>
          </cell>
          <cell r="H5136" t="str">
            <v>LAS BAMBAS</v>
          </cell>
          <cell r="I5136">
            <v>219415</v>
          </cell>
          <cell r="J5136" t="str">
            <v>REPUESTO</v>
          </cell>
          <cell r="K5136" t="str">
            <v>TURBO COMPLETO</v>
          </cell>
          <cell r="L5136">
            <v>1</v>
          </cell>
          <cell r="M5136" t="str">
            <v>UNID.</v>
          </cell>
          <cell r="N5136" t="str">
            <v>TRACTO</v>
          </cell>
          <cell r="O5136">
            <v>0</v>
          </cell>
          <cell r="P5136" t="str">
            <v>M5</v>
          </cell>
          <cell r="Q5136" t="str">
            <v>J1</v>
          </cell>
          <cell r="R5136" t="str">
            <v>J8</v>
          </cell>
          <cell r="S5136" t="str">
            <v>ENTREGADO</v>
          </cell>
          <cell r="T5136">
            <v>42780</v>
          </cell>
          <cell r="U5136" t="str">
            <v>LOPEZ RUIZ WILBERTO</v>
          </cell>
          <cell r="V5136" t="str">
            <v>FLOREZ CONDORI  JOSE WILLIANS</v>
          </cell>
        </row>
        <row r="5137">
          <cell r="A5137">
            <v>5136</v>
          </cell>
          <cell r="B5137">
            <v>42780</v>
          </cell>
          <cell r="C5137" t="str">
            <v>FEBRERO</v>
          </cell>
          <cell r="D5137" t="str">
            <v>2017</v>
          </cell>
          <cell r="E5137">
            <v>1034</v>
          </cell>
          <cell r="F5137" t="str">
            <v>C9N-807</v>
          </cell>
          <cell r="G5137" t="str">
            <v>B4O-994</v>
          </cell>
          <cell r="H5137" t="str">
            <v>LAS BAMBAS</v>
          </cell>
          <cell r="I5137">
            <v>219415</v>
          </cell>
          <cell r="J5137" t="str">
            <v>REPUESTO</v>
          </cell>
          <cell r="K5137" t="str">
            <v>EMPAQUE CUADRADO</v>
          </cell>
          <cell r="L5137">
            <v>1</v>
          </cell>
          <cell r="M5137" t="str">
            <v>UNID.</v>
          </cell>
          <cell r="N5137" t="str">
            <v>TRACTO</v>
          </cell>
          <cell r="O5137">
            <v>0</v>
          </cell>
          <cell r="P5137" t="str">
            <v>M5</v>
          </cell>
          <cell r="Q5137" t="str">
            <v>J1</v>
          </cell>
          <cell r="R5137" t="str">
            <v>J8</v>
          </cell>
          <cell r="S5137" t="str">
            <v>ENTREGADO</v>
          </cell>
          <cell r="T5137">
            <v>42780</v>
          </cell>
          <cell r="U5137" t="str">
            <v>LOPEZ RUIZ WILBERTO</v>
          </cell>
          <cell r="V5137" t="str">
            <v>FLOREZ CONDORI  JOSE WILLIANS</v>
          </cell>
        </row>
        <row r="5138">
          <cell r="A5138">
            <v>5137</v>
          </cell>
          <cell r="B5138">
            <v>42780</v>
          </cell>
          <cell r="C5138" t="str">
            <v>FEBRERO</v>
          </cell>
          <cell r="D5138" t="str">
            <v>2017</v>
          </cell>
          <cell r="E5138">
            <v>1034</v>
          </cell>
          <cell r="F5138" t="str">
            <v>C9N-807</v>
          </cell>
          <cell r="G5138" t="str">
            <v>B4O-994</v>
          </cell>
          <cell r="H5138" t="str">
            <v>LAS BAMBAS</v>
          </cell>
          <cell r="I5138">
            <v>219415</v>
          </cell>
          <cell r="J5138" t="str">
            <v>REPUESTO</v>
          </cell>
          <cell r="K5138" t="str">
            <v>EMPAQUE PEQUIEÑO</v>
          </cell>
          <cell r="L5138">
            <v>1</v>
          </cell>
          <cell r="M5138" t="str">
            <v>UNID.</v>
          </cell>
          <cell r="N5138" t="str">
            <v>TRACTO</v>
          </cell>
          <cell r="O5138">
            <v>0</v>
          </cell>
          <cell r="P5138" t="str">
            <v>M5</v>
          </cell>
          <cell r="Q5138" t="str">
            <v>J1</v>
          </cell>
          <cell r="R5138" t="str">
            <v>J8</v>
          </cell>
          <cell r="S5138" t="str">
            <v>ENTREGADO</v>
          </cell>
          <cell r="T5138">
            <v>42780</v>
          </cell>
          <cell r="U5138" t="str">
            <v>LOPEZ RUIZ WILBERTO</v>
          </cell>
          <cell r="V5138" t="str">
            <v>FLOREZ CONDORI  JOSE WILLIANS</v>
          </cell>
        </row>
        <row r="5139">
          <cell r="A5139">
            <v>5138</v>
          </cell>
          <cell r="B5139">
            <v>42780</v>
          </cell>
          <cell r="C5139" t="str">
            <v>FEBRERO</v>
          </cell>
          <cell r="D5139" t="str">
            <v>2017</v>
          </cell>
          <cell r="E5139">
            <v>1034</v>
          </cell>
          <cell r="F5139" t="str">
            <v>C9N-807</v>
          </cell>
          <cell r="G5139" t="str">
            <v>B4O-994</v>
          </cell>
          <cell r="H5139" t="str">
            <v>LAS BAMBAS</v>
          </cell>
          <cell r="I5139">
            <v>219415</v>
          </cell>
          <cell r="J5139" t="str">
            <v>REPUESTO</v>
          </cell>
          <cell r="K5139" t="str">
            <v>AGUA LIMPIA PARABRISA</v>
          </cell>
          <cell r="L5139">
            <v>1</v>
          </cell>
          <cell r="M5139" t="str">
            <v>GLNS.</v>
          </cell>
          <cell r="N5139" t="str">
            <v>TRACTO</v>
          </cell>
          <cell r="O5139">
            <v>0</v>
          </cell>
          <cell r="P5139" t="str">
            <v>M5</v>
          </cell>
          <cell r="Q5139" t="str">
            <v>J1</v>
          </cell>
          <cell r="R5139" t="str">
            <v>J8</v>
          </cell>
          <cell r="S5139" t="str">
            <v>ENTREGADO</v>
          </cell>
          <cell r="T5139">
            <v>42780</v>
          </cell>
          <cell r="U5139" t="str">
            <v>LOPEZ RUIZ WILBERTO</v>
          </cell>
          <cell r="V5139" t="str">
            <v>FLOREZ CONDORI  JOSE WILLIANS</v>
          </cell>
        </row>
        <row r="5140">
          <cell r="A5140">
            <v>5139</v>
          </cell>
          <cell r="B5140">
            <v>42780</v>
          </cell>
          <cell r="C5140" t="str">
            <v>FEBRERO</v>
          </cell>
          <cell r="D5140" t="str">
            <v>2017</v>
          </cell>
          <cell r="E5140">
            <v>1027</v>
          </cell>
          <cell r="F5140" t="str">
            <v>D6F-825</v>
          </cell>
          <cell r="G5140" t="str">
            <v>T2Y-992</v>
          </cell>
          <cell r="H5140" t="str">
            <v>LAS BAMBAS</v>
          </cell>
          <cell r="I5140">
            <v>192794</v>
          </cell>
          <cell r="J5140" t="str">
            <v>REPUESTO</v>
          </cell>
          <cell r="K5140" t="str">
            <v>FOCO DE 2 CONTACTO 12V</v>
          </cell>
          <cell r="L5140">
            <v>1</v>
          </cell>
          <cell r="M5140" t="str">
            <v>UNID.</v>
          </cell>
          <cell r="N5140" t="str">
            <v>TRACTO</v>
          </cell>
          <cell r="O5140">
            <v>0</v>
          </cell>
          <cell r="P5140" t="str">
            <v>E3</v>
          </cell>
          <cell r="Q5140" t="str">
            <v>J1</v>
          </cell>
          <cell r="R5140" t="str">
            <v>J8</v>
          </cell>
          <cell r="S5140" t="str">
            <v>ENTREGADO</v>
          </cell>
          <cell r="T5140">
            <v>42780</v>
          </cell>
          <cell r="U5140" t="str">
            <v>CONDORI CHURATA ALEX</v>
          </cell>
          <cell r="V5140" t="str">
            <v>FLOREZ CONDORI  JOSE WILLIANS</v>
          </cell>
        </row>
        <row r="5141">
          <cell r="A5141">
            <v>5140</v>
          </cell>
          <cell r="B5141">
            <v>42780</v>
          </cell>
          <cell r="C5141" t="str">
            <v>FEBRERO</v>
          </cell>
          <cell r="D5141" t="str">
            <v>2017</v>
          </cell>
          <cell r="E5141">
            <v>1026</v>
          </cell>
          <cell r="F5141" t="str">
            <v>D7V-714</v>
          </cell>
          <cell r="G5141" t="str">
            <v>F7M-971</v>
          </cell>
          <cell r="H5141" t="str">
            <v>LAS BAMBAS</v>
          </cell>
          <cell r="I5141">
            <v>57787</v>
          </cell>
          <cell r="J5141" t="str">
            <v>REPUESTO</v>
          </cell>
          <cell r="K5141" t="str">
            <v>KIT DE ACCESORIOS DE SERVO DE EMBRAGUE ( VOLVO)</v>
          </cell>
          <cell r="L5141">
            <v>1</v>
          </cell>
          <cell r="M5141" t="str">
            <v>UNID.</v>
          </cell>
          <cell r="N5141" t="str">
            <v>TRACTO</v>
          </cell>
          <cell r="O5141" t="e">
            <v>#VALUE!</v>
          </cell>
          <cell r="P5141" t="str">
            <v>M5</v>
          </cell>
          <cell r="Q5141" t="str">
            <v>J1</v>
          </cell>
          <cell r="R5141" t="str">
            <v>J8</v>
          </cell>
          <cell r="S5141" t="str">
            <v>ENTREGADO</v>
          </cell>
          <cell r="T5141" t="str">
            <v>ANULADO</v>
          </cell>
          <cell r="U5141" t="str">
            <v>LOPEZ RUIZ WILBERTO</v>
          </cell>
          <cell r="V5141" t="str">
            <v>FLOREZ CONDORI  JOSE WILLIANS</v>
          </cell>
        </row>
        <row r="5142">
          <cell r="A5142">
            <v>5141</v>
          </cell>
          <cell r="B5142">
            <v>42780</v>
          </cell>
          <cell r="C5142" t="str">
            <v>FEBRERO</v>
          </cell>
          <cell r="D5142" t="str">
            <v>2017</v>
          </cell>
          <cell r="E5142">
            <v>1026</v>
          </cell>
          <cell r="F5142" t="str">
            <v>D7V-714</v>
          </cell>
          <cell r="G5142" t="str">
            <v>F7M-971</v>
          </cell>
          <cell r="H5142" t="str">
            <v>LAS BAMBAS</v>
          </cell>
          <cell r="I5142">
            <v>57787</v>
          </cell>
          <cell r="J5142" t="str">
            <v>REPUESTO</v>
          </cell>
          <cell r="K5142" t="str">
            <v>BOMBIN DE ALTA DE PEDAL</v>
          </cell>
          <cell r="L5142">
            <v>1</v>
          </cell>
          <cell r="M5142" t="str">
            <v>UNID.</v>
          </cell>
          <cell r="N5142" t="str">
            <v>TRACTO</v>
          </cell>
          <cell r="O5142" t="e">
            <v>#VALUE!</v>
          </cell>
          <cell r="P5142" t="str">
            <v>M5</v>
          </cell>
          <cell r="Q5142" t="str">
            <v>J1</v>
          </cell>
          <cell r="R5142" t="str">
            <v>J8</v>
          </cell>
          <cell r="S5142" t="str">
            <v>ENTREGADO</v>
          </cell>
          <cell r="T5142" t="str">
            <v>ANULADO</v>
          </cell>
          <cell r="U5142" t="str">
            <v>LOPEZ RUIZ WILBERTO</v>
          </cell>
          <cell r="V5142" t="str">
            <v>FLOREZ CONDORI  JOSE WILLIANS</v>
          </cell>
        </row>
        <row r="5143">
          <cell r="A5143">
            <v>5142</v>
          </cell>
          <cell r="B5143">
            <v>42780</v>
          </cell>
          <cell r="C5143" t="str">
            <v>FEBRERO</v>
          </cell>
          <cell r="D5143" t="str">
            <v>2017</v>
          </cell>
          <cell r="E5143">
            <v>1026</v>
          </cell>
          <cell r="F5143" t="str">
            <v>D7V-714</v>
          </cell>
          <cell r="G5143" t="str">
            <v>F7M-971</v>
          </cell>
          <cell r="H5143" t="str">
            <v>LAS BAMBAS</v>
          </cell>
          <cell r="I5143">
            <v>57787</v>
          </cell>
          <cell r="J5143" t="str">
            <v>REPUESTO</v>
          </cell>
          <cell r="K5143" t="str">
            <v>MEDIDOR DE NIVEL DE ACEITE</v>
          </cell>
          <cell r="L5143">
            <v>1</v>
          </cell>
          <cell r="M5143" t="str">
            <v>UNID.</v>
          </cell>
          <cell r="N5143" t="str">
            <v>TRACTO</v>
          </cell>
          <cell r="O5143">
            <v>10</v>
          </cell>
          <cell r="P5143" t="str">
            <v>M5</v>
          </cell>
          <cell r="Q5143" t="str">
            <v>J1</v>
          </cell>
          <cell r="R5143" t="str">
            <v>J8</v>
          </cell>
          <cell r="S5143" t="str">
            <v>PENDIENTE</v>
          </cell>
          <cell r="T5143">
            <v>0</v>
          </cell>
          <cell r="U5143" t="str">
            <v>LOPEZ RUIZ WILBERTO</v>
          </cell>
          <cell r="V5143" t="str">
            <v>FLOREZ CONDORI  JOSE WILLIANS</v>
          </cell>
        </row>
        <row r="5144">
          <cell r="A5144">
            <v>5143</v>
          </cell>
          <cell r="B5144">
            <v>42780</v>
          </cell>
          <cell r="C5144" t="str">
            <v>FEBRERO</v>
          </cell>
          <cell r="D5144" t="str">
            <v>2017</v>
          </cell>
          <cell r="E5144">
            <v>1026</v>
          </cell>
          <cell r="F5144" t="str">
            <v>D7V-714</v>
          </cell>
          <cell r="G5144" t="str">
            <v>F7M-971</v>
          </cell>
          <cell r="H5144" t="str">
            <v>LAS BAMBAS</v>
          </cell>
          <cell r="I5144">
            <v>57787</v>
          </cell>
          <cell r="J5144" t="str">
            <v>REPUESTO</v>
          </cell>
          <cell r="K5144" t="str">
            <v>LIQUIDO PARA EMBRAGUE</v>
          </cell>
          <cell r="L5144">
            <v>1</v>
          </cell>
          <cell r="M5144" t="str">
            <v>UNID.</v>
          </cell>
          <cell r="N5144" t="str">
            <v>TRACTO</v>
          </cell>
          <cell r="O5144">
            <v>10</v>
          </cell>
          <cell r="P5144" t="str">
            <v>M5</v>
          </cell>
          <cell r="Q5144" t="str">
            <v>J1</v>
          </cell>
          <cell r="R5144" t="str">
            <v>J8</v>
          </cell>
          <cell r="S5144" t="str">
            <v>PENDIENTE</v>
          </cell>
          <cell r="T5144">
            <v>0</v>
          </cell>
          <cell r="U5144" t="str">
            <v>LOPEZ RUIZ WILBERTO</v>
          </cell>
          <cell r="V5144" t="str">
            <v>FLOREZ CONDORI  JOSE WILLIANS</v>
          </cell>
        </row>
        <row r="5145">
          <cell r="A5145">
            <v>5144</v>
          </cell>
          <cell r="B5145">
            <v>42780</v>
          </cell>
          <cell r="C5145" t="str">
            <v>FEBRERO</v>
          </cell>
          <cell r="D5145" t="str">
            <v>2017</v>
          </cell>
          <cell r="E5145">
            <v>1002</v>
          </cell>
          <cell r="F5145" t="str">
            <v>D3R-742</v>
          </cell>
          <cell r="G5145" t="str">
            <v>D2E-975</v>
          </cell>
          <cell r="H5145" t="str">
            <v>LAS BAMBAS</v>
          </cell>
          <cell r="I5145">
            <v>162071</v>
          </cell>
          <cell r="J5145" t="str">
            <v>REPUESTO</v>
          </cell>
          <cell r="K5145" t="str">
            <v>ESPARRAGO CON TUERCA  32</v>
          </cell>
          <cell r="L5145">
            <v>10</v>
          </cell>
          <cell r="M5145" t="str">
            <v>UNID.</v>
          </cell>
          <cell r="N5145" t="str">
            <v>CISTERNA</v>
          </cell>
          <cell r="O5145">
            <v>10</v>
          </cell>
          <cell r="P5145" t="str">
            <v>N1</v>
          </cell>
          <cell r="Q5145" t="str">
            <v>J1</v>
          </cell>
          <cell r="R5145" t="str">
            <v>J8</v>
          </cell>
          <cell r="S5145" t="str">
            <v>ENTREGADO</v>
          </cell>
          <cell r="T5145">
            <v>0</v>
          </cell>
          <cell r="U5145" t="str">
            <v>AGUILAR CCANTUTA WILLY</v>
          </cell>
          <cell r="V5145" t="str">
            <v>FLOREZ CONDORI  JOSE WILLIANS</v>
          </cell>
        </row>
        <row r="5146">
          <cell r="A5146">
            <v>5145</v>
          </cell>
          <cell r="B5146">
            <v>42780</v>
          </cell>
          <cell r="C5146" t="str">
            <v>FEBRERO</v>
          </cell>
          <cell r="D5146" t="str">
            <v>2017</v>
          </cell>
          <cell r="E5146">
            <v>1029</v>
          </cell>
          <cell r="F5146" t="str">
            <v>X2W-761</v>
          </cell>
          <cell r="G5146" t="str">
            <v>C5V-996</v>
          </cell>
          <cell r="H5146" t="str">
            <v>LAS BAMBAS</v>
          </cell>
          <cell r="I5146">
            <v>152928</v>
          </cell>
          <cell r="J5146" t="str">
            <v>REPUESTO</v>
          </cell>
          <cell r="K5146" t="str">
            <v>LLANTAS  REENCAUCHADAS   IDY</v>
          </cell>
          <cell r="L5146">
            <v>2</v>
          </cell>
          <cell r="M5146" t="str">
            <v>UNID.</v>
          </cell>
          <cell r="N5146" t="str">
            <v>TRACTO</v>
          </cell>
          <cell r="O5146">
            <v>10</v>
          </cell>
          <cell r="P5146" t="str">
            <v>N1</v>
          </cell>
          <cell r="Q5146" t="str">
            <v>J1</v>
          </cell>
          <cell r="R5146" t="str">
            <v>J8</v>
          </cell>
          <cell r="S5146" t="str">
            <v>ENTREGADO</v>
          </cell>
          <cell r="T5146">
            <v>0</v>
          </cell>
          <cell r="U5146" t="str">
            <v>AGUILAR CCANTUTA WILLY</v>
          </cell>
          <cell r="V5146" t="str">
            <v>FLOREZ CONDORI  JOSE WILLIANS</v>
          </cell>
        </row>
        <row r="5147">
          <cell r="A5147">
            <v>5146</v>
          </cell>
          <cell r="B5147">
            <v>42780</v>
          </cell>
          <cell r="C5147" t="str">
            <v>FEBRERO</v>
          </cell>
          <cell r="D5147" t="str">
            <v>2017</v>
          </cell>
          <cell r="E5147">
            <v>1029</v>
          </cell>
          <cell r="F5147" t="str">
            <v>X2W-761</v>
          </cell>
          <cell r="G5147" t="str">
            <v>C5V-996</v>
          </cell>
          <cell r="H5147" t="str">
            <v>LAS BAMBAS</v>
          </cell>
          <cell r="I5147">
            <v>152928</v>
          </cell>
          <cell r="J5147" t="str">
            <v>REPUESTO</v>
          </cell>
          <cell r="K5147" t="str">
            <v xml:space="preserve">ESPARRAGOS DE RUEDA CON TUERCA 33 </v>
          </cell>
          <cell r="L5147">
            <v>10</v>
          </cell>
          <cell r="M5147" t="str">
            <v>UNID.</v>
          </cell>
          <cell r="N5147" t="str">
            <v>TRACTO</v>
          </cell>
          <cell r="O5147" t="e">
            <v>#VALUE!</v>
          </cell>
          <cell r="P5147" t="str">
            <v>N1</v>
          </cell>
          <cell r="Q5147" t="str">
            <v>J1</v>
          </cell>
          <cell r="R5147" t="str">
            <v>J8</v>
          </cell>
          <cell r="S5147" t="str">
            <v>PENDIENTE</v>
          </cell>
          <cell r="T5147" t="str">
            <v>STOCK</v>
          </cell>
          <cell r="U5147" t="str">
            <v>AGUILAR CCANTUTA WILLY</v>
          </cell>
          <cell r="V5147" t="str">
            <v>FLOREZ CONDORI  JOSE WILLIANS</v>
          </cell>
        </row>
        <row r="5148">
          <cell r="A5148">
            <v>5147</v>
          </cell>
          <cell r="B5148">
            <v>42780</v>
          </cell>
          <cell r="C5148" t="str">
            <v>FEBRERO</v>
          </cell>
          <cell r="D5148" t="str">
            <v>2017</v>
          </cell>
          <cell r="E5148">
            <v>1029</v>
          </cell>
          <cell r="F5148" t="str">
            <v>X2W-761</v>
          </cell>
          <cell r="G5148" t="str">
            <v>C5V-996</v>
          </cell>
          <cell r="H5148" t="str">
            <v>LAS BAMBAS</v>
          </cell>
          <cell r="I5148">
            <v>152928</v>
          </cell>
          <cell r="J5148" t="str">
            <v>REPUESTO</v>
          </cell>
          <cell r="K5148" t="str">
            <v>RETEN DE BOCAMAZA</v>
          </cell>
          <cell r="L5148">
            <v>1</v>
          </cell>
          <cell r="M5148" t="str">
            <v>UNID.</v>
          </cell>
          <cell r="N5148" t="str">
            <v>TRACTO</v>
          </cell>
          <cell r="O5148" t="e">
            <v>#VALUE!</v>
          </cell>
          <cell r="P5148" t="str">
            <v>M9</v>
          </cell>
          <cell r="Q5148" t="str">
            <v>J1</v>
          </cell>
          <cell r="R5148" t="str">
            <v>J8</v>
          </cell>
          <cell r="S5148" t="str">
            <v>PENDIENTE</v>
          </cell>
          <cell r="T5148" t="str">
            <v>STOCK</v>
          </cell>
          <cell r="U5148" t="str">
            <v>POMA SALAZAR CIRO</v>
          </cell>
          <cell r="V5148" t="str">
            <v>FLOREZ CONDORI  JOSE WILLIANS</v>
          </cell>
        </row>
        <row r="5149">
          <cell r="A5149">
            <v>5148</v>
          </cell>
          <cell r="B5149">
            <v>42780</v>
          </cell>
          <cell r="C5149" t="str">
            <v>FEBRERO</v>
          </cell>
          <cell r="D5149" t="str">
            <v>2017</v>
          </cell>
          <cell r="E5149">
            <v>1029</v>
          </cell>
          <cell r="F5149" t="str">
            <v>X2W-761</v>
          </cell>
          <cell r="G5149" t="str">
            <v>C5V-996</v>
          </cell>
          <cell r="H5149" t="str">
            <v>LAS BAMBAS</v>
          </cell>
          <cell r="I5149">
            <v>152928</v>
          </cell>
          <cell r="J5149" t="str">
            <v>SERVICIO</v>
          </cell>
          <cell r="K5149" t="str">
            <v>SERVICIO DE RELLENADO DE BOCAMAZA DE RUEDA</v>
          </cell>
          <cell r="L5149">
            <v>1</v>
          </cell>
          <cell r="M5149" t="str">
            <v>UNID.</v>
          </cell>
          <cell r="N5149" t="str">
            <v>TRACTO</v>
          </cell>
          <cell r="O5149">
            <v>10</v>
          </cell>
          <cell r="P5149" t="str">
            <v>M9</v>
          </cell>
          <cell r="Q5149" t="str">
            <v>J1</v>
          </cell>
          <cell r="R5149" t="str">
            <v>J8</v>
          </cell>
          <cell r="S5149" t="str">
            <v>PENDIENTE</v>
          </cell>
          <cell r="T5149">
            <v>0</v>
          </cell>
          <cell r="U5149" t="str">
            <v>POMA SALAZAR CIRO</v>
          </cell>
          <cell r="V5149" t="str">
            <v>FLOREZ CONDORI  JOSE WILLIANS</v>
          </cell>
        </row>
        <row r="5150">
          <cell r="A5150">
            <v>5149</v>
          </cell>
          <cell r="B5150">
            <v>42780</v>
          </cell>
          <cell r="C5150" t="str">
            <v>FEBRERO</v>
          </cell>
          <cell r="D5150" t="str">
            <v>2017</v>
          </cell>
          <cell r="E5150">
            <v>1029</v>
          </cell>
          <cell r="F5150" t="str">
            <v>X2W-761</v>
          </cell>
          <cell r="G5150" t="str">
            <v>C5V-996</v>
          </cell>
          <cell r="H5150" t="str">
            <v>LAS BAMBAS</v>
          </cell>
          <cell r="I5150">
            <v>152928</v>
          </cell>
          <cell r="J5150" t="str">
            <v>REPUESTO</v>
          </cell>
          <cell r="K5150" t="str">
            <v>ARO DE NEUMATICOS DE TRACCION</v>
          </cell>
          <cell r="L5150">
            <v>2</v>
          </cell>
          <cell r="M5150" t="str">
            <v>UNID.</v>
          </cell>
          <cell r="N5150" t="str">
            <v>TRACTO</v>
          </cell>
          <cell r="O5150">
            <v>10</v>
          </cell>
          <cell r="P5150" t="str">
            <v>M9</v>
          </cell>
          <cell r="Q5150" t="str">
            <v>J1</v>
          </cell>
          <cell r="R5150" t="str">
            <v>J8</v>
          </cell>
          <cell r="S5150" t="str">
            <v>PENDIENTE</v>
          </cell>
          <cell r="T5150">
            <v>0</v>
          </cell>
          <cell r="U5150" t="str">
            <v>POMA SALAZAR CIRO</v>
          </cell>
          <cell r="V5150" t="str">
            <v>FLOREZ CONDORI  JOSE WILLIANS</v>
          </cell>
        </row>
        <row r="5151">
          <cell r="A5151">
            <v>5150</v>
          </cell>
          <cell r="B5151">
            <v>42780</v>
          </cell>
          <cell r="C5151" t="str">
            <v>FEBRERO</v>
          </cell>
          <cell r="D5151" t="str">
            <v>2017</v>
          </cell>
          <cell r="E5151">
            <v>1029</v>
          </cell>
          <cell r="F5151" t="str">
            <v>X2W-761</v>
          </cell>
          <cell r="G5151" t="str">
            <v>C5V-996</v>
          </cell>
          <cell r="H5151" t="str">
            <v>LAS BAMBAS</v>
          </cell>
          <cell r="I5151">
            <v>152928</v>
          </cell>
          <cell r="J5151" t="str">
            <v>REPUESTO</v>
          </cell>
          <cell r="K5151" t="str">
            <v>TAMBOR  DE FRENO DE TRACION</v>
          </cell>
          <cell r="L5151">
            <v>1</v>
          </cell>
          <cell r="M5151" t="str">
            <v>UNID.</v>
          </cell>
          <cell r="N5151" t="str">
            <v>TRACTO</v>
          </cell>
          <cell r="O5151">
            <v>10</v>
          </cell>
          <cell r="P5151" t="str">
            <v>M9</v>
          </cell>
          <cell r="Q5151" t="str">
            <v>J1</v>
          </cell>
          <cell r="R5151" t="str">
            <v>J8</v>
          </cell>
          <cell r="S5151" t="str">
            <v>PENDIENTE</v>
          </cell>
          <cell r="T5151">
            <v>0</v>
          </cell>
          <cell r="U5151" t="str">
            <v>POMA SALAZAR CIRO</v>
          </cell>
          <cell r="V5151" t="str">
            <v>FLOREZ CONDORI  JOSE WILLIANS</v>
          </cell>
        </row>
        <row r="5152">
          <cell r="A5152">
            <v>5151</v>
          </cell>
          <cell r="B5152">
            <v>42780</v>
          </cell>
          <cell r="C5152" t="str">
            <v>FEBRERO</v>
          </cell>
          <cell r="D5152" t="str">
            <v>2017</v>
          </cell>
          <cell r="E5152">
            <v>1029</v>
          </cell>
          <cell r="F5152" t="str">
            <v>X2W-761</v>
          </cell>
          <cell r="G5152" t="str">
            <v>C5V-996</v>
          </cell>
          <cell r="H5152" t="str">
            <v>LAS BAMBAS</v>
          </cell>
          <cell r="I5152">
            <v>152928</v>
          </cell>
          <cell r="J5152" t="str">
            <v>REPUESTO</v>
          </cell>
          <cell r="K5152" t="str">
            <v>CABLE CORRIENTE # 14</v>
          </cell>
          <cell r="L5152">
            <v>4</v>
          </cell>
          <cell r="M5152" t="str">
            <v>M</v>
          </cell>
          <cell r="N5152" t="str">
            <v>CISTERNA</v>
          </cell>
          <cell r="O5152">
            <v>0</v>
          </cell>
          <cell r="P5152" t="str">
            <v>E3</v>
          </cell>
          <cell r="Q5152" t="str">
            <v>J1</v>
          </cell>
          <cell r="R5152" t="str">
            <v>J8</v>
          </cell>
          <cell r="S5152" t="str">
            <v>ENTREGADO</v>
          </cell>
          <cell r="T5152">
            <v>42780</v>
          </cell>
          <cell r="U5152" t="str">
            <v>CONDORI CHURATA ALEX</v>
          </cell>
          <cell r="V5152" t="str">
            <v>FLOREZ CONDORI  JOSE WILLIANS</v>
          </cell>
        </row>
        <row r="5153">
          <cell r="A5153">
            <v>5152</v>
          </cell>
          <cell r="B5153">
            <v>42780</v>
          </cell>
          <cell r="C5153" t="str">
            <v>FEBRERO</v>
          </cell>
          <cell r="D5153" t="str">
            <v>2017</v>
          </cell>
          <cell r="E5153">
            <v>1040</v>
          </cell>
          <cell r="F5153" t="str">
            <v>X2W-762</v>
          </cell>
          <cell r="G5153" t="str">
            <v>C5V-998</v>
          </cell>
          <cell r="H5153" t="str">
            <v>LAS BAMBAS</v>
          </cell>
          <cell r="I5153">
            <v>165665</v>
          </cell>
          <cell r="J5153" t="str">
            <v>REPUESTO</v>
          </cell>
          <cell r="K5153" t="str">
            <v>FUSIBLE 125A</v>
          </cell>
          <cell r="L5153">
            <v>1</v>
          </cell>
          <cell r="M5153" t="str">
            <v>UNID.</v>
          </cell>
          <cell r="N5153" t="str">
            <v>TRACTO</v>
          </cell>
          <cell r="O5153">
            <v>0</v>
          </cell>
          <cell r="P5153" t="str">
            <v>E3</v>
          </cell>
          <cell r="Q5153" t="str">
            <v>J1</v>
          </cell>
          <cell r="R5153" t="str">
            <v>J8</v>
          </cell>
          <cell r="S5153" t="str">
            <v>ENTREGADO</v>
          </cell>
          <cell r="T5153">
            <v>42780</v>
          </cell>
          <cell r="U5153" t="str">
            <v>CONDORI CHURATA ALEX</v>
          </cell>
          <cell r="V5153" t="str">
            <v>FLOREZ CONDORI  JOSE WILLIANS</v>
          </cell>
        </row>
        <row r="5154">
          <cell r="A5154">
            <v>5153</v>
          </cell>
          <cell r="B5154">
            <v>42780</v>
          </cell>
          <cell r="C5154" t="str">
            <v>FEBRERO</v>
          </cell>
          <cell r="D5154" t="str">
            <v>2017</v>
          </cell>
          <cell r="E5154">
            <v>1034</v>
          </cell>
          <cell r="F5154" t="str">
            <v>C9N-807</v>
          </cell>
          <cell r="G5154" t="str">
            <v>B4O-994</v>
          </cell>
          <cell r="H5154" t="str">
            <v>LAS BAMBAS</v>
          </cell>
          <cell r="I5154">
            <v>219415</v>
          </cell>
          <cell r="J5154" t="str">
            <v>REPUESTO</v>
          </cell>
          <cell r="K5154" t="str">
            <v>FILTRO DE AIRE PRIMARIO</v>
          </cell>
          <cell r="L5154">
            <v>1</v>
          </cell>
          <cell r="M5154" t="str">
            <v>UNID.</v>
          </cell>
          <cell r="N5154" t="str">
            <v>TRACTO</v>
          </cell>
          <cell r="O5154">
            <v>0</v>
          </cell>
          <cell r="P5154" t="str">
            <v>M5</v>
          </cell>
          <cell r="Q5154" t="str">
            <v>J1</v>
          </cell>
          <cell r="R5154" t="str">
            <v>J8</v>
          </cell>
          <cell r="S5154" t="str">
            <v>ENTREGADO</v>
          </cell>
          <cell r="T5154">
            <v>42780</v>
          </cell>
          <cell r="U5154" t="str">
            <v>LOPEZ RUIZ WILBERTO</v>
          </cell>
          <cell r="V5154" t="str">
            <v>FLOREZ CONDORI  JOSE WILLIANS</v>
          </cell>
        </row>
        <row r="5155">
          <cell r="A5155">
            <v>5154</v>
          </cell>
          <cell r="B5155">
            <v>42780</v>
          </cell>
          <cell r="C5155" t="str">
            <v>FEBRERO</v>
          </cell>
          <cell r="D5155" t="str">
            <v>2017</v>
          </cell>
          <cell r="E5155">
            <v>1034</v>
          </cell>
          <cell r="F5155" t="str">
            <v>C9N-807</v>
          </cell>
          <cell r="G5155" t="str">
            <v>B4O-994</v>
          </cell>
          <cell r="H5155" t="str">
            <v>LAS BAMBAS</v>
          </cell>
          <cell r="I5155">
            <v>219415</v>
          </cell>
          <cell r="J5155" t="str">
            <v>REPUESTO</v>
          </cell>
          <cell r="K5155" t="str">
            <v>FILTRO DE AIRE SECUANDARIO</v>
          </cell>
          <cell r="L5155">
            <v>1</v>
          </cell>
          <cell r="M5155" t="str">
            <v>UNID.</v>
          </cell>
          <cell r="N5155" t="str">
            <v>TRACTO</v>
          </cell>
          <cell r="O5155">
            <v>10</v>
          </cell>
          <cell r="P5155" t="str">
            <v>M5</v>
          </cell>
          <cell r="Q5155" t="str">
            <v>J1</v>
          </cell>
          <cell r="R5155" t="str">
            <v>J8</v>
          </cell>
          <cell r="S5155" t="str">
            <v>PENDIENTE</v>
          </cell>
          <cell r="T5155">
            <v>0</v>
          </cell>
          <cell r="U5155" t="str">
            <v>LOPEZ RUIZ WILBERTO</v>
          </cell>
          <cell r="V5155" t="str">
            <v>FLOREZ CONDORI  JOSE WILLIANS</v>
          </cell>
        </row>
        <row r="5156">
          <cell r="A5156">
            <v>5155</v>
          </cell>
          <cell r="B5156">
            <v>42780</v>
          </cell>
          <cell r="C5156" t="str">
            <v>FEBRERO</v>
          </cell>
          <cell r="D5156" t="str">
            <v>2017</v>
          </cell>
          <cell r="E5156">
            <v>1029</v>
          </cell>
          <cell r="F5156" t="str">
            <v>X2W-761</v>
          </cell>
          <cell r="G5156" t="str">
            <v>C5V-996</v>
          </cell>
          <cell r="H5156" t="str">
            <v>LAS BAMBAS</v>
          </cell>
          <cell r="I5156">
            <v>152928</v>
          </cell>
          <cell r="J5156" t="str">
            <v>REPUESTO</v>
          </cell>
          <cell r="K5156" t="str">
            <v>LLANTA REENCAUCHADA IZB</v>
          </cell>
          <cell r="L5156">
            <v>1</v>
          </cell>
          <cell r="M5156" t="str">
            <v>UNID.</v>
          </cell>
          <cell r="N5156" t="str">
            <v>CISTERNA</v>
          </cell>
          <cell r="O5156">
            <v>0</v>
          </cell>
          <cell r="P5156" t="str">
            <v>N1</v>
          </cell>
          <cell r="Q5156" t="str">
            <v>J1</v>
          </cell>
          <cell r="R5156" t="str">
            <v>J8</v>
          </cell>
          <cell r="S5156" t="str">
            <v>ENTREGADO</v>
          </cell>
          <cell r="T5156">
            <v>42780</v>
          </cell>
          <cell r="U5156" t="str">
            <v>AGUILAR CCANTUTA WILLY</v>
          </cell>
          <cell r="V5156" t="str">
            <v>FLOREZ CONDORI  JOSE WILLIANS</v>
          </cell>
        </row>
        <row r="5157">
          <cell r="A5157">
            <v>5156</v>
          </cell>
          <cell r="B5157">
            <v>42780</v>
          </cell>
          <cell r="C5157" t="str">
            <v>FEBRERO</v>
          </cell>
          <cell r="D5157" t="str">
            <v>2017</v>
          </cell>
          <cell r="E5157">
            <v>1020</v>
          </cell>
          <cell r="F5157" t="str">
            <v>D3S-725</v>
          </cell>
          <cell r="G5157" t="str">
            <v>TBL-977</v>
          </cell>
          <cell r="H5157" t="str">
            <v>LAS BAMBAS</v>
          </cell>
          <cell r="I5157">
            <v>154037</v>
          </cell>
          <cell r="J5157" t="str">
            <v>REPUESTO</v>
          </cell>
          <cell r="K5157" t="str">
            <v>LLANTA REENCAUCHADA IZB</v>
          </cell>
          <cell r="L5157">
            <v>1</v>
          </cell>
          <cell r="M5157" t="str">
            <v>UNID.</v>
          </cell>
          <cell r="N5157" t="str">
            <v>CISTERNA</v>
          </cell>
          <cell r="O5157">
            <v>0</v>
          </cell>
          <cell r="P5157" t="str">
            <v>N1</v>
          </cell>
          <cell r="Q5157" t="str">
            <v>J1</v>
          </cell>
          <cell r="R5157" t="str">
            <v>J8</v>
          </cell>
          <cell r="S5157" t="str">
            <v>ENTREGADO</v>
          </cell>
          <cell r="T5157">
            <v>42780</v>
          </cell>
          <cell r="U5157" t="str">
            <v>AGUILAR CCANTUTA WILLY</v>
          </cell>
          <cell r="V5157" t="str">
            <v>FLOREZ CONDORI  JOSE WILLIANS</v>
          </cell>
        </row>
        <row r="5158">
          <cell r="A5158">
            <v>5157</v>
          </cell>
          <cell r="B5158">
            <v>42780</v>
          </cell>
          <cell r="C5158" t="str">
            <v>FEBRERO</v>
          </cell>
          <cell r="D5158" t="str">
            <v>2017</v>
          </cell>
          <cell r="E5158">
            <v>1036</v>
          </cell>
          <cell r="F5158" t="str">
            <v>D3S-767</v>
          </cell>
          <cell r="G5158" t="str">
            <v>B8L-973</v>
          </cell>
          <cell r="H5158" t="str">
            <v>LAS BAMBAS</v>
          </cell>
          <cell r="I5158">
            <v>193467</v>
          </cell>
          <cell r="J5158" t="str">
            <v>REPUESTO</v>
          </cell>
          <cell r="K5158" t="str">
            <v>GOBERNADOR  DE AIRE</v>
          </cell>
          <cell r="L5158">
            <v>1</v>
          </cell>
          <cell r="M5158" t="str">
            <v>UNID.</v>
          </cell>
          <cell r="N5158" t="str">
            <v>CISTERNA</v>
          </cell>
          <cell r="O5158">
            <v>0</v>
          </cell>
          <cell r="P5158" t="str">
            <v>M5</v>
          </cell>
          <cell r="Q5158" t="str">
            <v>J1</v>
          </cell>
          <cell r="R5158" t="str">
            <v>J8</v>
          </cell>
          <cell r="S5158" t="str">
            <v>ENTREGADO</v>
          </cell>
          <cell r="T5158">
            <v>42780</v>
          </cell>
          <cell r="U5158" t="str">
            <v>LOPEZ RUIZ WILBERTO</v>
          </cell>
          <cell r="V5158" t="str">
            <v>FLOREZ CONDORI  JOSE WILLIANS</v>
          </cell>
        </row>
        <row r="5159">
          <cell r="A5159">
            <v>5158</v>
          </cell>
          <cell r="B5159">
            <v>42780</v>
          </cell>
          <cell r="C5159" t="str">
            <v>FEBRERO</v>
          </cell>
          <cell r="D5159" t="str">
            <v>2017</v>
          </cell>
          <cell r="E5159">
            <v>1026</v>
          </cell>
          <cell r="F5159" t="str">
            <v>D7V-714</v>
          </cell>
          <cell r="G5159" t="str">
            <v>F7M-971</v>
          </cell>
          <cell r="H5159" t="str">
            <v>LAS BAMBAS</v>
          </cell>
          <cell r="I5159">
            <v>57787</v>
          </cell>
          <cell r="J5159" t="str">
            <v>REPUESTO</v>
          </cell>
          <cell r="K5159" t="str">
            <v>REPAIR KIT SERVO EMBRAGUE</v>
          </cell>
          <cell r="L5159">
            <v>1</v>
          </cell>
          <cell r="M5159" t="str">
            <v>UNID.</v>
          </cell>
          <cell r="N5159" t="str">
            <v>TRACTO</v>
          </cell>
          <cell r="O5159">
            <v>10</v>
          </cell>
          <cell r="P5159" t="str">
            <v>M5</v>
          </cell>
          <cell r="Q5159" t="str">
            <v>J1</v>
          </cell>
          <cell r="R5159" t="str">
            <v>J8</v>
          </cell>
          <cell r="S5159" t="str">
            <v>PENDIENTE</v>
          </cell>
          <cell r="T5159">
            <v>0</v>
          </cell>
          <cell r="U5159" t="str">
            <v>LOPEZ RUIZ WILBERTO</v>
          </cell>
          <cell r="V5159" t="str">
            <v>FLOREZ CONDORI  JOSE WILLIANS</v>
          </cell>
        </row>
        <row r="5160">
          <cell r="A5160">
            <v>5159</v>
          </cell>
          <cell r="B5160">
            <v>42780</v>
          </cell>
          <cell r="C5160" t="str">
            <v>FEBRERO</v>
          </cell>
          <cell r="D5160" t="str">
            <v>2017</v>
          </cell>
          <cell r="E5160">
            <v>1026</v>
          </cell>
          <cell r="F5160" t="str">
            <v>D7V-714</v>
          </cell>
          <cell r="G5160" t="str">
            <v>F7M-971</v>
          </cell>
          <cell r="H5160" t="str">
            <v>LAS BAMBAS</v>
          </cell>
          <cell r="I5160">
            <v>57787</v>
          </cell>
          <cell r="J5160" t="str">
            <v>REPUESTO</v>
          </cell>
          <cell r="K5160" t="str">
            <v>CILINDRO MAESTRO</v>
          </cell>
          <cell r="L5160">
            <v>1</v>
          </cell>
          <cell r="M5160" t="str">
            <v>UNID.</v>
          </cell>
          <cell r="N5160" t="str">
            <v>TRACTO</v>
          </cell>
          <cell r="O5160">
            <v>10</v>
          </cell>
          <cell r="P5160" t="str">
            <v>M5</v>
          </cell>
          <cell r="Q5160" t="str">
            <v>J1</v>
          </cell>
          <cell r="R5160" t="str">
            <v>J8</v>
          </cell>
          <cell r="S5160" t="str">
            <v>PENDIENTE</v>
          </cell>
          <cell r="T5160">
            <v>0</v>
          </cell>
          <cell r="U5160" t="str">
            <v>LOPEZ RUIZ WILBERTO</v>
          </cell>
          <cell r="V5160" t="str">
            <v>FLOREZ CONDORI  JOSE WILLIANS</v>
          </cell>
        </row>
        <row r="5161">
          <cell r="A5161">
            <v>5160</v>
          </cell>
          <cell r="B5161">
            <v>42780</v>
          </cell>
          <cell r="C5161" t="str">
            <v>FEBRERO</v>
          </cell>
          <cell r="D5161" t="str">
            <v>2017</v>
          </cell>
          <cell r="E5161">
            <v>1026</v>
          </cell>
          <cell r="F5161" t="str">
            <v>D7V-714</v>
          </cell>
          <cell r="G5161" t="str">
            <v>F7M-971</v>
          </cell>
          <cell r="H5161" t="str">
            <v>LAS BAMBAS</v>
          </cell>
          <cell r="I5161">
            <v>57787</v>
          </cell>
          <cell r="J5161" t="str">
            <v>REPUESTO</v>
          </cell>
          <cell r="K5161" t="str">
            <v>CASQUILLO</v>
          </cell>
          <cell r="L5161">
            <v>1</v>
          </cell>
          <cell r="M5161" t="str">
            <v>UNID.</v>
          </cell>
          <cell r="N5161" t="str">
            <v>TRACTO</v>
          </cell>
          <cell r="O5161">
            <v>10</v>
          </cell>
          <cell r="P5161" t="str">
            <v>M5</v>
          </cell>
          <cell r="Q5161" t="str">
            <v>J1</v>
          </cell>
          <cell r="R5161" t="str">
            <v>J8</v>
          </cell>
          <cell r="S5161" t="str">
            <v>PENDIENTE</v>
          </cell>
          <cell r="T5161">
            <v>0</v>
          </cell>
          <cell r="U5161" t="str">
            <v>LOPEZ RUIZ WILBERTO</v>
          </cell>
          <cell r="V5161" t="str">
            <v>FLOREZ CONDORI  JOSE WILLIANS</v>
          </cell>
        </row>
        <row r="5162">
          <cell r="A5162">
            <v>5161</v>
          </cell>
          <cell r="B5162">
            <v>42780</v>
          </cell>
          <cell r="C5162" t="str">
            <v>FEBRERO</v>
          </cell>
          <cell r="D5162" t="str">
            <v>2017</v>
          </cell>
          <cell r="E5162">
            <v>1042</v>
          </cell>
          <cell r="F5162" t="str">
            <v>D4T-927</v>
          </cell>
          <cell r="G5162" t="str">
            <v>B4Q-976</v>
          </cell>
          <cell r="H5162" t="str">
            <v>LAS BAMBAS</v>
          </cell>
          <cell r="I5162">
            <v>198374</v>
          </cell>
          <cell r="J5162" t="str">
            <v>REPUESTO</v>
          </cell>
          <cell r="K5162" t="str">
            <v>AGUA LIMPIA PARABRISA</v>
          </cell>
          <cell r="L5162">
            <v>1</v>
          </cell>
          <cell r="M5162" t="str">
            <v>UNID.</v>
          </cell>
          <cell r="N5162" t="str">
            <v>TRACTO</v>
          </cell>
          <cell r="O5162">
            <v>10</v>
          </cell>
          <cell r="P5162" t="str">
            <v>M5</v>
          </cell>
          <cell r="Q5162" t="str">
            <v>J1</v>
          </cell>
          <cell r="R5162" t="str">
            <v>J8</v>
          </cell>
          <cell r="S5162" t="str">
            <v>PENDIENTE</v>
          </cell>
          <cell r="T5162">
            <v>0</v>
          </cell>
          <cell r="U5162" t="str">
            <v>LOPEZ RUIZ WILBERTO</v>
          </cell>
          <cell r="V5162" t="str">
            <v>FLOREZ CONDORI  JOSE WILLIANS</v>
          </cell>
        </row>
        <row r="5163">
          <cell r="A5163">
            <v>5162</v>
          </cell>
          <cell r="B5163">
            <v>42780</v>
          </cell>
          <cell r="C5163" t="str">
            <v>FEBRERO</v>
          </cell>
          <cell r="D5163" t="str">
            <v>2017</v>
          </cell>
          <cell r="E5163">
            <v>1042</v>
          </cell>
          <cell r="F5163" t="str">
            <v>D4T-927</v>
          </cell>
          <cell r="G5163" t="str">
            <v>B4Q-976</v>
          </cell>
          <cell r="H5163" t="str">
            <v>LAS BAMBAS</v>
          </cell>
          <cell r="I5163">
            <v>198374</v>
          </cell>
          <cell r="J5163" t="str">
            <v>REPUESTO</v>
          </cell>
          <cell r="K5163" t="str">
            <v>REFRIGERANTE</v>
          </cell>
          <cell r="L5163">
            <v>1</v>
          </cell>
          <cell r="M5163" t="str">
            <v>UNID.</v>
          </cell>
          <cell r="N5163" t="str">
            <v>TRACTO</v>
          </cell>
          <cell r="O5163">
            <v>10</v>
          </cell>
          <cell r="P5163" t="str">
            <v>M5</v>
          </cell>
          <cell r="Q5163" t="str">
            <v>J1</v>
          </cell>
          <cell r="R5163" t="str">
            <v>J8</v>
          </cell>
          <cell r="S5163" t="str">
            <v>PENDIENTE</v>
          </cell>
          <cell r="T5163">
            <v>0</v>
          </cell>
          <cell r="U5163" t="str">
            <v>LOPEZ RUIZ WILBERTO</v>
          </cell>
          <cell r="V5163" t="str">
            <v>FLOREZ CONDORI  JOSE WILLIANS</v>
          </cell>
        </row>
        <row r="5164">
          <cell r="A5164">
            <v>5163</v>
          </cell>
          <cell r="B5164">
            <v>42780</v>
          </cell>
          <cell r="C5164" t="str">
            <v>FEBRERO</v>
          </cell>
          <cell r="D5164" t="str">
            <v>2017</v>
          </cell>
          <cell r="E5164">
            <v>200</v>
          </cell>
          <cell r="F5164" t="str">
            <v>TALLER</v>
          </cell>
          <cell r="G5164" t="str">
            <v>TALLER</v>
          </cell>
          <cell r="H5164" t="str">
            <v>TALLER</v>
          </cell>
          <cell r="I5164" t="str">
            <v>TALLER</v>
          </cell>
          <cell r="J5164" t="str">
            <v>REPUESTO</v>
          </cell>
          <cell r="K5164" t="str">
            <v>MANOMETRO DE OXIGENO</v>
          </cell>
          <cell r="L5164">
            <v>1</v>
          </cell>
          <cell r="M5164" t="str">
            <v>UNID.</v>
          </cell>
          <cell r="N5164" t="str">
            <v>TALLER</v>
          </cell>
          <cell r="O5164">
            <v>10</v>
          </cell>
          <cell r="P5164" t="str">
            <v>J6</v>
          </cell>
          <cell r="Q5164" t="str">
            <v>J1</v>
          </cell>
          <cell r="R5164" t="str">
            <v>J8</v>
          </cell>
          <cell r="S5164" t="str">
            <v>PENDIENTE</v>
          </cell>
          <cell r="T5164">
            <v>0</v>
          </cell>
          <cell r="U5164" t="str">
            <v>VILLANUEVA BEJAR  YHORDAN MICHEL</v>
          </cell>
          <cell r="V5164" t="str">
            <v>FLOREZ CONDORI  JOSE WILLIANS</v>
          </cell>
        </row>
        <row r="5165">
          <cell r="A5165">
            <v>5164</v>
          </cell>
          <cell r="B5165">
            <v>42780</v>
          </cell>
          <cell r="C5165" t="str">
            <v>FEBRERO</v>
          </cell>
          <cell r="D5165" t="str">
            <v>2017</v>
          </cell>
          <cell r="E5165">
            <v>200</v>
          </cell>
          <cell r="F5165" t="str">
            <v>TALLER</v>
          </cell>
          <cell r="G5165" t="str">
            <v>TALLER</v>
          </cell>
          <cell r="H5165" t="str">
            <v>TALLER</v>
          </cell>
          <cell r="I5165" t="str">
            <v>TALLER</v>
          </cell>
          <cell r="J5165" t="str">
            <v>REPUESTO</v>
          </cell>
          <cell r="K5165" t="str">
            <v>BOQUILLA DE OXICORTE NRO 01</v>
          </cell>
          <cell r="L5165">
            <v>1</v>
          </cell>
          <cell r="M5165" t="str">
            <v>UNID.</v>
          </cell>
          <cell r="N5165" t="str">
            <v>TALLER</v>
          </cell>
          <cell r="O5165">
            <v>10</v>
          </cell>
          <cell r="P5165" t="str">
            <v>J6</v>
          </cell>
          <cell r="Q5165" t="str">
            <v>J1</v>
          </cell>
          <cell r="R5165" t="str">
            <v>J8</v>
          </cell>
          <cell r="S5165" t="str">
            <v>PENDIENTE</v>
          </cell>
          <cell r="T5165">
            <v>0</v>
          </cell>
          <cell r="U5165" t="str">
            <v>VILLANUEVA BEJAR  YHORDAN MICHEL</v>
          </cell>
          <cell r="V5165" t="str">
            <v>FLOREZ CONDORI  JOSE WILLIANS</v>
          </cell>
        </row>
        <row r="5166">
          <cell r="A5166">
            <v>5165</v>
          </cell>
          <cell r="B5166">
            <v>42780</v>
          </cell>
          <cell r="C5166" t="str">
            <v>FEBRERO</v>
          </cell>
          <cell r="D5166" t="str">
            <v>2017</v>
          </cell>
          <cell r="E5166">
            <v>1042</v>
          </cell>
          <cell r="F5166" t="str">
            <v>D4T-927</v>
          </cell>
          <cell r="G5166" t="str">
            <v>B4Q-976</v>
          </cell>
          <cell r="H5166" t="str">
            <v>LAS BAMBAS</v>
          </cell>
          <cell r="I5166">
            <v>198374</v>
          </cell>
          <cell r="J5166" t="str">
            <v>REPUESTO</v>
          </cell>
          <cell r="K5166" t="str">
            <v>CLAXON</v>
          </cell>
          <cell r="L5166">
            <v>1</v>
          </cell>
          <cell r="M5166" t="str">
            <v>UNID.</v>
          </cell>
          <cell r="N5166" t="str">
            <v>TRACTO</v>
          </cell>
          <cell r="O5166">
            <v>10</v>
          </cell>
          <cell r="P5166" t="str">
            <v>E2</v>
          </cell>
          <cell r="Q5166" t="str">
            <v>J1</v>
          </cell>
          <cell r="R5166" t="str">
            <v>J8</v>
          </cell>
          <cell r="S5166" t="str">
            <v>PENDIENTE</v>
          </cell>
          <cell r="T5166">
            <v>0</v>
          </cell>
          <cell r="U5166" t="str">
            <v>YUCA BELLIDO BORIS YERSY</v>
          </cell>
          <cell r="V5166" t="str">
            <v>FLOREZ CONDORI  JOSE WILLIANS</v>
          </cell>
        </row>
        <row r="5167">
          <cell r="A5167">
            <v>5166</v>
          </cell>
          <cell r="B5167">
            <v>42781</v>
          </cell>
          <cell r="C5167" t="str">
            <v>FEBRERO</v>
          </cell>
          <cell r="D5167" t="str">
            <v>2017</v>
          </cell>
          <cell r="E5167">
            <v>200</v>
          </cell>
          <cell r="F5167" t="str">
            <v>TALLER</v>
          </cell>
          <cell r="G5167" t="str">
            <v>TALLER</v>
          </cell>
          <cell r="H5167" t="str">
            <v>TALLER</v>
          </cell>
          <cell r="I5167" t="str">
            <v>TALLER</v>
          </cell>
          <cell r="J5167" t="str">
            <v>MATERIALES</v>
          </cell>
          <cell r="K5167" t="str">
            <v>SOLDIMIX</v>
          </cell>
          <cell r="L5167">
            <v>1</v>
          </cell>
          <cell r="M5167" t="str">
            <v>UNID.</v>
          </cell>
          <cell r="N5167" t="str">
            <v>TALLER</v>
          </cell>
          <cell r="O5167">
            <v>9</v>
          </cell>
          <cell r="P5167" t="str">
            <v>E2</v>
          </cell>
          <cell r="Q5167" t="str">
            <v>J1</v>
          </cell>
          <cell r="R5167" t="str">
            <v>J8</v>
          </cell>
          <cell r="S5167" t="str">
            <v>PENDIENTE</v>
          </cell>
          <cell r="T5167">
            <v>0</v>
          </cell>
          <cell r="U5167" t="str">
            <v>YUCA BELLIDO BORIS YERSY</v>
          </cell>
          <cell r="V5167" t="str">
            <v>FLOREZ CONDORI  JOSE WILLIANS</v>
          </cell>
        </row>
        <row r="5168">
          <cell r="A5168">
            <v>5167</v>
          </cell>
          <cell r="B5168">
            <v>42781</v>
          </cell>
          <cell r="C5168" t="str">
            <v>FEBRERO</v>
          </cell>
          <cell r="D5168" t="str">
            <v>2017</v>
          </cell>
          <cell r="E5168">
            <v>200</v>
          </cell>
          <cell r="F5168" t="str">
            <v>TALLER</v>
          </cell>
          <cell r="G5168" t="str">
            <v>TALLER</v>
          </cell>
          <cell r="H5168" t="str">
            <v>TALLER</v>
          </cell>
          <cell r="I5168" t="str">
            <v>TALLER</v>
          </cell>
          <cell r="J5168" t="str">
            <v>MATERIALES</v>
          </cell>
          <cell r="K5168" t="str">
            <v>TRIZ</v>
          </cell>
          <cell r="L5168">
            <v>1</v>
          </cell>
          <cell r="M5168" t="str">
            <v>UNID.</v>
          </cell>
          <cell r="N5168" t="str">
            <v>TALLER</v>
          </cell>
          <cell r="O5168">
            <v>9</v>
          </cell>
          <cell r="P5168" t="str">
            <v>E2</v>
          </cell>
          <cell r="Q5168" t="str">
            <v>J1</v>
          </cell>
          <cell r="R5168" t="str">
            <v>J8</v>
          </cell>
          <cell r="S5168" t="str">
            <v>PENDIENTE</v>
          </cell>
          <cell r="T5168">
            <v>0</v>
          </cell>
          <cell r="U5168" t="str">
            <v>YUCA BELLIDO BORIS YERSY</v>
          </cell>
          <cell r="V5168" t="str">
            <v>FLOREZ CONDORI  JOSE WILLIANS</v>
          </cell>
        </row>
        <row r="5169">
          <cell r="A5169">
            <v>5168</v>
          </cell>
          <cell r="B5169">
            <v>42781</v>
          </cell>
          <cell r="C5169" t="str">
            <v>FEBRERO</v>
          </cell>
          <cell r="D5169" t="str">
            <v>2017</v>
          </cell>
          <cell r="E5169">
            <v>1026</v>
          </cell>
          <cell r="F5169" t="str">
            <v>D7V-714</v>
          </cell>
          <cell r="G5169" t="str">
            <v>F7M-971</v>
          </cell>
          <cell r="H5169" t="str">
            <v>LAS BAMBAS</v>
          </cell>
          <cell r="I5169">
            <v>57787</v>
          </cell>
          <cell r="J5169" t="str">
            <v>REPUESTO</v>
          </cell>
          <cell r="K5169" t="str">
            <v>AGUA LIMPIA PARABRISA</v>
          </cell>
          <cell r="L5169">
            <v>1</v>
          </cell>
          <cell r="M5169" t="str">
            <v>GLNS.</v>
          </cell>
          <cell r="N5169" t="str">
            <v>TRACTO</v>
          </cell>
          <cell r="O5169">
            <v>9</v>
          </cell>
          <cell r="P5169" t="str">
            <v>M5</v>
          </cell>
          <cell r="Q5169" t="str">
            <v>J1</v>
          </cell>
          <cell r="R5169" t="str">
            <v>J8</v>
          </cell>
          <cell r="S5169" t="str">
            <v>PENDIENTE</v>
          </cell>
          <cell r="T5169">
            <v>0</v>
          </cell>
          <cell r="U5169" t="str">
            <v>LOPEZ RUIZ WILBERTO</v>
          </cell>
          <cell r="V5169" t="str">
            <v>FLOREZ CONDORI  JOSE WILLIANS</v>
          </cell>
        </row>
        <row r="5170">
          <cell r="A5170">
            <v>5169</v>
          </cell>
          <cell r="B5170">
            <v>42781</v>
          </cell>
          <cell r="C5170" t="str">
            <v>FEBRERO</v>
          </cell>
          <cell r="D5170" t="str">
            <v>2017</v>
          </cell>
          <cell r="E5170">
            <v>1043</v>
          </cell>
          <cell r="F5170" t="str">
            <v>ABQ-703</v>
          </cell>
          <cell r="G5170" t="str">
            <v>D0Z-994</v>
          </cell>
          <cell r="H5170" t="str">
            <v>LAS BAMBAS</v>
          </cell>
          <cell r="I5170">
            <v>111799</v>
          </cell>
          <cell r="J5170" t="str">
            <v>REPUESTO</v>
          </cell>
          <cell r="K5170" t="str">
            <v>FOCO 9066</v>
          </cell>
          <cell r="L5170">
            <v>1</v>
          </cell>
          <cell r="M5170" t="str">
            <v>UNID.</v>
          </cell>
          <cell r="N5170" t="str">
            <v>TRACTO</v>
          </cell>
          <cell r="O5170">
            <v>9</v>
          </cell>
          <cell r="P5170" t="str">
            <v>E2</v>
          </cell>
          <cell r="Q5170" t="str">
            <v>J1</v>
          </cell>
          <cell r="R5170" t="str">
            <v>J8</v>
          </cell>
          <cell r="S5170" t="str">
            <v>PENDIENTE</v>
          </cell>
          <cell r="T5170">
            <v>0</v>
          </cell>
          <cell r="U5170" t="str">
            <v>YUCA BELLIDO BORIS YERSY</v>
          </cell>
          <cell r="V5170" t="str">
            <v>FLOREZ CONDORI  JOSE WILLIANS</v>
          </cell>
        </row>
        <row r="5171">
          <cell r="A5171">
            <v>5170</v>
          </cell>
          <cell r="B5171">
            <v>42781</v>
          </cell>
          <cell r="C5171" t="str">
            <v>FEBRERO</v>
          </cell>
          <cell r="D5171" t="str">
            <v>2017</v>
          </cell>
          <cell r="E5171">
            <v>1041</v>
          </cell>
          <cell r="F5171" t="str">
            <v>D3O-742</v>
          </cell>
          <cell r="G5171" t="str">
            <v>B8L-971</v>
          </cell>
          <cell r="H5171" t="str">
            <v>LAS BAMBAS</v>
          </cell>
          <cell r="I5171">
            <v>193449</v>
          </cell>
          <cell r="J5171" t="str">
            <v>REPUESTO</v>
          </cell>
          <cell r="K5171" t="str">
            <v>SOLDADURA SUPERCITO 5/32</v>
          </cell>
          <cell r="L5171">
            <v>1</v>
          </cell>
          <cell r="M5171" t="str">
            <v>KG.</v>
          </cell>
          <cell r="N5171" t="str">
            <v>CISTERNA</v>
          </cell>
          <cell r="O5171">
            <v>9</v>
          </cell>
          <cell r="P5171" t="str">
            <v>S5</v>
          </cell>
          <cell r="Q5171" t="str">
            <v>J1</v>
          </cell>
          <cell r="R5171" t="str">
            <v>J8</v>
          </cell>
          <cell r="S5171" t="str">
            <v>PENDIENTE</v>
          </cell>
          <cell r="T5171">
            <v>0</v>
          </cell>
          <cell r="U5171" t="str">
            <v>HUAMAN MOZO LEONARDO</v>
          </cell>
          <cell r="V5171" t="str">
            <v>FLOREZ CONDORI  JOSE WILLIANS</v>
          </cell>
        </row>
        <row r="5172">
          <cell r="A5172">
            <v>5171</v>
          </cell>
          <cell r="B5172">
            <v>42781</v>
          </cell>
          <cell r="C5172" t="str">
            <v>FEBRERO</v>
          </cell>
          <cell r="D5172" t="str">
            <v>2017</v>
          </cell>
          <cell r="E5172">
            <v>1041</v>
          </cell>
          <cell r="F5172" t="str">
            <v>D3O-742</v>
          </cell>
          <cell r="G5172" t="str">
            <v>B8L-971</v>
          </cell>
          <cell r="H5172" t="str">
            <v>LAS BAMBAS</v>
          </cell>
          <cell r="I5172">
            <v>193449</v>
          </cell>
          <cell r="J5172" t="str">
            <v>REPUESTO</v>
          </cell>
          <cell r="K5172" t="str">
            <v>SOLDAURA CELLOCOR 1/8</v>
          </cell>
          <cell r="L5172">
            <v>1</v>
          </cell>
          <cell r="M5172" t="str">
            <v>KG.</v>
          </cell>
          <cell r="N5172" t="str">
            <v>CISTERNA</v>
          </cell>
          <cell r="O5172">
            <v>9</v>
          </cell>
          <cell r="P5172" t="str">
            <v>S5</v>
          </cell>
          <cell r="Q5172" t="str">
            <v>J1</v>
          </cell>
          <cell r="R5172" t="str">
            <v>J8</v>
          </cell>
          <cell r="S5172" t="str">
            <v>PENDIENTE</v>
          </cell>
          <cell r="T5172">
            <v>0</v>
          </cell>
          <cell r="U5172" t="str">
            <v>HUAMAN MOZO LEONARDO</v>
          </cell>
          <cell r="V5172" t="str">
            <v>FLOREZ CONDORI  JOSE WILLIANS</v>
          </cell>
        </row>
        <row r="5173">
          <cell r="A5173">
            <v>5172</v>
          </cell>
          <cell r="B5173">
            <v>42781</v>
          </cell>
          <cell r="C5173" t="str">
            <v>FEBRERO</v>
          </cell>
          <cell r="D5173" t="str">
            <v>2017</v>
          </cell>
          <cell r="E5173">
            <v>1031</v>
          </cell>
          <cell r="F5173" t="str">
            <v>C5R-896</v>
          </cell>
          <cell r="G5173" t="str">
            <v>A0U-977</v>
          </cell>
          <cell r="H5173" t="str">
            <v>LAS BAMBAS</v>
          </cell>
          <cell r="I5173">
            <v>218990</v>
          </cell>
          <cell r="J5173" t="str">
            <v>REPUESTO</v>
          </cell>
          <cell r="K5173" t="str">
            <v>FILTRO COMBUSTIBLE DE VALVULA</v>
          </cell>
          <cell r="L5173">
            <v>1</v>
          </cell>
          <cell r="M5173" t="str">
            <v>UNID.</v>
          </cell>
          <cell r="N5173" t="str">
            <v>TRACTO</v>
          </cell>
          <cell r="O5173">
            <v>9</v>
          </cell>
          <cell r="P5173" t="str">
            <v>M5</v>
          </cell>
          <cell r="Q5173" t="str">
            <v>J1</v>
          </cell>
          <cell r="R5173" t="str">
            <v>J8</v>
          </cell>
          <cell r="S5173" t="str">
            <v>PENDIENTE</v>
          </cell>
          <cell r="T5173">
            <v>0</v>
          </cell>
          <cell r="U5173" t="str">
            <v>LOPEZ RUIZ WILBERTO</v>
          </cell>
          <cell r="V5173" t="str">
            <v>FLOREZ CONDORI  JOSE WILLIANS</v>
          </cell>
        </row>
        <row r="5174">
          <cell r="A5174">
            <v>5173</v>
          </cell>
          <cell r="B5174">
            <v>42781</v>
          </cell>
          <cell r="C5174" t="str">
            <v>FEBRERO</v>
          </cell>
          <cell r="D5174" t="str">
            <v>2017</v>
          </cell>
          <cell r="E5174">
            <v>1031</v>
          </cell>
          <cell r="F5174" t="str">
            <v>C5R-896</v>
          </cell>
          <cell r="G5174" t="str">
            <v>A0U-977</v>
          </cell>
          <cell r="H5174" t="str">
            <v>LAS BAMBAS</v>
          </cell>
          <cell r="I5174">
            <v>218990</v>
          </cell>
          <cell r="J5174" t="str">
            <v>REPUESTO</v>
          </cell>
          <cell r="K5174" t="str">
            <v>FILTRO DE COMBUSTIBLE PEQUEÑO</v>
          </cell>
          <cell r="L5174">
            <v>1</v>
          </cell>
          <cell r="M5174" t="str">
            <v>UNID.</v>
          </cell>
          <cell r="N5174" t="str">
            <v>TRACTO</v>
          </cell>
          <cell r="O5174">
            <v>9</v>
          </cell>
          <cell r="P5174" t="str">
            <v>M5</v>
          </cell>
          <cell r="Q5174" t="str">
            <v>J1</v>
          </cell>
          <cell r="R5174" t="str">
            <v>J8</v>
          </cell>
          <cell r="S5174" t="str">
            <v>PENDIENTE</v>
          </cell>
          <cell r="T5174">
            <v>0</v>
          </cell>
          <cell r="U5174" t="str">
            <v>LOPEZ RUIZ WILBERTO</v>
          </cell>
          <cell r="V5174" t="str">
            <v>FLOREZ CONDORI  JOSE WILLIANS</v>
          </cell>
        </row>
        <row r="5175">
          <cell r="A5175">
            <v>5174</v>
          </cell>
          <cell r="B5175">
            <v>42781</v>
          </cell>
          <cell r="C5175" t="str">
            <v>FEBRERO</v>
          </cell>
          <cell r="D5175" t="str">
            <v>2017</v>
          </cell>
          <cell r="E5175">
            <v>1045</v>
          </cell>
          <cell r="F5175" t="str">
            <v>X2W-765</v>
          </cell>
          <cell r="G5175" t="str">
            <v>C5V-993</v>
          </cell>
          <cell r="H5175" t="str">
            <v>LAS BAMBAS</v>
          </cell>
          <cell r="I5175">
            <v>165541</v>
          </cell>
          <cell r="J5175" t="str">
            <v>REPUESTO</v>
          </cell>
          <cell r="K5175" t="str">
            <v>FOCO 2 CONTACTO 12V</v>
          </cell>
          <cell r="L5175">
            <v>1</v>
          </cell>
          <cell r="M5175" t="str">
            <v>UNID.</v>
          </cell>
          <cell r="N5175" t="str">
            <v>TRACTO</v>
          </cell>
          <cell r="O5175">
            <v>9</v>
          </cell>
          <cell r="P5175" t="str">
            <v>E3</v>
          </cell>
          <cell r="Q5175" t="str">
            <v>J1</v>
          </cell>
          <cell r="R5175" t="str">
            <v>J8</v>
          </cell>
          <cell r="S5175" t="str">
            <v>PENDIENTE</v>
          </cell>
          <cell r="T5175">
            <v>0</v>
          </cell>
          <cell r="U5175" t="str">
            <v>CONDORI CHURATA ALEX</v>
          </cell>
          <cell r="V5175" t="str">
            <v>FLOREZ CONDORI  JOSE WILLIANS</v>
          </cell>
        </row>
        <row r="5176">
          <cell r="A5176">
            <v>5175</v>
          </cell>
          <cell r="B5176">
            <v>42781</v>
          </cell>
          <cell r="C5176" t="str">
            <v>FEBRERO</v>
          </cell>
          <cell r="D5176" t="str">
            <v>2017</v>
          </cell>
          <cell r="E5176">
            <v>1040</v>
          </cell>
          <cell r="F5176" t="str">
            <v>X2W-762</v>
          </cell>
          <cell r="G5176" t="str">
            <v>C5V-998</v>
          </cell>
          <cell r="H5176" t="str">
            <v>LAS BAMBAS</v>
          </cell>
          <cell r="I5176">
            <v>165665</v>
          </cell>
          <cell r="J5176" t="str">
            <v>REPUESTO</v>
          </cell>
          <cell r="K5176" t="str">
            <v>FOCO 2 CONTACTO 12V</v>
          </cell>
          <cell r="L5176">
            <v>1</v>
          </cell>
          <cell r="M5176" t="str">
            <v>UNID.</v>
          </cell>
          <cell r="N5176" t="str">
            <v>TRACTO</v>
          </cell>
          <cell r="O5176">
            <v>9</v>
          </cell>
          <cell r="P5176" t="str">
            <v>E2</v>
          </cell>
          <cell r="Q5176" t="str">
            <v>J1</v>
          </cell>
          <cell r="R5176" t="str">
            <v>J8</v>
          </cell>
          <cell r="S5176" t="str">
            <v>PENDIENTE</v>
          </cell>
          <cell r="T5176">
            <v>0</v>
          </cell>
          <cell r="U5176" t="str">
            <v>YUCA BELLIDO BORIS YERSY</v>
          </cell>
          <cell r="V5176" t="str">
            <v>FLOREZ CONDORI  JOSE WILLIANS</v>
          </cell>
        </row>
        <row r="5177">
          <cell r="A5177">
            <v>5176</v>
          </cell>
          <cell r="B5177">
            <v>42781</v>
          </cell>
          <cell r="C5177" t="str">
            <v>FEBRERO</v>
          </cell>
          <cell r="D5177" t="str">
            <v>2017</v>
          </cell>
          <cell r="E5177">
            <v>1040</v>
          </cell>
          <cell r="F5177" t="str">
            <v>X2W-762</v>
          </cell>
          <cell r="G5177" t="str">
            <v>C5V-998</v>
          </cell>
          <cell r="H5177" t="str">
            <v>LAS BAMBAS</v>
          </cell>
          <cell r="I5177">
            <v>165665</v>
          </cell>
          <cell r="J5177" t="str">
            <v>REPUESTO</v>
          </cell>
          <cell r="K5177" t="str">
            <v>FARO REDONDO PEQUEÑO LATERAL</v>
          </cell>
          <cell r="L5177">
            <v>1</v>
          </cell>
          <cell r="M5177" t="str">
            <v>UNID.</v>
          </cell>
          <cell r="N5177" t="str">
            <v>CISTERNA</v>
          </cell>
          <cell r="O5177">
            <v>9</v>
          </cell>
          <cell r="P5177" t="str">
            <v>E2</v>
          </cell>
          <cell r="Q5177" t="str">
            <v>J1</v>
          </cell>
          <cell r="R5177" t="str">
            <v>J8</v>
          </cell>
          <cell r="S5177" t="str">
            <v>PENDIENTE</v>
          </cell>
          <cell r="T5177">
            <v>0</v>
          </cell>
          <cell r="U5177" t="str">
            <v>YUCA BELLIDO BORIS YERSY</v>
          </cell>
          <cell r="V5177" t="str">
            <v>FLOREZ CONDORI  JOSE WILLIANS</v>
          </cell>
        </row>
        <row r="5178">
          <cell r="A5178">
            <v>5177</v>
          </cell>
          <cell r="B5178">
            <v>42781</v>
          </cell>
          <cell r="C5178" t="str">
            <v>FEBRERO</v>
          </cell>
          <cell r="D5178" t="str">
            <v>2017</v>
          </cell>
          <cell r="E5178">
            <v>1046</v>
          </cell>
          <cell r="F5178" t="str">
            <v>X2W-759</v>
          </cell>
          <cell r="G5178" t="str">
            <v>C5V-999</v>
          </cell>
          <cell r="H5178" t="str">
            <v>LAS BAMBAS</v>
          </cell>
          <cell r="I5178">
            <v>161401</v>
          </cell>
          <cell r="J5178" t="str">
            <v>REPUESTO</v>
          </cell>
          <cell r="K5178" t="str">
            <v>FOCOS LAGRIMAS</v>
          </cell>
          <cell r="L5178">
            <v>2</v>
          </cell>
          <cell r="M5178" t="str">
            <v>UNID.</v>
          </cell>
          <cell r="N5178" t="str">
            <v>TRACTO</v>
          </cell>
          <cell r="O5178">
            <v>9</v>
          </cell>
          <cell r="P5178" t="str">
            <v>E2</v>
          </cell>
          <cell r="Q5178" t="str">
            <v>J1</v>
          </cell>
          <cell r="R5178" t="str">
            <v>J6</v>
          </cell>
          <cell r="S5178" t="str">
            <v>PENDIENTE</v>
          </cell>
          <cell r="T5178">
            <v>0</v>
          </cell>
          <cell r="U5178" t="str">
            <v>YUCA BELLIDO BORIS YERSY</v>
          </cell>
          <cell r="V5178" t="str">
            <v>FLOREZ CONDORI  JOSE WILLIANS</v>
          </cell>
        </row>
        <row r="5179">
          <cell r="A5179">
            <v>5178</v>
          </cell>
          <cell r="B5179">
            <v>42781</v>
          </cell>
          <cell r="C5179" t="str">
            <v>FEBRERO</v>
          </cell>
          <cell r="D5179" t="str">
            <v>2017</v>
          </cell>
          <cell r="E5179">
            <v>200</v>
          </cell>
          <cell r="F5179" t="str">
            <v>TALLER</v>
          </cell>
          <cell r="G5179" t="str">
            <v>TALLER</v>
          </cell>
          <cell r="H5179" t="str">
            <v>TALLER</v>
          </cell>
          <cell r="I5179" t="str">
            <v>TALLER</v>
          </cell>
          <cell r="J5179" t="str">
            <v>REPUESTO</v>
          </cell>
          <cell r="K5179" t="str">
            <v>CALAMINAS</v>
          </cell>
          <cell r="L5179">
            <v>5</v>
          </cell>
          <cell r="M5179" t="str">
            <v>UNID.</v>
          </cell>
          <cell r="N5179" t="str">
            <v>TALLER</v>
          </cell>
          <cell r="O5179">
            <v>9</v>
          </cell>
          <cell r="P5179" t="str">
            <v>J1</v>
          </cell>
          <cell r="Q5179" t="str">
            <v>J1</v>
          </cell>
          <cell r="R5179" t="str">
            <v>J4</v>
          </cell>
          <cell r="S5179" t="str">
            <v>PENDIENTE</v>
          </cell>
          <cell r="T5179">
            <v>0</v>
          </cell>
          <cell r="U5179" t="str">
            <v>FLOREZ CONDORI  JOSE WILLIANS</v>
          </cell>
          <cell r="V5179" t="str">
            <v>FLOREZ CONDORI  JOSE WILLIANS</v>
          </cell>
        </row>
        <row r="5180">
          <cell r="A5180">
            <v>5179</v>
          </cell>
          <cell r="B5180">
            <v>42781</v>
          </cell>
          <cell r="C5180" t="str">
            <v>FEBRERO</v>
          </cell>
          <cell r="D5180" t="str">
            <v>2017</v>
          </cell>
          <cell r="E5180">
            <v>200</v>
          </cell>
          <cell r="F5180" t="str">
            <v>TALLER</v>
          </cell>
          <cell r="G5180" t="str">
            <v>TALLER</v>
          </cell>
          <cell r="H5180" t="str">
            <v>TALLER</v>
          </cell>
          <cell r="I5180" t="str">
            <v>TALLER</v>
          </cell>
          <cell r="J5180" t="str">
            <v>REPUESTO</v>
          </cell>
          <cell r="K5180" t="str">
            <v>PERNOS AUTORROSCANTES 3/4</v>
          </cell>
          <cell r="L5180">
            <v>100</v>
          </cell>
          <cell r="M5180" t="str">
            <v>UNID.</v>
          </cell>
          <cell r="N5180" t="str">
            <v>TALLER</v>
          </cell>
          <cell r="O5180">
            <v>9</v>
          </cell>
          <cell r="P5180" t="str">
            <v>J1</v>
          </cell>
          <cell r="Q5180" t="str">
            <v>J1</v>
          </cell>
          <cell r="R5180" t="str">
            <v>J2</v>
          </cell>
          <cell r="S5180" t="str">
            <v>PENDIENTE</v>
          </cell>
          <cell r="T5180">
            <v>0</v>
          </cell>
          <cell r="U5180" t="str">
            <v>FLOREZ CONDORI  JOSE WILLIANS</v>
          </cell>
          <cell r="V5180" t="str">
            <v>FLOREZ CONDORI  JOSE WILLIANS</v>
          </cell>
        </row>
        <row r="5181">
          <cell r="A5181">
            <v>5180</v>
          </cell>
          <cell r="B5181">
            <v>42781</v>
          </cell>
          <cell r="C5181" t="str">
            <v>FEBRERO</v>
          </cell>
          <cell r="D5181" t="str">
            <v>2017</v>
          </cell>
          <cell r="E5181">
            <v>1045</v>
          </cell>
          <cell r="F5181" t="str">
            <v>X2W-765</v>
          </cell>
          <cell r="G5181" t="str">
            <v>C5V-993</v>
          </cell>
          <cell r="H5181" t="str">
            <v>LAS BAMBAS</v>
          </cell>
          <cell r="I5181">
            <v>165541</v>
          </cell>
          <cell r="J5181" t="str">
            <v>REPUESTO</v>
          </cell>
          <cell r="K5181" t="str">
            <v>ACEITE DE CAJA DE DIRECCION</v>
          </cell>
          <cell r="L5181">
            <v>1</v>
          </cell>
          <cell r="M5181" t="str">
            <v>GLNS.</v>
          </cell>
          <cell r="N5181" t="str">
            <v>TRACTO</v>
          </cell>
          <cell r="O5181">
            <v>9</v>
          </cell>
          <cell r="P5181" t="str">
            <v>M10</v>
          </cell>
          <cell r="Q5181" t="str">
            <v>J1</v>
          </cell>
          <cell r="R5181" t="str">
            <v>J8</v>
          </cell>
          <cell r="S5181" t="str">
            <v>PENDIENTE</v>
          </cell>
          <cell r="T5181">
            <v>0</v>
          </cell>
          <cell r="U5181" t="str">
            <v>MAMANI SANTOS BLADIMIR</v>
          </cell>
          <cell r="V5181" t="str">
            <v>FLOREZ CONDORI  JOSE WILLIANS</v>
          </cell>
        </row>
        <row r="5182">
          <cell r="A5182">
            <v>5181</v>
          </cell>
          <cell r="B5182">
            <v>42781</v>
          </cell>
          <cell r="C5182" t="str">
            <v>FEBRERO</v>
          </cell>
          <cell r="D5182" t="str">
            <v>2017</v>
          </cell>
          <cell r="E5182">
            <v>1047</v>
          </cell>
          <cell r="F5182" t="str">
            <v>D3R-791</v>
          </cell>
          <cell r="G5182" t="str">
            <v>B1M-993</v>
          </cell>
          <cell r="H5182" t="str">
            <v>LAS BAMBAS</v>
          </cell>
          <cell r="I5182">
            <v>147927</v>
          </cell>
          <cell r="J5182" t="str">
            <v>REPUESTO</v>
          </cell>
          <cell r="K5182" t="str">
            <v>TECLA DE ELEVALUNA LH</v>
          </cell>
          <cell r="L5182">
            <v>1</v>
          </cell>
          <cell r="M5182" t="str">
            <v>UNID.</v>
          </cell>
          <cell r="N5182" t="str">
            <v>TRACTO</v>
          </cell>
          <cell r="O5182">
            <v>9</v>
          </cell>
          <cell r="P5182" t="str">
            <v>E2</v>
          </cell>
          <cell r="Q5182" t="str">
            <v>J1</v>
          </cell>
          <cell r="R5182" t="str">
            <v>J8</v>
          </cell>
          <cell r="S5182" t="str">
            <v>PENDIENTE</v>
          </cell>
          <cell r="T5182">
            <v>0</v>
          </cell>
          <cell r="U5182" t="str">
            <v>YUCA BELLIDO BORIS YERSY</v>
          </cell>
          <cell r="V5182" t="str">
            <v>FLOREZ CONDORI  JOSE WILLIANS</v>
          </cell>
        </row>
        <row r="5183">
          <cell r="A5183">
            <v>5182</v>
          </cell>
          <cell r="B5183">
            <v>42781</v>
          </cell>
          <cell r="C5183" t="str">
            <v>FEBRERO</v>
          </cell>
          <cell r="D5183" t="str">
            <v>2017</v>
          </cell>
          <cell r="E5183">
            <v>1047</v>
          </cell>
          <cell r="F5183" t="str">
            <v>D3R-791</v>
          </cell>
          <cell r="G5183" t="str">
            <v>B1M-993</v>
          </cell>
          <cell r="H5183" t="str">
            <v>LAS BAMBAS</v>
          </cell>
          <cell r="I5183">
            <v>147927</v>
          </cell>
          <cell r="J5183" t="str">
            <v>REPUESTO</v>
          </cell>
          <cell r="K5183" t="str">
            <v>MINIFUSIBLE DE 20A</v>
          </cell>
          <cell r="L5183">
            <v>1</v>
          </cell>
          <cell r="M5183" t="str">
            <v>UNID.</v>
          </cell>
          <cell r="N5183" t="str">
            <v>TRACTO</v>
          </cell>
          <cell r="O5183">
            <v>9</v>
          </cell>
          <cell r="P5183" t="str">
            <v>E2</v>
          </cell>
          <cell r="Q5183" t="str">
            <v>J1</v>
          </cell>
          <cell r="R5183" t="str">
            <v>J8</v>
          </cell>
          <cell r="S5183" t="str">
            <v>PENDIENTE</v>
          </cell>
          <cell r="T5183">
            <v>0</v>
          </cell>
          <cell r="U5183" t="str">
            <v>YUCA BELLIDO BORIS YERSY</v>
          </cell>
          <cell r="V5183" t="str">
            <v>FLOREZ CONDORI  JOSE WILLIANS</v>
          </cell>
        </row>
        <row r="5184">
          <cell r="A5184">
            <v>5183</v>
          </cell>
          <cell r="B5184">
            <v>42781</v>
          </cell>
          <cell r="C5184" t="str">
            <v>FEBRERO</v>
          </cell>
          <cell r="D5184" t="str">
            <v>2017</v>
          </cell>
          <cell r="E5184">
            <v>1051</v>
          </cell>
          <cell r="F5184" t="str">
            <v>AAN-801</v>
          </cell>
          <cell r="G5184" t="str">
            <v>CAMIONETA</v>
          </cell>
          <cell r="H5184" t="str">
            <v>LAS BAMBAS</v>
          </cell>
          <cell r="I5184">
            <v>126838</v>
          </cell>
          <cell r="J5184" t="str">
            <v>REPUESTO</v>
          </cell>
          <cell r="K5184" t="str">
            <v>CABLE NRO. 14</v>
          </cell>
          <cell r="L5184">
            <v>8</v>
          </cell>
          <cell r="M5184" t="str">
            <v>M</v>
          </cell>
          <cell r="N5184" t="str">
            <v>CAMIONETA</v>
          </cell>
          <cell r="O5184">
            <v>9</v>
          </cell>
          <cell r="P5184" t="str">
            <v>E3</v>
          </cell>
          <cell r="Q5184" t="str">
            <v>J1</v>
          </cell>
          <cell r="R5184" t="str">
            <v>J6</v>
          </cell>
          <cell r="S5184" t="str">
            <v>PENDIENTE</v>
          </cell>
          <cell r="T5184">
            <v>0</v>
          </cell>
          <cell r="U5184" t="str">
            <v>CONDORI CHURATA ALEX</v>
          </cell>
          <cell r="V5184" t="str">
            <v>FLOREZ CONDORI  JOSE WILLIANS</v>
          </cell>
        </row>
        <row r="5185">
          <cell r="A5185">
            <v>5184</v>
          </cell>
          <cell r="B5185">
            <v>42781</v>
          </cell>
          <cell r="C5185" t="str">
            <v>FEBRERO</v>
          </cell>
          <cell r="D5185" t="str">
            <v>2017</v>
          </cell>
          <cell r="E5185">
            <v>1049</v>
          </cell>
          <cell r="F5185" t="str">
            <v>D3P-747</v>
          </cell>
          <cell r="G5185" t="str">
            <v>A0T-985</v>
          </cell>
          <cell r="H5185" t="str">
            <v>LAS BAMBAS</v>
          </cell>
          <cell r="I5185">
            <v>194280</v>
          </cell>
          <cell r="J5185" t="str">
            <v>REPUESTO</v>
          </cell>
          <cell r="K5185" t="str">
            <v>MANGUERA DE AIRE ACORDEON AZUL</v>
          </cell>
          <cell r="L5185">
            <v>1</v>
          </cell>
          <cell r="M5185" t="str">
            <v>UNID.</v>
          </cell>
          <cell r="N5185" t="str">
            <v>TRACTO</v>
          </cell>
          <cell r="O5185">
            <v>9</v>
          </cell>
          <cell r="P5185" t="str">
            <v>M5</v>
          </cell>
          <cell r="Q5185" t="str">
            <v>J1</v>
          </cell>
          <cell r="R5185" t="str">
            <v>J8</v>
          </cell>
          <cell r="S5185" t="str">
            <v>PENDIENTE</v>
          </cell>
          <cell r="T5185">
            <v>0</v>
          </cell>
          <cell r="U5185" t="str">
            <v>LOPEZ RUIZ WILBERTO</v>
          </cell>
          <cell r="V5185" t="str">
            <v>FLOREZ CONDORI  JOSE WILLIANS</v>
          </cell>
        </row>
        <row r="5186">
          <cell r="A5186">
            <v>5185</v>
          </cell>
          <cell r="B5186">
            <v>42781</v>
          </cell>
          <cell r="C5186" t="str">
            <v>FEBRERO</v>
          </cell>
          <cell r="D5186" t="str">
            <v>2017</v>
          </cell>
          <cell r="E5186">
            <v>1049</v>
          </cell>
          <cell r="F5186" t="str">
            <v>D3P-747</v>
          </cell>
          <cell r="G5186" t="str">
            <v>A0T-985</v>
          </cell>
          <cell r="H5186" t="str">
            <v>LAS BAMBAS</v>
          </cell>
          <cell r="I5186">
            <v>194280</v>
          </cell>
          <cell r="J5186" t="str">
            <v>REPUESTO</v>
          </cell>
          <cell r="K5186" t="str">
            <v>MANGUERA DE AIRE ACORDEON ROJA</v>
          </cell>
          <cell r="L5186">
            <v>1</v>
          </cell>
          <cell r="M5186" t="str">
            <v>UNID.</v>
          </cell>
          <cell r="N5186" t="str">
            <v>CISTERNA</v>
          </cell>
          <cell r="O5186">
            <v>9</v>
          </cell>
          <cell r="P5186" t="str">
            <v>M5</v>
          </cell>
          <cell r="Q5186" t="str">
            <v>J1</v>
          </cell>
          <cell r="R5186" t="str">
            <v>J8</v>
          </cell>
          <cell r="S5186" t="str">
            <v>PENDIENTE</v>
          </cell>
          <cell r="T5186">
            <v>0</v>
          </cell>
          <cell r="U5186" t="str">
            <v>LOPEZ RUIZ WILBERTO</v>
          </cell>
          <cell r="V5186" t="str">
            <v>FLOREZ CONDORI  JOSE WILLIANS</v>
          </cell>
        </row>
        <row r="5187">
          <cell r="A5187">
            <v>5186</v>
          </cell>
          <cell r="B5187">
            <v>42781</v>
          </cell>
          <cell r="C5187" t="str">
            <v>FEBRERO</v>
          </cell>
          <cell r="D5187" t="str">
            <v>2017</v>
          </cell>
          <cell r="E5187">
            <v>1049</v>
          </cell>
          <cell r="F5187" t="str">
            <v>D3P-747</v>
          </cell>
          <cell r="G5187" t="str">
            <v>A0T-985</v>
          </cell>
          <cell r="H5187" t="str">
            <v>LAS BAMBAS</v>
          </cell>
          <cell r="I5187">
            <v>194280</v>
          </cell>
          <cell r="J5187" t="str">
            <v>REPUESTO</v>
          </cell>
          <cell r="K5187" t="str">
            <v>AGUA LIMPIA PARABRISA</v>
          </cell>
          <cell r="L5187">
            <v>1</v>
          </cell>
          <cell r="M5187" t="str">
            <v>GLNS.</v>
          </cell>
          <cell r="N5187" t="str">
            <v>TRACTO</v>
          </cell>
          <cell r="O5187">
            <v>9</v>
          </cell>
          <cell r="P5187" t="str">
            <v>M5</v>
          </cell>
          <cell r="Q5187" t="str">
            <v>J1</v>
          </cell>
          <cell r="R5187" t="str">
            <v>J8</v>
          </cell>
          <cell r="S5187" t="str">
            <v>PENDIENTE</v>
          </cell>
          <cell r="T5187">
            <v>0</v>
          </cell>
          <cell r="U5187" t="str">
            <v>LOPEZ RUIZ WILBERTO</v>
          </cell>
          <cell r="V5187" t="str">
            <v>FLOREZ CONDORI  JOSE WILLIANS</v>
          </cell>
        </row>
        <row r="5188">
          <cell r="A5188">
            <v>5187</v>
          </cell>
          <cell r="B5188">
            <v>42781</v>
          </cell>
          <cell r="C5188" t="str">
            <v>FEBRERO</v>
          </cell>
          <cell r="D5188" t="str">
            <v>2017</v>
          </cell>
          <cell r="E5188">
            <v>1045</v>
          </cell>
          <cell r="F5188" t="str">
            <v>X2W-765</v>
          </cell>
          <cell r="G5188" t="str">
            <v>C5V-993</v>
          </cell>
          <cell r="H5188" t="str">
            <v>LAS BAMBAS</v>
          </cell>
          <cell r="I5188">
            <v>165541</v>
          </cell>
          <cell r="J5188" t="str">
            <v>REPUESTO</v>
          </cell>
          <cell r="K5188" t="str">
            <v>RETEN PARA CARRETA</v>
          </cell>
          <cell r="L5188">
            <v>1</v>
          </cell>
          <cell r="M5188" t="str">
            <v>UNID.</v>
          </cell>
          <cell r="N5188" t="str">
            <v>CISTERNA</v>
          </cell>
          <cell r="O5188">
            <v>9</v>
          </cell>
          <cell r="P5188" t="str">
            <v>M10</v>
          </cell>
          <cell r="Q5188" t="str">
            <v>J1</v>
          </cell>
          <cell r="R5188" t="str">
            <v>J8</v>
          </cell>
          <cell r="S5188" t="str">
            <v>PENDIENTE</v>
          </cell>
          <cell r="T5188">
            <v>0</v>
          </cell>
          <cell r="U5188" t="str">
            <v>MAMANI SANTOS BLADIMIR</v>
          </cell>
          <cell r="V5188" t="str">
            <v>FLOREZ CONDORI  JOSE WILLIANS</v>
          </cell>
        </row>
        <row r="5189">
          <cell r="A5189">
            <v>5188</v>
          </cell>
          <cell r="B5189">
            <v>42781</v>
          </cell>
          <cell r="C5189" t="str">
            <v>FEBRERO</v>
          </cell>
          <cell r="D5189" t="str">
            <v>2017</v>
          </cell>
          <cell r="E5189">
            <v>1045</v>
          </cell>
          <cell r="F5189" t="str">
            <v>X2W-765</v>
          </cell>
          <cell r="G5189" t="str">
            <v>C5V-993</v>
          </cell>
          <cell r="H5189" t="str">
            <v>LAS BAMBAS</v>
          </cell>
          <cell r="I5189">
            <v>165541</v>
          </cell>
          <cell r="J5189" t="str">
            <v>REPUESTO</v>
          </cell>
          <cell r="K5189" t="str">
            <v>SILICONA GRAY</v>
          </cell>
          <cell r="L5189">
            <v>1</v>
          </cell>
          <cell r="M5189" t="str">
            <v>UNID.</v>
          </cell>
          <cell r="N5189" t="str">
            <v>CISTERNA</v>
          </cell>
          <cell r="O5189">
            <v>9</v>
          </cell>
          <cell r="P5189" t="str">
            <v>M10</v>
          </cell>
          <cell r="Q5189" t="str">
            <v>J1</v>
          </cell>
          <cell r="R5189" t="str">
            <v>J8</v>
          </cell>
          <cell r="S5189" t="str">
            <v>PENDIENTE</v>
          </cell>
          <cell r="T5189">
            <v>0</v>
          </cell>
          <cell r="U5189" t="str">
            <v>MAMANI SANTOS BLADIMIR</v>
          </cell>
          <cell r="V5189" t="str">
            <v>FLOREZ CONDORI  JOSE WILLIANS</v>
          </cell>
        </row>
        <row r="5190">
          <cell r="A5190">
            <v>5189</v>
          </cell>
          <cell r="B5190">
            <v>42781</v>
          </cell>
          <cell r="C5190" t="str">
            <v>FEBRERO</v>
          </cell>
          <cell r="D5190" t="str">
            <v>2017</v>
          </cell>
          <cell r="E5190">
            <v>1045</v>
          </cell>
          <cell r="F5190" t="str">
            <v>X2W-765</v>
          </cell>
          <cell r="G5190" t="str">
            <v>C5V-993</v>
          </cell>
          <cell r="H5190" t="str">
            <v>LAS BAMBAS</v>
          </cell>
          <cell r="I5190">
            <v>165541</v>
          </cell>
          <cell r="J5190" t="str">
            <v>REPUESTO</v>
          </cell>
          <cell r="K5190" t="str">
            <v>ZAPATA</v>
          </cell>
          <cell r="L5190">
            <v>1</v>
          </cell>
          <cell r="M5190" t="str">
            <v>UNID.</v>
          </cell>
          <cell r="N5190" t="str">
            <v>CISTERNA</v>
          </cell>
          <cell r="O5190">
            <v>9</v>
          </cell>
          <cell r="P5190" t="str">
            <v>M10</v>
          </cell>
          <cell r="Q5190" t="str">
            <v>J1</v>
          </cell>
          <cell r="R5190" t="str">
            <v>J8</v>
          </cell>
          <cell r="S5190" t="str">
            <v>PENDIENTE</v>
          </cell>
          <cell r="T5190">
            <v>0</v>
          </cell>
          <cell r="U5190" t="str">
            <v>MAMANI SANTOS BLADIMIR</v>
          </cell>
          <cell r="V5190" t="str">
            <v>FLOREZ CONDORI  JOSE WILLIANS</v>
          </cell>
        </row>
        <row r="5191">
          <cell r="A5191">
            <v>5190</v>
          </cell>
          <cell r="B5191">
            <v>42781</v>
          </cell>
          <cell r="C5191" t="str">
            <v>FEBRERO</v>
          </cell>
          <cell r="D5191" t="str">
            <v>2017</v>
          </cell>
          <cell r="E5191">
            <v>1044</v>
          </cell>
          <cell r="F5191" t="str">
            <v>D3P-730</v>
          </cell>
          <cell r="G5191" t="str">
            <v>TBM-980</v>
          </cell>
          <cell r="H5191" t="str">
            <v>LAS BAMBAS</v>
          </cell>
          <cell r="I5191">
            <v>113704</v>
          </cell>
          <cell r="J5191" t="str">
            <v>SERVICIO</v>
          </cell>
          <cell r="K5191" t="str">
            <v>SERVICIO DE REPARACION DE RADIADOR</v>
          </cell>
          <cell r="L5191">
            <v>1</v>
          </cell>
          <cell r="M5191" t="str">
            <v>UNID.</v>
          </cell>
          <cell r="N5191" t="str">
            <v>TRACTO</v>
          </cell>
          <cell r="O5191">
            <v>9</v>
          </cell>
          <cell r="P5191" t="str">
            <v>M8</v>
          </cell>
          <cell r="Q5191" t="str">
            <v>J1</v>
          </cell>
          <cell r="R5191" t="str">
            <v>J8</v>
          </cell>
          <cell r="S5191" t="str">
            <v>PENDIENTE</v>
          </cell>
          <cell r="T5191">
            <v>0</v>
          </cell>
          <cell r="U5191" t="str">
            <v>VARILLAS GAGO  OSCAR ALBERTO</v>
          </cell>
          <cell r="V5191" t="str">
            <v>FLOREZ CONDORI  JOSE WILLIANS</v>
          </cell>
        </row>
        <row r="5192">
          <cell r="A5192">
            <v>5191</v>
          </cell>
          <cell r="B5192">
            <v>42781</v>
          </cell>
          <cell r="C5192" t="str">
            <v>FEBRERO</v>
          </cell>
          <cell r="D5192" t="str">
            <v>2017</v>
          </cell>
          <cell r="E5192">
            <v>1044</v>
          </cell>
          <cell r="F5192" t="str">
            <v>D3P-730</v>
          </cell>
          <cell r="G5192" t="str">
            <v>TBM-980</v>
          </cell>
          <cell r="H5192" t="str">
            <v>LAS BAMBAS</v>
          </cell>
          <cell r="I5192">
            <v>113704</v>
          </cell>
          <cell r="J5192" t="str">
            <v>REPUESTO</v>
          </cell>
          <cell r="K5192" t="str">
            <v>REFRIGERANTE</v>
          </cell>
          <cell r="L5192">
            <v>10</v>
          </cell>
          <cell r="M5192" t="str">
            <v>GLNS.</v>
          </cell>
          <cell r="N5192" t="str">
            <v>TRACTO</v>
          </cell>
          <cell r="O5192">
            <v>9</v>
          </cell>
          <cell r="P5192" t="str">
            <v>M8</v>
          </cell>
          <cell r="Q5192" t="str">
            <v>J1</v>
          </cell>
          <cell r="R5192" t="str">
            <v>J8</v>
          </cell>
          <cell r="S5192" t="str">
            <v>PENDIENTE</v>
          </cell>
          <cell r="T5192">
            <v>0</v>
          </cell>
          <cell r="U5192" t="str">
            <v>VARILLAS GAGO  OSCAR ALBERTO</v>
          </cell>
          <cell r="V5192" t="str">
            <v>FLOREZ CONDORI  JOSE WILLIANS</v>
          </cell>
        </row>
        <row r="5193">
          <cell r="A5193">
            <v>5192</v>
          </cell>
          <cell r="B5193">
            <v>42781</v>
          </cell>
          <cell r="C5193" t="str">
            <v>FEBRERO</v>
          </cell>
          <cell r="D5193" t="str">
            <v>2017</v>
          </cell>
          <cell r="E5193">
            <v>1044</v>
          </cell>
          <cell r="F5193" t="str">
            <v>D3P-730</v>
          </cell>
          <cell r="G5193" t="str">
            <v>TBM-980</v>
          </cell>
          <cell r="H5193" t="str">
            <v>LAS BAMBAS</v>
          </cell>
          <cell r="I5193">
            <v>113704</v>
          </cell>
          <cell r="J5193" t="str">
            <v>REPUESTO</v>
          </cell>
          <cell r="K5193" t="str">
            <v>PERNO DE 5/16 X 1 1/2"</v>
          </cell>
          <cell r="L5193">
            <v>4</v>
          </cell>
          <cell r="M5193" t="str">
            <v>UNID.</v>
          </cell>
          <cell r="N5193" t="str">
            <v>TRACTO</v>
          </cell>
          <cell r="O5193">
            <v>9</v>
          </cell>
          <cell r="P5193" t="str">
            <v>M8</v>
          </cell>
          <cell r="Q5193" t="str">
            <v>J1</v>
          </cell>
          <cell r="R5193" t="str">
            <v>J8</v>
          </cell>
          <cell r="S5193" t="str">
            <v>PENDIENTE</v>
          </cell>
          <cell r="T5193">
            <v>0</v>
          </cell>
          <cell r="U5193" t="str">
            <v>VARILLAS GAGO  OSCAR ALBERTO</v>
          </cell>
          <cell r="V5193" t="str">
            <v>FLOREZ CONDORI  JOSE WILLIANS</v>
          </cell>
        </row>
        <row r="5194">
          <cell r="A5194">
            <v>5193</v>
          </cell>
          <cell r="B5194">
            <v>42781</v>
          </cell>
          <cell r="C5194" t="str">
            <v>FEBRERO</v>
          </cell>
          <cell r="D5194" t="str">
            <v>2017</v>
          </cell>
          <cell r="E5194">
            <v>1044</v>
          </cell>
          <cell r="F5194" t="str">
            <v>D3P-730</v>
          </cell>
          <cell r="G5194" t="str">
            <v>TBM-980</v>
          </cell>
          <cell r="H5194" t="str">
            <v>LAS BAMBAS</v>
          </cell>
          <cell r="I5194">
            <v>113704</v>
          </cell>
          <cell r="J5194" t="str">
            <v>REPUESTO</v>
          </cell>
          <cell r="K5194" t="str">
            <v>TUERCA SEGURA DE 5/16</v>
          </cell>
          <cell r="L5194">
            <v>4</v>
          </cell>
          <cell r="M5194" t="str">
            <v>UNID.</v>
          </cell>
          <cell r="N5194" t="str">
            <v>TRACTO</v>
          </cell>
          <cell r="O5194">
            <v>9</v>
          </cell>
          <cell r="P5194" t="str">
            <v>M8</v>
          </cell>
          <cell r="Q5194" t="str">
            <v>J1</v>
          </cell>
          <cell r="R5194" t="str">
            <v>J8</v>
          </cell>
          <cell r="S5194" t="str">
            <v>PENDIENTE</v>
          </cell>
          <cell r="T5194">
            <v>0</v>
          </cell>
          <cell r="U5194" t="str">
            <v>VARILLAS GAGO  OSCAR ALBERTO</v>
          </cell>
          <cell r="V5194" t="str">
            <v>FLOREZ CONDORI  JOSE WILLIANS</v>
          </cell>
        </row>
        <row r="5195">
          <cell r="A5195">
            <v>5194</v>
          </cell>
          <cell r="B5195">
            <v>42781</v>
          </cell>
          <cell r="C5195" t="str">
            <v>FEBRERO</v>
          </cell>
          <cell r="D5195" t="str">
            <v>2017</v>
          </cell>
          <cell r="E5195">
            <v>1044</v>
          </cell>
          <cell r="F5195" t="str">
            <v>D3P-730</v>
          </cell>
          <cell r="G5195" t="str">
            <v>TBM-980</v>
          </cell>
          <cell r="H5195" t="str">
            <v>LAS BAMBAS</v>
          </cell>
          <cell r="I5195">
            <v>113704</v>
          </cell>
          <cell r="J5195" t="str">
            <v>REPUESTO</v>
          </cell>
          <cell r="K5195" t="str">
            <v>ARANDELA PLANA</v>
          </cell>
          <cell r="L5195">
            <v>4</v>
          </cell>
          <cell r="M5195" t="str">
            <v>UNID.</v>
          </cell>
          <cell r="N5195" t="str">
            <v>TRACTO</v>
          </cell>
          <cell r="O5195">
            <v>9</v>
          </cell>
          <cell r="P5195" t="str">
            <v>M8</v>
          </cell>
          <cell r="Q5195" t="str">
            <v>J1</v>
          </cell>
          <cell r="R5195" t="str">
            <v>J8</v>
          </cell>
          <cell r="S5195" t="str">
            <v>PENDIENTE</v>
          </cell>
          <cell r="T5195">
            <v>0</v>
          </cell>
          <cell r="U5195" t="str">
            <v>VARILLAS GAGO  OSCAR ALBERTO</v>
          </cell>
          <cell r="V5195" t="str">
            <v>FLOREZ CONDORI  JOSE WILLIANS</v>
          </cell>
        </row>
        <row r="5196">
          <cell r="A5196">
            <v>5195</v>
          </cell>
          <cell r="B5196">
            <v>42781</v>
          </cell>
          <cell r="C5196" t="str">
            <v>FEBRERO</v>
          </cell>
          <cell r="D5196" t="str">
            <v>2017</v>
          </cell>
          <cell r="E5196">
            <v>200</v>
          </cell>
          <cell r="F5196" t="str">
            <v>TALLER</v>
          </cell>
          <cell r="G5196" t="str">
            <v>TALLER</v>
          </cell>
          <cell r="H5196" t="str">
            <v>TALLER</v>
          </cell>
          <cell r="I5196" t="str">
            <v>TALLER</v>
          </cell>
          <cell r="J5196" t="str">
            <v>REPUESTO</v>
          </cell>
          <cell r="K5196" t="str">
            <v>SILICONA SICA</v>
          </cell>
          <cell r="L5196">
            <v>1</v>
          </cell>
          <cell r="M5196" t="str">
            <v>UNID.</v>
          </cell>
          <cell r="N5196" t="str">
            <v>TRACTO</v>
          </cell>
          <cell r="O5196">
            <v>9</v>
          </cell>
          <cell r="P5196" t="str">
            <v>E2</v>
          </cell>
          <cell r="Q5196" t="str">
            <v>J1</v>
          </cell>
          <cell r="R5196" t="str">
            <v>J8</v>
          </cell>
          <cell r="S5196" t="str">
            <v>PENDIENTE</v>
          </cell>
          <cell r="T5196">
            <v>0</v>
          </cell>
          <cell r="U5196" t="str">
            <v>YUCA BELLIDO BORIS YERSY</v>
          </cell>
          <cell r="V5196" t="str">
            <v>FLOREZ CONDORI  JOSE WILLIANS</v>
          </cell>
        </row>
        <row r="5197">
          <cell r="A5197">
            <v>5196</v>
          </cell>
          <cell r="B5197">
            <v>42781</v>
          </cell>
          <cell r="C5197" t="str">
            <v>FEBRERO</v>
          </cell>
          <cell r="D5197" t="str">
            <v>2017</v>
          </cell>
          <cell r="E5197">
            <v>1044</v>
          </cell>
          <cell r="F5197" t="str">
            <v>D3P-730</v>
          </cell>
          <cell r="G5197" t="str">
            <v>TBM-980</v>
          </cell>
          <cell r="H5197" t="str">
            <v>LAS BAMBAS</v>
          </cell>
          <cell r="I5197">
            <v>113704</v>
          </cell>
          <cell r="J5197" t="str">
            <v>REPUESTO</v>
          </cell>
          <cell r="K5197" t="str">
            <v>GOMAS DAMPER (SOPORTE DEL RADIADOR)</v>
          </cell>
          <cell r="L5197">
            <v>2</v>
          </cell>
          <cell r="M5197" t="str">
            <v>UNID.</v>
          </cell>
          <cell r="N5197" t="str">
            <v>TRACTO</v>
          </cell>
          <cell r="O5197">
            <v>9</v>
          </cell>
          <cell r="P5197" t="str">
            <v>M8</v>
          </cell>
          <cell r="Q5197" t="str">
            <v>J1</v>
          </cell>
          <cell r="R5197" t="str">
            <v>J6</v>
          </cell>
          <cell r="S5197" t="str">
            <v>PENDIENTE</v>
          </cell>
          <cell r="T5197">
            <v>0</v>
          </cell>
          <cell r="U5197" t="str">
            <v>VARILLAS GAGO  OSCAR ALBERTO</v>
          </cell>
          <cell r="V5197" t="str">
            <v>FLOREZ CONDORI  JOSE WILLIANS</v>
          </cell>
        </row>
        <row r="5198">
          <cell r="A5198">
            <v>5197</v>
          </cell>
          <cell r="B5198">
            <v>42781</v>
          </cell>
          <cell r="C5198" t="str">
            <v>FEBRERO</v>
          </cell>
          <cell r="D5198" t="str">
            <v>2017</v>
          </cell>
          <cell r="E5198">
            <v>1044</v>
          </cell>
          <cell r="F5198" t="str">
            <v>D3P-730</v>
          </cell>
          <cell r="G5198" t="str">
            <v>TBM-980</v>
          </cell>
          <cell r="H5198" t="str">
            <v>LAS BAMBAS</v>
          </cell>
          <cell r="I5198">
            <v>113704</v>
          </cell>
          <cell r="J5198" t="str">
            <v>REPUESTO</v>
          </cell>
          <cell r="K5198" t="str">
            <v>BARRA DE UNION</v>
          </cell>
          <cell r="L5198">
            <v>2</v>
          </cell>
          <cell r="M5198" t="str">
            <v>UNID.</v>
          </cell>
          <cell r="N5198" t="str">
            <v>TRACTO</v>
          </cell>
          <cell r="O5198">
            <v>9</v>
          </cell>
          <cell r="P5198" t="str">
            <v>M8</v>
          </cell>
          <cell r="Q5198" t="str">
            <v>J1</v>
          </cell>
          <cell r="R5198" t="str">
            <v>J6</v>
          </cell>
          <cell r="S5198" t="str">
            <v>PENDIENTE</v>
          </cell>
          <cell r="T5198">
            <v>0</v>
          </cell>
          <cell r="U5198" t="str">
            <v>VARILLAS GAGO  OSCAR ALBERTO</v>
          </cell>
          <cell r="V5198" t="str">
            <v>FLOREZ CONDORI  JOSE WILLIANS</v>
          </cell>
        </row>
        <row r="5199">
          <cell r="A5199">
            <v>5198</v>
          </cell>
          <cell r="B5199">
            <v>42781</v>
          </cell>
          <cell r="C5199" t="str">
            <v>FEBRERO</v>
          </cell>
          <cell r="D5199" t="str">
            <v>2017</v>
          </cell>
          <cell r="E5199">
            <v>1045</v>
          </cell>
          <cell r="F5199" t="str">
            <v>X2W-765</v>
          </cell>
          <cell r="G5199" t="str">
            <v>C5V-993</v>
          </cell>
          <cell r="H5199" t="str">
            <v>LAS BAMBAS</v>
          </cell>
          <cell r="I5199">
            <v>165541</v>
          </cell>
          <cell r="J5199" t="str">
            <v>REPUESTO</v>
          </cell>
          <cell r="K5199" t="str">
            <v>SOPORTE DE MOTOR POSTERIOR DERECHO</v>
          </cell>
          <cell r="L5199">
            <v>1</v>
          </cell>
          <cell r="M5199" t="str">
            <v>UNID.</v>
          </cell>
          <cell r="N5199" t="str">
            <v>TRACTO</v>
          </cell>
          <cell r="O5199">
            <v>9</v>
          </cell>
          <cell r="P5199" t="str">
            <v>M9</v>
          </cell>
          <cell r="Q5199" t="str">
            <v>J1</v>
          </cell>
          <cell r="R5199" t="str">
            <v>J6</v>
          </cell>
          <cell r="S5199" t="str">
            <v>PENDIENTE</v>
          </cell>
          <cell r="T5199">
            <v>0</v>
          </cell>
          <cell r="U5199" t="str">
            <v>POMA SALAZAR CIRO</v>
          </cell>
          <cell r="V5199" t="str">
            <v>FLOREZ CONDORI  JOSE WILLIANS</v>
          </cell>
        </row>
        <row r="5200">
          <cell r="A5200">
            <v>5199</v>
          </cell>
          <cell r="B5200">
            <v>42781</v>
          </cell>
          <cell r="C5200" t="str">
            <v>FEBRERO</v>
          </cell>
          <cell r="D5200" t="str">
            <v>2017</v>
          </cell>
          <cell r="E5200">
            <v>1045</v>
          </cell>
          <cell r="F5200" t="str">
            <v>X2W-765</v>
          </cell>
          <cell r="G5200" t="str">
            <v>C5V-993</v>
          </cell>
          <cell r="H5200" t="str">
            <v>LAS BAMBAS</v>
          </cell>
          <cell r="I5200">
            <v>165541</v>
          </cell>
          <cell r="J5200" t="str">
            <v>REPUESTO</v>
          </cell>
          <cell r="K5200" t="str">
            <v>SOPORTE DE MOTOR POSTERIOR IZQUIERDO</v>
          </cell>
          <cell r="L5200">
            <v>1</v>
          </cell>
          <cell r="M5200" t="str">
            <v>UNID.</v>
          </cell>
          <cell r="N5200" t="str">
            <v>TRACTO</v>
          </cell>
          <cell r="O5200">
            <v>9</v>
          </cell>
          <cell r="P5200" t="str">
            <v>M9</v>
          </cell>
          <cell r="Q5200" t="str">
            <v>J1</v>
          </cell>
          <cell r="R5200" t="str">
            <v>J6</v>
          </cell>
          <cell r="S5200" t="str">
            <v>PENDIENTE</v>
          </cell>
          <cell r="T5200">
            <v>0</v>
          </cell>
          <cell r="U5200" t="str">
            <v>POMA SALAZAR CIRO</v>
          </cell>
          <cell r="V5200" t="str">
            <v>FLOREZ CONDORI  JOSE WILLIANS</v>
          </cell>
        </row>
        <row r="5201">
          <cell r="A5201">
            <v>5200</v>
          </cell>
          <cell r="B5201">
            <v>42782</v>
          </cell>
          <cell r="C5201" t="str">
            <v>FEBRERO</v>
          </cell>
          <cell r="D5201" t="str">
            <v>2017</v>
          </cell>
          <cell r="E5201">
            <v>1050</v>
          </cell>
          <cell r="F5201" t="str">
            <v>X2W-763</v>
          </cell>
          <cell r="G5201" t="str">
            <v>C5V-997</v>
          </cell>
          <cell r="H5201" t="str">
            <v>LAS BAMBAS</v>
          </cell>
          <cell r="I5201">
            <v>163895</v>
          </cell>
          <cell r="J5201" t="str">
            <v>REPUESTO</v>
          </cell>
          <cell r="K5201" t="str">
            <v>RATCHET DE FRENO</v>
          </cell>
          <cell r="L5201">
            <v>2</v>
          </cell>
          <cell r="M5201" t="str">
            <v>UNID.</v>
          </cell>
          <cell r="N5201" t="str">
            <v>CISTERNA</v>
          </cell>
          <cell r="O5201">
            <v>8</v>
          </cell>
          <cell r="P5201" t="str">
            <v>M9</v>
          </cell>
          <cell r="Q5201" t="str">
            <v>J1</v>
          </cell>
          <cell r="R5201" t="str">
            <v>J6</v>
          </cell>
          <cell r="S5201" t="str">
            <v>PENDIENTE</v>
          </cell>
          <cell r="T5201">
            <v>0</v>
          </cell>
          <cell r="U5201" t="str">
            <v>POMA SALAZAR CIRO</v>
          </cell>
          <cell r="V5201" t="str">
            <v>FLOREZ CONDORI  JOSE WILLIANS</v>
          </cell>
        </row>
        <row r="5202">
          <cell r="A5202">
            <v>5201</v>
          </cell>
          <cell r="B5202">
            <v>42782</v>
          </cell>
          <cell r="C5202" t="str">
            <v>FEBRERO</v>
          </cell>
          <cell r="D5202" t="str">
            <v>2017</v>
          </cell>
          <cell r="E5202">
            <v>1051</v>
          </cell>
          <cell r="F5202" t="str">
            <v>AAN-801</v>
          </cell>
          <cell r="G5202" t="str">
            <v>CAMIONETA</v>
          </cell>
          <cell r="H5202" t="str">
            <v>LAS BAMBAS</v>
          </cell>
          <cell r="I5202">
            <v>126838</v>
          </cell>
          <cell r="J5202" t="str">
            <v>REPUESTO</v>
          </cell>
          <cell r="K5202" t="str">
            <v>INTERRUPTOR SIMPLE</v>
          </cell>
          <cell r="L5202">
            <v>1</v>
          </cell>
          <cell r="M5202" t="str">
            <v>UNID.</v>
          </cell>
          <cell r="N5202" t="str">
            <v>CAMIONETA</v>
          </cell>
          <cell r="O5202">
            <v>8</v>
          </cell>
          <cell r="P5202" t="str">
            <v>E3</v>
          </cell>
          <cell r="Q5202" t="str">
            <v>J1</v>
          </cell>
          <cell r="R5202" t="str">
            <v>J8</v>
          </cell>
          <cell r="S5202" t="str">
            <v>PENDIENTE</v>
          </cell>
          <cell r="T5202">
            <v>0</v>
          </cell>
          <cell r="U5202" t="str">
            <v>CONDORI CHURATA ALEX</v>
          </cell>
          <cell r="V5202" t="str">
            <v>FLOREZ CONDORI  JOSE WILLIANS</v>
          </cell>
        </row>
        <row r="5203">
          <cell r="A5203">
            <v>5202</v>
          </cell>
          <cell r="B5203">
            <v>42782</v>
          </cell>
          <cell r="C5203" t="str">
            <v>FEBRERO</v>
          </cell>
          <cell r="D5203" t="str">
            <v>2017</v>
          </cell>
          <cell r="E5203">
            <v>1051</v>
          </cell>
          <cell r="F5203" t="str">
            <v>AAN-801</v>
          </cell>
          <cell r="G5203" t="str">
            <v>CAMIONETA</v>
          </cell>
          <cell r="H5203" t="str">
            <v>LAS BAMBAS</v>
          </cell>
          <cell r="I5203">
            <v>126838</v>
          </cell>
          <cell r="J5203" t="str">
            <v>REPUESTO</v>
          </cell>
          <cell r="K5203" t="str">
            <v xml:space="preserve">MANGUERA CORRUGADA </v>
          </cell>
          <cell r="L5203">
            <v>8</v>
          </cell>
          <cell r="M5203" t="str">
            <v>M</v>
          </cell>
          <cell r="N5203" t="str">
            <v>CAMIONETA</v>
          </cell>
          <cell r="O5203">
            <v>8</v>
          </cell>
          <cell r="P5203" t="str">
            <v>E3</v>
          </cell>
          <cell r="Q5203" t="str">
            <v>J1</v>
          </cell>
          <cell r="R5203" t="str">
            <v>J8</v>
          </cell>
          <cell r="S5203" t="str">
            <v>PENDIENTE</v>
          </cell>
          <cell r="T5203">
            <v>0</v>
          </cell>
          <cell r="U5203" t="str">
            <v>CONDORI CHURATA ALEX</v>
          </cell>
          <cell r="V5203" t="str">
            <v>FLOREZ CONDORI  JOSE WILLIANS</v>
          </cell>
        </row>
        <row r="5204">
          <cell r="A5204">
            <v>5203</v>
          </cell>
          <cell r="B5204">
            <v>42782</v>
          </cell>
          <cell r="C5204" t="str">
            <v>FEBRERO</v>
          </cell>
          <cell r="D5204" t="str">
            <v>2017</v>
          </cell>
          <cell r="E5204">
            <v>1046</v>
          </cell>
          <cell r="F5204" t="str">
            <v>X2W-759</v>
          </cell>
          <cell r="G5204" t="str">
            <v>C5V-999</v>
          </cell>
          <cell r="H5204" t="str">
            <v>LAS BAMBAS</v>
          </cell>
          <cell r="I5204">
            <v>161401</v>
          </cell>
          <cell r="J5204" t="str">
            <v>REPUESTO</v>
          </cell>
          <cell r="K5204" t="str">
            <v>GUARDAFANGOS PLASTICO (NEGRO)</v>
          </cell>
          <cell r="L5204">
            <v>2</v>
          </cell>
          <cell r="M5204" t="str">
            <v>UNID.</v>
          </cell>
          <cell r="N5204" t="str">
            <v>CISTERNA</v>
          </cell>
          <cell r="O5204">
            <v>8</v>
          </cell>
          <cell r="P5204" t="str">
            <v>J1</v>
          </cell>
          <cell r="Q5204" t="str">
            <v>J1</v>
          </cell>
          <cell r="R5204" t="str">
            <v>J8</v>
          </cell>
          <cell r="S5204" t="str">
            <v>PENDIENTE</v>
          </cell>
          <cell r="T5204">
            <v>0</v>
          </cell>
          <cell r="U5204" t="str">
            <v>FLOREZ CONDORI  JOSE WILLIANS</v>
          </cell>
          <cell r="V5204" t="str">
            <v>FLOREZ CONDORI  JOSE WILLIANS</v>
          </cell>
        </row>
        <row r="5205">
          <cell r="A5205">
            <v>5204</v>
          </cell>
          <cell r="B5205">
            <v>42782</v>
          </cell>
          <cell r="C5205" t="str">
            <v>FEBRERO</v>
          </cell>
          <cell r="D5205" t="str">
            <v>2017</v>
          </cell>
          <cell r="E5205">
            <v>1020</v>
          </cell>
          <cell r="F5205" t="str">
            <v>D3S-725</v>
          </cell>
          <cell r="G5205" t="str">
            <v>TBL-977</v>
          </cell>
          <cell r="H5205" t="str">
            <v>LAS BAMBAS</v>
          </cell>
          <cell r="I5205">
            <v>154037</v>
          </cell>
          <cell r="J5205" t="str">
            <v>REPUESTO</v>
          </cell>
          <cell r="K5205" t="str">
            <v>SILENCIADOR</v>
          </cell>
          <cell r="L5205">
            <v>1</v>
          </cell>
          <cell r="M5205" t="str">
            <v>UNID.</v>
          </cell>
          <cell r="N5205" t="str">
            <v>TRACTO</v>
          </cell>
          <cell r="O5205">
            <v>8</v>
          </cell>
          <cell r="P5205" t="str">
            <v>M5</v>
          </cell>
          <cell r="Q5205" t="str">
            <v>J1</v>
          </cell>
          <cell r="R5205" t="str">
            <v>J8</v>
          </cell>
          <cell r="S5205" t="str">
            <v>PENDIENTE</v>
          </cell>
          <cell r="T5205">
            <v>0</v>
          </cell>
          <cell r="U5205" t="str">
            <v>LOPEZ RUIZ WILBERTO</v>
          </cell>
          <cell r="V5205" t="str">
            <v>FLOREZ CONDORI  JOSE WILLIANS</v>
          </cell>
        </row>
        <row r="5206">
          <cell r="A5206">
            <v>5205</v>
          </cell>
          <cell r="B5206">
            <v>42782</v>
          </cell>
          <cell r="C5206" t="str">
            <v>FEBRERO</v>
          </cell>
          <cell r="D5206" t="str">
            <v>2017</v>
          </cell>
          <cell r="E5206">
            <v>1045</v>
          </cell>
          <cell r="F5206" t="str">
            <v>X2W-765</v>
          </cell>
          <cell r="G5206" t="str">
            <v>C5V-993</v>
          </cell>
          <cell r="H5206" t="str">
            <v>LAS BAMBAS</v>
          </cell>
          <cell r="I5206">
            <v>165541</v>
          </cell>
          <cell r="J5206" t="str">
            <v>REPUESTO</v>
          </cell>
          <cell r="K5206" t="str">
            <v>GRASA PARA RODAJES</v>
          </cell>
          <cell r="L5206">
            <v>2</v>
          </cell>
          <cell r="M5206" t="str">
            <v>KG.</v>
          </cell>
          <cell r="N5206" t="str">
            <v>CISTERNA</v>
          </cell>
          <cell r="O5206">
            <v>8</v>
          </cell>
          <cell r="P5206" t="str">
            <v>S5</v>
          </cell>
          <cell r="Q5206" t="str">
            <v>J1</v>
          </cell>
          <cell r="R5206" t="str">
            <v>J8</v>
          </cell>
          <cell r="S5206" t="str">
            <v>PENDIENTE</v>
          </cell>
          <cell r="T5206">
            <v>0</v>
          </cell>
          <cell r="U5206" t="str">
            <v>HUAMAN MOZO LEONARDO</v>
          </cell>
          <cell r="V5206" t="str">
            <v>FLOREZ CONDORI  JOSE WILLIANS</v>
          </cell>
        </row>
        <row r="5207">
          <cell r="A5207">
            <v>5206</v>
          </cell>
          <cell r="B5207">
            <v>42782</v>
          </cell>
          <cell r="C5207" t="str">
            <v>FEBRERO</v>
          </cell>
          <cell r="D5207" t="str">
            <v>2017</v>
          </cell>
          <cell r="E5207">
            <v>1053</v>
          </cell>
          <cell r="F5207" t="str">
            <v>AKW-894</v>
          </cell>
          <cell r="G5207" t="str">
            <v>TBN-978</v>
          </cell>
          <cell r="H5207" t="str">
            <v>LAS BAMBAS</v>
          </cell>
          <cell r="I5207">
            <v>49596</v>
          </cell>
          <cell r="J5207" t="str">
            <v>REPUESTO</v>
          </cell>
          <cell r="K5207" t="str">
            <v>NIPLE, TUERCA,CONO Y GUIA 3/8</v>
          </cell>
          <cell r="L5207">
            <v>1</v>
          </cell>
          <cell r="M5207" t="str">
            <v>UNID.</v>
          </cell>
          <cell r="N5207" t="str">
            <v>CISTERNA</v>
          </cell>
          <cell r="O5207">
            <v>8</v>
          </cell>
          <cell r="P5207" t="str">
            <v>M5</v>
          </cell>
          <cell r="Q5207" t="str">
            <v>J1</v>
          </cell>
          <cell r="R5207" t="str">
            <v>J8</v>
          </cell>
          <cell r="S5207" t="str">
            <v>PENDIENTE</v>
          </cell>
          <cell r="T5207">
            <v>0</v>
          </cell>
          <cell r="U5207" t="str">
            <v>LOPEZ RUIZ WILBERTO</v>
          </cell>
          <cell r="V5207" t="str">
            <v>FLOREZ CONDORI  JOSE WILLIANS</v>
          </cell>
        </row>
        <row r="5208">
          <cell r="A5208">
            <v>5207</v>
          </cell>
          <cell r="B5208">
            <v>42782</v>
          </cell>
          <cell r="C5208" t="str">
            <v>FEBRERO</v>
          </cell>
          <cell r="D5208" t="str">
            <v>2017</v>
          </cell>
          <cell r="E5208">
            <v>200</v>
          </cell>
          <cell r="F5208" t="str">
            <v>TALLER</v>
          </cell>
          <cell r="G5208" t="str">
            <v>TALLER</v>
          </cell>
          <cell r="H5208" t="str">
            <v>TALLER</v>
          </cell>
          <cell r="I5208" t="str">
            <v>TALLER</v>
          </cell>
          <cell r="J5208" t="str">
            <v>MATERIALES</v>
          </cell>
          <cell r="K5208" t="str">
            <v>LUNA TRANSPARENTE</v>
          </cell>
          <cell r="L5208">
            <v>2</v>
          </cell>
          <cell r="M5208" t="str">
            <v>UNID.</v>
          </cell>
          <cell r="N5208" t="str">
            <v>CAMIONETA</v>
          </cell>
          <cell r="O5208">
            <v>8</v>
          </cell>
          <cell r="P5208" t="str">
            <v>S1</v>
          </cell>
          <cell r="Q5208" t="str">
            <v>J1</v>
          </cell>
          <cell r="R5208" t="str">
            <v>J8</v>
          </cell>
          <cell r="S5208" t="str">
            <v>PENDIENTE</v>
          </cell>
          <cell r="T5208">
            <v>0</v>
          </cell>
          <cell r="U5208" t="str">
            <v>BAYONA CRUZ CRISTIAN ARMANDO</v>
          </cell>
          <cell r="V5208" t="str">
            <v>FLOREZ CONDORI  JOSE WILLIANS</v>
          </cell>
        </row>
        <row r="5209">
          <cell r="A5209">
            <v>5208</v>
          </cell>
          <cell r="B5209">
            <v>42782</v>
          </cell>
          <cell r="C5209" t="str">
            <v>FEBRERO</v>
          </cell>
          <cell r="D5209" t="str">
            <v>2017</v>
          </cell>
          <cell r="E5209">
            <v>1058</v>
          </cell>
          <cell r="F5209" t="str">
            <v>AMV-781</v>
          </cell>
          <cell r="G5209" t="str">
            <v>CAMIONETA</v>
          </cell>
          <cell r="H5209" t="str">
            <v>LAS BAMBAS</v>
          </cell>
          <cell r="I5209">
            <v>37289</v>
          </cell>
          <cell r="J5209" t="str">
            <v>REPUESTO</v>
          </cell>
          <cell r="K5209" t="str">
            <v>FILTRO DE AIRE</v>
          </cell>
          <cell r="L5209">
            <v>1</v>
          </cell>
          <cell r="M5209" t="str">
            <v>UNID.</v>
          </cell>
          <cell r="N5209" t="str">
            <v>CAMIONETA</v>
          </cell>
          <cell r="O5209">
            <v>8</v>
          </cell>
          <cell r="P5209" t="str">
            <v>J8</v>
          </cell>
          <cell r="Q5209" t="str">
            <v>J1</v>
          </cell>
          <cell r="R5209" t="str">
            <v>J8</v>
          </cell>
          <cell r="S5209" t="str">
            <v>PENDIENTE</v>
          </cell>
          <cell r="T5209">
            <v>0</v>
          </cell>
          <cell r="U5209" t="str">
            <v>ARANGO PAREJA ANGELA ROSARIO</v>
          </cell>
          <cell r="V5209" t="str">
            <v>FLOREZ CONDORI  JOSE WILLIANS</v>
          </cell>
        </row>
        <row r="5210">
          <cell r="A5210">
            <v>5209</v>
          </cell>
          <cell r="B5210">
            <v>42782</v>
          </cell>
          <cell r="C5210" t="str">
            <v>FEBRERO</v>
          </cell>
          <cell r="D5210" t="str">
            <v>2017</v>
          </cell>
          <cell r="E5210">
            <v>1058</v>
          </cell>
          <cell r="F5210" t="str">
            <v>AMV-781</v>
          </cell>
          <cell r="G5210" t="str">
            <v>CAMIONETA</v>
          </cell>
          <cell r="H5210" t="str">
            <v>LAS BAMBAS</v>
          </cell>
          <cell r="I5210">
            <v>37289</v>
          </cell>
          <cell r="J5210" t="str">
            <v>REPUESTO</v>
          </cell>
          <cell r="K5210" t="str">
            <v>FILTRO DE ACEITE</v>
          </cell>
          <cell r="L5210">
            <v>1</v>
          </cell>
          <cell r="M5210" t="str">
            <v>UNID.</v>
          </cell>
          <cell r="N5210" t="str">
            <v>CAMIONETA</v>
          </cell>
          <cell r="O5210">
            <v>8</v>
          </cell>
          <cell r="P5210" t="str">
            <v>J8</v>
          </cell>
          <cell r="Q5210" t="str">
            <v>J1</v>
          </cell>
          <cell r="R5210" t="str">
            <v>J8</v>
          </cell>
          <cell r="S5210" t="str">
            <v>PENDIENTE</v>
          </cell>
          <cell r="T5210">
            <v>0</v>
          </cell>
          <cell r="U5210" t="str">
            <v>ARANGO PAREJA ANGELA ROSARIO</v>
          </cell>
          <cell r="V5210" t="str">
            <v>FLOREZ CONDORI  JOSE WILLIANS</v>
          </cell>
        </row>
        <row r="5211">
          <cell r="A5211">
            <v>5210</v>
          </cell>
          <cell r="B5211">
            <v>42782</v>
          </cell>
          <cell r="C5211" t="str">
            <v>FEBRERO</v>
          </cell>
          <cell r="D5211" t="str">
            <v>2017</v>
          </cell>
          <cell r="E5211">
            <v>1058</v>
          </cell>
          <cell r="F5211" t="str">
            <v>AMV-781</v>
          </cell>
          <cell r="G5211" t="str">
            <v>CAMIONETA</v>
          </cell>
          <cell r="H5211" t="str">
            <v>LAS BAMBAS</v>
          </cell>
          <cell r="I5211">
            <v>37289</v>
          </cell>
          <cell r="J5211" t="str">
            <v>REPUESTO</v>
          </cell>
          <cell r="K5211" t="str">
            <v>FILTRO DE COMBUSTIBLE</v>
          </cell>
          <cell r="L5211">
            <v>1</v>
          </cell>
          <cell r="M5211" t="str">
            <v>UNID.</v>
          </cell>
          <cell r="N5211" t="str">
            <v>CAMIONETA</v>
          </cell>
          <cell r="O5211">
            <v>8</v>
          </cell>
          <cell r="P5211" t="str">
            <v>J8</v>
          </cell>
          <cell r="Q5211" t="str">
            <v>J1</v>
          </cell>
          <cell r="R5211" t="str">
            <v>J8</v>
          </cell>
          <cell r="S5211" t="str">
            <v>PENDIENTE</v>
          </cell>
          <cell r="T5211">
            <v>0</v>
          </cell>
          <cell r="U5211" t="str">
            <v>ARANGO PAREJA ANGELA ROSARIO</v>
          </cell>
          <cell r="V5211" t="str">
            <v>FLOREZ CONDORI  JOSE WILLIANS</v>
          </cell>
        </row>
        <row r="5212">
          <cell r="A5212">
            <v>5211</v>
          </cell>
          <cell r="B5212">
            <v>42782</v>
          </cell>
          <cell r="C5212" t="str">
            <v>FEBRERO</v>
          </cell>
          <cell r="D5212" t="str">
            <v>2017</v>
          </cell>
          <cell r="E5212">
            <v>1058</v>
          </cell>
          <cell r="F5212" t="str">
            <v>AMV-781</v>
          </cell>
          <cell r="G5212" t="str">
            <v>CAMIONETA</v>
          </cell>
          <cell r="H5212" t="str">
            <v>LAS BAMBAS</v>
          </cell>
          <cell r="I5212">
            <v>37289</v>
          </cell>
          <cell r="J5212" t="str">
            <v>REPUESTO</v>
          </cell>
          <cell r="K5212" t="str">
            <v>ACEITE DE MOTOR 15W40</v>
          </cell>
          <cell r="L5212">
            <v>2</v>
          </cell>
          <cell r="M5212" t="str">
            <v>GLNS.</v>
          </cell>
          <cell r="N5212" t="str">
            <v>CAMIONETA</v>
          </cell>
          <cell r="O5212">
            <v>8</v>
          </cell>
          <cell r="P5212" t="str">
            <v>J8</v>
          </cell>
          <cell r="Q5212" t="str">
            <v>J1</v>
          </cell>
          <cell r="R5212" t="str">
            <v>J8</v>
          </cell>
          <cell r="S5212" t="str">
            <v>PENDIENTE</v>
          </cell>
          <cell r="T5212">
            <v>0</v>
          </cell>
          <cell r="U5212" t="str">
            <v>ARANGO PAREJA ANGELA ROSARIO</v>
          </cell>
          <cell r="V5212" t="str">
            <v>FLOREZ CONDORI  JOSE WILLIANS</v>
          </cell>
        </row>
        <row r="5213">
          <cell r="A5213">
            <v>5212</v>
          </cell>
          <cell r="B5213">
            <v>42782</v>
          </cell>
          <cell r="C5213" t="str">
            <v>FEBRERO</v>
          </cell>
          <cell r="D5213" t="str">
            <v>2017</v>
          </cell>
          <cell r="E5213">
            <v>200</v>
          </cell>
          <cell r="F5213" t="str">
            <v>TALLER</v>
          </cell>
          <cell r="G5213" t="str">
            <v>TALLER</v>
          </cell>
          <cell r="H5213" t="str">
            <v>TALLER</v>
          </cell>
          <cell r="I5213" t="str">
            <v>TALLER</v>
          </cell>
          <cell r="J5213" t="str">
            <v>SERVICIO</v>
          </cell>
          <cell r="K5213" t="str">
            <v>SERVICIO DE INSPECCION Y REPARACION DE COMPRESORA</v>
          </cell>
          <cell r="L5213">
            <v>1</v>
          </cell>
          <cell r="M5213" t="str">
            <v>UNID.</v>
          </cell>
          <cell r="N5213" t="str">
            <v>TALLER</v>
          </cell>
          <cell r="O5213">
            <v>8</v>
          </cell>
          <cell r="P5213" t="str">
            <v>J1</v>
          </cell>
          <cell r="Q5213" t="str">
            <v>J1</v>
          </cell>
          <cell r="R5213" t="str">
            <v>J8</v>
          </cell>
          <cell r="S5213" t="str">
            <v>PENDIENTE</v>
          </cell>
          <cell r="T5213">
            <v>0</v>
          </cell>
          <cell r="U5213" t="str">
            <v>FLOREZ CONDORI  JOSE WILLIANS</v>
          </cell>
          <cell r="V5213" t="str">
            <v>FLOREZ CONDORI  JOSE WILLIANS</v>
          </cell>
        </row>
        <row r="5214">
          <cell r="A5214">
            <v>5213</v>
          </cell>
          <cell r="B5214">
            <v>42782</v>
          </cell>
          <cell r="C5214" t="str">
            <v>FEBRERO</v>
          </cell>
          <cell r="D5214" t="str">
            <v>2017</v>
          </cell>
          <cell r="E5214">
            <v>200</v>
          </cell>
          <cell r="F5214" t="str">
            <v>TALLER</v>
          </cell>
          <cell r="G5214" t="str">
            <v>TALLER</v>
          </cell>
          <cell r="H5214" t="str">
            <v>TALLER</v>
          </cell>
          <cell r="I5214" t="str">
            <v>TALLER</v>
          </cell>
          <cell r="J5214" t="str">
            <v>HERRAMIENTAS</v>
          </cell>
          <cell r="K5214" t="str">
            <v>TURBINETA NEUMATICA</v>
          </cell>
          <cell r="L5214">
            <v>1</v>
          </cell>
          <cell r="M5214" t="str">
            <v>UNID.</v>
          </cell>
          <cell r="N5214" t="str">
            <v>TALLER</v>
          </cell>
          <cell r="O5214">
            <v>8</v>
          </cell>
          <cell r="P5214" t="str">
            <v>J1</v>
          </cell>
          <cell r="Q5214" t="str">
            <v>J1</v>
          </cell>
          <cell r="R5214" t="str">
            <v>J8</v>
          </cell>
          <cell r="S5214" t="str">
            <v>PENDIENTE</v>
          </cell>
          <cell r="T5214">
            <v>0</v>
          </cell>
          <cell r="U5214" t="str">
            <v>FLOREZ CONDORI  JOSE WILLIANS</v>
          </cell>
          <cell r="V5214" t="str">
            <v>FLOREZ CONDORI  JOSE WILLIANS</v>
          </cell>
        </row>
        <row r="5215">
          <cell r="A5215">
            <v>5214</v>
          </cell>
          <cell r="B5215">
            <v>42782</v>
          </cell>
          <cell r="C5215" t="str">
            <v>FEBRERO</v>
          </cell>
          <cell r="D5215" t="str">
            <v>2017</v>
          </cell>
          <cell r="E5215">
            <v>1020</v>
          </cell>
          <cell r="F5215" t="str">
            <v>D3S-725</v>
          </cell>
          <cell r="G5215" t="str">
            <v>TBL-977</v>
          </cell>
          <cell r="H5215" t="str">
            <v>LAS BAMBAS</v>
          </cell>
          <cell r="I5215">
            <v>154037</v>
          </cell>
          <cell r="J5215" t="str">
            <v>REPUESTO</v>
          </cell>
          <cell r="K5215" t="str">
            <v>PEDAL DE ACELERADOR COMPLETO</v>
          </cell>
          <cell r="L5215">
            <v>1</v>
          </cell>
          <cell r="M5215" t="str">
            <v>UNID.</v>
          </cell>
          <cell r="N5215" t="str">
            <v>TRACTO</v>
          </cell>
          <cell r="O5215">
            <v>8</v>
          </cell>
          <cell r="P5215" t="str">
            <v>M5</v>
          </cell>
          <cell r="Q5215" t="str">
            <v>J1</v>
          </cell>
          <cell r="R5215" t="str">
            <v>J8</v>
          </cell>
          <cell r="S5215" t="str">
            <v>PENDIENTE</v>
          </cell>
          <cell r="T5215">
            <v>0</v>
          </cell>
          <cell r="U5215" t="str">
            <v>LOPEZ RUIZ WILBERTO</v>
          </cell>
          <cell r="V5215" t="str">
            <v>FLOREZ CONDORI  JOSE WILLIANS</v>
          </cell>
        </row>
        <row r="5216">
          <cell r="A5216">
            <v>5215</v>
          </cell>
          <cell r="B5216">
            <v>42782</v>
          </cell>
          <cell r="C5216" t="str">
            <v>FEBRERO</v>
          </cell>
          <cell r="D5216" t="str">
            <v>2017</v>
          </cell>
          <cell r="E5216">
            <v>1052</v>
          </cell>
          <cell r="F5216" t="str">
            <v>C5R-895</v>
          </cell>
          <cell r="G5216" t="str">
            <v>TBL-976</v>
          </cell>
          <cell r="H5216" t="str">
            <v>LAS BAMBAS</v>
          </cell>
          <cell r="I5216">
            <v>178130</v>
          </cell>
          <cell r="J5216" t="str">
            <v>REPUESTO</v>
          </cell>
          <cell r="K5216" t="str">
            <v>FOCO 9006</v>
          </cell>
          <cell r="L5216">
            <v>1</v>
          </cell>
          <cell r="M5216" t="str">
            <v>UNID.</v>
          </cell>
          <cell r="N5216" t="str">
            <v>TRACTO</v>
          </cell>
          <cell r="O5216">
            <v>8</v>
          </cell>
          <cell r="P5216" t="str">
            <v>E2</v>
          </cell>
          <cell r="Q5216" t="str">
            <v>J1</v>
          </cell>
          <cell r="R5216" t="str">
            <v>J8</v>
          </cell>
          <cell r="S5216" t="str">
            <v>PENDIENTE</v>
          </cell>
          <cell r="T5216">
            <v>0</v>
          </cell>
          <cell r="U5216" t="str">
            <v>YUCA BELLIDO BORIS YERSY</v>
          </cell>
          <cell r="V5216" t="str">
            <v>FLOREZ CONDORI  JOSE WILLIANS</v>
          </cell>
        </row>
        <row r="5217">
          <cell r="A5217">
            <v>5216</v>
          </cell>
          <cell r="B5217">
            <v>42782</v>
          </cell>
          <cell r="C5217" t="str">
            <v>FEBRERO</v>
          </cell>
          <cell r="D5217" t="str">
            <v>2017</v>
          </cell>
          <cell r="E5217">
            <v>1052</v>
          </cell>
          <cell r="F5217" t="str">
            <v>C5R-895</v>
          </cell>
          <cell r="G5217" t="str">
            <v>TBL-976</v>
          </cell>
          <cell r="H5217" t="str">
            <v>LAS BAMBAS</v>
          </cell>
          <cell r="I5217">
            <v>178130</v>
          </cell>
          <cell r="J5217" t="str">
            <v>REPUESTO</v>
          </cell>
          <cell r="K5217" t="str">
            <v>CINTA AISLANTE</v>
          </cell>
          <cell r="L5217">
            <v>1</v>
          </cell>
          <cell r="M5217" t="str">
            <v>UNID.</v>
          </cell>
          <cell r="N5217" t="str">
            <v>TRACTO</v>
          </cell>
          <cell r="O5217">
            <v>8</v>
          </cell>
          <cell r="P5217" t="str">
            <v>E2</v>
          </cell>
          <cell r="Q5217" t="str">
            <v>J1</v>
          </cell>
          <cell r="R5217" t="str">
            <v>J8</v>
          </cell>
          <cell r="S5217" t="str">
            <v>PENDIENTE</v>
          </cell>
          <cell r="T5217">
            <v>0</v>
          </cell>
          <cell r="U5217" t="str">
            <v>YUCA BELLIDO BORIS YERSY</v>
          </cell>
          <cell r="V5217" t="str">
            <v>FLOREZ CONDORI  JOSE WILLIANS</v>
          </cell>
        </row>
        <row r="5218">
          <cell r="A5218">
            <v>5217</v>
          </cell>
          <cell r="B5218">
            <v>42782</v>
          </cell>
          <cell r="C5218" t="str">
            <v>FEBRERO</v>
          </cell>
          <cell r="D5218" t="str">
            <v>2017</v>
          </cell>
          <cell r="E5218">
            <v>200</v>
          </cell>
          <cell r="F5218" t="str">
            <v>TALLER</v>
          </cell>
          <cell r="G5218" t="str">
            <v>TALLER</v>
          </cell>
          <cell r="H5218" t="str">
            <v>TALLER</v>
          </cell>
          <cell r="I5218" t="str">
            <v>TALLER</v>
          </cell>
          <cell r="J5218" t="str">
            <v>REPUESTO</v>
          </cell>
          <cell r="K5218" t="str">
            <v>PERNO 1/4 X 1"</v>
          </cell>
          <cell r="L5218">
            <v>1</v>
          </cell>
          <cell r="M5218" t="str">
            <v>UNID.</v>
          </cell>
          <cell r="N5218" t="str">
            <v>TALLER</v>
          </cell>
          <cell r="O5218">
            <v>8</v>
          </cell>
          <cell r="P5218" t="str">
            <v>S1</v>
          </cell>
          <cell r="Q5218" t="str">
            <v>J1</v>
          </cell>
          <cell r="R5218" t="str">
            <v>J8</v>
          </cell>
          <cell r="S5218" t="str">
            <v>PENDIENTE</v>
          </cell>
          <cell r="T5218">
            <v>0</v>
          </cell>
          <cell r="U5218" t="str">
            <v>BAYONA CRUZ CRISTIAN ARMANDO</v>
          </cell>
          <cell r="V5218" t="str">
            <v>FLOREZ CONDORI  JOSE WILLIANS</v>
          </cell>
        </row>
        <row r="5219">
          <cell r="A5219">
            <v>5218</v>
          </cell>
          <cell r="B5219">
            <v>42782</v>
          </cell>
          <cell r="C5219" t="str">
            <v>FEBRERO</v>
          </cell>
          <cell r="D5219" t="str">
            <v>2017</v>
          </cell>
          <cell r="E5219">
            <v>200</v>
          </cell>
          <cell r="F5219" t="str">
            <v>TALLER</v>
          </cell>
          <cell r="G5219" t="str">
            <v>TALLER</v>
          </cell>
          <cell r="H5219" t="str">
            <v>TALLER</v>
          </cell>
          <cell r="I5219" t="str">
            <v>TALLER</v>
          </cell>
          <cell r="J5219" t="str">
            <v>REPUESTO</v>
          </cell>
          <cell r="K5219" t="str">
            <v>PERNO 1/4 X 2"</v>
          </cell>
          <cell r="L5219">
            <v>1</v>
          </cell>
          <cell r="M5219" t="str">
            <v>UNID.</v>
          </cell>
          <cell r="N5219" t="str">
            <v>TALLER</v>
          </cell>
          <cell r="O5219">
            <v>8</v>
          </cell>
          <cell r="P5219" t="str">
            <v>S1</v>
          </cell>
          <cell r="Q5219" t="str">
            <v>J1</v>
          </cell>
          <cell r="R5219" t="str">
            <v>J8</v>
          </cell>
          <cell r="S5219" t="str">
            <v>PENDIENTE</v>
          </cell>
          <cell r="T5219">
            <v>0</v>
          </cell>
          <cell r="U5219" t="str">
            <v>BAYONA CRUZ CRISTIAN ARMANDO</v>
          </cell>
          <cell r="V5219" t="str">
            <v>FLOREZ CONDORI  JOSE WILLIANS</v>
          </cell>
        </row>
        <row r="5220">
          <cell r="A5220">
            <v>5219</v>
          </cell>
          <cell r="B5220">
            <v>42782</v>
          </cell>
          <cell r="C5220" t="str">
            <v>FEBRERO</v>
          </cell>
          <cell r="D5220" t="str">
            <v>2017</v>
          </cell>
          <cell r="E5220">
            <v>200</v>
          </cell>
          <cell r="F5220" t="str">
            <v>TALLER</v>
          </cell>
          <cell r="G5220" t="str">
            <v>TALLER</v>
          </cell>
          <cell r="H5220" t="str">
            <v>TALLER</v>
          </cell>
          <cell r="I5220" t="str">
            <v>TALLER</v>
          </cell>
          <cell r="J5220" t="str">
            <v>REPUESTO</v>
          </cell>
          <cell r="K5220" t="str">
            <v>TUERCA 1/4</v>
          </cell>
          <cell r="L5220">
            <v>4</v>
          </cell>
          <cell r="M5220" t="str">
            <v>UNID.</v>
          </cell>
          <cell r="N5220" t="str">
            <v>TALLER</v>
          </cell>
          <cell r="O5220">
            <v>8</v>
          </cell>
          <cell r="P5220" t="str">
            <v>S1</v>
          </cell>
          <cell r="Q5220" t="str">
            <v>J1</v>
          </cell>
          <cell r="R5220" t="str">
            <v>J8</v>
          </cell>
          <cell r="S5220" t="str">
            <v>PENDIENTE</v>
          </cell>
          <cell r="T5220">
            <v>0</v>
          </cell>
          <cell r="U5220" t="str">
            <v>BAYONA CRUZ CRISTIAN ARMANDO</v>
          </cell>
          <cell r="V5220" t="str">
            <v>FLOREZ CONDORI  JOSE WILLIANS</v>
          </cell>
        </row>
        <row r="5221">
          <cell r="A5221">
            <v>5220</v>
          </cell>
          <cell r="B5221">
            <v>42782</v>
          </cell>
          <cell r="C5221" t="str">
            <v>FEBRERO</v>
          </cell>
          <cell r="D5221" t="str">
            <v>2017</v>
          </cell>
          <cell r="E5221">
            <v>200</v>
          </cell>
          <cell r="F5221" t="str">
            <v>TALLER</v>
          </cell>
          <cell r="G5221" t="str">
            <v>TALLER</v>
          </cell>
          <cell r="H5221" t="str">
            <v>TALLER</v>
          </cell>
          <cell r="I5221" t="str">
            <v>TALLER</v>
          </cell>
          <cell r="J5221" t="str">
            <v>REPUESTO</v>
          </cell>
          <cell r="K5221" t="str">
            <v>AFLOJATODO</v>
          </cell>
          <cell r="L5221">
            <v>1</v>
          </cell>
          <cell r="M5221" t="str">
            <v>UNID.</v>
          </cell>
          <cell r="N5221" t="str">
            <v>TALLER</v>
          </cell>
          <cell r="O5221">
            <v>8</v>
          </cell>
          <cell r="P5221" t="str">
            <v>S1</v>
          </cell>
          <cell r="Q5221" t="str">
            <v>J1</v>
          </cell>
          <cell r="R5221" t="str">
            <v>J8</v>
          </cell>
          <cell r="S5221" t="str">
            <v>PENDIENTE</v>
          </cell>
          <cell r="T5221">
            <v>0</v>
          </cell>
          <cell r="U5221" t="str">
            <v>BAYONA CRUZ CRISTIAN ARMANDO</v>
          </cell>
          <cell r="V5221" t="str">
            <v>FLOREZ CONDORI  JOSE WILLIANS</v>
          </cell>
        </row>
        <row r="5222">
          <cell r="A5222">
            <v>5221</v>
          </cell>
          <cell r="B5222">
            <v>42782</v>
          </cell>
          <cell r="C5222" t="str">
            <v>FEBRERO</v>
          </cell>
          <cell r="D5222" t="str">
            <v>2017</v>
          </cell>
          <cell r="E5222">
            <v>200</v>
          </cell>
          <cell r="F5222" t="str">
            <v>TALLER</v>
          </cell>
          <cell r="G5222" t="str">
            <v>TALLER</v>
          </cell>
          <cell r="H5222" t="str">
            <v>TALLER</v>
          </cell>
          <cell r="I5222" t="str">
            <v>TALLER</v>
          </cell>
          <cell r="J5222" t="str">
            <v>REPUESTO</v>
          </cell>
          <cell r="K5222" t="str">
            <v>SPRAY ALUMINIO</v>
          </cell>
          <cell r="L5222">
            <v>1</v>
          </cell>
          <cell r="M5222" t="str">
            <v>UNID.</v>
          </cell>
          <cell r="N5222" t="str">
            <v>TALLER</v>
          </cell>
          <cell r="O5222">
            <v>8</v>
          </cell>
          <cell r="P5222" t="str">
            <v>S1</v>
          </cell>
          <cell r="Q5222" t="str">
            <v>J1</v>
          </cell>
          <cell r="R5222" t="str">
            <v>J8</v>
          </cell>
          <cell r="S5222" t="str">
            <v>PENDIENTE</v>
          </cell>
          <cell r="T5222">
            <v>0</v>
          </cell>
          <cell r="U5222" t="str">
            <v>BAYONA CRUZ CRISTIAN ARMANDO</v>
          </cell>
          <cell r="V5222" t="str">
            <v>FLOREZ CONDORI  JOSE WILLIANS</v>
          </cell>
        </row>
        <row r="5223">
          <cell r="A5223">
            <v>5222</v>
          </cell>
          <cell r="B5223">
            <v>42782</v>
          </cell>
          <cell r="C5223" t="str">
            <v>FEBRERO</v>
          </cell>
          <cell r="D5223" t="str">
            <v>2017</v>
          </cell>
          <cell r="E5223">
            <v>200</v>
          </cell>
          <cell r="F5223" t="str">
            <v>TALLER</v>
          </cell>
          <cell r="G5223" t="str">
            <v>TALLER</v>
          </cell>
          <cell r="H5223" t="str">
            <v>TALLER</v>
          </cell>
          <cell r="I5223" t="str">
            <v>TALLER</v>
          </cell>
          <cell r="J5223" t="str">
            <v>MATERIALES</v>
          </cell>
          <cell r="K5223" t="str">
            <v>TRAPO INDUSTRIAL</v>
          </cell>
          <cell r="L5223">
            <v>1</v>
          </cell>
          <cell r="M5223" t="str">
            <v>KG.</v>
          </cell>
          <cell r="N5223" t="str">
            <v>TALLER</v>
          </cell>
          <cell r="O5223">
            <v>8</v>
          </cell>
          <cell r="P5223" t="str">
            <v>J1</v>
          </cell>
          <cell r="Q5223" t="str">
            <v>J1</v>
          </cell>
          <cell r="R5223" t="str">
            <v>J8</v>
          </cell>
          <cell r="S5223" t="str">
            <v>PENDIENTE</v>
          </cell>
          <cell r="T5223">
            <v>0</v>
          </cell>
          <cell r="U5223" t="str">
            <v>FLOREZ CONDORI  JOSE WILLIANS</v>
          </cell>
          <cell r="V5223" t="str">
            <v>FLOREZ CONDORI  JOSE WILLIANS</v>
          </cell>
        </row>
        <row r="5224">
          <cell r="A5224">
            <v>5223</v>
          </cell>
          <cell r="B5224">
            <v>42782</v>
          </cell>
          <cell r="C5224" t="str">
            <v>FEBRERO</v>
          </cell>
          <cell r="D5224" t="str">
            <v>2017</v>
          </cell>
          <cell r="E5224">
            <v>1046</v>
          </cell>
          <cell r="F5224" t="str">
            <v>X2W-759</v>
          </cell>
          <cell r="G5224" t="str">
            <v>C5V-999</v>
          </cell>
          <cell r="H5224" t="str">
            <v>LAS BAMBAS</v>
          </cell>
          <cell r="I5224">
            <v>161401</v>
          </cell>
          <cell r="J5224" t="str">
            <v>REPUESTO</v>
          </cell>
          <cell r="K5224" t="str">
            <v>TAPA DE FARO LH</v>
          </cell>
          <cell r="L5224">
            <v>1</v>
          </cell>
          <cell r="M5224" t="str">
            <v>UNID.</v>
          </cell>
          <cell r="N5224" t="str">
            <v>TRACTO</v>
          </cell>
          <cell r="O5224">
            <v>8</v>
          </cell>
          <cell r="P5224" t="str">
            <v>E2</v>
          </cell>
          <cell r="Q5224" t="str">
            <v>J1</v>
          </cell>
          <cell r="R5224" t="str">
            <v>J8</v>
          </cell>
          <cell r="S5224" t="str">
            <v>PENDIENTE</v>
          </cell>
          <cell r="T5224">
            <v>0</v>
          </cell>
          <cell r="U5224" t="str">
            <v>YUCA BELLIDO BORIS YERSY</v>
          </cell>
          <cell r="V5224" t="str">
            <v>FLOREZ CONDORI  JOSE WILLIANS</v>
          </cell>
        </row>
        <row r="5225">
          <cell r="A5225">
            <v>5224</v>
          </cell>
          <cell r="B5225">
            <v>42782</v>
          </cell>
          <cell r="C5225" t="str">
            <v>FEBRERO</v>
          </cell>
          <cell r="D5225" t="str">
            <v>2017</v>
          </cell>
          <cell r="E5225">
            <v>1046</v>
          </cell>
          <cell r="F5225" t="str">
            <v>X2W-759</v>
          </cell>
          <cell r="G5225" t="str">
            <v>C5V-999</v>
          </cell>
          <cell r="H5225" t="str">
            <v>LAS BAMBAS</v>
          </cell>
          <cell r="I5225">
            <v>161401</v>
          </cell>
          <cell r="J5225" t="str">
            <v>REPUESTO</v>
          </cell>
          <cell r="K5225" t="str">
            <v>PERNO 1/4 X 2"</v>
          </cell>
          <cell r="L5225">
            <v>2</v>
          </cell>
          <cell r="M5225" t="str">
            <v>UNID.</v>
          </cell>
          <cell r="N5225" t="str">
            <v>TRACTO</v>
          </cell>
          <cell r="O5225">
            <v>8</v>
          </cell>
          <cell r="P5225" t="str">
            <v>E2</v>
          </cell>
          <cell r="Q5225" t="str">
            <v>J1</v>
          </cell>
          <cell r="R5225" t="str">
            <v>J8</v>
          </cell>
          <cell r="S5225" t="str">
            <v>PENDIENTE</v>
          </cell>
          <cell r="T5225">
            <v>0</v>
          </cell>
          <cell r="U5225" t="str">
            <v>YUCA BELLIDO BORIS YERSY</v>
          </cell>
          <cell r="V5225" t="str">
            <v>FLOREZ CONDORI  JOSE WILLIANS</v>
          </cell>
        </row>
        <row r="5226">
          <cell r="A5226">
            <v>5225</v>
          </cell>
          <cell r="B5226">
            <v>42782</v>
          </cell>
          <cell r="C5226" t="str">
            <v>FEBRERO</v>
          </cell>
          <cell r="D5226" t="str">
            <v>2017</v>
          </cell>
          <cell r="E5226">
            <v>1046</v>
          </cell>
          <cell r="F5226" t="str">
            <v>X2W-759</v>
          </cell>
          <cell r="G5226" t="str">
            <v>C5V-999</v>
          </cell>
          <cell r="H5226" t="str">
            <v>LAS BAMBAS</v>
          </cell>
          <cell r="I5226">
            <v>161401</v>
          </cell>
          <cell r="J5226" t="str">
            <v>REPUESTO</v>
          </cell>
          <cell r="K5226" t="str">
            <v>PERNO ESTOBOL 1/2</v>
          </cell>
          <cell r="L5226">
            <v>1</v>
          </cell>
          <cell r="M5226" t="str">
            <v>UNID.</v>
          </cell>
          <cell r="N5226" t="str">
            <v>TRACTO</v>
          </cell>
          <cell r="O5226">
            <v>8</v>
          </cell>
          <cell r="P5226" t="str">
            <v>E2</v>
          </cell>
          <cell r="Q5226" t="str">
            <v>J1</v>
          </cell>
          <cell r="R5226" t="str">
            <v>J8</v>
          </cell>
          <cell r="S5226" t="str">
            <v>PENDIENTE</v>
          </cell>
          <cell r="T5226">
            <v>0</v>
          </cell>
          <cell r="U5226" t="str">
            <v>YUCA BELLIDO BORIS YERSY</v>
          </cell>
          <cell r="V5226" t="str">
            <v>FLOREZ CONDORI  JOSE WILLIANS</v>
          </cell>
        </row>
        <row r="5227">
          <cell r="A5227">
            <v>5226</v>
          </cell>
          <cell r="B5227">
            <v>42782</v>
          </cell>
          <cell r="C5227" t="str">
            <v>FEBRERO</v>
          </cell>
          <cell r="D5227" t="str">
            <v>2017</v>
          </cell>
          <cell r="E5227">
            <v>200</v>
          </cell>
          <cell r="F5227" t="str">
            <v>TALLER</v>
          </cell>
          <cell r="G5227" t="str">
            <v>TALLER</v>
          </cell>
          <cell r="H5227" t="str">
            <v>TALLER</v>
          </cell>
          <cell r="I5227" t="str">
            <v>TALLER</v>
          </cell>
          <cell r="J5227" t="str">
            <v>REPUESTO</v>
          </cell>
          <cell r="K5227" t="str">
            <v>BOQUILLA DE CORTE NRO 01</v>
          </cell>
          <cell r="L5227">
            <v>1</v>
          </cell>
          <cell r="M5227" t="str">
            <v>UNID.</v>
          </cell>
          <cell r="N5227" t="str">
            <v>TALLER</v>
          </cell>
          <cell r="O5227">
            <v>8</v>
          </cell>
          <cell r="P5227" t="str">
            <v>S1</v>
          </cell>
          <cell r="Q5227" t="str">
            <v>J1</v>
          </cell>
          <cell r="R5227" t="str">
            <v>J8</v>
          </cell>
          <cell r="S5227" t="str">
            <v>PENDIENTE</v>
          </cell>
          <cell r="T5227">
            <v>0</v>
          </cell>
          <cell r="U5227" t="str">
            <v>BAYONA CRUZ CRISTIAN ARMANDO</v>
          </cell>
          <cell r="V5227" t="str">
            <v>FLOREZ CONDORI  JOSE WILLIANS</v>
          </cell>
        </row>
        <row r="5228">
          <cell r="A5228">
            <v>5227</v>
          </cell>
          <cell r="B5228">
            <v>42782</v>
          </cell>
          <cell r="C5228" t="str">
            <v>FEBRERO</v>
          </cell>
          <cell r="D5228" t="str">
            <v>2017</v>
          </cell>
          <cell r="E5228">
            <v>1053</v>
          </cell>
          <cell r="F5228" t="str">
            <v>AKW-894</v>
          </cell>
          <cell r="G5228" t="str">
            <v>TBN-978</v>
          </cell>
          <cell r="H5228" t="str">
            <v>LAS BAMBAS</v>
          </cell>
          <cell r="I5228">
            <v>49596</v>
          </cell>
          <cell r="J5228" t="str">
            <v>REPUESTO</v>
          </cell>
          <cell r="K5228" t="str">
            <v>FARO NEBLINERO</v>
          </cell>
          <cell r="L5228">
            <v>2</v>
          </cell>
          <cell r="M5228" t="str">
            <v>UNID.</v>
          </cell>
          <cell r="N5228" t="str">
            <v>TRACTO</v>
          </cell>
          <cell r="O5228">
            <v>8</v>
          </cell>
          <cell r="P5228" t="str">
            <v>E3</v>
          </cell>
          <cell r="Q5228" t="str">
            <v>J1</v>
          </cell>
          <cell r="R5228" t="str">
            <v>J8</v>
          </cell>
          <cell r="S5228" t="str">
            <v>PENDIENTE</v>
          </cell>
          <cell r="T5228">
            <v>0</v>
          </cell>
          <cell r="U5228" t="str">
            <v>CONDORI CHURATA ALEX</v>
          </cell>
          <cell r="V5228" t="str">
            <v>FLOREZ CONDORI  JOSE WILLIANS</v>
          </cell>
        </row>
        <row r="5229">
          <cell r="A5229">
            <v>5228</v>
          </cell>
          <cell r="B5229">
            <v>42782</v>
          </cell>
          <cell r="C5229" t="str">
            <v>FEBRERO</v>
          </cell>
          <cell r="D5229" t="str">
            <v>2017</v>
          </cell>
          <cell r="E5229">
            <v>1056</v>
          </cell>
          <cell r="F5229" t="str">
            <v>D4X-872</v>
          </cell>
          <cell r="G5229" t="str">
            <v>B4P-976</v>
          </cell>
          <cell r="H5229" t="str">
            <v>LAS BAMBAS</v>
          </cell>
          <cell r="I5229">
            <v>192495</v>
          </cell>
          <cell r="J5229" t="str">
            <v>REPUESTO</v>
          </cell>
          <cell r="K5229" t="str">
            <v>AGUA LIMPIA PARABRISA</v>
          </cell>
          <cell r="L5229">
            <v>1</v>
          </cell>
          <cell r="M5229" t="str">
            <v>GLNS.</v>
          </cell>
          <cell r="N5229" t="str">
            <v>TRACTO</v>
          </cell>
          <cell r="O5229">
            <v>8</v>
          </cell>
          <cell r="P5229" t="str">
            <v>M10</v>
          </cell>
          <cell r="Q5229" t="str">
            <v>J1</v>
          </cell>
          <cell r="R5229" t="str">
            <v>J8</v>
          </cell>
          <cell r="S5229" t="str">
            <v>PENDIENTE</v>
          </cell>
          <cell r="T5229">
            <v>0</v>
          </cell>
          <cell r="U5229" t="str">
            <v>MAMANI SANTOS BLADIMIR</v>
          </cell>
          <cell r="V5229" t="str">
            <v>FLOREZ CONDORI  JOSE WILLIANS</v>
          </cell>
        </row>
        <row r="5230">
          <cell r="A5230">
            <v>5229</v>
          </cell>
          <cell r="B5230">
            <v>42782</v>
          </cell>
          <cell r="C5230" t="str">
            <v>FEBRERO</v>
          </cell>
          <cell r="D5230" t="str">
            <v>2017</v>
          </cell>
          <cell r="E5230">
            <v>200</v>
          </cell>
          <cell r="F5230" t="str">
            <v>TALLER</v>
          </cell>
          <cell r="G5230" t="str">
            <v>TALLER</v>
          </cell>
          <cell r="H5230" t="str">
            <v>TALLER</v>
          </cell>
          <cell r="I5230" t="str">
            <v>TALLER</v>
          </cell>
          <cell r="J5230" t="str">
            <v>MATERIALES</v>
          </cell>
          <cell r="K5230" t="str">
            <v>DISCO DE CORTE DE 7</v>
          </cell>
          <cell r="L5230">
            <v>2</v>
          </cell>
          <cell r="M5230" t="str">
            <v>UNID.</v>
          </cell>
          <cell r="N5230" t="str">
            <v>TALLER</v>
          </cell>
          <cell r="O5230">
            <v>8</v>
          </cell>
          <cell r="P5230" t="str">
            <v>S1</v>
          </cell>
          <cell r="Q5230" t="str">
            <v>J1</v>
          </cell>
          <cell r="R5230" t="str">
            <v>J8</v>
          </cell>
          <cell r="S5230" t="str">
            <v>PENDIENTE</v>
          </cell>
          <cell r="T5230">
            <v>0</v>
          </cell>
          <cell r="U5230" t="str">
            <v>BAYONA CRUZ CRISTIAN ARMANDO</v>
          </cell>
          <cell r="V5230" t="str">
            <v>FLOREZ CONDORI  JOSE WILLIANS</v>
          </cell>
        </row>
        <row r="5231">
          <cell r="A5231">
            <v>5230</v>
          </cell>
          <cell r="B5231">
            <v>42782</v>
          </cell>
          <cell r="C5231" t="str">
            <v>FEBRERO</v>
          </cell>
          <cell r="D5231" t="str">
            <v>2017</v>
          </cell>
          <cell r="E5231">
            <v>200</v>
          </cell>
          <cell r="F5231" t="str">
            <v>TALLER</v>
          </cell>
          <cell r="G5231" t="str">
            <v>TALLER</v>
          </cell>
          <cell r="H5231" t="str">
            <v>TALLER</v>
          </cell>
          <cell r="I5231" t="str">
            <v>TALLER</v>
          </cell>
          <cell r="J5231" t="str">
            <v>MATERIALES</v>
          </cell>
          <cell r="K5231" t="str">
            <v>DISCO DE CORTE DE 4</v>
          </cell>
          <cell r="L5231">
            <v>2</v>
          </cell>
          <cell r="M5231" t="str">
            <v>UNID.</v>
          </cell>
          <cell r="N5231" t="str">
            <v>TALLER</v>
          </cell>
          <cell r="O5231">
            <v>8</v>
          </cell>
          <cell r="P5231" t="str">
            <v>S1</v>
          </cell>
          <cell r="Q5231" t="str">
            <v>J1</v>
          </cell>
          <cell r="R5231" t="str">
            <v>J8</v>
          </cell>
          <cell r="S5231" t="str">
            <v>PENDIENTE</v>
          </cell>
          <cell r="T5231">
            <v>0</v>
          </cell>
          <cell r="U5231" t="str">
            <v>BAYONA CRUZ CRISTIAN ARMANDO</v>
          </cell>
          <cell r="V5231" t="str">
            <v>FLOREZ CONDORI  JOSE WILLIANS</v>
          </cell>
        </row>
        <row r="5232">
          <cell r="A5232">
            <v>5231</v>
          </cell>
          <cell r="B5232">
            <v>42783</v>
          </cell>
          <cell r="C5232" t="str">
            <v>FEBRERO</v>
          </cell>
          <cell r="D5232" t="str">
            <v>2017</v>
          </cell>
          <cell r="E5232">
            <v>1039</v>
          </cell>
          <cell r="F5232" t="str">
            <v>ABR-796</v>
          </cell>
          <cell r="G5232" t="str">
            <v>C9S-994</v>
          </cell>
          <cell r="H5232" t="str">
            <v>LAS BAMBAS</v>
          </cell>
          <cell r="I5232">
            <v>119053</v>
          </cell>
          <cell r="J5232" t="str">
            <v>REPUESTO</v>
          </cell>
          <cell r="K5232" t="str">
            <v>TAPABARRO RH.</v>
          </cell>
          <cell r="L5232">
            <v>1</v>
          </cell>
          <cell r="M5232" t="str">
            <v>UNID.</v>
          </cell>
          <cell r="N5232" t="str">
            <v>TRACTO</v>
          </cell>
          <cell r="O5232">
            <v>7</v>
          </cell>
          <cell r="P5232" t="str">
            <v>M10</v>
          </cell>
          <cell r="Q5232" t="str">
            <v>J1</v>
          </cell>
          <cell r="R5232" t="str">
            <v>J8</v>
          </cell>
          <cell r="S5232" t="str">
            <v>PENDIENTE</v>
          </cell>
          <cell r="T5232">
            <v>0</v>
          </cell>
          <cell r="U5232" t="str">
            <v>MAMANI SANTOS BLADIMIR</v>
          </cell>
          <cell r="V5232" t="str">
            <v>FLOREZ CONDORI  JOSE WILLIANS</v>
          </cell>
        </row>
        <row r="5233">
          <cell r="A5233">
            <v>5232</v>
          </cell>
          <cell r="B5233">
            <v>42783</v>
          </cell>
          <cell r="C5233" t="str">
            <v>FEBRERO</v>
          </cell>
          <cell r="D5233" t="str">
            <v>2017</v>
          </cell>
          <cell r="E5233">
            <v>1039</v>
          </cell>
          <cell r="F5233" t="str">
            <v>ABR-796</v>
          </cell>
          <cell r="G5233" t="str">
            <v>C9S-994</v>
          </cell>
          <cell r="H5233" t="str">
            <v>LAS BAMBAS</v>
          </cell>
          <cell r="I5233">
            <v>119053</v>
          </cell>
          <cell r="J5233" t="str">
            <v>REPUESTO</v>
          </cell>
          <cell r="K5233" t="str">
            <v>PERNO 5/16</v>
          </cell>
          <cell r="L5233">
            <v>4</v>
          </cell>
          <cell r="M5233" t="str">
            <v>UNID.</v>
          </cell>
          <cell r="N5233" t="str">
            <v>TRACTO</v>
          </cell>
          <cell r="O5233">
            <v>7</v>
          </cell>
          <cell r="P5233" t="str">
            <v>M10</v>
          </cell>
          <cell r="Q5233" t="str">
            <v>J1</v>
          </cell>
          <cell r="R5233" t="str">
            <v>J8</v>
          </cell>
          <cell r="S5233" t="str">
            <v>PENDIENTE</v>
          </cell>
          <cell r="T5233">
            <v>0</v>
          </cell>
          <cell r="U5233" t="str">
            <v>MAMANI SANTOS BLADIMIR</v>
          </cell>
          <cell r="V5233" t="str">
            <v>FLOREZ CONDORI  JOSE WILLIANS</v>
          </cell>
        </row>
        <row r="5234">
          <cell r="A5234">
            <v>5233</v>
          </cell>
          <cell r="B5234">
            <v>42783</v>
          </cell>
          <cell r="C5234" t="str">
            <v>FEBRERO</v>
          </cell>
          <cell r="D5234" t="str">
            <v>2017</v>
          </cell>
          <cell r="E5234">
            <v>1039</v>
          </cell>
          <cell r="F5234" t="str">
            <v>ABR-796</v>
          </cell>
          <cell r="G5234" t="str">
            <v>C9S-994</v>
          </cell>
          <cell r="H5234" t="str">
            <v>LAS BAMBAS</v>
          </cell>
          <cell r="I5234">
            <v>119053</v>
          </cell>
          <cell r="J5234" t="str">
            <v>REPUESTO</v>
          </cell>
          <cell r="K5234" t="str">
            <v>TUERCA DE 5/16</v>
          </cell>
          <cell r="L5234">
            <v>4</v>
          </cell>
          <cell r="M5234" t="str">
            <v>UNID.</v>
          </cell>
          <cell r="N5234" t="str">
            <v>TRACTO</v>
          </cell>
          <cell r="O5234">
            <v>7</v>
          </cell>
          <cell r="P5234" t="str">
            <v>M10</v>
          </cell>
          <cell r="Q5234" t="str">
            <v>J1</v>
          </cell>
          <cell r="R5234" t="str">
            <v>J8</v>
          </cell>
          <cell r="S5234" t="str">
            <v>PENDIENTE</v>
          </cell>
          <cell r="T5234">
            <v>0</v>
          </cell>
          <cell r="U5234" t="str">
            <v>MAMANI SANTOS BLADIMIR</v>
          </cell>
          <cell r="V5234" t="str">
            <v>FLOREZ CONDORI  JOSE WILLIANS</v>
          </cell>
        </row>
        <row r="5235">
          <cell r="A5235">
            <v>5234</v>
          </cell>
          <cell r="B5235">
            <v>42783</v>
          </cell>
          <cell r="C5235" t="str">
            <v>FEBRERO</v>
          </cell>
          <cell r="D5235" t="str">
            <v>2017</v>
          </cell>
          <cell r="E5235">
            <v>200</v>
          </cell>
          <cell r="F5235" t="str">
            <v>TALLER</v>
          </cell>
          <cell r="G5235" t="str">
            <v>TALLER</v>
          </cell>
          <cell r="H5235" t="str">
            <v>TALLER</v>
          </cell>
          <cell r="I5235" t="str">
            <v>TALLER</v>
          </cell>
          <cell r="J5235" t="str">
            <v>SERVICIO</v>
          </cell>
          <cell r="K5235" t="str">
            <v>SERVICIO CORTE Y DOBLADO</v>
          </cell>
          <cell r="L5235">
            <v>1</v>
          </cell>
          <cell r="M5235" t="str">
            <v>UNID.</v>
          </cell>
          <cell r="N5235" t="str">
            <v>TALLER</v>
          </cell>
          <cell r="O5235">
            <v>7</v>
          </cell>
          <cell r="P5235" t="str">
            <v>S1</v>
          </cell>
          <cell r="Q5235" t="str">
            <v>J1</v>
          </cell>
          <cell r="R5235" t="str">
            <v>J8</v>
          </cell>
          <cell r="S5235" t="str">
            <v>PENDIENTE</v>
          </cell>
          <cell r="T5235">
            <v>0</v>
          </cell>
          <cell r="U5235" t="str">
            <v>BAYONA CRUZ CRISTIAN ARMANDO</v>
          </cell>
          <cell r="V5235" t="str">
            <v>FLOREZ CONDORI  JOSE WILLIANS</v>
          </cell>
        </row>
        <row r="5236">
          <cell r="A5236">
            <v>5235</v>
          </cell>
          <cell r="B5236">
            <v>42783</v>
          </cell>
          <cell r="C5236" t="str">
            <v>FEBRERO</v>
          </cell>
          <cell r="D5236" t="str">
            <v>2017</v>
          </cell>
          <cell r="E5236">
            <v>1060</v>
          </cell>
          <cell r="F5236" t="str">
            <v>AEH-801</v>
          </cell>
          <cell r="G5236" t="str">
            <v>CAMIONETA</v>
          </cell>
          <cell r="H5236" t="str">
            <v>LAS BAMBAS</v>
          </cell>
          <cell r="I5236">
            <v>100592</v>
          </cell>
          <cell r="J5236" t="str">
            <v>REPUESTO</v>
          </cell>
          <cell r="K5236" t="str">
            <v>ENCHUFE DE PTT</v>
          </cell>
          <cell r="L5236">
            <v>1</v>
          </cell>
          <cell r="M5236" t="str">
            <v>UNID.</v>
          </cell>
          <cell r="N5236" t="str">
            <v>TRACTO</v>
          </cell>
          <cell r="O5236">
            <v>7</v>
          </cell>
          <cell r="P5236" t="str">
            <v>E3</v>
          </cell>
          <cell r="Q5236" t="str">
            <v>J1</v>
          </cell>
          <cell r="R5236" t="str">
            <v>J8</v>
          </cell>
          <cell r="S5236" t="str">
            <v>PENDIENTE</v>
          </cell>
          <cell r="T5236">
            <v>0</v>
          </cell>
          <cell r="U5236" t="str">
            <v>CONDORI CHURATA ALEX</v>
          </cell>
          <cell r="V5236" t="str">
            <v>FLOREZ CONDORI  JOSE WILLIANS</v>
          </cell>
        </row>
        <row r="5237">
          <cell r="A5237">
            <v>5236</v>
          </cell>
          <cell r="B5237">
            <v>42783</v>
          </cell>
          <cell r="C5237" t="e">
            <v>#REF!</v>
          </cell>
          <cell r="D5237" t="e">
            <v>#REF!</v>
          </cell>
          <cell r="E5237">
            <v>1060</v>
          </cell>
          <cell r="F5237" t="str">
            <v>AEH-801</v>
          </cell>
          <cell r="G5237" t="str">
            <v>CAMIONETA</v>
          </cell>
          <cell r="H5237" t="str">
            <v>LAS BAMBAS</v>
          </cell>
          <cell r="I5237">
            <v>100592</v>
          </cell>
          <cell r="J5237" t="str">
            <v>REPUESTO</v>
          </cell>
          <cell r="K5237" t="str">
            <v>FOCO LAGRIMA</v>
          </cell>
          <cell r="L5237">
            <v>2</v>
          </cell>
          <cell r="M5237" t="str">
            <v>UNID.</v>
          </cell>
          <cell r="N5237" t="str">
            <v>TRACTO</v>
          </cell>
          <cell r="O5237">
            <v>7</v>
          </cell>
          <cell r="P5237" t="str">
            <v>E2</v>
          </cell>
          <cell r="Q5237" t="str">
            <v>J1</v>
          </cell>
          <cell r="R5237" t="str">
            <v>J8</v>
          </cell>
          <cell r="S5237" t="str">
            <v>PENDIENTE</v>
          </cell>
          <cell r="T5237">
            <v>0</v>
          </cell>
          <cell r="U5237" t="str">
            <v>YUCA BELLIDO BORIS YERSY</v>
          </cell>
          <cell r="V5237" t="str">
            <v>FLOREZ CONDORI  JOSE WILLIANS</v>
          </cell>
        </row>
        <row r="5238">
          <cell r="A5238">
            <v>5237</v>
          </cell>
          <cell r="B5238">
            <v>42783</v>
          </cell>
          <cell r="C5238" t="e">
            <v>#REF!</v>
          </cell>
          <cell r="D5238" t="e">
            <v>#REF!</v>
          </cell>
          <cell r="E5238">
            <v>1039</v>
          </cell>
          <cell r="F5238" t="str">
            <v>ABR-796</v>
          </cell>
          <cell r="G5238" t="str">
            <v>C9S-994</v>
          </cell>
          <cell r="H5238" t="str">
            <v>LAS BAMBAS</v>
          </cell>
          <cell r="I5238">
            <v>119053</v>
          </cell>
          <cell r="J5238" t="str">
            <v>REPUESTO</v>
          </cell>
          <cell r="K5238" t="str">
            <v>ACEITE DE MOTOR 15W40</v>
          </cell>
          <cell r="L5238">
            <v>1</v>
          </cell>
          <cell r="M5238" t="str">
            <v>GLNS.</v>
          </cell>
          <cell r="N5238" t="str">
            <v>TRACTO</v>
          </cell>
          <cell r="O5238">
            <v>7</v>
          </cell>
          <cell r="P5238" t="str">
            <v>M10</v>
          </cell>
          <cell r="Q5238" t="str">
            <v>J1</v>
          </cell>
          <cell r="R5238" t="str">
            <v>J8</v>
          </cell>
          <cell r="S5238" t="str">
            <v>PENDIENTE</v>
          </cell>
          <cell r="T5238">
            <v>0</v>
          </cell>
          <cell r="U5238" t="str">
            <v>MAMANI SANTOS BLADIMIR</v>
          </cell>
          <cell r="V5238" t="str">
            <v>FLOREZ CONDORI  JOSE WILLIANS</v>
          </cell>
        </row>
        <row r="5239">
          <cell r="A5239">
            <v>5238</v>
          </cell>
          <cell r="B5239">
            <v>42783</v>
          </cell>
          <cell r="C5239" t="str">
            <v>FEBRERO</v>
          </cell>
          <cell r="D5239" t="str">
            <v>2017</v>
          </cell>
          <cell r="E5239">
            <v>200</v>
          </cell>
          <cell r="F5239" t="str">
            <v>TALLER</v>
          </cell>
          <cell r="G5239" t="str">
            <v>TALLER</v>
          </cell>
          <cell r="H5239" t="str">
            <v>TALLER</v>
          </cell>
          <cell r="I5239" t="str">
            <v>TALLER</v>
          </cell>
          <cell r="J5239" t="str">
            <v>HERRAMIENTAS</v>
          </cell>
          <cell r="K5239" t="str">
            <v xml:space="preserve">BOQUILLA SOLDADURA AUTOGENA </v>
          </cell>
          <cell r="L5239">
            <v>1</v>
          </cell>
          <cell r="M5239" t="str">
            <v>UNID.</v>
          </cell>
          <cell r="N5239" t="str">
            <v>TALLER</v>
          </cell>
          <cell r="O5239">
            <v>7</v>
          </cell>
          <cell r="P5239" t="str">
            <v>S4</v>
          </cell>
          <cell r="Q5239" t="str">
            <v>J1</v>
          </cell>
          <cell r="R5239" t="str">
            <v>J8</v>
          </cell>
          <cell r="S5239" t="str">
            <v>PENDIENTE</v>
          </cell>
          <cell r="T5239">
            <v>0</v>
          </cell>
          <cell r="U5239" t="str">
            <v>SURCO QUISPE JOHNNY</v>
          </cell>
          <cell r="V5239" t="str">
            <v>FLOREZ CONDORI  JOSE WILLIANS</v>
          </cell>
        </row>
        <row r="5240">
          <cell r="A5240">
            <v>5239</v>
          </cell>
          <cell r="B5240">
            <v>42783</v>
          </cell>
          <cell r="C5240" t="str">
            <v>FEBRERO</v>
          </cell>
          <cell r="D5240" t="str">
            <v>2017</v>
          </cell>
          <cell r="E5240">
            <v>200</v>
          </cell>
          <cell r="F5240" t="str">
            <v>TALLER</v>
          </cell>
          <cell r="G5240" t="str">
            <v>TALLER</v>
          </cell>
          <cell r="H5240" t="str">
            <v>TALLER</v>
          </cell>
          <cell r="I5240" t="str">
            <v>TALLER</v>
          </cell>
          <cell r="J5240" t="str">
            <v>MATERIALES</v>
          </cell>
          <cell r="K5240" t="str">
            <v>BORAX (POLVO)</v>
          </cell>
          <cell r="L5240">
            <v>1</v>
          </cell>
          <cell r="M5240" t="str">
            <v>UNID.</v>
          </cell>
          <cell r="N5240" t="str">
            <v>TALLER</v>
          </cell>
          <cell r="O5240">
            <v>7</v>
          </cell>
          <cell r="P5240" t="str">
            <v>S4</v>
          </cell>
          <cell r="Q5240" t="str">
            <v>J1</v>
          </cell>
          <cell r="R5240" t="str">
            <v>J8</v>
          </cell>
          <cell r="S5240" t="str">
            <v>PENDIENTE</v>
          </cell>
          <cell r="T5240">
            <v>0</v>
          </cell>
          <cell r="U5240" t="str">
            <v>SURCO QUISPE JOHNNY</v>
          </cell>
          <cell r="V5240" t="str">
            <v>FLOREZ CONDORI  JOSE WILLIANS</v>
          </cell>
        </row>
        <row r="5241">
          <cell r="A5241">
            <v>5240</v>
          </cell>
          <cell r="B5241">
            <v>42783</v>
          </cell>
          <cell r="C5241" t="str">
            <v>FEBRERO</v>
          </cell>
          <cell r="D5241" t="str">
            <v>2017</v>
          </cell>
          <cell r="E5241">
            <v>1059</v>
          </cell>
          <cell r="F5241" t="str">
            <v>D3O-745</v>
          </cell>
          <cell r="G5241" t="str">
            <v>F3L-979</v>
          </cell>
          <cell r="H5241" t="str">
            <v>LAS BAMBAS</v>
          </cell>
          <cell r="I5241">
            <v>168397</v>
          </cell>
          <cell r="J5241" t="str">
            <v>REPUESTO</v>
          </cell>
          <cell r="K5241" t="str">
            <v>FARO REDONDO PEQUEÑO LATERAL</v>
          </cell>
          <cell r="L5241">
            <v>2</v>
          </cell>
          <cell r="M5241" t="str">
            <v>UNID.</v>
          </cell>
          <cell r="N5241" t="str">
            <v>CISTERNA</v>
          </cell>
          <cell r="O5241">
            <v>7</v>
          </cell>
          <cell r="P5241" t="str">
            <v>E2</v>
          </cell>
          <cell r="Q5241" t="str">
            <v>J1</v>
          </cell>
          <cell r="R5241" t="str">
            <v>J8</v>
          </cell>
          <cell r="S5241" t="str">
            <v>PENDIENTE</v>
          </cell>
          <cell r="T5241">
            <v>0</v>
          </cell>
          <cell r="U5241" t="str">
            <v>YUCA BELLIDO BORIS YERSY</v>
          </cell>
          <cell r="V5241" t="str">
            <v>FLOREZ CONDORI  JOSE WILLIANS</v>
          </cell>
        </row>
        <row r="5242">
          <cell r="A5242">
            <v>5241</v>
          </cell>
          <cell r="B5242">
            <v>42783</v>
          </cell>
          <cell r="C5242" t="str">
            <v>FEBRERO</v>
          </cell>
          <cell r="D5242" t="str">
            <v>2017</v>
          </cell>
          <cell r="E5242">
            <v>1055</v>
          </cell>
          <cell r="F5242" t="str">
            <v>X2W-788</v>
          </cell>
          <cell r="G5242" t="str">
            <v>C5V-994</v>
          </cell>
          <cell r="H5242" t="str">
            <v>LAS BAMBAS</v>
          </cell>
          <cell r="I5242">
            <v>148229</v>
          </cell>
          <cell r="J5242" t="str">
            <v>MATERIALES</v>
          </cell>
          <cell r="K5242" t="str">
            <v>SILICONA GRAY</v>
          </cell>
          <cell r="L5242">
            <v>1</v>
          </cell>
          <cell r="M5242" t="str">
            <v>UNID.</v>
          </cell>
          <cell r="N5242" t="str">
            <v>TRACTO</v>
          </cell>
          <cell r="O5242">
            <v>7</v>
          </cell>
          <cell r="P5242" t="str">
            <v>M8</v>
          </cell>
          <cell r="Q5242" t="str">
            <v>J1</v>
          </cell>
          <cell r="R5242" t="str">
            <v>J8</v>
          </cell>
          <cell r="S5242" t="str">
            <v>PENDIENTE</v>
          </cell>
          <cell r="T5242">
            <v>0</v>
          </cell>
          <cell r="U5242" t="str">
            <v>VARILLAS GAGO  OSCAR ALBERTO</v>
          </cell>
          <cell r="V5242" t="str">
            <v>FLOREZ CONDORI  JOSE WILLIANS</v>
          </cell>
        </row>
        <row r="5243">
          <cell r="A5243">
            <v>5242</v>
          </cell>
          <cell r="B5243">
            <v>42783</v>
          </cell>
          <cell r="C5243" t="str">
            <v>FEBRERO</v>
          </cell>
          <cell r="D5243" t="str">
            <v>2017</v>
          </cell>
          <cell r="E5243">
            <v>1062</v>
          </cell>
          <cell r="F5243" t="str">
            <v>ABP-729</v>
          </cell>
          <cell r="G5243" t="str">
            <v>D8K-985</v>
          </cell>
          <cell r="H5243" t="str">
            <v>LAS BAMBAS</v>
          </cell>
          <cell r="I5243">
            <v>120675</v>
          </cell>
          <cell r="J5243" t="str">
            <v>REPUESTO</v>
          </cell>
          <cell r="K5243" t="str">
            <v>KIT DE ACCESORIOS DE CARTUCHO - PULPO</v>
          </cell>
          <cell r="L5243">
            <v>1</v>
          </cell>
          <cell r="M5243" t="str">
            <v>UNID.</v>
          </cell>
          <cell r="N5243" t="str">
            <v>CISTERNA</v>
          </cell>
          <cell r="O5243">
            <v>7</v>
          </cell>
          <cell r="P5243" t="str">
            <v>M6</v>
          </cell>
          <cell r="Q5243" t="str">
            <v>J1</v>
          </cell>
          <cell r="R5243" t="str">
            <v>J8</v>
          </cell>
          <cell r="S5243" t="str">
            <v>PENDIENTE</v>
          </cell>
          <cell r="T5243">
            <v>0</v>
          </cell>
          <cell r="U5243" t="str">
            <v>PARI VENTURA  EDSON ORLANDO</v>
          </cell>
          <cell r="V5243" t="str">
            <v>FLOREZ CONDORI  JOSE WILLIANS</v>
          </cell>
        </row>
        <row r="5244">
          <cell r="A5244">
            <v>5243</v>
          </cell>
          <cell r="B5244">
            <v>42783</v>
          </cell>
          <cell r="C5244" t="str">
            <v>FEBRERO</v>
          </cell>
          <cell r="D5244" t="str">
            <v>2017</v>
          </cell>
          <cell r="E5244">
            <v>1063</v>
          </cell>
          <cell r="F5244" t="str">
            <v>ABQ-705</v>
          </cell>
          <cell r="G5244" t="str">
            <v>D0Z-996</v>
          </cell>
          <cell r="H5244" t="str">
            <v>LAS BAMBAS</v>
          </cell>
          <cell r="I5244">
            <v>118838</v>
          </cell>
          <cell r="J5244" t="str">
            <v>REPUESTO</v>
          </cell>
          <cell r="K5244" t="str">
            <v>SOCKET TOWN</v>
          </cell>
          <cell r="L5244">
            <v>1</v>
          </cell>
          <cell r="M5244" t="str">
            <v>UNID.</v>
          </cell>
          <cell r="N5244" t="str">
            <v>TRACTO</v>
          </cell>
          <cell r="O5244">
            <v>7</v>
          </cell>
          <cell r="P5244" t="str">
            <v>E2</v>
          </cell>
          <cell r="Q5244" t="str">
            <v>J1</v>
          </cell>
          <cell r="R5244" t="str">
            <v>J8</v>
          </cell>
          <cell r="S5244" t="str">
            <v>PENDIENTE</v>
          </cell>
          <cell r="T5244">
            <v>0</v>
          </cell>
          <cell r="U5244" t="str">
            <v>YUCA BELLIDO BORIS YERSY</v>
          </cell>
          <cell r="V5244" t="str">
            <v>FLOREZ CONDORI  JOSE WILLIANS</v>
          </cell>
        </row>
        <row r="5245">
          <cell r="A5245">
            <v>5244</v>
          </cell>
          <cell r="B5245">
            <v>42783</v>
          </cell>
          <cell r="C5245" t="str">
            <v>FEBRERO</v>
          </cell>
          <cell r="D5245" t="str">
            <v>2017</v>
          </cell>
          <cell r="E5245">
            <v>1063</v>
          </cell>
          <cell r="F5245" t="str">
            <v>ABQ-705</v>
          </cell>
          <cell r="G5245" t="str">
            <v>D0Z-996</v>
          </cell>
          <cell r="H5245" t="str">
            <v>LAS BAMBAS</v>
          </cell>
          <cell r="I5245">
            <v>118838</v>
          </cell>
          <cell r="J5245" t="str">
            <v>REPUESTO</v>
          </cell>
          <cell r="K5245" t="str">
            <v>FOCO 9006</v>
          </cell>
          <cell r="L5245">
            <v>1</v>
          </cell>
          <cell r="M5245" t="str">
            <v>UNID.</v>
          </cell>
          <cell r="N5245" t="str">
            <v>TRACTO</v>
          </cell>
          <cell r="O5245">
            <v>7</v>
          </cell>
          <cell r="P5245" t="str">
            <v>E2</v>
          </cell>
          <cell r="Q5245" t="str">
            <v>J1</v>
          </cell>
          <cell r="R5245" t="str">
            <v>J8</v>
          </cell>
          <cell r="S5245" t="str">
            <v>PENDIENTE</v>
          </cell>
          <cell r="T5245">
            <v>0</v>
          </cell>
          <cell r="U5245" t="str">
            <v>YUCA BELLIDO BORIS YERSY</v>
          </cell>
          <cell r="V5245" t="str">
            <v>FLOREZ CONDORI  JOSE WILLIANS</v>
          </cell>
        </row>
        <row r="5246">
          <cell r="A5246">
            <v>5245</v>
          </cell>
          <cell r="B5246">
            <v>42783</v>
          </cell>
          <cell r="C5246" t="str">
            <v>FEBRERO</v>
          </cell>
          <cell r="D5246" t="str">
            <v>2017</v>
          </cell>
          <cell r="E5246">
            <v>1055</v>
          </cell>
          <cell r="F5246" t="str">
            <v>X2W-788</v>
          </cell>
          <cell r="G5246" t="str">
            <v>C5V-994</v>
          </cell>
          <cell r="H5246" t="str">
            <v>LAS BAMBAS</v>
          </cell>
          <cell r="I5246">
            <v>148229</v>
          </cell>
          <cell r="J5246" t="str">
            <v>REPUESTO</v>
          </cell>
          <cell r="K5246" t="str">
            <v>REFRIGERANTE</v>
          </cell>
          <cell r="L5246">
            <v>1</v>
          </cell>
          <cell r="M5246" t="str">
            <v>GLNS.</v>
          </cell>
          <cell r="N5246" t="str">
            <v>TRACTO</v>
          </cell>
          <cell r="O5246">
            <v>7</v>
          </cell>
          <cell r="P5246" t="str">
            <v>M5</v>
          </cell>
          <cell r="Q5246" t="str">
            <v>J1</v>
          </cell>
          <cell r="R5246" t="str">
            <v>J8</v>
          </cell>
          <cell r="S5246" t="str">
            <v>PENDIENTE</v>
          </cell>
          <cell r="T5246">
            <v>0</v>
          </cell>
          <cell r="U5246" t="str">
            <v>LOPEZ RUIZ WILBERTO</v>
          </cell>
          <cell r="V5246" t="str">
            <v>FLOREZ CONDORI  JOSE WILLIANS</v>
          </cell>
        </row>
        <row r="5247">
          <cell r="A5247">
            <v>5246</v>
          </cell>
          <cell r="B5247">
            <v>42783</v>
          </cell>
          <cell r="C5247" t="str">
            <v>FEBRERO</v>
          </cell>
          <cell r="D5247" t="str">
            <v>2017</v>
          </cell>
          <cell r="E5247">
            <v>1055</v>
          </cell>
          <cell r="F5247" t="str">
            <v>X2W-788</v>
          </cell>
          <cell r="G5247" t="str">
            <v>C5V-994</v>
          </cell>
          <cell r="H5247" t="str">
            <v>LAS BAMBAS</v>
          </cell>
          <cell r="I5247">
            <v>148229</v>
          </cell>
          <cell r="J5247" t="str">
            <v>REPUESTO</v>
          </cell>
          <cell r="K5247" t="str">
            <v>AGUA LIMPIA PARABRISA</v>
          </cell>
          <cell r="L5247">
            <v>1</v>
          </cell>
          <cell r="M5247" t="str">
            <v>GLNS.</v>
          </cell>
          <cell r="N5247" t="str">
            <v>TRACTO</v>
          </cell>
          <cell r="O5247">
            <v>7</v>
          </cell>
          <cell r="P5247" t="str">
            <v>M5</v>
          </cell>
          <cell r="Q5247" t="str">
            <v>J1</v>
          </cell>
          <cell r="R5247" t="str">
            <v>J8</v>
          </cell>
          <cell r="S5247" t="str">
            <v>PENDIENTE</v>
          </cell>
          <cell r="T5247">
            <v>0</v>
          </cell>
          <cell r="U5247" t="str">
            <v>LOPEZ RUIZ WILBERTO</v>
          </cell>
          <cell r="V5247" t="str">
            <v>FLOREZ CONDORI  JOSE WILLIANS</v>
          </cell>
        </row>
        <row r="5248">
          <cell r="A5248">
            <v>5247</v>
          </cell>
          <cell r="B5248">
            <v>42783</v>
          </cell>
          <cell r="C5248" t="str">
            <v>FEBRERO</v>
          </cell>
          <cell r="D5248" t="str">
            <v>2017</v>
          </cell>
          <cell r="E5248">
            <v>1061</v>
          </cell>
          <cell r="F5248" t="str">
            <v>C9M-902</v>
          </cell>
          <cell r="G5248" t="str">
            <v>B8L-970</v>
          </cell>
          <cell r="H5248" t="str">
            <v>LAS BAMBAS</v>
          </cell>
          <cell r="I5248">
            <v>217798</v>
          </cell>
          <cell r="J5248" t="str">
            <v>REPUESTO</v>
          </cell>
          <cell r="K5248" t="str">
            <v>TERMINAL DE BATERIA</v>
          </cell>
          <cell r="L5248">
            <v>4</v>
          </cell>
          <cell r="M5248" t="str">
            <v>UNID.</v>
          </cell>
          <cell r="N5248" t="str">
            <v>TRACTO</v>
          </cell>
          <cell r="O5248">
            <v>7</v>
          </cell>
          <cell r="P5248" t="str">
            <v>E3</v>
          </cell>
          <cell r="Q5248" t="str">
            <v>J1</v>
          </cell>
          <cell r="R5248" t="str">
            <v>J8</v>
          </cell>
          <cell r="S5248" t="str">
            <v>PENDIENTE</v>
          </cell>
          <cell r="T5248">
            <v>0</v>
          </cell>
          <cell r="U5248" t="str">
            <v>CONDORI CHURATA ALEX</v>
          </cell>
          <cell r="V5248" t="str">
            <v>FLOREZ CONDORI  JOSE WILLIANS</v>
          </cell>
        </row>
        <row r="5249">
          <cell r="A5249">
            <v>5248</v>
          </cell>
          <cell r="B5249">
            <v>42783</v>
          </cell>
          <cell r="C5249" t="str">
            <v>FEBRERO</v>
          </cell>
          <cell r="D5249" t="str">
            <v>2017</v>
          </cell>
          <cell r="E5249">
            <v>200</v>
          </cell>
          <cell r="F5249" t="str">
            <v>TALLER</v>
          </cell>
          <cell r="G5249" t="str">
            <v>TALLER</v>
          </cell>
          <cell r="H5249" t="str">
            <v>TALLER</v>
          </cell>
          <cell r="I5249" t="str">
            <v>TALLER</v>
          </cell>
          <cell r="J5249" t="str">
            <v>MATERIALES</v>
          </cell>
          <cell r="K5249" t="str">
            <v>PINTURA AZUL PARA PARED</v>
          </cell>
          <cell r="L5249">
            <v>2</v>
          </cell>
          <cell r="M5249" t="str">
            <v>GLNS.</v>
          </cell>
          <cell r="N5249" t="str">
            <v>TALLER</v>
          </cell>
          <cell r="O5249">
            <v>7</v>
          </cell>
          <cell r="P5249" t="str">
            <v>J1</v>
          </cell>
          <cell r="Q5249" t="str">
            <v>J1</v>
          </cell>
          <cell r="R5249" t="str">
            <v>J8</v>
          </cell>
          <cell r="S5249" t="str">
            <v>PENDIENTE</v>
          </cell>
          <cell r="T5249">
            <v>0</v>
          </cell>
          <cell r="U5249" t="str">
            <v>FLOREZ CONDORI  JOSE WILLIANS</v>
          </cell>
          <cell r="V5249" t="str">
            <v>FLOREZ CONDORI  JOSE WILLIANS</v>
          </cell>
        </row>
        <row r="5250">
          <cell r="A5250">
            <v>5249</v>
          </cell>
          <cell r="B5250">
            <v>42783</v>
          </cell>
          <cell r="C5250" t="str">
            <v>FEBRERO</v>
          </cell>
          <cell r="D5250" t="str">
            <v>2017</v>
          </cell>
          <cell r="E5250">
            <v>200</v>
          </cell>
          <cell r="F5250" t="str">
            <v>TALLER</v>
          </cell>
          <cell r="G5250" t="str">
            <v>TALLER</v>
          </cell>
          <cell r="H5250" t="str">
            <v>TALLER</v>
          </cell>
          <cell r="I5250" t="str">
            <v>TALLER</v>
          </cell>
          <cell r="J5250" t="str">
            <v>MATERIALES</v>
          </cell>
          <cell r="K5250" t="str">
            <v>PINTURA BLANCA PARA PARED</v>
          </cell>
          <cell r="L5250">
            <v>3</v>
          </cell>
          <cell r="M5250" t="str">
            <v>GLNS.</v>
          </cell>
          <cell r="N5250" t="str">
            <v>TALLER</v>
          </cell>
          <cell r="O5250">
            <v>7</v>
          </cell>
          <cell r="P5250" t="str">
            <v>J1</v>
          </cell>
          <cell r="Q5250" t="str">
            <v>J1</v>
          </cell>
          <cell r="R5250" t="str">
            <v>J8</v>
          </cell>
          <cell r="S5250" t="str">
            <v>PENDIENTE</v>
          </cell>
          <cell r="T5250">
            <v>0</v>
          </cell>
          <cell r="U5250" t="str">
            <v>FLOREZ CONDORI  JOSE WILLIANS</v>
          </cell>
          <cell r="V5250" t="str">
            <v>FLOREZ CONDORI  JOSE WILLIANS</v>
          </cell>
        </row>
        <row r="5251">
          <cell r="A5251">
            <v>5250</v>
          </cell>
          <cell r="B5251">
            <v>42783</v>
          </cell>
          <cell r="C5251" t="str">
            <v>FEBRERO</v>
          </cell>
          <cell r="D5251" t="str">
            <v>2017</v>
          </cell>
          <cell r="E5251">
            <v>1046</v>
          </cell>
          <cell r="F5251" t="str">
            <v>X2W-759</v>
          </cell>
          <cell r="G5251" t="str">
            <v>C5V-999</v>
          </cell>
          <cell r="H5251" t="str">
            <v>LAS BAMBAS</v>
          </cell>
          <cell r="I5251">
            <v>161401</v>
          </cell>
          <cell r="J5251" t="str">
            <v>REPUESTO</v>
          </cell>
          <cell r="K5251" t="str">
            <v>VALVULA DE LIBERACION DE AIRE</v>
          </cell>
          <cell r="L5251">
            <v>2</v>
          </cell>
          <cell r="M5251" t="str">
            <v>UNID.</v>
          </cell>
          <cell r="N5251" t="str">
            <v>CISTERNA</v>
          </cell>
          <cell r="O5251">
            <v>7</v>
          </cell>
          <cell r="P5251" t="str">
            <v>M5</v>
          </cell>
          <cell r="Q5251" t="str">
            <v>J1</v>
          </cell>
          <cell r="R5251" t="str">
            <v>J8</v>
          </cell>
          <cell r="S5251" t="str">
            <v>PENDIENTE</v>
          </cell>
          <cell r="T5251">
            <v>0</v>
          </cell>
          <cell r="U5251" t="str">
            <v>LOPEZ RUIZ WILBERTO</v>
          </cell>
          <cell r="V5251" t="str">
            <v>FLOREZ CONDORI  JOSE WILLIANS</v>
          </cell>
        </row>
        <row r="5252">
          <cell r="A5252">
            <v>5251</v>
          </cell>
          <cell r="B5252">
            <v>42783</v>
          </cell>
          <cell r="C5252" t="str">
            <v>FEBRERO</v>
          </cell>
          <cell r="D5252" t="str">
            <v>2017</v>
          </cell>
          <cell r="E5252">
            <v>200</v>
          </cell>
          <cell r="F5252" t="str">
            <v>TALLER</v>
          </cell>
          <cell r="G5252" t="str">
            <v>TALLER</v>
          </cell>
          <cell r="H5252" t="str">
            <v>TALLER</v>
          </cell>
          <cell r="I5252" t="str">
            <v>TALLER</v>
          </cell>
          <cell r="J5252" t="str">
            <v>SERVICIO</v>
          </cell>
          <cell r="K5252" t="str">
            <v>IMPRESION DE DOCUMENTOS</v>
          </cell>
          <cell r="L5252">
            <v>1</v>
          </cell>
          <cell r="M5252" t="str">
            <v>UNID.</v>
          </cell>
          <cell r="N5252" t="str">
            <v>TALLER</v>
          </cell>
          <cell r="O5252">
            <v>7</v>
          </cell>
          <cell r="P5252" t="str">
            <v>J8</v>
          </cell>
          <cell r="Q5252" t="str">
            <v>J1</v>
          </cell>
          <cell r="R5252" t="str">
            <v>J8</v>
          </cell>
          <cell r="S5252" t="str">
            <v>PENDIENTE</v>
          </cell>
          <cell r="T5252">
            <v>0</v>
          </cell>
          <cell r="U5252" t="str">
            <v>ARANGO PAREJA ANGELA ROSARIO</v>
          </cell>
          <cell r="V5252" t="str">
            <v>FLOREZ CONDORI  JOSE WILLIANS</v>
          </cell>
        </row>
        <row r="5253">
          <cell r="A5253">
            <v>5252</v>
          </cell>
          <cell r="B5253">
            <v>42783</v>
          </cell>
          <cell r="C5253" t="str">
            <v>FEBRERO</v>
          </cell>
          <cell r="D5253" t="str">
            <v>2017</v>
          </cell>
          <cell r="E5253">
            <v>1061</v>
          </cell>
          <cell r="F5253" t="str">
            <v>C9M-902</v>
          </cell>
          <cell r="G5253" t="str">
            <v>B8L-970</v>
          </cell>
          <cell r="H5253" t="str">
            <v>LAS BAMBAS</v>
          </cell>
          <cell r="I5253">
            <v>217798</v>
          </cell>
          <cell r="J5253" t="str">
            <v>REPUESTO</v>
          </cell>
          <cell r="K5253" t="str">
            <v>REPARACION CHAPA DE PUERTA</v>
          </cell>
          <cell r="L5253">
            <v>1</v>
          </cell>
          <cell r="M5253" t="str">
            <v>UNID.</v>
          </cell>
          <cell r="N5253" t="str">
            <v>TRACTO</v>
          </cell>
          <cell r="O5253">
            <v>7</v>
          </cell>
          <cell r="P5253" t="str">
            <v>E2</v>
          </cell>
          <cell r="Q5253" t="str">
            <v>J1</v>
          </cell>
          <cell r="R5253" t="str">
            <v>J8</v>
          </cell>
          <cell r="S5253" t="str">
            <v>PENDIENTE</v>
          </cell>
          <cell r="T5253">
            <v>0</v>
          </cell>
          <cell r="U5253" t="str">
            <v>YUCA BELLIDO BORIS YERSY</v>
          </cell>
          <cell r="V5253" t="str">
            <v>FLOREZ CONDORI  JOSE WILLIANS</v>
          </cell>
        </row>
        <row r="5254">
          <cell r="A5254">
            <v>5253</v>
          </cell>
          <cell r="B5254">
            <v>42784</v>
          </cell>
          <cell r="C5254" t="str">
            <v>FEBRERO</v>
          </cell>
          <cell r="D5254" t="str">
            <v>2017</v>
          </cell>
          <cell r="E5254">
            <v>1067</v>
          </cell>
          <cell r="F5254" t="str">
            <v>C5R-899</v>
          </cell>
          <cell r="G5254" t="str">
            <v>A0U-978</v>
          </cell>
          <cell r="H5254" t="str">
            <v>LAS BAMBAS</v>
          </cell>
          <cell r="I5254">
            <v>265449</v>
          </cell>
          <cell r="J5254" t="str">
            <v>REPUESTO</v>
          </cell>
          <cell r="K5254" t="str">
            <v>FILTRO DE AIRE PRIMARIO</v>
          </cell>
          <cell r="L5254">
            <v>1</v>
          </cell>
          <cell r="M5254" t="str">
            <v>UNID.</v>
          </cell>
          <cell r="N5254" t="str">
            <v>TRACTO</v>
          </cell>
          <cell r="O5254">
            <v>6</v>
          </cell>
          <cell r="P5254" t="str">
            <v>M8</v>
          </cell>
          <cell r="Q5254" t="str">
            <v>J1</v>
          </cell>
          <cell r="R5254" t="str">
            <v>J8</v>
          </cell>
          <cell r="S5254" t="str">
            <v>PENDIENTE</v>
          </cell>
          <cell r="T5254">
            <v>0</v>
          </cell>
          <cell r="U5254" t="str">
            <v>VARILLAS GAGO  OSCAR ALBERTO</v>
          </cell>
          <cell r="V5254" t="str">
            <v>FLOREZ CONDORI  JOSE WILLIANS</v>
          </cell>
        </row>
        <row r="5255">
          <cell r="A5255">
            <v>5254</v>
          </cell>
          <cell r="B5255">
            <v>42784</v>
          </cell>
          <cell r="C5255" t="str">
            <v>FEBRERO</v>
          </cell>
          <cell r="D5255" t="str">
            <v>2017</v>
          </cell>
          <cell r="E5255">
            <v>1067</v>
          </cell>
          <cell r="F5255" t="str">
            <v>C5R-899</v>
          </cell>
          <cell r="G5255" t="str">
            <v>A0U-978</v>
          </cell>
          <cell r="H5255" t="str">
            <v>LAS BAMBAS</v>
          </cell>
          <cell r="I5255">
            <v>265449</v>
          </cell>
          <cell r="J5255" t="str">
            <v>REPUESTO</v>
          </cell>
          <cell r="K5255" t="str">
            <v>FILTRO DE AIRE SECUNDARIO</v>
          </cell>
          <cell r="L5255">
            <v>1</v>
          </cell>
          <cell r="M5255" t="str">
            <v>UNID.</v>
          </cell>
          <cell r="N5255" t="str">
            <v>TRACTO</v>
          </cell>
          <cell r="O5255">
            <v>6</v>
          </cell>
          <cell r="P5255" t="str">
            <v>M8</v>
          </cell>
          <cell r="Q5255" t="str">
            <v>J1</v>
          </cell>
          <cell r="R5255" t="str">
            <v>J8</v>
          </cell>
          <cell r="S5255" t="str">
            <v>PENDIENTE</v>
          </cell>
          <cell r="T5255">
            <v>0</v>
          </cell>
          <cell r="U5255" t="str">
            <v>VARILLAS GAGO  OSCAR ALBERTO</v>
          </cell>
          <cell r="V5255" t="str">
            <v>FLOREZ CONDORI  JOSE WILLIANS</v>
          </cell>
        </row>
        <row r="5256">
          <cell r="A5256">
            <v>5255</v>
          </cell>
          <cell r="B5256">
            <v>42784</v>
          </cell>
          <cell r="C5256" t="str">
            <v>FEBRERO</v>
          </cell>
          <cell r="D5256" t="str">
            <v>2017</v>
          </cell>
          <cell r="E5256">
            <v>1067</v>
          </cell>
          <cell r="F5256" t="str">
            <v>C5R-899</v>
          </cell>
          <cell r="G5256" t="str">
            <v>A0U-978</v>
          </cell>
          <cell r="H5256" t="str">
            <v>LAS BAMBAS</v>
          </cell>
          <cell r="I5256">
            <v>265449</v>
          </cell>
          <cell r="J5256" t="str">
            <v>REPUESTO</v>
          </cell>
          <cell r="K5256" t="str">
            <v>FILTRO DE COMBUSTIBLE</v>
          </cell>
          <cell r="L5256">
            <v>1</v>
          </cell>
          <cell r="M5256" t="str">
            <v>UNID.</v>
          </cell>
          <cell r="N5256" t="str">
            <v>TRACTO</v>
          </cell>
          <cell r="O5256">
            <v>6</v>
          </cell>
          <cell r="P5256" t="str">
            <v>M8</v>
          </cell>
          <cell r="Q5256" t="str">
            <v>J1</v>
          </cell>
          <cell r="R5256" t="str">
            <v>J8</v>
          </cell>
          <cell r="S5256" t="str">
            <v>PENDIENTE</v>
          </cell>
          <cell r="T5256">
            <v>0</v>
          </cell>
          <cell r="U5256" t="str">
            <v>VARILLAS GAGO  OSCAR ALBERTO</v>
          </cell>
          <cell r="V5256" t="str">
            <v>FLOREZ CONDORI  JOSE WILLIANS</v>
          </cell>
        </row>
        <row r="5257">
          <cell r="A5257">
            <v>5256</v>
          </cell>
          <cell r="B5257">
            <v>42784</v>
          </cell>
          <cell r="C5257" t="str">
            <v>FEBRERO</v>
          </cell>
          <cell r="D5257" t="str">
            <v>2017</v>
          </cell>
          <cell r="E5257">
            <v>1067</v>
          </cell>
          <cell r="F5257" t="str">
            <v>C5R-899</v>
          </cell>
          <cell r="G5257" t="str">
            <v>A0U-978</v>
          </cell>
          <cell r="H5257" t="str">
            <v>LAS BAMBAS</v>
          </cell>
          <cell r="I5257">
            <v>265449</v>
          </cell>
          <cell r="J5257" t="str">
            <v>REPUESTO</v>
          </cell>
          <cell r="K5257" t="str">
            <v>FILTRO SEPARADOR DE AGUA</v>
          </cell>
          <cell r="L5257">
            <v>1</v>
          </cell>
          <cell r="M5257" t="str">
            <v>UNID.</v>
          </cell>
          <cell r="N5257" t="str">
            <v>TRACTO</v>
          </cell>
          <cell r="O5257">
            <v>6</v>
          </cell>
          <cell r="P5257" t="str">
            <v>M8</v>
          </cell>
          <cell r="Q5257" t="str">
            <v>J1</v>
          </cell>
          <cell r="R5257" t="str">
            <v>J8</v>
          </cell>
          <cell r="S5257" t="str">
            <v>PENDIENTE</v>
          </cell>
          <cell r="T5257">
            <v>0</v>
          </cell>
          <cell r="U5257" t="str">
            <v>VARILLAS GAGO  OSCAR ALBERTO</v>
          </cell>
          <cell r="V5257" t="str">
            <v>FLOREZ CONDORI  JOSE WILLIANS</v>
          </cell>
        </row>
        <row r="5258">
          <cell r="A5258">
            <v>5257</v>
          </cell>
          <cell r="B5258">
            <v>42784</v>
          </cell>
          <cell r="C5258" t="str">
            <v>FEBRERO</v>
          </cell>
          <cell r="D5258" t="str">
            <v>2017</v>
          </cell>
          <cell r="E5258">
            <v>1067</v>
          </cell>
          <cell r="F5258" t="str">
            <v>C5R-899</v>
          </cell>
          <cell r="G5258" t="str">
            <v>A0U-978</v>
          </cell>
          <cell r="H5258" t="str">
            <v>LAS BAMBAS</v>
          </cell>
          <cell r="I5258">
            <v>265449</v>
          </cell>
          <cell r="J5258" t="str">
            <v>REPUESTO</v>
          </cell>
          <cell r="K5258" t="str">
            <v>FILTRO DE ACEITE</v>
          </cell>
          <cell r="L5258">
            <v>2</v>
          </cell>
          <cell r="M5258" t="str">
            <v>UNID.</v>
          </cell>
          <cell r="N5258" t="str">
            <v>TRACTO</v>
          </cell>
          <cell r="O5258">
            <v>6</v>
          </cell>
          <cell r="P5258" t="str">
            <v>M8</v>
          </cell>
          <cell r="Q5258" t="str">
            <v>J1</v>
          </cell>
          <cell r="R5258" t="str">
            <v>J8</v>
          </cell>
          <cell r="S5258" t="str">
            <v>PENDIENTE</v>
          </cell>
          <cell r="T5258">
            <v>0</v>
          </cell>
          <cell r="U5258" t="str">
            <v>VARILLAS GAGO  OSCAR ALBERTO</v>
          </cell>
          <cell r="V5258" t="str">
            <v>FLOREZ CONDORI  JOSE WILLIANS</v>
          </cell>
        </row>
        <row r="5259">
          <cell r="A5259">
            <v>5258</v>
          </cell>
          <cell r="B5259">
            <v>42784</v>
          </cell>
          <cell r="C5259" t="str">
            <v>FEBRERO</v>
          </cell>
          <cell r="D5259" t="str">
            <v>2017</v>
          </cell>
          <cell r="E5259">
            <v>1067</v>
          </cell>
          <cell r="F5259" t="str">
            <v>C5R-899</v>
          </cell>
          <cell r="G5259" t="str">
            <v>A0U-978</v>
          </cell>
          <cell r="H5259" t="str">
            <v>LAS BAMBAS</v>
          </cell>
          <cell r="I5259">
            <v>265449</v>
          </cell>
          <cell r="J5259" t="str">
            <v>REPUESTO</v>
          </cell>
          <cell r="K5259" t="str">
            <v>ACEITE DE MOTOR 15W40</v>
          </cell>
          <cell r="L5259">
            <v>10</v>
          </cell>
          <cell r="M5259" t="str">
            <v>GLNS.</v>
          </cell>
          <cell r="N5259" t="str">
            <v>TRACTO</v>
          </cell>
          <cell r="O5259">
            <v>6</v>
          </cell>
          <cell r="P5259" t="str">
            <v>M8</v>
          </cell>
          <cell r="Q5259" t="str">
            <v>J1</v>
          </cell>
          <cell r="R5259" t="str">
            <v>J8</v>
          </cell>
          <cell r="S5259" t="str">
            <v>PENDIENTE</v>
          </cell>
          <cell r="T5259">
            <v>0</v>
          </cell>
          <cell r="U5259" t="str">
            <v>VARILLAS GAGO  OSCAR ALBERTO</v>
          </cell>
          <cell r="V5259" t="str">
            <v>FLOREZ CONDORI  JOSE WILLIANS</v>
          </cell>
        </row>
        <row r="5260">
          <cell r="A5260">
            <v>5259</v>
          </cell>
          <cell r="B5260">
            <v>42784</v>
          </cell>
          <cell r="C5260" t="str">
            <v>FEBRERO</v>
          </cell>
          <cell r="D5260" t="str">
            <v>2017</v>
          </cell>
          <cell r="E5260">
            <v>1067</v>
          </cell>
          <cell r="F5260" t="str">
            <v>C5R-899</v>
          </cell>
          <cell r="G5260" t="str">
            <v>A0U-978</v>
          </cell>
          <cell r="H5260" t="str">
            <v>LAS BAMBAS</v>
          </cell>
          <cell r="I5260">
            <v>265449</v>
          </cell>
          <cell r="J5260" t="str">
            <v>REPUESTO</v>
          </cell>
          <cell r="K5260" t="str">
            <v>LLAVE DE PASO (JUEGO RH - LH)</v>
          </cell>
          <cell r="L5260">
            <v>1</v>
          </cell>
          <cell r="M5260" t="str">
            <v>UNID.</v>
          </cell>
          <cell r="N5260" t="str">
            <v>TRACTO</v>
          </cell>
          <cell r="O5260">
            <v>6</v>
          </cell>
          <cell r="P5260" t="str">
            <v>M8</v>
          </cell>
          <cell r="Q5260" t="str">
            <v>J1</v>
          </cell>
          <cell r="R5260" t="str">
            <v>J8</v>
          </cell>
          <cell r="S5260" t="str">
            <v>PENDIENTE</v>
          </cell>
          <cell r="T5260">
            <v>0</v>
          </cell>
          <cell r="U5260" t="str">
            <v>VARILLAS GAGO  OSCAR ALBERTO</v>
          </cell>
          <cell r="V5260" t="str">
            <v>FLOREZ CONDORI  JOSE WILLIANS</v>
          </cell>
        </row>
        <row r="5261">
          <cell r="A5261">
            <v>5260</v>
          </cell>
          <cell r="B5261">
            <v>42784</v>
          </cell>
          <cell r="C5261" t="str">
            <v>FEBRERO</v>
          </cell>
          <cell r="D5261" t="str">
            <v>2017</v>
          </cell>
          <cell r="E5261">
            <v>1066</v>
          </cell>
          <cell r="F5261" t="str">
            <v>D3P-743</v>
          </cell>
          <cell r="G5261" t="str">
            <v>B8L-972</v>
          </cell>
          <cell r="H5261" t="str">
            <v>LAS BAMBAS</v>
          </cell>
          <cell r="I5261">
            <v>192387</v>
          </cell>
          <cell r="J5261" t="str">
            <v>REPUESTO</v>
          </cell>
          <cell r="K5261" t="str">
            <v>FOCO 9006</v>
          </cell>
          <cell r="L5261">
            <v>1</v>
          </cell>
          <cell r="M5261" t="str">
            <v>UNID.</v>
          </cell>
          <cell r="N5261" t="str">
            <v>TRACTO</v>
          </cell>
          <cell r="O5261">
            <v>6</v>
          </cell>
          <cell r="P5261" t="str">
            <v>E2</v>
          </cell>
          <cell r="Q5261" t="str">
            <v>J1</v>
          </cell>
          <cell r="R5261" t="str">
            <v>J8</v>
          </cell>
          <cell r="S5261" t="str">
            <v>PENDIENTE</v>
          </cell>
          <cell r="T5261">
            <v>0</v>
          </cell>
          <cell r="U5261" t="str">
            <v>YUCA BELLIDO BORIS YERSY</v>
          </cell>
          <cell r="V5261" t="str">
            <v>FLOREZ CONDORI  JOSE WILLIANS</v>
          </cell>
        </row>
        <row r="5262">
          <cell r="A5262">
            <v>5261</v>
          </cell>
          <cell r="B5262">
            <v>42784</v>
          </cell>
          <cell r="C5262" t="str">
            <v>FEBRERO</v>
          </cell>
          <cell r="D5262" t="str">
            <v>2017</v>
          </cell>
          <cell r="E5262">
            <v>1069</v>
          </cell>
          <cell r="F5262" t="str">
            <v>D6G-806</v>
          </cell>
          <cell r="G5262" t="str">
            <v>B8K-998</v>
          </cell>
          <cell r="H5262" t="str">
            <v>LAS BAMBAS</v>
          </cell>
          <cell r="I5262">
            <v>227623</v>
          </cell>
          <cell r="J5262" t="str">
            <v>REPUESTO</v>
          </cell>
          <cell r="K5262" t="str">
            <v>FILTRO DE COMBUSTIBLE PRIMARIO/VALVULA</v>
          </cell>
          <cell r="L5262">
            <v>1</v>
          </cell>
          <cell r="M5262" t="str">
            <v>UNID.</v>
          </cell>
          <cell r="N5262" t="str">
            <v>TRACTO</v>
          </cell>
          <cell r="O5262">
            <v>6</v>
          </cell>
          <cell r="P5262" t="str">
            <v>M4</v>
          </cell>
          <cell r="Q5262" t="str">
            <v>J1</v>
          </cell>
          <cell r="R5262" t="str">
            <v>J8</v>
          </cell>
          <cell r="S5262" t="str">
            <v>PENDIENTE</v>
          </cell>
          <cell r="T5262">
            <v>0</v>
          </cell>
          <cell r="U5262" t="str">
            <v>JULLIRI APAZA UBALDO</v>
          </cell>
          <cell r="V5262" t="str">
            <v>FLOREZ CONDORI  JOSE WILLIANS</v>
          </cell>
        </row>
        <row r="5263">
          <cell r="A5263">
            <v>5262</v>
          </cell>
          <cell r="B5263">
            <v>42784</v>
          </cell>
          <cell r="C5263" t="str">
            <v>FEBRERO</v>
          </cell>
          <cell r="D5263" t="str">
            <v>2017</v>
          </cell>
          <cell r="E5263">
            <v>1069</v>
          </cell>
          <cell r="F5263" t="str">
            <v>D6G-806</v>
          </cell>
          <cell r="G5263" t="str">
            <v>B8K-998</v>
          </cell>
          <cell r="H5263" t="str">
            <v>LAS BAMBAS</v>
          </cell>
          <cell r="I5263">
            <v>227623</v>
          </cell>
          <cell r="J5263" t="str">
            <v>REPUESTO</v>
          </cell>
          <cell r="K5263" t="str">
            <v>FILTRO SEPARADOR DE AGUA</v>
          </cell>
          <cell r="L5263">
            <v>1</v>
          </cell>
          <cell r="M5263" t="str">
            <v>UNID.</v>
          </cell>
          <cell r="N5263" t="str">
            <v>TRACTO</v>
          </cell>
          <cell r="O5263">
            <v>6</v>
          </cell>
          <cell r="P5263" t="str">
            <v>M4</v>
          </cell>
          <cell r="Q5263" t="str">
            <v>J1</v>
          </cell>
          <cell r="R5263" t="str">
            <v>J8</v>
          </cell>
          <cell r="S5263" t="str">
            <v>PENDIENTE</v>
          </cell>
          <cell r="T5263">
            <v>0</v>
          </cell>
          <cell r="U5263" t="str">
            <v>JULLIRI APAZA UBALDO</v>
          </cell>
          <cell r="V5263" t="str">
            <v>FLOREZ CONDORI  JOSE WILLIANS</v>
          </cell>
        </row>
        <row r="5264">
          <cell r="A5264">
            <v>5263</v>
          </cell>
          <cell r="B5264">
            <v>42784</v>
          </cell>
          <cell r="C5264" t="str">
            <v>FEBRERO</v>
          </cell>
          <cell r="D5264" t="str">
            <v>2017</v>
          </cell>
          <cell r="E5264">
            <v>200</v>
          </cell>
          <cell r="F5264" t="str">
            <v>TALLER</v>
          </cell>
          <cell r="G5264" t="str">
            <v>TALLER</v>
          </cell>
          <cell r="H5264" t="str">
            <v>TALLER</v>
          </cell>
          <cell r="I5264" t="str">
            <v>TALLER</v>
          </cell>
          <cell r="J5264" t="str">
            <v>EPPS</v>
          </cell>
          <cell r="K5264" t="str">
            <v>GUANTES DE NITRILO(DELGADO)</v>
          </cell>
          <cell r="L5264">
            <v>5</v>
          </cell>
          <cell r="M5264" t="str">
            <v>UNID.</v>
          </cell>
          <cell r="N5264" t="str">
            <v>TALLER</v>
          </cell>
          <cell r="O5264">
            <v>6</v>
          </cell>
          <cell r="P5264" t="str">
            <v>J7</v>
          </cell>
          <cell r="Q5264" t="str">
            <v>J7</v>
          </cell>
          <cell r="R5264" t="str">
            <v>J8</v>
          </cell>
          <cell r="S5264" t="str">
            <v>PENDIENTE</v>
          </cell>
          <cell r="T5264">
            <v>0</v>
          </cell>
          <cell r="U5264" t="str">
            <v>DONAYRE INGA PEDRO</v>
          </cell>
          <cell r="V5264" t="str">
            <v>DONAYRE INGA PEDRO</v>
          </cell>
        </row>
        <row r="5265">
          <cell r="A5265">
            <v>5264</v>
          </cell>
          <cell r="B5265">
            <v>42784</v>
          </cell>
          <cell r="C5265" t="str">
            <v>FEBRERO</v>
          </cell>
          <cell r="D5265" t="str">
            <v>2017</v>
          </cell>
          <cell r="E5265">
            <v>1059</v>
          </cell>
          <cell r="F5265" t="str">
            <v>D3O-745</v>
          </cell>
          <cell r="G5265" t="str">
            <v>F3L-979</v>
          </cell>
          <cell r="H5265" t="str">
            <v>LAS BAMBAS</v>
          </cell>
          <cell r="I5265">
            <v>168397</v>
          </cell>
          <cell r="J5265" t="str">
            <v>REPUESTO</v>
          </cell>
          <cell r="K5265" t="str">
            <v>CAÑERIA PARA ACEITE DE TURBO</v>
          </cell>
          <cell r="L5265">
            <v>1</v>
          </cell>
          <cell r="M5265" t="str">
            <v>UNID.</v>
          </cell>
          <cell r="N5265" t="str">
            <v>TRACTO</v>
          </cell>
          <cell r="O5265">
            <v>6</v>
          </cell>
          <cell r="P5265" t="str">
            <v>J7</v>
          </cell>
          <cell r="Q5265" t="str">
            <v>J7</v>
          </cell>
          <cell r="R5265" t="str">
            <v>J8</v>
          </cell>
          <cell r="S5265" t="str">
            <v>PENDIENTE</v>
          </cell>
          <cell r="T5265">
            <v>0</v>
          </cell>
          <cell r="U5265" t="str">
            <v>DONAYRE INGA PEDRO</v>
          </cell>
          <cell r="V5265" t="str">
            <v>DONAYRE INGA PEDRO</v>
          </cell>
        </row>
        <row r="5266">
          <cell r="A5266">
            <v>5265</v>
          </cell>
          <cell r="B5266">
            <v>42784</v>
          </cell>
          <cell r="C5266" t="str">
            <v>FEBRERO</v>
          </cell>
          <cell r="D5266" t="str">
            <v>2017</v>
          </cell>
          <cell r="E5266">
            <v>1013</v>
          </cell>
          <cell r="F5266" t="str">
            <v>B2M-948</v>
          </cell>
          <cell r="G5266" t="str">
            <v>CAMION</v>
          </cell>
          <cell r="H5266" t="str">
            <v>TAMBOMAYO</v>
          </cell>
          <cell r="I5266">
            <v>119007</v>
          </cell>
          <cell r="J5266" t="str">
            <v>REPUESTO</v>
          </cell>
          <cell r="K5266" t="str">
            <v xml:space="preserve">METALES DE BIELA ESTÁNDAR  </v>
          </cell>
          <cell r="L5266">
            <v>1</v>
          </cell>
          <cell r="M5266" t="str">
            <v>JUEGO</v>
          </cell>
          <cell r="N5266" t="str">
            <v>TRACTO</v>
          </cell>
          <cell r="O5266">
            <v>6</v>
          </cell>
          <cell r="P5266" t="str">
            <v>M2</v>
          </cell>
          <cell r="Q5266" t="str">
            <v>J1</v>
          </cell>
          <cell r="R5266" t="str">
            <v>J8</v>
          </cell>
          <cell r="S5266" t="str">
            <v>PENDIENTE</v>
          </cell>
          <cell r="T5266">
            <v>0</v>
          </cell>
          <cell r="U5266" t="str">
            <v>CHUMPITAZ GAGO JULIO ENRIQUE</v>
          </cell>
          <cell r="V5266" t="str">
            <v>FLOREZ CONDORI  JOSE WILLIANS</v>
          </cell>
        </row>
        <row r="5267">
          <cell r="A5267">
            <v>5266</v>
          </cell>
          <cell r="B5267">
            <v>42784</v>
          </cell>
          <cell r="C5267" t="str">
            <v>FEBRERO</v>
          </cell>
          <cell r="D5267" t="str">
            <v>2017</v>
          </cell>
          <cell r="E5267">
            <v>1013</v>
          </cell>
          <cell r="F5267" t="str">
            <v>B2M-948</v>
          </cell>
          <cell r="G5267" t="str">
            <v>CAMION</v>
          </cell>
          <cell r="H5267" t="str">
            <v>TAMBOMAYO</v>
          </cell>
          <cell r="I5267">
            <v>119007</v>
          </cell>
          <cell r="J5267" t="str">
            <v>REPUESTO</v>
          </cell>
          <cell r="K5267" t="str">
            <v xml:space="preserve">METALES DE BANCADA </v>
          </cell>
          <cell r="L5267">
            <v>1</v>
          </cell>
          <cell r="M5267" t="str">
            <v>JUEGO</v>
          </cell>
          <cell r="N5267" t="str">
            <v>TRACTO</v>
          </cell>
          <cell r="O5267">
            <v>6</v>
          </cell>
          <cell r="P5267" t="str">
            <v>M2</v>
          </cell>
          <cell r="Q5267" t="str">
            <v>J1</v>
          </cell>
          <cell r="R5267" t="str">
            <v>J8</v>
          </cell>
          <cell r="S5267" t="str">
            <v>PENDIENTE</v>
          </cell>
          <cell r="T5267">
            <v>0</v>
          </cell>
          <cell r="U5267" t="str">
            <v>CHUMPITAZ GAGO JULIO ENRIQUE</v>
          </cell>
          <cell r="V5267" t="str">
            <v>FLOREZ CONDORI  JOSE WILLIANS</v>
          </cell>
        </row>
        <row r="5268">
          <cell r="A5268">
            <v>5267</v>
          </cell>
          <cell r="B5268">
            <v>42784</v>
          </cell>
          <cell r="C5268" t="str">
            <v>FEBRERO</v>
          </cell>
          <cell r="D5268" t="str">
            <v>2017</v>
          </cell>
          <cell r="E5268">
            <v>1013</v>
          </cell>
          <cell r="F5268" t="str">
            <v>B2M-948</v>
          </cell>
          <cell r="G5268" t="str">
            <v>CAMION</v>
          </cell>
          <cell r="H5268" t="str">
            <v>TAMBOMAYO</v>
          </cell>
          <cell r="I5268">
            <v>119007</v>
          </cell>
          <cell r="J5268" t="str">
            <v>REPUESTO</v>
          </cell>
          <cell r="K5268" t="str">
            <v xml:space="preserve">SEPARADORES DE BANCADA </v>
          </cell>
          <cell r="L5268">
            <v>1</v>
          </cell>
          <cell r="M5268" t="str">
            <v>JUEGO</v>
          </cell>
          <cell r="N5268" t="str">
            <v>TRACTO</v>
          </cell>
          <cell r="O5268">
            <v>6</v>
          </cell>
          <cell r="P5268" t="str">
            <v>M2</v>
          </cell>
          <cell r="Q5268" t="str">
            <v>J1</v>
          </cell>
          <cell r="R5268" t="str">
            <v>J8</v>
          </cell>
          <cell r="S5268" t="str">
            <v>PENDIENTE</v>
          </cell>
          <cell r="T5268">
            <v>0</v>
          </cell>
          <cell r="U5268" t="str">
            <v>CHUMPITAZ GAGO JULIO ENRIQUE</v>
          </cell>
          <cell r="V5268" t="str">
            <v>FLOREZ CONDORI  JOSE WILLIANS</v>
          </cell>
        </row>
        <row r="5269">
          <cell r="A5269">
            <v>5268</v>
          </cell>
          <cell r="B5269">
            <v>42784</v>
          </cell>
          <cell r="C5269" t="str">
            <v>FEBRERO</v>
          </cell>
          <cell r="D5269" t="str">
            <v>2017</v>
          </cell>
          <cell r="E5269">
            <v>1065</v>
          </cell>
          <cell r="F5269" t="str">
            <v>ABS-700</v>
          </cell>
          <cell r="G5269" t="str">
            <v>TBC-971</v>
          </cell>
          <cell r="H5269" t="str">
            <v>LAS BAMBAS</v>
          </cell>
          <cell r="I5269">
            <v>107830</v>
          </cell>
          <cell r="J5269" t="str">
            <v>REPUESTO</v>
          </cell>
          <cell r="K5269" t="str">
            <v>DIODO</v>
          </cell>
          <cell r="L5269">
            <v>1</v>
          </cell>
          <cell r="M5269" t="str">
            <v>UNID.</v>
          </cell>
          <cell r="N5269" t="str">
            <v>CISTERNA</v>
          </cell>
          <cell r="O5269">
            <v>6</v>
          </cell>
          <cell r="P5269" t="str">
            <v>E2</v>
          </cell>
          <cell r="Q5269" t="str">
            <v>J1</v>
          </cell>
          <cell r="R5269" t="str">
            <v>J8</v>
          </cell>
          <cell r="S5269" t="str">
            <v>PENDIENTE</v>
          </cell>
          <cell r="T5269">
            <v>0</v>
          </cell>
          <cell r="U5269" t="str">
            <v>YUCA BELLIDO BORIS YERSY</v>
          </cell>
          <cell r="V5269" t="str">
            <v>FLOREZ CONDORI  JOSE WILLIANS</v>
          </cell>
        </row>
        <row r="5270">
          <cell r="A5270">
            <v>5269</v>
          </cell>
          <cell r="B5270">
            <v>42784</v>
          </cell>
          <cell r="C5270" t="str">
            <v>FEBRERO</v>
          </cell>
          <cell r="D5270" t="str">
            <v>2017</v>
          </cell>
          <cell r="E5270">
            <v>1065</v>
          </cell>
          <cell r="F5270" t="str">
            <v>ABS-700</v>
          </cell>
          <cell r="G5270" t="str">
            <v>TBC-971</v>
          </cell>
          <cell r="H5270" t="str">
            <v>LAS BAMBAS</v>
          </cell>
          <cell r="I5270">
            <v>107830</v>
          </cell>
          <cell r="J5270" t="str">
            <v>REPUESTO</v>
          </cell>
          <cell r="K5270" t="str">
            <v>TERMINALES CONECTORES</v>
          </cell>
          <cell r="L5270">
            <v>2</v>
          </cell>
          <cell r="M5270" t="str">
            <v>UNID.</v>
          </cell>
          <cell r="N5270" t="str">
            <v>CISTERNA</v>
          </cell>
          <cell r="O5270">
            <v>6</v>
          </cell>
          <cell r="P5270" t="str">
            <v>E2</v>
          </cell>
          <cell r="Q5270" t="str">
            <v>J1</v>
          </cell>
          <cell r="R5270" t="str">
            <v>J8</v>
          </cell>
          <cell r="S5270" t="str">
            <v>PENDIENTE</v>
          </cell>
          <cell r="T5270">
            <v>0</v>
          </cell>
          <cell r="U5270" t="str">
            <v>YUCA BELLIDO BORIS YERSY</v>
          </cell>
          <cell r="V5270" t="str">
            <v>FLOREZ CONDORI  JOSE WILLIANS</v>
          </cell>
        </row>
        <row r="5271">
          <cell r="A5271">
            <v>5270</v>
          </cell>
          <cell r="B5271">
            <v>42784</v>
          </cell>
          <cell r="C5271" t="str">
            <v>FEBRERO</v>
          </cell>
          <cell r="D5271" t="str">
            <v>2017</v>
          </cell>
          <cell r="E5271">
            <v>1070</v>
          </cell>
          <cell r="F5271" t="str">
            <v>APH-782</v>
          </cell>
          <cell r="G5271" t="str">
            <v>CAMIONETA</v>
          </cell>
          <cell r="H5271" t="str">
            <v>LAS BAMBAS</v>
          </cell>
          <cell r="I5271">
            <v>10342</v>
          </cell>
          <cell r="J5271" t="str">
            <v>REPUESTO</v>
          </cell>
          <cell r="K5271" t="str">
            <v>DISCO DE CORTE 7"</v>
          </cell>
          <cell r="L5271">
            <v>1</v>
          </cell>
          <cell r="M5271" t="str">
            <v>UNID.</v>
          </cell>
          <cell r="N5271" t="str">
            <v>CAMIONETA</v>
          </cell>
          <cell r="O5271">
            <v>6</v>
          </cell>
          <cell r="P5271" t="str">
            <v>S1</v>
          </cell>
          <cell r="Q5271" t="str">
            <v>J1</v>
          </cell>
          <cell r="R5271" t="str">
            <v>J8</v>
          </cell>
          <cell r="S5271" t="str">
            <v>PENDIENTE</v>
          </cell>
          <cell r="T5271">
            <v>0</v>
          </cell>
          <cell r="U5271" t="str">
            <v>BAYONA CRUZ CRISTIAN ARMANDO</v>
          </cell>
          <cell r="V5271" t="str">
            <v>FLOREZ CONDORI  JOSE WILLIANS</v>
          </cell>
        </row>
        <row r="5272">
          <cell r="A5272">
            <v>5271</v>
          </cell>
          <cell r="B5272">
            <v>42784</v>
          </cell>
          <cell r="C5272" t="str">
            <v>FEBRERO</v>
          </cell>
          <cell r="D5272" t="str">
            <v>2017</v>
          </cell>
          <cell r="E5272">
            <v>1061</v>
          </cell>
          <cell r="F5272" t="str">
            <v>C9M-902</v>
          </cell>
          <cell r="G5272" t="str">
            <v>B8L-970</v>
          </cell>
          <cell r="H5272" t="str">
            <v>LAS BAMBAS</v>
          </cell>
          <cell r="I5272">
            <v>217798</v>
          </cell>
          <cell r="J5272" t="str">
            <v>REPUESTO</v>
          </cell>
          <cell r="K5272" t="str">
            <v>CREMALLERA</v>
          </cell>
          <cell r="L5272">
            <v>1</v>
          </cell>
          <cell r="M5272" t="str">
            <v>UNID.</v>
          </cell>
          <cell r="N5272" t="str">
            <v>TRACTO</v>
          </cell>
          <cell r="O5272">
            <v>6</v>
          </cell>
          <cell r="P5272" t="str">
            <v>E2</v>
          </cell>
          <cell r="Q5272" t="str">
            <v>J1</v>
          </cell>
          <cell r="R5272" t="str">
            <v>J8</v>
          </cell>
          <cell r="S5272" t="str">
            <v>PENDIENTE</v>
          </cell>
          <cell r="T5272">
            <v>0</v>
          </cell>
          <cell r="U5272" t="str">
            <v>YUCA BELLIDO BORIS YERSY</v>
          </cell>
          <cell r="V5272" t="str">
            <v>FLOREZ CONDORI  JOSE WILLIANS</v>
          </cell>
        </row>
        <row r="5273">
          <cell r="A5273">
            <v>5272</v>
          </cell>
          <cell r="B5273">
            <v>42784</v>
          </cell>
          <cell r="C5273" t="str">
            <v>FEBRERO</v>
          </cell>
          <cell r="D5273" t="str">
            <v>2017</v>
          </cell>
          <cell r="E5273">
            <v>1067</v>
          </cell>
          <cell r="F5273" t="str">
            <v>C5R-899</v>
          </cell>
          <cell r="G5273" t="str">
            <v>A0U-978</v>
          </cell>
          <cell r="H5273" t="str">
            <v>LAS BAMBAS</v>
          </cell>
          <cell r="I5273">
            <v>265449</v>
          </cell>
          <cell r="J5273" t="str">
            <v>REPUESTO</v>
          </cell>
          <cell r="K5273" t="str">
            <v>PERNO 5/8 X2"</v>
          </cell>
          <cell r="L5273">
            <v>20</v>
          </cell>
          <cell r="M5273" t="str">
            <v>UNID.</v>
          </cell>
          <cell r="N5273" t="str">
            <v>CISTERNA</v>
          </cell>
          <cell r="O5273">
            <v>6</v>
          </cell>
          <cell r="P5273" t="str">
            <v>S1</v>
          </cell>
          <cell r="Q5273" t="str">
            <v>J1</v>
          </cell>
          <cell r="R5273" t="str">
            <v>J8</v>
          </cell>
          <cell r="S5273" t="str">
            <v>PENDIENTE</v>
          </cell>
          <cell r="T5273">
            <v>0</v>
          </cell>
          <cell r="U5273" t="str">
            <v>BAYONA CRUZ CRISTIAN ARMANDO</v>
          </cell>
          <cell r="V5273" t="str">
            <v>FLOREZ CONDORI  JOSE WILLIANS</v>
          </cell>
        </row>
        <row r="5274">
          <cell r="A5274">
            <v>5273</v>
          </cell>
          <cell r="B5274">
            <v>42784</v>
          </cell>
          <cell r="C5274" t="str">
            <v>FEBRERO</v>
          </cell>
          <cell r="D5274" t="str">
            <v>2017</v>
          </cell>
          <cell r="E5274">
            <v>1067</v>
          </cell>
          <cell r="F5274" t="str">
            <v>C5R-899</v>
          </cell>
          <cell r="G5274" t="str">
            <v>A0U-978</v>
          </cell>
          <cell r="H5274" t="str">
            <v>LAS BAMBAS</v>
          </cell>
          <cell r="I5274">
            <v>265449</v>
          </cell>
          <cell r="J5274" t="str">
            <v>REPUESTO</v>
          </cell>
          <cell r="K5274" t="str">
            <v>TUERCA Y SEGURO DE 5/8</v>
          </cell>
          <cell r="L5274">
            <v>20</v>
          </cell>
          <cell r="M5274" t="str">
            <v>UNID.</v>
          </cell>
          <cell r="N5274" t="str">
            <v>CISTERNA</v>
          </cell>
          <cell r="O5274">
            <v>6</v>
          </cell>
          <cell r="P5274" t="str">
            <v>S1</v>
          </cell>
          <cell r="Q5274" t="str">
            <v>J1</v>
          </cell>
          <cell r="R5274" t="str">
            <v>J8</v>
          </cell>
          <cell r="S5274" t="str">
            <v>PENDIENTE</v>
          </cell>
          <cell r="T5274">
            <v>0</v>
          </cell>
          <cell r="U5274" t="str">
            <v>BAYONA CRUZ CRISTIAN ARMANDO</v>
          </cell>
          <cell r="V5274" t="str">
            <v>FLOREZ CONDORI  JOSE WILLIANS</v>
          </cell>
        </row>
        <row r="5275">
          <cell r="A5275">
            <v>5274</v>
          </cell>
          <cell r="B5275">
            <v>42784</v>
          </cell>
          <cell r="C5275" t="str">
            <v>FEBRERO</v>
          </cell>
          <cell r="D5275" t="str">
            <v>2017</v>
          </cell>
          <cell r="E5275">
            <v>1067</v>
          </cell>
          <cell r="F5275" t="str">
            <v>C5R-899</v>
          </cell>
          <cell r="G5275" t="str">
            <v>A0U-978</v>
          </cell>
          <cell r="H5275" t="str">
            <v>LAS BAMBAS</v>
          </cell>
          <cell r="I5275">
            <v>265449</v>
          </cell>
          <cell r="J5275" t="str">
            <v>REPUESTO</v>
          </cell>
          <cell r="K5275" t="str">
            <v>BUJE DE MUELLE POSTERIOR</v>
          </cell>
          <cell r="L5275">
            <v>1</v>
          </cell>
          <cell r="M5275" t="str">
            <v>UNID.</v>
          </cell>
          <cell r="N5275" t="str">
            <v>TRACTO</v>
          </cell>
          <cell r="O5275">
            <v>6</v>
          </cell>
          <cell r="P5275" t="str">
            <v>M8</v>
          </cell>
          <cell r="Q5275" t="str">
            <v>J7</v>
          </cell>
          <cell r="R5275" t="str">
            <v>J8</v>
          </cell>
          <cell r="S5275" t="str">
            <v>PENDIENTE</v>
          </cell>
          <cell r="T5275">
            <v>0</v>
          </cell>
          <cell r="U5275" t="str">
            <v>VARILLAS GAGO  OSCAR ALBERTO</v>
          </cell>
          <cell r="V5275" t="str">
            <v>DONAYRE INGA PEDRO</v>
          </cell>
        </row>
        <row r="5276">
          <cell r="A5276">
            <v>5275</v>
          </cell>
          <cell r="B5276">
            <v>42784</v>
          </cell>
          <cell r="C5276" t="str">
            <v>FEBRERO</v>
          </cell>
          <cell r="D5276" t="str">
            <v>2017</v>
          </cell>
          <cell r="E5276">
            <v>1067</v>
          </cell>
          <cell r="F5276" t="str">
            <v>C5R-899</v>
          </cell>
          <cell r="G5276" t="str">
            <v>A0U-978</v>
          </cell>
          <cell r="H5276" t="str">
            <v>LAS BAMBAS</v>
          </cell>
          <cell r="I5276">
            <v>265449</v>
          </cell>
          <cell r="J5276" t="str">
            <v>REPUESTO</v>
          </cell>
          <cell r="K5276" t="str">
            <v>SOPORTE CENTRAL DE CARDÁN</v>
          </cell>
          <cell r="L5276">
            <v>1</v>
          </cell>
          <cell r="M5276" t="str">
            <v>UNID.</v>
          </cell>
          <cell r="N5276" t="str">
            <v>TRACTO</v>
          </cell>
          <cell r="O5276">
            <v>6</v>
          </cell>
          <cell r="P5276" t="str">
            <v>M8</v>
          </cell>
          <cell r="Q5276" t="str">
            <v>J7</v>
          </cell>
          <cell r="R5276" t="str">
            <v>J8</v>
          </cell>
          <cell r="S5276" t="str">
            <v>PENDIENTE</v>
          </cell>
          <cell r="T5276">
            <v>0</v>
          </cell>
          <cell r="U5276" t="str">
            <v>VARILLAS GAGO  OSCAR ALBERTO</v>
          </cell>
          <cell r="V5276" t="str">
            <v>DONAYRE INGA PEDRO</v>
          </cell>
        </row>
        <row r="5277">
          <cell r="A5277">
            <v>5276</v>
          </cell>
          <cell r="B5277">
            <v>42784</v>
          </cell>
          <cell r="C5277" t="str">
            <v>FEBRERO</v>
          </cell>
          <cell r="D5277" t="str">
            <v>2017</v>
          </cell>
          <cell r="E5277">
            <v>1067</v>
          </cell>
          <cell r="F5277" t="str">
            <v>C5R-899</v>
          </cell>
          <cell r="G5277" t="str">
            <v>A0U-978</v>
          </cell>
          <cell r="H5277" t="str">
            <v>LAS BAMBAS</v>
          </cell>
          <cell r="I5277">
            <v>265449</v>
          </cell>
          <cell r="J5277" t="str">
            <v>REPUESTO</v>
          </cell>
          <cell r="K5277" t="str">
            <v>BASE DE FILTRO SEPARADOR DE AGUA (CON CEBADOR)</v>
          </cell>
          <cell r="L5277">
            <v>1</v>
          </cell>
          <cell r="M5277" t="str">
            <v>UNID.</v>
          </cell>
          <cell r="N5277" t="str">
            <v>TRACTO</v>
          </cell>
          <cell r="O5277">
            <v>6</v>
          </cell>
          <cell r="P5277" t="str">
            <v>M8</v>
          </cell>
          <cell r="Q5277" t="str">
            <v>J7</v>
          </cell>
          <cell r="R5277" t="str">
            <v>J8</v>
          </cell>
          <cell r="S5277" t="str">
            <v>PENDIENTE</v>
          </cell>
          <cell r="T5277">
            <v>0</v>
          </cell>
          <cell r="U5277" t="str">
            <v>VARILLAS GAGO  OSCAR ALBERTO</v>
          </cell>
          <cell r="V5277" t="str">
            <v>DONAYRE INGA PEDRO</v>
          </cell>
        </row>
        <row r="5278">
          <cell r="A5278">
            <v>5277</v>
          </cell>
          <cell r="B5278">
            <v>42784</v>
          </cell>
          <cell r="C5278" t="str">
            <v>FEBRERO</v>
          </cell>
          <cell r="D5278" t="str">
            <v>2017</v>
          </cell>
          <cell r="E5278">
            <v>200</v>
          </cell>
          <cell r="F5278" t="str">
            <v>TALLER</v>
          </cell>
          <cell r="G5278" t="str">
            <v>TALLER</v>
          </cell>
          <cell r="H5278" t="str">
            <v>TALLER</v>
          </cell>
          <cell r="I5278" t="str">
            <v>TALLER</v>
          </cell>
          <cell r="J5278" t="str">
            <v>SERVICIO</v>
          </cell>
          <cell r="K5278" t="str">
            <v>SELLO ADMINISTRATIVO</v>
          </cell>
          <cell r="L5278">
            <v>1</v>
          </cell>
          <cell r="M5278" t="str">
            <v>UNID.</v>
          </cell>
          <cell r="N5278" t="str">
            <v>TALLER</v>
          </cell>
          <cell r="O5278">
            <v>6</v>
          </cell>
          <cell r="P5278" t="str">
            <v>J5</v>
          </cell>
          <cell r="Q5278" t="str">
            <v>J7</v>
          </cell>
          <cell r="R5278" t="str">
            <v>J8</v>
          </cell>
          <cell r="S5278" t="str">
            <v>PENDIENTE</v>
          </cell>
          <cell r="T5278">
            <v>0</v>
          </cell>
          <cell r="U5278" t="str">
            <v>CONZA HUALLA NOELIA</v>
          </cell>
          <cell r="V5278" t="str">
            <v>DONAYRE INGA PEDRO</v>
          </cell>
        </row>
        <row r="5279">
          <cell r="A5279">
            <v>5278</v>
          </cell>
          <cell r="B5279">
            <v>42784</v>
          </cell>
          <cell r="C5279" t="str">
            <v>FEBRERO</v>
          </cell>
          <cell r="D5279" t="str">
            <v>2017</v>
          </cell>
          <cell r="E5279">
            <v>1031</v>
          </cell>
          <cell r="F5279" t="str">
            <v>C5R-896</v>
          </cell>
          <cell r="G5279" t="str">
            <v>A0U-977</v>
          </cell>
          <cell r="H5279" t="str">
            <v>LAS BAMBAS</v>
          </cell>
          <cell r="I5279">
            <v>218990</v>
          </cell>
          <cell r="J5279" t="str">
            <v>REPUESTO</v>
          </cell>
          <cell r="K5279" t="str">
            <v>KING PIN 2" PARA PLANCHA DE 1/2"</v>
          </cell>
          <cell r="L5279">
            <v>1</v>
          </cell>
          <cell r="M5279" t="str">
            <v>UNID.</v>
          </cell>
          <cell r="N5279" t="str">
            <v>TRACTO</v>
          </cell>
          <cell r="O5279">
            <v>6</v>
          </cell>
          <cell r="P5279" t="str">
            <v>S1</v>
          </cell>
          <cell r="Q5279" t="str">
            <v>J7</v>
          </cell>
          <cell r="R5279" t="str">
            <v>J5</v>
          </cell>
          <cell r="S5279" t="str">
            <v>PENDIENTE</v>
          </cell>
          <cell r="T5279">
            <v>0</v>
          </cell>
          <cell r="U5279" t="str">
            <v>BAYONA CRUZ CRISTIAN ARMANDO</v>
          </cell>
          <cell r="V5279" t="str">
            <v>DONAYRE INGA PEDRO</v>
          </cell>
        </row>
        <row r="5280">
          <cell r="A5280">
            <v>5279</v>
          </cell>
          <cell r="B5280">
            <v>42784</v>
          </cell>
          <cell r="C5280" t="str">
            <v>FEBRERO</v>
          </cell>
          <cell r="D5280" t="str">
            <v>2017</v>
          </cell>
          <cell r="E5280">
            <v>1031</v>
          </cell>
          <cell r="F5280" t="str">
            <v>C5R-896</v>
          </cell>
          <cell r="G5280" t="str">
            <v>A0U-977</v>
          </cell>
          <cell r="H5280" t="str">
            <v>LAS BAMBAS</v>
          </cell>
          <cell r="I5280">
            <v>218990</v>
          </cell>
          <cell r="J5280" t="str">
            <v>REPUESTO</v>
          </cell>
          <cell r="K5280" t="str">
            <v>PIEZAS (SEGÚN MODELO)</v>
          </cell>
          <cell r="L5280">
            <v>3</v>
          </cell>
          <cell r="M5280" t="str">
            <v>UNID.</v>
          </cell>
          <cell r="N5280" t="str">
            <v>TRACTO</v>
          </cell>
          <cell r="O5280">
            <v>6</v>
          </cell>
          <cell r="P5280" t="str">
            <v>S1</v>
          </cell>
          <cell r="Q5280" t="str">
            <v>J7</v>
          </cell>
          <cell r="R5280" t="str">
            <v>J5</v>
          </cell>
          <cell r="S5280" t="str">
            <v>PENDIENTE</v>
          </cell>
          <cell r="T5280">
            <v>0</v>
          </cell>
          <cell r="U5280" t="str">
            <v>BAYONA CRUZ CRISTIAN ARMANDO</v>
          </cell>
          <cell r="V5280" t="str">
            <v>DONAYRE INGA PEDRO</v>
          </cell>
        </row>
        <row r="5281">
          <cell r="A5281">
            <v>5280</v>
          </cell>
          <cell r="B5281">
            <v>42785</v>
          </cell>
          <cell r="C5281" t="str">
            <v>FEBRERO</v>
          </cell>
          <cell r="D5281" t="str">
            <v>2017</v>
          </cell>
          <cell r="E5281">
            <v>1071</v>
          </cell>
          <cell r="F5281" t="str">
            <v>D6F-898</v>
          </cell>
          <cell r="G5281" t="str">
            <v>T4L-996</v>
          </cell>
          <cell r="H5281" t="str">
            <v>LAS BAMBAS</v>
          </cell>
          <cell r="I5281">
            <v>172274</v>
          </cell>
          <cell r="J5281" t="str">
            <v>REPUESTO</v>
          </cell>
          <cell r="K5281" t="str">
            <v>NEBLINERO</v>
          </cell>
          <cell r="L5281">
            <v>2</v>
          </cell>
          <cell r="M5281" t="str">
            <v>UNID.</v>
          </cell>
          <cell r="N5281" t="str">
            <v>TRACTO</v>
          </cell>
          <cell r="O5281">
            <v>5</v>
          </cell>
          <cell r="P5281" t="str">
            <v>E3</v>
          </cell>
          <cell r="Q5281" t="str">
            <v>J1</v>
          </cell>
          <cell r="R5281" t="str">
            <v>J1</v>
          </cell>
          <cell r="S5281" t="str">
            <v>PENDIENTE</v>
          </cell>
          <cell r="T5281">
            <v>0</v>
          </cell>
          <cell r="U5281" t="str">
            <v>CONDORI CHURATA ALEX</v>
          </cell>
          <cell r="V5281" t="str">
            <v>FLOREZ CONDORI  JOSE WILLIANS</v>
          </cell>
        </row>
        <row r="5282">
          <cell r="A5282">
            <v>5281</v>
          </cell>
          <cell r="B5282">
            <v>42785</v>
          </cell>
          <cell r="C5282" t="str">
            <v>FEBRERO</v>
          </cell>
          <cell r="D5282" t="str">
            <v>2017</v>
          </cell>
          <cell r="E5282">
            <v>1072</v>
          </cell>
          <cell r="F5282" t="str">
            <v>AEG-922</v>
          </cell>
          <cell r="G5282" t="str">
            <v>CAMIONETA</v>
          </cell>
          <cell r="H5282" t="str">
            <v>LAS BAMBAS</v>
          </cell>
          <cell r="I5282">
            <v>109501</v>
          </cell>
          <cell r="J5282" t="str">
            <v>REPUESTO</v>
          </cell>
          <cell r="K5282" t="str">
            <v>ACEITE MOTOR 15W-40</v>
          </cell>
          <cell r="L5282">
            <v>2</v>
          </cell>
          <cell r="M5282" t="str">
            <v>UNID.</v>
          </cell>
          <cell r="N5282" t="str">
            <v>CAMIONETA</v>
          </cell>
          <cell r="O5282">
            <v>5</v>
          </cell>
          <cell r="P5282" t="str">
            <v>M6</v>
          </cell>
          <cell r="Q5282" t="str">
            <v>J1</v>
          </cell>
          <cell r="R5282" t="str">
            <v>J1</v>
          </cell>
          <cell r="S5282" t="str">
            <v>ENTREGADO</v>
          </cell>
          <cell r="T5282">
            <v>0</v>
          </cell>
          <cell r="U5282" t="str">
            <v>PARI VENTURA  EDSON ORLANDO</v>
          </cell>
          <cell r="V5282" t="str">
            <v>FLOREZ CONDORI  JOSE WILLIANS</v>
          </cell>
        </row>
        <row r="5283">
          <cell r="A5283">
            <v>5282</v>
          </cell>
          <cell r="B5283">
            <v>42785</v>
          </cell>
          <cell r="C5283" t="str">
            <v>FEBRERO</v>
          </cell>
          <cell r="D5283" t="str">
            <v>2017</v>
          </cell>
          <cell r="E5283">
            <v>1072</v>
          </cell>
          <cell r="F5283" t="str">
            <v>AEG-922</v>
          </cell>
          <cell r="G5283" t="str">
            <v>CAMIONETA</v>
          </cell>
          <cell r="H5283" t="str">
            <v>LAS BAMBAS</v>
          </cell>
          <cell r="I5283">
            <v>109501</v>
          </cell>
          <cell r="J5283" t="str">
            <v>REPUESTO</v>
          </cell>
          <cell r="K5283" t="str">
            <v>FILTRO DE COMBUSTIBLE</v>
          </cell>
          <cell r="L5283">
            <v>1</v>
          </cell>
          <cell r="M5283" t="str">
            <v>UNID.</v>
          </cell>
          <cell r="N5283" t="str">
            <v>CAMIONETA</v>
          </cell>
          <cell r="O5283">
            <v>5</v>
          </cell>
          <cell r="P5283" t="str">
            <v>M6</v>
          </cell>
          <cell r="Q5283" t="str">
            <v>J1</v>
          </cell>
          <cell r="R5283" t="str">
            <v>J1</v>
          </cell>
          <cell r="S5283" t="str">
            <v>ENTREGADO</v>
          </cell>
          <cell r="T5283">
            <v>0</v>
          </cell>
          <cell r="U5283" t="str">
            <v>PARI VENTURA  EDSON ORLANDO</v>
          </cell>
          <cell r="V5283" t="str">
            <v>FLOREZ CONDORI  JOSE WILLIANS</v>
          </cell>
        </row>
        <row r="5284">
          <cell r="A5284">
            <v>5283</v>
          </cell>
          <cell r="B5284">
            <v>42785</v>
          </cell>
          <cell r="C5284" t="str">
            <v>FEBRERO</v>
          </cell>
          <cell r="D5284" t="str">
            <v>2017</v>
          </cell>
          <cell r="E5284">
            <v>1072</v>
          </cell>
          <cell r="F5284" t="str">
            <v>AEG-922</v>
          </cell>
          <cell r="G5284" t="str">
            <v>CAMIONETA</v>
          </cell>
          <cell r="H5284" t="str">
            <v>LAS BAMBAS</v>
          </cell>
          <cell r="I5284">
            <v>109501</v>
          </cell>
          <cell r="J5284" t="str">
            <v>REPUESTO</v>
          </cell>
          <cell r="K5284" t="str">
            <v>FILTRO DE ACEITE</v>
          </cell>
          <cell r="L5284">
            <v>1</v>
          </cell>
          <cell r="M5284" t="str">
            <v>UNID.</v>
          </cell>
          <cell r="N5284" t="str">
            <v>CAMIONETA</v>
          </cell>
          <cell r="O5284">
            <v>5</v>
          </cell>
          <cell r="P5284" t="str">
            <v>M6</v>
          </cell>
          <cell r="Q5284" t="str">
            <v>J1</v>
          </cell>
          <cell r="R5284" t="str">
            <v>J1</v>
          </cell>
          <cell r="S5284" t="str">
            <v>ENTREGADO</v>
          </cell>
          <cell r="T5284">
            <v>0</v>
          </cell>
          <cell r="U5284" t="str">
            <v>PARI VENTURA  EDSON ORLANDO</v>
          </cell>
          <cell r="V5284" t="str">
            <v>FLOREZ CONDORI  JOSE WILLIANS</v>
          </cell>
        </row>
        <row r="5285">
          <cell r="A5285">
            <v>5284</v>
          </cell>
          <cell r="B5285">
            <v>42785</v>
          </cell>
          <cell r="C5285" t="str">
            <v>FEBRERO</v>
          </cell>
          <cell r="D5285" t="str">
            <v>2017</v>
          </cell>
          <cell r="E5285">
            <v>1072</v>
          </cell>
          <cell r="F5285" t="str">
            <v>AEG-922</v>
          </cell>
          <cell r="G5285" t="str">
            <v>CAMIONETA</v>
          </cell>
          <cell r="H5285" t="str">
            <v>LAS BAMBAS</v>
          </cell>
          <cell r="I5285">
            <v>109501</v>
          </cell>
          <cell r="J5285" t="str">
            <v>REPUESTO</v>
          </cell>
          <cell r="K5285" t="str">
            <v>FILTRO DE AIRE</v>
          </cell>
          <cell r="L5285">
            <v>1</v>
          </cell>
          <cell r="M5285" t="str">
            <v>UNID.</v>
          </cell>
          <cell r="N5285" t="str">
            <v>CAMIONETA</v>
          </cell>
          <cell r="O5285">
            <v>5</v>
          </cell>
          <cell r="P5285" t="str">
            <v>M6</v>
          </cell>
          <cell r="Q5285" t="str">
            <v>J1</v>
          </cell>
          <cell r="R5285" t="str">
            <v>J1</v>
          </cell>
          <cell r="S5285" t="str">
            <v>PENDIENTE</v>
          </cell>
          <cell r="T5285">
            <v>0</v>
          </cell>
          <cell r="U5285" t="str">
            <v>PARI VENTURA  EDSON ORLANDO</v>
          </cell>
          <cell r="V5285" t="str">
            <v>FLOREZ CONDORI  JOSE WILLIANS</v>
          </cell>
        </row>
        <row r="5286">
          <cell r="A5286">
            <v>5285</v>
          </cell>
          <cell r="B5286">
            <v>42785</v>
          </cell>
          <cell r="C5286" t="str">
            <v>FEBRERO</v>
          </cell>
          <cell r="D5286" t="str">
            <v>2017</v>
          </cell>
          <cell r="E5286">
            <v>1073</v>
          </cell>
          <cell r="F5286" t="str">
            <v>D3Q-741</v>
          </cell>
          <cell r="G5286" t="str">
            <v>D2E-976</v>
          </cell>
          <cell r="H5286" t="str">
            <v>LAS BAMBAS</v>
          </cell>
          <cell r="I5286">
            <v>171918</v>
          </cell>
          <cell r="J5286" t="str">
            <v>REPUESTO</v>
          </cell>
          <cell r="K5286" t="str">
            <v>FILTRO SEPARADOR DE AGUA FELPA</v>
          </cell>
          <cell r="L5286">
            <v>1</v>
          </cell>
          <cell r="M5286" t="str">
            <v>UNID.</v>
          </cell>
          <cell r="N5286" t="str">
            <v>TRACTO</v>
          </cell>
          <cell r="O5286">
            <v>5</v>
          </cell>
          <cell r="P5286" t="str">
            <v>M8</v>
          </cell>
          <cell r="Q5286" t="str">
            <v>J1</v>
          </cell>
          <cell r="R5286" t="str">
            <v>J1</v>
          </cell>
          <cell r="S5286" t="str">
            <v>PENDIENTE</v>
          </cell>
          <cell r="T5286">
            <v>0</v>
          </cell>
          <cell r="U5286" t="str">
            <v>VARILLAS GAGO  OSCAR ALBERTO</v>
          </cell>
          <cell r="V5286" t="str">
            <v>FLOREZ CONDORI  JOSE WILLIANS</v>
          </cell>
        </row>
        <row r="5287">
          <cell r="A5287">
            <v>5286</v>
          </cell>
          <cell r="B5287">
            <v>42785</v>
          </cell>
          <cell r="C5287" t="str">
            <v>FEBRERO</v>
          </cell>
          <cell r="D5287" t="str">
            <v>2017</v>
          </cell>
          <cell r="E5287">
            <v>1073</v>
          </cell>
          <cell r="F5287" t="str">
            <v>D3Q-741</v>
          </cell>
          <cell r="G5287" t="str">
            <v>D2E-976</v>
          </cell>
          <cell r="H5287" t="str">
            <v>LAS BAMBAS</v>
          </cell>
          <cell r="I5287">
            <v>171918</v>
          </cell>
          <cell r="J5287" t="str">
            <v>REPUESTO</v>
          </cell>
          <cell r="K5287" t="str">
            <v>FILTRO DE COMBUSTIBLE</v>
          </cell>
          <cell r="L5287">
            <v>1</v>
          </cell>
          <cell r="M5287" t="str">
            <v>UNID.</v>
          </cell>
          <cell r="N5287" t="str">
            <v>TRACTO</v>
          </cell>
          <cell r="O5287">
            <v>5</v>
          </cell>
          <cell r="P5287" t="str">
            <v>M8</v>
          </cell>
          <cell r="Q5287" t="str">
            <v>J1</v>
          </cell>
          <cell r="R5287" t="str">
            <v>J1</v>
          </cell>
          <cell r="S5287" t="str">
            <v>PENDIENTE</v>
          </cell>
          <cell r="T5287">
            <v>0</v>
          </cell>
          <cell r="U5287" t="str">
            <v>VARILLAS GAGO  OSCAR ALBERTO</v>
          </cell>
          <cell r="V5287" t="str">
            <v>FLOREZ CONDORI  JOSE WILLIANS</v>
          </cell>
        </row>
        <row r="5288">
          <cell r="A5288">
            <v>5287</v>
          </cell>
          <cell r="B5288">
            <v>42785</v>
          </cell>
          <cell r="C5288" t="str">
            <v>FEBRERO</v>
          </cell>
          <cell r="D5288" t="str">
            <v>2017</v>
          </cell>
          <cell r="E5288">
            <v>1073</v>
          </cell>
          <cell r="F5288" t="str">
            <v>D3Q-741</v>
          </cell>
          <cell r="G5288" t="str">
            <v>D2E-976</v>
          </cell>
          <cell r="H5288" t="str">
            <v>LAS BAMBAS</v>
          </cell>
          <cell r="I5288">
            <v>171918</v>
          </cell>
          <cell r="J5288" t="str">
            <v>REPUESTO</v>
          </cell>
          <cell r="K5288" t="str">
            <v>VALVULA RELAY DE FRENO</v>
          </cell>
          <cell r="L5288">
            <v>1</v>
          </cell>
          <cell r="M5288" t="str">
            <v>UNID.</v>
          </cell>
          <cell r="N5288" t="str">
            <v>TRACTO</v>
          </cell>
          <cell r="O5288">
            <v>5</v>
          </cell>
          <cell r="P5288" t="str">
            <v>M8</v>
          </cell>
          <cell r="Q5288" t="str">
            <v>J1</v>
          </cell>
          <cell r="R5288" t="str">
            <v>J1</v>
          </cell>
          <cell r="S5288" t="str">
            <v>PENDIENTE</v>
          </cell>
          <cell r="T5288">
            <v>0</v>
          </cell>
          <cell r="U5288" t="str">
            <v>VARILLAS GAGO  OSCAR ALBERTO</v>
          </cell>
          <cell r="V5288" t="str">
            <v>FLOREZ CONDORI  JOSE WILLIANS</v>
          </cell>
        </row>
        <row r="5289">
          <cell r="A5289">
            <v>5288</v>
          </cell>
          <cell r="B5289">
            <v>42785</v>
          </cell>
          <cell r="C5289" t="str">
            <v>FEBRERO</v>
          </cell>
          <cell r="D5289" t="str">
            <v>2017</v>
          </cell>
          <cell r="E5289">
            <v>1071</v>
          </cell>
          <cell r="F5289" t="str">
            <v>D6F-898</v>
          </cell>
          <cell r="G5289" t="str">
            <v>T4L-996</v>
          </cell>
          <cell r="H5289" t="str">
            <v>LAS BAMBAS</v>
          </cell>
          <cell r="I5289">
            <v>172274</v>
          </cell>
          <cell r="J5289" t="str">
            <v>REPUESTO</v>
          </cell>
          <cell r="K5289" t="str">
            <v>FARO STOP</v>
          </cell>
          <cell r="L5289">
            <v>1</v>
          </cell>
          <cell r="M5289" t="str">
            <v>UNID.</v>
          </cell>
          <cell r="N5289" t="str">
            <v>CISTERNA</v>
          </cell>
          <cell r="O5289">
            <v>5</v>
          </cell>
          <cell r="P5289" t="str">
            <v>E3</v>
          </cell>
          <cell r="Q5289" t="str">
            <v>J1</v>
          </cell>
          <cell r="R5289" t="str">
            <v>J1</v>
          </cell>
          <cell r="S5289" t="str">
            <v>ENTREGADO</v>
          </cell>
          <cell r="T5289">
            <v>0</v>
          </cell>
          <cell r="U5289" t="str">
            <v>CONDORI CHURATA ALEX</v>
          </cell>
          <cell r="V5289" t="str">
            <v>FLOREZ CONDORI  JOSE WILLIANS</v>
          </cell>
        </row>
        <row r="5290">
          <cell r="A5290">
            <v>5289</v>
          </cell>
          <cell r="B5290">
            <v>42785</v>
          </cell>
          <cell r="C5290" t="str">
            <v>FEBRERO</v>
          </cell>
          <cell r="D5290" t="str">
            <v>2017</v>
          </cell>
          <cell r="E5290">
            <v>1071</v>
          </cell>
          <cell r="F5290" t="str">
            <v>D6F-898</v>
          </cell>
          <cell r="G5290" t="str">
            <v>T4L-996</v>
          </cell>
          <cell r="H5290" t="str">
            <v>LAS BAMBAS</v>
          </cell>
          <cell r="I5290">
            <v>172274</v>
          </cell>
          <cell r="J5290" t="str">
            <v>REPUESTO</v>
          </cell>
          <cell r="K5290" t="str">
            <v>FARO STOP</v>
          </cell>
          <cell r="L5290">
            <v>1</v>
          </cell>
          <cell r="M5290" t="str">
            <v>UNID.</v>
          </cell>
          <cell r="N5290" t="str">
            <v>CISTERNA</v>
          </cell>
          <cell r="O5290">
            <v>5</v>
          </cell>
          <cell r="P5290" t="str">
            <v>E3</v>
          </cell>
          <cell r="Q5290" t="str">
            <v>J1</v>
          </cell>
          <cell r="R5290" t="str">
            <v>J1</v>
          </cell>
          <cell r="S5290" t="str">
            <v>ENTREGADO</v>
          </cell>
          <cell r="T5290">
            <v>0</v>
          </cell>
          <cell r="U5290" t="str">
            <v>CONDORI CHURATA ALEX</v>
          </cell>
          <cell r="V5290" t="str">
            <v>FLOREZ CONDORI  JOSE WILLIANS</v>
          </cell>
        </row>
        <row r="5291">
          <cell r="A5291">
            <v>5290</v>
          </cell>
          <cell r="B5291">
            <v>42785</v>
          </cell>
          <cell r="C5291" t="str">
            <v>FEBRERO</v>
          </cell>
          <cell r="D5291" t="str">
            <v>2017</v>
          </cell>
          <cell r="E5291">
            <v>1073</v>
          </cell>
          <cell r="F5291" t="str">
            <v>D3Q-741</v>
          </cell>
          <cell r="G5291" t="str">
            <v>D2E-976</v>
          </cell>
          <cell r="H5291" t="str">
            <v>LAS BAMBAS</v>
          </cell>
          <cell r="I5291">
            <v>171918</v>
          </cell>
          <cell r="J5291" t="str">
            <v>SERVICIO</v>
          </cell>
          <cell r="K5291" t="str">
            <v>SERVICIO DE REPARACION DE RADIADOR</v>
          </cell>
          <cell r="L5291">
            <v>1</v>
          </cell>
          <cell r="M5291" t="str">
            <v>UNID.</v>
          </cell>
          <cell r="N5291" t="str">
            <v>TRACTO</v>
          </cell>
          <cell r="O5291">
            <v>5</v>
          </cell>
          <cell r="P5291" t="str">
            <v>M8</v>
          </cell>
          <cell r="Q5291" t="str">
            <v>J1</v>
          </cell>
          <cell r="R5291" t="str">
            <v>J1</v>
          </cell>
          <cell r="S5291" t="str">
            <v>PENDIENTE</v>
          </cell>
          <cell r="T5291">
            <v>0</v>
          </cell>
          <cell r="U5291" t="str">
            <v>VARILLAS GAGO  OSCAR ALBERTO</v>
          </cell>
          <cell r="V5291" t="str">
            <v>FLOREZ CONDORI  JOSE WILLIANS</v>
          </cell>
        </row>
        <row r="5292">
          <cell r="A5292">
            <v>5291</v>
          </cell>
          <cell r="B5292">
            <v>42785</v>
          </cell>
          <cell r="C5292" t="str">
            <v>FEBRERO</v>
          </cell>
          <cell r="D5292" t="str">
            <v>2017</v>
          </cell>
          <cell r="E5292">
            <v>1031</v>
          </cell>
          <cell r="F5292" t="str">
            <v>C5R-896</v>
          </cell>
          <cell r="G5292" t="str">
            <v>A0U-977</v>
          </cell>
          <cell r="H5292" t="str">
            <v>LAS BAMBAS</v>
          </cell>
          <cell r="I5292">
            <v>218990</v>
          </cell>
          <cell r="J5292" t="str">
            <v>REPUESTO</v>
          </cell>
          <cell r="K5292" t="str">
            <v>CELLOCORD 1/8</v>
          </cell>
          <cell r="L5292">
            <v>1</v>
          </cell>
          <cell r="M5292" t="str">
            <v>KG.</v>
          </cell>
          <cell r="N5292" t="str">
            <v>CISTERNA</v>
          </cell>
          <cell r="O5292">
            <v>5</v>
          </cell>
          <cell r="P5292" t="str">
            <v>S1</v>
          </cell>
          <cell r="Q5292" t="str">
            <v>J1</v>
          </cell>
          <cell r="R5292" t="str">
            <v>J1</v>
          </cell>
          <cell r="S5292" t="str">
            <v>ENTREGADO</v>
          </cell>
          <cell r="T5292">
            <v>0</v>
          </cell>
          <cell r="U5292" t="str">
            <v>BAYONA CRUZ CRISTIAN ARMANDO</v>
          </cell>
          <cell r="V5292" t="str">
            <v>FLOREZ CONDORI  JOSE WILLIANS</v>
          </cell>
        </row>
        <row r="5293">
          <cell r="A5293">
            <v>5292</v>
          </cell>
          <cell r="B5293">
            <v>42785</v>
          </cell>
          <cell r="C5293" t="str">
            <v>FEBRERO</v>
          </cell>
          <cell r="D5293" t="str">
            <v>2017</v>
          </cell>
          <cell r="E5293">
            <v>1074</v>
          </cell>
          <cell r="F5293" t="str">
            <v>ABP-783</v>
          </cell>
          <cell r="G5293" t="str">
            <v>C9S-988</v>
          </cell>
          <cell r="H5293" t="str">
            <v>LAS BAMBAS</v>
          </cell>
          <cell r="I5293">
            <v>137528</v>
          </cell>
          <cell r="J5293" t="str">
            <v>REPUESTO</v>
          </cell>
          <cell r="K5293" t="str">
            <v>PARCHE Nro 14</v>
          </cell>
          <cell r="L5293">
            <v>1</v>
          </cell>
          <cell r="M5293" t="str">
            <v>UNID.</v>
          </cell>
          <cell r="N5293" t="str">
            <v>CISTERNA</v>
          </cell>
          <cell r="O5293">
            <v>5</v>
          </cell>
          <cell r="P5293" t="str">
            <v>N2</v>
          </cell>
          <cell r="Q5293" t="str">
            <v>J1</v>
          </cell>
          <cell r="R5293" t="str">
            <v>J1</v>
          </cell>
          <cell r="S5293" t="str">
            <v>ENTREGADO</v>
          </cell>
          <cell r="T5293">
            <v>0</v>
          </cell>
          <cell r="U5293" t="str">
            <v>MAMANI LARICO  EDUARDO ALVARO</v>
          </cell>
          <cell r="V5293" t="str">
            <v>FLOREZ CONDORI  JOSE WILLIANS</v>
          </cell>
        </row>
        <row r="5294">
          <cell r="A5294">
            <v>5293</v>
          </cell>
          <cell r="B5294">
            <v>42785</v>
          </cell>
          <cell r="C5294" t="str">
            <v>FEBRERO</v>
          </cell>
          <cell r="D5294" t="str">
            <v>2017</v>
          </cell>
          <cell r="E5294">
            <v>1071</v>
          </cell>
          <cell r="F5294" t="str">
            <v>D6F-898</v>
          </cell>
          <cell r="G5294" t="str">
            <v>T4L-996</v>
          </cell>
          <cell r="H5294" t="str">
            <v>LAS BAMBAS</v>
          </cell>
          <cell r="I5294">
            <v>172274</v>
          </cell>
          <cell r="J5294" t="str">
            <v>REPUESTO</v>
          </cell>
          <cell r="K5294" t="str">
            <v>FARO STOP</v>
          </cell>
          <cell r="L5294">
            <v>1</v>
          </cell>
          <cell r="M5294" t="str">
            <v>UNID.</v>
          </cell>
          <cell r="N5294" t="str">
            <v>CISTERNA</v>
          </cell>
          <cell r="O5294">
            <v>5</v>
          </cell>
          <cell r="P5294" t="str">
            <v>E3</v>
          </cell>
          <cell r="Q5294" t="str">
            <v>J1</v>
          </cell>
          <cell r="R5294" t="str">
            <v>J1</v>
          </cell>
          <cell r="S5294" t="str">
            <v>ENTREGADO</v>
          </cell>
          <cell r="T5294">
            <v>0</v>
          </cell>
          <cell r="U5294" t="str">
            <v>CONDORI CHURATA ALEX</v>
          </cell>
          <cell r="V5294" t="str">
            <v>FLOREZ CONDORI  JOSE WILLIANS</v>
          </cell>
        </row>
        <row r="5295">
          <cell r="A5295">
            <v>5294</v>
          </cell>
          <cell r="B5295">
            <v>42785</v>
          </cell>
          <cell r="C5295" t="str">
            <v>FEBRERO</v>
          </cell>
          <cell r="D5295" t="str">
            <v>2017</v>
          </cell>
          <cell r="E5295">
            <v>200</v>
          </cell>
          <cell r="F5295" t="str">
            <v>TALLER</v>
          </cell>
          <cell r="G5295" t="str">
            <v>TALLER</v>
          </cell>
          <cell r="H5295" t="str">
            <v>TALLER</v>
          </cell>
          <cell r="I5295" t="str">
            <v>TALLER</v>
          </cell>
          <cell r="J5295" t="str">
            <v>REPUESTO</v>
          </cell>
          <cell r="K5295" t="str">
            <v>CINTA AISLANTE</v>
          </cell>
          <cell r="L5295">
            <v>1</v>
          </cell>
          <cell r="M5295" t="str">
            <v>UNID.</v>
          </cell>
          <cell r="N5295" t="str">
            <v>CISTERNA</v>
          </cell>
          <cell r="O5295">
            <v>5</v>
          </cell>
          <cell r="P5295" t="str">
            <v>E3</v>
          </cell>
          <cell r="Q5295" t="str">
            <v>J1</v>
          </cell>
          <cell r="R5295" t="str">
            <v>J1</v>
          </cell>
          <cell r="S5295" t="str">
            <v>ENTREGADO</v>
          </cell>
          <cell r="T5295">
            <v>0</v>
          </cell>
          <cell r="U5295" t="str">
            <v>CONDORI CHURATA ALEX</v>
          </cell>
          <cell r="V5295" t="str">
            <v>FLOREZ CONDORI  JOSE WILLIANS</v>
          </cell>
        </row>
        <row r="5296">
          <cell r="A5296">
            <v>5295</v>
          </cell>
          <cell r="B5296">
            <v>42785</v>
          </cell>
          <cell r="C5296" t="str">
            <v>FEBRERO</v>
          </cell>
          <cell r="D5296" t="str">
            <v>2017</v>
          </cell>
          <cell r="E5296">
            <v>200</v>
          </cell>
          <cell r="F5296" t="str">
            <v>TALLER</v>
          </cell>
          <cell r="G5296" t="str">
            <v>TALLER</v>
          </cell>
          <cell r="H5296" t="str">
            <v>TALLER</v>
          </cell>
          <cell r="I5296" t="str">
            <v>TALLER</v>
          </cell>
          <cell r="J5296" t="str">
            <v>REPUESTO</v>
          </cell>
          <cell r="K5296" t="str">
            <v>TUBO CORRUGADO 1/4</v>
          </cell>
          <cell r="L5296">
            <v>2</v>
          </cell>
          <cell r="M5296" t="str">
            <v>M</v>
          </cell>
          <cell r="N5296" t="str">
            <v>CISTERNA</v>
          </cell>
          <cell r="O5296">
            <v>5</v>
          </cell>
          <cell r="P5296" t="str">
            <v>E3</v>
          </cell>
          <cell r="Q5296" t="str">
            <v>J1</v>
          </cell>
          <cell r="R5296" t="str">
            <v>J1</v>
          </cell>
          <cell r="S5296" t="str">
            <v>ENTREGADO</v>
          </cell>
          <cell r="T5296">
            <v>0</v>
          </cell>
          <cell r="U5296" t="str">
            <v>CONDORI CHURATA ALEX</v>
          </cell>
          <cell r="V5296" t="str">
            <v>FLOREZ CONDORI  JOSE WILLIANS</v>
          </cell>
        </row>
        <row r="5297">
          <cell r="A5297">
            <v>5296</v>
          </cell>
          <cell r="B5297">
            <v>42785</v>
          </cell>
          <cell r="C5297" t="str">
            <v>FEBRERO</v>
          </cell>
          <cell r="D5297" t="str">
            <v>2017</v>
          </cell>
          <cell r="E5297">
            <v>1067</v>
          </cell>
          <cell r="F5297" t="str">
            <v>C5R-899</v>
          </cell>
          <cell r="G5297" t="str">
            <v>A0U-978</v>
          </cell>
          <cell r="H5297" t="str">
            <v>LAS BAMBAS</v>
          </cell>
          <cell r="I5297">
            <v>265449</v>
          </cell>
          <cell r="J5297" t="str">
            <v>REPUESTO</v>
          </cell>
          <cell r="K5297" t="str">
            <v>FUSIBLE 15A</v>
          </cell>
          <cell r="L5297">
            <v>3</v>
          </cell>
          <cell r="M5297" t="str">
            <v>UNID.</v>
          </cell>
          <cell r="N5297" t="str">
            <v>TRACTO</v>
          </cell>
          <cell r="O5297">
            <v>5</v>
          </cell>
          <cell r="P5297" t="str">
            <v>E3</v>
          </cell>
          <cell r="Q5297" t="str">
            <v>J1</v>
          </cell>
          <cell r="R5297" t="str">
            <v>J1</v>
          </cell>
          <cell r="S5297" t="str">
            <v>ENTREGADO</v>
          </cell>
          <cell r="T5297">
            <v>0</v>
          </cell>
          <cell r="U5297" t="str">
            <v>CONDORI CHURATA ALEX</v>
          </cell>
          <cell r="V5297" t="str">
            <v>FLOREZ CONDORI  JOSE WILLIANS</v>
          </cell>
        </row>
        <row r="5298">
          <cell r="A5298">
            <v>5297</v>
          </cell>
          <cell r="B5298">
            <v>42785</v>
          </cell>
          <cell r="C5298" t="str">
            <v>FEBRERO</v>
          </cell>
          <cell r="D5298" t="str">
            <v>2017</v>
          </cell>
          <cell r="E5298">
            <v>1067</v>
          </cell>
          <cell r="F5298" t="str">
            <v>C5R-899</v>
          </cell>
          <cell r="G5298" t="str">
            <v>A0U-978</v>
          </cell>
          <cell r="H5298" t="str">
            <v>LAS BAMBAS</v>
          </cell>
          <cell r="I5298">
            <v>265449</v>
          </cell>
          <cell r="J5298" t="str">
            <v>REPUESTO</v>
          </cell>
          <cell r="K5298" t="str">
            <v>FUSIBLE 10A</v>
          </cell>
          <cell r="L5298">
            <v>2</v>
          </cell>
          <cell r="M5298" t="str">
            <v>UNID.</v>
          </cell>
          <cell r="N5298" t="str">
            <v>TRACTO</v>
          </cell>
          <cell r="O5298">
            <v>5</v>
          </cell>
          <cell r="P5298" t="str">
            <v>E3</v>
          </cell>
          <cell r="Q5298" t="str">
            <v>J1</v>
          </cell>
          <cell r="R5298" t="str">
            <v>J1</v>
          </cell>
          <cell r="S5298" t="str">
            <v>ENTREGADO</v>
          </cell>
          <cell r="T5298">
            <v>0</v>
          </cell>
          <cell r="U5298" t="str">
            <v>CONDORI CHURATA ALEX</v>
          </cell>
          <cell r="V5298" t="str">
            <v>FLOREZ CONDORI  JOSE WILLIANS</v>
          </cell>
        </row>
        <row r="5299">
          <cell r="A5299">
            <v>5298</v>
          </cell>
          <cell r="B5299">
            <v>42785</v>
          </cell>
          <cell r="C5299" t="str">
            <v>FEBRERO</v>
          </cell>
          <cell r="D5299" t="str">
            <v>2017</v>
          </cell>
          <cell r="E5299">
            <v>1068</v>
          </cell>
          <cell r="F5299" t="str">
            <v>D3S-764</v>
          </cell>
          <cell r="G5299" t="str">
            <v>TBL-998</v>
          </cell>
          <cell r="H5299" t="str">
            <v>LAS BAMBAS</v>
          </cell>
          <cell r="I5299">
            <v>132169</v>
          </cell>
          <cell r="J5299" t="str">
            <v>REPUESTO</v>
          </cell>
          <cell r="K5299" t="str">
            <v>FARO LED 14"</v>
          </cell>
          <cell r="L5299">
            <v>2</v>
          </cell>
          <cell r="M5299" t="str">
            <v>UNID.</v>
          </cell>
          <cell r="N5299" t="str">
            <v>CISTERNA</v>
          </cell>
          <cell r="O5299">
            <v>5</v>
          </cell>
          <cell r="P5299" t="str">
            <v>E3</v>
          </cell>
          <cell r="Q5299" t="str">
            <v>J1</v>
          </cell>
          <cell r="R5299" t="str">
            <v>J8</v>
          </cell>
          <cell r="S5299" t="str">
            <v>PENDIENTE</v>
          </cell>
          <cell r="T5299">
            <v>0</v>
          </cell>
          <cell r="U5299" t="str">
            <v>CONDORI CHURATA ALEX</v>
          </cell>
          <cell r="V5299" t="str">
            <v>FLOREZ CONDORI  JOSE WILLIANS</v>
          </cell>
        </row>
        <row r="5300">
          <cell r="A5300">
            <v>5299</v>
          </cell>
          <cell r="B5300">
            <v>42785</v>
          </cell>
          <cell r="C5300" t="str">
            <v>FEBRERO</v>
          </cell>
          <cell r="D5300" t="str">
            <v>2017</v>
          </cell>
          <cell r="E5300">
            <v>1067</v>
          </cell>
          <cell r="F5300" t="str">
            <v>C5R-899</v>
          </cell>
          <cell r="G5300" t="str">
            <v>A0U-978</v>
          </cell>
          <cell r="H5300" t="str">
            <v>LAS BAMBAS</v>
          </cell>
          <cell r="I5300">
            <v>265449</v>
          </cell>
          <cell r="J5300" t="str">
            <v>MATERIALES</v>
          </cell>
          <cell r="K5300" t="str">
            <v>SOLDADURA 5/32</v>
          </cell>
          <cell r="L5300">
            <v>1</v>
          </cell>
          <cell r="M5300" t="str">
            <v>KG.</v>
          </cell>
          <cell r="N5300" t="str">
            <v>CISTERNA</v>
          </cell>
          <cell r="O5300">
            <v>5</v>
          </cell>
          <cell r="P5300" t="str">
            <v>S1</v>
          </cell>
          <cell r="Q5300" t="str">
            <v>J1</v>
          </cell>
          <cell r="R5300" t="str">
            <v>J8</v>
          </cell>
          <cell r="S5300" t="str">
            <v>PENDIENTE</v>
          </cell>
          <cell r="T5300">
            <v>0</v>
          </cell>
          <cell r="U5300" t="str">
            <v>BAYONA CRUZ CRISTIAN ARMANDO</v>
          </cell>
          <cell r="V5300" t="str">
            <v>FLOREZ CONDORI  JOSE WILLIANS</v>
          </cell>
        </row>
        <row r="5301">
          <cell r="A5301">
            <v>5300</v>
          </cell>
          <cell r="B5301">
            <v>42785</v>
          </cell>
          <cell r="C5301" t="str">
            <v>FEBRERO</v>
          </cell>
          <cell r="D5301" t="str">
            <v>2017</v>
          </cell>
          <cell r="E5301">
            <v>200</v>
          </cell>
          <cell r="F5301" t="str">
            <v>TALLER</v>
          </cell>
          <cell r="G5301" t="str">
            <v>TALLER</v>
          </cell>
          <cell r="H5301" t="str">
            <v>TALLER</v>
          </cell>
          <cell r="I5301" t="str">
            <v>TALLER</v>
          </cell>
          <cell r="J5301" t="str">
            <v>MATERIALES</v>
          </cell>
          <cell r="K5301" t="str">
            <v>SPRAY ALUMINIO</v>
          </cell>
          <cell r="L5301">
            <v>1</v>
          </cell>
          <cell r="M5301" t="str">
            <v>UNID.</v>
          </cell>
          <cell r="N5301" t="str">
            <v>TALLER</v>
          </cell>
          <cell r="O5301">
            <v>5</v>
          </cell>
          <cell r="P5301" t="str">
            <v>N2</v>
          </cell>
          <cell r="Q5301" t="str">
            <v>J1</v>
          </cell>
          <cell r="R5301" t="str">
            <v>J8</v>
          </cell>
          <cell r="S5301" t="str">
            <v>PENDIENTE</v>
          </cell>
          <cell r="T5301">
            <v>0</v>
          </cell>
          <cell r="U5301" t="str">
            <v>MAMANI LARICO  EDUARDO ALVARO</v>
          </cell>
          <cell r="V5301" t="str">
            <v>FLOREZ CONDORI  JOSE WILLIANS</v>
          </cell>
        </row>
        <row r="5302">
          <cell r="A5302">
            <v>5301</v>
          </cell>
          <cell r="B5302">
            <v>42785</v>
          </cell>
          <cell r="C5302" t="str">
            <v>FEBRERO</v>
          </cell>
          <cell r="D5302" t="str">
            <v>2017</v>
          </cell>
          <cell r="E5302">
            <v>200</v>
          </cell>
          <cell r="F5302" t="str">
            <v>TALLER</v>
          </cell>
          <cell r="G5302" t="str">
            <v>TALLER</v>
          </cell>
          <cell r="H5302" t="str">
            <v>TALLER</v>
          </cell>
          <cell r="I5302" t="str">
            <v>TALLER</v>
          </cell>
          <cell r="J5302" t="str">
            <v>MATERIALES</v>
          </cell>
          <cell r="K5302" t="str">
            <v>SPRAY BLANCO</v>
          </cell>
          <cell r="L5302">
            <v>1</v>
          </cell>
          <cell r="M5302" t="str">
            <v>UNID.</v>
          </cell>
          <cell r="N5302" t="str">
            <v>TALLER</v>
          </cell>
          <cell r="O5302">
            <v>5</v>
          </cell>
          <cell r="P5302" t="str">
            <v>N2</v>
          </cell>
          <cell r="Q5302" t="str">
            <v>J1</v>
          </cell>
          <cell r="R5302" t="str">
            <v>J8</v>
          </cell>
          <cell r="S5302" t="str">
            <v>PENDIENTE</v>
          </cell>
          <cell r="T5302">
            <v>0</v>
          </cell>
          <cell r="U5302" t="str">
            <v>MAMANI LARICO  EDUARDO ALVARO</v>
          </cell>
          <cell r="V5302" t="str">
            <v>FLOREZ CONDORI  JOSE WILLIANS</v>
          </cell>
        </row>
        <row r="5303">
          <cell r="A5303">
            <v>5302</v>
          </cell>
          <cell r="B5303">
            <v>42785</v>
          </cell>
          <cell r="C5303" t="str">
            <v>FEBRERO</v>
          </cell>
          <cell r="D5303" t="str">
            <v>2017</v>
          </cell>
          <cell r="E5303">
            <v>200</v>
          </cell>
          <cell r="F5303" t="str">
            <v>TALLER</v>
          </cell>
          <cell r="G5303" t="str">
            <v>TALLER</v>
          </cell>
          <cell r="H5303" t="str">
            <v>TALLER</v>
          </cell>
          <cell r="I5303" t="str">
            <v>TALLER</v>
          </cell>
          <cell r="J5303" t="str">
            <v>MATERIALES</v>
          </cell>
          <cell r="K5303" t="str">
            <v>GRASA VEGETAL</v>
          </cell>
          <cell r="L5303">
            <v>1</v>
          </cell>
          <cell r="M5303" t="str">
            <v>UNID.</v>
          </cell>
          <cell r="N5303" t="str">
            <v>TALLER</v>
          </cell>
          <cell r="O5303">
            <v>5</v>
          </cell>
          <cell r="P5303" t="str">
            <v>N2</v>
          </cell>
          <cell r="Q5303" t="str">
            <v>J1</v>
          </cell>
          <cell r="R5303" t="str">
            <v>J8</v>
          </cell>
          <cell r="S5303" t="str">
            <v>PENDIENTE</v>
          </cell>
          <cell r="T5303">
            <v>0</v>
          </cell>
          <cell r="U5303" t="str">
            <v>MAMANI LARICO  EDUARDO ALVARO</v>
          </cell>
          <cell r="V5303" t="str">
            <v>FLOREZ CONDORI  JOSE WILLIANS</v>
          </cell>
        </row>
        <row r="5304">
          <cell r="A5304">
            <v>5303</v>
          </cell>
          <cell r="B5304">
            <v>42785</v>
          </cell>
          <cell r="C5304" t="str">
            <v>FEBRERO</v>
          </cell>
          <cell r="D5304" t="str">
            <v>2017</v>
          </cell>
          <cell r="E5304">
            <v>1068</v>
          </cell>
          <cell r="F5304" t="str">
            <v>D3S-764</v>
          </cell>
          <cell r="G5304" t="str">
            <v>TBL-998</v>
          </cell>
          <cell r="H5304" t="str">
            <v>LAS BAMBAS</v>
          </cell>
          <cell r="I5304">
            <v>132169</v>
          </cell>
          <cell r="J5304" t="str">
            <v>REPUESTO</v>
          </cell>
          <cell r="K5304" t="str">
            <v>PERNO MANHOLE CON TUERCA</v>
          </cell>
          <cell r="L5304">
            <v>2</v>
          </cell>
          <cell r="M5304" t="str">
            <v>UNID.</v>
          </cell>
          <cell r="N5304" t="str">
            <v>CISTERNA</v>
          </cell>
          <cell r="O5304">
            <v>5</v>
          </cell>
          <cell r="P5304" t="str">
            <v>J9</v>
          </cell>
          <cell r="Q5304" t="str">
            <v>J1</v>
          </cell>
          <cell r="R5304" t="str">
            <v>J8</v>
          </cell>
          <cell r="S5304" t="str">
            <v>PENDIENTE</v>
          </cell>
          <cell r="T5304">
            <v>0</v>
          </cell>
          <cell r="U5304" t="str">
            <v>CHANG CELIS FELIPE</v>
          </cell>
          <cell r="V5304" t="str">
            <v>FLOREZ CONDORI  JOSE WILLIANS</v>
          </cell>
        </row>
        <row r="5305">
          <cell r="A5305">
            <v>5304</v>
          </cell>
          <cell r="B5305">
            <v>42785</v>
          </cell>
          <cell r="C5305" t="str">
            <v>FEBRERO</v>
          </cell>
          <cell r="D5305" t="str">
            <v>2017</v>
          </cell>
          <cell r="E5305">
            <v>1074</v>
          </cell>
          <cell r="F5305" t="str">
            <v>ABP-783</v>
          </cell>
          <cell r="G5305" t="str">
            <v>C9S-988</v>
          </cell>
          <cell r="H5305" t="str">
            <v>LAS BAMBAS</v>
          </cell>
          <cell r="I5305">
            <v>137528</v>
          </cell>
          <cell r="J5305" t="str">
            <v>REPUESTO</v>
          </cell>
          <cell r="K5305" t="str">
            <v>TAPA MEDIDOR DE LIQUIDO DE HIDROLINA</v>
          </cell>
          <cell r="L5305">
            <v>1</v>
          </cell>
          <cell r="M5305" t="str">
            <v>UNID.</v>
          </cell>
          <cell r="N5305" t="str">
            <v>TRACTO</v>
          </cell>
          <cell r="O5305">
            <v>5</v>
          </cell>
          <cell r="P5305" t="str">
            <v>M2</v>
          </cell>
          <cell r="Q5305" t="str">
            <v>J1</v>
          </cell>
          <cell r="R5305" t="str">
            <v>J8</v>
          </cell>
          <cell r="S5305" t="str">
            <v>PENDIENTE</v>
          </cell>
          <cell r="T5305">
            <v>0</v>
          </cell>
          <cell r="U5305" t="str">
            <v>CHUMPITAZ GAGO JULIO ENRIQUE</v>
          </cell>
          <cell r="V5305" t="str">
            <v>FLOREZ CONDORI  JOSE WILLIANS</v>
          </cell>
        </row>
        <row r="5306">
          <cell r="A5306">
            <v>5305</v>
          </cell>
          <cell r="B5306">
            <v>42785</v>
          </cell>
          <cell r="C5306" t="str">
            <v>FEBRERO</v>
          </cell>
          <cell r="D5306" t="str">
            <v>2017</v>
          </cell>
          <cell r="E5306">
            <v>1074</v>
          </cell>
          <cell r="F5306" t="str">
            <v>ABP-783</v>
          </cell>
          <cell r="G5306" t="str">
            <v>C9S-988</v>
          </cell>
          <cell r="H5306" t="str">
            <v>LAS BAMBAS</v>
          </cell>
          <cell r="I5306">
            <v>137528</v>
          </cell>
          <cell r="J5306" t="str">
            <v>REPUESTO</v>
          </cell>
          <cell r="K5306" t="str">
            <v>LIQUIDO HIDROLINA</v>
          </cell>
          <cell r="L5306">
            <v>1</v>
          </cell>
          <cell r="M5306" t="str">
            <v>GLNS.</v>
          </cell>
          <cell r="N5306" t="str">
            <v>TRACTO</v>
          </cell>
          <cell r="O5306">
            <v>5</v>
          </cell>
          <cell r="P5306" t="str">
            <v>M2</v>
          </cell>
          <cell r="Q5306" t="str">
            <v>J1</v>
          </cell>
          <cell r="R5306" t="str">
            <v>J8</v>
          </cell>
          <cell r="S5306" t="str">
            <v>PENDIENTE</v>
          </cell>
          <cell r="T5306">
            <v>0</v>
          </cell>
          <cell r="U5306" t="str">
            <v>CHUMPITAZ GAGO JULIO ENRIQUE</v>
          </cell>
          <cell r="V5306" t="str">
            <v>FLOREZ CONDORI  JOSE WILLIANS</v>
          </cell>
        </row>
        <row r="5307">
          <cell r="A5307">
            <v>5306</v>
          </cell>
          <cell r="B5307">
            <v>42786</v>
          </cell>
          <cell r="C5307" t="str">
            <v>FEBRERO</v>
          </cell>
          <cell r="D5307" t="str">
            <v>2017</v>
          </cell>
          <cell r="E5307">
            <v>200</v>
          </cell>
          <cell r="F5307" t="str">
            <v>TALLER</v>
          </cell>
          <cell r="G5307" t="str">
            <v>TALLER</v>
          </cell>
          <cell r="H5307" t="str">
            <v>TALLER</v>
          </cell>
          <cell r="I5307" t="str">
            <v>TALLER</v>
          </cell>
          <cell r="J5307" t="str">
            <v>REPUESTO</v>
          </cell>
          <cell r="K5307" t="str">
            <v>MANGUERA 5/8 DE  ALAMBRADO DE 1880 PSI</v>
          </cell>
          <cell r="L5307">
            <v>2</v>
          </cell>
          <cell r="M5307" t="str">
            <v>M</v>
          </cell>
          <cell r="N5307" t="str">
            <v>TALLER</v>
          </cell>
          <cell r="O5307">
            <v>4</v>
          </cell>
          <cell r="P5307" t="str">
            <v>J6</v>
          </cell>
          <cell r="Q5307" t="str">
            <v>J1</v>
          </cell>
          <cell r="R5307" t="str">
            <v>J8</v>
          </cell>
          <cell r="S5307" t="str">
            <v>PENDIENTE</v>
          </cell>
          <cell r="T5307">
            <v>0</v>
          </cell>
          <cell r="U5307" t="str">
            <v>VILLANUEVA BEJAR  YHORDAN MICHEL</v>
          </cell>
          <cell r="V5307" t="str">
            <v>FLOREZ CONDORI  JOSE WILLIANS</v>
          </cell>
        </row>
        <row r="5308">
          <cell r="A5308">
            <v>5307</v>
          </cell>
          <cell r="B5308">
            <v>42786</v>
          </cell>
          <cell r="C5308" t="str">
            <v>FEBRERO</v>
          </cell>
          <cell r="D5308" t="str">
            <v>2017</v>
          </cell>
          <cell r="E5308">
            <v>200</v>
          </cell>
          <cell r="F5308" t="str">
            <v>TALLER</v>
          </cell>
          <cell r="G5308" t="str">
            <v>TALLER</v>
          </cell>
          <cell r="H5308" t="str">
            <v>TALLER</v>
          </cell>
          <cell r="I5308" t="str">
            <v>TALLER</v>
          </cell>
          <cell r="J5308" t="str">
            <v>SERVICIO</v>
          </cell>
          <cell r="K5308" t="str">
            <v>PRENSAR MANGUERA PARA 1/2</v>
          </cell>
          <cell r="L5308">
            <v>1</v>
          </cell>
          <cell r="M5308" t="str">
            <v>UNID.</v>
          </cell>
          <cell r="N5308" t="str">
            <v>TALLER</v>
          </cell>
          <cell r="O5308">
            <v>4</v>
          </cell>
          <cell r="P5308" t="str">
            <v>J6</v>
          </cell>
          <cell r="Q5308" t="str">
            <v>J1</v>
          </cell>
          <cell r="R5308" t="str">
            <v>J8</v>
          </cell>
          <cell r="S5308" t="str">
            <v>PENDIENTE</v>
          </cell>
          <cell r="T5308">
            <v>0</v>
          </cell>
          <cell r="U5308" t="str">
            <v>VILLANUEVA BEJAR  YHORDAN MICHEL</v>
          </cell>
          <cell r="V5308" t="str">
            <v>FLOREZ CONDORI  JOSE WILLIANS</v>
          </cell>
        </row>
        <row r="5309">
          <cell r="A5309">
            <v>5308</v>
          </cell>
          <cell r="B5309">
            <v>42786</v>
          </cell>
          <cell r="C5309" t="str">
            <v>FEBRERO</v>
          </cell>
          <cell r="D5309" t="str">
            <v>2017</v>
          </cell>
          <cell r="E5309">
            <v>200</v>
          </cell>
          <cell r="F5309" t="str">
            <v>TALLER</v>
          </cell>
          <cell r="G5309" t="str">
            <v>TALLER</v>
          </cell>
          <cell r="H5309" t="str">
            <v>TALLER</v>
          </cell>
          <cell r="I5309" t="str">
            <v>TALLER</v>
          </cell>
          <cell r="J5309" t="str">
            <v>REPUESTO</v>
          </cell>
          <cell r="K5309" t="str">
            <v>T DE 1/2</v>
          </cell>
          <cell r="L5309">
            <v>1</v>
          </cell>
          <cell r="M5309" t="str">
            <v>UNID.</v>
          </cell>
          <cell r="N5309" t="str">
            <v>TALLER</v>
          </cell>
          <cell r="O5309">
            <v>4</v>
          </cell>
          <cell r="P5309" t="str">
            <v>J6</v>
          </cell>
          <cell r="Q5309" t="str">
            <v>J1</v>
          </cell>
          <cell r="R5309" t="str">
            <v>J8</v>
          </cell>
          <cell r="S5309" t="str">
            <v>PENDIENTE</v>
          </cell>
          <cell r="T5309">
            <v>0</v>
          </cell>
          <cell r="U5309" t="str">
            <v>VILLANUEVA BEJAR  YHORDAN MICHEL</v>
          </cell>
          <cell r="V5309" t="str">
            <v>FLOREZ CONDORI  JOSE WILLIANS</v>
          </cell>
        </row>
        <row r="5310">
          <cell r="A5310">
            <v>5309</v>
          </cell>
          <cell r="B5310">
            <v>42786</v>
          </cell>
          <cell r="C5310" t="str">
            <v>FEBRERO</v>
          </cell>
          <cell r="D5310" t="str">
            <v>2017</v>
          </cell>
          <cell r="E5310">
            <v>200</v>
          </cell>
          <cell r="F5310" t="str">
            <v>TALLER</v>
          </cell>
          <cell r="G5310" t="str">
            <v>TALLER</v>
          </cell>
          <cell r="H5310" t="str">
            <v>TALLER</v>
          </cell>
          <cell r="I5310" t="str">
            <v>TALLER</v>
          </cell>
          <cell r="J5310" t="str">
            <v>REPUESTO</v>
          </cell>
          <cell r="K5310" t="str">
            <v>REDUCTOR DE 1/2 A 1/4</v>
          </cell>
          <cell r="L5310">
            <v>1</v>
          </cell>
          <cell r="M5310" t="str">
            <v>UNID.</v>
          </cell>
          <cell r="N5310" t="str">
            <v>TALLER</v>
          </cell>
          <cell r="O5310">
            <v>4</v>
          </cell>
          <cell r="P5310" t="str">
            <v>J6</v>
          </cell>
          <cell r="Q5310" t="str">
            <v>J1</v>
          </cell>
          <cell r="R5310" t="str">
            <v>J8</v>
          </cell>
          <cell r="S5310" t="str">
            <v>PENDIENTE</v>
          </cell>
          <cell r="T5310">
            <v>0</v>
          </cell>
          <cell r="U5310" t="str">
            <v>VILLANUEVA BEJAR  YHORDAN MICHEL</v>
          </cell>
          <cell r="V5310" t="str">
            <v>FLOREZ CONDORI  JOSE WILLIANS</v>
          </cell>
        </row>
        <row r="5311">
          <cell r="A5311">
            <v>5310</v>
          </cell>
          <cell r="B5311">
            <v>42786</v>
          </cell>
          <cell r="C5311" t="str">
            <v>FEBRERO</v>
          </cell>
          <cell r="D5311" t="str">
            <v>2017</v>
          </cell>
          <cell r="E5311">
            <v>200</v>
          </cell>
          <cell r="F5311" t="str">
            <v>TALLER</v>
          </cell>
          <cell r="G5311" t="str">
            <v>TALLER</v>
          </cell>
          <cell r="H5311" t="str">
            <v>TALLER</v>
          </cell>
          <cell r="I5311" t="str">
            <v>TALLER</v>
          </cell>
          <cell r="J5311" t="str">
            <v>REPUESTO</v>
          </cell>
          <cell r="K5311" t="str">
            <v>MANOMETRO DE 200 PSI</v>
          </cell>
          <cell r="L5311">
            <v>2</v>
          </cell>
          <cell r="M5311" t="str">
            <v>UNID.</v>
          </cell>
          <cell r="N5311" t="str">
            <v>TALLER</v>
          </cell>
          <cell r="O5311">
            <v>4</v>
          </cell>
          <cell r="P5311" t="str">
            <v>J6</v>
          </cell>
          <cell r="Q5311" t="str">
            <v>J1</v>
          </cell>
          <cell r="R5311" t="str">
            <v>J8</v>
          </cell>
          <cell r="S5311" t="str">
            <v>PENDIENTE</v>
          </cell>
          <cell r="T5311">
            <v>0</v>
          </cell>
          <cell r="U5311" t="str">
            <v>VILLANUEVA BEJAR  YHORDAN MICHEL</v>
          </cell>
          <cell r="V5311" t="str">
            <v>FLOREZ CONDORI  JOSE WILLIANS</v>
          </cell>
        </row>
        <row r="5312">
          <cell r="A5312">
            <v>5311</v>
          </cell>
          <cell r="B5312">
            <v>42786</v>
          </cell>
          <cell r="C5312" t="str">
            <v>FEBRERO</v>
          </cell>
          <cell r="D5312" t="str">
            <v>2017</v>
          </cell>
          <cell r="E5312">
            <v>200</v>
          </cell>
          <cell r="F5312" t="str">
            <v>TALLER</v>
          </cell>
          <cell r="G5312" t="str">
            <v>TALLER</v>
          </cell>
          <cell r="H5312" t="str">
            <v>TALLER</v>
          </cell>
          <cell r="I5312" t="str">
            <v>TALLER</v>
          </cell>
          <cell r="J5312" t="str">
            <v>REPUESTO</v>
          </cell>
          <cell r="K5312" t="str">
            <v>LLAVE DE PASO DE 1/2</v>
          </cell>
          <cell r="L5312">
            <v>1</v>
          </cell>
          <cell r="M5312" t="str">
            <v>UNID.</v>
          </cell>
          <cell r="N5312" t="str">
            <v>TALLER</v>
          </cell>
          <cell r="O5312">
            <v>4</v>
          </cell>
          <cell r="P5312" t="str">
            <v>J6</v>
          </cell>
          <cell r="Q5312" t="str">
            <v>J1</v>
          </cell>
          <cell r="R5312" t="str">
            <v>J8</v>
          </cell>
          <cell r="S5312" t="str">
            <v>PENDIENTE</v>
          </cell>
          <cell r="T5312">
            <v>0</v>
          </cell>
          <cell r="U5312" t="str">
            <v>VILLANUEVA BEJAR  YHORDAN MICHEL</v>
          </cell>
          <cell r="V5312" t="str">
            <v>FLOREZ CONDORI  JOSE WILLIANS</v>
          </cell>
        </row>
        <row r="5313">
          <cell r="A5313">
            <v>5312</v>
          </cell>
          <cell r="B5313">
            <v>42786</v>
          </cell>
          <cell r="C5313" t="str">
            <v>FEBRERO</v>
          </cell>
          <cell r="D5313" t="str">
            <v>2017</v>
          </cell>
          <cell r="E5313">
            <v>200</v>
          </cell>
          <cell r="F5313" t="str">
            <v>TALLER</v>
          </cell>
          <cell r="G5313" t="str">
            <v>TALLER</v>
          </cell>
          <cell r="H5313" t="str">
            <v>TALLER</v>
          </cell>
          <cell r="I5313" t="str">
            <v>TALLER</v>
          </cell>
          <cell r="J5313" t="str">
            <v>REPUESTO</v>
          </cell>
          <cell r="K5313" t="str">
            <v>ACOPLE RAPIDO  ENTRADA  DE 1/2 ( HEMBRA Y MACHO)</v>
          </cell>
          <cell r="L5313">
            <v>1</v>
          </cell>
          <cell r="M5313" t="str">
            <v>UNID.</v>
          </cell>
          <cell r="N5313" t="str">
            <v>TALLER</v>
          </cell>
          <cell r="O5313">
            <v>4</v>
          </cell>
          <cell r="P5313" t="str">
            <v>J6</v>
          </cell>
          <cell r="Q5313" t="str">
            <v>J1</v>
          </cell>
          <cell r="R5313" t="str">
            <v>J8</v>
          </cell>
          <cell r="S5313" t="str">
            <v>PENDIENTE</v>
          </cell>
          <cell r="T5313">
            <v>0</v>
          </cell>
          <cell r="U5313" t="str">
            <v>VILLANUEVA BEJAR  YHORDAN MICHEL</v>
          </cell>
          <cell r="V5313" t="str">
            <v>FLOREZ CONDORI  JOSE WILLIANS</v>
          </cell>
        </row>
        <row r="5314">
          <cell r="A5314">
            <v>5313</v>
          </cell>
          <cell r="B5314">
            <v>42786</v>
          </cell>
          <cell r="C5314" t="str">
            <v>FEBRERO</v>
          </cell>
          <cell r="D5314" t="str">
            <v>2017</v>
          </cell>
          <cell r="E5314">
            <v>1069</v>
          </cell>
          <cell r="F5314" t="str">
            <v>D6G-806</v>
          </cell>
          <cell r="G5314" t="str">
            <v>B8K-998</v>
          </cell>
          <cell r="H5314" t="str">
            <v>LAS BAMBAS</v>
          </cell>
          <cell r="I5314">
            <v>227623</v>
          </cell>
          <cell r="J5314" t="str">
            <v>REPUESTO</v>
          </cell>
          <cell r="K5314" t="str">
            <v>SOPORTE DE MOTOR POST</v>
          </cell>
          <cell r="L5314">
            <v>2</v>
          </cell>
          <cell r="M5314" t="str">
            <v>UNID.</v>
          </cell>
          <cell r="N5314" t="str">
            <v>TRACTO</v>
          </cell>
          <cell r="O5314">
            <v>4</v>
          </cell>
          <cell r="P5314" t="str">
            <v>M8</v>
          </cell>
          <cell r="Q5314" t="str">
            <v>J1</v>
          </cell>
          <cell r="R5314" t="str">
            <v>J8</v>
          </cell>
          <cell r="S5314" t="str">
            <v>PENDIENTE</v>
          </cell>
          <cell r="T5314">
            <v>0</v>
          </cell>
          <cell r="U5314" t="str">
            <v>VARILLAS GAGO  OSCAR ALBERTO</v>
          </cell>
          <cell r="V5314" t="str">
            <v>FLOREZ CONDORI  JOSE WILLIANS</v>
          </cell>
        </row>
        <row r="5315">
          <cell r="A5315">
            <v>5314</v>
          </cell>
          <cell r="B5315">
            <v>42786</v>
          </cell>
          <cell r="C5315" t="str">
            <v>FEBRERO</v>
          </cell>
          <cell r="D5315" t="str">
            <v>2017</v>
          </cell>
          <cell r="E5315">
            <v>1069</v>
          </cell>
          <cell r="F5315" t="str">
            <v>D6G-806</v>
          </cell>
          <cell r="G5315" t="str">
            <v>B8K-998</v>
          </cell>
          <cell r="H5315" t="str">
            <v>LAS BAMBAS</v>
          </cell>
          <cell r="I5315">
            <v>227623</v>
          </cell>
          <cell r="J5315" t="str">
            <v>REPUESTO</v>
          </cell>
          <cell r="K5315" t="str">
            <v>FARO NEBLINERO</v>
          </cell>
          <cell r="L5315">
            <v>1</v>
          </cell>
          <cell r="M5315" t="str">
            <v>UNID.</v>
          </cell>
          <cell r="N5315" t="str">
            <v>TRACTO</v>
          </cell>
          <cell r="O5315">
            <v>4</v>
          </cell>
          <cell r="P5315" t="str">
            <v>E3</v>
          </cell>
          <cell r="Q5315" t="str">
            <v>J1</v>
          </cell>
          <cell r="R5315" t="str">
            <v>J8</v>
          </cell>
          <cell r="S5315" t="str">
            <v>PENDIENTE</v>
          </cell>
          <cell r="T5315">
            <v>0</v>
          </cell>
          <cell r="U5315" t="str">
            <v>CONDORI CHURATA ALEX</v>
          </cell>
          <cell r="V5315" t="str">
            <v>FLOREZ CONDORI  JOSE WILLIANS</v>
          </cell>
        </row>
        <row r="5316">
          <cell r="A5316">
            <v>5315</v>
          </cell>
          <cell r="B5316">
            <v>42786</v>
          </cell>
          <cell r="C5316" t="str">
            <v>FEBRERO</v>
          </cell>
          <cell r="D5316" t="str">
            <v>2017</v>
          </cell>
          <cell r="E5316">
            <v>200</v>
          </cell>
          <cell r="F5316" t="str">
            <v>TALLER</v>
          </cell>
          <cell r="G5316" t="str">
            <v>TALLER</v>
          </cell>
          <cell r="H5316" t="str">
            <v>TALLER</v>
          </cell>
          <cell r="I5316" t="str">
            <v>TALLER</v>
          </cell>
          <cell r="J5316" t="str">
            <v>MATERIALES</v>
          </cell>
          <cell r="K5316" t="str">
            <v>SOGA DELGADA</v>
          </cell>
          <cell r="L5316">
            <v>1</v>
          </cell>
          <cell r="M5316" t="str">
            <v>UNID.</v>
          </cell>
          <cell r="N5316" t="str">
            <v>TALLER</v>
          </cell>
          <cell r="O5316">
            <v>4</v>
          </cell>
          <cell r="P5316" t="str">
            <v>J9</v>
          </cell>
          <cell r="Q5316" t="str">
            <v>J1</v>
          </cell>
          <cell r="R5316" t="str">
            <v>J8</v>
          </cell>
          <cell r="S5316" t="str">
            <v>PENDIENTE</v>
          </cell>
          <cell r="T5316">
            <v>0</v>
          </cell>
          <cell r="U5316" t="str">
            <v>CHANG CELIS FELIPE</v>
          </cell>
          <cell r="V5316" t="str">
            <v>FLOREZ CONDORI  JOSE WILLIANS</v>
          </cell>
        </row>
        <row r="5317">
          <cell r="A5317">
            <v>5316</v>
          </cell>
          <cell r="B5317">
            <v>42786</v>
          </cell>
          <cell r="C5317" t="str">
            <v>FEBRERO</v>
          </cell>
          <cell r="D5317" t="str">
            <v>2017</v>
          </cell>
          <cell r="E5317">
            <v>200</v>
          </cell>
          <cell r="F5317" t="str">
            <v>TALLER</v>
          </cell>
          <cell r="G5317" t="str">
            <v>TALLER</v>
          </cell>
          <cell r="H5317" t="str">
            <v>TALLER</v>
          </cell>
          <cell r="I5317" t="str">
            <v>TALLER</v>
          </cell>
          <cell r="J5317" t="str">
            <v>INSUMO TALLER</v>
          </cell>
          <cell r="K5317" t="str">
            <v>DETERGENTE PATITO DE 150GR</v>
          </cell>
          <cell r="L5317">
            <v>1</v>
          </cell>
          <cell r="M5317" t="str">
            <v>UNID.</v>
          </cell>
          <cell r="N5317" t="str">
            <v>TALLER</v>
          </cell>
          <cell r="O5317">
            <v>4</v>
          </cell>
          <cell r="P5317" t="str">
            <v>E2</v>
          </cell>
          <cell r="Q5317" t="str">
            <v>J1</v>
          </cell>
          <cell r="R5317" t="str">
            <v>J8</v>
          </cell>
          <cell r="S5317" t="str">
            <v>PENDIENTE</v>
          </cell>
          <cell r="T5317">
            <v>0</v>
          </cell>
          <cell r="U5317" t="str">
            <v>YUCA BELLIDO BORIS YERSY</v>
          </cell>
          <cell r="V5317" t="str">
            <v>FLOREZ CONDORI  JOSE WILLIANS</v>
          </cell>
        </row>
        <row r="5318">
          <cell r="A5318">
            <v>5317</v>
          </cell>
          <cell r="B5318">
            <v>42786</v>
          </cell>
          <cell r="C5318" t="str">
            <v>FEBRERO</v>
          </cell>
          <cell r="D5318" t="str">
            <v>2017</v>
          </cell>
          <cell r="E5318">
            <v>1071</v>
          </cell>
          <cell r="F5318" t="str">
            <v>D6F-898</v>
          </cell>
          <cell r="G5318" t="str">
            <v>T4L-996</v>
          </cell>
          <cell r="H5318" t="str">
            <v>LAS BAMBAS</v>
          </cell>
          <cell r="I5318">
            <v>172274</v>
          </cell>
          <cell r="J5318" t="str">
            <v>REPUESTO</v>
          </cell>
          <cell r="K5318" t="str">
            <v>17948 NARVA 12V</v>
          </cell>
          <cell r="L5318">
            <v>1</v>
          </cell>
          <cell r="M5318" t="str">
            <v>UNID.</v>
          </cell>
          <cell r="N5318" t="str">
            <v>TRACTO</v>
          </cell>
          <cell r="O5318">
            <v>4</v>
          </cell>
          <cell r="P5318" t="str">
            <v>E2</v>
          </cell>
          <cell r="Q5318" t="str">
            <v>J1</v>
          </cell>
          <cell r="R5318" t="str">
            <v>J8</v>
          </cell>
          <cell r="S5318" t="str">
            <v>PENDIENTE</v>
          </cell>
          <cell r="T5318">
            <v>0</v>
          </cell>
          <cell r="U5318" t="str">
            <v>YUCA BELLIDO BORIS YERSY</v>
          </cell>
          <cell r="V5318" t="str">
            <v>FLOREZ CONDORI  JOSE WILLIANS</v>
          </cell>
        </row>
        <row r="5319">
          <cell r="A5319">
            <v>5318</v>
          </cell>
          <cell r="B5319">
            <v>42786</v>
          </cell>
          <cell r="C5319" t="str">
            <v>FEBRERO</v>
          </cell>
          <cell r="D5319" t="str">
            <v>2017</v>
          </cell>
          <cell r="E5319">
            <v>1068</v>
          </cell>
          <cell r="F5319" t="str">
            <v>D3S-764</v>
          </cell>
          <cell r="G5319" t="str">
            <v>TBL-998</v>
          </cell>
          <cell r="H5319" t="str">
            <v>LAS BAMBAS</v>
          </cell>
          <cell r="I5319">
            <v>132169</v>
          </cell>
          <cell r="J5319" t="str">
            <v>REPUESTO</v>
          </cell>
          <cell r="K5319" t="str">
            <v>REFRIGERANTE</v>
          </cell>
          <cell r="L5319">
            <v>1</v>
          </cell>
          <cell r="M5319" t="str">
            <v>GLNS.</v>
          </cell>
          <cell r="N5319" t="str">
            <v>TRACTO</v>
          </cell>
          <cell r="O5319">
            <v>4</v>
          </cell>
          <cell r="P5319" t="str">
            <v>M10</v>
          </cell>
          <cell r="Q5319" t="str">
            <v>J1</v>
          </cell>
          <cell r="R5319" t="str">
            <v>J8</v>
          </cell>
          <cell r="S5319" t="str">
            <v>PENDIENTE</v>
          </cell>
          <cell r="T5319">
            <v>0</v>
          </cell>
          <cell r="U5319" t="str">
            <v>MAMANI SANTOS BLADIMIR</v>
          </cell>
          <cell r="V5319" t="str">
            <v>FLOREZ CONDORI  JOSE WILLIANS</v>
          </cell>
        </row>
        <row r="5320">
          <cell r="A5320">
            <v>5319</v>
          </cell>
          <cell r="B5320">
            <v>42786</v>
          </cell>
          <cell r="C5320" t="str">
            <v>FEBRERO</v>
          </cell>
          <cell r="D5320" t="str">
            <v>2017</v>
          </cell>
          <cell r="E5320">
            <v>1057</v>
          </cell>
          <cell r="F5320" t="str">
            <v>C5R-896</v>
          </cell>
          <cell r="G5320" t="str">
            <v>A0U-977</v>
          </cell>
          <cell r="H5320" t="str">
            <v>LAS BAMBAS</v>
          </cell>
          <cell r="I5320">
            <v>218990</v>
          </cell>
          <cell r="J5320" t="str">
            <v>REPUESTO</v>
          </cell>
          <cell r="K5320" t="str">
            <v>PERNO 3/8 X 2"</v>
          </cell>
          <cell r="L5320">
            <v>2</v>
          </cell>
          <cell r="M5320" t="str">
            <v>UNID.</v>
          </cell>
          <cell r="N5320" t="str">
            <v>CISTERNA</v>
          </cell>
          <cell r="O5320">
            <v>4</v>
          </cell>
          <cell r="P5320" t="str">
            <v>S5</v>
          </cell>
          <cell r="Q5320" t="str">
            <v>J1</v>
          </cell>
          <cell r="R5320" t="str">
            <v>J8</v>
          </cell>
          <cell r="S5320" t="str">
            <v>PENDIENTE</v>
          </cell>
          <cell r="T5320">
            <v>0</v>
          </cell>
          <cell r="U5320" t="str">
            <v>HUAMAN MOZO LEONARDO</v>
          </cell>
          <cell r="V5320" t="str">
            <v>FLOREZ CONDORI  JOSE WILLIANS</v>
          </cell>
        </row>
        <row r="5321">
          <cell r="A5321">
            <v>5320</v>
          </cell>
          <cell r="B5321">
            <v>42786</v>
          </cell>
          <cell r="C5321" t="str">
            <v>FEBRERO</v>
          </cell>
          <cell r="D5321" t="str">
            <v>2017</v>
          </cell>
          <cell r="E5321">
            <v>1057</v>
          </cell>
          <cell r="F5321" t="str">
            <v>C5R-896</v>
          </cell>
          <cell r="G5321" t="str">
            <v>A0U-977</v>
          </cell>
          <cell r="H5321" t="str">
            <v>LAS BAMBAS</v>
          </cell>
          <cell r="I5321">
            <v>218990</v>
          </cell>
          <cell r="J5321" t="str">
            <v>REPUESTO</v>
          </cell>
          <cell r="K5321" t="str">
            <v>TUERCA Y SEGURO DE 3/8</v>
          </cell>
          <cell r="L5321">
            <v>2</v>
          </cell>
          <cell r="M5321" t="str">
            <v>UNID.</v>
          </cell>
          <cell r="N5321" t="str">
            <v>CISTERNA</v>
          </cell>
          <cell r="O5321">
            <v>4</v>
          </cell>
          <cell r="P5321" t="str">
            <v>S5</v>
          </cell>
          <cell r="Q5321" t="str">
            <v>J1</v>
          </cell>
          <cell r="R5321" t="str">
            <v>J8</v>
          </cell>
          <cell r="S5321" t="str">
            <v>PENDIENTE</v>
          </cell>
          <cell r="T5321">
            <v>0</v>
          </cell>
          <cell r="U5321" t="str">
            <v>HUAMAN MOZO LEONARDO</v>
          </cell>
          <cell r="V5321" t="str">
            <v>FLOREZ CONDORI  JOSE WILLIANS</v>
          </cell>
        </row>
        <row r="5322">
          <cell r="A5322">
            <v>5321</v>
          </cell>
          <cell r="B5322">
            <v>42786</v>
          </cell>
          <cell r="C5322" t="str">
            <v>FEBRERO</v>
          </cell>
          <cell r="D5322" t="str">
            <v>2017</v>
          </cell>
          <cell r="E5322">
            <v>1057</v>
          </cell>
          <cell r="F5322" t="str">
            <v>C5R-896</v>
          </cell>
          <cell r="G5322" t="str">
            <v>A0U-977</v>
          </cell>
          <cell r="H5322" t="str">
            <v>LAS BAMBAS</v>
          </cell>
          <cell r="I5322">
            <v>218990</v>
          </cell>
          <cell r="J5322" t="str">
            <v>MATERIALES</v>
          </cell>
          <cell r="K5322" t="str">
            <v>SPRAY ALUMINIO</v>
          </cell>
          <cell r="L5322">
            <v>1</v>
          </cell>
          <cell r="M5322" t="str">
            <v>UNID.</v>
          </cell>
          <cell r="N5322" t="str">
            <v>CISTERNA</v>
          </cell>
          <cell r="O5322">
            <v>4</v>
          </cell>
          <cell r="P5322" t="str">
            <v>S5</v>
          </cell>
          <cell r="Q5322" t="str">
            <v>J1</v>
          </cell>
          <cell r="R5322" t="str">
            <v>J8</v>
          </cell>
          <cell r="S5322" t="str">
            <v>PENDIENTE</v>
          </cell>
          <cell r="T5322">
            <v>0</v>
          </cell>
          <cell r="U5322" t="str">
            <v>HUAMAN MOZO LEONARDO</v>
          </cell>
          <cell r="V5322" t="str">
            <v>FLOREZ CONDORI  JOSE WILLIANS</v>
          </cell>
        </row>
        <row r="5323">
          <cell r="A5323">
            <v>5322</v>
          </cell>
          <cell r="B5323">
            <v>42786</v>
          </cell>
          <cell r="C5323" t="str">
            <v>FEBRERO</v>
          </cell>
          <cell r="D5323" t="str">
            <v>2017</v>
          </cell>
          <cell r="E5323">
            <v>200</v>
          </cell>
          <cell r="F5323" t="str">
            <v>TALLER</v>
          </cell>
          <cell r="G5323" t="str">
            <v>TALLER</v>
          </cell>
          <cell r="H5323" t="str">
            <v>TALLER</v>
          </cell>
          <cell r="I5323" t="str">
            <v>TALLER</v>
          </cell>
          <cell r="J5323" t="str">
            <v>HERRAMIENTAS</v>
          </cell>
          <cell r="K5323" t="str">
            <v>CALIBRADOR PIE DE REY ( 8 PULG)</v>
          </cell>
          <cell r="L5323">
            <v>1</v>
          </cell>
          <cell r="M5323" t="str">
            <v>UNID.</v>
          </cell>
          <cell r="N5323" t="str">
            <v>TALLER</v>
          </cell>
          <cell r="O5323">
            <v>4</v>
          </cell>
          <cell r="P5323" t="str">
            <v>S1</v>
          </cell>
          <cell r="Q5323" t="str">
            <v>J1</v>
          </cell>
          <cell r="R5323" t="str">
            <v>J8</v>
          </cell>
          <cell r="S5323" t="str">
            <v>PENDIENTE</v>
          </cell>
          <cell r="T5323">
            <v>0</v>
          </cell>
          <cell r="U5323" t="str">
            <v>BAYONA CRUZ CRISTIAN ARMANDO</v>
          </cell>
          <cell r="V5323" t="str">
            <v>FLOREZ CONDORI  JOSE WILLIANS</v>
          </cell>
        </row>
        <row r="5324">
          <cell r="A5324">
            <v>5323</v>
          </cell>
          <cell r="B5324">
            <v>42786</v>
          </cell>
          <cell r="C5324" t="str">
            <v>FEBRERO</v>
          </cell>
          <cell r="D5324" t="str">
            <v>2017</v>
          </cell>
          <cell r="E5324">
            <v>1020</v>
          </cell>
          <cell r="F5324" t="str">
            <v>D3S-725</v>
          </cell>
          <cell r="G5324" t="str">
            <v>TBL-977</v>
          </cell>
          <cell r="H5324" t="str">
            <v>LAS BAMBAS</v>
          </cell>
          <cell r="I5324">
            <v>154037</v>
          </cell>
          <cell r="J5324" t="str">
            <v>SERVICIO</v>
          </cell>
          <cell r="K5324" t="str">
            <v>REPARACION CONJUNTO DE EMBRAGUE</v>
          </cell>
          <cell r="L5324">
            <v>1</v>
          </cell>
          <cell r="M5324" t="str">
            <v>UNID.</v>
          </cell>
          <cell r="N5324" t="str">
            <v>TRACTO</v>
          </cell>
          <cell r="O5324">
            <v>4</v>
          </cell>
          <cell r="P5324" t="str">
            <v>M5</v>
          </cell>
          <cell r="Q5324" t="str">
            <v>J1</v>
          </cell>
          <cell r="R5324" t="str">
            <v>J8</v>
          </cell>
          <cell r="S5324" t="str">
            <v>PENDIENTE</v>
          </cell>
          <cell r="T5324">
            <v>0</v>
          </cell>
          <cell r="U5324" t="str">
            <v>LOPEZ RUIZ WILBERTO</v>
          </cell>
          <cell r="V5324" t="str">
            <v>FLOREZ CONDORI  JOSE WILLIANS</v>
          </cell>
        </row>
        <row r="5325">
          <cell r="A5325">
            <v>5324</v>
          </cell>
          <cell r="B5325">
            <v>42786</v>
          </cell>
          <cell r="C5325" t="str">
            <v>FEBRERO</v>
          </cell>
          <cell r="D5325" t="str">
            <v>2017</v>
          </cell>
          <cell r="E5325">
            <v>200</v>
          </cell>
          <cell r="F5325" t="str">
            <v>TALLER</v>
          </cell>
          <cell r="G5325" t="str">
            <v>TALLER</v>
          </cell>
          <cell r="H5325" t="str">
            <v>TALLER</v>
          </cell>
          <cell r="I5325" t="str">
            <v>TALLER</v>
          </cell>
          <cell r="J5325" t="str">
            <v>HERRAMIENTAS</v>
          </cell>
          <cell r="K5325" t="str">
            <v>PISTOLA PULVERIZADOR DE AIRE</v>
          </cell>
          <cell r="L5325">
            <v>1</v>
          </cell>
          <cell r="M5325" t="str">
            <v>UNID.</v>
          </cell>
          <cell r="N5325" t="str">
            <v>TALLER</v>
          </cell>
          <cell r="O5325">
            <v>4</v>
          </cell>
          <cell r="P5325" t="str">
            <v>M2</v>
          </cell>
          <cell r="Q5325" t="str">
            <v>J1</v>
          </cell>
          <cell r="R5325" t="str">
            <v>J8</v>
          </cell>
          <cell r="S5325" t="str">
            <v>PENDIENTE</v>
          </cell>
          <cell r="T5325">
            <v>0</v>
          </cell>
          <cell r="U5325" t="str">
            <v>CHUMPITAZ GAGO JULIO ENRIQUE</v>
          </cell>
          <cell r="V5325" t="str">
            <v>FLOREZ CONDORI  JOSE WILLIANS</v>
          </cell>
        </row>
        <row r="5326">
          <cell r="A5326">
            <v>5325</v>
          </cell>
          <cell r="B5326">
            <v>42786</v>
          </cell>
          <cell r="C5326" t="str">
            <v>FEBRERO</v>
          </cell>
          <cell r="D5326" t="str">
            <v>2017</v>
          </cell>
          <cell r="E5326">
            <v>1068</v>
          </cell>
          <cell r="F5326" t="str">
            <v>D3S-764</v>
          </cell>
          <cell r="G5326" t="str">
            <v>TBL-998</v>
          </cell>
          <cell r="H5326" t="str">
            <v>LAS BAMBAS</v>
          </cell>
          <cell r="I5326">
            <v>132169</v>
          </cell>
          <cell r="J5326" t="str">
            <v>REPUESTO</v>
          </cell>
          <cell r="K5326" t="str">
            <v xml:space="preserve">PERNO MANHOLE </v>
          </cell>
          <cell r="L5326">
            <v>1</v>
          </cell>
          <cell r="M5326" t="str">
            <v>UNID.</v>
          </cell>
          <cell r="N5326" t="str">
            <v>CISTERNA</v>
          </cell>
          <cell r="O5326">
            <v>4</v>
          </cell>
          <cell r="P5326" t="str">
            <v>J9</v>
          </cell>
          <cell r="Q5326" t="str">
            <v>J1</v>
          </cell>
          <cell r="R5326" t="str">
            <v>J8</v>
          </cell>
          <cell r="S5326" t="str">
            <v>PENDIENTE</v>
          </cell>
          <cell r="T5326">
            <v>0</v>
          </cell>
          <cell r="U5326" t="str">
            <v>CHANG CELIS FELIPE</v>
          </cell>
          <cell r="V5326" t="str">
            <v>FLOREZ CONDORI  JOSE WILLIANS</v>
          </cell>
        </row>
        <row r="5327">
          <cell r="A5327">
            <v>5326</v>
          </cell>
          <cell r="B5327">
            <v>42786</v>
          </cell>
          <cell r="C5327" t="str">
            <v>FEBRERO</v>
          </cell>
          <cell r="D5327" t="str">
            <v>2017</v>
          </cell>
          <cell r="E5327">
            <v>1068</v>
          </cell>
          <cell r="F5327" t="str">
            <v>D3S-764</v>
          </cell>
          <cell r="G5327" t="str">
            <v>TBL-998</v>
          </cell>
          <cell r="H5327" t="str">
            <v>LAS BAMBAS</v>
          </cell>
          <cell r="I5327">
            <v>132169</v>
          </cell>
          <cell r="J5327" t="str">
            <v>REPUESTO</v>
          </cell>
          <cell r="K5327" t="str">
            <v>TUERCA DE PERNO MANHOLE</v>
          </cell>
          <cell r="L5327">
            <v>2</v>
          </cell>
          <cell r="M5327" t="str">
            <v>UNID.</v>
          </cell>
          <cell r="N5327" t="str">
            <v>CISTERNA</v>
          </cell>
          <cell r="O5327">
            <v>4</v>
          </cell>
          <cell r="P5327" t="str">
            <v>J9</v>
          </cell>
          <cell r="Q5327" t="str">
            <v>J1</v>
          </cell>
          <cell r="R5327" t="str">
            <v>J8</v>
          </cell>
          <cell r="S5327" t="str">
            <v>PENDIENTE</v>
          </cell>
          <cell r="T5327">
            <v>0</v>
          </cell>
          <cell r="U5327" t="str">
            <v>CHANG CELIS FELIPE</v>
          </cell>
          <cell r="V5327" t="str">
            <v>FLOREZ CONDORI  JOSE WILLIANS</v>
          </cell>
        </row>
        <row r="5328">
          <cell r="A5328">
            <v>5327</v>
          </cell>
          <cell r="B5328">
            <v>42786</v>
          </cell>
          <cell r="C5328" t="str">
            <v>FEBRERO</v>
          </cell>
          <cell r="D5328" t="str">
            <v>2017</v>
          </cell>
          <cell r="E5328">
            <v>1069</v>
          </cell>
          <cell r="F5328" t="str">
            <v>D6G-806</v>
          </cell>
          <cell r="G5328" t="str">
            <v>B8K-998</v>
          </cell>
          <cell r="H5328" t="str">
            <v>LAS BAMBAS</v>
          </cell>
          <cell r="I5328">
            <v>227623</v>
          </cell>
          <cell r="J5328" t="str">
            <v>REPUESTO</v>
          </cell>
          <cell r="K5328" t="str">
            <v>TUBO REDONDO 1 1/2  (CEDULA 40)</v>
          </cell>
          <cell r="L5328">
            <v>1</v>
          </cell>
          <cell r="M5328" t="str">
            <v>M</v>
          </cell>
          <cell r="N5328" t="str">
            <v>TRACTO</v>
          </cell>
          <cell r="O5328">
            <v>4</v>
          </cell>
          <cell r="P5328" t="str">
            <v>J1</v>
          </cell>
          <cell r="Q5328" t="str">
            <v>J1</v>
          </cell>
          <cell r="R5328" t="str">
            <v>J8</v>
          </cell>
          <cell r="S5328" t="str">
            <v>PENDIENTE</v>
          </cell>
          <cell r="T5328">
            <v>0</v>
          </cell>
          <cell r="U5328" t="str">
            <v>FLOREZ CONDORI  JOSE WILLIANS</v>
          </cell>
          <cell r="V5328" t="str">
            <v>FLOREZ CONDORI  JOSE WILLIANS</v>
          </cell>
        </row>
        <row r="5329">
          <cell r="A5329">
            <v>5328</v>
          </cell>
          <cell r="B5329">
            <v>42786</v>
          </cell>
          <cell r="C5329" t="str">
            <v>FEBRERO</v>
          </cell>
          <cell r="D5329" t="str">
            <v>2017</v>
          </cell>
          <cell r="E5329">
            <v>1057</v>
          </cell>
          <cell r="F5329" t="str">
            <v>C5R-896</v>
          </cell>
          <cell r="G5329" t="str">
            <v>A0U-977</v>
          </cell>
          <cell r="H5329" t="str">
            <v>LAS BAMBAS</v>
          </cell>
          <cell r="I5329">
            <v>218990</v>
          </cell>
          <cell r="J5329" t="str">
            <v>REPUESTO</v>
          </cell>
          <cell r="K5329" t="str">
            <v xml:space="preserve">PERNO MANHOLE </v>
          </cell>
          <cell r="L5329">
            <v>1</v>
          </cell>
          <cell r="M5329" t="str">
            <v>UNID.</v>
          </cell>
          <cell r="N5329" t="str">
            <v>CISTERNA</v>
          </cell>
          <cell r="O5329">
            <v>4</v>
          </cell>
          <cell r="P5329" t="str">
            <v>J9</v>
          </cell>
          <cell r="Q5329" t="str">
            <v>J1</v>
          </cell>
          <cell r="R5329" t="str">
            <v>J8</v>
          </cell>
          <cell r="S5329" t="str">
            <v>PENDIENTE</v>
          </cell>
          <cell r="T5329">
            <v>0</v>
          </cell>
          <cell r="U5329" t="str">
            <v>CHANG CELIS FELIPE</v>
          </cell>
          <cell r="V5329" t="str">
            <v>FLOREZ CONDORI  JOSE WILLIANS</v>
          </cell>
        </row>
        <row r="5330">
          <cell r="A5330">
            <v>5329</v>
          </cell>
          <cell r="B5330">
            <v>42786</v>
          </cell>
          <cell r="C5330" t="str">
            <v>FEBRERO</v>
          </cell>
          <cell r="D5330" t="str">
            <v>2017</v>
          </cell>
          <cell r="E5330">
            <v>1057</v>
          </cell>
          <cell r="F5330" t="str">
            <v>C5R-896</v>
          </cell>
          <cell r="G5330" t="str">
            <v>A0U-977</v>
          </cell>
          <cell r="H5330" t="str">
            <v>LAS BAMBAS</v>
          </cell>
          <cell r="I5330">
            <v>218990</v>
          </cell>
          <cell r="J5330" t="str">
            <v>REPUESTO</v>
          </cell>
          <cell r="K5330" t="str">
            <v>TUERCA DE PERNO MANHOLE</v>
          </cell>
          <cell r="L5330">
            <v>2</v>
          </cell>
          <cell r="M5330" t="str">
            <v>UNID.</v>
          </cell>
          <cell r="N5330" t="str">
            <v>CISTERNA</v>
          </cell>
          <cell r="O5330">
            <v>4</v>
          </cell>
          <cell r="P5330" t="str">
            <v>J9</v>
          </cell>
          <cell r="Q5330" t="str">
            <v>J1</v>
          </cell>
          <cell r="R5330" t="str">
            <v>J8</v>
          </cell>
          <cell r="S5330" t="str">
            <v>PENDIENTE</v>
          </cell>
          <cell r="T5330">
            <v>0</v>
          </cell>
          <cell r="U5330" t="str">
            <v>CHANG CELIS FELIPE</v>
          </cell>
          <cell r="V5330" t="str">
            <v>FLOREZ CONDORI  JOSE WILLIANS</v>
          </cell>
        </row>
        <row r="5331">
          <cell r="A5331">
            <v>5330</v>
          </cell>
          <cell r="B5331">
            <v>42787</v>
          </cell>
          <cell r="C5331" t="str">
            <v>FEBRERO</v>
          </cell>
          <cell r="D5331" t="str">
            <v>2017</v>
          </cell>
          <cell r="E5331">
            <v>819</v>
          </cell>
          <cell r="F5331" t="str">
            <v>C4G-751</v>
          </cell>
          <cell r="G5331" t="str">
            <v>CAMIONETA</v>
          </cell>
          <cell r="H5331" t="str">
            <v>LAS BAMBAS</v>
          </cell>
          <cell r="I5331">
            <v>120524</v>
          </cell>
          <cell r="J5331" t="str">
            <v>REPUESTO</v>
          </cell>
          <cell r="K5331" t="str">
            <v>TERMOSTATO</v>
          </cell>
          <cell r="L5331">
            <v>1</v>
          </cell>
          <cell r="M5331" t="str">
            <v>UNID.</v>
          </cell>
          <cell r="N5331" t="str">
            <v>CAMIONETA</v>
          </cell>
          <cell r="O5331">
            <v>3</v>
          </cell>
          <cell r="P5331" t="str">
            <v>M6</v>
          </cell>
          <cell r="Q5331" t="str">
            <v>J1</v>
          </cell>
          <cell r="R5331" t="str">
            <v>J8</v>
          </cell>
          <cell r="S5331" t="str">
            <v>PENDIENTE</v>
          </cell>
          <cell r="T5331">
            <v>0</v>
          </cell>
          <cell r="U5331" t="str">
            <v>PARI VENTURA  EDSON ORLANDO</v>
          </cell>
          <cell r="V5331" t="str">
            <v>FLOREZ CONDORI  JOSE WILLIANS</v>
          </cell>
        </row>
        <row r="5332">
          <cell r="A5332">
            <v>5331</v>
          </cell>
          <cell r="B5332">
            <v>42787</v>
          </cell>
          <cell r="C5332" t="str">
            <v>FEBRERO</v>
          </cell>
          <cell r="D5332" t="str">
            <v>2017</v>
          </cell>
          <cell r="E5332">
            <v>819</v>
          </cell>
          <cell r="F5332" t="str">
            <v>C4G-751</v>
          </cell>
          <cell r="G5332" t="str">
            <v>CAMIONETA</v>
          </cell>
          <cell r="H5332" t="str">
            <v>LAS BAMBAS</v>
          </cell>
          <cell r="I5332">
            <v>120524</v>
          </cell>
          <cell r="J5332" t="str">
            <v>REPUESTO</v>
          </cell>
          <cell r="K5332" t="str">
            <v>PERNOS M10 X 30</v>
          </cell>
          <cell r="L5332">
            <v>4</v>
          </cell>
          <cell r="M5332" t="str">
            <v>UNID.</v>
          </cell>
          <cell r="N5332" t="str">
            <v>CAMIONETA</v>
          </cell>
          <cell r="O5332">
            <v>3</v>
          </cell>
          <cell r="P5332" t="str">
            <v>M6</v>
          </cell>
          <cell r="Q5332" t="str">
            <v>J1</v>
          </cell>
          <cell r="R5332" t="str">
            <v>J8</v>
          </cell>
          <cell r="S5332" t="str">
            <v>PENDIENTE</v>
          </cell>
          <cell r="T5332">
            <v>0</v>
          </cell>
          <cell r="U5332" t="str">
            <v>PARI VENTURA  EDSON ORLANDO</v>
          </cell>
          <cell r="V5332" t="str">
            <v>FLOREZ CONDORI  JOSE WILLIANS</v>
          </cell>
        </row>
        <row r="5333">
          <cell r="A5333">
            <v>5332</v>
          </cell>
          <cell r="B5333">
            <v>42787</v>
          </cell>
          <cell r="C5333" t="str">
            <v>FEBRERO</v>
          </cell>
          <cell r="D5333" t="str">
            <v>2017</v>
          </cell>
          <cell r="E5333">
            <v>819</v>
          </cell>
          <cell r="F5333" t="str">
            <v>C4G-751</v>
          </cell>
          <cell r="G5333" t="str">
            <v>CAMIONETA</v>
          </cell>
          <cell r="H5333" t="str">
            <v>LAS BAMBAS</v>
          </cell>
          <cell r="I5333">
            <v>120524</v>
          </cell>
          <cell r="J5333" t="str">
            <v>REPUESTO</v>
          </cell>
          <cell r="K5333" t="str">
            <v>ZAPATAS</v>
          </cell>
          <cell r="L5333">
            <v>1</v>
          </cell>
          <cell r="M5333" t="str">
            <v>JUEGO</v>
          </cell>
          <cell r="N5333" t="str">
            <v>CAMIONETA</v>
          </cell>
          <cell r="O5333">
            <v>3</v>
          </cell>
          <cell r="P5333" t="str">
            <v>M6</v>
          </cell>
          <cell r="Q5333" t="str">
            <v>J1</v>
          </cell>
          <cell r="R5333" t="str">
            <v>J8</v>
          </cell>
          <cell r="S5333" t="str">
            <v>PENDIENTE</v>
          </cell>
          <cell r="T5333">
            <v>0</v>
          </cell>
          <cell r="U5333" t="str">
            <v>PARI VENTURA  EDSON ORLANDO</v>
          </cell>
          <cell r="V5333" t="str">
            <v>FLOREZ CONDORI  JOSE WILLIANS</v>
          </cell>
        </row>
        <row r="5334">
          <cell r="A5334">
            <v>5333</v>
          </cell>
          <cell r="B5334">
            <v>42787</v>
          </cell>
          <cell r="C5334" t="str">
            <v>FEBRERO</v>
          </cell>
          <cell r="D5334" t="str">
            <v>2017</v>
          </cell>
          <cell r="E5334">
            <v>819</v>
          </cell>
          <cell r="F5334" t="str">
            <v>C4G-751</v>
          </cell>
          <cell r="G5334" t="str">
            <v>CAMIONETA</v>
          </cell>
          <cell r="H5334" t="str">
            <v>LAS BAMBAS</v>
          </cell>
          <cell r="I5334">
            <v>120524</v>
          </cell>
          <cell r="J5334" t="str">
            <v>REPUESTO</v>
          </cell>
          <cell r="K5334" t="str">
            <v>ACEITE DE MOTOR 15W40</v>
          </cell>
          <cell r="L5334">
            <v>2</v>
          </cell>
          <cell r="M5334" t="str">
            <v>GLNS.</v>
          </cell>
          <cell r="N5334" t="str">
            <v>CAMIONETA</v>
          </cell>
          <cell r="O5334">
            <v>3</v>
          </cell>
          <cell r="P5334" t="str">
            <v>M6</v>
          </cell>
          <cell r="Q5334" t="str">
            <v>J1</v>
          </cell>
          <cell r="R5334" t="str">
            <v>J8</v>
          </cell>
          <cell r="S5334" t="str">
            <v>PENDIENTE</v>
          </cell>
          <cell r="T5334">
            <v>0</v>
          </cell>
          <cell r="U5334" t="str">
            <v>PARI VENTURA  EDSON ORLANDO</v>
          </cell>
          <cell r="V5334" t="str">
            <v>FLOREZ CONDORI  JOSE WILLIANS</v>
          </cell>
        </row>
        <row r="5335">
          <cell r="A5335">
            <v>5334</v>
          </cell>
          <cell r="B5335">
            <v>42787</v>
          </cell>
          <cell r="C5335" t="str">
            <v>FEBRERO</v>
          </cell>
          <cell r="D5335" t="str">
            <v>2017</v>
          </cell>
          <cell r="E5335">
            <v>819</v>
          </cell>
          <cell r="F5335" t="str">
            <v>C4G-751</v>
          </cell>
          <cell r="G5335" t="str">
            <v>CAMIONETA</v>
          </cell>
          <cell r="H5335" t="str">
            <v>LAS BAMBAS</v>
          </cell>
          <cell r="I5335">
            <v>120524</v>
          </cell>
          <cell r="J5335" t="str">
            <v>REPUESTO</v>
          </cell>
          <cell r="K5335" t="str">
            <v>REFRIGERANTE</v>
          </cell>
          <cell r="L5335">
            <v>3</v>
          </cell>
          <cell r="M5335" t="str">
            <v>GLNS.</v>
          </cell>
          <cell r="N5335" t="str">
            <v>CAMIONETA</v>
          </cell>
          <cell r="O5335">
            <v>3</v>
          </cell>
          <cell r="P5335" t="str">
            <v>M6</v>
          </cell>
          <cell r="Q5335" t="str">
            <v>J1</v>
          </cell>
          <cell r="R5335" t="str">
            <v>J8</v>
          </cell>
          <cell r="S5335" t="str">
            <v>PENDIENTE</v>
          </cell>
          <cell r="T5335">
            <v>0</v>
          </cell>
          <cell r="U5335" t="str">
            <v>PARI VENTURA  EDSON ORLANDO</v>
          </cell>
          <cell r="V5335" t="str">
            <v>FLOREZ CONDORI  JOSE WILLIANS</v>
          </cell>
        </row>
        <row r="5336">
          <cell r="A5336">
            <v>5335</v>
          </cell>
          <cell r="B5336">
            <v>42787</v>
          </cell>
          <cell r="C5336" t="str">
            <v>FEBRERO</v>
          </cell>
          <cell r="D5336" t="str">
            <v>2017</v>
          </cell>
          <cell r="E5336">
            <v>1020</v>
          </cell>
          <cell r="F5336" t="str">
            <v>D3S-725</v>
          </cell>
          <cell r="G5336" t="str">
            <v>TBL-977</v>
          </cell>
          <cell r="H5336" t="str">
            <v>LAS BAMBAS</v>
          </cell>
          <cell r="I5336">
            <v>154037</v>
          </cell>
          <cell r="J5336" t="str">
            <v>REPUESTO</v>
          </cell>
          <cell r="K5336" t="str">
            <v>BEARING 5566510</v>
          </cell>
          <cell r="L5336">
            <v>1</v>
          </cell>
          <cell r="M5336" t="str">
            <v>UNID.</v>
          </cell>
          <cell r="N5336" t="str">
            <v>TRACTO</v>
          </cell>
          <cell r="O5336">
            <v>3</v>
          </cell>
          <cell r="P5336" t="str">
            <v>M9</v>
          </cell>
          <cell r="Q5336" t="str">
            <v>J1</v>
          </cell>
          <cell r="R5336" t="str">
            <v>J8</v>
          </cell>
          <cell r="S5336" t="str">
            <v>PENDIENTE</v>
          </cell>
          <cell r="T5336">
            <v>0</v>
          </cell>
          <cell r="U5336" t="str">
            <v>POMA SALAZAR CIRO</v>
          </cell>
          <cell r="V5336" t="str">
            <v>FLOREZ CONDORI  JOSE WILLIANS</v>
          </cell>
        </row>
        <row r="5337">
          <cell r="A5337">
            <v>5336</v>
          </cell>
          <cell r="B5337">
            <v>42787</v>
          </cell>
          <cell r="C5337" t="str">
            <v>FEBRERO</v>
          </cell>
          <cell r="D5337" t="str">
            <v>2017</v>
          </cell>
          <cell r="E5337">
            <v>1020</v>
          </cell>
          <cell r="F5337" t="str">
            <v>D3S-725</v>
          </cell>
          <cell r="G5337" t="str">
            <v>TBL-977</v>
          </cell>
          <cell r="H5337" t="str">
            <v>LAS BAMBAS</v>
          </cell>
          <cell r="I5337">
            <v>154037</v>
          </cell>
          <cell r="J5337" t="str">
            <v>REPUESTO</v>
          </cell>
          <cell r="K5337" t="str">
            <v>BEARING 4301851</v>
          </cell>
          <cell r="L5337">
            <v>2</v>
          </cell>
          <cell r="M5337" t="str">
            <v>UNID.</v>
          </cell>
          <cell r="N5337" t="str">
            <v>TRACTO</v>
          </cell>
          <cell r="O5337">
            <v>3</v>
          </cell>
          <cell r="P5337" t="str">
            <v>M9</v>
          </cell>
          <cell r="Q5337" t="str">
            <v>J1</v>
          </cell>
          <cell r="R5337" t="str">
            <v>J8</v>
          </cell>
          <cell r="S5337" t="str">
            <v>PENDIENTE</v>
          </cell>
          <cell r="T5337">
            <v>0</v>
          </cell>
          <cell r="U5337" t="str">
            <v>POMA SALAZAR CIRO</v>
          </cell>
          <cell r="V5337" t="str">
            <v>FLOREZ CONDORI  JOSE WILLIANS</v>
          </cell>
        </row>
        <row r="5338">
          <cell r="A5338">
            <v>5337</v>
          </cell>
          <cell r="B5338">
            <v>42787</v>
          </cell>
          <cell r="C5338" t="str">
            <v>FEBRERO</v>
          </cell>
          <cell r="D5338" t="str">
            <v>2017</v>
          </cell>
          <cell r="E5338">
            <v>1020</v>
          </cell>
          <cell r="F5338" t="str">
            <v>D3S-725</v>
          </cell>
          <cell r="G5338" t="str">
            <v>TBL-977</v>
          </cell>
          <cell r="H5338" t="str">
            <v>LAS BAMBAS</v>
          </cell>
          <cell r="I5338">
            <v>154037</v>
          </cell>
          <cell r="J5338" t="str">
            <v>REPUESTO</v>
          </cell>
          <cell r="K5338" t="str">
            <v>BEARING  4304599</v>
          </cell>
          <cell r="L5338">
            <v>2</v>
          </cell>
          <cell r="M5338" t="str">
            <v>UNID.</v>
          </cell>
          <cell r="N5338" t="str">
            <v>TRACTO</v>
          </cell>
          <cell r="O5338">
            <v>3</v>
          </cell>
          <cell r="P5338" t="str">
            <v>M9</v>
          </cell>
          <cell r="Q5338" t="str">
            <v>J1</v>
          </cell>
          <cell r="R5338" t="str">
            <v>J8</v>
          </cell>
          <cell r="S5338" t="str">
            <v>PENDIENTE</v>
          </cell>
          <cell r="T5338">
            <v>0</v>
          </cell>
          <cell r="U5338" t="str">
            <v>POMA SALAZAR CIRO</v>
          </cell>
          <cell r="V5338" t="str">
            <v>FLOREZ CONDORI  JOSE WILLIANS</v>
          </cell>
        </row>
        <row r="5339">
          <cell r="A5339">
            <v>5338</v>
          </cell>
          <cell r="B5339">
            <v>42787</v>
          </cell>
          <cell r="C5339" t="str">
            <v>FEBRERO</v>
          </cell>
          <cell r="D5339" t="str">
            <v>2017</v>
          </cell>
          <cell r="E5339">
            <v>1020</v>
          </cell>
          <cell r="F5339" t="str">
            <v>D3S-725</v>
          </cell>
          <cell r="G5339" t="str">
            <v>TBL-977</v>
          </cell>
          <cell r="H5339" t="str">
            <v>LAS BAMBAS</v>
          </cell>
          <cell r="I5339">
            <v>154037</v>
          </cell>
          <cell r="J5339" t="str">
            <v>REPUESTO</v>
          </cell>
          <cell r="K5339" t="str">
            <v>BEARING 4302712</v>
          </cell>
          <cell r="L5339">
            <v>2</v>
          </cell>
          <cell r="M5339" t="str">
            <v>UNID.</v>
          </cell>
          <cell r="N5339" t="str">
            <v>TRACTO</v>
          </cell>
          <cell r="O5339">
            <v>3</v>
          </cell>
          <cell r="P5339" t="str">
            <v>M9</v>
          </cell>
          <cell r="Q5339" t="str">
            <v>J1</v>
          </cell>
          <cell r="R5339" t="str">
            <v>J8</v>
          </cell>
          <cell r="S5339" t="str">
            <v>PENDIENTE</v>
          </cell>
          <cell r="T5339">
            <v>0</v>
          </cell>
          <cell r="U5339" t="str">
            <v>POMA SALAZAR CIRO</v>
          </cell>
          <cell r="V5339" t="str">
            <v>FLOREZ CONDORI  JOSE WILLIANS</v>
          </cell>
        </row>
        <row r="5340">
          <cell r="A5340">
            <v>5339</v>
          </cell>
          <cell r="B5340">
            <v>42787</v>
          </cell>
          <cell r="C5340" t="str">
            <v>FEBRERO</v>
          </cell>
          <cell r="D5340" t="str">
            <v>2017</v>
          </cell>
          <cell r="E5340">
            <v>1020</v>
          </cell>
          <cell r="F5340" t="str">
            <v>D3S-725</v>
          </cell>
          <cell r="G5340" t="str">
            <v>TBL-977</v>
          </cell>
          <cell r="H5340" t="str">
            <v>LAS BAMBAS</v>
          </cell>
          <cell r="I5340">
            <v>154037</v>
          </cell>
          <cell r="J5340" t="str">
            <v>REPUESTO</v>
          </cell>
          <cell r="K5340" t="str">
            <v>BEARING 81504</v>
          </cell>
          <cell r="L5340">
            <v>1</v>
          </cell>
          <cell r="M5340" t="str">
            <v>UNID.</v>
          </cell>
          <cell r="N5340" t="str">
            <v>TRACTO</v>
          </cell>
          <cell r="O5340">
            <v>3</v>
          </cell>
          <cell r="P5340" t="str">
            <v>M9</v>
          </cell>
          <cell r="Q5340" t="str">
            <v>J1</v>
          </cell>
          <cell r="R5340" t="str">
            <v>J8</v>
          </cell>
          <cell r="S5340" t="str">
            <v>PENDIENTE</v>
          </cell>
          <cell r="T5340">
            <v>0</v>
          </cell>
          <cell r="U5340" t="str">
            <v>POMA SALAZAR CIRO</v>
          </cell>
          <cell r="V5340" t="str">
            <v>FLOREZ CONDORI  JOSE WILLIANS</v>
          </cell>
        </row>
        <row r="5341">
          <cell r="A5341">
            <v>5340</v>
          </cell>
          <cell r="B5341">
            <v>42787</v>
          </cell>
          <cell r="C5341" t="str">
            <v>FEBRERO</v>
          </cell>
          <cell r="D5341" t="str">
            <v>2017</v>
          </cell>
          <cell r="E5341">
            <v>1020</v>
          </cell>
          <cell r="F5341" t="str">
            <v>D3S-725</v>
          </cell>
          <cell r="G5341" t="str">
            <v>TBL-977</v>
          </cell>
          <cell r="H5341" t="str">
            <v>LAS BAMBAS</v>
          </cell>
          <cell r="I5341">
            <v>154037</v>
          </cell>
          <cell r="J5341" t="str">
            <v>REPUESTO</v>
          </cell>
          <cell r="K5341" t="str">
            <v>BUSHING 16566</v>
          </cell>
          <cell r="L5341">
            <v>1</v>
          </cell>
          <cell r="M5341" t="str">
            <v>UNID.</v>
          </cell>
          <cell r="N5341" t="str">
            <v>TRACTO</v>
          </cell>
          <cell r="O5341">
            <v>3</v>
          </cell>
          <cell r="P5341" t="str">
            <v>M9</v>
          </cell>
          <cell r="Q5341" t="str">
            <v>J1</v>
          </cell>
          <cell r="R5341" t="str">
            <v>J8</v>
          </cell>
          <cell r="S5341" t="str">
            <v>PENDIENTE</v>
          </cell>
          <cell r="T5341">
            <v>0</v>
          </cell>
          <cell r="U5341" t="str">
            <v>POMA SALAZAR CIRO</v>
          </cell>
          <cell r="V5341" t="str">
            <v>FLOREZ CONDORI  JOSE WILLIANS</v>
          </cell>
        </row>
        <row r="5342">
          <cell r="A5342">
            <v>5341</v>
          </cell>
          <cell r="B5342">
            <v>42787</v>
          </cell>
          <cell r="C5342" t="str">
            <v>FEBRERO</v>
          </cell>
          <cell r="D5342" t="str">
            <v>2017</v>
          </cell>
          <cell r="E5342">
            <v>1020</v>
          </cell>
          <cell r="F5342" t="str">
            <v>D3S-725</v>
          </cell>
          <cell r="G5342" t="str">
            <v>TBL-977</v>
          </cell>
          <cell r="H5342" t="str">
            <v>LAS BAMBAS</v>
          </cell>
          <cell r="I5342">
            <v>154037</v>
          </cell>
          <cell r="J5342" t="str">
            <v>REPUESTO</v>
          </cell>
          <cell r="K5342" t="str">
            <v>3-SIDED KEY 4304615</v>
          </cell>
          <cell r="L5342">
            <v>1</v>
          </cell>
          <cell r="M5342" t="str">
            <v>UNID.</v>
          </cell>
          <cell r="N5342" t="str">
            <v>TRACTO</v>
          </cell>
          <cell r="O5342">
            <v>3</v>
          </cell>
          <cell r="P5342" t="str">
            <v>M9</v>
          </cell>
          <cell r="Q5342" t="str">
            <v>J1</v>
          </cell>
          <cell r="R5342" t="str">
            <v>J8</v>
          </cell>
          <cell r="S5342" t="str">
            <v>PENDIENTE</v>
          </cell>
          <cell r="T5342">
            <v>0</v>
          </cell>
          <cell r="U5342" t="str">
            <v>POMA SALAZAR CIRO</v>
          </cell>
          <cell r="V5342" t="str">
            <v>FLOREZ CONDORI  JOSE WILLIANS</v>
          </cell>
        </row>
        <row r="5343">
          <cell r="A5343">
            <v>5342</v>
          </cell>
          <cell r="B5343">
            <v>42787</v>
          </cell>
          <cell r="C5343" t="str">
            <v>FEBRERO</v>
          </cell>
          <cell r="D5343" t="str">
            <v>2017</v>
          </cell>
          <cell r="E5343">
            <v>1020</v>
          </cell>
          <cell r="F5343" t="str">
            <v>D3S-725</v>
          </cell>
          <cell r="G5343" t="str">
            <v>TBL-977</v>
          </cell>
          <cell r="H5343" t="str">
            <v>LAS BAMBAS</v>
          </cell>
          <cell r="I5343">
            <v>154037</v>
          </cell>
          <cell r="J5343" t="str">
            <v>REPUESTO</v>
          </cell>
          <cell r="K5343" t="str">
            <v>SLIDING CLUTCH 4304317</v>
          </cell>
          <cell r="L5343">
            <v>1</v>
          </cell>
          <cell r="M5343" t="str">
            <v>UNID.</v>
          </cell>
          <cell r="N5343" t="str">
            <v>TRACTO</v>
          </cell>
          <cell r="O5343">
            <v>3</v>
          </cell>
          <cell r="P5343" t="str">
            <v>M9</v>
          </cell>
          <cell r="Q5343" t="str">
            <v>J1</v>
          </cell>
          <cell r="R5343" t="str">
            <v>J8</v>
          </cell>
          <cell r="S5343" t="str">
            <v>PENDIENTE</v>
          </cell>
          <cell r="T5343">
            <v>0</v>
          </cell>
          <cell r="U5343" t="str">
            <v>POMA SALAZAR CIRO</v>
          </cell>
          <cell r="V5343" t="str">
            <v>FLOREZ CONDORI  JOSE WILLIANS</v>
          </cell>
        </row>
        <row r="5344">
          <cell r="A5344">
            <v>5343</v>
          </cell>
          <cell r="B5344">
            <v>42787</v>
          </cell>
          <cell r="C5344" t="str">
            <v>FEBRERO</v>
          </cell>
          <cell r="D5344" t="str">
            <v>2017</v>
          </cell>
          <cell r="E5344">
            <v>1020</v>
          </cell>
          <cell r="F5344" t="str">
            <v>D3S-725</v>
          </cell>
          <cell r="G5344" t="str">
            <v>TBL-977</v>
          </cell>
          <cell r="H5344" t="str">
            <v>LAS BAMBAS</v>
          </cell>
          <cell r="I5344">
            <v>154037</v>
          </cell>
          <cell r="J5344" t="str">
            <v>REPUESTO</v>
          </cell>
          <cell r="K5344" t="str">
            <v>RETAINING RING 4303336</v>
          </cell>
          <cell r="L5344">
            <v>2</v>
          </cell>
          <cell r="M5344" t="str">
            <v>UNID.</v>
          </cell>
          <cell r="N5344" t="str">
            <v>TRACTO</v>
          </cell>
          <cell r="O5344">
            <v>3</v>
          </cell>
          <cell r="P5344" t="str">
            <v>M9</v>
          </cell>
          <cell r="Q5344" t="str">
            <v>J1</v>
          </cell>
          <cell r="R5344" t="str">
            <v>J8</v>
          </cell>
          <cell r="S5344" t="str">
            <v>PENDIENTE</v>
          </cell>
          <cell r="T5344">
            <v>0</v>
          </cell>
          <cell r="U5344" t="str">
            <v>POMA SALAZAR CIRO</v>
          </cell>
          <cell r="V5344" t="str">
            <v>FLOREZ CONDORI  JOSE WILLIANS</v>
          </cell>
        </row>
        <row r="5345">
          <cell r="A5345">
            <v>5344</v>
          </cell>
          <cell r="B5345">
            <v>42787</v>
          </cell>
          <cell r="C5345" t="str">
            <v>FEBRERO</v>
          </cell>
          <cell r="D5345" t="str">
            <v>2017</v>
          </cell>
          <cell r="E5345">
            <v>1020</v>
          </cell>
          <cell r="F5345" t="str">
            <v>D3S-725</v>
          </cell>
          <cell r="G5345" t="str">
            <v>TBL-977</v>
          </cell>
          <cell r="H5345" t="str">
            <v>LAS BAMBAS</v>
          </cell>
          <cell r="I5345">
            <v>154037</v>
          </cell>
          <cell r="J5345" t="str">
            <v>REPUESTO</v>
          </cell>
          <cell r="K5345" t="str">
            <v>KIT DE EMPAQUES DE CAJA  EATON</v>
          </cell>
          <cell r="L5345">
            <v>1</v>
          </cell>
          <cell r="M5345" t="str">
            <v>UNID.</v>
          </cell>
          <cell r="N5345" t="str">
            <v>TRACTO</v>
          </cell>
          <cell r="O5345">
            <v>3</v>
          </cell>
          <cell r="P5345" t="str">
            <v>M9</v>
          </cell>
          <cell r="Q5345" t="str">
            <v>J1</v>
          </cell>
          <cell r="R5345" t="str">
            <v>J8</v>
          </cell>
          <cell r="S5345" t="str">
            <v>PENDIENTE</v>
          </cell>
          <cell r="T5345">
            <v>0</v>
          </cell>
          <cell r="U5345" t="str">
            <v>POMA SALAZAR CIRO</v>
          </cell>
          <cell r="V5345" t="str">
            <v>FLOREZ CONDORI  JOSE WILLIANS</v>
          </cell>
        </row>
        <row r="5346">
          <cell r="A5346">
            <v>5345</v>
          </cell>
          <cell r="B5346">
            <v>42787</v>
          </cell>
          <cell r="C5346" t="str">
            <v>FEBRERO</v>
          </cell>
          <cell r="D5346" t="str">
            <v>2017</v>
          </cell>
          <cell r="E5346">
            <v>819</v>
          </cell>
          <cell r="F5346" t="str">
            <v>C4G-751</v>
          </cell>
          <cell r="G5346" t="str">
            <v>CAMIONETA</v>
          </cell>
          <cell r="H5346" t="str">
            <v>LAS BAMBAS</v>
          </cell>
          <cell r="I5346">
            <v>120524</v>
          </cell>
          <cell r="J5346" t="str">
            <v>REPUESTO</v>
          </cell>
          <cell r="K5346" t="str">
            <v>MEDIA LUNA  DE EJE DE BALANCINES</v>
          </cell>
          <cell r="L5346">
            <v>1</v>
          </cell>
          <cell r="M5346" t="str">
            <v>UNID.</v>
          </cell>
          <cell r="N5346" t="str">
            <v>CAMIONETA</v>
          </cell>
          <cell r="O5346">
            <v>3</v>
          </cell>
          <cell r="P5346" t="str">
            <v>M6</v>
          </cell>
          <cell r="Q5346" t="str">
            <v>J1</v>
          </cell>
          <cell r="R5346" t="str">
            <v>J8</v>
          </cell>
          <cell r="S5346" t="str">
            <v>PENDIENTE</v>
          </cell>
          <cell r="T5346">
            <v>0</v>
          </cell>
          <cell r="U5346" t="str">
            <v>PARI VENTURA  EDSON ORLANDO</v>
          </cell>
          <cell r="V5346" t="str">
            <v>FLOREZ CONDORI  JOSE WILLIANS</v>
          </cell>
        </row>
        <row r="5347">
          <cell r="A5347">
            <v>5346</v>
          </cell>
          <cell r="B5347">
            <v>42787</v>
          </cell>
          <cell r="C5347" t="str">
            <v>FEBRERO</v>
          </cell>
          <cell r="D5347" t="str">
            <v>2017</v>
          </cell>
          <cell r="E5347">
            <v>819</v>
          </cell>
          <cell r="F5347" t="str">
            <v>C4G-751</v>
          </cell>
          <cell r="G5347" t="str">
            <v>CAMIONETA</v>
          </cell>
          <cell r="H5347" t="str">
            <v>LAS BAMBAS</v>
          </cell>
          <cell r="I5347">
            <v>120524</v>
          </cell>
          <cell r="J5347" t="str">
            <v>REPUESTO</v>
          </cell>
          <cell r="K5347" t="str">
            <v>ANILLO DE TUBO DE ESCAPE</v>
          </cell>
          <cell r="L5347">
            <v>1</v>
          </cell>
          <cell r="M5347" t="str">
            <v>UNID.</v>
          </cell>
          <cell r="N5347" t="str">
            <v>CAMIONETA</v>
          </cell>
          <cell r="O5347">
            <v>3</v>
          </cell>
          <cell r="P5347" t="str">
            <v>M6</v>
          </cell>
          <cell r="Q5347" t="str">
            <v>J1</v>
          </cell>
          <cell r="R5347" t="str">
            <v>J8</v>
          </cell>
          <cell r="S5347" t="str">
            <v>PENDIENTE</v>
          </cell>
          <cell r="T5347">
            <v>0</v>
          </cell>
          <cell r="U5347" t="str">
            <v>PARI VENTURA  EDSON ORLANDO</v>
          </cell>
          <cell r="V5347" t="str">
            <v>FLOREZ CONDORI  JOSE WILLIANS</v>
          </cell>
        </row>
        <row r="5348">
          <cell r="A5348">
            <v>5347</v>
          </cell>
          <cell r="B5348">
            <v>42787</v>
          </cell>
          <cell r="C5348" t="str">
            <v>FEBRERO</v>
          </cell>
          <cell r="D5348" t="str">
            <v>2017</v>
          </cell>
          <cell r="E5348">
            <v>200</v>
          </cell>
          <cell r="F5348" t="str">
            <v>TALLER</v>
          </cell>
          <cell r="G5348" t="str">
            <v>TALLER</v>
          </cell>
          <cell r="H5348" t="str">
            <v>TALLER</v>
          </cell>
          <cell r="I5348" t="str">
            <v>TALLER</v>
          </cell>
          <cell r="J5348" t="str">
            <v>MATERIALES</v>
          </cell>
          <cell r="K5348" t="str">
            <v>SILICONA SIKAFLEX</v>
          </cell>
          <cell r="L5348">
            <v>1</v>
          </cell>
          <cell r="M5348" t="str">
            <v>UNID.</v>
          </cell>
          <cell r="N5348" t="str">
            <v>TALLER</v>
          </cell>
          <cell r="O5348">
            <v>3</v>
          </cell>
          <cell r="P5348" t="str">
            <v>E2</v>
          </cell>
          <cell r="Q5348" t="str">
            <v>J1</v>
          </cell>
          <cell r="R5348" t="str">
            <v>J8</v>
          </cell>
          <cell r="S5348" t="str">
            <v>PENDIENTE</v>
          </cell>
          <cell r="T5348">
            <v>0</v>
          </cell>
          <cell r="U5348" t="str">
            <v>YUCA BELLIDO BORIS YERSY</v>
          </cell>
          <cell r="V5348" t="str">
            <v>FLOREZ CONDORI  JOSE WILLIANS</v>
          </cell>
        </row>
        <row r="5349">
          <cell r="A5349">
            <v>5348</v>
          </cell>
          <cell r="B5349">
            <v>42787</v>
          </cell>
          <cell r="C5349" t="str">
            <v>FEBRERO</v>
          </cell>
          <cell r="D5349" t="str">
            <v>2017</v>
          </cell>
          <cell r="E5349">
            <v>200</v>
          </cell>
          <cell r="F5349" t="str">
            <v>TALLER</v>
          </cell>
          <cell r="G5349" t="str">
            <v>TALLER</v>
          </cell>
          <cell r="H5349" t="str">
            <v>TALLER</v>
          </cell>
          <cell r="I5349" t="str">
            <v>TALLER</v>
          </cell>
          <cell r="J5349" t="str">
            <v>EPPS</v>
          </cell>
          <cell r="K5349" t="str">
            <v>TYBEK  XXL</v>
          </cell>
          <cell r="L5349">
            <v>3</v>
          </cell>
          <cell r="M5349" t="str">
            <v>UNID.</v>
          </cell>
          <cell r="N5349" t="str">
            <v>TALLER</v>
          </cell>
          <cell r="O5349">
            <v>3</v>
          </cell>
          <cell r="P5349" t="str">
            <v>J9</v>
          </cell>
          <cell r="Q5349" t="str">
            <v>J1</v>
          </cell>
          <cell r="R5349" t="str">
            <v>J8</v>
          </cell>
          <cell r="S5349" t="str">
            <v>PENDIENTE</v>
          </cell>
          <cell r="T5349">
            <v>0</v>
          </cell>
          <cell r="U5349" t="str">
            <v>CHANG CELIS FELIPE</v>
          </cell>
          <cell r="V5349" t="str">
            <v>FLOREZ CONDORI  JOSE WILLIANS</v>
          </cell>
        </row>
        <row r="5350">
          <cell r="A5350">
            <v>5349</v>
          </cell>
          <cell r="B5350">
            <v>42787</v>
          </cell>
          <cell r="C5350" t="str">
            <v>FEBRERO</v>
          </cell>
          <cell r="D5350" t="str">
            <v>2017</v>
          </cell>
          <cell r="E5350">
            <v>1020</v>
          </cell>
          <cell r="F5350" t="str">
            <v>D3S-725</v>
          </cell>
          <cell r="G5350" t="str">
            <v>TBL-977</v>
          </cell>
          <cell r="H5350" t="str">
            <v>LAS BAMBAS</v>
          </cell>
          <cell r="I5350">
            <v>154037</v>
          </cell>
          <cell r="J5350" t="str">
            <v>MATERIALES</v>
          </cell>
          <cell r="K5350" t="str">
            <v>GASOLINA</v>
          </cell>
          <cell r="L5350">
            <v>3</v>
          </cell>
          <cell r="M5350" t="str">
            <v>GLNS.</v>
          </cell>
          <cell r="N5350" t="str">
            <v>TRACTO</v>
          </cell>
          <cell r="O5350">
            <v>3</v>
          </cell>
          <cell r="P5350" t="str">
            <v>M2</v>
          </cell>
          <cell r="Q5350" t="str">
            <v>J1</v>
          </cell>
          <cell r="R5350" t="str">
            <v>J8</v>
          </cell>
          <cell r="S5350" t="str">
            <v>PENDIENTE</v>
          </cell>
          <cell r="T5350">
            <v>0</v>
          </cell>
          <cell r="U5350" t="str">
            <v>CHUMPITAZ GAGO JULIO ENRIQUE</v>
          </cell>
          <cell r="V5350" t="str">
            <v>FLOREZ CONDORI  JOSE WILLIANS</v>
          </cell>
        </row>
        <row r="5351">
          <cell r="A5351">
            <v>5350</v>
          </cell>
          <cell r="B5351">
            <v>42787</v>
          </cell>
          <cell r="C5351" t="str">
            <v>FEBRERO</v>
          </cell>
          <cell r="D5351" t="str">
            <v>2017</v>
          </cell>
          <cell r="E5351">
            <v>1020</v>
          </cell>
          <cell r="F5351" t="str">
            <v>D3S-725</v>
          </cell>
          <cell r="G5351" t="str">
            <v>TBL-977</v>
          </cell>
          <cell r="H5351" t="str">
            <v>LAS BAMBAS</v>
          </cell>
          <cell r="I5351">
            <v>154037</v>
          </cell>
          <cell r="J5351" t="str">
            <v>MATERIALES</v>
          </cell>
          <cell r="K5351" t="str">
            <v>PETROLEO</v>
          </cell>
          <cell r="L5351">
            <v>5</v>
          </cell>
          <cell r="M5351" t="str">
            <v>GLNS.</v>
          </cell>
          <cell r="N5351" t="str">
            <v>TRACTO</v>
          </cell>
          <cell r="O5351">
            <v>3</v>
          </cell>
          <cell r="P5351" t="str">
            <v>M2</v>
          </cell>
          <cell r="Q5351" t="str">
            <v>J1</v>
          </cell>
          <cell r="R5351" t="str">
            <v>J8</v>
          </cell>
          <cell r="S5351" t="str">
            <v>PENDIENTE</v>
          </cell>
          <cell r="T5351">
            <v>0</v>
          </cell>
          <cell r="U5351" t="str">
            <v>CHUMPITAZ GAGO JULIO ENRIQUE</v>
          </cell>
          <cell r="V5351" t="str">
            <v>FLOREZ CONDORI  JOSE WILLIANS</v>
          </cell>
        </row>
        <row r="5352">
          <cell r="A5352">
            <v>5351</v>
          </cell>
          <cell r="B5352">
            <v>42787</v>
          </cell>
          <cell r="C5352" t="str">
            <v>FEBRERO</v>
          </cell>
          <cell r="D5352" t="str">
            <v>2017</v>
          </cell>
          <cell r="E5352">
            <v>1073</v>
          </cell>
          <cell r="F5352" t="str">
            <v>D3Q-741</v>
          </cell>
          <cell r="G5352" t="str">
            <v>D2E-976</v>
          </cell>
          <cell r="H5352" t="str">
            <v>LAS BAMBAS</v>
          </cell>
          <cell r="I5352">
            <v>171918</v>
          </cell>
          <cell r="J5352" t="str">
            <v>REPUESTO</v>
          </cell>
          <cell r="K5352" t="str">
            <v>ACCESORIOS DE VALVULA DE PULPO</v>
          </cell>
          <cell r="L5352">
            <v>1</v>
          </cell>
          <cell r="M5352" t="str">
            <v>UNID.</v>
          </cell>
          <cell r="N5352" t="str">
            <v>CISTERNA</v>
          </cell>
          <cell r="O5352">
            <v>3</v>
          </cell>
          <cell r="P5352" t="str">
            <v>M8</v>
          </cell>
          <cell r="Q5352" t="str">
            <v>J1</v>
          </cell>
          <cell r="R5352" t="str">
            <v>J8</v>
          </cell>
          <cell r="S5352" t="str">
            <v>PENDIENTE</v>
          </cell>
          <cell r="T5352">
            <v>0</v>
          </cell>
          <cell r="U5352" t="str">
            <v>VARILLAS GAGO  OSCAR ALBERTO</v>
          </cell>
          <cell r="V5352" t="str">
            <v>FLOREZ CONDORI  JOSE WILLIANS</v>
          </cell>
        </row>
        <row r="5353">
          <cell r="A5353">
            <v>5352</v>
          </cell>
          <cell r="B5353">
            <v>42787</v>
          </cell>
          <cell r="C5353" t="str">
            <v>FEBRERO</v>
          </cell>
          <cell r="D5353" t="str">
            <v>2017</v>
          </cell>
          <cell r="E5353">
            <v>1076</v>
          </cell>
          <cell r="F5353" t="str">
            <v>C9M-902</v>
          </cell>
          <cell r="G5353" t="str">
            <v>B8L-970</v>
          </cell>
          <cell r="H5353" t="str">
            <v>LAS BAMBAS</v>
          </cell>
          <cell r="I5353">
            <v>218071</v>
          </cell>
          <cell r="J5353" t="str">
            <v>SERVICIO</v>
          </cell>
          <cell r="K5353" t="str">
            <v>REPARACION DE INYECTORES (6)</v>
          </cell>
          <cell r="L5353">
            <v>1</v>
          </cell>
          <cell r="M5353" t="str">
            <v>UNID.</v>
          </cell>
          <cell r="N5353" t="str">
            <v>TRACTO</v>
          </cell>
          <cell r="O5353">
            <v>3</v>
          </cell>
          <cell r="P5353" t="str">
            <v>M5</v>
          </cell>
          <cell r="Q5353" t="str">
            <v>J1</v>
          </cell>
          <cell r="R5353" t="str">
            <v>J8</v>
          </cell>
          <cell r="S5353" t="str">
            <v>PENDIENTE</v>
          </cell>
          <cell r="T5353">
            <v>0</v>
          </cell>
          <cell r="U5353" t="str">
            <v>LOPEZ RUIZ WILBERTO</v>
          </cell>
          <cell r="V5353" t="str">
            <v>FLOREZ CONDORI  JOSE WILLIANS</v>
          </cell>
        </row>
        <row r="5354">
          <cell r="A5354">
            <v>5353</v>
          </cell>
          <cell r="B5354">
            <v>42788</v>
          </cell>
          <cell r="C5354" t="str">
            <v>FEBRERO</v>
          </cell>
          <cell r="D5354" t="str">
            <v>2017</v>
          </cell>
          <cell r="E5354">
            <v>1057</v>
          </cell>
          <cell r="F5354" t="str">
            <v>C5R-896</v>
          </cell>
          <cell r="G5354" t="str">
            <v>A0U-977</v>
          </cell>
          <cell r="H5354" t="str">
            <v>LAS BAMBAS</v>
          </cell>
          <cell r="I5354">
            <v>218990</v>
          </cell>
          <cell r="J5354" t="str">
            <v>REPUESTO</v>
          </cell>
          <cell r="K5354" t="str">
            <v>PERNO 5/16 X 1</v>
          </cell>
          <cell r="L5354">
            <v>30</v>
          </cell>
          <cell r="M5354" t="str">
            <v>UNID.</v>
          </cell>
          <cell r="N5354" t="str">
            <v>CISTERNA</v>
          </cell>
          <cell r="O5354">
            <v>2</v>
          </cell>
          <cell r="P5354" t="str">
            <v>S1</v>
          </cell>
          <cell r="Q5354" t="str">
            <v>J1</v>
          </cell>
          <cell r="R5354" t="str">
            <v>J6</v>
          </cell>
          <cell r="S5354" t="str">
            <v>PENDIENTE</v>
          </cell>
          <cell r="T5354">
            <v>0</v>
          </cell>
          <cell r="U5354" t="str">
            <v>BAYONA CRUZ CRISTIAN ARMANDO</v>
          </cell>
          <cell r="V5354" t="str">
            <v>FLOREZ CONDORI  JOSE WILLIANS</v>
          </cell>
        </row>
        <row r="5355">
          <cell r="A5355">
            <v>5354</v>
          </cell>
          <cell r="B5355">
            <v>42788</v>
          </cell>
          <cell r="C5355" t="str">
            <v>FEBRERO</v>
          </cell>
          <cell r="D5355" t="str">
            <v>2017</v>
          </cell>
          <cell r="E5355">
            <v>1057</v>
          </cell>
          <cell r="F5355" t="str">
            <v>C5R-896</v>
          </cell>
          <cell r="G5355" t="str">
            <v>A0U-977</v>
          </cell>
          <cell r="H5355" t="str">
            <v>LAS BAMBAS</v>
          </cell>
          <cell r="I5355">
            <v>218990</v>
          </cell>
          <cell r="J5355" t="str">
            <v>REPUESTO</v>
          </cell>
          <cell r="K5355" t="str">
            <v>ARANDELA PLANA</v>
          </cell>
          <cell r="L5355">
            <v>30</v>
          </cell>
          <cell r="M5355" t="str">
            <v>UNID.</v>
          </cell>
          <cell r="N5355" t="str">
            <v>CISTERNA</v>
          </cell>
          <cell r="O5355">
            <v>2</v>
          </cell>
          <cell r="P5355" t="str">
            <v>S1</v>
          </cell>
          <cell r="Q5355" t="str">
            <v>J1</v>
          </cell>
          <cell r="R5355" t="str">
            <v>J6</v>
          </cell>
          <cell r="S5355" t="str">
            <v>PENDIENTE</v>
          </cell>
          <cell r="T5355">
            <v>0</v>
          </cell>
          <cell r="U5355" t="str">
            <v>BAYONA CRUZ CRISTIAN ARMANDO</v>
          </cell>
          <cell r="V5355" t="str">
            <v>FLOREZ CONDORI  JOSE WILLIANS</v>
          </cell>
        </row>
        <row r="5356">
          <cell r="A5356">
            <v>5355</v>
          </cell>
          <cell r="B5356">
            <v>42788</v>
          </cell>
          <cell r="C5356" t="str">
            <v>FEBRERO</v>
          </cell>
          <cell r="D5356" t="str">
            <v>2017</v>
          </cell>
          <cell r="E5356">
            <v>1057</v>
          </cell>
          <cell r="F5356" t="str">
            <v>C5R-896</v>
          </cell>
          <cell r="G5356" t="str">
            <v>A0U-977</v>
          </cell>
          <cell r="H5356" t="str">
            <v>LAS BAMBAS</v>
          </cell>
          <cell r="I5356">
            <v>218990</v>
          </cell>
          <cell r="J5356" t="str">
            <v>REPUESTO</v>
          </cell>
          <cell r="K5356" t="str">
            <v>TUERCA SEGURO</v>
          </cell>
          <cell r="L5356">
            <v>30</v>
          </cell>
          <cell r="M5356" t="str">
            <v>UNID.</v>
          </cell>
          <cell r="N5356" t="str">
            <v>CISTERNA</v>
          </cell>
          <cell r="O5356">
            <v>2</v>
          </cell>
          <cell r="P5356" t="str">
            <v>S1</v>
          </cell>
          <cell r="Q5356" t="str">
            <v>J1</v>
          </cell>
          <cell r="R5356" t="str">
            <v>J6</v>
          </cell>
          <cell r="S5356" t="str">
            <v>PENDIENTE</v>
          </cell>
          <cell r="T5356">
            <v>0</v>
          </cell>
          <cell r="U5356" t="str">
            <v>BAYONA CRUZ CRISTIAN ARMANDO</v>
          </cell>
          <cell r="V5356" t="str">
            <v>FLOREZ CONDORI  JOSE WILLIANS</v>
          </cell>
        </row>
        <row r="5357">
          <cell r="A5357">
            <v>5356</v>
          </cell>
          <cell r="B5357">
            <v>42788</v>
          </cell>
          <cell r="C5357" t="str">
            <v>FEBRERO</v>
          </cell>
          <cell r="D5357" t="str">
            <v>2017</v>
          </cell>
          <cell r="E5357">
            <v>1020</v>
          </cell>
          <cell r="F5357" t="str">
            <v>D3S-725</v>
          </cell>
          <cell r="G5357" t="str">
            <v>TBL-977</v>
          </cell>
          <cell r="H5357" t="str">
            <v>LAS BAMBAS</v>
          </cell>
          <cell r="I5357">
            <v>154037</v>
          </cell>
          <cell r="J5357" t="str">
            <v>SERVICIO</v>
          </cell>
          <cell r="K5357" t="str">
            <v>SEVICIO DE REPARACION Y MANTENIMIENTO</v>
          </cell>
          <cell r="L5357">
            <v>1</v>
          </cell>
          <cell r="M5357" t="str">
            <v>UNID.</v>
          </cell>
          <cell r="N5357" t="str">
            <v>TRACTO</v>
          </cell>
          <cell r="O5357">
            <v>2</v>
          </cell>
          <cell r="P5357" t="str">
            <v>E2</v>
          </cell>
          <cell r="Q5357" t="str">
            <v>J1</v>
          </cell>
          <cell r="R5357" t="str">
            <v>J6</v>
          </cell>
          <cell r="S5357" t="str">
            <v>PENDIENTE</v>
          </cell>
          <cell r="T5357">
            <v>0</v>
          </cell>
          <cell r="U5357" t="str">
            <v>YUCA BELLIDO BORIS YERSY</v>
          </cell>
          <cell r="V5357" t="str">
            <v>FLOREZ CONDORI  JOSE WILLIANS</v>
          </cell>
        </row>
        <row r="5358">
          <cell r="A5358">
            <v>5357</v>
          </cell>
          <cell r="B5358">
            <v>42788</v>
          </cell>
          <cell r="C5358" t="str">
            <v>FEBRERO</v>
          </cell>
          <cell r="D5358" t="str">
            <v>2017</v>
          </cell>
          <cell r="E5358">
            <v>200</v>
          </cell>
          <cell r="F5358" t="str">
            <v>TALLER</v>
          </cell>
          <cell r="G5358" t="str">
            <v>TALLER</v>
          </cell>
          <cell r="H5358" t="str">
            <v>TALLER</v>
          </cell>
          <cell r="I5358" t="str">
            <v>TALLER</v>
          </cell>
          <cell r="J5358" t="str">
            <v>INSUMO TALLER</v>
          </cell>
          <cell r="K5358" t="str">
            <v>TEFLON 1/2</v>
          </cell>
          <cell r="L5358">
            <v>1</v>
          </cell>
          <cell r="M5358" t="str">
            <v>UNID.</v>
          </cell>
          <cell r="N5358" t="str">
            <v>TALLER</v>
          </cell>
          <cell r="O5358">
            <v>2</v>
          </cell>
          <cell r="P5358" t="str">
            <v>E3</v>
          </cell>
          <cell r="Q5358" t="str">
            <v>J1</v>
          </cell>
          <cell r="R5358" t="str">
            <v>J6</v>
          </cell>
          <cell r="S5358" t="str">
            <v>PENDIENTE</v>
          </cell>
          <cell r="T5358">
            <v>0</v>
          </cell>
          <cell r="U5358" t="str">
            <v>CONDORI CHURATA ALEX</v>
          </cell>
          <cell r="V5358" t="str">
            <v>FLOREZ CONDORI  JOSE WILLIANS</v>
          </cell>
        </row>
        <row r="5359">
          <cell r="A5359">
            <v>5358</v>
          </cell>
          <cell r="B5359">
            <v>42788</v>
          </cell>
          <cell r="C5359" t="str">
            <v>FEBRERO</v>
          </cell>
          <cell r="D5359" t="str">
            <v>2017</v>
          </cell>
          <cell r="E5359">
            <v>200</v>
          </cell>
          <cell r="F5359" t="str">
            <v>TALLER</v>
          </cell>
          <cell r="G5359" t="str">
            <v>TALLER</v>
          </cell>
          <cell r="H5359" t="str">
            <v>TALLER</v>
          </cell>
          <cell r="I5359" t="str">
            <v>TALLER</v>
          </cell>
          <cell r="J5359" t="str">
            <v>REPUESTO</v>
          </cell>
          <cell r="K5359" t="str">
            <v>BOTELLA DE OXIGENO DE 10 M3</v>
          </cell>
          <cell r="L5359">
            <v>2</v>
          </cell>
          <cell r="M5359" t="str">
            <v>UNID.</v>
          </cell>
          <cell r="N5359" t="str">
            <v>TALLER</v>
          </cell>
          <cell r="O5359">
            <v>2</v>
          </cell>
          <cell r="P5359" t="str">
            <v>S1</v>
          </cell>
          <cell r="Q5359" t="str">
            <v>J1</v>
          </cell>
          <cell r="R5359" t="str">
            <v>J6</v>
          </cell>
          <cell r="S5359" t="str">
            <v>PENDIENTE</v>
          </cell>
          <cell r="T5359">
            <v>0</v>
          </cell>
          <cell r="U5359" t="str">
            <v>BAYONA CRUZ CRISTIAN ARMANDO</v>
          </cell>
          <cell r="V5359" t="str">
            <v>FLOREZ CONDORI  JOSE WILLIANS</v>
          </cell>
        </row>
        <row r="5360">
          <cell r="A5360">
            <v>5359</v>
          </cell>
          <cell r="B5360">
            <v>42788</v>
          </cell>
          <cell r="C5360">
            <v>42788</v>
          </cell>
          <cell r="D5360">
            <v>42788</v>
          </cell>
          <cell r="E5360">
            <v>200</v>
          </cell>
          <cell r="F5360" t="str">
            <v>TALLER</v>
          </cell>
          <cell r="G5360" t="str">
            <v>TALLER</v>
          </cell>
          <cell r="H5360" t="str">
            <v>TALLER</v>
          </cell>
          <cell r="I5360" t="str">
            <v>TALLER</v>
          </cell>
          <cell r="J5360" t="str">
            <v>REPUESTO</v>
          </cell>
          <cell r="K5360" t="str">
            <v>CORTE AUTOMATICO</v>
          </cell>
          <cell r="L5360">
            <v>1</v>
          </cell>
          <cell r="M5360" t="str">
            <v>UNID.</v>
          </cell>
          <cell r="N5360" t="str">
            <v>TALLER</v>
          </cell>
          <cell r="O5360">
            <v>2</v>
          </cell>
          <cell r="P5360" t="str">
            <v>E3</v>
          </cell>
          <cell r="Q5360" t="str">
            <v>J1</v>
          </cell>
          <cell r="R5360" t="str">
            <v>J6</v>
          </cell>
          <cell r="S5360" t="str">
            <v>PENDIENTE</v>
          </cell>
          <cell r="T5360">
            <v>0</v>
          </cell>
          <cell r="U5360" t="str">
            <v>CONDORI CHURATA ALEX</v>
          </cell>
          <cell r="V5360" t="str">
            <v>FLOREZ CONDORI  JOSE WILLIANS</v>
          </cell>
        </row>
        <row r="5361">
          <cell r="A5361">
            <v>5360</v>
          </cell>
          <cell r="B5361">
            <v>42788</v>
          </cell>
          <cell r="C5361">
            <v>42788</v>
          </cell>
          <cell r="D5361">
            <v>42788</v>
          </cell>
          <cell r="E5361">
            <v>1013</v>
          </cell>
          <cell r="F5361" t="str">
            <v>B2M-948</v>
          </cell>
          <cell r="G5361" t="str">
            <v>CAMION</v>
          </cell>
          <cell r="H5361" t="str">
            <v>TAMBOMAYO</v>
          </cell>
          <cell r="I5361">
            <v>119007</v>
          </cell>
          <cell r="J5361" t="str">
            <v>REPUESTO</v>
          </cell>
          <cell r="K5361" t="str">
            <v>PEDAZO DE PLANCHA ESTRIADA 5/32 DE 60*60CM</v>
          </cell>
          <cell r="L5361">
            <v>2</v>
          </cell>
          <cell r="M5361" t="str">
            <v>UNID.</v>
          </cell>
          <cell r="N5361" t="str">
            <v>CAMION</v>
          </cell>
          <cell r="O5361">
            <v>2</v>
          </cell>
          <cell r="P5361" t="str">
            <v>S1</v>
          </cell>
          <cell r="Q5361" t="str">
            <v>J1</v>
          </cell>
          <cell r="R5361" t="str">
            <v>J8</v>
          </cell>
          <cell r="S5361" t="str">
            <v>PENDIENTE</v>
          </cell>
          <cell r="T5361">
            <v>0</v>
          </cell>
          <cell r="U5361" t="str">
            <v>BAYONA CRUZ CRISTIAN ARMANDO</v>
          </cell>
          <cell r="V5361" t="str">
            <v>FLOREZ CONDORI  JOSE WILLIANS</v>
          </cell>
        </row>
        <row r="5362">
          <cell r="A5362">
            <v>5361</v>
          </cell>
          <cell r="B5362">
            <v>42788</v>
          </cell>
          <cell r="C5362">
            <v>42788</v>
          </cell>
          <cell r="D5362">
            <v>42788</v>
          </cell>
          <cell r="E5362">
            <v>1031</v>
          </cell>
          <cell r="F5362" t="str">
            <v>C5R-896</v>
          </cell>
          <cell r="G5362" t="str">
            <v>A0U-977</v>
          </cell>
          <cell r="H5362" t="str">
            <v>LAS BAMBAS</v>
          </cell>
          <cell r="I5362">
            <v>218990</v>
          </cell>
          <cell r="J5362" t="str">
            <v>REPUESTO</v>
          </cell>
          <cell r="K5362" t="str">
            <v>SOLDADURA SUPERCITO 5/32</v>
          </cell>
          <cell r="L5362">
            <v>3</v>
          </cell>
          <cell r="M5362" t="str">
            <v>KG.</v>
          </cell>
          <cell r="N5362" t="str">
            <v>CISTERNA</v>
          </cell>
          <cell r="O5362">
            <v>2</v>
          </cell>
          <cell r="P5362" t="str">
            <v>S5</v>
          </cell>
          <cell r="Q5362" t="str">
            <v>J1</v>
          </cell>
          <cell r="R5362" t="str">
            <v>J8</v>
          </cell>
          <cell r="S5362" t="str">
            <v>PENDIENTE</v>
          </cell>
          <cell r="T5362">
            <v>0</v>
          </cell>
          <cell r="U5362" t="str">
            <v>HUAMAN MOZO LEONARDO</v>
          </cell>
          <cell r="V5362" t="str">
            <v>FLOREZ CONDORI  JOSE WILLIANS</v>
          </cell>
        </row>
        <row r="5363">
          <cell r="A5363">
            <v>5362</v>
          </cell>
          <cell r="B5363">
            <v>42788</v>
          </cell>
          <cell r="C5363">
            <v>42788</v>
          </cell>
          <cell r="D5363">
            <v>42788</v>
          </cell>
          <cell r="E5363">
            <v>1031</v>
          </cell>
          <cell r="F5363" t="str">
            <v>C5R-896</v>
          </cell>
          <cell r="G5363" t="str">
            <v>A0U-977</v>
          </cell>
          <cell r="H5363" t="str">
            <v>LAS BAMBAS</v>
          </cell>
          <cell r="I5363">
            <v>218990</v>
          </cell>
          <cell r="J5363" t="str">
            <v>REPUESTO</v>
          </cell>
          <cell r="K5363" t="str">
            <v>SOLDADURA CELLOCORD 5/32</v>
          </cell>
          <cell r="L5363">
            <v>1</v>
          </cell>
          <cell r="M5363" t="str">
            <v>KG.</v>
          </cell>
          <cell r="N5363" t="str">
            <v>CISTERNA</v>
          </cell>
          <cell r="O5363">
            <v>2</v>
          </cell>
          <cell r="P5363" t="str">
            <v>S5</v>
          </cell>
          <cell r="Q5363" t="str">
            <v>J1</v>
          </cell>
          <cell r="R5363" t="str">
            <v>J8</v>
          </cell>
          <cell r="S5363" t="str">
            <v>PENDIENTE</v>
          </cell>
          <cell r="T5363">
            <v>0</v>
          </cell>
          <cell r="U5363" t="str">
            <v>HUAMAN MOZO LEONARDO</v>
          </cell>
          <cell r="V5363" t="str">
            <v>FLOREZ CONDORI  JOSE WILLIANS</v>
          </cell>
        </row>
        <row r="5364">
          <cell r="A5364">
            <v>5363</v>
          </cell>
          <cell r="B5364">
            <v>42788</v>
          </cell>
          <cell r="C5364">
            <v>42788</v>
          </cell>
          <cell r="D5364">
            <v>42788</v>
          </cell>
          <cell r="E5364">
            <v>1031</v>
          </cell>
          <cell r="F5364" t="str">
            <v>C5R-896</v>
          </cell>
          <cell r="G5364" t="str">
            <v>A0U-977</v>
          </cell>
          <cell r="H5364" t="str">
            <v>LAS BAMBAS</v>
          </cell>
          <cell r="I5364">
            <v>218990</v>
          </cell>
          <cell r="J5364" t="str">
            <v>REPUESTO</v>
          </cell>
          <cell r="K5364" t="str">
            <v>TIZA CALDERO</v>
          </cell>
          <cell r="L5364">
            <v>1</v>
          </cell>
          <cell r="M5364" t="str">
            <v>UNID.</v>
          </cell>
          <cell r="N5364" t="str">
            <v>CISTERNA</v>
          </cell>
          <cell r="O5364">
            <v>2</v>
          </cell>
          <cell r="P5364" t="str">
            <v>S5</v>
          </cell>
          <cell r="Q5364" t="str">
            <v>J1</v>
          </cell>
          <cell r="R5364" t="str">
            <v>J8</v>
          </cell>
          <cell r="S5364" t="str">
            <v>PENDIENTE</v>
          </cell>
          <cell r="T5364">
            <v>0</v>
          </cell>
          <cell r="U5364" t="str">
            <v>HUAMAN MOZO LEONARDO</v>
          </cell>
          <cell r="V5364" t="str">
            <v>FLOREZ CONDORI  JOSE WILLIANS</v>
          </cell>
        </row>
        <row r="5365">
          <cell r="A5365">
            <v>5364</v>
          </cell>
          <cell r="B5365">
            <v>42788</v>
          </cell>
          <cell r="C5365" t="str">
            <v>FEBRERO</v>
          </cell>
          <cell r="D5365" t="str">
            <v>2017</v>
          </cell>
          <cell r="E5365">
            <v>1031</v>
          </cell>
          <cell r="F5365" t="str">
            <v>C5R-896</v>
          </cell>
          <cell r="G5365" t="str">
            <v>A0U-977</v>
          </cell>
          <cell r="H5365" t="str">
            <v>LAS BAMBAS</v>
          </cell>
          <cell r="I5365">
            <v>218990</v>
          </cell>
          <cell r="J5365" t="str">
            <v>REPUESTO</v>
          </cell>
          <cell r="K5365" t="str">
            <v>CABLE CORRIENTE # 14</v>
          </cell>
          <cell r="L5365">
            <v>10</v>
          </cell>
          <cell r="M5365" t="str">
            <v>M</v>
          </cell>
          <cell r="N5365" t="str">
            <v>CISTERNA</v>
          </cell>
          <cell r="O5365">
            <v>2</v>
          </cell>
          <cell r="P5365" t="str">
            <v>E3</v>
          </cell>
          <cell r="Q5365" t="str">
            <v>J1</v>
          </cell>
          <cell r="R5365" t="str">
            <v>J8</v>
          </cell>
          <cell r="S5365" t="str">
            <v>PENDIENTE</v>
          </cell>
          <cell r="T5365">
            <v>0</v>
          </cell>
          <cell r="U5365" t="str">
            <v>CONDORI CHURATA ALEX</v>
          </cell>
          <cell r="V5365" t="str">
            <v>FLOREZ CONDORI  JOSE WILLIANS</v>
          </cell>
        </row>
        <row r="5366">
          <cell r="A5366">
            <v>5365</v>
          </cell>
          <cell r="B5366">
            <v>42788</v>
          </cell>
          <cell r="C5366" t="str">
            <v>FEBRERO</v>
          </cell>
          <cell r="D5366" t="str">
            <v>2017</v>
          </cell>
          <cell r="E5366">
            <v>1031</v>
          </cell>
          <cell r="F5366" t="str">
            <v>C5R-896</v>
          </cell>
          <cell r="G5366" t="str">
            <v>A0U-977</v>
          </cell>
          <cell r="H5366" t="str">
            <v>LAS BAMBAS</v>
          </cell>
          <cell r="I5366">
            <v>218990</v>
          </cell>
          <cell r="J5366" t="str">
            <v>REPUESTO</v>
          </cell>
          <cell r="K5366" t="str">
            <v>MANGUERA CORRUGADA  1/4</v>
          </cell>
          <cell r="L5366">
            <v>10</v>
          </cell>
          <cell r="M5366" t="str">
            <v>M</v>
          </cell>
          <cell r="N5366" t="str">
            <v>CISTERNA</v>
          </cell>
          <cell r="O5366">
            <v>2</v>
          </cell>
          <cell r="P5366" t="str">
            <v>E3</v>
          </cell>
          <cell r="Q5366" t="str">
            <v>J1</v>
          </cell>
          <cell r="R5366" t="str">
            <v>J8</v>
          </cell>
          <cell r="S5366" t="str">
            <v>PENDIENTE</v>
          </cell>
          <cell r="T5366">
            <v>0</v>
          </cell>
          <cell r="U5366" t="str">
            <v>CONDORI CHURATA ALEX</v>
          </cell>
          <cell r="V5366" t="str">
            <v>FLOREZ CONDORI  JOSE WILLIANS</v>
          </cell>
        </row>
        <row r="5367">
          <cell r="A5367">
            <v>5366</v>
          </cell>
          <cell r="B5367">
            <v>42788</v>
          </cell>
          <cell r="C5367" t="str">
            <v>FEBRERO</v>
          </cell>
          <cell r="D5367" t="str">
            <v>2017</v>
          </cell>
          <cell r="E5367">
            <v>1031</v>
          </cell>
          <cell r="F5367" t="str">
            <v>C5R-896</v>
          </cell>
          <cell r="G5367" t="str">
            <v>A0U-977</v>
          </cell>
          <cell r="H5367" t="str">
            <v>LAS BAMBAS</v>
          </cell>
          <cell r="I5367">
            <v>218990</v>
          </cell>
          <cell r="J5367" t="str">
            <v>REPUESTO</v>
          </cell>
          <cell r="K5367" t="str">
            <v>PRECINTOS</v>
          </cell>
          <cell r="L5367">
            <v>10</v>
          </cell>
          <cell r="M5367" t="str">
            <v>UNID.</v>
          </cell>
          <cell r="N5367" t="str">
            <v>CISTERNA</v>
          </cell>
          <cell r="O5367">
            <v>2</v>
          </cell>
          <cell r="P5367" t="str">
            <v>E3</v>
          </cell>
          <cell r="Q5367" t="str">
            <v>J1</v>
          </cell>
          <cell r="R5367" t="str">
            <v>J8</v>
          </cell>
          <cell r="S5367" t="str">
            <v>PENDIENTE</v>
          </cell>
          <cell r="T5367">
            <v>0</v>
          </cell>
          <cell r="U5367" t="str">
            <v>CONDORI CHURATA ALEX</v>
          </cell>
          <cell r="V5367" t="str">
            <v>FLOREZ CONDORI  JOSE WILLIANS</v>
          </cell>
        </row>
        <row r="5368">
          <cell r="A5368">
            <v>5367</v>
          </cell>
          <cell r="B5368">
            <v>42788</v>
          </cell>
          <cell r="C5368" t="str">
            <v>FEBRERO</v>
          </cell>
          <cell r="D5368" t="str">
            <v>2017</v>
          </cell>
          <cell r="E5368">
            <v>1031</v>
          </cell>
          <cell r="F5368" t="str">
            <v>C5R-896</v>
          </cell>
          <cell r="G5368" t="str">
            <v>A0U-977</v>
          </cell>
          <cell r="H5368" t="str">
            <v>LAS BAMBAS</v>
          </cell>
          <cell r="I5368">
            <v>218990</v>
          </cell>
          <cell r="J5368" t="str">
            <v>REPUESTO</v>
          </cell>
          <cell r="K5368" t="str">
            <v>CINTA AISLANTE</v>
          </cell>
          <cell r="L5368">
            <v>1</v>
          </cell>
          <cell r="M5368" t="str">
            <v>UNID.</v>
          </cell>
          <cell r="N5368" t="str">
            <v>CISTERNA</v>
          </cell>
          <cell r="O5368">
            <v>2</v>
          </cell>
          <cell r="P5368" t="str">
            <v>E3</v>
          </cell>
          <cell r="Q5368" t="str">
            <v>J1</v>
          </cell>
          <cell r="R5368" t="str">
            <v>J8</v>
          </cell>
          <cell r="S5368" t="str">
            <v>PENDIENTE</v>
          </cell>
          <cell r="T5368">
            <v>0</v>
          </cell>
          <cell r="U5368" t="str">
            <v>CONDORI CHURATA ALEX</v>
          </cell>
          <cell r="V5368" t="str">
            <v>FLOREZ CONDORI  JOSE WILLIANS</v>
          </cell>
        </row>
        <row r="5369">
          <cell r="A5369">
            <v>5368</v>
          </cell>
          <cell r="B5369">
            <v>42789</v>
          </cell>
          <cell r="C5369" t="str">
            <v>FEBRERO</v>
          </cell>
          <cell r="D5369" t="str">
            <v>2017</v>
          </cell>
          <cell r="E5369">
            <v>1085</v>
          </cell>
          <cell r="F5369" t="str">
            <v>D3R-742</v>
          </cell>
          <cell r="G5369" t="str">
            <v>D2E-975</v>
          </cell>
          <cell r="H5369" t="str">
            <v>LAS BAMBAS</v>
          </cell>
          <cell r="I5369">
            <v>163473</v>
          </cell>
          <cell r="J5369" t="str">
            <v>REPUESTO</v>
          </cell>
          <cell r="K5369" t="str">
            <v>PALANCA DE LUCES</v>
          </cell>
          <cell r="L5369">
            <v>1</v>
          </cell>
          <cell r="M5369" t="str">
            <v>UNID.</v>
          </cell>
          <cell r="N5369" t="str">
            <v>TRACTO</v>
          </cell>
          <cell r="O5369">
            <v>0</v>
          </cell>
          <cell r="P5369" t="str">
            <v>E2</v>
          </cell>
          <cell r="Q5369" t="str">
            <v>J1</v>
          </cell>
          <cell r="R5369" t="str">
            <v>J8</v>
          </cell>
          <cell r="S5369" t="str">
            <v>PENDIENTE</v>
          </cell>
          <cell r="T5369">
            <v>0</v>
          </cell>
          <cell r="U5369" t="str">
            <v>YUCA BELLIDO BORIS YERSY</v>
          </cell>
          <cell r="V5369" t="str">
            <v>FLOREZ CONDORI  JOSE WILLIANS</v>
          </cell>
        </row>
        <row r="5370">
          <cell r="A5370">
            <v>5369</v>
          </cell>
          <cell r="B5370">
            <v>42789</v>
          </cell>
          <cell r="C5370" t="str">
            <v>FEBRERO</v>
          </cell>
          <cell r="D5370" t="str">
            <v>2017</v>
          </cell>
          <cell r="E5370">
            <v>1082</v>
          </cell>
          <cell r="F5370" t="str">
            <v>ABR-741</v>
          </cell>
          <cell r="G5370" t="str">
            <v>T3N-974</v>
          </cell>
          <cell r="H5370" t="str">
            <v>LAS BAMBAS</v>
          </cell>
          <cell r="I5370">
            <v>119141</v>
          </cell>
          <cell r="J5370" t="str">
            <v>REPUESTO</v>
          </cell>
          <cell r="K5370" t="str">
            <v>ACEITE DE  MOTOR 15W40</v>
          </cell>
          <cell r="L5370">
            <v>10</v>
          </cell>
          <cell r="M5370" t="str">
            <v>GLNS.</v>
          </cell>
          <cell r="N5370" t="str">
            <v>TRACTO</v>
          </cell>
          <cell r="O5370">
            <v>0</v>
          </cell>
          <cell r="P5370" t="str">
            <v>M8</v>
          </cell>
          <cell r="Q5370" t="str">
            <v>J1</v>
          </cell>
          <cell r="R5370" t="str">
            <v>J8</v>
          </cell>
          <cell r="S5370" t="str">
            <v>PENDIENTE</v>
          </cell>
          <cell r="T5370">
            <v>0</v>
          </cell>
          <cell r="U5370" t="str">
            <v>VARILLAS GAGO  OSCAR ALBERTO</v>
          </cell>
          <cell r="V5370" t="str">
            <v>FLOREZ CONDORI  JOSE WILLIANS</v>
          </cell>
        </row>
        <row r="5371">
          <cell r="A5371">
            <v>5370</v>
          </cell>
          <cell r="B5371">
            <v>42789</v>
          </cell>
          <cell r="C5371" t="str">
            <v>FEBRERO</v>
          </cell>
          <cell r="D5371" t="str">
            <v>2017</v>
          </cell>
          <cell r="E5371">
            <v>1082</v>
          </cell>
          <cell r="F5371" t="str">
            <v>ABR-741</v>
          </cell>
          <cell r="G5371" t="str">
            <v>T3N-974</v>
          </cell>
          <cell r="H5371" t="str">
            <v>LAS BAMBAS</v>
          </cell>
          <cell r="I5371">
            <v>119141</v>
          </cell>
          <cell r="J5371" t="str">
            <v>REPUESTO</v>
          </cell>
          <cell r="K5371" t="str">
            <v>FILTRO DE ACEITE</v>
          </cell>
          <cell r="L5371">
            <v>2</v>
          </cell>
          <cell r="M5371" t="str">
            <v>UNID.</v>
          </cell>
          <cell r="N5371" t="str">
            <v>TRACTO</v>
          </cell>
          <cell r="O5371">
            <v>0</v>
          </cell>
          <cell r="P5371" t="str">
            <v>M8</v>
          </cell>
          <cell r="Q5371" t="str">
            <v>J1</v>
          </cell>
          <cell r="R5371" t="str">
            <v>J8</v>
          </cell>
          <cell r="S5371" t="str">
            <v>PENDIENTE</v>
          </cell>
          <cell r="T5371">
            <v>0</v>
          </cell>
          <cell r="U5371" t="str">
            <v>VARILLAS GAGO  OSCAR ALBERTO</v>
          </cell>
          <cell r="V5371" t="str">
            <v>FLOREZ CONDORI  JOSE WILLIANS</v>
          </cell>
        </row>
        <row r="5372">
          <cell r="A5372">
            <v>5371</v>
          </cell>
          <cell r="B5372">
            <v>42789</v>
          </cell>
          <cell r="C5372" t="str">
            <v>FEBRERO</v>
          </cell>
          <cell r="D5372" t="str">
            <v>2017</v>
          </cell>
          <cell r="E5372">
            <v>1082</v>
          </cell>
          <cell r="F5372" t="str">
            <v>ABR-741</v>
          </cell>
          <cell r="G5372" t="str">
            <v>T3N-974</v>
          </cell>
          <cell r="H5372" t="str">
            <v>LAS BAMBAS</v>
          </cell>
          <cell r="I5372">
            <v>119141</v>
          </cell>
          <cell r="J5372" t="str">
            <v>REPUESTO</v>
          </cell>
          <cell r="K5372" t="str">
            <v>FILTRO DE COMBUSTIBLE</v>
          </cell>
          <cell r="L5372">
            <v>1</v>
          </cell>
          <cell r="M5372" t="str">
            <v>UNID.</v>
          </cell>
          <cell r="N5372" t="str">
            <v>TRACTO</v>
          </cell>
          <cell r="O5372">
            <v>0</v>
          </cell>
          <cell r="P5372" t="str">
            <v>M8</v>
          </cell>
          <cell r="Q5372" t="str">
            <v>J1</v>
          </cell>
          <cell r="R5372" t="str">
            <v>J8</v>
          </cell>
          <cell r="S5372" t="str">
            <v>PENDIENTE</v>
          </cell>
          <cell r="T5372">
            <v>0</v>
          </cell>
          <cell r="U5372" t="str">
            <v>VARILLAS GAGO  OSCAR ALBERTO</v>
          </cell>
          <cell r="V5372" t="str">
            <v>FLOREZ CONDORI  JOSE WILLIANS</v>
          </cell>
        </row>
        <row r="5373">
          <cell r="A5373">
            <v>5372</v>
          </cell>
          <cell r="B5373">
            <v>42789</v>
          </cell>
          <cell r="C5373" t="str">
            <v>FEBRERO</v>
          </cell>
          <cell r="D5373" t="str">
            <v>2017</v>
          </cell>
          <cell r="E5373">
            <v>1082</v>
          </cell>
          <cell r="F5373" t="str">
            <v>ABR-741</v>
          </cell>
          <cell r="G5373" t="str">
            <v>T3N-974</v>
          </cell>
          <cell r="H5373" t="str">
            <v>LAS BAMBAS</v>
          </cell>
          <cell r="I5373">
            <v>119141</v>
          </cell>
          <cell r="J5373" t="str">
            <v>REPUESTO</v>
          </cell>
          <cell r="K5373" t="str">
            <v>FILTRO SEPARADOR DE AGUA</v>
          </cell>
          <cell r="L5373">
            <v>1</v>
          </cell>
          <cell r="M5373" t="str">
            <v>UNID.</v>
          </cell>
          <cell r="N5373" t="str">
            <v>TRACTO</v>
          </cell>
          <cell r="O5373">
            <v>0</v>
          </cell>
          <cell r="P5373" t="str">
            <v>M8</v>
          </cell>
          <cell r="Q5373" t="str">
            <v>J1</v>
          </cell>
          <cell r="R5373" t="str">
            <v>J8</v>
          </cell>
          <cell r="S5373" t="str">
            <v>PENDIENTE</v>
          </cell>
          <cell r="T5373">
            <v>0</v>
          </cell>
          <cell r="U5373" t="str">
            <v>VARILLAS GAGO  OSCAR ALBERTO</v>
          </cell>
          <cell r="V5373" t="str">
            <v>FLOREZ CONDORI  JOSE WILLIANS</v>
          </cell>
        </row>
        <row r="5374">
          <cell r="A5374">
            <v>5373</v>
          </cell>
          <cell r="B5374">
            <v>42789</v>
          </cell>
          <cell r="C5374" t="str">
            <v>FEBRERO</v>
          </cell>
          <cell r="D5374" t="str">
            <v>2017</v>
          </cell>
          <cell r="E5374">
            <v>1082</v>
          </cell>
          <cell r="F5374" t="str">
            <v>ABR-741</v>
          </cell>
          <cell r="G5374" t="str">
            <v>T3N-974</v>
          </cell>
          <cell r="H5374" t="str">
            <v>LAS BAMBAS</v>
          </cell>
          <cell r="I5374">
            <v>119141</v>
          </cell>
          <cell r="J5374" t="str">
            <v>REPUESTO</v>
          </cell>
          <cell r="K5374" t="str">
            <v>PERNO DE 5/16 X 1"</v>
          </cell>
          <cell r="L5374">
            <v>1</v>
          </cell>
          <cell r="M5374" t="str">
            <v>UNID.</v>
          </cell>
          <cell r="N5374" t="str">
            <v>TRACTO</v>
          </cell>
          <cell r="O5374">
            <v>0</v>
          </cell>
          <cell r="P5374" t="str">
            <v>M8</v>
          </cell>
          <cell r="Q5374" t="str">
            <v>J1</v>
          </cell>
          <cell r="R5374" t="str">
            <v>J8</v>
          </cell>
          <cell r="S5374" t="str">
            <v>PENDIENTE</v>
          </cell>
          <cell r="T5374">
            <v>0</v>
          </cell>
          <cell r="U5374" t="str">
            <v>VARILLAS GAGO  OSCAR ALBERTO</v>
          </cell>
          <cell r="V5374" t="str">
            <v>FLOREZ CONDORI  JOSE WILLIANS</v>
          </cell>
        </row>
        <row r="5375">
          <cell r="A5375">
            <v>5374</v>
          </cell>
          <cell r="B5375">
            <v>42789</v>
          </cell>
          <cell r="C5375" t="str">
            <v>FEBRERO</v>
          </cell>
          <cell r="D5375" t="str">
            <v>2017</v>
          </cell>
          <cell r="E5375">
            <v>1082</v>
          </cell>
          <cell r="F5375" t="str">
            <v>ABR-741</v>
          </cell>
          <cell r="G5375" t="str">
            <v>T3N-974</v>
          </cell>
          <cell r="H5375" t="str">
            <v>LAS BAMBAS</v>
          </cell>
          <cell r="I5375">
            <v>119141</v>
          </cell>
          <cell r="J5375" t="str">
            <v>REPUESTO</v>
          </cell>
          <cell r="K5375" t="str">
            <v>FARO LED 14" AMBAR</v>
          </cell>
          <cell r="L5375">
            <v>2</v>
          </cell>
          <cell r="M5375" t="str">
            <v>UNID.</v>
          </cell>
          <cell r="N5375" t="str">
            <v>TRACTO</v>
          </cell>
          <cell r="O5375">
            <v>0</v>
          </cell>
          <cell r="P5375" t="str">
            <v>E3</v>
          </cell>
          <cell r="Q5375" t="str">
            <v>J1</v>
          </cell>
          <cell r="R5375" t="str">
            <v>J8</v>
          </cell>
          <cell r="S5375" t="str">
            <v>PENDIENTE</v>
          </cell>
          <cell r="T5375">
            <v>0</v>
          </cell>
          <cell r="U5375" t="str">
            <v>CONDORI CHURATA ALEX</v>
          </cell>
          <cell r="V5375" t="str">
            <v>FLOREZ CONDORI  JOSE WILLIANS</v>
          </cell>
        </row>
        <row r="5376">
          <cell r="A5376">
            <v>5375</v>
          </cell>
          <cell r="B5376">
            <v>42789</v>
          </cell>
          <cell r="C5376" t="str">
            <v>FEBRERO</v>
          </cell>
          <cell r="D5376" t="str">
            <v>2017</v>
          </cell>
          <cell r="E5376">
            <v>1082</v>
          </cell>
          <cell r="F5376" t="str">
            <v>ABR-741</v>
          </cell>
          <cell r="G5376" t="str">
            <v>T3N-974</v>
          </cell>
          <cell r="H5376" t="str">
            <v>LAS BAMBAS</v>
          </cell>
          <cell r="I5376">
            <v>119141</v>
          </cell>
          <cell r="J5376" t="str">
            <v>REPUESTO</v>
          </cell>
          <cell r="K5376" t="str">
            <v>FARO LED CIRCULAR 4"</v>
          </cell>
          <cell r="L5376">
            <v>1</v>
          </cell>
          <cell r="M5376" t="str">
            <v>UNID.</v>
          </cell>
          <cell r="N5376" t="str">
            <v>TRACTO</v>
          </cell>
          <cell r="O5376">
            <v>0</v>
          </cell>
          <cell r="P5376" t="str">
            <v>E3</v>
          </cell>
          <cell r="Q5376" t="str">
            <v>J1</v>
          </cell>
          <cell r="R5376" t="str">
            <v>J8</v>
          </cell>
          <cell r="S5376" t="str">
            <v>PENDIENTE</v>
          </cell>
          <cell r="T5376">
            <v>0</v>
          </cell>
          <cell r="U5376" t="str">
            <v>CONDORI CHURATA ALEX</v>
          </cell>
          <cell r="V5376" t="str">
            <v>FLOREZ CONDORI  JOSE WILLIANS</v>
          </cell>
        </row>
        <row r="5377">
          <cell r="A5377">
            <v>5376</v>
          </cell>
          <cell r="B5377">
            <v>42789</v>
          </cell>
          <cell r="C5377" t="str">
            <v>FEBRERO</v>
          </cell>
          <cell r="D5377" t="str">
            <v>2017</v>
          </cell>
          <cell r="E5377">
            <v>1083</v>
          </cell>
          <cell r="F5377" t="str">
            <v>D3P-746</v>
          </cell>
          <cell r="G5377" t="str">
            <v>C0T-974</v>
          </cell>
          <cell r="H5377" t="str">
            <v>LAS BAMBAS</v>
          </cell>
          <cell r="I5377">
            <v>133004</v>
          </cell>
          <cell r="J5377" t="str">
            <v>REPUESTO</v>
          </cell>
          <cell r="K5377" t="str">
            <v>AGUA LIMPIA PARABRISA</v>
          </cell>
          <cell r="L5377">
            <v>1</v>
          </cell>
          <cell r="M5377" t="str">
            <v>GLNS.</v>
          </cell>
          <cell r="N5377" t="str">
            <v>TRACTO</v>
          </cell>
          <cell r="O5377">
            <v>0</v>
          </cell>
          <cell r="P5377" t="str">
            <v>M8</v>
          </cell>
          <cell r="Q5377" t="str">
            <v>J1</v>
          </cell>
          <cell r="R5377" t="str">
            <v>J8</v>
          </cell>
          <cell r="S5377" t="str">
            <v>PENDIENTE</v>
          </cell>
          <cell r="T5377">
            <v>0</v>
          </cell>
          <cell r="U5377" t="str">
            <v>VARILLAS GAGO  OSCAR ALBERTO</v>
          </cell>
          <cell r="V5377" t="str">
            <v>FLOREZ CONDORI  JOSE WILLIANS</v>
          </cell>
        </row>
        <row r="5378">
          <cell r="A5378">
            <v>5377</v>
          </cell>
          <cell r="B5378">
            <v>42789</v>
          </cell>
          <cell r="C5378" t="str">
            <v>FEBRERO</v>
          </cell>
          <cell r="D5378" t="str">
            <v>2017</v>
          </cell>
          <cell r="E5378">
            <v>1083</v>
          </cell>
          <cell r="F5378" t="str">
            <v>D3P-746</v>
          </cell>
          <cell r="G5378" t="str">
            <v>C0T-974</v>
          </cell>
          <cell r="H5378" t="str">
            <v>LAS BAMBAS</v>
          </cell>
          <cell r="I5378">
            <v>133004</v>
          </cell>
          <cell r="J5378" t="str">
            <v>REPUESTO</v>
          </cell>
          <cell r="K5378" t="str">
            <v>FILTRO DE COMBUSTUIBLE</v>
          </cell>
          <cell r="L5378">
            <v>1</v>
          </cell>
          <cell r="M5378" t="str">
            <v>UNID.</v>
          </cell>
          <cell r="N5378" t="str">
            <v>TRACTO</v>
          </cell>
          <cell r="O5378">
            <v>0</v>
          </cell>
          <cell r="P5378" t="str">
            <v>M8</v>
          </cell>
          <cell r="Q5378" t="str">
            <v>J1</v>
          </cell>
          <cell r="R5378" t="str">
            <v>J8</v>
          </cell>
          <cell r="S5378" t="str">
            <v>PENDIENTE</v>
          </cell>
          <cell r="T5378">
            <v>0</v>
          </cell>
          <cell r="U5378" t="str">
            <v>VARILLAS GAGO  OSCAR ALBERTO</v>
          </cell>
          <cell r="V5378" t="str">
            <v>FLOREZ CONDORI  JOSE WILLIANS</v>
          </cell>
        </row>
        <row r="5379">
          <cell r="A5379">
            <v>5378</v>
          </cell>
          <cell r="B5379">
            <v>42789</v>
          </cell>
          <cell r="C5379" t="str">
            <v>FEBRERO</v>
          </cell>
          <cell r="D5379" t="str">
            <v>2017</v>
          </cell>
          <cell r="E5379">
            <v>1083</v>
          </cell>
          <cell r="F5379" t="str">
            <v>D3P-746</v>
          </cell>
          <cell r="G5379" t="str">
            <v>C0T-974</v>
          </cell>
          <cell r="H5379" t="str">
            <v>LAS BAMBAS</v>
          </cell>
          <cell r="I5379">
            <v>133004</v>
          </cell>
          <cell r="J5379" t="str">
            <v>REPUESTO</v>
          </cell>
          <cell r="K5379" t="str">
            <v>FILTRO PAPEL DE COMBUSTIBLE</v>
          </cell>
          <cell r="L5379">
            <v>1</v>
          </cell>
          <cell r="M5379" t="str">
            <v>UNID.</v>
          </cell>
          <cell r="N5379" t="str">
            <v>TRACTO</v>
          </cell>
          <cell r="O5379">
            <v>0</v>
          </cell>
          <cell r="P5379" t="str">
            <v>M8</v>
          </cell>
          <cell r="Q5379" t="str">
            <v>J1</v>
          </cell>
          <cell r="R5379" t="str">
            <v>J8</v>
          </cell>
          <cell r="S5379" t="str">
            <v>PENDIENTE</v>
          </cell>
          <cell r="T5379">
            <v>0</v>
          </cell>
          <cell r="U5379" t="str">
            <v>VARILLAS GAGO  OSCAR ALBERTO</v>
          </cell>
          <cell r="V5379" t="str">
            <v>FLOREZ CONDORI  JOSE WILLIANS</v>
          </cell>
        </row>
        <row r="5380">
          <cell r="A5380">
            <v>5379</v>
          </cell>
          <cell r="B5380">
            <v>42789</v>
          </cell>
          <cell r="C5380" t="str">
            <v>FEBRERO</v>
          </cell>
          <cell r="D5380" t="str">
            <v>2017</v>
          </cell>
          <cell r="E5380">
            <v>1089</v>
          </cell>
          <cell r="F5380" t="str">
            <v>D6F-903</v>
          </cell>
          <cell r="G5380" t="str">
            <v>B8K-997</v>
          </cell>
          <cell r="H5380" t="str">
            <v>LAS BAMBAS</v>
          </cell>
          <cell r="I5380">
            <v>228494</v>
          </cell>
          <cell r="J5380" t="str">
            <v>REPUESTO</v>
          </cell>
          <cell r="K5380" t="str">
            <v>FOCO H3 12V</v>
          </cell>
          <cell r="L5380">
            <v>1</v>
          </cell>
          <cell r="M5380" t="str">
            <v>UNID.</v>
          </cell>
          <cell r="N5380" t="str">
            <v>TRACTO</v>
          </cell>
          <cell r="O5380">
            <v>0</v>
          </cell>
          <cell r="P5380" t="str">
            <v>E2</v>
          </cell>
          <cell r="Q5380" t="str">
            <v>J1</v>
          </cell>
          <cell r="R5380" t="str">
            <v>J8</v>
          </cell>
          <cell r="S5380" t="str">
            <v>PENDIENTE</v>
          </cell>
          <cell r="T5380">
            <v>0</v>
          </cell>
          <cell r="U5380" t="str">
            <v>YUCA BELLIDO BORIS YERSY</v>
          </cell>
          <cell r="V5380" t="str">
            <v>FLOREZ CONDORI  JOSE WILLIANS</v>
          </cell>
        </row>
        <row r="5381">
          <cell r="A5381">
            <v>5380</v>
          </cell>
          <cell r="B5381">
            <v>42789</v>
          </cell>
          <cell r="C5381" t="str">
            <v>FEBRERO</v>
          </cell>
          <cell r="D5381" t="str">
            <v>2017</v>
          </cell>
          <cell r="E5381">
            <v>1092</v>
          </cell>
          <cell r="F5381" t="str">
            <v>D3S-767</v>
          </cell>
          <cell r="G5381" t="str">
            <v>B8L-973</v>
          </cell>
          <cell r="H5381" t="str">
            <v>LAS BAMBAS</v>
          </cell>
          <cell r="I5381">
            <v>194792</v>
          </cell>
          <cell r="J5381" t="str">
            <v>REPUESTO</v>
          </cell>
          <cell r="K5381" t="str">
            <v>LLANTAS IDY REENCAUCHADAS</v>
          </cell>
          <cell r="L5381">
            <v>4</v>
          </cell>
          <cell r="M5381" t="str">
            <v>UNID.</v>
          </cell>
          <cell r="N5381" t="str">
            <v>TRACTO</v>
          </cell>
          <cell r="O5381">
            <v>0</v>
          </cell>
          <cell r="P5381" t="str">
            <v>N2</v>
          </cell>
          <cell r="Q5381" t="str">
            <v>J1</v>
          </cell>
          <cell r="R5381" t="str">
            <v>J8</v>
          </cell>
          <cell r="S5381" t="str">
            <v>PENDIENTE</v>
          </cell>
          <cell r="T5381">
            <v>0</v>
          </cell>
          <cell r="U5381" t="str">
            <v>MAMANI LARICO  EDUARDO ALVARO</v>
          </cell>
          <cell r="V5381" t="str">
            <v>FLOREZ CONDORI  JOSE WILLIANS</v>
          </cell>
        </row>
        <row r="5382">
          <cell r="A5382">
            <v>5381</v>
          </cell>
          <cell r="B5382">
            <v>42789</v>
          </cell>
          <cell r="C5382" t="str">
            <v>FEBRERO</v>
          </cell>
          <cell r="D5382" t="str">
            <v>2017</v>
          </cell>
          <cell r="E5382">
            <v>1092</v>
          </cell>
          <cell r="F5382" t="str">
            <v>D3S-767</v>
          </cell>
          <cell r="G5382" t="str">
            <v>B8L-973</v>
          </cell>
          <cell r="H5382" t="str">
            <v>LAS BAMBAS</v>
          </cell>
          <cell r="I5382">
            <v>194792</v>
          </cell>
          <cell r="J5382" t="str">
            <v>REPUESTO</v>
          </cell>
          <cell r="K5382" t="str">
            <v>NEBLINERO</v>
          </cell>
          <cell r="L5382">
            <v>1</v>
          </cell>
          <cell r="M5382" t="str">
            <v>UNID.</v>
          </cell>
          <cell r="N5382" t="str">
            <v>TRACTO</v>
          </cell>
          <cell r="O5382">
            <v>0</v>
          </cell>
          <cell r="P5382" t="str">
            <v>E3</v>
          </cell>
          <cell r="Q5382" t="str">
            <v>J1</v>
          </cell>
          <cell r="R5382" t="str">
            <v>J8</v>
          </cell>
          <cell r="S5382" t="str">
            <v>PENDIENTE</v>
          </cell>
          <cell r="T5382">
            <v>0</v>
          </cell>
          <cell r="U5382" t="str">
            <v>CONDORI CHURATA ALEX</v>
          </cell>
          <cell r="V5382" t="str">
            <v>FLOREZ CONDORI  JOSE WILLIANS</v>
          </cell>
        </row>
        <row r="5383">
          <cell r="A5383">
            <v>5382</v>
          </cell>
          <cell r="B5383">
            <v>42789</v>
          </cell>
          <cell r="C5383" t="str">
            <v>FEBRERO</v>
          </cell>
          <cell r="D5383" t="str">
            <v>2017</v>
          </cell>
          <cell r="E5383">
            <v>1084</v>
          </cell>
          <cell r="F5383" t="str">
            <v>ABQ-704</v>
          </cell>
          <cell r="G5383" t="str">
            <v>TBB-995</v>
          </cell>
          <cell r="H5383" t="str">
            <v>LAS BAMBAS</v>
          </cell>
          <cell r="I5383">
            <v>120669</v>
          </cell>
          <cell r="J5383" t="str">
            <v>REPUESTO</v>
          </cell>
          <cell r="K5383" t="str">
            <v>NEBLINERO</v>
          </cell>
          <cell r="L5383">
            <v>1</v>
          </cell>
          <cell r="M5383" t="str">
            <v>UNID.</v>
          </cell>
          <cell r="N5383" t="str">
            <v>TRACTO</v>
          </cell>
          <cell r="O5383">
            <v>0</v>
          </cell>
          <cell r="P5383" t="str">
            <v>E3</v>
          </cell>
          <cell r="Q5383" t="str">
            <v>J1</v>
          </cell>
          <cell r="R5383" t="str">
            <v>J8</v>
          </cell>
          <cell r="S5383" t="str">
            <v>PENDIENTE</v>
          </cell>
          <cell r="T5383">
            <v>0</v>
          </cell>
          <cell r="U5383" t="str">
            <v>CONDORI CHURATA ALEX</v>
          </cell>
          <cell r="V5383" t="str">
            <v>FLOREZ CONDORI  JOSE WILLIANS</v>
          </cell>
        </row>
        <row r="5384">
          <cell r="A5384">
            <v>5383</v>
          </cell>
          <cell r="B5384">
            <v>42789</v>
          </cell>
          <cell r="C5384" t="str">
            <v>FEBRERO</v>
          </cell>
          <cell r="D5384" t="str">
            <v>2017</v>
          </cell>
          <cell r="E5384">
            <v>1084</v>
          </cell>
          <cell r="F5384" t="str">
            <v>ABQ-704</v>
          </cell>
          <cell r="G5384" t="str">
            <v>TBB-995</v>
          </cell>
          <cell r="H5384" t="str">
            <v>LAS BAMBAS</v>
          </cell>
          <cell r="I5384">
            <v>120669</v>
          </cell>
          <cell r="J5384" t="str">
            <v>REPUESTO</v>
          </cell>
          <cell r="K5384" t="str">
            <v>AGUA LIMPIA PARABRISA</v>
          </cell>
          <cell r="L5384">
            <v>1</v>
          </cell>
          <cell r="M5384" t="str">
            <v>GLNS.</v>
          </cell>
          <cell r="N5384" t="str">
            <v>TRACTO</v>
          </cell>
          <cell r="O5384">
            <v>0</v>
          </cell>
          <cell r="P5384" t="str">
            <v>M10</v>
          </cell>
          <cell r="Q5384" t="str">
            <v>J1</v>
          </cell>
          <cell r="R5384" t="str">
            <v>J8</v>
          </cell>
          <cell r="S5384" t="str">
            <v>PENDIENTE</v>
          </cell>
          <cell r="T5384">
            <v>0</v>
          </cell>
          <cell r="U5384" t="str">
            <v>MAMANI SANTOS BLADIMIR</v>
          </cell>
          <cell r="V5384" t="str">
            <v>FLOREZ CONDORI  JOSE WILLIANS</v>
          </cell>
        </row>
        <row r="5385">
          <cell r="A5385">
            <v>5384</v>
          </cell>
          <cell r="B5385">
            <v>42789</v>
          </cell>
          <cell r="C5385" t="str">
            <v>FEBRERO</v>
          </cell>
          <cell r="D5385" t="str">
            <v>2017</v>
          </cell>
          <cell r="E5385">
            <v>1094</v>
          </cell>
          <cell r="F5385" t="str">
            <v>A5O-859</v>
          </cell>
          <cell r="G5385" t="str">
            <v>B6Y-971</v>
          </cell>
          <cell r="H5385" t="str">
            <v>LAS BAMBAS</v>
          </cell>
          <cell r="I5385">
            <v>121561</v>
          </cell>
          <cell r="J5385" t="str">
            <v>REPUESTO</v>
          </cell>
          <cell r="K5385" t="str">
            <v>FARO DELANTERO</v>
          </cell>
          <cell r="L5385">
            <v>1</v>
          </cell>
          <cell r="M5385" t="str">
            <v>UNID.</v>
          </cell>
          <cell r="N5385" t="str">
            <v>TRACTO</v>
          </cell>
          <cell r="O5385">
            <v>0</v>
          </cell>
          <cell r="P5385" t="str">
            <v>E2</v>
          </cell>
          <cell r="Q5385" t="str">
            <v>J1</v>
          </cell>
          <cell r="R5385" t="str">
            <v>J8</v>
          </cell>
          <cell r="S5385" t="str">
            <v>PENDIENTE</v>
          </cell>
          <cell r="T5385">
            <v>0</v>
          </cell>
          <cell r="U5385" t="str">
            <v>YUCA BELLIDO BORIS YERSY</v>
          </cell>
          <cell r="V5385" t="str">
            <v>FLOREZ CONDORI  JOSE WILLIANS</v>
          </cell>
        </row>
        <row r="5386">
          <cell r="A5386">
            <v>5385</v>
          </cell>
          <cell r="B5386">
            <v>42789</v>
          </cell>
          <cell r="C5386" t="str">
            <v>FEBRERO</v>
          </cell>
          <cell r="D5386" t="str">
            <v>2017</v>
          </cell>
          <cell r="E5386">
            <v>1096</v>
          </cell>
          <cell r="F5386" t="str">
            <v>D7V-714</v>
          </cell>
          <cell r="G5386" t="str">
            <v>F7M-971</v>
          </cell>
          <cell r="H5386" t="str">
            <v>LAS BAMBAS</v>
          </cell>
          <cell r="I5386">
            <v>59128</v>
          </cell>
          <cell r="J5386" t="str">
            <v>REPUESTO</v>
          </cell>
          <cell r="K5386" t="str">
            <v>AGUA LIMPIA PARABRISA</v>
          </cell>
          <cell r="L5386">
            <v>1</v>
          </cell>
          <cell r="M5386" t="str">
            <v>GLNS.</v>
          </cell>
          <cell r="N5386" t="str">
            <v>TRACTO</v>
          </cell>
          <cell r="O5386">
            <v>0</v>
          </cell>
          <cell r="P5386" t="str">
            <v>M10</v>
          </cell>
          <cell r="Q5386" t="str">
            <v>J1</v>
          </cell>
          <cell r="R5386" t="str">
            <v>J8</v>
          </cell>
          <cell r="S5386" t="str">
            <v>PENDIENTE</v>
          </cell>
          <cell r="T5386">
            <v>0</v>
          </cell>
          <cell r="U5386" t="str">
            <v>MAMANI SANTOS BLADIMIR</v>
          </cell>
          <cell r="V5386" t="str">
            <v>FLOREZ CONDORI  JOSE WILLIANS</v>
          </cell>
        </row>
        <row r="5387">
          <cell r="A5387">
            <v>5386</v>
          </cell>
          <cell r="B5387">
            <v>42789</v>
          </cell>
          <cell r="C5387" t="str">
            <v>FEBRERO</v>
          </cell>
          <cell r="D5387" t="str">
            <v>2017</v>
          </cell>
          <cell r="E5387">
            <v>1096</v>
          </cell>
          <cell r="F5387" t="str">
            <v>D7V-714</v>
          </cell>
          <cell r="G5387" t="str">
            <v>F7M-971</v>
          </cell>
          <cell r="H5387" t="str">
            <v>LAS BAMBAS</v>
          </cell>
          <cell r="I5387">
            <v>59128</v>
          </cell>
          <cell r="J5387" t="str">
            <v>REPUESTO</v>
          </cell>
          <cell r="K5387" t="str">
            <v>ACOPLE 3 ENTRADAS</v>
          </cell>
          <cell r="L5387">
            <v>1</v>
          </cell>
          <cell r="M5387" t="str">
            <v>UNID.</v>
          </cell>
          <cell r="N5387" t="str">
            <v>CISTERNA</v>
          </cell>
          <cell r="O5387">
            <v>0</v>
          </cell>
          <cell r="P5387" t="str">
            <v>M10</v>
          </cell>
          <cell r="Q5387" t="str">
            <v>J1</v>
          </cell>
          <cell r="R5387" t="str">
            <v>J8</v>
          </cell>
          <cell r="S5387" t="str">
            <v>PENDIENTE</v>
          </cell>
          <cell r="T5387">
            <v>0</v>
          </cell>
          <cell r="U5387" t="str">
            <v>MAMANI SANTOS BLADIMIR</v>
          </cell>
          <cell r="V5387" t="str">
            <v>FLOREZ CONDORI  JOSE WILLIANS</v>
          </cell>
        </row>
        <row r="5388">
          <cell r="A5388">
            <v>5387</v>
          </cell>
          <cell r="B5388">
            <v>42789</v>
          </cell>
          <cell r="C5388" t="str">
            <v>FEBRERO</v>
          </cell>
          <cell r="D5388" t="str">
            <v>2017</v>
          </cell>
          <cell r="E5388">
            <v>1090</v>
          </cell>
          <cell r="F5388" t="str">
            <v>AKW-860</v>
          </cell>
          <cell r="G5388" t="str">
            <v>F5Z-991</v>
          </cell>
          <cell r="H5388" t="str">
            <v>LAS BAMBAS</v>
          </cell>
          <cell r="I5388">
            <v>48324</v>
          </cell>
          <cell r="J5388" t="str">
            <v>REPUESTO</v>
          </cell>
          <cell r="K5388" t="str">
            <v>AGUA LIMPIA PARABRISA</v>
          </cell>
          <cell r="L5388">
            <v>1</v>
          </cell>
          <cell r="M5388" t="str">
            <v>GLNS.</v>
          </cell>
          <cell r="N5388" t="str">
            <v>TRACTO</v>
          </cell>
          <cell r="O5388">
            <v>0</v>
          </cell>
          <cell r="P5388" t="str">
            <v>M5</v>
          </cell>
          <cell r="Q5388" t="str">
            <v>J1</v>
          </cell>
          <cell r="R5388" t="str">
            <v>J8</v>
          </cell>
          <cell r="S5388" t="str">
            <v>PENDIENTE</v>
          </cell>
          <cell r="T5388">
            <v>0</v>
          </cell>
          <cell r="U5388" t="str">
            <v>LOPEZ RUIZ WILBERTO</v>
          </cell>
          <cell r="V5388" t="str">
            <v>FLOREZ CONDORI  JOSE WILLIANS</v>
          </cell>
        </row>
        <row r="5389">
          <cell r="A5389">
            <v>5388</v>
          </cell>
          <cell r="B5389">
            <v>42789</v>
          </cell>
          <cell r="C5389" t="str">
            <v>FEBRERO</v>
          </cell>
          <cell r="D5389" t="str">
            <v>2017</v>
          </cell>
          <cell r="E5389">
            <v>1082</v>
          </cell>
          <cell r="F5389" t="str">
            <v>ABR-741</v>
          </cell>
          <cell r="G5389" t="str">
            <v>T3N-974</v>
          </cell>
          <cell r="H5389" t="str">
            <v>LAS BAMBAS</v>
          </cell>
          <cell r="I5389">
            <v>119141</v>
          </cell>
          <cell r="J5389" t="str">
            <v>REPUESTO</v>
          </cell>
          <cell r="K5389" t="str">
            <v>KIT DE VALVULA PULPO</v>
          </cell>
          <cell r="L5389">
            <v>1</v>
          </cell>
          <cell r="M5389" t="str">
            <v>UNID.</v>
          </cell>
          <cell r="N5389" t="str">
            <v>CISTERNA</v>
          </cell>
          <cell r="O5389">
            <v>0</v>
          </cell>
          <cell r="P5389" t="str">
            <v>M8</v>
          </cell>
          <cell r="Q5389" t="str">
            <v>J1</v>
          </cell>
          <cell r="R5389" t="str">
            <v>J8</v>
          </cell>
          <cell r="S5389" t="str">
            <v>PENDIENTE</v>
          </cell>
          <cell r="T5389">
            <v>0</v>
          </cell>
          <cell r="U5389" t="str">
            <v>VARILLAS GAGO  OSCAR ALBERTO</v>
          </cell>
          <cell r="V5389" t="str">
            <v>FLOREZ CONDORI  JOSE WILLIANS</v>
          </cell>
        </row>
        <row r="5390">
          <cell r="A5390">
            <v>5389</v>
          </cell>
          <cell r="B5390">
            <v>42789</v>
          </cell>
          <cell r="C5390" t="str">
            <v>FEBRERO</v>
          </cell>
          <cell r="D5390" t="str">
            <v>2017</v>
          </cell>
          <cell r="E5390">
            <v>1082</v>
          </cell>
          <cell r="F5390" t="str">
            <v>ABR-741</v>
          </cell>
          <cell r="G5390" t="str">
            <v>T3N-974</v>
          </cell>
          <cell r="H5390" t="str">
            <v>LAS BAMBAS</v>
          </cell>
          <cell r="I5390">
            <v>119141</v>
          </cell>
          <cell r="J5390" t="str">
            <v>REPUESTO</v>
          </cell>
          <cell r="K5390" t="str">
            <v xml:space="preserve">MANGUERA DE 1/4 </v>
          </cell>
          <cell r="L5390">
            <v>1</v>
          </cell>
          <cell r="M5390" t="str">
            <v>M</v>
          </cell>
          <cell r="N5390" t="str">
            <v>CISTERNA</v>
          </cell>
          <cell r="O5390">
            <v>0</v>
          </cell>
          <cell r="P5390" t="str">
            <v>M8</v>
          </cell>
          <cell r="Q5390" t="str">
            <v>J1</v>
          </cell>
          <cell r="R5390" t="str">
            <v>J8</v>
          </cell>
          <cell r="S5390" t="str">
            <v>PENDIENTE</v>
          </cell>
          <cell r="T5390">
            <v>0</v>
          </cell>
          <cell r="U5390" t="str">
            <v>VARILLAS GAGO  OSCAR ALBERTO</v>
          </cell>
          <cell r="V5390" t="str">
            <v>FLOREZ CONDORI  JOSE WILLIANS</v>
          </cell>
        </row>
        <row r="5391">
          <cell r="A5391">
            <v>5390</v>
          </cell>
          <cell r="B5391">
            <v>42789</v>
          </cell>
          <cell r="C5391" t="str">
            <v>FEBRERO</v>
          </cell>
          <cell r="D5391" t="str">
            <v>2017</v>
          </cell>
          <cell r="E5391">
            <v>1082</v>
          </cell>
          <cell r="F5391" t="str">
            <v>ABR-741</v>
          </cell>
          <cell r="G5391" t="str">
            <v>T3N-974</v>
          </cell>
          <cell r="H5391" t="str">
            <v>LAS BAMBAS</v>
          </cell>
          <cell r="I5391">
            <v>119141</v>
          </cell>
          <cell r="J5391" t="str">
            <v>REPUESTO</v>
          </cell>
          <cell r="K5391" t="str">
            <v>TORNAMESA REPARADA</v>
          </cell>
          <cell r="L5391">
            <v>1</v>
          </cell>
          <cell r="M5391" t="str">
            <v>UNID.</v>
          </cell>
          <cell r="N5391" t="str">
            <v>CISTERNA</v>
          </cell>
          <cell r="O5391">
            <v>0</v>
          </cell>
          <cell r="P5391" t="str">
            <v>M8</v>
          </cell>
          <cell r="Q5391" t="str">
            <v>J1</v>
          </cell>
          <cell r="R5391" t="str">
            <v>J8</v>
          </cell>
          <cell r="S5391" t="str">
            <v>PENDIENTE</v>
          </cell>
          <cell r="T5391">
            <v>0</v>
          </cell>
          <cell r="U5391" t="str">
            <v>VARILLAS GAGO  OSCAR ALBERTO</v>
          </cell>
          <cell r="V5391" t="str">
            <v>FLOREZ CONDORI  JOSE WILLIANS</v>
          </cell>
        </row>
        <row r="5392">
          <cell r="A5392">
            <v>5391</v>
          </cell>
          <cell r="B5392">
            <v>42789</v>
          </cell>
          <cell r="C5392" t="str">
            <v>FEBRERO</v>
          </cell>
          <cell r="D5392" t="str">
            <v>2017</v>
          </cell>
          <cell r="E5392">
            <v>1095</v>
          </cell>
          <cell r="F5392" t="str">
            <v>C5R-892</v>
          </cell>
          <cell r="G5392" t="str">
            <v>A0T-983</v>
          </cell>
          <cell r="H5392" t="str">
            <v>LAS BAMBAS</v>
          </cell>
          <cell r="I5392">
            <v>234646</v>
          </cell>
          <cell r="J5392" t="str">
            <v>REPUESTO</v>
          </cell>
          <cell r="K5392" t="str">
            <v>FARO LATERAL RECTANGULAR AMBAR</v>
          </cell>
          <cell r="L5392">
            <v>1</v>
          </cell>
          <cell r="M5392" t="str">
            <v>UNID.</v>
          </cell>
          <cell r="N5392" t="str">
            <v>CISTERNA</v>
          </cell>
          <cell r="O5392">
            <v>0</v>
          </cell>
          <cell r="P5392" t="str">
            <v>E2</v>
          </cell>
          <cell r="Q5392" t="str">
            <v>J1</v>
          </cell>
          <cell r="R5392" t="str">
            <v>J8</v>
          </cell>
          <cell r="S5392" t="str">
            <v>PENDIENTE</v>
          </cell>
          <cell r="T5392">
            <v>0</v>
          </cell>
          <cell r="U5392" t="str">
            <v>YUCA BELLIDO BORIS YERSY</v>
          </cell>
          <cell r="V5392" t="str">
            <v>FLOREZ CONDORI  JOSE WILLIANS</v>
          </cell>
        </row>
        <row r="5393">
          <cell r="A5393">
            <v>5392</v>
          </cell>
          <cell r="B5393">
            <v>42789</v>
          </cell>
          <cell r="C5393" t="str">
            <v>FEBRERO</v>
          </cell>
          <cell r="D5393" t="str">
            <v>2017</v>
          </cell>
          <cell r="E5393">
            <v>1095</v>
          </cell>
          <cell r="F5393" t="str">
            <v>C5R-892</v>
          </cell>
          <cell r="G5393" t="str">
            <v>A0T-983</v>
          </cell>
          <cell r="H5393" t="str">
            <v>LAS BAMBAS</v>
          </cell>
          <cell r="I5393">
            <v>234646</v>
          </cell>
          <cell r="J5393" t="str">
            <v>REPUESTO</v>
          </cell>
          <cell r="K5393" t="str">
            <v>MANGUERA CORRUGADA 1/4</v>
          </cell>
          <cell r="L5393">
            <v>2</v>
          </cell>
          <cell r="M5393" t="str">
            <v>M</v>
          </cell>
          <cell r="N5393" t="str">
            <v>CISTERNA</v>
          </cell>
          <cell r="O5393">
            <v>0</v>
          </cell>
          <cell r="P5393" t="str">
            <v>E2</v>
          </cell>
          <cell r="Q5393" t="str">
            <v>J1</v>
          </cell>
          <cell r="R5393" t="str">
            <v>J8</v>
          </cell>
          <cell r="S5393" t="str">
            <v>PENDIENTE</v>
          </cell>
          <cell r="T5393">
            <v>0</v>
          </cell>
          <cell r="U5393" t="str">
            <v>YUCA BELLIDO BORIS YERSY</v>
          </cell>
          <cell r="V5393" t="str">
            <v>FLOREZ CONDORI  JOSE WILLIANS</v>
          </cell>
        </row>
        <row r="5394">
          <cell r="A5394">
            <v>5393</v>
          </cell>
          <cell r="B5394">
            <v>42789</v>
          </cell>
          <cell r="C5394" t="str">
            <v>FEBRERO</v>
          </cell>
          <cell r="D5394" t="str">
            <v>2017</v>
          </cell>
          <cell r="E5394">
            <v>1095</v>
          </cell>
          <cell r="F5394" t="str">
            <v>C5R-892</v>
          </cell>
          <cell r="G5394" t="str">
            <v>A0T-983</v>
          </cell>
          <cell r="H5394" t="str">
            <v>LAS BAMBAS</v>
          </cell>
          <cell r="I5394">
            <v>234646</v>
          </cell>
          <cell r="J5394" t="str">
            <v>REPUESTO</v>
          </cell>
          <cell r="K5394" t="str">
            <v>PRECINTOS</v>
          </cell>
          <cell r="L5394">
            <v>10</v>
          </cell>
          <cell r="M5394" t="str">
            <v>UNID.</v>
          </cell>
          <cell r="N5394" t="str">
            <v>CISTERNA</v>
          </cell>
          <cell r="O5394">
            <v>0</v>
          </cell>
          <cell r="P5394" t="str">
            <v>E2</v>
          </cell>
          <cell r="Q5394" t="str">
            <v>J1</v>
          </cell>
          <cell r="R5394" t="str">
            <v>J8</v>
          </cell>
          <cell r="S5394" t="str">
            <v>PENDIENTE</v>
          </cell>
          <cell r="T5394">
            <v>0</v>
          </cell>
          <cell r="U5394" t="str">
            <v>YUCA BELLIDO BORIS YERSY</v>
          </cell>
          <cell r="V5394" t="str">
            <v>FLOREZ CONDORI  JOSE WILLIANS</v>
          </cell>
        </row>
        <row r="5395">
          <cell r="A5395">
            <v>5394</v>
          </cell>
          <cell r="B5395">
            <v>42789</v>
          </cell>
          <cell r="C5395" t="str">
            <v>FEBRERO</v>
          </cell>
          <cell r="D5395" t="str">
            <v>2017</v>
          </cell>
          <cell r="E5395">
            <v>1095</v>
          </cell>
          <cell r="F5395" t="str">
            <v>C5R-892</v>
          </cell>
          <cell r="G5395" t="str">
            <v>A0T-983</v>
          </cell>
          <cell r="H5395" t="str">
            <v>LAS BAMBAS</v>
          </cell>
          <cell r="I5395">
            <v>234646</v>
          </cell>
          <cell r="J5395" t="str">
            <v>REPUESTO</v>
          </cell>
          <cell r="K5395" t="str">
            <v>FOCO 2 CONTACTO 12V</v>
          </cell>
          <cell r="L5395">
            <v>1</v>
          </cell>
          <cell r="M5395" t="str">
            <v>UNID.</v>
          </cell>
          <cell r="N5395" t="str">
            <v>TRACTO</v>
          </cell>
          <cell r="O5395">
            <v>0</v>
          </cell>
          <cell r="P5395" t="str">
            <v>E2</v>
          </cell>
          <cell r="Q5395" t="str">
            <v>J1</v>
          </cell>
          <cell r="R5395" t="str">
            <v>J8</v>
          </cell>
          <cell r="S5395" t="str">
            <v>PENDIENTE</v>
          </cell>
          <cell r="T5395">
            <v>0</v>
          </cell>
          <cell r="U5395" t="str">
            <v>YUCA BELLIDO BORIS YERSY</v>
          </cell>
          <cell r="V5395" t="str">
            <v>FLOREZ CONDORI  JOSE WILLIANS</v>
          </cell>
        </row>
        <row r="5396">
          <cell r="A5396">
            <v>5395</v>
          </cell>
          <cell r="B5396">
            <v>42789</v>
          </cell>
          <cell r="C5396" t="str">
            <v>FEBRERO</v>
          </cell>
          <cell r="D5396" t="str">
            <v>2017</v>
          </cell>
          <cell r="E5396">
            <v>1097</v>
          </cell>
          <cell r="F5396" t="str">
            <v>ABQ-780</v>
          </cell>
          <cell r="G5396" t="str">
            <v>C9S-990</v>
          </cell>
          <cell r="H5396" t="str">
            <v>LAS BAMBAS</v>
          </cell>
          <cell r="I5396">
            <v>124597</v>
          </cell>
          <cell r="J5396" t="str">
            <v>REPUESTO</v>
          </cell>
          <cell r="K5396" t="str">
            <v>LLAVE DE PASO DE COMBUSTIBLE(DERECHA - IZQUIERDA)</v>
          </cell>
          <cell r="L5396">
            <v>2</v>
          </cell>
          <cell r="M5396" t="str">
            <v>UNID.</v>
          </cell>
          <cell r="N5396" t="str">
            <v>TRACTO</v>
          </cell>
          <cell r="O5396">
            <v>0</v>
          </cell>
          <cell r="P5396" t="str">
            <v>M5</v>
          </cell>
          <cell r="Q5396" t="str">
            <v>J1</v>
          </cell>
          <cell r="R5396" t="str">
            <v>J8</v>
          </cell>
          <cell r="S5396" t="str">
            <v>PENDIENTE</v>
          </cell>
          <cell r="T5396">
            <v>0</v>
          </cell>
          <cell r="U5396" t="str">
            <v>LOPEZ RUIZ WILBERTO</v>
          </cell>
          <cell r="V5396" t="str">
            <v>FLOREZ CONDORI  JOSE WILLIANS</v>
          </cell>
        </row>
        <row r="5397">
          <cell r="A5397">
            <v>5396</v>
          </cell>
          <cell r="B5397">
            <v>42789</v>
          </cell>
          <cell r="C5397" t="str">
            <v>FEBRERO</v>
          </cell>
          <cell r="D5397" t="str">
            <v>2017</v>
          </cell>
          <cell r="E5397">
            <v>1097</v>
          </cell>
          <cell r="F5397" t="str">
            <v>ABQ-780</v>
          </cell>
          <cell r="G5397" t="str">
            <v>C9S-990</v>
          </cell>
          <cell r="H5397" t="str">
            <v>LAS BAMBAS</v>
          </cell>
          <cell r="I5397">
            <v>124597</v>
          </cell>
          <cell r="J5397" t="str">
            <v>REPUESTO</v>
          </cell>
          <cell r="K5397" t="str">
            <v>LIQUIDO LIMPIAPARABRISAS</v>
          </cell>
          <cell r="L5397">
            <v>1</v>
          </cell>
          <cell r="M5397" t="str">
            <v>GLNS.</v>
          </cell>
          <cell r="N5397" t="str">
            <v>TRACTO</v>
          </cell>
          <cell r="O5397">
            <v>0</v>
          </cell>
          <cell r="P5397" t="str">
            <v>M5</v>
          </cell>
          <cell r="Q5397" t="str">
            <v>J1</v>
          </cell>
          <cell r="R5397" t="str">
            <v>J8</v>
          </cell>
          <cell r="S5397" t="str">
            <v>PENDIENTE</v>
          </cell>
          <cell r="T5397">
            <v>0</v>
          </cell>
          <cell r="U5397" t="str">
            <v>LOPEZ RUIZ WILBERTO</v>
          </cell>
          <cell r="V5397" t="str">
            <v>FLOREZ CONDORI  JOSE WILLIANS</v>
          </cell>
        </row>
        <row r="5398">
          <cell r="A5398">
            <v>5397</v>
          </cell>
          <cell r="B5398">
            <v>42789</v>
          </cell>
          <cell r="C5398" t="str">
            <v>FEBRERO</v>
          </cell>
          <cell r="D5398" t="str">
            <v>2017</v>
          </cell>
          <cell r="E5398">
            <v>1101</v>
          </cell>
          <cell r="F5398" t="str">
            <v>AAN-801</v>
          </cell>
          <cell r="G5398" t="str">
            <v>CAMIONETA</v>
          </cell>
          <cell r="H5398" t="str">
            <v>LAS BAMBAS</v>
          </cell>
          <cell r="I5398">
            <v>128268</v>
          </cell>
          <cell r="J5398" t="str">
            <v>REPUESTO</v>
          </cell>
          <cell r="K5398" t="str">
            <v>FILTRO DE COMBUSTIBLE</v>
          </cell>
          <cell r="L5398">
            <v>1</v>
          </cell>
          <cell r="M5398" t="str">
            <v>UNID.</v>
          </cell>
          <cell r="N5398" t="str">
            <v>CAMIONETA</v>
          </cell>
          <cell r="O5398">
            <v>0</v>
          </cell>
          <cell r="P5398" t="str">
            <v>M6</v>
          </cell>
          <cell r="Q5398" t="str">
            <v>J1</v>
          </cell>
          <cell r="R5398" t="str">
            <v>J8</v>
          </cell>
          <cell r="S5398" t="str">
            <v>PENDIENTE</v>
          </cell>
          <cell r="T5398">
            <v>0</v>
          </cell>
          <cell r="U5398" t="str">
            <v>PARI VENTURA  EDSON ORLANDO</v>
          </cell>
          <cell r="V5398" t="str">
            <v>FLOREZ CONDORI  JOSE WILLIANS</v>
          </cell>
        </row>
        <row r="5399">
          <cell r="A5399">
            <v>5398</v>
          </cell>
          <cell r="B5399">
            <v>42789</v>
          </cell>
          <cell r="C5399" t="str">
            <v>FEBRERO</v>
          </cell>
          <cell r="D5399" t="str">
            <v>2017</v>
          </cell>
          <cell r="E5399">
            <v>1101</v>
          </cell>
          <cell r="F5399" t="str">
            <v>AAN-801</v>
          </cell>
          <cell r="G5399" t="str">
            <v>CAMIONETA</v>
          </cell>
          <cell r="H5399" t="str">
            <v>LAS BAMBAS</v>
          </cell>
          <cell r="I5399">
            <v>128268</v>
          </cell>
          <cell r="J5399" t="str">
            <v>REPUESTO</v>
          </cell>
          <cell r="K5399" t="str">
            <v>FILTRO DE ACEITE</v>
          </cell>
          <cell r="L5399">
            <v>1</v>
          </cell>
          <cell r="M5399" t="str">
            <v>UNID.</v>
          </cell>
          <cell r="N5399" t="str">
            <v>CAMIONETA</v>
          </cell>
          <cell r="O5399">
            <v>0</v>
          </cell>
          <cell r="P5399" t="str">
            <v>M6</v>
          </cell>
          <cell r="Q5399" t="str">
            <v>J1</v>
          </cell>
          <cell r="R5399" t="str">
            <v>J8</v>
          </cell>
          <cell r="S5399" t="str">
            <v>PENDIENTE</v>
          </cell>
          <cell r="T5399">
            <v>0</v>
          </cell>
          <cell r="U5399" t="str">
            <v>PARI VENTURA  EDSON ORLANDO</v>
          </cell>
          <cell r="V5399" t="str">
            <v>FLOREZ CONDORI  JOSE WILLIANS</v>
          </cell>
        </row>
        <row r="5400">
          <cell r="A5400">
            <v>5399</v>
          </cell>
          <cell r="B5400">
            <v>42789</v>
          </cell>
          <cell r="C5400" t="str">
            <v>FEBRERO</v>
          </cell>
          <cell r="D5400" t="str">
            <v>2017</v>
          </cell>
          <cell r="E5400">
            <v>1101</v>
          </cell>
          <cell r="F5400" t="str">
            <v>AAN-801</v>
          </cell>
          <cell r="G5400" t="str">
            <v>CAMIONETA</v>
          </cell>
          <cell r="H5400" t="str">
            <v>LAS BAMBAS</v>
          </cell>
          <cell r="I5400">
            <v>128268</v>
          </cell>
          <cell r="J5400" t="str">
            <v>REPUESTO</v>
          </cell>
          <cell r="K5400" t="str">
            <v>FILTRO DE AIRE</v>
          </cell>
          <cell r="L5400">
            <v>1</v>
          </cell>
          <cell r="M5400" t="str">
            <v>UNID.</v>
          </cell>
          <cell r="N5400" t="str">
            <v>CAMIONETA</v>
          </cell>
          <cell r="O5400">
            <v>0</v>
          </cell>
          <cell r="P5400" t="str">
            <v>M6</v>
          </cell>
          <cell r="Q5400" t="str">
            <v>J1</v>
          </cell>
          <cell r="R5400" t="str">
            <v>J8</v>
          </cell>
          <cell r="S5400" t="str">
            <v>PENDIENTE</v>
          </cell>
          <cell r="T5400">
            <v>0</v>
          </cell>
          <cell r="U5400" t="str">
            <v>PARI VENTURA  EDSON ORLANDO</v>
          </cell>
          <cell r="V5400" t="str">
            <v>FLOREZ CONDORI  JOSE WILLIANS</v>
          </cell>
        </row>
        <row r="5401">
          <cell r="A5401">
            <v>5400</v>
          </cell>
          <cell r="B5401">
            <v>42789</v>
          </cell>
          <cell r="C5401" t="str">
            <v>FEBRERO</v>
          </cell>
          <cell r="D5401" t="str">
            <v>2017</v>
          </cell>
          <cell r="E5401">
            <v>1101</v>
          </cell>
          <cell r="F5401" t="str">
            <v>AAN-801</v>
          </cell>
          <cell r="G5401" t="str">
            <v>CAMIONETA</v>
          </cell>
          <cell r="H5401" t="str">
            <v>LAS BAMBAS</v>
          </cell>
          <cell r="I5401">
            <v>128268</v>
          </cell>
          <cell r="J5401" t="str">
            <v>REPUESTO</v>
          </cell>
          <cell r="K5401" t="str">
            <v>ACEITE DE  MOTOR 15W40</v>
          </cell>
          <cell r="L5401">
            <v>2</v>
          </cell>
          <cell r="M5401" t="str">
            <v>GLNS.</v>
          </cell>
          <cell r="N5401" t="str">
            <v>CAMIONETA</v>
          </cell>
          <cell r="O5401">
            <v>0</v>
          </cell>
          <cell r="P5401" t="str">
            <v>M6</v>
          </cell>
          <cell r="Q5401" t="str">
            <v>J1</v>
          </cell>
          <cell r="R5401" t="str">
            <v>J8</v>
          </cell>
          <cell r="S5401" t="str">
            <v>PENDIENTE</v>
          </cell>
          <cell r="T5401">
            <v>0</v>
          </cell>
          <cell r="U5401" t="str">
            <v>PARI VENTURA  EDSON ORLANDO</v>
          </cell>
          <cell r="V5401" t="str">
            <v>FLOREZ CONDORI  JOSE WILLIANS</v>
          </cell>
        </row>
        <row r="5402">
          <cell r="A5402">
            <v>5401</v>
          </cell>
          <cell r="B5402">
            <v>42789</v>
          </cell>
          <cell r="C5402" t="str">
            <v>FEBRERO</v>
          </cell>
          <cell r="D5402" t="str">
            <v>2017</v>
          </cell>
          <cell r="E5402">
            <v>1102</v>
          </cell>
          <cell r="F5402" t="str">
            <v>APG-726</v>
          </cell>
          <cell r="G5402" t="str">
            <v>CAMIONETA</v>
          </cell>
          <cell r="H5402" t="str">
            <v>LAS BAMBAS</v>
          </cell>
          <cell r="I5402">
            <v>15372</v>
          </cell>
          <cell r="J5402" t="str">
            <v>REPUESTO</v>
          </cell>
          <cell r="K5402" t="str">
            <v>FILTRO DE COMBUSTUBLE</v>
          </cell>
          <cell r="L5402">
            <v>1</v>
          </cell>
          <cell r="M5402" t="str">
            <v>UNID.</v>
          </cell>
          <cell r="N5402" t="str">
            <v>CAMIONETA</v>
          </cell>
          <cell r="O5402">
            <v>0</v>
          </cell>
          <cell r="P5402" t="str">
            <v>M6</v>
          </cell>
          <cell r="Q5402" t="str">
            <v>J1</v>
          </cell>
          <cell r="R5402" t="str">
            <v>J8</v>
          </cell>
          <cell r="S5402" t="str">
            <v>PENDIENTE</v>
          </cell>
          <cell r="T5402">
            <v>0</v>
          </cell>
          <cell r="U5402" t="str">
            <v>PARI VENTURA  EDSON ORLANDO</v>
          </cell>
          <cell r="V5402" t="str">
            <v>FLOREZ CONDORI  JOSE WILLIANS</v>
          </cell>
        </row>
        <row r="5403">
          <cell r="A5403">
            <v>5402</v>
          </cell>
          <cell r="B5403">
            <v>42789</v>
          </cell>
          <cell r="C5403" t="str">
            <v>FEBRERO</v>
          </cell>
          <cell r="D5403" t="str">
            <v>2017</v>
          </cell>
          <cell r="E5403">
            <v>1102</v>
          </cell>
          <cell r="F5403" t="str">
            <v>APG-726</v>
          </cell>
          <cell r="G5403" t="str">
            <v>CAMIONETA</v>
          </cell>
          <cell r="H5403" t="str">
            <v>LAS BAMBAS</v>
          </cell>
          <cell r="I5403">
            <v>15372</v>
          </cell>
          <cell r="J5403" t="str">
            <v>REPUESTO</v>
          </cell>
          <cell r="K5403" t="str">
            <v>FILTRO DE ACEITE</v>
          </cell>
          <cell r="L5403">
            <v>1</v>
          </cell>
          <cell r="M5403" t="str">
            <v>UNID.</v>
          </cell>
          <cell r="N5403" t="str">
            <v>CAMIONETA</v>
          </cell>
          <cell r="O5403">
            <v>0</v>
          </cell>
          <cell r="P5403" t="str">
            <v>M6</v>
          </cell>
          <cell r="Q5403" t="str">
            <v>J1</v>
          </cell>
          <cell r="R5403" t="str">
            <v>J8</v>
          </cell>
          <cell r="S5403" t="str">
            <v>PENDIENTE</v>
          </cell>
          <cell r="T5403">
            <v>0</v>
          </cell>
          <cell r="U5403" t="str">
            <v>PARI VENTURA  EDSON ORLANDO</v>
          </cell>
          <cell r="V5403" t="str">
            <v>FLOREZ CONDORI  JOSE WILLIANS</v>
          </cell>
        </row>
        <row r="5404">
          <cell r="A5404">
            <v>5403</v>
          </cell>
          <cell r="B5404">
            <v>42789</v>
          </cell>
          <cell r="C5404" t="str">
            <v>FEBRERO</v>
          </cell>
          <cell r="D5404" t="str">
            <v>2017</v>
          </cell>
          <cell r="E5404">
            <v>1102</v>
          </cell>
          <cell r="F5404" t="str">
            <v>APG-726</v>
          </cell>
          <cell r="G5404" t="str">
            <v>CAMIONETA</v>
          </cell>
          <cell r="H5404" t="str">
            <v>LAS BAMBAS</v>
          </cell>
          <cell r="I5404">
            <v>15372</v>
          </cell>
          <cell r="J5404" t="str">
            <v>REPUESTO</v>
          </cell>
          <cell r="K5404" t="str">
            <v>FILTRO DE AIRE</v>
          </cell>
          <cell r="L5404">
            <v>1</v>
          </cell>
          <cell r="M5404" t="str">
            <v>UNID.</v>
          </cell>
          <cell r="N5404" t="str">
            <v>CAMIONETA</v>
          </cell>
          <cell r="O5404">
            <v>0</v>
          </cell>
          <cell r="P5404" t="str">
            <v>M6</v>
          </cell>
          <cell r="Q5404" t="str">
            <v>J1</v>
          </cell>
          <cell r="R5404" t="str">
            <v>J8</v>
          </cell>
          <cell r="S5404" t="str">
            <v>PENDIENTE</v>
          </cell>
          <cell r="T5404">
            <v>0</v>
          </cell>
          <cell r="U5404" t="str">
            <v>PARI VENTURA  EDSON ORLANDO</v>
          </cell>
          <cell r="V5404" t="str">
            <v>FLOREZ CONDORI  JOSE WILLIANS</v>
          </cell>
        </row>
        <row r="5405">
          <cell r="A5405">
            <v>5404</v>
          </cell>
          <cell r="B5405">
            <v>42789</v>
          </cell>
          <cell r="C5405" t="str">
            <v>FEBRERO</v>
          </cell>
          <cell r="D5405" t="str">
            <v>2017</v>
          </cell>
          <cell r="E5405">
            <v>1102</v>
          </cell>
          <cell r="F5405" t="str">
            <v>APG-726</v>
          </cell>
          <cell r="G5405" t="str">
            <v>CAMIONETA</v>
          </cell>
          <cell r="H5405" t="str">
            <v>LAS BAMBAS</v>
          </cell>
          <cell r="I5405">
            <v>15372</v>
          </cell>
          <cell r="J5405" t="str">
            <v>REPUESTO</v>
          </cell>
          <cell r="K5405" t="str">
            <v>ACEITE DE MOTOR 15W40</v>
          </cell>
          <cell r="L5405">
            <v>2</v>
          </cell>
          <cell r="M5405" t="str">
            <v>GLNS.</v>
          </cell>
          <cell r="N5405" t="str">
            <v>CAMIONETA</v>
          </cell>
          <cell r="O5405">
            <v>0</v>
          </cell>
          <cell r="P5405" t="str">
            <v>M6</v>
          </cell>
          <cell r="Q5405" t="str">
            <v>J1</v>
          </cell>
          <cell r="R5405" t="str">
            <v>J8</v>
          </cell>
          <cell r="S5405" t="str">
            <v>PENDIENTE</v>
          </cell>
          <cell r="T5405">
            <v>0</v>
          </cell>
          <cell r="U5405" t="str">
            <v>PARI VENTURA  EDSON ORLANDO</v>
          </cell>
          <cell r="V5405" t="str">
            <v>FLOREZ CONDORI  JOSE WILLIANS</v>
          </cell>
        </row>
        <row r="5406">
          <cell r="A5406">
            <v>5405</v>
          </cell>
          <cell r="B5406">
            <v>42789</v>
          </cell>
          <cell r="C5406" t="str">
            <v>FEBRERO</v>
          </cell>
          <cell r="D5406" t="str">
            <v>2017</v>
          </cell>
          <cell r="E5406">
            <v>1083</v>
          </cell>
          <cell r="F5406" t="str">
            <v>D3P-746</v>
          </cell>
          <cell r="G5406" t="str">
            <v>C0T-974</v>
          </cell>
          <cell r="H5406" t="str">
            <v>LAS BAMBAS</v>
          </cell>
          <cell r="I5406">
            <v>133004</v>
          </cell>
          <cell r="J5406" t="str">
            <v>REPUESTO</v>
          </cell>
          <cell r="K5406" t="str">
            <v xml:space="preserve">CAPSULA NEUMATICA O VALVULA WASTEGATE </v>
          </cell>
          <cell r="L5406">
            <v>1</v>
          </cell>
          <cell r="M5406" t="str">
            <v>UNID.</v>
          </cell>
          <cell r="N5406" t="str">
            <v>TRACTO</v>
          </cell>
          <cell r="O5406">
            <v>0</v>
          </cell>
          <cell r="P5406" t="str">
            <v>M5</v>
          </cell>
          <cell r="Q5406" t="str">
            <v>J1</v>
          </cell>
          <cell r="R5406" t="str">
            <v>J8</v>
          </cell>
          <cell r="S5406" t="str">
            <v>PENDIENTE</v>
          </cell>
          <cell r="T5406">
            <v>0</v>
          </cell>
          <cell r="U5406" t="str">
            <v>LOPEZ RUIZ WILBERTO</v>
          </cell>
          <cell r="V5406" t="str">
            <v>FLOREZ CONDORI  JOSE WILLIANS</v>
          </cell>
        </row>
        <row r="5407">
          <cell r="A5407">
            <v>5406</v>
          </cell>
          <cell r="B5407">
            <v>42789</v>
          </cell>
          <cell r="C5407" t="str">
            <v>FEBRERO</v>
          </cell>
          <cell r="D5407" t="str">
            <v>2017</v>
          </cell>
          <cell r="E5407">
            <v>1091</v>
          </cell>
          <cell r="F5407" t="str">
            <v>D6G-805</v>
          </cell>
          <cell r="G5407" t="str">
            <v>T4Z-996</v>
          </cell>
          <cell r="H5407" t="str">
            <v>LAS BAMBAS</v>
          </cell>
          <cell r="I5407">
            <v>232154</v>
          </cell>
          <cell r="J5407" t="str">
            <v>SERVICIO</v>
          </cell>
          <cell r="K5407" t="str">
            <v>REMACHE DE ZAPATAS</v>
          </cell>
          <cell r="L5407">
            <v>0.5</v>
          </cell>
          <cell r="M5407" t="str">
            <v>JUEGO</v>
          </cell>
          <cell r="N5407" t="str">
            <v>CISTERNA</v>
          </cell>
          <cell r="O5407">
            <v>0</v>
          </cell>
          <cell r="P5407" t="str">
            <v>M8</v>
          </cell>
          <cell r="Q5407" t="str">
            <v>J1</v>
          </cell>
          <cell r="R5407" t="str">
            <v>J8</v>
          </cell>
          <cell r="S5407" t="str">
            <v>PENDIENTE</v>
          </cell>
          <cell r="T5407">
            <v>0</v>
          </cell>
          <cell r="U5407" t="str">
            <v>VARILLAS GAGO  OSCAR ALBERTO</v>
          </cell>
          <cell r="V5407" t="str">
            <v>FLOREZ CONDORI  JOSE WILLIANS</v>
          </cell>
        </row>
        <row r="5408">
          <cell r="A5408">
            <v>5407</v>
          </cell>
          <cell r="B5408">
            <v>42789</v>
          </cell>
          <cell r="C5408" t="str">
            <v>FEBRERO</v>
          </cell>
          <cell r="D5408" t="str">
            <v>2017</v>
          </cell>
          <cell r="E5408">
            <v>1091</v>
          </cell>
          <cell r="F5408" t="str">
            <v>D6G-805</v>
          </cell>
          <cell r="G5408" t="str">
            <v>T4Z-996</v>
          </cell>
          <cell r="H5408" t="str">
            <v>LAS BAMBAS</v>
          </cell>
          <cell r="I5408">
            <v>232154</v>
          </cell>
          <cell r="J5408" t="str">
            <v>REPUESTO</v>
          </cell>
          <cell r="K5408" t="str">
            <v>RADIADOR REPARADO</v>
          </cell>
          <cell r="L5408">
            <v>1</v>
          </cell>
          <cell r="M5408" t="str">
            <v>UNID.</v>
          </cell>
          <cell r="N5408" t="str">
            <v>TRACTO</v>
          </cell>
          <cell r="O5408">
            <v>0</v>
          </cell>
          <cell r="P5408" t="str">
            <v>M8</v>
          </cell>
          <cell r="Q5408" t="str">
            <v>J1</v>
          </cell>
          <cell r="R5408" t="str">
            <v>J8</v>
          </cell>
          <cell r="S5408" t="str">
            <v>PENDIENTE</v>
          </cell>
          <cell r="T5408">
            <v>0</v>
          </cell>
          <cell r="U5408" t="str">
            <v>VARILLAS GAGO  OSCAR ALBERTO</v>
          </cell>
          <cell r="V5408" t="str">
            <v>FLOREZ CONDORI  JOSE WILLIANS</v>
          </cell>
        </row>
        <row r="5409">
          <cell r="A5409">
            <v>5408</v>
          </cell>
          <cell r="B5409">
            <v>42789</v>
          </cell>
          <cell r="C5409" t="str">
            <v>FEBRERO</v>
          </cell>
          <cell r="D5409" t="str">
            <v>2017</v>
          </cell>
          <cell r="E5409">
            <v>1091</v>
          </cell>
          <cell r="F5409" t="str">
            <v>D6G-805</v>
          </cell>
          <cell r="G5409" t="str">
            <v>T4Z-996</v>
          </cell>
          <cell r="H5409" t="str">
            <v>LAS BAMBAS</v>
          </cell>
          <cell r="I5409">
            <v>232154</v>
          </cell>
          <cell r="J5409" t="str">
            <v>REPUESTO</v>
          </cell>
          <cell r="K5409" t="str">
            <v>RESORTE GRANDE DE ZAPÁTA</v>
          </cell>
          <cell r="L5409">
            <v>1</v>
          </cell>
          <cell r="M5409" t="str">
            <v>UNID.</v>
          </cell>
          <cell r="N5409" t="str">
            <v>CISTERNA</v>
          </cell>
          <cell r="O5409">
            <v>0</v>
          </cell>
          <cell r="P5409" t="str">
            <v>M8</v>
          </cell>
          <cell r="Q5409" t="str">
            <v>J1</v>
          </cell>
          <cell r="R5409" t="str">
            <v>J8</v>
          </cell>
          <cell r="S5409" t="str">
            <v>PENDIENTE</v>
          </cell>
          <cell r="T5409">
            <v>0</v>
          </cell>
          <cell r="U5409" t="str">
            <v>VARILLAS GAGO  OSCAR ALBERTO</v>
          </cell>
          <cell r="V5409" t="str">
            <v>FLOREZ CONDORI  JOSE WILLIANS</v>
          </cell>
        </row>
        <row r="5410">
          <cell r="A5410">
            <v>5409</v>
          </cell>
          <cell r="B5410">
            <v>42789</v>
          </cell>
          <cell r="C5410" t="str">
            <v>FEBRERO</v>
          </cell>
          <cell r="D5410" t="str">
            <v>2017</v>
          </cell>
          <cell r="E5410">
            <v>1091</v>
          </cell>
          <cell r="F5410" t="str">
            <v>D6G-805</v>
          </cell>
          <cell r="G5410" t="str">
            <v>T4Z-996</v>
          </cell>
          <cell r="H5410" t="str">
            <v>LAS BAMBAS</v>
          </cell>
          <cell r="I5410">
            <v>232154</v>
          </cell>
          <cell r="J5410" t="str">
            <v>REPUESTO</v>
          </cell>
          <cell r="K5410" t="str">
            <v>REFRIGERANTE</v>
          </cell>
          <cell r="L5410">
            <v>2</v>
          </cell>
          <cell r="M5410" t="str">
            <v>GLNS.</v>
          </cell>
          <cell r="N5410" t="str">
            <v>TRACTO</v>
          </cell>
          <cell r="O5410">
            <v>0</v>
          </cell>
          <cell r="P5410" t="str">
            <v>M8</v>
          </cell>
          <cell r="Q5410" t="str">
            <v>J1</v>
          </cell>
          <cell r="R5410" t="str">
            <v>J8</v>
          </cell>
          <cell r="S5410" t="str">
            <v>PENDIENTE</v>
          </cell>
          <cell r="T5410">
            <v>0</v>
          </cell>
          <cell r="U5410" t="str">
            <v>VARILLAS GAGO  OSCAR ALBERTO</v>
          </cell>
          <cell r="V5410" t="str">
            <v>FLOREZ CONDORI  JOSE WILLIANS</v>
          </cell>
        </row>
        <row r="5411">
          <cell r="A5411">
            <v>5410</v>
          </cell>
          <cell r="B5411">
            <v>42789</v>
          </cell>
          <cell r="C5411" t="str">
            <v>FEBRERO</v>
          </cell>
          <cell r="D5411" t="str">
            <v>2017</v>
          </cell>
          <cell r="E5411">
            <v>1082</v>
          </cell>
          <cell r="F5411" t="str">
            <v>ABR-741</v>
          </cell>
          <cell r="G5411" t="str">
            <v>T3N-974</v>
          </cell>
          <cell r="H5411" t="str">
            <v>LAS BAMBAS</v>
          </cell>
          <cell r="I5411">
            <v>119141</v>
          </cell>
          <cell r="J5411" t="str">
            <v>REPUESTO</v>
          </cell>
          <cell r="K5411" t="str">
            <v>MAXIBRAKE TIPO 30</v>
          </cell>
          <cell r="L5411">
            <v>1</v>
          </cell>
          <cell r="M5411" t="str">
            <v>UNID.</v>
          </cell>
          <cell r="N5411" t="str">
            <v>CISTERNA</v>
          </cell>
          <cell r="O5411">
            <v>0</v>
          </cell>
          <cell r="P5411" t="str">
            <v>M8</v>
          </cell>
          <cell r="Q5411" t="str">
            <v>J1</v>
          </cell>
          <cell r="R5411" t="str">
            <v>J8</v>
          </cell>
          <cell r="S5411" t="str">
            <v>PENDIENTE</v>
          </cell>
          <cell r="T5411">
            <v>0</v>
          </cell>
          <cell r="U5411" t="str">
            <v>VARILLAS GAGO  OSCAR ALBERTO</v>
          </cell>
          <cell r="V5411" t="str">
            <v>FLOREZ CONDORI  JOSE WILLIANS</v>
          </cell>
        </row>
        <row r="5412">
          <cell r="A5412">
            <v>5411</v>
          </cell>
          <cell r="B5412">
            <v>42789</v>
          </cell>
          <cell r="C5412" t="str">
            <v>FEBRERO</v>
          </cell>
          <cell r="D5412" t="str">
            <v>2017</v>
          </cell>
          <cell r="E5412">
            <v>1087</v>
          </cell>
          <cell r="F5412" t="str">
            <v>AMT-876</v>
          </cell>
          <cell r="G5412" t="str">
            <v>CAMIONETA</v>
          </cell>
          <cell r="H5412" t="str">
            <v>LAS BAMBAS</v>
          </cell>
          <cell r="I5412">
            <v>46549</v>
          </cell>
          <cell r="J5412" t="str">
            <v>REPUESTO</v>
          </cell>
          <cell r="K5412" t="str">
            <v>FOCO 1 CONTACTO 12V</v>
          </cell>
          <cell r="L5412">
            <v>1</v>
          </cell>
          <cell r="M5412" t="str">
            <v>UNID.</v>
          </cell>
          <cell r="N5412" t="str">
            <v>CAMIONETA</v>
          </cell>
          <cell r="O5412">
            <v>0</v>
          </cell>
          <cell r="P5412" t="str">
            <v>E2</v>
          </cell>
          <cell r="Q5412" t="str">
            <v>J1</v>
          </cell>
          <cell r="R5412" t="str">
            <v>J8</v>
          </cell>
          <cell r="S5412" t="str">
            <v>PENDIENTE</v>
          </cell>
          <cell r="T5412">
            <v>0</v>
          </cell>
          <cell r="U5412" t="str">
            <v>YUCA BELLIDO BORIS YERSY</v>
          </cell>
          <cell r="V5412" t="str">
            <v>FLOREZ CONDORI  JOSE WILLIANS</v>
          </cell>
        </row>
        <row r="5413">
          <cell r="A5413">
            <v>5412</v>
          </cell>
          <cell r="B5413">
            <v>42789</v>
          </cell>
          <cell r="C5413" t="str">
            <v>FEBRERO</v>
          </cell>
          <cell r="D5413" t="str">
            <v>2017</v>
          </cell>
          <cell r="E5413">
            <v>1093</v>
          </cell>
          <cell r="F5413" t="str">
            <v>X2W-760</v>
          </cell>
          <cell r="G5413" t="str">
            <v>C5V-992</v>
          </cell>
          <cell r="H5413" t="str">
            <v>LAS BAMBAS</v>
          </cell>
          <cell r="I5413">
            <v>158516</v>
          </cell>
          <cell r="J5413" t="str">
            <v>REPUESTO</v>
          </cell>
          <cell r="K5413" t="str">
            <v>KIT DE REPARACION PARA VALVULA DE PULPO</v>
          </cell>
          <cell r="L5413">
            <v>1</v>
          </cell>
          <cell r="M5413" t="str">
            <v>UNID.</v>
          </cell>
          <cell r="N5413" t="str">
            <v>CISTERNA</v>
          </cell>
          <cell r="O5413">
            <v>0</v>
          </cell>
          <cell r="P5413" t="str">
            <v>M2</v>
          </cell>
          <cell r="Q5413" t="str">
            <v>J1</v>
          </cell>
          <cell r="R5413" t="str">
            <v>J8</v>
          </cell>
          <cell r="S5413" t="str">
            <v>PENDIENTE</v>
          </cell>
          <cell r="T5413">
            <v>0</v>
          </cell>
          <cell r="U5413" t="str">
            <v>CHUMPITAZ GAGO JULIO ENRIQUE</v>
          </cell>
          <cell r="V5413" t="str">
            <v>FLOREZ CONDORI  JOSE WILLIANS</v>
          </cell>
        </row>
        <row r="5414">
          <cell r="A5414">
            <v>5413</v>
          </cell>
          <cell r="B5414">
            <v>42789</v>
          </cell>
          <cell r="C5414" t="str">
            <v>FEBRERO</v>
          </cell>
          <cell r="D5414" t="str">
            <v>2017</v>
          </cell>
          <cell r="E5414">
            <v>1093</v>
          </cell>
          <cell r="F5414" t="str">
            <v>X2W-760</v>
          </cell>
          <cell r="G5414" t="str">
            <v>C5V-992</v>
          </cell>
          <cell r="H5414" t="str">
            <v>LAS BAMBAS</v>
          </cell>
          <cell r="I5414">
            <v>158516</v>
          </cell>
          <cell r="J5414" t="str">
            <v>REPUESTO</v>
          </cell>
          <cell r="K5414" t="str">
            <v>VALVULA PROTECCION DE TRACTO  DOBLE CHECK  TP-3DC</v>
          </cell>
          <cell r="L5414">
            <v>1</v>
          </cell>
          <cell r="M5414" t="str">
            <v>UNID.</v>
          </cell>
          <cell r="N5414" t="str">
            <v>CISTERNA</v>
          </cell>
          <cell r="O5414">
            <v>0</v>
          </cell>
          <cell r="P5414" t="str">
            <v>M2</v>
          </cell>
          <cell r="Q5414" t="str">
            <v>J1</v>
          </cell>
          <cell r="R5414" t="str">
            <v>J8</v>
          </cell>
          <cell r="S5414" t="str">
            <v>PENDIENTE</v>
          </cell>
          <cell r="T5414">
            <v>0</v>
          </cell>
          <cell r="U5414" t="str">
            <v>CHUMPITAZ GAGO JULIO ENRIQUE</v>
          </cell>
          <cell r="V5414" t="str">
            <v>FLOREZ CONDORI  JOSE WILLIANS</v>
          </cell>
        </row>
        <row r="5415">
          <cell r="A5415">
            <v>5414</v>
          </cell>
          <cell r="B5415">
            <v>42789</v>
          </cell>
          <cell r="C5415" t="str">
            <v>FEBRERO</v>
          </cell>
          <cell r="D5415" t="str">
            <v>2017</v>
          </cell>
          <cell r="E5415">
            <v>1095</v>
          </cell>
          <cell r="F5415" t="str">
            <v>C5R-892</v>
          </cell>
          <cell r="G5415" t="str">
            <v>A0T-983</v>
          </cell>
          <cell r="H5415" t="str">
            <v>LAS BAMBAS</v>
          </cell>
          <cell r="I5415">
            <v>234646</v>
          </cell>
          <cell r="J5415" t="str">
            <v>REPUESTO</v>
          </cell>
          <cell r="K5415" t="str">
            <v>AGUA LIMPIA PARABRISA</v>
          </cell>
          <cell r="L5415">
            <v>1</v>
          </cell>
          <cell r="M5415" t="str">
            <v>GLNS.</v>
          </cell>
          <cell r="N5415" t="str">
            <v>TRACTO</v>
          </cell>
          <cell r="O5415">
            <v>0</v>
          </cell>
          <cell r="P5415" t="str">
            <v>M10</v>
          </cell>
          <cell r="Q5415" t="str">
            <v>J1</v>
          </cell>
          <cell r="R5415" t="str">
            <v>J8</v>
          </cell>
          <cell r="S5415" t="str">
            <v>PENDIENTE</v>
          </cell>
          <cell r="T5415">
            <v>0</v>
          </cell>
          <cell r="U5415" t="str">
            <v>MAMANI SANTOS BLADIMIR</v>
          </cell>
          <cell r="V5415" t="str">
            <v>FLOREZ CONDORI  JOSE WILLIANS</v>
          </cell>
        </row>
        <row r="5416">
          <cell r="A5416">
            <v>5415</v>
          </cell>
          <cell r="B5416">
            <v>42789</v>
          </cell>
          <cell r="C5416" t="str">
            <v>FEBRERO</v>
          </cell>
          <cell r="D5416" t="str">
            <v>2017</v>
          </cell>
          <cell r="E5416">
            <v>1059</v>
          </cell>
          <cell r="F5416" t="str">
            <v>D3O-745</v>
          </cell>
          <cell r="G5416" t="str">
            <v>F3L-979</v>
          </cell>
          <cell r="H5416" t="str">
            <v>LAS BAMBAS</v>
          </cell>
          <cell r="I5416">
            <v>168397</v>
          </cell>
          <cell r="J5416" t="str">
            <v>REPUESTO</v>
          </cell>
          <cell r="K5416" t="str">
            <v>RODAJE COMPLETO</v>
          </cell>
          <cell r="L5416">
            <v>2</v>
          </cell>
          <cell r="M5416" t="str">
            <v>UNID.</v>
          </cell>
          <cell r="N5416" t="str">
            <v>CISTERNA</v>
          </cell>
          <cell r="O5416">
            <v>0</v>
          </cell>
          <cell r="P5416" t="str">
            <v>M2</v>
          </cell>
          <cell r="Q5416" t="str">
            <v>J1</v>
          </cell>
          <cell r="R5416" t="str">
            <v>J8</v>
          </cell>
          <cell r="S5416" t="str">
            <v>PENDIENTE</v>
          </cell>
          <cell r="T5416">
            <v>0</v>
          </cell>
          <cell r="U5416" t="str">
            <v>CHUMPITAZ GAGO JULIO ENRIQUE</v>
          </cell>
          <cell r="V5416" t="str">
            <v>FLOREZ CONDORI  JOSE WILLIANS</v>
          </cell>
        </row>
        <row r="5417">
          <cell r="A5417">
            <v>5416</v>
          </cell>
          <cell r="B5417">
            <v>42789</v>
          </cell>
          <cell r="C5417" t="str">
            <v>FEBRERO</v>
          </cell>
          <cell r="D5417" t="str">
            <v>2017</v>
          </cell>
          <cell r="E5417">
            <v>1059</v>
          </cell>
          <cell r="F5417" t="str">
            <v>D3O-745</v>
          </cell>
          <cell r="G5417" t="str">
            <v>F3L-979</v>
          </cell>
          <cell r="H5417" t="str">
            <v>LAS BAMBAS</v>
          </cell>
          <cell r="I5417">
            <v>168397</v>
          </cell>
          <cell r="J5417" t="str">
            <v>REPUESTO</v>
          </cell>
          <cell r="K5417" t="str">
            <v>TAPA DE BOCAMASA</v>
          </cell>
          <cell r="L5417">
            <v>1</v>
          </cell>
          <cell r="M5417" t="str">
            <v>UNID.</v>
          </cell>
          <cell r="N5417" t="str">
            <v>CISTERNA</v>
          </cell>
          <cell r="O5417">
            <v>0</v>
          </cell>
          <cell r="P5417" t="str">
            <v>M2</v>
          </cell>
          <cell r="Q5417" t="str">
            <v>J1</v>
          </cell>
          <cell r="R5417" t="str">
            <v>J8</v>
          </cell>
          <cell r="S5417" t="str">
            <v>PENDIENTE</v>
          </cell>
          <cell r="T5417">
            <v>0</v>
          </cell>
          <cell r="U5417" t="str">
            <v>CHUMPITAZ GAGO JULIO ENRIQUE</v>
          </cell>
          <cell r="V5417" t="str">
            <v>FLOREZ CONDORI  JOSE WILLIANS</v>
          </cell>
        </row>
        <row r="5418">
          <cell r="A5418">
            <v>5417</v>
          </cell>
          <cell r="B5418">
            <v>42789</v>
          </cell>
          <cell r="C5418" t="str">
            <v>FEBRERO</v>
          </cell>
          <cell r="D5418" t="str">
            <v>2017</v>
          </cell>
          <cell r="E5418">
            <v>1059</v>
          </cell>
          <cell r="F5418" t="str">
            <v>D3O-745</v>
          </cell>
          <cell r="G5418" t="str">
            <v>F3L-979</v>
          </cell>
          <cell r="H5418" t="str">
            <v>LAS BAMBAS</v>
          </cell>
          <cell r="I5418">
            <v>168397</v>
          </cell>
          <cell r="J5418" t="str">
            <v>REPUESTO</v>
          </cell>
          <cell r="K5418" t="str">
            <v>RESORTE  GRANDE</v>
          </cell>
          <cell r="L5418">
            <v>1</v>
          </cell>
          <cell r="M5418" t="str">
            <v>UNID.</v>
          </cell>
          <cell r="N5418" t="str">
            <v>CISTERNA</v>
          </cell>
          <cell r="O5418">
            <v>0</v>
          </cell>
          <cell r="P5418" t="str">
            <v>M2</v>
          </cell>
          <cell r="Q5418" t="str">
            <v>J1</v>
          </cell>
          <cell r="R5418" t="str">
            <v>J8</v>
          </cell>
          <cell r="S5418" t="str">
            <v>PENDIENTE</v>
          </cell>
          <cell r="T5418">
            <v>0</v>
          </cell>
          <cell r="U5418" t="str">
            <v>CHUMPITAZ GAGO JULIO ENRIQUE</v>
          </cell>
          <cell r="V5418" t="str">
            <v>FLOREZ CONDORI  JOSE WILLIANS</v>
          </cell>
        </row>
        <row r="5419">
          <cell r="A5419">
            <v>5418</v>
          </cell>
          <cell r="B5419">
            <v>42789</v>
          </cell>
          <cell r="C5419" t="str">
            <v>FEBRERO</v>
          </cell>
          <cell r="D5419" t="str">
            <v>2017</v>
          </cell>
          <cell r="E5419">
            <v>1059</v>
          </cell>
          <cell r="F5419" t="str">
            <v>D3O-745</v>
          </cell>
          <cell r="G5419" t="str">
            <v>F3L-979</v>
          </cell>
          <cell r="H5419" t="str">
            <v>LAS BAMBAS</v>
          </cell>
          <cell r="I5419">
            <v>168397</v>
          </cell>
          <cell r="J5419" t="str">
            <v>REPUESTO</v>
          </cell>
          <cell r="K5419" t="str">
            <v>PASADOR 1/4 X  3"</v>
          </cell>
          <cell r="L5419">
            <v>1</v>
          </cell>
          <cell r="M5419" t="str">
            <v>UNID.</v>
          </cell>
          <cell r="N5419" t="str">
            <v>CISTERNA</v>
          </cell>
          <cell r="O5419">
            <v>0</v>
          </cell>
          <cell r="P5419" t="str">
            <v>M2</v>
          </cell>
          <cell r="Q5419" t="str">
            <v>J1</v>
          </cell>
          <cell r="R5419" t="str">
            <v>J8</v>
          </cell>
          <cell r="S5419" t="str">
            <v>PENDIENTE</v>
          </cell>
          <cell r="T5419">
            <v>0</v>
          </cell>
          <cell r="U5419" t="str">
            <v>CHUMPITAZ GAGO JULIO ENRIQUE</v>
          </cell>
          <cell r="V5419" t="str">
            <v>FLOREZ CONDORI  JOSE WILLIANS</v>
          </cell>
        </row>
        <row r="5420">
          <cell r="A5420">
            <v>5419</v>
          </cell>
          <cell r="B5420">
            <v>42789</v>
          </cell>
          <cell r="C5420" t="str">
            <v>FEBRERO</v>
          </cell>
          <cell r="D5420" t="str">
            <v>2017</v>
          </cell>
          <cell r="E5420">
            <v>1059</v>
          </cell>
          <cell r="F5420" t="str">
            <v>D3O-745</v>
          </cell>
          <cell r="G5420" t="str">
            <v>F3L-979</v>
          </cell>
          <cell r="H5420" t="str">
            <v>LAS BAMBAS</v>
          </cell>
          <cell r="I5420">
            <v>168397</v>
          </cell>
          <cell r="J5420" t="str">
            <v>SERVICIO</v>
          </cell>
          <cell r="K5420" t="str">
            <v>REMACHE DE ZAPATAS</v>
          </cell>
          <cell r="L5420">
            <v>0.5</v>
          </cell>
          <cell r="M5420" t="str">
            <v>JUEGO</v>
          </cell>
          <cell r="N5420" t="str">
            <v>CISTERNA</v>
          </cell>
          <cell r="O5420">
            <v>0</v>
          </cell>
          <cell r="P5420" t="str">
            <v>M2</v>
          </cell>
          <cell r="Q5420" t="str">
            <v>J1</v>
          </cell>
          <cell r="R5420" t="str">
            <v>J8</v>
          </cell>
          <cell r="S5420" t="str">
            <v>PENDIENTE</v>
          </cell>
          <cell r="T5420">
            <v>0</v>
          </cell>
          <cell r="U5420" t="str">
            <v>CHUMPITAZ GAGO JULIO ENRIQUE</v>
          </cell>
          <cell r="V5420" t="str">
            <v>FLOREZ CONDORI  JOSE WILLIANS</v>
          </cell>
        </row>
        <row r="5421">
          <cell r="A5421">
            <v>5420</v>
          </cell>
          <cell r="B5421">
            <v>42789</v>
          </cell>
          <cell r="C5421" t="str">
            <v>FEBRERO</v>
          </cell>
          <cell r="D5421" t="str">
            <v>2017</v>
          </cell>
          <cell r="E5421">
            <v>1059</v>
          </cell>
          <cell r="F5421" t="str">
            <v>D3O-745</v>
          </cell>
          <cell r="G5421" t="str">
            <v>F3L-979</v>
          </cell>
          <cell r="H5421" t="str">
            <v>LAS BAMBAS</v>
          </cell>
          <cell r="I5421">
            <v>168397</v>
          </cell>
          <cell r="J5421" t="str">
            <v>REPUESTO</v>
          </cell>
          <cell r="K5421" t="str">
            <v>RESORTE PEQUEÑO</v>
          </cell>
          <cell r="L5421">
            <v>2</v>
          </cell>
          <cell r="M5421" t="str">
            <v>UNID.</v>
          </cell>
          <cell r="N5421" t="str">
            <v>CISTERNA</v>
          </cell>
          <cell r="O5421">
            <v>0</v>
          </cell>
          <cell r="P5421" t="str">
            <v>M2</v>
          </cell>
          <cell r="Q5421" t="str">
            <v>J1</v>
          </cell>
          <cell r="R5421" t="str">
            <v>J8</v>
          </cell>
          <cell r="S5421" t="str">
            <v>PENDIENTE</v>
          </cell>
          <cell r="T5421">
            <v>0</v>
          </cell>
          <cell r="U5421" t="str">
            <v>CHUMPITAZ GAGO JULIO ENRIQUE</v>
          </cell>
          <cell r="V5421" t="str">
            <v>FLOREZ CONDORI  JOSE WILLIANS</v>
          </cell>
        </row>
        <row r="5422">
          <cell r="A5422">
            <v>5421</v>
          </cell>
          <cell r="B5422">
            <v>42789</v>
          </cell>
          <cell r="C5422" t="str">
            <v>FEBRERO</v>
          </cell>
          <cell r="D5422" t="str">
            <v>2017</v>
          </cell>
          <cell r="E5422">
            <v>1059</v>
          </cell>
          <cell r="F5422" t="str">
            <v>D3O-745</v>
          </cell>
          <cell r="G5422" t="str">
            <v>F3L-979</v>
          </cell>
          <cell r="H5422" t="str">
            <v>LAS BAMBAS</v>
          </cell>
          <cell r="I5422">
            <v>168397</v>
          </cell>
          <cell r="J5422" t="str">
            <v>REPUESTO</v>
          </cell>
          <cell r="K5422" t="str">
            <v xml:space="preserve">GRASA DE RODAJE </v>
          </cell>
          <cell r="L5422">
            <v>1</v>
          </cell>
          <cell r="M5422" t="str">
            <v>UNID.</v>
          </cell>
          <cell r="N5422" t="str">
            <v>CISTERNA</v>
          </cell>
          <cell r="O5422">
            <v>0</v>
          </cell>
          <cell r="P5422" t="str">
            <v>M2</v>
          </cell>
          <cell r="Q5422" t="str">
            <v>J1</v>
          </cell>
          <cell r="R5422" t="str">
            <v>J8</v>
          </cell>
          <cell r="S5422" t="str">
            <v>PENDIENTE</v>
          </cell>
          <cell r="T5422">
            <v>0</v>
          </cell>
          <cell r="U5422" t="str">
            <v>CHUMPITAZ GAGO JULIO ENRIQUE</v>
          </cell>
          <cell r="V5422" t="str">
            <v>FLOREZ CONDORI  JOSE WILLIANS</v>
          </cell>
        </row>
        <row r="5423">
          <cell r="A5423">
            <v>5422</v>
          </cell>
          <cell r="B5423">
            <v>42789</v>
          </cell>
          <cell r="C5423">
            <v>0</v>
          </cell>
          <cell r="D5423">
            <v>0</v>
          </cell>
          <cell r="E5423">
            <v>1093</v>
          </cell>
          <cell r="F5423" t="str">
            <v>X2W-760</v>
          </cell>
          <cell r="G5423" t="str">
            <v>C5V-992</v>
          </cell>
          <cell r="H5423" t="str">
            <v>LAS BAMBAS</v>
          </cell>
          <cell r="I5423">
            <v>158516</v>
          </cell>
          <cell r="J5423" t="str">
            <v>REPUESTO</v>
          </cell>
          <cell r="K5423" t="str">
            <v>FILTRO DE SECADOR DE AIRE</v>
          </cell>
          <cell r="L5423">
            <v>1</v>
          </cell>
          <cell r="M5423" t="str">
            <v>UNID.</v>
          </cell>
          <cell r="N5423" t="str">
            <v>TRACTO</v>
          </cell>
          <cell r="O5423">
            <v>0</v>
          </cell>
          <cell r="P5423" t="str">
            <v>M2</v>
          </cell>
          <cell r="Q5423" t="str">
            <v>J1</v>
          </cell>
          <cell r="R5423" t="str">
            <v>J8</v>
          </cell>
          <cell r="S5423" t="str">
            <v>PENDIENTE</v>
          </cell>
          <cell r="T5423">
            <v>0</v>
          </cell>
          <cell r="U5423" t="str">
            <v>CHUMPITAZ GAGO JULIO ENRIQUE</v>
          </cell>
          <cell r="V5423" t="str">
            <v>FLOREZ CONDORI  JOSE WILLIANS</v>
          </cell>
        </row>
        <row r="5424">
          <cell r="A5424">
            <v>5423</v>
          </cell>
          <cell r="B5424">
            <v>42789</v>
          </cell>
          <cell r="C5424" t="str">
            <v>FEBRERO</v>
          </cell>
          <cell r="D5424" t="str">
            <v>2017</v>
          </cell>
          <cell r="E5424">
            <v>1093</v>
          </cell>
          <cell r="F5424" t="str">
            <v>X2W-760</v>
          </cell>
          <cell r="G5424" t="str">
            <v>C5V-992</v>
          </cell>
          <cell r="H5424" t="str">
            <v>LAS BAMBAS</v>
          </cell>
          <cell r="I5424">
            <v>158516</v>
          </cell>
          <cell r="J5424" t="str">
            <v>REPUESTO</v>
          </cell>
          <cell r="K5424" t="str">
            <v>KIT ACCESORIOS PARA SECADOR DE AIRE</v>
          </cell>
          <cell r="L5424">
            <v>1</v>
          </cell>
          <cell r="M5424" t="str">
            <v>UNID.</v>
          </cell>
          <cell r="N5424" t="str">
            <v>TRACTO</v>
          </cell>
          <cell r="O5424">
            <v>0</v>
          </cell>
          <cell r="P5424" t="str">
            <v>M2</v>
          </cell>
          <cell r="Q5424" t="str">
            <v>J1</v>
          </cell>
          <cell r="R5424" t="str">
            <v>J8</v>
          </cell>
          <cell r="S5424" t="str">
            <v>PENDIENTE</v>
          </cell>
          <cell r="T5424">
            <v>0</v>
          </cell>
          <cell r="U5424" t="str">
            <v>CHUMPITAZ GAGO JULIO ENRIQUE</v>
          </cell>
          <cell r="V5424" t="str">
            <v>FLOREZ CONDORI  JOSE WILLIANS</v>
          </cell>
        </row>
        <row r="5425">
          <cell r="A5425">
            <v>5424</v>
          </cell>
          <cell r="B5425">
            <v>42789</v>
          </cell>
          <cell r="C5425" t="str">
            <v>FEBRERO</v>
          </cell>
          <cell r="D5425" t="str">
            <v>2017</v>
          </cell>
          <cell r="E5425">
            <v>1091</v>
          </cell>
          <cell r="F5425" t="str">
            <v>D6G-805</v>
          </cell>
          <cell r="G5425" t="str">
            <v>T4Z-996</v>
          </cell>
          <cell r="H5425" t="str">
            <v>LAS BAMBAS</v>
          </cell>
          <cell r="I5425">
            <v>232154</v>
          </cell>
          <cell r="J5425" t="str">
            <v>REPUESTO</v>
          </cell>
          <cell r="K5425" t="str">
            <v>AGUA LIMPIA PARABRISA</v>
          </cell>
          <cell r="L5425">
            <v>1</v>
          </cell>
          <cell r="M5425" t="str">
            <v>GLNS.</v>
          </cell>
          <cell r="N5425" t="str">
            <v>TRACTO</v>
          </cell>
          <cell r="O5425">
            <v>0</v>
          </cell>
          <cell r="P5425" t="str">
            <v>M9</v>
          </cell>
          <cell r="Q5425" t="str">
            <v>J1</v>
          </cell>
          <cell r="R5425" t="str">
            <v>J8</v>
          </cell>
          <cell r="S5425" t="str">
            <v>PENDIENTE</v>
          </cell>
          <cell r="T5425">
            <v>0</v>
          </cell>
          <cell r="U5425" t="str">
            <v>POMA SALAZAR CIRO</v>
          </cell>
          <cell r="V5425" t="str">
            <v>FLOREZ CONDORI  JOSE WILLIANS</v>
          </cell>
        </row>
        <row r="5426">
          <cell r="A5426">
            <v>5425</v>
          </cell>
          <cell r="B5426">
            <v>42789</v>
          </cell>
          <cell r="C5426" t="str">
            <v>FEBRERO</v>
          </cell>
          <cell r="D5426" t="str">
            <v>2017</v>
          </cell>
          <cell r="E5426">
            <v>1084</v>
          </cell>
          <cell r="F5426" t="str">
            <v>ABQ-704</v>
          </cell>
          <cell r="G5426" t="str">
            <v>TBB-995</v>
          </cell>
          <cell r="H5426" t="str">
            <v>LAS BAMBAS</v>
          </cell>
          <cell r="I5426">
            <v>120669</v>
          </cell>
          <cell r="J5426" t="str">
            <v>REPUESTO</v>
          </cell>
          <cell r="K5426" t="str">
            <v>PITON</v>
          </cell>
          <cell r="L5426">
            <v>1</v>
          </cell>
          <cell r="M5426" t="str">
            <v>UNID.</v>
          </cell>
          <cell r="N5426" t="str">
            <v>CISTERNA</v>
          </cell>
          <cell r="O5426">
            <v>0</v>
          </cell>
          <cell r="P5426" t="str">
            <v>N2</v>
          </cell>
          <cell r="Q5426" t="str">
            <v>J1</v>
          </cell>
          <cell r="R5426" t="str">
            <v>J8</v>
          </cell>
          <cell r="S5426" t="str">
            <v>PENDIENTE</v>
          </cell>
          <cell r="T5426">
            <v>0</v>
          </cell>
          <cell r="U5426" t="str">
            <v>MAMANI LARICO  EDUARDO ALVARO</v>
          </cell>
          <cell r="V5426" t="str">
            <v>FLOREZ CONDORI  JOSE WILLIANS</v>
          </cell>
        </row>
        <row r="5427">
          <cell r="A5427">
            <v>5426</v>
          </cell>
          <cell r="B5427">
            <v>42789</v>
          </cell>
          <cell r="C5427" t="str">
            <v>FEBRERO</v>
          </cell>
          <cell r="D5427" t="str">
            <v>2017</v>
          </cell>
          <cell r="E5427">
            <v>1084</v>
          </cell>
          <cell r="F5427" t="str">
            <v>ABQ-704</v>
          </cell>
          <cell r="G5427" t="str">
            <v>TBB-995</v>
          </cell>
          <cell r="H5427" t="str">
            <v>LAS BAMBAS</v>
          </cell>
          <cell r="I5427">
            <v>120669</v>
          </cell>
          <cell r="J5427" t="str">
            <v>REPUESTO</v>
          </cell>
          <cell r="K5427" t="str">
            <v>PARCHE RACK 10</v>
          </cell>
          <cell r="L5427">
            <v>1</v>
          </cell>
          <cell r="M5427" t="str">
            <v>UNID.</v>
          </cell>
          <cell r="N5427" t="str">
            <v>CISTERNA</v>
          </cell>
          <cell r="O5427">
            <v>0</v>
          </cell>
          <cell r="P5427" t="str">
            <v>N2</v>
          </cell>
          <cell r="Q5427" t="str">
            <v>J1</v>
          </cell>
          <cell r="R5427" t="str">
            <v>J8</v>
          </cell>
          <cell r="S5427" t="str">
            <v>PENDIENTE</v>
          </cell>
          <cell r="T5427">
            <v>0</v>
          </cell>
          <cell r="U5427" t="str">
            <v>MAMANI LARICO  EDUARDO ALVARO</v>
          </cell>
          <cell r="V5427" t="str">
            <v>FLOREZ CONDORI  JOSE WILLIANS</v>
          </cell>
        </row>
        <row r="5428">
          <cell r="A5428">
            <v>5427</v>
          </cell>
          <cell r="B5428">
            <v>42789</v>
          </cell>
          <cell r="C5428" t="str">
            <v>FEBRERO</v>
          </cell>
          <cell r="D5428" t="str">
            <v>2017</v>
          </cell>
          <cell r="E5428">
            <v>1084</v>
          </cell>
          <cell r="F5428" t="str">
            <v>ABQ-704</v>
          </cell>
          <cell r="G5428" t="str">
            <v>TBB-995</v>
          </cell>
          <cell r="H5428" t="str">
            <v>LAS BAMBAS</v>
          </cell>
          <cell r="I5428">
            <v>120669</v>
          </cell>
          <cell r="J5428" t="str">
            <v>REPUESTO</v>
          </cell>
          <cell r="K5428" t="str">
            <v>PARCHE RACK 12</v>
          </cell>
          <cell r="L5428">
            <v>1</v>
          </cell>
          <cell r="M5428" t="str">
            <v>UNID.</v>
          </cell>
          <cell r="N5428" t="str">
            <v>CISTERNA</v>
          </cell>
          <cell r="O5428">
            <v>0</v>
          </cell>
          <cell r="P5428" t="str">
            <v>N2</v>
          </cell>
          <cell r="Q5428" t="str">
            <v>J1</v>
          </cell>
          <cell r="R5428" t="str">
            <v>J8</v>
          </cell>
          <cell r="S5428" t="str">
            <v>PENDIENTE</v>
          </cell>
          <cell r="T5428">
            <v>0</v>
          </cell>
          <cell r="U5428" t="str">
            <v>MAMANI LARICO  EDUARDO ALVARO</v>
          </cell>
          <cell r="V5428" t="str">
            <v>FLOREZ CONDORI  JOSE WILLIANS</v>
          </cell>
        </row>
        <row r="5429">
          <cell r="A5429">
            <v>5428</v>
          </cell>
          <cell r="B5429">
            <v>42789</v>
          </cell>
          <cell r="C5429" t="str">
            <v>FEBRERO</v>
          </cell>
          <cell r="D5429" t="str">
            <v>2017</v>
          </cell>
          <cell r="E5429">
            <v>1091</v>
          </cell>
          <cell r="F5429" t="str">
            <v>D6G-805</v>
          </cell>
          <cell r="G5429" t="str">
            <v>T4Z-996</v>
          </cell>
          <cell r="H5429" t="str">
            <v>LAS BAMBAS</v>
          </cell>
          <cell r="I5429">
            <v>232154</v>
          </cell>
          <cell r="J5429" t="str">
            <v>REPUESTO</v>
          </cell>
          <cell r="K5429" t="str">
            <v>ACCESORIOS DE VALVULA DE PULPO</v>
          </cell>
          <cell r="L5429">
            <v>1</v>
          </cell>
          <cell r="M5429" t="str">
            <v>UNID.</v>
          </cell>
          <cell r="N5429" t="str">
            <v>CISTERNA</v>
          </cell>
          <cell r="O5429">
            <v>0</v>
          </cell>
          <cell r="P5429" t="str">
            <v>M8</v>
          </cell>
          <cell r="Q5429" t="str">
            <v>J1</v>
          </cell>
          <cell r="R5429" t="str">
            <v>J8</v>
          </cell>
          <cell r="S5429" t="str">
            <v>PENDIENTE</v>
          </cell>
          <cell r="T5429">
            <v>0</v>
          </cell>
          <cell r="U5429" t="str">
            <v>VARILLAS GAGO  OSCAR ALBERTO</v>
          </cell>
          <cell r="V5429" t="str">
            <v>FLOREZ CONDORI  JOSE WILLIANS</v>
          </cell>
        </row>
        <row r="5430">
          <cell r="A5430">
            <v>5429</v>
          </cell>
          <cell r="B5430">
            <v>42789</v>
          </cell>
          <cell r="C5430" t="str">
            <v>FEBRERO</v>
          </cell>
          <cell r="D5430" t="str">
            <v>2017</v>
          </cell>
          <cell r="E5430">
            <v>1013</v>
          </cell>
          <cell r="F5430" t="str">
            <v>B2M-948</v>
          </cell>
          <cell r="G5430" t="str">
            <v>CAMION</v>
          </cell>
          <cell r="H5430" t="str">
            <v>TAMBOMAYO</v>
          </cell>
          <cell r="I5430">
            <v>119007</v>
          </cell>
          <cell r="J5430" t="str">
            <v>REPUESTO</v>
          </cell>
          <cell r="K5430" t="str">
            <v>VARILLA ROSCADA 5/8</v>
          </cell>
          <cell r="L5430">
            <v>1</v>
          </cell>
          <cell r="M5430" t="str">
            <v>UNID.</v>
          </cell>
          <cell r="N5430" t="str">
            <v>CISTERNA</v>
          </cell>
          <cell r="O5430">
            <v>0</v>
          </cell>
          <cell r="P5430" t="str">
            <v>S1</v>
          </cell>
          <cell r="Q5430" t="str">
            <v>J1</v>
          </cell>
          <cell r="R5430" t="str">
            <v>J8</v>
          </cell>
          <cell r="S5430" t="str">
            <v>PENDIENTE</v>
          </cell>
          <cell r="T5430">
            <v>0</v>
          </cell>
          <cell r="U5430" t="str">
            <v>BAYONA CRUZ CRISTIAN ARMANDO</v>
          </cell>
          <cell r="V5430" t="str">
            <v>FLOREZ CONDORI  JOSE WILLIANS</v>
          </cell>
        </row>
        <row r="5431">
          <cell r="A5431">
            <v>5430</v>
          </cell>
          <cell r="B5431">
            <v>42789</v>
          </cell>
          <cell r="C5431" t="str">
            <v>FEBRERO</v>
          </cell>
          <cell r="D5431" t="str">
            <v>2017</v>
          </cell>
          <cell r="E5431">
            <v>1013</v>
          </cell>
          <cell r="F5431" t="str">
            <v>B2M-948</v>
          </cell>
          <cell r="G5431" t="str">
            <v>CAMION</v>
          </cell>
          <cell r="H5431" t="str">
            <v>TAMBOMAYO</v>
          </cell>
          <cell r="I5431">
            <v>119007</v>
          </cell>
          <cell r="J5431" t="str">
            <v>REPUESTO</v>
          </cell>
          <cell r="K5431" t="str">
            <v>SOLDADURA CELLOCORD 5/32</v>
          </cell>
          <cell r="L5431">
            <v>2</v>
          </cell>
          <cell r="M5431" t="str">
            <v>KG.</v>
          </cell>
          <cell r="N5431" t="str">
            <v>CISTERNA</v>
          </cell>
          <cell r="O5431">
            <v>0</v>
          </cell>
          <cell r="P5431" t="str">
            <v>S1</v>
          </cell>
          <cell r="Q5431" t="str">
            <v>J1</v>
          </cell>
          <cell r="R5431" t="str">
            <v>J8</v>
          </cell>
          <cell r="S5431" t="str">
            <v>PENDIENTE</v>
          </cell>
          <cell r="T5431">
            <v>0</v>
          </cell>
          <cell r="U5431" t="str">
            <v>BAYONA CRUZ CRISTIAN ARMANDO</v>
          </cell>
          <cell r="V5431" t="str">
            <v>FLOREZ CONDORI  JOSE WILLIANS</v>
          </cell>
        </row>
        <row r="5432">
          <cell r="A5432">
            <v>5431</v>
          </cell>
          <cell r="B5432">
            <v>42789</v>
          </cell>
          <cell r="C5432" t="str">
            <v>FEBRERO</v>
          </cell>
          <cell r="D5432" t="str">
            <v>2017</v>
          </cell>
          <cell r="E5432">
            <v>1013</v>
          </cell>
          <cell r="F5432" t="str">
            <v>B2M-948</v>
          </cell>
          <cell r="G5432" t="str">
            <v>CAMION</v>
          </cell>
          <cell r="H5432" t="str">
            <v>TAMBOMAYO</v>
          </cell>
          <cell r="I5432">
            <v>119007</v>
          </cell>
          <cell r="J5432" t="str">
            <v>REPUESTO</v>
          </cell>
          <cell r="K5432" t="str">
            <v>SOLDADURA CELLOCORD 1/8</v>
          </cell>
          <cell r="L5432">
            <v>3</v>
          </cell>
          <cell r="M5432" t="str">
            <v>KG.</v>
          </cell>
          <cell r="N5432" t="str">
            <v>CISTERNA</v>
          </cell>
          <cell r="O5432">
            <v>0</v>
          </cell>
          <cell r="P5432" t="str">
            <v>S1</v>
          </cell>
          <cell r="Q5432" t="str">
            <v>J1</v>
          </cell>
          <cell r="R5432" t="str">
            <v>J8</v>
          </cell>
          <cell r="S5432" t="str">
            <v>PENDIENTE</v>
          </cell>
          <cell r="T5432">
            <v>0</v>
          </cell>
          <cell r="U5432" t="str">
            <v>BAYONA CRUZ CRISTIAN ARMANDO</v>
          </cell>
          <cell r="V5432" t="str">
            <v>FLOREZ CONDORI  JOSE WILLIANS</v>
          </cell>
        </row>
        <row r="5433">
          <cell r="A5433">
            <v>5432</v>
          </cell>
          <cell r="B5433">
            <v>42789</v>
          </cell>
          <cell r="C5433" t="str">
            <v>FEBRERO</v>
          </cell>
          <cell r="D5433" t="str">
            <v>2017</v>
          </cell>
          <cell r="E5433">
            <v>200</v>
          </cell>
          <cell r="F5433" t="str">
            <v>TALLER</v>
          </cell>
          <cell r="G5433" t="str">
            <v>TALLER</v>
          </cell>
          <cell r="H5433" t="str">
            <v>TALLER</v>
          </cell>
          <cell r="I5433" t="str">
            <v>TALLER</v>
          </cell>
          <cell r="J5433" t="str">
            <v>MATERIALES</v>
          </cell>
          <cell r="K5433" t="str">
            <v>DISCO DE CORTE 7"</v>
          </cell>
          <cell r="L5433">
            <v>1</v>
          </cell>
          <cell r="M5433" t="str">
            <v>UNID.</v>
          </cell>
          <cell r="N5433" t="str">
            <v>TALLER</v>
          </cell>
          <cell r="O5433">
            <v>0</v>
          </cell>
          <cell r="P5433" t="str">
            <v>S1</v>
          </cell>
          <cell r="Q5433" t="str">
            <v>J1</v>
          </cell>
          <cell r="R5433" t="str">
            <v>J6</v>
          </cell>
          <cell r="S5433" t="str">
            <v>PENDIENTE</v>
          </cell>
          <cell r="T5433">
            <v>0</v>
          </cell>
          <cell r="U5433" t="str">
            <v>BAYONA CRUZ CRISTIAN ARMANDO</v>
          </cell>
          <cell r="V5433" t="str">
            <v>FLOREZ CONDORI  JOSE WILLIANS</v>
          </cell>
        </row>
        <row r="5434">
          <cell r="A5434">
            <v>5433</v>
          </cell>
          <cell r="B5434">
            <v>42789</v>
          </cell>
          <cell r="C5434" t="str">
            <v>FEBRERO</v>
          </cell>
          <cell r="D5434" t="str">
            <v>2017</v>
          </cell>
          <cell r="E5434">
            <v>1091</v>
          </cell>
          <cell r="F5434" t="str">
            <v>D6G-805</v>
          </cell>
          <cell r="G5434" t="str">
            <v>T4Z-996</v>
          </cell>
          <cell r="H5434" t="str">
            <v>LAS BAMBAS</v>
          </cell>
          <cell r="I5434">
            <v>232154</v>
          </cell>
          <cell r="J5434" t="str">
            <v>REPUESTO</v>
          </cell>
          <cell r="K5434" t="str">
            <v>VALVULA INTERLOCK</v>
          </cell>
          <cell r="L5434">
            <v>1</v>
          </cell>
          <cell r="M5434" t="str">
            <v>UNID.</v>
          </cell>
          <cell r="N5434" t="str">
            <v>CISTERNA</v>
          </cell>
          <cell r="O5434">
            <v>0</v>
          </cell>
          <cell r="P5434" t="str">
            <v>M8</v>
          </cell>
          <cell r="Q5434" t="str">
            <v>J1</v>
          </cell>
          <cell r="R5434" t="str">
            <v>J8</v>
          </cell>
          <cell r="S5434" t="str">
            <v>PENDIENTE</v>
          </cell>
          <cell r="T5434">
            <v>0</v>
          </cell>
          <cell r="U5434" t="str">
            <v>VARILLAS GAGO  OSCAR ALBERTO</v>
          </cell>
          <cell r="V5434" t="str">
            <v>FLOREZ CONDORI  JOSE WILLIANS</v>
          </cell>
        </row>
        <row r="5435">
          <cell r="A5435">
            <v>5434</v>
          </cell>
          <cell r="B5435">
            <v>42789</v>
          </cell>
          <cell r="C5435" t="str">
            <v>FEBRERO</v>
          </cell>
          <cell r="D5435" t="str">
            <v>2017</v>
          </cell>
          <cell r="E5435">
            <v>1073</v>
          </cell>
          <cell r="F5435" t="str">
            <v>D3Q-741</v>
          </cell>
          <cell r="G5435" t="str">
            <v>D2E-976</v>
          </cell>
          <cell r="H5435" t="str">
            <v>LAS BAMBAS</v>
          </cell>
          <cell r="I5435">
            <v>171918</v>
          </cell>
          <cell r="J5435" t="str">
            <v>SERVICIO</v>
          </cell>
          <cell r="K5435" t="str">
            <v>SERVICIO DE REPARACION DE CAJA DE CAMBIOS</v>
          </cell>
          <cell r="L5435">
            <v>1</v>
          </cell>
          <cell r="M5435" t="str">
            <v>UNID.</v>
          </cell>
          <cell r="N5435" t="str">
            <v>TRACTO</v>
          </cell>
          <cell r="O5435">
            <v>0</v>
          </cell>
          <cell r="P5435" t="str">
            <v>M5</v>
          </cell>
          <cell r="Q5435" t="str">
            <v>J1</v>
          </cell>
          <cell r="R5435" t="str">
            <v>J8</v>
          </cell>
          <cell r="S5435" t="str">
            <v>PENDIENTE</v>
          </cell>
          <cell r="T5435">
            <v>0</v>
          </cell>
          <cell r="U5435" t="str">
            <v>LOPEZ RUIZ WILBERTO</v>
          </cell>
          <cell r="V5435" t="str">
            <v>FLOREZ CONDORI  JOSE WILLIANS</v>
          </cell>
        </row>
        <row r="5436">
          <cell r="A5436">
            <v>5435</v>
          </cell>
          <cell r="B5436">
            <v>42789</v>
          </cell>
          <cell r="C5436" t="str">
            <v>FEBRERO</v>
          </cell>
          <cell r="D5436" t="str">
            <v>2017</v>
          </cell>
          <cell r="E5436">
            <v>1073</v>
          </cell>
          <cell r="F5436" t="str">
            <v>D3Q-741</v>
          </cell>
          <cell r="G5436" t="str">
            <v>D2E-976</v>
          </cell>
          <cell r="H5436" t="str">
            <v>LAS BAMBAS</v>
          </cell>
          <cell r="I5436">
            <v>171918</v>
          </cell>
          <cell r="J5436" t="str">
            <v>SERVICIO</v>
          </cell>
          <cell r="K5436" t="str">
            <v>SERVICIO DE REPARACION DE CONJUNTO DE EMBRAGUE</v>
          </cell>
          <cell r="L5436">
            <v>1</v>
          </cell>
          <cell r="M5436" t="str">
            <v>UNID.</v>
          </cell>
          <cell r="N5436" t="str">
            <v>TRACTO</v>
          </cell>
          <cell r="O5436">
            <v>0</v>
          </cell>
          <cell r="P5436" t="str">
            <v>M5</v>
          </cell>
          <cell r="Q5436" t="str">
            <v>J1</v>
          </cell>
          <cell r="R5436" t="str">
            <v>J8</v>
          </cell>
          <cell r="S5436" t="str">
            <v>PENDIENTE</v>
          </cell>
          <cell r="T5436">
            <v>0</v>
          </cell>
          <cell r="U5436" t="str">
            <v>LOPEZ RUIZ WILBERTO</v>
          </cell>
          <cell r="V5436" t="str">
            <v>FLOREZ CONDORI  JOSE WILLIANS</v>
          </cell>
        </row>
        <row r="5437">
          <cell r="A5437">
            <v>5436</v>
          </cell>
          <cell r="B5437">
            <v>42789</v>
          </cell>
          <cell r="C5437" t="str">
            <v>FEBRERO</v>
          </cell>
          <cell r="D5437" t="str">
            <v>2017</v>
          </cell>
          <cell r="E5437">
            <v>1097</v>
          </cell>
          <cell r="F5437" t="str">
            <v>ABQ-780</v>
          </cell>
          <cell r="G5437" t="str">
            <v>C9S-990</v>
          </cell>
          <cell r="H5437" t="str">
            <v>LAS BAMBAS</v>
          </cell>
          <cell r="I5437">
            <v>124597</v>
          </cell>
          <cell r="J5437" t="str">
            <v>REPUESTO</v>
          </cell>
          <cell r="K5437" t="str">
            <v>REFRIGERANTE</v>
          </cell>
          <cell r="L5437">
            <v>1</v>
          </cell>
          <cell r="M5437" t="str">
            <v>GLNS.</v>
          </cell>
          <cell r="N5437" t="str">
            <v>TRACTO</v>
          </cell>
          <cell r="O5437">
            <v>0</v>
          </cell>
          <cell r="P5437" t="str">
            <v>M6</v>
          </cell>
          <cell r="Q5437" t="str">
            <v>J1</v>
          </cell>
          <cell r="R5437" t="str">
            <v>J8</v>
          </cell>
          <cell r="S5437" t="str">
            <v>PENDIENTE</v>
          </cell>
          <cell r="T5437">
            <v>0</v>
          </cell>
          <cell r="U5437" t="str">
            <v>PARI VENTURA  EDSON ORLANDO</v>
          </cell>
          <cell r="V5437" t="str">
            <v>FLOREZ CONDORI  JOSE WILLIANS</v>
          </cell>
        </row>
        <row r="5438">
          <cell r="A5438">
            <v>5437</v>
          </cell>
          <cell r="B5438">
            <v>42789</v>
          </cell>
          <cell r="C5438" t="str">
            <v>FEBRERO</v>
          </cell>
          <cell r="D5438" t="str">
            <v>2017</v>
          </cell>
          <cell r="E5438">
            <v>1020</v>
          </cell>
          <cell r="F5438" t="str">
            <v>D3S-725</v>
          </cell>
          <cell r="G5438" t="str">
            <v>TBL-977</v>
          </cell>
          <cell r="H5438" t="str">
            <v>LAS BAMBAS</v>
          </cell>
          <cell r="I5438">
            <v>154037</v>
          </cell>
          <cell r="J5438" t="str">
            <v>REPUESTO</v>
          </cell>
          <cell r="K5438" t="str">
            <v>SILENCIADOR DE TUBO DE ESCAPE</v>
          </cell>
          <cell r="L5438">
            <v>1</v>
          </cell>
          <cell r="M5438" t="str">
            <v>UNID.</v>
          </cell>
          <cell r="N5438" t="str">
            <v>TRACTO</v>
          </cell>
          <cell r="O5438">
            <v>0</v>
          </cell>
          <cell r="P5438" t="str">
            <v>M9</v>
          </cell>
          <cell r="Q5438" t="str">
            <v>J1</v>
          </cell>
          <cell r="R5438" t="str">
            <v>J8</v>
          </cell>
          <cell r="S5438" t="str">
            <v>PENDIENTE</v>
          </cell>
          <cell r="T5438">
            <v>0</v>
          </cell>
          <cell r="U5438" t="str">
            <v>POMA SALAZAR CIRO</v>
          </cell>
          <cell r="V5438" t="str">
            <v>FLOREZ CONDORI  JOSE WILLIANS</v>
          </cell>
        </row>
        <row r="5439">
          <cell r="A5439">
            <v>5438</v>
          </cell>
          <cell r="B5439">
            <v>42789</v>
          </cell>
          <cell r="C5439" t="str">
            <v>FEBRERO</v>
          </cell>
          <cell r="D5439" t="str">
            <v>2017</v>
          </cell>
          <cell r="E5439">
            <v>1029</v>
          </cell>
          <cell r="F5439" t="str">
            <v>X2W-761</v>
          </cell>
          <cell r="G5439" t="str">
            <v>C5V-996</v>
          </cell>
          <cell r="H5439" t="str">
            <v>LAS BAMBAS</v>
          </cell>
          <cell r="I5439">
            <v>152928</v>
          </cell>
          <cell r="J5439" t="str">
            <v>REPUESTO</v>
          </cell>
          <cell r="K5439" t="str">
            <v>FOCO NARVA 17948 12V</v>
          </cell>
          <cell r="L5439">
            <v>1</v>
          </cell>
          <cell r="M5439" t="str">
            <v>UNID.</v>
          </cell>
          <cell r="N5439" t="str">
            <v>TRACTO</v>
          </cell>
          <cell r="O5439">
            <v>0</v>
          </cell>
          <cell r="P5439" t="str">
            <v>E2</v>
          </cell>
          <cell r="Q5439" t="str">
            <v>J1</v>
          </cell>
          <cell r="R5439" t="str">
            <v>J8</v>
          </cell>
          <cell r="S5439" t="str">
            <v>PENDIENTE</v>
          </cell>
          <cell r="T5439">
            <v>0</v>
          </cell>
          <cell r="U5439" t="str">
            <v>YUCA BELLIDO BORIS YERSY</v>
          </cell>
          <cell r="V5439" t="str">
            <v>FLOREZ CONDORI  JOSE WILLIANS</v>
          </cell>
        </row>
        <row r="5440">
          <cell r="A5440">
            <v>5439</v>
          </cell>
          <cell r="B5440">
            <v>42789</v>
          </cell>
          <cell r="C5440" t="str">
            <v>FEBRERO</v>
          </cell>
          <cell r="D5440" t="str">
            <v>2017</v>
          </cell>
          <cell r="E5440">
            <v>1091</v>
          </cell>
          <cell r="F5440" t="str">
            <v>D6G-805</v>
          </cell>
          <cell r="G5440" t="str">
            <v>T4Z-996</v>
          </cell>
          <cell r="H5440" t="str">
            <v>LAS BAMBAS</v>
          </cell>
          <cell r="I5440">
            <v>232154</v>
          </cell>
          <cell r="J5440" t="str">
            <v>REPUESTO</v>
          </cell>
          <cell r="K5440" t="str">
            <v>LLANTAS REENCAUCHADAS IZB</v>
          </cell>
          <cell r="L5440">
            <v>3</v>
          </cell>
          <cell r="M5440" t="str">
            <v>UNID.</v>
          </cell>
          <cell r="N5440" t="str">
            <v>CISTERNA</v>
          </cell>
          <cell r="O5440">
            <v>0</v>
          </cell>
          <cell r="P5440" t="str">
            <v>N2</v>
          </cell>
          <cell r="Q5440" t="str">
            <v>J1</v>
          </cell>
          <cell r="R5440" t="str">
            <v>J8</v>
          </cell>
          <cell r="S5440" t="str">
            <v>PENDIENTE</v>
          </cell>
          <cell r="T5440">
            <v>0</v>
          </cell>
          <cell r="U5440" t="str">
            <v>MAMANI LARICO  EDUARDO ALVARO</v>
          </cell>
          <cell r="V5440" t="str">
            <v>FLOREZ CONDORI  JOSE WILLIANS</v>
          </cell>
        </row>
        <row r="5441">
          <cell r="A5441">
            <v>5440</v>
          </cell>
          <cell r="B5441">
            <v>42789</v>
          </cell>
          <cell r="C5441" t="str">
            <v>FEBRERO</v>
          </cell>
          <cell r="D5441" t="str">
            <v>2017</v>
          </cell>
          <cell r="E5441">
            <v>1104</v>
          </cell>
          <cell r="F5441" t="str">
            <v>ABR-727</v>
          </cell>
          <cell r="G5441" t="str">
            <v>C9S-989</v>
          </cell>
          <cell r="H5441" t="str">
            <v>LAS BAMBAS</v>
          </cell>
          <cell r="I5441">
            <v>129265</v>
          </cell>
          <cell r="J5441" t="str">
            <v>REPUESTO</v>
          </cell>
          <cell r="K5441" t="str">
            <v>FOCO H3 12V</v>
          </cell>
          <cell r="L5441">
            <v>1</v>
          </cell>
          <cell r="M5441" t="str">
            <v>UNID.</v>
          </cell>
          <cell r="N5441" t="str">
            <v>CISTERNA</v>
          </cell>
          <cell r="O5441">
            <v>0</v>
          </cell>
          <cell r="P5441" t="str">
            <v>E3</v>
          </cell>
          <cell r="Q5441" t="str">
            <v>J1</v>
          </cell>
          <cell r="R5441" t="str">
            <v>J8</v>
          </cell>
          <cell r="S5441" t="str">
            <v>PENDIENTE</v>
          </cell>
          <cell r="T5441">
            <v>0</v>
          </cell>
          <cell r="U5441" t="str">
            <v>CONDORI CHURATA ALEX</v>
          </cell>
          <cell r="V5441" t="str">
            <v>FLOREZ CONDORI  JOSE WILLIANS</v>
          </cell>
        </row>
        <row r="5442">
          <cell r="A5442">
            <v>5441</v>
          </cell>
          <cell r="B5442">
            <v>42789</v>
          </cell>
          <cell r="C5442" t="str">
            <v>FEBRERO</v>
          </cell>
          <cell r="D5442" t="str">
            <v>2017</v>
          </cell>
          <cell r="E5442">
            <v>1020</v>
          </cell>
          <cell r="F5442" t="str">
            <v>D3S-725</v>
          </cell>
          <cell r="G5442" t="str">
            <v>TBL-977</v>
          </cell>
          <cell r="H5442" t="str">
            <v>LAS BAMBAS</v>
          </cell>
          <cell r="I5442">
            <v>154037</v>
          </cell>
          <cell r="J5442" t="str">
            <v>REPUESTO</v>
          </cell>
          <cell r="K5442" t="str">
            <v>FARO NEBLINERO</v>
          </cell>
          <cell r="L5442">
            <v>1</v>
          </cell>
          <cell r="M5442" t="str">
            <v>UNID.</v>
          </cell>
          <cell r="N5442" t="str">
            <v>TRACTO</v>
          </cell>
          <cell r="O5442">
            <v>0</v>
          </cell>
          <cell r="P5442" t="str">
            <v>E3</v>
          </cell>
          <cell r="Q5442" t="str">
            <v>J1</v>
          </cell>
          <cell r="R5442" t="str">
            <v>J8</v>
          </cell>
          <cell r="S5442" t="str">
            <v>PENDIENTE</v>
          </cell>
          <cell r="T5442">
            <v>0</v>
          </cell>
          <cell r="U5442" t="str">
            <v>CONDORI CHURATA ALEX</v>
          </cell>
          <cell r="V5442" t="str">
            <v>FLOREZ CONDORI  JOSE WILLIANS</v>
          </cell>
        </row>
        <row r="5443">
          <cell r="A5443">
            <v>5442</v>
          </cell>
          <cell r="B5443">
            <v>42789</v>
          </cell>
          <cell r="C5443" t="str">
            <v>FEBRERO</v>
          </cell>
          <cell r="D5443" t="str">
            <v>2017</v>
          </cell>
          <cell r="E5443">
            <v>0</v>
          </cell>
          <cell r="F5443" t="str">
            <v/>
          </cell>
          <cell r="G5443" t="str">
            <v/>
          </cell>
          <cell r="H5443" t="str">
            <v/>
          </cell>
          <cell r="I5443" t="str">
            <v/>
          </cell>
          <cell r="J5443">
            <v>0</v>
          </cell>
          <cell r="K5443">
            <v>0</v>
          </cell>
          <cell r="L5443">
            <v>0</v>
          </cell>
          <cell r="M5443">
            <v>0</v>
          </cell>
          <cell r="N5443">
            <v>0</v>
          </cell>
          <cell r="O5443">
            <v>0</v>
          </cell>
          <cell r="P5443">
            <v>0</v>
          </cell>
          <cell r="Q5443">
            <v>0</v>
          </cell>
          <cell r="R5443">
            <v>0</v>
          </cell>
          <cell r="S5443">
            <v>0</v>
          </cell>
          <cell r="T5443">
            <v>0</v>
          </cell>
          <cell r="U5443" t="str">
            <v/>
          </cell>
          <cell r="V5443" t="str">
            <v/>
          </cell>
        </row>
        <row r="5444">
          <cell r="A5444">
            <v>5443</v>
          </cell>
          <cell r="B5444">
            <v>42789</v>
          </cell>
          <cell r="C5444" t="str">
            <v>FEBRERO</v>
          </cell>
          <cell r="D5444" t="str">
            <v>2017</v>
          </cell>
          <cell r="E5444">
            <v>0</v>
          </cell>
          <cell r="F5444" t="str">
            <v/>
          </cell>
          <cell r="G5444" t="str">
            <v/>
          </cell>
          <cell r="H5444" t="str">
            <v/>
          </cell>
          <cell r="I5444" t="str">
            <v/>
          </cell>
          <cell r="J5444">
            <v>0</v>
          </cell>
          <cell r="K5444">
            <v>0</v>
          </cell>
          <cell r="L5444">
            <v>0</v>
          </cell>
          <cell r="M5444">
            <v>0</v>
          </cell>
          <cell r="N5444">
            <v>0</v>
          </cell>
          <cell r="O5444">
            <v>0</v>
          </cell>
          <cell r="P5444">
            <v>0</v>
          </cell>
          <cell r="Q5444">
            <v>0</v>
          </cell>
          <cell r="R5444">
            <v>0</v>
          </cell>
          <cell r="S5444">
            <v>0</v>
          </cell>
          <cell r="T5444">
            <v>0</v>
          </cell>
          <cell r="U5444" t="str">
            <v/>
          </cell>
          <cell r="V5444" t="str">
            <v/>
          </cell>
        </row>
        <row r="5445">
          <cell r="A5445">
            <v>5444</v>
          </cell>
          <cell r="B5445">
            <v>42789</v>
          </cell>
          <cell r="C5445" t="str">
            <v>FEBRERO</v>
          </cell>
          <cell r="D5445" t="str">
            <v>2017</v>
          </cell>
          <cell r="E5445">
            <v>0</v>
          </cell>
          <cell r="F5445" t="str">
            <v/>
          </cell>
          <cell r="G5445" t="str">
            <v/>
          </cell>
          <cell r="H5445" t="str">
            <v/>
          </cell>
          <cell r="I5445" t="str">
            <v/>
          </cell>
          <cell r="J5445">
            <v>0</v>
          </cell>
          <cell r="K5445">
            <v>0</v>
          </cell>
          <cell r="L5445">
            <v>0</v>
          </cell>
          <cell r="M5445">
            <v>0</v>
          </cell>
          <cell r="N5445">
            <v>0</v>
          </cell>
          <cell r="O5445">
            <v>0</v>
          </cell>
          <cell r="P5445">
            <v>0</v>
          </cell>
          <cell r="Q5445">
            <v>0</v>
          </cell>
          <cell r="R5445">
            <v>0</v>
          </cell>
          <cell r="S5445">
            <v>0</v>
          </cell>
          <cell r="T5445">
            <v>0</v>
          </cell>
          <cell r="U5445" t="str">
            <v/>
          </cell>
          <cell r="V5445" t="str">
            <v/>
          </cell>
        </row>
        <row r="5446">
          <cell r="A5446">
            <v>5445</v>
          </cell>
          <cell r="B5446">
            <v>0</v>
          </cell>
          <cell r="C5446" t="str">
            <v/>
          </cell>
          <cell r="D5446" t="str">
            <v/>
          </cell>
          <cell r="E5446">
            <v>0</v>
          </cell>
          <cell r="F5446" t="str">
            <v/>
          </cell>
          <cell r="G5446" t="str">
            <v/>
          </cell>
          <cell r="H5446" t="str">
            <v/>
          </cell>
          <cell r="I5446" t="str">
            <v/>
          </cell>
          <cell r="J5446">
            <v>0</v>
          </cell>
          <cell r="K5446">
            <v>0</v>
          </cell>
          <cell r="L5446">
            <v>0</v>
          </cell>
          <cell r="M5446">
            <v>0</v>
          </cell>
          <cell r="N5446">
            <v>0</v>
          </cell>
          <cell r="O5446" t="str">
            <v/>
          </cell>
          <cell r="P5446">
            <v>0</v>
          </cell>
          <cell r="Q5446">
            <v>0</v>
          </cell>
          <cell r="R5446">
            <v>0</v>
          </cell>
          <cell r="S5446">
            <v>0</v>
          </cell>
          <cell r="T5446">
            <v>0</v>
          </cell>
          <cell r="U5446" t="str">
            <v/>
          </cell>
          <cell r="V5446" t="str">
            <v/>
          </cell>
        </row>
        <row r="5447">
          <cell r="A5447">
            <v>5446</v>
          </cell>
          <cell r="B5447">
            <v>0</v>
          </cell>
          <cell r="C5447" t="str">
            <v/>
          </cell>
          <cell r="D5447" t="str">
            <v/>
          </cell>
          <cell r="E5447">
            <v>0</v>
          </cell>
          <cell r="F5447" t="str">
            <v/>
          </cell>
          <cell r="G5447" t="str">
            <v/>
          </cell>
          <cell r="H5447" t="str">
            <v/>
          </cell>
          <cell r="I5447" t="str">
            <v/>
          </cell>
          <cell r="J5447">
            <v>0</v>
          </cell>
          <cell r="K5447">
            <v>0</v>
          </cell>
          <cell r="L5447">
            <v>0</v>
          </cell>
          <cell r="M5447">
            <v>0</v>
          </cell>
          <cell r="N5447">
            <v>0</v>
          </cell>
          <cell r="O5447" t="str">
            <v/>
          </cell>
          <cell r="P5447">
            <v>0</v>
          </cell>
          <cell r="Q5447">
            <v>0</v>
          </cell>
          <cell r="R5447">
            <v>0</v>
          </cell>
          <cell r="S5447">
            <v>0</v>
          </cell>
          <cell r="T5447">
            <v>0</v>
          </cell>
          <cell r="U5447" t="str">
            <v/>
          </cell>
          <cell r="V5447" t="str">
            <v/>
          </cell>
        </row>
        <row r="5448">
          <cell r="A5448">
            <v>5447</v>
          </cell>
          <cell r="B5448">
            <v>0</v>
          </cell>
          <cell r="C5448" t="str">
            <v/>
          </cell>
          <cell r="D5448" t="str">
            <v/>
          </cell>
          <cell r="E5448">
            <v>0</v>
          </cell>
          <cell r="F5448" t="str">
            <v/>
          </cell>
          <cell r="G5448" t="str">
            <v/>
          </cell>
          <cell r="H5448" t="str">
            <v/>
          </cell>
          <cell r="I5448" t="str">
            <v/>
          </cell>
          <cell r="J5448">
            <v>0</v>
          </cell>
          <cell r="K5448">
            <v>0</v>
          </cell>
          <cell r="L5448">
            <v>0</v>
          </cell>
          <cell r="M5448">
            <v>0</v>
          </cell>
          <cell r="N5448">
            <v>0</v>
          </cell>
          <cell r="O5448" t="str">
            <v/>
          </cell>
          <cell r="P5448">
            <v>0</v>
          </cell>
          <cell r="Q5448">
            <v>0</v>
          </cell>
          <cell r="R5448">
            <v>0</v>
          </cell>
          <cell r="S5448">
            <v>0</v>
          </cell>
          <cell r="T5448">
            <v>0</v>
          </cell>
          <cell r="U5448" t="str">
            <v/>
          </cell>
          <cell r="V5448" t="str">
            <v/>
          </cell>
        </row>
        <row r="5449">
          <cell r="A5449">
            <v>5448</v>
          </cell>
          <cell r="B5449">
            <v>0</v>
          </cell>
          <cell r="C5449" t="str">
            <v/>
          </cell>
          <cell r="D5449" t="str">
            <v/>
          </cell>
          <cell r="E5449">
            <v>0</v>
          </cell>
          <cell r="F5449" t="str">
            <v/>
          </cell>
          <cell r="G5449" t="str">
            <v/>
          </cell>
          <cell r="H5449" t="str">
            <v/>
          </cell>
          <cell r="I5449" t="str">
            <v/>
          </cell>
          <cell r="J5449">
            <v>0</v>
          </cell>
          <cell r="K5449">
            <v>0</v>
          </cell>
          <cell r="L5449">
            <v>0</v>
          </cell>
          <cell r="M5449">
            <v>0</v>
          </cell>
          <cell r="N5449">
            <v>0</v>
          </cell>
          <cell r="O5449" t="str">
            <v/>
          </cell>
          <cell r="P5449">
            <v>0</v>
          </cell>
          <cell r="Q5449">
            <v>0</v>
          </cell>
          <cell r="R5449">
            <v>0</v>
          </cell>
          <cell r="S5449">
            <v>0</v>
          </cell>
          <cell r="T5449">
            <v>0</v>
          </cell>
          <cell r="U5449" t="str">
            <v/>
          </cell>
          <cell r="V5449" t="str">
            <v/>
          </cell>
        </row>
        <row r="5450">
          <cell r="A5450">
            <v>5449</v>
          </cell>
          <cell r="B5450">
            <v>0</v>
          </cell>
          <cell r="C5450" t="str">
            <v/>
          </cell>
          <cell r="D5450" t="str">
            <v/>
          </cell>
          <cell r="E5450">
            <v>0</v>
          </cell>
          <cell r="F5450" t="str">
            <v/>
          </cell>
          <cell r="G5450" t="str">
            <v/>
          </cell>
          <cell r="H5450" t="str">
            <v/>
          </cell>
          <cell r="I5450" t="str">
            <v/>
          </cell>
          <cell r="J5450">
            <v>0</v>
          </cell>
          <cell r="K5450">
            <v>0</v>
          </cell>
          <cell r="L5450">
            <v>0</v>
          </cell>
          <cell r="M5450">
            <v>0</v>
          </cell>
          <cell r="N5450">
            <v>0</v>
          </cell>
          <cell r="O5450" t="str">
            <v/>
          </cell>
          <cell r="P5450">
            <v>0</v>
          </cell>
          <cell r="Q5450">
            <v>0</v>
          </cell>
          <cell r="R5450">
            <v>0</v>
          </cell>
          <cell r="S5450">
            <v>0</v>
          </cell>
          <cell r="T5450">
            <v>0</v>
          </cell>
          <cell r="U5450" t="str">
            <v/>
          </cell>
          <cell r="V5450" t="str">
            <v/>
          </cell>
        </row>
        <row r="5451">
          <cell r="A5451">
            <v>5450</v>
          </cell>
          <cell r="B5451">
            <v>0</v>
          </cell>
          <cell r="C5451" t="str">
            <v/>
          </cell>
          <cell r="D5451" t="str">
            <v/>
          </cell>
          <cell r="E5451">
            <v>0</v>
          </cell>
          <cell r="F5451" t="str">
            <v/>
          </cell>
          <cell r="G5451" t="str">
            <v/>
          </cell>
          <cell r="H5451" t="str">
            <v/>
          </cell>
          <cell r="I5451" t="str">
            <v/>
          </cell>
          <cell r="J5451">
            <v>0</v>
          </cell>
          <cell r="K5451">
            <v>0</v>
          </cell>
          <cell r="L5451">
            <v>0</v>
          </cell>
          <cell r="M5451">
            <v>0</v>
          </cell>
          <cell r="N5451">
            <v>0</v>
          </cell>
          <cell r="O5451" t="str">
            <v/>
          </cell>
          <cell r="P5451">
            <v>0</v>
          </cell>
          <cell r="Q5451">
            <v>0</v>
          </cell>
          <cell r="R5451">
            <v>0</v>
          </cell>
          <cell r="S5451">
            <v>0</v>
          </cell>
          <cell r="T5451">
            <v>0</v>
          </cell>
          <cell r="U5451" t="str">
            <v/>
          </cell>
          <cell r="V5451" t="str">
            <v/>
          </cell>
        </row>
        <row r="5452">
          <cell r="A5452">
            <v>5451</v>
          </cell>
          <cell r="B5452">
            <v>0</v>
          </cell>
          <cell r="C5452" t="str">
            <v/>
          </cell>
          <cell r="D5452" t="str">
            <v/>
          </cell>
          <cell r="E5452">
            <v>0</v>
          </cell>
          <cell r="F5452" t="str">
            <v/>
          </cell>
          <cell r="G5452" t="str">
            <v/>
          </cell>
          <cell r="H5452" t="str">
            <v/>
          </cell>
          <cell r="I5452" t="str">
            <v/>
          </cell>
          <cell r="J5452">
            <v>0</v>
          </cell>
          <cell r="K5452">
            <v>0</v>
          </cell>
          <cell r="L5452">
            <v>0</v>
          </cell>
          <cell r="M5452">
            <v>0</v>
          </cell>
          <cell r="N5452">
            <v>0</v>
          </cell>
          <cell r="O5452" t="str">
            <v/>
          </cell>
          <cell r="P5452">
            <v>0</v>
          </cell>
          <cell r="Q5452">
            <v>0</v>
          </cell>
          <cell r="R5452">
            <v>0</v>
          </cell>
          <cell r="S5452">
            <v>0</v>
          </cell>
          <cell r="T5452">
            <v>0</v>
          </cell>
          <cell r="U5452" t="str">
            <v/>
          </cell>
          <cell r="V5452" t="str">
            <v/>
          </cell>
        </row>
        <row r="5453">
          <cell r="A5453">
            <v>5452</v>
          </cell>
          <cell r="B5453">
            <v>0</v>
          </cell>
          <cell r="C5453" t="str">
            <v/>
          </cell>
          <cell r="D5453" t="str">
            <v/>
          </cell>
          <cell r="E5453">
            <v>0</v>
          </cell>
          <cell r="F5453" t="str">
            <v/>
          </cell>
          <cell r="G5453" t="str">
            <v/>
          </cell>
          <cell r="H5453" t="str">
            <v/>
          </cell>
          <cell r="I5453" t="str">
            <v/>
          </cell>
          <cell r="J5453">
            <v>0</v>
          </cell>
          <cell r="K5453">
            <v>0</v>
          </cell>
          <cell r="L5453">
            <v>0</v>
          </cell>
          <cell r="M5453">
            <v>0</v>
          </cell>
          <cell r="N5453">
            <v>0</v>
          </cell>
          <cell r="O5453" t="str">
            <v/>
          </cell>
          <cell r="P5453">
            <v>0</v>
          </cell>
          <cell r="Q5453">
            <v>0</v>
          </cell>
          <cell r="R5453">
            <v>0</v>
          </cell>
          <cell r="S5453">
            <v>0</v>
          </cell>
          <cell r="T5453">
            <v>0</v>
          </cell>
          <cell r="U5453" t="str">
            <v/>
          </cell>
          <cell r="V5453" t="str">
            <v/>
          </cell>
        </row>
        <row r="5454">
          <cell r="A5454">
            <v>5453</v>
          </cell>
          <cell r="B5454">
            <v>0</v>
          </cell>
          <cell r="C5454" t="str">
            <v/>
          </cell>
          <cell r="D5454" t="str">
            <v/>
          </cell>
          <cell r="E5454">
            <v>0</v>
          </cell>
          <cell r="F5454" t="str">
            <v/>
          </cell>
          <cell r="G5454" t="str">
            <v/>
          </cell>
          <cell r="H5454" t="str">
            <v/>
          </cell>
          <cell r="I5454" t="str">
            <v/>
          </cell>
          <cell r="J5454">
            <v>0</v>
          </cell>
          <cell r="K5454">
            <v>0</v>
          </cell>
          <cell r="L5454">
            <v>0</v>
          </cell>
          <cell r="M5454">
            <v>0</v>
          </cell>
          <cell r="N5454">
            <v>0</v>
          </cell>
          <cell r="O5454" t="str">
            <v/>
          </cell>
          <cell r="P5454">
            <v>0</v>
          </cell>
          <cell r="Q5454">
            <v>0</v>
          </cell>
          <cell r="R5454">
            <v>0</v>
          </cell>
          <cell r="S5454">
            <v>0</v>
          </cell>
          <cell r="T5454">
            <v>0</v>
          </cell>
          <cell r="U5454" t="str">
            <v/>
          </cell>
          <cell r="V5454" t="str">
            <v/>
          </cell>
        </row>
        <row r="5455">
          <cell r="A5455">
            <v>5454</v>
          </cell>
          <cell r="B5455">
            <v>0</v>
          </cell>
          <cell r="C5455" t="str">
            <v/>
          </cell>
          <cell r="D5455" t="str">
            <v/>
          </cell>
          <cell r="E5455">
            <v>0</v>
          </cell>
          <cell r="F5455" t="str">
            <v/>
          </cell>
          <cell r="G5455" t="str">
            <v/>
          </cell>
          <cell r="H5455" t="str">
            <v/>
          </cell>
          <cell r="I5455" t="str">
            <v/>
          </cell>
          <cell r="J5455">
            <v>0</v>
          </cell>
          <cell r="K5455">
            <v>0</v>
          </cell>
          <cell r="L5455">
            <v>0</v>
          </cell>
          <cell r="M5455">
            <v>0</v>
          </cell>
          <cell r="N5455">
            <v>0</v>
          </cell>
          <cell r="O5455" t="str">
            <v/>
          </cell>
          <cell r="P5455">
            <v>0</v>
          </cell>
          <cell r="Q5455">
            <v>0</v>
          </cell>
          <cell r="R5455">
            <v>0</v>
          </cell>
          <cell r="S5455">
            <v>0</v>
          </cell>
          <cell r="T5455">
            <v>0</v>
          </cell>
          <cell r="U5455" t="str">
            <v/>
          </cell>
          <cell r="V5455" t="str">
            <v/>
          </cell>
        </row>
        <row r="5456">
          <cell r="A5456">
            <v>5455</v>
          </cell>
          <cell r="B5456">
            <v>0</v>
          </cell>
          <cell r="C5456" t="str">
            <v/>
          </cell>
          <cell r="D5456" t="str">
            <v/>
          </cell>
          <cell r="E5456">
            <v>0</v>
          </cell>
          <cell r="F5456" t="str">
            <v/>
          </cell>
          <cell r="G5456" t="str">
            <v/>
          </cell>
          <cell r="H5456" t="str">
            <v/>
          </cell>
          <cell r="I5456" t="str">
            <v/>
          </cell>
          <cell r="J5456">
            <v>0</v>
          </cell>
          <cell r="K5456">
            <v>0</v>
          </cell>
          <cell r="L5456">
            <v>0</v>
          </cell>
          <cell r="M5456">
            <v>0</v>
          </cell>
          <cell r="N5456">
            <v>0</v>
          </cell>
          <cell r="O5456" t="str">
            <v/>
          </cell>
          <cell r="P5456">
            <v>0</v>
          </cell>
          <cell r="Q5456">
            <v>0</v>
          </cell>
          <cell r="R5456">
            <v>0</v>
          </cell>
          <cell r="S5456">
            <v>0</v>
          </cell>
          <cell r="T5456">
            <v>0</v>
          </cell>
          <cell r="U5456" t="str">
            <v/>
          </cell>
          <cell r="V5456" t="str">
            <v/>
          </cell>
        </row>
        <row r="5457">
          <cell r="A5457">
            <v>5456</v>
          </cell>
          <cell r="B5457">
            <v>0</v>
          </cell>
          <cell r="C5457" t="str">
            <v/>
          </cell>
          <cell r="D5457" t="str">
            <v/>
          </cell>
          <cell r="E5457">
            <v>0</v>
          </cell>
          <cell r="F5457" t="str">
            <v/>
          </cell>
          <cell r="G5457" t="str">
            <v/>
          </cell>
          <cell r="H5457" t="str">
            <v/>
          </cell>
          <cell r="I5457" t="str">
            <v/>
          </cell>
          <cell r="J5457">
            <v>0</v>
          </cell>
          <cell r="K5457">
            <v>0</v>
          </cell>
          <cell r="L5457">
            <v>0</v>
          </cell>
          <cell r="M5457">
            <v>0</v>
          </cell>
          <cell r="N5457">
            <v>0</v>
          </cell>
          <cell r="O5457" t="str">
            <v/>
          </cell>
          <cell r="P5457">
            <v>0</v>
          </cell>
          <cell r="Q5457">
            <v>0</v>
          </cell>
          <cell r="R5457">
            <v>0</v>
          </cell>
          <cell r="S5457">
            <v>0</v>
          </cell>
          <cell r="T5457">
            <v>0</v>
          </cell>
          <cell r="U5457" t="str">
            <v/>
          </cell>
          <cell r="V5457" t="str">
            <v/>
          </cell>
        </row>
        <row r="5458">
          <cell r="A5458">
            <v>5457</v>
          </cell>
          <cell r="B5458">
            <v>0</v>
          </cell>
          <cell r="C5458" t="str">
            <v/>
          </cell>
          <cell r="D5458" t="str">
            <v/>
          </cell>
          <cell r="E5458">
            <v>0</v>
          </cell>
          <cell r="F5458" t="str">
            <v/>
          </cell>
          <cell r="G5458" t="str">
            <v/>
          </cell>
          <cell r="H5458" t="str">
            <v/>
          </cell>
          <cell r="I5458" t="str">
            <v/>
          </cell>
          <cell r="J5458">
            <v>0</v>
          </cell>
          <cell r="K5458">
            <v>0</v>
          </cell>
          <cell r="L5458">
            <v>0</v>
          </cell>
          <cell r="M5458">
            <v>0</v>
          </cell>
          <cell r="N5458">
            <v>0</v>
          </cell>
          <cell r="O5458" t="str">
            <v/>
          </cell>
          <cell r="P5458">
            <v>0</v>
          </cell>
          <cell r="Q5458">
            <v>0</v>
          </cell>
          <cell r="R5458">
            <v>0</v>
          </cell>
          <cell r="S5458">
            <v>0</v>
          </cell>
          <cell r="T5458">
            <v>0</v>
          </cell>
          <cell r="U5458" t="str">
            <v/>
          </cell>
          <cell r="V5458" t="str">
            <v/>
          </cell>
        </row>
        <row r="5459">
          <cell r="A5459">
            <v>5458</v>
          </cell>
          <cell r="B5459">
            <v>0</v>
          </cell>
          <cell r="C5459" t="str">
            <v/>
          </cell>
          <cell r="D5459" t="str">
            <v/>
          </cell>
          <cell r="E5459">
            <v>0</v>
          </cell>
          <cell r="F5459" t="str">
            <v/>
          </cell>
          <cell r="G5459" t="str">
            <v/>
          </cell>
          <cell r="H5459" t="str">
            <v/>
          </cell>
          <cell r="I5459" t="str">
            <v/>
          </cell>
          <cell r="J5459">
            <v>0</v>
          </cell>
          <cell r="K5459">
            <v>0</v>
          </cell>
          <cell r="L5459">
            <v>0</v>
          </cell>
          <cell r="M5459">
            <v>0</v>
          </cell>
          <cell r="N5459">
            <v>0</v>
          </cell>
          <cell r="O5459" t="str">
            <v/>
          </cell>
          <cell r="P5459">
            <v>0</v>
          </cell>
          <cell r="Q5459">
            <v>0</v>
          </cell>
          <cell r="R5459">
            <v>0</v>
          </cell>
          <cell r="S5459">
            <v>0</v>
          </cell>
          <cell r="T5459">
            <v>0</v>
          </cell>
          <cell r="U5459" t="str">
            <v/>
          </cell>
          <cell r="V5459" t="str">
            <v/>
          </cell>
        </row>
        <row r="5460">
          <cell r="A5460">
            <v>5459</v>
          </cell>
          <cell r="B5460">
            <v>0</v>
          </cell>
          <cell r="C5460" t="str">
            <v/>
          </cell>
          <cell r="D5460" t="str">
            <v/>
          </cell>
          <cell r="E5460">
            <v>0</v>
          </cell>
          <cell r="F5460" t="str">
            <v/>
          </cell>
          <cell r="G5460" t="str">
            <v/>
          </cell>
          <cell r="H5460" t="str">
            <v/>
          </cell>
          <cell r="I5460" t="str">
            <v/>
          </cell>
          <cell r="J5460">
            <v>0</v>
          </cell>
          <cell r="K5460">
            <v>0</v>
          </cell>
          <cell r="L5460">
            <v>0</v>
          </cell>
          <cell r="M5460">
            <v>0</v>
          </cell>
          <cell r="N5460">
            <v>0</v>
          </cell>
          <cell r="O5460" t="str">
            <v/>
          </cell>
          <cell r="P5460">
            <v>0</v>
          </cell>
          <cell r="Q5460">
            <v>0</v>
          </cell>
          <cell r="R5460">
            <v>0</v>
          </cell>
          <cell r="S5460">
            <v>0</v>
          </cell>
          <cell r="T5460">
            <v>0</v>
          </cell>
          <cell r="U5460" t="str">
            <v/>
          </cell>
          <cell r="V5460" t="str">
            <v/>
          </cell>
        </row>
        <row r="5461">
          <cell r="A5461">
            <v>5460</v>
          </cell>
          <cell r="B5461">
            <v>0</v>
          </cell>
          <cell r="C5461" t="str">
            <v/>
          </cell>
          <cell r="D5461" t="str">
            <v/>
          </cell>
          <cell r="E5461">
            <v>0</v>
          </cell>
          <cell r="F5461" t="str">
            <v/>
          </cell>
          <cell r="G5461" t="str">
            <v/>
          </cell>
          <cell r="H5461" t="str">
            <v/>
          </cell>
          <cell r="I5461" t="str">
            <v/>
          </cell>
          <cell r="J5461">
            <v>0</v>
          </cell>
          <cell r="K5461">
            <v>0</v>
          </cell>
          <cell r="L5461">
            <v>0</v>
          </cell>
          <cell r="M5461">
            <v>0</v>
          </cell>
          <cell r="N5461">
            <v>0</v>
          </cell>
          <cell r="O5461" t="str">
            <v/>
          </cell>
          <cell r="P5461">
            <v>0</v>
          </cell>
          <cell r="Q5461">
            <v>0</v>
          </cell>
          <cell r="R5461">
            <v>0</v>
          </cell>
          <cell r="S5461">
            <v>0</v>
          </cell>
          <cell r="T5461">
            <v>0</v>
          </cell>
          <cell r="U5461" t="str">
            <v/>
          </cell>
          <cell r="V5461" t="str">
            <v/>
          </cell>
        </row>
        <row r="5462">
          <cell r="A5462">
            <v>5461</v>
          </cell>
          <cell r="B5462">
            <v>0</v>
          </cell>
          <cell r="C5462" t="str">
            <v/>
          </cell>
          <cell r="D5462" t="str">
            <v/>
          </cell>
          <cell r="E5462">
            <v>0</v>
          </cell>
          <cell r="F5462" t="str">
            <v/>
          </cell>
          <cell r="G5462" t="str">
            <v/>
          </cell>
          <cell r="H5462" t="str">
            <v/>
          </cell>
          <cell r="I5462" t="str">
            <v/>
          </cell>
          <cell r="J5462">
            <v>0</v>
          </cell>
          <cell r="K5462">
            <v>0</v>
          </cell>
          <cell r="L5462">
            <v>0</v>
          </cell>
          <cell r="M5462">
            <v>0</v>
          </cell>
          <cell r="N5462">
            <v>0</v>
          </cell>
          <cell r="O5462" t="str">
            <v/>
          </cell>
          <cell r="P5462">
            <v>0</v>
          </cell>
          <cell r="Q5462">
            <v>0</v>
          </cell>
          <cell r="R5462">
            <v>0</v>
          </cell>
          <cell r="S5462">
            <v>0</v>
          </cell>
          <cell r="T5462">
            <v>0</v>
          </cell>
          <cell r="U5462" t="str">
            <v/>
          </cell>
          <cell r="V5462" t="str">
            <v/>
          </cell>
        </row>
        <row r="5463">
          <cell r="A5463">
            <v>5462</v>
          </cell>
          <cell r="B5463">
            <v>0</v>
          </cell>
          <cell r="C5463" t="str">
            <v/>
          </cell>
          <cell r="D5463" t="str">
            <v/>
          </cell>
          <cell r="E5463">
            <v>0</v>
          </cell>
          <cell r="F5463" t="str">
            <v/>
          </cell>
          <cell r="G5463" t="str">
            <v/>
          </cell>
          <cell r="H5463" t="str">
            <v/>
          </cell>
          <cell r="I5463" t="str">
            <v/>
          </cell>
          <cell r="J5463">
            <v>0</v>
          </cell>
          <cell r="K5463">
            <v>0</v>
          </cell>
          <cell r="L5463">
            <v>0</v>
          </cell>
          <cell r="M5463">
            <v>0</v>
          </cell>
          <cell r="N5463">
            <v>0</v>
          </cell>
          <cell r="O5463" t="str">
            <v/>
          </cell>
          <cell r="P5463">
            <v>0</v>
          </cell>
          <cell r="Q5463">
            <v>0</v>
          </cell>
          <cell r="R5463">
            <v>0</v>
          </cell>
          <cell r="S5463">
            <v>0</v>
          </cell>
          <cell r="T5463">
            <v>0</v>
          </cell>
          <cell r="U5463" t="str">
            <v/>
          </cell>
          <cell r="V5463" t="str">
            <v/>
          </cell>
        </row>
        <row r="5464">
          <cell r="A5464">
            <v>5463</v>
          </cell>
          <cell r="B5464">
            <v>0</v>
          </cell>
          <cell r="C5464" t="str">
            <v/>
          </cell>
          <cell r="D5464" t="str">
            <v/>
          </cell>
          <cell r="E5464">
            <v>0</v>
          </cell>
          <cell r="F5464" t="str">
            <v/>
          </cell>
          <cell r="G5464" t="str">
            <v/>
          </cell>
          <cell r="H5464" t="str">
            <v/>
          </cell>
          <cell r="I5464" t="str">
            <v/>
          </cell>
          <cell r="J5464">
            <v>0</v>
          </cell>
          <cell r="K5464">
            <v>0</v>
          </cell>
          <cell r="L5464">
            <v>0</v>
          </cell>
          <cell r="M5464">
            <v>0</v>
          </cell>
          <cell r="N5464">
            <v>0</v>
          </cell>
          <cell r="O5464" t="str">
            <v/>
          </cell>
          <cell r="P5464">
            <v>0</v>
          </cell>
          <cell r="Q5464">
            <v>0</v>
          </cell>
          <cell r="R5464">
            <v>0</v>
          </cell>
          <cell r="S5464">
            <v>0</v>
          </cell>
          <cell r="T5464">
            <v>0</v>
          </cell>
          <cell r="U5464" t="str">
            <v/>
          </cell>
          <cell r="V5464" t="str">
            <v/>
          </cell>
        </row>
        <row r="5465">
          <cell r="A5465">
            <v>5464</v>
          </cell>
          <cell r="B5465">
            <v>0</v>
          </cell>
          <cell r="C5465" t="str">
            <v/>
          </cell>
          <cell r="D5465" t="str">
            <v/>
          </cell>
          <cell r="E5465">
            <v>0</v>
          </cell>
          <cell r="F5465" t="str">
            <v/>
          </cell>
          <cell r="G5465" t="str">
            <v/>
          </cell>
          <cell r="H5465" t="str">
            <v/>
          </cell>
          <cell r="I5465" t="str">
            <v/>
          </cell>
          <cell r="J5465">
            <v>0</v>
          </cell>
          <cell r="K5465">
            <v>0</v>
          </cell>
          <cell r="L5465">
            <v>0</v>
          </cell>
          <cell r="M5465">
            <v>0</v>
          </cell>
          <cell r="N5465">
            <v>0</v>
          </cell>
          <cell r="O5465" t="str">
            <v/>
          </cell>
          <cell r="P5465">
            <v>0</v>
          </cell>
          <cell r="Q5465">
            <v>0</v>
          </cell>
          <cell r="R5465">
            <v>0</v>
          </cell>
          <cell r="S5465">
            <v>0</v>
          </cell>
          <cell r="T5465">
            <v>0</v>
          </cell>
          <cell r="U5465" t="str">
            <v/>
          </cell>
          <cell r="V5465" t="str">
            <v/>
          </cell>
        </row>
        <row r="5466">
          <cell r="A5466">
            <v>5465</v>
          </cell>
          <cell r="B5466">
            <v>0</v>
          </cell>
          <cell r="C5466" t="str">
            <v/>
          </cell>
          <cell r="D5466" t="str">
            <v/>
          </cell>
          <cell r="E5466">
            <v>0</v>
          </cell>
          <cell r="F5466" t="str">
            <v/>
          </cell>
          <cell r="G5466" t="str">
            <v/>
          </cell>
          <cell r="H5466" t="str">
            <v/>
          </cell>
          <cell r="I5466" t="str">
            <v/>
          </cell>
          <cell r="J5466">
            <v>0</v>
          </cell>
          <cell r="K5466">
            <v>0</v>
          </cell>
          <cell r="L5466">
            <v>0</v>
          </cell>
          <cell r="M5466">
            <v>0</v>
          </cell>
          <cell r="N5466">
            <v>0</v>
          </cell>
          <cell r="O5466" t="str">
            <v/>
          </cell>
          <cell r="P5466">
            <v>0</v>
          </cell>
          <cell r="Q5466">
            <v>0</v>
          </cell>
          <cell r="R5466">
            <v>0</v>
          </cell>
          <cell r="S5466">
            <v>0</v>
          </cell>
          <cell r="T5466">
            <v>0</v>
          </cell>
          <cell r="U5466" t="str">
            <v/>
          </cell>
          <cell r="V5466" t="str">
            <v/>
          </cell>
        </row>
        <row r="5467">
          <cell r="A5467">
            <v>5466</v>
          </cell>
          <cell r="B5467">
            <v>0</v>
          </cell>
          <cell r="C5467" t="str">
            <v/>
          </cell>
          <cell r="D5467" t="str">
            <v/>
          </cell>
          <cell r="E5467">
            <v>0</v>
          </cell>
          <cell r="F5467" t="str">
            <v/>
          </cell>
          <cell r="G5467" t="str">
            <v/>
          </cell>
          <cell r="H5467" t="str">
            <v/>
          </cell>
          <cell r="I5467" t="str">
            <v/>
          </cell>
          <cell r="J5467">
            <v>0</v>
          </cell>
          <cell r="K5467">
            <v>0</v>
          </cell>
          <cell r="L5467">
            <v>0</v>
          </cell>
          <cell r="M5467">
            <v>0</v>
          </cell>
          <cell r="N5467">
            <v>0</v>
          </cell>
          <cell r="O5467" t="str">
            <v/>
          </cell>
          <cell r="P5467">
            <v>0</v>
          </cell>
          <cell r="Q5467">
            <v>0</v>
          </cell>
          <cell r="R5467">
            <v>0</v>
          </cell>
          <cell r="S5467">
            <v>0</v>
          </cell>
          <cell r="T5467">
            <v>0</v>
          </cell>
          <cell r="U5467" t="str">
            <v/>
          </cell>
          <cell r="V5467" t="str">
            <v/>
          </cell>
        </row>
        <row r="5468">
          <cell r="A5468">
            <v>5467</v>
          </cell>
          <cell r="B5468">
            <v>0</v>
          </cell>
          <cell r="C5468" t="str">
            <v/>
          </cell>
          <cell r="D5468" t="str">
            <v/>
          </cell>
          <cell r="E5468">
            <v>0</v>
          </cell>
          <cell r="F5468" t="str">
            <v/>
          </cell>
          <cell r="G5468" t="str">
            <v/>
          </cell>
          <cell r="H5468" t="str">
            <v/>
          </cell>
          <cell r="I5468" t="str">
            <v/>
          </cell>
          <cell r="J5468">
            <v>0</v>
          </cell>
          <cell r="K5468">
            <v>0</v>
          </cell>
          <cell r="L5468">
            <v>0</v>
          </cell>
          <cell r="M5468">
            <v>0</v>
          </cell>
          <cell r="N5468">
            <v>0</v>
          </cell>
          <cell r="O5468" t="str">
            <v/>
          </cell>
          <cell r="P5468">
            <v>0</v>
          </cell>
          <cell r="Q5468">
            <v>0</v>
          </cell>
          <cell r="R5468">
            <v>0</v>
          </cell>
          <cell r="S5468">
            <v>0</v>
          </cell>
          <cell r="T5468">
            <v>0</v>
          </cell>
          <cell r="U5468" t="str">
            <v/>
          </cell>
          <cell r="V5468" t="str">
            <v/>
          </cell>
        </row>
        <row r="5469">
          <cell r="A5469">
            <v>5468</v>
          </cell>
          <cell r="B5469">
            <v>0</v>
          </cell>
          <cell r="C5469" t="str">
            <v/>
          </cell>
          <cell r="D5469" t="str">
            <v/>
          </cell>
          <cell r="E5469">
            <v>0</v>
          </cell>
          <cell r="F5469" t="str">
            <v/>
          </cell>
          <cell r="G5469" t="str">
            <v/>
          </cell>
          <cell r="H5469" t="str">
            <v/>
          </cell>
          <cell r="I5469" t="str">
            <v/>
          </cell>
          <cell r="J5469">
            <v>0</v>
          </cell>
          <cell r="K5469">
            <v>0</v>
          </cell>
          <cell r="L5469">
            <v>0</v>
          </cell>
          <cell r="M5469">
            <v>0</v>
          </cell>
          <cell r="N5469">
            <v>0</v>
          </cell>
          <cell r="O5469" t="str">
            <v/>
          </cell>
          <cell r="P5469">
            <v>0</v>
          </cell>
          <cell r="Q5469">
            <v>0</v>
          </cell>
          <cell r="R5469">
            <v>0</v>
          </cell>
          <cell r="S5469">
            <v>0</v>
          </cell>
          <cell r="T5469">
            <v>0</v>
          </cell>
          <cell r="U5469" t="str">
            <v/>
          </cell>
          <cell r="V5469" t="str">
            <v/>
          </cell>
        </row>
        <row r="5470">
          <cell r="A5470">
            <v>5469</v>
          </cell>
          <cell r="B5470">
            <v>0</v>
          </cell>
          <cell r="C5470" t="str">
            <v/>
          </cell>
          <cell r="D5470" t="str">
            <v/>
          </cell>
          <cell r="E5470">
            <v>0</v>
          </cell>
          <cell r="F5470" t="str">
            <v/>
          </cell>
          <cell r="G5470" t="str">
            <v/>
          </cell>
          <cell r="H5470" t="str">
            <v/>
          </cell>
          <cell r="I5470" t="str">
            <v/>
          </cell>
          <cell r="J5470">
            <v>0</v>
          </cell>
          <cell r="K5470">
            <v>0</v>
          </cell>
          <cell r="L5470">
            <v>0</v>
          </cell>
          <cell r="M5470">
            <v>0</v>
          </cell>
          <cell r="N5470">
            <v>0</v>
          </cell>
          <cell r="O5470" t="str">
            <v/>
          </cell>
          <cell r="P5470">
            <v>0</v>
          </cell>
          <cell r="Q5470">
            <v>0</v>
          </cell>
          <cell r="R5470">
            <v>0</v>
          </cell>
          <cell r="S5470">
            <v>0</v>
          </cell>
          <cell r="T5470">
            <v>0</v>
          </cell>
          <cell r="U5470" t="str">
            <v/>
          </cell>
          <cell r="V5470" t="str">
            <v/>
          </cell>
        </row>
        <row r="5471">
          <cell r="A5471">
            <v>5470</v>
          </cell>
          <cell r="B5471">
            <v>0</v>
          </cell>
          <cell r="C5471" t="str">
            <v/>
          </cell>
          <cell r="D5471" t="str">
            <v/>
          </cell>
          <cell r="E5471">
            <v>0</v>
          </cell>
          <cell r="F5471" t="str">
            <v/>
          </cell>
          <cell r="G5471" t="str">
            <v/>
          </cell>
          <cell r="H5471" t="str">
            <v/>
          </cell>
          <cell r="I5471" t="str">
            <v/>
          </cell>
          <cell r="J5471">
            <v>0</v>
          </cell>
          <cell r="K5471">
            <v>0</v>
          </cell>
          <cell r="L5471">
            <v>0</v>
          </cell>
          <cell r="M5471">
            <v>0</v>
          </cell>
          <cell r="N5471">
            <v>0</v>
          </cell>
          <cell r="O5471" t="str">
            <v/>
          </cell>
          <cell r="P5471">
            <v>0</v>
          </cell>
          <cell r="Q5471">
            <v>0</v>
          </cell>
          <cell r="R5471">
            <v>0</v>
          </cell>
          <cell r="S5471">
            <v>0</v>
          </cell>
          <cell r="T5471">
            <v>0</v>
          </cell>
          <cell r="U5471" t="str">
            <v/>
          </cell>
          <cell r="V5471" t="str">
            <v/>
          </cell>
        </row>
        <row r="5472">
          <cell r="A5472">
            <v>5471</v>
          </cell>
          <cell r="B5472">
            <v>0</v>
          </cell>
          <cell r="C5472" t="str">
            <v/>
          </cell>
          <cell r="D5472" t="str">
            <v/>
          </cell>
          <cell r="E5472">
            <v>0</v>
          </cell>
          <cell r="F5472" t="str">
            <v/>
          </cell>
          <cell r="G5472" t="str">
            <v/>
          </cell>
          <cell r="H5472" t="str">
            <v/>
          </cell>
          <cell r="I5472" t="str">
            <v/>
          </cell>
          <cell r="J5472">
            <v>0</v>
          </cell>
          <cell r="K5472">
            <v>0</v>
          </cell>
          <cell r="L5472">
            <v>0</v>
          </cell>
          <cell r="M5472">
            <v>0</v>
          </cell>
          <cell r="N5472">
            <v>0</v>
          </cell>
          <cell r="O5472" t="str">
            <v/>
          </cell>
          <cell r="P5472">
            <v>0</v>
          </cell>
          <cell r="Q5472">
            <v>0</v>
          </cell>
          <cell r="R5472">
            <v>0</v>
          </cell>
          <cell r="S5472">
            <v>0</v>
          </cell>
          <cell r="T5472">
            <v>0</v>
          </cell>
          <cell r="U5472" t="str">
            <v/>
          </cell>
          <cell r="V5472" t="str">
            <v/>
          </cell>
        </row>
        <row r="5473">
          <cell r="A5473">
            <v>5472</v>
          </cell>
          <cell r="B5473">
            <v>0</v>
          </cell>
          <cell r="C5473" t="str">
            <v/>
          </cell>
          <cell r="D5473" t="str">
            <v/>
          </cell>
          <cell r="E5473">
            <v>0</v>
          </cell>
          <cell r="F5473" t="str">
            <v/>
          </cell>
          <cell r="G5473" t="str">
            <v/>
          </cell>
          <cell r="H5473" t="str">
            <v/>
          </cell>
          <cell r="I5473" t="str">
            <v/>
          </cell>
          <cell r="J5473">
            <v>0</v>
          </cell>
          <cell r="K5473">
            <v>0</v>
          </cell>
          <cell r="L5473">
            <v>0</v>
          </cell>
          <cell r="M5473">
            <v>0</v>
          </cell>
          <cell r="N5473">
            <v>0</v>
          </cell>
          <cell r="O5473" t="str">
            <v/>
          </cell>
          <cell r="P5473">
            <v>0</v>
          </cell>
          <cell r="Q5473">
            <v>0</v>
          </cell>
          <cell r="R5473">
            <v>0</v>
          </cell>
          <cell r="S5473">
            <v>0</v>
          </cell>
          <cell r="T5473">
            <v>0</v>
          </cell>
          <cell r="U5473" t="str">
            <v/>
          </cell>
          <cell r="V5473" t="str">
            <v/>
          </cell>
        </row>
        <row r="5474">
          <cell r="A5474">
            <v>5473</v>
          </cell>
          <cell r="B5474">
            <v>0</v>
          </cell>
          <cell r="C5474" t="str">
            <v/>
          </cell>
          <cell r="D5474" t="str">
            <v/>
          </cell>
          <cell r="E5474">
            <v>0</v>
          </cell>
          <cell r="F5474" t="str">
            <v/>
          </cell>
          <cell r="G5474" t="str">
            <v/>
          </cell>
          <cell r="H5474" t="str">
            <v/>
          </cell>
          <cell r="I5474" t="str">
            <v/>
          </cell>
          <cell r="J5474">
            <v>0</v>
          </cell>
          <cell r="K5474">
            <v>0</v>
          </cell>
          <cell r="L5474">
            <v>0</v>
          </cell>
          <cell r="M5474">
            <v>0</v>
          </cell>
          <cell r="N5474">
            <v>0</v>
          </cell>
          <cell r="O5474" t="str">
            <v/>
          </cell>
          <cell r="P5474">
            <v>0</v>
          </cell>
          <cell r="Q5474">
            <v>0</v>
          </cell>
          <cell r="R5474">
            <v>0</v>
          </cell>
          <cell r="S5474">
            <v>0</v>
          </cell>
          <cell r="T5474">
            <v>0</v>
          </cell>
          <cell r="U5474" t="str">
            <v/>
          </cell>
          <cell r="V5474" t="str">
            <v/>
          </cell>
        </row>
        <row r="5475">
          <cell r="A5475">
            <v>5474</v>
          </cell>
          <cell r="B5475">
            <v>0</v>
          </cell>
          <cell r="C5475" t="str">
            <v/>
          </cell>
          <cell r="D5475" t="str">
            <v/>
          </cell>
          <cell r="E5475">
            <v>0</v>
          </cell>
          <cell r="F5475" t="str">
            <v/>
          </cell>
          <cell r="G5475" t="str">
            <v/>
          </cell>
          <cell r="H5475" t="str">
            <v/>
          </cell>
          <cell r="I5475" t="str">
            <v/>
          </cell>
          <cell r="J5475">
            <v>0</v>
          </cell>
          <cell r="K5475">
            <v>0</v>
          </cell>
          <cell r="L5475">
            <v>0</v>
          </cell>
          <cell r="M5475">
            <v>0</v>
          </cell>
          <cell r="N5475">
            <v>0</v>
          </cell>
          <cell r="O5475" t="str">
            <v/>
          </cell>
          <cell r="P5475">
            <v>0</v>
          </cell>
          <cell r="Q5475">
            <v>0</v>
          </cell>
          <cell r="R5475">
            <v>0</v>
          </cell>
          <cell r="S5475">
            <v>0</v>
          </cell>
          <cell r="T5475">
            <v>0</v>
          </cell>
          <cell r="U5475" t="str">
            <v/>
          </cell>
          <cell r="V5475" t="str">
            <v/>
          </cell>
        </row>
        <row r="5476">
          <cell r="A5476">
            <v>5475</v>
          </cell>
          <cell r="B5476">
            <v>0</v>
          </cell>
          <cell r="C5476" t="str">
            <v/>
          </cell>
          <cell r="D5476" t="str">
            <v/>
          </cell>
          <cell r="E5476">
            <v>0</v>
          </cell>
          <cell r="F5476" t="str">
            <v/>
          </cell>
          <cell r="G5476" t="str">
            <v/>
          </cell>
          <cell r="H5476" t="str">
            <v/>
          </cell>
          <cell r="I5476" t="str">
            <v/>
          </cell>
          <cell r="J5476">
            <v>0</v>
          </cell>
          <cell r="K5476">
            <v>0</v>
          </cell>
          <cell r="L5476">
            <v>0</v>
          </cell>
          <cell r="M5476">
            <v>0</v>
          </cell>
          <cell r="N5476">
            <v>0</v>
          </cell>
          <cell r="O5476" t="str">
            <v/>
          </cell>
          <cell r="P5476">
            <v>0</v>
          </cell>
          <cell r="Q5476">
            <v>0</v>
          </cell>
          <cell r="R5476">
            <v>0</v>
          </cell>
          <cell r="S5476">
            <v>0</v>
          </cell>
          <cell r="T5476">
            <v>0</v>
          </cell>
          <cell r="U5476" t="str">
            <v/>
          </cell>
          <cell r="V5476" t="str">
            <v/>
          </cell>
        </row>
        <row r="5477">
          <cell r="A5477">
            <v>5476</v>
          </cell>
          <cell r="B5477">
            <v>0</v>
          </cell>
          <cell r="C5477" t="str">
            <v/>
          </cell>
          <cell r="D5477" t="str">
            <v/>
          </cell>
          <cell r="E5477">
            <v>0</v>
          </cell>
          <cell r="F5477" t="str">
            <v/>
          </cell>
          <cell r="G5477" t="str">
            <v/>
          </cell>
          <cell r="H5477" t="str">
            <v/>
          </cell>
          <cell r="I5477" t="str">
            <v/>
          </cell>
          <cell r="J5477">
            <v>0</v>
          </cell>
          <cell r="K5477">
            <v>0</v>
          </cell>
          <cell r="L5477">
            <v>0</v>
          </cell>
          <cell r="M5477">
            <v>0</v>
          </cell>
          <cell r="N5477">
            <v>0</v>
          </cell>
          <cell r="O5477" t="str">
            <v/>
          </cell>
          <cell r="P5477">
            <v>0</v>
          </cell>
          <cell r="Q5477">
            <v>0</v>
          </cell>
          <cell r="R5477">
            <v>0</v>
          </cell>
          <cell r="S5477">
            <v>0</v>
          </cell>
          <cell r="T5477">
            <v>0</v>
          </cell>
          <cell r="U5477" t="str">
            <v/>
          </cell>
          <cell r="V5477" t="str">
            <v/>
          </cell>
        </row>
        <row r="5478">
          <cell r="A5478">
            <v>5477</v>
          </cell>
          <cell r="B5478">
            <v>0</v>
          </cell>
          <cell r="C5478" t="str">
            <v/>
          </cell>
          <cell r="D5478" t="str">
            <v/>
          </cell>
          <cell r="E5478">
            <v>0</v>
          </cell>
          <cell r="F5478" t="str">
            <v/>
          </cell>
          <cell r="G5478" t="str">
            <v/>
          </cell>
          <cell r="H5478" t="str">
            <v/>
          </cell>
          <cell r="I5478" t="str">
            <v/>
          </cell>
          <cell r="J5478">
            <v>0</v>
          </cell>
          <cell r="K5478">
            <v>0</v>
          </cell>
          <cell r="L5478">
            <v>0</v>
          </cell>
          <cell r="M5478">
            <v>0</v>
          </cell>
          <cell r="N5478">
            <v>0</v>
          </cell>
          <cell r="O5478" t="str">
            <v/>
          </cell>
          <cell r="P5478">
            <v>0</v>
          </cell>
          <cell r="Q5478">
            <v>0</v>
          </cell>
          <cell r="R5478">
            <v>0</v>
          </cell>
          <cell r="S5478">
            <v>0</v>
          </cell>
          <cell r="T5478">
            <v>0</v>
          </cell>
          <cell r="U5478" t="str">
            <v/>
          </cell>
          <cell r="V5478" t="str">
            <v/>
          </cell>
        </row>
        <row r="5479">
          <cell r="A5479">
            <v>5478</v>
          </cell>
          <cell r="B5479">
            <v>0</v>
          </cell>
          <cell r="C5479" t="str">
            <v/>
          </cell>
          <cell r="D5479" t="str">
            <v/>
          </cell>
          <cell r="E5479">
            <v>0</v>
          </cell>
          <cell r="F5479" t="str">
            <v/>
          </cell>
          <cell r="G5479" t="str">
            <v/>
          </cell>
          <cell r="H5479" t="str">
            <v/>
          </cell>
          <cell r="I5479" t="str">
            <v/>
          </cell>
          <cell r="J5479">
            <v>0</v>
          </cell>
          <cell r="K5479">
            <v>0</v>
          </cell>
          <cell r="L5479">
            <v>0</v>
          </cell>
          <cell r="M5479">
            <v>0</v>
          </cell>
          <cell r="N5479">
            <v>0</v>
          </cell>
          <cell r="O5479" t="str">
            <v/>
          </cell>
          <cell r="P5479">
            <v>0</v>
          </cell>
          <cell r="Q5479">
            <v>0</v>
          </cell>
          <cell r="R5479">
            <v>0</v>
          </cell>
          <cell r="S5479">
            <v>0</v>
          </cell>
          <cell r="T5479">
            <v>0</v>
          </cell>
          <cell r="U5479" t="str">
            <v/>
          </cell>
          <cell r="V5479" t="str">
            <v/>
          </cell>
        </row>
        <row r="5480">
          <cell r="A5480">
            <v>5479</v>
          </cell>
          <cell r="B5480">
            <v>0</v>
          </cell>
          <cell r="C5480" t="str">
            <v/>
          </cell>
          <cell r="D5480" t="str">
            <v/>
          </cell>
          <cell r="E5480">
            <v>0</v>
          </cell>
          <cell r="F5480" t="str">
            <v/>
          </cell>
          <cell r="G5480" t="str">
            <v/>
          </cell>
          <cell r="H5480" t="str">
            <v/>
          </cell>
          <cell r="I5480" t="str">
            <v/>
          </cell>
          <cell r="J5480">
            <v>0</v>
          </cell>
          <cell r="K5480">
            <v>0</v>
          </cell>
          <cell r="L5480">
            <v>0</v>
          </cell>
          <cell r="M5480">
            <v>0</v>
          </cell>
          <cell r="N5480">
            <v>0</v>
          </cell>
          <cell r="O5480" t="str">
            <v/>
          </cell>
          <cell r="P5480">
            <v>0</v>
          </cell>
          <cell r="Q5480">
            <v>0</v>
          </cell>
          <cell r="R5480">
            <v>0</v>
          </cell>
          <cell r="S5480">
            <v>0</v>
          </cell>
          <cell r="T5480">
            <v>0</v>
          </cell>
          <cell r="U5480" t="str">
            <v/>
          </cell>
          <cell r="V5480" t="str">
            <v/>
          </cell>
        </row>
        <row r="5481">
          <cell r="A5481">
            <v>5480</v>
          </cell>
          <cell r="B5481">
            <v>0</v>
          </cell>
          <cell r="C5481" t="str">
            <v/>
          </cell>
          <cell r="D5481" t="str">
            <v/>
          </cell>
          <cell r="E5481">
            <v>0</v>
          </cell>
          <cell r="F5481" t="str">
            <v/>
          </cell>
          <cell r="G5481" t="str">
            <v/>
          </cell>
          <cell r="H5481" t="str">
            <v/>
          </cell>
          <cell r="I5481" t="str">
            <v/>
          </cell>
          <cell r="J5481">
            <v>0</v>
          </cell>
          <cell r="K5481">
            <v>0</v>
          </cell>
          <cell r="L5481">
            <v>0</v>
          </cell>
          <cell r="M5481">
            <v>0</v>
          </cell>
          <cell r="N5481">
            <v>0</v>
          </cell>
          <cell r="O5481" t="str">
            <v/>
          </cell>
          <cell r="P5481">
            <v>0</v>
          </cell>
          <cell r="Q5481">
            <v>0</v>
          </cell>
          <cell r="R5481">
            <v>0</v>
          </cell>
          <cell r="S5481">
            <v>0</v>
          </cell>
          <cell r="T5481">
            <v>0</v>
          </cell>
          <cell r="U5481" t="str">
            <v/>
          </cell>
          <cell r="V5481" t="str">
            <v/>
          </cell>
        </row>
        <row r="5482">
          <cell r="A5482">
            <v>5481</v>
          </cell>
          <cell r="B5482">
            <v>0</v>
          </cell>
          <cell r="C5482" t="str">
            <v/>
          </cell>
          <cell r="D5482" t="str">
            <v/>
          </cell>
          <cell r="E5482">
            <v>0</v>
          </cell>
          <cell r="F5482" t="str">
            <v/>
          </cell>
          <cell r="G5482" t="str">
            <v/>
          </cell>
          <cell r="H5482" t="str">
            <v/>
          </cell>
          <cell r="I5482" t="str">
            <v/>
          </cell>
          <cell r="J5482">
            <v>0</v>
          </cell>
          <cell r="K5482">
            <v>0</v>
          </cell>
          <cell r="L5482">
            <v>0</v>
          </cell>
          <cell r="M5482">
            <v>0</v>
          </cell>
          <cell r="N5482">
            <v>0</v>
          </cell>
          <cell r="O5482" t="str">
            <v/>
          </cell>
          <cell r="P5482">
            <v>0</v>
          </cell>
          <cell r="Q5482">
            <v>0</v>
          </cell>
          <cell r="R5482">
            <v>0</v>
          </cell>
          <cell r="S5482">
            <v>0</v>
          </cell>
          <cell r="T5482">
            <v>0</v>
          </cell>
          <cell r="U5482" t="str">
            <v/>
          </cell>
          <cell r="V5482" t="str">
            <v/>
          </cell>
        </row>
        <row r="5483">
          <cell r="A5483">
            <v>5482</v>
          </cell>
          <cell r="B5483">
            <v>0</v>
          </cell>
          <cell r="C5483" t="str">
            <v/>
          </cell>
          <cell r="D5483" t="str">
            <v/>
          </cell>
          <cell r="E5483">
            <v>0</v>
          </cell>
          <cell r="F5483" t="str">
            <v/>
          </cell>
          <cell r="G5483" t="str">
            <v/>
          </cell>
          <cell r="H5483" t="str">
            <v/>
          </cell>
          <cell r="I5483" t="str">
            <v/>
          </cell>
          <cell r="J5483">
            <v>0</v>
          </cell>
          <cell r="K5483">
            <v>0</v>
          </cell>
          <cell r="L5483">
            <v>0</v>
          </cell>
          <cell r="M5483">
            <v>0</v>
          </cell>
          <cell r="N5483">
            <v>0</v>
          </cell>
          <cell r="O5483" t="str">
            <v/>
          </cell>
          <cell r="P5483">
            <v>0</v>
          </cell>
          <cell r="Q5483">
            <v>0</v>
          </cell>
          <cell r="R5483">
            <v>0</v>
          </cell>
          <cell r="S5483">
            <v>0</v>
          </cell>
          <cell r="T5483">
            <v>0</v>
          </cell>
          <cell r="U5483" t="str">
            <v/>
          </cell>
          <cell r="V5483" t="str">
            <v/>
          </cell>
        </row>
        <row r="5484">
          <cell r="A5484">
            <v>5483</v>
          </cell>
          <cell r="B5484">
            <v>0</v>
          </cell>
          <cell r="C5484" t="str">
            <v/>
          </cell>
          <cell r="D5484" t="str">
            <v/>
          </cell>
          <cell r="E5484">
            <v>0</v>
          </cell>
          <cell r="F5484" t="str">
            <v/>
          </cell>
          <cell r="G5484" t="str">
            <v/>
          </cell>
          <cell r="H5484" t="str">
            <v/>
          </cell>
          <cell r="I5484" t="str">
            <v/>
          </cell>
          <cell r="J5484">
            <v>0</v>
          </cell>
          <cell r="K5484">
            <v>0</v>
          </cell>
          <cell r="L5484">
            <v>0</v>
          </cell>
          <cell r="M5484">
            <v>0</v>
          </cell>
          <cell r="N5484">
            <v>0</v>
          </cell>
          <cell r="O5484" t="str">
            <v/>
          </cell>
          <cell r="P5484">
            <v>0</v>
          </cell>
          <cell r="Q5484">
            <v>0</v>
          </cell>
          <cell r="R5484">
            <v>0</v>
          </cell>
          <cell r="S5484">
            <v>0</v>
          </cell>
          <cell r="T5484">
            <v>0</v>
          </cell>
          <cell r="U5484" t="str">
            <v/>
          </cell>
          <cell r="V5484" t="str">
            <v/>
          </cell>
        </row>
        <row r="5485">
          <cell r="A5485">
            <v>5484</v>
          </cell>
          <cell r="B5485">
            <v>0</v>
          </cell>
          <cell r="C5485" t="str">
            <v/>
          </cell>
          <cell r="D5485" t="str">
            <v/>
          </cell>
          <cell r="E5485">
            <v>0</v>
          </cell>
          <cell r="F5485" t="str">
            <v/>
          </cell>
          <cell r="G5485" t="str">
            <v/>
          </cell>
          <cell r="H5485" t="str">
            <v/>
          </cell>
          <cell r="I5485" t="str">
            <v/>
          </cell>
          <cell r="J5485">
            <v>0</v>
          </cell>
          <cell r="K5485">
            <v>0</v>
          </cell>
          <cell r="L5485">
            <v>0</v>
          </cell>
          <cell r="M5485">
            <v>0</v>
          </cell>
          <cell r="N5485">
            <v>0</v>
          </cell>
          <cell r="O5485" t="str">
            <v/>
          </cell>
          <cell r="P5485">
            <v>0</v>
          </cell>
          <cell r="Q5485">
            <v>0</v>
          </cell>
          <cell r="R5485">
            <v>0</v>
          </cell>
          <cell r="S5485">
            <v>0</v>
          </cell>
          <cell r="T5485">
            <v>0</v>
          </cell>
          <cell r="U5485" t="str">
            <v/>
          </cell>
          <cell r="V5485" t="str">
            <v/>
          </cell>
        </row>
        <row r="5486">
          <cell r="A5486">
            <v>5485</v>
          </cell>
          <cell r="B5486">
            <v>0</v>
          </cell>
          <cell r="C5486" t="str">
            <v/>
          </cell>
          <cell r="D5486" t="str">
            <v/>
          </cell>
          <cell r="E5486">
            <v>0</v>
          </cell>
          <cell r="F5486" t="str">
            <v/>
          </cell>
          <cell r="G5486" t="str">
            <v/>
          </cell>
          <cell r="H5486" t="str">
            <v/>
          </cell>
          <cell r="I5486" t="str">
            <v/>
          </cell>
          <cell r="J5486">
            <v>0</v>
          </cell>
          <cell r="K5486">
            <v>0</v>
          </cell>
          <cell r="L5486">
            <v>0</v>
          </cell>
          <cell r="M5486">
            <v>0</v>
          </cell>
          <cell r="N5486">
            <v>0</v>
          </cell>
          <cell r="O5486" t="str">
            <v/>
          </cell>
          <cell r="P5486">
            <v>0</v>
          </cell>
          <cell r="Q5486">
            <v>0</v>
          </cell>
          <cell r="R5486">
            <v>0</v>
          </cell>
          <cell r="S5486">
            <v>0</v>
          </cell>
          <cell r="T5486">
            <v>0</v>
          </cell>
          <cell r="U5486" t="str">
            <v/>
          </cell>
          <cell r="V5486" t="str">
            <v/>
          </cell>
        </row>
        <row r="5487">
          <cell r="A5487">
            <v>5486</v>
          </cell>
          <cell r="B5487">
            <v>0</v>
          </cell>
          <cell r="C5487" t="str">
            <v/>
          </cell>
          <cell r="D5487" t="str">
            <v/>
          </cell>
          <cell r="E5487">
            <v>0</v>
          </cell>
          <cell r="F5487" t="str">
            <v/>
          </cell>
          <cell r="G5487" t="str">
            <v/>
          </cell>
          <cell r="H5487" t="str">
            <v/>
          </cell>
          <cell r="I5487" t="str">
            <v/>
          </cell>
          <cell r="J5487">
            <v>0</v>
          </cell>
          <cell r="K5487">
            <v>0</v>
          </cell>
          <cell r="L5487">
            <v>0</v>
          </cell>
          <cell r="M5487">
            <v>0</v>
          </cell>
          <cell r="N5487">
            <v>0</v>
          </cell>
          <cell r="O5487" t="str">
            <v/>
          </cell>
          <cell r="P5487">
            <v>0</v>
          </cell>
          <cell r="Q5487">
            <v>0</v>
          </cell>
          <cell r="R5487">
            <v>0</v>
          </cell>
          <cell r="S5487">
            <v>0</v>
          </cell>
          <cell r="T5487">
            <v>0</v>
          </cell>
          <cell r="U5487" t="str">
            <v/>
          </cell>
          <cell r="V5487" t="str">
            <v/>
          </cell>
        </row>
        <row r="5488">
          <cell r="A5488">
            <v>5487</v>
          </cell>
          <cell r="B5488">
            <v>0</v>
          </cell>
          <cell r="C5488" t="str">
            <v/>
          </cell>
          <cell r="D5488" t="str">
            <v/>
          </cell>
          <cell r="E5488">
            <v>0</v>
          </cell>
          <cell r="F5488" t="str">
            <v/>
          </cell>
          <cell r="G5488" t="str">
            <v/>
          </cell>
          <cell r="H5488" t="str">
            <v/>
          </cell>
          <cell r="I5488" t="str">
            <v/>
          </cell>
          <cell r="J5488">
            <v>0</v>
          </cell>
          <cell r="K5488">
            <v>0</v>
          </cell>
          <cell r="L5488">
            <v>0</v>
          </cell>
          <cell r="M5488">
            <v>0</v>
          </cell>
          <cell r="N5488">
            <v>0</v>
          </cell>
          <cell r="O5488" t="str">
            <v/>
          </cell>
          <cell r="P5488">
            <v>0</v>
          </cell>
          <cell r="Q5488">
            <v>0</v>
          </cell>
          <cell r="R5488">
            <v>0</v>
          </cell>
          <cell r="S5488">
            <v>0</v>
          </cell>
          <cell r="T5488">
            <v>0</v>
          </cell>
          <cell r="U5488" t="str">
            <v/>
          </cell>
          <cell r="V5488" t="str">
            <v/>
          </cell>
        </row>
        <row r="5489">
          <cell r="A5489">
            <v>5488</v>
          </cell>
          <cell r="B5489">
            <v>0</v>
          </cell>
          <cell r="C5489" t="str">
            <v/>
          </cell>
          <cell r="D5489" t="str">
            <v/>
          </cell>
          <cell r="E5489">
            <v>0</v>
          </cell>
          <cell r="F5489" t="str">
            <v/>
          </cell>
          <cell r="G5489" t="str">
            <v/>
          </cell>
          <cell r="H5489" t="str">
            <v/>
          </cell>
          <cell r="I5489" t="str">
            <v/>
          </cell>
          <cell r="J5489">
            <v>0</v>
          </cell>
          <cell r="K5489">
            <v>0</v>
          </cell>
          <cell r="L5489">
            <v>0</v>
          </cell>
          <cell r="M5489">
            <v>0</v>
          </cell>
          <cell r="N5489">
            <v>0</v>
          </cell>
          <cell r="O5489" t="str">
            <v/>
          </cell>
          <cell r="P5489">
            <v>0</v>
          </cell>
          <cell r="Q5489">
            <v>0</v>
          </cell>
          <cell r="R5489">
            <v>0</v>
          </cell>
          <cell r="S5489">
            <v>0</v>
          </cell>
          <cell r="T5489">
            <v>0</v>
          </cell>
          <cell r="U5489" t="str">
            <v/>
          </cell>
          <cell r="V5489" t="str">
            <v/>
          </cell>
        </row>
        <row r="5490">
          <cell r="A5490">
            <v>5489</v>
          </cell>
          <cell r="B5490">
            <v>0</v>
          </cell>
          <cell r="C5490" t="str">
            <v/>
          </cell>
          <cell r="D5490" t="str">
            <v/>
          </cell>
          <cell r="E5490">
            <v>0</v>
          </cell>
          <cell r="F5490" t="str">
            <v/>
          </cell>
          <cell r="G5490" t="str">
            <v/>
          </cell>
          <cell r="H5490" t="str">
            <v/>
          </cell>
          <cell r="I5490" t="str">
            <v/>
          </cell>
          <cell r="J5490">
            <v>0</v>
          </cell>
          <cell r="K5490">
            <v>0</v>
          </cell>
          <cell r="L5490">
            <v>0</v>
          </cell>
          <cell r="M5490">
            <v>0</v>
          </cell>
          <cell r="N5490">
            <v>0</v>
          </cell>
          <cell r="O5490" t="str">
            <v/>
          </cell>
          <cell r="P5490">
            <v>0</v>
          </cell>
          <cell r="Q5490">
            <v>0</v>
          </cell>
          <cell r="R5490">
            <v>0</v>
          </cell>
          <cell r="S5490">
            <v>0</v>
          </cell>
          <cell r="T5490">
            <v>0</v>
          </cell>
          <cell r="U5490" t="str">
            <v/>
          </cell>
          <cell r="V5490" t="str">
            <v/>
          </cell>
        </row>
        <row r="5491">
          <cell r="A5491">
            <v>5490</v>
          </cell>
          <cell r="B5491">
            <v>0</v>
          </cell>
          <cell r="C5491" t="str">
            <v/>
          </cell>
          <cell r="D5491" t="str">
            <v/>
          </cell>
          <cell r="E5491">
            <v>0</v>
          </cell>
          <cell r="F5491" t="str">
            <v/>
          </cell>
          <cell r="G5491" t="str">
            <v/>
          </cell>
          <cell r="H5491" t="str">
            <v/>
          </cell>
          <cell r="I5491" t="str">
            <v/>
          </cell>
          <cell r="J5491">
            <v>0</v>
          </cell>
          <cell r="K5491">
            <v>0</v>
          </cell>
          <cell r="L5491">
            <v>0</v>
          </cell>
          <cell r="M5491">
            <v>0</v>
          </cell>
          <cell r="N5491">
            <v>0</v>
          </cell>
          <cell r="O5491" t="str">
            <v/>
          </cell>
          <cell r="P5491">
            <v>0</v>
          </cell>
          <cell r="Q5491">
            <v>0</v>
          </cell>
          <cell r="R5491">
            <v>0</v>
          </cell>
          <cell r="S5491">
            <v>0</v>
          </cell>
          <cell r="T5491">
            <v>0</v>
          </cell>
          <cell r="U5491" t="str">
            <v/>
          </cell>
          <cell r="V5491" t="str">
            <v/>
          </cell>
        </row>
        <row r="5492">
          <cell r="A5492">
            <v>5491</v>
          </cell>
          <cell r="B5492">
            <v>0</v>
          </cell>
          <cell r="C5492" t="str">
            <v/>
          </cell>
          <cell r="D5492" t="str">
            <v/>
          </cell>
          <cell r="E5492">
            <v>0</v>
          </cell>
          <cell r="F5492" t="str">
            <v/>
          </cell>
          <cell r="G5492" t="str">
            <v/>
          </cell>
          <cell r="H5492" t="str">
            <v/>
          </cell>
          <cell r="I5492" t="str">
            <v/>
          </cell>
          <cell r="J5492">
            <v>0</v>
          </cell>
          <cell r="K5492">
            <v>0</v>
          </cell>
          <cell r="L5492">
            <v>0</v>
          </cell>
          <cell r="M5492">
            <v>0</v>
          </cell>
          <cell r="N5492">
            <v>0</v>
          </cell>
          <cell r="O5492" t="str">
            <v/>
          </cell>
          <cell r="P5492">
            <v>0</v>
          </cell>
          <cell r="Q5492">
            <v>0</v>
          </cell>
          <cell r="R5492">
            <v>0</v>
          </cell>
          <cell r="S5492">
            <v>0</v>
          </cell>
          <cell r="T5492">
            <v>0</v>
          </cell>
          <cell r="U5492" t="str">
            <v/>
          </cell>
          <cell r="V5492" t="str">
            <v/>
          </cell>
        </row>
        <row r="5493">
          <cell r="A5493">
            <v>5492</v>
          </cell>
          <cell r="B5493">
            <v>0</v>
          </cell>
          <cell r="C5493" t="str">
            <v/>
          </cell>
          <cell r="D5493" t="str">
            <v/>
          </cell>
          <cell r="E5493">
            <v>0</v>
          </cell>
          <cell r="F5493" t="str">
            <v/>
          </cell>
          <cell r="G5493" t="str">
            <v/>
          </cell>
          <cell r="H5493" t="str">
            <v/>
          </cell>
          <cell r="I5493" t="str">
            <v/>
          </cell>
          <cell r="J5493">
            <v>0</v>
          </cell>
          <cell r="K5493">
            <v>0</v>
          </cell>
          <cell r="L5493">
            <v>0</v>
          </cell>
          <cell r="M5493">
            <v>0</v>
          </cell>
          <cell r="N5493">
            <v>0</v>
          </cell>
          <cell r="O5493" t="str">
            <v/>
          </cell>
          <cell r="P5493">
            <v>0</v>
          </cell>
          <cell r="Q5493">
            <v>0</v>
          </cell>
          <cell r="R5493">
            <v>0</v>
          </cell>
          <cell r="S5493">
            <v>0</v>
          </cell>
          <cell r="T5493">
            <v>0</v>
          </cell>
          <cell r="U5493" t="str">
            <v/>
          </cell>
          <cell r="V5493" t="str">
            <v/>
          </cell>
        </row>
        <row r="5494">
          <cell r="A5494">
            <v>5493</v>
          </cell>
          <cell r="B5494">
            <v>0</v>
          </cell>
          <cell r="C5494" t="str">
            <v/>
          </cell>
          <cell r="D5494" t="str">
            <v/>
          </cell>
          <cell r="E5494">
            <v>0</v>
          </cell>
          <cell r="F5494" t="str">
            <v/>
          </cell>
          <cell r="G5494" t="str">
            <v/>
          </cell>
          <cell r="H5494" t="str">
            <v/>
          </cell>
          <cell r="I5494" t="str">
            <v/>
          </cell>
          <cell r="J5494">
            <v>0</v>
          </cell>
          <cell r="K5494">
            <v>0</v>
          </cell>
          <cell r="L5494">
            <v>0</v>
          </cell>
          <cell r="M5494">
            <v>0</v>
          </cell>
          <cell r="N5494">
            <v>0</v>
          </cell>
          <cell r="O5494" t="str">
            <v/>
          </cell>
          <cell r="P5494">
            <v>0</v>
          </cell>
          <cell r="Q5494">
            <v>0</v>
          </cell>
          <cell r="R5494">
            <v>0</v>
          </cell>
          <cell r="S5494">
            <v>0</v>
          </cell>
          <cell r="T5494">
            <v>0</v>
          </cell>
          <cell r="U5494" t="str">
            <v/>
          </cell>
          <cell r="V5494" t="str">
            <v/>
          </cell>
        </row>
        <row r="5495">
          <cell r="A5495">
            <v>5494</v>
          </cell>
          <cell r="B5495">
            <v>0</v>
          </cell>
          <cell r="C5495" t="str">
            <v/>
          </cell>
          <cell r="D5495" t="str">
            <v/>
          </cell>
          <cell r="E5495">
            <v>0</v>
          </cell>
          <cell r="F5495" t="str">
            <v/>
          </cell>
          <cell r="G5495" t="str">
            <v/>
          </cell>
          <cell r="H5495" t="str">
            <v/>
          </cell>
          <cell r="I5495" t="str">
            <v/>
          </cell>
          <cell r="J5495">
            <v>0</v>
          </cell>
          <cell r="K5495">
            <v>0</v>
          </cell>
          <cell r="L5495">
            <v>0</v>
          </cell>
          <cell r="M5495">
            <v>0</v>
          </cell>
          <cell r="N5495">
            <v>0</v>
          </cell>
          <cell r="O5495" t="str">
            <v/>
          </cell>
          <cell r="P5495">
            <v>0</v>
          </cell>
          <cell r="Q5495">
            <v>0</v>
          </cell>
          <cell r="R5495">
            <v>0</v>
          </cell>
          <cell r="S5495">
            <v>0</v>
          </cell>
          <cell r="T5495">
            <v>0</v>
          </cell>
          <cell r="U5495" t="str">
            <v/>
          </cell>
          <cell r="V5495" t="str">
            <v/>
          </cell>
        </row>
        <row r="5496">
          <cell r="A5496">
            <v>5495</v>
          </cell>
          <cell r="B5496">
            <v>0</v>
          </cell>
          <cell r="C5496" t="str">
            <v/>
          </cell>
          <cell r="D5496" t="str">
            <v/>
          </cell>
          <cell r="E5496">
            <v>0</v>
          </cell>
          <cell r="F5496" t="str">
            <v/>
          </cell>
          <cell r="G5496" t="str">
            <v/>
          </cell>
          <cell r="H5496" t="str">
            <v/>
          </cell>
          <cell r="I5496" t="str">
            <v/>
          </cell>
          <cell r="J5496">
            <v>0</v>
          </cell>
          <cell r="K5496">
            <v>0</v>
          </cell>
          <cell r="L5496">
            <v>0</v>
          </cell>
          <cell r="M5496">
            <v>0</v>
          </cell>
          <cell r="N5496">
            <v>0</v>
          </cell>
          <cell r="O5496" t="str">
            <v/>
          </cell>
          <cell r="P5496">
            <v>0</v>
          </cell>
          <cell r="Q5496">
            <v>0</v>
          </cell>
          <cell r="R5496">
            <v>0</v>
          </cell>
          <cell r="S5496">
            <v>0</v>
          </cell>
          <cell r="T5496">
            <v>0</v>
          </cell>
          <cell r="U5496" t="str">
            <v/>
          </cell>
          <cell r="V5496" t="str">
            <v/>
          </cell>
        </row>
        <row r="5497">
          <cell r="A5497">
            <v>5496</v>
          </cell>
          <cell r="B5497">
            <v>0</v>
          </cell>
          <cell r="C5497" t="str">
            <v/>
          </cell>
          <cell r="D5497" t="str">
            <v/>
          </cell>
          <cell r="E5497">
            <v>0</v>
          </cell>
          <cell r="F5497" t="str">
            <v/>
          </cell>
          <cell r="G5497" t="str">
            <v/>
          </cell>
          <cell r="H5497" t="str">
            <v/>
          </cell>
          <cell r="I5497" t="str">
            <v/>
          </cell>
          <cell r="J5497">
            <v>0</v>
          </cell>
          <cell r="K5497">
            <v>0</v>
          </cell>
          <cell r="L5497">
            <v>0</v>
          </cell>
          <cell r="M5497">
            <v>0</v>
          </cell>
          <cell r="N5497">
            <v>0</v>
          </cell>
          <cell r="O5497" t="str">
            <v/>
          </cell>
          <cell r="P5497">
            <v>0</v>
          </cell>
          <cell r="Q5497">
            <v>0</v>
          </cell>
          <cell r="R5497">
            <v>0</v>
          </cell>
          <cell r="S5497">
            <v>0</v>
          </cell>
          <cell r="T5497">
            <v>0</v>
          </cell>
          <cell r="U5497" t="str">
            <v/>
          </cell>
          <cell r="V5497" t="str">
            <v/>
          </cell>
        </row>
        <row r="5498">
          <cell r="A5498">
            <v>5497</v>
          </cell>
          <cell r="B5498">
            <v>0</v>
          </cell>
          <cell r="C5498" t="str">
            <v/>
          </cell>
          <cell r="D5498" t="str">
            <v/>
          </cell>
          <cell r="E5498">
            <v>0</v>
          </cell>
          <cell r="F5498" t="str">
            <v/>
          </cell>
          <cell r="G5498" t="str">
            <v/>
          </cell>
          <cell r="H5498" t="str">
            <v/>
          </cell>
          <cell r="I5498" t="str">
            <v/>
          </cell>
          <cell r="J5498">
            <v>0</v>
          </cell>
          <cell r="K5498">
            <v>0</v>
          </cell>
          <cell r="L5498">
            <v>0</v>
          </cell>
          <cell r="M5498">
            <v>0</v>
          </cell>
          <cell r="N5498">
            <v>0</v>
          </cell>
          <cell r="O5498" t="str">
            <v/>
          </cell>
          <cell r="P5498">
            <v>0</v>
          </cell>
          <cell r="Q5498">
            <v>0</v>
          </cell>
          <cell r="R5498">
            <v>0</v>
          </cell>
          <cell r="S5498">
            <v>0</v>
          </cell>
          <cell r="T5498">
            <v>0</v>
          </cell>
          <cell r="U5498" t="str">
            <v/>
          </cell>
          <cell r="V5498" t="str">
            <v/>
          </cell>
        </row>
        <row r="5499">
          <cell r="A5499">
            <v>5498</v>
          </cell>
          <cell r="B5499">
            <v>0</v>
          </cell>
          <cell r="C5499" t="str">
            <v/>
          </cell>
          <cell r="D5499" t="str">
            <v/>
          </cell>
          <cell r="E5499">
            <v>0</v>
          </cell>
          <cell r="F5499" t="str">
            <v/>
          </cell>
          <cell r="G5499" t="str">
            <v/>
          </cell>
          <cell r="H5499" t="str">
            <v/>
          </cell>
          <cell r="I5499" t="str">
            <v/>
          </cell>
          <cell r="J5499">
            <v>0</v>
          </cell>
          <cell r="K5499">
            <v>0</v>
          </cell>
          <cell r="L5499">
            <v>0</v>
          </cell>
          <cell r="M5499">
            <v>0</v>
          </cell>
          <cell r="N5499">
            <v>0</v>
          </cell>
          <cell r="O5499" t="str">
            <v/>
          </cell>
          <cell r="P5499">
            <v>0</v>
          </cell>
          <cell r="Q5499">
            <v>0</v>
          </cell>
          <cell r="R5499">
            <v>0</v>
          </cell>
          <cell r="S5499">
            <v>0</v>
          </cell>
          <cell r="T5499">
            <v>0</v>
          </cell>
          <cell r="U5499" t="str">
            <v/>
          </cell>
          <cell r="V5499" t="str">
            <v/>
          </cell>
        </row>
        <row r="5500">
          <cell r="A5500">
            <v>5499</v>
          </cell>
          <cell r="B5500">
            <v>0</v>
          </cell>
          <cell r="C5500" t="str">
            <v/>
          </cell>
          <cell r="D5500" t="str">
            <v/>
          </cell>
          <cell r="E5500">
            <v>0</v>
          </cell>
          <cell r="F5500" t="str">
            <v/>
          </cell>
          <cell r="G5500" t="str">
            <v/>
          </cell>
          <cell r="H5500" t="str">
            <v/>
          </cell>
          <cell r="I5500" t="str">
            <v/>
          </cell>
          <cell r="J5500">
            <v>0</v>
          </cell>
          <cell r="K5500">
            <v>0</v>
          </cell>
          <cell r="L5500">
            <v>0</v>
          </cell>
          <cell r="M5500">
            <v>0</v>
          </cell>
          <cell r="N5500">
            <v>0</v>
          </cell>
          <cell r="O5500" t="str">
            <v/>
          </cell>
          <cell r="P5500">
            <v>0</v>
          </cell>
          <cell r="Q5500">
            <v>0</v>
          </cell>
          <cell r="R5500">
            <v>0</v>
          </cell>
          <cell r="S5500">
            <v>0</v>
          </cell>
          <cell r="T5500">
            <v>0</v>
          </cell>
          <cell r="U5500" t="str">
            <v/>
          </cell>
          <cell r="V5500" t="str">
            <v/>
          </cell>
        </row>
        <row r="5501">
          <cell r="A5501">
            <v>5500</v>
          </cell>
          <cell r="B5501">
            <v>0</v>
          </cell>
          <cell r="C5501" t="str">
            <v/>
          </cell>
          <cell r="D5501" t="str">
            <v/>
          </cell>
          <cell r="E5501">
            <v>0</v>
          </cell>
          <cell r="F5501" t="str">
            <v/>
          </cell>
          <cell r="G5501" t="str">
            <v/>
          </cell>
          <cell r="H5501" t="str">
            <v/>
          </cell>
          <cell r="I5501" t="str">
            <v/>
          </cell>
          <cell r="J5501">
            <v>0</v>
          </cell>
          <cell r="K5501">
            <v>0</v>
          </cell>
          <cell r="L5501">
            <v>0</v>
          </cell>
          <cell r="M5501">
            <v>0</v>
          </cell>
          <cell r="N5501">
            <v>0</v>
          </cell>
          <cell r="O5501" t="str">
            <v/>
          </cell>
          <cell r="P5501">
            <v>0</v>
          </cell>
          <cell r="Q5501">
            <v>0</v>
          </cell>
          <cell r="R5501">
            <v>0</v>
          </cell>
          <cell r="S5501">
            <v>0</v>
          </cell>
          <cell r="T5501">
            <v>0</v>
          </cell>
          <cell r="U5501" t="str">
            <v/>
          </cell>
          <cell r="V5501" t="str">
            <v/>
          </cell>
        </row>
        <row r="5502">
          <cell r="A5502">
            <v>5501</v>
          </cell>
          <cell r="B5502">
            <v>0</v>
          </cell>
          <cell r="C5502" t="str">
            <v/>
          </cell>
          <cell r="D5502" t="str">
            <v/>
          </cell>
          <cell r="E5502">
            <v>0</v>
          </cell>
          <cell r="F5502" t="str">
            <v/>
          </cell>
          <cell r="G5502" t="str">
            <v/>
          </cell>
          <cell r="H5502" t="str">
            <v/>
          </cell>
          <cell r="I5502" t="str">
            <v/>
          </cell>
          <cell r="J5502">
            <v>0</v>
          </cell>
          <cell r="K5502">
            <v>0</v>
          </cell>
          <cell r="L5502">
            <v>0</v>
          </cell>
          <cell r="M5502">
            <v>0</v>
          </cell>
          <cell r="N5502">
            <v>0</v>
          </cell>
          <cell r="O5502" t="str">
            <v/>
          </cell>
          <cell r="P5502">
            <v>0</v>
          </cell>
          <cell r="Q5502">
            <v>0</v>
          </cell>
          <cell r="R5502">
            <v>0</v>
          </cell>
          <cell r="S5502">
            <v>0</v>
          </cell>
          <cell r="T5502">
            <v>0</v>
          </cell>
          <cell r="U5502" t="str">
            <v/>
          </cell>
          <cell r="V5502" t="str">
            <v/>
          </cell>
        </row>
        <row r="5503">
          <cell r="A5503">
            <v>5502</v>
          </cell>
          <cell r="B5503">
            <v>0</v>
          </cell>
          <cell r="C5503" t="str">
            <v/>
          </cell>
          <cell r="D5503" t="str">
            <v/>
          </cell>
          <cell r="E5503">
            <v>0</v>
          </cell>
          <cell r="F5503" t="str">
            <v/>
          </cell>
          <cell r="G5503" t="str">
            <v/>
          </cell>
          <cell r="H5503" t="str">
            <v/>
          </cell>
          <cell r="I5503" t="str">
            <v/>
          </cell>
          <cell r="J5503">
            <v>0</v>
          </cell>
          <cell r="K5503">
            <v>0</v>
          </cell>
          <cell r="L5503">
            <v>0</v>
          </cell>
          <cell r="M5503">
            <v>0</v>
          </cell>
          <cell r="N5503">
            <v>0</v>
          </cell>
          <cell r="O5503" t="str">
            <v/>
          </cell>
          <cell r="P5503">
            <v>0</v>
          </cell>
          <cell r="Q5503">
            <v>0</v>
          </cell>
          <cell r="R5503">
            <v>0</v>
          </cell>
          <cell r="S5503">
            <v>0</v>
          </cell>
          <cell r="T5503">
            <v>0</v>
          </cell>
          <cell r="U5503" t="str">
            <v/>
          </cell>
          <cell r="V5503" t="str">
            <v/>
          </cell>
        </row>
        <row r="5504">
          <cell r="A5504">
            <v>5503</v>
          </cell>
          <cell r="B5504">
            <v>0</v>
          </cell>
          <cell r="C5504" t="str">
            <v/>
          </cell>
          <cell r="D5504" t="str">
            <v/>
          </cell>
          <cell r="E5504">
            <v>0</v>
          </cell>
          <cell r="F5504" t="str">
            <v/>
          </cell>
          <cell r="G5504" t="str">
            <v/>
          </cell>
          <cell r="H5504" t="str">
            <v/>
          </cell>
          <cell r="I5504" t="str">
            <v/>
          </cell>
          <cell r="J5504">
            <v>0</v>
          </cell>
          <cell r="K5504">
            <v>0</v>
          </cell>
          <cell r="L5504">
            <v>0</v>
          </cell>
          <cell r="M5504">
            <v>0</v>
          </cell>
          <cell r="N5504">
            <v>0</v>
          </cell>
          <cell r="O5504" t="str">
            <v/>
          </cell>
          <cell r="P5504">
            <v>0</v>
          </cell>
          <cell r="Q5504">
            <v>0</v>
          </cell>
          <cell r="R5504">
            <v>0</v>
          </cell>
          <cell r="S5504">
            <v>0</v>
          </cell>
          <cell r="T5504">
            <v>0</v>
          </cell>
          <cell r="U5504" t="str">
            <v/>
          </cell>
          <cell r="V5504" t="str">
            <v/>
          </cell>
        </row>
        <row r="5505">
          <cell r="A5505">
            <v>5504</v>
          </cell>
          <cell r="B5505">
            <v>0</v>
          </cell>
          <cell r="C5505" t="str">
            <v/>
          </cell>
          <cell r="D5505" t="str">
            <v/>
          </cell>
          <cell r="E5505">
            <v>0</v>
          </cell>
          <cell r="F5505" t="str">
            <v/>
          </cell>
          <cell r="G5505" t="str">
            <v/>
          </cell>
          <cell r="H5505" t="str">
            <v/>
          </cell>
          <cell r="I5505" t="str">
            <v/>
          </cell>
          <cell r="J5505">
            <v>0</v>
          </cell>
          <cell r="K5505">
            <v>0</v>
          </cell>
          <cell r="L5505">
            <v>0</v>
          </cell>
          <cell r="M5505">
            <v>0</v>
          </cell>
          <cell r="N5505">
            <v>0</v>
          </cell>
          <cell r="O5505" t="str">
            <v/>
          </cell>
          <cell r="P5505">
            <v>0</v>
          </cell>
          <cell r="Q5505">
            <v>0</v>
          </cell>
          <cell r="R5505">
            <v>0</v>
          </cell>
          <cell r="S5505">
            <v>0</v>
          </cell>
          <cell r="T5505">
            <v>0</v>
          </cell>
          <cell r="U5505" t="str">
            <v/>
          </cell>
          <cell r="V5505" t="str">
            <v/>
          </cell>
        </row>
        <row r="5506">
          <cell r="A5506">
            <v>5505</v>
          </cell>
          <cell r="B5506">
            <v>0</v>
          </cell>
          <cell r="C5506" t="str">
            <v/>
          </cell>
          <cell r="D5506" t="str">
            <v/>
          </cell>
          <cell r="E5506">
            <v>0</v>
          </cell>
          <cell r="F5506" t="str">
            <v/>
          </cell>
          <cell r="G5506" t="str">
            <v/>
          </cell>
          <cell r="H5506" t="str">
            <v/>
          </cell>
          <cell r="I5506" t="str">
            <v/>
          </cell>
          <cell r="J5506">
            <v>0</v>
          </cell>
          <cell r="K5506">
            <v>0</v>
          </cell>
          <cell r="L5506">
            <v>0</v>
          </cell>
          <cell r="M5506">
            <v>0</v>
          </cell>
          <cell r="N5506">
            <v>0</v>
          </cell>
          <cell r="O5506" t="str">
            <v/>
          </cell>
          <cell r="P5506">
            <v>0</v>
          </cell>
          <cell r="Q5506">
            <v>0</v>
          </cell>
          <cell r="R5506">
            <v>0</v>
          </cell>
          <cell r="S5506">
            <v>0</v>
          </cell>
          <cell r="T5506">
            <v>0</v>
          </cell>
          <cell r="U5506" t="str">
            <v/>
          </cell>
          <cell r="V5506" t="str">
            <v/>
          </cell>
        </row>
        <row r="5507">
          <cell r="A5507">
            <v>5506</v>
          </cell>
          <cell r="B5507">
            <v>0</v>
          </cell>
          <cell r="C5507" t="str">
            <v/>
          </cell>
          <cell r="D5507" t="str">
            <v/>
          </cell>
          <cell r="E5507">
            <v>0</v>
          </cell>
          <cell r="F5507" t="str">
            <v/>
          </cell>
          <cell r="G5507" t="str">
            <v/>
          </cell>
          <cell r="H5507" t="str">
            <v/>
          </cell>
          <cell r="I5507" t="str">
            <v/>
          </cell>
          <cell r="J5507">
            <v>0</v>
          </cell>
          <cell r="K5507">
            <v>0</v>
          </cell>
          <cell r="L5507">
            <v>0</v>
          </cell>
          <cell r="M5507">
            <v>0</v>
          </cell>
          <cell r="N5507">
            <v>0</v>
          </cell>
          <cell r="O5507" t="str">
            <v/>
          </cell>
          <cell r="P5507">
            <v>0</v>
          </cell>
          <cell r="Q5507">
            <v>0</v>
          </cell>
          <cell r="R5507">
            <v>0</v>
          </cell>
          <cell r="S5507">
            <v>0</v>
          </cell>
          <cell r="T5507">
            <v>0</v>
          </cell>
          <cell r="U5507" t="str">
            <v/>
          </cell>
          <cell r="V5507" t="str">
            <v/>
          </cell>
        </row>
        <row r="5508">
          <cell r="A5508">
            <v>5507</v>
          </cell>
          <cell r="B5508">
            <v>0</v>
          </cell>
          <cell r="C5508" t="str">
            <v/>
          </cell>
          <cell r="D5508" t="str">
            <v/>
          </cell>
          <cell r="E5508">
            <v>0</v>
          </cell>
          <cell r="F5508" t="str">
            <v/>
          </cell>
          <cell r="G5508" t="str">
            <v/>
          </cell>
          <cell r="H5508" t="str">
            <v/>
          </cell>
          <cell r="I5508" t="str">
            <v/>
          </cell>
          <cell r="J5508">
            <v>0</v>
          </cell>
          <cell r="K5508">
            <v>0</v>
          </cell>
          <cell r="L5508">
            <v>0</v>
          </cell>
          <cell r="M5508">
            <v>0</v>
          </cell>
          <cell r="N5508">
            <v>0</v>
          </cell>
          <cell r="O5508" t="str">
            <v/>
          </cell>
          <cell r="P5508">
            <v>0</v>
          </cell>
          <cell r="Q5508">
            <v>0</v>
          </cell>
          <cell r="R5508">
            <v>0</v>
          </cell>
          <cell r="S5508">
            <v>0</v>
          </cell>
          <cell r="T5508">
            <v>0</v>
          </cell>
          <cell r="U5508" t="str">
            <v/>
          </cell>
          <cell r="V5508" t="str">
            <v/>
          </cell>
        </row>
        <row r="5509">
          <cell r="A5509">
            <v>5508</v>
          </cell>
          <cell r="B5509">
            <v>0</v>
          </cell>
          <cell r="C5509" t="str">
            <v/>
          </cell>
          <cell r="D5509" t="str">
            <v/>
          </cell>
          <cell r="E5509">
            <v>0</v>
          </cell>
          <cell r="F5509" t="str">
            <v/>
          </cell>
          <cell r="G5509" t="str">
            <v/>
          </cell>
          <cell r="H5509" t="str">
            <v/>
          </cell>
          <cell r="I5509" t="str">
            <v/>
          </cell>
          <cell r="J5509">
            <v>0</v>
          </cell>
          <cell r="K5509">
            <v>0</v>
          </cell>
          <cell r="L5509">
            <v>0</v>
          </cell>
          <cell r="M5509">
            <v>0</v>
          </cell>
          <cell r="N5509">
            <v>0</v>
          </cell>
          <cell r="O5509" t="str">
            <v/>
          </cell>
          <cell r="P5509">
            <v>0</v>
          </cell>
          <cell r="Q5509">
            <v>0</v>
          </cell>
          <cell r="R5509">
            <v>0</v>
          </cell>
          <cell r="S5509">
            <v>0</v>
          </cell>
          <cell r="T5509">
            <v>0</v>
          </cell>
          <cell r="U5509" t="str">
            <v/>
          </cell>
          <cell r="V5509" t="str">
            <v/>
          </cell>
        </row>
        <row r="5510">
          <cell r="A5510">
            <v>5509</v>
          </cell>
          <cell r="B5510">
            <v>0</v>
          </cell>
          <cell r="C5510" t="str">
            <v/>
          </cell>
          <cell r="D5510" t="str">
            <v/>
          </cell>
          <cell r="E5510">
            <v>0</v>
          </cell>
          <cell r="F5510" t="str">
            <v/>
          </cell>
          <cell r="G5510" t="str">
            <v/>
          </cell>
          <cell r="H5510" t="str">
            <v/>
          </cell>
          <cell r="I5510" t="str">
            <v/>
          </cell>
          <cell r="J5510">
            <v>0</v>
          </cell>
          <cell r="K5510">
            <v>0</v>
          </cell>
          <cell r="L5510">
            <v>0</v>
          </cell>
          <cell r="M5510">
            <v>0</v>
          </cell>
          <cell r="N5510">
            <v>0</v>
          </cell>
          <cell r="O5510" t="str">
            <v/>
          </cell>
          <cell r="P5510">
            <v>0</v>
          </cell>
          <cell r="Q5510">
            <v>0</v>
          </cell>
          <cell r="R5510">
            <v>0</v>
          </cell>
          <cell r="S5510">
            <v>0</v>
          </cell>
          <cell r="T5510">
            <v>0</v>
          </cell>
          <cell r="U5510" t="str">
            <v/>
          </cell>
          <cell r="V5510" t="str">
            <v/>
          </cell>
        </row>
        <row r="5511">
          <cell r="A5511">
            <v>5510</v>
          </cell>
          <cell r="B5511">
            <v>0</v>
          </cell>
          <cell r="C5511" t="str">
            <v/>
          </cell>
          <cell r="D5511" t="str">
            <v/>
          </cell>
          <cell r="E5511">
            <v>0</v>
          </cell>
          <cell r="F5511" t="str">
            <v/>
          </cell>
          <cell r="G5511" t="str">
            <v/>
          </cell>
          <cell r="H5511" t="str">
            <v/>
          </cell>
          <cell r="I5511" t="str">
            <v/>
          </cell>
          <cell r="J5511">
            <v>0</v>
          </cell>
          <cell r="K5511">
            <v>0</v>
          </cell>
          <cell r="L5511">
            <v>0</v>
          </cell>
          <cell r="M5511">
            <v>0</v>
          </cell>
          <cell r="N5511">
            <v>0</v>
          </cell>
          <cell r="O5511" t="str">
            <v/>
          </cell>
          <cell r="P5511">
            <v>0</v>
          </cell>
          <cell r="Q5511">
            <v>0</v>
          </cell>
          <cell r="R5511">
            <v>0</v>
          </cell>
          <cell r="S5511">
            <v>0</v>
          </cell>
          <cell r="T5511">
            <v>0</v>
          </cell>
          <cell r="U5511" t="str">
            <v/>
          </cell>
          <cell r="V5511" t="str">
            <v/>
          </cell>
        </row>
        <row r="5512">
          <cell r="A5512">
            <v>5511</v>
          </cell>
          <cell r="B5512">
            <v>0</v>
          </cell>
          <cell r="C5512" t="str">
            <v/>
          </cell>
          <cell r="D5512" t="str">
            <v/>
          </cell>
          <cell r="E5512">
            <v>0</v>
          </cell>
          <cell r="F5512" t="str">
            <v/>
          </cell>
          <cell r="G5512" t="str">
            <v/>
          </cell>
          <cell r="H5512" t="str">
            <v/>
          </cell>
          <cell r="I5512" t="str">
            <v/>
          </cell>
          <cell r="J5512">
            <v>0</v>
          </cell>
          <cell r="K5512">
            <v>0</v>
          </cell>
          <cell r="L5512">
            <v>0</v>
          </cell>
          <cell r="M5512">
            <v>0</v>
          </cell>
          <cell r="N5512">
            <v>0</v>
          </cell>
          <cell r="O5512" t="str">
            <v/>
          </cell>
          <cell r="P5512">
            <v>0</v>
          </cell>
          <cell r="Q5512">
            <v>0</v>
          </cell>
          <cell r="R5512">
            <v>0</v>
          </cell>
          <cell r="S5512">
            <v>0</v>
          </cell>
          <cell r="T5512">
            <v>0</v>
          </cell>
          <cell r="U5512" t="str">
            <v/>
          </cell>
          <cell r="V5512" t="str">
            <v/>
          </cell>
        </row>
        <row r="5513">
          <cell r="A5513">
            <v>5512</v>
          </cell>
          <cell r="B5513">
            <v>0</v>
          </cell>
          <cell r="C5513" t="str">
            <v/>
          </cell>
          <cell r="D5513" t="str">
            <v/>
          </cell>
          <cell r="E5513">
            <v>0</v>
          </cell>
          <cell r="F5513" t="str">
            <v/>
          </cell>
          <cell r="G5513" t="str">
            <v/>
          </cell>
          <cell r="H5513" t="str">
            <v/>
          </cell>
          <cell r="I5513" t="str">
            <v/>
          </cell>
          <cell r="J5513">
            <v>0</v>
          </cell>
          <cell r="K5513">
            <v>0</v>
          </cell>
          <cell r="L5513">
            <v>0</v>
          </cell>
          <cell r="M5513">
            <v>0</v>
          </cell>
          <cell r="N5513">
            <v>0</v>
          </cell>
          <cell r="O5513" t="str">
            <v/>
          </cell>
          <cell r="P5513">
            <v>0</v>
          </cell>
          <cell r="Q5513">
            <v>0</v>
          </cell>
          <cell r="R5513">
            <v>0</v>
          </cell>
          <cell r="S5513">
            <v>0</v>
          </cell>
          <cell r="T5513">
            <v>0</v>
          </cell>
          <cell r="U5513" t="str">
            <v/>
          </cell>
          <cell r="V5513" t="str">
            <v/>
          </cell>
        </row>
        <row r="5514">
          <cell r="A5514">
            <v>5513</v>
          </cell>
          <cell r="B5514">
            <v>0</v>
          </cell>
          <cell r="C5514" t="str">
            <v/>
          </cell>
          <cell r="D5514" t="str">
            <v/>
          </cell>
          <cell r="E5514">
            <v>0</v>
          </cell>
          <cell r="F5514" t="str">
            <v/>
          </cell>
          <cell r="G5514" t="str">
            <v/>
          </cell>
          <cell r="H5514" t="str">
            <v/>
          </cell>
          <cell r="I5514" t="str">
            <v/>
          </cell>
          <cell r="J5514">
            <v>0</v>
          </cell>
          <cell r="K5514">
            <v>0</v>
          </cell>
          <cell r="L5514">
            <v>0</v>
          </cell>
          <cell r="M5514">
            <v>0</v>
          </cell>
          <cell r="N5514">
            <v>0</v>
          </cell>
          <cell r="O5514" t="str">
            <v/>
          </cell>
          <cell r="P5514">
            <v>0</v>
          </cell>
          <cell r="Q5514">
            <v>0</v>
          </cell>
          <cell r="R5514">
            <v>0</v>
          </cell>
          <cell r="S5514">
            <v>0</v>
          </cell>
          <cell r="T5514">
            <v>0</v>
          </cell>
          <cell r="U5514" t="str">
            <v/>
          </cell>
          <cell r="V5514" t="str">
            <v/>
          </cell>
        </row>
        <row r="5515">
          <cell r="A5515">
            <v>5514</v>
          </cell>
          <cell r="B5515">
            <v>0</v>
          </cell>
          <cell r="C5515" t="str">
            <v/>
          </cell>
          <cell r="D5515" t="str">
            <v/>
          </cell>
          <cell r="E5515">
            <v>0</v>
          </cell>
          <cell r="F5515" t="str">
            <v/>
          </cell>
          <cell r="G5515" t="str">
            <v/>
          </cell>
          <cell r="H5515" t="str">
            <v/>
          </cell>
          <cell r="I5515" t="str">
            <v/>
          </cell>
          <cell r="J5515">
            <v>0</v>
          </cell>
          <cell r="K5515">
            <v>0</v>
          </cell>
          <cell r="L5515">
            <v>0</v>
          </cell>
          <cell r="M5515">
            <v>0</v>
          </cell>
          <cell r="N5515">
            <v>0</v>
          </cell>
          <cell r="O5515" t="str">
            <v/>
          </cell>
          <cell r="P5515">
            <v>0</v>
          </cell>
          <cell r="Q5515">
            <v>0</v>
          </cell>
          <cell r="R5515">
            <v>0</v>
          </cell>
          <cell r="S5515">
            <v>0</v>
          </cell>
          <cell r="T5515">
            <v>0</v>
          </cell>
          <cell r="U5515" t="str">
            <v/>
          </cell>
          <cell r="V5515" t="str">
            <v/>
          </cell>
        </row>
        <row r="5516">
          <cell r="A5516">
            <v>5515</v>
          </cell>
          <cell r="B5516">
            <v>0</v>
          </cell>
          <cell r="C5516" t="str">
            <v/>
          </cell>
          <cell r="D5516" t="str">
            <v/>
          </cell>
          <cell r="E5516">
            <v>0</v>
          </cell>
          <cell r="F5516" t="str">
            <v/>
          </cell>
          <cell r="G5516" t="str">
            <v/>
          </cell>
          <cell r="H5516" t="str">
            <v/>
          </cell>
          <cell r="I5516" t="str">
            <v/>
          </cell>
          <cell r="J5516">
            <v>0</v>
          </cell>
          <cell r="K5516">
            <v>0</v>
          </cell>
          <cell r="L5516">
            <v>0</v>
          </cell>
          <cell r="M5516">
            <v>0</v>
          </cell>
          <cell r="N5516">
            <v>0</v>
          </cell>
          <cell r="O5516" t="str">
            <v/>
          </cell>
          <cell r="P5516">
            <v>0</v>
          </cell>
          <cell r="Q5516">
            <v>0</v>
          </cell>
          <cell r="R5516">
            <v>0</v>
          </cell>
          <cell r="S5516">
            <v>0</v>
          </cell>
          <cell r="T5516">
            <v>0</v>
          </cell>
          <cell r="U5516" t="str">
            <v/>
          </cell>
          <cell r="V5516" t="str">
            <v/>
          </cell>
        </row>
        <row r="5517">
          <cell r="A5517">
            <v>5516</v>
          </cell>
          <cell r="B5517">
            <v>0</v>
          </cell>
          <cell r="C5517" t="str">
            <v/>
          </cell>
          <cell r="D5517" t="str">
            <v/>
          </cell>
          <cell r="E5517">
            <v>0</v>
          </cell>
          <cell r="F5517" t="str">
            <v/>
          </cell>
          <cell r="G5517" t="str">
            <v/>
          </cell>
          <cell r="H5517" t="str">
            <v/>
          </cell>
          <cell r="I5517" t="str">
            <v/>
          </cell>
          <cell r="J5517">
            <v>0</v>
          </cell>
          <cell r="K5517">
            <v>0</v>
          </cell>
          <cell r="L5517">
            <v>0</v>
          </cell>
          <cell r="M5517">
            <v>0</v>
          </cell>
          <cell r="N5517">
            <v>0</v>
          </cell>
          <cell r="O5517" t="str">
            <v/>
          </cell>
          <cell r="P5517">
            <v>0</v>
          </cell>
          <cell r="Q5517">
            <v>0</v>
          </cell>
          <cell r="R5517">
            <v>0</v>
          </cell>
          <cell r="S5517">
            <v>0</v>
          </cell>
          <cell r="T5517">
            <v>0</v>
          </cell>
          <cell r="U5517" t="str">
            <v/>
          </cell>
          <cell r="V5517" t="str">
            <v/>
          </cell>
        </row>
        <row r="5518">
          <cell r="A5518">
            <v>5517</v>
          </cell>
          <cell r="B5518">
            <v>0</v>
          </cell>
          <cell r="C5518" t="str">
            <v/>
          </cell>
          <cell r="D5518" t="str">
            <v/>
          </cell>
          <cell r="E5518">
            <v>0</v>
          </cell>
          <cell r="F5518" t="str">
            <v/>
          </cell>
          <cell r="G5518" t="str">
            <v/>
          </cell>
          <cell r="H5518" t="str">
            <v/>
          </cell>
          <cell r="I5518" t="str">
            <v/>
          </cell>
          <cell r="J5518">
            <v>0</v>
          </cell>
          <cell r="K5518">
            <v>0</v>
          </cell>
          <cell r="L5518">
            <v>0</v>
          </cell>
          <cell r="M5518">
            <v>0</v>
          </cell>
          <cell r="N5518">
            <v>0</v>
          </cell>
          <cell r="O5518" t="str">
            <v/>
          </cell>
          <cell r="P5518">
            <v>0</v>
          </cell>
          <cell r="Q5518">
            <v>0</v>
          </cell>
          <cell r="R5518">
            <v>0</v>
          </cell>
          <cell r="S5518">
            <v>0</v>
          </cell>
          <cell r="T5518">
            <v>0</v>
          </cell>
          <cell r="U5518" t="str">
            <v/>
          </cell>
          <cell r="V5518" t="str">
            <v/>
          </cell>
        </row>
        <row r="5519">
          <cell r="A5519">
            <v>5518</v>
          </cell>
          <cell r="B5519">
            <v>0</v>
          </cell>
          <cell r="C5519" t="str">
            <v/>
          </cell>
          <cell r="D5519" t="str">
            <v/>
          </cell>
          <cell r="E5519">
            <v>0</v>
          </cell>
          <cell r="F5519" t="str">
            <v/>
          </cell>
          <cell r="G5519" t="str">
            <v/>
          </cell>
          <cell r="H5519" t="str">
            <v/>
          </cell>
          <cell r="I5519" t="str">
            <v/>
          </cell>
          <cell r="J5519">
            <v>0</v>
          </cell>
          <cell r="K5519">
            <v>0</v>
          </cell>
          <cell r="L5519">
            <v>0</v>
          </cell>
          <cell r="M5519">
            <v>0</v>
          </cell>
          <cell r="N5519">
            <v>0</v>
          </cell>
          <cell r="O5519" t="str">
            <v/>
          </cell>
          <cell r="P5519">
            <v>0</v>
          </cell>
          <cell r="Q5519">
            <v>0</v>
          </cell>
          <cell r="R5519">
            <v>0</v>
          </cell>
          <cell r="S5519">
            <v>0</v>
          </cell>
          <cell r="T5519">
            <v>0</v>
          </cell>
          <cell r="U5519" t="str">
            <v/>
          </cell>
          <cell r="V5519" t="str">
            <v/>
          </cell>
        </row>
        <row r="5520">
          <cell r="A5520">
            <v>5519</v>
          </cell>
          <cell r="B5520">
            <v>0</v>
          </cell>
          <cell r="C5520" t="str">
            <v/>
          </cell>
          <cell r="D5520" t="str">
            <v/>
          </cell>
          <cell r="E5520">
            <v>0</v>
          </cell>
          <cell r="F5520" t="str">
            <v/>
          </cell>
          <cell r="G5520" t="str">
            <v/>
          </cell>
          <cell r="H5520" t="str">
            <v/>
          </cell>
          <cell r="I5520" t="str">
            <v/>
          </cell>
          <cell r="J5520">
            <v>0</v>
          </cell>
          <cell r="K5520">
            <v>0</v>
          </cell>
          <cell r="L5520">
            <v>0</v>
          </cell>
          <cell r="M5520">
            <v>0</v>
          </cell>
          <cell r="N5520">
            <v>0</v>
          </cell>
          <cell r="O5520" t="str">
            <v/>
          </cell>
          <cell r="P5520">
            <v>0</v>
          </cell>
          <cell r="Q5520">
            <v>0</v>
          </cell>
          <cell r="R5520">
            <v>0</v>
          </cell>
          <cell r="S5520">
            <v>0</v>
          </cell>
          <cell r="T5520">
            <v>0</v>
          </cell>
          <cell r="U5520" t="str">
            <v/>
          </cell>
          <cell r="V5520" t="str">
            <v/>
          </cell>
        </row>
        <row r="5521">
          <cell r="A5521">
            <v>5520</v>
          </cell>
          <cell r="B5521">
            <v>0</v>
          </cell>
          <cell r="C5521" t="str">
            <v/>
          </cell>
          <cell r="D5521" t="str">
            <v/>
          </cell>
          <cell r="E5521">
            <v>0</v>
          </cell>
          <cell r="F5521" t="str">
            <v/>
          </cell>
          <cell r="G5521" t="str">
            <v/>
          </cell>
          <cell r="H5521" t="str">
            <v/>
          </cell>
          <cell r="I5521" t="str">
            <v/>
          </cell>
          <cell r="J5521">
            <v>0</v>
          </cell>
          <cell r="K5521">
            <v>0</v>
          </cell>
          <cell r="L5521">
            <v>0</v>
          </cell>
          <cell r="M5521">
            <v>0</v>
          </cell>
          <cell r="N5521">
            <v>0</v>
          </cell>
          <cell r="O5521" t="str">
            <v/>
          </cell>
          <cell r="P5521">
            <v>0</v>
          </cell>
          <cell r="Q5521">
            <v>0</v>
          </cell>
          <cell r="R5521">
            <v>0</v>
          </cell>
          <cell r="S5521">
            <v>0</v>
          </cell>
          <cell r="T5521">
            <v>0</v>
          </cell>
          <cell r="U5521" t="str">
            <v/>
          </cell>
          <cell r="V5521" t="str">
            <v/>
          </cell>
        </row>
        <row r="5522">
          <cell r="A5522">
            <v>5521</v>
          </cell>
          <cell r="B5522">
            <v>0</v>
          </cell>
          <cell r="C5522" t="str">
            <v/>
          </cell>
          <cell r="D5522" t="str">
            <v/>
          </cell>
          <cell r="E5522">
            <v>0</v>
          </cell>
          <cell r="F5522" t="str">
            <v/>
          </cell>
          <cell r="G5522" t="str">
            <v/>
          </cell>
          <cell r="H5522" t="str">
            <v/>
          </cell>
          <cell r="I5522" t="str">
            <v/>
          </cell>
          <cell r="J5522">
            <v>0</v>
          </cell>
          <cell r="K5522">
            <v>0</v>
          </cell>
          <cell r="L5522">
            <v>0</v>
          </cell>
          <cell r="M5522">
            <v>0</v>
          </cell>
          <cell r="N5522">
            <v>0</v>
          </cell>
          <cell r="O5522" t="str">
            <v/>
          </cell>
          <cell r="P5522">
            <v>0</v>
          </cell>
          <cell r="Q5522">
            <v>0</v>
          </cell>
          <cell r="R5522">
            <v>0</v>
          </cell>
          <cell r="S5522">
            <v>0</v>
          </cell>
          <cell r="T5522">
            <v>0</v>
          </cell>
          <cell r="U5522" t="str">
            <v/>
          </cell>
          <cell r="V5522" t="str">
            <v/>
          </cell>
        </row>
        <row r="5523">
          <cell r="A5523">
            <v>5522</v>
          </cell>
          <cell r="B5523">
            <v>0</v>
          </cell>
          <cell r="C5523" t="str">
            <v/>
          </cell>
          <cell r="D5523" t="str">
            <v/>
          </cell>
          <cell r="E5523">
            <v>0</v>
          </cell>
          <cell r="F5523" t="str">
            <v/>
          </cell>
          <cell r="G5523" t="str">
            <v/>
          </cell>
          <cell r="H5523" t="str">
            <v/>
          </cell>
          <cell r="I5523" t="str">
            <v/>
          </cell>
          <cell r="J5523">
            <v>0</v>
          </cell>
          <cell r="K5523">
            <v>0</v>
          </cell>
          <cell r="L5523">
            <v>0</v>
          </cell>
          <cell r="M5523">
            <v>0</v>
          </cell>
          <cell r="N5523">
            <v>0</v>
          </cell>
          <cell r="O5523" t="str">
            <v/>
          </cell>
          <cell r="P5523">
            <v>0</v>
          </cell>
          <cell r="Q5523">
            <v>0</v>
          </cell>
          <cell r="R5523">
            <v>0</v>
          </cell>
          <cell r="S5523">
            <v>0</v>
          </cell>
          <cell r="T5523">
            <v>0</v>
          </cell>
          <cell r="U5523" t="str">
            <v/>
          </cell>
          <cell r="V5523" t="str">
            <v/>
          </cell>
        </row>
        <row r="5524">
          <cell r="A5524">
            <v>5523</v>
          </cell>
          <cell r="B5524">
            <v>0</v>
          </cell>
          <cell r="C5524" t="str">
            <v/>
          </cell>
          <cell r="D5524" t="str">
            <v/>
          </cell>
          <cell r="E5524">
            <v>0</v>
          </cell>
          <cell r="F5524" t="str">
            <v/>
          </cell>
          <cell r="G5524" t="str">
            <v/>
          </cell>
          <cell r="H5524" t="str">
            <v/>
          </cell>
          <cell r="I5524" t="str">
            <v/>
          </cell>
          <cell r="J5524">
            <v>0</v>
          </cell>
          <cell r="K5524">
            <v>0</v>
          </cell>
          <cell r="L5524">
            <v>0</v>
          </cell>
          <cell r="M5524">
            <v>0</v>
          </cell>
          <cell r="N5524">
            <v>0</v>
          </cell>
          <cell r="O5524" t="str">
            <v/>
          </cell>
          <cell r="P5524">
            <v>0</v>
          </cell>
          <cell r="Q5524">
            <v>0</v>
          </cell>
          <cell r="R5524">
            <v>0</v>
          </cell>
          <cell r="S5524">
            <v>0</v>
          </cell>
          <cell r="T5524">
            <v>0</v>
          </cell>
          <cell r="U5524" t="str">
            <v/>
          </cell>
          <cell r="V5524" t="str">
            <v/>
          </cell>
        </row>
        <row r="5525">
          <cell r="A5525">
            <v>5524</v>
          </cell>
          <cell r="B5525">
            <v>0</v>
          </cell>
          <cell r="C5525" t="str">
            <v/>
          </cell>
          <cell r="D5525" t="str">
            <v/>
          </cell>
          <cell r="E5525">
            <v>0</v>
          </cell>
          <cell r="F5525" t="str">
            <v/>
          </cell>
          <cell r="G5525" t="str">
            <v/>
          </cell>
          <cell r="H5525" t="str">
            <v/>
          </cell>
          <cell r="I5525" t="str">
            <v/>
          </cell>
          <cell r="J5525">
            <v>0</v>
          </cell>
          <cell r="K5525">
            <v>0</v>
          </cell>
          <cell r="L5525">
            <v>0</v>
          </cell>
          <cell r="M5525">
            <v>0</v>
          </cell>
          <cell r="N5525">
            <v>0</v>
          </cell>
          <cell r="O5525" t="str">
            <v/>
          </cell>
          <cell r="P5525">
            <v>0</v>
          </cell>
          <cell r="Q5525">
            <v>0</v>
          </cell>
          <cell r="R5525">
            <v>0</v>
          </cell>
          <cell r="S5525">
            <v>0</v>
          </cell>
          <cell r="T5525">
            <v>0</v>
          </cell>
          <cell r="U5525" t="str">
            <v/>
          </cell>
          <cell r="V5525" t="str">
            <v/>
          </cell>
        </row>
        <row r="5526">
          <cell r="A5526">
            <v>5525</v>
          </cell>
          <cell r="B5526">
            <v>0</v>
          </cell>
          <cell r="C5526" t="str">
            <v/>
          </cell>
          <cell r="D5526" t="str">
            <v/>
          </cell>
          <cell r="E5526">
            <v>0</v>
          </cell>
          <cell r="F5526" t="str">
            <v/>
          </cell>
          <cell r="G5526" t="str">
            <v/>
          </cell>
          <cell r="H5526" t="str">
            <v/>
          </cell>
          <cell r="I5526" t="str">
            <v/>
          </cell>
          <cell r="J5526">
            <v>0</v>
          </cell>
          <cell r="K5526">
            <v>0</v>
          </cell>
          <cell r="L5526">
            <v>0</v>
          </cell>
          <cell r="M5526">
            <v>0</v>
          </cell>
          <cell r="N5526">
            <v>0</v>
          </cell>
          <cell r="O5526" t="str">
            <v/>
          </cell>
          <cell r="P5526">
            <v>0</v>
          </cell>
          <cell r="Q5526">
            <v>0</v>
          </cell>
          <cell r="R5526">
            <v>0</v>
          </cell>
          <cell r="S5526">
            <v>0</v>
          </cell>
          <cell r="T5526">
            <v>0</v>
          </cell>
          <cell r="U5526" t="str">
            <v/>
          </cell>
          <cell r="V5526" t="str">
            <v/>
          </cell>
        </row>
        <row r="5527">
          <cell r="A5527">
            <v>5526</v>
          </cell>
          <cell r="B5527">
            <v>0</v>
          </cell>
          <cell r="C5527" t="str">
            <v/>
          </cell>
          <cell r="D5527" t="str">
            <v/>
          </cell>
          <cell r="E5527">
            <v>0</v>
          </cell>
          <cell r="F5527" t="str">
            <v/>
          </cell>
          <cell r="G5527" t="str">
            <v/>
          </cell>
          <cell r="H5527" t="str">
            <v/>
          </cell>
          <cell r="I5527" t="str">
            <v/>
          </cell>
          <cell r="J5527">
            <v>0</v>
          </cell>
          <cell r="K5527">
            <v>0</v>
          </cell>
          <cell r="L5527">
            <v>0</v>
          </cell>
          <cell r="M5527">
            <v>0</v>
          </cell>
          <cell r="N5527">
            <v>0</v>
          </cell>
          <cell r="O5527" t="str">
            <v/>
          </cell>
          <cell r="P5527">
            <v>0</v>
          </cell>
          <cell r="Q5527">
            <v>0</v>
          </cell>
          <cell r="R5527">
            <v>0</v>
          </cell>
          <cell r="S5527">
            <v>0</v>
          </cell>
          <cell r="T5527">
            <v>0</v>
          </cell>
          <cell r="U5527" t="str">
            <v/>
          </cell>
          <cell r="V5527" t="str">
            <v/>
          </cell>
        </row>
        <row r="5528">
          <cell r="A5528">
            <v>5527</v>
          </cell>
          <cell r="B5528">
            <v>0</v>
          </cell>
          <cell r="C5528" t="str">
            <v/>
          </cell>
          <cell r="D5528" t="str">
            <v/>
          </cell>
          <cell r="E5528">
            <v>0</v>
          </cell>
          <cell r="F5528" t="str">
            <v/>
          </cell>
          <cell r="G5528" t="str">
            <v/>
          </cell>
          <cell r="H5528" t="str">
            <v/>
          </cell>
          <cell r="I5528" t="str">
            <v/>
          </cell>
          <cell r="J5528">
            <v>0</v>
          </cell>
          <cell r="K5528">
            <v>0</v>
          </cell>
          <cell r="L5528">
            <v>0</v>
          </cell>
          <cell r="M5528">
            <v>0</v>
          </cell>
          <cell r="N5528">
            <v>0</v>
          </cell>
          <cell r="O5528" t="str">
            <v/>
          </cell>
          <cell r="P5528">
            <v>0</v>
          </cell>
          <cell r="Q5528">
            <v>0</v>
          </cell>
          <cell r="R5528">
            <v>0</v>
          </cell>
          <cell r="S5528">
            <v>0</v>
          </cell>
          <cell r="T5528">
            <v>0</v>
          </cell>
          <cell r="U5528" t="str">
            <v/>
          </cell>
          <cell r="V5528" t="str">
            <v/>
          </cell>
        </row>
        <row r="5529">
          <cell r="A5529">
            <v>5528</v>
          </cell>
          <cell r="B5529">
            <v>0</v>
          </cell>
          <cell r="C5529" t="str">
            <v/>
          </cell>
          <cell r="D5529" t="str">
            <v/>
          </cell>
          <cell r="E5529">
            <v>0</v>
          </cell>
          <cell r="F5529" t="str">
            <v/>
          </cell>
          <cell r="G5529" t="str">
            <v/>
          </cell>
          <cell r="H5529" t="str">
            <v/>
          </cell>
          <cell r="I5529" t="str">
            <v/>
          </cell>
          <cell r="J5529">
            <v>0</v>
          </cell>
          <cell r="K5529">
            <v>0</v>
          </cell>
          <cell r="L5529">
            <v>0</v>
          </cell>
          <cell r="M5529">
            <v>0</v>
          </cell>
          <cell r="N5529">
            <v>0</v>
          </cell>
          <cell r="O5529" t="str">
            <v/>
          </cell>
          <cell r="P5529">
            <v>0</v>
          </cell>
          <cell r="Q5529">
            <v>0</v>
          </cell>
          <cell r="R5529">
            <v>0</v>
          </cell>
          <cell r="S5529">
            <v>0</v>
          </cell>
          <cell r="T5529">
            <v>0</v>
          </cell>
          <cell r="U5529" t="str">
            <v/>
          </cell>
          <cell r="V5529" t="str">
            <v/>
          </cell>
        </row>
        <row r="5530">
          <cell r="A5530">
            <v>5529</v>
          </cell>
          <cell r="B5530">
            <v>0</v>
          </cell>
          <cell r="C5530" t="str">
            <v/>
          </cell>
          <cell r="D5530" t="str">
            <v/>
          </cell>
          <cell r="E5530">
            <v>0</v>
          </cell>
          <cell r="F5530" t="str">
            <v/>
          </cell>
          <cell r="G5530" t="str">
            <v/>
          </cell>
          <cell r="H5530" t="str">
            <v/>
          </cell>
          <cell r="I5530" t="str">
            <v/>
          </cell>
          <cell r="J5530">
            <v>0</v>
          </cell>
          <cell r="K5530">
            <v>0</v>
          </cell>
          <cell r="L5530">
            <v>0</v>
          </cell>
          <cell r="M5530">
            <v>0</v>
          </cell>
          <cell r="N5530">
            <v>0</v>
          </cell>
          <cell r="O5530" t="str">
            <v/>
          </cell>
          <cell r="P5530">
            <v>0</v>
          </cell>
          <cell r="Q5530">
            <v>0</v>
          </cell>
          <cell r="R5530">
            <v>0</v>
          </cell>
          <cell r="S5530">
            <v>0</v>
          </cell>
          <cell r="T5530">
            <v>0</v>
          </cell>
          <cell r="U5530" t="str">
            <v/>
          </cell>
          <cell r="V5530" t="str">
            <v/>
          </cell>
        </row>
        <row r="5531">
          <cell r="A5531">
            <v>5530</v>
          </cell>
          <cell r="B5531">
            <v>0</v>
          </cell>
          <cell r="C5531" t="str">
            <v/>
          </cell>
          <cell r="D5531" t="str">
            <v/>
          </cell>
          <cell r="E5531">
            <v>0</v>
          </cell>
          <cell r="F5531" t="str">
            <v/>
          </cell>
          <cell r="G5531" t="str">
            <v/>
          </cell>
          <cell r="H5531" t="str">
            <v/>
          </cell>
          <cell r="I5531" t="str">
            <v/>
          </cell>
          <cell r="J5531">
            <v>0</v>
          </cell>
          <cell r="K5531">
            <v>0</v>
          </cell>
          <cell r="L5531">
            <v>0</v>
          </cell>
          <cell r="M5531">
            <v>0</v>
          </cell>
          <cell r="N5531">
            <v>0</v>
          </cell>
          <cell r="O5531" t="str">
            <v/>
          </cell>
          <cell r="P5531">
            <v>0</v>
          </cell>
          <cell r="Q5531">
            <v>0</v>
          </cell>
          <cell r="R5531">
            <v>0</v>
          </cell>
          <cell r="S5531">
            <v>0</v>
          </cell>
          <cell r="T5531">
            <v>0</v>
          </cell>
          <cell r="U5531" t="str">
            <v/>
          </cell>
          <cell r="V5531" t="str">
            <v/>
          </cell>
        </row>
        <row r="5532">
          <cell r="A5532">
            <v>5531</v>
          </cell>
          <cell r="B5532">
            <v>0</v>
          </cell>
          <cell r="C5532" t="str">
            <v/>
          </cell>
          <cell r="D5532" t="str">
            <v/>
          </cell>
          <cell r="E5532">
            <v>0</v>
          </cell>
          <cell r="F5532" t="str">
            <v/>
          </cell>
          <cell r="G5532" t="str">
            <v/>
          </cell>
          <cell r="H5532" t="str">
            <v/>
          </cell>
          <cell r="I5532" t="str">
            <v/>
          </cell>
          <cell r="J5532">
            <v>0</v>
          </cell>
          <cell r="K5532">
            <v>0</v>
          </cell>
          <cell r="L5532">
            <v>0</v>
          </cell>
          <cell r="M5532">
            <v>0</v>
          </cell>
          <cell r="N5532">
            <v>0</v>
          </cell>
          <cell r="O5532" t="str">
            <v/>
          </cell>
          <cell r="P5532">
            <v>0</v>
          </cell>
          <cell r="Q5532">
            <v>0</v>
          </cell>
          <cell r="R5532">
            <v>0</v>
          </cell>
          <cell r="S5532">
            <v>0</v>
          </cell>
          <cell r="T5532">
            <v>0</v>
          </cell>
          <cell r="U5532" t="str">
            <v/>
          </cell>
          <cell r="V5532" t="str">
            <v/>
          </cell>
        </row>
        <row r="5533">
          <cell r="A5533">
            <v>5532</v>
          </cell>
          <cell r="B5533">
            <v>0</v>
          </cell>
          <cell r="C5533" t="str">
            <v/>
          </cell>
          <cell r="D5533" t="str">
            <v/>
          </cell>
          <cell r="E5533">
            <v>0</v>
          </cell>
          <cell r="F5533" t="str">
            <v/>
          </cell>
          <cell r="G5533" t="str">
            <v/>
          </cell>
          <cell r="H5533" t="str">
            <v/>
          </cell>
          <cell r="I5533" t="str">
            <v/>
          </cell>
          <cell r="J5533">
            <v>0</v>
          </cell>
          <cell r="K5533">
            <v>0</v>
          </cell>
          <cell r="L5533">
            <v>0</v>
          </cell>
          <cell r="M5533">
            <v>0</v>
          </cell>
          <cell r="N5533">
            <v>0</v>
          </cell>
          <cell r="O5533" t="str">
            <v/>
          </cell>
          <cell r="P5533">
            <v>0</v>
          </cell>
          <cell r="Q5533">
            <v>0</v>
          </cell>
          <cell r="R5533">
            <v>0</v>
          </cell>
          <cell r="S5533">
            <v>0</v>
          </cell>
          <cell r="T5533">
            <v>0</v>
          </cell>
          <cell r="U5533" t="str">
            <v/>
          </cell>
          <cell r="V5533" t="str">
            <v/>
          </cell>
        </row>
        <row r="5534">
          <cell r="A5534">
            <v>5533</v>
          </cell>
          <cell r="B5534">
            <v>0</v>
          </cell>
          <cell r="C5534" t="str">
            <v/>
          </cell>
          <cell r="D5534" t="str">
            <v/>
          </cell>
          <cell r="E5534">
            <v>0</v>
          </cell>
          <cell r="F5534" t="str">
            <v/>
          </cell>
          <cell r="G5534" t="str">
            <v/>
          </cell>
          <cell r="H5534" t="str">
            <v/>
          </cell>
          <cell r="I5534" t="str">
            <v/>
          </cell>
          <cell r="J5534">
            <v>0</v>
          </cell>
          <cell r="K5534">
            <v>0</v>
          </cell>
          <cell r="L5534">
            <v>0</v>
          </cell>
          <cell r="M5534">
            <v>0</v>
          </cell>
          <cell r="N5534">
            <v>0</v>
          </cell>
          <cell r="O5534" t="str">
            <v/>
          </cell>
          <cell r="P5534">
            <v>0</v>
          </cell>
          <cell r="Q5534">
            <v>0</v>
          </cell>
          <cell r="R5534">
            <v>0</v>
          </cell>
          <cell r="S5534">
            <v>0</v>
          </cell>
          <cell r="T5534">
            <v>0</v>
          </cell>
          <cell r="U5534" t="str">
            <v/>
          </cell>
          <cell r="V5534" t="str">
            <v/>
          </cell>
        </row>
        <row r="5535">
          <cell r="A5535">
            <v>5534</v>
          </cell>
          <cell r="B5535">
            <v>0</v>
          </cell>
          <cell r="C5535" t="str">
            <v/>
          </cell>
          <cell r="D5535" t="str">
            <v/>
          </cell>
          <cell r="E5535">
            <v>0</v>
          </cell>
          <cell r="F5535" t="str">
            <v/>
          </cell>
          <cell r="G5535" t="str">
            <v/>
          </cell>
          <cell r="H5535" t="str">
            <v/>
          </cell>
          <cell r="I5535" t="str">
            <v/>
          </cell>
          <cell r="J5535">
            <v>0</v>
          </cell>
          <cell r="K5535">
            <v>0</v>
          </cell>
          <cell r="L5535">
            <v>0</v>
          </cell>
          <cell r="M5535">
            <v>0</v>
          </cell>
          <cell r="N5535">
            <v>0</v>
          </cell>
          <cell r="O5535" t="str">
            <v/>
          </cell>
          <cell r="P5535">
            <v>0</v>
          </cell>
          <cell r="Q5535">
            <v>0</v>
          </cell>
          <cell r="R5535">
            <v>0</v>
          </cell>
          <cell r="S5535">
            <v>0</v>
          </cell>
          <cell r="T5535">
            <v>0</v>
          </cell>
          <cell r="U5535" t="str">
            <v/>
          </cell>
          <cell r="V5535" t="str">
            <v/>
          </cell>
        </row>
        <row r="5536">
          <cell r="A5536">
            <v>5535</v>
          </cell>
          <cell r="B5536">
            <v>0</v>
          </cell>
          <cell r="C5536" t="str">
            <v/>
          </cell>
          <cell r="D5536" t="str">
            <v/>
          </cell>
          <cell r="E5536">
            <v>0</v>
          </cell>
          <cell r="F5536" t="str">
            <v/>
          </cell>
          <cell r="G5536" t="str">
            <v/>
          </cell>
          <cell r="H5536" t="str">
            <v/>
          </cell>
          <cell r="I5536" t="str">
            <v/>
          </cell>
          <cell r="J5536">
            <v>0</v>
          </cell>
          <cell r="K5536">
            <v>0</v>
          </cell>
          <cell r="L5536">
            <v>0</v>
          </cell>
          <cell r="M5536">
            <v>0</v>
          </cell>
          <cell r="N5536">
            <v>0</v>
          </cell>
          <cell r="O5536" t="str">
            <v/>
          </cell>
          <cell r="P5536">
            <v>0</v>
          </cell>
          <cell r="Q5536">
            <v>0</v>
          </cell>
          <cell r="R5536">
            <v>0</v>
          </cell>
          <cell r="S5536">
            <v>0</v>
          </cell>
          <cell r="T5536">
            <v>0</v>
          </cell>
          <cell r="U5536" t="str">
            <v/>
          </cell>
          <cell r="V5536" t="str">
            <v/>
          </cell>
        </row>
        <row r="5537">
          <cell r="A5537">
            <v>5536</v>
          </cell>
          <cell r="B5537">
            <v>0</v>
          </cell>
          <cell r="C5537" t="str">
            <v/>
          </cell>
          <cell r="D5537" t="str">
            <v/>
          </cell>
          <cell r="E5537">
            <v>0</v>
          </cell>
          <cell r="F5537" t="str">
            <v/>
          </cell>
          <cell r="G5537" t="str">
            <v/>
          </cell>
          <cell r="H5537" t="str">
            <v/>
          </cell>
          <cell r="I5537" t="str">
            <v/>
          </cell>
          <cell r="J5537">
            <v>0</v>
          </cell>
          <cell r="K5537">
            <v>0</v>
          </cell>
          <cell r="L5537">
            <v>0</v>
          </cell>
          <cell r="M5537">
            <v>0</v>
          </cell>
          <cell r="N5537">
            <v>0</v>
          </cell>
          <cell r="O5537" t="str">
            <v/>
          </cell>
          <cell r="P5537">
            <v>0</v>
          </cell>
          <cell r="Q5537">
            <v>0</v>
          </cell>
          <cell r="R5537">
            <v>0</v>
          </cell>
          <cell r="S5537">
            <v>0</v>
          </cell>
          <cell r="T5537">
            <v>0</v>
          </cell>
          <cell r="U5537" t="str">
            <v/>
          </cell>
          <cell r="V5537" t="str">
            <v/>
          </cell>
        </row>
        <row r="5538">
          <cell r="A5538">
            <v>5537</v>
          </cell>
          <cell r="B5538">
            <v>0</v>
          </cell>
          <cell r="C5538" t="str">
            <v/>
          </cell>
          <cell r="D5538" t="str">
            <v/>
          </cell>
          <cell r="E5538">
            <v>0</v>
          </cell>
          <cell r="F5538" t="str">
            <v/>
          </cell>
          <cell r="G5538" t="str">
            <v/>
          </cell>
          <cell r="H5538" t="str">
            <v/>
          </cell>
          <cell r="I5538" t="str">
            <v/>
          </cell>
          <cell r="J5538">
            <v>0</v>
          </cell>
          <cell r="K5538">
            <v>0</v>
          </cell>
          <cell r="L5538">
            <v>0</v>
          </cell>
          <cell r="M5538">
            <v>0</v>
          </cell>
          <cell r="N5538">
            <v>0</v>
          </cell>
          <cell r="O5538" t="str">
            <v/>
          </cell>
          <cell r="P5538">
            <v>0</v>
          </cell>
          <cell r="Q5538">
            <v>0</v>
          </cell>
          <cell r="R5538">
            <v>0</v>
          </cell>
          <cell r="S5538">
            <v>0</v>
          </cell>
          <cell r="T5538">
            <v>0</v>
          </cell>
          <cell r="U5538" t="str">
            <v/>
          </cell>
          <cell r="V5538" t="str">
            <v/>
          </cell>
        </row>
        <row r="5539">
          <cell r="A5539">
            <v>5538</v>
          </cell>
          <cell r="B5539">
            <v>0</v>
          </cell>
          <cell r="C5539" t="str">
            <v/>
          </cell>
          <cell r="D5539" t="str">
            <v/>
          </cell>
          <cell r="E5539">
            <v>0</v>
          </cell>
          <cell r="F5539" t="str">
            <v/>
          </cell>
          <cell r="G5539" t="str">
            <v/>
          </cell>
          <cell r="H5539" t="str">
            <v/>
          </cell>
          <cell r="I5539" t="str">
            <v/>
          </cell>
          <cell r="J5539">
            <v>0</v>
          </cell>
          <cell r="K5539">
            <v>0</v>
          </cell>
          <cell r="L5539">
            <v>0</v>
          </cell>
          <cell r="M5539">
            <v>0</v>
          </cell>
          <cell r="N5539">
            <v>0</v>
          </cell>
          <cell r="O5539" t="str">
            <v/>
          </cell>
          <cell r="P5539">
            <v>0</v>
          </cell>
          <cell r="Q5539">
            <v>0</v>
          </cell>
          <cell r="R5539">
            <v>0</v>
          </cell>
          <cell r="S5539">
            <v>0</v>
          </cell>
          <cell r="T5539">
            <v>0</v>
          </cell>
          <cell r="U5539" t="str">
            <v/>
          </cell>
          <cell r="V5539" t="str">
            <v/>
          </cell>
        </row>
        <row r="5540">
          <cell r="A5540">
            <v>5539</v>
          </cell>
          <cell r="B5540">
            <v>0</v>
          </cell>
          <cell r="C5540" t="str">
            <v/>
          </cell>
          <cell r="D5540" t="str">
            <v/>
          </cell>
          <cell r="E5540">
            <v>0</v>
          </cell>
          <cell r="F5540" t="str">
            <v/>
          </cell>
          <cell r="G5540" t="str">
            <v/>
          </cell>
          <cell r="H5540" t="str">
            <v/>
          </cell>
          <cell r="I5540" t="str">
            <v/>
          </cell>
          <cell r="J5540">
            <v>0</v>
          </cell>
          <cell r="K5540">
            <v>0</v>
          </cell>
          <cell r="L5540">
            <v>0</v>
          </cell>
          <cell r="M5540">
            <v>0</v>
          </cell>
          <cell r="N5540">
            <v>0</v>
          </cell>
          <cell r="O5540" t="str">
            <v/>
          </cell>
          <cell r="P5540">
            <v>0</v>
          </cell>
          <cell r="Q5540">
            <v>0</v>
          </cell>
          <cell r="R5540">
            <v>0</v>
          </cell>
          <cell r="S5540">
            <v>0</v>
          </cell>
          <cell r="T5540">
            <v>0</v>
          </cell>
          <cell r="U5540" t="str">
            <v/>
          </cell>
          <cell r="V5540" t="str">
            <v/>
          </cell>
        </row>
        <row r="5541">
          <cell r="A5541">
            <v>5540</v>
          </cell>
          <cell r="B5541">
            <v>0</v>
          </cell>
          <cell r="C5541" t="str">
            <v/>
          </cell>
          <cell r="D5541" t="str">
            <v/>
          </cell>
          <cell r="E5541">
            <v>0</v>
          </cell>
          <cell r="F5541" t="str">
            <v/>
          </cell>
          <cell r="G5541" t="str">
            <v/>
          </cell>
          <cell r="H5541" t="str">
            <v/>
          </cell>
          <cell r="I5541" t="str">
            <v/>
          </cell>
          <cell r="J5541">
            <v>0</v>
          </cell>
          <cell r="K5541">
            <v>0</v>
          </cell>
          <cell r="L5541">
            <v>0</v>
          </cell>
          <cell r="M5541">
            <v>0</v>
          </cell>
          <cell r="N5541">
            <v>0</v>
          </cell>
          <cell r="O5541" t="str">
            <v/>
          </cell>
          <cell r="P5541">
            <v>0</v>
          </cell>
          <cell r="Q5541">
            <v>0</v>
          </cell>
          <cell r="R5541">
            <v>0</v>
          </cell>
          <cell r="S5541">
            <v>0</v>
          </cell>
          <cell r="T5541">
            <v>0</v>
          </cell>
          <cell r="U5541" t="str">
            <v/>
          </cell>
          <cell r="V5541" t="str">
            <v/>
          </cell>
        </row>
        <row r="5542">
          <cell r="A5542">
            <v>5541</v>
          </cell>
          <cell r="B5542">
            <v>0</v>
          </cell>
          <cell r="C5542" t="str">
            <v/>
          </cell>
          <cell r="D5542" t="str">
            <v/>
          </cell>
          <cell r="E5542">
            <v>0</v>
          </cell>
          <cell r="F5542" t="str">
            <v/>
          </cell>
          <cell r="G5542" t="str">
            <v/>
          </cell>
          <cell r="H5542" t="str">
            <v/>
          </cell>
          <cell r="I5542" t="str">
            <v/>
          </cell>
          <cell r="J5542">
            <v>0</v>
          </cell>
          <cell r="K5542">
            <v>0</v>
          </cell>
          <cell r="L5542">
            <v>0</v>
          </cell>
          <cell r="M5542">
            <v>0</v>
          </cell>
          <cell r="N5542">
            <v>0</v>
          </cell>
          <cell r="O5542" t="str">
            <v/>
          </cell>
          <cell r="P5542">
            <v>0</v>
          </cell>
          <cell r="Q5542">
            <v>0</v>
          </cell>
          <cell r="R5542">
            <v>0</v>
          </cell>
          <cell r="S5542">
            <v>0</v>
          </cell>
          <cell r="T5542">
            <v>0</v>
          </cell>
          <cell r="U5542" t="str">
            <v/>
          </cell>
          <cell r="V5542" t="str">
            <v/>
          </cell>
        </row>
        <row r="5543">
          <cell r="A5543">
            <v>5542</v>
          </cell>
          <cell r="B5543">
            <v>0</v>
          </cell>
          <cell r="C5543" t="str">
            <v/>
          </cell>
          <cell r="D5543" t="str">
            <v/>
          </cell>
          <cell r="E5543">
            <v>0</v>
          </cell>
          <cell r="F5543" t="str">
            <v/>
          </cell>
          <cell r="G5543" t="str">
            <v/>
          </cell>
          <cell r="H5543" t="str">
            <v/>
          </cell>
          <cell r="I5543" t="str">
            <v/>
          </cell>
          <cell r="J5543">
            <v>0</v>
          </cell>
          <cell r="K5543">
            <v>0</v>
          </cell>
          <cell r="L5543">
            <v>0</v>
          </cell>
          <cell r="M5543">
            <v>0</v>
          </cell>
          <cell r="N5543">
            <v>0</v>
          </cell>
          <cell r="O5543" t="str">
            <v/>
          </cell>
          <cell r="P5543">
            <v>0</v>
          </cell>
          <cell r="Q5543">
            <v>0</v>
          </cell>
          <cell r="R5543">
            <v>0</v>
          </cell>
          <cell r="S5543">
            <v>0</v>
          </cell>
          <cell r="T5543">
            <v>0</v>
          </cell>
          <cell r="U5543" t="str">
            <v/>
          </cell>
          <cell r="V5543" t="str">
            <v/>
          </cell>
        </row>
        <row r="5544">
          <cell r="A5544">
            <v>5543</v>
          </cell>
          <cell r="B5544">
            <v>0</v>
          </cell>
          <cell r="C5544" t="str">
            <v/>
          </cell>
          <cell r="D5544" t="str">
            <v/>
          </cell>
          <cell r="E5544">
            <v>0</v>
          </cell>
          <cell r="F5544" t="str">
            <v/>
          </cell>
          <cell r="G5544" t="str">
            <v/>
          </cell>
          <cell r="H5544" t="str">
            <v/>
          </cell>
          <cell r="I5544" t="str">
            <v/>
          </cell>
          <cell r="J5544">
            <v>0</v>
          </cell>
          <cell r="K5544">
            <v>0</v>
          </cell>
          <cell r="L5544">
            <v>0</v>
          </cell>
          <cell r="M5544">
            <v>0</v>
          </cell>
          <cell r="N5544">
            <v>0</v>
          </cell>
          <cell r="O5544" t="str">
            <v/>
          </cell>
          <cell r="P5544">
            <v>0</v>
          </cell>
          <cell r="Q5544">
            <v>0</v>
          </cell>
          <cell r="R5544">
            <v>0</v>
          </cell>
          <cell r="S5544">
            <v>0</v>
          </cell>
          <cell r="T5544">
            <v>0</v>
          </cell>
          <cell r="U5544" t="str">
            <v/>
          </cell>
          <cell r="V5544" t="str">
            <v/>
          </cell>
        </row>
        <row r="5545">
          <cell r="A5545">
            <v>5544</v>
          </cell>
          <cell r="B5545">
            <v>0</v>
          </cell>
          <cell r="C5545" t="str">
            <v/>
          </cell>
          <cell r="D5545" t="str">
            <v/>
          </cell>
          <cell r="E5545">
            <v>0</v>
          </cell>
          <cell r="F5545" t="str">
            <v/>
          </cell>
          <cell r="G5545" t="str">
            <v/>
          </cell>
          <cell r="H5545" t="str">
            <v/>
          </cell>
          <cell r="I5545" t="str">
            <v/>
          </cell>
          <cell r="J5545">
            <v>0</v>
          </cell>
          <cell r="K5545">
            <v>0</v>
          </cell>
          <cell r="L5545">
            <v>0</v>
          </cell>
          <cell r="M5545">
            <v>0</v>
          </cell>
          <cell r="N5545">
            <v>0</v>
          </cell>
          <cell r="O5545" t="str">
            <v/>
          </cell>
          <cell r="P5545">
            <v>0</v>
          </cell>
          <cell r="Q5545">
            <v>0</v>
          </cell>
          <cell r="R5545">
            <v>0</v>
          </cell>
          <cell r="S5545">
            <v>0</v>
          </cell>
          <cell r="T5545">
            <v>0</v>
          </cell>
          <cell r="U5545" t="str">
            <v/>
          </cell>
          <cell r="V5545" t="str">
            <v/>
          </cell>
        </row>
        <row r="5546">
          <cell r="A5546">
            <v>5545</v>
          </cell>
          <cell r="B5546">
            <v>0</v>
          </cell>
          <cell r="C5546" t="str">
            <v/>
          </cell>
          <cell r="D5546" t="str">
            <v/>
          </cell>
          <cell r="E5546">
            <v>0</v>
          </cell>
          <cell r="F5546" t="str">
            <v/>
          </cell>
          <cell r="G5546" t="str">
            <v/>
          </cell>
          <cell r="H5546" t="str">
            <v/>
          </cell>
          <cell r="I5546" t="str">
            <v/>
          </cell>
          <cell r="J5546">
            <v>0</v>
          </cell>
          <cell r="K5546">
            <v>0</v>
          </cell>
          <cell r="L5546">
            <v>0</v>
          </cell>
          <cell r="M5546">
            <v>0</v>
          </cell>
          <cell r="N5546">
            <v>0</v>
          </cell>
          <cell r="O5546" t="str">
            <v/>
          </cell>
          <cell r="P5546">
            <v>0</v>
          </cell>
          <cell r="Q5546">
            <v>0</v>
          </cell>
          <cell r="R5546">
            <v>0</v>
          </cell>
          <cell r="S5546">
            <v>0</v>
          </cell>
          <cell r="T5546">
            <v>0</v>
          </cell>
          <cell r="U5546" t="str">
            <v/>
          </cell>
          <cell r="V5546" t="str">
            <v/>
          </cell>
        </row>
        <row r="5547">
          <cell r="A5547">
            <v>5546</v>
          </cell>
          <cell r="B5547">
            <v>0</v>
          </cell>
          <cell r="C5547" t="str">
            <v/>
          </cell>
          <cell r="D5547" t="str">
            <v/>
          </cell>
          <cell r="E5547">
            <v>0</v>
          </cell>
          <cell r="F5547" t="str">
            <v/>
          </cell>
          <cell r="G5547" t="str">
            <v/>
          </cell>
          <cell r="H5547" t="str">
            <v/>
          </cell>
          <cell r="I5547" t="str">
            <v/>
          </cell>
          <cell r="J5547">
            <v>0</v>
          </cell>
          <cell r="K5547">
            <v>0</v>
          </cell>
          <cell r="L5547">
            <v>0</v>
          </cell>
          <cell r="M5547">
            <v>0</v>
          </cell>
          <cell r="N5547">
            <v>0</v>
          </cell>
          <cell r="O5547" t="str">
            <v/>
          </cell>
          <cell r="P5547">
            <v>0</v>
          </cell>
          <cell r="Q5547">
            <v>0</v>
          </cell>
          <cell r="R5547">
            <v>0</v>
          </cell>
          <cell r="S5547">
            <v>0</v>
          </cell>
          <cell r="T5547">
            <v>0</v>
          </cell>
          <cell r="U5547" t="str">
            <v/>
          </cell>
          <cell r="V5547" t="str">
            <v/>
          </cell>
        </row>
        <row r="5548">
          <cell r="A5548">
            <v>5547</v>
          </cell>
          <cell r="B5548">
            <v>0</v>
          </cell>
          <cell r="C5548" t="str">
            <v/>
          </cell>
          <cell r="D5548" t="str">
            <v/>
          </cell>
          <cell r="E5548">
            <v>0</v>
          </cell>
          <cell r="F5548" t="str">
            <v/>
          </cell>
          <cell r="G5548" t="str">
            <v/>
          </cell>
          <cell r="H5548" t="str">
            <v/>
          </cell>
          <cell r="I5548" t="str">
            <v/>
          </cell>
          <cell r="J5548">
            <v>0</v>
          </cell>
          <cell r="K5548">
            <v>0</v>
          </cell>
          <cell r="L5548">
            <v>0</v>
          </cell>
          <cell r="M5548">
            <v>0</v>
          </cell>
          <cell r="N5548">
            <v>0</v>
          </cell>
          <cell r="O5548" t="str">
            <v/>
          </cell>
          <cell r="P5548">
            <v>0</v>
          </cell>
          <cell r="Q5548">
            <v>0</v>
          </cell>
          <cell r="R5548">
            <v>0</v>
          </cell>
          <cell r="S5548">
            <v>0</v>
          </cell>
          <cell r="T5548">
            <v>0</v>
          </cell>
          <cell r="U5548" t="str">
            <v/>
          </cell>
          <cell r="V5548" t="str">
            <v/>
          </cell>
        </row>
        <row r="5549">
          <cell r="A5549">
            <v>5548</v>
          </cell>
          <cell r="B5549">
            <v>0</v>
          </cell>
          <cell r="C5549" t="str">
            <v/>
          </cell>
          <cell r="D5549" t="str">
            <v/>
          </cell>
          <cell r="E5549">
            <v>0</v>
          </cell>
          <cell r="F5549" t="str">
            <v/>
          </cell>
          <cell r="G5549" t="str">
            <v/>
          </cell>
          <cell r="H5549" t="str">
            <v/>
          </cell>
          <cell r="I5549" t="str">
            <v/>
          </cell>
          <cell r="J5549">
            <v>0</v>
          </cell>
          <cell r="K5549">
            <v>0</v>
          </cell>
          <cell r="L5549">
            <v>0</v>
          </cell>
          <cell r="M5549">
            <v>0</v>
          </cell>
          <cell r="N5549">
            <v>0</v>
          </cell>
          <cell r="O5549" t="str">
            <v/>
          </cell>
          <cell r="P5549">
            <v>0</v>
          </cell>
          <cell r="Q5549">
            <v>0</v>
          </cell>
          <cell r="R5549">
            <v>0</v>
          </cell>
          <cell r="S5549">
            <v>0</v>
          </cell>
          <cell r="T5549">
            <v>0</v>
          </cell>
          <cell r="U5549" t="str">
            <v/>
          </cell>
          <cell r="V5549" t="str">
            <v/>
          </cell>
        </row>
        <row r="5550">
          <cell r="A5550">
            <v>5549</v>
          </cell>
          <cell r="B5550">
            <v>0</v>
          </cell>
          <cell r="C5550" t="str">
            <v/>
          </cell>
          <cell r="D5550" t="str">
            <v/>
          </cell>
          <cell r="E5550">
            <v>0</v>
          </cell>
          <cell r="F5550" t="str">
            <v/>
          </cell>
          <cell r="G5550" t="str">
            <v/>
          </cell>
          <cell r="H5550" t="str">
            <v/>
          </cell>
          <cell r="I5550" t="str">
            <v/>
          </cell>
          <cell r="J5550">
            <v>0</v>
          </cell>
          <cell r="K5550">
            <v>0</v>
          </cell>
          <cell r="L5550">
            <v>0</v>
          </cell>
          <cell r="M5550">
            <v>0</v>
          </cell>
          <cell r="N5550">
            <v>0</v>
          </cell>
          <cell r="O5550" t="str">
            <v/>
          </cell>
          <cell r="P5550">
            <v>0</v>
          </cell>
          <cell r="Q5550">
            <v>0</v>
          </cell>
          <cell r="R5550">
            <v>0</v>
          </cell>
          <cell r="S5550">
            <v>0</v>
          </cell>
          <cell r="T5550">
            <v>0</v>
          </cell>
          <cell r="U5550" t="str">
            <v/>
          </cell>
          <cell r="V5550" t="str">
            <v/>
          </cell>
        </row>
        <row r="5551">
          <cell r="A5551">
            <v>5550</v>
          </cell>
          <cell r="B5551">
            <v>0</v>
          </cell>
          <cell r="C5551" t="str">
            <v/>
          </cell>
          <cell r="D5551" t="str">
            <v/>
          </cell>
          <cell r="E5551">
            <v>0</v>
          </cell>
          <cell r="F5551" t="str">
            <v/>
          </cell>
          <cell r="G5551" t="str">
            <v/>
          </cell>
          <cell r="H5551" t="str">
            <v/>
          </cell>
          <cell r="I5551" t="str">
            <v/>
          </cell>
          <cell r="J5551">
            <v>0</v>
          </cell>
          <cell r="K5551">
            <v>0</v>
          </cell>
          <cell r="L5551">
            <v>0</v>
          </cell>
          <cell r="M5551">
            <v>0</v>
          </cell>
          <cell r="N5551">
            <v>0</v>
          </cell>
          <cell r="O5551" t="str">
            <v/>
          </cell>
          <cell r="P5551">
            <v>0</v>
          </cell>
          <cell r="Q5551">
            <v>0</v>
          </cell>
          <cell r="R5551">
            <v>0</v>
          </cell>
          <cell r="S5551">
            <v>0</v>
          </cell>
          <cell r="T5551">
            <v>0</v>
          </cell>
          <cell r="U5551" t="str">
            <v/>
          </cell>
          <cell r="V5551" t="str">
            <v/>
          </cell>
        </row>
        <row r="5552">
          <cell r="A5552">
            <v>5551</v>
          </cell>
          <cell r="B5552">
            <v>0</v>
          </cell>
          <cell r="C5552" t="str">
            <v/>
          </cell>
          <cell r="D5552" t="str">
            <v/>
          </cell>
          <cell r="E5552">
            <v>0</v>
          </cell>
          <cell r="F5552" t="str">
            <v/>
          </cell>
          <cell r="G5552" t="str">
            <v/>
          </cell>
          <cell r="H5552" t="str">
            <v/>
          </cell>
          <cell r="I5552" t="str">
            <v/>
          </cell>
          <cell r="J5552">
            <v>0</v>
          </cell>
          <cell r="K5552">
            <v>0</v>
          </cell>
          <cell r="L5552">
            <v>0</v>
          </cell>
          <cell r="M5552">
            <v>0</v>
          </cell>
          <cell r="N5552">
            <v>0</v>
          </cell>
          <cell r="O5552" t="str">
            <v/>
          </cell>
          <cell r="P5552">
            <v>0</v>
          </cell>
          <cell r="Q5552">
            <v>0</v>
          </cell>
          <cell r="R5552">
            <v>0</v>
          </cell>
          <cell r="S5552">
            <v>0</v>
          </cell>
          <cell r="T5552">
            <v>0</v>
          </cell>
          <cell r="U5552" t="str">
            <v/>
          </cell>
          <cell r="V5552" t="str">
            <v/>
          </cell>
        </row>
        <row r="5553">
          <cell r="A5553">
            <v>5552</v>
          </cell>
          <cell r="B5553">
            <v>0</v>
          </cell>
          <cell r="C5553" t="str">
            <v/>
          </cell>
          <cell r="D5553" t="str">
            <v/>
          </cell>
          <cell r="E5553">
            <v>0</v>
          </cell>
          <cell r="F5553" t="str">
            <v/>
          </cell>
          <cell r="G5553" t="str">
            <v/>
          </cell>
          <cell r="H5553" t="str">
            <v/>
          </cell>
          <cell r="I5553" t="str">
            <v/>
          </cell>
          <cell r="J5553">
            <v>0</v>
          </cell>
          <cell r="K5553">
            <v>0</v>
          </cell>
          <cell r="L5553">
            <v>0</v>
          </cell>
          <cell r="M5553">
            <v>0</v>
          </cell>
          <cell r="N5553">
            <v>0</v>
          </cell>
          <cell r="O5553" t="str">
            <v/>
          </cell>
          <cell r="P5553">
            <v>0</v>
          </cell>
          <cell r="Q5553">
            <v>0</v>
          </cell>
          <cell r="R5553">
            <v>0</v>
          </cell>
          <cell r="S5553">
            <v>0</v>
          </cell>
          <cell r="T5553">
            <v>0</v>
          </cell>
          <cell r="U5553" t="str">
            <v/>
          </cell>
          <cell r="V5553" t="str">
            <v/>
          </cell>
        </row>
        <row r="5554">
          <cell r="A5554">
            <v>5553</v>
          </cell>
          <cell r="B5554">
            <v>0</v>
          </cell>
          <cell r="C5554" t="str">
            <v/>
          </cell>
          <cell r="D5554" t="str">
            <v/>
          </cell>
          <cell r="E5554">
            <v>0</v>
          </cell>
          <cell r="F5554" t="str">
            <v/>
          </cell>
          <cell r="G5554" t="str">
            <v/>
          </cell>
          <cell r="H5554" t="str">
            <v/>
          </cell>
          <cell r="I5554" t="str">
            <v/>
          </cell>
          <cell r="J5554">
            <v>0</v>
          </cell>
          <cell r="K5554">
            <v>0</v>
          </cell>
          <cell r="L5554">
            <v>0</v>
          </cell>
          <cell r="M5554">
            <v>0</v>
          </cell>
          <cell r="N5554">
            <v>0</v>
          </cell>
          <cell r="O5554" t="str">
            <v/>
          </cell>
          <cell r="P5554">
            <v>0</v>
          </cell>
          <cell r="Q5554">
            <v>0</v>
          </cell>
          <cell r="R5554">
            <v>0</v>
          </cell>
          <cell r="S5554">
            <v>0</v>
          </cell>
          <cell r="T5554">
            <v>0</v>
          </cell>
          <cell r="U5554" t="str">
            <v/>
          </cell>
          <cell r="V5554" t="str">
            <v/>
          </cell>
        </row>
        <row r="5555">
          <cell r="A5555">
            <v>5554</v>
          </cell>
          <cell r="B5555">
            <v>0</v>
          </cell>
          <cell r="C5555" t="str">
            <v/>
          </cell>
          <cell r="D5555" t="str">
            <v/>
          </cell>
          <cell r="E5555">
            <v>0</v>
          </cell>
          <cell r="F5555" t="str">
            <v/>
          </cell>
          <cell r="G5555" t="str">
            <v/>
          </cell>
          <cell r="H5555" t="str">
            <v/>
          </cell>
          <cell r="I5555" t="str">
            <v/>
          </cell>
          <cell r="J5555">
            <v>0</v>
          </cell>
          <cell r="K5555">
            <v>0</v>
          </cell>
          <cell r="L5555">
            <v>0</v>
          </cell>
          <cell r="M5555">
            <v>0</v>
          </cell>
          <cell r="N5555">
            <v>0</v>
          </cell>
          <cell r="O5555" t="str">
            <v/>
          </cell>
          <cell r="P5555">
            <v>0</v>
          </cell>
          <cell r="Q5555">
            <v>0</v>
          </cell>
          <cell r="R5555">
            <v>0</v>
          </cell>
          <cell r="S5555">
            <v>0</v>
          </cell>
          <cell r="T5555">
            <v>0</v>
          </cell>
          <cell r="U5555" t="str">
            <v/>
          </cell>
          <cell r="V5555" t="str">
            <v/>
          </cell>
        </row>
        <row r="5556">
          <cell r="A5556">
            <v>5555</v>
          </cell>
          <cell r="B5556">
            <v>0</v>
          </cell>
          <cell r="C5556" t="str">
            <v/>
          </cell>
          <cell r="D5556" t="str">
            <v/>
          </cell>
          <cell r="E5556">
            <v>0</v>
          </cell>
          <cell r="F5556" t="str">
            <v/>
          </cell>
          <cell r="G5556" t="str">
            <v/>
          </cell>
          <cell r="H5556" t="str">
            <v/>
          </cell>
          <cell r="I5556" t="str">
            <v/>
          </cell>
          <cell r="J5556">
            <v>0</v>
          </cell>
          <cell r="K5556">
            <v>0</v>
          </cell>
          <cell r="L5556">
            <v>0</v>
          </cell>
          <cell r="M5556">
            <v>0</v>
          </cell>
          <cell r="N5556">
            <v>0</v>
          </cell>
          <cell r="O5556" t="str">
            <v/>
          </cell>
          <cell r="P5556">
            <v>0</v>
          </cell>
          <cell r="Q5556">
            <v>0</v>
          </cell>
          <cell r="R5556">
            <v>0</v>
          </cell>
          <cell r="S5556">
            <v>0</v>
          </cell>
          <cell r="T5556">
            <v>0</v>
          </cell>
          <cell r="U5556" t="str">
            <v/>
          </cell>
          <cell r="V5556" t="str">
            <v/>
          </cell>
        </row>
        <row r="5557">
          <cell r="A5557">
            <v>5556</v>
          </cell>
          <cell r="B5557">
            <v>0</v>
          </cell>
          <cell r="C5557" t="str">
            <v/>
          </cell>
          <cell r="D5557" t="str">
            <v/>
          </cell>
          <cell r="E5557">
            <v>0</v>
          </cell>
          <cell r="F5557" t="str">
            <v/>
          </cell>
          <cell r="G5557" t="str">
            <v/>
          </cell>
          <cell r="H5557" t="str">
            <v/>
          </cell>
          <cell r="I5557" t="str">
            <v/>
          </cell>
          <cell r="J5557">
            <v>0</v>
          </cell>
          <cell r="K5557">
            <v>0</v>
          </cell>
          <cell r="L5557">
            <v>0</v>
          </cell>
          <cell r="M5557">
            <v>0</v>
          </cell>
          <cell r="N5557">
            <v>0</v>
          </cell>
          <cell r="O5557" t="str">
            <v/>
          </cell>
          <cell r="P5557">
            <v>0</v>
          </cell>
          <cell r="Q5557">
            <v>0</v>
          </cell>
          <cell r="R5557">
            <v>0</v>
          </cell>
          <cell r="S5557">
            <v>0</v>
          </cell>
          <cell r="T5557">
            <v>0</v>
          </cell>
          <cell r="U5557" t="str">
            <v/>
          </cell>
          <cell r="V5557" t="str">
            <v/>
          </cell>
        </row>
        <row r="5558">
          <cell r="A5558">
            <v>5557</v>
          </cell>
          <cell r="B5558">
            <v>0</v>
          </cell>
          <cell r="C5558" t="str">
            <v/>
          </cell>
          <cell r="D5558" t="str">
            <v/>
          </cell>
          <cell r="E5558">
            <v>0</v>
          </cell>
          <cell r="F5558" t="str">
            <v/>
          </cell>
          <cell r="G5558" t="str">
            <v/>
          </cell>
          <cell r="H5558" t="str">
            <v/>
          </cell>
          <cell r="I5558" t="str">
            <v/>
          </cell>
          <cell r="J5558">
            <v>0</v>
          </cell>
          <cell r="K5558">
            <v>0</v>
          </cell>
          <cell r="L5558">
            <v>0</v>
          </cell>
          <cell r="M5558">
            <v>0</v>
          </cell>
          <cell r="N5558">
            <v>0</v>
          </cell>
          <cell r="O5558" t="str">
            <v/>
          </cell>
          <cell r="P5558">
            <v>0</v>
          </cell>
          <cell r="Q5558">
            <v>0</v>
          </cell>
          <cell r="R5558">
            <v>0</v>
          </cell>
          <cell r="S5558">
            <v>0</v>
          </cell>
          <cell r="T5558">
            <v>0</v>
          </cell>
          <cell r="U5558" t="str">
            <v/>
          </cell>
          <cell r="V5558" t="str">
            <v/>
          </cell>
        </row>
        <row r="5559">
          <cell r="A5559">
            <v>5558</v>
          </cell>
          <cell r="B5559">
            <v>0</v>
          </cell>
          <cell r="C5559" t="str">
            <v/>
          </cell>
          <cell r="D5559" t="str">
            <v/>
          </cell>
          <cell r="E5559">
            <v>0</v>
          </cell>
          <cell r="F5559" t="str">
            <v/>
          </cell>
          <cell r="G5559" t="str">
            <v/>
          </cell>
          <cell r="H5559" t="str">
            <v/>
          </cell>
          <cell r="I5559" t="str">
            <v/>
          </cell>
          <cell r="J5559">
            <v>0</v>
          </cell>
          <cell r="K5559">
            <v>0</v>
          </cell>
          <cell r="L5559">
            <v>0</v>
          </cell>
          <cell r="M5559">
            <v>0</v>
          </cell>
          <cell r="N5559">
            <v>0</v>
          </cell>
          <cell r="O5559" t="str">
            <v/>
          </cell>
          <cell r="P5559">
            <v>0</v>
          </cell>
          <cell r="Q5559">
            <v>0</v>
          </cell>
          <cell r="R5559">
            <v>0</v>
          </cell>
          <cell r="S5559">
            <v>0</v>
          </cell>
          <cell r="T5559">
            <v>0</v>
          </cell>
          <cell r="U5559" t="str">
            <v/>
          </cell>
          <cell r="V5559" t="str">
            <v/>
          </cell>
        </row>
        <row r="5560">
          <cell r="A5560">
            <v>5559</v>
          </cell>
          <cell r="B5560">
            <v>0</v>
          </cell>
          <cell r="C5560" t="str">
            <v/>
          </cell>
          <cell r="D5560" t="str">
            <v/>
          </cell>
          <cell r="E5560">
            <v>0</v>
          </cell>
          <cell r="F5560" t="str">
            <v/>
          </cell>
          <cell r="G5560" t="str">
            <v/>
          </cell>
          <cell r="H5560" t="str">
            <v/>
          </cell>
          <cell r="I5560" t="str">
            <v/>
          </cell>
          <cell r="J5560">
            <v>0</v>
          </cell>
          <cell r="K5560">
            <v>0</v>
          </cell>
          <cell r="L5560">
            <v>0</v>
          </cell>
          <cell r="M5560">
            <v>0</v>
          </cell>
          <cell r="N5560">
            <v>0</v>
          </cell>
          <cell r="O5560" t="str">
            <v/>
          </cell>
          <cell r="P5560">
            <v>0</v>
          </cell>
          <cell r="Q5560">
            <v>0</v>
          </cell>
          <cell r="R5560">
            <v>0</v>
          </cell>
          <cell r="S5560">
            <v>0</v>
          </cell>
          <cell r="T5560">
            <v>0</v>
          </cell>
          <cell r="U5560" t="str">
            <v/>
          </cell>
          <cell r="V5560" t="str">
            <v/>
          </cell>
        </row>
        <row r="5561">
          <cell r="A5561">
            <v>5560</v>
          </cell>
          <cell r="B5561">
            <v>0</v>
          </cell>
          <cell r="C5561" t="str">
            <v/>
          </cell>
          <cell r="D5561" t="str">
            <v/>
          </cell>
          <cell r="E5561">
            <v>0</v>
          </cell>
          <cell r="F5561" t="str">
            <v/>
          </cell>
          <cell r="G5561" t="str">
            <v/>
          </cell>
          <cell r="H5561" t="str">
            <v/>
          </cell>
          <cell r="I5561" t="str">
            <v/>
          </cell>
          <cell r="J5561">
            <v>0</v>
          </cell>
          <cell r="K5561">
            <v>0</v>
          </cell>
          <cell r="L5561">
            <v>0</v>
          </cell>
          <cell r="M5561">
            <v>0</v>
          </cell>
          <cell r="N5561">
            <v>0</v>
          </cell>
          <cell r="O5561" t="str">
            <v/>
          </cell>
          <cell r="P5561">
            <v>0</v>
          </cell>
          <cell r="Q5561">
            <v>0</v>
          </cell>
          <cell r="R5561">
            <v>0</v>
          </cell>
          <cell r="S5561">
            <v>0</v>
          </cell>
          <cell r="T5561">
            <v>0</v>
          </cell>
          <cell r="U5561" t="str">
            <v/>
          </cell>
          <cell r="V5561" t="str">
            <v/>
          </cell>
        </row>
        <row r="5562">
          <cell r="A5562">
            <v>5561</v>
          </cell>
          <cell r="B5562">
            <v>0</v>
          </cell>
          <cell r="C5562" t="str">
            <v/>
          </cell>
          <cell r="D5562" t="str">
            <v/>
          </cell>
          <cell r="E5562">
            <v>0</v>
          </cell>
          <cell r="F5562" t="str">
            <v/>
          </cell>
          <cell r="G5562" t="str">
            <v/>
          </cell>
          <cell r="H5562" t="str">
            <v/>
          </cell>
          <cell r="I5562" t="str">
            <v/>
          </cell>
          <cell r="J5562">
            <v>0</v>
          </cell>
          <cell r="K5562">
            <v>0</v>
          </cell>
          <cell r="L5562">
            <v>0</v>
          </cell>
          <cell r="M5562">
            <v>0</v>
          </cell>
          <cell r="N5562">
            <v>0</v>
          </cell>
          <cell r="O5562" t="str">
            <v/>
          </cell>
          <cell r="P5562">
            <v>0</v>
          </cell>
          <cell r="Q5562">
            <v>0</v>
          </cell>
          <cell r="R5562">
            <v>0</v>
          </cell>
          <cell r="S5562">
            <v>0</v>
          </cell>
          <cell r="T5562">
            <v>0</v>
          </cell>
          <cell r="U5562" t="str">
            <v/>
          </cell>
          <cell r="V5562" t="str">
            <v/>
          </cell>
        </row>
        <row r="5563">
          <cell r="A5563">
            <v>5562</v>
          </cell>
          <cell r="B5563">
            <v>0</v>
          </cell>
          <cell r="C5563" t="str">
            <v/>
          </cell>
          <cell r="D5563" t="str">
            <v/>
          </cell>
          <cell r="E5563">
            <v>0</v>
          </cell>
          <cell r="F5563" t="str">
            <v/>
          </cell>
          <cell r="G5563" t="str">
            <v/>
          </cell>
          <cell r="H5563" t="str">
            <v/>
          </cell>
          <cell r="I5563" t="str">
            <v/>
          </cell>
          <cell r="J5563">
            <v>0</v>
          </cell>
          <cell r="K5563">
            <v>0</v>
          </cell>
          <cell r="L5563">
            <v>0</v>
          </cell>
          <cell r="M5563">
            <v>0</v>
          </cell>
          <cell r="N5563">
            <v>0</v>
          </cell>
          <cell r="O5563" t="str">
            <v/>
          </cell>
          <cell r="P5563">
            <v>0</v>
          </cell>
          <cell r="Q5563">
            <v>0</v>
          </cell>
          <cell r="R5563">
            <v>0</v>
          </cell>
          <cell r="S5563">
            <v>0</v>
          </cell>
          <cell r="T5563">
            <v>0</v>
          </cell>
          <cell r="U5563" t="str">
            <v/>
          </cell>
          <cell r="V5563" t="str">
            <v/>
          </cell>
        </row>
        <row r="5564">
          <cell r="A5564">
            <v>5563</v>
          </cell>
          <cell r="B5564">
            <v>0</v>
          </cell>
          <cell r="C5564" t="str">
            <v/>
          </cell>
          <cell r="D5564" t="str">
            <v/>
          </cell>
          <cell r="E5564">
            <v>0</v>
          </cell>
          <cell r="F5564" t="str">
            <v/>
          </cell>
          <cell r="G5564" t="str">
            <v/>
          </cell>
          <cell r="H5564" t="str">
            <v/>
          </cell>
          <cell r="I5564" t="str">
            <v/>
          </cell>
          <cell r="J5564">
            <v>0</v>
          </cell>
          <cell r="K5564">
            <v>0</v>
          </cell>
          <cell r="L5564">
            <v>0</v>
          </cell>
          <cell r="M5564">
            <v>0</v>
          </cell>
          <cell r="N5564">
            <v>0</v>
          </cell>
          <cell r="O5564" t="str">
            <v/>
          </cell>
          <cell r="P5564">
            <v>0</v>
          </cell>
          <cell r="Q5564">
            <v>0</v>
          </cell>
          <cell r="R5564">
            <v>0</v>
          </cell>
          <cell r="S5564">
            <v>0</v>
          </cell>
          <cell r="T5564">
            <v>0</v>
          </cell>
          <cell r="U5564" t="str">
            <v/>
          </cell>
          <cell r="V5564" t="str">
            <v/>
          </cell>
        </row>
        <row r="5565">
          <cell r="A5565">
            <v>5564</v>
          </cell>
          <cell r="B5565">
            <v>0</v>
          </cell>
          <cell r="C5565" t="str">
            <v/>
          </cell>
          <cell r="D5565" t="str">
            <v/>
          </cell>
          <cell r="E5565">
            <v>0</v>
          </cell>
          <cell r="F5565" t="str">
            <v/>
          </cell>
          <cell r="G5565" t="str">
            <v/>
          </cell>
          <cell r="H5565" t="str">
            <v/>
          </cell>
          <cell r="I5565" t="str">
            <v/>
          </cell>
          <cell r="J5565">
            <v>0</v>
          </cell>
          <cell r="K5565">
            <v>0</v>
          </cell>
          <cell r="L5565">
            <v>0</v>
          </cell>
          <cell r="M5565">
            <v>0</v>
          </cell>
          <cell r="N5565">
            <v>0</v>
          </cell>
          <cell r="O5565" t="str">
            <v/>
          </cell>
          <cell r="P5565">
            <v>0</v>
          </cell>
          <cell r="Q5565">
            <v>0</v>
          </cell>
          <cell r="R5565">
            <v>0</v>
          </cell>
          <cell r="S5565">
            <v>0</v>
          </cell>
          <cell r="T5565">
            <v>0</v>
          </cell>
          <cell r="U5565" t="str">
            <v/>
          </cell>
          <cell r="V5565" t="str">
            <v/>
          </cell>
        </row>
        <row r="5566">
          <cell r="A5566">
            <v>5565</v>
          </cell>
          <cell r="B5566">
            <v>0</v>
          </cell>
          <cell r="C5566" t="str">
            <v/>
          </cell>
          <cell r="D5566" t="str">
            <v/>
          </cell>
          <cell r="E5566">
            <v>0</v>
          </cell>
          <cell r="F5566" t="str">
            <v/>
          </cell>
          <cell r="G5566" t="str">
            <v/>
          </cell>
          <cell r="H5566" t="str">
            <v/>
          </cell>
          <cell r="I5566" t="str">
            <v/>
          </cell>
          <cell r="J5566">
            <v>0</v>
          </cell>
          <cell r="K5566">
            <v>0</v>
          </cell>
          <cell r="L5566">
            <v>0</v>
          </cell>
          <cell r="M5566">
            <v>0</v>
          </cell>
          <cell r="N5566">
            <v>0</v>
          </cell>
          <cell r="O5566" t="str">
            <v/>
          </cell>
          <cell r="P5566">
            <v>0</v>
          </cell>
          <cell r="Q5566">
            <v>0</v>
          </cell>
          <cell r="R5566">
            <v>0</v>
          </cell>
          <cell r="S5566">
            <v>0</v>
          </cell>
          <cell r="T5566">
            <v>0</v>
          </cell>
          <cell r="U5566" t="str">
            <v/>
          </cell>
          <cell r="V5566" t="str">
            <v/>
          </cell>
        </row>
        <row r="5567">
          <cell r="A5567">
            <v>5566</v>
          </cell>
          <cell r="B5567">
            <v>0</v>
          </cell>
          <cell r="C5567" t="str">
            <v/>
          </cell>
          <cell r="D5567" t="str">
            <v/>
          </cell>
          <cell r="E5567">
            <v>0</v>
          </cell>
          <cell r="F5567" t="str">
            <v/>
          </cell>
          <cell r="G5567" t="str">
            <v/>
          </cell>
          <cell r="H5567" t="str">
            <v/>
          </cell>
          <cell r="I5567" t="str">
            <v/>
          </cell>
          <cell r="J5567">
            <v>0</v>
          </cell>
          <cell r="K5567">
            <v>0</v>
          </cell>
          <cell r="L5567">
            <v>0</v>
          </cell>
          <cell r="M5567">
            <v>0</v>
          </cell>
          <cell r="N5567">
            <v>0</v>
          </cell>
          <cell r="O5567" t="str">
            <v/>
          </cell>
          <cell r="P5567">
            <v>0</v>
          </cell>
          <cell r="Q5567">
            <v>0</v>
          </cell>
          <cell r="R5567">
            <v>0</v>
          </cell>
          <cell r="S5567">
            <v>0</v>
          </cell>
          <cell r="T5567">
            <v>0</v>
          </cell>
          <cell r="U5567" t="str">
            <v/>
          </cell>
          <cell r="V5567" t="str">
            <v/>
          </cell>
        </row>
        <row r="5568">
          <cell r="A5568">
            <v>5567</v>
          </cell>
          <cell r="B5568">
            <v>0</v>
          </cell>
          <cell r="C5568" t="str">
            <v/>
          </cell>
          <cell r="D5568" t="str">
            <v/>
          </cell>
          <cell r="E5568">
            <v>0</v>
          </cell>
          <cell r="F5568" t="str">
            <v/>
          </cell>
          <cell r="G5568" t="str">
            <v/>
          </cell>
          <cell r="H5568" t="str">
            <v/>
          </cell>
          <cell r="I5568" t="str">
            <v/>
          </cell>
          <cell r="J5568">
            <v>0</v>
          </cell>
          <cell r="K5568">
            <v>0</v>
          </cell>
          <cell r="L5568">
            <v>0</v>
          </cell>
          <cell r="M5568">
            <v>0</v>
          </cell>
          <cell r="N5568">
            <v>0</v>
          </cell>
          <cell r="O5568" t="str">
            <v/>
          </cell>
          <cell r="P5568">
            <v>0</v>
          </cell>
          <cell r="Q5568">
            <v>0</v>
          </cell>
          <cell r="R5568">
            <v>0</v>
          </cell>
          <cell r="S5568">
            <v>0</v>
          </cell>
          <cell r="T5568">
            <v>0</v>
          </cell>
          <cell r="U5568" t="str">
            <v/>
          </cell>
          <cell r="V5568" t="str">
            <v/>
          </cell>
        </row>
        <row r="5569">
          <cell r="A5569">
            <v>5568</v>
          </cell>
          <cell r="B5569">
            <v>0</v>
          </cell>
          <cell r="C5569" t="str">
            <v/>
          </cell>
          <cell r="D5569" t="str">
            <v/>
          </cell>
          <cell r="E5569">
            <v>0</v>
          </cell>
          <cell r="F5569" t="str">
            <v/>
          </cell>
          <cell r="G5569" t="str">
            <v/>
          </cell>
          <cell r="H5569" t="str">
            <v/>
          </cell>
          <cell r="I5569" t="str">
            <v/>
          </cell>
          <cell r="J5569">
            <v>0</v>
          </cell>
          <cell r="K5569">
            <v>0</v>
          </cell>
          <cell r="L5569">
            <v>0</v>
          </cell>
          <cell r="M5569">
            <v>0</v>
          </cell>
          <cell r="N5569">
            <v>0</v>
          </cell>
          <cell r="O5569" t="str">
            <v/>
          </cell>
          <cell r="P5569">
            <v>0</v>
          </cell>
          <cell r="Q5569">
            <v>0</v>
          </cell>
          <cell r="R5569">
            <v>0</v>
          </cell>
          <cell r="S5569">
            <v>0</v>
          </cell>
          <cell r="T5569">
            <v>0</v>
          </cell>
          <cell r="U5569" t="str">
            <v/>
          </cell>
          <cell r="V5569" t="str">
            <v/>
          </cell>
        </row>
        <row r="5570">
          <cell r="A5570">
            <v>5569</v>
          </cell>
          <cell r="B5570">
            <v>0</v>
          </cell>
          <cell r="C5570" t="str">
            <v/>
          </cell>
          <cell r="D5570" t="str">
            <v/>
          </cell>
          <cell r="E5570">
            <v>0</v>
          </cell>
          <cell r="F5570" t="str">
            <v/>
          </cell>
          <cell r="G5570" t="str">
            <v/>
          </cell>
          <cell r="H5570" t="str">
            <v/>
          </cell>
          <cell r="I5570" t="str">
            <v/>
          </cell>
          <cell r="J5570">
            <v>0</v>
          </cell>
          <cell r="K5570">
            <v>0</v>
          </cell>
          <cell r="L5570">
            <v>0</v>
          </cell>
          <cell r="M5570">
            <v>0</v>
          </cell>
          <cell r="N5570">
            <v>0</v>
          </cell>
          <cell r="O5570" t="str">
            <v/>
          </cell>
          <cell r="P5570">
            <v>0</v>
          </cell>
          <cell r="Q5570">
            <v>0</v>
          </cell>
          <cell r="R5570">
            <v>0</v>
          </cell>
          <cell r="S5570">
            <v>0</v>
          </cell>
          <cell r="T5570">
            <v>0</v>
          </cell>
          <cell r="U5570" t="str">
            <v/>
          </cell>
          <cell r="V5570" t="str">
            <v/>
          </cell>
        </row>
        <row r="5571">
          <cell r="A5571">
            <v>5570</v>
          </cell>
          <cell r="B5571">
            <v>0</v>
          </cell>
          <cell r="C5571" t="str">
            <v/>
          </cell>
          <cell r="D5571" t="str">
            <v/>
          </cell>
          <cell r="E5571">
            <v>0</v>
          </cell>
          <cell r="F5571" t="str">
            <v/>
          </cell>
          <cell r="G5571" t="str">
            <v/>
          </cell>
          <cell r="H5571" t="str">
            <v/>
          </cell>
          <cell r="I5571" t="str">
            <v/>
          </cell>
          <cell r="J5571">
            <v>0</v>
          </cell>
          <cell r="K5571">
            <v>0</v>
          </cell>
          <cell r="L5571">
            <v>0</v>
          </cell>
          <cell r="M5571">
            <v>0</v>
          </cell>
          <cell r="N5571">
            <v>0</v>
          </cell>
          <cell r="O5571" t="str">
            <v/>
          </cell>
          <cell r="P5571">
            <v>0</v>
          </cell>
          <cell r="Q5571">
            <v>0</v>
          </cell>
          <cell r="R5571">
            <v>0</v>
          </cell>
          <cell r="S5571">
            <v>0</v>
          </cell>
          <cell r="T5571">
            <v>0</v>
          </cell>
          <cell r="U5571" t="str">
            <v/>
          </cell>
          <cell r="V5571" t="str">
            <v/>
          </cell>
        </row>
        <row r="5572">
          <cell r="A5572">
            <v>5571</v>
          </cell>
          <cell r="B5572">
            <v>0</v>
          </cell>
          <cell r="C5572" t="str">
            <v/>
          </cell>
          <cell r="D5572" t="str">
            <v/>
          </cell>
          <cell r="E5572">
            <v>0</v>
          </cell>
          <cell r="F5572" t="str">
            <v/>
          </cell>
          <cell r="G5572" t="str">
            <v/>
          </cell>
          <cell r="H5572" t="str">
            <v/>
          </cell>
          <cell r="I5572" t="str">
            <v/>
          </cell>
          <cell r="J5572">
            <v>0</v>
          </cell>
          <cell r="K5572">
            <v>0</v>
          </cell>
          <cell r="L5572">
            <v>0</v>
          </cell>
          <cell r="M5572">
            <v>0</v>
          </cell>
          <cell r="N5572">
            <v>0</v>
          </cell>
          <cell r="O5572" t="str">
            <v/>
          </cell>
          <cell r="P5572">
            <v>0</v>
          </cell>
          <cell r="Q5572">
            <v>0</v>
          </cell>
          <cell r="R5572">
            <v>0</v>
          </cell>
          <cell r="S5572">
            <v>0</v>
          </cell>
          <cell r="T5572">
            <v>0</v>
          </cell>
          <cell r="U5572" t="str">
            <v/>
          </cell>
          <cell r="V5572" t="str">
            <v/>
          </cell>
        </row>
        <row r="5573">
          <cell r="A5573">
            <v>5572</v>
          </cell>
          <cell r="B5573">
            <v>0</v>
          </cell>
          <cell r="C5573" t="str">
            <v/>
          </cell>
          <cell r="D5573" t="str">
            <v/>
          </cell>
          <cell r="E5573">
            <v>0</v>
          </cell>
          <cell r="F5573" t="str">
            <v/>
          </cell>
          <cell r="G5573" t="str">
            <v/>
          </cell>
          <cell r="H5573" t="str">
            <v/>
          </cell>
          <cell r="I5573" t="str">
            <v/>
          </cell>
          <cell r="J5573">
            <v>0</v>
          </cell>
          <cell r="K5573">
            <v>0</v>
          </cell>
          <cell r="L5573">
            <v>0</v>
          </cell>
          <cell r="M5573">
            <v>0</v>
          </cell>
          <cell r="N5573">
            <v>0</v>
          </cell>
          <cell r="O5573" t="str">
            <v/>
          </cell>
          <cell r="P5573">
            <v>0</v>
          </cell>
          <cell r="Q5573">
            <v>0</v>
          </cell>
          <cell r="R5573">
            <v>0</v>
          </cell>
          <cell r="S5573">
            <v>0</v>
          </cell>
          <cell r="T5573">
            <v>0</v>
          </cell>
          <cell r="U5573" t="str">
            <v/>
          </cell>
          <cell r="V5573" t="str">
            <v/>
          </cell>
        </row>
        <row r="5574">
          <cell r="A5574">
            <v>5573</v>
          </cell>
          <cell r="B5574">
            <v>0</v>
          </cell>
          <cell r="C5574" t="str">
            <v/>
          </cell>
          <cell r="D5574" t="str">
            <v/>
          </cell>
          <cell r="E5574">
            <v>0</v>
          </cell>
          <cell r="F5574" t="str">
            <v/>
          </cell>
          <cell r="G5574" t="str">
            <v/>
          </cell>
          <cell r="H5574" t="str">
            <v/>
          </cell>
          <cell r="I5574" t="str">
            <v/>
          </cell>
          <cell r="J5574">
            <v>0</v>
          </cell>
          <cell r="K5574">
            <v>0</v>
          </cell>
          <cell r="L5574">
            <v>0</v>
          </cell>
          <cell r="M5574">
            <v>0</v>
          </cell>
          <cell r="N5574">
            <v>0</v>
          </cell>
          <cell r="O5574" t="str">
            <v/>
          </cell>
          <cell r="P5574">
            <v>0</v>
          </cell>
          <cell r="Q5574">
            <v>0</v>
          </cell>
          <cell r="R5574">
            <v>0</v>
          </cell>
          <cell r="S5574">
            <v>0</v>
          </cell>
          <cell r="T5574">
            <v>0</v>
          </cell>
          <cell r="U5574" t="str">
            <v/>
          </cell>
          <cell r="V5574" t="str">
            <v/>
          </cell>
        </row>
        <row r="5575">
          <cell r="A5575">
            <v>5574</v>
          </cell>
          <cell r="B5575">
            <v>0</v>
          </cell>
          <cell r="C5575" t="str">
            <v/>
          </cell>
          <cell r="D5575" t="str">
            <v/>
          </cell>
          <cell r="E5575">
            <v>0</v>
          </cell>
          <cell r="F5575" t="str">
            <v/>
          </cell>
          <cell r="G5575" t="str">
            <v/>
          </cell>
          <cell r="H5575" t="str">
            <v/>
          </cell>
          <cell r="I5575" t="str">
            <v/>
          </cell>
          <cell r="J5575">
            <v>0</v>
          </cell>
          <cell r="K5575">
            <v>0</v>
          </cell>
          <cell r="L5575">
            <v>0</v>
          </cell>
          <cell r="M5575">
            <v>0</v>
          </cell>
          <cell r="N5575">
            <v>0</v>
          </cell>
          <cell r="O5575" t="str">
            <v/>
          </cell>
          <cell r="P5575">
            <v>0</v>
          </cell>
          <cell r="Q5575">
            <v>0</v>
          </cell>
          <cell r="R5575">
            <v>0</v>
          </cell>
          <cell r="S5575">
            <v>0</v>
          </cell>
          <cell r="T5575">
            <v>0</v>
          </cell>
          <cell r="U5575" t="str">
            <v/>
          </cell>
          <cell r="V5575" t="str">
            <v/>
          </cell>
        </row>
        <row r="5576">
          <cell r="A5576">
            <v>5575</v>
          </cell>
          <cell r="B5576">
            <v>0</v>
          </cell>
          <cell r="C5576" t="str">
            <v/>
          </cell>
          <cell r="D5576" t="str">
            <v/>
          </cell>
          <cell r="E5576">
            <v>0</v>
          </cell>
          <cell r="F5576" t="str">
            <v/>
          </cell>
          <cell r="G5576" t="str">
            <v/>
          </cell>
          <cell r="H5576" t="str">
            <v/>
          </cell>
          <cell r="I5576" t="str">
            <v/>
          </cell>
          <cell r="J5576">
            <v>0</v>
          </cell>
          <cell r="K5576">
            <v>0</v>
          </cell>
          <cell r="L5576">
            <v>0</v>
          </cell>
          <cell r="M5576">
            <v>0</v>
          </cell>
          <cell r="N5576">
            <v>0</v>
          </cell>
          <cell r="O5576" t="str">
            <v/>
          </cell>
          <cell r="P5576">
            <v>0</v>
          </cell>
          <cell r="Q5576">
            <v>0</v>
          </cell>
          <cell r="R5576">
            <v>0</v>
          </cell>
          <cell r="S5576">
            <v>0</v>
          </cell>
          <cell r="T5576">
            <v>0</v>
          </cell>
          <cell r="U5576" t="str">
            <v/>
          </cell>
          <cell r="V5576" t="str">
            <v/>
          </cell>
        </row>
        <row r="5577">
          <cell r="A5577">
            <v>5576</v>
          </cell>
          <cell r="B5577">
            <v>0</v>
          </cell>
          <cell r="C5577" t="str">
            <v/>
          </cell>
          <cell r="D5577" t="str">
            <v/>
          </cell>
          <cell r="E5577">
            <v>0</v>
          </cell>
          <cell r="F5577" t="str">
            <v/>
          </cell>
          <cell r="G5577" t="str">
            <v/>
          </cell>
          <cell r="H5577" t="str">
            <v/>
          </cell>
          <cell r="I5577" t="str">
            <v/>
          </cell>
          <cell r="J5577">
            <v>0</v>
          </cell>
          <cell r="K5577">
            <v>0</v>
          </cell>
          <cell r="L5577">
            <v>0</v>
          </cell>
          <cell r="M5577">
            <v>0</v>
          </cell>
          <cell r="N5577">
            <v>0</v>
          </cell>
          <cell r="O5577" t="str">
            <v/>
          </cell>
          <cell r="P5577">
            <v>0</v>
          </cell>
          <cell r="Q5577">
            <v>0</v>
          </cell>
          <cell r="R5577">
            <v>0</v>
          </cell>
          <cell r="S5577">
            <v>0</v>
          </cell>
          <cell r="T5577">
            <v>0</v>
          </cell>
          <cell r="U5577" t="str">
            <v/>
          </cell>
          <cell r="V5577" t="str">
            <v/>
          </cell>
        </row>
        <row r="5578">
          <cell r="A5578">
            <v>5577</v>
          </cell>
          <cell r="B5578">
            <v>0</v>
          </cell>
          <cell r="C5578" t="str">
            <v/>
          </cell>
          <cell r="D5578" t="str">
            <v/>
          </cell>
          <cell r="E5578">
            <v>0</v>
          </cell>
          <cell r="F5578" t="str">
            <v/>
          </cell>
          <cell r="G5578" t="str">
            <v/>
          </cell>
          <cell r="H5578" t="str">
            <v/>
          </cell>
          <cell r="I5578" t="str">
            <v/>
          </cell>
          <cell r="J5578">
            <v>0</v>
          </cell>
          <cell r="K5578">
            <v>0</v>
          </cell>
          <cell r="L5578">
            <v>0</v>
          </cell>
          <cell r="M5578">
            <v>0</v>
          </cell>
          <cell r="N5578">
            <v>0</v>
          </cell>
          <cell r="O5578" t="str">
            <v/>
          </cell>
          <cell r="P5578">
            <v>0</v>
          </cell>
          <cell r="Q5578">
            <v>0</v>
          </cell>
          <cell r="R5578">
            <v>0</v>
          </cell>
          <cell r="S5578">
            <v>0</v>
          </cell>
          <cell r="T5578">
            <v>0</v>
          </cell>
          <cell r="U5578" t="str">
            <v/>
          </cell>
          <cell r="V5578" t="str">
            <v/>
          </cell>
        </row>
        <row r="5579">
          <cell r="A5579">
            <v>5578</v>
          </cell>
          <cell r="B5579">
            <v>0</v>
          </cell>
          <cell r="C5579" t="str">
            <v/>
          </cell>
          <cell r="D5579" t="str">
            <v/>
          </cell>
          <cell r="E5579">
            <v>0</v>
          </cell>
          <cell r="F5579" t="str">
            <v/>
          </cell>
          <cell r="G5579" t="str">
            <v/>
          </cell>
          <cell r="H5579" t="str">
            <v/>
          </cell>
          <cell r="I5579" t="str">
            <v/>
          </cell>
          <cell r="J5579">
            <v>0</v>
          </cell>
          <cell r="K5579">
            <v>0</v>
          </cell>
          <cell r="L5579">
            <v>0</v>
          </cell>
          <cell r="M5579">
            <v>0</v>
          </cell>
          <cell r="N5579">
            <v>0</v>
          </cell>
          <cell r="O5579" t="str">
            <v/>
          </cell>
          <cell r="P5579">
            <v>0</v>
          </cell>
          <cell r="Q5579">
            <v>0</v>
          </cell>
          <cell r="R5579">
            <v>0</v>
          </cell>
          <cell r="S5579">
            <v>0</v>
          </cell>
          <cell r="T5579">
            <v>0</v>
          </cell>
          <cell r="U5579" t="str">
            <v/>
          </cell>
          <cell r="V5579" t="str">
            <v/>
          </cell>
        </row>
        <row r="5580">
          <cell r="A5580">
            <v>5579</v>
          </cell>
          <cell r="B5580">
            <v>0</v>
          </cell>
          <cell r="C5580" t="str">
            <v/>
          </cell>
          <cell r="D5580" t="str">
            <v/>
          </cell>
          <cell r="E5580">
            <v>0</v>
          </cell>
          <cell r="F5580" t="str">
            <v/>
          </cell>
          <cell r="G5580" t="str">
            <v/>
          </cell>
          <cell r="H5580" t="str">
            <v/>
          </cell>
          <cell r="I5580" t="str">
            <v/>
          </cell>
          <cell r="J5580">
            <v>0</v>
          </cell>
          <cell r="K5580">
            <v>0</v>
          </cell>
          <cell r="L5580">
            <v>0</v>
          </cell>
          <cell r="M5580">
            <v>0</v>
          </cell>
          <cell r="N5580">
            <v>0</v>
          </cell>
          <cell r="O5580" t="str">
            <v/>
          </cell>
          <cell r="P5580">
            <v>0</v>
          </cell>
          <cell r="Q5580">
            <v>0</v>
          </cell>
          <cell r="R5580">
            <v>0</v>
          </cell>
          <cell r="S5580">
            <v>0</v>
          </cell>
          <cell r="T5580">
            <v>0</v>
          </cell>
          <cell r="U5580" t="str">
            <v/>
          </cell>
          <cell r="V5580" t="str">
            <v/>
          </cell>
        </row>
        <row r="5581">
          <cell r="A5581">
            <v>5580</v>
          </cell>
          <cell r="B5581">
            <v>0</v>
          </cell>
          <cell r="C5581" t="str">
            <v/>
          </cell>
          <cell r="D5581" t="str">
            <v/>
          </cell>
          <cell r="E5581">
            <v>0</v>
          </cell>
          <cell r="F5581" t="str">
            <v/>
          </cell>
          <cell r="G5581" t="str">
            <v/>
          </cell>
          <cell r="H5581" t="str">
            <v/>
          </cell>
          <cell r="I5581" t="str">
            <v/>
          </cell>
          <cell r="J5581">
            <v>0</v>
          </cell>
          <cell r="K5581">
            <v>0</v>
          </cell>
          <cell r="L5581">
            <v>0</v>
          </cell>
          <cell r="M5581">
            <v>0</v>
          </cell>
          <cell r="N5581">
            <v>0</v>
          </cell>
          <cell r="O5581" t="str">
            <v/>
          </cell>
          <cell r="P5581">
            <v>0</v>
          </cell>
          <cell r="Q5581">
            <v>0</v>
          </cell>
          <cell r="R5581">
            <v>0</v>
          </cell>
          <cell r="S5581">
            <v>0</v>
          </cell>
          <cell r="T5581">
            <v>0</v>
          </cell>
          <cell r="U5581" t="str">
            <v/>
          </cell>
          <cell r="V5581" t="str">
            <v/>
          </cell>
        </row>
        <row r="5582">
          <cell r="A5582">
            <v>5581</v>
          </cell>
          <cell r="B5582">
            <v>0</v>
          </cell>
          <cell r="C5582" t="str">
            <v/>
          </cell>
          <cell r="D5582" t="str">
            <v/>
          </cell>
          <cell r="E5582">
            <v>0</v>
          </cell>
          <cell r="F5582" t="str">
            <v/>
          </cell>
          <cell r="G5582" t="str">
            <v/>
          </cell>
          <cell r="H5582" t="str">
            <v/>
          </cell>
          <cell r="I5582" t="str">
            <v/>
          </cell>
          <cell r="J5582">
            <v>0</v>
          </cell>
          <cell r="K5582">
            <v>0</v>
          </cell>
          <cell r="L5582">
            <v>0</v>
          </cell>
          <cell r="M5582">
            <v>0</v>
          </cell>
          <cell r="N5582">
            <v>0</v>
          </cell>
          <cell r="O5582" t="str">
            <v/>
          </cell>
          <cell r="P5582">
            <v>0</v>
          </cell>
          <cell r="Q5582">
            <v>0</v>
          </cell>
          <cell r="R5582">
            <v>0</v>
          </cell>
          <cell r="S5582">
            <v>0</v>
          </cell>
          <cell r="T5582">
            <v>0</v>
          </cell>
          <cell r="U5582" t="str">
            <v/>
          </cell>
          <cell r="V5582" t="str">
            <v/>
          </cell>
        </row>
        <row r="5583">
          <cell r="A5583">
            <v>5582</v>
          </cell>
          <cell r="B5583">
            <v>0</v>
          </cell>
          <cell r="C5583" t="str">
            <v/>
          </cell>
          <cell r="D5583" t="str">
            <v/>
          </cell>
          <cell r="E5583">
            <v>0</v>
          </cell>
          <cell r="F5583" t="str">
            <v/>
          </cell>
          <cell r="G5583" t="str">
            <v/>
          </cell>
          <cell r="H5583" t="str">
            <v/>
          </cell>
          <cell r="I5583" t="str">
            <v/>
          </cell>
          <cell r="J5583">
            <v>0</v>
          </cell>
          <cell r="K5583">
            <v>0</v>
          </cell>
          <cell r="L5583">
            <v>0</v>
          </cell>
          <cell r="M5583">
            <v>0</v>
          </cell>
          <cell r="N5583">
            <v>0</v>
          </cell>
          <cell r="O5583" t="str">
            <v/>
          </cell>
          <cell r="P5583">
            <v>0</v>
          </cell>
          <cell r="Q5583">
            <v>0</v>
          </cell>
          <cell r="R5583">
            <v>0</v>
          </cell>
          <cell r="S5583">
            <v>0</v>
          </cell>
          <cell r="T5583">
            <v>0</v>
          </cell>
          <cell r="U5583" t="str">
            <v/>
          </cell>
          <cell r="V5583" t="str">
            <v/>
          </cell>
        </row>
        <row r="5584">
          <cell r="A5584">
            <v>5583</v>
          </cell>
          <cell r="B5584">
            <v>0</v>
          </cell>
          <cell r="C5584" t="str">
            <v/>
          </cell>
          <cell r="D5584" t="str">
            <v/>
          </cell>
          <cell r="E5584">
            <v>0</v>
          </cell>
          <cell r="F5584" t="str">
            <v/>
          </cell>
          <cell r="G5584" t="str">
            <v/>
          </cell>
          <cell r="H5584" t="str">
            <v/>
          </cell>
          <cell r="I5584" t="str">
            <v/>
          </cell>
          <cell r="J5584">
            <v>0</v>
          </cell>
          <cell r="K5584">
            <v>0</v>
          </cell>
          <cell r="L5584">
            <v>0</v>
          </cell>
          <cell r="M5584">
            <v>0</v>
          </cell>
          <cell r="N5584">
            <v>0</v>
          </cell>
          <cell r="O5584" t="str">
            <v/>
          </cell>
          <cell r="P5584">
            <v>0</v>
          </cell>
          <cell r="Q5584">
            <v>0</v>
          </cell>
          <cell r="R5584">
            <v>0</v>
          </cell>
          <cell r="S5584">
            <v>0</v>
          </cell>
          <cell r="T5584">
            <v>0</v>
          </cell>
          <cell r="U5584" t="str">
            <v/>
          </cell>
          <cell r="V5584" t="str">
            <v/>
          </cell>
        </row>
        <row r="5585">
          <cell r="A5585">
            <v>5584</v>
          </cell>
          <cell r="B5585">
            <v>0</v>
          </cell>
          <cell r="C5585" t="str">
            <v/>
          </cell>
          <cell r="D5585" t="str">
            <v/>
          </cell>
          <cell r="E5585">
            <v>0</v>
          </cell>
          <cell r="F5585" t="str">
            <v/>
          </cell>
          <cell r="G5585" t="str">
            <v/>
          </cell>
          <cell r="H5585" t="str">
            <v/>
          </cell>
          <cell r="I5585" t="str">
            <v/>
          </cell>
          <cell r="J5585">
            <v>0</v>
          </cell>
          <cell r="K5585">
            <v>0</v>
          </cell>
          <cell r="L5585">
            <v>0</v>
          </cell>
          <cell r="M5585">
            <v>0</v>
          </cell>
          <cell r="N5585">
            <v>0</v>
          </cell>
          <cell r="O5585" t="str">
            <v/>
          </cell>
          <cell r="P5585">
            <v>0</v>
          </cell>
          <cell r="Q5585">
            <v>0</v>
          </cell>
          <cell r="R5585">
            <v>0</v>
          </cell>
          <cell r="S5585">
            <v>0</v>
          </cell>
          <cell r="T5585">
            <v>0</v>
          </cell>
          <cell r="U5585" t="str">
            <v/>
          </cell>
          <cell r="V5585" t="str">
            <v/>
          </cell>
        </row>
        <row r="5586">
          <cell r="A5586">
            <v>5585</v>
          </cell>
          <cell r="B5586">
            <v>0</v>
          </cell>
          <cell r="C5586" t="str">
            <v/>
          </cell>
          <cell r="D5586" t="str">
            <v/>
          </cell>
          <cell r="E5586">
            <v>0</v>
          </cell>
          <cell r="F5586" t="str">
            <v/>
          </cell>
          <cell r="G5586" t="str">
            <v/>
          </cell>
          <cell r="H5586" t="str">
            <v/>
          </cell>
          <cell r="I5586" t="str">
            <v/>
          </cell>
          <cell r="J5586">
            <v>0</v>
          </cell>
          <cell r="K5586">
            <v>0</v>
          </cell>
          <cell r="L5586">
            <v>0</v>
          </cell>
          <cell r="M5586">
            <v>0</v>
          </cell>
          <cell r="N5586">
            <v>0</v>
          </cell>
          <cell r="O5586" t="str">
            <v/>
          </cell>
          <cell r="P5586">
            <v>0</v>
          </cell>
          <cell r="Q5586">
            <v>0</v>
          </cell>
          <cell r="R5586">
            <v>0</v>
          </cell>
          <cell r="S5586">
            <v>0</v>
          </cell>
          <cell r="T5586">
            <v>0</v>
          </cell>
          <cell r="U5586" t="str">
            <v/>
          </cell>
          <cell r="V5586" t="str">
            <v/>
          </cell>
        </row>
        <row r="5587">
          <cell r="A5587">
            <v>5586</v>
          </cell>
          <cell r="B5587">
            <v>0</v>
          </cell>
          <cell r="C5587" t="str">
            <v/>
          </cell>
          <cell r="D5587" t="str">
            <v/>
          </cell>
          <cell r="E5587">
            <v>0</v>
          </cell>
          <cell r="F5587" t="str">
            <v/>
          </cell>
          <cell r="G5587" t="str">
            <v/>
          </cell>
          <cell r="H5587" t="str">
            <v/>
          </cell>
          <cell r="I5587" t="str">
            <v/>
          </cell>
          <cell r="J5587">
            <v>0</v>
          </cell>
          <cell r="K5587">
            <v>0</v>
          </cell>
          <cell r="L5587">
            <v>0</v>
          </cell>
          <cell r="M5587">
            <v>0</v>
          </cell>
          <cell r="N5587">
            <v>0</v>
          </cell>
          <cell r="O5587" t="str">
            <v/>
          </cell>
          <cell r="P5587">
            <v>0</v>
          </cell>
          <cell r="Q5587">
            <v>0</v>
          </cell>
          <cell r="R5587">
            <v>0</v>
          </cell>
          <cell r="S5587">
            <v>0</v>
          </cell>
          <cell r="T5587">
            <v>0</v>
          </cell>
          <cell r="U5587" t="str">
            <v/>
          </cell>
          <cell r="V5587" t="str">
            <v/>
          </cell>
        </row>
        <row r="5588">
          <cell r="A5588">
            <v>5587</v>
          </cell>
          <cell r="B5588">
            <v>0</v>
          </cell>
          <cell r="C5588" t="str">
            <v/>
          </cell>
          <cell r="D5588" t="str">
            <v/>
          </cell>
          <cell r="E5588">
            <v>0</v>
          </cell>
          <cell r="F5588" t="str">
            <v/>
          </cell>
          <cell r="G5588" t="str">
            <v/>
          </cell>
          <cell r="H5588" t="str">
            <v/>
          </cell>
          <cell r="I5588" t="str">
            <v/>
          </cell>
          <cell r="J5588">
            <v>0</v>
          </cell>
          <cell r="K5588">
            <v>0</v>
          </cell>
          <cell r="L5588">
            <v>0</v>
          </cell>
          <cell r="M5588">
            <v>0</v>
          </cell>
          <cell r="N5588">
            <v>0</v>
          </cell>
          <cell r="O5588" t="str">
            <v/>
          </cell>
          <cell r="P5588">
            <v>0</v>
          </cell>
          <cell r="Q5588">
            <v>0</v>
          </cell>
          <cell r="R5588">
            <v>0</v>
          </cell>
          <cell r="S5588">
            <v>0</v>
          </cell>
          <cell r="T5588">
            <v>0</v>
          </cell>
          <cell r="U5588" t="str">
            <v/>
          </cell>
          <cell r="V5588" t="str">
            <v/>
          </cell>
        </row>
        <row r="5589">
          <cell r="A5589">
            <v>5588</v>
          </cell>
          <cell r="B5589">
            <v>0</v>
          </cell>
          <cell r="C5589" t="str">
            <v/>
          </cell>
          <cell r="D5589" t="str">
            <v/>
          </cell>
          <cell r="E5589">
            <v>0</v>
          </cell>
          <cell r="F5589" t="str">
            <v/>
          </cell>
          <cell r="G5589" t="str">
            <v/>
          </cell>
          <cell r="H5589" t="str">
            <v/>
          </cell>
          <cell r="I5589" t="str">
            <v/>
          </cell>
          <cell r="J5589">
            <v>0</v>
          </cell>
          <cell r="K5589">
            <v>0</v>
          </cell>
          <cell r="L5589">
            <v>0</v>
          </cell>
          <cell r="M5589">
            <v>0</v>
          </cell>
          <cell r="N5589">
            <v>0</v>
          </cell>
          <cell r="O5589" t="str">
            <v/>
          </cell>
          <cell r="P5589">
            <v>0</v>
          </cell>
          <cell r="Q5589">
            <v>0</v>
          </cell>
          <cell r="R5589">
            <v>0</v>
          </cell>
          <cell r="S5589">
            <v>0</v>
          </cell>
          <cell r="T5589">
            <v>0</v>
          </cell>
          <cell r="U5589" t="str">
            <v/>
          </cell>
          <cell r="V5589" t="str">
            <v/>
          </cell>
        </row>
        <row r="5590">
          <cell r="A5590">
            <v>5589</v>
          </cell>
          <cell r="B5590">
            <v>0</v>
          </cell>
          <cell r="C5590" t="str">
            <v/>
          </cell>
          <cell r="D5590" t="str">
            <v/>
          </cell>
          <cell r="E5590">
            <v>0</v>
          </cell>
          <cell r="F5590" t="str">
            <v/>
          </cell>
          <cell r="G5590" t="str">
            <v/>
          </cell>
          <cell r="H5590" t="str">
            <v/>
          </cell>
          <cell r="I5590" t="str">
            <v/>
          </cell>
          <cell r="J5590">
            <v>0</v>
          </cell>
          <cell r="K5590">
            <v>0</v>
          </cell>
          <cell r="L5590">
            <v>0</v>
          </cell>
          <cell r="M5590">
            <v>0</v>
          </cell>
          <cell r="N5590">
            <v>0</v>
          </cell>
          <cell r="O5590" t="str">
            <v/>
          </cell>
          <cell r="P5590">
            <v>0</v>
          </cell>
          <cell r="Q5590">
            <v>0</v>
          </cell>
          <cell r="R5590">
            <v>0</v>
          </cell>
          <cell r="S5590">
            <v>0</v>
          </cell>
          <cell r="T5590">
            <v>0</v>
          </cell>
          <cell r="U5590" t="str">
            <v/>
          </cell>
          <cell r="V5590" t="str">
            <v/>
          </cell>
        </row>
        <row r="5591">
          <cell r="A5591">
            <v>5590</v>
          </cell>
          <cell r="B5591">
            <v>0</v>
          </cell>
          <cell r="C5591" t="str">
            <v/>
          </cell>
          <cell r="D5591" t="str">
            <v/>
          </cell>
          <cell r="E5591">
            <v>0</v>
          </cell>
          <cell r="F5591" t="str">
            <v/>
          </cell>
          <cell r="G5591" t="str">
            <v/>
          </cell>
          <cell r="H5591" t="str">
            <v/>
          </cell>
          <cell r="I5591" t="str">
            <v/>
          </cell>
          <cell r="J5591">
            <v>0</v>
          </cell>
          <cell r="K5591">
            <v>0</v>
          </cell>
          <cell r="L5591">
            <v>0</v>
          </cell>
          <cell r="M5591">
            <v>0</v>
          </cell>
          <cell r="N5591">
            <v>0</v>
          </cell>
          <cell r="O5591" t="str">
            <v/>
          </cell>
          <cell r="P5591">
            <v>0</v>
          </cell>
          <cell r="Q5591">
            <v>0</v>
          </cell>
          <cell r="R5591">
            <v>0</v>
          </cell>
          <cell r="S5591">
            <v>0</v>
          </cell>
          <cell r="T5591">
            <v>0</v>
          </cell>
          <cell r="U5591" t="str">
            <v/>
          </cell>
          <cell r="V5591" t="str">
            <v/>
          </cell>
        </row>
        <row r="5592">
          <cell r="A5592">
            <v>5591</v>
          </cell>
          <cell r="B5592">
            <v>0</v>
          </cell>
          <cell r="C5592" t="str">
            <v/>
          </cell>
          <cell r="D5592" t="str">
            <v/>
          </cell>
          <cell r="E5592">
            <v>0</v>
          </cell>
          <cell r="F5592" t="str">
            <v/>
          </cell>
          <cell r="G5592" t="str">
            <v/>
          </cell>
          <cell r="H5592" t="str">
            <v/>
          </cell>
          <cell r="I5592" t="str">
            <v/>
          </cell>
          <cell r="J5592">
            <v>0</v>
          </cell>
          <cell r="K5592">
            <v>0</v>
          </cell>
          <cell r="L5592">
            <v>0</v>
          </cell>
          <cell r="M5592">
            <v>0</v>
          </cell>
          <cell r="N5592">
            <v>0</v>
          </cell>
          <cell r="O5592" t="str">
            <v/>
          </cell>
          <cell r="P5592">
            <v>0</v>
          </cell>
          <cell r="Q5592">
            <v>0</v>
          </cell>
          <cell r="R5592">
            <v>0</v>
          </cell>
          <cell r="S5592">
            <v>0</v>
          </cell>
          <cell r="T5592">
            <v>0</v>
          </cell>
          <cell r="U5592" t="str">
            <v/>
          </cell>
          <cell r="V5592" t="str">
            <v/>
          </cell>
        </row>
        <row r="5593">
          <cell r="A5593">
            <v>5592</v>
          </cell>
          <cell r="B5593">
            <v>0</v>
          </cell>
          <cell r="C5593" t="str">
            <v/>
          </cell>
          <cell r="D5593" t="str">
            <v/>
          </cell>
          <cell r="E5593">
            <v>0</v>
          </cell>
          <cell r="F5593" t="str">
            <v/>
          </cell>
          <cell r="G5593" t="str">
            <v/>
          </cell>
          <cell r="H5593" t="str">
            <v/>
          </cell>
          <cell r="I5593" t="str">
            <v/>
          </cell>
          <cell r="J5593">
            <v>0</v>
          </cell>
          <cell r="K5593">
            <v>0</v>
          </cell>
          <cell r="L5593">
            <v>0</v>
          </cell>
          <cell r="M5593">
            <v>0</v>
          </cell>
          <cell r="N5593">
            <v>0</v>
          </cell>
          <cell r="O5593" t="str">
            <v/>
          </cell>
          <cell r="P5593">
            <v>0</v>
          </cell>
          <cell r="Q5593">
            <v>0</v>
          </cell>
          <cell r="R5593">
            <v>0</v>
          </cell>
          <cell r="S5593">
            <v>0</v>
          </cell>
          <cell r="T5593">
            <v>0</v>
          </cell>
          <cell r="U5593" t="str">
            <v/>
          </cell>
          <cell r="V5593" t="str">
            <v/>
          </cell>
        </row>
        <row r="5594">
          <cell r="A5594">
            <v>5593</v>
          </cell>
          <cell r="B5594">
            <v>0</v>
          </cell>
          <cell r="C5594" t="str">
            <v/>
          </cell>
          <cell r="D5594" t="str">
            <v/>
          </cell>
          <cell r="E5594">
            <v>0</v>
          </cell>
          <cell r="F5594" t="str">
            <v/>
          </cell>
          <cell r="G5594" t="str">
            <v/>
          </cell>
          <cell r="H5594" t="str">
            <v/>
          </cell>
          <cell r="I5594" t="str">
            <v/>
          </cell>
          <cell r="J5594">
            <v>0</v>
          </cell>
          <cell r="K5594">
            <v>0</v>
          </cell>
          <cell r="L5594">
            <v>0</v>
          </cell>
          <cell r="M5594">
            <v>0</v>
          </cell>
          <cell r="N5594">
            <v>0</v>
          </cell>
          <cell r="O5594" t="str">
            <v/>
          </cell>
          <cell r="P5594">
            <v>0</v>
          </cell>
          <cell r="Q5594">
            <v>0</v>
          </cell>
          <cell r="R5594">
            <v>0</v>
          </cell>
          <cell r="S5594">
            <v>0</v>
          </cell>
          <cell r="T5594">
            <v>0</v>
          </cell>
          <cell r="U5594" t="str">
            <v/>
          </cell>
          <cell r="V5594" t="str">
            <v/>
          </cell>
        </row>
        <row r="5595">
          <cell r="A5595">
            <v>5594</v>
          </cell>
          <cell r="B5595">
            <v>0</v>
          </cell>
          <cell r="C5595" t="str">
            <v/>
          </cell>
          <cell r="D5595" t="str">
            <v/>
          </cell>
          <cell r="E5595">
            <v>0</v>
          </cell>
          <cell r="F5595" t="str">
            <v/>
          </cell>
          <cell r="G5595" t="str">
            <v/>
          </cell>
          <cell r="H5595" t="str">
            <v/>
          </cell>
          <cell r="I5595" t="str">
            <v/>
          </cell>
          <cell r="J5595">
            <v>0</v>
          </cell>
          <cell r="K5595">
            <v>0</v>
          </cell>
          <cell r="L5595">
            <v>0</v>
          </cell>
          <cell r="M5595">
            <v>0</v>
          </cell>
          <cell r="N5595">
            <v>0</v>
          </cell>
          <cell r="O5595" t="str">
            <v/>
          </cell>
          <cell r="P5595">
            <v>0</v>
          </cell>
          <cell r="Q5595">
            <v>0</v>
          </cell>
          <cell r="R5595">
            <v>0</v>
          </cell>
          <cell r="S5595">
            <v>1.3580773062177743E-312</v>
          </cell>
          <cell r="T5595">
            <v>0</v>
          </cell>
          <cell r="U5595" t="str">
            <v/>
          </cell>
          <cell r="V5595" t="str">
            <v/>
          </cell>
        </row>
        <row r="5596">
          <cell r="A5596">
            <v>5595</v>
          </cell>
          <cell r="B5596">
            <v>0</v>
          </cell>
          <cell r="C5596" t="str">
            <v/>
          </cell>
          <cell r="D5596" t="str">
            <v/>
          </cell>
          <cell r="E5596">
            <v>0</v>
          </cell>
          <cell r="F5596" t="str">
            <v/>
          </cell>
          <cell r="G5596" t="str">
            <v/>
          </cell>
          <cell r="H5596" t="str">
            <v/>
          </cell>
          <cell r="I5596" t="str">
            <v/>
          </cell>
          <cell r="J5596">
            <v>0</v>
          </cell>
          <cell r="K5596">
            <v>0</v>
          </cell>
          <cell r="L5596">
            <v>0</v>
          </cell>
          <cell r="M5596">
            <v>0</v>
          </cell>
          <cell r="N5596">
            <v>0</v>
          </cell>
          <cell r="O5596" t="str">
            <v/>
          </cell>
          <cell r="P5596">
            <v>0</v>
          </cell>
          <cell r="Q5596">
            <v>0</v>
          </cell>
          <cell r="R5596">
            <v>0</v>
          </cell>
          <cell r="S5596">
            <v>0</v>
          </cell>
          <cell r="T5596">
            <v>0</v>
          </cell>
          <cell r="U5596" t="str">
            <v/>
          </cell>
          <cell r="V5596" t="str">
            <v/>
          </cell>
        </row>
        <row r="5597">
          <cell r="A5597">
            <v>5596</v>
          </cell>
          <cell r="B5597">
            <v>0</v>
          </cell>
          <cell r="C5597" t="str">
            <v/>
          </cell>
          <cell r="D5597" t="str">
            <v/>
          </cell>
          <cell r="E5597">
            <v>0</v>
          </cell>
          <cell r="F5597" t="str">
            <v/>
          </cell>
          <cell r="G5597" t="str">
            <v/>
          </cell>
          <cell r="H5597" t="str">
            <v/>
          </cell>
          <cell r="I5597" t="str">
            <v/>
          </cell>
          <cell r="J5597">
            <v>0</v>
          </cell>
          <cell r="K5597">
            <v>0</v>
          </cell>
          <cell r="L5597">
            <v>0</v>
          </cell>
          <cell r="M5597">
            <v>0</v>
          </cell>
          <cell r="N5597">
            <v>0</v>
          </cell>
          <cell r="O5597" t="str">
            <v/>
          </cell>
          <cell r="P5597">
            <v>0</v>
          </cell>
          <cell r="Q5597">
            <v>0</v>
          </cell>
          <cell r="R5597">
            <v>0</v>
          </cell>
          <cell r="S5597">
            <v>0</v>
          </cell>
          <cell r="T5597">
            <v>0</v>
          </cell>
          <cell r="U5597" t="str">
            <v/>
          </cell>
          <cell r="V5597" t="str">
            <v/>
          </cell>
        </row>
        <row r="5598">
          <cell r="A5598">
            <v>5597</v>
          </cell>
          <cell r="B5598">
            <v>0</v>
          </cell>
          <cell r="C5598" t="str">
            <v/>
          </cell>
          <cell r="D5598" t="str">
            <v/>
          </cell>
          <cell r="E5598">
            <v>0</v>
          </cell>
          <cell r="F5598" t="str">
            <v/>
          </cell>
          <cell r="G5598" t="str">
            <v/>
          </cell>
          <cell r="H5598" t="str">
            <v/>
          </cell>
          <cell r="I5598" t="str">
            <v/>
          </cell>
          <cell r="J5598">
            <v>0</v>
          </cell>
          <cell r="K5598">
            <v>0</v>
          </cell>
          <cell r="L5598">
            <v>0</v>
          </cell>
          <cell r="M5598">
            <v>0</v>
          </cell>
          <cell r="N5598">
            <v>0</v>
          </cell>
          <cell r="O5598" t="str">
            <v/>
          </cell>
          <cell r="P5598">
            <v>0</v>
          </cell>
          <cell r="Q5598">
            <v>0</v>
          </cell>
          <cell r="R5598">
            <v>0</v>
          </cell>
          <cell r="S5598">
            <v>0</v>
          </cell>
          <cell r="T5598">
            <v>0</v>
          </cell>
          <cell r="U5598" t="str">
            <v/>
          </cell>
          <cell r="V5598" t="str">
            <v/>
          </cell>
        </row>
        <row r="5599">
          <cell r="A5599">
            <v>5598</v>
          </cell>
          <cell r="B5599">
            <v>0</v>
          </cell>
          <cell r="C5599" t="str">
            <v/>
          </cell>
          <cell r="D5599" t="str">
            <v/>
          </cell>
          <cell r="E5599">
            <v>0</v>
          </cell>
          <cell r="F5599" t="str">
            <v/>
          </cell>
          <cell r="G5599" t="str">
            <v/>
          </cell>
          <cell r="H5599" t="str">
            <v/>
          </cell>
          <cell r="I5599" t="str">
            <v/>
          </cell>
          <cell r="J5599">
            <v>0</v>
          </cell>
          <cell r="K5599">
            <v>0</v>
          </cell>
          <cell r="L5599">
            <v>0</v>
          </cell>
          <cell r="M5599">
            <v>0</v>
          </cell>
          <cell r="N5599">
            <v>0</v>
          </cell>
          <cell r="O5599" t="str">
            <v/>
          </cell>
          <cell r="P5599">
            <v>0</v>
          </cell>
          <cell r="Q5599">
            <v>0</v>
          </cell>
          <cell r="R5599">
            <v>0</v>
          </cell>
          <cell r="S5599">
            <v>0</v>
          </cell>
          <cell r="T5599">
            <v>0</v>
          </cell>
          <cell r="U5599" t="str">
            <v/>
          </cell>
          <cell r="V5599" t="str">
            <v/>
          </cell>
        </row>
        <row r="5600">
          <cell r="A5600">
            <v>5599</v>
          </cell>
          <cell r="B5600">
            <v>0</v>
          </cell>
          <cell r="C5600" t="str">
            <v/>
          </cell>
          <cell r="D5600" t="str">
            <v/>
          </cell>
          <cell r="E5600">
            <v>0</v>
          </cell>
          <cell r="F5600" t="str">
            <v/>
          </cell>
          <cell r="G5600" t="str">
            <v/>
          </cell>
          <cell r="H5600" t="str">
            <v/>
          </cell>
          <cell r="I5600" t="str">
            <v/>
          </cell>
          <cell r="J5600">
            <v>0</v>
          </cell>
          <cell r="K5600">
            <v>0</v>
          </cell>
          <cell r="L5600">
            <v>0</v>
          </cell>
          <cell r="M5600">
            <v>0</v>
          </cell>
          <cell r="N5600">
            <v>0</v>
          </cell>
          <cell r="O5600" t="str">
            <v/>
          </cell>
          <cell r="P5600">
            <v>0</v>
          </cell>
          <cell r="Q5600">
            <v>0</v>
          </cell>
          <cell r="R5600">
            <v>0</v>
          </cell>
          <cell r="S5600">
            <v>0</v>
          </cell>
          <cell r="T5600">
            <v>0</v>
          </cell>
          <cell r="U5600" t="str">
            <v/>
          </cell>
          <cell r="V5600" t="str">
            <v/>
          </cell>
        </row>
        <row r="5601">
          <cell r="A5601">
            <v>5600</v>
          </cell>
          <cell r="B5601">
            <v>0</v>
          </cell>
          <cell r="C5601" t="str">
            <v/>
          </cell>
          <cell r="D5601" t="str">
            <v/>
          </cell>
          <cell r="E5601">
            <v>0</v>
          </cell>
          <cell r="F5601" t="str">
            <v/>
          </cell>
          <cell r="G5601" t="str">
            <v/>
          </cell>
          <cell r="H5601" t="str">
            <v/>
          </cell>
          <cell r="I5601" t="str">
            <v/>
          </cell>
          <cell r="J5601">
            <v>0</v>
          </cell>
          <cell r="K5601">
            <v>0</v>
          </cell>
          <cell r="L5601">
            <v>0</v>
          </cell>
          <cell r="M5601">
            <v>0</v>
          </cell>
          <cell r="N5601">
            <v>0</v>
          </cell>
          <cell r="O5601" t="str">
            <v/>
          </cell>
          <cell r="P5601">
            <v>0</v>
          </cell>
          <cell r="Q5601">
            <v>0</v>
          </cell>
          <cell r="R5601">
            <v>0</v>
          </cell>
          <cell r="S5601">
            <v>0</v>
          </cell>
          <cell r="T5601">
            <v>0</v>
          </cell>
          <cell r="U5601" t="str">
            <v/>
          </cell>
          <cell r="V5601" t="str">
            <v/>
          </cell>
        </row>
        <row r="5602">
          <cell r="A5602">
            <v>5601</v>
          </cell>
          <cell r="B5602">
            <v>0</v>
          </cell>
          <cell r="C5602" t="str">
            <v/>
          </cell>
          <cell r="D5602" t="str">
            <v/>
          </cell>
          <cell r="E5602">
            <v>0</v>
          </cell>
          <cell r="F5602" t="str">
            <v/>
          </cell>
          <cell r="G5602" t="str">
            <v/>
          </cell>
          <cell r="H5602" t="str">
            <v/>
          </cell>
          <cell r="I5602" t="str">
            <v/>
          </cell>
          <cell r="J5602">
            <v>0</v>
          </cell>
          <cell r="K5602">
            <v>0</v>
          </cell>
          <cell r="L5602">
            <v>0</v>
          </cell>
          <cell r="M5602">
            <v>0</v>
          </cell>
          <cell r="N5602">
            <v>0</v>
          </cell>
          <cell r="O5602" t="str">
            <v/>
          </cell>
          <cell r="P5602">
            <v>0</v>
          </cell>
          <cell r="Q5602">
            <v>0</v>
          </cell>
          <cell r="R5602">
            <v>0</v>
          </cell>
          <cell r="S5602">
            <v>0</v>
          </cell>
          <cell r="T5602">
            <v>0</v>
          </cell>
          <cell r="U5602" t="str">
            <v/>
          </cell>
          <cell r="V5602" t="str">
            <v/>
          </cell>
        </row>
        <row r="5603">
          <cell r="A5603">
            <v>5602</v>
          </cell>
          <cell r="B5603">
            <v>0</v>
          </cell>
          <cell r="C5603" t="str">
            <v/>
          </cell>
          <cell r="D5603" t="str">
            <v/>
          </cell>
          <cell r="E5603">
            <v>0</v>
          </cell>
          <cell r="F5603" t="str">
            <v/>
          </cell>
          <cell r="G5603" t="str">
            <v/>
          </cell>
          <cell r="H5603" t="str">
            <v/>
          </cell>
          <cell r="I5603" t="str">
            <v/>
          </cell>
          <cell r="J5603">
            <v>0</v>
          </cell>
          <cell r="K5603">
            <v>0</v>
          </cell>
          <cell r="L5603">
            <v>0</v>
          </cell>
          <cell r="M5603">
            <v>0</v>
          </cell>
          <cell r="N5603">
            <v>0</v>
          </cell>
          <cell r="O5603" t="str">
            <v/>
          </cell>
          <cell r="P5603">
            <v>0</v>
          </cell>
          <cell r="Q5603">
            <v>0</v>
          </cell>
          <cell r="R5603">
            <v>0</v>
          </cell>
          <cell r="S5603">
            <v>0</v>
          </cell>
          <cell r="T5603">
            <v>0</v>
          </cell>
          <cell r="U5603" t="str">
            <v/>
          </cell>
          <cell r="V5603" t="str">
            <v/>
          </cell>
        </row>
        <row r="5604">
          <cell r="A5604">
            <v>5603</v>
          </cell>
          <cell r="B5604">
            <v>0</v>
          </cell>
          <cell r="C5604" t="str">
            <v/>
          </cell>
          <cell r="D5604" t="str">
            <v/>
          </cell>
          <cell r="E5604">
            <v>0</v>
          </cell>
          <cell r="F5604" t="str">
            <v/>
          </cell>
          <cell r="G5604" t="str">
            <v/>
          </cell>
          <cell r="H5604" t="str">
            <v/>
          </cell>
          <cell r="I5604" t="str">
            <v/>
          </cell>
          <cell r="J5604">
            <v>0</v>
          </cell>
          <cell r="K5604">
            <v>0</v>
          </cell>
          <cell r="L5604">
            <v>0</v>
          </cell>
          <cell r="M5604">
            <v>0</v>
          </cell>
          <cell r="N5604">
            <v>0</v>
          </cell>
          <cell r="O5604" t="str">
            <v/>
          </cell>
          <cell r="P5604">
            <v>0</v>
          </cell>
          <cell r="Q5604">
            <v>0</v>
          </cell>
          <cell r="R5604">
            <v>0</v>
          </cell>
          <cell r="S5604">
            <v>0</v>
          </cell>
          <cell r="T5604">
            <v>0</v>
          </cell>
          <cell r="U5604" t="str">
            <v/>
          </cell>
          <cell r="V5604" t="str">
            <v/>
          </cell>
        </row>
        <row r="5605">
          <cell r="A5605">
            <v>5604</v>
          </cell>
          <cell r="B5605">
            <v>0</v>
          </cell>
          <cell r="C5605" t="str">
            <v/>
          </cell>
          <cell r="D5605" t="str">
            <v/>
          </cell>
          <cell r="E5605">
            <v>0</v>
          </cell>
          <cell r="F5605" t="str">
            <v/>
          </cell>
          <cell r="G5605" t="str">
            <v/>
          </cell>
          <cell r="H5605" t="str">
            <v/>
          </cell>
          <cell r="I5605" t="str">
            <v/>
          </cell>
          <cell r="J5605">
            <v>0</v>
          </cell>
          <cell r="K5605">
            <v>0</v>
          </cell>
          <cell r="L5605">
            <v>0</v>
          </cell>
          <cell r="M5605">
            <v>0</v>
          </cell>
          <cell r="N5605">
            <v>0</v>
          </cell>
          <cell r="O5605" t="str">
            <v/>
          </cell>
          <cell r="P5605">
            <v>0</v>
          </cell>
          <cell r="Q5605">
            <v>0</v>
          </cell>
          <cell r="R5605">
            <v>0</v>
          </cell>
          <cell r="S5605">
            <v>0</v>
          </cell>
          <cell r="T5605">
            <v>0</v>
          </cell>
          <cell r="U5605" t="str">
            <v/>
          </cell>
          <cell r="V5605" t="str">
            <v/>
          </cell>
        </row>
        <row r="5606">
          <cell r="A5606">
            <v>5605</v>
          </cell>
          <cell r="B5606">
            <v>0</v>
          </cell>
          <cell r="C5606" t="str">
            <v/>
          </cell>
          <cell r="D5606" t="str">
            <v/>
          </cell>
          <cell r="E5606">
            <v>0</v>
          </cell>
          <cell r="F5606" t="str">
            <v/>
          </cell>
          <cell r="G5606" t="str">
            <v/>
          </cell>
          <cell r="H5606" t="str">
            <v/>
          </cell>
          <cell r="I5606" t="str">
            <v/>
          </cell>
          <cell r="J5606">
            <v>0</v>
          </cell>
          <cell r="K5606">
            <v>0</v>
          </cell>
          <cell r="L5606">
            <v>0</v>
          </cell>
          <cell r="M5606">
            <v>0</v>
          </cell>
          <cell r="N5606">
            <v>0</v>
          </cell>
          <cell r="O5606" t="str">
            <v/>
          </cell>
          <cell r="P5606">
            <v>0</v>
          </cell>
          <cell r="Q5606">
            <v>0</v>
          </cell>
          <cell r="R5606">
            <v>0</v>
          </cell>
          <cell r="S5606">
            <v>0</v>
          </cell>
          <cell r="T5606">
            <v>0</v>
          </cell>
          <cell r="U5606" t="str">
            <v/>
          </cell>
          <cell r="V5606" t="str">
            <v/>
          </cell>
        </row>
        <row r="5607">
          <cell r="A5607">
            <v>5606</v>
          </cell>
          <cell r="B5607">
            <v>0</v>
          </cell>
          <cell r="C5607" t="str">
            <v/>
          </cell>
          <cell r="D5607" t="str">
            <v/>
          </cell>
          <cell r="E5607">
            <v>0</v>
          </cell>
          <cell r="F5607" t="str">
            <v/>
          </cell>
          <cell r="G5607" t="str">
            <v/>
          </cell>
          <cell r="H5607" t="str">
            <v/>
          </cell>
          <cell r="I5607" t="str">
            <v/>
          </cell>
          <cell r="J5607">
            <v>0</v>
          </cell>
          <cell r="K5607">
            <v>0</v>
          </cell>
          <cell r="L5607">
            <v>0</v>
          </cell>
          <cell r="M5607">
            <v>0</v>
          </cell>
          <cell r="N5607">
            <v>0</v>
          </cell>
          <cell r="O5607" t="str">
            <v/>
          </cell>
          <cell r="P5607">
            <v>0</v>
          </cell>
          <cell r="Q5607">
            <v>0</v>
          </cell>
          <cell r="R5607">
            <v>0</v>
          </cell>
          <cell r="S5607">
            <v>0</v>
          </cell>
          <cell r="T5607">
            <v>0</v>
          </cell>
          <cell r="U5607" t="str">
            <v/>
          </cell>
          <cell r="V5607" t="str">
            <v/>
          </cell>
        </row>
        <row r="5608">
          <cell r="A5608">
            <v>5607</v>
          </cell>
          <cell r="B5608">
            <v>0</v>
          </cell>
          <cell r="C5608" t="str">
            <v/>
          </cell>
          <cell r="D5608" t="str">
            <v/>
          </cell>
          <cell r="E5608">
            <v>0</v>
          </cell>
          <cell r="F5608" t="str">
            <v/>
          </cell>
          <cell r="G5608" t="str">
            <v/>
          </cell>
          <cell r="H5608" t="str">
            <v/>
          </cell>
          <cell r="I5608" t="str">
            <v/>
          </cell>
          <cell r="J5608">
            <v>0</v>
          </cell>
          <cell r="K5608">
            <v>0</v>
          </cell>
          <cell r="L5608">
            <v>0</v>
          </cell>
          <cell r="M5608">
            <v>0</v>
          </cell>
          <cell r="N5608">
            <v>0</v>
          </cell>
          <cell r="O5608" t="str">
            <v/>
          </cell>
          <cell r="P5608">
            <v>0</v>
          </cell>
          <cell r="Q5608">
            <v>0</v>
          </cell>
          <cell r="R5608">
            <v>0</v>
          </cell>
          <cell r="S5608">
            <v>0</v>
          </cell>
          <cell r="T5608">
            <v>0</v>
          </cell>
          <cell r="U5608" t="str">
            <v/>
          </cell>
          <cell r="V5608" t="str">
            <v/>
          </cell>
        </row>
        <row r="5609">
          <cell r="A5609">
            <v>5608</v>
          </cell>
          <cell r="B5609">
            <v>0</v>
          </cell>
          <cell r="C5609" t="str">
            <v/>
          </cell>
          <cell r="D5609" t="str">
            <v/>
          </cell>
          <cell r="E5609">
            <v>0</v>
          </cell>
          <cell r="F5609" t="str">
            <v/>
          </cell>
          <cell r="G5609" t="str">
            <v/>
          </cell>
          <cell r="H5609" t="str">
            <v/>
          </cell>
          <cell r="I5609" t="str">
            <v/>
          </cell>
          <cell r="J5609">
            <v>0</v>
          </cell>
          <cell r="K5609">
            <v>0</v>
          </cell>
          <cell r="L5609">
            <v>0</v>
          </cell>
          <cell r="M5609">
            <v>0</v>
          </cell>
          <cell r="N5609">
            <v>0</v>
          </cell>
          <cell r="O5609" t="str">
            <v/>
          </cell>
          <cell r="P5609">
            <v>0</v>
          </cell>
          <cell r="Q5609">
            <v>0</v>
          </cell>
          <cell r="R5609">
            <v>0</v>
          </cell>
          <cell r="S5609">
            <v>0</v>
          </cell>
          <cell r="T5609">
            <v>0</v>
          </cell>
          <cell r="U5609" t="str">
            <v/>
          </cell>
          <cell r="V5609" t="str">
            <v/>
          </cell>
        </row>
        <row r="5610">
          <cell r="A5610">
            <v>5609</v>
          </cell>
          <cell r="B5610">
            <v>0</v>
          </cell>
          <cell r="C5610" t="str">
            <v/>
          </cell>
          <cell r="D5610" t="str">
            <v/>
          </cell>
          <cell r="E5610">
            <v>0</v>
          </cell>
          <cell r="F5610" t="str">
            <v/>
          </cell>
          <cell r="G5610" t="str">
            <v/>
          </cell>
          <cell r="H5610" t="str">
            <v/>
          </cell>
          <cell r="I5610" t="str">
            <v/>
          </cell>
          <cell r="J5610">
            <v>0</v>
          </cell>
          <cell r="K5610">
            <v>0</v>
          </cell>
          <cell r="L5610">
            <v>0</v>
          </cell>
          <cell r="M5610">
            <v>0</v>
          </cell>
          <cell r="N5610">
            <v>0</v>
          </cell>
          <cell r="O5610" t="str">
            <v/>
          </cell>
          <cell r="P5610">
            <v>0</v>
          </cell>
          <cell r="Q5610">
            <v>0</v>
          </cell>
          <cell r="R5610">
            <v>0</v>
          </cell>
          <cell r="S5610">
            <v>0</v>
          </cell>
          <cell r="T5610">
            <v>0</v>
          </cell>
          <cell r="U5610" t="str">
            <v/>
          </cell>
          <cell r="V5610" t="str">
            <v/>
          </cell>
        </row>
        <row r="5611">
          <cell r="A5611">
            <v>5610</v>
          </cell>
          <cell r="B5611">
            <v>0</v>
          </cell>
          <cell r="C5611" t="str">
            <v/>
          </cell>
          <cell r="D5611" t="str">
            <v/>
          </cell>
          <cell r="E5611">
            <v>0</v>
          </cell>
          <cell r="F5611" t="str">
            <v/>
          </cell>
          <cell r="G5611" t="str">
            <v/>
          </cell>
          <cell r="H5611" t="str">
            <v/>
          </cell>
          <cell r="I5611" t="str">
            <v/>
          </cell>
          <cell r="J5611">
            <v>0</v>
          </cell>
          <cell r="K5611">
            <v>0</v>
          </cell>
          <cell r="L5611">
            <v>0</v>
          </cell>
          <cell r="M5611">
            <v>0</v>
          </cell>
          <cell r="N5611">
            <v>0</v>
          </cell>
          <cell r="O5611" t="str">
            <v/>
          </cell>
          <cell r="P5611">
            <v>0</v>
          </cell>
          <cell r="Q5611">
            <v>0</v>
          </cell>
          <cell r="R5611">
            <v>0</v>
          </cell>
          <cell r="S5611">
            <v>0</v>
          </cell>
          <cell r="T5611">
            <v>0</v>
          </cell>
          <cell r="U5611" t="str">
            <v/>
          </cell>
          <cell r="V5611" t="str">
            <v/>
          </cell>
        </row>
        <row r="5612">
          <cell r="A5612">
            <v>5611</v>
          </cell>
          <cell r="B5612">
            <v>0</v>
          </cell>
          <cell r="C5612" t="str">
            <v/>
          </cell>
          <cell r="D5612" t="str">
            <v/>
          </cell>
          <cell r="E5612">
            <v>0</v>
          </cell>
          <cell r="F5612" t="str">
            <v/>
          </cell>
          <cell r="G5612" t="str">
            <v/>
          </cell>
          <cell r="H5612" t="str">
            <v/>
          </cell>
          <cell r="I5612" t="str">
            <v/>
          </cell>
          <cell r="J5612">
            <v>0</v>
          </cell>
          <cell r="K5612">
            <v>0</v>
          </cell>
          <cell r="L5612">
            <v>0</v>
          </cell>
          <cell r="M5612">
            <v>0</v>
          </cell>
          <cell r="N5612">
            <v>0</v>
          </cell>
          <cell r="O5612" t="str">
            <v/>
          </cell>
          <cell r="P5612">
            <v>0</v>
          </cell>
          <cell r="Q5612">
            <v>0</v>
          </cell>
          <cell r="R5612">
            <v>0</v>
          </cell>
          <cell r="S5612">
            <v>0</v>
          </cell>
          <cell r="T5612">
            <v>0</v>
          </cell>
          <cell r="U5612" t="str">
            <v/>
          </cell>
          <cell r="V5612" t="str">
            <v/>
          </cell>
        </row>
        <row r="5613">
          <cell r="A5613">
            <v>5612</v>
          </cell>
          <cell r="B5613">
            <v>0</v>
          </cell>
          <cell r="C5613" t="str">
            <v/>
          </cell>
          <cell r="D5613" t="str">
            <v/>
          </cell>
          <cell r="E5613">
            <v>0</v>
          </cell>
          <cell r="F5613" t="str">
            <v/>
          </cell>
          <cell r="G5613" t="str">
            <v/>
          </cell>
          <cell r="H5613" t="str">
            <v/>
          </cell>
          <cell r="I5613" t="str">
            <v/>
          </cell>
          <cell r="J5613">
            <v>0</v>
          </cell>
          <cell r="K5613">
            <v>0</v>
          </cell>
          <cell r="L5613">
            <v>0</v>
          </cell>
          <cell r="M5613">
            <v>0</v>
          </cell>
          <cell r="N5613">
            <v>0</v>
          </cell>
          <cell r="O5613" t="str">
            <v/>
          </cell>
          <cell r="P5613">
            <v>0</v>
          </cell>
          <cell r="Q5613">
            <v>0</v>
          </cell>
          <cell r="R5613">
            <v>0</v>
          </cell>
          <cell r="S5613">
            <v>0</v>
          </cell>
          <cell r="T5613">
            <v>0</v>
          </cell>
          <cell r="U5613" t="str">
            <v/>
          </cell>
          <cell r="V5613" t="str">
            <v/>
          </cell>
        </row>
        <row r="5614">
          <cell r="A5614">
            <v>5613</v>
          </cell>
          <cell r="B5614">
            <v>0</v>
          </cell>
          <cell r="C5614" t="str">
            <v/>
          </cell>
          <cell r="D5614" t="str">
            <v/>
          </cell>
          <cell r="E5614">
            <v>0</v>
          </cell>
          <cell r="F5614" t="str">
            <v/>
          </cell>
          <cell r="G5614" t="str">
            <v/>
          </cell>
          <cell r="H5614" t="str">
            <v/>
          </cell>
          <cell r="I5614" t="str">
            <v/>
          </cell>
          <cell r="J5614">
            <v>0</v>
          </cell>
          <cell r="K5614">
            <v>0</v>
          </cell>
          <cell r="L5614">
            <v>0</v>
          </cell>
          <cell r="M5614">
            <v>0</v>
          </cell>
          <cell r="N5614">
            <v>0</v>
          </cell>
          <cell r="O5614" t="str">
            <v/>
          </cell>
          <cell r="P5614">
            <v>0</v>
          </cell>
          <cell r="Q5614">
            <v>0</v>
          </cell>
          <cell r="R5614">
            <v>0</v>
          </cell>
          <cell r="S5614">
            <v>0</v>
          </cell>
          <cell r="T5614">
            <v>0</v>
          </cell>
          <cell r="U5614" t="str">
            <v/>
          </cell>
          <cell r="V5614" t="str">
            <v/>
          </cell>
        </row>
        <row r="5615">
          <cell r="A5615">
            <v>5614</v>
          </cell>
          <cell r="B5615">
            <v>0</v>
          </cell>
          <cell r="C5615" t="str">
            <v/>
          </cell>
          <cell r="D5615" t="str">
            <v/>
          </cell>
          <cell r="E5615">
            <v>0</v>
          </cell>
          <cell r="F5615" t="str">
            <v/>
          </cell>
          <cell r="G5615" t="str">
            <v/>
          </cell>
          <cell r="H5615" t="str">
            <v/>
          </cell>
          <cell r="I5615" t="str">
            <v/>
          </cell>
          <cell r="J5615">
            <v>0</v>
          </cell>
          <cell r="K5615">
            <v>0</v>
          </cell>
          <cell r="L5615">
            <v>0</v>
          </cell>
          <cell r="M5615">
            <v>0</v>
          </cell>
          <cell r="N5615">
            <v>0</v>
          </cell>
          <cell r="O5615" t="str">
            <v/>
          </cell>
          <cell r="P5615">
            <v>0</v>
          </cell>
          <cell r="Q5615">
            <v>0</v>
          </cell>
          <cell r="R5615">
            <v>0</v>
          </cell>
          <cell r="S5615">
            <v>0</v>
          </cell>
          <cell r="T5615">
            <v>0</v>
          </cell>
          <cell r="U5615" t="str">
            <v/>
          </cell>
          <cell r="V5615" t="str">
            <v/>
          </cell>
        </row>
        <row r="5616">
          <cell r="A5616">
            <v>5615</v>
          </cell>
          <cell r="B5616">
            <v>0</v>
          </cell>
          <cell r="C5616" t="str">
            <v/>
          </cell>
          <cell r="D5616" t="str">
            <v/>
          </cell>
          <cell r="E5616">
            <v>0</v>
          </cell>
          <cell r="F5616" t="str">
            <v/>
          </cell>
          <cell r="G5616" t="str">
            <v/>
          </cell>
          <cell r="H5616" t="str">
            <v/>
          </cell>
          <cell r="I5616" t="str">
            <v/>
          </cell>
          <cell r="J5616">
            <v>0</v>
          </cell>
          <cell r="K5616">
            <v>0</v>
          </cell>
          <cell r="L5616">
            <v>0</v>
          </cell>
          <cell r="M5616">
            <v>0</v>
          </cell>
          <cell r="N5616">
            <v>0</v>
          </cell>
          <cell r="O5616" t="str">
            <v/>
          </cell>
          <cell r="P5616">
            <v>0</v>
          </cell>
          <cell r="Q5616">
            <v>0</v>
          </cell>
          <cell r="R5616">
            <v>0</v>
          </cell>
          <cell r="S5616">
            <v>0</v>
          </cell>
          <cell r="T5616">
            <v>0</v>
          </cell>
          <cell r="U5616" t="str">
            <v/>
          </cell>
          <cell r="V5616" t="str">
            <v/>
          </cell>
        </row>
        <row r="5617">
          <cell r="A5617">
            <v>5616</v>
          </cell>
          <cell r="B5617">
            <v>0</v>
          </cell>
          <cell r="C5617" t="str">
            <v/>
          </cell>
          <cell r="D5617" t="str">
            <v/>
          </cell>
          <cell r="E5617">
            <v>0</v>
          </cell>
          <cell r="F5617" t="str">
            <v/>
          </cell>
          <cell r="G5617" t="str">
            <v/>
          </cell>
          <cell r="H5617" t="str">
            <v/>
          </cell>
          <cell r="I5617" t="str">
            <v/>
          </cell>
          <cell r="J5617">
            <v>0</v>
          </cell>
          <cell r="K5617">
            <v>0</v>
          </cell>
          <cell r="L5617">
            <v>0</v>
          </cell>
          <cell r="M5617">
            <v>0</v>
          </cell>
          <cell r="N5617">
            <v>0</v>
          </cell>
          <cell r="O5617" t="str">
            <v/>
          </cell>
          <cell r="P5617">
            <v>0</v>
          </cell>
          <cell r="Q5617">
            <v>0</v>
          </cell>
          <cell r="R5617">
            <v>0</v>
          </cell>
          <cell r="S5617">
            <v>0</v>
          </cell>
          <cell r="T5617">
            <v>0</v>
          </cell>
          <cell r="U5617" t="str">
            <v/>
          </cell>
          <cell r="V5617" t="str">
            <v/>
          </cell>
        </row>
        <row r="5618">
          <cell r="A5618">
            <v>5617</v>
          </cell>
          <cell r="B5618">
            <v>0</v>
          </cell>
          <cell r="C5618" t="str">
            <v/>
          </cell>
          <cell r="D5618" t="str">
            <v/>
          </cell>
          <cell r="E5618">
            <v>0</v>
          </cell>
          <cell r="F5618" t="str">
            <v/>
          </cell>
          <cell r="G5618" t="str">
            <v/>
          </cell>
          <cell r="H5618" t="str">
            <v/>
          </cell>
          <cell r="I5618" t="str">
            <v/>
          </cell>
          <cell r="J5618">
            <v>0</v>
          </cell>
          <cell r="K5618">
            <v>0</v>
          </cell>
          <cell r="L5618">
            <v>0</v>
          </cell>
          <cell r="M5618">
            <v>0</v>
          </cell>
          <cell r="N5618">
            <v>0</v>
          </cell>
          <cell r="O5618" t="str">
            <v/>
          </cell>
          <cell r="P5618">
            <v>0</v>
          </cell>
          <cell r="Q5618">
            <v>0</v>
          </cell>
          <cell r="R5618">
            <v>0</v>
          </cell>
          <cell r="S5618">
            <v>0</v>
          </cell>
          <cell r="T5618">
            <v>0</v>
          </cell>
          <cell r="U5618" t="str">
            <v/>
          </cell>
          <cell r="V5618" t="str">
            <v/>
          </cell>
        </row>
        <row r="5619">
          <cell r="A5619">
            <v>5618</v>
          </cell>
          <cell r="B5619">
            <v>0</v>
          </cell>
          <cell r="C5619" t="str">
            <v/>
          </cell>
          <cell r="D5619" t="str">
            <v/>
          </cell>
          <cell r="E5619">
            <v>0</v>
          </cell>
          <cell r="F5619" t="str">
            <v/>
          </cell>
          <cell r="G5619" t="str">
            <v/>
          </cell>
          <cell r="H5619" t="str">
            <v/>
          </cell>
          <cell r="I5619" t="str">
            <v/>
          </cell>
          <cell r="J5619">
            <v>0</v>
          </cell>
          <cell r="K5619">
            <v>0</v>
          </cell>
          <cell r="L5619">
            <v>0</v>
          </cell>
          <cell r="M5619">
            <v>0</v>
          </cell>
          <cell r="N5619">
            <v>0</v>
          </cell>
          <cell r="O5619" t="str">
            <v/>
          </cell>
          <cell r="P5619">
            <v>0</v>
          </cell>
          <cell r="Q5619">
            <v>0</v>
          </cell>
          <cell r="R5619">
            <v>0</v>
          </cell>
          <cell r="S5619">
            <v>0</v>
          </cell>
          <cell r="T5619">
            <v>0</v>
          </cell>
          <cell r="U5619" t="str">
            <v/>
          </cell>
          <cell r="V5619" t="str">
            <v/>
          </cell>
        </row>
        <row r="5620">
          <cell r="A5620">
            <v>5619</v>
          </cell>
          <cell r="B5620">
            <v>0</v>
          </cell>
          <cell r="C5620" t="str">
            <v/>
          </cell>
          <cell r="D5620" t="str">
            <v/>
          </cell>
          <cell r="E5620">
            <v>0</v>
          </cell>
          <cell r="F5620" t="str">
            <v/>
          </cell>
          <cell r="G5620" t="str">
            <v/>
          </cell>
          <cell r="H5620" t="str">
            <v/>
          </cell>
          <cell r="I5620" t="str">
            <v/>
          </cell>
          <cell r="J5620">
            <v>0</v>
          </cell>
          <cell r="K5620">
            <v>0</v>
          </cell>
          <cell r="L5620">
            <v>0</v>
          </cell>
          <cell r="M5620">
            <v>0</v>
          </cell>
          <cell r="N5620">
            <v>0</v>
          </cell>
          <cell r="O5620" t="str">
            <v/>
          </cell>
          <cell r="P5620">
            <v>0</v>
          </cell>
          <cell r="Q5620">
            <v>0</v>
          </cell>
          <cell r="R5620">
            <v>0</v>
          </cell>
          <cell r="S5620">
            <v>0</v>
          </cell>
          <cell r="T5620">
            <v>0</v>
          </cell>
          <cell r="U5620" t="str">
            <v/>
          </cell>
          <cell r="V5620" t="str">
            <v/>
          </cell>
        </row>
        <row r="5621">
          <cell r="A5621">
            <v>5620</v>
          </cell>
          <cell r="B5621">
            <v>0</v>
          </cell>
          <cell r="C5621" t="str">
            <v/>
          </cell>
          <cell r="D5621" t="str">
            <v/>
          </cell>
          <cell r="E5621">
            <v>0</v>
          </cell>
          <cell r="F5621" t="str">
            <v/>
          </cell>
          <cell r="G5621" t="str">
            <v/>
          </cell>
          <cell r="H5621" t="str">
            <v/>
          </cell>
          <cell r="I5621" t="str">
            <v/>
          </cell>
          <cell r="J5621">
            <v>0</v>
          </cell>
          <cell r="K5621">
            <v>0</v>
          </cell>
          <cell r="L5621">
            <v>0</v>
          </cell>
          <cell r="M5621">
            <v>0</v>
          </cell>
          <cell r="N5621">
            <v>0</v>
          </cell>
          <cell r="O5621" t="str">
            <v/>
          </cell>
          <cell r="P5621">
            <v>0</v>
          </cell>
          <cell r="Q5621">
            <v>0</v>
          </cell>
          <cell r="R5621">
            <v>0</v>
          </cell>
          <cell r="S5621">
            <v>0</v>
          </cell>
          <cell r="T5621">
            <v>0</v>
          </cell>
          <cell r="U5621" t="str">
            <v/>
          </cell>
          <cell r="V5621" t="str">
            <v/>
          </cell>
        </row>
        <row r="5622">
          <cell r="A5622">
            <v>5621</v>
          </cell>
          <cell r="B5622">
            <v>0</v>
          </cell>
          <cell r="C5622" t="str">
            <v/>
          </cell>
          <cell r="D5622" t="str">
            <v/>
          </cell>
          <cell r="E5622">
            <v>0</v>
          </cell>
          <cell r="F5622" t="str">
            <v/>
          </cell>
          <cell r="G5622" t="str">
            <v/>
          </cell>
          <cell r="H5622" t="str">
            <v/>
          </cell>
          <cell r="I5622" t="str">
            <v/>
          </cell>
          <cell r="J5622">
            <v>0</v>
          </cell>
          <cell r="K5622">
            <v>0</v>
          </cell>
          <cell r="L5622">
            <v>0</v>
          </cell>
          <cell r="M5622">
            <v>0</v>
          </cell>
          <cell r="N5622">
            <v>0</v>
          </cell>
          <cell r="O5622" t="str">
            <v/>
          </cell>
          <cell r="P5622">
            <v>0</v>
          </cell>
          <cell r="Q5622">
            <v>0</v>
          </cell>
          <cell r="R5622">
            <v>0</v>
          </cell>
          <cell r="S5622">
            <v>0</v>
          </cell>
          <cell r="T5622">
            <v>0</v>
          </cell>
          <cell r="U5622" t="str">
            <v/>
          </cell>
          <cell r="V5622" t="str">
            <v/>
          </cell>
        </row>
        <row r="5623">
          <cell r="A5623">
            <v>5622</v>
          </cell>
          <cell r="B5623">
            <v>0</v>
          </cell>
          <cell r="C5623" t="str">
            <v/>
          </cell>
          <cell r="D5623" t="str">
            <v/>
          </cell>
          <cell r="E5623">
            <v>0</v>
          </cell>
          <cell r="F5623" t="str">
            <v/>
          </cell>
          <cell r="G5623" t="str">
            <v/>
          </cell>
          <cell r="H5623" t="str">
            <v/>
          </cell>
          <cell r="I5623" t="str">
            <v/>
          </cell>
          <cell r="J5623">
            <v>0</v>
          </cell>
          <cell r="K5623">
            <v>0</v>
          </cell>
          <cell r="L5623">
            <v>0</v>
          </cell>
          <cell r="M5623">
            <v>0</v>
          </cell>
          <cell r="N5623">
            <v>0</v>
          </cell>
          <cell r="O5623" t="str">
            <v/>
          </cell>
          <cell r="P5623">
            <v>0</v>
          </cell>
          <cell r="Q5623">
            <v>0</v>
          </cell>
          <cell r="R5623">
            <v>0</v>
          </cell>
          <cell r="S5623">
            <v>0</v>
          </cell>
          <cell r="T5623">
            <v>0</v>
          </cell>
          <cell r="U5623" t="str">
            <v/>
          </cell>
          <cell r="V5623" t="str">
            <v/>
          </cell>
        </row>
        <row r="5624">
          <cell r="A5624">
            <v>5623</v>
          </cell>
          <cell r="B5624">
            <v>0</v>
          </cell>
          <cell r="C5624" t="str">
            <v/>
          </cell>
          <cell r="D5624" t="str">
            <v/>
          </cell>
          <cell r="E5624">
            <v>0</v>
          </cell>
          <cell r="F5624" t="str">
            <v/>
          </cell>
          <cell r="G5624" t="str">
            <v/>
          </cell>
          <cell r="H5624" t="str">
            <v/>
          </cell>
          <cell r="I5624" t="str">
            <v/>
          </cell>
          <cell r="J5624">
            <v>0</v>
          </cell>
          <cell r="K5624">
            <v>0</v>
          </cell>
          <cell r="L5624">
            <v>0</v>
          </cell>
          <cell r="M5624">
            <v>0</v>
          </cell>
          <cell r="N5624">
            <v>0</v>
          </cell>
          <cell r="O5624" t="str">
            <v/>
          </cell>
          <cell r="P5624">
            <v>0</v>
          </cell>
          <cell r="Q5624">
            <v>0</v>
          </cell>
          <cell r="R5624">
            <v>0</v>
          </cell>
          <cell r="S5624">
            <v>0</v>
          </cell>
          <cell r="T5624">
            <v>0</v>
          </cell>
          <cell r="U5624" t="str">
            <v/>
          </cell>
          <cell r="V5624" t="str">
            <v/>
          </cell>
        </row>
        <row r="5625">
          <cell r="A5625">
            <v>5624</v>
          </cell>
          <cell r="B5625">
            <v>0</v>
          </cell>
          <cell r="C5625" t="str">
            <v/>
          </cell>
          <cell r="D5625" t="str">
            <v/>
          </cell>
          <cell r="E5625">
            <v>0</v>
          </cell>
          <cell r="F5625" t="str">
            <v/>
          </cell>
          <cell r="G5625" t="str">
            <v/>
          </cell>
          <cell r="H5625" t="str">
            <v/>
          </cell>
          <cell r="I5625" t="str">
            <v/>
          </cell>
          <cell r="J5625">
            <v>0</v>
          </cell>
          <cell r="K5625">
            <v>0</v>
          </cell>
          <cell r="L5625">
            <v>0</v>
          </cell>
          <cell r="M5625">
            <v>0</v>
          </cell>
          <cell r="N5625">
            <v>0</v>
          </cell>
          <cell r="O5625" t="str">
            <v/>
          </cell>
          <cell r="P5625">
            <v>0</v>
          </cell>
          <cell r="Q5625">
            <v>0</v>
          </cell>
          <cell r="R5625">
            <v>0</v>
          </cell>
          <cell r="S5625">
            <v>0</v>
          </cell>
          <cell r="T5625">
            <v>0</v>
          </cell>
          <cell r="U5625" t="str">
            <v/>
          </cell>
          <cell r="V5625" t="str">
            <v/>
          </cell>
        </row>
        <row r="5626">
          <cell r="A5626">
            <v>5625</v>
          </cell>
          <cell r="B5626">
            <v>0</v>
          </cell>
          <cell r="C5626" t="str">
            <v/>
          </cell>
          <cell r="D5626" t="str">
            <v/>
          </cell>
          <cell r="E5626">
            <v>0</v>
          </cell>
          <cell r="F5626" t="str">
            <v/>
          </cell>
          <cell r="G5626" t="str">
            <v/>
          </cell>
          <cell r="H5626" t="str">
            <v/>
          </cell>
          <cell r="I5626" t="str">
            <v/>
          </cell>
          <cell r="J5626">
            <v>0</v>
          </cell>
          <cell r="K5626">
            <v>0</v>
          </cell>
          <cell r="L5626">
            <v>0</v>
          </cell>
          <cell r="M5626">
            <v>0</v>
          </cell>
          <cell r="N5626">
            <v>0</v>
          </cell>
          <cell r="O5626" t="str">
            <v/>
          </cell>
          <cell r="P5626">
            <v>0</v>
          </cell>
          <cell r="Q5626">
            <v>0</v>
          </cell>
          <cell r="R5626">
            <v>0</v>
          </cell>
          <cell r="S5626">
            <v>0</v>
          </cell>
          <cell r="T5626">
            <v>0</v>
          </cell>
          <cell r="U5626" t="str">
            <v/>
          </cell>
          <cell r="V5626" t="str">
            <v/>
          </cell>
        </row>
        <row r="5627">
          <cell r="A5627">
            <v>5626</v>
          </cell>
          <cell r="B5627">
            <v>0</v>
          </cell>
          <cell r="C5627" t="str">
            <v/>
          </cell>
          <cell r="D5627" t="str">
            <v/>
          </cell>
          <cell r="E5627">
            <v>0</v>
          </cell>
          <cell r="F5627" t="str">
            <v/>
          </cell>
          <cell r="G5627" t="str">
            <v/>
          </cell>
          <cell r="H5627" t="str">
            <v/>
          </cell>
          <cell r="I5627" t="str">
            <v/>
          </cell>
          <cell r="J5627">
            <v>0</v>
          </cell>
          <cell r="K5627">
            <v>0</v>
          </cell>
          <cell r="L5627">
            <v>0</v>
          </cell>
          <cell r="M5627">
            <v>0</v>
          </cell>
          <cell r="N5627">
            <v>0</v>
          </cell>
          <cell r="O5627" t="str">
            <v/>
          </cell>
          <cell r="P5627">
            <v>0</v>
          </cell>
          <cell r="Q5627">
            <v>0</v>
          </cell>
          <cell r="R5627">
            <v>0</v>
          </cell>
          <cell r="S5627">
            <v>0</v>
          </cell>
          <cell r="T5627">
            <v>0</v>
          </cell>
          <cell r="U5627" t="str">
            <v/>
          </cell>
          <cell r="V5627" t="str">
            <v/>
          </cell>
        </row>
        <row r="5628">
          <cell r="A5628">
            <v>5627</v>
          </cell>
          <cell r="B5628">
            <v>0</v>
          </cell>
          <cell r="C5628" t="str">
            <v/>
          </cell>
          <cell r="D5628" t="str">
            <v/>
          </cell>
          <cell r="E5628">
            <v>0</v>
          </cell>
          <cell r="F5628" t="str">
            <v/>
          </cell>
          <cell r="G5628" t="str">
            <v/>
          </cell>
          <cell r="H5628" t="str">
            <v/>
          </cell>
          <cell r="I5628" t="str">
            <v/>
          </cell>
          <cell r="J5628">
            <v>0</v>
          </cell>
          <cell r="K5628">
            <v>0</v>
          </cell>
          <cell r="L5628">
            <v>0</v>
          </cell>
          <cell r="M5628">
            <v>0</v>
          </cell>
          <cell r="N5628">
            <v>0</v>
          </cell>
          <cell r="O5628" t="str">
            <v/>
          </cell>
          <cell r="P5628">
            <v>0</v>
          </cell>
          <cell r="Q5628">
            <v>0</v>
          </cell>
          <cell r="R5628">
            <v>0</v>
          </cell>
          <cell r="S5628">
            <v>0</v>
          </cell>
          <cell r="T5628">
            <v>0</v>
          </cell>
          <cell r="U5628" t="str">
            <v/>
          </cell>
          <cell r="V5628" t="str">
            <v/>
          </cell>
        </row>
        <row r="5629">
          <cell r="A5629">
            <v>5628</v>
          </cell>
          <cell r="B5629">
            <v>0</v>
          </cell>
          <cell r="C5629" t="str">
            <v/>
          </cell>
          <cell r="D5629" t="str">
            <v/>
          </cell>
          <cell r="E5629">
            <v>0</v>
          </cell>
          <cell r="F5629" t="str">
            <v/>
          </cell>
          <cell r="G5629" t="str">
            <v/>
          </cell>
          <cell r="H5629" t="str">
            <v/>
          </cell>
          <cell r="I5629" t="str">
            <v/>
          </cell>
          <cell r="J5629">
            <v>0</v>
          </cell>
          <cell r="K5629">
            <v>0</v>
          </cell>
          <cell r="L5629">
            <v>0</v>
          </cell>
          <cell r="M5629">
            <v>0</v>
          </cell>
          <cell r="N5629">
            <v>0</v>
          </cell>
          <cell r="O5629" t="str">
            <v/>
          </cell>
          <cell r="P5629">
            <v>0</v>
          </cell>
          <cell r="Q5629">
            <v>0</v>
          </cell>
          <cell r="R5629">
            <v>0</v>
          </cell>
          <cell r="S5629">
            <v>0</v>
          </cell>
          <cell r="T5629">
            <v>0</v>
          </cell>
          <cell r="U5629" t="str">
            <v/>
          </cell>
          <cell r="V5629" t="str">
            <v/>
          </cell>
        </row>
        <row r="5630">
          <cell r="A5630">
            <v>5629</v>
          </cell>
          <cell r="B5630">
            <v>0</v>
          </cell>
          <cell r="C5630" t="str">
            <v/>
          </cell>
          <cell r="D5630" t="str">
            <v/>
          </cell>
          <cell r="E5630">
            <v>0</v>
          </cell>
          <cell r="F5630" t="str">
            <v/>
          </cell>
          <cell r="G5630" t="str">
            <v/>
          </cell>
          <cell r="H5630" t="str">
            <v/>
          </cell>
          <cell r="I5630" t="str">
            <v/>
          </cell>
          <cell r="J5630">
            <v>0</v>
          </cell>
          <cell r="K5630">
            <v>0</v>
          </cell>
          <cell r="L5630">
            <v>0</v>
          </cell>
          <cell r="M5630">
            <v>0</v>
          </cell>
          <cell r="N5630">
            <v>0</v>
          </cell>
          <cell r="O5630" t="str">
            <v/>
          </cell>
          <cell r="P5630">
            <v>0</v>
          </cell>
          <cell r="Q5630">
            <v>0</v>
          </cell>
          <cell r="R5630">
            <v>0</v>
          </cell>
          <cell r="S5630">
            <v>0</v>
          </cell>
          <cell r="T5630">
            <v>0</v>
          </cell>
          <cell r="U5630" t="str">
            <v/>
          </cell>
          <cell r="V5630" t="str">
            <v/>
          </cell>
        </row>
        <row r="5631">
          <cell r="A5631">
            <v>5630</v>
          </cell>
          <cell r="B5631">
            <v>0</v>
          </cell>
          <cell r="C5631" t="str">
            <v/>
          </cell>
          <cell r="D5631" t="str">
            <v/>
          </cell>
          <cell r="E5631">
            <v>0</v>
          </cell>
          <cell r="F5631" t="str">
            <v/>
          </cell>
          <cell r="G5631" t="str">
            <v/>
          </cell>
          <cell r="H5631" t="str">
            <v/>
          </cell>
          <cell r="I5631" t="str">
            <v/>
          </cell>
          <cell r="J5631">
            <v>0</v>
          </cell>
          <cell r="K5631">
            <v>0</v>
          </cell>
          <cell r="L5631">
            <v>0</v>
          </cell>
          <cell r="M5631">
            <v>0</v>
          </cell>
          <cell r="N5631">
            <v>0</v>
          </cell>
          <cell r="O5631" t="str">
            <v/>
          </cell>
          <cell r="P5631">
            <v>0</v>
          </cell>
          <cell r="Q5631">
            <v>0</v>
          </cell>
          <cell r="R5631">
            <v>0</v>
          </cell>
          <cell r="S5631">
            <v>0</v>
          </cell>
          <cell r="T5631">
            <v>0</v>
          </cell>
          <cell r="U5631" t="str">
            <v/>
          </cell>
          <cell r="V5631" t="str">
            <v/>
          </cell>
        </row>
        <row r="5632">
          <cell r="A5632">
            <v>5631</v>
          </cell>
          <cell r="B5632">
            <v>0</v>
          </cell>
          <cell r="C5632" t="str">
            <v/>
          </cell>
          <cell r="D5632" t="str">
            <v/>
          </cell>
          <cell r="E5632">
            <v>0</v>
          </cell>
          <cell r="F5632" t="str">
            <v/>
          </cell>
          <cell r="G5632" t="str">
            <v/>
          </cell>
          <cell r="H5632" t="str">
            <v/>
          </cell>
          <cell r="I5632" t="str">
            <v/>
          </cell>
          <cell r="J5632">
            <v>0</v>
          </cell>
          <cell r="K5632">
            <v>0</v>
          </cell>
          <cell r="L5632">
            <v>0</v>
          </cell>
          <cell r="M5632">
            <v>0</v>
          </cell>
          <cell r="N5632">
            <v>0</v>
          </cell>
          <cell r="O5632" t="str">
            <v/>
          </cell>
          <cell r="P5632">
            <v>0</v>
          </cell>
          <cell r="Q5632">
            <v>0</v>
          </cell>
          <cell r="R5632">
            <v>0</v>
          </cell>
          <cell r="S5632">
            <v>0</v>
          </cell>
          <cell r="T5632">
            <v>0</v>
          </cell>
          <cell r="U5632" t="str">
            <v/>
          </cell>
          <cell r="V5632" t="str">
            <v/>
          </cell>
        </row>
        <row r="5633">
          <cell r="A5633">
            <v>5632</v>
          </cell>
          <cell r="B5633">
            <v>0</v>
          </cell>
          <cell r="C5633" t="str">
            <v/>
          </cell>
          <cell r="D5633" t="str">
            <v/>
          </cell>
          <cell r="E5633">
            <v>0</v>
          </cell>
          <cell r="F5633" t="str">
            <v/>
          </cell>
          <cell r="G5633" t="str">
            <v/>
          </cell>
          <cell r="H5633" t="str">
            <v/>
          </cell>
          <cell r="I5633" t="str">
            <v/>
          </cell>
          <cell r="J5633">
            <v>0</v>
          </cell>
          <cell r="K5633">
            <v>0</v>
          </cell>
          <cell r="L5633">
            <v>0</v>
          </cell>
          <cell r="M5633">
            <v>0</v>
          </cell>
          <cell r="N5633">
            <v>0</v>
          </cell>
          <cell r="O5633" t="str">
            <v/>
          </cell>
          <cell r="P5633">
            <v>0</v>
          </cell>
          <cell r="Q5633">
            <v>0</v>
          </cell>
          <cell r="R5633">
            <v>0</v>
          </cell>
          <cell r="S5633">
            <v>0</v>
          </cell>
          <cell r="T5633">
            <v>0</v>
          </cell>
          <cell r="U5633" t="str">
            <v/>
          </cell>
          <cell r="V5633" t="str">
            <v/>
          </cell>
        </row>
        <row r="5634">
          <cell r="A5634">
            <v>5633</v>
          </cell>
          <cell r="B5634">
            <v>0</v>
          </cell>
          <cell r="C5634" t="str">
            <v/>
          </cell>
          <cell r="D5634" t="str">
            <v/>
          </cell>
          <cell r="E5634">
            <v>0</v>
          </cell>
          <cell r="F5634" t="str">
            <v/>
          </cell>
          <cell r="G5634" t="str">
            <v/>
          </cell>
          <cell r="H5634" t="str">
            <v/>
          </cell>
          <cell r="I5634" t="str">
            <v/>
          </cell>
          <cell r="J5634">
            <v>0</v>
          </cell>
          <cell r="K5634">
            <v>0</v>
          </cell>
          <cell r="L5634">
            <v>0</v>
          </cell>
          <cell r="M5634">
            <v>0</v>
          </cell>
          <cell r="N5634">
            <v>0</v>
          </cell>
          <cell r="O5634" t="str">
            <v/>
          </cell>
          <cell r="P5634">
            <v>0</v>
          </cell>
          <cell r="Q5634">
            <v>0</v>
          </cell>
          <cell r="R5634">
            <v>0</v>
          </cell>
          <cell r="S5634">
            <v>0</v>
          </cell>
          <cell r="T5634">
            <v>0</v>
          </cell>
          <cell r="U5634" t="str">
            <v/>
          </cell>
          <cell r="V5634" t="str">
            <v/>
          </cell>
        </row>
        <row r="5635">
          <cell r="A5635">
            <v>5634</v>
          </cell>
          <cell r="B5635">
            <v>0</v>
          </cell>
          <cell r="C5635" t="str">
            <v/>
          </cell>
          <cell r="D5635" t="str">
            <v/>
          </cell>
          <cell r="E5635">
            <v>0</v>
          </cell>
          <cell r="F5635" t="str">
            <v/>
          </cell>
          <cell r="G5635" t="str">
            <v/>
          </cell>
          <cell r="H5635" t="str">
            <v/>
          </cell>
          <cell r="I5635" t="str">
            <v/>
          </cell>
          <cell r="J5635">
            <v>0</v>
          </cell>
          <cell r="K5635">
            <v>0</v>
          </cell>
          <cell r="L5635">
            <v>0</v>
          </cell>
          <cell r="M5635">
            <v>0</v>
          </cell>
          <cell r="N5635">
            <v>0</v>
          </cell>
          <cell r="O5635" t="str">
            <v/>
          </cell>
          <cell r="P5635">
            <v>0</v>
          </cell>
          <cell r="Q5635">
            <v>0</v>
          </cell>
          <cell r="R5635">
            <v>0</v>
          </cell>
          <cell r="S5635">
            <v>0</v>
          </cell>
          <cell r="T5635">
            <v>0</v>
          </cell>
          <cell r="U5635" t="str">
            <v/>
          </cell>
          <cell r="V5635" t="str">
            <v/>
          </cell>
        </row>
        <row r="5636">
          <cell r="A5636">
            <v>5635</v>
          </cell>
          <cell r="B5636">
            <v>0</v>
          </cell>
          <cell r="C5636" t="str">
            <v/>
          </cell>
          <cell r="D5636" t="str">
            <v/>
          </cell>
          <cell r="E5636">
            <v>0</v>
          </cell>
          <cell r="F5636" t="str">
            <v/>
          </cell>
          <cell r="G5636" t="str">
            <v/>
          </cell>
          <cell r="H5636" t="str">
            <v/>
          </cell>
          <cell r="I5636" t="str">
            <v/>
          </cell>
          <cell r="J5636">
            <v>0</v>
          </cell>
          <cell r="K5636">
            <v>0</v>
          </cell>
          <cell r="L5636">
            <v>0</v>
          </cell>
          <cell r="M5636">
            <v>0</v>
          </cell>
          <cell r="N5636">
            <v>0</v>
          </cell>
          <cell r="O5636" t="str">
            <v/>
          </cell>
          <cell r="P5636">
            <v>0</v>
          </cell>
          <cell r="Q5636">
            <v>0</v>
          </cell>
          <cell r="R5636">
            <v>0</v>
          </cell>
          <cell r="S5636">
            <v>0</v>
          </cell>
          <cell r="T5636">
            <v>0</v>
          </cell>
          <cell r="U5636" t="str">
            <v/>
          </cell>
          <cell r="V5636" t="str">
            <v/>
          </cell>
        </row>
        <row r="5637">
          <cell r="A5637">
            <v>5636</v>
          </cell>
          <cell r="B5637">
            <v>0</v>
          </cell>
          <cell r="C5637" t="str">
            <v/>
          </cell>
          <cell r="D5637" t="str">
            <v/>
          </cell>
          <cell r="E5637">
            <v>0</v>
          </cell>
          <cell r="F5637" t="str">
            <v/>
          </cell>
          <cell r="G5637" t="str">
            <v/>
          </cell>
          <cell r="H5637" t="str">
            <v/>
          </cell>
          <cell r="I5637" t="str">
            <v/>
          </cell>
          <cell r="J5637">
            <v>0</v>
          </cell>
          <cell r="K5637">
            <v>0</v>
          </cell>
          <cell r="L5637">
            <v>0</v>
          </cell>
          <cell r="M5637">
            <v>0</v>
          </cell>
          <cell r="N5637">
            <v>0</v>
          </cell>
          <cell r="O5637" t="str">
            <v/>
          </cell>
          <cell r="P5637">
            <v>0</v>
          </cell>
          <cell r="Q5637">
            <v>0</v>
          </cell>
          <cell r="R5637">
            <v>0</v>
          </cell>
          <cell r="S5637">
            <v>0</v>
          </cell>
          <cell r="T5637">
            <v>0</v>
          </cell>
          <cell r="U5637" t="str">
            <v/>
          </cell>
          <cell r="V5637" t="str">
            <v/>
          </cell>
        </row>
        <row r="5638">
          <cell r="A5638">
            <v>5637</v>
          </cell>
          <cell r="B5638">
            <v>0</v>
          </cell>
          <cell r="C5638" t="str">
            <v/>
          </cell>
          <cell r="D5638" t="str">
            <v/>
          </cell>
          <cell r="E5638">
            <v>0</v>
          </cell>
          <cell r="F5638" t="str">
            <v/>
          </cell>
          <cell r="G5638" t="str">
            <v/>
          </cell>
          <cell r="H5638" t="str">
            <v/>
          </cell>
          <cell r="I5638" t="str">
            <v/>
          </cell>
          <cell r="J5638">
            <v>0</v>
          </cell>
          <cell r="K5638">
            <v>0</v>
          </cell>
          <cell r="L5638">
            <v>0</v>
          </cell>
          <cell r="M5638">
            <v>0</v>
          </cell>
          <cell r="N5638">
            <v>0</v>
          </cell>
          <cell r="O5638" t="str">
            <v/>
          </cell>
          <cell r="P5638">
            <v>0</v>
          </cell>
          <cell r="Q5638">
            <v>0</v>
          </cell>
          <cell r="R5638">
            <v>0</v>
          </cell>
          <cell r="S5638">
            <v>0</v>
          </cell>
          <cell r="T5638">
            <v>0</v>
          </cell>
          <cell r="U5638" t="str">
            <v/>
          </cell>
          <cell r="V5638" t="str">
            <v/>
          </cell>
        </row>
        <row r="5639">
          <cell r="A5639">
            <v>5638</v>
          </cell>
          <cell r="B5639">
            <v>0</v>
          </cell>
          <cell r="C5639" t="str">
            <v/>
          </cell>
          <cell r="D5639" t="str">
            <v/>
          </cell>
          <cell r="E5639">
            <v>0</v>
          </cell>
          <cell r="F5639" t="str">
            <v/>
          </cell>
          <cell r="G5639" t="str">
            <v/>
          </cell>
          <cell r="H5639" t="str">
            <v/>
          </cell>
          <cell r="I5639" t="str">
            <v/>
          </cell>
          <cell r="J5639">
            <v>0</v>
          </cell>
          <cell r="K5639">
            <v>0</v>
          </cell>
          <cell r="L5639">
            <v>0</v>
          </cell>
          <cell r="M5639">
            <v>0</v>
          </cell>
          <cell r="N5639">
            <v>0</v>
          </cell>
          <cell r="O5639" t="str">
            <v/>
          </cell>
          <cell r="P5639">
            <v>0</v>
          </cell>
          <cell r="Q5639">
            <v>0</v>
          </cell>
          <cell r="R5639">
            <v>0</v>
          </cell>
          <cell r="S5639">
            <v>0</v>
          </cell>
          <cell r="T5639">
            <v>0</v>
          </cell>
          <cell r="U5639" t="str">
            <v/>
          </cell>
          <cell r="V5639" t="str">
            <v/>
          </cell>
        </row>
        <row r="5640">
          <cell r="A5640">
            <v>5639</v>
          </cell>
          <cell r="B5640">
            <v>0</v>
          </cell>
          <cell r="C5640" t="str">
            <v/>
          </cell>
          <cell r="D5640" t="str">
            <v/>
          </cell>
          <cell r="E5640">
            <v>0</v>
          </cell>
          <cell r="F5640" t="str">
            <v/>
          </cell>
          <cell r="G5640" t="str">
            <v/>
          </cell>
          <cell r="H5640" t="str">
            <v/>
          </cell>
          <cell r="I5640" t="str">
            <v/>
          </cell>
          <cell r="J5640">
            <v>0</v>
          </cell>
          <cell r="K5640">
            <v>0</v>
          </cell>
          <cell r="L5640">
            <v>0</v>
          </cell>
          <cell r="M5640">
            <v>0</v>
          </cell>
          <cell r="N5640">
            <v>0</v>
          </cell>
          <cell r="O5640" t="str">
            <v/>
          </cell>
          <cell r="P5640">
            <v>0</v>
          </cell>
          <cell r="Q5640">
            <v>0</v>
          </cell>
          <cell r="R5640">
            <v>0</v>
          </cell>
          <cell r="S5640">
            <v>0</v>
          </cell>
          <cell r="T5640">
            <v>0</v>
          </cell>
          <cell r="U5640" t="str">
            <v/>
          </cell>
          <cell r="V5640" t="str">
            <v/>
          </cell>
        </row>
        <row r="5641">
          <cell r="A5641">
            <v>5640</v>
          </cell>
          <cell r="B5641">
            <v>0</v>
          </cell>
          <cell r="C5641" t="str">
            <v/>
          </cell>
          <cell r="D5641" t="str">
            <v/>
          </cell>
          <cell r="E5641">
            <v>0</v>
          </cell>
          <cell r="F5641" t="str">
            <v/>
          </cell>
          <cell r="G5641" t="str">
            <v/>
          </cell>
          <cell r="H5641" t="str">
            <v/>
          </cell>
          <cell r="I5641" t="str">
            <v/>
          </cell>
          <cell r="J5641">
            <v>0</v>
          </cell>
          <cell r="K5641">
            <v>0</v>
          </cell>
          <cell r="L5641">
            <v>0</v>
          </cell>
          <cell r="M5641">
            <v>0</v>
          </cell>
          <cell r="N5641">
            <v>0</v>
          </cell>
          <cell r="O5641" t="str">
            <v/>
          </cell>
          <cell r="P5641">
            <v>0</v>
          </cell>
          <cell r="Q5641">
            <v>0</v>
          </cell>
          <cell r="R5641">
            <v>0</v>
          </cell>
          <cell r="S5641">
            <v>0</v>
          </cell>
          <cell r="T5641">
            <v>0</v>
          </cell>
          <cell r="U5641" t="str">
            <v/>
          </cell>
          <cell r="V5641" t="str">
            <v/>
          </cell>
        </row>
        <row r="5642">
          <cell r="A5642">
            <v>5641</v>
          </cell>
          <cell r="B5642">
            <v>0</v>
          </cell>
          <cell r="C5642" t="str">
            <v/>
          </cell>
          <cell r="D5642" t="str">
            <v/>
          </cell>
          <cell r="E5642">
            <v>0</v>
          </cell>
          <cell r="F5642" t="str">
            <v/>
          </cell>
          <cell r="G5642" t="str">
            <v/>
          </cell>
          <cell r="H5642" t="str">
            <v/>
          </cell>
          <cell r="I5642" t="str">
            <v/>
          </cell>
          <cell r="J5642">
            <v>0</v>
          </cell>
          <cell r="K5642">
            <v>0</v>
          </cell>
          <cell r="L5642">
            <v>0</v>
          </cell>
          <cell r="M5642">
            <v>0</v>
          </cell>
          <cell r="N5642">
            <v>0</v>
          </cell>
          <cell r="O5642" t="str">
            <v/>
          </cell>
          <cell r="P5642">
            <v>0</v>
          </cell>
          <cell r="Q5642">
            <v>0</v>
          </cell>
          <cell r="R5642">
            <v>0</v>
          </cell>
          <cell r="S5642">
            <v>0</v>
          </cell>
          <cell r="T5642">
            <v>0</v>
          </cell>
          <cell r="U5642" t="str">
            <v/>
          </cell>
          <cell r="V5642" t="str">
            <v/>
          </cell>
        </row>
        <row r="5643">
          <cell r="A5643">
            <v>5642</v>
          </cell>
          <cell r="B5643">
            <v>0</v>
          </cell>
          <cell r="C5643" t="str">
            <v/>
          </cell>
          <cell r="D5643" t="str">
            <v/>
          </cell>
          <cell r="E5643">
            <v>0</v>
          </cell>
          <cell r="F5643" t="str">
            <v/>
          </cell>
          <cell r="G5643" t="str">
            <v/>
          </cell>
          <cell r="H5643" t="str">
            <v/>
          </cell>
          <cell r="I5643" t="str">
            <v/>
          </cell>
          <cell r="J5643">
            <v>0</v>
          </cell>
          <cell r="K5643">
            <v>0</v>
          </cell>
          <cell r="L5643">
            <v>0</v>
          </cell>
          <cell r="M5643">
            <v>0</v>
          </cell>
          <cell r="N5643">
            <v>0</v>
          </cell>
          <cell r="O5643" t="str">
            <v/>
          </cell>
          <cell r="P5643">
            <v>0</v>
          </cell>
          <cell r="Q5643">
            <v>0</v>
          </cell>
          <cell r="R5643">
            <v>0</v>
          </cell>
          <cell r="S5643">
            <v>0</v>
          </cell>
          <cell r="T5643">
            <v>0</v>
          </cell>
          <cell r="U5643" t="str">
            <v/>
          </cell>
          <cell r="V5643" t="str">
            <v/>
          </cell>
        </row>
        <row r="5644">
          <cell r="A5644">
            <v>5643</v>
          </cell>
          <cell r="B5644">
            <v>0</v>
          </cell>
          <cell r="C5644" t="str">
            <v/>
          </cell>
          <cell r="D5644" t="str">
            <v/>
          </cell>
          <cell r="E5644">
            <v>0</v>
          </cell>
          <cell r="F5644" t="str">
            <v/>
          </cell>
          <cell r="G5644" t="str">
            <v/>
          </cell>
          <cell r="H5644" t="str">
            <v/>
          </cell>
          <cell r="I5644" t="str">
            <v/>
          </cell>
          <cell r="J5644">
            <v>0</v>
          </cell>
          <cell r="K5644">
            <v>0</v>
          </cell>
          <cell r="L5644">
            <v>0</v>
          </cell>
          <cell r="M5644">
            <v>0</v>
          </cell>
          <cell r="N5644">
            <v>0</v>
          </cell>
          <cell r="O5644" t="str">
            <v/>
          </cell>
          <cell r="P5644">
            <v>0</v>
          </cell>
          <cell r="Q5644">
            <v>0</v>
          </cell>
          <cell r="R5644">
            <v>0</v>
          </cell>
          <cell r="S5644">
            <v>0</v>
          </cell>
          <cell r="T5644">
            <v>0</v>
          </cell>
          <cell r="U5644" t="str">
            <v/>
          </cell>
          <cell r="V5644" t="str">
            <v/>
          </cell>
        </row>
        <row r="5645">
          <cell r="A5645">
            <v>5644</v>
          </cell>
          <cell r="B5645">
            <v>0</v>
          </cell>
          <cell r="C5645" t="str">
            <v/>
          </cell>
          <cell r="D5645" t="str">
            <v/>
          </cell>
          <cell r="E5645">
            <v>0</v>
          </cell>
          <cell r="F5645" t="str">
            <v/>
          </cell>
          <cell r="G5645" t="str">
            <v/>
          </cell>
          <cell r="H5645" t="str">
            <v/>
          </cell>
          <cell r="I5645" t="str">
            <v/>
          </cell>
          <cell r="J5645">
            <v>0</v>
          </cell>
          <cell r="K5645">
            <v>0</v>
          </cell>
          <cell r="L5645">
            <v>0</v>
          </cell>
          <cell r="M5645">
            <v>0</v>
          </cell>
          <cell r="N5645">
            <v>0</v>
          </cell>
          <cell r="O5645" t="str">
            <v/>
          </cell>
          <cell r="P5645">
            <v>0</v>
          </cell>
          <cell r="Q5645">
            <v>0</v>
          </cell>
          <cell r="R5645">
            <v>0</v>
          </cell>
          <cell r="S5645">
            <v>0</v>
          </cell>
          <cell r="T5645">
            <v>0</v>
          </cell>
          <cell r="U5645" t="str">
            <v/>
          </cell>
          <cell r="V5645" t="str">
            <v/>
          </cell>
        </row>
        <row r="5646">
          <cell r="A5646">
            <v>5645</v>
          </cell>
          <cell r="B5646">
            <v>0</v>
          </cell>
          <cell r="C5646" t="str">
            <v/>
          </cell>
          <cell r="D5646" t="str">
            <v/>
          </cell>
          <cell r="E5646">
            <v>0</v>
          </cell>
          <cell r="F5646" t="str">
            <v/>
          </cell>
          <cell r="G5646" t="str">
            <v/>
          </cell>
          <cell r="H5646" t="str">
            <v/>
          </cell>
          <cell r="I5646" t="str">
            <v/>
          </cell>
          <cell r="J5646">
            <v>0</v>
          </cell>
          <cell r="K5646">
            <v>0</v>
          </cell>
          <cell r="L5646">
            <v>0</v>
          </cell>
          <cell r="M5646">
            <v>0</v>
          </cell>
          <cell r="N5646">
            <v>0</v>
          </cell>
          <cell r="O5646" t="str">
            <v/>
          </cell>
          <cell r="P5646">
            <v>0</v>
          </cell>
          <cell r="Q5646">
            <v>0</v>
          </cell>
          <cell r="R5646">
            <v>0</v>
          </cell>
          <cell r="S5646">
            <v>0</v>
          </cell>
          <cell r="T5646">
            <v>0</v>
          </cell>
          <cell r="U5646" t="str">
            <v/>
          </cell>
          <cell r="V5646" t="str">
            <v/>
          </cell>
        </row>
        <row r="5647">
          <cell r="A5647">
            <v>5646</v>
          </cell>
          <cell r="B5647">
            <v>0</v>
          </cell>
          <cell r="C5647" t="str">
            <v/>
          </cell>
          <cell r="D5647" t="str">
            <v/>
          </cell>
          <cell r="E5647">
            <v>0</v>
          </cell>
          <cell r="F5647" t="str">
            <v/>
          </cell>
          <cell r="G5647" t="str">
            <v/>
          </cell>
          <cell r="H5647" t="str">
            <v/>
          </cell>
          <cell r="I5647" t="str">
            <v/>
          </cell>
          <cell r="J5647">
            <v>0</v>
          </cell>
          <cell r="K5647">
            <v>0</v>
          </cell>
          <cell r="L5647">
            <v>0</v>
          </cell>
          <cell r="M5647">
            <v>0</v>
          </cell>
          <cell r="N5647">
            <v>0</v>
          </cell>
          <cell r="O5647" t="str">
            <v/>
          </cell>
          <cell r="P5647">
            <v>0</v>
          </cell>
          <cell r="Q5647">
            <v>0</v>
          </cell>
          <cell r="R5647">
            <v>0</v>
          </cell>
          <cell r="S5647">
            <v>0</v>
          </cell>
          <cell r="T5647">
            <v>0</v>
          </cell>
          <cell r="U5647" t="str">
            <v/>
          </cell>
          <cell r="V5647" t="str">
            <v/>
          </cell>
        </row>
        <row r="5648">
          <cell r="A5648">
            <v>5647</v>
          </cell>
          <cell r="B5648">
            <v>0</v>
          </cell>
          <cell r="C5648" t="str">
            <v/>
          </cell>
          <cell r="D5648" t="str">
            <v/>
          </cell>
          <cell r="E5648">
            <v>0</v>
          </cell>
          <cell r="F5648" t="str">
            <v/>
          </cell>
          <cell r="G5648" t="str">
            <v/>
          </cell>
          <cell r="H5648" t="str">
            <v/>
          </cell>
          <cell r="I5648" t="str">
            <v/>
          </cell>
          <cell r="J5648">
            <v>0</v>
          </cell>
          <cell r="K5648">
            <v>0</v>
          </cell>
          <cell r="L5648">
            <v>0</v>
          </cell>
          <cell r="M5648">
            <v>0</v>
          </cell>
          <cell r="N5648">
            <v>0</v>
          </cell>
          <cell r="O5648" t="str">
            <v/>
          </cell>
          <cell r="P5648">
            <v>0</v>
          </cell>
          <cell r="Q5648">
            <v>0</v>
          </cell>
          <cell r="R5648">
            <v>0</v>
          </cell>
          <cell r="S5648">
            <v>0</v>
          </cell>
          <cell r="T5648">
            <v>0</v>
          </cell>
          <cell r="U5648" t="str">
            <v/>
          </cell>
          <cell r="V5648" t="str">
            <v/>
          </cell>
        </row>
        <row r="5649">
          <cell r="A5649">
            <v>5648</v>
          </cell>
          <cell r="B5649">
            <v>0</v>
          </cell>
          <cell r="C5649" t="str">
            <v/>
          </cell>
          <cell r="D5649" t="str">
            <v/>
          </cell>
          <cell r="E5649">
            <v>0</v>
          </cell>
          <cell r="F5649" t="str">
            <v/>
          </cell>
          <cell r="G5649" t="str">
            <v/>
          </cell>
          <cell r="H5649" t="str">
            <v/>
          </cell>
          <cell r="I5649" t="str">
            <v/>
          </cell>
          <cell r="J5649">
            <v>0</v>
          </cell>
          <cell r="K5649">
            <v>0</v>
          </cell>
          <cell r="L5649">
            <v>0</v>
          </cell>
          <cell r="M5649">
            <v>0</v>
          </cell>
          <cell r="N5649">
            <v>0</v>
          </cell>
          <cell r="O5649" t="str">
            <v/>
          </cell>
          <cell r="P5649">
            <v>0</v>
          </cell>
          <cell r="Q5649">
            <v>0</v>
          </cell>
          <cell r="R5649">
            <v>0</v>
          </cell>
          <cell r="S5649">
            <v>0</v>
          </cell>
          <cell r="T5649">
            <v>0</v>
          </cell>
          <cell r="U5649" t="str">
            <v/>
          </cell>
          <cell r="V5649" t="str">
            <v/>
          </cell>
        </row>
        <row r="5650">
          <cell r="A5650">
            <v>5649</v>
          </cell>
          <cell r="B5650">
            <v>0</v>
          </cell>
          <cell r="C5650" t="str">
            <v/>
          </cell>
          <cell r="D5650" t="str">
            <v/>
          </cell>
          <cell r="E5650">
            <v>0</v>
          </cell>
          <cell r="F5650" t="str">
            <v/>
          </cell>
          <cell r="G5650" t="str">
            <v/>
          </cell>
          <cell r="H5650" t="str">
            <v/>
          </cell>
          <cell r="I5650" t="str">
            <v/>
          </cell>
          <cell r="J5650">
            <v>0</v>
          </cell>
          <cell r="K5650">
            <v>0</v>
          </cell>
          <cell r="L5650">
            <v>0</v>
          </cell>
          <cell r="M5650">
            <v>0</v>
          </cell>
          <cell r="N5650">
            <v>0</v>
          </cell>
          <cell r="O5650" t="str">
            <v/>
          </cell>
          <cell r="P5650">
            <v>0</v>
          </cell>
          <cell r="Q5650">
            <v>0</v>
          </cell>
          <cell r="R5650">
            <v>0</v>
          </cell>
          <cell r="S5650">
            <v>0</v>
          </cell>
          <cell r="T5650">
            <v>0</v>
          </cell>
          <cell r="U5650" t="str">
            <v/>
          </cell>
          <cell r="V5650" t="str">
            <v/>
          </cell>
        </row>
        <row r="5651">
          <cell r="A5651">
            <v>5650</v>
          </cell>
          <cell r="B5651">
            <v>0</v>
          </cell>
          <cell r="C5651" t="str">
            <v/>
          </cell>
          <cell r="D5651" t="str">
            <v/>
          </cell>
          <cell r="E5651">
            <v>0</v>
          </cell>
          <cell r="F5651" t="str">
            <v/>
          </cell>
          <cell r="G5651" t="str">
            <v/>
          </cell>
          <cell r="H5651" t="str">
            <v/>
          </cell>
          <cell r="I5651" t="str">
            <v/>
          </cell>
          <cell r="J5651">
            <v>0</v>
          </cell>
          <cell r="K5651">
            <v>0</v>
          </cell>
          <cell r="L5651">
            <v>0</v>
          </cell>
          <cell r="M5651">
            <v>0</v>
          </cell>
          <cell r="N5651">
            <v>0</v>
          </cell>
          <cell r="O5651" t="str">
            <v/>
          </cell>
          <cell r="P5651">
            <v>0</v>
          </cell>
          <cell r="Q5651">
            <v>0</v>
          </cell>
          <cell r="R5651">
            <v>0</v>
          </cell>
          <cell r="S5651">
            <v>0</v>
          </cell>
          <cell r="T5651">
            <v>0</v>
          </cell>
          <cell r="U5651" t="str">
            <v/>
          </cell>
          <cell r="V5651" t="str">
            <v/>
          </cell>
        </row>
        <row r="5652">
          <cell r="A5652">
            <v>5651</v>
          </cell>
          <cell r="B5652">
            <v>0</v>
          </cell>
          <cell r="C5652" t="str">
            <v/>
          </cell>
          <cell r="D5652" t="str">
            <v/>
          </cell>
          <cell r="E5652">
            <v>0</v>
          </cell>
          <cell r="F5652" t="str">
            <v/>
          </cell>
          <cell r="G5652" t="str">
            <v/>
          </cell>
          <cell r="H5652" t="str">
            <v/>
          </cell>
          <cell r="I5652" t="str">
            <v/>
          </cell>
          <cell r="J5652">
            <v>0</v>
          </cell>
          <cell r="K5652">
            <v>0</v>
          </cell>
          <cell r="L5652">
            <v>0</v>
          </cell>
          <cell r="M5652">
            <v>0</v>
          </cell>
          <cell r="N5652">
            <v>0</v>
          </cell>
          <cell r="O5652" t="str">
            <v/>
          </cell>
          <cell r="P5652">
            <v>0</v>
          </cell>
          <cell r="Q5652">
            <v>0</v>
          </cell>
          <cell r="R5652">
            <v>0</v>
          </cell>
          <cell r="S5652">
            <v>0</v>
          </cell>
          <cell r="T5652">
            <v>0</v>
          </cell>
          <cell r="U5652" t="str">
            <v/>
          </cell>
          <cell r="V5652" t="str">
            <v/>
          </cell>
        </row>
        <row r="5653">
          <cell r="A5653">
            <v>5652</v>
          </cell>
          <cell r="B5653">
            <v>0</v>
          </cell>
          <cell r="C5653" t="str">
            <v/>
          </cell>
          <cell r="D5653" t="str">
            <v/>
          </cell>
          <cell r="E5653">
            <v>0</v>
          </cell>
          <cell r="F5653" t="str">
            <v/>
          </cell>
          <cell r="G5653" t="str">
            <v/>
          </cell>
          <cell r="H5653" t="str">
            <v/>
          </cell>
          <cell r="I5653" t="str">
            <v/>
          </cell>
          <cell r="J5653">
            <v>0</v>
          </cell>
          <cell r="K5653">
            <v>0</v>
          </cell>
          <cell r="L5653">
            <v>0</v>
          </cell>
          <cell r="M5653">
            <v>0</v>
          </cell>
          <cell r="N5653">
            <v>0</v>
          </cell>
          <cell r="O5653" t="str">
            <v/>
          </cell>
          <cell r="P5653">
            <v>0</v>
          </cell>
          <cell r="Q5653">
            <v>0</v>
          </cell>
          <cell r="R5653">
            <v>0</v>
          </cell>
          <cell r="S5653">
            <v>0</v>
          </cell>
          <cell r="T5653">
            <v>0</v>
          </cell>
          <cell r="U5653" t="str">
            <v/>
          </cell>
          <cell r="V5653" t="str">
            <v/>
          </cell>
        </row>
        <row r="5654">
          <cell r="A5654">
            <v>5653</v>
          </cell>
          <cell r="B5654">
            <v>0</v>
          </cell>
          <cell r="C5654" t="str">
            <v/>
          </cell>
          <cell r="D5654" t="str">
            <v/>
          </cell>
          <cell r="E5654">
            <v>0</v>
          </cell>
          <cell r="F5654" t="str">
            <v/>
          </cell>
          <cell r="G5654" t="str">
            <v/>
          </cell>
          <cell r="H5654" t="str">
            <v/>
          </cell>
          <cell r="I5654" t="str">
            <v/>
          </cell>
          <cell r="J5654">
            <v>0</v>
          </cell>
          <cell r="K5654">
            <v>0</v>
          </cell>
          <cell r="L5654">
            <v>0</v>
          </cell>
          <cell r="M5654">
            <v>0</v>
          </cell>
          <cell r="N5654">
            <v>0</v>
          </cell>
          <cell r="O5654" t="str">
            <v/>
          </cell>
          <cell r="P5654">
            <v>0</v>
          </cell>
          <cell r="Q5654">
            <v>0</v>
          </cell>
          <cell r="R5654">
            <v>0</v>
          </cell>
          <cell r="S5654">
            <v>0</v>
          </cell>
          <cell r="T5654">
            <v>0</v>
          </cell>
          <cell r="U5654" t="str">
            <v/>
          </cell>
          <cell r="V5654" t="str">
            <v/>
          </cell>
        </row>
        <row r="5655">
          <cell r="A5655">
            <v>5654</v>
          </cell>
          <cell r="B5655">
            <v>0</v>
          </cell>
          <cell r="C5655" t="str">
            <v/>
          </cell>
          <cell r="D5655" t="str">
            <v/>
          </cell>
          <cell r="E5655">
            <v>0</v>
          </cell>
          <cell r="F5655" t="str">
            <v/>
          </cell>
          <cell r="G5655" t="str">
            <v/>
          </cell>
          <cell r="H5655" t="str">
            <v/>
          </cell>
          <cell r="I5655" t="str">
            <v/>
          </cell>
          <cell r="J5655">
            <v>0</v>
          </cell>
          <cell r="K5655">
            <v>0</v>
          </cell>
          <cell r="L5655">
            <v>0</v>
          </cell>
          <cell r="M5655">
            <v>0</v>
          </cell>
          <cell r="N5655">
            <v>0</v>
          </cell>
          <cell r="O5655" t="str">
            <v/>
          </cell>
          <cell r="P5655">
            <v>0</v>
          </cell>
          <cell r="Q5655">
            <v>0</v>
          </cell>
          <cell r="R5655">
            <v>0</v>
          </cell>
          <cell r="S5655">
            <v>0</v>
          </cell>
          <cell r="T5655">
            <v>0</v>
          </cell>
          <cell r="U5655" t="str">
            <v/>
          </cell>
          <cell r="V5655" t="str">
            <v/>
          </cell>
        </row>
        <row r="5656">
          <cell r="A5656">
            <v>5655</v>
          </cell>
          <cell r="B5656">
            <v>0</v>
          </cell>
          <cell r="C5656" t="str">
            <v/>
          </cell>
          <cell r="D5656" t="str">
            <v/>
          </cell>
          <cell r="E5656">
            <v>0</v>
          </cell>
          <cell r="F5656" t="str">
            <v/>
          </cell>
          <cell r="G5656" t="str">
            <v/>
          </cell>
          <cell r="H5656" t="str">
            <v/>
          </cell>
          <cell r="I5656" t="str">
            <v/>
          </cell>
          <cell r="J5656">
            <v>0</v>
          </cell>
          <cell r="K5656">
            <v>0</v>
          </cell>
          <cell r="L5656">
            <v>0</v>
          </cell>
          <cell r="M5656">
            <v>0</v>
          </cell>
          <cell r="N5656">
            <v>0</v>
          </cell>
          <cell r="O5656" t="str">
            <v/>
          </cell>
          <cell r="P5656">
            <v>0</v>
          </cell>
          <cell r="Q5656">
            <v>0</v>
          </cell>
          <cell r="R5656">
            <v>0</v>
          </cell>
          <cell r="S5656">
            <v>0</v>
          </cell>
          <cell r="T5656">
            <v>0</v>
          </cell>
          <cell r="U5656" t="str">
            <v/>
          </cell>
          <cell r="V5656" t="str">
            <v/>
          </cell>
        </row>
        <row r="5657">
          <cell r="A5657">
            <v>5656</v>
          </cell>
          <cell r="B5657">
            <v>0</v>
          </cell>
          <cell r="C5657" t="str">
            <v/>
          </cell>
          <cell r="D5657" t="str">
            <v/>
          </cell>
          <cell r="E5657">
            <v>0</v>
          </cell>
          <cell r="F5657" t="str">
            <v/>
          </cell>
          <cell r="G5657" t="str">
            <v/>
          </cell>
          <cell r="H5657" t="str">
            <v/>
          </cell>
          <cell r="I5657" t="str">
            <v/>
          </cell>
          <cell r="J5657">
            <v>0</v>
          </cell>
          <cell r="K5657">
            <v>0</v>
          </cell>
          <cell r="L5657">
            <v>0</v>
          </cell>
          <cell r="M5657">
            <v>0</v>
          </cell>
          <cell r="N5657">
            <v>0</v>
          </cell>
          <cell r="O5657" t="str">
            <v/>
          </cell>
          <cell r="P5657">
            <v>0</v>
          </cell>
          <cell r="Q5657">
            <v>0</v>
          </cell>
          <cell r="R5657">
            <v>0</v>
          </cell>
          <cell r="S5657">
            <v>0</v>
          </cell>
          <cell r="T5657">
            <v>0</v>
          </cell>
          <cell r="U5657" t="str">
            <v/>
          </cell>
          <cell r="V5657" t="str">
            <v/>
          </cell>
        </row>
        <row r="5658">
          <cell r="A5658">
            <v>5657</v>
          </cell>
          <cell r="B5658">
            <v>0</v>
          </cell>
          <cell r="C5658" t="str">
            <v/>
          </cell>
          <cell r="D5658" t="str">
            <v/>
          </cell>
          <cell r="E5658">
            <v>0</v>
          </cell>
          <cell r="F5658" t="str">
            <v/>
          </cell>
          <cell r="G5658" t="str">
            <v/>
          </cell>
          <cell r="H5658" t="str">
            <v/>
          </cell>
          <cell r="I5658" t="str">
            <v/>
          </cell>
          <cell r="J5658">
            <v>0</v>
          </cell>
          <cell r="K5658">
            <v>0</v>
          </cell>
          <cell r="L5658">
            <v>0</v>
          </cell>
          <cell r="M5658">
            <v>0</v>
          </cell>
          <cell r="N5658">
            <v>0</v>
          </cell>
          <cell r="O5658" t="str">
            <v/>
          </cell>
          <cell r="P5658">
            <v>0</v>
          </cell>
          <cell r="Q5658">
            <v>0</v>
          </cell>
          <cell r="R5658">
            <v>0</v>
          </cell>
          <cell r="S5658">
            <v>0</v>
          </cell>
          <cell r="T5658">
            <v>0</v>
          </cell>
          <cell r="U5658" t="str">
            <v/>
          </cell>
          <cell r="V5658" t="str">
            <v/>
          </cell>
        </row>
        <row r="5659">
          <cell r="A5659">
            <v>5658</v>
          </cell>
          <cell r="B5659">
            <v>0</v>
          </cell>
          <cell r="C5659" t="str">
            <v/>
          </cell>
          <cell r="D5659" t="str">
            <v/>
          </cell>
          <cell r="E5659">
            <v>0</v>
          </cell>
          <cell r="F5659" t="str">
            <v/>
          </cell>
          <cell r="G5659" t="str">
            <v/>
          </cell>
          <cell r="H5659" t="str">
            <v/>
          </cell>
          <cell r="I5659" t="str">
            <v/>
          </cell>
          <cell r="J5659">
            <v>0</v>
          </cell>
          <cell r="K5659">
            <v>0</v>
          </cell>
          <cell r="L5659">
            <v>0</v>
          </cell>
          <cell r="M5659">
            <v>0</v>
          </cell>
          <cell r="N5659">
            <v>0</v>
          </cell>
          <cell r="O5659" t="str">
            <v/>
          </cell>
          <cell r="P5659">
            <v>0</v>
          </cell>
          <cell r="Q5659">
            <v>0</v>
          </cell>
          <cell r="R5659">
            <v>0</v>
          </cell>
          <cell r="S5659">
            <v>0</v>
          </cell>
          <cell r="T5659">
            <v>0</v>
          </cell>
          <cell r="U5659" t="str">
            <v/>
          </cell>
          <cell r="V5659" t="str">
            <v/>
          </cell>
        </row>
        <row r="5660">
          <cell r="A5660">
            <v>5659</v>
          </cell>
          <cell r="B5660">
            <v>0</v>
          </cell>
          <cell r="C5660" t="str">
            <v/>
          </cell>
          <cell r="D5660" t="str">
            <v/>
          </cell>
          <cell r="E5660">
            <v>0</v>
          </cell>
          <cell r="F5660" t="str">
            <v/>
          </cell>
          <cell r="G5660" t="str">
            <v/>
          </cell>
          <cell r="H5660" t="str">
            <v/>
          </cell>
          <cell r="I5660" t="str">
            <v/>
          </cell>
          <cell r="J5660">
            <v>0</v>
          </cell>
          <cell r="K5660">
            <v>0</v>
          </cell>
          <cell r="L5660">
            <v>0</v>
          </cell>
          <cell r="M5660">
            <v>0</v>
          </cell>
          <cell r="N5660">
            <v>0</v>
          </cell>
          <cell r="O5660" t="str">
            <v/>
          </cell>
          <cell r="P5660">
            <v>0</v>
          </cell>
          <cell r="Q5660">
            <v>0</v>
          </cell>
          <cell r="R5660">
            <v>0</v>
          </cell>
          <cell r="S5660">
            <v>0</v>
          </cell>
          <cell r="T5660">
            <v>0</v>
          </cell>
          <cell r="U5660" t="str">
            <v/>
          </cell>
          <cell r="V5660" t="str">
            <v/>
          </cell>
        </row>
        <row r="5661">
          <cell r="A5661">
            <v>5660</v>
          </cell>
          <cell r="B5661">
            <v>0</v>
          </cell>
          <cell r="C5661" t="str">
            <v/>
          </cell>
          <cell r="D5661" t="str">
            <v/>
          </cell>
          <cell r="E5661">
            <v>0</v>
          </cell>
          <cell r="F5661" t="str">
            <v/>
          </cell>
          <cell r="G5661" t="str">
            <v/>
          </cell>
          <cell r="H5661" t="str">
            <v/>
          </cell>
          <cell r="I5661" t="str">
            <v/>
          </cell>
          <cell r="J5661">
            <v>0</v>
          </cell>
          <cell r="K5661">
            <v>0</v>
          </cell>
          <cell r="L5661">
            <v>0</v>
          </cell>
          <cell r="M5661">
            <v>0</v>
          </cell>
          <cell r="N5661">
            <v>0</v>
          </cell>
          <cell r="O5661" t="str">
            <v/>
          </cell>
          <cell r="P5661">
            <v>0</v>
          </cell>
          <cell r="Q5661">
            <v>0</v>
          </cell>
          <cell r="R5661">
            <v>0</v>
          </cell>
          <cell r="S5661">
            <v>0</v>
          </cell>
          <cell r="T5661">
            <v>0</v>
          </cell>
          <cell r="U5661" t="str">
            <v/>
          </cell>
          <cell r="V5661" t="str">
            <v/>
          </cell>
        </row>
        <row r="5662">
          <cell r="A5662">
            <v>5661</v>
          </cell>
          <cell r="B5662">
            <v>0</v>
          </cell>
          <cell r="C5662" t="str">
            <v/>
          </cell>
          <cell r="D5662" t="str">
            <v/>
          </cell>
          <cell r="E5662">
            <v>0</v>
          </cell>
          <cell r="F5662" t="str">
            <v/>
          </cell>
          <cell r="G5662" t="str">
            <v/>
          </cell>
          <cell r="H5662" t="str">
            <v/>
          </cell>
          <cell r="I5662" t="str">
            <v/>
          </cell>
          <cell r="J5662">
            <v>0</v>
          </cell>
          <cell r="K5662">
            <v>0</v>
          </cell>
          <cell r="L5662">
            <v>0</v>
          </cell>
          <cell r="M5662">
            <v>0</v>
          </cell>
          <cell r="N5662">
            <v>0</v>
          </cell>
          <cell r="O5662" t="str">
            <v/>
          </cell>
          <cell r="P5662">
            <v>0</v>
          </cell>
          <cell r="Q5662">
            <v>0</v>
          </cell>
          <cell r="R5662">
            <v>0</v>
          </cell>
          <cell r="S5662">
            <v>0</v>
          </cell>
          <cell r="T5662">
            <v>0</v>
          </cell>
          <cell r="U5662" t="str">
            <v/>
          </cell>
          <cell r="V5662" t="str">
            <v/>
          </cell>
        </row>
        <row r="5663">
          <cell r="A5663">
            <v>5662</v>
          </cell>
          <cell r="B5663">
            <v>0</v>
          </cell>
          <cell r="C5663" t="str">
            <v/>
          </cell>
          <cell r="D5663" t="str">
            <v/>
          </cell>
          <cell r="E5663">
            <v>0</v>
          </cell>
          <cell r="F5663" t="str">
            <v/>
          </cell>
          <cell r="G5663" t="str">
            <v/>
          </cell>
          <cell r="H5663" t="str">
            <v/>
          </cell>
          <cell r="I5663" t="str">
            <v/>
          </cell>
          <cell r="J5663">
            <v>0</v>
          </cell>
          <cell r="K5663">
            <v>0</v>
          </cell>
          <cell r="L5663">
            <v>0</v>
          </cell>
          <cell r="M5663">
            <v>0</v>
          </cell>
          <cell r="N5663">
            <v>0</v>
          </cell>
          <cell r="O5663" t="str">
            <v/>
          </cell>
          <cell r="P5663">
            <v>0</v>
          </cell>
          <cell r="Q5663">
            <v>0</v>
          </cell>
          <cell r="R5663">
            <v>0</v>
          </cell>
          <cell r="S5663">
            <v>0</v>
          </cell>
          <cell r="T5663">
            <v>0</v>
          </cell>
          <cell r="U5663" t="str">
            <v/>
          </cell>
          <cell r="V5663" t="str">
            <v/>
          </cell>
        </row>
        <row r="5664">
          <cell r="A5664">
            <v>5663</v>
          </cell>
          <cell r="B5664">
            <v>0</v>
          </cell>
          <cell r="C5664" t="str">
            <v/>
          </cell>
          <cell r="D5664" t="str">
            <v/>
          </cell>
          <cell r="E5664">
            <v>0</v>
          </cell>
          <cell r="F5664" t="str">
            <v/>
          </cell>
          <cell r="G5664" t="str">
            <v/>
          </cell>
          <cell r="H5664" t="str">
            <v/>
          </cell>
          <cell r="I5664" t="str">
            <v/>
          </cell>
          <cell r="J5664">
            <v>0</v>
          </cell>
          <cell r="K5664">
            <v>0</v>
          </cell>
          <cell r="L5664">
            <v>0</v>
          </cell>
          <cell r="M5664">
            <v>0</v>
          </cell>
          <cell r="N5664">
            <v>0</v>
          </cell>
          <cell r="O5664" t="str">
            <v/>
          </cell>
          <cell r="P5664">
            <v>0</v>
          </cell>
          <cell r="Q5664">
            <v>0</v>
          </cell>
          <cell r="R5664">
            <v>0</v>
          </cell>
          <cell r="S5664">
            <v>0</v>
          </cell>
          <cell r="T5664">
            <v>0</v>
          </cell>
          <cell r="U5664" t="str">
            <v/>
          </cell>
          <cell r="V5664" t="str">
            <v/>
          </cell>
        </row>
        <row r="5665">
          <cell r="A5665">
            <v>5664</v>
          </cell>
          <cell r="B5665">
            <v>0</v>
          </cell>
          <cell r="C5665" t="str">
            <v/>
          </cell>
          <cell r="D5665" t="str">
            <v/>
          </cell>
          <cell r="E5665">
            <v>0</v>
          </cell>
          <cell r="F5665" t="str">
            <v/>
          </cell>
          <cell r="G5665" t="str">
            <v/>
          </cell>
          <cell r="H5665" t="str">
            <v/>
          </cell>
          <cell r="I5665" t="str">
            <v/>
          </cell>
          <cell r="J5665">
            <v>0</v>
          </cell>
          <cell r="K5665">
            <v>0</v>
          </cell>
          <cell r="L5665">
            <v>0</v>
          </cell>
          <cell r="M5665">
            <v>0</v>
          </cell>
          <cell r="N5665">
            <v>0</v>
          </cell>
          <cell r="O5665" t="str">
            <v/>
          </cell>
          <cell r="P5665">
            <v>0</v>
          </cell>
          <cell r="Q5665">
            <v>0</v>
          </cell>
          <cell r="R5665">
            <v>0</v>
          </cell>
          <cell r="S5665">
            <v>0</v>
          </cell>
          <cell r="T5665">
            <v>0</v>
          </cell>
          <cell r="U5665" t="str">
            <v/>
          </cell>
          <cell r="V5665" t="str">
            <v/>
          </cell>
        </row>
        <row r="5666">
          <cell r="A5666">
            <v>5665</v>
          </cell>
          <cell r="B5666">
            <v>0</v>
          </cell>
          <cell r="C5666" t="str">
            <v/>
          </cell>
          <cell r="D5666" t="str">
            <v/>
          </cell>
          <cell r="E5666">
            <v>0</v>
          </cell>
          <cell r="F5666" t="str">
            <v/>
          </cell>
          <cell r="G5666" t="str">
            <v/>
          </cell>
          <cell r="H5666" t="str">
            <v/>
          </cell>
          <cell r="I5666" t="str">
            <v/>
          </cell>
          <cell r="J5666">
            <v>0</v>
          </cell>
          <cell r="K5666">
            <v>0</v>
          </cell>
          <cell r="L5666">
            <v>0</v>
          </cell>
          <cell r="M5666">
            <v>0</v>
          </cell>
          <cell r="N5666">
            <v>0</v>
          </cell>
          <cell r="O5666" t="str">
            <v/>
          </cell>
          <cell r="P5666">
            <v>0</v>
          </cell>
          <cell r="Q5666">
            <v>0</v>
          </cell>
          <cell r="R5666">
            <v>0</v>
          </cell>
          <cell r="S5666">
            <v>0</v>
          </cell>
          <cell r="T5666">
            <v>0</v>
          </cell>
          <cell r="U5666" t="str">
            <v/>
          </cell>
          <cell r="V5666" t="str">
            <v/>
          </cell>
        </row>
        <row r="5667">
          <cell r="A5667">
            <v>5666</v>
          </cell>
          <cell r="B5667">
            <v>0</v>
          </cell>
          <cell r="C5667" t="str">
            <v/>
          </cell>
          <cell r="D5667" t="str">
            <v/>
          </cell>
          <cell r="E5667">
            <v>0</v>
          </cell>
          <cell r="F5667" t="str">
            <v/>
          </cell>
          <cell r="G5667" t="str">
            <v/>
          </cell>
          <cell r="H5667" t="str">
            <v/>
          </cell>
          <cell r="I5667" t="str">
            <v/>
          </cell>
          <cell r="J5667">
            <v>0</v>
          </cell>
          <cell r="K5667">
            <v>0</v>
          </cell>
          <cell r="L5667">
            <v>0</v>
          </cell>
          <cell r="M5667">
            <v>0</v>
          </cell>
          <cell r="N5667">
            <v>0</v>
          </cell>
          <cell r="O5667" t="str">
            <v/>
          </cell>
          <cell r="P5667">
            <v>0</v>
          </cell>
          <cell r="Q5667">
            <v>0</v>
          </cell>
          <cell r="R5667">
            <v>0</v>
          </cell>
          <cell r="S5667">
            <v>0</v>
          </cell>
          <cell r="T5667">
            <v>0</v>
          </cell>
          <cell r="U5667" t="str">
            <v/>
          </cell>
          <cell r="V5667" t="str">
            <v/>
          </cell>
        </row>
        <row r="5668">
          <cell r="A5668">
            <v>5667</v>
          </cell>
          <cell r="B5668">
            <v>0</v>
          </cell>
          <cell r="C5668" t="str">
            <v/>
          </cell>
          <cell r="D5668" t="str">
            <v/>
          </cell>
          <cell r="E5668">
            <v>0</v>
          </cell>
          <cell r="F5668" t="str">
            <v/>
          </cell>
          <cell r="G5668" t="str">
            <v/>
          </cell>
          <cell r="H5668" t="str">
            <v/>
          </cell>
          <cell r="I5668" t="str">
            <v/>
          </cell>
          <cell r="J5668">
            <v>0</v>
          </cell>
          <cell r="K5668">
            <v>0</v>
          </cell>
          <cell r="L5668">
            <v>0</v>
          </cell>
          <cell r="M5668">
            <v>0</v>
          </cell>
          <cell r="N5668">
            <v>0</v>
          </cell>
          <cell r="O5668" t="str">
            <v/>
          </cell>
          <cell r="P5668">
            <v>0</v>
          </cell>
          <cell r="Q5668">
            <v>0</v>
          </cell>
          <cell r="R5668">
            <v>0</v>
          </cell>
          <cell r="S5668">
            <v>0</v>
          </cell>
          <cell r="T5668">
            <v>0</v>
          </cell>
          <cell r="U5668" t="str">
            <v/>
          </cell>
          <cell r="V5668" t="str">
            <v/>
          </cell>
        </row>
        <row r="5669">
          <cell r="A5669">
            <v>5668</v>
          </cell>
          <cell r="B5669">
            <v>0</v>
          </cell>
          <cell r="C5669" t="str">
            <v/>
          </cell>
          <cell r="D5669" t="str">
            <v/>
          </cell>
          <cell r="E5669">
            <v>0</v>
          </cell>
          <cell r="F5669" t="str">
            <v/>
          </cell>
          <cell r="G5669" t="str">
            <v/>
          </cell>
          <cell r="H5669" t="str">
            <v/>
          </cell>
          <cell r="I5669" t="str">
            <v/>
          </cell>
          <cell r="J5669">
            <v>0</v>
          </cell>
          <cell r="K5669">
            <v>0</v>
          </cell>
          <cell r="L5669">
            <v>0</v>
          </cell>
          <cell r="M5669">
            <v>0</v>
          </cell>
          <cell r="N5669">
            <v>0</v>
          </cell>
          <cell r="O5669" t="str">
            <v/>
          </cell>
          <cell r="P5669">
            <v>0</v>
          </cell>
          <cell r="Q5669">
            <v>0</v>
          </cell>
          <cell r="R5669">
            <v>0</v>
          </cell>
          <cell r="S5669">
            <v>0</v>
          </cell>
          <cell r="T5669">
            <v>0</v>
          </cell>
          <cell r="U5669" t="str">
            <v/>
          </cell>
          <cell r="V5669" t="str">
            <v/>
          </cell>
        </row>
        <row r="5670">
          <cell r="A5670">
            <v>5669</v>
          </cell>
          <cell r="B5670">
            <v>0</v>
          </cell>
          <cell r="C5670" t="str">
            <v/>
          </cell>
          <cell r="D5670" t="str">
            <v/>
          </cell>
          <cell r="E5670">
            <v>0</v>
          </cell>
          <cell r="F5670" t="str">
            <v/>
          </cell>
          <cell r="G5670" t="str">
            <v/>
          </cell>
          <cell r="H5670" t="str">
            <v/>
          </cell>
          <cell r="I5670" t="str">
            <v/>
          </cell>
          <cell r="J5670">
            <v>0</v>
          </cell>
          <cell r="K5670">
            <v>0</v>
          </cell>
          <cell r="L5670">
            <v>0</v>
          </cell>
          <cell r="M5670">
            <v>0</v>
          </cell>
          <cell r="N5670">
            <v>0</v>
          </cell>
          <cell r="O5670" t="str">
            <v/>
          </cell>
          <cell r="P5670">
            <v>0</v>
          </cell>
          <cell r="Q5670">
            <v>0</v>
          </cell>
          <cell r="R5670">
            <v>0</v>
          </cell>
          <cell r="S5670">
            <v>0</v>
          </cell>
          <cell r="T5670">
            <v>0</v>
          </cell>
          <cell r="U5670" t="str">
            <v/>
          </cell>
          <cell r="V5670" t="str">
            <v/>
          </cell>
        </row>
        <row r="5671">
          <cell r="A5671">
            <v>5670</v>
          </cell>
          <cell r="B5671">
            <v>0</v>
          </cell>
          <cell r="C5671" t="str">
            <v/>
          </cell>
          <cell r="D5671" t="str">
            <v/>
          </cell>
          <cell r="E5671">
            <v>0</v>
          </cell>
          <cell r="F5671" t="str">
            <v/>
          </cell>
          <cell r="G5671" t="str">
            <v/>
          </cell>
          <cell r="H5671" t="str">
            <v/>
          </cell>
          <cell r="I5671" t="str">
            <v/>
          </cell>
          <cell r="J5671">
            <v>0</v>
          </cell>
          <cell r="K5671">
            <v>0</v>
          </cell>
          <cell r="L5671">
            <v>0</v>
          </cell>
          <cell r="M5671">
            <v>0</v>
          </cell>
          <cell r="N5671">
            <v>0</v>
          </cell>
          <cell r="O5671" t="str">
            <v/>
          </cell>
          <cell r="P5671">
            <v>0</v>
          </cell>
          <cell r="Q5671">
            <v>0</v>
          </cell>
          <cell r="R5671">
            <v>0</v>
          </cell>
          <cell r="S5671">
            <v>0</v>
          </cell>
          <cell r="T5671">
            <v>0</v>
          </cell>
          <cell r="U5671" t="str">
            <v/>
          </cell>
          <cell r="V5671" t="str">
            <v/>
          </cell>
        </row>
        <row r="5672">
          <cell r="A5672">
            <v>5671</v>
          </cell>
          <cell r="B5672">
            <v>0</v>
          </cell>
          <cell r="C5672" t="str">
            <v/>
          </cell>
          <cell r="D5672" t="str">
            <v/>
          </cell>
          <cell r="E5672">
            <v>0</v>
          </cell>
          <cell r="F5672" t="str">
            <v/>
          </cell>
          <cell r="G5672" t="str">
            <v/>
          </cell>
          <cell r="H5672" t="str">
            <v/>
          </cell>
          <cell r="I5672" t="str">
            <v/>
          </cell>
          <cell r="J5672">
            <v>0</v>
          </cell>
          <cell r="K5672">
            <v>0</v>
          </cell>
          <cell r="L5672">
            <v>0</v>
          </cell>
          <cell r="M5672">
            <v>0</v>
          </cell>
          <cell r="N5672">
            <v>0</v>
          </cell>
          <cell r="O5672" t="str">
            <v/>
          </cell>
          <cell r="P5672">
            <v>0</v>
          </cell>
          <cell r="Q5672">
            <v>0</v>
          </cell>
          <cell r="R5672">
            <v>0</v>
          </cell>
          <cell r="S5672">
            <v>0</v>
          </cell>
          <cell r="T5672">
            <v>0</v>
          </cell>
          <cell r="U5672" t="str">
            <v/>
          </cell>
          <cell r="V5672" t="str">
            <v/>
          </cell>
        </row>
        <row r="5673">
          <cell r="A5673">
            <v>5672</v>
          </cell>
          <cell r="B5673">
            <v>0</v>
          </cell>
          <cell r="C5673" t="str">
            <v/>
          </cell>
          <cell r="D5673" t="str">
            <v/>
          </cell>
          <cell r="E5673">
            <v>0</v>
          </cell>
          <cell r="F5673" t="str">
            <v/>
          </cell>
          <cell r="G5673" t="str">
            <v/>
          </cell>
          <cell r="H5673" t="str">
            <v/>
          </cell>
          <cell r="I5673" t="str">
            <v/>
          </cell>
          <cell r="J5673">
            <v>0</v>
          </cell>
          <cell r="K5673">
            <v>0</v>
          </cell>
          <cell r="L5673">
            <v>0</v>
          </cell>
          <cell r="M5673">
            <v>0</v>
          </cell>
          <cell r="N5673">
            <v>0</v>
          </cell>
          <cell r="O5673" t="str">
            <v/>
          </cell>
          <cell r="P5673">
            <v>0</v>
          </cell>
          <cell r="Q5673">
            <v>0</v>
          </cell>
          <cell r="R5673">
            <v>0</v>
          </cell>
          <cell r="S5673">
            <v>0</v>
          </cell>
          <cell r="T5673">
            <v>0</v>
          </cell>
          <cell r="U5673" t="str">
            <v/>
          </cell>
          <cell r="V5673" t="str">
            <v/>
          </cell>
        </row>
        <row r="5674">
          <cell r="A5674">
            <v>5673</v>
          </cell>
          <cell r="B5674">
            <v>0</v>
          </cell>
          <cell r="C5674" t="str">
            <v/>
          </cell>
          <cell r="D5674" t="str">
            <v/>
          </cell>
          <cell r="E5674">
            <v>0</v>
          </cell>
          <cell r="F5674" t="str">
            <v/>
          </cell>
          <cell r="G5674" t="str">
            <v/>
          </cell>
          <cell r="H5674" t="str">
            <v/>
          </cell>
          <cell r="I5674" t="str">
            <v/>
          </cell>
          <cell r="J5674">
            <v>0</v>
          </cell>
          <cell r="K5674">
            <v>0</v>
          </cell>
          <cell r="L5674">
            <v>0</v>
          </cell>
          <cell r="M5674">
            <v>0</v>
          </cell>
          <cell r="N5674">
            <v>0</v>
          </cell>
          <cell r="O5674" t="str">
            <v/>
          </cell>
          <cell r="P5674">
            <v>0</v>
          </cell>
          <cell r="Q5674">
            <v>0</v>
          </cell>
          <cell r="R5674">
            <v>0</v>
          </cell>
          <cell r="S5674">
            <v>0</v>
          </cell>
          <cell r="T5674">
            <v>0</v>
          </cell>
          <cell r="U5674" t="str">
            <v/>
          </cell>
          <cell r="V5674" t="str">
            <v/>
          </cell>
        </row>
        <row r="5675">
          <cell r="A5675">
            <v>5674</v>
          </cell>
          <cell r="B5675">
            <v>0</v>
          </cell>
          <cell r="C5675" t="str">
            <v/>
          </cell>
          <cell r="D5675" t="str">
            <v/>
          </cell>
          <cell r="E5675">
            <v>0</v>
          </cell>
          <cell r="F5675" t="str">
            <v/>
          </cell>
          <cell r="G5675" t="str">
            <v/>
          </cell>
          <cell r="H5675" t="str">
            <v/>
          </cell>
          <cell r="I5675" t="str">
            <v/>
          </cell>
          <cell r="J5675">
            <v>0</v>
          </cell>
          <cell r="K5675">
            <v>0</v>
          </cell>
          <cell r="L5675">
            <v>0</v>
          </cell>
          <cell r="M5675">
            <v>0</v>
          </cell>
          <cell r="N5675">
            <v>0</v>
          </cell>
          <cell r="O5675" t="str">
            <v/>
          </cell>
          <cell r="P5675">
            <v>0</v>
          </cell>
          <cell r="Q5675">
            <v>0</v>
          </cell>
          <cell r="R5675">
            <v>0</v>
          </cell>
          <cell r="S5675">
            <v>0</v>
          </cell>
          <cell r="T5675">
            <v>0</v>
          </cell>
          <cell r="U5675" t="str">
            <v/>
          </cell>
          <cell r="V5675" t="str">
            <v/>
          </cell>
        </row>
        <row r="5676">
          <cell r="A5676">
            <v>5675</v>
          </cell>
          <cell r="B5676">
            <v>0</v>
          </cell>
          <cell r="C5676" t="str">
            <v/>
          </cell>
          <cell r="D5676" t="str">
            <v/>
          </cell>
          <cell r="E5676">
            <v>0</v>
          </cell>
          <cell r="F5676" t="str">
            <v/>
          </cell>
          <cell r="G5676" t="str">
            <v/>
          </cell>
          <cell r="H5676" t="str">
            <v/>
          </cell>
          <cell r="I5676" t="str">
            <v/>
          </cell>
          <cell r="J5676">
            <v>0</v>
          </cell>
          <cell r="K5676">
            <v>0</v>
          </cell>
          <cell r="L5676">
            <v>0</v>
          </cell>
          <cell r="M5676">
            <v>0</v>
          </cell>
          <cell r="N5676">
            <v>0</v>
          </cell>
          <cell r="O5676" t="str">
            <v/>
          </cell>
          <cell r="P5676">
            <v>0</v>
          </cell>
          <cell r="Q5676">
            <v>0</v>
          </cell>
          <cell r="R5676">
            <v>0</v>
          </cell>
          <cell r="S5676">
            <v>0</v>
          </cell>
          <cell r="T5676">
            <v>0</v>
          </cell>
          <cell r="U5676" t="str">
            <v/>
          </cell>
          <cell r="V5676" t="str">
            <v/>
          </cell>
        </row>
        <row r="5677">
          <cell r="A5677">
            <v>5676</v>
          </cell>
          <cell r="B5677">
            <v>0</v>
          </cell>
          <cell r="C5677" t="str">
            <v/>
          </cell>
          <cell r="D5677" t="str">
            <v/>
          </cell>
          <cell r="E5677">
            <v>0</v>
          </cell>
          <cell r="F5677" t="str">
            <v/>
          </cell>
          <cell r="G5677" t="str">
            <v/>
          </cell>
          <cell r="H5677" t="str">
            <v/>
          </cell>
          <cell r="I5677" t="str">
            <v/>
          </cell>
          <cell r="J5677">
            <v>0</v>
          </cell>
          <cell r="K5677">
            <v>0</v>
          </cell>
          <cell r="L5677">
            <v>0</v>
          </cell>
          <cell r="M5677">
            <v>0</v>
          </cell>
          <cell r="N5677">
            <v>0</v>
          </cell>
          <cell r="O5677" t="str">
            <v/>
          </cell>
          <cell r="P5677">
            <v>0</v>
          </cell>
          <cell r="Q5677">
            <v>0</v>
          </cell>
          <cell r="R5677">
            <v>0</v>
          </cell>
          <cell r="S5677">
            <v>0</v>
          </cell>
          <cell r="T5677">
            <v>0</v>
          </cell>
          <cell r="U5677" t="str">
            <v/>
          </cell>
          <cell r="V5677" t="str">
            <v/>
          </cell>
        </row>
        <row r="5678">
          <cell r="A5678">
            <v>5677</v>
          </cell>
          <cell r="B5678">
            <v>0</v>
          </cell>
          <cell r="C5678" t="str">
            <v/>
          </cell>
          <cell r="D5678" t="str">
            <v/>
          </cell>
          <cell r="E5678">
            <v>0</v>
          </cell>
          <cell r="F5678" t="str">
            <v/>
          </cell>
          <cell r="G5678" t="str">
            <v/>
          </cell>
          <cell r="H5678" t="str">
            <v/>
          </cell>
          <cell r="I5678" t="str">
            <v/>
          </cell>
          <cell r="J5678">
            <v>0</v>
          </cell>
          <cell r="K5678">
            <v>0</v>
          </cell>
          <cell r="L5678">
            <v>0</v>
          </cell>
          <cell r="M5678">
            <v>0</v>
          </cell>
          <cell r="N5678">
            <v>0</v>
          </cell>
          <cell r="O5678" t="str">
            <v/>
          </cell>
          <cell r="P5678">
            <v>0</v>
          </cell>
          <cell r="Q5678">
            <v>0</v>
          </cell>
          <cell r="R5678">
            <v>0</v>
          </cell>
          <cell r="S5678">
            <v>0</v>
          </cell>
          <cell r="T5678">
            <v>0</v>
          </cell>
          <cell r="U5678" t="str">
            <v/>
          </cell>
          <cell r="V5678" t="str">
            <v/>
          </cell>
        </row>
        <row r="5679">
          <cell r="A5679">
            <v>5678</v>
          </cell>
          <cell r="B5679">
            <v>0</v>
          </cell>
          <cell r="C5679" t="str">
            <v/>
          </cell>
          <cell r="D5679" t="str">
            <v/>
          </cell>
          <cell r="E5679">
            <v>0</v>
          </cell>
          <cell r="F5679" t="str">
            <v/>
          </cell>
          <cell r="G5679" t="str">
            <v/>
          </cell>
          <cell r="H5679" t="str">
            <v/>
          </cell>
          <cell r="I5679" t="str">
            <v/>
          </cell>
          <cell r="J5679">
            <v>0</v>
          </cell>
          <cell r="K5679">
            <v>0</v>
          </cell>
          <cell r="L5679">
            <v>0</v>
          </cell>
          <cell r="M5679">
            <v>0</v>
          </cell>
          <cell r="N5679">
            <v>0</v>
          </cell>
          <cell r="O5679" t="str">
            <v/>
          </cell>
          <cell r="P5679">
            <v>0</v>
          </cell>
          <cell r="Q5679">
            <v>0</v>
          </cell>
          <cell r="R5679">
            <v>0</v>
          </cell>
          <cell r="S5679">
            <v>0</v>
          </cell>
          <cell r="T5679">
            <v>0</v>
          </cell>
          <cell r="U5679" t="str">
            <v/>
          </cell>
          <cell r="V5679" t="str">
            <v/>
          </cell>
        </row>
        <row r="5680">
          <cell r="A5680">
            <v>5679</v>
          </cell>
          <cell r="B5680">
            <v>0</v>
          </cell>
          <cell r="C5680" t="str">
            <v/>
          </cell>
          <cell r="D5680" t="str">
            <v/>
          </cell>
          <cell r="E5680">
            <v>0</v>
          </cell>
          <cell r="F5680" t="str">
            <v/>
          </cell>
          <cell r="G5680" t="str">
            <v/>
          </cell>
          <cell r="H5680" t="str">
            <v/>
          </cell>
          <cell r="I5680" t="str">
            <v/>
          </cell>
          <cell r="J5680">
            <v>0</v>
          </cell>
          <cell r="K5680">
            <v>0</v>
          </cell>
          <cell r="L5680">
            <v>0</v>
          </cell>
          <cell r="M5680">
            <v>0</v>
          </cell>
          <cell r="N5680">
            <v>0</v>
          </cell>
          <cell r="O5680" t="str">
            <v/>
          </cell>
          <cell r="P5680">
            <v>0</v>
          </cell>
          <cell r="Q5680">
            <v>0</v>
          </cell>
          <cell r="R5680">
            <v>0</v>
          </cell>
          <cell r="S5680">
            <v>0</v>
          </cell>
          <cell r="T5680">
            <v>0</v>
          </cell>
          <cell r="U5680" t="str">
            <v/>
          </cell>
          <cell r="V5680" t="str">
            <v/>
          </cell>
        </row>
        <row r="5681">
          <cell r="A5681">
            <v>5680</v>
          </cell>
          <cell r="B5681">
            <v>0</v>
          </cell>
          <cell r="C5681" t="str">
            <v/>
          </cell>
          <cell r="D5681" t="str">
            <v/>
          </cell>
          <cell r="E5681">
            <v>0</v>
          </cell>
          <cell r="F5681" t="str">
            <v/>
          </cell>
          <cell r="G5681" t="str">
            <v/>
          </cell>
          <cell r="H5681" t="str">
            <v/>
          </cell>
          <cell r="I5681" t="str">
            <v/>
          </cell>
          <cell r="J5681">
            <v>0</v>
          </cell>
          <cell r="K5681">
            <v>0</v>
          </cell>
          <cell r="L5681">
            <v>0</v>
          </cell>
          <cell r="M5681">
            <v>0</v>
          </cell>
          <cell r="N5681">
            <v>0</v>
          </cell>
          <cell r="O5681" t="str">
            <v/>
          </cell>
          <cell r="P5681">
            <v>0</v>
          </cell>
          <cell r="Q5681">
            <v>0</v>
          </cell>
          <cell r="R5681">
            <v>0</v>
          </cell>
          <cell r="S5681">
            <v>0</v>
          </cell>
          <cell r="T5681">
            <v>0</v>
          </cell>
          <cell r="U5681" t="str">
            <v/>
          </cell>
          <cell r="V5681" t="str">
            <v/>
          </cell>
        </row>
        <row r="5682">
          <cell r="A5682">
            <v>5681</v>
          </cell>
          <cell r="B5682">
            <v>0</v>
          </cell>
          <cell r="C5682" t="str">
            <v/>
          </cell>
          <cell r="D5682" t="str">
            <v/>
          </cell>
          <cell r="E5682">
            <v>0</v>
          </cell>
          <cell r="F5682" t="str">
            <v/>
          </cell>
          <cell r="G5682" t="str">
            <v/>
          </cell>
          <cell r="H5682" t="str">
            <v/>
          </cell>
          <cell r="I5682" t="str">
            <v/>
          </cell>
          <cell r="J5682">
            <v>0</v>
          </cell>
          <cell r="K5682">
            <v>0</v>
          </cell>
          <cell r="L5682">
            <v>0</v>
          </cell>
          <cell r="M5682">
            <v>0</v>
          </cell>
          <cell r="N5682">
            <v>0</v>
          </cell>
          <cell r="O5682" t="str">
            <v/>
          </cell>
          <cell r="P5682">
            <v>0</v>
          </cell>
          <cell r="Q5682">
            <v>0</v>
          </cell>
          <cell r="R5682">
            <v>0</v>
          </cell>
          <cell r="S5682">
            <v>0</v>
          </cell>
          <cell r="T5682">
            <v>0</v>
          </cell>
          <cell r="U5682" t="str">
            <v/>
          </cell>
          <cell r="V5682" t="str">
            <v/>
          </cell>
        </row>
        <row r="5683">
          <cell r="A5683">
            <v>5682</v>
          </cell>
          <cell r="B5683">
            <v>0</v>
          </cell>
          <cell r="C5683" t="str">
            <v/>
          </cell>
          <cell r="D5683" t="str">
            <v/>
          </cell>
          <cell r="E5683">
            <v>0</v>
          </cell>
          <cell r="F5683" t="str">
            <v/>
          </cell>
          <cell r="G5683" t="str">
            <v/>
          </cell>
          <cell r="H5683" t="str">
            <v/>
          </cell>
          <cell r="I5683" t="str">
            <v/>
          </cell>
          <cell r="J5683">
            <v>0</v>
          </cell>
          <cell r="K5683">
            <v>0</v>
          </cell>
          <cell r="L5683">
            <v>0</v>
          </cell>
          <cell r="M5683">
            <v>0</v>
          </cell>
          <cell r="N5683">
            <v>0</v>
          </cell>
          <cell r="O5683" t="str">
            <v/>
          </cell>
          <cell r="P5683">
            <v>0</v>
          </cell>
          <cell r="Q5683">
            <v>0</v>
          </cell>
          <cell r="R5683">
            <v>0</v>
          </cell>
          <cell r="S5683">
            <v>0</v>
          </cell>
          <cell r="T5683">
            <v>0</v>
          </cell>
          <cell r="U5683" t="str">
            <v/>
          </cell>
          <cell r="V5683" t="str">
            <v/>
          </cell>
        </row>
        <row r="5684">
          <cell r="A5684">
            <v>5683</v>
          </cell>
          <cell r="B5684">
            <v>0</v>
          </cell>
          <cell r="C5684" t="str">
            <v/>
          </cell>
          <cell r="D5684" t="str">
            <v/>
          </cell>
          <cell r="E5684">
            <v>0</v>
          </cell>
          <cell r="F5684" t="str">
            <v/>
          </cell>
          <cell r="G5684" t="str">
            <v/>
          </cell>
          <cell r="H5684" t="str">
            <v/>
          </cell>
          <cell r="I5684" t="str">
            <v/>
          </cell>
          <cell r="J5684">
            <v>0</v>
          </cell>
          <cell r="K5684">
            <v>0</v>
          </cell>
          <cell r="L5684">
            <v>0</v>
          </cell>
          <cell r="M5684">
            <v>0</v>
          </cell>
          <cell r="N5684">
            <v>0</v>
          </cell>
          <cell r="O5684" t="str">
            <v/>
          </cell>
          <cell r="P5684">
            <v>0</v>
          </cell>
          <cell r="Q5684">
            <v>0</v>
          </cell>
          <cell r="R5684">
            <v>0</v>
          </cell>
          <cell r="S5684">
            <v>0</v>
          </cell>
          <cell r="T5684">
            <v>0</v>
          </cell>
          <cell r="U5684" t="str">
            <v/>
          </cell>
          <cell r="V5684" t="str">
            <v/>
          </cell>
        </row>
        <row r="5685">
          <cell r="A5685">
            <v>5684</v>
          </cell>
          <cell r="B5685">
            <v>0</v>
          </cell>
          <cell r="C5685" t="str">
            <v/>
          </cell>
          <cell r="D5685" t="str">
            <v/>
          </cell>
          <cell r="E5685">
            <v>0</v>
          </cell>
          <cell r="F5685" t="str">
            <v/>
          </cell>
          <cell r="G5685" t="str">
            <v/>
          </cell>
          <cell r="H5685" t="str">
            <v/>
          </cell>
          <cell r="I5685" t="str">
            <v/>
          </cell>
          <cell r="J5685">
            <v>0</v>
          </cell>
          <cell r="K5685">
            <v>0</v>
          </cell>
          <cell r="L5685">
            <v>0</v>
          </cell>
          <cell r="M5685">
            <v>0</v>
          </cell>
          <cell r="N5685">
            <v>0</v>
          </cell>
          <cell r="O5685" t="str">
            <v/>
          </cell>
          <cell r="P5685">
            <v>0</v>
          </cell>
          <cell r="Q5685">
            <v>0</v>
          </cell>
          <cell r="R5685">
            <v>0</v>
          </cell>
          <cell r="S5685">
            <v>0</v>
          </cell>
          <cell r="T5685">
            <v>0</v>
          </cell>
          <cell r="U5685" t="str">
            <v/>
          </cell>
          <cell r="V5685" t="str">
            <v/>
          </cell>
        </row>
        <row r="5686">
          <cell r="A5686">
            <v>5685</v>
          </cell>
          <cell r="B5686">
            <v>0</v>
          </cell>
          <cell r="C5686" t="str">
            <v/>
          </cell>
          <cell r="D5686" t="str">
            <v/>
          </cell>
          <cell r="E5686">
            <v>0</v>
          </cell>
          <cell r="F5686" t="str">
            <v/>
          </cell>
          <cell r="G5686" t="str">
            <v/>
          </cell>
          <cell r="H5686" t="str">
            <v/>
          </cell>
          <cell r="I5686" t="str">
            <v/>
          </cell>
          <cell r="J5686">
            <v>0</v>
          </cell>
          <cell r="K5686">
            <v>0</v>
          </cell>
          <cell r="L5686">
            <v>0</v>
          </cell>
          <cell r="M5686">
            <v>0</v>
          </cell>
          <cell r="N5686">
            <v>0</v>
          </cell>
          <cell r="O5686" t="str">
            <v/>
          </cell>
          <cell r="P5686">
            <v>0</v>
          </cell>
          <cell r="Q5686">
            <v>0</v>
          </cell>
          <cell r="R5686">
            <v>0</v>
          </cell>
          <cell r="S5686">
            <v>0</v>
          </cell>
          <cell r="T5686">
            <v>0</v>
          </cell>
          <cell r="U5686" t="str">
            <v/>
          </cell>
          <cell r="V5686" t="str">
            <v/>
          </cell>
        </row>
        <row r="5687">
          <cell r="A5687">
            <v>5686</v>
          </cell>
          <cell r="B5687">
            <v>0</v>
          </cell>
          <cell r="C5687" t="str">
            <v/>
          </cell>
          <cell r="D5687" t="str">
            <v/>
          </cell>
          <cell r="E5687">
            <v>0</v>
          </cell>
          <cell r="F5687" t="str">
            <v/>
          </cell>
          <cell r="G5687" t="str">
            <v/>
          </cell>
          <cell r="H5687" t="str">
            <v/>
          </cell>
          <cell r="I5687" t="str">
            <v/>
          </cell>
          <cell r="J5687">
            <v>0</v>
          </cell>
          <cell r="K5687">
            <v>0</v>
          </cell>
          <cell r="L5687">
            <v>0</v>
          </cell>
          <cell r="M5687">
            <v>0</v>
          </cell>
          <cell r="N5687">
            <v>0</v>
          </cell>
          <cell r="O5687" t="str">
            <v/>
          </cell>
          <cell r="P5687">
            <v>0</v>
          </cell>
          <cell r="Q5687">
            <v>0</v>
          </cell>
          <cell r="R5687">
            <v>0</v>
          </cell>
          <cell r="S5687">
            <v>0</v>
          </cell>
          <cell r="T5687">
            <v>0</v>
          </cell>
          <cell r="U5687" t="str">
            <v/>
          </cell>
          <cell r="V5687" t="str">
            <v/>
          </cell>
        </row>
        <row r="5688">
          <cell r="A5688">
            <v>5687</v>
          </cell>
          <cell r="B5688">
            <v>0</v>
          </cell>
          <cell r="C5688" t="str">
            <v/>
          </cell>
          <cell r="D5688" t="str">
            <v/>
          </cell>
          <cell r="E5688">
            <v>0</v>
          </cell>
          <cell r="F5688" t="str">
            <v/>
          </cell>
          <cell r="G5688" t="str">
            <v/>
          </cell>
          <cell r="H5688" t="str">
            <v/>
          </cell>
          <cell r="I5688" t="str">
            <v/>
          </cell>
          <cell r="J5688">
            <v>0</v>
          </cell>
          <cell r="K5688">
            <v>0</v>
          </cell>
          <cell r="L5688">
            <v>0</v>
          </cell>
          <cell r="M5688">
            <v>0</v>
          </cell>
          <cell r="N5688">
            <v>0</v>
          </cell>
          <cell r="O5688" t="str">
            <v/>
          </cell>
          <cell r="P5688">
            <v>0</v>
          </cell>
          <cell r="Q5688">
            <v>0</v>
          </cell>
          <cell r="R5688">
            <v>0</v>
          </cell>
          <cell r="S5688">
            <v>0</v>
          </cell>
          <cell r="T5688">
            <v>0</v>
          </cell>
          <cell r="U5688" t="str">
            <v/>
          </cell>
          <cell r="V5688" t="str">
            <v/>
          </cell>
        </row>
        <row r="5689">
          <cell r="A5689">
            <v>5688</v>
          </cell>
          <cell r="B5689">
            <v>0</v>
          </cell>
          <cell r="C5689" t="str">
            <v/>
          </cell>
          <cell r="D5689" t="str">
            <v/>
          </cell>
          <cell r="E5689">
            <v>0</v>
          </cell>
          <cell r="F5689" t="str">
            <v/>
          </cell>
          <cell r="G5689" t="str">
            <v/>
          </cell>
          <cell r="H5689" t="str">
            <v/>
          </cell>
          <cell r="I5689" t="str">
            <v/>
          </cell>
          <cell r="J5689">
            <v>0</v>
          </cell>
          <cell r="K5689">
            <v>0</v>
          </cell>
          <cell r="L5689">
            <v>0</v>
          </cell>
          <cell r="M5689">
            <v>0</v>
          </cell>
          <cell r="N5689">
            <v>0</v>
          </cell>
          <cell r="O5689" t="str">
            <v/>
          </cell>
          <cell r="P5689">
            <v>0</v>
          </cell>
          <cell r="Q5689">
            <v>0</v>
          </cell>
          <cell r="R5689">
            <v>0</v>
          </cell>
          <cell r="S5689">
            <v>0</v>
          </cell>
          <cell r="T5689">
            <v>0</v>
          </cell>
          <cell r="U5689" t="str">
            <v/>
          </cell>
          <cell r="V5689" t="str">
            <v/>
          </cell>
        </row>
        <row r="5690">
          <cell r="A5690">
            <v>5689</v>
          </cell>
          <cell r="B5690">
            <v>0</v>
          </cell>
          <cell r="C5690" t="str">
            <v/>
          </cell>
          <cell r="D5690" t="str">
            <v/>
          </cell>
          <cell r="E5690">
            <v>0</v>
          </cell>
          <cell r="F5690" t="str">
            <v/>
          </cell>
          <cell r="G5690" t="str">
            <v/>
          </cell>
          <cell r="H5690" t="str">
            <v/>
          </cell>
          <cell r="I5690" t="str">
            <v/>
          </cell>
          <cell r="J5690">
            <v>0</v>
          </cell>
          <cell r="K5690">
            <v>0</v>
          </cell>
          <cell r="L5690">
            <v>0</v>
          </cell>
          <cell r="M5690">
            <v>0</v>
          </cell>
          <cell r="N5690">
            <v>0</v>
          </cell>
          <cell r="O5690" t="str">
            <v/>
          </cell>
          <cell r="P5690">
            <v>0</v>
          </cell>
          <cell r="Q5690">
            <v>0</v>
          </cell>
          <cell r="R5690">
            <v>0</v>
          </cell>
          <cell r="S5690">
            <v>0</v>
          </cell>
          <cell r="T5690">
            <v>0</v>
          </cell>
          <cell r="U5690" t="str">
            <v/>
          </cell>
          <cell r="V5690" t="str">
            <v/>
          </cell>
        </row>
        <row r="5691">
          <cell r="A5691">
            <v>5690</v>
          </cell>
          <cell r="B5691">
            <v>0</v>
          </cell>
          <cell r="C5691" t="str">
            <v/>
          </cell>
          <cell r="D5691" t="str">
            <v/>
          </cell>
          <cell r="E5691">
            <v>0</v>
          </cell>
          <cell r="F5691" t="str">
            <v/>
          </cell>
          <cell r="G5691" t="str">
            <v/>
          </cell>
          <cell r="H5691" t="str">
            <v/>
          </cell>
          <cell r="I5691" t="str">
            <v/>
          </cell>
          <cell r="J5691">
            <v>0</v>
          </cell>
          <cell r="K5691">
            <v>0</v>
          </cell>
          <cell r="L5691">
            <v>0</v>
          </cell>
          <cell r="M5691">
            <v>0</v>
          </cell>
          <cell r="N5691">
            <v>0</v>
          </cell>
          <cell r="O5691" t="str">
            <v/>
          </cell>
          <cell r="P5691">
            <v>0</v>
          </cell>
          <cell r="Q5691">
            <v>0</v>
          </cell>
          <cell r="R5691">
            <v>0</v>
          </cell>
          <cell r="S5691">
            <v>0</v>
          </cell>
          <cell r="T5691">
            <v>0</v>
          </cell>
          <cell r="U5691" t="str">
            <v/>
          </cell>
          <cell r="V5691" t="str">
            <v/>
          </cell>
        </row>
        <row r="5692">
          <cell r="A5692">
            <v>5691</v>
          </cell>
          <cell r="B5692">
            <v>0</v>
          </cell>
          <cell r="C5692" t="str">
            <v/>
          </cell>
          <cell r="D5692" t="str">
            <v/>
          </cell>
          <cell r="E5692">
            <v>0</v>
          </cell>
          <cell r="F5692" t="str">
            <v/>
          </cell>
          <cell r="G5692" t="str">
            <v/>
          </cell>
          <cell r="H5692" t="str">
            <v/>
          </cell>
          <cell r="I5692" t="str">
            <v/>
          </cell>
          <cell r="J5692">
            <v>0</v>
          </cell>
          <cell r="K5692">
            <v>0</v>
          </cell>
          <cell r="L5692">
            <v>0</v>
          </cell>
          <cell r="M5692">
            <v>0</v>
          </cell>
          <cell r="N5692">
            <v>0</v>
          </cell>
          <cell r="O5692" t="str">
            <v/>
          </cell>
          <cell r="P5692">
            <v>0</v>
          </cell>
          <cell r="Q5692">
            <v>0</v>
          </cell>
          <cell r="R5692">
            <v>0</v>
          </cell>
          <cell r="S5692">
            <v>0</v>
          </cell>
          <cell r="T5692">
            <v>0</v>
          </cell>
          <cell r="U5692" t="str">
            <v/>
          </cell>
          <cell r="V5692" t="str">
            <v/>
          </cell>
        </row>
        <row r="5693">
          <cell r="A5693">
            <v>5692</v>
          </cell>
          <cell r="B5693">
            <v>0</v>
          </cell>
          <cell r="C5693" t="str">
            <v/>
          </cell>
          <cell r="D5693" t="str">
            <v/>
          </cell>
          <cell r="E5693">
            <v>0</v>
          </cell>
          <cell r="F5693" t="str">
            <v/>
          </cell>
          <cell r="G5693" t="str">
            <v/>
          </cell>
          <cell r="H5693" t="str">
            <v/>
          </cell>
          <cell r="I5693" t="str">
            <v/>
          </cell>
          <cell r="J5693">
            <v>0</v>
          </cell>
          <cell r="K5693">
            <v>0</v>
          </cell>
          <cell r="L5693">
            <v>0</v>
          </cell>
          <cell r="M5693">
            <v>0</v>
          </cell>
          <cell r="N5693">
            <v>0</v>
          </cell>
          <cell r="O5693" t="str">
            <v/>
          </cell>
          <cell r="P5693">
            <v>0</v>
          </cell>
          <cell r="Q5693">
            <v>0</v>
          </cell>
          <cell r="R5693">
            <v>0</v>
          </cell>
          <cell r="S5693">
            <v>0</v>
          </cell>
          <cell r="T5693">
            <v>0</v>
          </cell>
          <cell r="U5693" t="str">
            <v/>
          </cell>
          <cell r="V5693" t="str">
            <v/>
          </cell>
        </row>
        <row r="5694">
          <cell r="A5694">
            <v>5693</v>
          </cell>
          <cell r="B5694">
            <v>0</v>
          </cell>
          <cell r="C5694" t="str">
            <v/>
          </cell>
          <cell r="D5694" t="str">
            <v/>
          </cell>
          <cell r="E5694">
            <v>0</v>
          </cell>
          <cell r="F5694" t="str">
            <v/>
          </cell>
          <cell r="G5694" t="str">
            <v/>
          </cell>
          <cell r="H5694" t="str">
            <v/>
          </cell>
          <cell r="I5694" t="str">
            <v/>
          </cell>
          <cell r="J5694">
            <v>0</v>
          </cell>
          <cell r="K5694">
            <v>0</v>
          </cell>
          <cell r="L5694">
            <v>0</v>
          </cell>
          <cell r="M5694">
            <v>0</v>
          </cell>
          <cell r="N5694">
            <v>0</v>
          </cell>
          <cell r="O5694" t="str">
            <v/>
          </cell>
          <cell r="P5694">
            <v>0</v>
          </cell>
          <cell r="Q5694">
            <v>0</v>
          </cell>
          <cell r="R5694">
            <v>0</v>
          </cell>
          <cell r="S5694">
            <v>0</v>
          </cell>
          <cell r="T5694">
            <v>0</v>
          </cell>
          <cell r="U5694" t="str">
            <v/>
          </cell>
          <cell r="V5694" t="str">
            <v/>
          </cell>
        </row>
        <row r="5695">
          <cell r="A5695">
            <v>5694</v>
          </cell>
          <cell r="B5695">
            <v>0</v>
          </cell>
          <cell r="C5695" t="str">
            <v/>
          </cell>
          <cell r="D5695" t="str">
            <v/>
          </cell>
          <cell r="E5695">
            <v>0</v>
          </cell>
          <cell r="F5695" t="str">
            <v/>
          </cell>
          <cell r="G5695" t="str">
            <v/>
          </cell>
          <cell r="H5695" t="str">
            <v/>
          </cell>
          <cell r="I5695" t="str">
            <v/>
          </cell>
          <cell r="J5695">
            <v>0</v>
          </cell>
          <cell r="K5695">
            <v>0</v>
          </cell>
          <cell r="L5695">
            <v>0</v>
          </cell>
          <cell r="M5695">
            <v>0</v>
          </cell>
          <cell r="N5695">
            <v>0</v>
          </cell>
          <cell r="O5695" t="str">
            <v/>
          </cell>
          <cell r="P5695">
            <v>0</v>
          </cell>
          <cell r="Q5695">
            <v>0</v>
          </cell>
          <cell r="R5695">
            <v>0</v>
          </cell>
          <cell r="S5695">
            <v>0</v>
          </cell>
          <cell r="T5695">
            <v>0</v>
          </cell>
          <cell r="U5695" t="str">
            <v/>
          </cell>
          <cell r="V5695" t="str">
            <v/>
          </cell>
        </row>
        <row r="5696">
          <cell r="A5696">
            <v>5695</v>
          </cell>
          <cell r="B5696">
            <v>0</v>
          </cell>
          <cell r="C5696" t="str">
            <v/>
          </cell>
          <cell r="D5696" t="str">
            <v/>
          </cell>
          <cell r="E5696">
            <v>0</v>
          </cell>
          <cell r="F5696" t="str">
            <v/>
          </cell>
          <cell r="G5696" t="str">
            <v/>
          </cell>
          <cell r="H5696" t="str">
            <v/>
          </cell>
          <cell r="I5696" t="str">
            <v/>
          </cell>
          <cell r="J5696">
            <v>0</v>
          </cell>
          <cell r="K5696">
            <v>0</v>
          </cell>
          <cell r="L5696">
            <v>0</v>
          </cell>
          <cell r="M5696">
            <v>0</v>
          </cell>
          <cell r="N5696">
            <v>0</v>
          </cell>
          <cell r="O5696" t="str">
            <v/>
          </cell>
          <cell r="P5696">
            <v>0</v>
          </cell>
          <cell r="Q5696">
            <v>0</v>
          </cell>
          <cell r="R5696">
            <v>0</v>
          </cell>
          <cell r="S5696">
            <v>0</v>
          </cell>
          <cell r="T5696">
            <v>0</v>
          </cell>
          <cell r="U5696" t="str">
            <v/>
          </cell>
          <cell r="V5696" t="str">
            <v/>
          </cell>
        </row>
        <row r="5697">
          <cell r="A5697">
            <v>5696</v>
          </cell>
          <cell r="B5697">
            <v>0</v>
          </cell>
          <cell r="C5697" t="str">
            <v/>
          </cell>
          <cell r="D5697" t="str">
            <v/>
          </cell>
          <cell r="E5697">
            <v>0</v>
          </cell>
          <cell r="F5697" t="str">
            <v/>
          </cell>
          <cell r="G5697" t="str">
            <v/>
          </cell>
          <cell r="H5697" t="str">
            <v/>
          </cell>
          <cell r="I5697" t="str">
            <v/>
          </cell>
          <cell r="J5697">
            <v>0</v>
          </cell>
          <cell r="K5697">
            <v>0</v>
          </cell>
          <cell r="L5697">
            <v>0</v>
          </cell>
          <cell r="M5697">
            <v>0</v>
          </cell>
          <cell r="N5697">
            <v>0</v>
          </cell>
          <cell r="O5697" t="str">
            <v/>
          </cell>
          <cell r="P5697">
            <v>0</v>
          </cell>
          <cell r="Q5697">
            <v>0</v>
          </cell>
          <cell r="R5697">
            <v>0</v>
          </cell>
          <cell r="S5697">
            <v>0</v>
          </cell>
          <cell r="T5697">
            <v>0</v>
          </cell>
          <cell r="U5697" t="str">
            <v/>
          </cell>
          <cell r="V5697" t="str">
            <v/>
          </cell>
        </row>
        <row r="5698">
          <cell r="A5698">
            <v>5697</v>
          </cell>
          <cell r="B5698">
            <v>0</v>
          </cell>
          <cell r="C5698" t="str">
            <v/>
          </cell>
          <cell r="D5698" t="str">
            <v/>
          </cell>
          <cell r="E5698">
            <v>0</v>
          </cell>
          <cell r="F5698" t="str">
            <v/>
          </cell>
          <cell r="G5698" t="str">
            <v/>
          </cell>
          <cell r="H5698" t="str">
            <v/>
          </cell>
          <cell r="I5698" t="str">
            <v/>
          </cell>
          <cell r="J5698">
            <v>0</v>
          </cell>
          <cell r="K5698">
            <v>0</v>
          </cell>
          <cell r="L5698">
            <v>0</v>
          </cell>
          <cell r="M5698">
            <v>0</v>
          </cell>
          <cell r="N5698">
            <v>0</v>
          </cell>
          <cell r="O5698" t="str">
            <v/>
          </cell>
          <cell r="P5698">
            <v>0</v>
          </cell>
          <cell r="Q5698">
            <v>0</v>
          </cell>
          <cell r="R5698">
            <v>0</v>
          </cell>
          <cell r="S5698">
            <v>0</v>
          </cell>
          <cell r="T5698">
            <v>0</v>
          </cell>
          <cell r="U5698" t="str">
            <v/>
          </cell>
          <cell r="V5698" t="str">
            <v/>
          </cell>
        </row>
        <row r="5699">
          <cell r="A5699">
            <v>5698</v>
          </cell>
          <cell r="B5699">
            <v>0</v>
          </cell>
          <cell r="C5699" t="str">
            <v/>
          </cell>
          <cell r="D5699" t="str">
            <v/>
          </cell>
          <cell r="E5699">
            <v>0</v>
          </cell>
          <cell r="F5699" t="str">
            <v/>
          </cell>
          <cell r="G5699" t="str">
            <v/>
          </cell>
          <cell r="H5699" t="str">
            <v/>
          </cell>
          <cell r="I5699" t="str">
            <v/>
          </cell>
          <cell r="J5699">
            <v>0</v>
          </cell>
          <cell r="K5699">
            <v>0</v>
          </cell>
          <cell r="L5699">
            <v>0</v>
          </cell>
          <cell r="M5699">
            <v>0</v>
          </cell>
          <cell r="N5699">
            <v>0</v>
          </cell>
          <cell r="O5699" t="str">
            <v/>
          </cell>
          <cell r="P5699">
            <v>0</v>
          </cell>
          <cell r="Q5699">
            <v>0</v>
          </cell>
          <cell r="R5699">
            <v>0</v>
          </cell>
          <cell r="S5699">
            <v>0</v>
          </cell>
          <cell r="T5699">
            <v>0</v>
          </cell>
          <cell r="U5699" t="str">
            <v/>
          </cell>
          <cell r="V5699" t="str">
            <v/>
          </cell>
        </row>
        <row r="5700">
          <cell r="A5700">
            <v>5699</v>
          </cell>
          <cell r="B5700">
            <v>0</v>
          </cell>
          <cell r="C5700" t="str">
            <v/>
          </cell>
          <cell r="D5700" t="str">
            <v/>
          </cell>
          <cell r="E5700">
            <v>0</v>
          </cell>
          <cell r="F5700" t="str">
            <v/>
          </cell>
          <cell r="G5700" t="str">
            <v/>
          </cell>
          <cell r="H5700" t="str">
            <v/>
          </cell>
          <cell r="I5700" t="str">
            <v/>
          </cell>
          <cell r="J5700">
            <v>0</v>
          </cell>
          <cell r="K5700">
            <v>0</v>
          </cell>
          <cell r="L5700">
            <v>0</v>
          </cell>
          <cell r="M5700">
            <v>0</v>
          </cell>
          <cell r="N5700">
            <v>0</v>
          </cell>
          <cell r="O5700" t="str">
            <v/>
          </cell>
          <cell r="P5700">
            <v>0</v>
          </cell>
          <cell r="Q5700">
            <v>0</v>
          </cell>
          <cell r="R5700">
            <v>0</v>
          </cell>
          <cell r="S5700">
            <v>0</v>
          </cell>
          <cell r="T5700">
            <v>0</v>
          </cell>
          <cell r="U5700" t="str">
            <v/>
          </cell>
          <cell r="V5700" t="str">
            <v/>
          </cell>
        </row>
        <row r="5701">
          <cell r="A5701">
            <v>5700</v>
          </cell>
          <cell r="B5701">
            <v>0</v>
          </cell>
          <cell r="C5701" t="str">
            <v/>
          </cell>
          <cell r="D5701" t="str">
            <v/>
          </cell>
          <cell r="E5701">
            <v>0</v>
          </cell>
          <cell r="F5701" t="str">
            <v/>
          </cell>
          <cell r="G5701" t="str">
            <v/>
          </cell>
          <cell r="H5701" t="str">
            <v/>
          </cell>
          <cell r="I5701" t="str">
            <v/>
          </cell>
          <cell r="J5701">
            <v>0</v>
          </cell>
          <cell r="K5701">
            <v>0</v>
          </cell>
          <cell r="L5701">
            <v>0</v>
          </cell>
          <cell r="M5701">
            <v>0</v>
          </cell>
          <cell r="N5701">
            <v>0</v>
          </cell>
          <cell r="O5701" t="str">
            <v/>
          </cell>
          <cell r="P5701">
            <v>0</v>
          </cell>
          <cell r="Q5701">
            <v>0</v>
          </cell>
          <cell r="R5701">
            <v>0</v>
          </cell>
          <cell r="S5701">
            <v>0</v>
          </cell>
          <cell r="T5701">
            <v>0</v>
          </cell>
          <cell r="U5701" t="str">
            <v/>
          </cell>
          <cell r="V5701" t="str">
            <v/>
          </cell>
        </row>
        <row r="5702">
          <cell r="A5702">
            <v>5701</v>
          </cell>
          <cell r="B5702">
            <v>0</v>
          </cell>
          <cell r="C5702" t="str">
            <v/>
          </cell>
          <cell r="D5702" t="str">
            <v/>
          </cell>
          <cell r="E5702">
            <v>0</v>
          </cell>
          <cell r="F5702" t="str">
            <v/>
          </cell>
          <cell r="G5702" t="str">
            <v/>
          </cell>
          <cell r="H5702" t="str">
            <v/>
          </cell>
          <cell r="I5702" t="str">
            <v/>
          </cell>
          <cell r="J5702">
            <v>0</v>
          </cell>
          <cell r="K5702">
            <v>0</v>
          </cell>
          <cell r="L5702">
            <v>0</v>
          </cell>
          <cell r="M5702">
            <v>0</v>
          </cell>
          <cell r="N5702">
            <v>0</v>
          </cell>
          <cell r="O5702" t="str">
            <v/>
          </cell>
          <cell r="P5702">
            <v>0</v>
          </cell>
          <cell r="Q5702">
            <v>0</v>
          </cell>
          <cell r="R5702">
            <v>0</v>
          </cell>
          <cell r="S5702">
            <v>0</v>
          </cell>
          <cell r="T5702">
            <v>0</v>
          </cell>
          <cell r="U5702" t="str">
            <v/>
          </cell>
          <cell r="V5702" t="str">
            <v/>
          </cell>
        </row>
        <row r="5703">
          <cell r="A5703">
            <v>5702</v>
          </cell>
          <cell r="B5703">
            <v>0</v>
          </cell>
          <cell r="C5703" t="str">
            <v/>
          </cell>
          <cell r="D5703" t="str">
            <v/>
          </cell>
          <cell r="E5703">
            <v>0</v>
          </cell>
          <cell r="F5703" t="str">
            <v/>
          </cell>
          <cell r="G5703" t="str">
            <v/>
          </cell>
          <cell r="H5703" t="str">
            <v/>
          </cell>
          <cell r="I5703" t="str">
            <v/>
          </cell>
          <cell r="J5703">
            <v>0</v>
          </cell>
          <cell r="K5703">
            <v>0</v>
          </cell>
          <cell r="L5703">
            <v>0</v>
          </cell>
          <cell r="M5703">
            <v>0</v>
          </cell>
          <cell r="N5703">
            <v>0</v>
          </cell>
          <cell r="O5703" t="str">
            <v/>
          </cell>
          <cell r="P5703">
            <v>0</v>
          </cell>
          <cell r="Q5703">
            <v>0</v>
          </cell>
          <cell r="R5703">
            <v>0</v>
          </cell>
          <cell r="S5703">
            <v>0</v>
          </cell>
          <cell r="T5703">
            <v>0</v>
          </cell>
          <cell r="U5703" t="str">
            <v/>
          </cell>
          <cell r="V5703" t="str">
            <v/>
          </cell>
        </row>
        <row r="5704">
          <cell r="A5704">
            <v>5703</v>
          </cell>
          <cell r="B5704">
            <v>0</v>
          </cell>
          <cell r="C5704" t="str">
            <v/>
          </cell>
          <cell r="D5704" t="str">
            <v/>
          </cell>
          <cell r="E5704">
            <v>0</v>
          </cell>
          <cell r="F5704" t="str">
            <v/>
          </cell>
          <cell r="G5704" t="str">
            <v/>
          </cell>
          <cell r="H5704" t="str">
            <v/>
          </cell>
          <cell r="I5704" t="str">
            <v/>
          </cell>
          <cell r="J5704">
            <v>0</v>
          </cell>
          <cell r="K5704">
            <v>0</v>
          </cell>
          <cell r="L5704">
            <v>0</v>
          </cell>
          <cell r="M5704">
            <v>0</v>
          </cell>
          <cell r="N5704">
            <v>0</v>
          </cell>
          <cell r="O5704" t="str">
            <v/>
          </cell>
          <cell r="P5704">
            <v>0</v>
          </cell>
          <cell r="Q5704">
            <v>0</v>
          </cell>
          <cell r="R5704">
            <v>0</v>
          </cell>
          <cell r="S5704">
            <v>0</v>
          </cell>
          <cell r="T5704">
            <v>0</v>
          </cell>
          <cell r="U5704" t="str">
            <v/>
          </cell>
          <cell r="V5704" t="str">
            <v/>
          </cell>
        </row>
        <row r="5705">
          <cell r="A5705">
            <v>5704</v>
          </cell>
          <cell r="B5705">
            <v>0</v>
          </cell>
          <cell r="C5705" t="str">
            <v/>
          </cell>
          <cell r="D5705" t="str">
            <v/>
          </cell>
          <cell r="E5705">
            <v>0</v>
          </cell>
          <cell r="F5705" t="str">
            <v/>
          </cell>
          <cell r="G5705" t="str">
            <v/>
          </cell>
          <cell r="H5705" t="str">
            <v/>
          </cell>
          <cell r="I5705" t="str">
            <v/>
          </cell>
          <cell r="J5705">
            <v>0</v>
          </cell>
          <cell r="K5705">
            <v>0</v>
          </cell>
          <cell r="L5705">
            <v>0</v>
          </cell>
          <cell r="M5705">
            <v>0</v>
          </cell>
          <cell r="N5705">
            <v>0</v>
          </cell>
          <cell r="O5705" t="str">
            <v/>
          </cell>
          <cell r="P5705">
            <v>0</v>
          </cell>
          <cell r="Q5705">
            <v>0</v>
          </cell>
          <cell r="R5705">
            <v>0</v>
          </cell>
          <cell r="S5705">
            <v>0</v>
          </cell>
          <cell r="T5705">
            <v>0</v>
          </cell>
          <cell r="U5705" t="str">
            <v/>
          </cell>
          <cell r="V5705" t="str">
            <v/>
          </cell>
        </row>
        <row r="5706">
          <cell r="A5706">
            <v>5705</v>
          </cell>
          <cell r="B5706">
            <v>0</v>
          </cell>
          <cell r="C5706" t="str">
            <v/>
          </cell>
          <cell r="D5706" t="str">
            <v/>
          </cell>
          <cell r="E5706">
            <v>0</v>
          </cell>
          <cell r="F5706" t="str">
            <v/>
          </cell>
          <cell r="G5706" t="str">
            <v/>
          </cell>
          <cell r="H5706" t="str">
            <v/>
          </cell>
          <cell r="I5706" t="str">
            <v/>
          </cell>
          <cell r="J5706">
            <v>0</v>
          </cell>
          <cell r="K5706">
            <v>0</v>
          </cell>
          <cell r="L5706">
            <v>0</v>
          </cell>
          <cell r="M5706">
            <v>0</v>
          </cell>
          <cell r="N5706">
            <v>0</v>
          </cell>
          <cell r="O5706" t="str">
            <v/>
          </cell>
          <cell r="P5706">
            <v>0</v>
          </cell>
          <cell r="Q5706">
            <v>0</v>
          </cell>
          <cell r="R5706">
            <v>0</v>
          </cell>
          <cell r="S5706">
            <v>0</v>
          </cell>
          <cell r="T5706">
            <v>0</v>
          </cell>
          <cell r="U5706" t="str">
            <v/>
          </cell>
          <cell r="V5706" t="str">
            <v/>
          </cell>
        </row>
        <row r="5707">
          <cell r="A5707">
            <v>5706</v>
          </cell>
          <cell r="B5707">
            <v>0</v>
          </cell>
          <cell r="C5707" t="str">
            <v/>
          </cell>
          <cell r="D5707" t="str">
            <v/>
          </cell>
          <cell r="E5707">
            <v>0</v>
          </cell>
          <cell r="F5707" t="str">
            <v/>
          </cell>
          <cell r="G5707" t="str">
            <v/>
          </cell>
          <cell r="H5707" t="str">
            <v/>
          </cell>
          <cell r="I5707" t="str">
            <v/>
          </cell>
          <cell r="J5707">
            <v>0</v>
          </cell>
          <cell r="K5707">
            <v>0</v>
          </cell>
          <cell r="L5707">
            <v>0</v>
          </cell>
          <cell r="M5707">
            <v>0</v>
          </cell>
          <cell r="N5707">
            <v>0</v>
          </cell>
          <cell r="O5707" t="str">
            <v/>
          </cell>
          <cell r="P5707">
            <v>0</v>
          </cell>
          <cell r="Q5707">
            <v>0</v>
          </cell>
          <cell r="R5707">
            <v>0</v>
          </cell>
          <cell r="S5707">
            <v>0</v>
          </cell>
          <cell r="T5707">
            <v>0</v>
          </cell>
          <cell r="U5707" t="str">
            <v/>
          </cell>
          <cell r="V5707" t="str">
            <v/>
          </cell>
        </row>
        <row r="5708">
          <cell r="A5708">
            <v>5707</v>
          </cell>
          <cell r="B5708">
            <v>0</v>
          </cell>
          <cell r="C5708" t="str">
            <v/>
          </cell>
          <cell r="D5708" t="str">
            <v/>
          </cell>
          <cell r="E5708">
            <v>0</v>
          </cell>
          <cell r="F5708" t="str">
            <v/>
          </cell>
          <cell r="G5708" t="str">
            <v/>
          </cell>
          <cell r="H5708" t="str">
            <v/>
          </cell>
          <cell r="I5708" t="str">
            <v/>
          </cell>
          <cell r="J5708">
            <v>0</v>
          </cell>
          <cell r="K5708">
            <v>0</v>
          </cell>
          <cell r="L5708">
            <v>0</v>
          </cell>
          <cell r="M5708">
            <v>0</v>
          </cell>
          <cell r="N5708">
            <v>0</v>
          </cell>
          <cell r="O5708" t="str">
            <v/>
          </cell>
          <cell r="P5708">
            <v>0</v>
          </cell>
          <cell r="Q5708">
            <v>0</v>
          </cell>
          <cell r="R5708">
            <v>0</v>
          </cell>
          <cell r="S5708">
            <v>0</v>
          </cell>
          <cell r="T5708">
            <v>0</v>
          </cell>
          <cell r="U5708" t="str">
            <v/>
          </cell>
          <cell r="V5708" t="str">
            <v/>
          </cell>
        </row>
        <row r="5709">
          <cell r="A5709">
            <v>5708</v>
          </cell>
          <cell r="B5709">
            <v>0</v>
          </cell>
          <cell r="C5709" t="str">
            <v/>
          </cell>
          <cell r="D5709" t="str">
            <v/>
          </cell>
          <cell r="E5709">
            <v>0</v>
          </cell>
          <cell r="F5709" t="str">
            <v/>
          </cell>
          <cell r="G5709" t="str">
            <v/>
          </cell>
          <cell r="H5709" t="str">
            <v/>
          </cell>
          <cell r="I5709" t="str">
            <v/>
          </cell>
          <cell r="J5709">
            <v>0</v>
          </cell>
          <cell r="K5709">
            <v>0</v>
          </cell>
          <cell r="L5709">
            <v>0</v>
          </cell>
          <cell r="M5709">
            <v>0</v>
          </cell>
          <cell r="N5709">
            <v>0</v>
          </cell>
          <cell r="O5709" t="str">
            <v/>
          </cell>
          <cell r="P5709">
            <v>0</v>
          </cell>
          <cell r="Q5709">
            <v>0</v>
          </cell>
          <cell r="R5709">
            <v>0</v>
          </cell>
          <cell r="S5709">
            <v>0</v>
          </cell>
          <cell r="T5709">
            <v>0</v>
          </cell>
          <cell r="U5709" t="str">
            <v/>
          </cell>
          <cell r="V5709" t="str">
            <v/>
          </cell>
        </row>
        <row r="5710">
          <cell r="A5710">
            <v>5709</v>
          </cell>
          <cell r="B5710">
            <v>0</v>
          </cell>
          <cell r="C5710" t="str">
            <v/>
          </cell>
          <cell r="D5710" t="str">
            <v/>
          </cell>
          <cell r="E5710">
            <v>0</v>
          </cell>
          <cell r="F5710" t="str">
            <v/>
          </cell>
          <cell r="G5710" t="str">
            <v/>
          </cell>
          <cell r="H5710" t="str">
            <v/>
          </cell>
          <cell r="I5710" t="str">
            <v/>
          </cell>
          <cell r="J5710">
            <v>0</v>
          </cell>
          <cell r="K5710">
            <v>0</v>
          </cell>
          <cell r="L5710">
            <v>0</v>
          </cell>
          <cell r="M5710">
            <v>0</v>
          </cell>
          <cell r="N5710">
            <v>0</v>
          </cell>
          <cell r="O5710" t="str">
            <v/>
          </cell>
          <cell r="P5710">
            <v>0</v>
          </cell>
          <cell r="Q5710">
            <v>0</v>
          </cell>
          <cell r="R5710">
            <v>0</v>
          </cell>
          <cell r="S5710">
            <v>0</v>
          </cell>
          <cell r="T5710">
            <v>0</v>
          </cell>
          <cell r="U5710" t="str">
            <v/>
          </cell>
          <cell r="V5710" t="str">
            <v/>
          </cell>
        </row>
        <row r="5711">
          <cell r="A5711">
            <v>5710</v>
          </cell>
          <cell r="B5711">
            <v>0</v>
          </cell>
          <cell r="C5711" t="str">
            <v/>
          </cell>
          <cell r="D5711" t="str">
            <v/>
          </cell>
          <cell r="E5711">
            <v>0</v>
          </cell>
          <cell r="F5711" t="str">
            <v/>
          </cell>
          <cell r="G5711" t="str">
            <v/>
          </cell>
          <cell r="H5711" t="str">
            <v/>
          </cell>
          <cell r="I5711" t="str">
            <v/>
          </cell>
          <cell r="J5711">
            <v>0</v>
          </cell>
          <cell r="K5711">
            <v>0</v>
          </cell>
          <cell r="L5711">
            <v>0</v>
          </cell>
          <cell r="M5711">
            <v>0</v>
          </cell>
          <cell r="N5711">
            <v>0</v>
          </cell>
          <cell r="O5711" t="str">
            <v/>
          </cell>
          <cell r="P5711">
            <v>0</v>
          </cell>
          <cell r="Q5711">
            <v>0</v>
          </cell>
          <cell r="R5711">
            <v>0</v>
          </cell>
          <cell r="S5711">
            <v>0</v>
          </cell>
          <cell r="T5711">
            <v>0</v>
          </cell>
          <cell r="U5711" t="str">
            <v/>
          </cell>
          <cell r="V5711" t="str">
            <v/>
          </cell>
        </row>
        <row r="5712">
          <cell r="A5712">
            <v>5711</v>
          </cell>
          <cell r="B5712">
            <v>0</v>
          </cell>
          <cell r="C5712" t="str">
            <v/>
          </cell>
          <cell r="D5712" t="str">
            <v/>
          </cell>
          <cell r="E5712">
            <v>0</v>
          </cell>
          <cell r="F5712" t="str">
            <v/>
          </cell>
          <cell r="G5712" t="str">
            <v/>
          </cell>
          <cell r="H5712" t="str">
            <v/>
          </cell>
          <cell r="I5712" t="str">
            <v/>
          </cell>
          <cell r="J5712">
            <v>0</v>
          </cell>
          <cell r="K5712">
            <v>0</v>
          </cell>
          <cell r="L5712">
            <v>0</v>
          </cell>
          <cell r="M5712">
            <v>0</v>
          </cell>
          <cell r="N5712">
            <v>0</v>
          </cell>
          <cell r="O5712" t="str">
            <v/>
          </cell>
          <cell r="P5712">
            <v>0</v>
          </cell>
          <cell r="Q5712">
            <v>0</v>
          </cell>
          <cell r="R5712">
            <v>0</v>
          </cell>
          <cell r="S5712">
            <v>0</v>
          </cell>
          <cell r="T5712">
            <v>0</v>
          </cell>
          <cell r="U5712" t="str">
            <v/>
          </cell>
          <cell r="V5712" t="str">
            <v/>
          </cell>
        </row>
        <row r="5713">
          <cell r="A5713">
            <v>5712</v>
          </cell>
          <cell r="B5713">
            <v>0</v>
          </cell>
          <cell r="C5713" t="str">
            <v/>
          </cell>
          <cell r="D5713" t="str">
            <v/>
          </cell>
          <cell r="E5713">
            <v>0</v>
          </cell>
          <cell r="F5713" t="str">
            <v/>
          </cell>
          <cell r="G5713" t="str">
            <v/>
          </cell>
          <cell r="H5713" t="str">
            <v/>
          </cell>
          <cell r="I5713" t="str">
            <v/>
          </cell>
          <cell r="J5713">
            <v>0</v>
          </cell>
          <cell r="K5713">
            <v>0</v>
          </cell>
          <cell r="L5713">
            <v>0</v>
          </cell>
          <cell r="M5713">
            <v>0</v>
          </cell>
          <cell r="N5713">
            <v>0</v>
          </cell>
          <cell r="O5713" t="str">
            <v/>
          </cell>
          <cell r="P5713">
            <v>0</v>
          </cell>
          <cell r="Q5713">
            <v>0</v>
          </cell>
          <cell r="R5713">
            <v>0</v>
          </cell>
          <cell r="S5713">
            <v>0</v>
          </cell>
          <cell r="T5713">
            <v>0</v>
          </cell>
          <cell r="U5713" t="str">
            <v/>
          </cell>
          <cell r="V5713" t="str">
            <v/>
          </cell>
        </row>
        <row r="5714">
          <cell r="A5714">
            <v>5713</v>
          </cell>
          <cell r="B5714">
            <v>0</v>
          </cell>
          <cell r="C5714" t="str">
            <v/>
          </cell>
          <cell r="D5714" t="str">
            <v/>
          </cell>
          <cell r="E5714">
            <v>0</v>
          </cell>
          <cell r="F5714" t="str">
            <v/>
          </cell>
          <cell r="G5714" t="str">
            <v/>
          </cell>
          <cell r="H5714" t="str">
            <v/>
          </cell>
          <cell r="I5714" t="str">
            <v/>
          </cell>
          <cell r="J5714">
            <v>0</v>
          </cell>
          <cell r="K5714">
            <v>0</v>
          </cell>
          <cell r="L5714">
            <v>0</v>
          </cell>
          <cell r="M5714">
            <v>0</v>
          </cell>
          <cell r="N5714">
            <v>0</v>
          </cell>
          <cell r="O5714" t="str">
            <v/>
          </cell>
          <cell r="P5714">
            <v>0</v>
          </cell>
          <cell r="Q5714">
            <v>0</v>
          </cell>
          <cell r="R5714">
            <v>0</v>
          </cell>
          <cell r="S5714">
            <v>0</v>
          </cell>
          <cell r="T5714">
            <v>0</v>
          </cell>
          <cell r="U5714" t="str">
            <v/>
          </cell>
          <cell r="V5714" t="str">
            <v/>
          </cell>
        </row>
        <row r="5715">
          <cell r="A5715">
            <v>5714</v>
          </cell>
          <cell r="B5715">
            <v>0</v>
          </cell>
          <cell r="C5715" t="str">
            <v/>
          </cell>
          <cell r="D5715" t="str">
            <v/>
          </cell>
          <cell r="E5715">
            <v>0</v>
          </cell>
          <cell r="F5715" t="str">
            <v/>
          </cell>
          <cell r="G5715" t="str">
            <v/>
          </cell>
          <cell r="H5715" t="str">
            <v/>
          </cell>
          <cell r="I5715" t="str">
            <v/>
          </cell>
          <cell r="J5715">
            <v>0</v>
          </cell>
          <cell r="K5715">
            <v>0</v>
          </cell>
          <cell r="L5715">
            <v>0</v>
          </cell>
          <cell r="M5715">
            <v>0</v>
          </cell>
          <cell r="N5715">
            <v>0</v>
          </cell>
          <cell r="O5715" t="str">
            <v/>
          </cell>
          <cell r="P5715">
            <v>0</v>
          </cell>
          <cell r="Q5715">
            <v>0</v>
          </cell>
          <cell r="R5715">
            <v>0</v>
          </cell>
          <cell r="S5715">
            <v>0</v>
          </cell>
          <cell r="T5715">
            <v>0</v>
          </cell>
          <cell r="U5715" t="str">
            <v/>
          </cell>
          <cell r="V5715" t="str">
            <v/>
          </cell>
        </row>
        <row r="5716">
          <cell r="A5716">
            <v>5715</v>
          </cell>
          <cell r="B5716">
            <v>0</v>
          </cell>
          <cell r="C5716" t="str">
            <v/>
          </cell>
          <cell r="D5716" t="str">
            <v/>
          </cell>
          <cell r="E5716">
            <v>0</v>
          </cell>
          <cell r="F5716" t="str">
            <v/>
          </cell>
          <cell r="G5716" t="str">
            <v/>
          </cell>
          <cell r="H5716" t="str">
            <v/>
          </cell>
          <cell r="I5716" t="str">
            <v/>
          </cell>
          <cell r="J5716">
            <v>0</v>
          </cell>
          <cell r="K5716">
            <v>0</v>
          </cell>
          <cell r="L5716">
            <v>0</v>
          </cell>
          <cell r="M5716">
            <v>0</v>
          </cell>
          <cell r="N5716">
            <v>0</v>
          </cell>
          <cell r="O5716" t="str">
            <v/>
          </cell>
          <cell r="P5716">
            <v>0</v>
          </cell>
          <cell r="Q5716">
            <v>0</v>
          </cell>
          <cell r="R5716">
            <v>0</v>
          </cell>
          <cell r="S5716">
            <v>0</v>
          </cell>
          <cell r="T5716">
            <v>0</v>
          </cell>
          <cell r="U5716" t="str">
            <v/>
          </cell>
          <cell r="V5716" t="str">
            <v/>
          </cell>
        </row>
        <row r="5717">
          <cell r="A5717">
            <v>5716</v>
          </cell>
          <cell r="B5717">
            <v>0</v>
          </cell>
          <cell r="C5717" t="str">
            <v/>
          </cell>
          <cell r="D5717" t="str">
            <v/>
          </cell>
          <cell r="E5717">
            <v>0</v>
          </cell>
          <cell r="F5717" t="str">
            <v/>
          </cell>
          <cell r="G5717" t="str">
            <v/>
          </cell>
          <cell r="H5717" t="str">
            <v/>
          </cell>
          <cell r="I5717" t="str">
            <v/>
          </cell>
          <cell r="J5717">
            <v>0</v>
          </cell>
          <cell r="K5717">
            <v>0</v>
          </cell>
          <cell r="L5717">
            <v>0</v>
          </cell>
          <cell r="M5717">
            <v>0</v>
          </cell>
          <cell r="N5717">
            <v>0</v>
          </cell>
          <cell r="O5717" t="str">
            <v/>
          </cell>
          <cell r="P5717">
            <v>0</v>
          </cell>
          <cell r="Q5717">
            <v>0</v>
          </cell>
          <cell r="R5717">
            <v>0</v>
          </cell>
          <cell r="S5717">
            <v>0</v>
          </cell>
          <cell r="T5717">
            <v>0</v>
          </cell>
          <cell r="U5717" t="str">
            <v/>
          </cell>
          <cell r="V5717" t="str">
            <v/>
          </cell>
        </row>
        <row r="5718">
          <cell r="A5718">
            <v>5717</v>
          </cell>
          <cell r="B5718">
            <v>0</v>
          </cell>
          <cell r="C5718" t="str">
            <v/>
          </cell>
          <cell r="D5718" t="str">
            <v/>
          </cell>
          <cell r="E5718">
            <v>0</v>
          </cell>
          <cell r="F5718" t="str">
            <v/>
          </cell>
          <cell r="G5718" t="str">
            <v/>
          </cell>
          <cell r="H5718" t="str">
            <v/>
          </cell>
          <cell r="I5718" t="str">
            <v/>
          </cell>
          <cell r="J5718">
            <v>0</v>
          </cell>
          <cell r="K5718">
            <v>0</v>
          </cell>
          <cell r="L5718">
            <v>0</v>
          </cell>
          <cell r="M5718">
            <v>0</v>
          </cell>
          <cell r="N5718">
            <v>0</v>
          </cell>
          <cell r="O5718" t="str">
            <v/>
          </cell>
          <cell r="P5718">
            <v>0</v>
          </cell>
          <cell r="Q5718">
            <v>0</v>
          </cell>
          <cell r="R5718">
            <v>0</v>
          </cell>
          <cell r="S5718">
            <v>0</v>
          </cell>
          <cell r="T5718">
            <v>0</v>
          </cell>
          <cell r="U5718" t="str">
            <v/>
          </cell>
          <cell r="V5718" t="str">
            <v/>
          </cell>
        </row>
        <row r="5719">
          <cell r="A5719">
            <v>5718</v>
          </cell>
          <cell r="B5719">
            <v>0</v>
          </cell>
          <cell r="C5719" t="str">
            <v/>
          </cell>
          <cell r="D5719" t="str">
            <v/>
          </cell>
          <cell r="E5719">
            <v>0</v>
          </cell>
          <cell r="F5719" t="str">
            <v/>
          </cell>
          <cell r="G5719" t="str">
            <v/>
          </cell>
          <cell r="H5719" t="str">
            <v/>
          </cell>
          <cell r="I5719" t="str">
            <v/>
          </cell>
          <cell r="J5719">
            <v>0</v>
          </cell>
          <cell r="K5719">
            <v>0</v>
          </cell>
          <cell r="L5719">
            <v>0</v>
          </cell>
          <cell r="M5719">
            <v>0</v>
          </cell>
          <cell r="N5719">
            <v>0</v>
          </cell>
          <cell r="O5719" t="str">
            <v/>
          </cell>
          <cell r="P5719">
            <v>0</v>
          </cell>
          <cell r="Q5719">
            <v>0</v>
          </cell>
          <cell r="R5719">
            <v>0</v>
          </cell>
          <cell r="S5719">
            <v>0</v>
          </cell>
          <cell r="T5719">
            <v>0</v>
          </cell>
          <cell r="U5719" t="str">
            <v/>
          </cell>
          <cell r="V5719" t="str">
            <v/>
          </cell>
        </row>
        <row r="5720">
          <cell r="A5720">
            <v>5719</v>
          </cell>
          <cell r="B5720">
            <v>0</v>
          </cell>
          <cell r="C5720" t="str">
            <v/>
          </cell>
          <cell r="D5720" t="str">
            <v/>
          </cell>
          <cell r="E5720">
            <v>0</v>
          </cell>
          <cell r="F5720" t="str">
            <v/>
          </cell>
          <cell r="G5720" t="str">
            <v/>
          </cell>
          <cell r="H5720" t="str">
            <v/>
          </cell>
          <cell r="I5720" t="str">
            <v/>
          </cell>
          <cell r="J5720">
            <v>0</v>
          </cell>
          <cell r="K5720">
            <v>0</v>
          </cell>
          <cell r="L5720">
            <v>0</v>
          </cell>
          <cell r="M5720">
            <v>0</v>
          </cell>
          <cell r="N5720">
            <v>0</v>
          </cell>
          <cell r="O5720" t="str">
            <v/>
          </cell>
          <cell r="P5720">
            <v>0</v>
          </cell>
          <cell r="Q5720">
            <v>0</v>
          </cell>
          <cell r="R5720">
            <v>0</v>
          </cell>
          <cell r="S5720">
            <v>0</v>
          </cell>
          <cell r="T5720">
            <v>0</v>
          </cell>
          <cell r="U5720" t="str">
            <v/>
          </cell>
          <cell r="V5720" t="str">
            <v/>
          </cell>
        </row>
        <row r="5721">
          <cell r="A5721">
            <v>5720</v>
          </cell>
          <cell r="B5721">
            <v>0</v>
          </cell>
          <cell r="C5721" t="str">
            <v/>
          </cell>
          <cell r="D5721" t="str">
            <v/>
          </cell>
          <cell r="E5721">
            <v>0</v>
          </cell>
          <cell r="F5721" t="str">
            <v/>
          </cell>
          <cell r="G5721" t="str">
            <v/>
          </cell>
          <cell r="H5721" t="str">
            <v/>
          </cell>
          <cell r="I5721" t="str">
            <v/>
          </cell>
          <cell r="J5721">
            <v>0</v>
          </cell>
          <cell r="K5721">
            <v>0</v>
          </cell>
          <cell r="L5721">
            <v>0</v>
          </cell>
          <cell r="M5721">
            <v>0</v>
          </cell>
          <cell r="N5721">
            <v>0</v>
          </cell>
          <cell r="O5721" t="str">
            <v/>
          </cell>
          <cell r="P5721">
            <v>0</v>
          </cell>
          <cell r="Q5721">
            <v>0</v>
          </cell>
          <cell r="R5721">
            <v>0</v>
          </cell>
          <cell r="S5721">
            <v>0</v>
          </cell>
          <cell r="T5721">
            <v>0</v>
          </cell>
          <cell r="U5721" t="str">
            <v/>
          </cell>
          <cell r="V5721" t="str">
            <v/>
          </cell>
        </row>
        <row r="5722">
          <cell r="A5722">
            <v>5721</v>
          </cell>
          <cell r="B5722">
            <v>0</v>
          </cell>
          <cell r="C5722" t="str">
            <v/>
          </cell>
          <cell r="D5722" t="str">
            <v/>
          </cell>
          <cell r="E5722">
            <v>0</v>
          </cell>
          <cell r="F5722" t="str">
            <v/>
          </cell>
          <cell r="G5722" t="str">
            <v/>
          </cell>
          <cell r="H5722" t="str">
            <v/>
          </cell>
          <cell r="I5722" t="str">
            <v/>
          </cell>
          <cell r="J5722">
            <v>0</v>
          </cell>
          <cell r="K5722">
            <v>0</v>
          </cell>
          <cell r="L5722">
            <v>0</v>
          </cell>
          <cell r="M5722">
            <v>0</v>
          </cell>
          <cell r="N5722">
            <v>0</v>
          </cell>
          <cell r="O5722" t="str">
            <v/>
          </cell>
          <cell r="P5722">
            <v>0</v>
          </cell>
          <cell r="Q5722">
            <v>0</v>
          </cell>
          <cell r="R5722">
            <v>0</v>
          </cell>
          <cell r="S5722">
            <v>0</v>
          </cell>
          <cell r="T5722">
            <v>0</v>
          </cell>
          <cell r="U5722" t="str">
            <v/>
          </cell>
          <cell r="V5722" t="str">
            <v/>
          </cell>
        </row>
        <row r="5723">
          <cell r="A5723">
            <v>5722</v>
          </cell>
          <cell r="B5723">
            <v>0</v>
          </cell>
          <cell r="C5723" t="str">
            <v/>
          </cell>
          <cell r="D5723" t="str">
            <v/>
          </cell>
          <cell r="E5723">
            <v>0</v>
          </cell>
          <cell r="F5723" t="str">
            <v/>
          </cell>
          <cell r="G5723" t="str">
            <v/>
          </cell>
          <cell r="H5723" t="str">
            <v/>
          </cell>
          <cell r="I5723" t="str">
            <v/>
          </cell>
          <cell r="J5723">
            <v>0</v>
          </cell>
          <cell r="K5723">
            <v>0</v>
          </cell>
          <cell r="L5723">
            <v>0</v>
          </cell>
          <cell r="M5723">
            <v>0</v>
          </cell>
          <cell r="N5723">
            <v>0</v>
          </cell>
          <cell r="O5723" t="str">
            <v/>
          </cell>
          <cell r="P5723">
            <v>0</v>
          </cell>
          <cell r="Q5723">
            <v>0</v>
          </cell>
          <cell r="R5723">
            <v>0</v>
          </cell>
          <cell r="S5723">
            <v>0</v>
          </cell>
          <cell r="T5723">
            <v>0</v>
          </cell>
          <cell r="U5723" t="str">
            <v/>
          </cell>
          <cell r="V5723" t="str">
            <v/>
          </cell>
        </row>
        <row r="5724">
          <cell r="A5724">
            <v>5723</v>
          </cell>
          <cell r="B5724">
            <v>0</v>
          </cell>
          <cell r="C5724" t="str">
            <v/>
          </cell>
          <cell r="D5724" t="str">
            <v/>
          </cell>
          <cell r="E5724">
            <v>0</v>
          </cell>
          <cell r="F5724" t="str">
            <v/>
          </cell>
          <cell r="G5724" t="str">
            <v/>
          </cell>
          <cell r="H5724" t="str">
            <v/>
          </cell>
          <cell r="I5724" t="str">
            <v/>
          </cell>
          <cell r="J5724">
            <v>0</v>
          </cell>
          <cell r="K5724">
            <v>0</v>
          </cell>
          <cell r="L5724">
            <v>0</v>
          </cell>
          <cell r="M5724">
            <v>0</v>
          </cell>
          <cell r="N5724">
            <v>0</v>
          </cell>
          <cell r="O5724" t="str">
            <v/>
          </cell>
          <cell r="P5724">
            <v>0</v>
          </cell>
          <cell r="Q5724">
            <v>0</v>
          </cell>
          <cell r="R5724">
            <v>0</v>
          </cell>
          <cell r="S5724">
            <v>0</v>
          </cell>
          <cell r="T5724">
            <v>0</v>
          </cell>
          <cell r="U5724" t="str">
            <v/>
          </cell>
          <cell r="V5724" t="str">
            <v/>
          </cell>
        </row>
        <row r="5725">
          <cell r="A5725">
            <v>5724</v>
          </cell>
          <cell r="B5725">
            <v>0</v>
          </cell>
          <cell r="C5725" t="str">
            <v/>
          </cell>
          <cell r="D5725" t="str">
            <v/>
          </cell>
          <cell r="E5725">
            <v>0</v>
          </cell>
          <cell r="F5725" t="str">
            <v/>
          </cell>
          <cell r="G5725" t="str">
            <v/>
          </cell>
          <cell r="H5725" t="str">
            <v/>
          </cell>
          <cell r="I5725" t="str">
            <v/>
          </cell>
          <cell r="J5725">
            <v>0</v>
          </cell>
          <cell r="K5725">
            <v>0</v>
          </cell>
          <cell r="L5725">
            <v>0</v>
          </cell>
          <cell r="M5725">
            <v>0</v>
          </cell>
          <cell r="N5725">
            <v>0</v>
          </cell>
          <cell r="O5725" t="str">
            <v/>
          </cell>
          <cell r="P5725">
            <v>0</v>
          </cell>
          <cell r="Q5725">
            <v>0</v>
          </cell>
          <cell r="R5725">
            <v>0</v>
          </cell>
          <cell r="S5725">
            <v>0</v>
          </cell>
          <cell r="T5725">
            <v>0</v>
          </cell>
          <cell r="U5725" t="str">
            <v/>
          </cell>
          <cell r="V5725" t="str">
            <v/>
          </cell>
        </row>
        <row r="5726">
          <cell r="A5726">
            <v>5725</v>
          </cell>
          <cell r="B5726">
            <v>0</v>
          </cell>
          <cell r="C5726" t="str">
            <v/>
          </cell>
          <cell r="D5726" t="str">
            <v/>
          </cell>
          <cell r="E5726">
            <v>0</v>
          </cell>
          <cell r="F5726" t="str">
            <v/>
          </cell>
          <cell r="G5726" t="str">
            <v/>
          </cell>
          <cell r="H5726" t="str">
            <v/>
          </cell>
          <cell r="I5726" t="str">
            <v/>
          </cell>
          <cell r="J5726">
            <v>0</v>
          </cell>
          <cell r="K5726">
            <v>0</v>
          </cell>
          <cell r="L5726">
            <v>0</v>
          </cell>
          <cell r="M5726">
            <v>0</v>
          </cell>
          <cell r="N5726">
            <v>0</v>
          </cell>
          <cell r="O5726" t="str">
            <v/>
          </cell>
          <cell r="P5726">
            <v>0</v>
          </cell>
          <cell r="Q5726">
            <v>0</v>
          </cell>
          <cell r="R5726">
            <v>0</v>
          </cell>
          <cell r="S5726">
            <v>0</v>
          </cell>
          <cell r="T5726">
            <v>0</v>
          </cell>
          <cell r="U5726" t="str">
            <v/>
          </cell>
          <cell r="V5726" t="str">
            <v/>
          </cell>
        </row>
        <row r="5727">
          <cell r="A5727">
            <v>5726</v>
          </cell>
          <cell r="B5727">
            <v>0</v>
          </cell>
          <cell r="C5727" t="str">
            <v/>
          </cell>
          <cell r="D5727" t="str">
            <v/>
          </cell>
          <cell r="E5727">
            <v>0</v>
          </cell>
          <cell r="F5727" t="str">
            <v/>
          </cell>
          <cell r="G5727" t="str">
            <v/>
          </cell>
          <cell r="H5727" t="str">
            <v/>
          </cell>
          <cell r="I5727" t="str">
            <v/>
          </cell>
          <cell r="J5727">
            <v>0</v>
          </cell>
          <cell r="K5727">
            <v>0</v>
          </cell>
          <cell r="L5727">
            <v>0</v>
          </cell>
          <cell r="M5727">
            <v>0</v>
          </cell>
          <cell r="N5727">
            <v>0</v>
          </cell>
          <cell r="O5727" t="str">
            <v/>
          </cell>
          <cell r="P5727">
            <v>0</v>
          </cell>
          <cell r="Q5727">
            <v>0</v>
          </cell>
          <cell r="R5727">
            <v>0</v>
          </cell>
          <cell r="S5727">
            <v>0</v>
          </cell>
          <cell r="T5727">
            <v>0</v>
          </cell>
          <cell r="U5727" t="str">
            <v/>
          </cell>
          <cell r="V5727" t="str">
            <v/>
          </cell>
        </row>
        <row r="5728">
          <cell r="A5728">
            <v>5727</v>
          </cell>
          <cell r="B5728">
            <v>0</v>
          </cell>
          <cell r="C5728" t="str">
            <v/>
          </cell>
          <cell r="D5728" t="str">
            <v/>
          </cell>
          <cell r="E5728">
            <v>0</v>
          </cell>
          <cell r="F5728" t="str">
            <v/>
          </cell>
          <cell r="G5728" t="str">
            <v/>
          </cell>
          <cell r="H5728" t="str">
            <v/>
          </cell>
          <cell r="I5728" t="str">
            <v/>
          </cell>
          <cell r="J5728">
            <v>0</v>
          </cell>
          <cell r="K5728">
            <v>0</v>
          </cell>
          <cell r="L5728">
            <v>0</v>
          </cell>
          <cell r="M5728">
            <v>0</v>
          </cell>
          <cell r="N5728">
            <v>0</v>
          </cell>
          <cell r="O5728" t="str">
            <v/>
          </cell>
          <cell r="P5728">
            <v>0</v>
          </cell>
          <cell r="Q5728">
            <v>0</v>
          </cell>
          <cell r="R5728">
            <v>0</v>
          </cell>
          <cell r="S5728">
            <v>0</v>
          </cell>
          <cell r="T5728">
            <v>0</v>
          </cell>
          <cell r="U5728" t="str">
            <v/>
          </cell>
          <cell r="V5728" t="str">
            <v/>
          </cell>
        </row>
        <row r="5729">
          <cell r="A5729">
            <v>5728</v>
          </cell>
          <cell r="B5729">
            <v>0</v>
          </cell>
          <cell r="C5729" t="str">
            <v/>
          </cell>
          <cell r="D5729" t="str">
            <v/>
          </cell>
          <cell r="E5729">
            <v>0</v>
          </cell>
          <cell r="F5729" t="str">
            <v/>
          </cell>
          <cell r="G5729" t="str">
            <v/>
          </cell>
          <cell r="H5729" t="str">
            <v/>
          </cell>
          <cell r="I5729" t="str">
            <v/>
          </cell>
          <cell r="J5729">
            <v>0</v>
          </cell>
          <cell r="K5729">
            <v>0</v>
          </cell>
          <cell r="L5729">
            <v>0</v>
          </cell>
          <cell r="M5729">
            <v>0</v>
          </cell>
          <cell r="N5729">
            <v>0</v>
          </cell>
          <cell r="O5729" t="str">
            <v/>
          </cell>
          <cell r="P5729">
            <v>0</v>
          </cell>
          <cell r="Q5729">
            <v>0</v>
          </cell>
          <cell r="R5729">
            <v>0</v>
          </cell>
          <cell r="S5729">
            <v>0</v>
          </cell>
          <cell r="T5729">
            <v>0</v>
          </cell>
          <cell r="U5729" t="str">
            <v/>
          </cell>
          <cell r="V5729" t="str">
            <v/>
          </cell>
        </row>
        <row r="5730">
          <cell r="A5730">
            <v>5729</v>
          </cell>
          <cell r="B5730">
            <v>0</v>
          </cell>
          <cell r="C5730" t="str">
            <v/>
          </cell>
          <cell r="D5730" t="str">
            <v/>
          </cell>
          <cell r="E5730">
            <v>0</v>
          </cell>
          <cell r="F5730" t="str">
            <v/>
          </cell>
          <cell r="G5730" t="str">
            <v/>
          </cell>
          <cell r="H5730" t="str">
            <v/>
          </cell>
          <cell r="I5730" t="str">
            <v/>
          </cell>
          <cell r="J5730">
            <v>0</v>
          </cell>
          <cell r="K5730">
            <v>0</v>
          </cell>
          <cell r="L5730">
            <v>0</v>
          </cell>
          <cell r="M5730">
            <v>0</v>
          </cell>
          <cell r="N5730">
            <v>0</v>
          </cell>
          <cell r="O5730" t="str">
            <v/>
          </cell>
          <cell r="P5730">
            <v>0</v>
          </cell>
          <cell r="Q5730">
            <v>0</v>
          </cell>
          <cell r="R5730">
            <v>0</v>
          </cell>
          <cell r="S5730">
            <v>0</v>
          </cell>
          <cell r="T5730">
            <v>0</v>
          </cell>
          <cell r="U5730" t="str">
            <v/>
          </cell>
          <cell r="V5730" t="str">
            <v/>
          </cell>
        </row>
        <row r="5731">
          <cell r="A5731">
            <v>5730</v>
          </cell>
          <cell r="B5731">
            <v>0</v>
          </cell>
          <cell r="C5731" t="str">
            <v/>
          </cell>
          <cell r="D5731" t="str">
            <v/>
          </cell>
          <cell r="E5731">
            <v>0</v>
          </cell>
          <cell r="F5731" t="str">
            <v/>
          </cell>
          <cell r="G5731" t="str">
            <v/>
          </cell>
          <cell r="H5731" t="str">
            <v/>
          </cell>
          <cell r="I5731" t="str">
            <v/>
          </cell>
          <cell r="J5731">
            <v>0</v>
          </cell>
          <cell r="K5731">
            <v>0</v>
          </cell>
          <cell r="L5731">
            <v>0</v>
          </cell>
          <cell r="M5731">
            <v>0</v>
          </cell>
          <cell r="N5731">
            <v>0</v>
          </cell>
          <cell r="O5731" t="str">
            <v/>
          </cell>
          <cell r="P5731">
            <v>0</v>
          </cell>
          <cell r="Q5731">
            <v>0</v>
          </cell>
          <cell r="R5731">
            <v>0</v>
          </cell>
          <cell r="S5731">
            <v>0</v>
          </cell>
          <cell r="T5731">
            <v>0</v>
          </cell>
          <cell r="U5731" t="str">
            <v/>
          </cell>
          <cell r="V5731" t="str">
            <v/>
          </cell>
        </row>
        <row r="5732">
          <cell r="A5732">
            <v>5731</v>
          </cell>
          <cell r="B5732">
            <v>0</v>
          </cell>
          <cell r="C5732" t="str">
            <v/>
          </cell>
          <cell r="D5732" t="str">
            <v/>
          </cell>
          <cell r="E5732">
            <v>0</v>
          </cell>
          <cell r="F5732" t="str">
            <v/>
          </cell>
          <cell r="G5732" t="str">
            <v/>
          </cell>
          <cell r="H5732" t="str">
            <v/>
          </cell>
          <cell r="I5732" t="str">
            <v/>
          </cell>
          <cell r="J5732">
            <v>0</v>
          </cell>
          <cell r="K5732">
            <v>0</v>
          </cell>
          <cell r="L5732">
            <v>0</v>
          </cell>
          <cell r="M5732">
            <v>0</v>
          </cell>
          <cell r="N5732">
            <v>0</v>
          </cell>
          <cell r="O5732" t="str">
            <v/>
          </cell>
          <cell r="P5732">
            <v>0</v>
          </cell>
          <cell r="Q5732">
            <v>0</v>
          </cell>
          <cell r="R5732">
            <v>0</v>
          </cell>
          <cell r="S5732">
            <v>0</v>
          </cell>
          <cell r="T5732">
            <v>0</v>
          </cell>
          <cell r="U5732" t="str">
            <v/>
          </cell>
          <cell r="V5732" t="str">
            <v/>
          </cell>
        </row>
        <row r="5733">
          <cell r="A5733">
            <v>5732</v>
          </cell>
          <cell r="B5733">
            <v>0</v>
          </cell>
          <cell r="C5733" t="str">
            <v/>
          </cell>
          <cell r="D5733" t="str">
            <v/>
          </cell>
          <cell r="E5733">
            <v>0</v>
          </cell>
          <cell r="F5733" t="str">
            <v/>
          </cell>
          <cell r="G5733" t="str">
            <v/>
          </cell>
          <cell r="H5733" t="str">
            <v/>
          </cell>
          <cell r="I5733" t="str">
            <v/>
          </cell>
          <cell r="J5733">
            <v>0</v>
          </cell>
          <cell r="K5733">
            <v>0</v>
          </cell>
          <cell r="L5733">
            <v>0</v>
          </cell>
          <cell r="M5733">
            <v>0</v>
          </cell>
          <cell r="N5733">
            <v>0</v>
          </cell>
          <cell r="O5733" t="str">
            <v/>
          </cell>
          <cell r="P5733">
            <v>0</v>
          </cell>
          <cell r="Q5733">
            <v>0</v>
          </cell>
          <cell r="R5733">
            <v>0</v>
          </cell>
          <cell r="S5733">
            <v>0</v>
          </cell>
          <cell r="T5733">
            <v>0</v>
          </cell>
          <cell r="U5733" t="str">
            <v/>
          </cell>
          <cell r="V5733" t="str">
            <v/>
          </cell>
        </row>
        <row r="5734">
          <cell r="A5734">
            <v>5733</v>
          </cell>
          <cell r="B5734">
            <v>0</v>
          </cell>
          <cell r="C5734" t="str">
            <v/>
          </cell>
          <cell r="D5734" t="str">
            <v/>
          </cell>
          <cell r="E5734">
            <v>0</v>
          </cell>
          <cell r="F5734" t="str">
            <v/>
          </cell>
          <cell r="G5734" t="str">
            <v/>
          </cell>
          <cell r="H5734" t="str">
            <v/>
          </cell>
          <cell r="I5734" t="str">
            <v/>
          </cell>
          <cell r="J5734">
            <v>0</v>
          </cell>
          <cell r="K5734">
            <v>0</v>
          </cell>
          <cell r="L5734">
            <v>0</v>
          </cell>
          <cell r="M5734">
            <v>0</v>
          </cell>
          <cell r="N5734">
            <v>0</v>
          </cell>
          <cell r="O5734" t="str">
            <v/>
          </cell>
          <cell r="P5734">
            <v>0</v>
          </cell>
          <cell r="Q5734">
            <v>0</v>
          </cell>
          <cell r="R5734">
            <v>0</v>
          </cell>
          <cell r="S5734">
            <v>0</v>
          </cell>
          <cell r="T5734">
            <v>0</v>
          </cell>
          <cell r="U5734" t="str">
            <v/>
          </cell>
          <cell r="V5734" t="str">
            <v/>
          </cell>
        </row>
        <row r="5735">
          <cell r="A5735">
            <v>5734</v>
          </cell>
          <cell r="B5735">
            <v>0</v>
          </cell>
          <cell r="C5735" t="str">
            <v/>
          </cell>
          <cell r="D5735" t="str">
            <v/>
          </cell>
          <cell r="E5735">
            <v>0</v>
          </cell>
          <cell r="F5735" t="str">
            <v/>
          </cell>
          <cell r="G5735" t="str">
            <v/>
          </cell>
          <cell r="H5735" t="str">
            <v/>
          </cell>
          <cell r="I5735" t="str">
            <v/>
          </cell>
          <cell r="J5735">
            <v>0</v>
          </cell>
          <cell r="K5735">
            <v>0</v>
          </cell>
          <cell r="L5735">
            <v>0</v>
          </cell>
          <cell r="M5735">
            <v>0</v>
          </cell>
          <cell r="N5735">
            <v>0</v>
          </cell>
          <cell r="O5735" t="str">
            <v/>
          </cell>
          <cell r="P5735">
            <v>0</v>
          </cell>
          <cell r="Q5735">
            <v>0</v>
          </cell>
          <cell r="R5735">
            <v>0</v>
          </cell>
          <cell r="S5735">
            <v>0</v>
          </cell>
          <cell r="T5735">
            <v>0</v>
          </cell>
          <cell r="U5735" t="str">
            <v/>
          </cell>
          <cell r="V5735" t="str">
            <v/>
          </cell>
        </row>
        <row r="5736">
          <cell r="A5736">
            <v>5735</v>
          </cell>
          <cell r="B5736">
            <v>0</v>
          </cell>
          <cell r="C5736" t="str">
            <v/>
          </cell>
          <cell r="D5736" t="str">
            <v/>
          </cell>
          <cell r="E5736">
            <v>0</v>
          </cell>
          <cell r="F5736" t="str">
            <v/>
          </cell>
          <cell r="G5736" t="str">
            <v/>
          </cell>
          <cell r="H5736" t="str">
            <v/>
          </cell>
          <cell r="I5736" t="str">
            <v/>
          </cell>
          <cell r="J5736">
            <v>0</v>
          </cell>
          <cell r="K5736">
            <v>0</v>
          </cell>
          <cell r="L5736">
            <v>0</v>
          </cell>
          <cell r="M5736">
            <v>0</v>
          </cell>
          <cell r="N5736">
            <v>0</v>
          </cell>
          <cell r="O5736" t="str">
            <v/>
          </cell>
          <cell r="P5736">
            <v>0</v>
          </cell>
          <cell r="Q5736">
            <v>0</v>
          </cell>
          <cell r="R5736">
            <v>0</v>
          </cell>
          <cell r="S5736">
            <v>0</v>
          </cell>
          <cell r="T5736">
            <v>0</v>
          </cell>
          <cell r="U5736" t="str">
            <v/>
          </cell>
          <cell r="V5736" t="str">
            <v/>
          </cell>
        </row>
        <row r="5737">
          <cell r="A5737">
            <v>5736</v>
          </cell>
          <cell r="B5737">
            <v>0</v>
          </cell>
          <cell r="C5737" t="str">
            <v/>
          </cell>
          <cell r="D5737" t="str">
            <v/>
          </cell>
          <cell r="E5737">
            <v>0</v>
          </cell>
          <cell r="F5737" t="str">
            <v/>
          </cell>
          <cell r="G5737" t="str">
            <v/>
          </cell>
          <cell r="H5737" t="str">
            <v/>
          </cell>
          <cell r="I5737" t="str">
            <v/>
          </cell>
          <cell r="J5737">
            <v>0</v>
          </cell>
          <cell r="K5737">
            <v>0</v>
          </cell>
          <cell r="L5737">
            <v>0</v>
          </cell>
          <cell r="M5737">
            <v>0</v>
          </cell>
          <cell r="N5737">
            <v>0</v>
          </cell>
          <cell r="O5737" t="str">
            <v/>
          </cell>
          <cell r="P5737">
            <v>0</v>
          </cell>
          <cell r="Q5737">
            <v>0</v>
          </cell>
          <cell r="R5737">
            <v>0</v>
          </cell>
          <cell r="S5737">
            <v>0</v>
          </cell>
          <cell r="T5737">
            <v>0</v>
          </cell>
          <cell r="U5737" t="str">
            <v/>
          </cell>
          <cell r="V5737" t="str">
            <v/>
          </cell>
        </row>
        <row r="5738">
          <cell r="A5738">
            <v>5737</v>
          </cell>
          <cell r="B5738">
            <v>0</v>
          </cell>
          <cell r="C5738" t="str">
            <v/>
          </cell>
          <cell r="D5738" t="str">
            <v/>
          </cell>
          <cell r="E5738">
            <v>0</v>
          </cell>
          <cell r="F5738" t="str">
            <v/>
          </cell>
          <cell r="G5738" t="str">
            <v/>
          </cell>
          <cell r="H5738" t="str">
            <v/>
          </cell>
          <cell r="I5738" t="str">
            <v/>
          </cell>
          <cell r="J5738">
            <v>0</v>
          </cell>
          <cell r="K5738">
            <v>0</v>
          </cell>
          <cell r="L5738">
            <v>0</v>
          </cell>
          <cell r="M5738">
            <v>0</v>
          </cell>
          <cell r="N5738">
            <v>0</v>
          </cell>
          <cell r="O5738" t="str">
            <v/>
          </cell>
          <cell r="P5738">
            <v>0</v>
          </cell>
          <cell r="Q5738">
            <v>0</v>
          </cell>
          <cell r="R5738">
            <v>0</v>
          </cell>
          <cell r="S5738">
            <v>0</v>
          </cell>
          <cell r="T5738">
            <v>0</v>
          </cell>
          <cell r="U5738" t="str">
            <v/>
          </cell>
          <cell r="V5738" t="str">
            <v/>
          </cell>
        </row>
        <row r="5739">
          <cell r="A5739">
            <v>5738</v>
          </cell>
          <cell r="B5739">
            <v>0</v>
          </cell>
          <cell r="C5739" t="str">
            <v/>
          </cell>
          <cell r="D5739" t="str">
            <v/>
          </cell>
          <cell r="E5739">
            <v>0</v>
          </cell>
          <cell r="F5739" t="str">
            <v/>
          </cell>
          <cell r="G5739" t="str">
            <v/>
          </cell>
          <cell r="H5739" t="str">
            <v/>
          </cell>
          <cell r="I5739" t="str">
            <v/>
          </cell>
          <cell r="J5739">
            <v>0</v>
          </cell>
          <cell r="K5739">
            <v>0</v>
          </cell>
          <cell r="L5739">
            <v>0</v>
          </cell>
          <cell r="M5739">
            <v>0</v>
          </cell>
          <cell r="N5739">
            <v>0</v>
          </cell>
          <cell r="O5739" t="str">
            <v/>
          </cell>
          <cell r="P5739">
            <v>0</v>
          </cell>
          <cell r="Q5739">
            <v>0</v>
          </cell>
          <cell r="R5739">
            <v>0</v>
          </cell>
          <cell r="S5739">
            <v>0</v>
          </cell>
          <cell r="T5739">
            <v>0</v>
          </cell>
          <cell r="U5739" t="str">
            <v/>
          </cell>
          <cell r="V5739" t="str">
            <v/>
          </cell>
        </row>
        <row r="5740">
          <cell r="A5740">
            <v>5739</v>
          </cell>
          <cell r="B5740">
            <v>0</v>
          </cell>
          <cell r="C5740" t="str">
            <v/>
          </cell>
          <cell r="D5740" t="str">
            <v/>
          </cell>
          <cell r="E5740">
            <v>0</v>
          </cell>
          <cell r="F5740" t="str">
            <v/>
          </cell>
          <cell r="G5740" t="str">
            <v/>
          </cell>
          <cell r="H5740" t="str">
            <v/>
          </cell>
          <cell r="I5740" t="str">
            <v/>
          </cell>
          <cell r="J5740">
            <v>0</v>
          </cell>
          <cell r="K5740">
            <v>0</v>
          </cell>
          <cell r="L5740">
            <v>0</v>
          </cell>
          <cell r="M5740">
            <v>0</v>
          </cell>
          <cell r="N5740">
            <v>0</v>
          </cell>
          <cell r="O5740" t="str">
            <v/>
          </cell>
          <cell r="P5740">
            <v>0</v>
          </cell>
          <cell r="Q5740">
            <v>0</v>
          </cell>
          <cell r="R5740">
            <v>0</v>
          </cell>
          <cell r="S5740">
            <v>0</v>
          </cell>
          <cell r="T5740">
            <v>0</v>
          </cell>
          <cell r="U5740" t="str">
            <v/>
          </cell>
          <cell r="V5740" t="str">
            <v/>
          </cell>
        </row>
        <row r="5741">
          <cell r="A5741">
            <v>5740</v>
          </cell>
          <cell r="B5741">
            <v>0</v>
          </cell>
          <cell r="C5741" t="str">
            <v/>
          </cell>
          <cell r="D5741" t="str">
            <v/>
          </cell>
          <cell r="E5741">
            <v>0</v>
          </cell>
          <cell r="F5741" t="str">
            <v/>
          </cell>
          <cell r="G5741" t="str">
            <v/>
          </cell>
          <cell r="H5741" t="str">
            <v/>
          </cell>
          <cell r="I5741" t="str">
            <v/>
          </cell>
          <cell r="J5741">
            <v>0</v>
          </cell>
          <cell r="K5741">
            <v>0</v>
          </cell>
          <cell r="L5741">
            <v>0</v>
          </cell>
          <cell r="M5741">
            <v>0</v>
          </cell>
          <cell r="N5741">
            <v>0</v>
          </cell>
          <cell r="O5741" t="str">
            <v/>
          </cell>
          <cell r="P5741">
            <v>0</v>
          </cell>
          <cell r="Q5741">
            <v>0</v>
          </cell>
          <cell r="R5741">
            <v>0</v>
          </cell>
          <cell r="S5741">
            <v>0</v>
          </cell>
          <cell r="T5741">
            <v>0</v>
          </cell>
          <cell r="U5741" t="str">
            <v/>
          </cell>
          <cell r="V5741" t="str">
            <v/>
          </cell>
        </row>
        <row r="5742">
          <cell r="A5742">
            <v>5741</v>
          </cell>
          <cell r="B5742">
            <v>0</v>
          </cell>
          <cell r="C5742" t="str">
            <v/>
          </cell>
          <cell r="D5742" t="str">
            <v/>
          </cell>
          <cell r="E5742">
            <v>0</v>
          </cell>
          <cell r="F5742" t="str">
            <v/>
          </cell>
          <cell r="G5742" t="str">
            <v/>
          </cell>
          <cell r="H5742" t="str">
            <v/>
          </cell>
          <cell r="I5742" t="str">
            <v/>
          </cell>
          <cell r="J5742">
            <v>0</v>
          </cell>
          <cell r="K5742">
            <v>0</v>
          </cell>
          <cell r="L5742">
            <v>0</v>
          </cell>
          <cell r="M5742">
            <v>0</v>
          </cell>
          <cell r="N5742">
            <v>0</v>
          </cell>
          <cell r="O5742" t="str">
            <v/>
          </cell>
          <cell r="P5742">
            <v>0</v>
          </cell>
          <cell r="Q5742">
            <v>0</v>
          </cell>
          <cell r="R5742">
            <v>0</v>
          </cell>
          <cell r="S5742">
            <v>0</v>
          </cell>
          <cell r="T5742">
            <v>0</v>
          </cell>
          <cell r="U5742" t="str">
            <v/>
          </cell>
          <cell r="V5742" t="str">
            <v/>
          </cell>
        </row>
        <row r="5743">
          <cell r="A5743">
            <v>5742</v>
          </cell>
          <cell r="B5743">
            <v>0</v>
          </cell>
          <cell r="C5743" t="str">
            <v/>
          </cell>
          <cell r="D5743" t="str">
            <v/>
          </cell>
          <cell r="E5743">
            <v>0</v>
          </cell>
          <cell r="F5743" t="str">
            <v/>
          </cell>
          <cell r="G5743" t="str">
            <v/>
          </cell>
          <cell r="H5743" t="str">
            <v/>
          </cell>
          <cell r="I5743" t="str">
            <v/>
          </cell>
          <cell r="J5743">
            <v>0</v>
          </cell>
          <cell r="K5743">
            <v>0</v>
          </cell>
          <cell r="L5743">
            <v>0</v>
          </cell>
          <cell r="M5743">
            <v>0</v>
          </cell>
          <cell r="N5743">
            <v>0</v>
          </cell>
          <cell r="O5743" t="str">
            <v/>
          </cell>
          <cell r="P5743">
            <v>0</v>
          </cell>
          <cell r="Q5743">
            <v>0</v>
          </cell>
          <cell r="R5743">
            <v>0</v>
          </cell>
          <cell r="S5743">
            <v>0</v>
          </cell>
          <cell r="T5743">
            <v>0</v>
          </cell>
          <cell r="U5743" t="str">
            <v/>
          </cell>
          <cell r="V5743" t="str">
            <v/>
          </cell>
        </row>
        <row r="5744">
          <cell r="A5744">
            <v>5743</v>
          </cell>
          <cell r="B5744">
            <v>0</v>
          </cell>
          <cell r="C5744" t="str">
            <v/>
          </cell>
          <cell r="D5744" t="str">
            <v/>
          </cell>
          <cell r="E5744">
            <v>0</v>
          </cell>
          <cell r="F5744" t="str">
            <v/>
          </cell>
          <cell r="G5744" t="str">
            <v/>
          </cell>
          <cell r="H5744" t="str">
            <v/>
          </cell>
          <cell r="I5744" t="str">
            <v/>
          </cell>
          <cell r="J5744">
            <v>0</v>
          </cell>
          <cell r="K5744">
            <v>0</v>
          </cell>
          <cell r="L5744">
            <v>0</v>
          </cell>
          <cell r="M5744">
            <v>0</v>
          </cell>
          <cell r="N5744">
            <v>0</v>
          </cell>
          <cell r="O5744" t="str">
            <v/>
          </cell>
          <cell r="P5744">
            <v>0</v>
          </cell>
          <cell r="Q5744">
            <v>0</v>
          </cell>
          <cell r="R5744">
            <v>0</v>
          </cell>
          <cell r="S5744">
            <v>0</v>
          </cell>
          <cell r="T5744">
            <v>0</v>
          </cell>
          <cell r="U5744" t="str">
            <v/>
          </cell>
          <cell r="V5744" t="str">
            <v/>
          </cell>
        </row>
        <row r="5745">
          <cell r="A5745">
            <v>5744</v>
          </cell>
          <cell r="B5745">
            <v>0</v>
          </cell>
          <cell r="C5745" t="str">
            <v/>
          </cell>
          <cell r="D5745" t="str">
            <v/>
          </cell>
          <cell r="E5745">
            <v>0</v>
          </cell>
          <cell r="F5745" t="str">
            <v/>
          </cell>
          <cell r="G5745" t="str">
            <v/>
          </cell>
          <cell r="H5745" t="str">
            <v/>
          </cell>
          <cell r="I5745" t="str">
            <v/>
          </cell>
          <cell r="J5745">
            <v>0</v>
          </cell>
          <cell r="K5745">
            <v>0</v>
          </cell>
          <cell r="L5745">
            <v>0</v>
          </cell>
          <cell r="M5745">
            <v>0</v>
          </cell>
          <cell r="N5745">
            <v>0</v>
          </cell>
          <cell r="O5745" t="str">
            <v/>
          </cell>
          <cell r="P5745">
            <v>0</v>
          </cell>
          <cell r="Q5745">
            <v>0</v>
          </cell>
          <cell r="R5745">
            <v>0</v>
          </cell>
          <cell r="S5745">
            <v>0</v>
          </cell>
          <cell r="T5745">
            <v>0</v>
          </cell>
          <cell r="U5745" t="str">
            <v/>
          </cell>
          <cell r="V5745" t="str">
            <v/>
          </cell>
        </row>
        <row r="5746">
          <cell r="A5746">
            <v>5745</v>
          </cell>
          <cell r="B5746">
            <v>0</v>
          </cell>
          <cell r="C5746" t="str">
            <v/>
          </cell>
          <cell r="D5746" t="str">
            <v/>
          </cell>
          <cell r="E5746">
            <v>0</v>
          </cell>
          <cell r="F5746" t="str">
            <v/>
          </cell>
          <cell r="G5746" t="str">
            <v/>
          </cell>
          <cell r="H5746" t="str">
            <v/>
          </cell>
          <cell r="I5746" t="str">
            <v/>
          </cell>
          <cell r="J5746">
            <v>0</v>
          </cell>
          <cell r="K5746">
            <v>0</v>
          </cell>
          <cell r="L5746">
            <v>0</v>
          </cell>
          <cell r="M5746">
            <v>0</v>
          </cell>
          <cell r="N5746">
            <v>0</v>
          </cell>
          <cell r="O5746" t="str">
            <v/>
          </cell>
          <cell r="P5746">
            <v>0</v>
          </cell>
          <cell r="Q5746">
            <v>0</v>
          </cell>
          <cell r="R5746">
            <v>0</v>
          </cell>
          <cell r="S5746">
            <v>0</v>
          </cell>
          <cell r="T5746">
            <v>0</v>
          </cell>
          <cell r="U5746" t="str">
            <v/>
          </cell>
          <cell r="V5746" t="str">
            <v/>
          </cell>
        </row>
        <row r="5747">
          <cell r="A5747">
            <v>5746</v>
          </cell>
          <cell r="B5747">
            <v>0</v>
          </cell>
          <cell r="C5747" t="str">
            <v/>
          </cell>
          <cell r="D5747" t="str">
            <v/>
          </cell>
          <cell r="E5747">
            <v>0</v>
          </cell>
          <cell r="F5747" t="str">
            <v/>
          </cell>
          <cell r="G5747" t="str">
            <v/>
          </cell>
          <cell r="H5747" t="str">
            <v/>
          </cell>
          <cell r="I5747" t="str">
            <v/>
          </cell>
          <cell r="J5747">
            <v>0</v>
          </cell>
          <cell r="K5747">
            <v>0</v>
          </cell>
          <cell r="L5747">
            <v>0</v>
          </cell>
          <cell r="M5747">
            <v>0</v>
          </cell>
          <cell r="N5747">
            <v>0</v>
          </cell>
          <cell r="O5747" t="str">
            <v/>
          </cell>
          <cell r="P5747">
            <v>0</v>
          </cell>
          <cell r="Q5747">
            <v>0</v>
          </cell>
          <cell r="R5747">
            <v>0</v>
          </cell>
          <cell r="S5747">
            <v>0</v>
          </cell>
          <cell r="T5747">
            <v>0</v>
          </cell>
          <cell r="U5747" t="str">
            <v/>
          </cell>
          <cell r="V5747" t="str">
            <v/>
          </cell>
        </row>
        <row r="5748">
          <cell r="A5748">
            <v>5747</v>
          </cell>
          <cell r="B5748">
            <v>0</v>
          </cell>
          <cell r="C5748" t="str">
            <v/>
          </cell>
          <cell r="D5748" t="str">
            <v/>
          </cell>
          <cell r="E5748">
            <v>0</v>
          </cell>
          <cell r="F5748" t="str">
            <v/>
          </cell>
          <cell r="G5748" t="str">
            <v/>
          </cell>
          <cell r="H5748" t="str">
            <v/>
          </cell>
          <cell r="I5748" t="str">
            <v/>
          </cell>
          <cell r="J5748">
            <v>0</v>
          </cell>
          <cell r="K5748">
            <v>0</v>
          </cell>
          <cell r="L5748">
            <v>0</v>
          </cell>
          <cell r="M5748">
            <v>0</v>
          </cell>
          <cell r="N5748">
            <v>0</v>
          </cell>
          <cell r="O5748" t="str">
            <v/>
          </cell>
          <cell r="P5748">
            <v>0</v>
          </cell>
          <cell r="Q5748">
            <v>0</v>
          </cell>
          <cell r="R5748">
            <v>0</v>
          </cell>
          <cell r="S5748">
            <v>0</v>
          </cell>
          <cell r="T5748">
            <v>0</v>
          </cell>
          <cell r="U5748" t="str">
            <v/>
          </cell>
          <cell r="V5748" t="str">
            <v/>
          </cell>
        </row>
        <row r="5749">
          <cell r="A5749">
            <v>5748</v>
          </cell>
          <cell r="B5749">
            <v>0</v>
          </cell>
          <cell r="C5749" t="str">
            <v/>
          </cell>
          <cell r="D5749" t="str">
            <v/>
          </cell>
          <cell r="E5749">
            <v>0</v>
          </cell>
          <cell r="F5749" t="str">
            <v/>
          </cell>
          <cell r="G5749" t="str">
            <v/>
          </cell>
          <cell r="H5749" t="str">
            <v/>
          </cell>
          <cell r="I5749" t="str">
            <v/>
          </cell>
          <cell r="J5749">
            <v>0</v>
          </cell>
          <cell r="K5749">
            <v>0</v>
          </cell>
          <cell r="L5749">
            <v>0</v>
          </cell>
          <cell r="M5749">
            <v>0</v>
          </cell>
          <cell r="N5749">
            <v>0</v>
          </cell>
          <cell r="O5749" t="str">
            <v/>
          </cell>
          <cell r="P5749">
            <v>0</v>
          </cell>
          <cell r="Q5749">
            <v>0</v>
          </cell>
          <cell r="R5749">
            <v>0</v>
          </cell>
          <cell r="S5749">
            <v>0</v>
          </cell>
          <cell r="T5749">
            <v>0</v>
          </cell>
          <cell r="U5749" t="str">
            <v/>
          </cell>
          <cell r="V5749" t="str">
            <v/>
          </cell>
        </row>
        <row r="5750">
          <cell r="A5750">
            <v>5749</v>
          </cell>
          <cell r="B5750">
            <v>0</v>
          </cell>
          <cell r="C5750" t="str">
            <v/>
          </cell>
          <cell r="D5750" t="str">
            <v/>
          </cell>
          <cell r="E5750">
            <v>0</v>
          </cell>
          <cell r="F5750" t="str">
            <v/>
          </cell>
          <cell r="G5750" t="str">
            <v/>
          </cell>
          <cell r="H5750" t="str">
            <v/>
          </cell>
          <cell r="I5750" t="str">
            <v/>
          </cell>
          <cell r="J5750">
            <v>0</v>
          </cell>
          <cell r="K5750">
            <v>0</v>
          </cell>
          <cell r="L5750">
            <v>0</v>
          </cell>
          <cell r="M5750">
            <v>0</v>
          </cell>
          <cell r="N5750">
            <v>0</v>
          </cell>
          <cell r="O5750" t="str">
            <v/>
          </cell>
          <cell r="P5750">
            <v>0</v>
          </cell>
          <cell r="Q5750">
            <v>0</v>
          </cell>
          <cell r="R5750">
            <v>0</v>
          </cell>
          <cell r="S5750">
            <v>0</v>
          </cell>
          <cell r="T5750">
            <v>0</v>
          </cell>
          <cell r="U5750" t="str">
            <v/>
          </cell>
          <cell r="V5750" t="str">
            <v/>
          </cell>
        </row>
        <row r="5751">
          <cell r="A5751">
            <v>5750</v>
          </cell>
          <cell r="B5751">
            <v>0</v>
          </cell>
          <cell r="C5751" t="str">
            <v/>
          </cell>
          <cell r="D5751" t="str">
            <v/>
          </cell>
          <cell r="E5751">
            <v>0</v>
          </cell>
          <cell r="F5751" t="str">
            <v/>
          </cell>
          <cell r="G5751" t="str">
            <v/>
          </cell>
          <cell r="H5751" t="str">
            <v/>
          </cell>
          <cell r="I5751" t="str">
            <v/>
          </cell>
          <cell r="J5751">
            <v>0</v>
          </cell>
          <cell r="K5751">
            <v>0</v>
          </cell>
          <cell r="L5751">
            <v>0</v>
          </cell>
          <cell r="M5751">
            <v>0</v>
          </cell>
          <cell r="N5751">
            <v>0</v>
          </cell>
          <cell r="O5751" t="str">
            <v/>
          </cell>
          <cell r="P5751">
            <v>0</v>
          </cell>
          <cell r="Q5751">
            <v>0</v>
          </cell>
          <cell r="R5751">
            <v>0</v>
          </cell>
          <cell r="S5751">
            <v>0</v>
          </cell>
          <cell r="T5751">
            <v>0</v>
          </cell>
          <cell r="U5751" t="str">
            <v/>
          </cell>
          <cell r="V5751" t="str">
            <v/>
          </cell>
        </row>
        <row r="5752">
          <cell r="A5752">
            <v>5751</v>
          </cell>
          <cell r="B5752">
            <v>0</v>
          </cell>
          <cell r="C5752" t="str">
            <v/>
          </cell>
          <cell r="D5752" t="str">
            <v/>
          </cell>
          <cell r="E5752">
            <v>0</v>
          </cell>
          <cell r="F5752" t="str">
            <v/>
          </cell>
          <cell r="G5752" t="str">
            <v/>
          </cell>
          <cell r="H5752" t="str">
            <v/>
          </cell>
          <cell r="I5752" t="str">
            <v/>
          </cell>
          <cell r="J5752">
            <v>0</v>
          </cell>
          <cell r="K5752">
            <v>0</v>
          </cell>
          <cell r="L5752">
            <v>0</v>
          </cell>
          <cell r="M5752">
            <v>0</v>
          </cell>
          <cell r="N5752">
            <v>0</v>
          </cell>
          <cell r="O5752" t="str">
            <v/>
          </cell>
          <cell r="P5752">
            <v>0</v>
          </cell>
          <cell r="Q5752">
            <v>0</v>
          </cell>
          <cell r="R5752">
            <v>0</v>
          </cell>
          <cell r="S5752">
            <v>0</v>
          </cell>
          <cell r="T5752">
            <v>0</v>
          </cell>
          <cell r="U5752" t="str">
            <v/>
          </cell>
          <cell r="V5752" t="str">
            <v/>
          </cell>
        </row>
        <row r="5753">
          <cell r="A5753">
            <v>5752</v>
          </cell>
          <cell r="B5753">
            <v>0</v>
          </cell>
          <cell r="C5753" t="str">
            <v/>
          </cell>
          <cell r="D5753" t="str">
            <v/>
          </cell>
          <cell r="E5753">
            <v>0</v>
          </cell>
          <cell r="F5753" t="str">
            <v/>
          </cell>
          <cell r="G5753" t="str">
            <v/>
          </cell>
          <cell r="H5753" t="str">
            <v/>
          </cell>
          <cell r="I5753" t="str">
            <v/>
          </cell>
          <cell r="J5753">
            <v>0</v>
          </cell>
          <cell r="K5753">
            <v>0</v>
          </cell>
          <cell r="L5753">
            <v>0</v>
          </cell>
          <cell r="M5753">
            <v>0</v>
          </cell>
          <cell r="N5753">
            <v>0</v>
          </cell>
          <cell r="O5753" t="str">
            <v/>
          </cell>
          <cell r="P5753">
            <v>0</v>
          </cell>
          <cell r="Q5753">
            <v>0</v>
          </cell>
          <cell r="R5753">
            <v>0</v>
          </cell>
          <cell r="S5753">
            <v>0</v>
          </cell>
          <cell r="T5753">
            <v>0</v>
          </cell>
          <cell r="U5753" t="str">
            <v/>
          </cell>
          <cell r="V5753" t="str">
            <v/>
          </cell>
        </row>
        <row r="5754">
          <cell r="A5754">
            <v>5753</v>
          </cell>
          <cell r="B5754">
            <v>0</v>
          </cell>
          <cell r="C5754" t="str">
            <v/>
          </cell>
          <cell r="D5754" t="str">
            <v/>
          </cell>
          <cell r="E5754">
            <v>0</v>
          </cell>
          <cell r="F5754" t="str">
            <v/>
          </cell>
          <cell r="G5754" t="str">
            <v/>
          </cell>
          <cell r="H5754" t="str">
            <v/>
          </cell>
          <cell r="I5754" t="str">
            <v/>
          </cell>
          <cell r="J5754">
            <v>0</v>
          </cell>
          <cell r="K5754">
            <v>0</v>
          </cell>
          <cell r="L5754">
            <v>0</v>
          </cell>
          <cell r="M5754">
            <v>0</v>
          </cell>
          <cell r="N5754">
            <v>0</v>
          </cell>
          <cell r="O5754" t="str">
            <v/>
          </cell>
          <cell r="P5754">
            <v>0</v>
          </cell>
          <cell r="Q5754">
            <v>0</v>
          </cell>
          <cell r="R5754">
            <v>0</v>
          </cell>
          <cell r="S5754">
            <v>0</v>
          </cell>
          <cell r="T5754">
            <v>0</v>
          </cell>
          <cell r="U5754" t="str">
            <v/>
          </cell>
          <cell r="V5754" t="str">
            <v/>
          </cell>
        </row>
        <row r="5755">
          <cell r="A5755">
            <v>5754</v>
          </cell>
          <cell r="B5755">
            <v>0</v>
          </cell>
          <cell r="C5755" t="str">
            <v/>
          </cell>
          <cell r="D5755" t="str">
            <v/>
          </cell>
          <cell r="E5755">
            <v>0</v>
          </cell>
          <cell r="F5755" t="str">
            <v/>
          </cell>
          <cell r="G5755" t="str">
            <v/>
          </cell>
          <cell r="H5755" t="str">
            <v/>
          </cell>
          <cell r="I5755" t="str">
            <v/>
          </cell>
          <cell r="J5755">
            <v>0</v>
          </cell>
          <cell r="K5755">
            <v>0</v>
          </cell>
          <cell r="L5755">
            <v>0</v>
          </cell>
          <cell r="M5755">
            <v>0</v>
          </cell>
          <cell r="N5755">
            <v>0</v>
          </cell>
          <cell r="O5755" t="str">
            <v/>
          </cell>
          <cell r="P5755">
            <v>0</v>
          </cell>
          <cell r="Q5755">
            <v>0</v>
          </cell>
          <cell r="R5755">
            <v>0</v>
          </cell>
          <cell r="S5755">
            <v>0</v>
          </cell>
          <cell r="T5755">
            <v>0</v>
          </cell>
          <cell r="U5755" t="str">
            <v/>
          </cell>
          <cell r="V5755" t="str">
            <v/>
          </cell>
        </row>
        <row r="5756">
          <cell r="A5756">
            <v>5755</v>
          </cell>
          <cell r="B5756">
            <v>0</v>
          </cell>
          <cell r="C5756" t="str">
            <v/>
          </cell>
          <cell r="D5756" t="str">
            <v/>
          </cell>
          <cell r="E5756">
            <v>0</v>
          </cell>
          <cell r="F5756" t="str">
            <v/>
          </cell>
          <cell r="G5756" t="str">
            <v/>
          </cell>
          <cell r="H5756" t="str">
            <v/>
          </cell>
          <cell r="I5756" t="str">
            <v/>
          </cell>
          <cell r="J5756">
            <v>0</v>
          </cell>
          <cell r="K5756">
            <v>0</v>
          </cell>
          <cell r="L5756">
            <v>0</v>
          </cell>
          <cell r="M5756">
            <v>0</v>
          </cell>
          <cell r="N5756">
            <v>0</v>
          </cell>
          <cell r="O5756" t="str">
            <v/>
          </cell>
          <cell r="P5756">
            <v>0</v>
          </cell>
          <cell r="Q5756">
            <v>0</v>
          </cell>
          <cell r="R5756">
            <v>0</v>
          </cell>
          <cell r="S5756">
            <v>0</v>
          </cell>
          <cell r="T5756">
            <v>0</v>
          </cell>
          <cell r="U5756" t="str">
            <v/>
          </cell>
          <cell r="V5756" t="str">
            <v/>
          </cell>
        </row>
        <row r="5757">
          <cell r="A5757">
            <v>5756</v>
          </cell>
          <cell r="B5757">
            <v>0</v>
          </cell>
          <cell r="C5757" t="str">
            <v/>
          </cell>
          <cell r="D5757" t="str">
            <v/>
          </cell>
          <cell r="E5757">
            <v>0</v>
          </cell>
          <cell r="F5757" t="str">
            <v/>
          </cell>
          <cell r="G5757" t="str">
            <v/>
          </cell>
          <cell r="H5757" t="str">
            <v/>
          </cell>
          <cell r="I5757" t="str">
            <v/>
          </cell>
          <cell r="J5757">
            <v>0</v>
          </cell>
          <cell r="K5757">
            <v>0</v>
          </cell>
          <cell r="L5757">
            <v>0</v>
          </cell>
          <cell r="M5757">
            <v>0</v>
          </cell>
          <cell r="N5757">
            <v>0</v>
          </cell>
          <cell r="O5757" t="str">
            <v/>
          </cell>
          <cell r="P5757">
            <v>0</v>
          </cell>
          <cell r="Q5757">
            <v>0</v>
          </cell>
          <cell r="R5757">
            <v>0</v>
          </cell>
          <cell r="S5757">
            <v>0</v>
          </cell>
          <cell r="T5757">
            <v>0</v>
          </cell>
          <cell r="U5757" t="str">
            <v/>
          </cell>
          <cell r="V5757" t="str">
            <v/>
          </cell>
        </row>
        <row r="5758">
          <cell r="A5758">
            <v>5757</v>
          </cell>
          <cell r="B5758">
            <v>0</v>
          </cell>
          <cell r="C5758" t="str">
            <v/>
          </cell>
          <cell r="D5758" t="str">
            <v/>
          </cell>
          <cell r="E5758">
            <v>0</v>
          </cell>
          <cell r="F5758" t="str">
            <v/>
          </cell>
          <cell r="G5758" t="str">
            <v/>
          </cell>
          <cell r="H5758" t="str">
            <v/>
          </cell>
          <cell r="I5758" t="str">
            <v/>
          </cell>
          <cell r="J5758">
            <v>0</v>
          </cell>
          <cell r="K5758">
            <v>0</v>
          </cell>
          <cell r="L5758">
            <v>0</v>
          </cell>
          <cell r="M5758">
            <v>0</v>
          </cell>
          <cell r="N5758">
            <v>0</v>
          </cell>
          <cell r="O5758" t="str">
            <v/>
          </cell>
          <cell r="P5758">
            <v>0</v>
          </cell>
          <cell r="Q5758">
            <v>0</v>
          </cell>
          <cell r="R5758">
            <v>0</v>
          </cell>
          <cell r="S5758">
            <v>0</v>
          </cell>
          <cell r="T5758">
            <v>0</v>
          </cell>
          <cell r="U5758" t="str">
            <v/>
          </cell>
          <cell r="V5758" t="str">
            <v/>
          </cell>
        </row>
        <row r="5759">
          <cell r="A5759">
            <v>5758</v>
          </cell>
          <cell r="B5759">
            <v>0</v>
          </cell>
          <cell r="C5759" t="str">
            <v/>
          </cell>
          <cell r="D5759" t="str">
            <v/>
          </cell>
          <cell r="E5759">
            <v>0</v>
          </cell>
          <cell r="F5759" t="str">
            <v/>
          </cell>
          <cell r="G5759" t="str">
            <v/>
          </cell>
          <cell r="H5759" t="str">
            <v/>
          </cell>
          <cell r="I5759" t="str">
            <v/>
          </cell>
          <cell r="J5759">
            <v>0</v>
          </cell>
          <cell r="K5759">
            <v>0</v>
          </cell>
          <cell r="L5759">
            <v>0</v>
          </cell>
          <cell r="M5759">
            <v>0</v>
          </cell>
          <cell r="N5759">
            <v>0</v>
          </cell>
          <cell r="O5759" t="str">
            <v/>
          </cell>
          <cell r="P5759">
            <v>0</v>
          </cell>
          <cell r="Q5759">
            <v>0</v>
          </cell>
          <cell r="R5759">
            <v>0</v>
          </cell>
          <cell r="S5759">
            <v>0</v>
          </cell>
          <cell r="T5759">
            <v>0</v>
          </cell>
          <cell r="U5759" t="str">
            <v/>
          </cell>
          <cell r="V5759" t="str">
            <v/>
          </cell>
        </row>
        <row r="5760">
          <cell r="A5760">
            <v>5759</v>
          </cell>
          <cell r="B5760">
            <v>0</v>
          </cell>
          <cell r="C5760" t="str">
            <v/>
          </cell>
          <cell r="D5760" t="str">
            <v/>
          </cell>
          <cell r="E5760">
            <v>0</v>
          </cell>
          <cell r="F5760" t="str">
            <v/>
          </cell>
          <cell r="G5760" t="str">
            <v/>
          </cell>
          <cell r="H5760" t="str">
            <v/>
          </cell>
          <cell r="I5760" t="str">
            <v/>
          </cell>
          <cell r="J5760">
            <v>0</v>
          </cell>
          <cell r="K5760">
            <v>0</v>
          </cell>
          <cell r="L5760">
            <v>0</v>
          </cell>
          <cell r="M5760">
            <v>0</v>
          </cell>
          <cell r="N5760">
            <v>0</v>
          </cell>
          <cell r="O5760" t="str">
            <v/>
          </cell>
          <cell r="P5760">
            <v>0</v>
          </cell>
          <cell r="Q5760">
            <v>0</v>
          </cell>
          <cell r="R5760">
            <v>0</v>
          </cell>
          <cell r="S5760">
            <v>0</v>
          </cell>
          <cell r="T5760">
            <v>0</v>
          </cell>
          <cell r="U5760" t="str">
            <v/>
          </cell>
          <cell r="V5760" t="str">
            <v/>
          </cell>
        </row>
        <row r="5761">
          <cell r="A5761">
            <v>5760</v>
          </cell>
          <cell r="B5761">
            <v>0</v>
          </cell>
          <cell r="C5761" t="str">
            <v/>
          </cell>
          <cell r="D5761" t="str">
            <v/>
          </cell>
          <cell r="E5761">
            <v>0</v>
          </cell>
          <cell r="F5761" t="str">
            <v/>
          </cell>
          <cell r="G5761" t="str">
            <v/>
          </cell>
          <cell r="H5761" t="str">
            <v/>
          </cell>
          <cell r="I5761" t="str">
            <v/>
          </cell>
          <cell r="J5761">
            <v>0</v>
          </cell>
          <cell r="K5761">
            <v>0</v>
          </cell>
          <cell r="L5761">
            <v>0</v>
          </cell>
          <cell r="M5761">
            <v>0</v>
          </cell>
          <cell r="N5761">
            <v>0</v>
          </cell>
          <cell r="O5761" t="str">
            <v/>
          </cell>
          <cell r="P5761">
            <v>0</v>
          </cell>
          <cell r="Q5761">
            <v>0</v>
          </cell>
          <cell r="R5761">
            <v>0</v>
          </cell>
          <cell r="S5761">
            <v>0</v>
          </cell>
          <cell r="T5761">
            <v>0</v>
          </cell>
          <cell r="U5761" t="str">
            <v/>
          </cell>
          <cell r="V5761" t="str">
            <v/>
          </cell>
        </row>
        <row r="5762">
          <cell r="A5762">
            <v>5761</v>
          </cell>
          <cell r="B5762">
            <v>0</v>
          </cell>
          <cell r="C5762" t="str">
            <v/>
          </cell>
          <cell r="D5762" t="str">
            <v/>
          </cell>
          <cell r="E5762">
            <v>0</v>
          </cell>
          <cell r="F5762" t="str">
            <v/>
          </cell>
          <cell r="G5762" t="str">
            <v/>
          </cell>
          <cell r="H5762" t="str">
            <v/>
          </cell>
          <cell r="I5762" t="str">
            <v/>
          </cell>
          <cell r="J5762">
            <v>0</v>
          </cell>
          <cell r="K5762">
            <v>0</v>
          </cell>
          <cell r="L5762">
            <v>0</v>
          </cell>
          <cell r="M5762">
            <v>0</v>
          </cell>
          <cell r="N5762">
            <v>0</v>
          </cell>
          <cell r="O5762" t="str">
            <v/>
          </cell>
          <cell r="P5762">
            <v>0</v>
          </cell>
          <cell r="Q5762">
            <v>0</v>
          </cell>
          <cell r="R5762">
            <v>0</v>
          </cell>
          <cell r="S5762">
            <v>0</v>
          </cell>
          <cell r="T5762">
            <v>0</v>
          </cell>
          <cell r="U5762" t="str">
            <v/>
          </cell>
          <cell r="V5762" t="str">
            <v/>
          </cell>
        </row>
        <row r="5763">
          <cell r="A5763">
            <v>5762</v>
          </cell>
          <cell r="B5763">
            <v>0</v>
          </cell>
          <cell r="C5763" t="str">
            <v/>
          </cell>
          <cell r="D5763" t="str">
            <v/>
          </cell>
          <cell r="E5763">
            <v>0</v>
          </cell>
          <cell r="F5763" t="str">
            <v/>
          </cell>
          <cell r="G5763" t="str">
            <v/>
          </cell>
          <cell r="H5763" t="str">
            <v/>
          </cell>
          <cell r="I5763" t="str">
            <v/>
          </cell>
          <cell r="J5763">
            <v>0</v>
          </cell>
          <cell r="K5763">
            <v>0</v>
          </cell>
          <cell r="L5763">
            <v>0</v>
          </cell>
          <cell r="M5763">
            <v>0</v>
          </cell>
          <cell r="N5763">
            <v>0</v>
          </cell>
          <cell r="O5763" t="str">
            <v/>
          </cell>
          <cell r="P5763">
            <v>0</v>
          </cell>
          <cell r="Q5763">
            <v>0</v>
          </cell>
          <cell r="R5763">
            <v>0</v>
          </cell>
          <cell r="S5763">
            <v>0</v>
          </cell>
          <cell r="T5763">
            <v>0</v>
          </cell>
          <cell r="U5763" t="str">
            <v/>
          </cell>
          <cell r="V5763" t="str">
            <v/>
          </cell>
        </row>
        <row r="5764">
          <cell r="A5764">
            <v>5763</v>
          </cell>
          <cell r="B5764">
            <v>0</v>
          </cell>
          <cell r="C5764" t="str">
            <v/>
          </cell>
          <cell r="D5764" t="str">
            <v/>
          </cell>
          <cell r="E5764">
            <v>0</v>
          </cell>
          <cell r="F5764" t="str">
            <v/>
          </cell>
          <cell r="G5764" t="str">
            <v/>
          </cell>
          <cell r="H5764" t="str">
            <v/>
          </cell>
          <cell r="I5764" t="str">
            <v/>
          </cell>
          <cell r="J5764">
            <v>0</v>
          </cell>
          <cell r="K5764">
            <v>0</v>
          </cell>
          <cell r="L5764">
            <v>0</v>
          </cell>
          <cell r="M5764">
            <v>0</v>
          </cell>
          <cell r="N5764">
            <v>0</v>
          </cell>
          <cell r="O5764" t="str">
            <v/>
          </cell>
          <cell r="P5764">
            <v>0</v>
          </cell>
          <cell r="Q5764">
            <v>0</v>
          </cell>
          <cell r="R5764">
            <v>0</v>
          </cell>
          <cell r="S5764">
            <v>0</v>
          </cell>
          <cell r="T5764">
            <v>0</v>
          </cell>
          <cell r="U5764" t="str">
            <v/>
          </cell>
          <cell r="V5764" t="str">
            <v/>
          </cell>
        </row>
        <row r="5765">
          <cell r="A5765">
            <v>5764</v>
          </cell>
          <cell r="B5765">
            <v>0</v>
          </cell>
          <cell r="C5765" t="str">
            <v/>
          </cell>
          <cell r="D5765" t="str">
            <v/>
          </cell>
          <cell r="E5765">
            <v>0</v>
          </cell>
          <cell r="F5765" t="str">
            <v/>
          </cell>
          <cell r="G5765" t="str">
            <v/>
          </cell>
          <cell r="H5765" t="str">
            <v/>
          </cell>
          <cell r="I5765" t="str">
            <v/>
          </cell>
          <cell r="J5765">
            <v>0</v>
          </cell>
          <cell r="K5765">
            <v>0</v>
          </cell>
          <cell r="L5765">
            <v>0</v>
          </cell>
          <cell r="M5765">
            <v>0</v>
          </cell>
          <cell r="N5765">
            <v>0</v>
          </cell>
          <cell r="O5765" t="str">
            <v/>
          </cell>
          <cell r="P5765">
            <v>0</v>
          </cell>
          <cell r="Q5765">
            <v>0</v>
          </cell>
          <cell r="R5765">
            <v>0</v>
          </cell>
          <cell r="S5765">
            <v>0</v>
          </cell>
          <cell r="T5765">
            <v>0</v>
          </cell>
          <cell r="U5765" t="str">
            <v/>
          </cell>
          <cell r="V5765" t="str">
            <v/>
          </cell>
        </row>
        <row r="5766">
          <cell r="A5766">
            <v>5765</v>
          </cell>
          <cell r="B5766">
            <v>0</v>
          </cell>
          <cell r="C5766" t="str">
            <v/>
          </cell>
          <cell r="D5766" t="str">
            <v/>
          </cell>
          <cell r="E5766">
            <v>0</v>
          </cell>
          <cell r="F5766" t="str">
            <v/>
          </cell>
          <cell r="G5766" t="str">
            <v/>
          </cell>
          <cell r="H5766" t="str">
            <v/>
          </cell>
          <cell r="I5766" t="str">
            <v/>
          </cell>
          <cell r="J5766">
            <v>0</v>
          </cell>
          <cell r="K5766">
            <v>0</v>
          </cell>
          <cell r="L5766">
            <v>0</v>
          </cell>
          <cell r="M5766">
            <v>0</v>
          </cell>
          <cell r="N5766">
            <v>0</v>
          </cell>
          <cell r="O5766" t="str">
            <v/>
          </cell>
          <cell r="P5766">
            <v>0</v>
          </cell>
          <cell r="Q5766">
            <v>0</v>
          </cell>
          <cell r="R5766">
            <v>0</v>
          </cell>
          <cell r="S5766">
            <v>0</v>
          </cell>
          <cell r="T5766">
            <v>0</v>
          </cell>
          <cell r="U5766" t="str">
            <v/>
          </cell>
          <cell r="V5766" t="str">
            <v/>
          </cell>
        </row>
        <row r="5767">
          <cell r="A5767">
            <v>5766</v>
          </cell>
          <cell r="B5767">
            <v>0</v>
          </cell>
          <cell r="C5767" t="str">
            <v/>
          </cell>
          <cell r="D5767" t="str">
            <v/>
          </cell>
          <cell r="E5767">
            <v>0</v>
          </cell>
          <cell r="F5767" t="str">
            <v/>
          </cell>
          <cell r="G5767" t="str">
            <v/>
          </cell>
          <cell r="H5767" t="str">
            <v/>
          </cell>
          <cell r="I5767" t="str">
            <v/>
          </cell>
          <cell r="J5767">
            <v>0</v>
          </cell>
          <cell r="K5767">
            <v>0</v>
          </cell>
          <cell r="L5767">
            <v>0</v>
          </cell>
          <cell r="M5767">
            <v>0</v>
          </cell>
          <cell r="N5767">
            <v>0</v>
          </cell>
          <cell r="O5767" t="str">
            <v/>
          </cell>
          <cell r="P5767">
            <v>0</v>
          </cell>
          <cell r="Q5767">
            <v>0</v>
          </cell>
          <cell r="R5767">
            <v>0</v>
          </cell>
          <cell r="S5767">
            <v>0</v>
          </cell>
          <cell r="T5767">
            <v>0</v>
          </cell>
          <cell r="U5767" t="str">
            <v/>
          </cell>
          <cell r="V5767" t="str">
            <v/>
          </cell>
        </row>
        <row r="5768">
          <cell r="A5768">
            <v>5767</v>
          </cell>
          <cell r="B5768">
            <v>0</v>
          </cell>
          <cell r="C5768" t="str">
            <v/>
          </cell>
          <cell r="D5768" t="str">
            <v/>
          </cell>
          <cell r="E5768">
            <v>0</v>
          </cell>
          <cell r="F5768" t="str">
            <v/>
          </cell>
          <cell r="G5768" t="str">
            <v/>
          </cell>
          <cell r="H5768" t="str">
            <v/>
          </cell>
          <cell r="I5768" t="str">
            <v/>
          </cell>
          <cell r="J5768">
            <v>0</v>
          </cell>
          <cell r="K5768">
            <v>0</v>
          </cell>
          <cell r="L5768">
            <v>0</v>
          </cell>
          <cell r="M5768">
            <v>0</v>
          </cell>
          <cell r="N5768">
            <v>0</v>
          </cell>
          <cell r="O5768" t="str">
            <v/>
          </cell>
          <cell r="P5768">
            <v>0</v>
          </cell>
          <cell r="Q5768">
            <v>0</v>
          </cell>
          <cell r="R5768">
            <v>0</v>
          </cell>
          <cell r="S5768">
            <v>0</v>
          </cell>
          <cell r="T5768">
            <v>0</v>
          </cell>
          <cell r="U5768" t="str">
            <v/>
          </cell>
          <cell r="V5768" t="str">
            <v/>
          </cell>
        </row>
        <row r="5769">
          <cell r="A5769">
            <v>5768</v>
          </cell>
          <cell r="B5769">
            <v>0</v>
          </cell>
          <cell r="C5769" t="str">
            <v/>
          </cell>
          <cell r="D5769" t="str">
            <v/>
          </cell>
          <cell r="E5769">
            <v>0</v>
          </cell>
          <cell r="F5769" t="str">
            <v/>
          </cell>
          <cell r="G5769" t="str">
            <v/>
          </cell>
          <cell r="H5769" t="str">
            <v/>
          </cell>
          <cell r="I5769" t="str">
            <v/>
          </cell>
          <cell r="J5769">
            <v>0</v>
          </cell>
          <cell r="K5769">
            <v>0</v>
          </cell>
          <cell r="L5769">
            <v>0</v>
          </cell>
          <cell r="M5769">
            <v>0</v>
          </cell>
          <cell r="N5769">
            <v>0</v>
          </cell>
          <cell r="O5769" t="str">
            <v/>
          </cell>
          <cell r="P5769">
            <v>0</v>
          </cell>
          <cell r="Q5769">
            <v>0</v>
          </cell>
          <cell r="R5769">
            <v>0</v>
          </cell>
          <cell r="S5769">
            <v>0</v>
          </cell>
          <cell r="T5769">
            <v>0</v>
          </cell>
          <cell r="U5769" t="str">
            <v/>
          </cell>
          <cell r="V5769" t="str">
            <v/>
          </cell>
        </row>
        <row r="5770">
          <cell r="A5770">
            <v>5769</v>
          </cell>
          <cell r="B5770">
            <v>0</v>
          </cell>
          <cell r="C5770" t="str">
            <v/>
          </cell>
          <cell r="D5770" t="str">
            <v/>
          </cell>
          <cell r="E5770">
            <v>0</v>
          </cell>
          <cell r="F5770" t="str">
            <v/>
          </cell>
          <cell r="G5770" t="str">
            <v/>
          </cell>
          <cell r="H5770" t="str">
            <v/>
          </cell>
          <cell r="I5770" t="str">
            <v/>
          </cell>
          <cell r="J5770">
            <v>0</v>
          </cell>
          <cell r="K5770">
            <v>0</v>
          </cell>
          <cell r="L5770">
            <v>0</v>
          </cell>
          <cell r="M5770">
            <v>0</v>
          </cell>
          <cell r="N5770">
            <v>0</v>
          </cell>
          <cell r="O5770" t="str">
            <v/>
          </cell>
          <cell r="P5770">
            <v>0</v>
          </cell>
          <cell r="Q5770">
            <v>0</v>
          </cell>
          <cell r="R5770">
            <v>0</v>
          </cell>
          <cell r="S5770">
            <v>0</v>
          </cell>
          <cell r="T5770">
            <v>0</v>
          </cell>
          <cell r="U5770" t="str">
            <v/>
          </cell>
          <cell r="V5770" t="str">
            <v/>
          </cell>
        </row>
        <row r="5771">
          <cell r="A5771">
            <v>5770</v>
          </cell>
          <cell r="B5771">
            <v>0</v>
          </cell>
          <cell r="C5771" t="str">
            <v/>
          </cell>
          <cell r="D5771" t="str">
            <v/>
          </cell>
          <cell r="E5771">
            <v>0</v>
          </cell>
          <cell r="F5771" t="str">
            <v/>
          </cell>
          <cell r="G5771" t="str">
            <v/>
          </cell>
          <cell r="H5771" t="str">
            <v/>
          </cell>
          <cell r="I5771" t="str">
            <v/>
          </cell>
          <cell r="J5771">
            <v>0</v>
          </cell>
          <cell r="K5771">
            <v>0</v>
          </cell>
          <cell r="L5771">
            <v>0</v>
          </cell>
          <cell r="M5771">
            <v>0</v>
          </cell>
          <cell r="N5771">
            <v>0</v>
          </cell>
          <cell r="O5771" t="str">
            <v/>
          </cell>
          <cell r="P5771">
            <v>0</v>
          </cell>
          <cell r="Q5771">
            <v>0</v>
          </cell>
          <cell r="R5771">
            <v>0</v>
          </cell>
          <cell r="S5771">
            <v>0</v>
          </cell>
          <cell r="T5771">
            <v>0</v>
          </cell>
          <cell r="U5771" t="str">
            <v/>
          </cell>
          <cell r="V5771" t="str">
            <v/>
          </cell>
        </row>
        <row r="5772">
          <cell r="A5772">
            <v>5771</v>
          </cell>
          <cell r="B5772">
            <v>0</v>
          </cell>
          <cell r="C5772" t="str">
            <v/>
          </cell>
          <cell r="D5772" t="str">
            <v/>
          </cell>
          <cell r="E5772">
            <v>0</v>
          </cell>
          <cell r="F5772" t="str">
            <v/>
          </cell>
          <cell r="G5772" t="str">
            <v/>
          </cell>
          <cell r="H5772" t="str">
            <v/>
          </cell>
          <cell r="I5772" t="str">
            <v/>
          </cell>
          <cell r="J5772">
            <v>0</v>
          </cell>
          <cell r="K5772">
            <v>0</v>
          </cell>
          <cell r="L5772">
            <v>0</v>
          </cell>
          <cell r="M5772">
            <v>0</v>
          </cell>
          <cell r="N5772">
            <v>0</v>
          </cell>
          <cell r="O5772" t="str">
            <v/>
          </cell>
          <cell r="P5772">
            <v>0</v>
          </cell>
          <cell r="Q5772">
            <v>0</v>
          </cell>
          <cell r="R5772">
            <v>0</v>
          </cell>
          <cell r="S5772">
            <v>0</v>
          </cell>
          <cell r="T5772">
            <v>0</v>
          </cell>
          <cell r="U5772" t="str">
            <v/>
          </cell>
          <cell r="V5772" t="str">
            <v/>
          </cell>
        </row>
        <row r="5773">
          <cell r="A5773">
            <v>5772</v>
          </cell>
          <cell r="B5773">
            <v>0</v>
          </cell>
          <cell r="C5773" t="str">
            <v/>
          </cell>
          <cell r="D5773" t="str">
            <v/>
          </cell>
          <cell r="E5773">
            <v>0</v>
          </cell>
          <cell r="F5773" t="str">
            <v/>
          </cell>
          <cell r="G5773" t="str">
            <v/>
          </cell>
          <cell r="H5773" t="str">
            <v/>
          </cell>
          <cell r="I5773" t="str">
            <v/>
          </cell>
          <cell r="J5773">
            <v>0</v>
          </cell>
          <cell r="K5773">
            <v>0</v>
          </cell>
          <cell r="L5773">
            <v>0</v>
          </cell>
          <cell r="M5773">
            <v>0</v>
          </cell>
          <cell r="N5773">
            <v>0</v>
          </cell>
          <cell r="O5773" t="str">
            <v/>
          </cell>
          <cell r="P5773">
            <v>0</v>
          </cell>
          <cell r="Q5773">
            <v>0</v>
          </cell>
          <cell r="R5773">
            <v>0</v>
          </cell>
          <cell r="S5773">
            <v>0</v>
          </cell>
          <cell r="T5773">
            <v>0</v>
          </cell>
          <cell r="U5773" t="str">
            <v/>
          </cell>
          <cell r="V5773" t="str">
            <v/>
          </cell>
        </row>
        <row r="5774">
          <cell r="A5774">
            <v>5773</v>
          </cell>
          <cell r="B5774">
            <v>0</v>
          </cell>
          <cell r="C5774" t="str">
            <v/>
          </cell>
          <cell r="D5774" t="str">
            <v/>
          </cell>
          <cell r="E5774">
            <v>0</v>
          </cell>
          <cell r="F5774" t="str">
            <v/>
          </cell>
          <cell r="G5774" t="str">
            <v/>
          </cell>
          <cell r="H5774" t="str">
            <v/>
          </cell>
          <cell r="I5774" t="str">
            <v/>
          </cell>
          <cell r="J5774">
            <v>0</v>
          </cell>
          <cell r="K5774">
            <v>0</v>
          </cell>
          <cell r="L5774">
            <v>0</v>
          </cell>
          <cell r="M5774">
            <v>0</v>
          </cell>
          <cell r="N5774">
            <v>0</v>
          </cell>
          <cell r="O5774" t="str">
            <v/>
          </cell>
          <cell r="P5774">
            <v>0</v>
          </cell>
          <cell r="Q5774">
            <v>0</v>
          </cell>
          <cell r="R5774">
            <v>0</v>
          </cell>
          <cell r="S5774">
            <v>0</v>
          </cell>
          <cell r="T5774">
            <v>0</v>
          </cell>
          <cell r="U5774" t="str">
            <v/>
          </cell>
          <cell r="V5774" t="str">
            <v/>
          </cell>
        </row>
        <row r="5775">
          <cell r="A5775">
            <v>5774</v>
          </cell>
          <cell r="B5775">
            <v>0</v>
          </cell>
          <cell r="C5775" t="str">
            <v/>
          </cell>
          <cell r="D5775" t="str">
            <v/>
          </cell>
          <cell r="E5775">
            <v>0</v>
          </cell>
          <cell r="F5775" t="str">
            <v/>
          </cell>
          <cell r="G5775" t="str">
            <v/>
          </cell>
          <cell r="H5775" t="str">
            <v/>
          </cell>
          <cell r="I5775" t="str">
            <v/>
          </cell>
          <cell r="J5775">
            <v>0</v>
          </cell>
          <cell r="K5775">
            <v>0</v>
          </cell>
          <cell r="L5775">
            <v>0</v>
          </cell>
          <cell r="M5775">
            <v>0</v>
          </cell>
          <cell r="N5775">
            <v>0</v>
          </cell>
          <cell r="O5775" t="str">
            <v/>
          </cell>
          <cell r="P5775">
            <v>0</v>
          </cell>
          <cell r="Q5775">
            <v>0</v>
          </cell>
          <cell r="R5775">
            <v>0</v>
          </cell>
          <cell r="S5775">
            <v>0</v>
          </cell>
          <cell r="T5775">
            <v>0</v>
          </cell>
          <cell r="U5775" t="str">
            <v/>
          </cell>
          <cell r="V5775" t="str">
            <v/>
          </cell>
        </row>
        <row r="5776">
          <cell r="A5776">
            <v>5775</v>
          </cell>
          <cell r="B5776">
            <v>0</v>
          </cell>
          <cell r="C5776" t="str">
            <v/>
          </cell>
          <cell r="D5776" t="str">
            <v/>
          </cell>
          <cell r="E5776">
            <v>0</v>
          </cell>
          <cell r="F5776" t="str">
            <v/>
          </cell>
          <cell r="G5776" t="str">
            <v/>
          </cell>
          <cell r="H5776" t="str">
            <v/>
          </cell>
          <cell r="I5776" t="str">
            <v/>
          </cell>
          <cell r="J5776">
            <v>0</v>
          </cell>
          <cell r="K5776">
            <v>0</v>
          </cell>
          <cell r="L5776">
            <v>0</v>
          </cell>
          <cell r="M5776">
            <v>0</v>
          </cell>
          <cell r="N5776">
            <v>0</v>
          </cell>
          <cell r="O5776" t="str">
            <v/>
          </cell>
          <cell r="P5776">
            <v>0</v>
          </cell>
          <cell r="Q5776">
            <v>0</v>
          </cell>
          <cell r="R5776">
            <v>0</v>
          </cell>
          <cell r="S5776">
            <v>0</v>
          </cell>
          <cell r="T5776">
            <v>0</v>
          </cell>
          <cell r="U5776" t="str">
            <v/>
          </cell>
          <cell r="V5776" t="str">
            <v/>
          </cell>
        </row>
        <row r="5777">
          <cell r="A5777">
            <v>5776</v>
          </cell>
          <cell r="B5777">
            <v>0</v>
          </cell>
          <cell r="C5777" t="str">
            <v/>
          </cell>
          <cell r="D5777" t="str">
            <v/>
          </cell>
          <cell r="E5777">
            <v>0</v>
          </cell>
          <cell r="F5777" t="str">
            <v/>
          </cell>
          <cell r="G5777" t="str">
            <v/>
          </cell>
          <cell r="H5777" t="str">
            <v/>
          </cell>
          <cell r="I5777" t="str">
            <v/>
          </cell>
          <cell r="J5777">
            <v>0</v>
          </cell>
          <cell r="K5777">
            <v>0</v>
          </cell>
          <cell r="L5777">
            <v>0</v>
          </cell>
          <cell r="M5777">
            <v>0</v>
          </cell>
          <cell r="N5777">
            <v>0</v>
          </cell>
          <cell r="O5777" t="str">
            <v/>
          </cell>
          <cell r="P5777">
            <v>0</v>
          </cell>
          <cell r="Q5777">
            <v>0</v>
          </cell>
          <cell r="R5777">
            <v>0</v>
          </cell>
          <cell r="S5777">
            <v>0</v>
          </cell>
          <cell r="T5777">
            <v>0</v>
          </cell>
          <cell r="U5777" t="str">
            <v/>
          </cell>
          <cell r="V5777" t="str">
            <v/>
          </cell>
        </row>
        <row r="5778">
          <cell r="A5778">
            <v>5777</v>
          </cell>
          <cell r="B5778">
            <v>0</v>
          </cell>
          <cell r="C5778" t="str">
            <v/>
          </cell>
          <cell r="D5778" t="str">
            <v/>
          </cell>
          <cell r="E5778">
            <v>0</v>
          </cell>
          <cell r="F5778" t="str">
            <v/>
          </cell>
          <cell r="G5778" t="str">
            <v/>
          </cell>
          <cell r="H5778" t="str">
            <v/>
          </cell>
          <cell r="I5778" t="str">
            <v/>
          </cell>
          <cell r="J5778">
            <v>0</v>
          </cell>
          <cell r="K5778">
            <v>0</v>
          </cell>
          <cell r="L5778">
            <v>0</v>
          </cell>
          <cell r="M5778">
            <v>0</v>
          </cell>
          <cell r="N5778">
            <v>0</v>
          </cell>
          <cell r="O5778" t="str">
            <v/>
          </cell>
          <cell r="P5778">
            <v>0</v>
          </cell>
          <cell r="Q5778">
            <v>0</v>
          </cell>
          <cell r="R5778">
            <v>0</v>
          </cell>
          <cell r="S5778">
            <v>0</v>
          </cell>
          <cell r="T5778">
            <v>0</v>
          </cell>
          <cell r="U5778" t="str">
            <v/>
          </cell>
          <cell r="V5778" t="str">
            <v/>
          </cell>
        </row>
        <row r="5779">
          <cell r="A5779">
            <v>5778</v>
          </cell>
          <cell r="B5779">
            <v>0</v>
          </cell>
          <cell r="C5779" t="str">
            <v/>
          </cell>
          <cell r="D5779" t="str">
            <v/>
          </cell>
          <cell r="E5779">
            <v>0</v>
          </cell>
          <cell r="F5779" t="str">
            <v/>
          </cell>
          <cell r="G5779" t="str">
            <v/>
          </cell>
          <cell r="H5779" t="str">
            <v/>
          </cell>
          <cell r="I5779" t="str">
            <v/>
          </cell>
          <cell r="J5779">
            <v>0</v>
          </cell>
          <cell r="K5779">
            <v>0</v>
          </cell>
          <cell r="L5779">
            <v>0</v>
          </cell>
          <cell r="M5779">
            <v>0</v>
          </cell>
          <cell r="N5779">
            <v>0</v>
          </cell>
          <cell r="O5779" t="str">
            <v/>
          </cell>
          <cell r="P5779">
            <v>0</v>
          </cell>
          <cell r="Q5779">
            <v>0</v>
          </cell>
          <cell r="R5779">
            <v>0</v>
          </cell>
          <cell r="S5779">
            <v>0</v>
          </cell>
          <cell r="T5779">
            <v>0</v>
          </cell>
          <cell r="U5779" t="str">
            <v/>
          </cell>
          <cell r="V5779" t="str">
            <v/>
          </cell>
        </row>
        <row r="5780">
          <cell r="A5780">
            <v>5779</v>
          </cell>
          <cell r="B5780">
            <v>0</v>
          </cell>
          <cell r="C5780" t="str">
            <v/>
          </cell>
          <cell r="D5780" t="str">
            <v/>
          </cell>
          <cell r="E5780">
            <v>0</v>
          </cell>
          <cell r="F5780" t="str">
            <v/>
          </cell>
          <cell r="G5780" t="str">
            <v/>
          </cell>
          <cell r="H5780" t="str">
            <v/>
          </cell>
          <cell r="I5780" t="str">
            <v/>
          </cell>
          <cell r="J5780">
            <v>0</v>
          </cell>
          <cell r="K5780">
            <v>0</v>
          </cell>
          <cell r="L5780">
            <v>0</v>
          </cell>
          <cell r="M5780">
            <v>0</v>
          </cell>
          <cell r="N5780">
            <v>0</v>
          </cell>
          <cell r="O5780" t="str">
            <v/>
          </cell>
          <cell r="P5780">
            <v>0</v>
          </cell>
          <cell r="Q5780">
            <v>0</v>
          </cell>
          <cell r="R5780">
            <v>0</v>
          </cell>
          <cell r="S5780">
            <v>0</v>
          </cell>
          <cell r="T5780">
            <v>0</v>
          </cell>
          <cell r="U5780" t="str">
            <v/>
          </cell>
          <cell r="V5780" t="str">
            <v/>
          </cell>
        </row>
        <row r="5781">
          <cell r="A5781">
            <v>5780</v>
          </cell>
          <cell r="B5781">
            <v>0</v>
          </cell>
          <cell r="C5781" t="str">
            <v/>
          </cell>
          <cell r="D5781" t="str">
            <v/>
          </cell>
          <cell r="E5781">
            <v>0</v>
          </cell>
          <cell r="F5781" t="str">
            <v/>
          </cell>
          <cell r="G5781" t="str">
            <v/>
          </cell>
          <cell r="H5781" t="str">
            <v/>
          </cell>
          <cell r="I5781" t="str">
            <v/>
          </cell>
          <cell r="J5781">
            <v>0</v>
          </cell>
          <cell r="K5781">
            <v>0</v>
          </cell>
          <cell r="L5781">
            <v>0</v>
          </cell>
          <cell r="M5781">
            <v>0</v>
          </cell>
          <cell r="N5781">
            <v>0</v>
          </cell>
          <cell r="O5781" t="str">
            <v/>
          </cell>
          <cell r="P5781">
            <v>0</v>
          </cell>
          <cell r="Q5781">
            <v>0</v>
          </cell>
          <cell r="R5781">
            <v>0</v>
          </cell>
          <cell r="S5781">
            <v>0</v>
          </cell>
          <cell r="T5781">
            <v>0</v>
          </cell>
          <cell r="U5781" t="str">
            <v/>
          </cell>
          <cell r="V5781" t="str">
            <v/>
          </cell>
        </row>
        <row r="5782">
          <cell r="A5782">
            <v>5781</v>
          </cell>
          <cell r="B5782">
            <v>0</v>
          </cell>
          <cell r="C5782" t="str">
            <v/>
          </cell>
          <cell r="D5782" t="str">
            <v/>
          </cell>
          <cell r="E5782">
            <v>0</v>
          </cell>
          <cell r="F5782" t="str">
            <v/>
          </cell>
          <cell r="G5782" t="str">
            <v/>
          </cell>
          <cell r="H5782" t="str">
            <v/>
          </cell>
          <cell r="I5782" t="str">
            <v/>
          </cell>
          <cell r="J5782">
            <v>0</v>
          </cell>
          <cell r="K5782">
            <v>0</v>
          </cell>
          <cell r="L5782">
            <v>0</v>
          </cell>
          <cell r="M5782">
            <v>0</v>
          </cell>
          <cell r="N5782">
            <v>0</v>
          </cell>
          <cell r="O5782" t="str">
            <v/>
          </cell>
          <cell r="P5782">
            <v>0</v>
          </cell>
          <cell r="Q5782">
            <v>0</v>
          </cell>
          <cell r="R5782">
            <v>0</v>
          </cell>
          <cell r="S5782">
            <v>0</v>
          </cell>
          <cell r="T5782">
            <v>0</v>
          </cell>
          <cell r="U5782" t="str">
            <v/>
          </cell>
          <cell r="V5782" t="str">
            <v/>
          </cell>
        </row>
        <row r="5783">
          <cell r="A5783">
            <v>5782</v>
          </cell>
          <cell r="B5783">
            <v>0</v>
          </cell>
          <cell r="C5783" t="str">
            <v/>
          </cell>
          <cell r="D5783" t="str">
            <v/>
          </cell>
          <cell r="E5783">
            <v>0</v>
          </cell>
          <cell r="F5783" t="str">
            <v/>
          </cell>
          <cell r="G5783" t="str">
            <v/>
          </cell>
          <cell r="H5783" t="str">
            <v/>
          </cell>
          <cell r="I5783" t="str">
            <v/>
          </cell>
          <cell r="J5783">
            <v>0</v>
          </cell>
          <cell r="K5783">
            <v>0</v>
          </cell>
          <cell r="L5783">
            <v>0</v>
          </cell>
          <cell r="M5783">
            <v>0</v>
          </cell>
          <cell r="N5783">
            <v>0</v>
          </cell>
          <cell r="O5783" t="str">
            <v/>
          </cell>
          <cell r="P5783">
            <v>0</v>
          </cell>
          <cell r="Q5783">
            <v>0</v>
          </cell>
          <cell r="R5783">
            <v>0</v>
          </cell>
          <cell r="S5783">
            <v>0</v>
          </cell>
          <cell r="T5783">
            <v>0</v>
          </cell>
          <cell r="U5783" t="str">
            <v/>
          </cell>
          <cell r="V5783" t="str">
            <v/>
          </cell>
        </row>
        <row r="5784">
          <cell r="A5784">
            <v>5783</v>
          </cell>
          <cell r="B5784">
            <v>0</v>
          </cell>
          <cell r="C5784" t="str">
            <v/>
          </cell>
          <cell r="D5784" t="str">
            <v/>
          </cell>
          <cell r="E5784">
            <v>0</v>
          </cell>
          <cell r="F5784" t="str">
            <v/>
          </cell>
          <cell r="G5784" t="str">
            <v/>
          </cell>
          <cell r="H5784" t="str">
            <v/>
          </cell>
          <cell r="I5784" t="str">
            <v/>
          </cell>
          <cell r="J5784">
            <v>0</v>
          </cell>
          <cell r="K5784">
            <v>0</v>
          </cell>
          <cell r="L5784">
            <v>0</v>
          </cell>
          <cell r="M5784">
            <v>0</v>
          </cell>
          <cell r="N5784">
            <v>0</v>
          </cell>
          <cell r="O5784" t="str">
            <v/>
          </cell>
          <cell r="P5784">
            <v>0</v>
          </cell>
          <cell r="Q5784">
            <v>0</v>
          </cell>
          <cell r="R5784">
            <v>0</v>
          </cell>
          <cell r="S5784">
            <v>0</v>
          </cell>
          <cell r="T5784">
            <v>0</v>
          </cell>
          <cell r="U5784" t="str">
            <v/>
          </cell>
          <cell r="V5784" t="str">
            <v/>
          </cell>
        </row>
        <row r="5785">
          <cell r="A5785">
            <v>5784</v>
          </cell>
          <cell r="B5785">
            <v>0</v>
          </cell>
          <cell r="C5785" t="str">
            <v/>
          </cell>
          <cell r="D5785" t="str">
            <v/>
          </cell>
          <cell r="E5785">
            <v>0</v>
          </cell>
          <cell r="F5785" t="str">
            <v/>
          </cell>
          <cell r="G5785" t="str">
            <v/>
          </cell>
          <cell r="H5785" t="str">
            <v/>
          </cell>
          <cell r="I5785" t="str">
            <v/>
          </cell>
          <cell r="J5785">
            <v>0</v>
          </cell>
          <cell r="K5785">
            <v>0</v>
          </cell>
          <cell r="L5785">
            <v>0</v>
          </cell>
          <cell r="M5785">
            <v>0</v>
          </cell>
          <cell r="N5785">
            <v>0</v>
          </cell>
          <cell r="O5785" t="str">
            <v/>
          </cell>
          <cell r="P5785">
            <v>0</v>
          </cell>
          <cell r="Q5785">
            <v>0</v>
          </cell>
          <cell r="R5785">
            <v>0</v>
          </cell>
          <cell r="S5785">
            <v>0</v>
          </cell>
          <cell r="T5785">
            <v>0</v>
          </cell>
          <cell r="U5785" t="str">
            <v/>
          </cell>
          <cell r="V5785" t="str">
            <v/>
          </cell>
        </row>
        <row r="5786">
          <cell r="A5786">
            <v>5785</v>
          </cell>
          <cell r="B5786">
            <v>0</v>
          </cell>
          <cell r="C5786" t="str">
            <v/>
          </cell>
          <cell r="D5786" t="str">
            <v/>
          </cell>
          <cell r="E5786">
            <v>0</v>
          </cell>
          <cell r="F5786" t="str">
            <v/>
          </cell>
          <cell r="G5786" t="str">
            <v/>
          </cell>
          <cell r="H5786" t="str">
            <v/>
          </cell>
          <cell r="I5786" t="str">
            <v/>
          </cell>
          <cell r="J5786">
            <v>0</v>
          </cell>
          <cell r="K5786">
            <v>0</v>
          </cell>
          <cell r="L5786">
            <v>0</v>
          </cell>
          <cell r="M5786">
            <v>0</v>
          </cell>
          <cell r="N5786">
            <v>0</v>
          </cell>
          <cell r="O5786" t="str">
            <v/>
          </cell>
          <cell r="P5786">
            <v>0</v>
          </cell>
          <cell r="Q5786">
            <v>0</v>
          </cell>
          <cell r="R5786">
            <v>0</v>
          </cell>
          <cell r="S5786">
            <v>0</v>
          </cell>
          <cell r="T5786">
            <v>0</v>
          </cell>
          <cell r="U5786" t="str">
            <v/>
          </cell>
          <cell r="V5786" t="str">
            <v/>
          </cell>
        </row>
        <row r="5787">
          <cell r="A5787">
            <v>5786</v>
          </cell>
          <cell r="B5787">
            <v>0</v>
          </cell>
          <cell r="C5787" t="str">
            <v/>
          </cell>
          <cell r="D5787" t="str">
            <v/>
          </cell>
          <cell r="E5787">
            <v>0</v>
          </cell>
          <cell r="F5787" t="str">
            <v/>
          </cell>
          <cell r="G5787" t="str">
            <v/>
          </cell>
          <cell r="H5787" t="str">
            <v/>
          </cell>
          <cell r="I5787" t="str">
            <v/>
          </cell>
          <cell r="J5787">
            <v>0</v>
          </cell>
          <cell r="K5787">
            <v>0</v>
          </cell>
          <cell r="L5787">
            <v>0</v>
          </cell>
          <cell r="M5787">
            <v>0</v>
          </cell>
          <cell r="N5787">
            <v>0</v>
          </cell>
          <cell r="O5787" t="str">
            <v/>
          </cell>
          <cell r="P5787">
            <v>0</v>
          </cell>
          <cell r="Q5787">
            <v>0</v>
          </cell>
          <cell r="R5787">
            <v>0</v>
          </cell>
          <cell r="S5787">
            <v>0</v>
          </cell>
          <cell r="T5787">
            <v>0</v>
          </cell>
          <cell r="U5787" t="str">
            <v/>
          </cell>
          <cell r="V5787" t="str">
            <v/>
          </cell>
        </row>
        <row r="5788">
          <cell r="A5788">
            <v>5787</v>
          </cell>
          <cell r="B5788">
            <v>0</v>
          </cell>
          <cell r="C5788" t="str">
            <v/>
          </cell>
          <cell r="D5788" t="str">
            <v/>
          </cell>
          <cell r="E5788">
            <v>0</v>
          </cell>
          <cell r="F5788" t="str">
            <v/>
          </cell>
          <cell r="G5788" t="str">
            <v/>
          </cell>
          <cell r="H5788" t="str">
            <v/>
          </cell>
          <cell r="I5788" t="str">
            <v/>
          </cell>
          <cell r="J5788">
            <v>0</v>
          </cell>
          <cell r="K5788">
            <v>0</v>
          </cell>
          <cell r="L5788">
            <v>0</v>
          </cell>
          <cell r="M5788">
            <v>0</v>
          </cell>
          <cell r="N5788">
            <v>0</v>
          </cell>
          <cell r="O5788" t="str">
            <v/>
          </cell>
          <cell r="P5788">
            <v>0</v>
          </cell>
          <cell r="Q5788">
            <v>0</v>
          </cell>
          <cell r="R5788">
            <v>0</v>
          </cell>
          <cell r="S5788">
            <v>0</v>
          </cell>
          <cell r="T5788">
            <v>0</v>
          </cell>
          <cell r="U5788" t="str">
            <v/>
          </cell>
          <cell r="V5788" t="str">
            <v/>
          </cell>
        </row>
        <row r="5789">
          <cell r="A5789">
            <v>5788</v>
          </cell>
          <cell r="B5789">
            <v>0</v>
          </cell>
          <cell r="C5789" t="str">
            <v/>
          </cell>
          <cell r="D5789" t="str">
            <v/>
          </cell>
          <cell r="E5789">
            <v>0</v>
          </cell>
          <cell r="F5789" t="str">
            <v/>
          </cell>
          <cell r="G5789" t="str">
            <v/>
          </cell>
          <cell r="H5789" t="str">
            <v/>
          </cell>
          <cell r="I5789" t="str">
            <v/>
          </cell>
          <cell r="J5789">
            <v>0</v>
          </cell>
          <cell r="K5789">
            <v>0</v>
          </cell>
          <cell r="L5789">
            <v>0</v>
          </cell>
          <cell r="M5789">
            <v>0</v>
          </cell>
          <cell r="N5789">
            <v>0</v>
          </cell>
          <cell r="O5789" t="str">
            <v/>
          </cell>
          <cell r="P5789">
            <v>0</v>
          </cell>
          <cell r="Q5789">
            <v>0</v>
          </cell>
          <cell r="R5789">
            <v>0</v>
          </cell>
          <cell r="S5789">
            <v>0</v>
          </cell>
          <cell r="T5789">
            <v>0</v>
          </cell>
          <cell r="U5789" t="str">
            <v/>
          </cell>
          <cell r="V5789" t="str">
            <v/>
          </cell>
        </row>
        <row r="5790">
          <cell r="A5790">
            <v>5789</v>
          </cell>
          <cell r="B5790">
            <v>0</v>
          </cell>
          <cell r="C5790" t="str">
            <v/>
          </cell>
          <cell r="D5790" t="str">
            <v/>
          </cell>
          <cell r="E5790">
            <v>0</v>
          </cell>
          <cell r="F5790" t="str">
            <v/>
          </cell>
          <cell r="G5790" t="str">
            <v/>
          </cell>
          <cell r="H5790" t="str">
            <v/>
          </cell>
          <cell r="I5790" t="str">
            <v/>
          </cell>
          <cell r="J5790">
            <v>0</v>
          </cell>
          <cell r="K5790">
            <v>0</v>
          </cell>
          <cell r="L5790">
            <v>0</v>
          </cell>
          <cell r="M5790">
            <v>0</v>
          </cell>
          <cell r="N5790">
            <v>0</v>
          </cell>
          <cell r="O5790" t="str">
            <v/>
          </cell>
          <cell r="P5790">
            <v>0</v>
          </cell>
          <cell r="Q5790">
            <v>0</v>
          </cell>
          <cell r="R5790">
            <v>0</v>
          </cell>
          <cell r="S5790">
            <v>0</v>
          </cell>
          <cell r="T5790">
            <v>0</v>
          </cell>
          <cell r="U5790" t="str">
            <v/>
          </cell>
          <cell r="V5790" t="str">
            <v/>
          </cell>
        </row>
        <row r="5791">
          <cell r="A5791">
            <v>5790</v>
          </cell>
          <cell r="B5791">
            <v>0</v>
          </cell>
          <cell r="C5791" t="str">
            <v/>
          </cell>
          <cell r="D5791" t="str">
            <v/>
          </cell>
          <cell r="E5791">
            <v>0</v>
          </cell>
          <cell r="F5791" t="str">
            <v/>
          </cell>
          <cell r="G5791" t="str">
            <v/>
          </cell>
          <cell r="H5791" t="str">
            <v/>
          </cell>
          <cell r="I5791" t="str">
            <v/>
          </cell>
          <cell r="J5791">
            <v>0</v>
          </cell>
          <cell r="K5791">
            <v>0</v>
          </cell>
          <cell r="L5791">
            <v>0</v>
          </cell>
          <cell r="M5791">
            <v>0</v>
          </cell>
          <cell r="N5791">
            <v>0</v>
          </cell>
          <cell r="O5791" t="str">
            <v/>
          </cell>
          <cell r="P5791">
            <v>0</v>
          </cell>
          <cell r="Q5791">
            <v>0</v>
          </cell>
          <cell r="R5791">
            <v>0</v>
          </cell>
          <cell r="S5791">
            <v>0</v>
          </cell>
          <cell r="T5791">
            <v>0</v>
          </cell>
          <cell r="U5791" t="str">
            <v/>
          </cell>
          <cell r="V5791" t="str">
            <v/>
          </cell>
        </row>
        <row r="5792">
          <cell r="A5792">
            <v>5791</v>
          </cell>
          <cell r="B5792">
            <v>0</v>
          </cell>
          <cell r="C5792" t="str">
            <v/>
          </cell>
          <cell r="D5792" t="str">
            <v/>
          </cell>
          <cell r="E5792">
            <v>0</v>
          </cell>
          <cell r="F5792" t="str">
            <v/>
          </cell>
          <cell r="G5792" t="str">
            <v/>
          </cell>
          <cell r="H5792" t="str">
            <v/>
          </cell>
          <cell r="I5792" t="str">
            <v/>
          </cell>
          <cell r="J5792">
            <v>0</v>
          </cell>
          <cell r="K5792">
            <v>0</v>
          </cell>
          <cell r="L5792">
            <v>0</v>
          </cell>
          <cell r="M5792">
            <v>0</v>
          </cell>
          <cell r="N5792">
            <v>0</v>
          </cell>
          <cell r="O5792" t="str">
            <v/>
          </cell>
          <cell r="P5792">
            <v>0</v>
          </cell>
          <cell r="Q5792">
            <v>0</v>
          </cell>
          <cell r="R5792">
            <v>0</v>
          </cell>
          <cell r="S5792">
            <v>0</v>
          </cell>
          <cell r="T5792">
            <v>0</v>
          </cell>
          <cell r="U5792" t="str">
            <v/>
          </cell>
          <cell r="V5792" t="str">
            <v/>
          </cell>
        </row>
        <row r="5793">
          <cell r="A5793">
            <v>5792</v>
          </cell>
          <cell r="B5793">
            <v>0</v>
          </cell>
          <cell r="C5793" t="str">
            <v/>
          </cell>
          <cell r="D5793" t="str">
            <v/>
          </cell>
          <cell r="E5793">
            <v>0</v>
          </cell>
          <cell r="F5793" t="str">
            <v/>
          </cell>
          <cell r="G5793" t="str">
            <v/>
          </cell>
          <cell r="H5793" t="str">
            <v/>
          </cell>
          <cell r="I5793" t="str">
            <v/>
          </cell>
          <cell r="J5793">
            <v>0</v>
          </cell>
          <cell r="K5793">
            <v>0</v>
          </cell>
          <cell r="L5793">
            <v>0</v>
          </cell>
          <cell r="M5793">
            <v>0</v>
          </cell>
          <cell r="N5793">
            <v>0</v>
          </cell>
          <cell r="O5793" t="str">
            <v/>
          </cell>
          <cell r="P5793">
            <v>0</v>
          </cell>
          <cell r="Q5793">
            <v>0</v>
          </cell>
          <cell r="R5793">
            <v>0</v>
          </cell>
          <cell r="S5793">
            <v>0</v>
          </cell>
          <cell r="T5793">
            <v>0</v>
          </cell>
          <cell r="U5793" t="str">
            <v/>
          </cell>
          <cell r="V5793" t="str">
            <v/>
          </cell>
        </row>
        <row r="5794">
          <cell r="A5794">
            <v>5793</v>
          </cell>
          <cell r="B5794">
            <v>0</v>
          </cell>
          <cell r="C5794" t="str">
            <v/>
          </cell>
          <cell r="D5794" t="str">
            <v/>
          </cell>
          <cell r="E5794">
            <v>0</v>
          </cell>
          <cell r="F5794" t="str">
            <v/>
          </cell>
          <cell r="G5794" t="str">
            <v/>
          </cell>
          <cell r="H5794" t="str">
            <v/>
          </cell>
          <cell r="I5794" t="str">
            <v/>
          </cell>
          <cell r="J5794">
            <v>0</v>
          </cell>
          <cell r="K5794">
            <v>0</v>
          </cell>
          <cell r="L5794">
            <v>0</v>
          </cell>
          <cell r="M5794">
            <v>0</v>
          </cell>
          <cell r="N5794">
            <v>0</v>
          </cell>
          <cell r="O5794" t="str">
            <v/>
          </cell>
          <cell r="P5794">
            <v>0</v>
          </cell>
          <cell r="Q5794">
            <v>0</v>
          </cell>
          <cell r="R5794">
            <v>0</v>
          </cell>
          <cell r="S5794">
            <v>0</v>
          </cell>
          <cell r="T5794">
            <v>0</v>
          </cell>
          <cell r="U5794" t="str">
            <v/>
          </cell>
          <cell r="V5794" t="str">
            <v/>
          </cell>
        </row>
        <row r="5795">
          <cell r="A5795">
            <v>5794</v>
          </cell>
          <cell r="B5795">
            <v>0</v>
          </cell>
          <cell r="C5795" t="str">
            <v/>
          </cell>
          <cell r="D5795" t="str">
            <v/>
          </cell>
          <cell r="E5795">
            <v>0</v>
          </cell>
          <cell r="F5795" t="str">
            <v/>
          </cell>
          <cell r="G5795" t="str">
            <v/>
          </cell>
          <cell r="H5795" t="str">
            <v/>
          </cell>
          <cell r="I5795" t="str">
            <v/>
          </cell>
          <cell r="J5795">
            <v>0</v>
          </cell>
          <cell r="K5795">
            <v>0</v>
          </cell>
          <cell r="L5795">
            <v>0</v>
          </cell>
          <cell r="M5795">
            <v>0</v>
          </cell>
          <cell r="N5795">
            <v>0</v>
          </cell>
          <cell r="O5795" t="str">
            <v/>
          </cell>
          <cell r="P5795">
            <v>0</v>
          </cell>
          <cell r="Q5795">
            <v>0</v>
          </cell>
          <cell r="R5795">
            <v>0</v>
          </cell>
          <cell r="S5795">
            <v>0</v>
          </cell>
          <cell r="T5795">
            <v>0</v>
          </cell>
          <cell r="U5795" t="str">
            <v/>
          </cell>
          <cell r="V5795" t="str">
            <v/>
          </cell>
        </row>
        <row r="5796">
          <cell r="A5796">
            <v>5795</v>
          </cell>
          <cell r="B5796">
            <v>0</v>
          </cell>
          <cell r="C5796" t="str">
            <v/>
          </cell>
          <cell r="D5796" t="str">
            <v/>
          </cell>
          <cell r="E5796">
            <v>0</v>
          </cell>
          <cell r="F5796" t="str">
            <v/>
          </cell>
          <cell r="G5796" t="str">
            <v/>
          </cell>
          <cell r="H5796" t="str">
            <v/>
          </cell>
          <cell r="I5796" t="str">
            <v/>
          </cell>
          <cell r="J5796">
            <v>0</v>
          </cell>
          <cell r="K5796">
            <v>0</v>
          </cell>
          <cell r="L5796">
            <v>0</v>
          </cell>
          <cell r="M5796">
            <v>0</v>
          </cell>
          <cell r="N5796">
            <v>0</v>
          </cell>
          <cell r="O5796" t="str">
            <v/>
          </cell>
          <cell r="P5796">
            <v>0</v>
          </cell>
          <cell r="Q5796">
            <v>0</v>
          </cell>
          <cell r="R5796">
            <v>0</v>
          </cell>
          <cell r="S5796">
            <v>0</v>
          </cell>
          <cell r="T5796">
            <v>0</v>
          </cell>
          <cell r="U5796" t="str">
            <v/>
          </cell>
          <cell r="V5796" t="str">
            <v/>
          </cell>
        </row>
        <row r="5797">
          <cell r="A5797">
            <v>5796</v>
          </cell>
          <cell r="B5797">
            <v>0</v>
          </cell>
          <cell r="C5797" t="str">
            <v/>
          </cell>
          <cell r="D5797" t="str">
            <v/>
          </cell>
          <cell r="E5797">
            <v>0</v>
          </cell>
          <cell r="F5797" t="str">
            <v/>
          </cell>
          <cell r="G5797" t="str">
            <v/>
          </cell>
          <cell r="H5797" t="str">
            <v/>
          </cell>
          <cell r="I5797" t="str">
            <v/>
          </cell>
          <cell r="J5797">
            <v>0</v>
          </cell>
          <cell r="K5797">
            <v>0</v>
          </cell>
          <cell r="L5797">
            <v>0</v>
          </cell>
          <cell r="M5797">
            <v>0</v>
          </cell>
          <cell r="N5797">
            <v>0</v>
          </cell>
          <cell r="O5797" t="str">
            <v/>
          </cell>
          <cell r="P5797">
            <v>0</v>
          </cell>
          <cell r="Q5797">
            <v>0</v>
          </cell>
          <cell r="R5797">
            <v>0</v>
          </cell>
          <cell r="S5797">
            <v>0</v>
          </cell>
          <cell r="T5797">
            <v>0</v>
          </cell>
          <cell r="U5797" t="str">
            <v/>
          </cell>
          <cell r="V5797" t="str">
            <v/>
          </cell>
        </row>
        <row r="5798">
          <cell r="A5798">
            <v>5797</v>
          </cell>
          <cell r="B5798">
            <v>0</v>
          </cell>
          <cell r="C5798" t="str">
            <v/>
          </cell>
          <cell r="D5798" t="str">
            <v/>
          </cell>
          <cell r="E5798">
            <v>0</v>
          </cell>
          <cell r="F5798" t="str">
            <v/>
          </cell>
          <cell r="G5798" t="str">
            <v/>
          </cell>
          <cell r="H5798" t="str">
            <v/>
          </cell>
          <cell r="I5798" t="str">
            <v/>
          </cell>
          <cell r="J5798">
            <v>0</v>
          </cell>
          <cell r="K5798">
            <v>0</v>
          </cell>
          <cell r="L5798">
            <v>0</v>
          </cell>
          <cell r="M5798">
            <v>0</v>
          </cell>
          <cell r="N5798">
            <v>0</v>
          </cell>
          <cell r="O5798" t="str">
            <v/>
          </cell>
          <cell r="P5798">
            <v>0</v>
          </cell>
          <cell r="Q5798">
            <v>0</v>
          </cell>
          <cell r="R5798">
            <v>0</v>
          </cell>
          <cell r="S5798">
            <v>0</v>
          </cell>
          <cell r="T5798">
            <v>0</v>
          </cell>
          <cell r="U5798" t="str">
            <v/>
          </cell>
          <cell r="V5798" t="str">
            <v/>
          </cell>
        </row>
        <row r="5799">
          <cell r="A5799">
            <v>5798</v>
          </cell>
          <cell r="B5799">
            <v>0</v>
          </cell>
          <cell r="C5799" t="str">
            <v/>
          </cell>
          <cell r="D5799" t="str">
            <v/>
          </cell>
          <cell r="E5799">
            <v>0</v>
          </cell>
          <cell r="F5799" t="str">
            <v/>
          </cell>
          <cell r="G5799" t="str">
            <v/>
          </cell>
          <cell r="H5799" t="str">
            <v/>
          </cell>
          <cell r="I5799" t="str">
            <v/>
          </cell>
          <cell r="J5799">
            <v>0</v>
          </cell>
          <cell r="K5799">
            <v>0</v>
          </cell>
          <cell r="L5799">
            <v>0</v>
          </cell>
          <cell r="M5799">
            <v>0</v>
          </cell>
          <cell r="N5799">
            <v>0</v>
          </cell>
          <cell r="O5799" t="str">
            <v/>
          </cell>
          <cell r="P5799">
            <v>0</v>
          </cell>
          <cell r="Q5799">
            <v>0</v>
          </cell>
          <cell r="R5799">
            <v>0</v>
          </cell>
          <cell r="S5799">
            <v>0</v>
          </cell>
          <cell r="T5799">
            <v>0</v>
          </cell>
          <cell r="U5799" t="str">
            <v/>
          </cell>
          <cell r="V5799" t="str">
            <v/>
          </cell>
        </row>
        <row r="5800">
          <cell r="A5800">
            <v>5799</v>
          </cell>
          <cell r="B5800">
            <v>0</v>
          </cell>
          <cell r="C5800" t="str">
            <v/>
          </cell>
          <cell r="D5800" t="str">
            <v/>
          </cell>
          <cell r="E5800">
            <v>0</v>
          </cell>
          <cell r="F5800" t="str">
            <v/>
          </cell>
          <cell r="G5800" t="str">
            <v/>
          </cell>
          <cell r="H5800" t="str">
            <v/>
          </cell>
          <cell r="I5800" t="str">
            <v/>
          </cell>
          <cell r="J5800">
            <v>0</v>
          </cell>
          <cell r="K5800">
            <v>0</v>
          </cell>
          <cell r="L5800">
            <v>0</v>
          </cell>
          <cell r="M5800">
            <v>0</v>
          </cell>
          <cell r="N5800">
            <v>0</v>
          </cell>
          <cell r="O5800" t="str">
            <v/>
          </cell>
          <cell r="P5800">
            <v>0</v>
          </cell>
          <cell r="Q5800">
            <v>0</v>
          </cell>
          <cell r="R5800">
            <v>0</v>
          </cell>
          <cell r="S5800">
            <v>0</v>
          </cell>
          <cell r="T5800">
            <v>0</v>
          </cell>
          <cell r="U5800" t="str">
            <v/>
          </cell>
          <cell r="V5800" t="str">
            <v/>
          </cell>
        </row>
        <row r="5801">
          <cell r="A5801">
            <v>5800</v>
          </cell>
          <cell r="B5801">
            <v>0</v>
          </cell>
          <cell r="C5801" t="str">
            <v/>
          </cell>
          <cell r="D5801" t="str">
            <v/>
          </cell>
          <cell r="E5801">
            <v>0</v>
          </cell>
          <cell r="F5801" t="str">
            <v/>
          </cell>
          <cell r="G5801" t="str">
            <v/>
          </cell>
          <cell r="H5801" t="str">
            <v/>
          </cell>
          <cell r="I5801" t="str">
            <v/>
          </cell>
          <cell r="J5801">
            <v>0</v>
          </cell>
          <cell r="K5801">
            <v>0</v>
          </cell>
          <cell r="L5801">
            <v>0</v>
          </cell>
          <cell r="M5801">
            <v>0</v>
          </cell>
          <cell r="N5801">
            <v>0</v>
          </cell>
          <cell r="O5801" t="str">
            <v/>
          </cell>
          <cell r="P5801">
            <v>0</v>
          </cell>
          <cell r="Q5801">
            <v>0</v>
          </cell>
          <cell r="R5801">
            <v>0</v>
          </cell>
          <cell r="S5801">
            <v>0</v>
          </cell>
          <cell r="T5801">
            <v>0</v>
          </cell>
          <cell r="U5801" t="str">
            <v/>
          </cell>
          <cell r="V5801" t="str">
            <v/>
          </cell>
        </row>
        <row r="5802">
          <cell r="A5802">
            <v>5801</v>
          </cell>
          <cell r="B5802">
            <v>0</v>
          </cell>
          <cell r="C5802" t="str">
            <v/>
          </cell>
          <cell r="D5802" t="str">
            <v/>
          </cell>
          <cell r="E5802">
            <v>0</v>
          </cell>
          <cell r="F5802" t="str">
            <v/>
          </cell>
          <cell r="G5802" t="str">
            <v/>
          </cell>
          <cell r="H5802" t="str">
            <v/>
          </cell>
          <cell r="I5802" t="str">
            <v/>
          </cell>
          <cell r="J5802">
            <v>0</v>
          </cell>
          <cell r="K5802">
            <v>0</v>
          </cell>
          <cell r="L5802">
            <v>0</v>
          </cell>
          <cell r="M5802">
            <v>0</v>
          </cell>
          <cell r="N5802">
            <v>0</v>
          </cell>
          <cell r="O5802" t="str">
            <v/>
          </cell>
          <cell r="P5802">
            <v>0</v>
          </cell>
          <cell r="Q5802">
            <v>0</v>
          </cell>
          <cell r="R5802">
            <v>0</v>
          </cell>
          <cell r="S5802">
            <v>0</v>
          </cell>
          <cell r="T5802">
            <v>0</v>
          </cell>
          <cell r="U5802" t="str">
            <v/>
          </cell>
          <cell r="V5802" t="str">
            <v/>
          </cell>
        </row>
        <row r="5803">
          <cell r="A5803">
            <v>5802</v>
          </cell>
          <cell r="B5803">
            <v>0</v>
          </cell>
          <cell r="C5803" t="str">
            <v/>
          </cell>
          <cell r="D5803" t="str">
            <v/>
          </cell>
          <cell r="E5803">
            <v>0</v>
          </cell>
          <cell r="F5803" t="str">
            <v/>
          </cell>
          <cell r="G5803" t="str">
            <v/>
          </cell>
          <cell r="H5803" t="str">
            <v/>
          </cell>
          <cell r="I5803" t="str">
            <v/>
          </cell>
          <cell r="J5803">
            <v>0</v>
          </cell>
          <cell r="K5803">
            <v>0</v>
          </cell>
          <cell r="L5803">
            <v>0</v>
          </cell>
          <cell r="M5803">
            <v>0</v>
          </cell>
          <cell r="N5803">
            <v>0</v>
          </cell>
          <cell r="O5803" t="str">
            <v/>
          </cell>
          <cell r="P5803">
            <v>0</v>
          </cell>
          <cell r="Q5803">
            <v>0</v>
          </cell>
          <cell r="R5803">
            <v>0</v>
          </cell>
          <cell r="S5803">
            <v>0</v>
          </cell>
          <cell r="T5803">
            <v>0</v>
          </cell>
          <cell r="U5803" t="str">
            <v/>
          </cell>
          <cell r="V5803" t="str">
            <v/>
          </cell>
        </row>
        <row r="5804">
          <cell r="A5804">
            <v>5803</v>
          </cell>
          <cell r="B5804">
            <v>0</v>
          </cell>
          <cell r="C5804" t="str">
            <v/>
          </cell>
          <cell r="D5804" t="str">
            <v/>
          </cell>
          <cell r="E5804">
            <v>0</v>
          </cell>
          <cell r="F5804" t="str">
            <v/>
          </cell>
          <cell r="G5804" t="str">
            <v/>
          </cell>
          <cell r="H5804" t="str">
            <v/>
          </cell>
          <cell r="I5804" t="str">
            <v/>
          </cell>
          <cell r="J5804">
            <v>0</v>
          </cell>
          <cell r="K5804">
            <v>0</v>
          </cell>
          <cell r="L5804">
            <v>0</v>
          </cell>
          <cell r="M5804">
            <v>0</v>
          </cell>
          <cell r="N5804">
            <v>0</v>
          </cell>
          <cell r="O5804" t="str">
            <v/>
          </cell>
          <cell r="P5804">
            <v>0</v>
          </cell>
          <cell r="Q5804">
            <v>0</v>
          </cell>
          <cell r="R5804">
            <v>0</v>
          </cell>
          <cell r="S5804">
            <v>0</v>
          </cell>
          <cell r="T5804">
            <v>0</v>
          </cell>
          <cell r="U5804" t="str">
            <v/>
          </cell>
          <cell r="V5804" t="str">
            <v/>
          </cell>
        </row>
        <row r="5805">
          <cell r="A5805">
            <v>5804</v>
          </cell>
          <cell r="B5805">
            <v>0</v>
          </cell>
          <cell r="C5805" t="str">
            <v/>
          </cell>
          <cell r="D5805" t="str">
            <v/>
          </cell>
          <cell r="E5805">
            <v>0</v>
          </cell>
          <cell r="F5805" t="str">
            <v/>
          </cell>
          <cell r="G5805" t="str">
            <v/>
          </cell>
          <cell r="H5805" t="str">
            <v/>
          </cell>
          <cell r="I5805" t="str">
            <v/>
          </cell>
          <cell r="J5805">
            <v>0</v>
          </cell>
          <cell r="K5805">
            <v>0</v>
          </cell>
          <cell r="L5805">
            <v>0</v>
          </cell>
          <cell r="M5805">
            <v>0</v>
          </cell>
          <cell r="N5805">
            <v>0</v>
          </cell>
          <cell r="O5805" t="str">
            <v/>
          </cell>
          <cell r="P5805">
            <v>0</v>
          </cell>
          <cell r="Q5805">
            <v>0</v>
          </cell>
          <cell r="R5805">
            <v>0</v>
          </cell>
          <cell r="S5805">
            <v>0</v>
          </cell>
          <cell r="T5805">
            <v>0</v>
          </cell>
          <cell r="U5805" t="str">
            <v/>
          </cell>
          <cell r="V5805" t="str">
            <v/>
          </cell>
        </row>
        <row r="5806">
          <cell r="A5806">
            <v>5805</v>
          </cell>
          <cell r="B5806">
            <v>0</v>
          </cell>
          <cell r="C5806" t="str">
            <v/>
          </cell>
          <cell r="D5806" t="str">
            <v/>
          </cell>
          <cell r="E5806">
            <v>0</v>
          </cell>
          <cell r="F5806" t="str">
            <v/>
          </cell>
          <cell r="G5806" t="str">
            <v/>
          </cell>
          <cell r="H5806" t="str">
            <v/>
          </cell>
          <cell r="I5806" t="str">
            <v/>
          </cell>
          <cell r="J5806">
            <v>0</v>
          </cell>
          <cell r="K5806">
            <v>0</v>
          </cell>
          <cell r="L5806">
            <v>0</v>
          </cell>
          <cell r="M5806">
            <v>0</v>
          </cell>
          <cell r="N5806">
            <v>0</v>
          </cell>
          <cell r="O5806" t="str">
            <v/>
          </cell>
          <cell r="P5806">
            <v>0</v>
          </cell>
          <cell r="Q5806">
            <v>0</v>
          </cell>
          <cell r="R5806">
            <v>0</v>
          </cell>
          <cell r="S5806">
            <v>0</v>
          </cell>
          <cell r="T5806">
            <v>0</v>
          </cell>
          <cell r="U5806" t="str">
            <v/>
          </cell>
          <cell r="V5806" t="str">
            <v/>
          </cell>
        </row>
        <row r="5807">
          <cell r="A5807">
            <v>5806</v>
          </cell>
          <cell r="B5807">
            <v>0</v>
          </cell>
          <cell r="C5807" t="str">
            <v/>
          </cell>
          <cell r="D5807" t="str">
            <v/>
          </cell>
          <cell r="E5807">
            <v>0</v>
          </cell>
          <cell r="F5807" t="str">
            <v/>
          </cell>
          <cell r="G5807" t="str">
            <v/>
          </cell>
          <cell r="H5807" t="str">
            <v/>
          </cell>
          <cell r="I5807" t="str">
            <v/>
          </cell>
          <cell r="J5807">
            <v>0</v>
          </cell>
          <cell r="K5807">
            <v>0</v>
          </cell>
          <cell r="L5807">
            <v>0</v>
          </cell>
          <cell r="M5807">
            <v>0</v>
          </cell>
          <cell r="N5807">
            <v>0</v>
          </cell>
          <cell r="O5807" t="str">
            <v/>
          </cell>
          <cell r="P5807">
            <v>0</v>
          </cell>
          <cell r="Q5807">
            <v>0</v>
          </cell>
          <cell r="R5807">
            <v>0</v>
          </cell>
          <cell r="S5807">
            <v>0</v>
          </cell>
          <cell r="T5807">
            <v>0</v>
          </cell>
          <cell r="U5807" t="str">
            <v/>
          </cell>
          <cell r="V5807" t="str">
            <v/>
          </cell>
        </row>
        <row r="5808">
          <cell r="A5808">
            <v>5807</v>
          </cell>
          <cell r="B5808">
            <v>0</v>
          </cell>
          <cell r="C5808" t="str">
            <v/>
          </cell>
          <cell r="D5808" t="str">
            <v/>
          </cell>
          <cell r="E5808">
            <v>0</v>
          </cell>
          <cell r="F5808" t="str">
            <v/>
          </cell>
          <cell r="G5808" t="str">
            <v/>
          </cell>
          <cell r="H5808" t="str">
            <v/>
          </cell>
          <cell r="I5808" t="str">
            <v/>
          </cell>
          <cell r="J5808">
            <v>0</v>
          </cell>
          <cell r="K5808">
            <v>0</v>
          </cell>
          <cell r="L5808">
            <v>0</v>
          </cell>
          <cell r="M5808">
            <v>0</v>
          </cell>
          <cell r="N5808">
            <v>0</v>
          </cell>
          <cell r="O5808" t="str">
            <v/>
          </cell>
          <cell r="P5808">
            <v>0</v>
          </cell>
          <cell r="Q5808">
            <v>0</v>
          </cell>
          <cell r="R5808">
            <v>0</v>
          </cell>
          <cell r="S5808">
            <v>0</v>
          </cell>
          <cell r="T5808">
            <v>0</v>
          </cell>
          <cell r="U5808" t="str">
            <v/>
          </cell>
          <cell r="V5808" t="str">
            <v/>
          </cell>
        </row>
        <row r="5809">
          <cell r="A5809">
            <v>5808</v>
          </cell>
          <cell r="B5809">
            <v>0</v>
          </cell>
          <cell r="C5809" t="str">
            <v/>
          </cell>
          <cell r="D5809" t="str">
            <v/>
          </cell>
          <cell r="E5809">
            <v>0</v>
          </cell>
          <cell r="F5809" t="str">
            <v/>
          </cell>
          <cell r="G5809" t="str">
            <v/>
          </cell>
          <cell r="H5809" t="str">
            <v/>
          </cell>
          <cell r="I5809" t="str">
            <v/>
          </cell>
          <cell r="J5809">
            <v>0</v>
          </cell>
          <cell r="K5809">
            <v>0</v>
          </cell>
          <cell r="L5809">
            <v>0</v>
          </cell>
          <cell r="M5809">
            <v>0</v>
          </cell>
          <cell r="N5809">
            <v>0</v>
          </cell>
          <cell r="O5809" t="str">
            <v/>
          </cell>
          <cell r="P5809">
            <v>0</v>
          </cell>
          <cell r="Q5809">
            <v>0</v>
          </cell>
          <cell r="R5809">
            <v>0</v>
          </cell>
          <cell r="S5809">
            <v>0</v>
          </cell>
          <cell r="T5809">
            <v>0</v>
          </cell>
          <cell r="U5809" t="str">
            <v/>
          </cell>
          <cell r="V5809" t="str">
            <v/>
          </cell>
        </row>
        <row r="5810">
          <cell r="A5810">
            <v>5809</v>
          </cell>
          <cell r="B5810">
            <v>0</v>
          </cell>
          <cell r="C5810" t="str">
            <v/>
          </cell>
          <cell r="D5810" t="str">
            <v/>
          </cell>
          <cell r="E5810">
            <v>0</v>
          </cell>
          <cell r="F5810" t="str">
            <v/>
          </cell>
          <cell r="G5810" t="str">
            <v/>
          </cell>
          <cell r="H5810" t="str">
            <v/>
          </cell>
          <cell r="I5810" t="str">
            <v/>
          </cell>
          <cell r="J5810">
            <v>0</v>
          </cell>
          <cell r="K5810">
            <v>0</v>
          </cell>
          <cell r="L5810">
            <v>0</v>
          </cell>
          <cell r="M5810">
            <v>0</v>
          </cell>
          <cell r="N5810">
            <v>0</v>
          </cell>
          <cell r="O5810" t="str">
            <v/>
          </cell>
          <cell r="P5810">
            <v>0</v>
          </cell>
          <cell r="Q5810">
            <v>0</v>
          </cell>
          <cell r="R5810">
            <v>0</v>
          </cell>
          <cell r="S5810">
            <v>0</v>
          </cell>
          <cell r="T5810">
            <v>0</v>
          </cell>
          <cell r="U5810" t="str">
            <v/>
          </cell>
          <cell r="V5810" t="str">
            <v/>
          </cell>
        </row>
        <row r="5811">
          <cell r="A5811">
            <v>5810</v>
          </cell>
          <cell r="B5811">
            <v>0</v>
          </cell>
          <cell r="C5811" t="str">
            <v/>
          </cell>
          <cell r="D5811" t="str">
            <v/>
          </cell>
          <cell r="E5811">
            <v>0</v>
          </cell>
          <cell r="F5811" t="str">
            <v/>
          </cell>
          <cell r="G5811" t="str">
            <v/>
          </cell>
          <cell r="H5811" t="str">
            <v/>
          </cell>
          <cell r="I5811" t="str">
            <v/>
          </cell>
          <cell r="J5811">
            <v>0</v>
          </cell>
          <cell r="K5811">
            <v>0</v>
          </cell>
          <cell r="L5811">
            <v>0</v>
          </cell>
          <cell r="M5811">
            <v>0</v>
          </cell>
          <cell r="N5811">
            <v>0</v>
          </cell>
          <cell r="O5811" t="str">
            <v/>
          </cell>
          <cell r="P5811">
            <v>0</v>
          </cell>
          <cell r="Q5811">
            <v>0</v>
          </cell>
          <cell r="R5811">
            <v>0</v>
          </cell>
          <cell r="S5811">
            <v>0</v>
          </cell>
          <cell r="T5811">
            <v>0</v>
          </cell>
          <cell r="U5811" t="str">
            <v/>
          </cell>
          <cell r="V5811" t="str">
            <v/>
          </cell>
        </row>
        <row r="5812">
          <cell r="A5812">
            <v>5811</v>
          </cell>
          <cell r="B5812">
            <v>0</v>
          </cell>
          <cell r="C5812" t="str">
            <v/>
          </cell>
          <cell r="D5812" t="str">
            <v/>
          </cell>
          <cell r="E5812">
            <v>0</v>
          </cell>
          <cell r="F5812" t="str">
            <v/>
          </cell>
          <cell r="G5812" t="str">
            <v/>
          </cell>
          <cell r="H5812" t="str">
            <v/>
          </cell>
          <cell r="I5812" t="str">
            <v/>
          </cell>
          <cell r="J5812">
            <v>0</v>
          </cell>
          <cell r="K5812">
            <v>0</v>
          </cell>
          <cell r="L5812">
            <v>0</v>
          </cell>
          <cell r="M5812">
            <v>0</v>
          </cell>
          <cell r="N5812">
            <v>0</v>
          </cell>
          <cell r="O5812" t="str">
            <v/>
          </cell>
          <cell r="P5812">
            <v>0</v>
          </cell>
          <cell r="Q5812">
            <v>0</v>
          </cell>
          <cell r="R5812">
            <v>0</v>
          </cell>
          <cell r="S5812">
            <v>0</v>
          </cell>
          <cell r="T5812">
            <v>0</v>
          </cell>
          <cell r="U5812" t="str">
            <v/>
          </cell>
          <cell r="V5812" t="str">
            <v/>
          </cell>
        </row>
        <row r="5813">
          <cell r="A5813">
            <v>5812</v>
          </cell>
          <cell r="B5813">
            <v>0</v>
          </cell>
          <cell r="C5813" t="str">
            <v/>
          </cell>
          <cell r="D5813" t="str">
            <v/>
          </cell>
          <cell r="E5813">
            <v>0</v>
          </cell>
          <cell r="F5813" t="str">
            <v/>
          </cell>
          <cell r="G5813" t="str">
            <v/>
          </cell>
          <cell r="H5813" t="str">
            <v/>
          </cell>
          <cell r="I5813" t="str">
            <v/>
          </cell>
          <cell r="J5813">
            <v>0</v>
          </cell>
          <cell r="K5813">
            <v>0</v>
          </cell>
          <cell r="L5813">
            <v>0</v>
          </cell>
          <cell r="M5813">
            <v>0</v>
          </cell>
          <cell r="N5813">
            <v>0</v>
          </cell>
          <cell r="O5813" t="str">
            <v/>
          </cell>
          <cell r="P5813">
            <v>0</v>
          </cell>
          <cell r="Q5813">
            <v>0</v>
          </cell>
          <cell r="R5813">
            <v>0</v>
          </cell>
          <cell r="S5813">
            <v>0</v>
          </cell>
          <cell r="T5813">
            <v>0</v>
          </cell>
          <cell r="U5813" t="str">
            <v/>
          </cell>
          <cell r="V5813" t="str">
            <v/>
          </cell>
        </row>
        <row r="5814">
          <cell r="A5814">
            <v>5813</v>
          </cell>
          <cell r="B5814">
            <v>0</v>
          </cell>
          <cell r="C5814" t="str">
            <v/>
          </cell>
          <cell r="D5814" t="str">
            <v/>
          </cell>
          <cell r="E5814">
            <v>0</v>
          </cell>
          <cell r="F5814" t="str">
            <v/>
          </cell>
          <cell r="G5814" t="str">
            <v/>
          </cell>
          <cell r="H5814" t="str">
            <v/>
          </cell>
          <cell r="I5814" t="str">
            <v/>
          </cell>
          <cell r="J5814">
            <v>0</v>
          </cell>
          <cell r="K5814">
            <v>0</v>
          </cell>
          <cell r="L5814">
            <v>0</v>
          </cell>
          <cell r="M5814">
            <v>0</v>
          </cell>
          <cell r="N5814">
            <v>0</v>
          </cell>
          <cell r="O5814" t="str">
            <v/>
          </cell>
          <cell r="P5814">
            <v>0</v>
          </cell>
          <cell r="Q5814">
            <v>0</v>
          </cell>
          <cell r="R5814">
            <v>0</v>
          </cell>
          <cell r="S5814">
            <v>0</v>
          </cell>
          <cell r="T5814">
            <v>0</v>
          </cell>
          <cell r="U5814" t="str">
            <v/>
          </cell>
          <cell r="V5814" t="str">
            <v/>
          </cell>
        </row>
        <row r="5815">
          <cell r="A5815">
            <v>5814</v>
          </cell>
          <cell r="B5815">
            <v>0</v>
          </cell>
          <cell r="C5815" t="str">
            <v/>
          </cell>
          <cell r="D5815" t="str">
            <v/>
          </cell>
          <cell r="E5815">
            <v>0</v>
          </cell>
          <cell r="F5815" t="str">
            <v/>
          </cell>
          <cell r="G5815" t="str">
            <v/>
          </cell>
          <cell r="H5815" t="str">
            <v/>
          </cell>
          <cell r="I5815" t="str">
            <v/>
          </cell>
          <cell r="J5815">
            <v>0</v>
          </cell>
          <cell r="K5815">
            <v>0</v>
          </cell>
          <cell r="L5815">
            <v>0</v>
          </cell>
          <cell r="M5815">
            <v>0</v>
          </cell>
          <cell r="N5815">
            <v>0</v>
          </cell>
          <cell r="O5815" t="str">
            <v/>
          </cell>
          <cell r="P5815">
            <v>0</v>
          </cell>
          <cell r="Q5815">
            <v>0</v>
          </cell>
          <cell r="R5815">
            <v>0</v>
          </cell>
          <cell r="S5815">
            <v>0</v>
          </cell>
          <cell r="T5815">
            <v>0</v>
          </cell>
          <cell r="U5815" t="str">
            <v/>
          </cell>
          <cell r="V5815" t="str">
            <v/>
          </cell>
        </row>
        <row r="5816">
          <cell r="A5816">
            <v>5815</v>
          </cell>
          <cell r="B5816">
            <v>0</v>
          </cell>
          <cell r="C5816" t="str">
            <v/>
          </cell>
          <cell r="D5816" t="str">
            <v/>
          </cell>
          <cell r="E5816">
            <v>0</v>
          </cell>
          <cell r="F5816" t="str">
            <v/>
          </cell>
          <cell r="G5816" t="str">
            <v/>
          </cell>
          <cell r="H5816" t="str">
            <v/>
          </cell>
          <cell r="I5816" t="str">
            <v/>
          </cell>
          <cell r="J5816">
            <v>0</v>
          </cell>
          <cell r="K5816">
            <v>0</v>
          </cell>
          <cell r="L5816">
            <v>0</v>
          </cell>
          <cell r="M5816">
            <v>0</v>
          </cell>
          <cell r="N5816">
            <v>0</v>
          </cell>
          <cell r="O5816" t="str">
            <v/>
          </cell>
          <cell r="P5816">
            <v>0</v>
          </cell>
          <cell r="Q5816">
            <v>0</v>
          </cell>
          <cell r="R5816">
            <v>0</v>
          </cell>
          <cell r="S5816">
            <v>0</v>
          </cell>
          <cell r="T5816">
            <v>0</v>
          </cell>
          <cell r="U5816" t="str">
            <v/>
          </cell>
          <cell r="V5816" t="str">
            <v/>
          </cell>
        </row>
        <row r="5817">
          <cell r="A5817">
            <v>5816</v>
          </cell>
          <cell r="B5817">
            <v>0</v>
          </cell>
          <cell r="C5817" t="str">
            <v/>
          </cell>
          <cell r="D5817" t="str">
            <v/>
          </cell>
          <cell r="E5817">
            <v>0</v>
          </cell>
          <cell r="F5817" t="str">
            <v/>
          </cell>
          <cell r="G5817" t="str">
            <v/>
          </cell>
          <cell r="H5817" t="str">
            <v/>
          </cell>
          <cell r="I5817" t="str">
            <v/>
          </cell>
          <cell r="J5817">
            <v>0</v>
          </cell>
          <cell r="K5817">
            <v>0</v>
          </cell>
          <cell r="L5817">
            <v>0</v>
          </cell>
          <cell r="M5817">
            <v>0</v>
          </cell>
          <cell r="N5817">
            <v>0</v>
          </cell>
          <cell r="O5817" t="str">
            <v/>
          </cell>
          <cell r="P5817">
            <v>0</v>
          </cell>
          <cell r="Q5817">
            <v>0</v>
          </cell>
          <cell r="R5817">
            <v>0</v>
          </cell>
          <cell r="S5817">
            <v>0</v>
          </cell>
          <cell r="T5817">
            <v>0</v>
          </cell>
          <cell r="U5817" t="str">
            <v/>
          </cell>
          <cell r="V5817" t="str">
            <v/>
          </cell>
        </row>
        <row r="5818">
          <cell r="A5818">
            <v>5817</v>
          </cell>
          <cell r="B5818">
            <v>0</v>
          </cell>
          <cell r="C5818" t="str">
            <v/>
          </cell>
          <cell r="D5818" t="str">
            <v/>
          </cell>
          <cell r="E5818">
            <v>0</v>
          </cell>
          <cell r="F5818" t="str">
            <v/>
          </cell>
          <cell r="G5818" t="str">
            <v/>
          </cell>
          <cell r="H5818" t="str">
            <v/>
          </cell>
          <cell r="I5818" t="str">
            <v/>
          </cell>
          <cell r="J5818">
            <v>0</v>
          </cell>
          <cell r="K5818">
            <v>0</v>
          </cell>
          <cell r="L5818">
            <v>0</v>
          </cell>
          <cell r="M5818">
            <v>0</v>
          </cell>
          <cell r="N5818">
            <v>0</v>
          </cell>
          <cell r="O5818" t="str">
            <v/>
          </cell>
          <cell r="P5818">
            <v>0</v>
          </cell>
          <cell r="Q5818">
            <v>0</v>
          </cell>
          <cell r="R5818">
            <v>0</v>
          </cell>
          <cell r="S5818">
            <v>0</v>
          </cell>
          <cell r="T5818">
            <v>0</v>
          </cell>
          <cell r="U5818" t="str">
            <v/>
          </cell>
          <cell r="V5818" t="str">
            <v/>
          </cell>
        </row>
        <row r="5819">
          <cell r="A5819">
            <v>5818</v>
          </cell>
          <cell r="B5819">
            <v>0</v>
          </cell>
          <cell r="C5819" t="str">
            <v/>
          </cell>
          <cell r="D5819" t="str">
            <v/>
          </cell>
          <cell r="E5819">
            <v>0</v>
          </cell>
          <cell r="F5819" t="str">
            <v/>
          </cell>
          <cell r="G5819" t="str">
            <v/>
          </cell>
          <cell r="H5819" t="str">
            <v/>
          </cell>
          <cell r="I5819" t="str">
            <v/>
          </cell>
          <cell r="J5819">
            <v>0</v>
          </cell>
          <cell r="K5819">
            <v>0</v>
          </cell>
          <cell r="L5819">
            <v>0</v>
          </cell>
          <cell r="M5819">
            <v>0</v>
          </cell>
          <cell r="N5819">
            <v>0</v>
          </cell>
          <cell r="O5819" t="str">
            <v/>
          </cell>
          <cell r="P5819">
            <v>0</v>
          </cell>
          <cell r="Q5819">
            <v>0</v>
          </cell>
          <cell r="R5819">
            <v>0</v>
          </cell>
          <cell r="S5819">
            <v>0</v>
          </cell>
          <cell r="T5819">
            <v>0</v>
          </cell>
          <cell r="U5819" t="str">
            <v/>
          </cell>
          <cell r="V5819" t="str">
            <v/>
          </cell>
        </row>
        <row r="5820">
          <cell r="A5820">
            <v>5819</v>
          </cell>
          <cell r="B5820">
            <v>0</v>
          </cell>
          <cell r="C5820" t="str">
            <v/>
          </cell>
          <cell r="D5820" t="str">
            <v/>
          </cell>
          <cell r="E5820">
            <v>0</v>
          </cell>
          <cell r="F5820" t="str">
            <v/>
          </cell>
          <cell r="G5820" t="str">
            <v/>
          </cell>
          <cell r="H5820" t="str">
            <v/>
          </cell>
          <cell r="I5820" t="str">
            <v/>
          </cell>
          <cell r="J5820">
            <v>0</v>
          </cell>
          <cell r="K5820">
            <v>0</v>
          </cell>
          <cell r="L5820">
            <v>0</v>
          </cell>
          <cell r="M5820">
            <v>0</v>
          </cell>
          <cell r="N5820">
            <v>0</v>
          </cell>
          <cell r="O5820" t="str">
            <v/>
          </cell>
          <cell r="P5820">
            <v>0</v>
          </cell>
          <cell r="Q5820">
            <v>0</v>
          </cell>
          <cell r="R5820">
            <v>0</v>
          </cell>
          <cell r="S5820">
            <v>0</v>
          </cell>
          <cell r="T5820">
            <v>0</v>
          </cell>
          <cell r="U5820" t="str">
            <v/>
          </cell>
          <cell r="V5820" t="str">
            <v/>
          </cell>
        </row>
        <row r="5821">
          <cell r="A5821">
            <v>5820</v>
          </cell>
          <cell r="B5821">
            <v>0</v>
          </cell>
          <cell r="C5821" t="str">
            <v/>
          </cell>
          <cell r="D5821" t="str">
            <v/>
          </cell>
          <cell r="E5821">
            <v>0</v>
          </cell>
          <cell r="F5821" t="str">
            <v/>
          </cell>
          <cell r="G5821" t="str">
            <v/>
          </cell>
          <cell r="H5821" t="str">
            <v/>
          </cell>
          <cell r="I5821" t="str">
            <v/>
          </cell>
          <cell r="J5821">
            <v>0</v>
          </cell>
          <cell r="K5821">
            <v>0</v>
          </cell>
          <cell r="L5821">
            <v>0</v>
          </cell>
          <cell r="M5821">
            <v>0</v>
          </cell>
          <cell r="N5821">
            <v>0</v>
          </cell>
          <cell r="O5821" t="str">
            <v/>
          </cell>
          <cell r="P5821">
            <v>0</v>
          </cell>
          <cell r="Q5821">
            <v>0</v>
          </cell>
          <cell r="R5821">
            <v>0</v>
          </cell>
          <cell r="S5821">
            <v>0</v>
          </cell>
          <cell r="T5821">
            <v>0</v>
          </cell>
          <cell r="U5821" t="str">
            <v/>
          </cell>
          <cell r="V5821" t="str">
            <v/>
          </cell>
        </row>
        <row r="5822">
          <cell r="A5822">
            <v>5821</v>
          </cell>
          <cell r="B5822">
            <v>0</v>
          </cell>
          <cell r="C5822" t="str">
            <v/>
          </cell>
          <cell r="D5822" t="str">
            <v/>
          </cell>
          <cell r="E5822">
            <v>0</v>
          </cell>
          <cell r="F5822" t="str">
            <v/>
          </cell>
          <cell r="G5822" t="str">
            <v/>
          </cell>
          <cell r="H5822" t="str">
            <v/>
          </cell>
          <cell r="I5822" t="str">
            <v/>
          </cell>
          <cell r="J5822">
            <v>0</v>
          </cell>
          <cell r="K5822">
            <v>0</v>
          </cell>
          <cell r="L5822">
            <v>0</v>
          </cell>
          <cell r="M5822">
            <v>0</v>
          </cell>
          <cell r="N5822">
            <v>0</v>
          </cell>
          <cell r="O5822" t="str">
            <v/>
          </cell>
          <cell r="P5822">
            <v>0</v>
          </cell>
          <cell r="Q5822">
            <v>0</v>
          </cell>
          <cell r="R5822">
            <v>0</v>
          </cell>
          <cell r="S5822">
            <v>0</v>
          </cell>
          <cell r="T5822">
            <v>0</v>
          </cell>
          <cell r="U5822" t="str">
            <v/>
          </cell>
          <cell r="V5822" t="str">
            <v/>
          </cell>
        </row>
        <row r="5823">
          <cell r="A5823">
            <v>5822</v>
          </cell>
          <cell r="B5823">
            <v>0</v>
          </cell>
          <cell r="C5823" t="str">
            <v/>
          </cell>
          <cell r="D5823" t="str">
            <v/>
          </cell>
          <cell r="E5823">
            <v>0</v>
          </cell>
          <cell r="F5823" t="str">
            <v/>
          </cell>
          <cell r="G5823" t="str">
            <v/>
          </cell>
          <cell r="H5823" t="str">
            <v/>
          </cell>
          <cell r="I5823" t="str">
            <v/>
          </cell>
          <cell r="J5823">
            <v>0</v>
          </cell>
          <cell r="K5823">
            <v>0</v>
          </cell>
          <cell r="L5823">
            <v>0</v>
          </cell>
          <cell r="M5823">
            <v>0</v>
          </cell>
          <cell r="N5823">
            <v>0</v>
          </cell>
          <cell r="O5823" t="str">
            <v/>
          </cell>
          <cell r="P5823">
            <v>0</v>
          </cell>
          <cell r="Q5823">
            <v>0</v>
          </cell>
          <cell r="R5823">
            <v>0</v>
          </cell>
          <cell r="S5823">
            <v>0</v>
          </cell>
          <cell r="T5823">
            <v>0</v>
          </cell>
          <cell r="U5823" t="str">
            <v/>
          </cell>
          <cell r="V5823" t="str">
            <v/>
          </cell>
        </row>
        <row r="5824">
          <cell r="A5824">
            <v>5823</v>
          </cell>
          <cell r="B5824">
            <v>0</v>
          </cell>
          <cell r="C5824" t="str">
            <v/>
          </cell>
          <cell r="D5824" t="str">
            <v/>
          </cell>
          <cell r="E5824">
            <v>0</v>
          </cell>
          <cell r="F5824" t="str">
            <v/>
          </cell>
          <cell r="G5824" t="str">
            <v/>
          </cell>
          <cell r="H5824" t="str">
            <v/>
          </cell>
          <cell r="I5824" t="str">
            <v/>
          </cell>
          <cell r="J5824">
            <v>0</v>
          </cell>
          <cell r="K5824">
            <v>0</v>
          </cell>
          <cell r="L5824">
            <v>0</v>
          </cell>
          <cell r="M5824">
            <v>0</v>
          </cell>
          <cell r="N5824">
            <v>0</v>
          </cell>
          <cell r="O5824" t="str">
            <v/>
          </cell>
          <cell r="P5824">
            <v>0</v>
          </cell>
          <cell r="Q5824">
            <v>0</v>
          </cell>
          <cell r="R5824">
            <v>0</v>
          </cell>
          <cell r="S5824">
            <v>0</v>
          </cell>
          <cell r="T5824">
            <v>0</v>
          </cell>
          <cell r="U5824" t="str">
            <v/>
          </cell>
          <cell r="V5824" t="str">
            <v/>
          </cell>
        </row>
        <row r="5825">
          <cell r="A5825">
            <v>5824</v>
          </cell>
          <cell r="B5825">
            <v>0</v>
          </cell>
          <cell r="C5825" t="str">
            <v/>
          </cell>
          <cell r="D5825" t="str">
            <v/>
          </cell>
          <cell r="E5825">
            <v>0</v>
          </cell>
          <cell r="F5825" t="str">
            <v/>
          </cell>
          <cell r="G5825" t="str">
            <v/>
          </cell>
          <cell r="H5825" t="str">
            <v/>
          </cell>
          <cell r="I5825" t="str">
            <v/>
          </cell>
          <cell r="J5825">
            <v>0</v>
          </cell>
          <cell r="K5825">
            <v>0</v>
          </cell>
          <cell r="L5825">
            <v>0</v>
          </cell>
          <cell r="M5825">
            <v>0</v>
          </cell>
          <cell r="N5825">
            <v>0</v>
          </cell>
          <cell r="O5825" t="str">
            <v/>
          </cell>
          <cell r="P5825">
            <v>0</v>
          </cell>
          <cell r="Q5825">
            <v>0</v>
          </cell>
          <cell r="R5825">
            <v>0</v>
          </cell>
          <cell r="S5825">
            <v>0</v>
          </cell>
          <cell r="T5825">
            <v>0</v>
          </cell>
          <cell r="U5825" t="str">
            <v/>
          </cell>
          <cell r="V5825" t="str">
            <v/>
          </cell>
        </row>
        <row r="5826">
          <cell r="A5826">
            <v>5825</v>
          </cell>
          <cell r="B5826">
            <v>0</v>
          </cell>
          <cell r="C5826" t="str">
            <v/>
          </cell>
          <cell r="D5826" t="str">
            <v/>
          </cell>
          <cell r="E5826">
            <v>0</v>
          </cell>
          <cell r="F5826" t="str">
            <v/>
          </cell>
          <cell r="G5826" t="str">
            <v/>
          </cell>
          <cell r="H5826" t="str">
            <v/>
          </cell>
          <cell r="I5826" t="str">
            <v/>
          </cell>
          <cell r="J5826">
            <v>0</v>
          </cell>
          <cell r="K5826">
            <v>0</v>
          </cell>
          <cell r="L5826">
            <v>0</v>
          </cell>
          <cell r="M5826">
            <v>0</v>
          </cell>
          <cell r="N5826">
            <v>0</v>
          </cell>
          <cell r="O5826" t="str">
            <v/>
          </cell>
          <cell r="P5826">
            <v>0</v>
          </cell>
          <cell r="Q5826">
            <v>0</v>
          </cell>
          <cell r="R5826">
            <v>0</v>
          </cell>
          <cell r="S5826">
            <v>0</v>
          </cell>
          <cell r="T5826">
            <v>0</v>
          </cell>
          <cell r="U5826" t="str">
            <v/>
          </cell>
          <cell r="V5826" t="str">
            <v/>
          </cell>
        </row>
        <row r="5827">
          <cell r="A5827">
            <v>5826</v>
          </cell>
          <cell r="B5827">
            <v>0</v>
          </cell>
          <cell r="C5827" t="str">
            <v/>
          </cell>
          <cell r="D5827" t="str">
            <v/>
          </cell>
          <cell r="E5827">
            <v>0</v>
          </cell>
          <cell r="F5827" t="str">
            <v/>
          </cell>
          <cell r="G5827" t="str">
            <v/>
          </cell>
          <cell r="H5827" t="str">
            <v/>
          </cell>
          <cell r="I5827" t="str">
            <v/>
          </cell>
          <cell r="J5827">
            <v>0</v>
          </cell>
          <cell r="K5827">
            <v>0</v>
          </cell>
          <cell r="L5827">
            <v>0</v>
          </cell>
          <cell r="M5827">
            <v>0</v>
          </cell>
          <cell r="N5827">
            <v>0</v>
          </cell>
          <cell r="O5827" t="str">
            <v/>
          </cell>
          <cell r="P5827">
            <v>0</v>
          </cell>
          <cell r="Q5827">
            <v>0</v>
          </cell>
          <cell r="R5827">
            <v>0</v>
          </cell>
          <cell r="S5827">
            <v>0</v>
          </cell>
          <cell r="T5827">
            <v>0</v>
          </cell>
          <cell r="U5827" t="str">
            <v/>
          </cell>
          <cell r="V5827" t="str">
            <v/>
          </cell>
        </row>
        <row r="5828">
          <cell r="A5828">
            <v>5827</v>
          </cell>
          <cell r="B5828">
            <v>0</v>
          </cell>
          <cell r="C5828" t="str">
            <v/>
          </cell>
          <cell r="D5828" t="str">
            <v/>
          </cell>
          <cell r="E5828">
            <v>0</v>
          </cell>
          <cell r="F5828" t="str">
            <v/>
          </cell>
          <cell r="G5828" t="str">
            <v/>
          </cell>
          <cell r="H5828" t="str">
            <v/>
          </cell>
          <cell r="I5828" t="str">
            <v/>
          </cell>
          <cell r="J5828">
            <v>0</v>
          </cell>
          <cell r="K5828">
            <v>0</v>
          </cell>
          <cell r="L5828">
            <v>0</v>
          </cell>
          <cell r="M5828">
            <v>0</v>
          </cell>
          <cell r="N5828">
            <v>0</v>
          </cell>
          <cell r="O5828" t="str">
            <v/>
          </cell>
          <cell r="P5828">
            <v>0</v>
          </cell>
          <cell r="Q5828">
            <v>0</v>
          </cell>
          <cell r="R5828">
            <v>0</v>
          </cell>
          <cell r="S5828">
            <v>0</v>
          </cell>
          <cell r="T5828">
            <v>0</v>
          </cell>
          <cell r="U5828" t="str">
            <v/>
          </cell>
          <cell r="V5828" t="str">
            <v/>
          </cell>
        </row>
        <row r="5829">
          <cell r="A5829">
            <v>5828</v>
          </cell>
          <cell r="B5829">
            <v>0</v>
          </cell>
          <cell r="C5829" t="str">
            <v/>
          </cell>
          <cell r="D5829" t="str">
            <v/>
          </cell>
          <cell r="E5829">
            <v>0</v>
          </cell>
          <cell r="F5829" t="str">
            <v/>
          </cell>
          <cell r="G5829" t="str">
            <v/>
          </cell>
          <cell r="H5829" t="str">
            <v/>
          </cell>
          <cell r="I5829" t="str">
            <v/>
          </cell>
          <cell r="J5829">
            <v>0</v>
          </cell>
          <cell r="K5829">
            <v>0</v>
          </cell>
          <cell r="L5829">
            <v>0</v>
          </cell>
          <cell r="M5829">
            <v>0</v>
          </cell>
          <cell r="N5829">
            <v>0</v>
          </cell>
          <cell r="O5829" t="str">
            <v/>
          </cell>
          <cell r="P5829">
            <v>0</v>
          </cell>
          <cell r="Q5829">
            <v>0</v>
          </cell>
          <cell r="R5829">
            <v>0</v>
          </cell>
          <cell r="S5829">
            <v>0</v>
          </cell>
          <cell r="T5829">
            <v>0</v>
          </cell>
          <cell r="U5829" t="str">
            <v/>
          </cell>
          <cell r="V5829" t="str">
            <v/>
          </cell>
        </row>
        <row r="5830">
          <cell r="A5830">
            <v>5829</v>
          </cell>
          <cell r="B5830">
            <v>0</v>
          </cell>
          <cell r="C5830" t="str">
            <v/>
          </cell>
          <cell r="D5830" t="str">
            <v/>
          </cell>
          <cell r="E5830">
            <v>0</v>
          </cell>
          <cell r="F5830" t="str">
            <v/>
          </cell>
          <cell r="G5830" t="str">
            <v/>
          </cell>
          <cell r="H5830" t="str">
            <v/>
          </cell>
          <cell r="I5830" t="str">
            <v/>
          </cell>
          <cell r="J5830">
            <v>0</v>
          </cell>
          <cell r="K5830">
            <v>0</v>
          </cell>
          <cell r="L5830">
            <v>0</v>
          </cell>
          <cell r="M5830">
            <v>0</v>
          </cell>
          <cell r="N5830">
            <v>0</v>
          </cell>
          <cell r="O5830" t="str">
            <v/>
          </cell>
          <cell r="P5830">
            <v>0</v>
          </cell>
          <cell r="Q5830">
            <v>0</v>
          </cell>
          <cell r="R5830">
            <v>0</v>
          </cell>
          <cell r="S5830">
            <v>0</v>
          </cell>
          <cell r="T5830">
            <v>0</v>
          </cell>
          <cell r="U5830" t="str">
            <v/>
          </cell>
          <cell r="V5830" t="str">
            <v/>
          </cell>
        </row>
        <row r="5831">
          <cell r="A5831">
            <v>5830</v>
          </cell>
          <cell r="B5831">
            <v>0</v>
          </cell>
          <cell r="C5831" t="str">
            <v/>
          </cell>
          <cell r="D5831" t="str">
            <v/>
          </cell>
          <cell r="E5831">
            <v>0</v>
          </cell>
          <cell r="F5831" t="str">
            <v/>
          </cell>
          <cell r="G5831" t="str">
            <v/>
          </cell>
          <cell r="H5831" t="str">
            <v/>
          </cell>
          <cell r="I5831" t="str">
            <v/>
          </cell>
          <cell r="J5831">
            <v>0</v>
          </cell>
          <cell r="K5831">
            <v>0</v>
          </cell>
          <cell r="L5831">
            <v>0</v>
          </cell>
          <cell r="M5831">
            <v>0</v>
          </cell>
          <cell r="N5831">
            <v>0</v>
          </cell>
          <cell r="O5831" t="str">
            <v/>
          </cell>
          <cell r="P5831">
            <v>0</v>
          </cell>
          <cell r="Q5831">
            <v>0</v>
          </cell>
          <cell r="R5831">
            <v>0</v>
          </cell>
          <cell r="S5831">
            <v>0</v>
          </cell>
          <cell r="T5831">
            <v>0</v>
          </cell>
          <cell r="U5831" t="str">
            <v/>
          </cell>
          <cell r="V5831" t="str">
            <v/>
          </cell>
        </row>
        <row r="5832">
          <cell r="A5832">
            <v>5831</v>
          </cell>
          <cell r="B5832">
            <v>0</v>
          </cell>
          <cell r="C5832" t="str">
            <v/>
          </cell>
          <cell r="D5832" t="str">
            <v/>
          </cell>
          <cell r="E5832">
            <v>0</v>
          </cell>
          <cell r="F5832" t="str">
            <v/>
          </cell>
          <cell r="G5832" t="str">
            <v/>
          </cell>
          <cell r="H5832" t="str">
            <v/>
          </cell>
          <cell r="I5832" t="str">
            <v/>
          </cell>
          <cell r="J5832">
            <v>0</v>
          </cell>
          <cell r="K5832">
            <v>0</v>
          </cell>
          <cell r="L5832">
            <v>0</v>
          </cell>
          <cell r="M5832">
            <v>0</v>
          </cell>
          <cell r="N5832">
            <v>0</v>
          </cell>
          <cell r="O5832" t="str">
            <v/>
          </cell>
          <cell r="P5832">
            <v>0</v>
          </cell>
          <cell r="Q5832">
            <v>0</v>
          </cell>
          <cell r="R5832">
            <v>0</v>
          </cell>
          <cell r="S5832">
            <v>0</v>
          </cell>
          <cell r="T5832">
            <v>0</v>
          </cell>
          <cell r="U5832" t="str">
            <v/>
          </cell>
          <cell r="V5832" t="str">
            <v/>
          </cell>
        </row>
        <row r="5833">
          <cell r="A5833">
            <v>5832</v>
          </cell>
          <cell r="B5833">
            <v>0</v>
          </cell>
          <cell r="C5833" t="str">
            <v/>
          </cell>
          <cell r="D5833" t="str">
            <v/>
          </cell>
          <cell r="E5833">
            <v>0</v>
          </cell>
          <cell r="F5833" t="str">
            <v/>
          </cell>
          <cell r="G5833" t="str">
            <v/>
          </cell>
          <cell r="H5833" t="str">
            <v/>
          </cell>
          <cell r="I5833" t="str">
            <v/>
          </cell>
          <cell r="J5833">
            <v>0</v>
          </cell>
          <cell r="K5833">
            <v>0</v>
          </cell>
          <cell r="L5833">
            <v>0</v>
          </cell>
          <cell r="M5833">
            <v>0</v>
          </cell>
          <cell r="N5833">
            <v>0</v>
          </cell>
          <cell r="O5833" t="str">
            <v/>
          </cell>
          <cell r="P5833">
            <v>0</v>
          </cell>
          <cell r="Q5833">
            <v>0</v>
          </cell>
          <cell r="R5833">
            <v>0</v>
          </cell>
          <cell r="S5833">
            <v>0</v>
          </cell>
          <cell r="T5833">
            <v>0</v>
          </cell>
          <cell r="U5833" t="str">
            <v/>
          </cell>
          <cell r="V5833" t="str">
            <v/>
          </cell>
        </row>
        <row r="5834">
          <cell r="A5834">
            <v>5833</v>
          </cell>
          <cell r="B5834">
            <v>0</v>
          </cell>
          <cell r="C5834" t="str">
            <v/>
          </cell>
          <cell r="D5834" t="str">
            <v/>
          </cell>
          <cell r="E5834">
            <v>0</v>
          </cell>
          <cell r="F5834" t="str">
            <v/>
          </cell>
          <cell r="G5834" t="str">
            <v/>
          </cell>
          <cell r="H5834" t="str">
            <v/>
          </cell>
          <cell r="I5834" t="str">
            <v/>
          </cell>
          <cell r="J5834">
            <v>0</v>
          </cell>
          <cell r="K5834">
            <v>0</v>
          </cell>
          <cell r="L5834">
            <v>0</v>
          </cell>
          <cell r="M5834">
            <v>0</v>
          </cell>
          <cell r="N5834">
            <v>0</v>
          </cell>
          <cell r="O5834" t="str">
            <v/>
          </cell>
          <cell r="P5834">
            <v>0</v>
          </cell>
          <cell r="Q5834">
            <v>0</v>
          </cell>
          <cell r="R5834">
            <v>0</v>
          </cell>
          <cell r="S5834">
            <v>0</v>
          </cell>
          <cell r="T5834">
            <v>0</v>
          </cell>
          <cell r="U5834" t="str">
            <v/>
          </cell>
          <cell r="V5834" t="str">
            <v/>
          </cell>
        </row>
        <row r="5835">
          <cell r="A5835">
            <v>5834</v>
          </cell>
          <cell r="B5835">
            <v>0</v>
          </cell>
          <cell r="C5835" t="str">
            <v/>
          </cell>
          <cell r="D5835" t="str">
            <v/>
          </cell>
          <cell r="E5835">
            <v>0</v>
          </cell>
          <cell r="F5835" t="str">
            <v/>
          </cell>
          <cell r="G5835" t="str">
            <v/>
          </cell>
          <cell r="H5835" t="str">
            <v/>
          </cell>
          <cell r="I5835" t="str">
            <v/>
          </cell>
          <cell r="J5835">
            <v>0</v>
          </cell>
          <cell r="K5835">
            <v>0</v>
          </cell>
          <cell r="L5835">
            <v>0</v>
          </cell>
          <cell r="M5835">
            <v>0</v>
          </cell>
          <cell r="N5835">
            <v>0</v>
          </cell>
          <cell r="O5835" t="str">
            <v/>
          </cell>
          <cell r="P5835">
            <v>0</v>
          </cell>
          <cell r="Q5835">
            <v>0</v>
          </cell>
          <cell r="R5835">
            <v>0</v>
          </cell>
          <cell r="S5835">
            <v>0</v>
          </cell>
          <cell r="T5835">
            <v>0</v>
          </cell>
          <cell r="U5835" t="str">
            <v/>
          </cell>
          <cell r="V5835" t="str">
            <v/>
          </cell>
        </row>
        <row r="5836">
          <cell r="A5836">
            <v>5835</v>
          </cell>
          <cell r="B5836">
            <v>0</v>
          </cell>
          <cell r="C5836" t="str">
            <v/>
          </cell>
          <cell r="D5836" t="str">
            <v/>
          </cell>
          <cell r="E5836">
            <v>0</v>
          </cell>
          <cell r="F5836" t="str">
            <v/>
          </cell>
          <cell r="G5836" t="str">
            <v/>
          </cell>
          <cell r="H5836" t="str">
            <v/>
          </cell>
          <cell r="I5836" t="str">
            <v/>
          </cell>
          <cell r="J5836">
            <v>0</v>
          </cell>
          <cell r="K5836">
            <v>0</v>
          </cell>
          <cell r="L5836">
            <v>0</v>
          </cell>
          <cell r="M5836">
            <v>0</v>
          </cell>
          <cell r="N5836">
            <v>0</v>
          </cell>
          <cell r="O5836" t="str">
            <v/>
          </cell>
          <cell r="P5836">
            <v>0</v>
          </cell>
          <cell r="Q5836">
            <v>0</v>
          </cell>
          <cell r="R5836">
            <v>0</v>
          </cell>
          <cell r="S5836">
            <v>0</v>
          </cell>
          <cell r="T5836">
            <v>0</v>
          </cell>
          <cell r="U5836" t="str">
            <v/>
          </cell>
          <cell r="V5836" t="str">
            <v/>
          </cell>
        </row>
        <row r="5837">
          <cell r="A5837">
            <v>5836</v>
          </cell>
          <cell r="B5837">
            <v>0</v>
          </cell>
          <cell r="C5837" t="str">
            <v/>
          </cell>
          <cell r="D5837" t="str">
            <v/>
          </cell>
          <cell r="E5837">
            <v>0</v>
          </cell>
          <cell r="F5837" t="str">
            <v/>
          </cell>
          <cell r="G5837" t="str">
            <v/>
          </cell>
          <cell r="H5837" t="str">
            <v/>
          </cell>
          <cell r="I5837" t="str">
            <v/>
          </cell>
          <cell r="J5837">
            <v>0</v>
          </cell>
          <cell r="K5837">
            <v>0</v>
          </cell>
          <cell r="L5837">
            <v>0</v>
          </cell>
          <cell r="M5837">
            <v>0</v>
          </cell>
          <cell r="N5837">
            <v>0</v>
          </cell>
          <cell r="O5837" t="str">
            <v/>
          </cell>
          <cell r="P5837">
            <v>0</v>
          </cell>
          <cell r="Q5837">
            <v>0</v>
          </cell>
          <cell r="R5837">
            <v>0</v>
          </cell>
          <cell r="S5837">
            <v>0</v>
          </cell>
          <cell r="T5837">
            <v>0</v>
          </cell>
          <cell r="U5837" t="str">
            <v/>
          </cell>
          <cell r="V5837" t="str">
            <v/>
          </cell>
        </row>
        <row r="5838">
          <cell r="A5838">
            <v>5837</v>
          </cell>
          <cell r="B5838">
            <v>0</v>
          </cell>
          <cell r="C5838" t="str">
            <v/>
          </cell>
          <cell r="D5838" t="str">
            <v/>
          </cell>
          <cell r="E5838">
            <v>0</v>
          </cell>
          <cell r="F5838" t="str">
            <v/>
          </cell>
          <cell r="G5838" t="str">
            <v/>
          </cell>
          <cell r="H5838" t="str">
            <v/>
          </cell>
          <cell r="I5838" t="str">
            <v/>
          </cell>
          <cell r="J5838">
            <v>0</v>
          </cell>
          <cell r="K5838">
            <v>0</v>
          </cell>
          <cell r="L5838">
            <v>0</v>
          </cell>
          <cell r="M5838">
            <v>0</v>
          </cell>
          <cell r="N5838">
            <v>0</v>
          </cell>
          <cell r="O5838" t="str">
            <v/>
          </cell>
          <cell r="P5838">
            <v>0</v>
          </cell>
          <cell r="Q5838">
            <v>0</v>
          </cell>
          <cell r="R5838">
            <v>0</v>
          </cell>
          <cell r="S5838">
            <v>0</v>
          </cell>
          <cell r="T5838">
            <v>0</v>
          </cell>
          <cell r="U5838" t="str">
            <v/>
          </cell>
          <cell r="V5838" t="str">
            <v/>
          </cell>
        </row>
        <row r="5839">
          <cell r="A5839">
            <v>5838</v>
          </cell>
          <cell r="B5839">
            <v>0</v>
          </cell>
          <cell r="C5839" t="str">
            <v/>
          </cell>
          <cell r="D5839" t="str">
            <v/>
          </cell>
          <cell r="E5839">
            <v>0</v>
          </cell>
          <cell r="F5839" t="str">
            <v/>
          </cell>
          <cell r="G5839" t="str">
            <v/>
          </cell>
          <cell r="H5839" t="str">
            <v/>
          </cell>
          <cell r="I5839" t="str">
            <v/>
          </cell>
          <cell r="J5839">
            <v>0</v>
          </cell>
          <cell r="K5839">
            <v>0</v>
          </cell>
          <cell r="L5839">
            <v>0</v>
          </cell>
          <cell r="M5839">
            <v>0</v>
          </cell>
          <cell r="N5839">
            <v>0</v>
          </cell>
          <cell r="O5839" t="str">
            <v/>
          </cell>
          <cell r="P5839">
            <v>0</v>
          </cell>
          <cell r="Q5839">
            <v>0</v>
          </cell>
          <cell r="R5839">
            <v>0</v>
          </cell>
          <cell r="S5839">
            <v>0</v>
          </cell>
          <cell r="T5839">
            <v>0</v>
          </cell>
          <cell r="U5839" t="str">
            <v/>
          </cell>
          <cell r="V5839" t="str">
            <v/>
          </cell>
        </row>
        <row r="5840">
          <cell r="A5840">
            <v>5839</v>
          </cell>
          <cell r="B5840">
            <v>0</v>
          </cell>
          <cell r="C5840" t="str">
            <v/>
          </cell>
          <cell r="D5840" t="str">
            <v/>
          </cell>
          <cell r="E5840">
            <v>0</v>
          </cell>
          <cell r="F5840" t="str">
            <v/>
          </cell>
          <cell r="G5840" t="str">
            <v/>
          </cell>
          <cell r="H5840" t="str">
            <v/>
          </cell>
          <cell r="I5840" t="str">
            <v/>
          </cell>
          <cell r="J5840">
            <v>0</v>
          </cell>
          <cell r="K5840">
            <v>0</v>
          </cell>
          <cell r="L5840">
            <v>0</v>
          </cell>
          <cell r="M5840">
            <v>0</v>
          </cell>
          <cell r="N5840">
            <v>0</v>
          </cell>
          <cell r="O5840" t="str">
            <v/>
          </cell>
          <cell r="P5840">
            <v>0</v>
          </cell>
          <cell r="Q5840">
            <v>0</v>
          </cell>
          <cell r="R5840">
            <v>0</v>
          </cell>
          <cell r="S5840">
            <v>0</v>
          </cell>
          <cell r="T5840">
            <v>0</v>
          </cell>
          <cell r="U5840" t="str">
            <v/>
          </cell>
          <cell r="V5840" t="str">
            <v/>
          </cell>
        </row>
        <row r="5841">
          <cell r="A5841">
            <v>5840</v>
          </cell>
          <cell r="B5841">
            <v>0</v>
          </cell>
          <cell r="C5841" t="str">
            <v/>
          </cell>
          <cell r="D5841" t="str">
            <v/>
          </cell>
          <cell r="E5841">
            <v>0</v>
          </cell>
          <cell r="F5841" t="str">
            <v/>
          </cell>
          <cell r="G5841" t="str">
            <v/>
          </cell>
          <cell r="H5841" t="str">
            <v/>
          </cell>
          <cell r="I5841" t="str">
            <v/>
          </cell>
          <cell r="J5841">
            <v>0</v>
          </cell>
          <cell r="K5841">
            <v>0</v>
          </cell>
          <cell r="L5841">
            <v>0</v>
          </cell>
          <cell r="M5841">
            <v>0</v>
          </cell>
          <cell r="N5841">
            <v>0</v>
          </cell>
          <cell r="O5841" t="str">
            <v/>
          </cell>
          <cell r="P5841">
            <v>0</v>
          </cell>
          <cell r="Q5841">
            <v>0</v>
          </cell>
          <cell r="R5841">
            <v>0</v>
          </cell>
          <cell r="S5841">
            <v>0</v>
          </cell>
          <cell r="T5841">
            <v>0</v>
          </cell>
          <cell r="U5841" t="str">
            <v/>
          </cell>
          <cell r="V5841" t="str">
            <v/>
          </cell>
        </row>
        <row r="5842">
          <cell r="A5842">
            <v>5841</v>
          </cell>
          <cell r="B5842">
            <v>0</v>
          </cell>
          <cell r="C5842" t="str">
            <v/>
          </cell>
          <cell r="D5842" t="str">
            <v/>
          </cell>
          <cell r="E5842">
            <v>0</v>
          </cell>
          <cell r="F5842" t="str">
            <v/>
          </cell>
          <cell r="G5842" t="str">
            <v/>
          </cell>
          <cell r="H5842" t="str">
            <v/>
          </cell>
          <cell r="I5842" t="str">
            <v/>
          </cell>
          <cell r="J5842">
            <v>0</v>
          </cell>
          <cell r="K5842">
            <v>0</v>
          </cell>
          <cell r="L5842">
            <v>0</v>
          </cell>
          <cell r="M5842">
            <v>0</v>
          </cell>
          <cell r="N5842">
            <v>0</v>
          </cell>
          <cell r="O5842" t="str">
            <v/>
          </cell>
          <cell r="P5842">
            <v>0</v>
          </cell>
          <cell r="Q5842">
            <v>0</v>
          </cell>
          <cell r="R5842">
            <v>0</v>
          </cell>
          <cell r="S5842">
            <v>0</v>
          </cell>
          <cell r="T5842">
            <v>0</v>
          </cell>
          <cell r="U5842" t="str">
            <v/>
          </cell>
          <cell r="V5842" t="str">
            <v/>
          </cell>
        </row>
        <row r="5843">
          <cell r="A5843">
            <v>5842</v>
          </cell>
          <cell r="B5843">
            <v>0</v>
          </cell>
          <cell r="C5843" t="str">
            <v/>
          </cell>
          <cell r="D5843" t="str">
            <v/>
          </cell>
          <cell r="E5843">
            <v>0</v>
          </cell>
          <cell r="F5843" t="str">
            <v/>
          </cell>
          <cell r="G5843" t="str">
            <v/>
          </cell>
          <cell r="H5843" t="str">
            <v/>
          </cell>
          <cell r="I5843" t="str">
            <v/>
          </cell>
          <cell r="J5843">
            <v>0</v>
          </cell>
          <cell r="K5843">
            <v>0</v>
          </cell>
          <cell r="L5843">
            <v>0</v>
          </cell>
          <cell r="M5843">
            <v>0</v>
          </cell>
          <cell r="N5843">
            <v>0</v>
          </cell>
          <cell r="O5843" t="str">
            <v/>
          </cell>
          <cell r="P5843">
            <v>0</v>
          </cell>
          <cell r="Q5843">
            <v>0</v>
          </cell>
          <cell r="R5843">
            <v>0</v>
          </cell>
          <cell r="S5843">
            <v>0</v>
          </cell>
          <cell r="T5843">
            <v>0</v>
          </cell>
          <cell r="U5843" t="str">
            <v/>
          </cell>
          <cell r="V5843" t="str">
            <v/>
          </cell>
        </row>
        <row r="5844">
          <cell r="A5844">
            <v>5843</v>
          </cell>
          <cell r="B5844">
            <v>0</v>
          </cell>
          <cell r="C5844" t="str">
            <v/>
          </cell>
          <cell r="D5844" t="str">
            <v/>
          </cell>
          <cell r="E5844">
            <v>0</v>
          </cell>
          <cell r="F5844" t="str">
            <v/>
          </cell>
          <cell r="G5844" t="str">
            <v/>
          </cell>
          <cell r="H5844" t="str">
            <v/>
          </cell>
          <cell r="I5844" t="str">
            <v/>
          </cell>
          <cell r="J5844">
            <v>0</v>
          </cell>
          <cell r="K5844">
            <v>0</v>
          </cell>
          <cell r="L5844">
            <v>0</v>
          </cell>
          <cell r="M5844">
            <v>0</v>
          </cell>
          <cell r="N5844">
            <v>0</v>
          </cell>
          <cell r="O5844" t="str">
            <v/>
          </cell>
          <cell r="P5844">
            <v>0</v>
          </cell>
          <cell r="Q5844">
            <v>0</v>
          </cell>
          <cell r="R5844">
            <v>0</v>
          </cell>
          <cell r="S5844">
            <v>0</v>
          </cell>
          <cell r="T5844">
            <v>0</v>
          </cell>
          <cell r="U5844" t="str">
            <v/>
          </cell>
          <cell r="V5844" t="str">
            <v/>
          </cell>
        </row>
        <row r="5845">
          <cell r="A5845">
            <v>5844</v>
          </cell>
          <cell r="B5845">
            <v>0</v>
          </cell>
          <cell r="C5845" t="str">
            <v/>
          </cell>
          <cell r="D5845" t="str">
            <v/>
          </cell>
          <cell r="E5845">
            <v>0</v>
          </cell>
          <cell r="F5845" t="str">
            <v/>
          </cell>
          <cell r="G5845" t="str">
            <v/>
          </cell>
          <cell r="H5845" t="str">
            <v/>
          </cell>
          <cell r="I5845" t="str">
            <v/>
          </cell>
          <cell r="J5845">
            <v>0</v>
          </cell>
          <cell r="K5845">
            <v>0</v>
          </cell>
          <cell r="L5845">
            <v>0</v>
          </cell>
          <cell r="M5845">
            <v>0</v>
          </cell>
          <cell r="N5845">
            <v>0</v>
          </cell>
          <cell r="O5845" t="str">
            <v/>
          </cell>
          <cell r="P5845">
            <v>0</v>
          </cell>
          <cell r="Q5845">
            <v>0</v>
          </cell>
          <cell r="R5845">
            <v>0</v>
          </cell>
          <cell r="S5845">
            <v>0</v>
          </cell>
          <cell r="T5845">
            <v>0</v>
          </cell>
          <cell r="U5845" t="str">
            <v/>
          </cell>
          <cell r="V5845" t="str">
            <v/>
          </cell>
        </row>
        <row r="5846">
          <cell r="A5846">
            <v>5845</v>
          </cell>
          <cell r="B5846">
            <v>0</v>
          </cell>
          <cell r="C5846" t="str">
            <v/>
          </cell>
          <cell r="D5846" t="str">
            <v/>
          </cell>
          <cell r="E5846">
            <v>0</v>
          </cell>
          <cell r="F5846" t="str">
            <v/>
          </cell>
          <cell r="G5846" t="str">
            <v/>
          </cell>
          <cell r="H5846" t="str">
            <v/>
          </cell>
          <cell r="I5846" t="str">
            <v/>
          </cell>
          <cell r="J5846">
            <v>0</v>
          </cell>
          <cell r="K5846">
            <v>0</v>
          </cell>
          <cell r="L5846">
            <v>0</v>
          </cell>
          <cell r="M5846">
            <v>0</v>
          </cell>
          <cell r="N5846">
            <v>0</v>
          </cell>
          <cell r="O5846" t="str">
            <v/>
          </cell>
          <cell r="P5846">
            <v>0</v>
          </cell>
          <cell r="Q5846">
            <v>0</v>
          </cell>
          <cell r="R5846">
            <v>0</v>
          </cell>
          <cell r="S5846">
            <v>0</v>
          </cell>
          <cell r="T5846">
            <v>0</v>
          </cell>
          <cell r="U5846" t="str">
            <v/>
          </cell>
          <cell r="V5846" t="str">
            <v/>
          </cell>
        </row>
        <row r="5847">
          <cell r="A5847">
            <v>5846</v>
          </cell>
          <cell r="B5847">
            <v>0</v>
          </cell>
          <cell r="C5847" t="str">
            <v/>
          </cell>
          <cell r="D5847" t="str">
            <v/>
          </cell>
          <cell r="E5847">
            <v>0</v>
          </cell>
          <cell r="F5847" t="str">
            <v/>
          </cell>
          <cell r="G5847" t="str">
            <v/>
          </cell>
          <cell r="H5847" t="str">
            <v/>
          </cell>
          <cell r="I5847" t="str">
            <v/>
          </cell>
          <cell r="J5847">
            <v>0</v>
          </cell>
          <cell r="K5847">
            <v>0</v>
          </cell>
          <cell r="L5847">
            <v>0</v>
          </cell>
          <cell r="M5847">
            <v>0</v>
          </cell>
          <cell r="N5847">
            <v>0</v>
          </cell>
          <cell r="O5847" t="str">
            <v/>
          </cell>
          <cell r="P5847">
            <v>0</v>
          </cell>
          <cell r="Q5847">
            <v>0</v>
          </cell>
          <cell r="R5847">
            <v>0</v>
          </cell>
          <cell r="S5847">
            <v>0</v>
          </cell>
          <cell r="T5847">
            <v>0</v>
          </cell>
          <cell r="U5847" t="str">
            <v/>
          </cell>
          <cell r="V5847" t="str">
            <v/>
          </cell>
        </row>
        <row r="5848">
          <cell r="A5848">
            <v>5847</v>
          </cell>
          <cell r="B5848">
            <v>0</v>
          </cell>
          <cell r="C5848" t="str">
            <v/>
          </cell>
          <cell r="D5848" t="str">
            <v/>
          </cell>
          <cell r="E5848">
            <v>0</v>
          </cell>
          <cell r="F5848" t="str">
            <v/>
          </cell>
          <cell r="G5848" t="str">
            <v/>
          </cell>
          <cell r="H5848" t="str">
            <v/>
          </cell>
          <cell r="I5848" t="str">
            <v/>
          </cell>
          <cell r="J5848">
            <v>0</v>
          </cell>
          <cell r="K5848">
            <v>0</v>
          </cell>
          <cell r="L5848">
            <v>0</v>
          </cell>
          <cell r="M5848">
            <v>0</v>
          </cell>
          <cell r="N5848">
            <v>0</v>
          </cell>
          <cell r="O5848" t="str">
            <v/>
          </cell>
          <cell r="P5848">
            <v>0</v>
          </cell>
          <cell r="Q5848">
            <v>0</v>
          </cell>
          <cell r="R5848">
            <v>0</v>
          </cell>
          <cell r="S5848">
            <v>0</v>
          </cell>
          <cell r="T5848">
            <v>0</v>
          </cell>
          <cell r="U5848" t="str">
            <v/>
          </cell>
          <cell r="V5848" t="str">
            <v/>
          </cell>
        </row>
        <row r="5849">
          <cell r="A5849">
            <v>5848</v>
          </cell>
          <cell r="B5849">
            <v>0</v>
          </cell>
          <cell r="C5849" t="str">
            <v/>
          </cell>
          <cell r="D5849" t="str">
            <v/>
          </cell>
          <cell r="E5849">
            <v>0</v>
          </cell>
          <cell r="F5849" t="str">
            <v/>
          </cell>
          <cell r="G5849" t="str">
            <v/>
          </cell>
          <cell r="H5849" t="str">
            <v/>
          </cell>
          <cell r="I5849" t="str">
            <v/>
          </cell>
          <cell r="J5849">
            <v>0</v>
          </cell>
          <cell r="K5849">
            <v>0</v>
          </cell>
          <cell r="L5849">
            <v>0</v>
          </cell>
          <cell r="M5849">
            <v>0</v>
          </cell>
          <cell r="N5849">
            <v>0</v>
          </cell>
          <cell r="O5849" t="str">
            <v/>
          </cell>
          <cell r="P5849">
            <v>0</v>
          </cell>
          <cell r="Q5849">
            <v>0</v>
          </cell>
          <cell r="R5849">
            <v>0</v>
          </cell>
          <cell r="S5849">
            <v>0</v>
          </cell>
          <cell r="T5849">
            <v>0</v>
          </cell>
          <cell r="U5849" t="str">
            <v/>
          </cell>
          <cell r="V5849" t="str">
            <v/>
          </cell>
        </row>
        <row r="5850">
          <cell r="A5850">
            <v>5849</v>
          </cell>
          <cell r="B5850">
            <v>0</v>
          </cell>
          <cell r="C5850" t="str">
            <v/>
          </cell>
          <cell r="D5850" t="str">
            <v/>
          </cell>
          <cell r="E5850">
            <v>0</v>
          </cell>
          <cell r="F5850" t="str">
            <v/>
          </cell>
          <cell r="G5850" t="str">
            <v/>
          </cell>
          <cell r="H5850" t="str">
            <v/>
          </cell>
          <cell r="I5850" t="str">
            <v/>
          </cell>
          <cell r="J5850">
            <v>0</v>
          </cell>
          <cell r="K5850">
            <v>0</v>
          </cell>
          <cell r="L5850">
            <v>0</v>
          </cell>
          <cell r="M5850">
            <v>0</v>
          </cell>
          <cell r="N5850">
            <v>0</v>
          </cell>
          <cell r="O5850" t="str">
            <v/>
          </cell>
          <cell r="P5850">
            <v>0</v>
          </cell>
          <cell r="Q5850">
            <v>0</v>
          </cell>
          <cell r="R5850">
            <v>0</v>
          </cell>
          <cell r="S5850">
            <v>0</v>
          </cell>
          <cell r="T5850">
            <v>0</v>
          </cell>
          <cell r="U5850" t="str">
            <v/>
          </cell>
          <cell r="V5850" t="str">
            <v/>
          </cell>
        </row>
        <row r="5851">
          <cell r="A5851">
            <v>5850</v>
          </cell>
          <cell r="B5851">
            <v>0</v>
          </cell>
          <cell r="C5851" t="str">
            <v/>
          </cell>
          <cell r="D5851" t="str">
            <v/>
          </cell>
          <cell r="E5851">
            <v>0</v>
          </cell>
          <cell r="F5851" t="str">
            <v/>
          </cell>
          <cell r="G5851" t="str">
            <v/>
          </cell>
          <cell r="H5851" t="str">
            <v/>
          </cell>
          <cell r="I5851" t="str">
            <v/>
          </cell>
          <cell r="J5851">
            <v>0</v>
          </cell>
          <cell r="K5851">
            <v>0</v>
          </cell>
          <cell r="L5851">
            <v>0</v>
          </cell>
          <cell r="M5851">
            <v>0</v>
          </cell>
          <cell r="N5851">
            <v>0</v>
          </cell>
          <cell r="O5851" t="str">
            <v/>
          </cell>
          <cell r="P5851">
            <v>0</v>
          </cell>
          <cell r="Q5851">
            <v>0</v>
          </cell>
          <cell r="R5851">
            <v>0</v>
          </cell>
          <cell r="S5851">
            <v>0</v>
          </cell>
          <cell r="T5851">
            <v>0</v>
          </cell>
          <cell r="U5851" t="str">
            <v/>
          </cell>
          <cell r="V5851" t="str">
            <v/>
          </cell>
        </row>
        <row r="5852">
          <cell r="A5852">
            <v>5851</v>
          </cell>
          <cell r="B5852">
            <v>0</v>
          </cell>
          <cell r="C5852" t="str">
            <v/>
          </cell>
          <cell r="D5852" t="str">
            <v/>
          </cell>
          <cell r="E5852">
            <v>0</v>
          </cell>
          <cell r="F5852" t="str">
            <v/>
          </cell>
          <cell r="G5852" t="str">
            <v/>
          </cell>
          <cell r="H5852" t="str">
            <v/>
          </cell>
          <cell r="I5852" t="str">
            <v/>
          </cell>
          <cell r="J5852">
            <v>0</v>
          </cell>
          <cell r="K5852">
            <v>0</v>
          </cell>
          <cell r="L5852">
            <v>0</v>
          </cell>
          <cell r="M5852">
            <v>0</v>
          </cell>
          <cell r="N5852">
            <v>0</v>
          </cell>
          <cell r="O5852" t="str">
            <v/>
          </cell>
          <cell r="P5852">
            <v>0</v>
          </cell>
          <cell r="Q5852">
            <v>0</v>
          </cell>
          <cell r="R5852">
            <v>0</v>
          </cell>
          <cell r="S5852">
            <v>0</v>
          </cell>
          <cell r="T5852">
            <v>0</v>
          </cell>
          <cell r="U5852" t="str">
            <v/>
          </cell>
          <cell r="V5852" t="str">
            <v/>
          </cell>
        </row>
        <row r="5853">
          <cell r="A5853">
            <v>5852</v>
          </cell>
          <cell r="B5853">
            <v>0</v>
          </cell>
          <cell r="C5853" t="str">
            <v/>
          </cell>
          <cell r="D5853" t="str">
            <v/>
          </cell>
          <cell r="E5853">
            <v>0</v>
          </cell>
          <cell r="F5853" t="str">
            <v/>
          </cell>
          <cell r="G5853" t="str">
            <v/>
          </cell>
          <cell r="H5853" t="str">
            <v/>
          </cell>
          <cell r="I5853" t="str">
            <v/>
          </cell>
          <cell r="J5853">
            <v>0</v>
          </cell>
          <cell r="K5853">
            <v>0</v>
          </cell>
          <cell r="L5853">
            <v>0</v>
          </cell>
          <cell r="M5853">
            <v>0</v>
          </cell>
          <cell r="N5853">
            <v>0</v>
          </cell>
          <cell r="O5853" t="str">
            <v/>
          </cell>
          <cell r="P5853">
            <v>0</v>
          </cell>
          <cell r="Q5853">
            <v>0</v>
          </cell>
          <cell r="R5853">
            <v>0</v>
          </cell>
          <cell r="S5853">
            <v>0</v>
          </cell>
          <cell r="T5853">
            <v>0</v>
          </cell>
          <cell r="U5853" t="str">
            <v/>
          </cell>
          <cell r="V5853" t="str">
            <v/>
          </cell>
        </row>
        <row r="5854">
          <cell r="A5854">
            <v>5853</v>
          </cell>
          <cell r="B5854">
            <v>0</v>
          </cell>
          <cell r="C5854" t="str">
            <v/>
          </cell>
          <cell r="D5854" t="str">
            <v/>
          </cell>
          <cell r="E5854">
            <v>0</v>
          </cell>
          <cell r="F5854" t="str">
            <v/>
          </cell>
          <cell r="G5854" t="str">
            <v/>
          </cell>
          <cell r="H5854" t="str">
            <v/>
          </cell>
          <cell r="I5854" t="str">
            <v/>
          </cell>
          <cell r="J5854">
            <v>0</v>
          </cell>
          <cell r="K5854">
            <v>0</v>
          </cell>
          <cell r="L5854">
            <v>0</v>
          </cell>
          <cell r="M5854">
            <v>0</v>
          </cell>
          <cell r="N5854">
            <v>0</v>
          </cell>
          <cell r="O5854" t="str">
            <v/>
          </cell>
          <cell r="P5854">
            <v>0</v>
          </cell>
          <cell r="Q5854">
            <v>0</v>
          </cell>
          <cell r="R5854">
            <v>0</v>
          </cell>
          <cell r="S5854">
            <v>0</v>
          </cell>
          <cell r="T5854">
            <v>0</v>
          </cell>
          <cell r="U5854" t="str">
            <v/>
          </cell>
          <cell r="V5854" t="str">
            <v/>
          </cell>
        </row>
        <row r="5855">
          <cell r="A5855">
            <v>5854</v>
          </cell>
          <cell r="B5855">
            <v>0</v>
          </cell>
          <cell r="C5855" t="str">
            <v/>
          </cell>
          <cell r="D5855" t="str">
            <v/>
          </cell>
          <cell r="E5855">
            <v>0</v>
          </cell>
          <cell r="F5855" t="str">
            <v/>
          </cell>
          <cell r="G5855" t="str">
            <v/>
          </cell>
          <cell r="H5855" t="str">
            <v/>
          </cell>
          <cell r="I5855" t="str">
            <v/>
          </cell>
          <cell r="J5855">
            <v>0</v>
          </cell>
          <cell r="K5855">
            <v>0</v>
          </cell>
          <cell r="L5855">
            <v>0</v>
          </cell>
          <cell r="M5855">
            <v>0</v>
          </cell>
          <cell r="N5855">
            <v>0</v>
          </cell>
          <cell r="O5855" t="str">
            <v/>
          </cell>
          <cell r="P5855">
            <v>0</v>
          </cell>
          <cell r="Q5855">
            <v>0</v>
          </cell>
          <cell r="R5855">
            <v>0</v>
          </cell>
          <cell r="S5855">
            <v>0</v>
          </cell>
          <cell r="T5855">
            <v>0</v>
          </cell>
          <cell r="U5855" t="str">
            <v/>
          </cell>
          <cell r="V5855" t="str">
            <v/>
          </cell>
        </row>
        <row r="5856">
          <cell r="A5856">
            <v>5855</v>
          </cell>
          <cell r="B5856">
            <v>0</v>
          </cell>
          <cell r="C5856" t="str">
            <v/>
          </cell>
          <cell r="D5856" t="str">
            <v/>
          </cell>
          <cell r="E5856">
            <v>0</v>
          </cell>
          <cell r="F5856" t="str">
            <v/>
          </cell>
          <cell r="G5856" t="str">
            <v/>
          </cell>
          <cell r="H5856" t="str">
            <v/>
          </cell>
          <cell r="I5856" t="str">
            <v/>
          </cell>
          <cell r="J5856">
            <v>0</v>
          </cell>
          <cell r="K5856">
            <v>0</v>
          </cell>
          <cell r="L5856">
            <v>0</v>
          </cell>
          <cell r="M5856">
            <v>0</v>
          </cell>
          <cell r="N5856">
            <v>0</v>
          </cell>
          <cell r="O5856" t="str">
            <v/>
          </cell>
          <cell r="P5856">
            <v>0</v>
          </cell>
          <cell r="Q5856">
            <v>0</v>
          </cell>
          <cell r="R5856">
            <v>0</v>
          </cell>
          <cell r="S5856">
            <v>0</v>
          </cell>
          <cell r="T5856">
            <v>0</v>
          </cell>
          <cell r="U5856" t="str">
            <v/>
          </cell>
          <cell r="V5856" t="str">
            <v/>
          </cell>
        </row>
        <row r="5857">
          <cell r="A5857">
            <v>5856</v>
          </cell>
          <cell r="B5857">
            <v>0</v>
          </cell>
          <cell r="C5857" t="str">
            <v/>
          </cell>
          <cell r="D5857" t="str">
            <v/>
          </cell>
          <cell r="E5857">
            <v>0</v>
          </cell>
          <cell r="F5857" t="str">
            <v/>
          </cell>
          <cell r="G5857" t="str">
            <v/>
          </cell>
          <cell r="H5857" t="str">
            <v/>
          </cell>
          <cell r="I5857" t="str">
            <v/>
          </cell>
          <cell r="J5857">
            <v>0</v>
          </cell>
          <cell r="K5857">
            <v>0</v>
          </cell>
          <cell r="L5857">
            <v>0</v>
          </cell>
          <cell r="M5857">
            <v>0</v>
          </cell>
          <cell r="N5857">
            <v>0</v>
          </cell>
          <cell r="O5857" t="str">
            <v/>
          </cell>
          <cell r="P5857">
            <v>0</v>
          </cell>
          <cell r="Q5857">
            <v>0</v>
          </cell>
          <cell r="R5857">
            <v>0</v>
          </cell>
          <cell r="S5857">
            <v>0</v>
          </cell>
          <cell r="T5857">
            <v>0</v>
          </cell>
          <cell r="U5857" t="str">
            <v/>
          </cell>
          <cell r="V5857" t="str">
            <v/>
          </cell>
        </row>
        <row r="5858">
          <cell r="A5858">
            <v>5857</v>
          </cell>
          <cell r="B5858">
            <v>0</v>
          </cell>
          <cell r="C5858" t="str">
            <v/>
          </cell>
          <cell r="D5858" t="str">
            <v/>
          </cell>
          <cell r="E5858">
            <v>0</v>
          </cell>
          <cell r="F5858" t="str">
            <v/>
          </cell>
          <cell r="G5858" t="str">
            <v/>
          </cell>
          <cell r="H5858" t="str">
            <v/>
          </cell>
          <cell r="I5858" t="str">
            <v/>
          </cell>
          <cell r="J5858">
            <v>0</v>
          </cell>
          <cell r="K5858">
            <v>0</v>
          </cell>
          <cell r="L5858">
            <v>0</v>
          </cell>
          <cell r="M5858">
            <v>0</v>
          </cell>
          <cell r="N5858">
            <v>0</v>
          </cell>
          <cell r="O5858" t="str">
            <v/>
          </cell>
          <cell r="P5858">
            <v>0</v>
          </cell>
          <cell r="Q5858">
            <v>0</v>
          </cell>
          <cell r="R5858">
            <v>0</v>
          </cell>
          <cell r="S5858">
            <v>0</v>
          </cell>
          <cell r="T5858">
            <v>0</v>
          </cell>
          <cell r="U5858" t="str">
            <v/>
          </cell>
          <cell r="V5858" t="str">
            <v/>
          </cell>
        </row>
        <row r="5859">
          <cell r="A5859">
            <v>5858</v>
          </cell>
          <cell r="B5859">
            <v>0</v>
          </cell>
          <cell r="C5859" t="str">
            <v/>
          </cell>
          <cell r="D5859" t="str">
            <v/>
          </cell>
          <cell r="E5859">
            <v>0</v>
          </cell>
          <cell r="F5859" t="str">
            <v/>
          </cell>
          <cell r="G5859" t="str">
            <v/>
          </cell>
          <cell r="H5859" t="str">
            <v/>
          </cell>
          <cell r="I5859" t="str">
            <v/>
          </cell>
          <cell r="J5859">
            <v>0</v>
          </cell>
          <cell r="K5859">
            <v>0</v>
          </cell>
          <cell r="L5859">
            <v>0</v>
          </cell>
          <cell r="M5859">
            <v>0</v>
          </cell>
          <cell r="N5859">
            <v>0</v>
          </cell>
          <cell r="O5859" t="str">
            <v/>
          </cell>
          <cell r="P5859">
            <v>0</v>
          </cell>
          <cell r="Q5859">
            <v>0</v>
          </cell>
          <cell r="R5859">
            <v>0</v>
          </cell>
          <cell r="S5859">
            <v>0</v>
          </cell>
          <cell r="T5859">
            <v>0</v>
          </cell>
          <cell r="U5859" t="str">
            <v/>
          </cell>
          <cell r="V5859" t="str">
            <v/>
          </cell>
        </row>
        <row r="5860">
          <cell r="A5860">
            <v>5859</v>
          </cell>
          <cell r="B5860">
            <v>0</v>
          </cell>
          <cell r="C5860" t="str">
            <v/>
          </cell>
          <cell r="D5860" t="str">
            <v/>
          </cell>
          <cell r="E5860">
            <v>0</v>
          </cell>
          <cell r="F5860" t="str">
            <v/>
          </cell>
          <cell r="G5860" t="str">
            <v/>
          </cell>
          <cell r="H5860" t="str">
            <v/>
          </cell>
          <cell r="I5860" t="str">
            <v/>
          </cell>
          <cell r="J5860">
            <v>0</v>
          </cell>
          <cell r="K5860">
            <v>0</v>
          </cell>
          <cell r="L5860">
            <v>0</v>
          </cell>
          <cell r="M5860">
            <v>0</v>
          </cell>
          <cell r="N5860">
            <v>0</v>
          </cell>
          <cell r="O5860" t="str">
            <v/>
          </cell>
          <cell r="P5860">
            <v>0</v>
          </cell>
          <cell r="Q5860">
            <v>0</v>
          </cell>
          <cell r="R5860">
            <v>0</v>
          </cell>
          <cell r="S5860">
            <v>0</v>
          </cell>
          <cell r="T5860">
            <v>0</v>
          </cell>
          <cell r="U5860" t="str">
            <v/>
          </cell>
          <cell r="V5860" t="str">
            <v/>
          </cell>
        </row>
        <row r="5861">
          <cell r="A5861">
            <v>5860</v>
          </cell>
          <cell r="B5861">
            <v>0</v>
          </cell>
          <cell r="C5861" t="str">
            <v/>
          </cell>
          <cell r="D5861" t="str">
            <v/>
          </cell>
          <cell r="E5861">
            <v>0</v>
          </cell>
          <cell r="F5861" t="str">
            <v/>
          </cell>
          <cell r="G5861" t="str">
            <v/>
          </cell>
          <cell r="H5861" t="str">
            <v/>
          </cell>
          <cell r="I5861" t="str">
            <v/>
          </cell>
          <cell r="J5861">
            <v>0</v>
          </cell>
          <cell r="K5861">
            <v>0</v>
          </cell>
          <cell r="L5861">
            <v>0</v>
          </cell>
          <cell r="M5861">
            <v>0</v>
          </cell>
          <cell r="N5861">
            <v>0</v>
          </cell>
          <cell r="O5861" t="str">
            <v/>
          </cell>
          <cell r="P5861">
            <v>0</v>
          </cell>
          <cell r="Q5861">
            <v>0</v>
          </cell>
          <cell r="R5861">
            <v>0</v>
          </cell>
          <cell r="S5861">
            <v>0</v>
          </cell>
          <cell r="T5861">
            <v>0</v>
          </cell>
          <cell r="U5861" t="str">
            <v/>
          </cell>
          <cell r="V5861" t="str">
            <v/>
          </cell>
        </row>
        <row r="5862">
          <cell r="A5862">
            <v>5861</v>
          </cell>
          <cell r="B5862">
            <v>0</v>
          </cell>
          <cell r="C5862" t="str">
            <v/>
          </cell>
          <cell r="D5862" t="str">
            <v/>
          </cell>
          <cell r="E5862">
            <v>0</v>
          </cell>
          <cell r="F5862" t="str">
            <v/>
          </cell>
          <cell r="G5862" t="str">
            <v/>
          </cell>
          <cell r="H5862" t="str">
            <v/>
          </cell>
          <cell r="I5862" t="str">
            <v/>
          </cell>
          <cell r="J5862">
            <v>0</v>
          </cell>
          <cell r="K5862">
            <v>0</v>
          </cell>
          <cell r="L5862">
            <v>0</v>
          </cell>
          <cell r="M5862">
            <v>0</v>
          </cell>
          <cell r="N5862">
            <v>0</v>
          </cell>
          <cell r="O5862" t="str">
            <v/>
          </cell>
          <cell r="P5862">
            <v>0</v>
          </cell>
          <cell r="Q5862">
            <v>0</v>
          </cell>
          <cell r="R5862">
            <v>0</v>
          </cell>
          <cell r="S5862">
            <v>0</v>
          </cell>
          <cell r="T5862">
            <v>0</v>
          </cell>
          <cell r="U5862" t="str">
            <v/>
          </cell>
          <cell r="V5862" t="str">
            <v/>
          </cell>
        </row>
        <row r="5863">
          <cell r="A5863">
            <v>5862</v>
          </cell>
          <cell r="B5863">
            <v>0</v>
          </cell>
          <cell r="C5863" t="str">
            <v/>
          </cell>
          <cell r="D5863" t="str">
            <v/>
          </cell>
          <cell r="E5863">
            <v>0</v>
          </cell>
          <cell r="F5863" t="str">
            <v/>
          </cell>
          <cell r="G5863" t="str">
            <v/>
          </cell>
          <cell r="H5863" t="str">
            <v/>
          </cell>
          <cell r="I5863" t="str">
            <v/>
          </cell>
          <cell r="J5863">
            <v>0</v>
          </cell>
          <cell r="K5863">
            <v>0</v>
          </cell>
          <cell r="L5863">
            <v>0</v>
          </cell>
          <cell r="M5863">
            <v>0</v>
          </cell>
          <cell r="N5863">
            <v>0</v>
          </cell>
          <cell r="O5863" t="str">
            <v/>
          </cell>
          <cell r="P5863">
            <v>0</v>
          </cell>
          <cell r="Q5863">
            <v>0</v>
          </cell>
          <cell r="R5863">
            <v>0</v>
          </cell>
          <cell r="S5863">
            <v>0</v>
          </cell>
          <cell r="T5863">
            <v>0</v>
          </cell>
          <cell r="U5863" t="str">
            <v/>
          </cell>
          <cell r="V5863" t="str">
            <v/>
          </cell>
        </row>
        <row r="5864">
          <cell r="A5864">
            <v>5863</v>
          </cell>
          <cell r="B5864">
            <v>0</v>
          </cell>
          <cell r="C5864" t="str">
            <v/>
          </cell>
          <cell r="D5864" t="str">
            <v/>
          </cell>
          <cell r="E5864">
            <v>0</v>
          </cell>
          <cell r="F5864" t="str">
            <v/>
          </cell>
          <cell r="G5864" t="str">
            <v/>
          </cell>
          <cell r="H5864" t="str">
            <v/>
          </cell>
          <cell r="I5864" t="str">
            <v/>
          </cell>
          <cell r="J5864">
            <v>0</v>
          </cell>
          <cell r="K5864">
            <v>0</v>
          </cell>
          <cell r="L5864">
            <v>0</v>
          </cell>
          <cell r="M5864">
            <v>0</v>
          </cell>
          <cell r="N5864">
            <v>0</v>
          </cell>
          <cell r="O5864" t="str">
            <v/>
          </cell>
          <cell r="P5864">
            <v>0</v>
          </cell>
          <cell r="Q5864">
            <v>0</v>
          </cell>
          <cell r="R5864">
            <v>0</v>
          </cell>
          <cell r="S5864">
            <v>0</v>
          </cell>
          <cell r="T5864">
            <v>0</v>
          </cell>
          <cell r="U5864" t="str">
            <v/>
          </cell>
          <cell r="V5864" t="str">
            <v/>
          </cell>
        </row>
        <row r="5865">
          <cell r="A5865">
            <v>5864</v>
          </cell>
          <cell r="B5865">
            <v>0</v>
          </cell>
          <cell r="C5865" t="str">
            <v/>
          </cell>
          <cell r="D5865" t="str">
            <v/>
          </cell>
          <cell r="E5865">
            <v>0</v>
          </cell>
          <cell r="F5865" t="str">
            <v/>
          </cell>
          <cell r="G5865" t="str">
            <v/>
          </cell>
          <cell r="H5865" t="str">
            <v/>
          </cell>
          <cell r="I5865" t="str">
            <v/>
          </cell>
          <cell r="J5865">
            <v>0</v>
          </cell>
          <cell r="K5865">
            <v>0</v>
          </cell>
          <cell r="L5865">
            <v>0</v>
          </cell>
          <cell r="M5865">
            <v>0</v>
          </cell>
          <cell r="N5865">
            <v>0</v>
          </cell>
          <cell r="O5865" t="str">
            <v/>
          </cell>
          <cell r="P5865">
            <v>0</v>
          </cell>
          <cell r="Q5865">
            <v>0</v>
          </cell>
          <cell r="R5865">
            <v>0</v>
          </cell>
          <cell r="S5865">
            <v>0</v>
          </cell>
          <cell r="T5865">
            <v>0</v>
          </cell>
          <cell r="U5865" t="str">
            <v/>
          </cell>
          <cell r="V5865" t="str">
            <v/>
          </cell>
        </row>
        <row r="5866">
          <cell r="A5866">
            <v>5865</v>
          </cell>
          <cell r="B5866">
            <v>0</v>
          </cell>
          <cell r="C5866" t="str">
            <v/>
          </cell>
          <cell r="D5866" t="str">
            <v/>
          </cell>
          <cell r="E5866">
            <v>0</v>
          </cell>
          <cell r="F5866" t="str">
            <v/>
          </cell>
          <cell r="G5866" t="str">
            <v/>
          </cell>
          <cell r="H5866" t="str">
            <v/>
          </cell>
          <cell r="I5866" t="str">
            <v/>
          </cell>
          <cell r="J5866">
            <v>0</v>
          </cell>
          <cell r="K5866">
            <v>0</v>
          </cell>
          <cell r="L5866">
            <v>0</v>
          </cell>
          <cell r="M5866">
            <v>0</v>
          </cell>
          <cell r="N5866">
            <v>0</v>
          </cell>
          <cell r="O5866" t="str">
            <v/>
          </cell>
          <cell r="P5866">
            <v>0</v>
          </cell>
          <cell r="Q5866">
            <v>0</v>
          </cell>
          <cell r="R5866">
            <v>0</v>
          </cell>
          <cell r="S5866">
            <v>0</v>
          </cell>
          <cell r="T5866">
            <v>0</v>
          </cell>
          <cell r="U5866" t="str">
            <v/>
          </cell>
          <cell r="V5866" t="str">
            <v/>
          </cell>
        </row>
        <row r="5867">
          <cell r="A5867">
            <v>5866</v>
          </cell>
          <cell r="B5867">
            <v>0</v>
          </cell>
          <cell r="C5867" t="str">
            <v/>
          </cell>
          <cell r="D5867" t="str">
            <v/>
          </cell>
          <cell r="E5867">
            <v>0</v>
          </cell>
          <cell r="F5867" t="str">
            <v/>
          </cell>
          <cell r="G5867" t="str">
            <v/>
          </cell>
          <cell r="H5867" t="str">
            <v/>
          </cell>
          <cell r="I5867" t="str">
            <v/>
          </cell>
          <cell r="J5867">
            <v>0</v>
          </cell>
          <cell r="K5867">
            <v>0</v>
          </cell>
          <cell r="L5867">
            <v>0</v>
          </cell>
          <cell r="M5867">
            <v>0</v>
          </cell>
          <cell r="N5867">
            <v>0</v>
          </cell>
          <cell r="O5867" t="str">
            <v/>
          </cell>
          <cell r="P5867">
            <v>0</v>
          </cell>
          <cell r="Q5867">
            <v>0</v>
          </cell>
          <cell r="R5867">
            <v>0</v>
          </cell>
          <cell r="S5867">
            <v>0</v>
          </cell>
          <cell r="T5867">
            <v>0</v>
          </cell>
          <cell r="U5867" t="str">
            <v/>
          </cell>
          <cell r="V5867" t="str">
            <v/>
          </cell>
        </row>
        <row r="5868">
          <cell r="A5868">
            <v>5867</v>
          </cell>
          <cell r="B5868">
            <v>0</v>
          </cell>
          <cell r="C5868" t="str">
            <v/>
          </cell>
          <cell r="D5868" t="str">
            <v/>
          </cell>
          <cell r="E5868">
            <v>0</v>
          </cell>
          <cell r="F5868" t="str">
            <v/>
          </cell>
          <cell r="G5868" t="str">
            <v/>
          </cell>
          <cell r="H5868" t="str">
            <v/>
          </cell>
          <cell r="I5868" t="str">
            <v/>
          </cell>
          <cell r="J5868">
            <v>0</v>
          </cell>
          <cell r="K5868">
            <v>0</v>
          </cell>
          <cell r="L5868">
            <v>0</v>
          </cell>
          <cell r="M5868">
            <v>0</v>
          </cell>
          <cell r="N5868">
            <v>0</v>
          </cell>
          <cell r="O5868" t="str">
            <v/>
          </cell>
          <cell r="P5868">
            <v>0</v>
          </cell>
          <cell r="Q5868">
            <v>0</v>
          </cell>
          <cell r="R5868">
            <v>0</v>
          </cell>
          <cell r="S5868">
            <v>0</v>
          </cell>
          <cell r="T5868">
            <v>0</v>
          </cell>
          <cell r="U5868" t="str">
            <v/>
          </cell>
          <cell r="V5868" t="str">
            <v/>
          </cell>
        </row>
        <row r="5869">
          <cell r="A5869">
            <v>5868</v>
          </cell>
          <cell r="B5869">
            <v>0</v>
          </cell>
          <cell r="C5869" t="str">
            <v/>
          </cell>
          <cell r="D5869" t="str">
            <v/>
          </cell>
          <cell r="E5869">
            <v>0</v>
          </cell>
          <cell r="F5869" t="str">
            <v/>
          </cell>
          <cell r="G5869" t="str">
            <v/>
          </cell>
          <cell r="H5869" t="str">
            <v/>
          </cell>
          <cell r="I5869" t="str">
            <v/>
          </cell>
          <cell r="J5869">
            <v>0</v>
          </cell>
          <cell r="K5869">
            <v>0</v>
          </cell>
          <cell r="L5869">
            <v>0</v>
          </cell>
          <cell r="M5869">
            <v>0</v>
          </cell>
          <cell r="N5869">
            <v>0</v>
          </cell>
          <cell r="O5869" t="str">
            <v/>
          </cell>
          <cell r="P5869">
            <v>0</v>
          </cell>
          <cell r="Q5869">
            <v>0</v>
          </cell>
          <cell r="R5869">
            <v>0</v>
          </cell>
          <cell r="S5869">
            <v>0</v>
          </cell>
          <cell r="T5869">
            <v>0</v>
          </cell>
          <cell r="U5869" t="str">
            <v/>
          </cell>
          <cell r="V5869" t="str">
            <v/>
          </cell>
        </row>
        <row r="5870">
          <cell r="A5870">
            <v>5869</v>
          </cell>
          <cell r="B5870">
            <v>0</v>
          </cell>
          <cell r="C5870" t="str">
            <v/>
          </cell>
          <cell r="D5870" t="str">
            <v/>
          </cell>
          <cell r="E5870">
            <v>0</v>
          </cell>
          <cell r="F5870" t="str">
            <v/>
          </cell>
          <cell r="G5870" t="str">
            <v/>
          </cell>
          <cell r="H5870" t="str">
            <v/>
          </cell>
          <cell r="I5870" t="str">
            <v/>
          </cell>
          <cell r="J5870">
            <v>0</v>
          </cell>
          <cell r="K5870">
            <v>0</v>
          </cell>
          <cell r="L5870">
            <v>0</v>
          </cell>
          <cell r="M5870">
            <v>0</v>
          </cell>
          <cell r="N5870">
            <v>0</v>
          </cell>
          <cell r="O5870" t="str">
            <v/>
          </cell>
          <cell r="P5870">
            <v>0</v>
          </cell>
          <cell r="Q5870">
            <v>0</v>
          </cell>
          <cell r="R5870">
            <v>0</v>
          </cell>
          <cell r="S5870">
            <v>0</v>
          </cell>
          <cell r="T5870">
            <v>0</v>
          </cell>
          <cell r="U5870" t="str">
            <v/>
          </cell>
          <cell r="V5870" t="str">
            <v/>
          </cell>
        </row>
        <row r="5871">
          <cell r="A5871">
            <v>5870</v>
          </cell>
          <cell r="B5871">
            <v>0</v>
          </cell>
          <cell r="C5871" t="str">
            <v/>
          </cell>
          <cell r="D5871" t="str">
            <v/>
          </cell>
          <cell r="E5871">
            <v>0</v>
          </cell>
          <cell r="F5871" t="str">
            <v/>
          </cell>
          <cell r="G5871" t="str">
            <v/>
          </cell>
          <cell r="H5871" t="str">
            <v/>
          </cell>
          <cell r="I5871" t="str">
            <v/>
          </cell>
          <cell r="J5871">
            <v>0</v>
          </cell>
          <cell r="K5871">
            <v>0</v>
          </cell>
          <cell r="L5871">
            <v>0</v>
          </cell>
          <cell r="M5871">
            <v>0</v>
          </cell>
          <cell r="N5871">
            <v>0</v>
          </cell>
          <cell r="O5871" t="str">
            <v/>
          </cell>
          <cell r="P5871">
            <v>0</v>
          </cell>
          <cell r="Q5871">
            <v>0</v>
          </cell>
          <cell r="R5871">
            <v>0</v>
          </cell>
          <cell r="S5871">
            <v>0</v>
          </cell>
          <cell r="T5871">
            <v>0</v>
          </cell>
          <cell r="U5871" t="str">
            <v/>
          </cell>
          <cell r="V5871" t="str">
            <v/>
          </cell>
        </row>
        <row r="5872">
          <cell r="A5872">
            <v>5871</v>
          </cell>
          <cell r="B5872">
            <v>0</v>
          </cell>
          <cell r="C5872" t="str">
            <v/>
          </cell>
          <cell r="D5872" t="str">
            <v/>
          </cell>
          <cell r="E5872">
            <v>0</v>
          </cell>
          <cell r="F5872" t="str">
            <v/>
          </cell>
          <cell r="G5872" t="str">
            <v/>
          </cell>
          <cell r="H5872" t="str">
            <v/>
          </cell>
          <cell r="I5872" t="str">
            <v/>
          </cell>
          <cell r="J5872">
            <v>0</v>
          </cell>
          <cell r="K5872">
            <v>0</v>
          </cell>
          <cell r="L5872">
            <v>0</v>
          </cell>
          <cell r="M5872">
            <v>0</v>
          </cell>
          <cell r="N5872">
            <v>0</v>
          </cell>
          <cell r="O5872" t="str">
            <v/>
          </cell>
          <cell r="P5872">
            <v>0</v>
          </cell>
          <cell r="Q5872">
            <v>0</v>
          </cell>
          <cell r="R5872">
            <v>0</v>
          </cell>
          <cell r="S5872">
            <v>0</v>
          </cell>
          <cell r="T5872">
            <v>0</v>
          </cell>
          <cell r="U5872" t="str">
            <v/>
          </cell>
          <cell r="V5872" t="str">
            <v/>
          </cell>
        </row>
        <row r="5873">
          <cell r="A5873">
            <v>5872</v>
          </cell>
          <cell r="B5873">
            <v>0</v>
          </cell>
          <cell r="C5873" t="str">
            <v/>
          </cell>
          <cell r="D5873" t="str">
            <v/>
          </cell>
          <cell r="E5873">
            <v>0</v>
          </cell>
          <cell r="F5873" t="str">
            <v/>
          </cell>
          <cell r="G5873" t="str">
            <v/>
          </cell>
          <cell r="H5873" t="str">
            <v/>
          </cell>
          <cell r="I5873" t="str">
            <v/>
          </cell>
          <cell r="J5873">
            <v>0</v>
          </cell>
          <cell r="K5873">
            <v>0</v>
          </cell>
          <cell r="L5873">
            <v>0</v>
          </cell>
          <cell r="M5873">
            <v>0</v>
          </cell>
          <cell r="N5873">
            <v>0</v>
          </cell>
          <cell r="O5873" t="str">
            <v/>
          </cell>
          <cell r="P5873">
            <v>0</v>
          </cell>
          <cell r="Q5873">
            <v>0</v>
          </cell>
          <cell r="R5873">
            <v>0</v>
          </cell>
          <cell r="S5873">
            <v>0</v>
          </cell>
          <cell r="T5873">
            <v>0</v>
          </cell>
          <cell r="U5873" t="str">
            <v/>
          </cell>
          <cell r="V5873" t="str">
            <v/>
          </cell>
        </row>
        <row r="5874">
          <cell r="A5874">
            <v>5873</v>
          </cell>
          <cell r="B5874">
            <v>0</v>
          </cell>
          <cell r="C5874" t="str">
            <v/>
          </cell>
          <cell r="D5874" t="str">
            <v/>
          </cell>
          <cell r="E5874">
            <v>0</v>
          </cell>
          <cell r="F5874" t="str">
            <v/>
          </cell>
          <cell r="G5874" t="str">
            <v/>
          </cell>
          <cell r="H5874" t="str">
            <v/>
          </cell>
          <cell r="I5874" t="str">
            <v/>
          </cell>
          <cell r="J5874">
            <v>0</v>
          </cell>
          <cell r="K5874">
            <v>0</v>
          </cell>
          <cell r="L5874">
            <v>0</v>
          </cell>
          <cell r="M5874">
            <v>0</v>
          </cell>
          <cell r="N5874">
            <v>0</v>
          </cell>
          <cell r="O5874" t="str">
            <v/>
          </cell>
          <cell r="P5874">
            <v>0</v>
          </cell>
          <cell r="Q5874">
            <v>0</v>
          </cell>
          <cell r="R5874">
            <v>0</v>
          </cell>
          <cell r="S5874">
            <v>0</v>
          </cell>
          <cell r="T5874">
            <v>0</v>
          </cell>
          <cell r="U5874" t="str">
            <v/>
          </cell>
          <cell r="V5874" t="str">
            <v/>
          </cell>
        </row>
        <row r="5875">
          <cell r="A5875">
            <v>5874</v>
          </cell>
          <cell r="B5875">
            <v>0</v>
          </cell>
          <cell r="C5875" t="str">
            <v/>
          </cell>
          <cell r="D5875" t="str">
            <v/>
          </cell>
          <cell r="E5875">
            <v>0</v>
          </cell>
          <cell r="F5875" t="str">
            <v/>
          </cell>
          <cell r="G5875" t="str">
            <v/>
          </cell>
          <cell r="H5875" t="str">
            <v/>
          </cell>
          <cell r="I5875" t="str">
            <v/>
          </cell>
          <cell r="J5875">
            <v>0</v>
          </cell>
          <cell r="K5875">
            <v>0</v>
          </cell>
          <cell r="L5875">
            <v>0</v>
          </cell>
          <cell r="M5875">
            <v>0</v>
          </cell>
          <cell r="N5875">
            <v>0</v>
          </cell>
          <cell r="O5875" t="str">
            <v/>
          </cell>
          <cell r="P5875">
            <v>0</v>
          </cell>
          <cell r="Q5875">
            <v>0</v>
          </cell>
          <cell r="R5875">
            <v>0</v>
          </cell>
          <cell r="S5875">
            <v>0</v>
          </cell>
          <cell r="T5875">
            <v>0</v>
          </cell>
          <cell r="U5875" t="str">
            <v/>
          </cell>
          <cell r="V5875" t="str">
            <v/>
          </cell>
        </row>
        <row r="5876">
          <cell r="A5876">
            <v>5875</v>
          </cell>
          <cell r="B5876">
            <v>0</v>
          </cell>
          <cell r="C5876" t="str">
            <v/>
          </cell>
          <cell r="D5876" t="str">
            <v/>
          </cell>
          <cell r="E5876">
            <v>0</v>
          </cell>
          <cell r="F5876" t="str">
            <v/>
          </cell>
          <cell r="G5876" t="str">
            <v/>
          </cell>
          <cell r="H5876" t="str">
            <v/>
          </cell>
          <cell r="I5876" t="str">
            <v/>
          </cell>
          <cell r="J5876">
            <v>0</v>
          </cell>
          <cell r="K5876">
            <v>0</v>
          </cell>
          <cell r="L5876">
            <v>0</v>
          </cell>
          <cell r="M5876">
            <v>0</v>
          </cell>
          <cell r="N5876">
            <v>0</v>
          </cell>
          <cell r="O5876" t="str">
            <v/>
          </cell>
          <cell r="P5876">
            <v>0</v>
          </cell>
          <cell r="Q5876">
            <v>0</v>
          </cell>
          <cell r="R5876">
            <v>0</v>
          </cell>
          <cell r="S5876">
            <v>0</v>
          </cell>
          <cell r="T5876">
            <v>0</v>
          </cell>
          <cell r="U5876" t="str">
            <v/>
          </cell>
          <cell r="V5876" t="str">
            <v/>
          </cell>
        </row>
        <row r="5877">
          <cell r="A5877">
            <v>5876</v>
          </cell>
          <cell r="B5877">
            <v>0</v>
          </cell>
          <cell r="C5877" t="str">
            <v/>
          </cell>
          <cell r="D5877" t="str">
            <v/>
          </cell>
          <cell r="E5877">
            <v>0</v>
          </cell>
          <cell r="F5877" t="str">
            <v/>
          </cell>
          <cell r="G5877" t="str">
            <v/>
          </cell>
          <cell r="H5877" t="str">
            <v/>
          </cell>
          <cell r="I5877" t="str">
            <v/>
          </cell>
          <cell r="J5877">
            <v>0</v>
          </cell>
          <cell r="K5877">
            <v>0</v>
          </cell>
          <cell r="L5877">
            <v>0</v>
          </cell>
          <cell r="M5877">
            <v>0</v>
          </cell>
          <cell r="N5877">
            <v>0</v>
          </cell>
          <cell r="O5877" t="str">
            <v/>
          </cell>
          <cell r="P5877">
            <v>0</v>
          </cell>
          <cell r="Q5877">
            <v>0</v>
          </cell>
          <cell r="R5877">
            <v>0</v>
          </cell>
          <cell r="S5877">
            <v>0</v>
          </cell>
          <cell r="T5877">
            <v>0</v>
          </cell>
          <cell r="U5877" t="str">
            <v/>
          </cell>
          <cell r="V5877" t="str">
            <v/>
          </cell>
        </row>
        <row r="5878">
          <cell r="A5878">
            <v>5877</v>
          </cell>
          <cell r="B5878">
            <v>0</v>
          </cell>
          <cell r="C5878" t="str">
            <v/>
          </cell>
          <cell r="D5878" t="str">
            <v/>
          </cell>
          <cell r="E5878">
            <v>0</v>
          </cell>
          <cell r="F5878" t="str">
            <v/>
          </cell>
          <cell r="G5878" t="str">
            <v/>
          </cell>
          <cell r="H5878" t="str">
            <v/>
          </cell>
          <cell r="I5878" t="str">
            <v/>
          </cell>
          <cell r="J5878">
            <v>0</v>
          </cell>
          <cell r="K5878">
            <v>0</v>
          </cell>
          <cell r="L5878">
            <v>0</v>
          </cell>
          <cell r="M5878">
            <v>0</v>
          </cell>
          <cell r="N5878">
            <v>0</v>
          </cell>
          <cell r="O5878" t="str">
            <v/>
          </cell>
          <cell r="P5878">
            <v>0</v>
          </cell>
          <cell r="Q5878">
            <v>0</v>
          </cell>
          <cell r="R5878">
            <v>0</v>
          </cell>
          <cell r="S5878">
            <v>0</v>
          </cell>
          <cell r="T5878">
            <v>0</v>
          </cell>
          <cell r="U5878" t="str">
            <v/>
          </cell>
          <cell r="V5878" t="str">
            <v/>
          </cell>
        </row>
        <row r="5879">
          <cell r="A5879">
            <v>5878</v>
          </cell>
          <cell r="B5879">
            <v>0</v>
          </cell>
          <cell r="C5879" t="str">
            <v/>
          </cell>
          <cell r="D5879" t="str">
            <v/>
          </cell>
          <cell r="E5879">
            <v>0</v>
          </cell>
          <cell r="F5879" t="str">
            <v/>
          </cell>
          <cell r="G5879" t="str">
            <v/>
          </cell>
          <cell r="H5879" t="str">
            <v/>
          </cell>
          <cell r="I5879" t="str">
            <v/>
          </cell>
          <cell r="J5879">
            <v>0</v>
          </cell>
          <cell r="K5879">
            <v>0</v>
          </cell>
          <cell r="L5879">
            <v>0</v>
          </cell>
          <cell r="M5879">
            <v>0</v>
          </cell>
          <cell r="N5879">
            <v>0</v>
          </cell>
          <cell r="O5879" t="str">
            <v/>
          </cell>
          <cell r="P5879">
            <v>0</v>
          </cell>
          <cell r="Q5879">
            <v>0</v>
          </cell>
          <cell r="R5879">
            <v>0</v>
          </cell>
          <cell r="S5879">
            <v>0</v>
          </cell>
          <cell r="T5879">
            <v>0</v>
          </cell>
          <cell r="U5879" t="str">
            <v/>
          </cell>
          <cell r="V5879" t="str">
            <v/>
          </cell>
        </row>
        <row r="5880">
          <cell r="A5880">
            <v>5879</v>
          </cell>
          <cell r="B5880">
            <v>0</v>
          </cell>
          <cell r="C5880" t="str">
            <v/>
          </cell>
          <cell r="D5880" t="str">
            <v/>
          </cell>
          <cell r="E5880">
            <v>0</v>
          </cell>
          <cell r="F5880" t="str">
            <v/>
          </cell>
          <cell r="G5880" t="str">
            <v/>
          </cell>
          <cell r="H5880" t="str">
            <v/>
          </cell>
          <cell r="I5880" t="str">
            <v/>
          </cell>
          <cell r="J5880">
            <v>0</v>
          </cell>
          <cell r="K5880">
            <v>0</v>
          </cell>
          <cell r="L5880">
            <v>0</v>
          </cell>
          <cell r="M5880">
            <v>0</v>
          </cell>
          <cell r="N5880">
            <v>0</v>
          </cell>
          <cell r="O5880" t="str">
            <v/>
          </cell>
          <cell r="P5880">
            <v>0</v>
          </cell>
          <cell r="Q5880">
            <v>0</v>
          </cell>
          <cell r="R5880">
            <v>0</v>
          </cell>
          <cell r="S5880">
            <v>0</v>
          </cell>
          <cell r="T5880">
            <v>0</v>
          </cell>
          <cell r="U5880" t="str">
            <v/>
          </cell>
          <cell r="V5880" t="str">
            <v/>
          </cell>
        </row>
        <row r="5881">
          <cell r="A5881">
            <v>5880</v>
          </cell>
          <cell r="B5881">
            <v>0</v>
          </cell>
          <cell r="C5881" t="str">
            <v/>
          </cell>
          <cell r="D5881" t="str">
            <v/>
          </cell>
          <cell r="E5881">
            <v>0</v>
          </cell>
          <cell r="F5881" t="str">
            <v/>
          </cell>
          <cell r="G5881" t="str">
            <v/>
          </cell>
          <cell r="H5881" t="str">
            <v/>
          </cell>
          <cell r="I5881" t="str">
            <v/>
          </cell>
          <cell r="J5881">
            <v>0</v>
          </cell>
          <cell r="K5881">
            <v>0</v>
          </cell>
          <cell r="L5881">
            <v>0</v>
          </cell>
          <cell r="M5881">
            <v>0</v>
          </cell>
          <cell r="N5881">
            <v>0</v>
          </cell>
          <cell r="O5881" t="str">
            <v/>
          </cell>
          <cell r="P5881">
            <v>0</v>
          </cell>
          <cell r="Q5881">
            <v>0</v>
          </cell>
          <cell r="R5881">
            <v>0</v>
          </cell>
          <cell r="S5881">
            <v>0</v>
          </cell>
          <cell r="T5881">
            <v>0</v>
          </cell>
          <cell r="U5881" t="str">
            <v/>
          </cell>
          <cell r="V5881" t="str">
            <v/>
          </cell>
        </row>
        <row r="5882">
          <cell r="A5882">
            <v>5881</v>
          </cell>
          <cell r="B5882">
            <v>0</v>
          </cell>
          <cell r="C5882" t="str">
            <v/>
          </cell>
          <cell r="D5882" t="str">
            <v/>
          </cell>
          <cell r="E5882">
            <v>0</v>
          </cell>
          <cell r="F5882" t="str">
            <v/>
          </cell>
          <cell r="G5882" t="str">
            <v/>
          </cell>
          <cell r="H5882" t="str">
            <v/>
          </cell>
          <cell r="I5882" t="str">
            <v/>
          </cell>
          <cell r="J5882">
            <v>0</v>
          </cell>
          <cell r="K5882">
            <v>0</v>
          </cell>
          <cell r="L5882">
            <v>0</v>
          </cell>
          <cell r="M5882">
            <v>0</v>
          </cell>
          <cell r="N5882">
            <v>0</v>
          </cell>
          <cell r="O5882" t="str">
            <v/>
          </cell>
          <cell r="P5882">
            <v>0</v>
          </cell>
          <cell r="Q5882">
            <v>0</v>
          </cell>
          <cell r="R5882">
            <v>0</v>
          </cell>
          <cell r="S5882">
            <v>0</v>
          </cell>
          <cell r="T5882">
            <v>0</v>
          </cell>
          <cell r="U5882" t="str">
            <v/>
          </cell>
          <cell r="V5882" t="str">
            <v/>
          </cell>
        </row>
        <row r="5883">
          <cell r="A5883">
            <v>5882</v>
          </cell>
          <cell r="B5883">
            <v>0</v>
          </cell>
          <cell r="C5883" t="str">
            <v/>
          </cell>
          <cell r="D5883" t="str">
            <v/>
          </cell>
          <cell r="E5883">
            <v>0</v>
          </cell>
          <cell r="F5883" t="str">
            <v/>
          </cell>
          <cell r="G5883" t="str">
            <v/>
          </cell>
          <cell r="H5883" t="str">
            <v/>
          </cell>
          <cell r="I5883" t="str">
            <v/>
          </cell>
          <cell r="J5883">
            <v>0</v>
          </cell>
          <cell r="K5883">
            <v>0</v>
          </cell>
          <cell r="L5883">
            <v>0</v>
          </cell>
          <cell r="M5883">
            <v>0</v>
          </cell>
          <cell r="N5883">
            <v>0</v>
          </cell>
          <cell r="O5883" t="str">
            <v/>
          </cell>
          <cell r="P5883">
            <v>0</v>
          </cell>
          <cell r="Q5883">
            <v>0</v>
          </cell>
          <cell r="R5883">
            <v>0</v>
          </cell>
          <cell r="S5883">
            <v>0</v>
          </cell>
          <cell r="T5883">
            <v>0</v>
          </cell>
          <cell r="U5883" t="str">
            <v/>
          </cell>
          <cell r="V5883" t="str">
            <v/>
          </cell>
        </row>
        <row r="5884">
          <cell r="A5884">
            <v>5883</v>
          </cell>
          <cell r="B5884">
            <v>0</v>
          </cell>
          <cell r="C5884" t="str">
            <v/>
          </cell>
          <cell r="D5884" t="str">
            <v/>
          </cell>
          <cell r="E5884">
            <v>0</v>
          </cell>
          <cell r="F5884" t="str">
            <v/>
          </cell>
          <cell r="G5884" t="str">
            <v/>
          </cell>
          <cell r="H5884" t="str">
            <v/>
          </cell>
          <cell r="I5884" t="str">
            <v/>
          </cell>
          <cell r="J5884">
            <v>0</v>
          </cell>
          <cell r="K5884">
            <v>0</v>
          </cell>
          <cell r="L5884">
            <v>0</v>
          </cell>
          <cell r="M5884">
            <v>0</v>
          </cell>
          <cell r="N5884">
            <v>0</v>
          </cell>
          <cell r="O5884" t="str">
            <v/>
          </cell>
          <cell r="P5884">
            <v>0</v>
          </cell>
          <cell r="Q5884">
            <v>0</v>
          </cell>
          <cell r="R5884">
            <v>0</v>
          </cell>
          <cell r="S5884">
            <v>0</v>
          </cell>
          <cell r="T5884">
            <v>0</v>
          </cell>
          <cell r="U5884" t="str">
            <v/>
          </cell>
          <cell r="V5884" t="str">
            <v/>
          </cell>
        </row>
        <row r="5885">
          <cell r="A5885">
            <v>5884</v>
          </cell>
          <cell r="B5885">
            <v>0</v>
          </cell>
          <cell r="C5885" t="str">
            <v/>
          </cell>
          <cell r="D5885" t="str">
            <v/>
          </cell>
          <cell r="E5885">
            <v>0</v>
          </cell>
          <cell r="F5885" t="str">
            <v/>
          </cell>
          <cell r="G5885" t="str">
            <v/>
          </cell>
          <cell r="H5885" t="str">
            <v/>
          </cell>
          <cell r="I5885" t="str">
            <v/>
          </cell>
          <cell r="J5885">
            <v>0</v>
          </cell>
          <cell r="K5885">
            <v>0</v>
          </cell>
          <cell r="L5885">
            <v>0</v>
          </cell>
          <cell r="M5885">
            <v>0</v>
          </cell>
          <cell r="N5885">
            <v>0</v>
          </cell>
          <cell r="O5885" t="str">
            <v/>
          </cell>
          <cell r="P5885">
            <v>0</v>
          </cell>
          <cell r="Q5885">
            <v>0</v>
          </cell>
          <cell r="R5885">
            <v>0</v>
          </cell>
          <cell r="S5885">
            <v>0</v>
          </cell>
          <cell r="T5885">
            <v>0</v>
          </cell>
          <cell r="U5885" t="str">
            <v/>
          </cell>
          <cell r="V5885" t="str">
            <v/>
          </cell>
        </row>
        <row r="5886">
          <cell r="A5886">
            <v>5885</v>
          </cell>
          <cell r="B5886">
            <v>0</v>
          </cell>
          <cell r="C5886" t="str">
            <v/>
          </cell>
          <cell r="D5886" t="str">
            <v/>
          </cell>
          <cell r="E5886">
            <v>0</v>
          </cell>
          <cell r="F5886" t="str">
            <v/>
          </cell>
          <cell r="G5886" t="str">
            <v/>
          </cell>
          <cell r="H5886" t="str">
            <v/>
          </cell>
          <cell r="I5886" t="str">
            <v/>
          </cell>
          <cell r="J5886">
            <v>0</v>
          </cell>
          <cell r="K5886">
            <v>0</v>
          </cell>
          <cell r="L5886">
            <v>0</v>
          </cell>
          <cell r="M5886">
            <v>0</v>
          </cell>
          <cell r="N5886">
            <v>0</v>
          </cell>
          <cell r="O5886" t="str">
            <v/>
          </cell>
          <cell r="P5886">
            <v>0</v>
          </cell>
          <cell r="Q5886">
            <v>0</v>
          </cell>
          <cell r="R5886">
            <v>0</v>
          </cell>
          <cell r="S5886">
            <v>0</v>
          </cell>
          <cell r="T5886">
            <v>0</v>
          </cell>
          <cell r="U5886" t="str">
            <v/>
          </cell>
          <cell r="V5886" t="str">
            <v/>
          </cell>
        </row>
        <row r="5887">
          <cell r="A5887">
            <v>5886</v>
          </cell>
          <cell r="B5887">
            <v>0</v>
          </cell>
          <cell r="C5887" t="str">
            <v/>
          </cell>
          <cell r="D5887" t="str">
            <v/>
          </cell>
          <cell r="E5887">
            <v>0</v>
          </cell>
          <cell r="F5887" t="str">
            <v/>
          </cell>
          <cell r="G5887" t="str">
            <v/>
          </cell>
          <cell r="H5887" t="str">
            <v/>
          </cell>
          <cell r="I5887" t="str">
            <v/>
          </cell>
          <cell r="J5887">
            <v>0</v>
          </cell>
          <cell r="K5887">
            <v>0</v>
          </cell>
          <cell r="L5887">
            <v>0</v>
          </cell>
          <cell r="M5887">
            <v>0</v>
          </cell>
          <cell r="N5887">
            <v>0</v>
          </cell>
          <cell r="O5887" t="str">
            <v/>
          </cell>
          <cell r="P5887">
            <v>0</v>
          </cell>
          <cell r="Q5887">
            <v>0</v>
          </cell>
          <cell r="R5887">
            <v>0</v>
          </cell>
          <cell r="S5887">
            <v>0</v>
          </cell>
          <cell r="T5887">
            <v>0</v>
          </cell>
          <cell r="U5887" t="str">
            <v/>
          </cell>
          <cell r="V5887" t="str">
            <v/>
          </cell>
        </row>
        <row r="5888">
          <cell r="A5888">
            <v>5887</v>
          </cell>
          <cell r="B5888">
            <v>0</v>
          </cell>
          <cell r="C5888" t="str">
            <v/>
          </cell>
          <cell r="D5888" t="str">
            <v/>
          </cell>
          <cell r="E5888">
            <v>0</v>
          </cell>
          <cell r="F5888" t="str">
            <v/>
          </cell>
          <cell r="G5888" t="str">
            <v/>
          </cell>
          <cell r="H5888" t="str">
            <v/>
          </cell>
          <cell r="I5888" t="str">
            <v/>
          </cell>
          <cell r="J5888">
            <v>0</v>
          </cell>
          <cell r="K5888">
            <v>0</v>
          </cell>
          <cell r="L5888">
            <v>0</v>
          </cell>
          <cell r="M5888">
            <v>0</v>
          </cell>
          <cell r="N5888">
            <v>0</v>
          </cell>
          <cell r="O5888" t="str">
            <v/>
          </cell>
          <cell r="P5888">
            <v>0</v>
          </cell>
          <cell r="Q5888">
            <v>0</v>
          </cell>
          <cell r="R5888">
            <v>0</v>
          </cell>
          <cell r="S5888">
            <v>0</v>
          </cell>
          <cell r="T5888">
            <v>0</v>
          </cell>
          <cell r="U5888" t="str">
            <v/>
          </cell>
          <cell r="V5888" t="str">
            <v/>
          </cell>
        </row>
        <row r="5889">
          <cell r="A5889">
            <v>5888</v>
          </cell>
          <cell r="B5889">
            <v>0</v>
          </cell>
          <cell r="C5889" t="str">
            <v/>
          </cell>
          <cell r="D5889" t="str">
            <v/>
          </cell>
          <cell r="E5889">
            <v>0</v>
          </cell>
          <cell r="F5889" t="str">
            <v/>
          </cell>
          <cell r="G5889" t="str">
            <v/>
          </cell>
          <cell r="H5889" t="str">
            <v/>
          </cell>
          <cell r="I5889" t="str">
            <v/>
          </cell>
          <cell r="J5889">
            <v>0</v>
          </cell>
          <cell r="K5889">
            <v>0</v>
          </cell>
          <cell r="L5889">
            <v>0</v>
          </cell>
          <cell r="M5889">
            <v>0</v>
          </cell>
          <cell r="N5889">
            <v>0</v>
          </cell>
          <cell r="O5889" t="str">
            <v/>
          </cell>
          <cell r="P5889">
            <v>0</v>
          </cell>
          <cell r="Q5889">
            <v>0</v>
          </cell>
          <cell r="R5889">
            <v>0</v>
          </cell>
          <cell r="S5889">
            <v>0</v>
          </cell>
          <cell r="T5889">
            <v>0</v>
          </cell>
          <cell r="U5889" t="str">
            <v/>
          </cell>
          <cell r="V5889" t="str">
            <v/>
          </cell>
        </row>
        <row r="5890">
          <cell r="A5890">
            <v>5889</v>
          </cell>
          <cell r="B5890">
            <v>0</v>
          </cell>
          <cell r="C5890" t="str">
            <v/>
          </cell>
          <cell r="D5890" t="str">
            <v/>
          </cell>
          <cell r="E5890">
            <v>0</v>
          </cell>
          <cell r="F5890" t="str">
            <v/>
          </cell>
          <cell r="G5890" t="str">
            <v/>
          </cell>
          <cell r="H5890" t="str">
            <v/>
          </cell>
          <cell r="I5890" t="str">
            <v/>
          </cell>
          <cell r="J5890">
            <v>0</v>
          </cell>
          <cell r="K5890">
            <v>0</v>
          </cell>
          <cell r="L5890">
            <v>0</v>
          </cell>
          <cell r="M5890">
            <v>0</v>
          </cell>
          <cell r="N5890">
            <v>0</v>
          </cell>
          <cell r="O5890" t="str">
            <v/>
          </cell>
          <cell r="P5890">
            <v>0</v>
          </cell>
          <cell r="Q5890">
            <v>0</v>
          </cell>
          <cell r="R5890">
            <v>0</v>
          </cell>
          <cell r="S5890">
            <v>0</v>
          </cell>
          <cell r="T5890">
            <v>0</v>
          </cell>
          <cell r="U5890" t="str">
            <v/>
          </cell>
          <cell r="V5890" t="str">
            <v/>
          </cell>
        </row>
        <row r="5891">
          <cell r="A5891">
            <v>5890</v>
          </cell>
          <cell r="B5891">
            <v>0</v>
          </cell>
          <cell r="C5891" t="str">
            <v/>
          </cell>
          <cell r="D5891" t="str">
            <v/>
          </cell>
          <cell r="E5891">
            <v>0</v>
          </cell>
          <cell r="F5891" t="str">
            <v/>
          </cell>
          <cell r="G5891" t="str">
            <v/>
          </cell>
          <cell r="H5891" t="str">
            <v/>
          </cell>
          <cell r="I5891" t="str">
            <v/>
          </cell>
          <cell r="J5891">
            <v>0</v>
          </cell>
          <cell r="K5891">
            <v>0</v>
          </cell>
          <cell r="L5891">
            <v>0</v>
          </cell>
          <cell r="M5891">
            <v>0</v>
          </cell>
          <cell r="N5891">
            <v>0</v>
          </cell>
          <cell r="O5891" t="str">
            <v/>
          </cell>
          <cell r="P5891">
            <v>0</v>
          </cell>
          <cell r="Q5891">
            <v>0</v>
          </cell>
          <cell r="R5891">
            <v>0</v>
          </cell>
          <cell r="S5891">
            <v>0</v>
          </cell>
          <cell r="T5891">
            <v>0</v>
          </cell>
          <cell r="U5891" t="str">
            <v/>
          </cell>
          <cell r="V5891" t="str">
            <v/>
          </cell>
        </row>
        <row r="5892">
          <cell r="A5892">
            <v>5891</v>
          </cell>
          <cell r="B5892">
            <v>0</v>
          </cell>
          <cell r="C5892" t="str">
            <v/>
          </cell>
          <cell r="D5892" t="str">
            <v/>
          </cell>
          <cell r="E5892">
            <v>0</v>
          </cell>
          <cell r="F5892" t="str">
            <v/>
          </cell>
          <cell r="G5892" t="str">
            <v/>
          </cell>
          <cell r="H5892" t="str">
            <v/>
          </cell>
          <cell r="I5892" t="str">
            <v/>
          </cell>
          <cell r="J5892">
            <v>0</v>
          </cell>
          <cell r="K5892">
            <v>0</v>
          </cell>
          <cell r="L5892">
            <v>0</v>
          </cell>
          <cell r="M5892">
            <v>0</v>
          </cell>
          <cell r="N5892">
            <v>0</v>
          </cell>
          <cell r="O5892" t="str">
            <v/>
          </cell>
          <cell r="P5892">
            <v>0</v>
          </cell>
          <cell r="Q5892">
            <v>0</v>
          </cell>
          <cell r="R5892">
            <v>0</v>
          </cell>
          <cell r="S5892">
            <v>0</v>
          </cell>
          <cell r="T5892">
            <v>0</v>
          </cell>
          <cell r="U5892" t="str">
            <v/>
          </cell>
          <cell r="V5892" t="str">
            <v/>
          </cell>
        </row>
        <row r="5893">
          <cell r="A5893">
            <v>5892</v>
          </cell>
          <cell r="B5893">
            <v>0</v>
          </cell>
          <cell r="C5893" t="str">
            <v/>
          </cell>
          <cell r="D5893" t="str">
            <v/>
          </cell>
          <cell r="E5893">
            <v>0</v>
          </cell>
          <cell r="F5893" t="str">
            <v/>
          </cell>
          <cell r="G5893" t="str">
            <v/>
          </cell>
          <cell r="H5893" t="str">
            <v/>
          </cell>
          <cell r="I5893" t="str">
            <v/>
          </cell>
          <cell r="J5893">
            <v>0</v>
          </cell>
          <cell r="K5893">
            <v>0</v>
          </cell>
          <cell r="L5893">
            <v>0</v>
          </cell>
          <cell r="M5893">
            <v>0</v>
          </cell>
          <cell r="N5893">
            <v>0</v>
          </cell>
          <cell r="O5893" t="str">
            <v/>
          </cell>
          <cell r="P5893">
            <v>0</v>
          </cell>
          <cell r="Q5893">
            <v>0</v>
          </cell>
          <cell r="R5893">
            <v>0</v>
          </cell>
          <cell r="S5893">
            <v>0</v>
          </cell>
          <cell r="T5893">
            <v>0</v>
          </cell>
          <cell r="U5893" t="str">
            <v/>
          </cell>
          <cell r="V5893" t="str">
            <v/>
          </cell>
        </row>
        <row r="5894">
          <cell r="A5894">
            <v>5893</v>
          </cell>
          <cell r="B5894">
            <v>0</v>
          </cell>
          <cell r="C5894" t="str">
            <v/>
          </cell>
          <cell r="D5894" t="str">
            <v/>
          </cell>
          <cell r="E5894">
            <v>0</v>
          </cell>
          <cell r="F5894" t="str">
            <v/>
          </cell>
          <cell r="G5894" t="str">
            <v/>
          </cell>
          <cell r="H5894" t="str">
            <v/>
          </cell>
          <cell r="I5894" t="str">
            <v/>
          </cell>
          <cell r="J5894">
            <v>0</v>
          </cell>
          <cell r="K5894">
            <v>0</v>
          </cell>
          <cell r="L5894">
            <v>0</v>
          </cell>
          <cell r="M5894">
            <v>0</v>
          </cell>
          <cell r="N5894">
            <v>0</v>
          </cell>
          <cell r="O5894" t="str">
            <v/>
          </cell>
          <cell r="P5894">
            <v>0</v>
          </cell>
          <cell r="Q5894">
            <v>0</v>
          </cell>
          <cell r="R5894">
            <v>0</v>
          </cell>
          <cell r="S5894">
            <v>0</v>
          </cell>
          <cell r="T5894">
            <v>0</v>
          </cell>
          <cell r="U5894" t="str">
            <v/>
          </cell>
          <cell r="V5894" t="str">
            <v/>
          </cell>
        </row>
        <row r="5895">
          <cell r="A5895">
            <v>5894</v>
          </cell>
          <cell r="B5895">
            <v>0</v>
          </cell>
          <cell r="C5895" t="str">
            <v/>
          </cell>
          <cell r="D5895" t="str">
            <v/>
          </cell>
          <cell r="E5895">
            <v>0</v>
          </cell>
          <cell r="F5895" t="str">
            <v/>
          </cell>
          <cell r="G5895" t="str">
            <v/>
          </cell>
          <cell r="H5895" t="str">
            <v/>
          </cell>
          <cell r="I5895" t="str">
            <v/>
          </cell>
          <cell r="J5895">
            <v>0</v>
          </cell>
          <cell r="K5895">
            <v>0</v>
          </cell>
          <cell r="L5895">
            <v>0</v>
          </cell>
          <cell r="M5895">
            <v>0</v>
          </cell>
          <cell r="N5895">
            <v>0</v>
          </cell>
          <cell r="O5895" t="str">
            <v/>
          </cell>
          <cell r="P5895">
            <v>0</v>
          </cell>
          <cell r="Q5895">
            <v>0</v>
          </cell>
          <cell r="R5895">
            <v>0</v>
          </cell>
          <cell r="S5895">
            <v>0</v>
          </cell>
          <cell r="T5895">
            <v>0</v>
          </cell>
          <cell r="U5895" t="str">
            <v/>
          </cell>
          <cell r="V5895" t="str">
            <v/>
          </cell>
        </row>
        <row r="5896">
          <cell r="A5896">
            <v>5895</v>
          </cell>
          <cell r="B5896">
            <v>0</v>
          </cell>
          <cell r="C5896" t="str">
            <v/>
          </cell>
          <cell r="D5896" t="str">
            <v/>
          </cell>
          <cell r="E5896">
            <v>0</v>
          </cell>
          <cell r="F5896" t="str">
            <v/>
          </cell>
          <cell r="G5896" t="str">
            <v/>
          </cell>
          <cell r="H5896" t="str">
            <v/>
          </cell>
          <cell r="I5896" t="str">
            <v/>
          </cell>
          <cell r="J5896">
            <v>0</v>
          </cell>
          <cell r="K5896">
            <v>0</v>
          </cell>
          <cell r="L5896">
            <v>0</v>
          </cell>
          <cell r="M5896">
            <v>0</v>
          </cell>
          <cell r="N5896">
            <v>0</v>
          </cell>
          <cell r="O5896" t="str">
            <v/>
          </cell>
          <cell r="P5896">
            <v>0</v>
          </cell>
          <cell r="Q5896">
            <v>0</v>
          </cell>
          <cell r="R5896">
            <v>0</v>
          </cell>
          <cell r="S5896">
            <v>0</v>
          </cell>
          <cell r="T5896">
            <v>0</v>
          </cell>
          <cell r="U5896" t="str">
            <v/>
          </cell>
          <cell r="V5896" t="str">
            <v/>
          </cell>
        </row>
        <row r="5897">
          <cell r="A5897">
            <v>5896</v>
          </cell>
          <cell r="B5897">
            <v>0</v>
          </cell>
          <cell r="C5897" t="str">
            <v/>
          </cell>
          <cell r="D5897" t="str">
            <v/>
          </cell>
          <cell r="E5897">
            <v>0</v>
          </cell>
          <cell r="F5897" t="str">
            <v/>
          </cell>
          <cell r="G5897" t="str">
            <v/>
          </cell>
          <cell r="H5897" t="str">
            <v/>
          </cell>
          <cell r="I5897" t="str">
            <v/>
          </cell>
          <cell r="J5897">
            <v>0</v>
          </cell>
          <cell r="K5897">
            <v>0</v>
          </cell>
          <cell r="L5897">
            <v>0</v>
          </cell>
          <cell r="M5897">
            <v>0</v>
          </cell>
          <cell r="N5897">
            <v>0</v>
          </cell>
          <cell r="O5897" t="str">
            <v/>
          </cell>
          <cell r="P5897">
            <v>0</v>
          </cell>
          <cell r="Q5897">
            <v>0</v>
          </cell>
          <cell r="R5897">
            <v>0</v>
          </cell>
          <cell r="S5897">
            <v>0</v>
          </cell>
          <cell r="T5897">
            <v>0</v>
          </cell>
          <cell r="U5897" t="str">
            <v/>
          </cell>
          <cell r="V5897" t="str">
            <v/>
          </cell>
        </row>
        <row r="5898">
          <cell r="A5898">
            <v>5897</v>
          </cell>
          <cell r="B5898">
            <v>0</v>
          </cell>
          <cell r="C5898" t="str">
            <v/>
          </cell>
          <cell r="D5898" t="str">
            <v/>
          </cell>
          <cell r="E5898">
            <v>0</v>
          </cell>
          <cell r="F5898" t="str">
            <v/>
          </cell>
          <cell r="G5898" t="str">
            <v/>
          </cell>
          <cell r="H5898" t="str">
            <v/>
          </cell>
          <cell r="I5898" t="str">
            <v/>
          </cell>
          <cell r="J5898">
            <v>0</v>
          </cell>
          <cell r="K5898">
            <v>0</v>
          </cell>
          <cell r="L5898">
            <v>0</v>
          </cell>
          <cell r="M5898">
            <v>0</v>
          </cell>
          <cell r="N5898">
            <v>0</v>
          </cell>
          <cell r="O5898" t="str">
            <v/>
          </cell>
          <cell r="P5898">
            <v>0</v>
          </cell>
          <cell r="Q5898">
            <v>0</v>
          </cell>
          <cell r="R5898">
            <v>0</v>
          </cell>
          <cell r="S5898">
            <v>0</v>
          </cell>
          <cell r="T5898">
            <v>0</v>
          </cell>
          <cell r="U5898" t="str">
            <v/>
          </cell>
          <cell r="V5898" t="str">
            <v/>
          </cell>
        </row>
        <row r="5899">
          <cell r="A5899">
            <v>5898</v>
          </cell>
          <cell r="B5899">
            <v>0</v>
          </cell>
          <cell r="C5899" t="str">
            <v/>
          </cell>
          <cell r="D5899" t="str">
            <v/>
          </cell>
          <cell r="E5899">
            <v>0</v>
          </cell>
          <cell r="F5899" t="str">
            <v/>
          </cell>
          <cell r="G5899" t="str">
            <v/>
          </cell>
          <cell r="H5899" t="str">
            <v/>
          </cell>
          <cell r="I5899" t="str">
            <v/>
          </cell>
          <cell r="J5899">
            <v>0</v>
          </cell>
          <cell r="K5899">
            <v>0</v>
          </cell>
          <cell r="L5899">
            <v>0</v>
          </cell>
          <cell r="M5899">
            <v>0</v>
          </cell>
          <cell r="N5899">
            <v>0</v>
          </cell>
          <cell r="O5899" t="str">
            <v/>
          </cell>
          <cell r="P5899">
            <v>0</v>
          </cell>
          <cell r="Q5899">
            <v>0</v>
          </cell>
          <cell r="R5899">
            <v>0</v>
          </cell>
          <cell r="S5899">
            <v>0</v>
          </cell>
          <cell r="T5899">
            <v>0</v>
          </cell>
          <cell r="U5899" t="str">
            <v/>
          </cell>
          <cell r="V5899" t="str">
            <v/>
          </cell>
        </row>
        <row r="5900">
          <cell r="A5900">
            <v>5899</v>
          </cell>
          <cell r="B5900">
            <v>0</v>
          </cell>
          <cell r="C5900" t="str">
            <v/>
          </cell>
          <cell r="D5900" t="str">
            <v/>
          </cell>
          <cell r="E5900">
            <v>0</v>
          </cell>
          <cell r="F5900" t="str">
            <v/>
          </cell>
          <cell r="G5900" t="str">
            <v/>
          </cell>
          <cell r="H5900" t="str">
            <v/>
          </cell>
          <cell r="I5900" t="str">
            <v/>
          </cell>
          <cell r="J5900">
            <v>0</v>
          </cell>
          <cell r="K5900">
            <v>0</v>
          </cell>
          <cell r="L5900">
            <v>0</v>
          </cell>
          <cell r="M5900">
            <v>0</v>
          </cell>
          <cell r="N5900">
            <v>0</v>
          </cell>
          <cell r="O5900" t="str">
            <v/>
          </cell>
          <cell r="P5900">
            <v>0</v>
          </cell>
          <cell r="Q5900">
            <v>0</v>
          </cell>
          <cell r="R5900">
            <v>0</v>
          </cell>
          <cell r="S5900">
            <v>0</v>
          </cell>
          <cell r="T5900">
            <v>0</v>
          </cell>
          <cell r="U5900" t="str">
            <v/>
          </cell>
          <cell r="V5900" t="str">
            <v/>
          </cell>
        </row>
        <row r="5901">
          <cell r="A5901">
            <v>5900</v>
          </cell>
          <cell r="B5901">
            <v>0</v>
          </cell>
          <cell r="C5901" t="str">
            <v/>
          </cell>
          <cell r="D5901" t="str">
            <v/>
          </cell>
          <cell r="E5901">
            <v>0</v>
          </cell>
          <cell r="F5901" t="str">
            <v/>
          </cell>
          <cell r="G5901" t="str">
            <v/>
          </cell>
          <cell r="H5901" t="str">
            <v/>
          </cell>
          <cell r="I5901" t="str">
            <v/>
          </cell>
          <cell r="J5901">
            <v>0</v>
          </cell>
          <cell r="K5901">
            <v>0</v>
          </cell>
          <cell r="L5901">
            <v>0</v>
          </cell>
          <cell r="M5901">
            <v>0</v>
          </cell>
          <cell r="N5901">
            <v>0</v>
          </cell>
          <cell r="O5901" t="str">
            <v/>
          </cell>
          <cell r="P5901">
            <v>0</v>
          </cell>
          <cell r="Q5901">
            <v>0</v>
          </cell>
          <cell r="R5901">
            <v>0</v>
          </cell>
          <cell r="S5901">
            <v>0</v>
          </cell>
          <cell r="T5901">
            <v>0</v>
          </cell>
          <cell r="U5901" t="str">
            <v/>
          </cell>
          <cell r="V5901" t="str">
            <v/>
          </cell>
        </row>
        <row r="5902">
          <cell r="A5902">
            <v>5901</v>
          </cell>
          <cell r="B5902">
            <v>0</v>
          </cell>
          <cell r="C5902" t="str">
            <v/>
          </cell>
          <cell r="D5902" t="str">
            <v/>
          </cell>
          <cell r="E5902">
            <v>0</v>
          </cell>
          <cell r="F5902" t="str">
            <v/>
          </cell>
          <cell r="G5902" t="str">
            <v/>
          </cell>
          <cell r="H5902" t="str">
            <v/>
          </cell>
          <cell r="I5902" t="str">
            <v/>
          </cell>
          <cell r="J5902">
            <v>0</v>
          </cell>
          <cell r="K5902">
            <v>0</v>
          </cell>
          <cell r="L5902">
            <v>0</v>
          </cell>
          <cell r="M5902">
            <v>0</v>
          </cell>
          <cell r="N5902">
            <v>0</v>
          </cell>
          <cell r="O5902" t="str">
            <v/>
          </cell>
          <cell r="P5902">
            <v>0</v>
          </cell>
          <cell r="Q5902">
            <v>0</v>
          </cell>
          <cell r="R5902">
            <v>0</v>
          </cell>
          <cell r="S5902">
            <v>0</v>
          </cell>
          <cell r="T5902">
            <v>0</v>
          </cell>
          <cell r="U5902" t="str">
            <v/>
          </cell>
          <cell r="V5902" t="str">
            <v/>
          </cell>
        </row>
        <row r="5903">
          <cell r="A5903">
            <v>5902</v>
          </cell>
          <cell r="B5903">
            <v>0</v>
          </cell>
          <cell r="C5903" t="str">
            <v/>
          </cell>
          <cell r="D5903" t="str">
            <v/>
          </cell>
          <cell r="E5903">
            <v>0</v>
          </cell>
          <cell r="F5903" t="str">
            <v/>
          </cell>
          <cell r="G5903" t="str">
            <v/>
          </cell>
          <cell r="H5903" t="str">
            <v/>
          </cell>
          <cell r="I5903" t="str">
            <v/>
          </cell>
          <cell r="J5903">
            <v>0</v>
          </cell>
          <cell r="K5903">
            <v>0</v>
          </cell>
          <cell r="L5903">
            <v>0</v>
          </cell>
          <cell r="M5903">
            <v>0</v>
          </cell>
          <cell r="N5903">
            <v>0</v>
          </cell>
          <cell r="O5903" t="str">
            <v/>
          </cell>
          <cell r="P5903">
            <v>0</v>
          </cell>
          <cell r="Q5903">
            <v>0</v>
          </cell>
          <cell r="R5903">
            <v>0</v>
          </cell>
          <cell r="S5903">
            <v>0</v>
          </cell>
          <cell r="T5903">
            <v>0</v>
          </cell>
          <cell r="U5903" t="str">
            <v/>
          </cell>
          <cell r="V5903" t="str">
            <v/>
          </cell>
        </row>
        <row r="5904">
          <cell r="A5904">
            <v>5903</v>
          </cell>
          <cell r="B5904">
            <v>0</v>
          </cell>
          <cell r="C5904" t="str">
            <v/>
          </cell>
          <cell r="D5904" t="str">
            <v/>
          </cell>
          <cell r="E5904">
            <v>0</v>
          </cell>
          <cell r="F5904" t="str">
            <v/>
          </cell>
          <cell r="G5904" t="str">
            <v/>
          </cell>
          <cell r="H5904" t="str">
            <v/>
          </cell>
          <cell r="I5904" t="str">
            <v/>
          </cell>
          <cell r="J5904">
            <v>0</v>
          </cell>
          <cell r="K5904">
            <v>0</v>
          </cell>
          <cell r="L5904">
            <v>0</v>
          </cell>
          <cell r="M5904">
            <v>0</v>
          </cell>
          <cell r="N5904">
            <v>0</v>
          </cell>
          <cell r="O5904" t="str">
            <v/>
          </cell>
          <cell r="P5904">
            <v>0</v>
          </cell>
          <cell r="Q5904">
            <v>0</v>
          </cell>
          <cell r="R5904">
            <v>0</v>
          </cell>
          <cell r="S5904">
            <v>0</v>
          </cell>
          <cell r="T5904">
            <v>0</v>
          </cell>
          <cell r="U5904" t="str">
            <v/>
          </cell>
          <cell r="V5904" t="str">
            <v/>
          </cell>
        </row>
        <row r="5905">
          <cell r="A5905">
            <v>5904</v>
          </cell>
          <cell r="B5905">
            <v>0</v>
          </cell>
          <cell r="C5905" t="str">
            <v/>
          </cell>
          <cell r="D5905" t="str">
            <v/>
          </cell>
          <cell r="E5905">
            <v>0</v>
          </cell>
          <cell r="F5905" t="str">
            <v/>
          </cell>
          <cell r="G5905" t="str">
            <v/>
          </cell>
          <cell r="H5905" t="str">
            <v/>
          </cell>
          <cell r="I5905" t="str">
            <v/>
          </cell>
          <cell r="J5905">
            <v>0</v>
          </cell>
          <cell r="K5905">
            <v>0</v>
          </cell>
          <cell r="L5905">
            <v>0</v>
          </cell>
          <cell r="M5905">
            <v>0</v>
          </cell>
          <cell r="N5905">
            <v>0</v>
          </cell>
          <cell r="O5905" t="str">
            <v/>
          </cell>
          <cell r="P5905">
            <v>0</v>
          </cell>
          <cell r="Q5905">
            <v>0</v>
          </cell>
          <cell r="R5905">
            <v>0</v>
          </cell>
          <cell r="S5905">
            <v>0</v>
          </cell>
          <cell r="T5905">
            <v>0</v>
          </cell>
          <cell r="U5905" t="str">
            <v/>
          </cell>
          <cell r="V5905" t="str">
            <v/>
          </cell>
        </row>
        <row r="5906">
          <cell r="A5906">
            <v>5905</v>
          </cell>
          <cell r="B5906">
            <v>0</v>
          </cell>
          <cell r="C5906" t="str">
            <v/>
          </cell>
          <cell r="D5906" t="str">
            <v/>
          </cell>
          <cell r="E5906">
            <v>0</v>
          </cell>
          <cell r="F5906" t="str">
            <v/>
          </cell>
          <cell r="G5906" t="str">
            <v/>
          </cell>
          <cell r="H5906" t="str">
            <v/>
          </cell>
          <cell r="I5906" t="str">
            <v/>
          </cell>
          <cell r="J5906">
            <v>0</v>
          </cell>
          <cell r="K5906">
            <v>0</v>
          </cell>
          <cell r="L5906">
            <v>0</v>
          </cell>
          <cell r="M5906">
            <v>0</v>
          </cell>
          <cell r="N5906">
            <v>0</v>
          </cell>
          <cell r="O5906" t="str">
            <v/>
          </cell>
          <cell r="P5906">
            <v>0</v>
          </cell>
          <cell r="Q5906">
            <v>0</v>
          </cell>
          <cell r="R5906">
            <v>0</v>
          </cell>
          <cell r="S5906">
            <v>0</v>
          </cell>
          <cell r="T5906">
            <v>0</v>
          </cell>
          <cell r="U5906" t="str">
            <v/>
          </cell>
          <cell r="V5906" t="str">
            <v/>
          </cell>
        </row>
        <row r="5907">
          <cell r="A5907">
            <v>5906</v>
          </cell>
          <cell r="B5907">
            <v>0</v>
          </cell>
          <cell r="C5907" t="str">
            <v/>
          </cell>
          <cell r="D5907" t="str">
            <v/>
          </cell>
          <cell r="E5907">
            <v>0</v>
          </cell>
          <cell r="F5907" t="str">
            <v/>
          </cell>
          <cell r="G5907" t="str">
            <v/>
          </cell>
          <cell r="H5907" t="str">
            <v/>
          </cell>
          <cell r="I5907" t="str">
            <v/>
          </cell>
          <cell r="J5907">
            <v>0</v>
          </cell>
          <cell r="K5907">
            <v>0</v>
          </cell>
          <cell r="L5907">
            <v>0</v>
          </cell>
          <cell r="M5907">
            <v>0</v>
          </cell>
          <cell r="N5907">
            <v>0</v>
          </cell>
          <cell r="O5907" t="str">
            <v/>
          </cell>
          <cell r="P5907">
            <v>0</v>
          </cell>
          <cell r="Q5907">
            <v>0</v>
          </cell>
          <cell r="R5907">
            <v>0</v>
          </cell>
          <cell r="S5907">
            <v>0</v>
          </cell>
          <cell r="T5907">
            <v>0</v>
          </cell>
          <cell r="U5907" t="str">
            <v/>
          </cell>
          <cell r="V5907" t="str">
            <v/>
          </cell>
        </row>
        <row r="5908">
          <cell r="A5908">
            <v>5907</v>
          </cell>
          <cell r="B5908">
            <v>0</v>
          </cell>
          <cell r="C5908" t="str">
            <v/>
          </cell>
          <cell r="D5908" t="str">
            <v/>
          </cell>
          <cell r="E5908">
            <v>0</v>
          </cell>
          <cell r="F5908" t="str">
            <v/>
          </cell>
          <cell r="G5908" t="str">
            <v/>
          </cell>
          <cell r="H5908" t="str">
            <v/>
          </cell>
          <cell r="I5908" t="str">
            <v/>
          </cell>
          <cell r="J5908">
            <v>0</v>
          </cell>
          <cell r="K5908">
            <v>0</v>
          </cell>
          <cell r="L5908">
            <v>0</v>
          </cell>
          <cell r="M5908">
            <v>0</v>
          </cell>
          <cell r="N5908">
            <v>0</v>
          </cell>
          <cell r="O5908" t="str">
            <v/>
          </cell>
          <cell r="P5908">
            <v>0</v>
          </cell>
          <cell r="Q5908">
            <v>0</v>
          </cell>
          <cell r="R5908">
            <v>0</v>
          </cell>
          <cell r="S5908">
            <v>0</v>
          </cell>
          <cell r="T5908">
            <v>0</v>
          </cell>
          <cell r="U5908" t="str">
            <v/>
          </cell>
          <cell r="V5908" t="str">
            <v/>
          </cell>
        </row>
        <row r="5909">
          <cell r="A5909">
            <v>5908</v>
          </cell>
          <cell r="B5909">
            <v>0</v>
          </cell>
          <cell r="C5909" t="str">
            <v/>
          </cell>
          <cell r="D5909" t="str">
            <v/>
          </cell>
          <cell r="E5909">
            <v>0</v>
          </cell>
          <cell r="F5909" t="str">
            <v/>
          </cell>
          <cell r="G5909" t="str">
            <v/>
          </cell>
          <cell r="H5909" t="str">
            <v/>
          </cell>
          <cell r="I5909" t="str">
            <v/>
          </cell>
          <cell r="J5909">
            <v>0</v>
          </cell>
          <cell r="K5909">
            <v>0</v>
          </cell>
          <cell r="L5909">
            <v>0</v>
          </cell>
          <cell r="M5909">
            <v>0</v>
          </cell>
          <cell r="N5909">
            <v>0</v>
          </cell>
          <cell r="O5909" t="str">
            <v/>
          </cell>
          <cell r="P5909">
            <v>0</v>
          </cell>
          <cell r="Q5909">
            <v>0</v>
          </cell>
          <cell r="R5909">
            <v>0</v>
          </cell>
          <cell r="S5909">
            <v>0</v>
          </cell>
          <cell r="T5909">
            <v>0</v>
          </cell>
          <cell r="U5909" t="str">
            <v/>
          </cell>
          <cell r="V5909" t="str">
            <v/>
          </cell>
        </row>
        <row r="5910">
          <cell r="A5910">
            <v>5909</v>
          </cell>
          <cell r="B5910">
            <v>0</v>
          </cell>
          <cell r="C5910" t="str">
            <v/>
          </cell>
          <cell r="D5910" t="str">
            <v/>
          </cell>
          <cell r="E5910">
            <v>0</v>
          </cell>
          <cell r="F5910" t="str">
            <v/>
          </cell>
          <cell r="G5910" t="str">
            <v/>
          </cell>
          <cell r="H5910" t="str">
            <v/>
          </cell>
          <cell r="I5910" t="str">
            <v/>
          </cell>
          <cell r="J5910">
            <v>0</v>
          </cell>
          <cell r="K5910">
            <v>0</v>
          </cell>
          <cell r="L5910">
            <v>0</v>
          </cell>
          <cell r="M5910">
            <v>0</v>
          </cell>
          <cell r="N5910">
            <v>0</v>
          </cell>
          <cell r="O5910" t="str">
            <v/>
          </cell>
          <cell r="P5910">
            <v>0</v>
          </cell>
          <cell r="Q5910">
            <v>0</v>
          </cell>
          <cell r="R5910">
            <v>0</v>
          </cell>
          <cell r="S5910">
            <v>0</v>
          </cell>
          <cell r="T5910">
            <v>0</v>
          </cell>
          <cell r="U5910" t="str">
            <v/>
          </cell>
          <cell r="V5910" t="str">
            <v/>
          </cell>
        </row>
        <row r="5911">
          <cell r="A5911">
            <v>5910</v>
          </cell>
          <cell r="B5911">
            <v>0</v>
          </cell>
          <cell r="C5911" t="str">
            <v/>
          </cell>
          <cell r="D5911" t="str">
            <v/>
          </cell>
          <cell r="E5911">
            <v>0</v>
          </cell>
          <cell r="F5911" t="str">
            <v/>
          </cell>
          <cell r="G5911" t="str">
            <v/>
          </cell>
          <cell r="H5911" t="str">
            <v/>
          </cell>
          <cell r="I5911" t="str">
            <v/>
          </cell>
          <cell r="J5911">
            <v>0</v>
          </cell>
          <cell r="K5911">
            <v>0</v>
          </cell>
          <cell r="L5911">
            <v>0</v>
          </cell>
          <cell r="M5911">
            <v>0</v>
          </cell>
          <cell r="N5911">
            <v>0</v>
          </cell>
          <cell r="O5911" t="str">
            <v/>
          </cell>
          <cell r="P5911">
            <v>0</v>
          </cell>
          <cell r="Q5911">
            <v>0</v>
          </cell>
          <cell r="R5911">
            <v>0</v>
          </cell>
          <cell r="S5911">
            <v>0</v>
          </cell>
          <cell r="T5911">
            <v>0</v>
          </cell>
          <cell r="U5911" t="str">
            <v/>
          </cell>
          <cell r="V5911" t="str">
            <v/>
          </cell>
        </row>
        <row r="5912">
          <cell r="A5912">
            <v>5911</v>
          </cell>
          <cell r="B5912">
            <v>0</v>
          </cell>
          <cell r="C5912" t="str">
            <v/>
          </cell>
          <cell r="D5912" t="str">
            <v/>
          </cell>
          <cell r="E5912">
            <v>0</v>
          </cell>
          <cell r="F5912" t="str">
            <v/>
          </cell>
          <cell r="G5912" t="str">
            <v/>
          </cell>
          <cell r="H5912" t="str">
            <v/>
          </cell>
          <cell r="I5912" t="str">
            <v/>
          </cell>
          <cell r="J5912">
            <v>0</v>
          </cell>
          <cell r="K5912">
            <v>0</v>
          </cell>
          <cell r="L5912">
            <v>0</v>
          </cell>
          <cell r="M5912">
            <v>0</v>
          </cell>
          <cell r="N5912">
            <v>0</v>
          </cell>
          <cell r="O5912" t="str">
            <v/>
          </cell>
          <cell r="P5912">
            <v>0</v>
          </cell>
          <cell r="Q5912">
            <v>0</v>
          </cell>
          <cell r="R5912">
            <v>0</v>
          </cell>
          <cell r="S5912">
            <v>0</v>
          </cell>
          <cell r="T5912">
            <v>0</v>
          </cell>
          <cell r="U5912" t="str">
            <v/>
          </cell>
          <cell r="V5912" t="str">
            <v/>
          </cell>
        </row>
        <row r="5913">
          <cell r="A5913">
            <v>5912</v>
          </cell>
          <cell r="B5913">
            <v>0</v>
          </cell>
          <cell r="C5913" t="str">
            <v/>
          </cell>
          <cell r="D5913" t="str">
            <v/>
          </cell>
          <cell r="E5913">
            <v>0</v>
          </cell>
          <cell r="F5913" t="str">
            <v/>
          </cell>
          <cell r="G5913" t="str">
            <v/>
          </cell>
          <cell r="H5913" t="str">
            <v/>
          </cell>
          <cell r="I5913" t="str">
            <v/>
          </cell>
          <cell r="J5913">
            <v>0</v>
          </cell>
          <cell r="K5913">
            <v>0</v>
          </cell>
          <cell r="L5913">
            <v>0</v>
          </cell>
          <cell r="M5913">
            <v>0</v>
          </cell>
          <cell r="N5913">
            <v>0</v>
          </cell>
          <cell r="O5913" t="str">
            <v/>
          </cell>
          <cell r="P5913">
            <v>0</v>
          </cell>
          <cell r="Q5913">
            <v>0</v>
          </cell>
          <cell r="R5913">
            <v>0</v>
          </cell>
          <cell r="S5913">
            <v>0</v>
          </cell>
          <cell r="T5913">
            <v>0</v>
          </cell>
          <cell r="U5913" t="str">
            <v/>
          </cell>
          <cell r="V5913" t="str">
            <v/>
          </cell>
        </row>
        <row r="5914">
          <cell r="A5914">
            <v>5913</v>
          </cell>
          <cell r="B5914">
            <v>0</v>
          </cell>
          <cell r="C5914" t="str">
            <v/>
          </cell>
          <cell r="D5914" t="str">
            <v/>
          </cell>
          <cell r="E5914">
            <v>0</v>
          </cell>
          <cell r="F5914" t="str">
            <v/>
          </cell>
          <cell r="G5914" t="str">
            <v/>
          </cell>
          <cell r="H5914" t="str">
            <v/>
          </cell>
          <cell r="I5914" t="str">
            <v/>
          </cell>
          <cell r="J5914">
            <v>0</v>
          </cell>
          <cell r="K5914">
            <v>0</v>
          </cell>
          <cell r="L5914">
            <v>0</v>
          </cell>
          <cell r="M5914">
            <v>0</v>
          </cell>
          <cell r="N5914">
            <v>0</v>
          </cell>
          <cell r="O5914" t="str">
            <v/>
          </cell>
          <cell r="P5914">
            <v>0</v>
          </cell>
          <cell r="Q5914">
            <v>0</v>
          </cell>
          <cell r="R5914">
            <v>0</v>
          </cell>
          <cell r="S5914">
            <v>0</v>
          </cell>
          <cell r="T5914">
            <v>0</v>
          </cell>
          <cell r="U5914" t="str">
            <v/>
          </cell>
          <cell r="V5914" t="str">
            <v/>
          </cell>
        </row>
        <row r="5915">
          <cell r="A5915">
            <v>5914</v>
          </cell>
          <cell r="B5915">
            <v>0</v>
          </cell>
          <cell r="C5915" t="str">
            <v/>
          </cell>
          <cell r="D5915" t="str">
            <v/>
          </cell>
          <cell r="E5915">
            <v>0</v>
          </cell>
          <cell r="F5915" t="str">
            <v/>
          </cell>
          <cell r="G5915" t="str">
            <v/>
          </cell>
          <cell r="H5915" t="str">
            <v/>
          </cell>
          <cell r="I5915" t="str">
            <v/>
          </cell>
          <cell r="J5915">
            <v>0</v>
          </cell>
          <cell r="K5915">
            <v>0</v>
          </cell>
          <cell r="L5915">
            <v>0</v>
          </cell>
          <cell r="M5915">
            <v>0</v>
          </cell>
          <cell r="N5915">
            <v>0</v>
          </cell>
          <cell r="O5915" t="str">
            <v/>
          </cell>
          <cell r="P5915">
            <v>0</v>
          </cell>
          <cell r="Q5915">
            <v>0</v>
          </cell>
          <cell r="R5915">
            <v>0</v>
          </cell>
          <cell r="S5915">
            <v>0</v>
          </cell>
          <cell r="T5915">
            <v>0</v>
          </cell>
          <cell r="U5915" t="str">
            <v/>
          </cell>
          <cell r="V5915" t="str">
            <v/>
          </cell>
        </row>
        <row r="5916">
          <cell r="A5916">
            <v>5915</v>
          </cell>
          <cell r="B5916">
            <v>0</v>
          </cell>
          <cell r="C5916" t="str">
            <v/>
          </cell>
          <cell r="D5916" t="str">
            <v/>
          </cell>
          <cell r="E5916">
            <v>0</v>
          </cell>
          <cell r="F5916" t="str">
            <v/>
          </cell>
          <cell r="G5916" t="str">
            <v/>
          </cell>
          <cell r="H5916" t="str">
            <v/>
          </cell>
          <cell r="I5916" t="str">
            <v/>
          </cell>
          <cell r="J5916">
            <v>0</v>
          </cell>
          <cell r="K5916">
            <v>0</v>
          </cell>
          <cell r="L5916">
            <v>0</v>
          </cell>
          <cell r="M5916">
            <v>0</v>
          </cell>
          <cell r="N5916">
            <v>0</v>
          </cell>
          <cell r="O5916" t="str">
            <v/>
          </cell>
          <cell r="P5916">
            <v>0</v>
          </cell>
          <cell r="Q5916">
            <v>0</v>
          </cell>
          <cell r="R5916">
            <v>0</v>
          </cell>
          <cell r="S5916">
            <v>0</v>
          </cell>
          <cell r="T5916">
            <v>0</v>
          </cell>
          <cell r="U5916" t="str">
            <v/>
          </cell>
          <cell r="V5916" t="str">
            <v/>
          </cell>
        </row>
        <row r="5917">
          <cell r="A5917">
            <v>5916</v>
          </cell>
          <cell r="B5917">
            <v>0</v>
          </cell>
          <cell r="C5917" t="str">
            <v/>
          </cell>
          <cell r="D5917" t="str">
            <v/>
          </cell>
          <cell r="E5917">
            <v>0</v>
          </cell>
          <cell r="F5917" t="str">
            <v/>
          </cell>
          <cell r="G5917" t="str">
            <v/>
          </cell>
          <cell r="H5917" t="str">
            <v/>
          </cell>
          <cell r="I5917" t="str">
            <v/>
          </cell>
          <cell r="J5917">
            <v>0</v>
          </cell>
          <cell r="K5917">
            <v>0</v>
          </cell>
          <cell r="L5917">
            <v>0</v>
          </cell>
          <cell r="M5917">
            <v>0</v>
          </cell>
          <cell r="N5917">
            <v>0</v>
          </cell>
          <cell r="O5917" t="str">
            <v/>
          </cell>
          <cell r="P5917">
            <v>0</v>
          </cell>
          <cell r="Q5917">
            <v>0</v>
          </cell>
          <cell r="R5917">
            <v>0</v>
          </cell>
          <cell r="S5917">
            <v>0</v>
          </cell>
          <cell r="T5917">
            <v>0</v>
          </cell>
          <cell r="U5917" t="str">
            <v/>
          </cell>
          <cell r="V5917" t="str">
            <v/>
          </cell>
        </row>
        <row r="5918">
          <cell r="A5918">
            <v>5917</v>
          </cell>
          <cell r="B5918">
            <v>0</v>
          </cell>
          <cell r="C5918" t="str">
            <v/>
          </cell>
          <cell r="D5918" t="str">
            <v/>
          </cell>
          <cell r="E5918">
            <v>0</v>
          </cell>
          <cell r="F5918" t="str">
            <v/>
          </cell>
          <cell r="G5918" t="str">
            <v/>
          </cell>
          <cell r="H5918" t="str">
            <v/>
          </cell>
          <cell r="I5918" t="str">
            <v/>
          </cell>
          <cell r="J5918">
            <v>0</v>
          </cell>
          <cell r="K5918">
            <v>0</v>
          </cell>
          <cell r="L5918">
            <v>0</v>
          </cell>
          <cell r="M5918">
            <v>0</v>
          </cell>
          <cell r="N5918">
            <v>0</v>
          </cell>
          <cell r="O5918" t="str">
            <v/>
          </cell>
          <cell r="P5918">
            <v>0</v>
          </cell>
          <cell r="Q5918">
            <v>0</v>
          </cell>
          <cell r="R5918">
            <v>0</v>
          </cell>
          <cell r="S5918">
            <v>0</v>
          </cell>
          <cell r="T5918">
            <v>0</v>
          </cell>
          <cell r="U5918" t="str">
            <v/>
          </cell>
          <cell r="V5918" t="str">
            <v/>
          </cell>
        </row>
        <row r="5919">
          <cell r="A5919">
            <v>5918</v>
          </cell>
          <cell r="B5919">
            <v>0</v>
          </cell>
          <cell r="C5919" t="str">
            <v/>
          </cell>
          <cell r="D5919" t="str">
            <v/>
          </cell>
          <cell r="E5919">
            <v>0</v>
          </cell>
          <cell r="F5919" t="str">
            <v/>
          </cell>
          <cell r="G5919" t="str">
            <v/>
          </cell>
          <cell r="H5919" t="str">
            <v/>
          </cell>
          <cell r="I5919" t="str">
            <v/>
          </cell>
          <cell r="J5919">
            <v>0</v>
          </cell>
          <cell r="K5919">
            <v>0</v>
          </cell>
          <cell r="L5919">
            <v>0</v>
          </cell>
          <cell r="M5919">
            <v>0</v>
          </cell>
          <cell r="N5919">
            <v>0</v>
          </cell>
          <cell r="O5919" t="str">
            <v/>
          </cell>
          <cell r="P5919">
            <v>0</v>
          </cell>
          <cell r="Q5919">
            <v>0</v>
          </cell>
          <cell r="R5919">
            <v>0</v>
          </cell>
          <cell r="S5919">
            <v>0</v>
          </cell>
          <cell r="T5919">
            <v>0</v>
          </cell>
          <cell r="U5919" t="str">
            <v/>
          </cell>
          <cell r="V5919" t="str">
            <v/>
          </cell>
        </row>
        <row r="5920">
          <cell r="A5920">
            <v>5919</v>
          </cell>
          <cell r="B5920">
            <v>0</v>
          </cell>
          <cell r="C5920" t="str">
            <v/>
          </cell>
          <cell r="D5920" t="str">
            <v/>
          </cell>
          <cell r="E5920">
            <v>0</v>
          </cell>
          <cell r="F5920" t="str">
            <v/>
          </cell>
          <cell r="G5920" t="str">
            <v/>
          </cell>
          <cell r="H5920" t="str">
            <v/>
          </cell>
          <cell r="I5920" t="str">
            <v/>
          </cell>
          <cell r="J5920">
            <v>0</v>
          </cell>
          <cell r="K5920">
            <v>0</v>
          </cell>
          <cell r="L5920">
            <v>0</v>
          </cell>
          <cell r="M5920">
            <v>0</v>
          </cell>
          <cell r="N5920">
            <v>0</v>
          </cell>
          <cell r="O5920" t="str">
            <v/>
          </cell>
          <cell r="P5920">
            <v>0</v>
          </cell>
          <cell r="Q5920">
            <v>0</v>
          </cell>
          <cell r="R5920">
            <v>0</v>
          </cell>
          <cell r="S5920">
            <v>0</v>
          </cell>
          <cell r="T5920">
            <v>0</v>
          </cell>
          <cell r="U5920" t="str">
            <v/>
          </cell>
          <cell r="V5920" t="str">
            <v/>
          </cell>
        </row>
        <row r="5921">
          <cell r="A5921">
            <v>5920</v>
          </cell>
          <cell r="B5921">
            <v>0</v>
          </cell>
          <cell r="C5921" t="str">
            <v/>
          </cell>
          <cell r="D5921" t="str">
            <v/>
          </cell>
          <cell r="E5921">
            <v>0</v>
          </cell>
          <cell r="F5921" t="str">
            <v/>
          </cell>
          <cell r="G5921" t="str">
            <v/>
          </cell>
          <cell r="H5921" t="str">
            <v/>
          </cell>
          <cell r="I5921" t="str">
            <v/>
          </cell>
          <cell r="J5921">
            <v>0</v>
          </cell>
          <cell r="K5921">
            <v>0</v>
          </cell>
          <cell r="L5921">
            <v>0</v>
          </cell>
          <cell r="M5921">
            <v>0</v>
          </cell>
          <cell r="N5921">
            <v>0</v>
          </cell>
          <cell r="O5921" t="str">
            <v/>
          </cell>
          <cell r="P5921">
            <v>0</v>
          </cell>
          <cell r="Q5921">
            <v>0</v>
          </cell>
          <cell r="R5921">
            <v>0</v>
          </cell>
          <cell r="S5921">
            <v>0</v>
          </cell>
          <cell r="T5921">
            <v>0</v>
          </cell>
          <cell r="U5921" t="str">
            <v/>
          </cell>
          <cell r="V5921" t="str">
            <v/>
          </cell>
        </row>
        <row r="5922">
          <cell r="A5922">
            <v>5921</v>
          </cell>
          <cell r="B5922">
            <v>0</v>
          </cell>
          <cell r="C5922" t="str">
            <v/>
          </cell>
          <cell r="D5922" t="str">
            <v/>
          </cell>
          <cell r="E5922">
            <v>0</v>
          </cell>
          <cell r="F5922" t="str">
            <v/>
          </cell>
          <cell r="G5922" t="str">
            <v/>
          </cell>
          <cell r="H5922" t="str">
            <v/>
          </cell>
          <cell r="I5922" t="str">
            <v/>
          </cell>
          <cell r="J5922">
            <v>0</v>
          </cell>
          <cell r="K5922">
            <v>0</v>
          </cell>
          <cell r="L5922">
            <v>0</v>
          </cell>
          <cell r="M5922">
            <v>0</v>
          </cell>
          <cell r="N5922">
            <v>0</v>
          </cell>
          <cell r="O5922" t="str">
            <v/>
          </cell>
          <cell r="P5922">
            <v>0</v>
          </cell>
          <cell r="Q5922">
            <v>0</v>
          </cell>
          <cell r="R5922">
            <v>0</v>
          </cell>
          <cell r="S5922">
            <v>0</v>
          </cell>
          <cell r="T5922">
            <v>0</v>
          </cell>
          <cell r="U5922" t="str">
            <v/>
          </cell>
          <cell r="V5922" t="str">
            <v/>
          </cell>
        </row>
        <row r="5923">
          <cell r="A5923">
            <v>5922</v>
          </cell>
          <cell r="B5923">
            <v>0</v>
          </cell>
          <cell r="C5923" t="str">
            <v/>
          </cell>
          <cell r="D5923" t="str">
            <v/>
          </cell>
          <cell r="E5923">
            <v>0</v>
          </cell>
          <cell r="F5923" t="str">
            <v/>
          </cell>
          <cell r="G5923" t="str">
            <v/>
          </cell>
          <cell r="H5923" t="str">
            <v/>
          </cell>
          <cell r="I5923" t="str">
            <v/>
          </cell>
          <cell r="J5923">
            <v>0</v>
          </cell>
          <cell r="K5923">
            <v>0</v>
          </cell>
          <cell r="L5923">
            <v>0</v>
          </cell>
          <cell r="M5923">
            <v>0</v>
          </cell>
          <cell r="N5923">
            <v>0</v>
          </cell>
          <cell r="O5923" t="str">
            <v/>
          </cell>
          <cell r="P5923">
            <v>0</v>
          </cell>
          <cell r="Q5923">
            <v>0</v>
          </cell>
          <cell r="R5923">
            <v>0</v>
          </cell>
          <cell r="S5923">
            <v>0</v>
          </cell>
          <cell r="T5923">
            <v>0</v>
          </cell>
          <cell r="U5923" t="str">
            <v/>
          </cell>
          <cell r="V5923" t="str">
            <v/>
          </cell>
        </row>
        <row r="5924">
          <cell r="A5924">
            <v>5923</v>
          </cell>
          <cell r="B5924">
            <v>0</v>
          </cell>
          <cell r="C5924" t="str">
            <v/>
          </cell>
          <cell r="D5924" t="str">
            <v/>
          </cell>
          <cell r="E5924">
            <v>0</v>
          </cell>
          <cell r="F5924" t="str">
            <v/>
          </cell>
          <cell r="G5924" t="str">
            <v/>
          </cell>
          <cell r="H5924" t="str">
            <v/>
          </cell>
          <cell r="I5924" t="str">
            <v/>
          </cell>
          <cell r="J5924">
            <v>0</v>
          </cell>
          <cell r="K5924">
            <v>0</v>
          </cell>
          <cell r="L5924">
            <v>0</v>
          </cell>
          <cell r="M5924">
            <v>0</v>
          </cell>
          <cell r="N5924">
            <v>0</v>
          </cell>
          <cell r="O5924" t="str">
            <v/>
          </cell>
          <cell r="P5924">
            <v>0</v>
          </cell>
          <cell r="Q5924">
            <v>0</v>
          </cell>
          <cell r="R5924">
            <v>0</v>
          </cell>
          <cell r="S5924">
            <v>0</v>
          </cell>
          <cell r="T5924">
            <v>0</v>
          </cell>
          <cell r="U5924" t="str">
            <v/>
          </cell>
          <cell r="V5924" t="str">
            <v/>
          </cell>
        </row>
        <row r="5925">
          <cell r="A5925">
            <v>5924</v>
          </cell>
          <cell r="B5925">
            <v>0</v>
          </cell>
          <cell r="C5925" t="str">
            <v/>
          </cell>
          <cell r="D5925" t="str">
            <v/>
          </cell>
          <cell r="E5925">
            <v>0</v>
          </cell>
          <cell r="F5925" t="str">
            <v/>
          </cell>
          <cell r="G5925" t="str">
            <v/>
          </cell>
          <cell r="H5925" t="str">
            <v/>
          </cell>
          <cell r="I5925" t="str">
            <v/>
          </cell>
          <cell r="J5925">
            <v>0</v>
          </cell>
          <cell r="K5925">
            <v>0</v>
          </cell>
          <cell r="L5925">
            <v>0</v>
          </cell>
          <cell r="M5925">
            <v>0</v>
          </cell>
          <cell r="N5925">
            <v>0</v>
          </cell>
          <cell r="O5925" t="str">
            <v/>
          </cell>
          <cell r="P5925">
            <v>0</v>
          </cell>
          <cell r="Q5925">
            <v>0</v>
          </cell>
          <cell r="R5925">
            <v>0</v>
          </cell>
          <cell r="S5925">
            <v>0</v>
          </cell>
          <cell r="T5925">
            <v>0</v>
          </cell>
          <cell r="U5925" t="str">
            <v/>
          </cell>
          <cell r="V5925" t="str">
            <v/>
          </cell>
        </row>
        <row r="5926">
          <cell r="A5926">
            <v>5925</v>
          </cell>
          <cell r="B5926">
            <v>0</v>
          </cell>
          <cell r="C5926" t="str">
            <v/>
          </cell>
          <cell r="D5926" t="str">
            <v/>
          </cell>
          <cell r="E5926">
            <v>0</v>
          </cell>
          <cell r="F5926" t="str">
            <v/>
          </cell>
          <cell r="G5926" t="str">
            <v/>
          </cell>
          <cell r="H5926" t="str">
            <v/>
          </cell>
          <cell r="I5926" t="str">
            <v/>
          </cell>
          <cell r="J5926">
            <v>0</v>
          </cell>
          <cell r="K5926">
            <v>0</v>
          </cell>
          <cell r="L5926">
            <v>0</v>
          </cell>
          <cell r="M5926">
            <v>0</v>
          </cell>
          <cell r="N5926">
            <v>0</v>
          </cell>
          <cell r="O5926" t="str">
            <v/>
          </cell>
          <cell r="P5926">
            <v>0</v>
          </cell>
          <cell r="Q5926">
            <v>0</v>
          </cell>
          <cell r="R5926">
            <v>0</v>
          </cell>
          <cell r="S5926">
            <v>0</v>
          </cell>
          <cell r="T5926">
            <v>0</v>
          </cell>
          <cell r="U5926" t="str">
            <v/>
          </cell>
          <cell r="V5926" t="str">
            <v/>
          </cell>
        </row>
        <row r="5927">
          <cell r="A5927">
            <v>5926</v>
          </cell>
          <cell r="B5927">
            <v>0</v>
          </cell>
          <cell r="C5927" t="str">
            <v/>
          </cell>
          <cell r="D5927" t="str">
            <v/>
          </cell>
          <cell r="E5927">
            <v>0</v>
          </cell>
          <cell r="F5927" t="str">
            <v/>
          </cell>
          <cell r="G5927" t="str">
            <v/>
          </cell>
          <cell r="H5927" t="str">
            <v/>
          </cell>
          <cell r="I5927" t="str">
            <v/>
          </cell>
          <cell r="J5927">
            <v>0</v>
          </cell>
          <cell r="K5927">
            <v>0</v>
          </cell>
          <cell r="L5927">
            <v>0</v>
          </cell>
          <cell r="M5927">
            <v>0</v>
          </cell>
          <cell r="N5927">
            <v>0</v>
          </cell>
          <cell r="O5927" t="str">
            <v/>
          </cell>
          <cell r="P5927">
            <v>0</v>
          </cell>
          <cell r="Q5927">
            <v>0</v>
          </cell>
          <cell r="R5927">
            <v>0</v>
          </cell>
          <cell r="S5927">
            <v>0</v>
          </cell>
          <cell r="T5927">
            <v>0</v>
          </cell>
          <cell r="U5927" t="str">
            <v/>
          </cell>
          <cell r="V5927" t="str">
            <v/>
          </cell>
        </row>
        <row r="5928">
          <cell r="A5928">
            <v>5927</v>
          </cell>
          <cell r="B5928">
            <v>0</v>
          </cell>
          <cell r="C5928" t="str">
            <v/>
          </cell>
          <cell r="D5928" t="str">
            <v/>
          </cell>
          <cell r="E5928">
            <v>0</v>
          </cell>
          <cell r="F5928" t="str">
            <v/>
          </cell>
          <cell r="G5928" t="str">
            <v/>
          </cell>
          <cell r="H5928" t="str">
            <v/>
          </cell>
          <cell r="I5928" t="str">
            <v/>
          </cell>
          <cell r="J5928">
            <v>0</v>
          </cell>
          <cell r="K5928">
            <v>0</v>
          </cell>
          <cell r="L5928">
            <v>0</v>
          </cell>
          <cell r="M5928">
            <v>0</v>
          </cell>
          <cell r="N5928">
            <v>0</v>
          </cell>
          <cell r="O5928" t="str">
            <v/>
          </cell>
          <cell r="P5928">
            <v>0</v>
          </cell>
          <cell r="Q5928">
            <v>0</v>
          </cell>
          <cell r="R5928">
            <v>0</v>
          </cell>
          <cell r="S5928">
            <v>0</v>
          </cell>
          <cell r="T5928">
            <v>0</v>
          </cell>
          <cell r="U5928" t="str">
            <v/>
          </cell>
          <cell r="V5928" t="str">
            <v/>
          </cell>
        </row>
        <row r="5929">
          <cell r="A5929">
            <v>5928</v>
          </cell>
          <cell r="B5929">
            <v>0</v>
          </cell>
          <cell r="C5929" t="str">
            <v/>
          </cell>
          <cell r="D5929" t="str">
            <v/>
          </cell>
          <cell r="E5929">
            <v>0</v>
          </cell>
          <cell r="F5929" t="str">
            <v/>
          </cell>
          <cell r="G5929" t="str">
            <v/>
          </cell>
          <cell r="H5929" t="str">
            <v/>
          </cell>
          <cell r="I5929" t="str">
            <v/>
          </cell>
          <cell r="J5929">
            <v>0</v>
          </cell>
          <cell r="K5929">
            <v>0</v>
          </cell>
          <cell r="L5929">
            <v>0</v>
          </cell>
          <cell r="M5929">
            <v>0</v>
          </cell>
          <cell r="N5929">
            <v>0</v>
          </cell>
          <cell r="O5929" t="str">
            <v/>
          </cell>
          <cell r="P5929">
            <v>0</v>
          </cell>
          <cell r="Q5929">
            <v>0</v>
          </cell>
          <cell r="R5929">
            <v>0</v>
          </cell>
          <cell r="S5929">
            <v>0</v>
          </cell>
          <cell r="T5929">
            <v>0</v>
          </cell>
          <cell r="U5929" t="str">
            <v/>
          </cell>
          <cell r="V5929" t="str">
            <v/>
          </cell>
        </row>
        <row r="5930">
          <cell r="A5930">
            <v>5929</v>
          </cell>
          <cell r="B5930">
            <v>0</v>
          </cell>
          <cell r="C5930" t="str">
            <v/>
          </cell>
          <cell r="D5930" t="str">
            <v/>
          </cell>
          <cell r="E5930">
            <v>0</v>
          </cell>
          <cell r="F5930" t="str">
            <v/>
          </cell>
          <cell r="G5930" t="str">
            <v/>
          </cell>
          <cell r="H5930" t="str">
            <v/>
          </cell>
          <cell r="I5930" t="str">
            <v/>
          </cell>
          <cell r="J5930">
            <v>0</v>
          </cell>
          <cell r="K5930">
            <v>0</v>
          </cell>
          <cell r="L5930">
            <v>0</v>
          </cell>
          <cell r="M5930">
            <v>0</v>
          </cell>
          <cell r="N5930">
            <v>0</v>
          </cell>
          <cell r="O5930" t="str">
            <v/>
          </cell>
          <cell r="P5930">
            <v>0</v>
          </cell>
          <cell r="Q5930">
            <v>0</v>
          </cell>
          <cell r="R5930">
            <v>0</v>
          </cell>
          <cell r="S5930">
            <v>0</v>
          </cell>
          <cell r="T5930">
            <v>0</v>
          </cell>
          <cell r="U5930" t="str">
            <v/>
          </cell>
          <cell r="V5930" t="str">
            <v/>
          </cell>
        </row>
        <row r="5931">
          <cell r="A5931">
            <v>5930</v>
          </cell>
          <cell r="B5931">
            <v>0</v>
          </cell>
          <cell r="C5931" t="str">
            <v/>
          </cell>
          <cell r="D5931" t="str">
            <v/>
          </cell>
          <cell r="E5931">
            <v>0</v>
          </cell>
          <cell r="F5931" t="str">
            <v/>
          </cell>
          <cell r="G5931" t="str">
            <v/>
          </cell>
          <cell r="H5931" t="str">
            <v/>
          </cell>
          <cell r="I5931" t="str">
            <v/>
          </cell>
          <cell r="J5931">
            <v>0</v>
          </cell>
          <cell r="K5931">
            <v>0</v>
          </cell>
          <cell r="L5931">
            <v>0</v>
          </cell>
          <cell r="M5931">
            <v>0</v>
          </cell>
          <cell r="N5931">
            <v>0</v>
          </cell>
          <cell r="O5931" t="str">
            <v/>
          </cell>
          <cell r="P5931">
            <v>0</v>
          </cell>
          <cell r="Q5931">
            <v>0</v>
          </cell>
          <cell r="R5931">
            <v>0</v>
          </cell>
          <cell r="S5931">
            <v>0</v>
          </cell>
          <cell r="T5931">
            <v>0</v>
          </cell>
          <cell r="U5931" t="str">
            <v/>
          </cell>
          <cell r="V5931" t="str">
            <v/>
          </cell>
        </row>
        <row r="5932">
          <cell r="A5932">
            <v>5931</v>
          </cell>
          <cell r="B5932">
            <v>0</v>
          </cell>
          <cell r="C5932" t="str">
            <v/>
          </cell>
          <cell r="D5932" t="str">
            <v/>
          </cell>
          <cell r="E5932">
            <v>0</v>
          </cell>
          <cell r="F5932" t="str">
            <v/>
          </cell>
          <cell r="G5932" t="str">
            <v/>
          </cell>
          <cell r="H5932" t="str">
            <v/>
          </cell>
          <cell r="I5932" t="str">
            <v/>
          </cell>
          <cell r="J5932">
            <v>0</v>
          </cell>
          <cell r="K5932">
            <v>0</v>
          </cell>
          <cell r="L5932">
            <v>0</v>
          </cell>
          <cell r="M5932">
            <v>0</v>
          </cell>
          <cell r="N5932">
            <v>0</v>
          </cell>
          <cell r="O5932" t="str">
            <v/>
          </cell>
          <cell r="P5932">
            <v>0</v>
          </cell>
          <cell r="Q5932">
            <v>0</v>
          </cell>
          <cell r="R5932">
            <v>0</v>
          </cell>
          <cell r="S5932">
            <v>0</v>
          </cell>
          <cell r="T5932">
            <v>0</v>
          </cell>
          <cell r="U5932" t="str">
            <v/>
          </cell>
          <cell r="V5932" t="str">
            <v/>
          </cell>
        </row>
        <row r="5933">
          <cell r="A5933">
            <v>5932</v>
          </cell>
          <cell r="B5933">
            <v>0</v>
          </cell>
          <cell r="C5933" t="str">
            <v/>
          </cell>
          <cell r="D5933" t="str">
            <v/>
          </cell>
          <cell r="E5933">
            <v>0</v>
          </cell>
          <cell r="F5933" t="str">
            <v/>
          </cell>
          <cell r="G5933" t="str">
            <v/>
          </cell>
          <cell r="H5933" t="str">
            <v/>
          </cell>
          <cell r="I5933" t="str">
            <v/>
          </cell>
          <cell r="J5933">
            <v>0</v>
          </cell>
          <cell r="K5933">
            <v>0</v>
          </cell>
          <cell r="L5933">
            <v>0</v>
          </cell>
          <cell r="M5933">
            <v>0</v>
          </cell>
          <cell r="N5933">
            <v>0</v>
          </cell>
          <cell r="O5933" t="str">
            <v/>
          </cell>
          <cell r="P5933">
            <v>0</v>
          </cell>
          <cell r="Q5933">
            <v>0</v>
          </cell>
          <cell r="R5933">
            <v>0</v>
          </cell>
          <cell r="S5933">
            <v>0</v>
          </cell>
          <cell r="T5933">
            <v>0</v>
          </cell>
          <cell r="U5933" t="str">
            <v/>
          </cell>
          <cell r="V5933" t="str">
            <v/>
          </cell>
        </row>
        <row r="5934">
          <cell r="A5934">
            <v>5933</v>
          </cell>
          <cell r="B5934">
            <v>0</v>
          </cell>
          <cell r="C5934" t="str">
            <v/>
          </cell>
          <cell r="D5934" t="str">
            <v/>
          </cell>
          <cell r="E5934">
            <v>0</v>
          </cell>
          <cell r="F5934" t="str">
            <v/>
          </cell>
          <cell r="G5934" t="str">
            <v/>
          </cell>
          <cell r="H5934" t="str">
            <v/>
          </cell>
          <cell r="I5934" t="str">
            <v/>
          </cell>
          <cell r="J5934">
            <v>0</v>
          </cell>
          <cell r="K5934">
            <v>0</v>
          </cell>
          <cell r="L5934">
            <v>0</v>
          </cell>
          <cell r="M5934">
            <v>0</v>
          </cell>
          <cell r="N5934">
            <v>0</v>
          </cell>
          <cell r="O5934" t="str">
            <v/>
          </cell>
          <cell r="P5934">
            <v>0</v>
          </cell>
          <cell r="Q5934">
            <v>0</v>
          </cell>
          <cell r="R5934">
            <v>0</v>
          </cell>
          <cell r="S5934">
            <v>0</v>
          </cell>
          <cell r="T5934">
            <v>0</v>
          </cell>
          <cell r="U5934" t="str">
            <v/>
          </cell>
          <cell r="V5934" t="str">
            <v/>
          </cell>
        </row>
        <row r="5935">
          <cell r="A5935">
            <v>5934</v>
          </cell>
          <cell r="B5935">
            <v>0</v>
          </cell>
          <cell r="C5935" t="str">
            <v/>
          </cell>
          <cell r="D5935" t="str">
            <v/>
          </cell>
          <cell r="E5935">
            <v>0</v>
          </cell>
          <cell r="F5935" t="str">
            <v/>
          </cell>
          <cell r="G5935" t="str">
            <v/>
          </cell>
          <cell r="H5935" t="str">
            <v/>
          </cell>
          <cell r="I5935" t="str">
            <v/>
          </cell>
          <cell r="J5935">
            <v>0</v>
          </cell>
          <cell r="K5935">
            <v>0</v>
          </cell>
          <cell r="L5935">
            <v>0</v>
          </cell>
          <cell r="M5935">
            <v>0</v>
          </cell>
          <cell r="N5935">
            <v>0</v>
          </cell>
          <cell r="O5935" t="str">
            <v/>
          </cell>
          <cell r="P5935">
            <v>0</v>
          </cell>
          <cell r="Q5935">
            <v>0</v>
          </cell>
          <cell r="R5935">
            <v>0</v>
          </cell>
          <cell r="S5935">
            <v>0</v>
          </cell>
          <cell r="T5935">
            <v>0</v>
          </cell>
          <cell r="U5935" t="str">
            <v/>
          </cell>
          <cell r="V5935" t="str">
            <v/>
          </cell>
        </row>
        <row r="5936">
          <cell r="A5936">
            <v>5935</v>
          </cell>
          <cell r="B5936">
            <v>0</v>
          </cell>
          <cell r="C5936" t="str">
            <v/>
          </cell>
          <cell r="D5936" t="str">
            <v/>
          </cell>
          <cell r="E5936">
            <v>0</v>
          </cell>
          <cell r="F5936" t="str">
            <v/>
          </cell>
          <cell r="G5936" t="str">
            <v/>
          </cell>
          <cell r="H5936" t="str">
            <v/>
          </cell>
          <cell r="I5936" t="str">
            <v/>
          </cell>
          <cell r="J5936">
            <v>0</v>
          </cell>
          <cell r="K5936">
            <v>0</v>
          </cell>
          <cell r="L5936">
            <v>0</v>
          </cell>
          <cell r="M5936">
            <v>0</v>
          </cell>
          <cell r="N5936">
            <v>0</v>
          </cell>
          <cell r="O5936" t="str">
            <v/>
          </cell>
          <cell r="P5936">
            <v>0</v>
          </cell>
          <cell r="Q5936">
            <v>0</v>
          </cell>
          <cell r="R5936">
            <v>0</v>
          </cell>
          <cell r="S5936">
            <v>0</v>
          </cell>
          <cell r="T5936">
            <v>0</v>
          </cell>
          <cell r="U5936" t="str">
            <v/>
          </cell>
          <cell r="V5936" t="str">
            <v/>
          </cell>
        </row>
        <row r="5937">
          <cell r="A5937">
            <v>5936</v>
          </cell>
          <cell r="B5937">
            <v>0</v>
          </cell>
          <cell r="C5937" t="str">
            <v/>
          </cell>
          <cell r="D5937" t="str">
            <v/>
          </cell>
          <cell r="E5937">
            <v>0</v>
          </cell>
          <cell r="F5937" t="str">
            <v/>
          </cell>
          <cell r="G5937" t="str">
            <v/>
          </cell>
          <cell r="H5937" t="str">
            <v/>
          </cell>
          <cell r="I5937" t="str">
            <v/>
          </cell>
          <cell r="J5937">
            <v>0</v>
          </cell>
          <cell r="K5937">
            <v>0</v>
          </cell>
          <cell r="L5937">
            <v>0</v>
          </cell>
          <cell r="M5937">
            <v>0</v>
          </cell>
          <cell r="N5937">
            <v>0</v>
          </cell>
          <cell r="O5937" t="str">
            <v/>
          </cell>
          <cell r="P5937">
            <v>0</v>
          </cell>
          <cell r="Q5937">
            <v>0</v>
          </cell>
          <cell r="R5937">
            <v>0</v>
          </cell>
          <cell r="S5937">
            <v>0</v>
          </cell>
          <cell r="T5937">
            <v>0</v>
          </cell>
          <cell r="U5937" t="str">
            <v/>
          </cell>
          <cell r="V5937" t="str">
            <v/>
          </cell>
        </row>
        <row r="5938">
          <cell r="A5938">
            <v>5937</v>
          </cell>
          <cell r="B5938">
            <v>0</v>
          </cell>
          <cell r="C5938" t="str">
            <v/>
          </cell>
          <cell r="D5938" t="str">
            <v/>
          </cell>
          <cell r="E5938">
            <v>0</v>
          </cell>
          <cell r="F5938" t="str">
            <v/>
          </cell>
          <cell r="G5938" t="str">
            <v/>
          </cell>
          <cell r="H5938" t="str">
            <v/>
          </cell>
          <cell r="I5938" t="str">
            <v/>
          </cell>
          <cell r="J5938">
            <v>0</v>
          </cell>
          <cell r="K5938">
            <v>0</v>
          </cell>
          <cell r="L5938">
            <v>0</v>
          </cell>
          <cell r="M5938">
            <v>0</v>
          </cell>
          <cell r="N5938">
            <v>0</v>
          </cell>
          <cell r="O5938" t="str">
            <v/>
          </cell>
          <cell r="P5938">
            <v>0</v>
          </cell>
          <cell r="Q5938">
            <v>0</v>
          </cell>
          <cell r="R5938">
            <v>0</v>
          </cell>
          <cell r="S5938">
            <v>0</v>
          </cell>
          <cell r="T5938">
            <v>0</v>
          </cell>
          <cell r="U5938" t="str">
            <v/>
          </cell>
          <cell r="V5938" t="str">
            <v/>
          </cell>
        </row>
        <row r="5939">
          <cell r="A5939">
            <v>5938</v>
          </cell>
          <cell r="B5939">
            <v>0</v>
          </cell>
          <cell r="C5939" t="str">
            <v/>
          </cell>
          <cell r="D5939" t="str">
            <v/>
          </cell>
          <cell r="E5939">
            <v>0</v>
          </cell>
          <cell r="F5939" t="str">
            <v/>
          </cell>
          <cell r="G5939" t="str">
            <v/>
          </cell>
          <cell r="H5939" t="str">
            <v/>
          </cell>
          <cell r="I5939" t="str">
            <v/>
          </cell>
          <cell r="J5939">
            <v>0</v>
          </cell>
          <cell r="K5939">
            <v>0</v>
          </cell>
          <cell r="L5939">
            <v>0</v>
          </cell>
          <cell r="M5939">
            <v>0</v>
          </cell>
          <cell r="N5939">
            <v>0</v>
          </cell>
          <cell r="O5939" t="str">
            <v/>
          </cell>
          <cell r="P5939">
            <v>0</v>
          </cell>
          <cell r="Q5939">
            <v>0</v>
          </cell>
          <cell r="R5939">
            <v>0</v>
          </cell>
          <cell r="S5939">
            <v>0</v>
          </cell>
          <cell r="T5939">
            <v>0</v>
          </cell>
          <cell r="U5939" t="str">
            <v/>
          </cell>
          <cell r="V5939" t="str">
            <v/>
          </cell>
        </row>
        <row r="5940">
          <cell r="A5940">
            <v>5939</v>
          </cell>
          <cell r="B5940">
            <v>0</v>
          </cell>
          <cell r="C5940" t="str">
            <v/>
          </cell>
          <cell r="D5940" t="str">
            <v/>
          </cell>
          <cell r="E5940">
            <v>0</v>
          </cell>
          <cell r="F5940" t="str">
            <v/>
          </cell>
          <cell r="G5940" t="str">
            <v/>
          </cell>
          <cell r="H5940" t="str">
            <v/>
          </cell>
          <cell r="I5940" t="str">
            <v/>
          </cell>
          <cell r="J5940">
            <v>0</v>
          </cell>
          <cell r="K5940">
            <v>0</v>
          </cell>
          <cell r="L5940">
            <v>0</v>
          </cell>
          <cell r="M5940">
            <v>0</v>
          </cell>
          <cell r="N5940">
            <v>0</v>
          </cell>
          <cell r="O5940" t="str">
            <v/>
          </cell>
          <cell r="P5940">
            <v>0</v>
          </cell>
          <cell r="Q5940">
            <v>0</v>
          </cell>
          <cell r="R5940">
            <v>0</v>
          </cell>
          <cell r="S5940">
            <v>0</v>
          </cell>
          <cell r="T5940">
            <v>0</v>
          </cell>
          <cell r="U5940" t="str">
            <v/>
          </cell>
          <cell r="V5940" t="str">
            <v/>
          </cell>
        </row>
        <row r="5941">
          <cell r="A5941">
            <v>5940</v>
          </cell>
          <cell r="B5941">
            <v>0</v>
          </cell>
          <cell r="C5941" t="str">
            <v/>
          </cell>
          <cell r="D5941" t="str">
            <v/>
          </cell>
          <cell r="E5941">
            <v>0</v>
          </cell>
          <cell r="F5941" t="str">
            <v/>
          </cell>
          <cell r="G5941" t="str">
            <v/>
          </cell>
          <cell r="H5941" t="str">
            <v/>
          </cell>
          <cell r="I5941" t="str">
            <v/>
          </cell>
          <cell r="J5941">
            <v>0</v>
          </cell>
          <cell r="K5941">
            <v>0</v>
          </cell>
          <cell r="L5941">
            <v>0</v>
          </cell>
          <cell r="M5941">
            <v>0</v>
          </cell>
          <cell r="N5941">
            <v>0</v>
          </cell>
          <cell r="O5941" t="str">
            <v/>
          </cell>
          <cell r="P5941">
            <v>0</v>
          </cell>
          <cell r="Q5941">
            <v>0</v>
          </cell>
          <cell r="R5941">
            <v>0</v>
          </cell>
          <cell r="S5941">
            <v>0</v>
          </cell>
          <cell r="T5941">
            <v>0</v>
          </cell>
          <cell r="U5941" t="str">
            <v/>
          </cell>
          <cell r="V5941" t="str">
            <v/>
          </cell>
        </row>
        <row r="5942">
          <cell r="A5942">
            <v>5941</v>
          </cell>
          <cell r="B5942">
            <v>0</v>
          </cell>
          <cell r="C5942" t="str">
            <v/>
          </cell>
          <cell r="D5942" t="str">
            <v/>
          </cell>
          <cell r="E5942">
            <v>0</v>
          </cell>
          <cell r="F5942" t="str">
            <v/>
          </cell>
          <cell r="G5942" t="str">
            <v/>
          </cell>
          <cell r="H5942" t="str">
            <v/>
          </cell>
          <cell r="I5942" t="str">
            <v/>
          </cell>
          <cell r="J5942">
            <v>0</v>
          </cell>
          <cell r="K5942">
            <v>0</v>
          </cell>
          <cell r="L5942">
            <v>0</v>
          </cell>
          <cell r="M5942">
            <v>0</v>
          </cell>
          <cell r="N5942">
            <v>0</v>
          </cell>
          <cell r="O5942" t="str">
            <v/>
          </cell>
          <cell r="P5942">
            <v>0</v>
          </cell>
          <cell r="Q5942">
            <v>0</v>
          </cell>
          <cell r="R5942">
            <v>0</v>
          </cell>
          <cell r="S5942">
            <v>0</v>
          </cell>
          <cell r="T5942">
            <v>0</v>
          </cell>
          <cell r="U5942" t="str">
            <v/>
          </cell>
          <cell r="V5942" t="str">
            <v/>
          </cell>
        </row>
        <row r="5943">
          <cell r="A5943">
            <v>5942</v>
          </cell>
          <cell r="B5943">
            <v>0</v>
          </cell>
          <cell r="C5943" t="str">
            <v/>
          </cell>
          <cell r="D5943" t="str">
            <v/>
          </cell>
          <cell r="E5943">
            <v>0</v>
          </cell>
          <cell r="F5943" t="str">
            <v/>
          </cell>
          <cell r="G5943" t="str">
            <v/>
          </cell>
          <cell r="H5943" t="str">
            <v/>
          </cell>
          <cell r="I5943" t="str">
            <v/>
          </cell>
          <cell r="J5943">
            <v>0</v>
          </cell>
          <cell r="K5943">
            <v>0</v>
          </cell>
          <cell r="L5943">
            <v>0</v>
          </cell>
          <cell r="M5943">
            <v>0</v>
          </cell>
          <cell r="N5943">
            <v>0</v>
          </cell>
          <cell r="O5943" t="str">
            <v/>
          </cell>
          <cell r="P5943">
            <v>0</v>
          </cell>
          <cell r="Q5943">
            <v>0</v>
          </cell>
          <cell r="R5943">
            <v>0</v>
          </cell>
          <cell r="S5943">
            <v>0</v>
          </cell>
          <cell r="T5943">
            <v>0</v>
          </cell>
          <cell r="U5943" t="str">
            <v/>
          </cell>
          <cell r="V5943" t="str">
            <v/>
          </cell>
        </row>
        <row r="5944">
          <cell r="A5944">
            <v>5943</v>
          </cell>
          <cell r="B5944">
            <v>0</v>
          </cell>
          <cell r="C5944" t="str">
            <v/>
          </cell>
          <cell r="D5944" t="str">
            <v/>
          </cell>
          <cell r="E5944">
            <v>0</v>
          </cell>
          <cell r="F5944" t="str">
            <v/>
          </cell>
          <cell r="G5944" t="str">
            <v/>
          </cell>
          <cell r="H5944" t="str">
            <v/>
          </cell>
          <cell r="I5944" t="str">
            <v/>
          </cell>
          <cell r="J5944">
            <v>0</v>
          </cell>
          <cell r="K5944">
            <v>0</v>
          </cell>
          <cell r="L5944">
            <v>0</v>
          </cell>
          <cell r="M5944">
            <v>0</v>
          </cell>
          <cell r="N5944">
            <v>0</v>
          </cell>
          <cell r="O5944" t="str">
            <v/>
          </cell>
          <cell r="P5944">
            <v>0</v>
          </cell>
          <cell r="Q5944">
            <v>0</v>
          </cell>
          <cell r="R5944">
            <v>0</v>
          </cell>
          <cell r="S5944">
            <v>0</v>
          </cell>
          <cell r="T5944">
            <v>0</v>
          </cell>
          <cell r="U5944" t="str">
            <v/>
          </cell>
          <cell r="V5944" t="str">
            <v/>
          </cell>
        </row>
        <row r="5945">
          <cell r="A5945">
            <v>5944</v>
          </cell>
          <cell r="B5945">
            <v>0</v>
          </cell>
          <cell r="C5945" t="str">
            <v/>
          </cell>
          <cell r="D5945" t="str">
            <v/>
          </cell>
          <cell r="E5945">
            <v>0</v>
          </cell>
          <cell r="F5945" t="str">
            <v/>
          </cell>
          <cell r="G5945" t="str">
            <v/>
          </cell>
          <cell r="H5945" t="str">
            <v/>
          </cell>
          <cell r="I5945" t="str">
            <v/>
          </cell>
          <cell r="J5945">
            <v>0</v>
          </cell>
          <cell r="K5945">
            <v>0</v>
          </cell>
          <cell r="L5945">
            <v>0</v>
          </cell>
          <cell r="M5945">
            <v>0</v>
          </cell>
          <cell r="N5945">
            <v>0</v>
          </cell>
          <cell r="O5945" t="str">
            <v/>
          </cell>
          <cell r="P5945">
            <v>0</v>
          </cell>
          <cell r="Q5945">
            <v>0</v>
          </cell>
          <cell r="R5945">
            <v>0</v>
          </cell>
          <cell r="S5945">
            <v>0</v>
          </cell>
          <cell r="T5945">
            <v>0</v>
          </cell>
          <cell r="U5945" t="str">
            <v/>
          </cell>
          <cell r="V5945" t="str">
            <v/>
          </cell>
        </row>
        <row r="5946">
          <cell r="A5946">
            <v>5945</v>
          </cell>
          <cell r="B5946">
            <v>0</v>
          </cell>
          <cell r="C5946" t="str">
            <v/>
          </cell>
          <cell r="D5946" t="str">
            <v/>
          </cell>
          <cell r="E5946">
            <v>0</v>
          </cell>
          <cell r="F5946" t="str">
            <v/>
          </cell>
          <cell r="G5946" t="str">
            <v/>
          </cell>
          <cell r="H5946" t="str">
            <v/>
          </cell>
          <cell r="I5946" t="str">
            <v/>
          </cell>
          <cell r="J5946">
            <v>0</v>
          </cell>
          <cell r="K5946">
            <v>0</v>
          </cell>
          <cell r="L5946">
            <v>0</v>
          </cell>
          <cell r="M5946">
            <v>0</v>
          </cell>
          <cell r="N5946">
            <v>0</v>
          </cell>
          <cell r="O5946" t="str">
            <v/>
          </cell>
          <cell r="P5946">
            <v>0</v>
          </cell>
          <cell r="Q5946">
            <v>0</v>
          </cell>
          <cell r="R5946">
            <v>0</v>
          </cell>
          <cell r="S5946">
            <v>0</v>
          </cell>
          <cell r="T5946">
            <v>0</v>
          </cell>
          <cell r="U5946" t="str">
            <v/>
          </cell>
          <cell r="V5946" t="str">
            <v/>
          </cell>
        </row>
        <row r="5947">
          <cell r="A5947">
            <v>5946</v>
          </cell>
          <cell r="B5947">
            <v>0</v>
          </cell>
          <cell r="C5947" t="str">
            <v/>
          </cell>
          <cell r="D5947" t="str">
            <v/>
          </cell>
          <cell r="E5947">
            <v>0</v>
          </cell>
          <cell r="F5947" t="str">
            <v/>
          </cell>
          <cell r="G5947" t="str">
            <v/>
          </cell>
          <cell r="H5947" t="str">
            <v/>
          </cell>
          <cell r="I5947" t="str">
            <v/>
          </cell>
          <cell r="J5947">
            <v>0</v>
          </cell>
          <cell r="K5947">
            <v>0</v>
          </cell>
          <cell r="L5947">
            <v>0</v>
          </cell>
          <cell r="M5947">
            <v>0</v>
          </cell>
          <cell r="N5947">
            <v>0</v>
          </cell>
          <cell r="O5947" t="str">
            <v/>
          </cell>
          <cell r="P5947">
            <v>0</v>
          </cell>
          <cell r="Q5947">
            <v>0</v>
          </cell>
          <cell r="R5947">
            <v>0</v>
          </cell>
          <cell r="S5947">
            <v>0</v>
          </cell>
          <cell r="T5947">
            <v>0</v>
          </cell>
          <cell r="U5947" t="str">
            <v/>
          </cell>
          <cell r="V5947" t="str">
            <v/>
          </cell>
        </row>
        <row r="5948">
          <cell r="A5948">
            <v>5947</v>
          </cell>
          <cell r="B5948">
            <v>0</v>
          </cell>
          <cell r="C5948" t="str">
            <v/>
          </cell>
          <cell r="D5948" t="str">
            <v/>
          </cell>
          <cell r="E5948">
            <v>0</v>
          </cell>
          <cell r="F5948" t="str">
            <v/>
          </cell>
          <cell r="G5948" t="str">
            <v/>
          </cell>
          <cell r="H5948" t="str">
            <v/>
          </cell>
          <cell r="I5948" t="str">
            <v/>
          </cell>
          <cell r="J5948">
            <v>0</v>
          </cell>
          <cell r="K5948">
            <v>0</v>
          </cell>
          <cell r="L5948">
            <v>0</v>
          </cell>
          <cell r="M5948">
            <v>0</v>
          </cell>
          <cell r="N5948">
            <v>0</v>
          </cell>
          <cell r="O5948" t="str">
            <v/>
          </cell>
          <cell r="P5948">
            <v>0</v>
          </cell>
          <cell r="Q5948">
            <v>0</v>
          </cell>
          <cell r="R5948">
            <v>0</v>
          </cell>
          <cell r="S5948">
            <v>0</v>
          </cell>
          <cell r="T5948">
            <v>0</v>
          </cell>
          <cell r="U5948" t="str">
            <v/>
          </cell>
          <cell r="V5948" t="str">
            <v/>
          </cell>
        </row>
        <row r="5949">
          <cell r="A5949">
            <v>5948</v>
          </cell>
          <cell r="B5949">
            <v>0</v>
          </cell>
          <cell r="C5949" t="str">
            <v/>
          </cell>
          <cell r="D5949" t="str">
            <v/>
          </cell>
          <cell r="E5949">
            <v>0</v>
          </cell>
          <cell r="F5949" t="str">
            <v/>
          </cell>
          <cell r="G5949" t="str">
            <v/>
          </cell>
          <cell r="H5949" t="str">
            <v/>
          </cell>
          <cell r="I5949" t="str">
            <v/>
          </cell>
          <cell r="J5949">
            <v>0</v>
          </cell>
          <cell r="K5949">
            <v>0</v>
          </cell>
          <cell r="L5949">
            <v>0</v>
          </cell>
          <cell r="M5949">
            <v>0</v>
          </cell>
          <cell r="N5949">
            <v>0</v>
          </cell>
          <cell r="O5949" t="str">
            <v/>
          </cell>
          <cell r="P5949">
            <v>0</v>
          </cell>
          <cell r="Q5949">
            <v>0</v>
          </cell>
          <cell r="R5949">
            <v>0</v>
          </cell>
          <cell r="S5949">
            <v>0</v>
          </cell>
          <cell r="T5949">
            <v>0</v>
          </cell>
          <cell r="U5949" t="str">
            <v/>
          </cell>
          <cell r="V5949" t="str">
            <v/>
          </cell>
        </row>
        <row r="5950">
          <cell r="A5950">
            <v>5949</v>
          </cell>
          <cell r="B5950">
            <v>0</v>
          </cell>
          <cell r="C5950" t="str">
            <v/>
          </cell>
          <cell r="D5950" t="str">
            <v/>
          </cell>
          <cell r="E5950">
            <v>0</v>
          </cell>
          <cell r="F5950" t="str">
            <v/>
          </cell>
          <cell r="G5950" t="str">
            <v/>
          </cell>
          <cell r="H5950" t="str">
            <v/>
          </cell>
          <cell r="I5950" t="str">
            <v/>
          </cell>
          <cell r="J5950">
            <v>0</v>
          </cell>
          <cell r="K5950">
            <v>0</v>
          </cell>
          <cell r="L5950">
            <v>0</v>
          </cell>
          <cell r="M5950">
            <v>0</v>
          </cell>
          <cell r="N5950">
            <v>0</v>
          </cell>
          <cell r="O5950" t="str">
            <v/>
          </cell>
          <cell r="P5950">
            <v>0</v>
          </cell>
          <cell r="Q5950">
            <v>0</v>
          </cell>
          <cell r="R5950">
            <v>0</v>
          </cell>
          <cell r="S5950">
            <v>0</v>
          </cell>
          <cell r="T5950">
            <v>0</v>
          </cell>
          <cell r="U5950" t="str">
            <v/>
          </cell>
          <cell r="V5950" t="str">
            <v/>
          </cell>
        </row>
        <row r="5951">
          <cell r="A5951">
            <v>5950</v>
          </cell>
          <cell r="B5951">
            <v>0</v>
          </cell>
          <cell r="C5951" t="str">
            <v/>
          </cell>
          <cell r="D5951" t="str">
            <v/>
          </cell>
          <cell r="E5951">
            <v>0</v>
          </cell>
          <cell r="F5951" t="str">
            <v/>
          </cell>
          <cell r="G5951" t="str">
            <v/>
          </cell>
          <cell r="H5951" t="str">
            <v/>
          </cell>
          <cell r="I5951" t="str">
            <v/>
          </cell>
          <cell r="J5951">
            <v>0</v>
          </cell>
          <cell r="K5951">
            <v>0</v>
          </cell>
          <cell r="L5951">
            <v>0</v>
          </cell>
          <cell r="M5951">
            <v>0</v>
          </cell>
          <cell r="N5951">
            <v>0</v>
          </cell>
          <cell r="O5951" t="str">
            <v/>
          </cell>
          <cell r="P5951">
            <v>0</v>
          </cell>
          <cell r="Q5951">
            <v>0</v>
          </cell>
          <cell r="R5951">
            <v>0</v>
          </cell>
          <cell r="S5951">
            <v>0</v>
          </cell>
          <cell r="T5951">
            <v>0</v>
          </cell>
          <cell r="U5951" t="str">
            <v/>
          </cell>
          <cell r="V5951" t="str">
            <v/>
          </cell>
        </row>
        <row r="5952">
          <cell r="A5952">
            <v>5951</v>
          </cell>
          <cell r="B5952">
            <v>0</v>
          </cell>
          <cell r="C5952" t="str">
            <v/>
          </cell>
          <cell r="D5952" t="str">
            <v/>
          </cell>
          <cell r="E5952">
            <v>0</v>
          </cell>
          <cell r="F5952" t="str">
            <v/>
          </cell>
          <cell r="G5952" t="str">
            <v/>
          </cell>
          <cell r="H5952" t="str">
            <v/>
          </cell>
          <cell r="I5952" t="str">
            <v/>
          </cell>
          <cell r="J5952">
            <v>0</v>
          </cell>
          <cell r="K5952">
            <v>0</v>
          </cell>
          <cell r="L5952">
            <v>0</v>
          </cell>
          <cell r="M5952">
            <v>0</v>
          </cell>
          <cell r="N5952">
            <v>0</v>
          </cell>
          <cell r="O5952" t="str">
            <v/>
          </cell>
          <cell r="P5952">
            <v>0</v>
          </cell>
          <cell r="Q5952">
            <v>0</v>
          </cell>
          <cell r="R5952">
            <v>0</v>
          </cell>
          <cell r="S5952">
            <v>0</v>
          </cell>
          <cell r="T5952">
            <v>0</v>
          </cell>
          <cell r="U5952" t="str">
            <v/>
          </cell>
          <cell r="V5952" t="str">
            <v/>
          </cell>
        </row>
        <row r="5953">
          <cell r="A5953">
            <v>5952</v>
          </cell>
          <cell r="B5953">
            <v>0</v>
          </cell>
          <cell r="C5953" t="str">
            <v/>
          </cell>
          <cell r="D5953" t="str">
            <v/>
          </cell>
          <cell r="E5953">
            <v>0</v>
          </cell>
          <cell r="F5953" t="str">
            <v/>
          </cell>
          <cell r="G5953" t="str">
            <v/>
          </cell>
          <cell r="H5953" t="str">
            <v/>
          </cell>
          <cell r="I5953" t="str">
            <v/>
          </cell>
          <cell r="J5953">
            <v>0</v>
          </cell>
          <cell r="K5953">
            <v>0</v>
          </cell>
          <cell r="L5953">
            <v>0</v>
          </cell>
          <cell r="M5953">
            <v>0</v>
          </cell>
          <cell r="N5953">
            <v>0</v>
          </cell>
          <cell r="O5953" t="str">
            <v/>
          </cell>
          <cell r="P5953">
            <v>0</v>
          </cell>
          <cell r="Q5953">
            <v>0</v>
          </cell>
          <cell r="R5953">
            <v>0</v>
          </cell>
          <cell r="S5953">
            <v>0</v>
          </cell>
          <cell r="T5953">
            <v>0</v>
          </cell>
          <cell r="U5953" t="str">
            <v/>
          </cell>
          <cell r="V5953" t="str">
            <v/>
          </cell>
        </row>
        <row r="5954">
          <cell r="A5954">
            <v>5953</v>
          </cell>
          <cell r="B5954">
            <v>0</v>
          </cell>
          <cell r="C5954" t="str">
            <v/>
          </cell>
          <cell r="D5954" t="str">
            <v/>
          </cell>
          <cell r="E5954">
            <v>0</v>
          </cell>
          <cell r="F5954" t="str">
            <v/>
          </cell>
          <cell r="G5954" t="str">
            <v/>
          </cell>
          <cell r="H5954" t="str">
            <v/>
          </cell>
          <cell r="I5954" t="str">
            <v/>
          </cell>
          <cell r="J5954">
            <v>0</v>
          </cell>
          <cell r="K5954">
            <v>0</v>
          </cell>
          <cell r="L5954">
            <v>0</v>
          </cell>
          <cell r="M5954">
            <v>0</v>
          </cell>
          <cell r="N5954">
            <v>0</v>
          </cell>
          <cell r="O5954" t="str">
            <v/>
          </cell>
          <cell r="P5954">
            <v>0</v>
          </cell>
          <cell r="Q5954">
            <v>0</v>
          </cell>
          <cell r="R5954">
            <v>0</v>
          </cell>
          <cell r="S5954">
            <v>0</v>
          </cell>
          <cell r="T5954">
            <v>0</v>
          </cell>
          <cell r="U5954" t="str">
            <v/>
          </cell>
          <cell r="V5954" t="str">
            <v/>
          </cell>
        </row>
        <row r="5955">
          <cell r="A5955">
            <v>5954</v>
          </cell>
          <cell r="B5955">
            <v>0</v>
          </cell>
          <cell r="C5955" t="str">
            <v/>
          </cell>
          <cell r="D5955" t="str">
            <v/>
          </cell>
          <cell r="E5955">
            <v>0</v>
          </cell>
          <cell r="F5955" t="str">
            <v/>
          </cell>
          <cell r="G5955" t="str">
            <v/>
          </cell>
          <cell r="H5955" t="str">
            <v/>
          </cell>
          <cell r="I5955" t="str">
            <v/>
          </cell>
          <cell r="J5955">
            <v>0</v>
          </cell>
          <cell r="K5955">
            <v>0</v>
          </cell>
          <cell r="L5955">
            <v>0</v>
          </cell>
          <cell r="M5955">
            <v>0</v>
          </cell>
          <cell r="N5955">
            <v>0</v>
          </cell>
          <cell r="O5955" t="str">
            <v/>
          </cell>
          <cell r="P5955">
            <v>0</v>
          </cell>
          <cell r="Q5955">
            <v>0</v>
          </cell>
          <cell r="R5955">
            <v>0</v>
          </cell>
          <cell r="S5955">
            <v>0</v>
          </cell>
          <cell r="T5955">
            <v>0</v>
          </cell>
          <cell r="U5955" t="str">
            <v/>
          </cell>
          <cell r="V5955" t="str">
            <v/>
          </cell>
        </row>
        <row r="5956">
          <cell r="A5956">
            <v>5955</v>
          </cell>
          <cell r="B5956">
            <v>0</v>
          </cell>
          <cell r="C5956" t="str">
            <v/>
          </cell>
          <cell r="D5956" t="str">
            <v/>
          </cell>
          <cell r="E5956">
            <v>0</v>
          </cell>
          <cell r="F5956" t="str">
            <v/>
          </cell>
          <cell r="G5956" t="str">
            <v/>
          </cell>
          <cell r="H5956" t="str">
            <v/>
          </cell>
          <cell r="I5956" t="str">
            <v/>
          </cell>
          <cell r="J5956">
            <v>0</v>
          </cell>
          <cell r="K5956">
            <v>0</v>
          </cell>
          <cell r="L5956">
            <v>0</v>
          </cell>
          <cell r="M5956">
            <v>0</v>
          </cell>
          <cell r="N5956">
            <v>0</v>
          </cell>
          <cell r="O5956" t="str">
            <v/>
          </cell>
          <cell r="P5956">
            <v>0</v>
          </cell>
          <cell r="Q5956">
            <v>0</v>
          </cell>
          <cell r="R5956">
            <v>0</v>
          </cell>
          <cell r="S5956">
            <v>0</v>
          </cell>
          <cell r="T5956">
            <v>0</v>
          </cell>
          <cell r="U5956" t="str">
            <v/>
          </cell>
          <cell r="V5956" t="str">
            <v/>
          </cell>
        </row>
        <row r="5957">
          <cell r="A5957">
            <v>5956</v>
          </cell>
          <cell r="B5957">
            <v>0</v>
          </cell>
          <cell r="C5957" t="str">
            <v/>
          </cell>
          <cell r="D5957" t="str">
            <v/>
          </cell>
          <cell r="E5957">
            <v>0</v>
          </cell>
          <cell r="F5957" t="str">
            <v/>
          </cell>
          <cell r="G5957" t="str">
            <v/>
          </cell>
          <cell r="H5957" t="str">
            <v/>
          </cell>
          <cell r="I5957" t="str">
            <v/>
          </cell>
          <cell r="J5957">
            <v>0</v>
          </cell>
          <cell r="K5957">
            <v>0</v>
          </cell>
          <cell r="L5957">
            <v>0</v>
          </cell>
          <cell r="M5957">
            <v>0</v>
          </cell>
          <cell r="N5957">
            <v>0</v>
          </cell>
          <cell r="O5957" t="str">
            <v/>
          </cell>
          <cell r="P5957">
            <v>0</v>
          </cell>
          <cell r="Q5957">
            <v>0</v>
          </cell>
          <cell r="R5957">
            <v>0</v>
          </cell>
          <cell r="S5957">
            <v>0</v>
          </cell>
          <cell r="T5957">
            <v>0</v>
          </cell>
          <cell r="U5957" t="str">
            <v/>
          </cell>
          <cell r="V5957" t="str">
            <v/>
          </cell>
        </row>
        <row r="5958">
          <cell r="A5958">
            <v>5957</v>
          </cell>
          <cell r="B5958">
            <v>0</v>
          </cell>
          <cell r="C5958" t="str">
            <v/>
          </cell>
          <cell r="D5958" t="str">
            <v/>
          </cell>
          <cell r="E5958">
            <v>0</v>
          </cell>
          <cell r="F5958" t="str">
            <v/>
          </cell>
          <cell r="G5958" t="str">
            <v/>
          </cell>
          <cell r="H5958" t="str">
            <v/>
          </cell>
          <cell r="I5958" t="str">
            <v/>
          </cell>
          <cell r="J5958">
            <v>0</v>
          </cell>
          <cell r="K5958">
            <v>0</v>
          </cell>
          <cell r="L5958">
            <v>0</v>
          </cell>
          <cell r="M5958">
            <v>0</v>
          </cell>
          <cell r="N5958">
            <v>0</v>
          </cell>
          <cell r="O5958" t="str">
            <v/>
          </cell>
          <cell r="P5958">
            <v>0</v>
          </cell>
          <cell r="Q5958">
            <v>0</v>
          </cell>
          <cell r="R5958">
            <v>0</v>
          </cell>
          <cell r="S5958">
            <v>0</v>
          </cell>
          <cell r="T5958">
            <v>0</v>
          </cell>
          <cell r="U5958" t="str">
            <v/>
          </cell>
          <cell r="V5958" t="str">
            <v/>
          </cell>
        </row>
        <row r="5959">
          <cell r="A5959">
            <v>5958</v>
          </cell>
          <cell r="B5959">
            <v>0</v>
          </cell>
          <cell r="C5959" t="str">
            <v/>
          </cell>
          <cell r="D5959" t="str">
            <v/>
          </cell>
          <cell r="E5959">
            <v>0</v>
          </cell>
          <cell r="F5959" t="str">
            <v/>
          </cell>
          <cell r="G5959" t="str">
            <v/>
          </cell>
          <cell r="H5959" t="str">
            <v/>
          </cell>
          <cell r="I5959" t="str">
            <v/>
          </cell>
          <cell r="J5959">
            <v>0</v>
          </cell>
          <cell r="K5959">
            <v>0</v>
          </cell>
          <cell r="L5959">
            <v>0</v>
          </cell>
          <cell r="M5959">
            <v>0</v>
          </cell>
          <cell r="N5959">
            <v>0</v>
          </cell>
          <cell r="O5959" t="str">
            <v/>
          </cell>
          <cell r="P5959">
            <v>0</v>
          </cell>
          <cell r="Q5959">
            <v>0</v>
          </cell>
          <cell r="R5959">
            <v>0</v>
          </cell>
          <cell r="S5959">
            <v>0</v>
          </cell>
          <cell r="T5959">
            <v>0</v>
          </cell>
          <cell r="U5959" t="str">
            <v/>
          </cell>
          <cell r="V5959" t="str">
            <v/>
          </cell>
        </row>
        <row r="5960">
          <cell r="A5960">
            <v>5959</v>
          </cell>
          <cell r="B5960">
            <v>0</v>
          </cell>
          <cell r="C5960" t="str">
            <v/>
          </cell>
          <cell r="D5960" t="str">
            <v/>
          </cell>
          <cell r="E5960">
            <v>0</v>
          </cell>
          <cell r="F5960" t="str">
            <v/>
          </cell>
          <cell r="G5960" t="str">
            <v/>
          </cell>
          <cell r="H5960" t="str">
            <v/>
          </cell>
          <cell r="I5960" t="str">
            <v/>
          </cell>
          <cell r="J5960">
            <v>0</v>
          </cell>
          <cell r="K5960">
            <v>0</v>
          </cell>
          <cell r="L5960">
            <v>0</v>
          </cell>
          <cell r="M5960">
            <v>0</v>
          </cell>
          <cell r="N5960">
            <v>0</v>
          </cell>
          <cell r="O5960" t="str">
            <v/>
          </cell>
          <cell r="P5960">
            <v>0</v>
          </cell>
          <cell r="Q5960">
            <v>0</v>
          </cell>
          <cell r="R5960">
            <v>0</v>
          </cell>
          <cell r="S5960">
            <v>0</v>
          </cell>
          <cell r="T5960">
            <v>0</v>
          </cell>
          <cell r="U5960" t="str">
            <v/>
          </cell>
          <cell r="V5960" t="str">
            <v/>
          </cell>
        </row>
        <row r="5961">
          <cell r="A5961">
            <v>5960</v>
          </cell>
          <cell r="B5961">
            <v>0</v>
          </cell>
          <cell r="C5961" t="str">
            <v/>
          </cell>
          <cell r="D5961" t="str">
            <v/>
          </cell>
          <cell r="E5961">
            <v>0</v>
          </cell>
          <cell r="F5961" t="str">
            <v/>
          </cell>
          <cell r="G5961" t="str">
            <v/>
          </cell>
          <cell r="H5961" t="str">
            <v/>
          </cell>
          <cell r="I5961" t="str">
            <v/>
          </cell>
          <cell r="J5961">
            <v>0</v>
          </cell>
          <cell r="K5961">
            <v>0</v>
          </cell>
          <cell r="L5961">
            <v>0</v>
          </cell>
          <cell r="M5961">
            <v>0</v>
          </cell>
          <cell r="N5961">
            <v>0</v>
          </cell>
          <cell r="O5961" t="str">
            <v/>
          </cell>
          <cell r="P5961">
            <v>0</v>
          </cell>
          <cell r="Q5961">
            <v>0</v>
          </cell>
          <cell r="R5961">
            <v>0</v>
          </cell>
          <cell r="S5961">
            <v>0</v>
          </cell>
          <cell r="T5961">
            <v>0</v>
          </cell>
          <cell r="U5961" t="str">
            <v/>
          </cell>
          <cell r="V5961" t="str">
            <v/>
          </cell>
        </row>
        <row r="5962">
          <cell r="A5962">
            <v>5961</v>
          </cell>
          <cell r="B5962">
            <v>0</v>
          </cell>
          <cell r="C5962" t="str">
            <v/>
          </cell>
          <cell r="D5962" t="str">
            <v/>
          </cell>
          <cell r="E5962">
            <v>0</v>
          </cell>
          <cell r="F5962" t="str">
            <v/>
          </cell>
          <cell r="G5962" t="str">
            <v/>
          </cell>
          <cell r="H5962" t="str">
            <v/>
          </cell>
          <cell r="I5962" t="str">
            <v/>
          </cell>
          <cell r="J5962">
            <v>0</v>
          </cell>
          <cell r="K5962">
            <v>0</v>
          </cell>
          <cell r="L5962">
            <v>0</v>
          </cell>
          <cell r="M5962">
            <v>0</v>
          </cell>
          <cell r="N5962">
            <v>0</v>
          </cell>
          <cell r="O5962" t="str">
            <v/>
          </cell>
          <cell r="P5962">
            <v>0</v>
          </cell>
          <cell r="Q5962">
            <v>0</v>
          </cell>
          <cell r="R5962">
            <v>0</v>
          </cell>
          <cell r="S5962">
            <v>0</v>
          </cell>
          <cell r="T5962">
            <v>0</v>
          </cell>
          <cell r="U5962" t="str">
            <v/>
          </cell>
          <cell r="V5962" t="str">
            <v/>
          </cell>
        </row>
        <row r="5963">
          <cell r="A5963">
            <v>5962</v>
          </cell>
          <cell r="B5963">
            <v>0</v>
          </cell>
          <cell r="C5963" t="str">
            <v/>
          </cell>
          <cell r="D5963" t="str">
            <v/>
          </cell>
          <cell r="E5963">
            <v>0</v>
          </cell>
          <cell r="F5963" t="str">
            <v/>
          </cell>
          <cell r="G5963" t="str">
            <v/>
          </cell>
          <cell r="H5963" t="str">
            <v/>
          </cell>
          <cell r="I5963" t="str">
            <v/>
          </cell>
          <cell r="J5963">
            <v>0</v>
          </cell>
          <cell r="K5963">
            <v>0</v>
          </cell>
          <cell r="L5963">
            <v>0</v>
          </cell>
          <cell r="M5963">
            <v>0</v>
          </cell>
          <cell r="N5963">
            <v>0</v>
          </cell>
          <cell r="O5963" t="str">
            <v/>
          </cell>
          <cell r="P5963">
            <v>0</v>
          </cell>
          <cell r="Q5963">
            <v>0</v>
          </cell>
          <cell r="R5963">
            <v>0</v>
          </cell>
          <cell r="S5963">
            <v>0</v>
          </cell>
          <cell r="T5963">
            <v>0</v>
          </cell>
          <cell r="U5963" t="str">
            <v/>
          </cell>
          <cell r="V5963" t="str">
            <v/>
          </cell>
        </row>
        <row r="5964">
          <cell r="A5964">
            <v>5963</v>
          </cell>
          <cell r="B5964">
            <v>0</v>
          </cell>
          <cell r="C5964" t="str">
            <v/>
          </cell>
          <cell r="D5964" t="str">
            <v/>
          </cell>
          <cell r="E5964">
            <v>0</v>
          </cell>
          <cell r="F5964" t="str">
            <v/>
          </cell>
          <cell r="G5964" t="str">
            <v/>
          </cell>
          <cell r="H5964" t="str">
            <v/>
          </cell>
          <cell r="I5964" t="str">
            <v/>
          </cell>
          <cell r="J5964">
            <v>0</v>
          </cell>
          <cell r="K5964">
            <v>0</v>
          </cell>
          <cell r="L5964">
            <v>0</v>
          </cell>
          <cell r="M5964">
            <v>0</v>
          </cell>
          <cell r="N5964">
            <v>0</v>
          </cell>
          <cell r="O5964" t="str">
            <v/>
          </cell>
          <cell r="P5964">
            <v>0</v>
          </cell>
          <cell r="Q5964">
            <v>0</v>
          </cell>
          <cell r="R5964">
            <v>0</v>
          </cell>
          <cell r="S5964">
            <v>0</v>
          </cell>
          <cell r="T5964">
            <v>0</v>
          </cell>
          <cell r="U5964" t="str">
            <v/>
          </cell>
          <cell r="V5964" t="str">
            <v/>
          </cell>
        </row>
        <row r="5965">
          <cell r="A5965">
            <v>5964</v>
          </cell>
          <cell r="B5965">
            <v>0</v>
          </cell>
          <cell r="C5965" t="str">
            <v/>
          </cell>
          <cell r="D5965" t="str">
            <v/>
          </cell>
          <cell r="E5965">
            <v>0</v>
          </cell>
          <cell r="F5965" t="str">
            <v/>
          </cell>
          <cell r="G5965" t="str">
            <v/>
          </cell>
          <cell r="H5965" t="str">
            <v/>
          </cell>
          <cell r="I5965" t="str">
            <v/>
          </cell>
          <cell r="J5965">
            <v>0</v>
          </cell>
          <cell r="K5965">
            <v>0</v>
          </cell>
          <cell r="L5965">
            <v>0</v>
          </cell>
          <cell r="M5965">
            <v>0</v>
          </cell>
          <cell r="N5965">
            <v>0</v>
          </cell>
          <cell r="O5965" t="str">
            <v/>
          </cell>
          <cell r="P5965">
            <v>0</v>
          </cell>
          <cell r="Q5965">
            <v>0</v>
          </cell>
          <cell r="R5965">
            <v>0</v>
          </cell>
          <cell r="S5965">
            <v>0</v>
          </cell>
          <cell r="T5965">
            <v>0</v>
          </cell>
          <cell r="U5965" t="str">
            <v/>
          </cell>
          <cell r="V5965" t="str">
            <v/>
          </cell>
        </row>
        <row r="5966">
          <cell r="A5966">
            <v>5965</v>
          </cell>
          <cell r="B5966">
            <v>0</v>
          </cell>
          <cell r="C5966" t="str">
            <v/>
          </cell>
          <cell r="D5966" t="str">
            <v/>
          </cell>
          <cell r="E5966">
            <v>0</v>
          </cell>
          <cell r="F5966" t="str">
            <v/>
          </cell>
          <cell r="G5966" t="str">
            <v/>
          </cell>
          <cell r="H5966" t="str">
            <v/>
          </cell>
          <cell r="I5966" t="str">
            <v/>
          </cell>
          <cell r="J5966">
            <v>0</v>
          </cell>
          <cell r="K5966">
            <v>0</v>
          </cell>
          <cell r="L5966">
            <v>0</v>
          </cell>
          <cell r="M5966">
            <v>0</v>
          </cell>
          <cell r="N5966">
            <v>0</v>
          </cell>
          <cell r="O5966" t="str">
            <v/>
          </cell>
          <cell r="P5966">
            <v>0</v>
          </cell>
          <cell r="Q5966">
            <v>0</v>
          </cell>
          <cell r="R5966">
            <v>0</v>
          </cell>
          <cell r="S5966">
            <v>0</v>
          </cell>
          <cell r="T5966">
            <v>0</v>
          </cell>
          <cell r="U5966" t="str">
            <v/>
          </cell>
          <cell r="V5966" t="str">
            <v/>
          </cell>
        </row>
        <row r="5967">
          <cell r="A5967">
            <v>5966</v>
          </cell>
          <cell r="B5967">
            <v>0</v>
          </cell>
          <cell r="C5967" t="str">
            <v/>
          </cell>
          <cell r="D5967" t="str">
            <v/>
          </cell>
          <cell r="E5967">
            <v>0</v>
          </cell>
          <cell r="F5967" t="str">
            <v/>
          </cell>
          <cell r="G5967" t="str">
            <v/>
          </cell>
          <cell r="H5967" t="str">
            <v/>
          </cell>
          <cell r="I5967" t="str">
            <v/>
          </cell>
          <cell r="J5967">
            <v>0</v>
          </cell>
          <cell r="K5967">
            <v>0</v>
          </cell>
          <cell r="L5967">
            <v>0</v>
          </cell>
          <cell r="M5967">
            <v>0</v>
          </cell>
          <cell r="N5967">
            <v>0</v>
          </cell>
          <cell r="O5967" t="str">
            <v/>
          </cell>
          <cell r="P5967">
            <v>0</v>
          </cell>
          <cell r="Q5967">
            <v>0</v>
          </cell>
          <cell r="R5967">
            <v>0</v>
          </cell>
          <cell r="S5967">
            <v>0</v>
          </cell>
          <cell r="T5967">
            <v>0</v>
          </cell>
          <cell r="U5967" t="str">
            <v/>
          </cell>
          <cell r="V5967" t="str">
            <v/>
          </cell>
        </row>
        <row r="5968">
          <cell r="A5968">
            <v>5967</v>
          </cell>
          <cell r="B5968">
            <v>0</v>
          </cell>
          <cell r="C5968" t="str">
            <v/>
          </cell>
          <cell r="D5968" t="str">
            <v/>
          </cell>
          <cell r="E5968">
            <v>0</v>
          </cell>
          <cell r="F5968" t="str">
            <v/>
          </cell>
          <cell r="G5968" t="str">
            <v/>
          </cell>
          <cell r="H5968" t="str">
            <v/>
          </cell>
          <cell r="I5968" t="str">
            <v/>
          </cell>
          <cell r="J5968">
            <v>0</v>
          </cell>
          <cell r="K5968">
            <v>0</v>
          </cell>
          <cell r="L5968">
            <v>0</v>
          </cell>
          <cell r="M5968">
            <v>0</v>
          </cell>
          <cell r="N5968">
            <v>0</v>
          </cell>
          <cell r="O5968" t="str">
            <v/>
          </cell>
          <cell r="P5968">
            <v>0</v>
          </cell>
          <cell r="Q5968">
            <v>0</v>
          </cell>
          <cell r="R5968">
            <v>0</v>
          </cell>
          <cell r="S5968">
            <v>0</v>
          </cell>
          <cell r="T5968">
            <v>0</v>
          </cell>
          <cell r="U5968" t="str">
            <v/>
          </cell>
          <cell r="V5968" t="str">
            <v/>
          </cell>
        </row>
        <row r="5969">
          <cell r="A5969">
            <v>5968</v>
          </cell>
          <cell r="B5969">
            <v>0</v>
          </cell>
          <cell r="C5969" t="str">
            <v/>
          </cell>
          <cell r="D5969" t="str">
            <v/>
          </cell>
          <cell r="E5969">
            <v>0</v>
          </cell>
          <cell r="F5969" t="str">
            <v/>
          </cell>
          <cell r="G5969" t="str">
            <v/>
          </cell>
          <cell r="H5969" t="str">
            <v/>
          </cell>
          <cell r="I5969" t="str">
            <v/>
          </cell>
          <cell r="J5969">
            <v>0</v>
          </cell>
          <cell r="K5969">
            <v>0</v>
          </cell>
          <cell r="L5969">
            <v>0</v>
          </cell>
          <cell r="M5969">
            <v>0</v>
          </cell>
          <cell r="N5969">
            <v>0</v>
          </cell>
          <cell r="O5969" t="str">
            <v/>
          </cell>
          <cell r="P5969">
            <v>0</v>
          </cell>
          <cell r="Q5969">
            <v>0</v>
          </cell>
          <cell r="R5969">
            <v>0</v>
          </cell>
          <cell r="S5969">
            <v>0</v>
          </cell>
          <cell r="T5969">
            <v>0</v>
          </cell>
          <cell r="U5969" t="str">
            <v/>
          </cell>
          <cell r="V5969" t="str">
            <v/>
          </cell>
        </row>
        <row r="5970">
          <cell r="A5970">
            <v>5969</v>
          </cell>
          <cell r="B5970">
            <v>0</v>
          </cell>
          <cell r="C5970" t="str">
            <v/>
          </cell>
          <cell r="D5970" t="str">
            <v/>
          </cell>
          <cell r="E5970">
            <v>0</v>
          </cell>
          <cell r="F5970" t="str">
            <v/>
          </cell>
          <cell r="G5970" t="str">
            <v/>
          </cell>
          <cell r="H5970" t="str">
            <v/>
          </cell>
          <cell r="I5970" t="str">
            <v/>
          </cell>
          <cell r="J5970">
            <v>0</v>
          </cell>
          <cell r="K5970">
            <v>0</v>
          </cell>
          <cell r="L5970">
            <v>0</v>
          </cell>
          <cell r="M5970">
            <v>0</v>
          </cell>
          <cell r="N5970">
            <v>0</v>
          </cell>
          <cell r="O5970" t="str">
            <v/>
          </cell>
          <cell r="P5970">
            <v>0</v>
          </cell>
          <cell r="Q5970">
            <v>0</v>
          </cell>
          <cell r="R5970">
            <v>0</v>
          </cell>
          <cell r="S5970">
            <v>0</v>
          </cell>
          <cell r="T5970">
            <v>0</v>
          </cell>
          <cell r="U5970" t="str">
            <v/>
          </cell>
          <cell r="V5970" t="str">
            <v/>
          </cell>
        </row>
        <row r="5971">
          <cell r="A5971">
            <v>5970</v>
          </cell>
          <cell r="B5971">
            <v>0</v>
          </cell>
          <cell r="C5971" t="str">
            <v/>
          </cell>
          <cell r="D5971" t="str">
            <v/>
          </cell>
          <cell r="E5971">
            <v>0</v>
          </cell>
          <cell r="F5971" t="str">
            <v/>
          </cell>
          <cell r="G5971" t="str">
            <v/>
          </cell>
          <cell r="H5971" t="str">
            <v/>
          </cell>
          <cell r="I5971" t="str">
            <v/>
          </cell>
          <cell r="J5971">
            <v>0</v>
          </cell>
          <cell r="K5971">
            <v>0</v>
          </cell>
          <cell r="L5971">
            <v>0</v>
          </cell>
          <cell r="M5971">
            <v>0</v>
          </cell>
          <cell r="N5971">
            <v>0</v>
          </cell>
          <cell r="O5971" t="str">
            <v/>
          </cell>
          <cell r="P5971">
            <v>0</v>
          </cell>
          <cell r="Q5971">
            <v>0</v>
          </cell>
          <cell r="R5971">
            <v>0</v>
          </cell>
          <cell r="S5971">
            <v>0</v>
          </cell>
          <cell r="T5971">
            <v>0</v>
          </cell>
          <cell r="U5971" t="str">
            <v/>
          </cell>
          <cell r="V5971" t="str">
            <v/>
          </cell>
        </row>
        <row r="5972">
          <cell r="A5972">
            <v>5971</v>
          </cell>
          <cell r="B5972">
            <v>0</v>
          </cell>
          <cell r="C5972" t="str">
            <v/>
          </cell>
          <cell r="D5972" t="str">
            <v/>
          </cell>
          <cell r="E5972">
            <v>0</v>
          </cell>
          <cell r="F5972" t="str">
            <v/>
          </cell>
          <cell r="G5972" t="str">
            <v/>
          </cell>
          <cell r="H5972" t="str">
            <v/>
          </cell>
          <cell r="I5972" t="str">
            <v/>
          </cell>
          <cell r="J5972">
            <v>0</v>
          </cell>
          <cell r="K5972">
            <v>0</v>
          </cell>
          <cell r="L5972">
            <v>0</v>
          </cell>
          <cell r="M5972">
            <v>0</v>
          </cell>
          <cell r="N5972">
            <v>0</v>
          </cell>
          <cell r="O5972" t="str">
            <v/>
          </cell>
          <cell r="P5972">
            <v>0</v>
          </cell>
          <cell r="Q5972">
            <v>0</v>
          </cell>
          <cell r="R5972">
            <v>0</v>
          </cell>
          <cell r="S5972">
            <v>0</v>
          </cell>
          <cell r="T5972">
            <v>0</v>
          </cell>
          <cell r="U5972" t="str">
            <v/>
          </cell>
          <cell r="V5972" t="str">
            <v/>
          </cell>
        </row>
        <row r="5973">
          <cell r="A5973">
            <v>5972</v>
          </cell>
          <cell r="B5973">
            <v>0</v>
          </cell>
          <cell r="C5973" t="str">
            <v/>
          </cell>
          <cell r="D5973" t="str">
            <v/>
          </cell>
          <cell r="E5973">
            <v>0</v>
          </cell>
          <cell r="F5973" t="str">
            <v/>
          </cell>
          <cell r="G5973" t="str">
            <v/>
          </cell>
          <cell r="H5973" t="str">
            <v/>
          </cell>
          <cell r="I5973" t="str">
            <v/>
          </cell>
          <cell r="J5973">
            <v>0</v>
          </cell>
          <cell r="K5973">
            <v>0</v>
          </cell>
          <cell r="L5973">
            <v>0</v>
          </cell>
          <cell r="M5973">
            <v>0</v>
          </cell>
          <cell r="N5973">
            <v>0</v>
          </cell>
          <cell r="O5973" t="str">
            <v/>
          </cell>
          <cell r="P5973">
            <v>0</v>
          </cell>
          <cell r="Q5973">
            <v>0</v>
          </cell>
          <cell r="R5973">
            <v>0</v>
          </cell>
          <cell r="S5973">
            <v>0</v>
          </cell>
          <cell r="T5973">
            <v>0</v>
          </cell>
          <cell r="U5973" t="str">
            <v/>
          </cell>
          <cell r="V5973" t="str">
            <v/>
          </cell>
        </row>
        <row r="5974">
          <cell r="A5974">
            <v>5973</v>
          </cell>
          <cell r="B5974">
            <v>0</v>
          </cell>
          <cell r="C5974" t="str">
            <v/>
          </cell>
          <cell r="D5974" t="str">
            <v/>
          </cell>
          <cell r="E5974">
            <v>0</v>
          </cell>
          <cell r="F5974" t="str">
            <v/>
          </cell>
          <cell r="G5974" t="str">
            <v/>
          </cell>
          <cell r="H5974" t="str">
            <v/>
          </cell>
          <cell r="I5974" t="str">
            <v/>
          </cell>
          <cell r="J5974">
            <v>0</v>
          </cell>
          <cell r="K5974">
            <v>0</v>
          </cell>
          <cell r="L5974">
            <v>0</v>
          </cell>
          <cell r="M5974">
            <v>0</v>
          </cell>
          <cell r="N5974">
            <v>0</v>
          </cell>
          <cell r="O5974" t="str">
            <v/>
          </cell>
          <cell r="P5974">
            <v>0</v>
          </cell>
          <cell r="Q5974">
            <v>0</v>
          </cell>
          <cell r="R5974">
            <v>0</v>
          </cell>
          <cell r="S5974">
            <v>0</v>
          </cell>
          <cell r="T5974">
            <v>0</v>
          </cell>
          <cell r="U5974" t="str">
            <v/>
          </cell>
          <cell r="V5974" t="str">
            <v/>
          </cell>
        </row>
        <row r="5975">
          <cell r="A5975">
            <v>5974</v>
          </cell>
          <cell r="B5975">
            <v>0</v>
          </cell>
          <cell r="C5975" t="str">
            <v/>
          </cell>
          <cell r="D5975" t="str">
            <v/>
          </cell>
          <cell r="E5975">
            <v>0</v>
          </cell>
          <cell r="F5975" t="str">
            <v/>
          </cell>
          <cell r="G5975" t="str">
            <v/>
          </cell>
          <cell r="H5975" t="str">
            <v/>
          </cell>
          <cell r="I5975" t="str">
            <v/>
          </cell>
          <cell r="J5975">
            <v>0</v>
          </cell>
          <cell r="K5975">
            <v>0</v>
          </cell>
          <cell r="L5975">
            <v>0</v>
          </cell>
          <cell r="M5975">
            <v>0</v>
          </cell>
          <cell r="N5975">
            <v>0</v>
          </cell>
          <cell r="O5975" t="str">
            <v/>
          </cell>
          <cell r="P5975">
            <v>0</v>
          </cell>
          <cell r="Q5975">
            <v>0</v>
          </cell>
          <cell r="R5975">
            <v>0</v>
          </cell>
          <cell r="S5975">
            <v>0</v>
          </cell>
          <cell r="T5975">
            <v>0</v>
          </cell>
          <cell r="U5975" t="str">
            <v/>
          </cell>
          <cell r="V5975" t="str">
            <v/>
          </cell>
        </row>
        <row r="5976">
          <cell r="A5976">
            <v>5975</v>
          </cell>
          <cell r="B5976">
            <v>0</v>
          </cell>
          <cell r="C5976" t="str">
            <v/>
          </cell>
          <cell r="D5976" t="str">
            <v/>
          </cell>
          <cell r="E5976">
            <v>0</v>
          </cell>
          <cell r="F5976" t="str">
            <v/>
          </cell>
          <cell r="G5976" t="str">
            <v/>
          </cell>
          <cell r="H5976" t="str">
            <v/>
          </cell>
          <cell r="I5976" t="str">
            <v/>
          </cell>
          <cell r="J5976">
            <v>0</v>
          </cell>
          <cell r="K5976">
            <v>0</v>
          </cell>
          <cell r="L5976">
            <v>0</v>
          </cell>
          <cell r="M5976">
            <v>0</v>
          </cell>
          <cell r="N5976">
            <v>0</v>
          </cell>
          <cell r="O5976" t="str">
            <v/>
          </cell>
          <cell r="P5976">
            <v>0</v>
          </cell>
          <cell r="Q5976">
            <v>0</v>
          </cell>
          <cell r="R5976">
            <v>0</v>
          </cell>
          <cell r="S5976">
            <v>0</v>
          </cell>
          <cell r="T5976">
            <v>0</v>
          </cell>
          <cell r="U5976" t="str">
            <v/>
          </cell>
          <cell r="V5976" t="str">
            <v/>
          </cell>
        </row>
        <row r="5977">
          <cell r="A5977">
            <v>5976</v>
          </cell>
          <cell r="B5977">
            <v>0</v>
          </cell>
          <cell r="C5977" t="str">
            <v/>
          </cell>
          <cell r="D5977" t="str">
            <v/>
          </cell>
          <cell r="E5977">
            <v>0</v>
          </cell>
          <cell r="F5977" t="str">
            <v/>
          </cell>
          <cell r="G5977" t="str">
            <v/>
          </cell>
          <cell r="H5977" t="str">
            <v/>
          </cell>
          <cell r="I5977" t="str">
            <v/>
          </cell>
          <cell r="J5977">
            <v>0</v>
          </cell>
          <cell r="K5977">
            <v>0</v>
          </cell>
          <cell r="L5977">
            <v>0</v>
          </cell>
          <cell r="M5977">
            <v>0</v>
          </cell>
          <cell r="N5977">
            <v>0</v>
          </cell>
          <cell r="O5977" t="str">
            <v/>
          </cell>
          <cell r="P5977">
            <v>0</v>
          </cell>
          <cell r="Q5977">
            <v>0</v>
          </cell>
          <cell r="R5977">
            <v>0</v>
          </cell>
          <cell r="S5977">
            <v>0</v>
          </cell>
          <cell r="T5977">
            <v>0</v>
          </cell>
          <cell r="U5977" t="str">
            <v/>
          </cell>
          <cell r="V5977" t="str">
            <v/>
          </cell>
        </row>
        <row r="5978">
          <cell r="A5978">
            <v>5977</v>
          </cell>
          <cell r="B5978">
            <v>0</v>
          </cell>
          <cell r="C5978" t="str">
            <v/>
          </cell>
          <cell r="D5978" t="str">
            <v/>
          </cell>
          <cell r="E5978">
            <v>0</v>
          </cell>
          <cell r="F5978" t="str">
            <v/>
          </cell>
          <cell r="G5978" t="str">
            <v/>
          </cell>
          <cell r="H5978" t="str">
            <v/>
          </cell>
          <cell r="I5978" t="str">
            <v/>
          </cell>
          <cell r="J5978">
            <v>0</v>
          </cell>
          <cell r="K5978">
            <v>0</v>
          </cell>
          <cell r="L5978">
            <v>0</v>
          </cell>
          <cell r="M5978">
            <v>0</v>
          </cell>
          <cell r="N5978">
            <v>0</v>
          </cell>
          <cell r="O5978" t="str">
            <v/>
          </cell>
          <cell r="P5978">
            <v>0</v>
          </cell>
          <cell r="Q5978">
            <v>0</v>
          </cell>
          <cell r="R5978">
            <v>0</v>
          </cell>
          <cell r="S5978">
            <v>0</v>
          </cell>
          <cell r="T5978">
            <v>0</v>
          </cell>
          <cell r="U5978" t="str">
            <v/>
          </cell>
          <cell r="V5978" t="str">
            <v/>
          </cell>
        </row>
        <row r="5979">
          <cell r="A5979">
            <v>5978</v>
          </cell>
          <cell r="B5979">
            <v>0</v>
          </cell>
          <cell r="C5979" t="str">
            <v/>
          </cell>
          <cell r="D5979" t="str">
            <v/>
          </cell>
          <cell r="E5979">
            <v>0</v>
          </cell>
          <cell r="F5979" t="str">
            <v/>
          </cell>
          <cell r="G5979" t="str">
            <v/>
          </cell>
          <cell r="H5979" t="str">
            <v/>
          </cell>
          <cell r="I5979" t="str">
            <v/>
          </cell>
          <cell r="J5979">
            <v>0</v>
          </cell>
          <cell r="K5979">
            <v>0</v>
          </cell>
          <cell r="L5979">
            <v>0</v>
          </cell>
          <cell r="M5979">
            <v>0</v>
          </cell>
          <cell r="N5979">
            <v>0</v>
          </cell>
          <cell r="O5979" t="str">
            <v/>
          </cell>
          <cell r="P5979">
            <v>0</v>
          </cell>
          <cell r="Q5979">
            <v>0</v>
          </cell>
          <cell r="R5979">
            <v>0</v>
          </cell>
          <cell r="S5979">
            <v>0</v>
          </cell>
          <cell r="T5979">
            <v>0</v>
          </cell>
          <cell r="U5979" t="str">
            <v/>
          </cell>
          <cell r="V5979" t="str">
            <v/>
          </cell>
        </row>
        <row r="5980">
          <cell r="A5980">
            <v>5979</v>
          </cell>
          <cell r="B5980">
            <v>0</v>
          </cell>
          <cell r="C5980" t="str">
            <v/>
          </cell>
          <cell r="D5980" t="str">
            <v/>
          </cell>
          <cell r="E5980">
            <v>0</v>
          </cell>
          <cell r="F5980" t="str">
            <v/>
          </cell>
          <cell r="G5980" t="str">
            <v/>
          </cell>
          <cell r="H5980" t="str">
            <v/>
          </cell>
          <cell r="I5980" t="str">
            <v/>
          </cell>
          <cell r="J5980">
            <v>0</v>
          </cell>
          <cell r="K5980">
            <v>0</v>
          </cell>
          <cell r="L5980">
            <v>0</v>
          </cell>
          <cell r="M5980">
            <v>0</v>
          </cell>
          <cell r="N5980">
            <v>0</v>
          </cell>
          <cell r="O5980" t="str">
            <v/>
          </cell>
          <cell r="P5980">
            <v>0</v>
          </cell>
          <cell r="Q5980">
            <v>0</v>
          </cell>
          <cell r="R5980">
            <v>0</v>
          </cell>
          <cell r="S5980">
            <v>0</v>
          </cell>
          <cell r="T5980">
            <v>0</v>
          </cell>
          <cell r="U5980" t="str">
            <v/>
          </cell>
          <cell r="V5980" t="str">
            <v/>
          </cell>
        </row>
        <row r="5981">
          <cell r="A5981">
            <v>5980</v>
          </cell>
          <cell r="B5981">
            <v>0</v>
          </cell>
          <cell r="C5981" t="str">
            <v/>
          </cell>
          <cell r="D5981" t="str">
            <v/>
          </cell>
          <cell r="E5981">
            <v>0</v>
          </cell>
          <cell r="F5981" t="str">
            <v/>
          </cell>
          <cell r="G5981" t="str">
            <v/>
          </cell>
          <cell r="H5981" t="str">
            <v/>
          </cell>
          <cell r="I5981" t="str">
            <v/>
          </cell>
          <cell r="J5981">
            <v>0</v>
          </cell>
          <cell r="K5981">
            <v>0</v>
          </cell>
          <cell r="L5981">
            <v>0</v>
          </cell>
          <cell r="M5981">
            <v>0</v>
          </cell>
          <cell r="N5981">
            <v>0</v>
          </cell>
          <cell r="O5981" t="str">
            <v/>
          </cell>
          <cell r="P5981">
            <v>0</v>
          </cell>
          <cell r="Q5981">
            <v>0</v>
          </cell>
          <cell r="R5981">
            <v>0</v>
          </cell>
          <cell r="S5981">
            <v>0</v>
          </cell>
          <cell r="T5981">
            <v>0</v>
          </cell>
          <cell r="U5981" t="str">
            <v/>
          </cell>
          <cell r="V5981" t="str">
            <v/>
          </cell>
        </row>
        <row r="5982">
          <cell r="A5982">
            <v>5981</v>
          </cell>
          <cell r="B5982">
            <v>0</v>
          </cell>
          <cell r="C5982" t="str">
            <v/>
          </cell>
          <cell r="D5982" t="str">
            <v/>
          </cell>
          <cell r="E5982">
            <v>0</v>
          </cell>
          <cell r="F5982" t="str">
            <v/>
          </cell>
          <cell r="G5982" t="str">
            <v/>
          </cell>
          <cell r="H5982" t="str">
            <v/>
          </cell>
          <cell r="I5982" t="str">
            <v/>
          </cell>
          <cell r="J5982">
            <v>0</v>
          </cell>
          <cell r="K5982">
            <v>0</v>
          </cell>
          <cell r="L5982">
            <v>0</v>
          </cell>
          <cell r="M5982">
            <v>0</v>
          </cell>
          <cell r="N5982">
            <v>0</v>
          </cell>
          <cell r="O5982" t="str">
            <v/>
          </cell>
          <cell r="P5982">
            <v>0</v>
          </cell>
          <cell r="Q5982">
            <v>0</v>
          </cell>
          <cell r="R5982">
            <v>0</v>
          </cell>
          <cell r="S5982">
            <v>0</v>
          </cell>
          <cell r="T5982">
            <v>0</v>
          </cell>
          <cell r="U5982" t="str">
            <v/>
          </cell>
          <cell r="V5982" t="str">
            <v/>
          </cell>
        </row>
        <row r="5983">
          <cell r="A5983">
            <v>5982</v>
          </cell>
          <cell r="B5983">
            <v>0</v>
          </cell>
          <cell r="C5983" t="str">
            <v/>
          </cell>
          <cell r="D5983" t="str">
            <v/>
          </cell>
          <cell r="E5983">
            <v>0</v>
          </cell>
          <cell r="F5983" t="str">
            <v/>
          </cell>
          <cell r="G5983" t="str">
            <v/>
          </cell>
          <cell r="H5983" t="str">
            <v/>
          </cell>
          <cell r="I5983" t="str">
            <v/>
          </cell>
          <cell r="J5983">
            <v>0</v>
          </cell>
          <cell r="K5983">
            <v>0</v>
          </cell>
          <cell r="L5983">
            <v>0</v>
          </cell>
          <cell r="M5983">
            <v>0</v>
          </cell>
          <cell r="N5983">
            <v>0</v>
          </cell>
          <cell r="O5983" t="str">
            <v/>
          </cell>
          <cell r="P5983">
            <v>0</v>
          </cell>
          <cell r="Q5983">
            <v>0</v>
          </cell>
          <cell r="R5983">
            <v>0</v>
          </cell>
          <cell r="S5983">
            <v>0</v>
          </cell>
          <cell r="T5983">
            <v>0</v>
          </cell>
          <cell r="U5983" t="str">
            <v/>
          </cell>
          <cell r="V5983" t="str">
            <v/>
          </cell>
        </row>
        <row r="5984">
          <cell r="A5984">
            <v>5983</v>
          </cell>
          <cell r="B5984">
            <v>0</v>
          </cell>
          <cell r="C5984" t="str">
            <v/>
          </cell>
          <cell r="D5984" t="str">
            <v/>
          </cell>
          <cell r="E5984">
            <v>0</v>
          </cell>
          <cell r="F5984" t="str">
            <v/>
          </cell>
          <cell r="G5984" t="str">
            <v/>
          </cell>
          <cell r="H5984" t="str">
            <v/>
          </cell>
          <cell r="I5984" t="str">
            <v/>
          </cell>
          <cell r="J5984">
            <v>0</v>
          </cell>
          <cell r="K5984">
            <v>0</v>
          </cell>
          <cell r="L5984">
            <v>0</v>
          </cell>
          <cell r="M5984">
            <v>0</v>
          </cell>
          <cell r="N5984">
            <v>0</v>
          </cell>
          <cell r="O5984" t="str">
            <v/>
          </cell>
          <cell r="P5984">
            <v>0</v>
          </cell>
          <cell r="Q5984">
            <v>0</v>
          </cell>
          <cell r="R5984">
            <v>0</v>
          </cell>
          <cell r="S5984">
            <v>0</v>
          </cell>
          <cell r="T5984">
            <v>0</v>
          </cell>
          <cell r="U5984" t="str">
            <v/>
          </cell>
          <cell r="V5984" t="str">
            <v/>
          </cell>
        </row>
        <row r="5985">
          <cell r="A5985">
            <v>5984</v>
          </cell>
          <cell r="B5985">
            <v>0</v>
          </cell>
          <cell r="C5985" t="str">
            <v/>
          </cell>
          <cell r="D5985" t="str">
            <v/>
          </cell>
          <cell r="E5985">
            <v>0</v>
          </cell>
          <cell r="F5985" t="str">
            <v/>
          </cell>
          <cell r="G5985" t="str">
            <v/>
          </cell>
          <cell r="H5985" t="str">
            <v/>
          </cell>
          <cell r="I5985" t="str">
            <v/>
          </cell>
          <cell r="J5985">
            <v>0</v>
          </cell>
          <cell r="K5985">
            <v>0</v>
          </cell>
          <cell r="L5985">
            <v>0</v>
          </cell>
          <cell r="M5985">
            <v>0</v>
          </cell>
          <cell r="N5985">
            <v>0</v>
          </cell>
          <cell r="O5985" t="str">
            <v/>
          </cell>
          <cell r="P5985">
            <v>0</v>
          </cell>
          <cell r="Q5985">
            <v>0</v>
          </cell>
          <cell r="R5985">
            <v>0</v>
          </cell>
          <cell r="S5985">
            <v>0</v>
          </cell>
          <cell r="T5985">
            <v>0</v>
          </cell>
          <cell r="U5985" t="str">
            <v/>
          </cell>
          <cell r="V5985" t="str">
            <v/>
          </cell>
        </row>
        <row r="5986">
          <cell r="A5986">
            <v>5985</v>
          </cell>
          <cell r="B5986">
            <v>0</v>
          </cell>
          <cell r="C5986" t="str">
            <v/>
          </cell>
          <cell r="D5986" t="str">
            <v/>
          </cell>
          <cell r="E5986">
            <v>0</v>
          </cell>
          <cell r="F5986" t="str">
            <v/>
          </cell>
          <cell r="G5986" t="str">
            <v/>
          </cell>
          <cell r="H5986" t="str">
            <v/>
          </cell>
          <cell r="I5986" t="str">
            <v/>
          </cell>
          <cell r="J5986">
            <v>0</v>
          </cell>
          <cell r="K5986">
            <v>0</v>
          </cell>
          <cell r="L5986">
            <v>0</v>
          </cell>
          <cell r="M5986">
            <v>0</v>
          </cell>
          <cell r="N5986">
            <v>0</v>
          </cell>
          <cell r="O5986" t="str">
            <v/>
          </cell>
          <cell r="P5986">
            <v>0</v>
          </cell>
          <cell r="Q5986">
            <v>0</v>
          </cell>
          <cell r="R5986">
            <v>0</v>
          </cell>
          <cell r="S5986">
            <v>0</v>
          </cell>
          <cell r="T5986">
            <v>0</v>
          </cell>
          <cell r="U5986" t="str">
            <v/>
          </cell>
          <cell r="V5986" t="str">
            <v/>
          </cell>
        </row>
        <row r="5987">
          <cell r="A5987">
            <v>5986</v>
          </cell>
          <cell r="B5987">
            <v>0</v>
          </cell>
          <cell r="C5987" t="str">
            <v/>
          </cell>
          <cell r="D5987" t="str">
            <v/>
          </cell>
          <cell r="E5987">
            <v>0</v>
          </cell>
          <cell r="F5987" t="str">
            <v/>
          </cell>
          <cell r="G5987" t="str">
            <v/>
          </cell>
          <cell r="H5987" t="str">
            <v/>
          </cell>
          <cell r="I5987" t="str">
            <v/>
          </cell>
          <cell r="J5987">
            <v>0</v>
          </cell>
          <cell r="K5987">
            <v>0</v>
          </cell>
          <cell r="L5987">
            <v>0</v>
          </cell>
          <cell r="M5987">
            <v>0</v>
          </cell>
          <cell r="N5987">
            <v>0</v>
          </cell>
          <cell r="O5987" t="str">
            <v/>
          </cell>
          <cell r="P5987">
            <v>0</v>
          </cell>
          <cell r="Q5987">
            <v>0</v>
          </cell>
          <cell r="R5987">
            <v>0</v>
          </cell>
          <cell r="S5987">
            <v>0</v>
          </cell>
          <cell r="T5987">
            <v>0</v>
          </cell>
          <cell r="U5987" t="str">
            <v/>
          </cell>
          <cell r="V5987" t="str">
            <v/>
          </cell>
        </row>
        <row r="5988">
          <cell r="A5988">
            <v>5987</v>
          </cell>
          <cell r="B5988">
            <v>0</v>
          </cell>
          <cell r="C5988" t="str">
            <v/>
          </cell>
          <cell r="D5988" t="str">
            <v/>
          </cell>
          <cell r="E5988">
            <v>0</v>
          </cell>
          <cell r="F5988" t="str">
            <v/>
          </cell>
          <cell r="G5988" t="str">
            <v/>
          </cell>
          <cell r="H5988" t="str">
            <v/>
          </cell>
          <cell r="I5988" t="str">
            <v/>
          </cell>
          <cell r="J5988">
            <v>0</v>
          </cell>
          <cell r="K5988">
            <v>0</v>
          </cell>
          <cell r="L5988">
            <v>0</v>
          </cell>
          <cell r="M5988">
            <v>0</v>
          </cell>
          <cell r="N5988">
            <v>0</v>
          </cell>
          <cell r="O5988" t="str">
            <v/>
          </cell>
          <cell r="P5988">
            <v>0</v>
          </cell>
          <cell r="Q5988">
            <v>0</v>
          </cell>
          <cell r="R5988">
            <v>0</v>
          </cell>
          <cell r="S5988">
            <v>0</v>
          </cell>
          <cell r="T5988">
            <v>0</v>
          </cell>
          <cell r="U5988" t="str">
            <v/>
          </cell>
          <cell r="V5988" t="str">
            <v/>
          </cell>
        </row>
        <row r="5989">
          <cell r="A5989">
            <v>5988</v>
          </cell>
          <cell r="B5989">
            <v>0</v>
          </cell>
          <cell r="C5989" t="str">
            <v/>
          </cell>
          <cell r="D5989" t="str">
            <v/>
          </cell>
          <cell r="E5989">
            <v>0</v>
          </cell>
          <cell r="F5989" t="str">
            <v/>
          </cell>
          <cell r="G5989" t="str">
            <v/>
          </cell>
          <cell r="H5989" t="str">
            <v/>
          </cell>
          <cell r="I5989" t="str">
            <v/>
          </cell>
          <cell r="J5989">
            <v>0</v>
          </cell>
          <cell r="K5989">
            <v>0</v>
          </cell>
          <cell r="L5989">
            <v>0</v>
          </cell>
          <cell r="M5989">
            <v>0</v>
          </cell>
          <cell r="N5989">
            <v>0</v>
          </cell>
          <cell r="O5989" t="str">
            <v/>
          </cell>
          <cell r="P5989">
            <v>0</v>
          </cell>
          <cell r="Q5989">
            <v>0</v>
          </cell>
          <cell r="R5989">
            <v>0</v>
          </cell>
          <cell r="S5989">
            <v>0</v>
          </cell>
          <cell r="T5989">
            <v>0</v>
          </cell>
          <cell r="U5989" t="str">
            <v/>
          </cell>
          <cell r="V5989" t="str">
            <v/>
          </cell>
        </row>
        <row r="5990">
          <cell r="A5990">
            <v>5989</v>
          </cell>
          <cell r="B5990">
            <v>0</v>
          </cell>
          <cell r="C5990" t="str">
            <v/>
          </cell>
          <cell r="D5990" t="str">
            <v/>
          </cell>
          <cell r="E5990">
            <v>0</v>
          </cell>
          <cell r="F5990" t="str">
            <v/>
          </cell>
          <cell r="G5990" t="str">
            <v/>
          </cell>
          <cell r="H5990" t="str">
            <v/>
          </cell>
          <cell r="I5990" t="str">
            <v/>
          </cell>
          <cell r="J5990">
            <v>0</v>
          </cell>
          <cell r="K5990">
            <v>0</v>
          </cell>
          <cell r="L5990">
            <v>0</v>
          </cell>
          <cell r="M5990">
            <v>0</v>
          </cell>
          <cell r="N5990">
            <v>0</v>
          </cell>
          <cell r="O5990" t="str">
            <v/>
          </cell>
          <cell r="P5990">
            <v>0</v>
          </cell>
          <cell r="Q5990">
            <v>0</v>
          </cell>
          <cell r="R5990">
            <v>0</v>
          </cell>
          <cell r="S5990">
            <v>0</v>
          </cell>
          <cell r="T5990">
            <v>0</v>
          </cell>
          <cell r="U5990" t="str">
            <v/>
          </cell>
          <cell r="V5990" t="str">
            <v/>
          </cell>
        </row>
        <row r="5991">
          <cell r="A5991">
            <v>5990</v>
          </cell>
          <cell r="B5991">
            <v>0</v>
          </cell>
          <cell r="C5991" t="str">
            <v/>
          </cell>
          <cell r="D5991" t="str">
            <v/>
          </cell>
          <cell r="E5991">
            <v>0</v>
          </cell>
          <cell r="F5991" t="str">
            <v/>
          </cell>
          <cell r="G5991" t="str">
            <v/>
          </cell>
          <cell r="H5991" t="str">
            <v/>
          </cell>
          <cell r="I5991" t="str">
            <v/>
          </cell>
          <cell r="J5991">
            <v>0</v>
          </cell>
          <cell r="K5991">
            <v>0</v>
          </cell>
          <cell r="L5991">
            <v>0</v>
          </cell>
          <cell r="M5991">
            <v>0</v>
          </cell>
          <cell r="N5991">
            <v>0</v>
          </cell>
          <cell r="O5991" t="str">
            <v/>
          </cell>
          <cell r="P5991">
            <v>0</v>
          </cell>
          <cell r="Q5991">
            <v>0</v>
          </cell>
          <cell r="R5991">
            <v>0</v>
          </cell>
          <cell r="S5991">
            <v>0</v>
          </cell>
          <cell r="T5991">
            <v>0</v>
          </cell>
          <cell r="U5991" t="str">
            <v/>
          </cell>
          <cell r="V5991" t="str">
            <v/>
          </cell>
        </row>
        <row r="5992">
          <cell r="A5992">
            <v>5991</v>
          </cell>
          <cell r="B5992">
            <v>0</v>
          </cell>
          <cell r="C5992" t="str">
            <v/>
          </cell>
          <cell r="D5992" t="str">
            <v/>
          </cell>
          <cell r="E5992">
            <v>0</v>
          </cell>
          <cell r="F5992" t="str">
            <v/>
          </cell>
          <cell r="G5992" t="str">
            <v/>
          </cell>
          <cell r="H5992" t="str">
            <v/>
          </cell>
          <cell r="I5992" t="str">
            <v/>
          </cell>
          <cell r="J5992">
            <v>0</v>
          </cell>
          <cell r="K5992">
            <v>0</v>
          </cell>
          <cell r="L5992">
            <v>0</v>
          </cell>
          <cell r="M5992">
            <v>0</v>
          </cell>
          <cell r="N5992">
            <v>0</v>
          </cell>
          <cell r="O5992" t="str">
            <v/>
          </cell>
          <cell r="P5992">
            <v>0</v>
          </cell>
          <cell r="Q5992">
            <v>0</v>
          </cell>
          <cell r="R5992">
            <v>0</v>
          </cell>
          <cell r="S5992">
            <v>0</v>
          </cell>
          <cell r="T5992">
            <v>0</v>
          </cell>
          <cell r="U5992" t="str">
            <v/>
          </cell>
          <cell r="V5992" t="str">
            <v/>
          </cell>
        </row>
        <row r="5993">
          <cell r="A5993">
            <v>5992</v>
          </cell>
          <cell r="B5993">
            <v>0</v>
          </cell>
          <cell r="C5993" t="str">
            <v/>
          </cell>
          <cell r="D5993" t="str">
            <v/>
          </cell>
          <cell r="E5993">
            <v>0</v>
          </cell>
          <cell r="F5993" t="str">
            <v/>
          </cell>
          <cell r="G5993" t="str">
            <v/>
          </cell>
          <cell r="H5993" t="str">
            <v/>
          </cell>
          <cell r="I5993" t="str">
            <v/>
          </cell>
          <cell r="J5993">
            <v>0</v>
          </cell>
          <cell r="K5993">
            <v>0</v>
          </cell>
          <cell r="L5993">
            <v>0</v>
          </cell>
          <cell r="M5993">
            <v>0</v>
          </cell>
          <cell r="N5993">
            <v>0</v>
          </cell>
          <cell r="O5993" t="str">
            <v/>
          </cell>
          <cell r="P5993">
            <v>0</v>
          </cell>
          <cell r="Q5993">
            <v>0</v>
          </cell>
          <cell r="R5993">
            <v>0</v>
          </cell>
          <cell r="S5993">
            <v>0</v>
          </cell>
          <cell r="T5993">
            <v>0</v>
          </cell>
          <cell r="U5993" t="str">
            <v/>
          </cell>
          <cell r="V5993" t="str">
            <v/>
          </cell>
        </row>
        <row r="5994">
          <cell r="A5994">
            <v>5993</v>
          </cell>
          <cell r="B5994">
            <v>0</v>
          </cell>
          <cell r="C5994" t="str">
            <v/>
          </cell>
          <cell r="D5994" t="str">
            <v/>
          </cell>
          <cell r="E5994">
            <v>0</v>
          </cell>
          <cell r="F5994" t="str">
            <v/>
          </cell>
          <cell r="G5994" t="str">
            <v/>
          </cell>
          <cell r="H5994" t="str">
            <v/>
          </cell>
          <cell r="I5994" t="str">
            <v/>
          </cell>
          <cell r="J5994">
            <v>0</v>
          </cell>
          <cell r="K5994">
            <v>0</v>
          </cell>
          <cell r="L5994">
            <v>0</v>
          </cell>
          <cell r="M5994">
            <v>0</v>
          </cell>
          <cell r="N5994">
            <v>0</v>
          </cell>
          <cell r="O5994" t="str">
            <v/>
          </cell>
          <cell r="P5994">
            <v>0</v>
          </cell>
          <cell r="Q5994">
            <v>0</v>
          </cell>
          <cell r="R5994">
            <v>0</v>
          </cell>
          <cell r="S5994">
            <v>0</v>
          </cell>
          <cell r="T5994">
            <v>0</v>
          </cell>
          <cell r="U5994" t="str">
            <v/>
          </cell>
          <cell r="V5994" t="str">
            <v/>
          </cell>
        </row>
        <row r="5995">
          <cell r="A5995">
            <v>5994</v>
          </cell>
          <cell r="B5995">
            <v>0</v>
          </cell>
          <cell r="C5995" t="str">
            <v/>
          </cell>
          <cell r="D5995" t="str">
            <v/>
          </cell>
          <cell r="E5995">
            <v>0</v>
          </cell>
          <cell r="F5995" t="str">
            <v/>
          </cell>
          <cell r="G5995" t="str">
            <v/>
          </cell>
          <cell r="H5995" t="str">
            <v/>
          </cell>
          <cell r="I5995" t="str">
            <v/>
          </cell>
          <cell r="J5995">
            <v>0</v>
          </cell>
          <cell r="K5995">
            <v>0</v>
          </cell>
          <cell r="L5995">
            <v>0</v>
          </cell>
          <cell r="M5995">
            <v>0</v>
          </cell>
          <cell r="N5995">
            <v>0</v>
          </cell>
          <cell r="O5995" t="str">
            <v/>
          </cell>
          <cell r="P5995">
            <v>0</v>
          </cell>
          <cell r="Q5995">
            <v>0</v>
          </cell>
          <cell r="R5995">
            <v>0</v>
          </cell>
          <cell r="S5995">
            <v>0</v>
          </cell>
          <cell r="T5995">
            <v>0</v>
          </cell>
          <cell r="U5995" t="str">
            <v/>
          </cell>
          <cell r="V5995" t="str">
            <v/>
          </cell>
        </row>
        <row r="5996">
          <cell r="A5996">
            <v>5995</v>
          </cell>
          <cell r="B5996">
            <v>0</v>
          </cell>
          <cell r="C5996" t="str">
            <v/>
          </cell>
          <cell r="D5996" t="str">
            <v/>
          </cell>
          <cell r="E5996">
            <v>0</v>
          </cell>
          <cell r="F5996" t="str">
            <v/>
          </cell>
          <cell r="G5996" t="str">
            <v/>
          </cell>
          <cell r="H5996" t="str">
            <v/>
          </cell>
          <cell r="I5996" t="str">
            <v/>
          </cell>
          <cell r="J5996">
            <v>0</v>
          </cell>
          <cell r="K5996">
            <v>0</v>
          </cell>
          <cell r="L5996">
            <v>0</v>
          </cell>
          <cell r="M5996">
            <v>0</v>
          </cell>
          <cell r="N5996">
            <v>0</v>
          </cell>
          <cell r="O5996" t="str">
            <v/>
          </cell>
          <cell r="P5996">
            <v>0</v>
          </cell>
          <cell r="Q5996">
            <v>0</v>
          </cell>
          <cell r="R5996">
            <v>0</v>
          </cell>
          <cell r="S5996">
            <v>0</v>
          </cell>
          <cell r="T5996">
            <v>0</v>
          </cell>
          <cell r="U5996" t="str">
            <v/>
          </cell>
          <cell r="V5996" t="str">
            <v/>
          </cell>
        </row>
        <row r="5997">
          <cell r="A5997">
            <v>5996</v>
          </cell>
          <cell r="B5997">
            <v>0</v>
          </cell>
          <cell r="C5997" t="str">
            <v/>
          </cell>
          <cell r="D5997" t="str">
            <v/>
          </cell>
          <cell r="E5997">
            <v>0</v>
          </cell>
          <cell r="F5997" t="str">
            <v/>
          </cell>
          <cell r="G5997" t="str">
            <v/>
          </cell>
          <cell r="H5997" t="str">
            <v/>
          </cell>
          <cell r="I5997" t="str">
            <v/>
          </cell>
          <cell r="J5997">
            <v>0</v>
          </cell>
          <cell r="K5997">
            <v>0</v>
          </cell>
          <cell r="L5997">
            <v>0</v>
          </cell>
          <cell r="M5997">
            <v>0</v>
          </cell>
          <cell r="N5997">
            <v>0</v>
          </cell>
          <cell r="O5997" t="str">
            <v/>
          </cell>
          <cell r="P5997">
            <v>0</v>
          </cell>
          <cell r="Q5997">
            <v>0</v>
          </cell>
          <cell r="R5997">
            <v>0</v>
          </cell>
          <cell r="S5997">
            <v>0</v>
          </cell>
          <cell r="T5997">
            <v>0</v>
          </cell>
          <cell r="U5997" t="str">
            <v/>
          </cell>
          <cell r="V5997" t="str">
            <v/>
          </cell>
        </row>
        <row r="5998">
          <cell r="A5998">
            <v>5997</v>
          </cell>
          <cell r="B5998">
            <v>0</v>
          </cell>
          <cell r="C5998" t="str">
            <v/>
          </cell>
          <cell r="D5998" t="str">
            <v/>
          </cell>
          <cell r="E5998">
            <v>0</v>
          </cell>
          <cell r="F5998" t="str">
            <v/>
          </cell>
          <cell r="G5998" t="str">
            <v/>
          </cell>
          <cell r="H5998" t="str">
            <v/>
          </cell>
          <cell r="I5998" t="str">
            <v/>
          </cell>
          <cell r="J5998">
            <v>0</v>
          </cell>
          <cell r="K5998">
            <v>0</v>
          </cell>
          <cell r="L5998">
            <v>0</v>
          </cell>
          <cell r="M5998">
            <v>0</v>
          </cell>
          <cell r="N5998">
            <v>0</v>
          </cell>
          <cell r="O5998" t="str">
            <v/>
          </cell>
          <cell r="P5998">
            <v>0</v>
          </cell>
          <cell r="Q5998">
            <v>0</v>
          </cell>
          <cell r="R5998">
            <v>0</v>
          </cell>
          <cell r="S5998">
            <v>0</v>
          </cell>
          <cell r="T5998">
            <v>0</v>
          </cell>
          <cell r="U5998" t="str">
            <v/>
          </cell>
          <cell r="V5998" t="str">
            <v/>
          </cell>
        </row>
        <row r="5999">
          <cell r="A5999">
            <v>5999</v>
          </cell>
          <cell r="B5999" t="str">
            <v>-</v>
          </cell>
          <cell r="C5999" t="str">
            <v>-</v>
          </cell>
          <cell r="D5999" t="str">
            <v>-</v>
          </cell>
          <cell r="E5999" t="str">
            <v>-</v>
          </cell>
          <cell r="F5999" t="str">
            <v>-</v>
          </cell>
          <cell r="G5999" t="str">
            <v>-</v>
          </cell>
          <cell r="H5999" t="str">
            <v>-</v>
          </cell>
          <cell r="I5999" t="str">
            <v>-</v>
          </cell>
          <cell r="J5999">
            <v>0</v>
          </cell>
          <cell r="K5999" t="str">
            <v>-</v>
          </cell>
          <cell r="L5999" t="str">
            <v>-</v>
          </cell>
          <cell r="M5999" t="str">
            <v>-</v>
          </cell>
          <cell r="N5999">
            <v>0</v>
          </cell>
          <cell r="O5999" t="e">
            <v>#VALUE!</v>
          </cell>
          <cell r="P5999">
            <v>0</v>
          </cell>
          <cell r="Q5999">
            <v>0</v>
          </cell>
          <cell r="R5999">
            <v>0</v>
          </cell>
          <cell r="S5999">
            <v>0</v>
          </cell>
          <cell r="T5999" t="str">
            <v>-</v>
          </cell>
          <cell r="U5999" t="str">
            <v>-</v>
          </cell>
          <cell r="V5999" t="str">
            <v>-</v>
          </cell>
        </row>
      </sheetData>
      <sheetData sheetId="7" refreshError="1"/>
      <sheetData sheetId="8" refreshError="1"/>
      <sheetData sheetId="9" refreshError="1"/>
      <sheetData sheetId="10" refreshError="1">
        <row r="3">
          <cell r="B3" t="str">
            <v>J1</v>
          </cell>
          <cell r="C3" t="str">
            <v>FLOREZ CONDORI  JOSE WILLIANS</v>
          </cell>
          <cell r="D3" t="str">
            <v>COORDINADOR DE MANTENIMIENTO</v>
          </cell>
          <cell r="E3" t="str">
            <v>TPE</v>
          </cell>
          <cell r="G3" t="str">
            <v>A5O-859</v>
          </cell>
          <cell r="H3" t="str">
            <v>INTERNATIONAL</v>
          </cell>
          <cell r="I3" t="str">
            <v>7600 SBA 6X4</v>
          </cell>
          <cell r="J3">
            <v>2010</v>
          </cell>
          <cell r="K3" t="str">
            <v>B6Y-971</v>
          </cell>
          <cell r="L3" t="str">
            <v>LAS BAMBAS</v>
          </cell>
          <cell r="N3" t="str">
            <v>ACCESORIOS</v>
          </cell>
          <cell r="O3" t="str">
            <v>MECANICO</v>
          </cell>
          <cell r="Q3" t="str">
            <v>ABIERTO</v>
          </cell>
          <cell r="S3" t="str">
            <v>FALTA REPUESTOS</v>
          </cell>
          <cell r="U3" t="str">
            <v>REPUESTO</v>
          </cell>
          <cell r="W3" t="str">
            <v>M</v>
          </cell>
          <cell r="Y3" t="str">
            <v>ENTREGADO</v>
          </cell>
          <cell r="AA3" t="str">
            <v>TRACTO</v>
          </cell>
        </row>
        <row r="4">
          <cell r="B4" t="str">
            <v>J2</v>
          </cell>
          <cell r="C4" t="str">
            <v>CORIHUAMAN SURCO  ERICK ROBERT</v>
          </cell>
          <cell r="D4" t="str">
            <v>SUPERVISOR DE MANTENIMIENTO</v>
          </cell>
          <cell r="E4" t="str">
            <v>TPE</v>
          </cell>
          <cell r="G4" t="str">
            <v>ABP-729</v>
          </cell>
          <cell r="H4" t="str">
            <v>FREIGHTLINER</v>
          </cell>
          <cell r="I4" t="str">
            <v>CL 120</v>
          </cell>
          <cell r="J4">
            <v>2014</v>
          </cell>
          <cell r="K4" t="str">
            <v>D8K-985</v>
          </cell>
          <cell r="L4" t="str">
            <v>LAS BAMBAS</v>
          </cell>
          <cell r="N4" t="str">
            <v>ADMISION</v>
          </cell>
          <cell r="O4" t="str">
            <v>ELECTRICO</v>
          </cell>
          <cell r="Q4" t="str">
            <v>LIBERADO</v>
          </cell>
          <cell r="S4" t="str">
            <v>FALTA MANO DE OBRA</v>
          </cell>
          <cell r="U4" t="str">
            <v>SERVICIO</v>
          </cell>
          <cell r="W4" t="str">
            <v>UNID.</v>
          </cell>
          <cell r="Y4" t="str">
            <v>PENDIENTE</v>
          </cell>
          <cell r="AA4" t="str">
            <v>CISTERNA</v>
          </cell>
        </row>
        <row r="5">
          <cell r="B5" t="str">
            <v>J3</v>
          </cell>
          <cell r="C5" t="str">
            <v>CHURA PIZARRO ALBERTO</v>
          </cell>
          <cell r="D5" t="str">
            <v>SUPERVISOR DE NEUMATICOS</v>
          </cell>
          <cell r="E5" t="str">
            <v>TPE</v>
          </cell>
          <cell r="G5" t="str">
            <v>ABP-783</v>
          </cell>
          <cell r="H5" t="str">
            <v>FREIGHTLINER</v>
          </cell>
          <cell r="I5" t="str">
            <v>CL 120</v>
          </cell>
          <cell r="J5">
            <v>2014</v>
          </cell>
          <cell r="K5" t="str">
            <v>C9S-988</v>
          </cell>
          <cell r="L5" t="str">
            <v>LAS BAMBAS</v>
          </cell>
          <cell r="N5" t="str">
            <v>CARROCERIA</v>
          </cell>
          <cell r="O5" t="str">
            <v>SOLDADOR</v>
          </cell>
          <cell r="Q5" t="str">
            <v>CERRADO</v>
          </cell>
          <cell r="S5" t="str">
            <v>REPORTE ULTIMA HORA</v>
          </cell>
          <cell r="U5" t="str">
            <v>HERRAMIENTAS</v>
          </cell>
          <cell r="W5" t="str">
            <v>GLNS.</v>
          </cell>
          <cell r="Y5">
            <v>0</v>
          </cell>
          <cell r="AA5" t="str">
            <v>TOLVA</v>
          </cell>
        </row>
        <row r="6">
          <cell r="B6" t="str">
            <v>J4</v>
          </cell>
          <cell r="C6" t="str">
            <v>CHIAN MANRIQUE PEDRO ANTONIO</v>
          </cell>
          <cell r="D6" t="str">
            <v>SUPERVISOR DE COMBUSTIBLE</v>
          </cell>
          <cell r="E6" t="str">
            <v>TPE</v>
          </cell>
          <cell r="G6" t="str">
            <v>ABQ-703</v>
          </cell>
          <cell r="H6" t="str">
            <v>FREIGHTLINER</v>
          </cell>
          <cell r="I6" t="str">
            <v>CL 120</v>
          </cell>
          <cell r="J6">
            <v>2014</v>
          </cell>
          <cell r="K6" t="str">
            <v>D0Z-994</v>
          </cell>
          <cell r="L6" t="str">
            <v>LAS BAMBAS</v>
          </cell>
          <cell r="N6" t="str">
            <v xml:space="preserve">CHASIS </v>
          </cell>
          <cell r="O6" t="str">
            <v>LLANTERO</v>
          </cell>
          <cell r="Q6" t="str">
            <v>TALLER</v>
          </cell>
          <cell r="S6" t="str">
            <v>AUXILIO MECANICO</v>
          </cell>
          <cell r="U6" t="str">
            <v>IMPLEMENTACION</v>
          </cell>
          <cell r="W6" t="str">
            <v>KG.</v>
          </cell>
          <cell r="Y6">
            <v>0</v>
          </cell>
          <cell r="AA6" t="str">
            <v>CAMION</v>
          </cell>
        </row>
        <row r="7">
          <cell r="B7" t="str">
            <v>J5</v>
          </cell>
          <cell r="C7" t="str">
            <v>CONZA HUALLA NOELIA</v>
          </cell>
          <cell r="D7" t="str">
            <v>ASISTENTE DE MANTENIMIENTO</v>
          </cell>
          <cell r="E7" t="str">
            <v>TPE</v>
          </cell>
          <cell r="G7" t="str">
            <v>ABQ-704</v>
          </cell>
          <cell r="H7" t="str">
            <v>FREIGHTLINER</v>
          </cell>
          <cell r="I7" t="str">
            <v>CL 120</v>
          </cell>
          <cell r="J7">
            <v>2013</v>
          </cell>
          <cell r="K7" t="str">
            <v>TBB-995</v>
          </cell>
          <cell r="L7" t="str">
            <v>LAS BAMBAS</v>
          </cell>
          <cell r="N7" t="str">
            <v>COMBUSTIBLE</v>
          </cell>
          <cell r="O7" t="str">
            <v>SUPERVISOR</v>
          </cell>
          <cell r="S7" t="str">
            <v>DISPONIBILIDAD DE LA UNIDAD</v>
          </cell>
          <cell r="U7" t="str">
            <v>UNIFORMES</v>
          </cell>
          <cell r="W7" t="str">
            <v>CAJAS</v>
          </cell>
          <cell r="AA7" t="str">
            <v>CAMIONETA</v>
          </cell>
        </row>
        <row r="8">
          <cell r="B8" t="str">
            <v>J6</v>
          </cell>
          <cell r="C8" t="str">
            <v>VILLANUEVA BEJAR  YHORDAN MICHEL</v>
          </cell>
          <cell r="D8" t="str">
            <v>ASISTENTE DE MANTENIMIENTO</v>
          </cell>
          <cell r="E8" t="str">
            <v>TPE</v>
          </cell>
          <cell r="G8" t="str">
            <v>ABQ-705</v>
          </cell>
          <cell r="H8" t="str">
            <v>FREIGHTLINER</v>
          </cell>
          <cell r="I8" t="str">
            <v>CL 120</v>
          </cell>
          <cell r="J8">
            <v>2013</v>
          </cell>
          <cell r="K8" t="str">
            <v>D0Z-996</v>
          </cell>
          <cell r="L8" t="str">
            <v>LAS BAMBAS</v>
          </cell>
          <cell r="N8" t="str">
            <v>CISTERNA</v>
          </cell>
          <cell r="S8" t="str">
            <v>FALTA APROBACION</v>
          </cell>
          <cell r="U8" t="str">
            <v>MATERIALES</v>
          </cell>
          <cell r="W8" t="str">
            <v>M3</v>
          </cell>
          <cell r="AA8" t="str">
            <v>TALLER</v>
          </cell>
        </row>
        <row r="9">
          <cell r="B9" t="str">
            <v>J7</v>
          </cell>
          <cell r="C9" t="str">
            <v>DONAYRE INGA PEDRO</v>
          </cell>
          <cell r="D9" t="str">
            <v>JEFE DE MANTENIMIENTO</v>
          </cell>
          <cell r="E9" t="str">
            <v>TPE</v>
          </cell>
          <cell r="G9" t="str">
            <v>ABQ-780</v>
          </cell>
          <cell r="H9" t="str">
            <v>FREIGHTLINER</v>
          </cell>
          <cell r="I9" t="str">
            <v>CL 120</v>
          </cell>
          <cell r="J9">
            <v>2013</v>
          </cell>
          <cell r="K9" t="str">
            <v>C9S-990</v>
          </cell>
          <cell r="L9" t="str">
            <v>LAS BAMBAS</v>
          </cell>
          <cell r="N9" t="str">
            <v>DIFERENCIAL</v>
          </cell>
          <cell r="S9" t="str">
            <v>EN PROCESO</v>
          </cell>
          <cell r="U9" t="str">
            <v>EPPS</v>
          </cell>
          <cell r="W9" t="str">
            <v>JUEGO</v>
          </cell>
          <cell r="AA9" t="str">
            <v>PLATAFORMA</v>
          </cell>
        </row>
        <row r="10">
          <cell r="B10" t="str">
            <v>E1</v>
          </cell>
          <cell r="C10" t="str">
            <v>PALOMINO CARDENAS JUAN CARLOS</v>
          </cell>
          <cell r="D10" t="str">
            <v>TECNICO ELECTRICISTA</v>
          </cell>
          <cell r="E10" t="str">
            <v>TPE</v>
          </cell>
          <cell r="G10" t="str">
            <v>ABR-727</v>
          </cell>
          <cell r="H10" t="str">
            <v>FREIGHTLINER</v>
          </cell>
          <cell r="I10" t="str">
            <v>CL 120</v>
          </cell>
          <cell r="J10">
            <v>2014</v>
          </cell>
          <cell r="K10" t="str">
            <v>C9S-989</v>
          </cell>
          <cell r="L10" t="str">
            <v>LAS BAMBAS</v>
          </cell>
          <cell r="N10" t="str">
            <v>DIRECCION</v>
          </cell>
          <cell r="S10" t="str">
            <v>EN EVALUACION</v>
          </cell>
          <cell r="U10" t="str">
            <v>INSUMO TALLER</v>
          </cell>
          <cell r="W10" t="str">
            <v>MILLAR</v>
          </cell>
          <cell r="AA10">
            <v>0</v>
          </cell>
        </row>
        <row r="11">
          <cell r="B11" t="str">
            <v>E2</v>
          </cell>
          <cell r="C11" t="str">
            <v>YUCA BELLIDO BORIS YERSY</v>
          </cell>
          <cell r="D11" t="str">
            <v>TECNICO ELECTRICISTA</v>
          </cell>
          <cell r="E11" t="str">
            <v>TPE</v>
          </cell>
          <cell r="G11" t="str">
            <v>ABR-741</v>
          </cell>
          <cell r="H11" t="str">
            <v>FREIGHTLINER</v>
          </cell>
          <cell r="I11" t="str">
            <v>CL 120</v>
          </cell>
          <cell r="J11">
            <v>2013</v>
          </cell>
          <cell r="K11" t="str">
            <v>T3N-974</v>
          </cell>
          <cell r="L11" t="str">
            <v>LAS BAMBAS</v>
          </cell>
          <cell r="N11" t="str">
            <v>ELECTRICO</v>
          </cell>
          <cell r="S11" t="str">
            <v>SERVICIO TERCERIZADO</v>
          </cell>
          <cell r="U11" t="str">
            <v>OTROS</v>
          </cell>
          <cell r="W11" t="str">
            <v>BOLSAS</v>
          </cell>
          <cell r="AA11">
            <v>0</v>
          </cell>
        </row>
        <row r="12">
          <cell r="B12" t="str">
            <v>M1</v>
          </cell>
          <cell r="C12" t="str">
            <v>CABEZAS SANCHEZ JEAN JHONATAN</v>
          </cell>
          <cell r="D12" t="str">
            <v>TECNICO MECANICO</v>
          </cell>
          <cell r="E12" t="str">
            <v>TPE</v>
          </cell>
          <cell r="G12" t="str">
            <v>ABR-759</v>
          </cell>
          <cell r="H12" t="str">
            <v>FREIGHTLINER</v>
          </cell>
          <cell r="I12" t="str">
            <v>CL 120</v>
          </cell>
          <cell r="J12">
            <v>2013</v>
          </cell>
          <cell r="K12" t="str">
            <v>D0Z-995</v>
          </cell>
          <cell r="L12" t="str">
            <v>LAS BAMBAS</v>
          </cell>
          <cell r="N12" t="str">
            <v>EMBRAGUE</v>
          </cell>
          <cell r="S12" t="str">
            <v>FALTA DE HERRAMIENTAS Y EQUIPOS</v>
          </cell>
          <cell r="U12">
            <v>0</v>
          </cell>
          <cell r="W12">
            <v>0</v>
          </cell>
          <cell r="AA12">
            <v>0</v>
          </cell>
        </row>
        <row r="13">
          <cell r="B13" t="str">
            <v>M2</v>
          </cell>
          <cell r="C13" t="str">
            <v>CHUMPITAZ GAGO JULIO ENRIQUE</v>
          </cell>
          <cell r="D13" t="str">
            <v>TECNICO MECANICO</v>
          </cell>
          <cell r="E13" t="str">
            <v>TPE</v>
          </cell>
          <cell r="G13" t="str">
            <v>ABR-796</v>
          </cell>
          <cell r="H13" t="str">
            <v>FREIGHTLINER</v>
          </cell>
          <cell r="I13" t="str">
            <v>CL 120</v>
          </cell>
          <cell r="J13">
            <v>2014</v>
          </cell>
          <cell r="K13" t="str">
            <v>C9S-994</v>
          </cell>
          <cell r="L13" t="str">
            <v>LAS BAMBAS</v>
          </cell>
          <cell r="N13" t="str">
            <v>ESCAPE</v>
          </cell>
          <cell r="W13">
            <v>0</v>
          </cell>
        </row>
        <row r="14">
          <cell r="B14" t="str">
            <v>M3</v>
          </cell>
          <cell r="C14" t="str">
            <v>GARCIA PASQUEL  JOSE LUIS</v>
          </cell>
          <cell r="D14" t="str">
            <v>TECNICO MECANICO</v>
          </cell>
          <cell r="E14" t="str">
            <v>TPE</v>
          </cell>
          <cell r="G14" t="str">
            <v>ABR-798</v>
          </cell>
          <cell r="H14" t="str">
            <v>FREIGHTLINER</v>
          </cell>
          <cell r="I14" t="str">
            <v>CL 120</v>
          </cell>
          <cell r="J14">
            <v>2014</v>
          </cell>
          <cell r="K14" t="str">
            <v>TBM-980</v>
          </cell>
          <cell r="L14" t="str">
            <v>LAS BAMBAS</v>
          </cell>
          <cell r="N14" t="str">
            <v>FRENOS</v>
          </cell>
          <cell r="W14">
            <v>0</v>
          </cell>
        </row>
        <row r="15">
          <cell r="B15" t="str">
            <v>M4</v>
          </cell>
          <cell r="C15" t="str">
            <v>JULLIRI APAZA UBALDO</v>
          </cell>
          <cell r="D15" t="str">
            <v>TECNICO MECANICO</v>
          </cell>
          <cell r="E15" t="str">
            <v>TPE</v>
          </cell>
          <cell r="G15" t="str">
            <v>ABS-700</v>
          </cell>
          <cell r="H15" t="str">
            <v>FREIGHTLINER</v>
          </cell>
          <cell r="I15" t="str">
            <v>CL 120</v>
          </cell>
          <cell r="J15">
            <v>2013</v>
          </cell>
          <cell r="K15" t="str">
            <v>TBC-971</v>
          </cell>
          <cell r="L15" t="str">
            <v>LAS BAMBAS</v>
          </cell>
          <cell r="N15" t="str">
            <v>HIDRAULICO</v>
          </cell>
        </row>
        <row r="16">
          <cell r="B16" t="str">
            <v>M5</v>
          </cell>
          <cell r="C16" t="str">
            <v>LOPEZ RUIZ WILBERTO</v>
          </cell>
          <cell r="D16" t="str">
            <v>TECNICO MECANICO</v>
          </cell>
          <cell r="E16" t="str">
            <v>TPE</v>
          </cell>
          <cell r="G16" t="str">
            <v>AKW-860</v>
          </cell>
          <cell r="H16" t="str">
            <v>FREIGHTLINER</v>
          </cell>
          <cell r="I16" t="str">
            <v>CL 120</v>
          </cell>
          <cell r="J16">
            <v>2015</v>
          </cell>
          <cell r="K16" t="str">
            <v>F5Z-991</v>
          </cell>
          <cell r="L16" t="str">
            <v>LAS BAMBAS</v>
          </cell>
          <cell r="N16" t="str">
            <v>LLANTAS</v>
          </cell>
        </row>
        <row r="17">
          <cell r="B17" t="str">
            <v>M6</v>
          </cell>
          <cell r="C17" t="str">
            <v>PARI VENTURA  EDSON ORLANDO</v>
          </cell>
          <cell r="D17" t="str">
            <v>TECNICO MECANICO</v>
          </cell>
          <cell r="E17" t="str">
            <v>TPE</v>
          </cell>
          <cell r="G17" t="str">
            <v>AKW-894</v>
          </cell>
          <cell r="H17" t="str">
            <v>FREIGHTLINER</v>
          </cell>
          <cell r="I17" t="str">
            <v>CL 120</v>
          </cell>
          <cell r="J17">
            <v>2015</v>
          </cell>
          <cell r="K17" t="str">
            <v>TBN-978</v>
          </cell>
          <cell r="L17" t="str">
            <v>LAS BAMBAS</v>
          </cell>
          <cell r="N17" t="str">
            <v>LUBRICACION</v>
          </cell>
        </row>
        <row r="18">
          <cell r="B18" t="str">
            <v>M7</v>
          </cell>
          <cell r="C18" t="str">
            <v>ROBLES ROJAS  JOSE MIGUEL</v>
          </cell>
          <cell r="D18" t="str">
            <v>TECNICO MECANICO</v>
          </cell>
          <cell r="E18" t="str">
            <v>TPE</v>
          </cell>
          <cell r="G18" t="str">
            <v>AKX-731</v>
          </cell>
          <cell r="H18" t="str">
            <v>FREIGHTLINER</v>
          </cell>
          <cell r="I18" t="str">
            <v>CL 120</v>
          </cell>
          <cell r="J18">
            <v>2015</v>
          </cell>
          <cell r="K18" t="str">
            <v>TCD-980</v>
          </cell>
          <cell r="L18" t="str">
            <v>LAS BAMBAS</v>
          </cell>
          <cell r="N18" t="str">
            <v>MOTOR</v>
          </cell>
        </row>
        <row r="19">
          <cell r="B19" t="str">
            <v>M8</v>
          </cell>
          <cell r="C19" t="str">
            <v>VARILLAS GAGO  OSCAR ALBERTO</v>
          </cell>
          <cell r="D19" t="str">
            <v>TECNICO MECANICO</v>
          </cell>
          <cell r="E19" t="str">
            <v>TPE</v>
          </cell>
          <cell r="G19" t="str">
            <v>AKX-805</v>
          </cell>
          <cell r="H19" t="str">
            <v>FREIGHTLINER</v>
          </cell>
          <cell r="I19" t="str">
            <v>CL 120</v>
          </cell>
          <cell r="J19">
            <v>2015</v>
          </cell>
          <cell r="K19" t="str">
            <v>F5Z-985</v>
          </cell>
          <cell r="L19" t="str">
            <v>LAS BAMBAS</v>
          </cell>
          <cell r="N19" t="str">
            <v>NEUMATICO</v>
          </cell>
        </row>
        <row r="20">
          <cell r="B20" t="str">
            <v>N1</v>
          </cell>
          <cell r="C20" t="str">
            <v>AGUILAR CCANTUTA WILLY</v>
          </cell>
          <cell r="D20" t="str">
            <v>TECNICO DE NEUMATICOS</v>
          </cell>
          <cell r="E20" t="str">
            <v>TPE</v>
          </cell>
          <cell r="G20" t="str">
            <v>C5R-892</v>
          </cell>
          <cell r="H20" t="str">
            <v>FREIGHTLINER</v>
          </cell>
          <cell r="I20" t="str">
            <v>CL 120</v>
          </cell>
          <cell r="J20">
            <v>2011</v>
          </cell>
          <cell r="K20" t="str">
            <v>A0T-983</v>
          </cell>
          <cell r="L20" t="str">
            <v>LAS BAMBAS</v>
          </cell>
          <cell r="N20" t="str">
            <v>REFRIGERACION</v>
          </cell>
        </row>
        <row r="21">
          <cell r="B21" t="str">
            <v>N2</v>
          </cell>
          <cell r="C21" t="str">
            <v>MAMANI LARICO  EDUARDO ALVARO</v>
          </cell>
          <cell r="D21" t="str">
            <v xml:space="preserve">TECNICO DE NEUMATICOS </v>
          </cell>
          <cell r="E21" t="str">
            <v>TPE</v>
          </cell>
          <cell r="G21" t="str">
            <v>C5R-895</v>
          </cell>
          <cell r="H21" t="str">
            <v>FREIGHTLINER</v>
          </cell>
          <cell r="I21" t="str">
            <v>CL 120</v>
          </cell>
          <cell r="J21">
            <v>2011</v>
          </cell>
          <cell r="K21" t="str">
            <v>TBL-976</v>
          </cell>
          <cell r="L21" t="str">
            <v>LAS BAMBAS</v>
          </cell>
          <cell r="N21" t="str">
            <v>SUSPENSION</v>
          </cell>
        </row>
        <row r="22">
          <cell r="B22" t="str">
            <v>S1</v>
          </cell>
          <cell r="C22" t="str">
            <v>BAYONA CRUZ CRISTIAN ARMANDO</v>
          </cell>
          <cell r="D22" t="str">
            <v>TECNICO SOLDADOR</v>
          </cell>
          <cell r="E22" t="str">
            <v>TPE</v>
          </cell>
          <cell r="G22" t="str">
            <v>C5R-896</v>
          </cell>
          <cell r="H22" t="str">
            <v>FREIGHTLINER</v>
          </cell>
          <cell r="I22" t="str">
            <v>CL 120</v>
          </cell>
          <cell r="J22">
            <v>2011</v>
          </cell>
          <cell r="K22" t="str">
            <v>A0U-977</v>
          </cell>
          <cell r="L22" t="str">
            <v>LAS BAMBAS</v>
          </cell>
          <cell r="N22" t="str">
            <v xml:space="preserve">TRANSMISION </v>
          </cell>
        </row>
        <row r="23">
          <cell r="B23" t="str">
            <v>S2</v>
          </cell>
          <cell r="C23" t="str">
            <v>PALOMINO ESTRADA  MICHEL</v>
          </cell>
          <cell r="D23" t="str">
            <v>TECNICO SOLDADOR</v>
          </cell>
          <cell r="E23" t="str">
            <v>TPE</v>
          </cell>
          <cell r="G23" t="str">
            <v>C5R-899</v>
          </cell>
          <cell r="H23" t="str">
            <v>FREIGHTLINER</v>
          </cell>
          <cell r="I23" t="str">
            <v>CL 120</v>
          </cell>
          <cell r="J23">
            <v>2011</v>
          </cell>
          <cell r="K23" t="str">
            <v>A0U-978</v>
          </cell>
          <cell r="L23" t="str">
            <v>LAS BAMBAS</v>
          </cell>
          <cell r="N23" t="str">
            <v>SISTEMA DE ENGANCHE</v>
          </cell>
        </row>
        <row r="24">
          <cell r="B24" t="str">
            <v>TALLER</v>
          </cell>
          <cell r="C24" t="str">
            <v>TALLER</v>
          </cell>
          <cell r="D24" t="str">
            <v>TALLER</v>
          </cell>
          <cell r="E24" t="str">
            <v>TALLER</v>
          </cell>
          <cell r="G24" t="str">
            <v>C9M-902</v>
          </cell>
          <cell r="H24" t="str">
            <v>FREIGHTLINER</v>
          </cell>
          <cell r="I24" t="str">
            <v>CL 120</v>
          </cell>
          <cell r="J24">
            <v>2011</v>
          </cell>
          <cell r="K24" t="str">
            <v>B8L-970</v>
          </cell>
          <cell r="L24" t="str">
            <v>LAS BAMBAS</v>
          </cell>
          <cell r="N24" t="str">
            <v>ESTRUCTURA</v>
          </cell>
        </row>
        <row r="25">
          <cell r="B25" t="str">
            <v>TERCERO</v>
          </cell>
          <cell r="C25" t="str">
            <v>TERCERO</v>
          </cell>
          <cell r="D25" t="str">
            <v>TERCERO</v>
          </cell>
          <cell r="E25" t="str">
            <v>TERCERO</v>
          </cell>
          <cell r="G25" t="str">
            <v>C9N-807</v>
          </cell>
          <cell r="H25" t="str">
            <v>FREIGHTLINER</v>
          </cell>
          <cell r="I25" t="str">
            <v>CL 120</v>
          </cell>
          <cell r="J25">
            <v>2011</v>
          </cell>
          <cell r="K25" t="str">
            <v>B4O-994</v>
          </cell>
          <cell r="L25" t="str">
            <v>LAS BAMBAS</v>
          </cell>
          <cell r="N25" t="str">
            <v>RODAMIENTOS</v>
          </cell>
        </row>
        <row r="26">
          <cell r="B26" t="str">
            <v>DIVEMOTOR</v>
          </cell>
          <cell r="C26" t="str">
            <v>DIVEMOTOR</v>
          </cell>
          <cell r="D26" t="str">
            <v>DIVEMOTOR</v>
          </cell>
          <cell r="E26" t="str">
            <v>TERCERO</v>
          </cell>
          <cell r="G26" t="str">
            <v>C9P-948</v>
          </cell>
          <cell r="H26" t="str">
            <v>FREIGHTLINER</v>
          </cell>
          <cell r="I26" t="str">
            <v>CL 120</v>
          </cell>
          <cell r="J26">
            <v>2011</v>
          </cell>
          <cell r="K26" t="str">
            <v>B4O-995</v>
          </cell>
          <cell r="L26" t="str">
            <v>LAS BAMBAS</v>
          </cell>
          <cell r="N26" t="str">
            <v>COMBUSTIBLE</v>
          </cell>
        </row>
        <row r="27">
          <cell r="B27" t="str">
            <v>S3</v>
          </cell>
          <cell r="C27" t="str">
            <v>JIMENEZ MACHACA JAVIER</v>
          </cell>
          <cell r="D27" t="str">
            <v>TECNICO SOLDADOR</v>
          </cell>
          <cell r="E27" t="str">
            <v>TPE</v>
          </cell>
          <cell r="G27" t="str">
            <v>D3N-721</v>
          </cell>
          <cell r="H27" t="str">
            <v>FREIGHTLINER</v>
          </cell>
          <cell r="I27" t="str">
            <v>CL 120</v>
          </cell>
          <cell r="J27">
            <v>2012</v>
          </cell>
          <cell r="K27" t="str">
            <v>C4S-979</v>
          </cell>
          <cell r="L27" t="str">
            <v>LAS BAMBAS</v>
          </cell>
          <cell r="N27" t="str">
            <v>SISTEMA GLP</v>
          </cell>
        </row>
        <row r="28">
          <cell r="B28" t="str">
            <v>E3</v>
          </cell>
          <cell r="C28" t="str">
            <v>CONDORI CHURATA ALEX</v>
          </cell>
          <cell r="D28" t="str">
            <v>TECNICO ELECTRICISTA</v>
          </cell>
          <cell r="E28" t="str">
            <v>TPE</v>
          </cell>
          <cell r="G28" t="str">
            <v>D3O-742</v>
          </cell>
          <cell r="H28" t="str">
            <v>FREIGHTLINER</v>
          </cell>
          <cell r="I28" t="str">
            <v>CL 120</v>
          </cell>
          <cell r="J28">
            <v>2012</v>
          </cell>
          <cell r="K28" t="str">
            <v>B8L-971</v>
          </cell>
          <cell r="L28" t="str">
            <v>LAS BAMBAS</v>
          </cell>
          <cell r="N28" t="str">
            <v xml:space="preserve">CHASIS </v>
          </cell>
        </row>
        <row r="29">
          <cell r="B29" t="str">
            <v>S4</v>
          </cell>
          <cell r="C29" t="str">
            <v>SURCO QUISPE JOHNNY</v>
          </cell>
          <cell r="D29" t="str">
            <v>TECNICO SOLDADOR</v>
          </cell>
          <cell r="E29" t="str">
            <v>TPE</v>
          </cell>
          <cell r="G29" t="str">
            <v>D3O-745</v>
          </cell>
          <cell r="H29" t="str">
            <v>FREIGHTLINER</v>
          </cell>
          <cell r="I29" t="str">
            <v>CL 120</v>
          </cell>
          <cell r="J29">
            <v>2015</v>
          </cell>
          <cell r="K29" t="str">
            <v>F3L-979</v>
          </cell>
          <cell r="L29" t="str">
            <v>LAS BAMBAS</v>
          </cell>
          <cell r="N29" t="str">
            <v>TALLER</v>
          </cell>
        </row>
        <row r="30">
          <cell r="B30">
            <v>0</v>
          </cell>
          <cell r="C30" t="str">
            <v>PERSONAL RESPONSABLE</v>
          </cell>
          <cell r="D30">
            <v>0</v>
          </cell>
          <cell r="E30" t="str">
            <v>TPE</v>
          </cell>
          <cell r="G30" t="str">
            <v>D3P-730</v>
          </cell>
          <cell r="H30" t="str">
            <v>FREIGHTLINER</v>
          </cell>
          <cell r="I30" t="str">
            <v>CL 120</v>
          </cell>
          <cell r="J30">
            <v>2012</v>
          </cell>
          <cell r="K30" t="str">
            <v>TBM-980</v>
          </cell>
          <cell r="L30" t="str">
            <v>LAS BAMBAS</v>
          </cell>
        </row>
        <row r="31">
          <cell r="B31" t="str">
            <v>M9</v>
          </cell>
          <cell r="C31" t="str">
            <v>POMA SALAZAR CIRO</v>
          </cell>
          <cell r="D31" t="str">
            <v>TECNICO MECANICO</v>
          </cell>
          <cell r="E31" t="str">
            <v>TPE</v>
          </cell>
          <cell r="G31" t="str">
            <v>D3P-743</v>
          </cell>
          <cell r="H31" t="str">
            <v>FREIGHTLINER</v>
          </cell>
          <cell r="I31" t="str">
            <v>CL 120</v>
          </cell>
          <cell r="J31">
            <v>2012</v>
          </cell>
          <cell r="K31" t="str">
            <v>B8L-972</v>
          </cell>
          <cell r="L31" t="str">
            <v>LAS BAMBAS</v>
          </cell>
        </row>
        <row r="32">
          <cell r="B32">
            <v>0</v>
          </cell>
          <cell r="C32" t="str">
            <v>FLOREZ CONDORI  JOSE WILLIANS</v>
          </cell>
          <cell r="D32">
            <v>0</v>
          </cell>
          <cell r="E32">
            <v>0</v>
          </cell>
          <cell r="G32" t="str">
            <v>D3P-744</v>
          </cell>
          <cell r="H32" t="str">
            <v>FREIGHTLINER</v>
          </cell>
          <cell r="I32" t="str">
            <v>CL 120</v>
          </cell>
          <cell r="J32">
            <v>2012</v>
          </cell>
          <cell r="K32" t="str">
            <v>A0F-996</v>
          </cell>
          <cell r="L32" t="str">
            <v>LAS BAMBAS</v>
          </cell>
        </row>
        <row r="33">
          <cell r="B33">
            <v>0</v>
          </cell>
          <cell r="C33" t="str">
            <v>CORIHUAMAN SURCO  ERICK ROBERT</v>
          </cell>
          <cell r="D33">
            <v>0</v>
          </cell>
          <cell r="E33">
            <v>0</v>
          </cell>
          <cell r="G33" t="str">
            <v>D3P-746</v>
          </cell>
          <cell r="H33" t="str">
            <v>FREIGHTLINER</v>
          </cell>
          <cell r="I33" t="str">
            <v>CL 120</v>
          </cell>
          <cell r="J33">
            <v>2012</v>
          </cell>
          <cell r="K33" t="str">
            <v>C0T-974</v>
          </cell>
          <cell r="L33" t="str">
            <v>LAS BAMBAS</v>
          </cell>
        </row>
        <row r="34">
          <cell r="B34">
            <v>0</v>
          </cell>
          <cell r="C34" t="str">
            <v>CHURA PIZARRO ALBERTO</v>
          </cell>
          <cell r="D34">
            <v>0</v>
          </cell>
          <cell r="E34">
            <v>0</v>
          </cell>
          <cell r="G34" t="str">
            <v>D3P-747</v>
          </cell>
          <cell r="H34" t="str">
            <v>FREIGHTLINER</v>
          </cell>
          <cell r="I34" t="str">
            <v>CL 120</v>
          </cell>
          <cell r="J34">
            <v>2012</v>
          </cell>
          <cell r="K34" t="str">
            <v>A0T-985</v>
          </cell>
          <cell r="L34" t="str">
            <v>LAS BAMBAS</v>
          </cell>
        </row>
        <row r="35">
          <cell r="B35" t="str">
            <v>J8</v>
          </cell>
          <cell r="C35" t="str">
            <v>ARANGO PAREJA ANGELA ROSARIO</v>
          </cell>
          <cell r="D35" t="str">
            <v>PLANNER MANTENIMIENTO</v>
          </cell>
          <cell r="E35" t="str">
            <v>TPE</v>
          </cell>
          <cell r="G35" t="str">
            <v>D3P-752</v>
          </cell>
          <cell r="H35" t="str">
            <v>FREIGHTLINER</v>
          </cell>
          <cell r="I35" t="str">
            <v>CL 120</v>
          </cell>
          <cell r="J35">
            <v>2012</v>
          </cell>
          <cell r="K35" t="str">
            <v>C5Y-985</v>
          </cell>
          <cell r="L35" t="str">
            <v>LAS BAMBAS</v>
          </cell>
        </row>
        <row r="36">
          <cell r="B36" t="str">
            <v>J9</v>
          </cell>
          <cell r="C36" t="str">
            <v>CHANG CELIS FELIPE</v>
          </cell>
          <cell r="D36">
            <v>0</v>
          </cell>
          <cell r="E36">
            <v>0</v>
          </cell>
          <cell r="G36" t="str">
            <v>D3P-754</v>
          </cell>
          <cell r="H36" t="str">
            <v>FREIGHTLINER</v>
          </cell>
          <cell r="I36" t="str">
            <v>CL 120</v>
          </cell>
          <cell r="J36">
            <v>2012</v>
          </cell>
          <cell r="K36" t="str">
            <v>C0V-971</v>
          </cell>
          <cell r="L36" t="str">
            <v>LAS BAMBAS</v>
          </cell>
        </row>
        <row r="37">
          <cell r="B37" t="str">
            <v>M10</v>
          </cell>
          <cell r="C37" t="str">
            <v>MAMANI SANTOS BLADIMIR</v>
          </cell>
          <cell r="D37" t="str">
            <v>TECNICO MECANICO</v>
          </cell>
          <cell r="E37" t="str">
            <v>TPE</v>
          </cell>
          <cell r="G37" t="str">
            <v>D3Q-741</v>
          </cell>
          <cell r="H37" t="str">
            <v>FREIGHTLINER</v>
          </cell>
          <cell r="I37" t="str">
            <v>CL 120</v>
          </cell>
          <cell r="J37">
            <v>2012</v>
          </cell>
          <cell r="K37" t="str">
            <v>D2E-976</v>
          </cell>
          <cell r="L37" t="str">
            <v>LAS BAMBAS</v>
          </cell>
        </row>
        <row r="38">
          <cell r="B38" t="str">
            <v>S5</v>
          </cell>
          <cell r="C38" t="str">
            <v>HUAMAN MOZO LEONARDO</v>
          </cell>
          <cell r="D38" t="str">
            <v>TECNICO MECANICO</v>
          </cell>
          <cell r="E38" t="str">
            <v>TPE</v>
          </cell>
          <cell r="G38" t="str">
            <v>D3R-742</v>
          </cell>
          <cell r="H38" t="str">
            <v>FREIGHTLINER</v>
          </cell>
          <cell r="I38" t="str">
            <v>CL 120</v>
          </cell>
          <cell r="J38">
            <v>2012</v>
          </cell>
          <cell r="K38" t="str">
            <v>D2E-975</v>
          </cell>
          <cell r="L38" t="str">
            <v>LAS BAMBAS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G39" t="str">
            <v>D3R-791</v>
          </cell>
          <cell r="H39" t="str">
            <v>FREIGHTLINER</v>
          </cell>
          <cell r="I39" t="str">
            <v>CL 120</v>
          </cell>
          <cell r="J39">
            <v>2012</v>
          </cell>
          <cell r="K39" t="str">
            <v>B1M-993</v>
          </cell>
          <cell r="L39" t="str">
            <v>LAS BAMBAS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G40" t="str">
            <v>D3S-725</v>
          </cell>
          <cell r="H40" t="str">
            <v>FREIGHTLINER</v>
          </cell>
          <cell r="I40" t="str">
            <v>CL 120</v>
          </cell>
          <cell r="J40">
            <v>2012</v>
          </cell>
          <cell r="K40" t="str">
            <v>TBL-977</v>
          </cell>
          <cell r="L40" t="str">
            <v>LAS BAMBAS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G41" t="str">
            <v>D3S-764</v>
          </cell>
          <cell r="H41" t="str">
            <v>FREIGHTLINER</v>
          </cell>
          <cell r="I41" t="str">
            <v>CL 120</v>
          </cell>
          <cell r="J41">
            <v>2012</v>
          </cell>
          <cell r="K41" t="str">
            <v>TBL-998</v>
          </cell>
          <cell r="L41" t="str">
            <v>LAS BAMBAS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G42" t="str">
            <v>D3S-767</v>
          </cell>
          <cell r="H42" t="str">
            <v>FREIGHTLINER</v>
          </cell>
          <cell r="I42" t="str">
            <v>CL 120</v>
          </cell>
          <cell r="J42">
            <v>2012</v>
          </cell>
          <cell r="K42" t="str">
            <v>B8L-973</v>
          </cell>
          <cell r="L42" t="str">
            <v>LAS BAMBAS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 t="str">
            <v>D4T-927</v>
          </cell>
          <cell r="H43" t="str">
            <v>FREIGHTLINER</v>
          </cell>
          <cell r="I43" t="str">
            <v>CL 120</v>
          </cell>
          <cell r="J43">
            <v>2011</v>
          </cell>
          <cell r="K43" t="str">
            <v>B4Q-976</v>
          </cell>
          <cell r="L43" t="str">
            <v>LAS BAMBAS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G44" t="str">
            <v>D4X-872</v>
          </cell>
          <cell r="H44" t="str">
            <v>FREIGHTLINER</v>
          </cell>
          <cell r="I44" t="str">
            <v>CL 120</v>
          </cell>
          <cell r="J44">
            <v>2011</v>
          </cell>
          <cell r="K44" t="str">
            <v>B4P-976</v>
          </cell>
          <cell r="L44" t="str">
            <v>LAS BAMBAS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G45" t="str">
            <v>D6F-825</v>
          </cell>
          <cell r="H45" t="str">
            <v>FREIGHTLINER</v>
          </cell>
          <cell r="I45" t="str">
            <v>CL 120</v>
          </cell>
          <cell r="J45">
            <v>2011</v>
          </cell>
          <cell r="K45" t="str">
            <v>T2Y-992</v>
          </cell>
          <cell r="L45" t="str">
            <v>LAS BAMBAS</v>
          </cell>
        </row>
        <row r="46">
          <cell r="G46" t="str">
            <v>D6F-898</v>
          </cell>
          <cell r="H46" t="str">
            <v>FREIGHTLINER</v>
          </cell>
          <cell r="I46" t="str">
            <v>CL 120</v>
          </cell>
          <cell r="J46">
            <v>2011</v>
          </cell>
          <cell r="K46" t="str">
            <v>T4L-996</v>
          </cell>
          <cell r="L46" t="str">
            <v>LAS BAMBAS</v>
          </cell>
        </row>
        <row r="47">
          <cell r="G47" t="str">
            <v>D6F-903</v>
          </cell>
          <cell r="H47" t="str">
            <v>FREIGHTLINER</v>
          </cell>
          <cell r="I47" t="str">
            <v>CL 120</v>
          </cell>
          <cell r="J47">
            <v>2011</v>
          </cell>
          <cell r="K47" t="str">
            <v>B8K-997</v>
          </cell>
          <cell r="L47" t="str">
            <v>LAS BAMBAS</v>
          </cell>
        </row>
        <row r="48">
          <cell r="G48" t="str">
            <v>D6F-907</v>
          </cell>
          <cell r="H48" t="str">
            <v>FREIGHTLINER</v>
          </cell>
          <cell r="I48" t="str">
            <v>CL 120</v>
          </cell>
          <cell r="J48">
            <v>2011</v>
          </cell>
          <cell r="K48" t="str">
            <v>T2Y-979</v>
          </cell>
          <cell r="L48" t="str">
            <v>LAS BAMBAS</v>
          </cell>
        </row>
        <row r="49">
          <cell r="G49" t="str">
            <v>D6G-805</v>
          </cell>
          <cell r="H49" t="str">
            <v>FREIGHTLINER</v>
          </cell>
          <cell r="I49" t="str">
            <v>CL 120</v>
          </cell>
          <cell r="J49">
            <v>2011</v>
          </cell>
          <cell r="K49" t="str">
            <v>T4Z-996</v>
          </cell>
          <cell r="L49" t="str">
            <v>LAS BAMBAS</v>
          </cell>
        </row>
        <row r="50">
          <cell r="G50" t="str">
            <v>D6G-806</v>
          </cell>
          <cell r="H50" t="str">
            <v>FREIGHTLINER</v>
          </cell>
          <cell r="I50" t="str">
            <v>CL 120</v>
          </cell>
          <cell r="J50">
            <v>2011</v>
          </cell>
          <cell r="K50" t="str">
            <v>B8K-998</v>
          </cell>
          <cell r="L50" t="str">
            <v>LAS BAMBAS</v>
          </cell>
        </row>
        <row r="51">
          <cell r="G51" t="str">
            <v>X2W-759</v>
          </cell>
          <cell r="H51" t="str">
            <v>FREIGHTLINER</v>
          </cell>
          <cell r="I51" t="str">
            <v>M2 112</v>
          </cell>
          <cell r="J51">
            <v>2012</v>
          </cell>
          <cell r="K51" t="str">
            <v>C5V-999</v>
          </cell>
          <cell r="L51" t="str">
            <v>LAS BAMBAS</v>
          </cell>
        </row>
        <row r="52">
          <cell r="G52" t="str">
            <v>X2W-760</v>
          </cell>
          <cell r="H52" t="str">
            <v>FREIGHTLINER</v>
          </cell>
          <cell r="I52" t="str">
            <v>M2 112</v>
          </cell>
          <cell r="J52">
            <v>2012</v>
          </cell>
          <cell r="K52" t="str">
            <v>C5V-992</v>
          </cell>
          <cell r="L52" t="str">
            <v>LAS BAMBAS</v>
          </cell>
        </row>
        <row r="53">
          <cell r="G53" t="str">
            <v>X2W-761</v>
          </cell>
          <cell r="H53" t="str">
            <v>FREIGHTLINER</v>
          </cell>
          <cell r="I53" t="str">
            <v>M2 112</v>
          </cell>
          <cell r="J53">
            <v>2012</v>
          </cell>
          <cell r="K53" t="str">
            <v>C5V-996</v>
          </cell>
          <cell r="L53" t="str">
            <v>LAS BAMBAS</v>
          </cell>
        </row>
        <row r="54">
          <cell r="G54" t="str">
            <v>X2W-762</v>
          </cell>
          <cell r="H54" t="str">
            <v>FREIGHTLINER</v>
          </cell>
          <cell r="I54" t="str">
            <v>CL 120</v>
          </cell>
          <cell r="J54">
            <v>2012</v>
          </cell>
          <cell r="K54" t="str">
            <v>C5V-998</v>
          </cell>
          <cell r="L54" t="str">
            <v>LAS BAMBAS</v>
          </cell>
        </row>
        <row r="55">
          <cell r="G55" t="str">
            <v>X2W-763</v>
          </cell>
          <cell r="H55" t="str">
            <v>FREIGHTLINER</v>
          </cell>
          <cell r="I55" t="str">
            <v>M2 112</v>
          </cell>
          <cell r="J55">
            <v>2012</v>
          </cell>
          <cell r="K55" t="str">
            <v>C5V-997</v>
          </cell>
          <cell r="L55" t="str">
            <v>LAS BAMBAS</v>
          </cell>
        </row>
        <row r="56">
          <cell r="G56" t="str">
            <v>X2W-765</v>
          </cell>
          <cell r="H56" t="str">
            <v>FREIGHTLINER</v>
          </cell>
          <cell r="I56" t="str">
            <v>M2 112</v>
          </cell>
          <cell r="J56">
            <v>2012</v>
          </cell>
          <cell r="K56" t="str">
            <v>C5V-993</v>
          </cell>
          <cell r="L56" t="str">
            <v>LAS BAMBAS</v>
          </cell>
        </row>
        <row r="57">
          <cell r="G57" t="str">
            <v>X2W-788</v>
          </cell>
          <cell r="H57" t="str">
            <v>FREIGHTLINER</v>
          </cell>
          <cell r="I57" t="str">
            <v>M2 112</v>
          </cell>
          <cell r="J57">
            <v>2012</v>
          </cell>
          <cell r="K57" t="str">
            <v>C5V-994</v>
          </cell>
          <cell r="L57" t="str">
            <v>LAS BAMBAS</v>
          </cell>
        </row>
        <row r="58">
          <cell r="G58" t="str">
            <v>X2W-791</v>
          </cell>
          <cell r="H58" t="str">
            <v>FREIGHTLINER</v>
          </cell>
          <cell r="I58" t="str">
            <v>M2 112</v>
          </cell>
          <cell r="J58">
            <v>2012</v>
          </cell>
          <cell r="K58" t="str">
            <v>C5V-989</v>
          </cell>
          <cell r="L58" t="str">
            <v>LAS BAMBAS</v>
          </cell>
        </row>
        <row r="59">
          <cell r="G59" t="str">
            <v>D7N-755</v>
          </cell>
          <cell r="H59" t="str">
            <v>VOLVO</v>
          </cell>
          <cell r="I59" t="str">
            <v>FH 6X4 T</v>
          </cell>
          <cell r="J59">
            <v>2013</v>
          </cell>
          <cell r="K59" t="str">
            <v>F7L-983</v>
          </cell>
          <cell r="L59" t="str">
            <v>LAS BAMBAS</v>
          </cell>
        </row>
        <row r="60">
          <cell r="G60" t="str">
            <v>D7V-714</v>
          </cell>
          <cell r="H60" t="str">
            <v>VOLVO</v>
          </cell>
          <cell r="I60" t="str">
            <v>FH 6X4 T</v>
          </cell>
          <cell r="J60">
            <v>2013</v>
          </cell>
          <cell r="K60" t="str">
            <v>F7M-971</v>
          </cell>
          <cell r="L60" t="str">
            <v>LAS BAMBAS</v>
          </cell>
        </row>
        <row r="61">
          <cell r="G61" t="str">
            <v>AKW-731</v>
          </cell>
          <cell r="H61" t="str">
            <v>FREIGHTLINER</v>
          </cell>
          <cell r="I61" t="str">
            <v>CL 120</v>
          </cell>
          <cell r="J61">
            <v>2015</v>
          </cell>
          <cell r="K61" t="str">
            <v>TCR-989</v>
          </cell>
          <cell r="L61" t="str">
            <v>LAS BAMBAS CONC.</v>
          </cell>
        </row>
        <row r="62">
          <cell r="G62" t="str">
            <v>AKX-767</v>
          </cell>
          <cell r="H62" t="str">
            <v>FREIGHTLINER</v>
          </cell>
          <cell r="I62" t="str">
            <v>CL 120</v>
          </cell>
          <cell r="J62">
            <v>2015</v>
          </cell>
          <cell r="K62" t="str">
            <v>TCR-993</v>
          </cell>
          <cell r="L62" t="str">
            <v>LAS BAMBAS CONC.</v>
          </cell>
        </row>
        <row r="63">
          <cell r="G63" t="str">
            <v>C6X-739</v>
          </cell>
          <cell r="H63" t="str">
            <v>FREIGHTLINER</v>
          </cell>
          <cell r="I63" t="str">
            <v>CL 120</v>
          </cell>
          <cell r="J63">
            <v>2012</v>
          </cell>
          <cell r="K63" t="str">
            <v>TCS-988</v>
          </cell>
          <cell r="L63" t="str">
            <v>LAS BAMBAS CONC.</v>
          </cell>
        </row>
        <row r="64">
          <cell r="G64" t="str">
            <v>A9H-889</v>
          </cell>
          <cell r="H64" t="str">
            <v>HINO</v>
          </cell>
          <cell r="I64" t="str">
            <v>FM26 6X4</v>
          </cell>
          <cell r="J64">
            <v>2010</v>
          </cell>
          <cell r="K64" t="str">
            <v>CAMION</v>
          </cell>
          <cell r="L64" t="str">
            <v>TAMBOMAYO</v>
          </cell>
        </row>
        <row r="65">
          <cell r="G65" t="str">
            <v>B2L-889</v>
          </cell>
          <cell r="H65" t="str">
            <v>HINO</v>
          </cell>
          <cell r="I65" t="str">
            <v>FM26 6X4</v>
          </cell>
          <cell r="J65">
            <v>2010</v>
          </cell>
          <cell r="K65" t="str">
            <v>CAMION</v>
          </cell>
          <cell r="L65" t="str">
            <v>TAMBOMAYO</v>
          </cell>
        </row>
        <row r="66">
          <cell r="G66" t="str">
            <v>B2M-948</v>
          </cell>
          <cell r="H66" t="str">
            <v>HINO</v>
          </cell>
          <cell r="I66" t="str">
            <v>FM26 6X4</v>
          </cell>
          <cell r="J66">
            <v>2010</v>
          </cell>
          <cell r="K66" t="str">
            <v>CAMION</v>
          </cell>
          <cell r="L66" t="str">
            <v>TAMBOMAYO</v>
          </cell>
        </row>
        <row r="67">
          <cell r="G67" t="str">
            <v>TALLER</v>
          </cell>
          <cell r="H67" t="str">
            <v>TALLER</v>
          </cell>
          <cell r="I67" t="str">
            <v>TALLER</v>
          </cell>
          <cell r="J67" t="str">
            <v>TALLER</v>
          </cell>
          <cell r="K67" t="str">
            <v>TALLER</v>
          </cell>
          <cell r="L67" t="str">
            <v>TALLER</v>
          </cell>
        </row>
        <row r="68">
          <cell r="G68" t="str">
            <v>AAM-837</v>
          </cell>
          <cell r="H68" t="str">
            <v>TOYOTA</v>
          </cell>
          <cell r="I68" t="str">
            <v>HI LUX</v>
          </cell>
          <cell r="J68">
            <v>2014</v>
          </cell>
          <cell r="K68" t="str">
            <v>CAMIONETA</v>
          </cell>
          <cell r="L68" t="str">
            <v>LAS BAMBAS</v>
          </cell>
        </row>
        <row r="69">
          <cell r="G69" t="str">
            <v>AAN-801</v>
          </cell>
          <cell r="H69" t="str">
            <v>TOYOTA</v>
          </cell>
          <cell r="I69" t="str">
            <v>HI LUX</v>
          </cell>
          <cell r="J69">
            <v>2014</v>
          </cell>
          <cell r="K69" t="str">
            <v>CAMIONETA</v>
          </cell>
          <cell r="L69" t="str">
            <v>LAS BAMBAS</v>
          </cell>
        </row>
        <row r="70">
          <cell r="G70" t="str">
            <v>AEG-922</v>
          </cell>
          <cell r="H70" t="str">
            <v>TOYOTA</v>
          </cell>
          <cell r="I70" t="str">
            <v>HI LUX</v>
          </cell>
          <cell r="J70">
            <v>2014</v>
          </cell>
          <cell r="K70" t="str">
            <v>CAMIONETA</v>
          </cell>
          <cell r="L70" t="str">
            <v>LAS BAMBAS</v>
          </cell>
        </row>
        <row r="71">
          <cell r="G71" t="str">
            <v>AEH-801</v>
          </cell>
          <cell r="H71" t="str">
            <v>TOYOTA</v>
          </cell>
          <cell r="I71" t="str">
            <v>HI LUX</v>
          </cell>
          <cell r="J71">
            <v>2014</v>
          </cell>
          <cell r="K71" t="str">
            <v>CAMIONETA</v>
          </cell>
          <cell r="L71" t="str">
            <v>LAS BAMBAS</v>
          </cell>
        </row>
        <row r="72">
          <cell r="G72" t="str">
            <v>AEH-862</v>
          </cell>
          <cell r="H72" t="str">
            <v>TOYOTA</v>
          </cell>
          <cell r="I72" t="str">
            <v>HI LUX</v>
          </cell>
          <cell r="J72">
            <v>2014</v>
          </cell>
          <cell r="K72" t="str">
            <v>CAMIONETA</v>
          </cell>
          <cell r="L72" t="str">
            <v>LAS BAMBAS</v>
          </cell>
        </row>
        <row r="73">
          <cell r="G73" t="str">
            <v>AEH-888</v>
          </cell>
          <cell r="H73" t="str">
            <v>TOYOTA</v>
          </cell>
          <cell r="I73" t="str">
            <v>HI LUX</v>
          </cell>
          <cell r="J73">
            <v>2014</v>
          </cell>
          <cell r="K73" t="str">
            <v>CAMIONETA</v>
          </cell>
          <cell r="L73" t="str">
            <v>LAS BAMBAS</v>
          </cell>
        </row>
        <row r="74">
          <cell r="G74" t="str">
            <v>AEH-920</v>
          </cell>
          <cell r="H74" t="str">
            <v>TOYOTA</v>
          </cell>
          <cell r="I74" t="str">
            <v>HI LUX</v>
          </cell>
          <cell r="J74">
            <v>2014</v>
          </cell>
          <cell r="K74" t="str">
            <v>CAMIONETA</v>
          </cell>
          <cell r="L74" t="str">
            <v>LAS BAMBAS</v>
          </cell>
        </row>
        <row r="75">
          <cell r="G75" t="str">
            <v>AEJ-949</v>
          </cell>
          <cell r="H75" t="str">
            <v>TOYOTA</v>
          </cell>
          <cell r="I75" t="str">
            <v>HI LUX</v>
          </cell>
          <cell r="J75">
            <v>2014</v>
          </cell>
          <cell r="K75" t="str">
            <v>CAMIONETA</v>
          </cell>
          <cell r="L75" t="str">
            <v>LAS BAMBAS</v>
          </cell>
        </row>
        <row r="76">
          <cell r="G76" t="str">
            <v>C4G-751</v>
          </cell>
          <cell r="H76" t="str">
            <v>TOYOTA</v>
          </cell>
          <cell r="I76" t="str">
            <v>HI LUX</v>
          </cell>
          <cell r="J76">
            <v>2012</v>
          </cell>
          <cell r="K76" t="str">
            <v>CAMIONETA</v>
          </cell>
          <cell r="L76" t="str">
            <v>LAS BAMBAS</v>
          </cell>
        </row>
        <row r="77">
          <cell r="G77" t="str">
            <v>C4Q-898</v>
          </cell>
          <cell r="H77" t="str">
            <v>TOYOTA</v>
          </cell>
          <cell r="I77" t="str">
            <v>HI LUX</v>
          </cell>
          <cell r="J77">
            <v>2011</v>
          </cell>
          <cell r="K77" t="str">
            <v>CAMIONETA</v>
          </cell>
          <cell r="L77" t="str">
            <v>LAS BAMBAS</v>
          </cell>
        </row>
        <row r="78">
          <cell r="G78" t="str">
            <v>D4W-805</v>
          </cell>
          <cell r="H78" t="str">
            <v>MITSUBISHI</v>
          </cell>
          <cell r="I78" t="str">
            <v>L200</v>
          </cell>
          <cell r="J78">
            <v>2011</v>
          </cell>
          <cell r="K78" t="str">
            <v>CAMIONETA</v>
          </cell>
          <cell r="L78" t="str">
            <v>MANTENIMIENTO</v>
          </cell>
        </row>
        <row r="79">
          <cell r="G79" t="str">
            <v>AMV-781</v>
          </cell>
          <cell r="H79" t="str">
            <v>TOYOTA</v>
          </cell>
          <cell r="I79" t="str">
            <v>HI LUX</v>
          </cell>
          <cell r="J79">
            <v>2015</v>
          </cell>
          <cell r="K79" t="str">
            <v>CAMIONETA</v>
          </cell>
          <cell r="L79" t="str">
            <v>LAS BAMBAS</v>
          </cell>
        </row>
        <row r="80">
          <cell r="G80" t="str">
            <v>AMT-876</v>
          </cell>
          <cell r="H80" t="str">
            <v>TOYOTA</v>
          </cell>
          <cell r="I80" t="str">
            <v>HI LUX</v>
          </cell>
          <cell r="J80">
            <v>2015</v>
          </cell>
          <cell r="K80" t="str">
            <v>CAMIONETA</v>
          </cell>
          <cell r="L80" t="str">
            <v>LAS BAMBAS</v>
          </cell>
        </row>
        <row r="81">
          <cell r="G81" t="str">
            <v>AMT-866</v>
          </cell>
          <cell r="H81" t="str">
            <v>TOYOTA</v>
          </cell>
          <cell r="I81" t="str">
            <v>HI LUX</v>
          </cell>
          <cell r="J81">
            <v>2015</v>
          </cell>
          <cell r="K81" t="str">
            <v>CAMIONETA</v>
          </cell>
          <cell r="L81" t="str">
            <v>LAS BAMBAS</v>
          </cell>
        </row>
        <row r="82">
          <cell r="G82" t="str">
            <v>AHX-713</v>
          </cell>
          <cell r="H82">
            <v>0</v>
          </cell>
          <cell r="I82">
            <v>0</v>
          </cell>
          <cell r="J82">
            <v>0</v>
          </cell>
          <cell r="K82" t="str">
            <v>D9S-976</v>
          </cell>
          <cell r="L82" t="str">
            <v>LAS BAMBAS</v>
          </cell>
        </row>
        <row r="83">
          <cell r="G83" t="str">
            <v>APG-726</v>
          </cell>
          <cell r="H83">
            <v>0</v>
          </cell>
          <cell r="I83">
            <v>0</v>
          </cell>
          <cell r="J83">
            <v>0</v>
          </cell>
          <cell r="K83" t="str">
            <v>CAMIONETA</v>
          </cell>
          <cell r="L83" t="str">
            <v>LAS BAMBAS</v>
          </cell>
        </row>
        <row r="84">
          <cell r="G84" t="str">
            <v>B9E-813</v>
          </cell>
          <cell r="H84" t="str">
            <v>MITSUBISHI</v>
          </cell>
          <cell r="I84" t="str">
            <v>L200</v>
          </cell>
          <cell r="J84">
            <v>0</v>
          </cell>
          <cell r="K84" t="str">
            <v>CAMIONETA</v>
          </cell>
          <cell r="L84" t="str">
            <v>LOGISTICA</v>
          </cell>
        </row>
        <row r="85">
          <cell r="G85" t="str">
            <v>APF-776</v>
          </cell>
          <cell r="H85" t="str">
            <v>TOYOTA</v>
          </cell>
          <cell r="I85" t="str">
            <v>HI LUX</v>
          </cell>
          <cell r="J85">
            <v>2015</v>
          </cell>
          <cell r="K85" t="str">
            <v>CAMIONETA</v>
          </cell>
          <cell r="L85" t="str">
            <v>LAS BAMBAS</v>
          </cell>
        </row>
        <row r="86">
          <cell r="G86" t="str">
            <v>AAF-727</v>
          </cell>
          <cell r="H86">
            <v>0</v>
          </cell>
          <cell r="I86">
            <v>0</v>
          </cell>
          <cell r="J86">
            <v>0</v>
          </cell>
          <cell r="K86" t="str">
            <v>D5I-978</v>
          </cell>
          <cell r="L86" t="str">
            <v>TPE</v>
          </cell>
        </row>
        <row r="87">
          <cell r="G87" t="str">
            <v>APH-782</v>
          </cell>
          <cell r="H87" t="str">
            <v>MITSUBISHI</v>
          </cell>
          <cell r="I87" t="str">
            <v>L200</v>
          </cell>
          <cell r="J87">
            <v>2015</v>
          </cell>
          <cell r="K87" t="str">
            <v>CAMIONETA</v>
          </cell>
          <cell r="L87" t="str">
            <v>LAS BAMBAS</v>
          </cell>
        </row>
        <row r="88"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</row>
        <row r="143"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</row>
        <row r="148"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  <row r="216"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</row>
        <row r="218"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</row>
        <row r="219"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</row>
        <row r="220"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</row>
        <row r="221"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</row>
        <row r="224"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</row>
        <row r="225"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</row>
        <row r="226"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</row>
        <row r="227"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</row>
        <row r="228"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</row>
        <row r="229"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</row>
        <row r="231"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</row>
        <row r="232"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</row>
        <row r="233"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</row>
        <row r="234"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</row>
        <row r="235"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</row>
        <row r="236"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</row>
        <row r="237"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</row>
        <row r="238"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</row>
        <row r="239"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</row>
        <row r="240"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</row>
        <row r="241"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</row>
        <row r="242"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</row>
        <row r="243"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</row>
        <row r="244"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</row>
        <row r="245"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</row>
        <row r="246"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</row>
        <row r="247"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</row>
        <row r="248"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</row>
        <row r="249"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</row>
        <row r="250"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</row>
        <row r="251"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</row>
        <row r="252"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</row>
        <row r="253"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</row>
        <row r="254"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</row>
        <row r="255"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</row>
        <row r="256"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</row>
        <row r="257"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</row>
        <row r="258"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</row>
        <row r="259"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</row>
        <row r="260"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</row>
        <row r="261"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</row>
        <row r="262"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</row>
        <row r="263"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</row>
        <row r="264"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</row>
        <row r="265"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</row>
        <row r="266"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</row>
        <row r="267"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</row>
        <row r="268"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</row>
        <row r="269"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</row>
        <row r="270"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</row>
        <row r="272"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</row>
        <row r="273"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</row>
        <row r="274"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</row>
        <row r="275"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</row>
        <row r="276"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</row>
        <row r="277"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</row>
        <row r="278"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</row>
        <row r="279"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</row>
        <row r="280"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</row>
        <row r="281"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</row>
        <row r="282"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</row>
        <row r="283"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</row>
        <row r="284"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</row>
        <row r="285"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</row>
        <row r="286"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</row>
        <row r="287"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</row>
        <row r="288"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</row>
        <row r="289"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</row>
        <row r="290"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</row>
        <row r="291"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</row>
        <row r="292"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</row>
        <row r="293"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</row>
        <row r="294"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</row>
        <row r="295"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</row>
        <row r="296"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</row>
        <row r="297"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</row>
        <row r="298"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</row>
        <row r="299"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</row>
        <row r="300"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</row>
        <row r="301"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</row>
        <row r="302"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</row>
        <row r="304"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</row>
        <row r="305"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</row>
        <row r="306"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</row>
        <row r="307"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</row>
        <row r="308"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</row>
        <row r="309"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</row>
        <row r="310"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</row>
        <row r="311"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</row>
        <row r="312"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</row>
        <row r="313"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</row>
        <row r="314"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</row>
        <row r="315"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</row>
        <row r="317"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</row>
        <row r="318"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</row>
        <row r="319"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</row>
        <row r="320"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</row>
        <row r="321"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</row>
        <row r="322"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</row>
        <row r="323"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</row>
        <row r="324"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</row>
        <row r="325"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</row>
        <row r="326"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</row>
        <row r="327"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</row>
        <row r="328"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</row>
        <row r="329"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</row>
        <row r="330"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</row>
        <row r="331"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</row>
        <row r="332"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</row>
        <row r="333"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</row>
        <row r="334"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</row>
        <row r="335"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</row>
        <row r="336"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</row>
        <row r="337"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</row>
        <row r="338"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</row>
        <row r="339"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</row>
        <row r="340"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</row>
        <row r="341"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</row>
        <row r="342"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</row>
        <row r="343"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</row>
        <row r="344"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</row>
        <row r="345"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</row>
        <row r="346"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</row>
        <row r="347"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</row>
        <row r="348"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</row>
        <row r="349"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</row>
        <row r="350"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</row>
        <row r="351"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</row>
        <row r="352"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</row>
        <row r="353"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</row>
        <row r="354"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</row>
        <row r="355"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</row>
        <row r="356"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</row>
        <row r="357"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</row>
        <row r="358"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</row>
        <row r="359"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</row>
        <row r="360"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</row>
        <row r="362"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</row>
        <row r="363"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</row>
        <row r="364"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</row>
        <row r="365"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</row>
        <row r="366"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</row>
        <row r="367"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</row>
        <row r="368"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</row>
        <row r="369"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</row>
        <row r="370"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</row>
        <row r="371"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</row>
        <row r="372"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</row>
        <row r="373"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</row>
        <row r="374"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</row>
        <row r="375"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</row>
        <row r="376"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</row>
        <row r="377"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</row>
        <row r="378"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</row>
        <row r="379"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</row>
        <row r="381"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</row>
        <row r="382"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</row>
        <row r="383"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</row>
        <row r="384"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</row>
        <row r="385"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</row>
        <row r="386"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</row>
        <row r="387"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</row>
        <row r="388"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</row>
        <row r="389"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</row>
        <row r="390"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</row>
        <row r="391"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</row>
        <row r="392"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</row>
        <row r="393"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</row>
        <row r="394"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</row>
        <row r="395"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</row>
        <row r="396"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</row>
        <row r="397"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</row>
        <row r="398"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</row>
        <row r="399"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BICACIONES"/>
      <sheetName val="Inicio"/>
      <sheetName val="STOCK PLANTILLA"/>
      <sheetName val="STOCK"/>
      <sheetName val="REQUERIMIENTOS"/>
      <sheetName val="Hoja2"/>
      <sheetName val="listProductos"/>
      <sheetName val="Productos"/>
      <sheetName val="Proveedor"/>
      <sheetName val="Clientes"/>
      <sheetName val="Kardex"/>
      <sheetName val="TABLA KARDEX"/>
      <sheetName val="Entradas"/>
      <sheetName val="Salidas"/>
      <sheetName val="Movimientos"/>
      <sheetName val="PrintCompras"/>
      <sheetName val="NOTAS"/>
      <sheetName val="PrintVentas"/>
      <sheetName val="Hoja3"/>
      <sheetName val="Hoja1"/>
      <sheetName val="Calculos"/>
      <sheetName val="CONTROL INVENTARIO HPK 22(Rec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BICACIONES"/>
      <sheetName val="Inicio"/>
      <sheetName val="STOCK PLANTILLA"/>
      <sheetName val="STOCK"/>
      <sheetName val="REQUERIMIENTOS"/>
      <sheetName val="Hoja2"/>
      <sheetName val="listProductos"/>
      <sheetName val="Productos"/>
      <sheetName val="Proveedor"/>
      <sheetName val="Clientes"/>
      <sheetName val="Kardex"/>
      <sheetName val="TABLA KARDEX"/>
      <sheetName val="Entradas"/>
      <sheetName val="Salidas"/>
      <sheetName val="Movimientos"/>
      <sheetName val="PrintCompras"/>
      <sheetName val="NOTAS"/>
      <sheetName val="PrintVentas"/>
      <sheetName val="Hoja3"/>
      <sheetName val="Hoja1"/>
      <sheetName val="Calculos"/>
      <sheetName val="Hoja4"/>
      <sheetName val="COMPRAS PIO (2)"/>
      <sheetName val="FORMA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A4" t="str">
            <v>Codigo</v>
          </cell>
          <cell r="B4" t="str">
            <v>Categoría</v>
          </cell>
          <cell r="C4" t="str">
            <v>Nombre de Producto</v>
          </cell>
          <cell r="D4" t="str">
            <v>Medida</v>
          </cell>
          <cell r="E4" t="str">
            <v>Existencia</v>
          </cell>
          <cell r="F4" t="str">
            <v>STOCK MÍNIMO</v>
          </cell>
          <cell r="G4" t="str">
            <v>FALTA</v>
          </cell>
          <cell r="H4" t="str">
            <v>MARCA</v>
          </cell>
          <cell r="I4" t="str">
            <v>MODELO</v>
          </cell>
          <cell r="J4" t="str">
            <v>CILINDRO</v>
          </cell>
          <cell r="K4" t="str">
            <v>UBICACIÓN</v>
          </cell>
        </row>
        <row r="5">
          <cell r="A5" t="str">
            <v>8T-8382</v>
          </cell>
          <cell r="B5" t="str">
            <v>SEAL</v>
          </cell>
          <cell r="C5" t="str">
            <v>SEAL</v>
          </cell>
          <cell r="D5" t="str">
            <v>UND</v>
          </cell>
          <cell r="E5">
            <v>4</v>
          </cell>
          <cell r="F5">
            <v>1</v>
          </cell>
          <cell r="G5">
            <v>3</v>
          </cell>
          <cell r="H5" t="str">
            <v>CATERPILLAR</v>
          </cell>
          <cell r="I5" t="str">
            <v>-</v>
          </cell>
          <cell r="J5" t="str">
            <v>-</v>
          </cell>
          <cell r="K5" t="str">
            <v>5B02</v>
          </cell>
        </row>
        <row r="6">
          <cell r="A6" t="str">
            <v>4J-4606</v>
          </cell>
          <cell r="B6" t="str">
            <v>RING</v>
          </cell>
          <cell r="C6" t="str">
            <v>RING</v>
          </cell>
          <cell r="D6" t="str">
            <v>UND</v>
          </cell>
          <cell r="E6">
            <v>0</v>
          </cell>
          <cell r="F6">
            <v>2</v>
          </cell>
          <cell r="G6">
            <v>-2</v>
          </cell>
          <cell r="H6">
            <v>0</v>
          </cell>
          <cell r="I6" t="str">
            <v>-</v>
          </cell>
          <cell r="J6" t="str">
            <v>-</v>
          </cell>
          <cell r="K6" t="str">
            <v>1B01</v>
          </cell>
        </row>
        <row r="7">
          <cell r="A7" t="str">
            <v>246-0635</v>
          </cell>
          <cell r="B7" t="str">
            <v>SEAL KIT</v>
          </cell>
          <cell r="C7" t="str">
            <v>KIT DE SELLOS</v>
          </cell>
          <cell r="D7" t="str">
            <v>UND</v>
          </cell>
          <cell r="E7">
            <v>0</v>
          </cell>
          <cell r="F7">
            <v>2</v>
          </cell>
          <cell r="G7">
            <v>-2</v>
          </cell>
          <cell r="H7" t="str">
            <v>CATERPILLAR</v>
          </cell>
          <cell r="I7" t="str">
            <v>D11T</v>
          </cell>
          <cell r="J7" t="str">
            <v>CILINDRO DE LEVANTE DE RIPPER</v>
          </cell>
          <cell r="K7" t="str">
            <v>2E01</v>
          </cell>
        </row>
        <row r="8">
          <cell r="A8" t="str">
            <v>9J-0520</v>
          </cell>
          <cell r="B8" t="str">
            <v>INSERT</v>
          </cell>
          <cell r="C8" t="str">
            <v>VALVULAS</v>
          </cell>
          <cell r="D8" t="str">
            <v>UND</v>
          </cell>
          <cell r="E8">
            <v>4</v>
          </cell>
          <cell r="F8">
            <v>2</v>
          </cell>
          <cell r="G8">
            <v>2</v>
          </cell>
          <cell r="H8" t="str">
            <v>CATERPILLAR</v>
          </cell>
          <cell r="I8" t="str">
            <v>D11T</v>
          </cell>
          <cell r="J8" t="str">
            <v>CILINDRO DE LEVANTE DE BULLDOZER</v>
          </cell>
          <cell r="K8" t="str">
            <v>1D04</v>
          </cell>
        </row>
        <row r="9">
          <cell r="A9" t="str">
            <v>8T-7538</v>
          </cell>
          <cell r="B9" t="str">
            <v>RING</v>
          </cell>
          <cell r="C9" t="str">
            <v>RING / ANILLO DE DESGASTE</v>
          </cell>
          <cell r="D9" t="str">
            <v>UND</v>
          </cell>
          <cell r="E9">
            <v>3</v>
          </cell>
          <cell r="F9">
            <v>3</v>
          </cell>
          <cell r="G9">
            <v>0</v>
          </cell>
          <cell r="H9">
            <v>0</v>
          </cell>
          <cell r="K9" t="str">
            <v>1C01</v>
          </cell>
        </row>
        <row r="10">
          <cell r="A10" t="str">
            <v>118-0611</v>
          </cell>
          <cell r="B10" t="str">
            <v>INSERT</v>
          </cell>
          <cell r="C10" t="str">
            <v>VALVULAS</v>
          </cell>
          <cell r="D10" t="str">
            <v>UND</v>
          </cell>
          <cell r="E10">
            <v>2</v>
          </cell>
          <cell r="F10">
            <v>2</v>
          </cell>
          <cell r="G10">
            <v>0</v>
          </cell>
          <cell r="H10">
            <v>0</v>
          </cell>
          <cell r="K10" t="str">
            <v>1D05</v>
          </cell>
        </row>
        <row r="11">
          <cell r="A11" t="str">
            <v>222-3785</v>
          </cell>
          <cell r="B11" t="str">
            <v>SCREW-VEN</v>
          </cell>
          <cell r="C11" t="str">
            <v>SCREW-VEN</v>
          </cell>
          <cell r="D11" t="str">
            <v>UND</v>
          </cell>
          <cell r="E11">
            <v>4</v>
          </cell>
          <cell r="F11">
            <v>4</v>
          </cell>
          <cell r="G11">
            <v>0</v>
          </cell>
          <cell r="H11">
            <v>0</v>
          </cell>
          <cell r="K11" t="str">
            <v>1D06</v>
          </cell>
        </row>
        <row r="12">
          <cell r="A12" t="str">
            <v>4J-7376</v>
          </cell>
          <cell r="B12" t="str">
            <v>RING</v>
          </cell>
          <cell r="C12" t="str">
            <v>RING / ANILLO DE DESGASTE</v>
          </cell>
          <cell r="D12" t="str">
            <v>UND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K12" t="str">
            <v>1C02</v>
          </cell>
        </row>
        <row r="13">
          <cell r="A13" t="str">
            <v>8T-6744</v>
          </cell>
          <cell r="B13" t="str">
            <v>RING</v>
          </cell>
          <cell r="C13" t="str">
            <v>RING / ANILLO DE DESGASTE</v>
          </cell>
          <cell r="D13" t="str">
            <v>UND</v>
          </cell>
          <cell r="E13">
            <v>2</v>
          </cell>
          <cell r="F13">
            <v>1</v>
          </cell>
          <cell r="G13">
            <v>0</v>
          </cell>
          <cell r="H13">
            <v>0</v>
          </cell>
          <cell r="K13" t="str">
            <v>1C03</v>
          </cell>
        </row>
        <row r="14">
          <cell r="A14" t="str">
            <v>370-4866</v>
          </cell>
          <cell r="B14" t="str">
            <v>SEAL KIT</v>
          </cell>
          <cell r="C14" t="str">
            <v>SEAL KIT</v>
          </cell>
          <cell r="D14" t="str">
            <v>UND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K14" t="str">
            <v>3B05</v>
          </cell>
        </row>
        <row r="15">
          <cell r="A15" t="str">
            <v>EH7194</v>
          </cell>
          <cell r="B15" t="str">
            <v>SELLO</v>
          </cell>
          <cell r="C15" t="str">
            <v>SELLO</v>
          </cell>
          <cell r="D15" t="str">
            <v>UND</v>
          </cell>
          <cell r="E15">
            <v>1</v>
          </cell>
          <cell r="F15">
            <v>7</v>
          </cell>
          <cell r="G15">
            <v>0</v>
          </cell>
          <cell r="H15">
            <v>0</v>
          </cell>
          <cell r="K15" t="str">
            <v>5A03</v>
          </cell>
        </row>
        <row r="16">
          <cell r="A16" t="str">
            <v>EH7196</v>
          </cell>
          <cell r="B16" t="str">
            <v>SELLO</v>
          </cell>
          <cell r="C16" t="str">
            <v>SELLO</v>
          </cell>
          <cell r="D16" t="str">
            <v>UND</v>
          </cell>
          <cell r="E16">
            <v>1</v>
          </cell>
          <cell r="F16">
            <v>7</v>
          </cell>
          <cell r="G16">
            <v>0</v>
          </cell>
          <cell r="H16">
            <v>0</v>
          </cell>
          <cell r="K16" t="str">
            <v>5A03</v>
          </cell>
        </row>
        <row r="17">
          <cell r="A17" t="str">
            <v>185-7688</v>
          </cell>
          <cell r="B17" t="str">
            <v>SEAL KIT</v>
          </cell>
          <cell r="C17" t="str">
            <v>KIT DE SELLOS</v>
          </cell>
          <cell r="D17" t="str">
            <v>UND</v>
          </cell>
          <cell r="E17">
            <v>2</v>
          </cell>
          <cell r="F17">
            <v>2</v>
          </cell>
          <cell r="G17">
            <v>0</v>
          </cell>
          <cell r="H17" t="str">
            <v>CATERPILLAR</v>
          </cell>
          <cell r="I17" t="str">
            <v>24M</v>
          </cell>
          <cell r="J17" t="str">
            <v>CILINDRO DE LEVANTE DE RIPPER</v>
          </cell>
          <cell r="K17" t="str">
            <v>3E04</v>
          </cell>
        </row>
        <row r="18">
          <cell r="A18" t="str">
            <v>1J-8569</v>
          </cell>
          <cell r="B18" t="str">
            <v>INSERT</v>
          </cell>
          <cell r="C18" t="str">
            <v>INSERT / VÁLVULAS</v>
          </cell>
          <cell r="D18" t="str">
            <v>UND</v>
          </cell>
          <cell r="E18">
            <v>0</v>
          </cell>
          <cell r="F18">
            <v>2</v>
          </cell>
          <cell r="G18">
            <v>-2</v>
          </cell>
          <cell r="H18" t="str">
            <v>CATERPILLAR</v>
          </cell>
          <cell r="I18" t="str">
            <v>D11T</v>
          </cell>
          <cell r="J18" t="str">
            <v>CILINDRO DE INCLINACIÓN DE BULLDOZER / CILINDRO DE LEVANTE DE RIPPER</v>
          </cell>
          <cell r="K18" t="str">
            <v>1D01</v>
          </cell>
        </row>
        <row r="19">
          <cell r="A19" t="str">
            <v>533-4824</v>
          </cell>
          <cell r="B19" t="str">
            <v>SNAP RING</v>
          </cell>
          <cell r="C19" t="str">
            <v>SNAP RING</v>
          </cell>
          <cell r="D19" t="str">
            <v>UND</v>
          </cell>
          <cell r="E19">
            <v>1</v>
          </cell>
          <cell r="F19">
            <v>4</v>
          </cell>
          <cell r="G19">
            <v>-3</v>
          </cell>
          <cell r="H19" t="str">
            <v>CATERPILLAR</v>
          </cell>
          <cell r="I19" t="str">
            <v>793D</v>
          </cell>
          <cell r="J19" t="str">
            <v>CILINDRO DE DIRECCION</v>
          </cell>
          <cell r="K19" t="str">
            <v>2C03</v>
          </cell>
        </row>
        <row r="20">
          <cell r="A20" t="str">
            <v>5M-0544</v>
          </cell>
          <cell r="B20" t="str">
            <v>BOLT</v>
          </cell>
          <cell r="C20" t="str">
            <v>BOLT</v>
          </cell>
          <cell r="D20" t="str">
            <v>UND</v>
          </cell>
          <cell r="E20">
            <v>7</v>
          </cell>
          <cell r="F20">
            <v>7</v>
          </cell>
          <cell r="G20">
            <v>0</v>
          </cell>
          <cell r="H20" t="str">
            <v>CATERPILLAR</v>
          </cell>
          <cell r="I20" t="str">
            <v>844H</v>
          </cell>
          <cell r="J20" t="str">
            <v>CILINDRO DE INCLINACIÓN DE BULLDOZER</v>
          </cell>
          <cell r="K20" t="str">
            <v>1EO3</v>
          </cell>
        </row>
        <row r="21">
          <cell r="A21" t="str">
            <v>6E-0804</v>
          </cell>
          <cell r="B21" t="str">
            <v>BEARING</v>
          </cell>
          <cell r="C21" t="str">
            <v>BEARING</v>
          </cell>
          <cell r="D21" t="str">
            <v>UND</v>
          </cell>
          <cell r="E21">
            <v>1</v>
          </cell>
          <cell r="F21">
            <v>3</v>
          </cell>
          <cell r="G21">
            <v>-2</v>
          </cell>
          <cell r="H21" t="str">
            <v>CATERPILLAR</v>
          </cell>
          <cell r="I21" t="str">
            <v>844H</v>
          </cell>
          <cell r="J21" t="str">
            <v>CILINDRO DE DIRECCIÓN</v>
          </cell>
          <cell r="K21" t="str">
            <v>2D03</v>
          </cell>
        </row>
        <row r="22">
          <cell r="A22" t="str">
            <v>6V-7959</v>
          </cell>
          <cell r="B22" t="str">
            <v>BEARING</v>
          </cell>
          <cell r="C22" t="str">
            <v>BEARING</v>
          </cell>
          <cell r="D22" t="str">
            <v>UND</v>
          </cell>
          <cell r="E22">
            <v>4</v>
          </cell>
          <cell r="F22">
            <v>4</v>
          </cell>
          <cell r="G22">
            <v>0</v>
          </cell>
          <cell r="H22" t="str">
            <v>CATERPILLAR</v>
          </cell>
          <cell r="I22" t="str">
            <v>793D</v>
          </cell>
          <cell r="J22" t="str">
            <v>CILINDRO DE DIRECCION</v>
          </cell>
          <cell r="K22" t="str">
            <v>4B02</v>
          </cell>
        </row>
        <row r="23">
          <cell r="A23" t="str">
            <v>7J-9694</v>
          </cell>
          <cell r="B23" t="str">
            <v>BRG SLEEVE</v>
          </cell>
          <cell r="C23" t="str">
            <v>BRG SLEEVE / BEARING</v>
          </cell>
          <cell r="D23" t="str">
            <v>UND</v>
          </cell>
          <cell r="E23">
            <v>0</v>
          </cell>
          <cell r="F23">
            <v>6</v>
          </cell>
          <cell r="G23">
            <v>-6</v>
          </cell>
          <cell r="H23" t="str">
            <v>CATERPILLAR</v>
          </cell>
          <cell r="I23" t="str">
            <v>24M</v>
          </cell>
          <cell r="J23" t="str">
            <v>CILINDRO DE BLADELIFT</v>
          </cell>
          <cell r="K23" t="str">
            <v>4B03</v>
          </cell>
        </row>
        <row r="24">
          <cell r="A24" t="str">
            <v>9J-1175</v>
          </cell>
          <cell r="B24" t="str">
            <v>BEARING SLEEVE</v>
          </cell>
          <cell r="C24" t="str">
            <v>BEARING SLEEVE</v>
          </cell>
          <cell r="D24" t="str">
            <v>UND</v>
          </cell>
          <cell r="E24">
            <v>1</v>
          </cell>
          <cell r="F24">
            <v>4</v>
          </cell>
          <cell r="G24">
            <v>-3</v>
          </cell>
          <cell r="H24" t="str">
            <v>CATERPILLAR</v>
          </cell>
          <cell r="I24" t="str">
            <v>D11T</v>
          </cell>
          <cell r="J24" t="str">
            <v>CILINDRO DE LEVANTE DE RIPPER / CILINDRO DE VOLTEO DE RIPPER</v>
          </cell>
          <cell r="K24" t="str">
            <v>4B06</v>
          </cell>
        </row>
        <row r="25">
          <cell r="A25" t="str">
            <v>AK-4307</v>
          </cell>
          <cell r="B25" t="str">
            <v>SEAL KIT STEERING CIL</v>
          </cell>
          <cell r="C25" t="str">
            <v>SEAL KIT STEERING CIL / REVISAR AK020</v>
          </cell>
          <cell r="D25" t="str">
            <v>UND</v>
          </cell>
          <cell r="E25">
            <v>2</v>
          </cell>
          <cell r="F25">
            <v>2</v>
          </cell>
          <cell r="G25">
            <v>0</v>
          </cell>
          <cell r="H25" t="str">
            <v>KOMATSU</v>
          </cell>
          <cell r="I25">
            <v>930</v>
          </cell>
          <cell r="J25" t="str">
            <v>CILINDRO DE DIRECCIÓN</v>
          </cell>
          <cell r="K25" t="str">
            <v>3C02</v>
          </cell>
        </row>
        <row r="26">
          <cell r="A26" t="str">
            <v>8C-9161</v>
          </cell>
          <cell r="B26" t="str">
            <v>RING-WEAR</v>
          </cell>
          <cell r="C26" t="str">
            <v>RING-WEAR / ANILLO DE DESGASTE</v>
          </cell>
          <cell r="D26" t="str">
            <v>UND</v>
          </cell>
          <cell r="E26">
            <v>3</v>
          </cell>
          <cell r="F26">
            <v>3</v>
          </cell>
          <cell r="G26">
            <v>0</v>
          </cell>
          <cell r="H26" t="str">
            <v>CAT</v>
          </cell>
          <cell r="K26" t="str">
            <v>1C05</v>
          </cell>
        </row>
        <row r="27">
          <cell r="A27" t="str">
            <v>7J-2087</v>
          </cell>
          <cell r="B27" t="str">
            <v>RING WEAR</v>
          </cell>
          <cell r="C27" t="str">
            <v>RING WEAR</v>
          </cell>
          <cell r="D27" t="str">
            <v>UND</v>
          </cell>
          <cell r="E27">
            <v>2</v>
          </cell>
          <cell r="F27">
            <v>2</v>
          </cell>
          <cell r="G27">
            <v>0</v>
          </cell>
          <cell r="H27">
            <v>0</v>
          </cell>
          <cell r="K27" t="str">
            <v>1B04</v>
          </cell>
        </row>
        <row r="28">
          <cell r="A28" t="str">
            <v>7J-1397</v>
          </cell>
          <cell r="B28" t="str">
            <v>BEARING</v>
          </cell>
          <cell r="C28" t="str">
            <v>REARING</v>
          </cell>
          <cell r="D28" t="str">
            <v>UND</v>
          </cell>
          <cell r="E28">
            <v>1</v>
          </cell>
          <cell r="F28">
            <v>1</v>
          </cell>
          <cell r="G28">
            <v>0</v>
          </cell>
          <cell r="H28">
            <v>0</v>
          </cell>
          <cell r="K28" t="str">
            <v>1A03</v>
          </cell>
        </row>
        <row r="29">
          <cell r="A29" t="str">
            <v>6V-3480</v>
          </cell>
          <cell r="B29" t="str">
            <v>NIPLE</v>
          </cell>
          <cell r="C29" t="str">
            <v>NIPLE</v>
          </cell>
          <cell r="D29" t="str">
            <v>UND</v>
          </cell>
          <cell r="E29">
            <v>11</v>
          </cell>
          <cell r="F29">
            <v>11</v>
          </cell>
          <cell r="G29">
            <v>0</v>
          </cell>
          <cell r="H29">
            <v>0</v>
          </cell>
          <cell r="K29" t="str">
            <v>2C01</v>
          </cell>
        </row>
        <row r="30">
          <cell r="A30" t="str">
            <v>5L-4756</v>
          </cell>
          <cell r="B30" t="str">
            <v>RING</v>
          </cell>
          <cell r="C30" t="str">
            <v>RING</v>
          </cell>
          <cell r="D30" t="str">
            <v>UND</v>
          </cell>
          <cell r="E30">
            <v>1</v>
          </cell>
          <cell r="F30">
            <v>1</v>
          </cell>
          <cell r="G30">
            <v>0</v>
          </cell>
          <cell r="H30">
            <v>0</v>
          </cell>
          <cell r="K30" t="str">
            <v>2C04</v>
          </cell>
        </row>
        <row r="31">
          <cell r="A31" t="str">
            <v>9D-6591</v>
          </cell>
          <cell r="B31" t="str">
            <v>SEAL</v>
          </cell>
          <cell r="C31" t="str">
            <v>SEAL</v>
          </cell>
          <cell r="D31" t="str">
            <v>UND</v>
          </cell>
          <cell r="E31">
            <v>4</v>
          </cell>
          <cell r="F31">
            <v>4</v>
          </cell>
          <cell r="G31">
            <v>0</v>
          </cell>
          <cell r="H31">
            <v>0</v>
          </cell>
          <cell r="K31" t="str">
            <v>2B06</v>
          </cell>
        </row>
        <row r="32">
          <cell r="A32" t="str">
            <v>8X-4043</v>
          </cell>
          <cell r="B32" t="str">
            <v>SPACER</v>
          </cell>
          <cell r="C32" t="str">
            <v>SPACER</v>
          </cell>
          <cell r="D32" t="str">
            <v>UND</v>
          </cell>
          <cell r="E32">
            <v>22</v>
          </cell>
          <cell r="F32">
            <v>21</v>
          </cell>
          <cell r="G32">
            <v>0</v>
          </cell>
          <cell r="H32" t="str">
            <v>CAT</v>
          </cell>
          <cell r="K32" t="str">
            <v>2A01</v>
          </cell>
        </row>
        <row r="33">
          <cell r="A33" t="str">
            <v>M10 X</v>
          </cell>
          <cell r="B33" t="str">
            <v>PERNO</v>
          </cell>
          <cell r="C33" t="str">
            <v>PERNO</v>
          </cell>
          <cell r="D33" t="str">
            <v>UND</v>
          </cell>
          <cell r="E33">
            <v>9</v>
          </cell>
          <cell r="F33">
            <v>9</v>
          </cell>
          <cell r="G33">
            <v>0</v>
          </cell>
          <cell r="H33">
            <v>0</v>
          </cell>
        </row>
        <row r="34">
          <cell r="A34" t="str">
            <v>312-4247</v>
          </cell>
          <cell r="B34" t="str">
            <v>SEAL WIPER</v>
          </cell>
          <cell r="C34" t="str">
            <v>SELLO WIPER</v>
          </cell>
          <cell r="D34" t="str">
            <v>UND</v>
          </cell>
          <cell r="E34">
            <v>0</v>
          </cell>
          <cell r="F34">
            <v>3</v>
          </cell>
          <cell r="G34">
            <v>0</v>
          </cell>
          <cell r="H34">
            <v>0</v>
          </cell>
          <cell r="K34" t="str">
            <v>4C01</v>
          </cell>
        </row>
        <row r="35">
          <cell r="A35" t="str">
            <v>8L-9241</v>
          </cell>
          <cell r="B35" t="str">
            <v>SEAL</v>
          </cell>
          <cell r="C35" t="str">
            <v>SEAL</v>
          </cell>
          <cell r="D35" t="str">
            <v>UND</v>
          </cell>
          <cell r="E35">
            <v>1</v>
          </cell>
          <cell r="F35">
            <v>1</v>
          </cell>
          <cell r="G35">
            <v>0</v>
          </cell>
          <cell r="H35">
            <v>0</v>
          </cell>
          <cell r="K35" t="str">
            <v>4C01</v>
          </cell>
        </row>
        <row r="36">
          <cell r="A36" t="str">
            <v>312-4248</v>
          </cell>
          <cell r="B36" t="str">
            <v>SEAL AS BUF</v>
          </cell>
          <cell r="C36" t="str">
            <v>SEAL AS BUF</v>
          </cell>
          <cell r="D36" t="str">
            <v>UND</v>
          </cell>
          <cell r="E36">
            <v>2</v>
          </cell>
          <cell r="F36">
            <v>2</v>
          </cell>
          <cell r="G36">
            <v>0</v>
          </cell>
          <cell r="H36">
            <v>0</v>
          </cell>
          <cell r="K36" t="str">
            <v>4C02</v>
          </cell>
        </row>
        <row r="37">
          <cell r="A37" t="str">
            <v>123-7276</v>
          </cell>
          <cell r="B37" t="str">
            <v>SEAL</v>
          </cell>
          <cell r="C37" t="str">
            <v>SEAL</v>
          </cell>
          <cell r="D37" t="str">
            <v>UND</v>
          </cell>
          <cell r="E37">
            <v>1</v>
          </cell>
          <cell r="F37">
            <v>1</v>
          </cell>
          <cell r="G37">
            <v>0</v>
          </cell>
          <cell r="H37">
            <v>0</v>
          </cell>
          <cell r="K37" t="str">
            <v>4C03</v>
          </cell>
        </row>
        <row r="38">
          <cell r="A38" t="str">
            <v>312-4245</v>
          </cell>
          <cell r="B38" t="str">
            <v>SEAL U CUP</v>
          </cell>
          <cell r="C38" t="str">
            <v>SELLO U</v>
          </cell>
          <cell r="D38" t="str">
            <v>UND</v>
          </cell>
          <cell r="E38">
            <v>3</v>
          </cell>
          <cell r="F38">
            <v>3</v>
          </cell>
          <cell r="G38">
            <v>0</v>
          </cell>
          <cell r="H38">
            <v>0</v>
          </cell>
          <cell r="K38" t="str">
            <v>4C03</v>
          </cell>
        </row>
        <row r="39">
          <cell r="A39" t="str">
            <v>6V-1541</v>
          </cell>
          <cell r="B39" t="str">
            <v>SEAL</v>
          </cell>
          <cell r="C39" t="str">
            <v>SEAL / REVISAR</v>
          </cell>
          <cell r="D39" t="str">
            <v>UND</v>
          </cell>
          <cell r="E39">
            <v>0</v>
          </cell>
          <cell r="F39">
            <v>1</v>
          </cell>
          <cell r="G39">
            <v>0</v>
          </cell>
          <cell r="H39">
            <v>0</v>
          </cell>
          <cell r="K39" t="str">
            <v>4C02</v>
          </cell>
        </row>
        <row r="40">
          <cell r="A40" t="str">
            <v>167-2209</v>
          </cell>
          <cell r="B40" t="str">
            <v>SEAL U CUP</v>
          </cell>
          <cell r="C40" t="str">
            <v>SELLO U / 346-5201</v>
          </cell>
          <cell r="D40" t="str">
            <v>UND</v>
          </cell>
          <cell r="E40">
            <v>0</v>
          </cell>
          <cell r="F40">
            <v>3</v>
          </cell>
          <cell r="G40">
            <v>0</v>
          </cell>
          <cell r="H40" t="str">
            <v xml:space="preserve">REVISAR </v>
          </cell>
          <cell r="K40" t="str">
            <v>4C04</v>
          </cell>
        </row>
        <row r="41">
          <cell r="A41" t="str">
            <v>222-5765</v>
          </cell>
          <cell r="B41" t="str">
            <v>TW SEAL-RING</v>
          </cell>
          <cell r="C41" t="str">
            <v>TW SEAL-RING</v>
          </cell>
          <cell r="D41" t="str">
            <v>UND</v>
          </cell>
          <cell r="E41">
            <v>3</v>
          </cell>
          <cell r="F41">
            <v>3</v>
          </cell>
          <cell r="G41">
            <v>0</v>
          </cell>
          <cell r="H41">
            <v>0</v>
          </cell>
          <cell r="K41" t="str">
            <v>4C04</v>
          </cell>
        </row>
        <row r="42">
          <cell r="A42" t="str">
            <v>169-4815</v>
          </cell>
          <cell r="B42" t="str">
            <v>RING</v>
          </cell>
          <cell r="C42" t="str">
            <v>RING</v>
          </cell>
          <cell r="D42" t="str">
            <v>UND</v>
          </cell>
          <cell r="E42">
            <v>1</v>
          </cell>
          <cell r="F42">
            <v>1</v>
          </cell>
          <cell r="G42">
            <v>0</v>
          </cell>
          <cell r="H42">
            <v>0</v>
          </cell>
          <cell r="K42" t="str">
            <v>4C04</v>
          </cell>
        </row>
        <row r="43">
          <cell r="A43" t="str">
            <v>224-7262</v>
          </cell>
          <cell r="B43" t="str">
            <v>SEAL O-RING</v>
          </cell>
          <cell r="C43" t="str">
            <v>SEAL O-RING</v>
          </cell>
          <cell r="D43" t="str">
            <v>UND</v>
          </cell>
          <cell r="E43">
            <v>1</v>
          </cell>
          <cell r="F43">
            <v>1</v>
          </cell>
          <cell r="G43">
            <v>0</v>
          </cell>
          <cell r="H43">
            <v>0</v>
          </cell>
          <cell r="K43" t="str">
            <v>4C04</v>
          </cell>
        </row>
        <row r="44">
          <cell r="A44" t="str">
            <v>8T-0763</v>
          </cell>
          <cell r="B44" t="str">
            <v>SEAL A</v>
          </cell>
          <cell r="C44" t="str">
            <v>SEAL A</v>
          </cell>
          <cell r="D44" t="str">
            <v>UND</v>
          </cell>
          <cell r="E44">
            <v>0</v>
          </cell>
          <cell r="F44">
            <v>2</v>
          </cell>
          <cell r="G44">
            <v>0</v>
          </cell>
          <cell r="H44">
            <v>0</v>
          </cell>
          <cell r="K44" t="str">
            <v>4C03</v>
          </cell>
        </row>
        <row r="45">
          <cell r="A45" t="str">
            <v>7X-4756</v>
          </cell>
          <cell r="B45" t="str">
            <v>J SEAL</v>
          </cell>
          <cell r="C45" t="str">
            <v>J SEAL</v>
          </cell>
          <cell r="D45" t="str">
            <v>UND</v>
          </cell>
          <cell r="E45">
            <v>2</v>
          </cell>
          <cell r="F45">
            <v>2</v>
          </cell>
          <cell r="G45">
            <v>0</v>
          </cell>
          <cell r="H45">
            <v>0</v>
          </cell>
          <cell r="K45" t="str">
            <v>5B01</v>
          </cell>
        </row>
        <row r="46">
          <cell r="A46" t="str">
            <v>167-2471</v>
          </cell>
          <cell r="B46" t="str">
            <v>SEAL WIPER</v>
          </cell>
          <cell r="C46" t="str">
            <v>SEAL WIPER</v>
          </cell>
          <cell r="D46" t="str">
            <v>UND</v>
          </cell>
          <cell r="E46">
            <v>2</v>
          </cell>
          <cell r="F46">
            <v>2</v>
          </cell>
          <cell r="G46">
            <v>0</v>
          </cell>
          <cell r="H46">
            <v>0</v>
          </cell>
          <cell r="K46" t="str">
            <v>5B01</v>
          </cell>
        </row>
        <row r="47">
          <cell r="A47" t="str">
            <v>PS35 210X220.15X9</v>
          </cell>
          <cell r="B47" t="str">
            <v>PS35</v>
          </cell>
          <cell r="C47" t="str">
            <v>PS35 210X220.15X9</v>
          </cell>
          <cell r="D47" t="str">
            <v>UND</v>
          </cell>
          <cell r="E47">
            <v>1</v>
          </cell>
          <cell r="F47">
            <v>1</v>
          </cell>
          <cell r="G47">
            <v>0</v>
          </cell>
          <cell r="H47">
            <v>0</v>
          </cell>
          <cell r="K47" t="str">
            <v>4D04</v>
          </cell>
        </row>
        <row r="48">
          <cell r="A48" t="str">
            <v>8T-1796</v>
          </cell>
          <cell r="B48" t="str">
            <v>SEAL A</v>
          </cell>
          <cell r="C48" t="str">
            <v>SEAL A</v>
          </cell>
          <cell r="D48" t="str">
            <v>UND</v>
          </cell>
          <cell r="E48">
            <v>1</v>
          </cell>
          <cell r="F48">
            <v>2</v>
          </cell>
          <cell r="G48">
            <v>0</v>
          </cell>
          <cell r="H48">
            <v>0</v>
          </cell>
          <cell r="K48" t="str">
            <v>5B03</v>
          </cell>
        </row>
        <row r="49">
          <cell r="A49" t="str">
            <v>157-7244</v>
          </cell>
          <cell r="B49" t="str">
            <v>RING BACK UP</v>
          </cell>
          <cell r="C49" t="str">
            <v>RING BACK UP</v>
          </cell>
          <cell r="D49" t="str">
            <v>UND</v>
          </cell>
          <cell r="E49">
            <v>2</v>
          </cell>
          <cell r="F49">
            <v>2</v>
          </cell>
          <cell r="G49">
            <v>0</v>
          </cell>
          <cell r="H49">
            <v>0</v>
          </cell>
          <cell r="K49" t="str">
            <v>5B03</v>
          </cell>
        </row>
        <row r="50">
          <cell r="A50" t="str">
            <v>3G-3747</v>
          </cell>
          <cell r="B50" t="str">
            <v>RING</v>
          </cell>
          <cell r="C50" t="str">
            <v>RING</v>
          </cell>
          <cell r="D50" t="str">
            <v>UND</v>
          </cell>
          <cell r="E50">
            <v>1</v>
          </cell>
          <cell r="F50">
            <v>1</v>
          </cell>
          <cell r="G50">
            <v>0</v>
          </cell>
          <cell r="H50">
            <v>0</v>
          </cell>
          <cell r="K50" t="str">
            <v>5B04</v>
          </cell>
        </row>
        <row r="51">
          <cell r="A51" t="str">
            <v>8J-4386</v>
          </cell>
          <cell r="B51" t="str">
            <v>SEAL O-RING</v>
          </cell>
          <cell r="C51" t="str">
            <v>SEAL O-RING</v>
          </cell>
          <cell r="D51" t="str">
            <v>UND</v>
          </cell>
          <cell r="E51">
            <v>1</v>
          </cell>
          <cell r="F51">
            <v>1</v>
          </cell>
          <cell r="G51">
            <v>0</v>
          </cell>
          <cell r="H51">
            <v>0</v>
          </cell>
          <cell r="K51" t="str">
            <v>5B04</v>
          </cell>
        </row>
        <row r="52">
          <cell r="A52" t="str">
            <v>8T-1794</v>
          </cell>
          <cell r="B52" t="str">
            <v>SELLO A</v>
          </cell>
          <cell r="C52" t="str">
            <v>SELLO A</v>
          </cell>
          <cell r="D52" t="str">
            <v>UND</v>
          </cell>
          <cell r="E52">
            <v>2</v>
          </cell>
          <cell r="F52">
            <v>2</v>
          </cell>
          <cell r="G52">
            <v>0</v>
          </cell>
          <cell r="H52">
            <v>0</v>
          </cell>
          <cell r="K52" t="str">
            <v>5A01</v>
          </cell>
        </row>
        <row r="53">
          <cell r="A53" t="str">
            <v>8T-1793</v>
          </cell>
          <cell r="B53" t="str">
            <v>SELLO A</v>
          </cell>
          <cell r="C53" t="str">
            <v>SELLO A</v>
          </cell>
          <cell r="D53" t="str">
            <v>UND</v>
          </cell>
          <cell r="E53">
            <v>1</v>
          </cell>
          <cell r="F53">
            <v>1</v>
          </cell>
          <cell r="G53">
            <v>0</v>
          </cell>
          <cell r="H53">
            <v>0</v>
          </cell>
          <cell r="K53" t="str">
            <v>5A01</v>
          </cell>
        </row>
        <row r="54">
          <cell r="A54" t="str">
            <v>BARRA CROMADA 2</v>
          </cell>
          <cell r="B54" t="str">
            <v>BARRA</v>
          </cell>
          <cell r="C54" t="str">
            <v>BARRA CROMADA 2.500 DIAM X 700 APROX</v>
          </cell>
          <cell r="D54" t="str">
            <v>UND</v>
          </cell>
          <cell r="E54">
            <v>0</v>
          </cell>
          <cell r="F54">
            <v>1</v>
          </cell>
          <cell r="G54">
            <v>0</v>
          </cell>
          <cell r="H54">
            <v>0</v>
          </cell>
          <cell r="K54">
            <v>1</v>
          </cell>
        </row>
        <row r="55">
          <cell r="A55" t="str">
            <v>PERNO M10</v>
          </cell>
          <cell r="B55" t="str">
            <v>PERNO M10</v>
          </cell>
          <cell r="C55" t="str">
            <v>PERNO M10 PARA ENROLLADOR</v>
          </cell>
          <cell r="D55" t="str">
            <v>UND</v>
          </cell>
          <cell r="E55">
            <v>8</v>
          </cell>
          <cell r="F55">
            <v>8</v>
          </cell>
          <cell r="G55">
            <v>0</v>
          </cell>
          <cell r="H55">
            <v>0</v>
          </cell>
          <cell r="K55" t="str">
            <v>5A04</v>
          </cell>
        </row>
        <row r="56">
          <cell r="A56" t="str">
            <v>VM8258</v>
          </cell>
          <cell r="B56" t="str">
            <v>PERNO</v>
          </cell>
          <cell r="C56" t="str">
            <v>PERNO GRADO 6</v>
          </cell>
          <cell r="D56" t="str">
            <v>UND</v>
          </cell>
          <cell r="E56">
            <v>7</v>
          </cell>
          <cell r="F56">
            <v>7</v>
          </cell>
          <cell r="G56">
            <v>0</v>
          </cell>
          <cell r="H56">
            <v>0</v>
          </cell>
          <cell r="K56" t="str">
            <v>5A04</v>
          </cell>
        </row>
        <row r="57">
          <cell r="A57" t="str">
            <v>7J-8956</v>
          </cell>
          <cell r="B57" t="str">
            <v>SEAL</v>
          </cell>
          <cell r="C57" t="str">
            <v>SEAL</v>
          </cell>
          <cell r="D57" t="str">
            <v>UND</v>
          </cell>
          <cell r="E57">
            <v>1</v>
          </cell>
          <cell r="F57">
            <v>1</v>
          </cell>
          <cell r="G57">
            <v>0</v>
          </cell>
          <cell r="H57">
            <v>0</v>
          </cell>
          <cell r="K57" t="str">
            <v>5B02</v>
          </cell>
        </row>
        <row r="58">
          <cell r="A58" t="str">
            <v>2A-1538</v>
          </cell>
          <cell r="B58" t="str">
            <v>CAPSCREW</v>
          </cell>
          <cell r="C58" t="str">
            <v>PERNO</v>
          </cell>
          <cell r="D58" t="str">
            <v>UND</v>
          </cell>
          <cell r="E58">
            <v>62</v>
          </cell>
          <cell r="F58">
            <v>62</v>
          </cell>
          <cell r="G58">
            <v>0</v>
          </cell>
          <cell r="H58">
            <v>0</v>
          </cell>
          <cell r="K58" t="str">
            <v>4B01</v>
          </cell>
        </row>
        <row r="59">
          <cell r="A59" t="str">
            <v>3J-6484</v>
          </cell>
          <cell r="B59" t="str">
            <v>BEARING</v>
          </cell>
          <cell r="C59" t="str">
            <v>BEARING</v>
          </cell>
          <cell r="D59" t="str">
            <v>UND</v>
          </cell>
          <cell r="E59">
            <v>2</v>
          </cell>
          <cell r="F59">
            <v>2</v>
          </cell>
          <cell r="G59">
            <v>0</v>
          </cell>
          <cell r="H59">
            <v>0</v>
          </cell>
          <cell r="K59" t="str">
            <v>5B03</v>
          </cell>
        </row>
        <row r="60">
          <cell r="A60" t="str">
            <v>6V-3482</v>
          </cell>
          <cell r="B60" t="str">
            <v>CAP A</v>
          </cell>
          <cell r="C60" t="str">
            <v>CAP A</v>
          </cell>
          <cell r="D60" t="str">
            <v>UND</v>
          </cell>
          <cell r="E60">
            <v>11</v>
          </cell>
          <cell r="F60">
            <v>11</v>
          </cell>
          <cell r="G60">
            <v>0</v>
          </cell>
          <cell r="H60">
            <v>0</v>
          </cell>
          <cell r="K60" t="str">
            <v>5B05</v>
          </cell>
        </row>
        <row r="61">
          <cell r="A61" t="str">
            <v>9J-7100</v>
          </cell>
          <cell r="B61" t="str">
            <v>BEARING</v>
          </cell>
          <cell r="C61" t="str">
            <v>BEARING</v>
          </cell>
          <cell r="D61" t="str">
            <v>UND</v>
          </cell>
          <cell r="E61">
            <v>1</v>
          </cell>
          <cell r="F61">
            <v>1</v>
          </cell>
          <cell r="G61">
            <v>0</v>
          </cell>
          <cell r="H61">
            <v>0</v>
          </cell>
          <cell r="K61" t="str">
            <v>4B07</v>
          </cell>
        </row>
        <row r="62">
          <cell r="A62" t="str">
            <v>9J-6549</v>
          </cell>
          <cell r="B62" t="str">
            <v>BEARING</v>
          </cell>
          <cell r="C62" t="str">
            <v>BEARING</v>
          </cell>
          <cell r="D62" t="str">
            <v>UND</v>
          </cell>
          <cell r="E62">
            <v>2</v>
          </cell>
          <cell r="F62">
            <v>2</v>
          </cell>
          <cell r="G62">
            <v>0</v>
          </cell>
          <cell r="H62">
            <v>0</v>
          </cell>
          <cell r="K62" t="str">
            <v>4B08</v>
          </cell>
        </row>
        <row r="63">
          <cell r="A63" t="str">
            <v>5P-8248</v>
          </cell>
          <cell r="B63" t="str">
            <v>WASHER</v>
          </cell>
          <cell r="C63" t="str">
            <v>ARANDELA PLANA</v>
          </cell>
          <cell r="D63" t="str">
            <v>UND</v>
          </cell>
          <cell r="E63">
            <v>53</v>
          </cell>
          <cell r="F63">
            <v>53</v>
          </cell>
          <cell r="G63">
            <v>0</v>
          </cell>
          <cell r="H63">
            <v>0</v>
          </cell>
          <cell r="K63" t="str">
            <v>5A04</v>
          </cell>
        </row>
        <row r="64">
          <cell r="A64" t="str">
            <v>233-2613</v>
          </cell>
          <cell r="B64" t="str">
            <v>BEARING</v>
          </cell>
          <cell r="C64" t="str">
            <v>BEARING</v>
          </cell>
          <cell r="D64" t="str">
            <v>UND</v>
          </cell>
          <cell r="E64">
            <v>1</v>
          </cell>
          <cell r="F64">
            <v>1</v>
          </cell>
          <cell r="G64">
            <v>0</v>
          </cell>
          <cell r="H64">
            <v>0</v>
          </cell>
          <cell r="K64" t="str">
            <v>3B07</v>
          </cell>
        </row>
        <row r="65">
          <cell r="A65" t="str">
            <v>SBB242RS</v>
          </cell>
          <cell r="B65" t="str">
            <v>Bearing</v>
          </cell>
          <cell r="C65" t="str">
            <v>Bearing</v>
          </cell>
          <cell r="D65" t="str">
            <v>UND</v>
          </cell>
          <cell r="E65">
            <v>3</v>
          </cell>
          <cell r="F65">
            <v>3</v>
          </cell>
          <cell r="G65">
            <v>0</v>
          </cell>
          <cell r="H65">
            <v>0</v>
          </cell>
          <cell r="K65" t="str">
            <v>4A01</v>
          </cell>
        </row>
        <row r="66">
          <cell r="A66" t="str">
            <v>SBB402RS</v>
          </cell>
          <cell r="B66" t="str">
            <v>Bearing</v>
          </cell>
          <cell r="C66" t="str">
            <v>Bearing</v>
          </cell>
          <cell r="D66" t="str">
            <v>UND</v>
          </cell>
          <cell r="E66">
            <v>1</v>
          </cell>
          <cell r="F66">
            <v>1</v>
          </cell>
          <cell r="G66">
            <v>0</v>
          </cell>
          <cell r="H66">
            <v>0</v>
          </cell>
          <cell r="K66" t="str">
            <v>4A07</v>
          </cell>
        </row>
        <row r="67">
          <cell r="A67" t="str">
            <v>SBB322RS</v>
          </cell>
          <cell r="B67" t="str">
            <v>Bearing</v>
          </cell>
          <cell r="C67" t="str">
            <v>Bearing</v>
          </cell>
          <cell r="D67" t="str">
            <v>UND</v>
          </cell>
          <cell r="E67">
            <v>8</v>
          </cell>
          <cell r="F67">
            <v>8</v>
          </cell>
          <cell r="G67">
            <v>0</v>
          </cell>
          <cell r="H67">
            <v>0</v>
          </cell>
          <cell r="K67" t="str">
            <v>4A03</v>
          </cell>
        </row>
        <row r="68">
          <cell r="A68" t="str">
            <v>GE35ES2RS</v>
          </cell>
          <cell r="B68" t="str">
            <v>BEARING</v>
          </cell>
          <cell r="C68" t="str">
            <v>BEARING</v>
          </cell>
          <cell r="D68" t="str">
            <v>UND</v>
          </cell>
          <cell r="E68">
            <v>3</v>
          </cell>
          <cell r="F68">
            <v>3</v>
          </cell>
          <cell r="G68">
            <v>0</v>
          </cell>
          <cell r="H68">
            <v>0</v>
          </cell>
          <cell r="K68" t="str">
            <v>4A02</v>
          </cell>
        </row>
        <row r="69">
          <cell r="A69" t="str">
            <v>GE40-HO-2RS</v>
          </cell>
          <cell r="B69" t="str">
            <v>BEARING</v>
          </cell>
          <cell r="C69" t="str">
            <v>BEARING</v>
          </cell>
          <cell r="D69" t="str">
            <v>UND</v>
          </cell>
          <cell r="E69">
            <v>1</v>
          </cell>
          <cell r="F69">
            <v>1</v>
          </cell>
          <cell r="G69">
            <v>0</v>
          </cell>
          <cell r="H69">
            <v>0</v>
          </cell>
          <cell r="K69" t="str">
            <v>4A03</v>
          </cell>
        </row>
        <row r="70">
          <cell r="A70" t="str">
            <v>382-8046</v>
          </cell>
          <cell r="B70" t="str">
            <v>BEARING</v>
          </cell>
          <cell r="C70" t="str">
            <v>BEARING</v>
          </cell>
          <cell r="D70" t="str">
            <v>UND</v>
          </cell>
          <cell r="E70">
            <v>4</v>
          </cell>
          <cell r="F70">
            <v>4</v>
          </cell>
          <cell r="G70">
            <v>0</v>
          </cell>
          <cell r="H70">
            <v>0</v>
          </cell>
          <cell r="K70" t="str">
            <v>4A04</v>
          </cell>
        </row>
        <row r="71">
          <cell r="A71" t="str">
            <v>3G-7624</v>
          </cell>
          <cell r="B71" t="str">
            <v>BEARING</v>
          </cell>
          <cell r="C71" t="str">
            <v>BEARING</v>
          </cell>
          <cell r="D71" t="str">
            <v>UND</v>
          </cell>
          <cell r="E71">
            <v>2</v>
          </cell>
          <cell r="F71">
            <v>2</v>
          </cell>
          <cell r="G71">
            <v>0</v>
          </cell>
          <cell r="H71">
            <v>0</v>
          </cell>
          <cell r="K71" t="str">
            <v>4A05</v>
          </cell>
        </row>
        <row r="72">
          <cell r="A72" t="str">
            <v>383-8638</v>
          </cell>
          <cell r="B72" t="str">
            <v>BEARING</v>
          </cell>
          <cell r="C72" t="str">
            <v>BEARING</v>
          </cell>
          <cell r="D72" t="str">
            <v>UND</v>
          </cell>
          <cell r="E72">
            <v>1</v>
          </cell>
          <cell r="F72">
            <v>1</v>
          </cell>
          <cell r="G72">
            <v>0</v>
          </cell>
          <cell r="H72">
            <v>0</v>
          </cell>
          <cell r="K72" t="str">
            <v>4A06</v>
          </cell>
        </row>
        <row r="73">
          <cell r="A73" t="str">
            <v>245-688R1</v>
          </cell>
          <cell r="B73" t="str">
            <v>O-RING</v>
          </cell>
          <cell r="C73" t="str">
            <v>RING</v>
          </cell>
          <cell r="D73" t="str">
            <v>UND</v>
          </cell>
          <cell r="E73">
            <v>0</v>
          </cell>
          <cell r="F73">
            <v>1</v>
          </cell>
          <cell r="G73">
            <v>0</v>
          </cell>
          <cell r="H73">
            <v>0</v>
          </cell>
          <cell r="K73" t="str">
            <v>4D04</v>
          </cell>
        </row>
        <row r="74">
          <cell r="A74" t="str">
            <v>311-9319</v>
          </cell>
          <cell r="B74" t="str">
            <v>SELLO</v>
          </cell>
          <cell r="C74" t="str">
            <v>SELLO</v>
          </cell>
          <cell r="D74" t="str">
            <v>UND</v>
          </cell>
          <cell r="E74">
            <v>2</v>
          </cell>
          <cell r="F74">
            <v>2</v>
          </cell>
          <cell r="G74">
            <v>0</v>
          </cell>
          <cell r="H74">
            <v>0</v>
          </cell>
          <cell r="K74" t="str">
            <v>4D03</v>
          </cell>
        </row>
        <row r="75">
          <cell r="A75" t="str">
            <v>365-9197</v>
          </cell>
          <cell r="B75" t="str">
            <v>SELLO</v>
          </cell>
          <cell r="C75" t="str">
            <v>SELLO</v>
          </cell>
          <cell r="D75" t="str">
            <v>UND</v>
          </cell>
          <cell r="E75">
            <v>4</v>
          </cell>
          <cell r="F75">
            <v>1</v>
          </cell>
          <cell r="G75">
            <v>0</v>
          </cell>
          <cell r="H75">
            <v>0</v>
          </cell>
          <cell r="K75" t="str">
            <v>4D02</v>
          </cell>
        </row>
        <row r="76">
          <cell r="A76" t="str">
            <v>ORING1</v>
          </cell>
          <cell r="B76" t="str">
            <v>O RING</v>
          </cell>
          <cell r="C76" t="str">
            <v>O RING</v>
          </cell>
          <cell r="D76" t="str">
            <v>UND</v>
          </cell>
          <cell r="E76">
            <v>0</v>
          </cell>
          <cell r="F76">
            <v>2</v>
          </cell>
          <cell r="G76">
            <v>0</v>
          </cell>
          <cell r="H76">
            <v>0</v>
          </cell>
          <cell r="K76" t="str">
            <v>4D01</v>
          </cell>
        </row>
        <row r="77">
          <cell r="A77" t="str">
            <v>423-70-11160</v>
          </cell>
          <cell r="B77" t="str">
            <v>NIPLE</v>
          </cell>
          <cell r="C77" t="str">
            <v>NILPE</v>
          </cell>
          <cell r="D77" t="str">
            <v>UND</v>
          </cell>
          <cell r="E77">
            <v>2</v>
          </cell>
          <cell r="F77">
            <v>2</v>
          </cell>
          <cell r="G77">
            <v>0</v>
          </cell>
          <cell r="H77" t="str">
            <v>KOM</v>
          </cell>
          <cell r="I77" t="str">
            <v>2A06</v>
          </cell>
          <cell r="K77" t="str">
            <v>2A06</v>
          </cell>
        </row>
        <row r="78">
          <cell r="A78" t="str">
            <v>562-22-32290</v>
          </cell>
          <cell r="B78" t="str">
            <v>PIN</v>
          </cell>
          <cell r="C78" t="str">
            <v>PIN</v>
          </cell>
          <cell r="D78" t="str">
            <v>UND</v>
          </cell>
          <cell r="E78">
            <v>2</v>
          </cell>
          <cell r="F78">
            <v>2</v>
          </cell>
          <cell r="G78">
            <v>0</v>
          </cell>
          <cell r="H78">
            <v>0</v>
          </cell>
          <cell r="I78" t="str">
            <v>2A06</v>
          </cell>
          <cell r="K78" t="str">
            <v>2A06</v>
          </cell>
        </row>
        <row r="79">
          <cell r="A79" t="str">
            <v>254688R1</v>
          </cell>
          <cell r="B79" t="str">
            <v>RING</v>
          </cell>
          <cell r="C79" t="str">
            <v>RING</v>
          </cell>
          <cell r="D79" t="str">
            <v>UND</v>
          </cell>
          <cell r="E79">
            <v>1</v>
          </cell>
          <cell r="F79">
            <v>1</v>
          </cell>
          <cell r="G79">
            <v>0</v>
          </cell>
          <cell r="H79">
            <v>0</v>
          </cell>
          <cell r="K79" t="str">
            <v>2A06</v>
          </cell>
        </row>
        <row r="80">
          <cell r="A80" t="str">
            <v>PLATAFORMAMOLINO</v>
          </cell>
          <cell r="B80" t="str">
            <v xml:space="preserve">KIT DE SELLOS </v>
          </cell>
          <cell r="C80" t="str">
            <v>KIT DE SELLOS</v>
          </cell>
          <cell r="D80" t="str">
            <v>UND</v>
          </cell>
          <cell r="E80">
            <v>0</v>
          </cell>
          <cell r="F80">
            <v>2</v>
          </cell>
          <cell r="G80">
            <v>0</v>
          </cell>
          <cell r="H80">
            <v>0</v>
          </cell>
          <cell r="K80" t="str">
            <v>CAJA</v>
          </cell>
        </row>
        <row r="81">
          <cell r="A81">
            <v>21315</v>
          </cell>
          <cell r="B81" t="str">
            <v>BARRA C 89.9x6000 mm</v>
          </cell>
          <cell r="C81" t="str">
            <v>BARRA CROMADA DURA 88.9 MM DIA X 6000 MM LONG</v>
          </cell>
          <cell r="D81" t="str">
            <v>MM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 t="str">
            <v>-</v>
          </cell>
          <cell r="J81" t="str">
            <v>-</v>
          </cell>
        </row>
        <row r="82">
          <cell r="A82" t="str">
            <v>340-2381</v>
          </cell>
          <cell r="B82" t="str">
            <v>BEARING</v>
          </cell>
          <cell r="C82" t="str">
            <v>BEARING / ANILLO DE RETENCIÓN</v>
          </cell>
          <cell r="D82" t="str">
            <v>UND</v>
          </cell>
          <cell r="E82">
            <v>12</v>
          </cell>
          <cell r="F82">
            <v>8</v>
          </cell>
          <cell r="G82">
            <v>4</v>
          </cell>
          <cell r="H82" t="str">
            <v>CATERPILLAR</v>
          </cell>
          <cell r="I82" t="str">
            <v>797F</v>
          </cell>
          <cell r="J82" t="str">
            <v>CILINDRO DE SUSPENSION POSTERIOR</v>
          </cell>
          <cell r="K82" t="str">
            <v>4E01</v>
          </cell>
        </row>
        <row r="83">
          <cell r="A83" t="str">
            <v>01643-32780</v>
          </cell>
          <cell r="B83" t="str">
            <v>ARANDELA PLANA 27 X 8 mm - M08</v>
          </cell>
          <cell r="C83" t="str">
            <v>ARANDELA PLANA 27 X 8 mm - M08</v>
          </cell>
          <cell r="D83" t="str">
            <v>UND</v>
          </cell>
          <cell r="E83">
            <v>0</v>
          </cell>
          <cell r="F83">
            <v>0</v>
          </cell>
          <cell r="G83">
            <v>0</v>
          </cell>
          <cell r="H83" t="str">
            <v>CATERPILLAR</v>
          </cell>
          <cell r="I83" t="str">
            <v>-</v>
          </cell>
          <cell r="J83" t="str">
            <v>-</v>
          </cell>
        </row>
        <row r="84">
          <cell r="A84" t="str">
            <v>07145-00110</v>
          </cell>
          <cell r="B84" t="str">
            <v>BEARING</v>
          </cell>
          <cell r="C84" t="str">
            <v>BEARING</v>
          </cell>
          <cell r="D84" t="str">
            <v>UND</v>
          </cell>
          <cell r="E84">
            <v>0</v>
          </cell>
          <cell r="F84">
            <v>8</v>
          </cell>
          <cell r="G84">
            <v>-8</v>
          </cell>
          <cell r="H84" t="str">
            <v>KOMATSU</v>
          </cell>
          <cell r="I84" t="str">
            <v>D475</v>
          </cell>
          <cell r="J84" t="str">
            <v>CILINDRO DE LEVANTE DE RIPPER /CILINDRO DE VOLTEO DE RIPPER</v>
          </cell>
        </row>
        <row r="85">
          <cell r="A85" t="str">
            <v>109-4670</v>
          </cell>
          <cell r="B85" t="str">
            <v>INSERT</v>
          </cell>
          <cell r="C85" t="str">
            <v>INSERT / VÁLVULAS</v>
          </cell>
          <cell r="D85" t="str">
            <v>UND</v>
          </cell>
          <cell r="E85">
            <v>0</v>
          </cell>
          <cell r="F85">
            <v>4</v>
          </cell>
          <cell r="G85">
            <v>-4</v>
          </cell>
          <cell r="H85" t="str">
            <v>CATERPILLAR</v>
          </cell>
          <cell r="I85" t="str">
            <v>844H</v>
          </cell>
          <cell r="J85" t="str">
            <v>CILINDRO DE INCLINACIÓN DE BULLDOZER</v>
          </cell>
        </row>
        <row r="86">
          <cell r="A86" t="str">
            <v>118-2289</v>
          </cell>
          <cell r="B86" t="str">
            <v xml:space="preserve">BEARING </v>
          </cell>
          <cell r="C86" t="str">
            <v>BEARING</v>
          </cell>
          <cell r="D86" t="str">
            <v>UND</v>
          </cell>
          <cell r="E86">
            <v>0</v>
          </cell>
          <cell r="F86">
            <v>6</v>
          </cell>
          <cell r="G86">
            <v>-6</v>
          </cell>
          <cell r="H86" t="str">
            <v>CATERPILLAR</v>
          </cell>
          <cell r="I86" t="str">
            <v>24M</v>
          </cell>
          <cell r="J86" t="str">
            <v>CILINDRO DE BLADE TIP / CILINDRO DE WHEEL LEAN</v>
          </cell>
        </row>
        <row r="87">
          <cell r="A87" t="str">
            <v>122-9351</v>
          </cell>
          <cell r="B87" t="str">
            <v>PLUNGER</v>
          </cell>
          <cell r="C87" t="str">
            <v>PLUNGER</v>
          </cell>
          <cell r="D87" t="str">
            <v>UND</v>
          </cell>
          <cell r="E87">
            <v>0</v>
          </cell>
          <cell r="F87">
            <v>4</v>
          </cell>
          <cell r="G87">
            <v>-4</v>
          </cell>
          <cell r="H87" t="str">
            <v>CATERPILLAR</v>
          </cell>
          <cell r="I87" t="str">
            <v>844H</v>
          </cell>
          <cell r="J87" t="str">
            <v>CILINDRO DE INCLINACIÓN DE BULLDOZER</v>
          </cell>
          <cell r="K87" t="str">
            <v>1C04</v>
          </cell>
        </row>
        <row r="88">
          <cell r="A88" t="str">
            <v>126-6917</v>
          </cell>
          <cell r="B88" t="str">
            <v>BEARING</v>
          </cell>
          <cell r="C88" t="str">
            <v>BEARING</v>
          </cell>
          <cell r="D88" t="str">
            <v>UND</v>
          </cell>
          <cell r="E88">
            <v>0</v>
          </cell>
          <cell r="F88">
            <v>2</v>
          </cell>
          <cell r="G88">
            <v>-2</v>
          </cell>
          <cell r="H88" t="str">
            <v>CATERPILLAR</v>
          </cell>
          <cell r="I88" t="str">
            <v>24M</v>
          </cell>
          <cell r="J88" t="str">
            <v>CILINDRO DE WHEEL LEAN</v>
          </cell>
        </row>
        <row r="89">
          <cell r="A89" t="str">
            <v>150-1889</v>
          </cell>
          <cell r="B89" t="str">
            <v>BEARING</v>
          </cell>
          <cell r="C89" t="str">
            <v>BEARING</v>
          </cell>
          <cell r="D89" t="str">
            <v>UND</v>
          </cell>
          <cell r="E89">
            <v>0</v>
          </cell>
          <cell r="F89">
            <v>2</v>
          </cell>
          <cell r="G89">
            <v>-2</v>
          </cell>
          <cell r="H89" t="str">
            <v>CATERPILLAR</v>
          </cell>
          <cell r="I89" t="str">
            <v>797F</v>
          </cell>
          <cell r="J89" t="str">
            <v>CILINDRO DE LEVANTE DE TOLVA</v>
          </cell>
        </row>
        <row r="90">
          <cell r="A90" t="str">
            <v>150-1890</v>
          </cell>
          <cell r="B90" t="str">
            <v>BEARING</v>
          </cell>
          <cell r="C90" t="str">
            <v>BEARING</v>
          </cell>
          <cell r="D90" t="str">
            <v>UND</v>
          </cell>
          <cell r="E90">
            <v>0</v>
          </cell>
          <cell r="F90">
            <v>2</v>
          </cell>
          <cell r="G90">
            <v>-2</v>
          </cell>
          <cell r="H90" t="str">
            <v>CATERPILLAR</v>
          </cell>
          <cell r="I90" t="str">
            <v>797F</v>
          </cell>
          <cell r="J90" t="str">
            <v>CILINDRO DE LEVANTE DE TOLVA</v>
          </cell>
        </row>
        <row r="91">
          <cell r="A91" t="str">
            <v>152-7554</v>
          </cell>
          <cell r="B91" t="str">
            <v>BEARING</v>
          </cell>
          <cell r="C91" t="str">
            <v>BEARING</v>
          </cell>
          <cell r="D91" t="str">
            <v>UND</v>
          </cell>
          <cell r="E91">
            <v>2</v>
          </cell>
          <cell r="F91">
            <v>8</v>
          </cell>
          <cell r="G91">
            <v>-6</v>
          </cell>
          <cell r="H91" t="str">
            <v>CATERPILLAR</v>
          </cell>
          <cell r="I91" t="str">
            <v>D11T</v>
          </cell>
          <cell r="J91" t="str">
            <v>CILINDRO DE INCLINACIÓN DE BULLDOZER</v>
          </cell>
          <cell r="K91" t="str">
            <v>1A04</v>
          </cell>
        </row>
        <row r="92">
          <cell r="A92" t="str">
            <v>157-0287</v>
          </cell>
          <cell r="B92" t="str">
            <v>SEAL KIT</v>
          </cell>
          <cell r="C92" t="str">
            <v>KIT DE SELLOS</v>
          </cell>
          <cell r="D92" t="str">
            <v>UND</v>
          </cell>
          <cell r="E92">
            <v>1</v>
          </cell>
          <cell r="F92">
            <v>2</v>
          </cell>
          <cell r="G92">
            <v>-1</v>
          </cell>
          <cell r="H92" t="str">
            <v>CATERPILLAR</v>
          </cell>
          <cell r="I92" t="str">
            <v>793D</v>
          </cell>
          <cell r="J92" t="str">
            <v>CILINDRO DE DIRECCION</v>
          </cell>
          <cell r="K92" t="str">
            <v>3C01</v>
          </cell>
        </row>
        <row r="93">
          <cell r="A93" t="str">
            <v>164-6426</v>
          </cell>
          <cell r="B93" t="str">
            <v>PLUNGER</v>
          </cell>
          <cell r="C93" t="str">
            <v>PLUNGER</v>
          </cell>
          <cell r="D93" t="str">
            <v>UND</v>
          </cell>
          <cell r="E93">
            <v>0</v>
          </cell>
          <cell r="F93">
            <v>8</v>
          </cell>
          <cell r="G93">
            <v>-8</v>
          </cell>
          <cell r="H93" t="str">
            <v>CATERPILLAR</v>
          </cell>
          <cell r="I93" t="str">
            <v>D11T</v>
          </cell>
          <cell r="J93" t="str">
            <v>CILINDRO DE INCLINACIÓN DE BULLDOZER</v>
          </cell>
          <cell r="K93" t="str">
            <v>1C03</v>
          </cell>
        </row>
        <row r="94">
          <cell r="A94" t="str">
            <v>172-2848</v>
          </cell>
          <cell r="B94" t="str">
            <v>BEARING</v>
          </cell>
          <cell r="C94" t="str">
            <v>BEARING</v>
          </cell>
          <cell r="D94" t="str">
            <v>UND</v>
          </cell>
          <cell r="E94">
            <v>0</v>
          </cell>
          <cell r="F94">
            <v>2</v>
          </cell>
          <cell r="G94">
            <v>-2</v>
          </cell>
          <cell r="H94" t="str">
            <v>CATERPILLAR</v>
          </cell>
          <cell r="I94" t="str">
            <v>390DL</v>
          </cell>
          <cell r="J94" t="str">
            <v>CILINDRO DE STICK</v>
          </cell>
        </row>
        <row r="95">
          <cell r="A95" t="str">
            <v>188-8697</v>
          </cell>
          <cell r="B95" t="str">
            <v>BEARING</v>
          </cell>
          <cell r="C95" t="str">
            <v>BEARING</v>
          </cell>
          <cell r="D95" t="str">
            <v>UND</v>
          </cell>
          <cell r="E95">
            <v>2</v>
          </cell>
          <cell r="F95">
            <v>2</v>
          </cell>
          <cell r="G95">
            <v>0</v>
          </cell>
          <cell r="H95" t="str">
            <v>CATERPILLAR</v>
          </cell>
          <cell r="I95" t="str">
            <v>793D</v>
          </cell>
          <cell r="J95" t="str">
            <v>CILINDRO DE SUSPENSION POSTERIOR</v>
          </cell>
          <cell r="K95" t="str">
            <v>1A01</v>
          </cell>
        </row>
        <row r="96">
          <cell r="A96" t="str">
            <v>191-4427</v>
          </cell>
          <cell r="B96" t="str">
            <v>BEARING</v>
          </cell>
          <cell r="C96" t="str">
            <v>BEARING</v>
          </cell>
          <cell r="D96" t="str">
            <v>UND</v>
          </cell>
          <cell r="E96">
            <v>0</v>
          </cell>
          <cell r="F96">
            <v>4</v>
          </cell>
          <cell r="G96">
            <v>-4</v>
          </cell>
          <cell r="H96" t="str">
            <v>CATERPILLAR</v>
          </cell>
          <cell r="I96" t="str">
            <v>797F</v>
          </cell>
          <cell r="J96" t="str">
            <v>CILINDRO DE SUSPENSION POSTERIOR</v>
          </cell>
          <cell r="K96" t="str">
            <v>1A02</v>
          </cell>
        </row>
        <row r="97">
          <cell r="A97" t="str">
            <v>192-0943</v>
          </cell>
          <cell r="B97" t="str">
            <v>SEAL AS</v>
          </cell>
          <cell r="C97" t="str">
            <v>LIMPIADORES / SEAL AS</v>
          </cell>
          <cell r="D97" t="str">
            <v>UND</v>
          </cell>
          <cell r="E97">
            <v>0</v>
          </cell>
          <cell r="F97">
            <v>8</v>
          </cell>
          <cell r="G97">
            <v>-8</v>
          </cell>
          <cell r="H97" t="str">
            <v>CATERPILLAR</v>
          </cell>
          <cell r="I97" t="str">
            <v>797F</v>
          </cell>
          <cell r="J97" t="str">
            <v>CILINDRO DE SUSPENSION POSTERIOR</v>
          </cell>
          <cell r="K97" t="str">
            <v>4D01</v>
          </cell>
        </row>
        <row r="98">
          <cell r="A98" t="str">
            <v>192-4309</v>
          </cell>
          <cell r="B98" t="str">
            <v>BEARING</v>
          </cell>
          <cell r="C98" t="str">
            <v>BEARING</v>
          </cell>
          <cell r="D98" t="str">
            <v>UND</v>
          </cell>
          <cell r="E98">
            <v>0</v>
          </cell>
          <cell r="F98">
            <v>8</v>
          </cell>
          <cell r="G98">
            <v>-8</v>
          </cell>
          <cell r="H98" t="str">
            <v>CATERPILLAR</v>
          </cell>
          <cell r="I98" t="str">
            <v>797F</v>
          </cell>
          <cell r="J98" t="str">
            <v>CILINDRO DE SUSPENSION POSTERIOR</v>
          </cell>
        </row>
        <row r="99">
          <cell r="A99" t="str">
            <v>195-71-51254</v>
          </cell>
          <cell r="B99" t="str">
            <v>BEARING</v>
          </cell>
          <cell r="C99" t="str">
            <v>BEARING</v>
          </cell>
          <cell r="D99" t="str">
            <v>UND</v>
          </cell>
          <cell r="E99">
            <v>0</v>
          </cell>
          <cell r="F99">
            <v>2</v>
          </cell>
          <cell r="G99">
            <v>-2</v>
          </cell>
          <cell r="H99" t="str">
            <v>KOMATSU</v>
          </cell>
          <cell r="I99" t="str">
            <v>D475</v>
          </cell>
          <cell r="J99" t="str">
            <v>CILINDRO DE INCLINACIÓN DE BULLDOZER</v>
          </cell>
        </row>
        <row r="100">
          <cell r="A100" t="str">
            <v>199-1474</v>
          </cell>
          <cell r="B100" t="str">
            <v>RING BACKUP</v>
          </cell>
          <cell r="C100" t="str">
            <v>ANILLO DE RESPALDO / RING BACKUP</v>
          </cell>
          <cell r="D100" t="str">
            <v>UND</v>
          </cell>
          <cell r="E100">
            <v>0</v>
          </cell>
          <cell r="F100">
            <v>2</v>
          </cell>
          <cell r="G100">
            <v>-2</v>
          </cell>
          <cell r="H100" t="str">
            <v>CATERPILLAR</v>
          </cell>
          <cell r="I100" t="str">
            <v>797F</v>
          </cell>
          <cell r="J100" t="str">
            <v>CILINDRO DE LEVANTE DE TOLVA</v>
          </cell>
          <cell r="K100" t="str">
            <v>2C02</v>
          </cell>
        </row>
        <row r="101">
          <cell r="A101" t="str">
            <v>199-1475</v>
          </cell>
          <cell r="B101" t="str">
            <v>RING BACKUP</v>
          </cell>
          <cell r="C101" t="str">
            <v>ANILLO DE RESPALDO / RING BACKUP</v>
          </cell>
          <cell r="D101" t="str">
            <v>UND</v>
          </cell>
          <cell r="E101">
            <v>0</v>
          </cell>
          <cell r="F101">
            <v>2</v>
          </cell>
          <cell r="G101">
            <v>-2</v>
          </cell>
          <cell r="H101" t="str">
            <v>CATERPILLAR</v>
          </cell>
          <cell r="I101" t="str">
            <v>797F</v>
          </cell>
          <cell r="J101" t="str">
            <v>CILINDRO DE LEVANTE DE TOLVA</v>
          </cell>
        </row>
        <row r="102">
          <cell r="A102" t="str">
            <v>199-4221</v>
          </cell>
          <cell r="B102" t="str">
            <v>BEARING</v>
          </cell>
          <cell r="C102" t="str">
            <v>BEARING / RACE</v>
          </cell>
          <cell r="D102" t="str">
            <v>UND</v>
          </cell>
          <cell r="E102">
            <v>0</v>
          </cell>
          <cell r="F102">
            <v>4</v>
          </cell>
          <cell r="G102">
            <v>-4</v>
          </cell>
          <cell r="H102" t="str">
            <v>CATERPILLAR</v>
          </cell>
          <cell r="I102" t="str">
            <v>797F</v>
          </cell>
          <cell r="J102" t="str">
            <v>CILINDRO DE DIRECCION</v>
          </cell>
          <cell r="K102" t="str">
            <v>2D05</v>
          </cell>
        </row>
        <row r="103">
          <cell r="A103" t="str">
            <v>1D-4609</v>
          </cell>
          <cell r="B103" t="str">
            <v>BOLT</v>
          </cell>
          <cell r="C103" t="str">
            <v>BOLT</v>
          </cell>
          <cell r="D103" t="str">
            <v>UND</v>
          </cell>
          <cell r="E103">
            <v>15</v>
          </cell>
          <cell r="F103">
            <v>0</v>
          </cell>
          <cell r="G103">
            <v>15</v>
          </cell>
          <cell r="H103" t="str">
            <v>CATERPILLAR</v>
          </cell>
          <cell r="I103" t="str">
            <v>-</v>
          </cell>
          <cell r="J103" t="str">
            <v>-</v>
          </cell>
          <cell r="K103" t="str">
            <v>1D07</v>
          </cell>
        </row>
        <row r="104">
          <cell r="A104" t="str">
            <v>1J-2192</v>
          </cell>
          <cell r="B104" t="str">
            <v>BEARING</v>
          </cell>
          <cell r="C104" t="str">
            <v>BEARING</v>
          </cell>
          <cell r="D104" t="str">
            <v>UND</v>
          </cell>
          <cell r="E104">
            <v>2</v>
          </cell>
          <cell r="F104">
            <v>4</v>
          </cell>
          <cell r="G104">
            <v>-2</v>
          </cell>
          <cell r="H104" t="str">
            <v>CATERPILLAR</v>
          </cell>
          <cell r="I104" t="str">
            <v>D11T</v>
          </cell>
          <cell r="J104" t="str">
            <v>CILINDRO DE LEVANTE DE BULLDOZER</v>
          </cell>
          <cell r="K104" t="str">
            <v>2D02</v>
          </cell>
        </row>
        <row r="105">
          <cell r="A105" t="str">
            <v>1J-8568</v>
          </cell>
          <cell r="B105" t="str">
            <v>PLUNGER</v>
          </cell>
          <cell r="C105" t="str">
            <v>PLUNGER</v>
          </cell>
          <cell r="D105" t="str">
            <v>UND</v>
          </cell>
          <cell r="E105">
            <v>0</v>
          </cell>
          <cell r="G105">
            <v>0</v>
          </cell>
          <cell r="H105" t="str">
            <v>CATERPILLAR</v>
          </cell>
          <cell r="I105" t="str">
            <v>D11T</v>
          </cell>
          <cell r="J105" t="str">
            <v>CILINDRO DE LEVANTE DE RIPPER</v>
          </cell>
          <cell r="K105" t="str">
            <v>1D02</v>
          </cell>
        </row>
        <row r="106">
          <cell r="A106" t="str">
            <v>1U-2182</v>
          </cell>
          <cell r="B106" t="str">
            <v>BEARING</v>
          </cell>
          <cell r="C106" t="str">
            <v>BEARING</v>
          </cell>
          <cell r="D106" t="str">
            <v>UND</v>
          </cell>
          <cell r="E106">
            <v>0</v>
          </cell>
          <cell r="F106">
            <v>6</v>
          </cell>
          <cell r="G106">
            <v>-6</v>
          </cell>
          <cell r="H106" t="str">
            <v>CATERPILLAR</v>
          </cell>
          <cell r="I106" t="str">
            <v>834H / 844H</v>
          </cell>
          <cell r="J106" t="str">
            <v>CILINDRO DE INCLINACIÓN DE BULLDOZER</v>
          </cell>
          <cell r="K106" t="str">
            <v>2D06</v>
          </cell>
        </row>
        <row r="107">
          <cell r="A107" t="str">
            <v>200-3926</v>
          </cell>
          <cell r="B107" t="str">
            <v>BEARING SLEEVE</v>
          </cell>
          <cell r="C107" t="str">
            <v>BEARING SLEEVE</v>
          </cell>
          <cell r="D107" t="str">
            <v>UND</v>
          </cell>
          <cell r="E107">
            <v>0</v>
          </cell>
          <cell r="F107">
            <v>8</v>
          </cell>
          <cell r="G107">
            <v>-8</v>
          </cell>
          <cell r="H107" t="str">
            <v>CATERPILLAR</v>
          </cell>
          <cell r="I107" t="str">
            <v>D11T</v>
          </cell>
          <cell r="J107" t="str">
            <v>CILINDRO DE LEVANTE DE BULLDOZER</v>
          </cell>
          <cell r="K107" t="str">
            <v>2D01</v>
          </cell>
        </row>
        <row r="108">
          <cell r="A108" t="str">
            <v>227-5348</v>
          </cell>
          <cell r="B108" t="str">
            <v>SEAL KIT</v>
          </cell>
          <cell r="C108" t="str">
            <v>KIT DE SELLOS</v>
          </cell>
          <cell r="D108" t="str">
            <v>UND</v>
          </cell>
          <cell r="E108">
            <v>0</v>
          </cell>
          <cell r="F108">
            <v>1</v>
          </cell>
          <cell r="G108">
            <v>-1</v>
          </cell>
          <cell r="H108" t="str">
            <v>CATERPILLAR</v>
          </cell>
          <cell r="I108" t="str">
            <v>834H</v>
          </cell>
          <cell r="J108" t="str">
            <v>CILINDRO DE DIRECCIÓN</v>
          </cell>
          <cell r="K108" t="str">
            <v>3D03</v>
          </cell>
        </row>
        <row r="109">
          <cell r="A109" t="str">
            <v>229-5507</v>
          </cell>
          <cell r="B109" t="str">
            <v>SEAL KIT</v>
          </cell>
          <cell r="C109" t="str">
            <v>KIT DE SELLOS</v>
          </cell>
          <cell r="D109" t="str">
            <v>UND</v>
          </cell>
          <cell r="E109">
            <v>0</v>
          </cell>
          <cell r="F109">
            <v>4</v>
          </cell>
          <cell r="G109">
            <v>-4</v>
          </cell>
          <cell r="H109" t="str">
            <v>CATERPILLAR</v>
          </cell>
          <cell r="I109" t="str">
            <v>D11T</v>
          </cell>
          <cell r="J109" t="str">
            <v>CILINDRO DE LEVANTE DE BULLDOZER</v>
          </cell>
          <cell r="K109" t="str">
            <v>3D05</v>
          </cell>
        </row>
        <row r="110">
          <cell r="A110" t="str">
            <v>229-7188</v>
          </cell>
          <cell r="B110" t="str">
            <v>SEAL KIT</v>
          </cell>
          <cell r="C110" t="str">
            <v>KIT DE SELLOS</v>
          </cell>
          <cell r="D110" t="str">
            <v>UND</v>
          </cell>
          <cell r="E110">
            <v>0</v>
          </cell>
          <cell r="F110">
            <v>2</v>
          </cell>
          <cell r="G110">
            <v>-2</v>
          </cell>
          <cell r="H110" t="str">
            <v>CATERPILLAR</v>
          </cell>
          <cell r="I110" t="str">
            <v>844H</v>
          </cell>
          <cell r="J110" t="str">
            <v>CILINDRO DE DIRECCIÓN</v>
          </cell>
          <cell r="K110" t="str">
            <v>5B04</v>
          </cell>
        </row>
        <row r="111">
          <cell r="A111" t="str">
            <v>234-1948</v>
          </cell>
          <cell r="B111" t="str">
            <v>SEAL KIT</v>
          </cell>
          <cell r="C111" t="str">
            <v>SEAL KIT / KIT DE SELLOS</v>
          </cell>
          <cell r="D111" t="str">
            <v>UND</v>
          </cell>
          <cell r="E111">
            <v>0</v>
          </cell>
          <cell r="F111">
            <v>4</v>
          </cell>
          <cell r="G111">
            <v>-4</v>
          </cell>
          <cell r="H111" t="str">
            <v>CATERPILLAR</v>
          </cell>
          <cell r="I111" t="str">
            <v>24M</v>
          </cell>
          <cell r="J111" t="str">
            <v>CILINDRO DE BLADE TIP / CILINDRO DE WHEEL LEAN</v>
          </cell>
          <cell r="K111" t="str">
            <v>3B01</v>
          </cell>
        </row>
        <row r="112">
          <cell r="A112" t="str">
            <v>234-1949</v>
          </cell>
          <cell r="B112" t="str">
            <v>SEAL KIT</v>
          </cell>
          <cell r="C112" t="str">
            <v>SEAL KIT</v>
          </cell>
          <cell r="D112" t="str">
            <v>UND</v>
          </cell>
          <cell r="E112">
            <v>1</v>
          </cell>
          <cell r="F112">
            <v>0</v>
          </cell>
          <cell r="G112">
            <v>1</v>
          </cell>
          <cell r="H112" t="str">
            <v>CATERPILLAR</v>
          </cell>
          <cell r="I112" t="str">
            <v>-</v>
          </cell>
          <cell r="J112" t="str">
            <v>-</v>
          </cell>
          <cell r="K112" t="str">
            <v>3C03</v>
          </cell>
        </row>
        <row r="113">
          <cell r="A113" t="str">
            <v>245-6835</v>
          </cell>
          <cell r="B113" t="str">
            <v>SEAL KIT</v>
          </cell>
          <cell r="C113" t="str">
            <v>KIT DE SELLOS</v>
          </cell>
          <cell r="D113" t="str">
            <v>UND</v>
          </cell>
          <cell r="E113">
            <v>1</v>
          </cell>
          <cell r="F113">
            <v>2</v>
          </cell>
          <cell r="G113">
            <v>-1</v>
          </cell>
          <cell r="H113" t="str">
            <v>CATERPILLAR</v>
          </cell>
          <cell r="I113" t="str">
            <v>844H</v>
          </cell>
          <cell r="J113" t="str">
            <v>CILINDRO DE INCLINACIÓN DE BULLDOZER</v>
          </cell>
          <cell r="K113" t="str">
            <v>3A02</v>
          </cell>
        </row>
        <row r="114">
          <cell r="A114" t="str">
            <v>245-9840</v>
          </cell>
          <cell r="B114" t="str">
            <v>SEAL KIT</v>
          </cell>
          <cell r="C114" t="str">
            <v>KIT DE SELLOS</v>
          </cell>
          <cell r="D114" t="str">
            <v>UND</v>
          </cell>
          <cell r="E114">
            <v>0</v>
          </cell>
          <cell r="F114">
            <v>4</v>
          </cell>
          <cell r="G114">
            <v>-4</v>
          </cell>
          <cell r="H114" t="str">
            <v>CATERPILLAR</v>
          </cell>
          <cell r="I114" t="str">
            <v>D11T</v>
          </cell>
          <cell r="J114" t="str">
            <v>CILINDRO DE VOLTEO DE RIPPER</v>
          </cell>
          <cell r="K114" t="str">
            <v>2E04</v>
          </cell>
        </row>
        <row r="115">
          <cell r="A115" t="str">
            <v>246-0649</v>
          </cell>
          <cell r="B115" t="str">
            <v>KIT SEAL H. C</v>
          </cell>
          <cell r="C115" t="str">
            <v>KIT SEAL H. C / KIT SELLOS</v>
          </cell>
          <cell r="D115" t="str">
            <v>UND</v>
          </cell>
          <cell r="E115">
            <v>3</v>
          </cell>
          <cell r="F115">
            <v>4</v>
          </cell>
          <cell r="G115">
            <v>-1</v>
          </cell>
          <cell r="H115" t="str">
            <v>CATERPILLAR</v>
          </cell>
          <cell r="I115" t="str">
            <v>D11T</v>
          </cell>
          <cell r="J115" t="str">
            <v>CILINDRO DE INCLINACIÓN DE BULLDOZER</v>
          </cell>
          <cell r="K115" t="str">
            <v>3C01</v>
          </cell>
        </row>
        <row r="116">
          <cell r="A116" t="str">
            <v>252-5105</v>
          </cell>
          <cell r="B116" t="str">
            <v>SEAL KIT</v>
          </cell>
          <cell r="C116" t="str">
            <v>KIT DE SELLOS</v>
          </cell>
          <cell r="D116" t="str">
            <v>UND</v>
          </cell>
          <cell r="E116">
            <v>1</v>
          </cell>
          <cell r="F116">
            <v>2</v>
          </cell>
          <cell r="G116">
            <v>-1</v>
          </cell>
          <cell r="H116" t="str">
            <v>CATERPILLAR</v>
          </cell>
          <cell r="I116" t="str">
            <v>24M</v>
          </cell>
          <cell r="J116" t="str">
            <v>CILINDRO DE CORREDERA DE VERTEDERA</v>
          </cell>
          <cell r="K116" t="str">
            <v>3B03</v>
          </cell>
        </row>
        <row r="117">
          <cell r="A117" t="str">
            <v>295-9892</v>
          </cell>
          <cell r="B117" t="str">
            <v>SEAL KIT</v>
          </cell>
          <cell r="C117" t="str">
            <v>KIT DE SELLOS</v>
          </cell>
          <cell r="D117" t="str">
            <v>UND</v>
          </cell>
          <cell r="E117">
            <v>1</v>
          </cell>
          <cell r="F117">
            <v>1</v>
          </cell>
          <cell r="G117">
            <v>0</v>
          </cell>
          <cell r="H117" t="str">
            <v>CATERPILLAR</v>
          </cell>
          <cell r="I117" t="str">
            <v>834H</v>
          </cell>
          <cell r="J117" t="str">
            <v>CILINDRO DE LEVANTE DE BULLDOZER</v>
          </cell>
          <cell r="K117" t="str">
            <v>3D02</v>
          </cell>
        </row>
        <row r="118">
          <cell r="A118" t="str">
            <v>2H-3932</v>
          </cell>
          <cell r="B118" t="str">
            <v>SEAL</v>
          </cell>
          <cell r="C118" t="str">
            <v>SEAL / VÁLVULAS / SEAL ORING / SEAL</v>
          </cell>
          <cell r="D118" t="str">
            <v>UND</v>
          </cell>
          <cell r="E118">
            <v>45</v>
          </cell>
          <cell r="F118">
            <v>20</v>
          </cell>
          <cell r="G118">
            <v>25</v>
          </cell>
          <cell r="H118" t="str">
            <v>CATERPILLAR</v>
          </cell>
          <cell r="I118" t="str">
            <v>844H / D11T</v>
          </cell>
          <cell r="J118" t="str">
            <v>CILINDRO DE INCLINACIÓN DE BULLDOZER / CILINDRO DE LEVANTE DE RIPPER</v>
          </cell>
          <cell r="K118" t="str">
            <v>1D03</v>
          </cell>
        </row>
        <row r="119">
          <cell r="A119" t="str">
            <v>319-3564</v>
          </cell>
          <cell r="B119" t="str">
            <v>SEAL KIT</v>
          </cell>
          <cell r="C119" t="str">
            <v>KIT DE SELLOS</v>
          </cell>
          <cell r="D119" t="str">
            <v>UND</v>
          </cell>
          <cell r="E119">
            <v>0</v>
          </cell>
          <cell r="F119">
            <v>2</v>
          </cell>
          <cell r="G119">
            <v>-2</v>
          </cell>
          <cell r="H119" t="str">
            <v>CATERPILLAR</v>
          </cell>
          <cell r="I119" t="str">
            <v>844H</v>
          </cell>
          <cell r="J119" t="str">
            <v>CILINDRO DE LEVANTE DE BULLDOZER</v>
          </cell>
        </row>
        <row r="120">
          <cell r="A120" t="str">
            <v>332-2569</v>
          </cell>
          <cell r="B120" t="str">
            <v>SEAL KIT</v>
          </cell>
          <cell r="C120" t="str">
            <v>KIT DE SELLOS</v>
          </cell>
          <cell r="D120" t="str">
            <v>UND</v>
          </cell>
          <cell r="E120">
            <v>2</v>
          </cell>
          <cell r="F120">
            <v>2</v>
          </cell>
          <cell r="G120">
            <v>0</v>
          </cell>
          <cell r="H120" t="str">
            <v>CATERPILLAR</v>
          </cell>
          <cell r="I120" t="str">
            <v>24M</v>
          </cell>
          <cell r="J120" t="str">
            <v>CILINDRO DE DIRECCION</v>
          </cell>
          <cell r="K120" t="str">
            <v>3B02</v>
          </cell>
        </row>
        <row r="121">
          <cell r="A121" t="str">
            <v>336-7346</v>
          </cell>
          <cell r="B121" t="str">
            <v>SEAL KIT</v>
          </cell>
          <cell r="C121" t="str">
            <v>KIT DE SELLOS</v>
          </cell>
          <cell r="D121" t="str">
            <v>UND</v>
          </cell>
          <cell r="E121">
            <v>0</v>
          </cell>
          <cell r="F121">
            <v>1</v>
          </cell>
          <cell r="G121">
            <v>-1</v>
          </cell>
          <cell r="H121" t="str">
            <v>CATERPILLAR</v>
          </cell>
          <cell r="I121" t="str">
            <v>834H</v>
          </cell>
          <cell r="J121" t="str">
            <v>CILINDRO DE INCLINACIÓN DE BULLDOZER</v>
          </cell>
        </row>
        <row r="122">
          <cell r="A122" t="str">
            <v>343-7794</v>
          </cell>
          <cell r="B122" t="str">
            <v>BEARING</v>
          </cell>
          <cell r="C122" t="str">
            <v>BEARING</v>
          </cell>
          <cell r="D122" t="str">
            <v>UND</v>
          </cell>
          <cell r="E122">
            <v>0</v>
          </cell>
          <cell r="F122">
            <v>2</v>
          </cell>
          <cell r="G122">
            <v>-2</v>
          </cell>
          <cell r="H122" t="str">
            <v>CATERPILLAR</v>
          </cell>
          <cell r="I122" t="str">
            <v>797F</v>
          </cell>
          <cell r="J122" t="str">
            <v>CILINDRO DE DIRECCION</v>
          </cell>
        </row>
        <row r="123">
          <cell r="A123" t="str">
            <v>350-7157</v>
          </cell>
          <cell r="B123" t="str">
            <v>SEAL KIT</v>
          </cell>
          <cell r="C123" t="str">
            <v>KIT DE SELLOS</v>
          </cell>
          <cell r="D123" t="str">
            <v>UND</v>
          </cell>
          <cell r="E123">
            <v>0</v>
          </cell>
          <cell r="F123">
            <v>1</v>
          </cell>
          <cell r="G123">
            <v>-1</v>
          </cell>
          <cell r="H123" t="str">
            <v>CATERPILLAR</v>
          </cell>
          <cell r="I123" t="str">
            <v>793D</v>
          </cell>
          <cell r="J123" t="str">
            <v>CILINDRO DE LEVANTE DE TOLVA</v>
          </cell>
          <cell r="K123" t="str">
            <v>5A01</v>
          </cell>
        </row>
        <row r="124">
          <cell r="A124" t="str">
            <v>370-1866</v>
          </cell>
          <cell r="B124" t="str">
            <v>SEAL KIT</v>
          </cell>
          <cell r="C124" t="str">
            <v>KIT SELLOS / SEAL KIT</v>
          </cell>
          <cell r="D124" t="str">
            <v>UND</v>
          </cell>
          <cell r="E124">
            <v>0</v>
          </cell>
          <cell r="F124">
            <v>1</v>
          </cell>
          <cell r="G124">
            <v>-1</v>
          </cell>
          <cell r="H124" t="str">
            <v>CATERPILLAR</v>
          </cell>
          <cell r="I124" t="str">
            <v>390DL</v>
          </cell>
          <cell r="J124" t="str">
            <v>CILINDRO DE STICK</v>
          </cell>
          <cell r="K124" t="str">
            <v>4C01</v>
          </cell>
        </row>
        <row r="125">
          <cell r="A125" t="str">
            <v>380-2688</v>
          </cell>
          <cell r="B125" t="str">
            <v>SEAL KIT</v>
          </cell>
          <cell r="C125" t="str">
            <v>KIT DE SELLOS</v>
          </cell>
          <cell r="D125" t="str">
            <v>UND</v>
          </cell>
          <cell r="E125">
            <v>3</v>
          </cell>
          <cell r="F125">
            <v>1</v>
          </cell>
          <cell r="G125">
            <v>2</v>
          </cell>
          <cell r="H125" t="str">
            <v>CATERPILLAR</v>
          </cell>
          <cell r="I125" t="str">
            <v>793D</v>
          </cell>
          <cell r="J125" t="str">
            <v>CILINDRO DE SUSPENSION POSTERIOR</v>
          </cell>
          <cell r="K125" t="str">
            <v>3A01</v>
          </cell>
        </row>
        <row r="126">
          <cell r="A126" t="str">
            <v>3B-4512</v>
          </cell>
          <cell r="B126" t="str">
            <v>LOCKWASHER</v>
          </cell>
          <cell r="C126" t="str">
            <v>LOCKWASHER</v>
          </cell>
          <cell r="D126" t="str">
            <v>UND</v>
          </cell>
          <cell r="E126">
            <v>15</v>
          </cell>
          <cell r="F126">
            <v>0</v>
          </cell>
          <cell r="G126">
            <v>15</v>
          </cell>
          <cell r="H126" t="str">
            <v>CATERPILLAR</v>
          </cell>
          <cell r="I126" t="str">
            <v>-</v>
          </cell>
          <cell r="J126" t="str">
            <v>-</v>
          </cell>
          <cell r="K126" t="str">
            <v>1D07</v>
          </cell>
        </row>
        <row r="127">
          <cell r="A127" t="str">
            <v>3G-2791</v>
          </cell>
          <cell r="B127" t="str">
            <v>BEARING</v>
          </cell>
          <cell r="C127" t="str">
            <v>BEARING</v>
          </cell>
          <cell r="D127" t="str">
            <v>UND</v>
          </cell>
          <cell r="E127">
            <v>0</v>
          </cell>
          <cell r="F127">
            <v>4</v>
          </cell>
          <cell r="G127">
            <v>-4</v>
          </cell>
          <cell r="H127" t="str">
            <v>CATERPILLAR</v>
          </cell>
          <cell r="I127" t="str">
            <v>24M</v>
          </cell>
          <cell r="J127" t="str">
            <v>CILINDRO DE ARTICULACION</v>
          </cell>
        </row>
        <row r="128">
          <cell r="A128" t="str">
            <v>3J-6899</v>
          </cell>
          <cell r="B128" t="str">
            <v>BEARING</v>
          </cell>
          <cell r="C128" t="str">
            <v>BEARING</v>
          </cell>
          <cell r="D128" t="str">
            <v>UND</v>
          </cell>
          <cell r="E128">
            <v>0</v>
          </cell>
          <cell r="F128">
            <v>4</v>
          </cell>
          <cell r="G128">
            <v>-4</v>
          </cell>
          <cell r="H128" t="str">
            <v>CATERPILLAR</v>
          </cell>
          <cell r="I128" t="str">
            <v>793D</v>
          </cell>
          <cell r="J128" t="str">
            <v>CILINDRO DE DIRECCION</v>
          </cell>
          <cell r="K128" t="str">
            <v>1A03</v>
          </cell>
        </row>
        <row r="129">
          <cell r="A129" t="str">
            <v>3K-8692</v>
          </cell>
          <cell r="B129" t="str">
            <v>RING</v>
          </cell>
          <cell r="C129" t="str">
            <v>RING / VÁLVULAS / BACK UP</v>
          </cell>
          <cell r="D129" t="str">
            <v>UND</v>
          </cell>
          <cell r="E129">
            <v>28</v>
          </cell>
          <cell r="F129">
            <v>40</v>
          </cell>
          <cell r="G129">
            <v>-12</v>
          </cell>
          <cell r="H129" t="str">
            <v>CATERPILLAR</v>
          </cell>
          <cell r="I129" t="str">
            <v>844H</v>
          </cell>
          <cell r="J129" t="str">
            <v>CILINDRO DE INCLINACIÓN DE BULLDOZER</v>
          </cell>
          <cell r="K129" t="str">
            <v>1D02</v>
          </cell>
        </row>
        <row r="130">
          <cell r="A130" t="str">
            <v>3S-1349</v>
          </cell>
          <cell r="B130" t="str">
            <v>WASHER</v>
          </cell>
          <cell r="C130" t="str">
            <v>WASHER</v>
          </cell>
          <cell r="D130" t="str">
            <v>UND</v>
          </cell>
          <cell r="E130">
            <v>7</v>
          </cell>
          <cell r="F130">
            <v>8</v>
          </cell>
          <cell r="G130">
            <v>-1</v>
          </cell>
          <cell r="H130" t="str">
            <v>CATERPILLAR</v>
          </cell>
          <cell r="I130" t="str">
            <v>844H</v>
          </cell>
          <cell r="J130" t="str">
            <v>CILINDRO DE INCLINACIÓN DE BULLDOZER</v>
          </cell>
          <cell r="K130" t="str">
            <v>1E03</v>
          </cell>
        </row>
        <row r="131">
          <cell r="A131" t="str">
            <v>422-1674</v>
          </cell>
          <cell r="B131" t="str">
            <v>SEAL KIT</v>
          </cell>
          <cell r="C131" t="str">
            <v>KIT DE SELLOS</v>
          </cell>
          <cell r="D131" t="str">
            <v>UND</v>
          </cell>
          <cell r="E131">
            <v>0</v>
          </cell>
          <cell r="F131">
            <v>2</v>
          </cell>
          <cell r="G131">
            <v>-2</v>
          </cell>
          <cell r="H131" t="str">
            <v>CATERPILLAR</v>
          </cell>
          <cell r="I131" t="str">
            <v>797F</v>
          </cell>
          <cell r="J131" t="str">
            <v>CILINDRO DE DIRECCION</v>
          </cell>
          <cell r="K131" t="str">
            <v>5E01</v>
          </cell>
        </row>
        <row r="132">
          <cell r="A132" t="str">
            <v>423-2110</v>
          </cell>
          <cell r="B132" t="str">
            <v>KIT SEAL</v>
          </cell>
          <cell r="C132" t="str">
            <v>KIT SEAL / KIT DE SELLOS</v>
          </cell>
          <cell r="D132" t="str">
            <v>UND</v>
          </cell>
          <cell r="E132">
            <v>1</v>
          </cell>
          <cell r="F132">
            <v>1</v>
          </cell>
          <cell r="G132">
            <v>0</v>
          </cell>
          <cell r="H132" t="str">
            <v>CATERPILLAR</v>
          </cell>
          <cell r="I132" t="str">
            <v>994K</v>
          </cell>
          <cell r="J132" t="str">
            <v>CILINDRO DE LEVANTE</v>
          </cell>
          <cell r="K132" t="str">
            <v>5E02</v>
          </cell>
        </row>
        <row r="133">
          <cell r="A133" t="str">
            <v>424-5393</v>
          </cell>
          <cell r="B133" t="str">
            <v>KIT SEAL</v>
          </cell>
          <cell r="C133" t="str">
            <v>KIT SEAL / KIT DE SELLOS</v>
          </cell>
          <cell r="D133" t="str">
            <v>UND</v>
          </cell>
          <cell r="E133">
            <v>1</v>
          </cell>
          <cell r="F133">
            <v>1</v>
          </cell>
          <cell r="G133">
            <v>0</v>
          </cell>
          <cell r="H133" t="str">
            <v>CATERPILLAR</v>
          </cell>
          <cell r="I133" t="str">
            <v>994K</v>
          </cell>
          <cell r="J133" t="str">
            <v xml:space="preserve">CILINDRO DE VOLTEO  </v>
          </cell>
          <cell r="K133" t="str">
            <v>5E02</v>
          </cell>
        </row>
        <row r="134">
          <cell r="A134" t="str">
            <v>425-1297</v>
          </cell>
          <cell r="B134" t="str">
            <v>SEAL KIT</v>
          </cell>
          <cell r="C134" t="str">
            <v>KIT DE SELLOS</v>
          </cell>
          <cell r="D134" t="str">
            <v>UND</v>
          </cell>
          <cell r="E134">
            <v>1</v>
          </cell>
          <cell r="F134">
            <v>2</v>
          </cell>
          <cell r="G134">
            <v>-1</v>
          </cell>
          <cell r="H134" t="str">
            <v>CATERPILLAR</v>
          </cell>
          <cell r="I134" t="str">
            <v>24M</v>
          </cell>
          <cell r="J134" t="str">
            <v>CILINDRO DE ARTICULACION</v>
          </cell>
          <cell r="K134" t="str">
            <v>3C01</v>
          </cell>
        </row>
        <row r="135">
          <cell r="A135" t="str">
            <v>425-7486</v>
          </cell>
          <cell r="B135" t="str">
            <v>SEAL HEAD</v>
          </cell>
          <cell r="C135" t="str">
            <v>SEAL HEAD / SELLO DE CABEZAL / LIMPIADORES</v>
          </cell>
          <cell r="D135" t="str">
            <v>UND</v>
          </cell>
          <cell r="E135">
            <v>0</v>
          </cell>
          <cell r="F135">
            <v>4</v>
          </cell>
          <cell r="G135">
            <v>-4</v>
          </cell>
          <cell r="H135" t="str">
            <v>CATERPILLAR</v>
          </cell>
          <cell r="I135" t="str">
            <v>797F</v>
          </cell>
          <cell r="J135" t="str">
            <v>CILINDRO DE LEVANTE DE TOLVA</v>
          </cell>
          <cell r="K135" t="str">
            <v>4E02</v>
          </cell>
        </row>
        <row r="136">
          <cell r="A136" t="str">
            <v>437-2053</v>
          </cell>
          <cell r="B136" t="str">
            <v>SEAL HEAD</v>
          </cell>
          <cell r="C136" t="str">
            <v>SEAL HEAD / CABEZAL DE SELLOS / LIMPIADORES</v>
          </cell>
          <cell r="D136" t="str">
            <v>UND</v>
          </cell>
          <cell r="E136">
            <v>0</v>
          </cell>
          <cell r="F136">
            <v>4</v>
          </cell>
          <cell r="G136">
            <v>-4</v>
          </cell>
          <cell r="H136" t="str">
            <v>CATERPILLAR</v>
          </cell>
          <cell r="I136" t="str">
            <v>797F</v>
          </cell>
          <cell r="J136" t="str">
            <v>CILINDRO DE LEVANTE DE TOLVA</v>
          </cell>
          <cell r="K136" t="str">
            <v>4E01</v>
          </cell>
        </row>
        <row r="137">
          <cell r="A137" t="str">
            <v>437-3627</v>
          </cell>
          <cell r="B137" t="str">
            <v>SEAL KIT</v>
          </cell>
          <cell r="C137" t="str">
            <v>KIT DE SELLOS</v>
          </cell>
          <cell r="D137" t="str">
            <v>UND</v>
          </cell>
          <cell r="E137">
            <v>0</v>
          </cell>
          <cell r="F137">
            <v>2</v>
          </cell>
          <cell r="G137">
            <v>-2</v>
          </cell>
          <cell r="H137" t="str">
            <v>CATERPILLAR</v>
          </cell>
          <cell r="I137" t="str">
            <v>797F</v>
          </cell>
          <cell r="J137" t="str">
            <v>CILINDRO DE SUSPENSION POSTERIOR</v>
          </cell>
          <cell r="K137" t="str">
            <v>2E03</v>
          </cell>
        </row>
        <row r="138">
          <cell r="A138" t="str">
            <v>438-1135</v>
          </cell>
          <cell r="B138" t="str">
            <v>BEARING</v>
          </cell>
          <cell r="C138" t="str">
            <v>BEARING / BALL-STUD</v>
          </cell>
          <cell r="D138" t="str">
            <v>UND</v>
          </cell>
          <cell r="E138">
            <v>0</v>
          </cell>
          <cell r="F138">
            <v>4</v>
          </cell>
          <cell r="G138">
            <v>-4</v>
          </cell>
          <cell r="H138" t="str">
            <v>CATERPILLAR</v>
          </cell>
          <cell r="I138" t="str">
            <v>797F</v>
          </cell>
          <cell r="J138" t="str">
            <v>CILINDRO DE DIRECCION</v>
          </cell>
          <cell r="K138" t="str">
            <v>5C00</v>
          </cell>
        </row>
        <row r="139">
          <cell r="A139" t="str">
            <v>438-1136</v>
          </cell>
          <cell r="B139" t="str">
            <v>BEARING</v>
          </cell>
          <cell r="C139" t="str">
            <v>BEARING / COVER</v>
          </cell>
          <cell r="D139" t="str">
            <v>UND</v>
          </cell>
          <cell r="E139">
            <v>0</v>
          </cell>
          <cell r="F139">
            <v>4</v>
          </cell>
          <cell r="G139">
            <v>-4</v>
          </cell>
          <cell r="H139" t="str">
            <v>CATERPILLAR</v>
          </cell>
          <cell r="I139" t="str">
            <v>797F</v>
          </cell>
          <cell r="J139" t="str">
            <v>CILINDRO DE DIRECCION</v>
          </cell>
          <cell r="K139" t="str">
            <v>5C02</v>
          </cell>
        </row>
        <row r="140">
          <cell r="A140" t="str">
            <v>438-1137</v>
          </cell>
          <cell r="B140" t="str">
            <v>PLUG AS</v>
          </cell>
          <cell r="C140" t="str">
            <v>PLUG AS</v>
          </cell>
          <cell r="D140" t="str">
            <v>UND</v>
          </cell>
          <cell r="E140">
            <v>0</v>
          </cell>
          <cell r="F140">
            <v>4</v>
          </cell>
          <cell r="G140">
            <v>-4</v>
          </cell>
          <cell r="H140" t="str">
            <v>CATERPILLAR</v>
          </cell>
          <cell r="I140" t="str">
            <v>797F</v>
          </cell>
          <cell r="J140" t="str">
            <v>CILINDRO DE DIRECCION</v>
          </cell>
          <cell r="K140" t="str">
            <v>5C03</v>
          </cell>
        </row>
        <row r="141">
          <cell r="A141" t="str">
            <v>438-1138</v>
          </cell>
          <cell r="B141" t="str">
            <v>RING RETAINE</v>
          </cell>
          <cell r="C141" t="str">
            <v>RING RETAINE / BEARING</v>
          </cell>
          <cell r="D141" t="str">
            <v>UND</v>
          </cell>
          <cell r="E141">
            <v>1</v>
          </cell>
          <cell r="F141">
            <v>4</v>
          </cell>
          <cell r="G141">
            <v>-3</v>
          </cell>
          <cell r="H141" t="str">
            <v>CATERPILLAR</v>
          </cell>
          <cell r="I141" t="str">
            <v>797F</v>
          </cell>
          <cell r="J141" t="str">
            <v>CILINDRO DE DIRECCION</v>
          </cell>
          <cell r="K141" t="str">
            <v>2C02</v>
          </cell>
        </row>
        <row r="142">
          <cell r="A142" t="str">
            <v>438-1382</v>
          </cell>
          <cell r="B142" t="str">
            <v>SEAL</v>
          </cell>
          <cell r="C142" t="str">
            <v>LIMPIADORES</v>
          </cell>
          <cell r="D142" t="str">
            <v>UND</v>
          </cell>
          <cell r="E142">
            <v>0</v>
          </cell>
          <cell r="F142">
            <v>2</v>
          </cell>
          <cell r="G142">
            <v>-2</v>
          </cell>
          <cell r="H142" t="str">
            <v>CATERPILLAR</v>
          </cell>
          <cell r="I142" t="str">
            <v>797F</v>
          </cell>
          <cell r="J142" t="str">
            <v>CILINDRO DE DIRECCION</v>
          </cell>
        </row>
        <row r="143">
          <cell r="A143" t="str">
            <v>438-8593</v>
          </cell>
          <cell r="B143" t="str">
            <v>SEAL</v>
          </cell>
          <cell r="C143" t="str">
            <v>KIT DE SELLO / 228-1776</v>
          </cell>
          <cell r="D143" t="str">
            <v>UND</v>
          </cell>
          <cell r="E143">
            <v>0</v>
          </cell>
          <cell r="F143">
            <v>4</v>
          </cell>
          <cell r="G143">
            <v>-4</v>
          </cell>
          <cell r="H143" t="str">
            <v>CATERPILLAR</v>
          </cell>
          <cell r="I143" t="str">
            <v>24M</v>
          </cell>
          <cell r="J143" t="str">
            <v>CILINDRO DE BLADELIFT</v>
          </cell>
          <cell r="K143" t="str">
            <v>3B02</v>
          </cell>
        </row>
        <row r="144">
          <cell r="A144" t="str">
            <v>4D-4431</v>
          </cell>
          <cell r="B144" t="str">
            <v>BEARING</v>
          </cell>
          <cell r="C144" t="str">
            <v>BEARING</v>
          </cell>
          <cell r="D144" t="str">
            <v>UND</v>
          </cell>
          <cell r="E144">
            <v>0</v>
          </cell>
          <cell r="F144">
            <v>1</v>
          </cell>
          <cell r="G144">
            <v>-1</v>
          </cell>
          <cell r="H144" t="str">
            <v>CATERPILLAR</v>
          </cell>
          <cell r="I144" t="str">
            <v>24M</v>
          </cell>
          <cell r="J144" t="str">
            <v>CILINDRO DE DIRECCION</v>
          </cell>
          <cell r="K144" t="str">
            <v>2D07</v>
          </cell>
        </row>
        <row r="145">
          <cell r="A145" t="str">
            <v>4T-2578</v>
          </cell>
          <cell r="B145" t="str">
            <v>SPACER</v>
          </cell>
          <cell r="C145" t="str">
            <v>SPACER</v>
          </cell>
          <cell r="D145" t="str">
            <v>UND</v>
          </cell>
          <cell r="E145">
            <v>0</v>
          </cell>
          <cell r="F145">
            <v>4</v>
          </cell>
          <cell r="G145">
            <v>-4</v>
          </cell>
          <cell r="H145" t="str">
            <v>CATERPILLAR</v>
          </cell>
          <cell r="I145" t="str">
            <v>D11T</v>
          </cell>
          <cell r="J145" t="str">
            <v>CILINDRO DE INCLINACIÓN DE BULLDOZER</v>
          </cell>
          <cell r="K145" t="str">
            <v>1B02</v>
          </cell>
        </row>
        <row r="146">
          <cell r="A146" t="str">
            <v>4Z-6422</v>
          </cell>
          <cell r="B146" t="str">
            <v>INSERT</v>
          </cell>
          <cell r="C146" t="str">
            <v>INSERT / 5J-2529</v>
          </cell>
          <cell r="D146" t="str">
            <v>UND</v>
          </cell>
          <cell r="E146">
            <v>3</v>
          </cell>
          <cell r="F146">
            <v>8</v>
          </cell>
          <cell r="G146">
            <v>-5</v>
          </cell>
          <cell r="H146" t="str">
            <v>CATERPILLAR</v>
          </cell>
          <cell r="I146" t="str">
            <v>844H</v>
          </cell>
          <cell r="J146" t="str">
            <v>CILINDRO DE LEVANTE DE BULLDOZER</v>
          </cell>
          <cell r="K146" t="str">
            <v>1D03</v>
          </cell>
        </row>
        <row r="147">
          <cell r="A147" t="str">
            <v>580-7879</v>
          </cell>
          <cell r="B147" t="str">
            <v>SEAL KIT HCYL</v>
          </cell>
          <cell r="C147" t="str">
            <v>SEAL KIT HCYL</v>
          </cell>
          <cell r="D147" t="str">
            <v>UND</v>
          </cell>
          <cell r="E147">
            <v>0</v>
          </cell>
          <cell r="F147">
            <v>2</v>
          </cell>
          <cell r="G147">
            <v>-2</v>
          </cell>
          <cell r="H147" t="str">
            <v>CATERPILLAR</v>
          </cell>
          <cell r="I147" t="str">
            <v>797F</v>
          </cell>
          <cell r="J147" t="str">
            <v>CILINDRO DE LEVANTE DE TOLVA</v>
          </cell>
        </row>
        <row r="148">
          <cell r="A148" t="str">
            <v>58B-32-00910</v>
          </cell>
          <cell r="B148" t="str">
            <v>BEARING</v>
          </cell>
          <cell r="C148" t="str">
            <v>BEARING</v>
          </cell>
          <cell r="D148" t="str">
            <v>UND</v>
          </cell>
          <cell r="E148">
            <v>0</v>
          </cell>
          <cell r="F148">
            <v>4</v>
          </cell>
          <cell r="G148">
            <v>-4</v>
          </cell>
          <cell r="H148" t="str">
            <v>KOMATSU</v>
          </cell>
          <cell r="I148">
            <v>980</v>
          </cell>
          <cell r="J148" t="str">
            <v>CILINDRO DE DIRECCIÓN</v>
          </cell>
        </row>
        <row r="149">
          <cell r="A149" t="str">
            <v>58B-41-00110</v>
          </cell>
          <cell r="B149" t="str">
            <v>SEAL</v>
          </cell>
          <cell r="C149" t="str">
            <v>LIMPIADORES</v>
          </cell>
          <cell r="D149" t="str">
            <v>UND</v>
          </cell>
          <cell r="E149">
            <v>0</v>
          </cell>
          <cell r="F149">
            <v>8</v>
          </cell>
          <cell r="G149">
            <v>-8</v>
          </cell>
          <cell r="H149" t="str">
            <v>KOMATSU</v>
          </cell>
          <cell r="I149">
            <v>980</v>
          </cell>
          <cell r="J149" t="str">
            <v>CILINDRO DE DIRECCIÓN</v>
          </cell>
        </row>
        <row r="150">
          <cell r="A150" t="str">
            <v>58B-SC-AK030</v>
          </cell>
          <cell r="B150" t="str">
            <v>KIT SEAL</v>
          </cell>
          <cell r="C150" t="str">
            <v>KIT DE SELLOS</v>
          </cell>
          <cell r="D150" t="str">
            <v>UND</v>
          </cell>
          <cell r="E150">
            <v>0</v>
          </cell>
          <cell r="F150">
            <v>2</v>
          </cell>
          <cell r="G150">
            <v>-2</v>
          </cell>
          <cell r="H150" t="str">
            <v>KOMATSU</v>
          </cell>
          <cell r="I150">
            <v>980</v>
          </cell>
          <cell r="J150" t="str">
            <v>CILINDRO DE DIRECCIÓN</v>
          </cell>
        </row>
        <row r="151">
          <cell r="A151" t="str">
            <v>5J-1192</v>
          </cell>
          <cell r="B151" t="str">
            <v>BEARING</v>
          </cell>
          <cell r="C151" t="str">
            <v>BEARING</v>
          </cell>
          <cell r="D151" t="str">
            <v>UND</v>
          </cell>
          <cell r="E151">
            <v>8</v>
          </cell>
          <cell r="F151">
            <v>4</v>
          </cell>
          <cell r="G151">
            <v>4</v>
          </cell>
          <cell r="H151" t="str">
            <v>CATERPILLAR</v>
          </cell>
          <cell r="I151" t="str">
            <v>844H</v>
          </cell>
          <cell r="J151" t="str">
            <v>CILINDRO DE LEVANTE DE BULLDOZER</v>
          </cell>
          <cell r="K151" t="str">
            <v>2D05</v>
          </cell>
        </row>
        <row r="152">
          <cell r="A152" t="str">
            <v>5J-1446</v>
          </cell>
          <cell r="B152" t="str">
            <v>BEARING</v>
          </cell>
          <cell r="C152" t="str">
            <v>BEARING</v>
          </cell>
          <cell r="D152" t="str">
            <v>UND</v>
          </cell>
          <cell r="E152">
            <v>0</v>
          </cell>
          <cell r="F152">
            <v>2</v>
          </cell>
          <cell r="G152">
            <v>-2</v>
          </cell>
          <cell r="H152" t="str">
            <v>CATERPILLAR</v>
          </cell>
          <cell r="I152" t="str">
            <v>24M</v>
          </cell>
          <cell r="J152" t="str">
            <v>CILINDRO DE CORREDERA DE VERTEDERA</v>
          </cell>
        </row>
        <row r="153">
          <cell r="A153" t="str">
            <v>5J-2528</v>
          </cell>
          <cell r="B153" t="str">
            <v>PLUNGER</v>
          </cell>
          <cell r="C153" t="str">
            <v>PLUNGER</v>
          </cell>
          <cell r="D153" t="str">
            <v>UND</v>
          </cell>
          <cell r="E153">
            <v>2</v>
          </cell>
          <cell r="F153">
            <v>4</v>
          </cell>
          <cell r="G153">
            <v>-2</v>
          </cell>
          <cell r="H153" t="str">
            <v>CATERPILLAR</v>
          </cell>
          <cell r="I153" t="str">
            <v>844H</v>
          </cell>
          <cell r="J153" t="str">
            <v>CILINDRO DE LEVANTE DE BULLDOZER</v>
          </cell>
        </row>
        <row r="154">
          <cell r="A154" t="str">
            <v>5T-6503</v>
          </cell>
          <cell r="B154" t="str">
            <v>BEARING</v>
          </cell>
          <cell r="C154" t="str">
            <v>BEARING</v>
          </cell>
          <cell r="D154" t="str">
            <v>UND</v>
          </cell>
          <cell r="E154">
            <v>0</v>
          </cell>
          <cell r="F154">
            <v>4</v>
          </cell>
          <cell r="G154">
            <v>-4</v>
          </cell>
          <cell r="H154" t="str">
            <v>CATERPILLAR</v>
          </cell>
          <cell r="I154" t="str">
            <v>793D</v>
          </cell>
          <cell r="J154" t="str">
            <v>CILINDRO DE DIRECCION</v>
          </cell>
        </row>
        <row r="155">
          <cell r="A155" t="str">
            <v>5T-6809</v>
          </cell>
          <cell r="B155" t="str">
            <v>BEARING</v>
          </cell>
          <cell r="C155" t="str">
            <v>BEARING</v>
          </cell>
          <cell r="D155" t="str">
            <v>UND</v>
          </cell>
          <cell r="E155">
            <v>0</v>
          </cell>
          <cell r="F155">
            <v>4</v>
          </cell>
          <cell r="G155">
            <v>-4</v>
          </cell>
          <cell r="H155" t="str">
            <v>CATERPILLAR</v>
          </cell>
          <cell r="I155" t="str">
            <v>793D</v>
          </cell>
          <cell r="J155" t="str">
            <v>CILINDRO DE DIRECCION</v>
          </cell>
        </row>
        <row r="156">
          <cell r="A156" t="str">
            <v>6E-1433</v>
          </cell>
          <cell r="B156" t="str">
            <v>INSERT</v>
          </cell>
          <cell r="C156" t="str">
            <v>INSERT</v>
          </cell>
          <cell r="D156" t="str">
            <v>UND</v>
          </cell>
          <cell r="E156">
            <v>0</v>
          </cell>
          <cell r="F156">
            <v>8</v>
          </cell>
          <cell r="G156">
            <v>-8</v>
          </cell>
          <cell r="H156" t="str">
            <v>CATERPILLAR</v>
          </cell>
          <cell r="I156" t="str">
            <v>D11T</v>
          </cell>
          <cell r="J156" t="str">
            <v>CILINDRO DE LEVANTE DE RIPPER</v>
          </cell>
        </row>
        <row r="157">
          <cell r="A157" t="str">
            <v>6E-1443</v>
          </cell>
          <cell r="B157" t="str">
            <v>INSERT</v>
          </cell>
          <cell r="C157" t="str">
            <v>INSERT</v>
          </cell>
          <cell r="D157" t="str">
            <v>UND</v>
          </cell>
          <cell r="E157">
            <v>2</v>
          </cell>
          <cell r="F157">
            <v>8</v>
          </cell>
          <cell r="G157">
            <v>-6</v>
          </cell>
          <cell r="H157" t="str">
            <v>CATERPILLAR</v>
          </cell>
          <cell r="I157" t="str">
            <v>D11T</v>
          </cell>
          <cell r="J157" t="str">
            <v>CILINDRO DE INCLINACIÓN DE BULLDOZER</v>
          </cell>
          <cell r="K157" t="str">
            <v>1D01</v>
          </cell>
        </row>
        <row r="158">
          <cell r="A158" t="str">
            <v>6E-1444</v>
          </cell>
          <cell r="B158" t="str">
            <v>SPACER</v>
          </cell>
          <cell r="C158" t="str">
            <v>SPACER</v>
          </cell>
          <cell r="D158" t="str">
            <v>UND</v>
          </cell>
          <cell r="E158">
            <v>1</v>
          </cell>
          <cell r="F158">
            <v>12</v>
          </cell>
          <cell r="G158">
            <v>-11</v>
          </cell>
          <cell r="H158" t="str">
            <v>CATERPILLAR</v>
          </cell>
          <cell r="I158" t="str">
            <v>D11T</v>
          </cell>
          <cell r="J158" t="str">
            <v>CILINDRO DE INCLINACIÓN DE BULLDOZER / CILINDRO DE LEVANTE DE RIPPER</v>
          </cell>
          <cell r="K158" t="str">
            <v>1B01</v>
          </cell>
        </row>
        <row r="159">
          <cell r="A159" t="str">
            <v>6Y-9379</v>
          </cell>
          <cell r="B159" t="str">
            <v>BEARING</v>
          </cell>
          <cell r="C159" t="str">
            <v>BEARING</v>
          </cell>
          <cell r="D159" t="str">
            <v>UND</v>
          </cell>
          <cell r="E159">
            <v>2</v>
          </cell>
          <cell r="F159">
            <v>1</v>
          </cell>
          <cell r="G159">
            <v>1</v>
          </cell>
          <cell r="H159" t="str">
            <v>CATERPILLAR</v>
          </cell>
          <cell r="I159" t="str">
            <v>793D</v>
          </cell>
          <cell r="J159" t="str">
            <v>CILINDRO DE LEVANTE DE TOLVA</v>
          </cell>
          <cell r="K159" t="str">
            <v>1A01</v>
          </cell>
        </row>
        <row r="160">
          <cell r="A160" t="str">
            <v>6Y-9380</v>
          </cell>
          <cell r="B160" t="str">
            <v>BEARING</v>
          </cell>
          <cell r="C160" t="str">
            <v>BEARING</v>
          </cell>
          <cell r="D160" t="str">
            <v>UND</v>
          </cell>
          <cell r="E160">
            <v>2</v>
          </cell>
          <cell r="F160">
            <v>1</v>
          </cell>
          <cell r="G160">
            <v>1</v>
          </cell>
          <cell r="H160" t="str">
            <v>CATERPILLAR</v>
          </cell>
          <cell r="I160" t="str">
            <v>793D</v>
          </cell>
          <cell r="J160" t="str">
            <v>CILINDRO DE LEVANTE DE TOLVA</v>
          </cell>
          <cell r="K160" t="str">
            <v>1A01</v>
          </cell>
        </row>
        <row r="161">
          <cell r="A161" t="str">
            <v>707-99-67670</v>
          </cell>
          <cell r="B161" t="str">
            <v>SEAL KIT</v>
          </cell>
          <cell r="C161" t="str">
            <v>KIT DE SELLOS</v>
          </cell>
          <cell r="D161" t="str">
            <v>UND</v>
          </cell>
          <cell r="E161">
            <v>0</v>
          </cell>
          <cell r="F161">
            <v>0</v>
          </cell>
          <cell r="G161">
            <v>0</v>
          </cell>
          <cell r="H161" t="str">
            <v>KOMATSU</v>
          </cell>
          <cell r="I161" t="str">
            <v>-</v>
          </cell>
          <cell r="J161" t="str">
            <v>-</v>
          </cell>
        </row>
        <row r="162">
          <cell r="A162" t="str">
            <v>707-99-75600</v>
          </cell>
          <cell r="B162" t="str">
            <v>SEAL KIT</v>
          </cell>
          <cell r="C162" t="str">
            <v>KIT DE SELLOS</v>
          </cell>
          <cell r="D162" t="str">
            <v>UND</v>
          </cell>
          <cell r="E162">
            <v>0</v>
          </cell>
          <cell r="F162">
            <v>1</v>
          </cell>
          <cell r="G162">
            <v>-1</v>
          </cell>
          <cell r="H162" t="str">
            <v>KOMATSU</v>
          </cell>
          <cell r="I162" t="str">
            <v>D475</v>
          </cell>
          <cell r="J162" t="str">
            <v>CILINDRO DE LEVANTE DE RIPPER</v>
          </cell>
          <cell r="K162" t="str">
            <v>3E01</v>
          </cell>
        </row>
        <row r="163">
          <cell r="A163" t="str">
            <v>707-99-77620</v>
          </cell>
          <cell r="B163" t="str">
            <v>SEAL KIT</v>
          </cell>
          <cell r="C163" t="str">
            <v>KIT DE SELLOS</v>
          </cell>
          <cell r="D163" t="str">
            <v>UND</v>
          </cell>
          <cell r="E163">
            <v>1</v>
          </cell>
          <cell r="F163">
            <v>1</v>
          </cell>
          <cell r="G163">
            <v>0</v>
          </cell>
          <cell r="H163" t="str">
            <v>KOMATSU</v>
          </cell>
          <cell r="I163" t="str">
            <v>D475</v>
          </cell>
          <cell r="J163" t="str">
            <v>CILINDRO DE VOLTEO DE RIPPER</v>
          </cell>
          <cell r="K163" t="str">
            <v>3E02</v>
          </cell>
        </row>
        <row r="164">
          <cell r="A164" t="str">
            <v>707-99-84200</v>
          </cell>
          <cell r="B164" t="str">
            <v>SEAL KIT</v>
          </cell>
          <cell r="C164" t="str">
            <v>KIT DE SELLOS</v>
          </cell>
          <cell r="D164" t="str">
            <v>UND</v>
          </cell>
          <cell r="E164">
            <v>0</v>
          </cell>
          <cell r="F164">
            <v>2</v>
          </cell>
          <cell r="G164">
            <v>-2</v>
          </cell>
          <cell r="H164" t="str">
            <v>KOMATSU</v>
          </cell>
          <cell r="I164" t="str">
            <v>D475</v>
          </cell>
          <cell r="J164" t="str">
            <v>CILINDRO DE INCLINACIÓN DE BULLDOZER</v>
          </cell>
          <cell r="K164" t="str">
            <v>3E03</v>
          </cell>
        </row>
        <row r="165">
          <cell r="A165" t="str">
            <v>7J-1309</v>
          </cell>
          <cell r="B165" t="str">
            <v>BEARING</v>
          </cell>
          <cell r="C165" t="str">
            <v>BEARING</v>
          </cell>
          <cell r="D165" t="str">
            <v>UND</v>
          </cell>
          <cell r="E165">
            <v>1</v>
          </cell>
          <cell r="F165">
            <v>3</v>
          </cell>
          <cell r="G165">
            <v>-2</v>
          </cell>
          <cell r="H165" t="str">
            <v>CATERPILLAR</v>
          </cell>
          <cell r="I165" t="str">
            <v>834H</v>
          </cell>
          <cell r="J165" t="str">
            <v>CILINDRO DE LEVANTE DE BULLDOZER</v>
          </cell>
          <cell r="K165" t="str">
            <v>2D04</v>
          </cell>
        </row>
        <row r="166">
          <cell r="A166" t="str">
            <v>7J-3297</v>
          </cell>
          <cell r="B166" t="str">
            <v>BEARING</v>
          </cell>
          <cell r="C166" t="str">
            <v>BEARING</v>
          </cell>
          <cell r="D166" t="str">
            <v>UND</v>
          </cell>
          <cell r="E166">
            <v>5</v>
          </cell>
          <cell r="F166">
            <v>2</v>
          </cell>
          <cell r="G166">
            <v>3</v>
          </cell>
          <cell r="H166" t="str">
            <v>CATERPILLAR</v>
          </cell>
          <cell r="I166" t="str">
            <v>844H</v>
          </cell>
          <cell r="J166" t="str">
            <v>CILINDRO DE INCLINACIÓN DE BULLDOZER</v>
          </cell>
          <cell r="K166" t="str">
            <v>2D06</v>
          </cell>
        </row>
        <row r="167">
          <cell r="A167" t="str">
            <v>7J-9250</v>
          </cell>
          <cell r="B167" t="str">
            <v>REPLACEMENT</v>
          </cell>
          <cell r="C167" t="str">
            <v>CONTRATUERCA</v>
          </cell>
          <cell r="D167" t="str">
            <v>UND</v>
          </cell>
          <cell r="E167">
            <v>2</v>
          </cell>
          <cell r="F167">
            <v>2</v>
          </cell>
          <cell r="G167">
            <v>0</v>
          </cell>
          <cell r="H167" t="str">
            <v>CATERPILLAR</v>
          </cell>
          <cell r="I167" t="str">
            <v>797F</v>
          </cell>
          <cell r="J167" t="str">
            <v>CILINDRO DE DIRECCION</v>
          </cell>
          <cell r="K167" t="str">
            <v>2E01</v>
          </cell>
        </row>
        <row r="168">
          <cell r="A168" t="str">
            <v>7K-9204</v>
          </cell>
          <cell r="B168" t="str">
            <v>SEAL</v>
          </cell>
          <cell r="C168" t="str">
            <v>LIMPIADORES</v>
          </cell>
          <cell r="D168" t="str">
            <v>UND</v>
          </cell>
          <cell r="E168">
            <v>22</v>
          </cell>
          <cell r="F168">
            <v>12</v>
          </cell>
          <cell r="G168">
            <v>10</v>
          </cell>
          <cell r="H168" t="str">
            <v>CATERPILLAR</v>
          </cell>
          <cell r="I168" t="str">
            <v>24M</v>
          </cell>
          <cell r="J168" t="str">
            <v>CILINDRO DE WHEEL LEAN</v>
          </cell>
          <cell r="K168" t="str">
            <v>2B03</v>
          </cell>
        </row>
        <row r="169">
          <cell r="A169" t="str">
            <v>7K-9205</v>
          </cell>
          <cell r="B169" t="str">
            <v>SEAL</v>
          </cell>
          <cell r="C169" t="str">
            <v>SEAL / LIMPIADORES</v>
          </cell>
          <cell r="D169" t="str">
            <v>UND</v>
          </cell>
          <cell r="E169">
            <v>4</v>
          </cell>
          <cell r="F169">
            <v>8</v>
          </cell>
          <cell r="G169">
            <v>-4</v>
          </cell>
          <cell r="H169" t="str">
            <v>CATERPILLAR</v>
          </cell>
          <cell r="I169" t="str">
            <v>24M</v>
          </cell>
          <cell r="J169" t="str">
            <v>CILINDRO DE ARTICULACION</v>
          </cell>
          <cell r="K169" t="str">
            <v>2B06</v>
          </cell>
        </row>
        <row r="170">
          <cell r="A170" t="str">
            <v>7K-9211</v>
          </cell>
          <cell r="B170" t="str">
            <v>SEAL</v>
          </cell>
          <cell r="C170" t="str">
            <v>SEAL</v>
          </cell>
          <cell r="D170" t="str">
            <v>UND</v>
          </cell>
          <cell r="E170">
            <v>30</v>
          </cell>
          <cell r="F170">
            <v>32</v>
          </cell>
          <cell r="G170">
            <v>-2</v>
          </cell>
          <cell r="H170" t="str">
            <v>CATERPILLAR</v>
          </cell>
          <cell r="I170" t="str">
            <v>D11T</v>
          </cell>
          <cell r="J170" t="str">
            <v>CILINDRO DE LEVANTE DE RIPPER / CILINDRO DE VOLTEO DE RIPPER</v>
          </cell>
          <cell r="K170" t="str">
            <v>2B01</v>
          </cell>
        </row>
        <row r="171">
          <cell r="A171" t="str">
            <v>7X-4803</v>
          </cell>
          <cell r="B171" t="str">
            <v>SEAL</v>
          </cell>
          <cell r="C171" t="str">
            <v>LIMPIADORES</v>
          </cell>
          <cell r="D171" t="str">
            <v>UND</v>
          </cell>
          <cell r="E171">
            <v>0</v>
          </cell>
          <cell r="F171">
            <v>8</v>
          </cell>
          <cell r="G171">
            <v>-8</v>
          </cell>
          <cell r="H171" t="str">
            <v>CATERPILLAR</v>
          </cell>
          <cell r="I171" t="str">
            <v>844H</v>
          </cell>
          <cell r="J171" t="str">
            <v>CILINDRO DE DIRECCIÓN</v>
          </cell>
          <cell r="K171" t="str">
            <v>3C05</v>
          </cell>
        </row>
        <row r="172">
          <cell r="A172" t="str">
            <v>8J-9910</v>
          </cell>
          <cell r="B172" t="str">
            <v>BEARING</v>
          </cell>
          <cell r="C172" t="str">
            <v>BEARING</v>
          </cell>
          <cell r="D172" t="str">
            <v>UND</v>
          </cell>
          <cell r="E172">
            <v>0</v>
          </cell>
          <cell r="F172">
            <v>2</v>
          </cell>
          <cell r="G172">
            <v>-2</v>
          </cell>
          <cell r="H172" t="str">
            <v>CATERPILLAR</v>
          </cell>
          <cell r="I172" t="str">
            <v>24M</v>
          </cell>
          <cell r="J172" t="str">
            <v>CILINDRO DE LEVANTE DE RIPPER</v>
          </cell>
        </row>
        <row r="173">
          <cell r="A173" t="str">
            <v>8J-9911</v>
          </cell>
          <cell r="B173" t="str">
            <v>BEARING</v>
          </cell>
          <cell r="C173" t="str">
            <v>BEARING</v>
          </cell>
          <cell r="D173" t="str">
            <v>UND</v>
          </cell>
          <cell r="E173">
            <v>0</v>
          </cell>
          <cell r="F173">
            <v>4</v>
          </cell>
          <cell r="G173">
            <v>-4</v>
          </cell>
          <cell r="H173" t="str">
            <v>CATERPILLAR</v>
          </cell>
          <cell r="I173" t="str">
            <v>24M</v>
          </cell>
          <cell r="J173" t="str">
            <v>CILINDRO DE LEVANTE DE RIPPER</v>
          </cell>
        </row>
        <row r="174">
          <cell r="A174" t="str">
            <v>8X-9620</v>
          </cell>
          <cell r="B174" t="str">
            <v>PRISIONERO DE BOLA</v>
          </cell>
          <cell r="C174" t="str">
            <v>PRISIONERO DE BOLA</v>
          </cell>
          <cell r="D174" t="str">
            <v>UND</v>
          </cell>
          <cell r="E174">
            <v>1</v>
          </cell>
          <cell r="F174">
            <v>4</v>
          </cell>
          <cell r="G174">
            <v>-3</v>
          </cell>
          <cell r="H174" t="str">
            <v>CATERPILLAR</v>
          </cell>
          <cell r="I174" t="str">
            <v>793D</v>
          </cell>
          <cell r="J174" t="str">
            <v>CILINDRO DE DIRECCION</v>
          </cell>
          <cell r="K174" t="str">
            <v>5C01</v>
          </cell>
        </row>
        <row r="175">
          <cell r="A175" t="str">
            <v>9J-0521</v>
          </cell>
          <cell r="B175" t="str">
            <v>INSERT</v>
          </cell>
          <cell r="C175" t="str">
            <v>VALVULAS</v>
          </cell>
          <cell r="D175" t="str">
            <v>UND</v>
          </cell>
          <cell r="E175">
            <v>8</v>
          </cell>
          <cell r="F175">
            <v>16</v>
          </cell>
          <cell r="G175">
            <v>-8</v>
          </cell>
          <cell r="H175" t="str">
            <v>CATERPILLAR</v>
          </cell>
          <cell r="I175" t="str">
            <v>D11T</v>
          </cell>
          <cell r="J175" t="str">
            <v>CILINDRO DE LEVANTE DE BULLDOZER</v>
          </cell>
        </row>
        <row r="176">
          <cell r="A176" t="str">
            <v>9X-4597</v>
          </cell>
          <cell r="B176" t="str">
            <v>SEAL AS</v>
          </cell>
          <cell r="C176" t="str">
            <v>SEAL AS / LIMPIADORES</v>
          </cell>
          <cell r="D176" t="str">
            <v>UND</v>
          </cell>
          <cell r="E176">
            <v>2</v>
          </cell>
          <cell r="F176">
            <v>4</v>
          </cell>
          <cell r="G176">
            <v>-2</v>
          </cell>
          <cell r="H176" t="str">
            <v>CATERPILLAR</v>
          </cell>
          <cell r="I176" t="str">
            <v>24M</v>
          </cell>
          <cell r="J176" t="str">
            <v>CILINDRO DE WHEEL LEAN</v>
          </cell>
          <cell r="K176" t="str">
            <v>2B05</v>
          </cell>
        </row>
        <row r="177">
          <cell r="A177" t="str">
            <v>9X-4600</v>
          </cell>
          <cell r="B177" t="str">
            <v>SEAL</v>
          </cell>
          <cell r="C177" t="str">
            <v>SEAL / LIMPIADORES</v>
          </cell>
          <cell r="D177" t="str">
            <v>UND</v>
          </cell>
          <cell r="E177">
            <v>24</v>
          </cell>
          <cell r="F177">
            <v>8</v>
          </cell>
          <cell r="G177">
            <v>16</v>
          </cell>
          <cell r="H177" t="str">
            <v>CATERPILLAR</v>
          </cell>
          <cell r="I177" t="str">
            <v>390DL</v>
          </cell>
          <cell r="J177" t="str">
            <v>CILINDRO DE STICK</v>
          </cell>
          <cell r="K177" t="str">
            <v>2B01</v>
          </cell>
        </row>
        <row r="178">
          <cell r="A178" t="str">
            <v>AK5239</v>
          </cell>
          <cell r="B178" t="str">
            <v>SEAL KIT</v>
          </cell>
          <cell r="C178" t="str">
            <v>KIT DE SELLOS</v>
          </cell>
          <cell r="D178" t="str">
            <v>UND</v>
          </cell>
          <cell r="E178">
            <v>2</v>
          </cell>
          <cell r="F178">
            <v>2</v>
          </cell>
          <cell r="G178">
            <v>0</v>
          </cell>
          <cell r="H178" t="str">
            <v>KOMATSU</v>
          </cell>
          <cell r="I178">
            <v>930</v>
          </cell>
          <cell r="J178" t="str">
            <v>CILINDRO DE SUSPENSION POSTERIOR</v>
          </cell>
          <cell r="K178" t="str">
            <v>5E01</v>
          </cell>
        </row>
        <row r="179">
          <cell r="A179" t="str">
            <v>AK-5516</v>
          </cell>
          <cell r="B179" t="str">
            <v>KIT SEAL</v>
          </cell>
          <cell r="C179" t="str">
            <v>KIT DE SELLOS</v>
          </cell>
          <cell r="D179" t="str">
            <v>UND</v>
          </cell>
          <cell r="E179">
            <v>0</v>
          </cell>
          <cell r="F179">
            <v>2</v>
          </cell>
          <cell r="G179">
            <v>-2</v>
          </cell>
          <cell r="H179" t="str">
            <v>KOMATSU</v>
          </cell>
          <cell r="I179">
            <v>930</v>
          </cell>
          <cell r="J179" t="str">
            <v>CILINDRO DE LEVANTE DE TOLVA</v>
          </cell>
          <cell r="K179" t="str">
            <v>5D01</v>
          </cell>
        </row>
        <row r="180">
          <cell r="A180" t="str">
            <v>GR4869</v>
          </cell>
          <cell r="B180" t="str">
            <v>BARRA C 88.9X1219.2</v>
          </cell>
          <cell r="C180" t="str">
            <v>BARRA CROMADA DURA 88.9X1219.2 MM LONG</v>
          </cell>
          <cell r="D180" t="str">
            <v>MM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 t="str">
            <v>-</v>
          </cell>
          <cell r="J180" t="str">
            <v>-</v>
          </cell>
        </row>
        <row r="181">
          <cell r="A181" t="str">
            <v>M27X120</v>
          </cell>
          <cell r="B181" t="str">
            <v>PERNOS M27 X 120</v>
          </cell>
          <cell r="C181" t="str">
            <v>PERNOS M27 X 120</v>
          </cell>
          <cell r="D181" t="str">
            <v>UND</v>
          </cell>
          <cell r="E181">
            <v>6</v>
          </cell>
          <cell r="F181">
            <v>0</v>
          </cell>
          <cell r="G181">
            <v>6</v>
          </cell>
          <cell r="H181" t="str">
            <v>KOMATSU</v>
          </cell>
          <cell r="I181" t="str">
            <v>-</v>
          </cell>
          <cell r="J181" t="str">
            <v>-</v>
          </cell>
          <cell r="K181" t="str">
            <v>1E02</v>
          </cell>
        </row>
        <row r="182">
          <cell r="A182" t="str">
            <v>PB8931</v>
          </cell>
          <cell r="B182" t="str">
            <v>BEARING</v>
          </cell>
          <cell r="C182" t="str">
            <v>BEARING</v>
          </cell>
          <cell r="D182" t="str">
            <v>UND</v>
          </cell>
          <cell r="E182">
            <v>0</v>
          </cell>
          <cell r="F182">
            <v>2</v>
          </cell>
          <cell r="G182">
            <v>-2</v>
          </cell>
          <cell r="H182" t="str">
            <v>KOMATSU</v>
          </cell>
          <cell r="I182">
            <v>930</v>
          </cell>
          <cell r="J182" t="str">
            <v>CILINDRO DE LEVANTE DE TOLVA</v>
          </cell>
        </row>
        <row r="183">
          <cell r="A183" t="str">
            <v>PC0824</v>
          </cell>
          <cell r="B183" t="str">
            <v>BEARING</v>
          </cell>
          <cell r="C183" t="str">
            <v>BEARING</v>
          </cell>
          <cell r="D183" t="str">
            <v>UND</v>
          </cell>
          <cell r="E183">
            <v>0</v>
          </cell>
          <cell r="F183">
            <v>4</v>
          </cell>
          <cell r="G183">
            <v>-4</v>
          </cell>
          <cell r="H183" t="str">
            <v>KOMATSU</v>
          </cell>
          <cell r="I183">
            <v>930</v>
          </cell>
          <cell r="J183" t="str">
            <v>CILINDRO DE SUSPENSION POSTERIOR</v>
          </cell>
        </row>
        <row r="184">
          <cell r="A184" t="str">
            <v>PC1686</v>
          </cell>
          <cell r="B184" t="str">
            <v>BEARING</v>
          </cell>
          <cell r="C184" t="str">
            <v>BEARING</v>
          </cell>
          <cell r="D184" t="str">
            <v>UND</v>
          </cell>
          <cell r="E184">
            <v>0</v>
          </cell>
          <cell r="F184">
            <v>12</v>
          </cell>
          <cell r="G184">
            <v>-12</v>
          </cell>
          <cell r="H184" t="str">
            <v>KOMATSU</v>
          </cell>
          <cell r="I184">
            <v>930</v>
          </cell>
          <cell r="J184" t="str">
            <v>CILINDRO DE DIRECCIÓN</v>
          </cell>
        </row>
        <row r="185">
          <cell r="A185" t="str">
            <v>VL4293</v>
          </cell>
          <cell r="B185" t="str">
            <v>BEARING</v>
          </cell>
          <cell r="C185" t="str">
            <v>BEARING</v>
          </cell>
          <cell r="D185" t="str">
            <v>UND</v>
          </cell>
          <cell r="E185">
            <v>0</v>
          </cell>
          <cell r="F185">
            <v>2</v>
          </cell>
          <cell r="G185">
            <v>-2</v>
          </cell>
          <cell r="H185" t="str">
            <v>KOMATSU</v>
          </cell>
          <cell r="I185">
            <v>930</v>
          </cell>
          <cell r="J185" t="str">
            <v>CILINDRO DE LEVANTE DE TOLVA</v>
          </cell>
        </row>
        <row r="186">
          <cell r="A186" t="str">
            <v>8C-9101</v>
          </cell>
          <cell r="B186" t="str">
            <v>RING-WEAR</v>
          </cell>
          <cell r="C186" t="str">
            <v>RING-WEAR</v>
          </cell>
          <cell r="D186" t="str">
            <v>UND</v>
          </cell>
          <cell r="E186">
            <v>0</v>
          </cell>
          <cell r="F186">
            <v>0</v>
          </cell>
          <cell r="G186">
            <v>0</v>
          </cell>
          <cell r="H186" t="str">
            <v>CATERPILLAR</v>
          </cell>
          <cell r="I186" t="str">
            <v>-</v>
          </cell>
          <cell r="J186" t="str">
            <v>-</v>
          </cell>
          <cell r="K186" t="str">
            <v>1C04</v>
          </cell>
        </row>
        <row r="187">
          <cell r="A187" t="str">
            <v>4T-5173</v>
          </cell>
          <cell r="B187" t="str">
            <v>SEAL</v>
          </cell>
          <cell r="C187" t="str">
            <v>SEAL</v>
          </cell>
          <cell r="D187" t="str">
            <v>UND</v>
          </cell>
          <cell r="E187">
            <v>1</v>
          </cell>
          <cell r="F187">
            <v>0</v>
          </cell>
          <cell r="G187">
            <v>1</v>
          </cell>
          <cell r="I187" t="str">
            <v>-</v>
          </cell>
          <cell r="J187" t="str">
            <v>-</v>
          </cell>
          <cell r="K187" t="str">
            <v>2A05</v>
          </cell>
        </row>
        <row r="188">
          <cell r="A188" t="str">
            <v>421-4026</v>
          </cell>
          <cell r="B188" t="str">
            <v>SEAL - U - CUP</v>
          </cell>
          <cell r="C188" t="str">
            <v>SEAL - U - CUP</v>
          </cell>
          <cell r="D188" t="str">
            <v>UND</v>
          </cell>
          <cell r="E188">
            <v>2</v>
          </cell>
          <cell r="F188">
            <v>0</v>
          </cell>
          <cell r="G188">
            <v>2</v>
          </cell>
          <cell r="I188" t="str">
            <v>-</v>
          </cell>
          <cell r="J188" t="str">
            <v>-</v>
          </cell>
          <cell r="K188" t="str">
            <v>2A04</v>
          </cell>
        </row>
        <row r="189">
          <cell r="A189" t="str">
            <v>OC21383</v>
          </cell>
          <cell r="B189" t="str">
            <v>BARRA CROMADA</v>
          </cell>
          <cell r="C189" t="str">
            <v>BARRA CROMADA DURA 101.6 MM(4") X 736.6MM  LONG</v>
          </cell>
          <cell r="D189" t="str">
            <v>UND</v>
          </cell>
          <cell r="E189">
            <v>0</v>
          </cell>
          <cell r="F189">
            <v>0</v>
          </cell>
          <cell r="G189">
            <v>0</v>
          </cell>
          <cell r="I189" t="str">
            <v>-</v>
          </cell>
          <cell r="J189" t="str">
            <v>-</v>
          </cell>
        </row>
        <row r="190">
          <cell r="A190" t="str">
            <v>707-99-67640</v>
          </cell>
          <cell r="B190" t="str">
            <v>SEAL KIT</v>
          </cell>
          <cell r="C190" t="str">
            <v>SEAL KIT 180X110</v>
          </cell>
          <cell r="D190" t="str">
            <v>UND</v>
          </cell>
          <cell r="E190">
            <v>1</v>
          </cell>
          <cell r="F190">
            <v>2</v>
          </cell>
          <cell r="G190">
            <v>-1</v>
          </cell>
          <cell r="H190" t="str">
            <v>KOMATSU</v>
          </cell>
          <cell r="I190" t="str">
            <v>D475</v>
          </cell>
          <cell r="J190" t="str">
            <v>CILINDRO DE LEVANTE DE BULLDOZER</v>
          </cell>
          <cell r="K190" t="str">
            <v>3B04</v>
          </cell>
        </row>
        <row r="191">
          <cell r="A191" t="str">
            <v>04071-00190</v>
          </cell>
          <cell r="B191" t="str">
            <v>SNAP RING</v>
          </cell>
          <cell r="C191" t="str">
            <v>SNAP RING</v>
          </cell>
          <cell r="D191" t="str">
            <v>UND</v>
          </cell>
          <cell r="E191">
            <v>18</v>
          </cell>
          <cell r="F191">
            <v>0</v>
          </cell>
          <cell r="G191">
            <v>18</v>
          </cell>
          <cell r="I191" t="str">
            <v>-</v>
          </cell>
          <cell r="J191" t="str">
            <v>-</v>
          </cell>
          <cell r="K191" t="str">
            <v>2C05</v>
          </cell>
        </row>
        <row r="192">
          <cell r="A192">
            <v>470</v>
          </cell>
          <cell r="B192" t="str">
            <v>AC. H-1045 PL</v>
          </cell>
          <cell r="C192" t="str">
            <v>AC. H-1045 PL 45MM X 1IN X 10IN CORTADA</v>
          </cell>
          <cell r="D192" t="str">
            <v>UND</v>
          </cell>
          <cell r="E192">
            <v>0</v>
          </cell>
          <cell r="F192">
            <v>0</v>
          </cell>
          <cell r="G192">
            <v>0</v>
          </cell>
          <cell r="I192" t="str">
            <v>-</v>
          </cell>
          <cell r="J192" t="str">
            <v>-</v>
          </cell>
        </row>
        <row r="193">
          <cell r="A193">
            <v>9847</v>
          </cell>
          <cell r="B193" t="str">
            <v>AC. H-1045 PL</v>
          </cell>
          <cell r="C193" t="str">
            <v>AC. H-1045 PL 35MM X 1IN X 9IN CORTADA</v>
          </cell>
          <cell r="D193" t="str">
            <v>UND</v>
          </cell>
          <cell r="E193">
            <v>0</v>
          </cell>
          <cell r="F193">
            <v>0</v>
          </cell>
          <cell r="G193">
            <v>0</v>
          </cell>
          <cell r="I193" t="str">
            <v>-</v>
          </cell>
          <cell r="J193" t="str">
            <v>-</v>
          </cell>
        </row>
        <row r="194">
          <cell r="A194" t="str">
            <v>191-5704</v>
          </cell>
          <cell r="B194" t="str">
            <v>STOP</v>
          </cell>
          <cell r="C194" t="str">
            <v>STOP</v>
          </cell>
          <cell r="D194" t="str">
            <v>UND</v>
          </cell>
          <cell r="E194">
            <v>1</v>
          </cell>
          <cell r="F194">
            <v>0</v>
          </cell>
          <cell r="G194">
            <v>1</v>
          </cell>
          <cell r="I194" t="str">
            <v>-</v>
          </cell>
          <cell r="J194" t="str">
            <v>-</v>
          </cell>
          <cell r="K194" t="str">
            <v>1A04</v>
          </cell>
        </row>
        <row r="195">
          <cell r="A195" t="str">
            <v>GEZ44ES-2RS</v>
          </cell>
          <cell r="B195" t="str">
            <v>BEARING</v>
          </cell>
          <cell r="C195" t="str">
            <v>BEARING</v>
          </cell>
          <cell r="D195" t="str">
            <v>UND</v>
          </cell>
          <cell r="E195">
            <v>0</v>
          </cell>
          <cell r="F195">
            <v>0</v>
          </cell>
          <cell r="G195">
            <v>0</v>
          </cell>
          <cell r="I195" t="str">
            <v>-</v>
          </cell>
          <cell r="J195" t="str">
            <v>-</v>
          </cell>
          <cell r="K195" t="str">
            <v>1B05</v>
          </cell>
        </row>
        <row r="196">
          <cell r="A196" t="str">
            <v>244-2065</v>
          </cell>
          <cell r="B196" t="str">
            <v>SEAL KIT</v>
          </cell>
          <cell r="C196" t="str">
            <v>SEAL KIT</v>
          </cell>
          <cell r="D196" t="str">
            <v>UND</v>
          </cell>
          <cell r="E196">
            <v>1</v>
          </cell>
          <cell r="F196">
            <v>0</v>
          </cell>
          <cell r="G196">
            <v>1</v>
          </cell>
          <cell r="I196" t="str">
            <v>-</v>
          </cell>
          <cell r="J196" t="str">
            <v>-</v>
          </cell>
          <cell r="K196" t="str">
            <v>3D01</v>
          </cell>
        </row>
        <row r="197">
          <cell r="A197" t="str">
            <v>244-4258</v>
          </cell>
          <cell r="B197" t="str">
            <v>BEARING</v>
          </cell>
          <cell r="C197" t="str">
            <v>BEARING</v>
          </cell>
          <cell r="D197" t="str">
            <v>UND</v>
          </cell>
          <cell r="E197">
            <v>1</v>
          </cell>
          <cell r="F197">
            <v>0</v>
          </cell>
          <cell r="G197">
            <v>1</v>
          </cell>
          <cell r="I197" t="str">
            <v>-</v>
          </cell>
          <cell r="J197" t="str">
            <v>-</v>
          </cell>
          <cell r="K197" t="str">
            <v>1A02</v>
          </cell>
        </row>
        <row r="198">
          <cell r="A198" t="str">
            <v>SBB482RS</v>
          </cell>
          <cell r="B198" t="str">
            <v>RÓTULA</v>
          </cell>
          <cell r="C198" t="str">
            <v>RÓTULA</v>
          </cell>
          <cell r="D198" t="str">
            <v>UND</v>
          </cell>
          <cell r="E198">
            <v>6</v>
          </cell>
          <cell r="F198">
            <v>0</v>
          </cell>
          <cell r="G198">
            <v>6</v>
          </cell>
          <cell r="I198" t="str">
            <v>-</v>
          </cell>
          <cell r="J198" t="str">
            <v>-</v>
          </cell>
          <cell r="K198" t="str">
            <v>3A04</v>
          </cell>
        </row>
        <row r="199">
          <cell r="A199" t="str">
            <v>BUR08</v>
          </cell>
          <cell r="B199" t="str">
            <v>BUR08</v>
          </cell>
          <cell r="C199" t="str">
            <v>BUR08-102X117.5X2</v>
          </cell>
          <cell r="D199" t="str">
            <v>UND</v>
          </cell>
          <cell r="E199">
            <v>1</v>
          </cell>
          <cell r="F199">
            <v>0</v>
          </cell>
          <cell r="G199">
            <v>1</v>
          </cell>
          <cell r="I199" t="str">
            <v>-</v>
          </cell>
          <cell r="J199" t="str">
            <v>-</v>
          </cell>
          <cell r="K199" t="str">
            <v>CAJA</v>
          </cell>
        </row>
        <row r="200">
          <cell r="A200" t="str">
            <v>229-5538</v>
          </cell>
          <cell r="B200" t="str">
            <v>SEAL KIT</v>
          </cell>
          <cell r="C200" t="str">
            <v>SEAL KIT</v>
          </cell>
          <cell r="D200" t="str">
            <v>UND</v>
          </cell>
          <cell r="E200">
            <v>1</v>
          </cell>
          <cell r="F200">
            <v>0</v>
          </cell>
          <cell r="G200">
            <v>1</v>
          </cell>
          <cell r="I200" t="str">
            <v>-</v>
          </cell>
          <cell r="J200" t="str">
            <v>-</v>
          </cell>
          <cell r="K200" t="str">
            <v>2E02</v>
          </cell>
        </row>
        <row r="201">
          <cell r="A201" t="str">
            <v>RodBushing</v>
          </cell>
          <cell r="B201" t="str">
            <v>ROD BUSHING</v>
          </cell>
          <cell r="C201" t="str">
            <v>ROD BUSHING 150X155X60</v>
          </cell>
          <cell r="D201" t="str">
            <v>UND</v>
          </cell>
          <cell r="E201">
            <v>1</v>
          </cell>
          <cell r="F201">
            <v>0</v>
          </cell>
          <cell r="G201">
            <v>1</v>
          </cell>
          <cell r="I201" t="str">
            <v>-</v>
          </cell>
          <cell r="J201" t="str">
            <v>-</v>
          </cell>
          <cell r="K201" t="str">
            <v>3A03</v>
          </cell>
        </row>
        <row r="202">
          <cell r="A202" t="str">
            <v>128-9261</v>
          </cell>
          <cell r="B202" t="str">
            <v>BEARING</v>
          </cell>
          <cell r="C202" t="str">
            <v>BEARING</v>
          </cell>
          <cell r="D202" t="str">
            <v>UND</v>
          </cell>
          <cell r="E202">
            <v>1</v>
          </cell>
          <cell r="F202">
            <v>0</v>
          </cell>
          <cell r="G202">
            <v>1</v>
          </cell>
          <cell r="I202" t="str">
            <v>-</v>
          </cell>
          <cell r="J202" t="str">
            <v>-</v>
          </cell>
          <cell r="K202" t="str">
            <v>2E06</v>
          </cell>
        </row>
        <row r="203">
          <cell r="A203" t="str">
            <v>177-9754</v>
          </cell>
          <cell r="B203" t="str">
            <v>BOLT</v>
          </cell>
          <cell r="C203" t="str">
            <v>BOLT</v>
          </cell>
          <cell r="D203" t="str">
            <v>UND</v>
          </cell>
          <cell r="E203">
            <v>11</v>
          </cell>
          <cell r="F203">
            <v>0</v>
          </cell>
          <cell r="G203">
            <v>11</v>
          </cell>
          <cell r="I203" t="str">
            <v>-</v>
          </cell>
          <cell r="J203" t="str">
            <v>-</v>
          </cell>
          <cell r="K203" t="str">
            <v>1E04</v>
          </cell>
        </row>
        <row r="204">
          <cell r="A204" t="str">
            <v>9X-8399</v>
          </cell>
          <cell r="B204" t="str">
            <v>ARANDELA</v>
          </cell>
          <cell r="C204" t="str">
            <v>ARANDELA</v>
          </cell>
          <cell r="D204" t="str">
            <v>UND</v>
          </cell>
          <cell r="E204">
            <v>10</v>
          </cell>
          <cell r="F204">
            <v>0</v>
          </cell>
          <cell r="G204">
            <v>10</v>
          </cell>
          <cell r="I204" t="str">
            <v>-</v>
          </cell>
          <cell r="J204" t="str">
            <v>-</v>
          </cell>
          <cell r="K204" t="str">
            <v>1E04</v>
          </cell>
        </row>
        <row r="205">
          <cell r="A205" t="str">
            <v>8T-8390</v>
          </cell>
          <cell r="B205" t="str">
            <v>RING</v>
          </cell>
          <cell r="C205" t="str">
            <v>RING</v>
          </cell>
          <cell r="D205" t="str">
            <v>UND</v>
          </cell>
          <cell r="E205">
            <v>3</v>
          </cell>
          <cell r="K205" t="str">
            <v>1C06</v>
          </cell>
        </row>
        <row r="206">
          <cell r="A206" t="str">
            <v>314-4125</v>
          </cell>
          <cell r="B206" t="str">
            <v>RING TORIC</v>
          </cell>
          <cell r="C206" t="str">
            <v>RING TORIC</v>
          </cell>
          <cell r="D206" t="str">
            <v>UND</v>
          </cell>
          <cell r="E206">
            <v>3</v>
          </cell>
          <cell r="K206" t="str">
            <v>5B02</v>
          </cell>
        </row>
        <row r="207">
          <cell r="A207" t="str">
            <v>8T-0283</v>
          </cell>
          <cell r="B207" t="str">
            <v xml:space="preserve">PERNO </v>
          </cell>
          <cell r="C207" t="str">
            <v xml:space="preserve">PERNO </v>
          </cell>
          <cell r="D207" t="str">
            <v>UND</v>
          </cell>
          <cell r="E207">
            <v>0</v>
          </cell>
          <cell r="K207" t="str">
            <v>3A02</v>
          </cell>
        </row>
        <row r="208">
          <cell r="A208" t="str">
            <v>KOM-58F/FS/AK031</v>
          </cell>
          <cell r="B208" t="str">
            <v>KIT SE SELLOS</v>
          </cell>
          <cell r="C208" t="str">
            <v xml:space="preserve">KIT DE SELLOS KOM930 </v>
          </cell>
          <cell r="D208" t="str">
            <v>UND</v>
          </cell>
          <cell r="E208">
            <v>0</v>
          </cell>
          <cell r="H208" t="str">
            <v>KOMATSU</v>
          </cell>
          <cell r="I208">
            <v>930</v>
          </cell>
          <cell r="J208" t="str">
            <v>CILINDRO DE SUSPENSIÓN FRONTAL</v>
          </cell>
          <cell r="K208" t="str">
            <v>5E01</v>
          </cell>
        </row>
        <row r="209">
          <cell r="A209" t="str">
            <v>153-9921</v>
          </cell>
          <cell r="B209" t="str">
            <v>INSERT</v>
          </cell>
          <cell r="C209" t="str">
            <v>INSERT</v>
          </cell>
          <cell r="D209" t="str">
            <v>UND</v>
          </cell>
          <cell r="E209">
            <v>4</v>
          </cell>
          <cell r="K209" t="str">
            <v>1D03</v>
          </cell>
        </row>
        <row r="210">
          <cell r="A210" t="str">
            <v>PB8618</v>
          </cell>
          <cell r="B210" t="str">
            <v>KIT DE SELLOS</v>
          </cell>
          <cell r="C210" t="str">
            <v>KIT DE SELLOS LEVANTE DE TOLVA</v>
          </cell>
          <cell r="D210" t="str">
            <v>UND</v>
          </cell>
          <cell r="E210">
            <v>1</v>
          </cell>
          <cell r="J210" t="str">
            <v>LEVANTE DE TOLVA</v>
          </cell>
          <cell r="K210" t="str">
            <v>4D03</v>
          </cell>
        </row>
        <row r="211">
          <cell r="A211" t="str">
            <v>346-5193</v>
          </cell>
          <cell r="B211" t="str">
            <v>SEAL AS-BUFF</v>
          </cell>
          <cell r="C211" t="str">
            <v>SEAL AS-BUFF</v>
          </cell>
          <cell r="D211" t="str">
            <v>UND</v>
          </cell>
          <cell r="E211">
            <v>1</v>
          </cell>
          <cell r="K211" t="str">
            <v>2A03</v>
          </cell>
        </row>
        <row r="212">
          <cell r="A212" t="str">
            <v>FAB1</v>
          </cell>
          <cell r="B212" t="str">
            <v>SELLO</v>
          </cell>
          <cell r="C212" t="str">
            <v>SELLO CILINDRO DE LEVANTE 844H</v>
          </cell>
          <cell r="D212" t="str">
            <v>UND</v>
          </cell>
          <cell r="E212">
            <v>1</v>
          </cell>
          <cell r="K212" t="str">
            <v>4D02</v>
          </cell>
        </row>
        <row r="213">
          <cell r="A213" t="str">
            <v>FAB2</v>
          </cell>
          <cell r="B213" t="str">
            <v>SELLO</v>
          </cell>
          <cell r="C213" t="str">
            <v>SELLO CILINDRO DE LEVANTE BULLDOZER D11T</v>
          </cell>
          <cell r="D213" t="str">
            <v>UND</v>
          </cell>
          <cell r="E213">
            <v>1</v>
          </cell>
          <cell r="K213" t="str">
            <v>4D02</v>
          </cell>
        </row>
        <row r="214">
          <cell r="A214" t="str">
            <v>7Y-4941</v>
          </cell>
          <cell r="B214" t="str">
            <v>RING</v>
          </cell>
          <cell r="C214" t="str">
            <v>RING</v>
          </cell>
          <cell r="D214" t="str">
            <v>UND</v>
          </cell>
          <cell r="E214">
            <v>1</v>
          </cell>
          <cell r="K214" t="str">
            <v>4C04</v>
          </cell>
        </row>
        <row r="215">
          <cell r="A215" t="str">
            <v>471-0317</v>
          </cell>
          <cell r="B215" t="str">
            <v>SEAL KIT</v>
          </cell>
          <cell r="C215" t="str">
            <v>SEAL KIT</v>
          </cell>
          <cell r="D215" t="str">
            <v>UND</v>
          </cell>
          <cell r="E215">
            <v>1</v>
          </cell>
          <cell r="K215" t="str">
            <v>3D02</v>
          </cell>
        </row>
        <row r="216">
          <cell r="A216" t="str">
            <v>8T-8376</v>
          </cell>
          <cell r="B216" t="str">
            <v>SEAL</v>
          </cell>
          <cell r="C216" t="str">
            <v>SEAL</v>
          </cell>
          <cell r="D216" t="str">
            <v>UND</v>
          </cell>
          <cell r="E216">
            <v>0</v>
          </cell>
          <cell r="K216" t="str">
            <v>4E04</v>
          </cell>
        </row>
        <row r="217">
          <cell r="A217" t="str">
            <v>1J-0708</v>
          </cell>
          <cell r="B217" t="str">
            <v>RING</v>
          </cell>
          <cell r="C217" t="str">
            <v>RING</v>
          </cell>
          <cell r="D217" t="str">
            <v>UND</v>
          </cell>
          <cell r="E217">
            <v>0</v>
          </cell>
          <cell r="K217" t="str">
            <v>1B02</v>
          </cell>
        </row>
        <row r="218">
          <cell r="A218" t="str">
            <v>PS35ID220*15*H13.6</v>
          </cell>
          <cell r="B218" t="str">
            <v>SEAL</v>
          </cell>
          <cell r="C218" t="str">
            <v>SEAL DIRECCIÓN STICK MACHEN</v>
          </cell>
          <cell r="D218" t="str">
            <v>UND</v>
          </cell>
          <cell r="E218">
            <v>1</v>
          </cell>
          <cell r="J218" t="str">
            <v>CILINDRO DE STICK</v>
          </cell>
          <cell r="K218" t="str">
            <v>4D02</v>
          </cell>
        </row>
        <row r="219">
          <cell r="A219" t="str">
            <v>ACFRE797F</v>
          </cell>
          <cell r="B219" t="str">
            <v>SEAL KIT</v>
          </cell>
          <cell r="C219" t="str">
            <v>SELLOS ACUMULADOR DE FRENO 797F</v>
          </cell>
          <cell r="D219" t="str">
            <v>UND</v>
          </cell>
          <cell r="E219">
            <v>4</v>
          </cell>
          <cell r="F219">
            <v>1</v>
          </cell>
          <cell r="I219" t="str">
            <v>797F</v>
          </cell>
          <cell r="J219" t="str">
            <v>ACUMULADOR DE FRENO</v>
          </cell>
          <cell r="K219" t="str">
            <v>4D01</v>
          </cell>
        </row>
        <row r="220">
          <cell r="A220" t="str">
            <v>OD14</v>
          </cell>
          <cell r="B220" t="str">
            <v>PISTON SEAL</v>
          </cell>
          <cell r="C220" t="str">
            <v>PISTON SEL</v>
          </cell>
          <cell r="D220" t="str">
            <v>UND</v>
          </cell>
          <cell r="E220">
            <v>1</v>
          </cell>
          <cell r="I220" t="str">
            <v>24M</v>
          </cell>
          <cell r="J220" t="str">
            <v>BLADE TIP</v>
          </cell>
          <cell r="K220" t="str">
            <v>2A02</v>
          </cell>
        </row>
        <row r="221">
          <cell r="A221" t="str">
            <v>SEAGER01</v>
          </cell>
          <cell r="B221" t="str">
            <v>SEAGER</v>
          </cell>
          <cell r="C221" t="str">
            <v>SEAGER</v>
          </cell>
          <cell r="D221" t="str">
            <v>UND</v>
          </cell>
          <cell r="E221">
            <v>2</v>
          </cell>
        </row>
        <row r="222">
          <cell r="A222" t="str">
            <v>KOM980</v>
          </cell>
          <cell r="B222" t="str">
            <v>SEAL KIT</v>
          </cell>
          <cell r="C222" t="str">
            <v>SEAL KIT DIRECCION KOM 980</v>
          </cell>
          <cell r="D222" t="str">
            <v>UND</v>
          </cell>
          <cell r="E222">
            <v>1</v>
          </cell>
          <cell r="H222" t="str">
            <v>KOMATSU</v>
          </cell>
          <cell r="I222">
            <v>980</v>
          </cell>
          <cell r="J222" t="str">
            <v>DIRECCIÓN</v>
          </cell>
          <cell r="K222" t="str">
            <v>CAJA</v>
          </cell>
        </row>
        <row r="223">
          <cell r="A223" t="str">
            <v>OD582</v>
          </cell>
          <cell r="B223" t="str">
            <v>SELLO</v>
          </cell>
          <cell r="C223" t="str">
            <v>SELLO</v>
          </cell>
          <cell r="D223" t="str">
            <v>UND</v>
          </cell>
          <cell r="E223">
            <v>1</v>
          </cell>
          <cell r="H223" t="str">
            <v>KOMATSU</v>
          </cell>
          <cell r="I223">
            <v>930</v>
          </cell>
          <cell r="J223" t="str">
            <v>LEVANTE DE TOLVA</v>
          </cell>
          <cell r="K223" t="str">
            <v>CAJA</v>
          </cell>
        </row>
        <row r="224">
          <cell r="A224" t="str">
            <v>PLATMOL</v>
          </cell>
          <cell r="B224" t="str">
            <v>SEAL KIT</v>
          </cell>
          <cell r="C224" t="str">
            <v>SEAL KIT</v>
          </cell>
          <cell r="D224" t="str">
            <v>UND</v>
          </cell>
          <cell r="E224">
            <v>2</v>
          </cell>
          <cell r="H224" t="str">
            <v>-</v>
          </cell>
          <cell r="I224" t="str">
            <v>-</v>
          </cell>
          <cell r="J224" t="str">
            <v>PLATAFORMA MOLINO</v>
          </cell>
        </row>
        <row r="225">
          <cell r="A225" t="str">
            <v>1U-2218</v>
          </cell>
          <cell r="B225" t="str">
            <v>SEAL</v>
          </cell>
          <cell r="C225" t="str">
            <v>SELLO DE DESGASTE</v>
          </cell>
          <cell r="D225" t="str">
            <v>UND</v>
          </cell>
          <cell r="E225">
            <v>1</v>
          </cell>
          <cell r="H225" t="str">
            <v>-</v>
          </cell>
          <cell r="I225" t="str">
            <v>-</v>
          </cell>
        </row>
        <row r="226">
          <cell r="A226" t="str">
            <v>116-3589</v>
          </cell>
          <cell r="B226" t="str">
            <v>SEAL</v>
          </cell>
          <cell r="C226" t="str">
            <v>SELLO DE DESGASTE</v>
          </cell>
          <cell r="D226" t="str">
            <v>UND</v>
          </cell>
          <cell r="E226">
            <v>0</v>
          </cell>
          <cell r="H226" t="str">
            <v>CATERPILLAR</v>
          </cell>
        </row>
        <row r="227">
          <cell r="A227" t="str">
            <v>OD5X1X1/8</v>
          </cell>
          <cell r="B227" t="str">
            <v>SEAL</v>
          </cell>
          <cell r="C227" t="str">
            <v>SELLO DE DESGASTE</v>
          </cell>
          <cell r="D227" t="str">
            <v>UND</v>
          </cell>
          <cell r="E227">
            <v>1</v>
          </cell>
        </row>
        <row r="228">
          <cell r="A228" t="str">
            <v>OD3X1X1/16</v>
          </cell>
          <cell r="B228" t="str">
            <v>SEAL</v>
          </cell>
          <cell r="C228" t="str">
            <v>SELLO DE DESGASTE</v>
          </cell>
          <cell r="D228" t="str">
            <v>UND</v>
          </cell>
          <cell r="E228">
            <v>1</v>
          </cell>
        </row>
        <row r="229">
          <cell r="A229" t="str">
            <v>SELLO 150X6.5X2.75</v>
          </cell>
          <cell r="B229" t="str">
            <v>SEAL</v>
          </cell>
          <cell r="C229" t="str">
            <v>SELLO</v>
          </cell>
          <cell r="D229" t="str">
            <v>UND</v>
          </cell>
          <cell r="E229">
            <v>1</v>
          </cell>
        </row>
        <row r="230">
          <cell r="A230" t="str">
            <v>SELLO 3 1/4 X 4 1/4 X 1/2 MCU</v>
          </cell>
          <cell r="B230" t="str">
            <v>SEAL</v>
          </cell>
          <cell r="C230" t="str">
            <v>SELLO 3 1/4 X 4 1/4 X 1/2 MCU</v>
          </cell>
          <cell r="D230" t="str">
            <v>UND</v>
          </cell>
          <cell r="E230">
            <v>1</v>
          </cell>
        </row>
        <row r="231">
          <cell r="A231" t="str">
            <v>ID 3 1/4 X 3 3/4 X 3/8</v>
          </cell>
          <cell r="B231" t="str">
            <v>SEAL</v>
          </cell>
          <cell r="C231" t="str">
            <v>LIMPIADORES 3.250</v>
          </cell>
          <cell r="D231" t="str">
            <v>UND</v>
          </cell>
          <cell r="E231">
            <v>19</v>
          </cell>
          <cell r="K231" t="str">
            <v>CAJA</v>
          </cell>
        </row>
        <row r="232">
          <cell r="A232" t="str">
            <v>BARRA CROMADA</v>
          </cell>
          <cell r="B232" t="str">
            <v>BARRA</v>
          </cell>
          <cell r="C232" t="str">
            <v>BARRA CROMADA 101.6 (4") X 762 MM LONG</v>
          </cell>
          <cell r="D232" t="str">
            <v>UND</v>
          </cell>
          <cell r="E232">
            <v>2</v>
          </cell>
          <cell r="K232">
            <v>1</v>
          </cell>
        </row>
        <row r="233">
          <cell r="A233" t="str">
            <v>9J-1159</v>
          </cell>
          <cell r="B233" t="str">
            <v>RING WEAR</v>
          </cell>
          <cell r="C233" t="str">
            <v>RING WEAR</v>
          </cell>
          <cell r="D233" t="str">
            <v>UND</v>
          </cell>
          <cell r="E233">
            <v>1</v>
          </cell>
          <cell r="K233" t="str">
            <v>1B03</v>
          </cell>
        </row>
        <row r="234">
          <cell r="A234" t="str">
            <v>ID 140X160X15.5</v>
          </cell>
          <cell r="B234" t="str">
            <v>PISTON SEAL</v>
          </cell>
          <cell r="C234" t="str">
            <v>PISTON SEL ID 140X160X15.5</v>
          </cell>
          <cell r="D234" t="str">
            <v>UND</v>
          </cell>
          <cell r="E234">
            <v>1</v>
          </cell>
          <cell r="K234" t="str">
            <v>CAJA</v>
          </cell>
        </row>
        <row r="235">
          <cell r="A235" t="str">
            <v>5J-1193</v>
          </cell>
          <cell r="B235" t="str">
            <v>BUJE</v>
          </cell>
          <cell r="C235" t="str">
            <v>BUJE</v>
          </cell>
          <cell r="D235" t="str">
            <v>UND</v>
          </cell>
          <cell r="E235">
            <v>2</v>
          </cell>
          <cell r="I235" t="str">
            <v>D10</v>
          </cell>
          <cell r="K235" t="str">
            <v>2D05</v>
          </cell>
        </row>
        <row r="236">
          <cell r="A236" t="str">
            <v>KOM-58F/SC/AK020</v>
          </cell>
          <cell r="B236" t="str">
            <v>KIT SE SELLOS</v>
          </cell>
          <cell r="C236" t="str">
            <v xml:space="preserve">KIT DE SELLOS KOM930 </v>
          </cell>
          <cell r="D236" t="str">
            <v>UND</v>
          </cell>
          <cell r="E236">
            <v>13</v>
          </cell>
          <cell r="H236" t="str">
            <v>KOMATSU</v>
          </cell>
          <cell r="I236">
            <v>930</v>
          </cell>
          <cell r="J236" t="str">
            <v>DIRECCION</v>
          </cell>
          <cell r="K236" t="str">
            <v>3C03</v>
          </cell>
        </row>
        <row r="237">
          <cell r="A237" t="str">
            <v>8J-8905</v>
          </cell>
          <cell r="B237" t="str">
            <v>SNAP RING</v>
          </cell>
          <cell r="C237" t="str">
            <v>REPLACEMENT SNAP RING</v>
          </cell>
          <cell r="D237" t="str">
            <v>UND</v>
          </cell>
          <cell r="E237">
            <v>3</v>
          </cell>
          <cell r="K237" t="str">
            <v>5A02</v>
          </cell>
        </row>
        <row r="238">
          <cell r="A238" t="str">
            <v>VN9350</v>
          </cell>
          <cell r="B238" t="str">
            <v>RING</v>
          </cell>
          <cell r="C238" t="str">
            <v>SEAGER</v>
          </cell>
          <cell r="D238" t="str">
            <v>UND</v>
          </cell>
          <cell r="E238">
            <v>0</v>
          </cell>
          <cell r="K238" t="str">
            <v>5A02</v>
          </cell>
        </row>
        <row r="239">
          <cell r="A239" t="str">
            <v>311-9318</v>
          </cell>
          <cell r="B239" t="str">
            <v>SEAL WIPER</v>
          </cell>
          <cell r="C239" t="str">
            <v>SELLO LIMPIADOR</v>
          </cell>
          <cell r="D239" t="str">
            <v>UND</v>
          </cell>
          <cell r="E239">
            <v>2</v>
          </cell>
          <cell r="F239">
            <v>1</v>
          </cell>
          <cell r="K239" t="str">
            <v>2B02</v>
          </cell>
        </row>
        <row r="240">
          <cell r="A240" t="str">
            <v>4J-4955</v>
          </cell>
          <cell r="B240" t="str">
            <v>ESPACIADOR</v>
          </cell>
          <cell r="C240" t="str">
            <v>ESPACIADOR</v>
          </cell>
          <cell r="D240" t="str">
            <v>UND</v>
          </cell>
          <cell r="E240">
            <v>3</v>
          </cell>
          <cell r="F240">
            <v>2</v>
          </cell>
          <cell r="K240" t="str">
            <v>4C06</v>
          </cell>
        </row>
        <row r="241">
          <cell r="A241" t="str">
            <v>235-0974</v>
          </cell>
          <cell r="B241" t="str">
            <v>KIT DE SELLOS</v>
          </cell>
          <cell r="C241" t="str">
            <v>KIT DE SELLOS</v>
          </cell>
          <cell r="D241" t="str">
            <v>UND</v>
          </cell>
          <cell r="E241">
            <v>1</v>
          </cell>
          <cell r="K241" t="str">
            <v>4E02</v>
          </cell>
        </row>
        <row r="242">
          <cell r="A242" t="str">
            <v>365-9196</v>
          </cell>
          <cell r="B242" t="str">
            <v>O-RING</v>
          </cell>
          <cell r="C242" t="str">
            <v>O-RING</v>
          </cell>
          <cell r="D242" t="str">
            <v>UND</v>
          </cell>
          <cell r="E242">
            <v>1</v>
          </cell>
          <cell r="K242" t="str">
            <v>3A04</v>
          </cell>
        </row>
        <row r="243">
          <cell r="A243">
            <v>123422</v>
          </cell>
          <cell r="B243" t="str">
            <v>SEAGER</v>
          </cell>
          <cell r="C243" t="str">
            <v>SEAGER</v>
          </cell>
          <cell r="D243" t="str">
            <v>UND</v>
          </cell>
          <cell r="E243">
            <v>1</v>
          </cell>
          <cell r="K243" t="str">
            <v>CAJA</v>
          </cell>
        </row>
        <row r="244">
          <cell r="A244" t="str">
            <v>3R-2300</v>
          </cell>
          <cell r="B244" t="str">
            <v>BOLT</v>
          </cell>
          <cell r="C244" t="str">
            <v>PERNO</v>
          </cell>
          <cell r="D244" t="str">
            <v>UND</v>
          </cell>
          <cell r="E244">
            <v>0</v>
          </cell>
          <cell r="K244" t="str">
            <v>1A05</v>
          </cell>
        </row>
        <row r="245">
          <cell r="A245" t="str">
            <v>4K-0684</v>
          </cell>
          <cell r="B245" t="str">
            <v>WASHER</v>
          </cell>
          <cell r="C245" t="str">
            <v>ARANDELA</v>
          </cell>
          <cell r="D245" t="str">
            <v>UND</v>
          </cell>
          <cell r="E245">
            <v>0</v>
          </cell>
          <cell r="K245" t="str">
            <v>1A05</v>
          </cell>
        </row>
        <row r="246">
          <cell r="A246" t="str">
            <v>225-3286</v>
          </cell>
          <cell r="B246" t="str">
            <v>ROD WIPER</v>
          </cell>
          <cell r="C246" t="str">
            <v>ROD WIPER</v>
          </cell>
          <cell r="D246" t="str">
            <v>UND</v>
          </cell>
          <cell r="E246">
            <v>4</v>
          </cell>
          <cell r="F246" t="str">
            <v>-</v>
          </cell>
          <cell r="K246" t="str">
            <v>2B02</v>
          </cell>
        </row>
        <row r="247">
          <cell r="A247" t="str">
            <v>7X-2756</v>
          </cell>
          <cell r="B247" t="str">
            <v>SEAL  KIT</v>
          </cell>
          <cell r="C247" t="str">
            <v>KIT DE SELLOS</v>
          </cell>
          <cell r="D247" t="str">
            <v>UND</v>
          </cell>
          <cell r="E247">
            <v>1</v>
          </cell>
          <cell r="K247" t="str">
            <v>3D04</v>
          </cell>
        </row>
        <row r="248">
          <cell r="A248" t="str">
            <v>370-1940</v>
          </cell>
          <cell r="B248" t="str">
            <v>SEAL KIT</v>
          </cell>
          <cell r="C248" t="str">
            <v>KIT DE SELLOS</v>
          </cell>
          <cell r="D248" t="str">
            <v>UND</v>
          </cell>
          <cell r="E248">
            <v>0</v>
          </cell>
          <cell r="K248" t="str">
            <v>3C04</v>
          </cell>
        </row>
        <row r="249">
          <cell r="A249" t="str">
            <v>242-9515</v>
          </cell>
          <cell r="B249" t="str">
            <v>RING</v>
          </cell>
          <cell r="C249" t="str">
            <v>RING</v>
          </cell>
          <cell r="D249" t="str">
            <v>UND</v>
          </cell>
          <cell r="E249">
            <v>1</v>
          </cell>
        </row>
        <row r="250">
          <cell r="A250" t="str">
            <v>3B-8489</v>
          </cell>
          <cell r="B250" t="str">
            <v>GRASERA</v>
          </cell>
          <cell r="C250" t="str">
            <v>GRASERA</v>
          </cell>
          <cell r="D250" t="str">
            <v>UND</v>
          </cell>
          <cell r="E250">
            <v>1</v>
          </cell>
          <cell r="K250" t="str">
            <v>2C03</v>
          </cell>
        </row>
        <row r="251">
          <cell r="A251" t="str">
            <v>102-2244</v>
          </cell>
          <cell r="B251" t="str">
            <v>GROOMET</v>
          </cell>
          <cell r="C251" t="str">
            <v>GROOMET</v>
          </cell>
          <cell r="D251" t="str">
            <v>UND</v>
          </cell>
          <cell r="E251">
            <v>3</v>
          </cell>
          <cell r="K251" t="str">
            <v>2C05</v>
          </cell>
        </row>
        <row r="252">
          <cell r="A252" t="str">
            <v>217-3312</v>
          </cell>
          <cell r="B252" t="str">
            <v>IMAN</v>
          </cell>
          <cell r="C252" t="str">
            <v>IMAN</v>
          </cell>
          <cell r="D252" t="str">
            <v>UND</v>
          </cell>
          <cell r="E252">
            <v>1</v>
          </cell>
        </row>
        <row r="253">
          <cell r="A253" t="str">
            <v>307-6273</v>
          </cell>
          <cell r="B253" t="str">
            <v>SELLOS</v>
          </cell>
          <cell r="C253" t="str">
            <v>SELLOS</v>
          </cell>
          <cell r="D253" t="str">
            <v>UND</v>
          </cell>
          <cell r="E253">
            <v>1</v>
          </cell>
        </row>
        <row r="254">
          <cell r="A254" t="str">
            <v>109-0119</v>
          </cell>
          <cell r="B254" t="str">
            <v>RING</v>
          </cell>
          <cell r="C254" t="str">
            <v>RING</v>
          </cell>
          <cell r="D254" t="str">
            <v>UND</v>
          </cell>
          <cell r="E254">
            <v>1</v>
          </cell>
        </row>
        <row r="255">
          <cell r="A255" t="str">
            <v>3G-3470</v>
          </cell>
          <cell r="B255" t="str">
            <v>GUIA</v>
          </cell>
          <cell r="C255" t="str">
            <v>GUIA</v>
          </cell>
          <cell r="D255" t="str">
            <v>UND</v>
          </cell>
          <cell r="E255">
            <v>1</v>
          </cell>
          <cell r="F255">
            <v>1</v>
          </cell>
          <cell r="K255" t="str">
            <v>1C03</v>
          </cell>
        </row>
        <row r="256">
          <cell r="A256" t="str">
            <v>215-1942</v>
          </cell>
          <cell r="B256" t="str">
            <v>BACK UP</v>
          </cell>
          <cell r="C256" t="str">
            <v>BACK UP</v>
          </cell>
          <cell r="D256" t="str">
            <v>UND</v>
          </cell>
          <cell r="E256">
            <v>1</v>
          </cell>
        </row>
        <row r="257">
          <cell r="A257" t="str">
            <v>8T-5070</v>
          </cell>
          <cell r="B257" t="str">
            <v>GRASERA</v>
          </cell>
          <cell r="C257" t="str">
            <v>GRASERA</v>
          </cell>
          <cell r="D257" t="str">
            <v>UND</v>
          </cell>
          <cell r="E257">
            <v>2</v>
          </cell>
        </row>
        <row r="258">
          <cell r="A258" t="str">
            <v>3J-8500</v>
          </cell>
          <cell r="B258" t="str">
            <v>RING</v>
          </cell>
          <cell r="C258" t="str">
            <v>RING</v>
          </cell>
          <cell r="D258" t="str">
            <v>UND</v>
          </cell>
          <cell r="E258">
            <v>1</v>
          </cell>
        </row>
        <row r="259">
          <cell r="A259" t="str">
            <v>BARRA CROMADA 50.8</v>
          </cell>
          <cell r="B259" t="str">
            <v>BARRA</v>
          </cell>
          <cell r="C259" t="str">
            <v>50.8X635 LONG</v>
          </cell>
          <cell r="D259" t="str">
            <v>UND</v>
          </cell>
          <cell r="E259">
            <v>0</v>
          </cell>
        </row>
        <row r="260">
          <cell r="A260" t="str">
            <v>RS04 3-3/4 X 4-3/8 PU RED</v>
          </cell>
          <cell r="B260" t="str">
            <v>SELLO</v>
          </cell>
          <cell r="C260" t="str">
            <v>SELLO FAB</v>
          </cell>
          <cell r="D260" t="str">
            <v>UND</v>
          </cell>
          <cell r="E260">
            <v>1</v>
          </cell>
        </row>
        <row r="261">
          <cell r="A261" t="str">
            <v>8T-8737</v>
          </cell>
          <cell r="B261" t="str">
            <v>TERMINAL ENCHUFE</v>
          </cell>
          <cell r="C261" t="str">
            <v>TERMINAL ENCHUFE</v>
          </cell>
          <cell r="D261" t="str">
            <v>UND</v>
          </cell>
          <cell r="E261">
            <v>2</v>
          </cell>
          <cell r="K261" t="str">
            <v>5A02</v>
          </cell>
        </row>
        <row r="262">
          <cell r="A262" t="str">
            <v>188-2199</v>
          </cell>
          <cell r="B262" t="str">
            <v>SEAL O-RING</v>
          </cell>
          <cell r="C262" t="str">
            <v>SEAL O-RING</v>
          </cell>
          <cell r="D262" t="str">
            <v>UND</v>
          </cell>
          <cell r="E262">
            <v>1</v>
          </cell>
          <cell r="K262" t="str">
            <v>5A02</v>
          </cell>
        </row>
        <row r="263">
          <cell r="A263" t="str">
            <v>2H-5549</v>
          </cell>
          <cell r="B263" t="str">
            <v>SEAGER</v>
          </cell>
          <cell r="C263" t="str">
            <v>SEAGER</v>
          </cell>
          <cell r="D263" t="str">
            <v>UND</v>
          </cell>
          <cell r="E263">
            <v>2</v>
          </cell>
          <cell r="K263" t="str">
            <v>2C03</v>
          </cell>
        </row>
        <row r="264">
          <cell r="A264" t="str">
            <v>221-5305</v>
          </cell>
          <cell r="B264" t="str">
            <v>BALL STUD</v>
          </cell>
          <cell r="C264" t="str">
            <v>PRISIONERO DE BOLA</v>
          </cell>
          <cell r="D264" t="str">
            <v>UND</v>
          </cell>
          <cell r="E264">
            <v>1</v>
          </cell>
          <cell r="K264" t="str">
            <v>5C01</v>
          </cell>
        </row>
        <row r="265">
          <cell r="A265" t="str">
            <v xml:space="preserve"> </v>
          </cell>
          <cell r="B265" t="str">
            <v>RING</v>
          </cell>
          <cell r="C265" t="str">
            <v>RING</v>
          </cell>
          <cell r="D265" t="str">
            <v>UND</v>
          </cell>
          <cell r="E265">
            <v>1</v>
          </cell>
          <cell r="K265" t="str">
            <v>2C03</v>
          </cell>
        </row>
        <row r="266">
          <cell r="A266" t="str">
            <v>510-8794</v>
          </cell>
          <cell r="B266" t="str">
            <v>BUFFER</v>
          </cell>
          <cell r="C266" t="str">
            <v>BUFFER</v>
          </cell>
          <cell r="D266" t="str">
            <v>UND</v>
          </cell>
          <cell r="E266">
            <v>1</v>
          </cell>
          <cell r="K266" t="str">
            <v>1D03</v>
          </cell>
        </row>
        <row r="267">
          <cell r="A267" t="str">
            <v>215-9864</v>
          </cell>
          <cell r="B267" t="str">
            <v>X RING BACK UP</v>
          </cell>
          <cell r="C267" t="str">
            <v>X RING BACK UP</v>
          </cell>
          <cell r="D267" t="str">
            <v>UND</v>
          </cell>
          <cell r="E267">
            <v>1</v>
          </cell>
          <cell r="K267" t="str">
            <v>2A02</v>
          </cell>
        </row>
        <row r="268">
          <cell r="A268" t="str">
            <v xml:space="preserve">BUFFER 110X130X14 </v>
          </cell>
          <cell r="B268" t="str">
            <v>BUFFER</v>
          </cell>
          <cell r="C268" t="str">
            <v>BUFFER 130 X 110 X 14</v>
          </cell>
          <cell r="D268" t="str">
            <v>UND</v>
          </cell>
          <cell r="E268">
            <v>1</v>
          </cell>
          <cell r="K268" t="str">
            <v>CAJA</v>
          </cell>
        </row>
        <row r="269">
          <cell r="A269" t="str">
            <v>RODBUSHING 120X125</v>
          </cell>
          <cell r="B269" t="str">
            <v>RODBUSHING</v>
          </cell>
          <cell r="C269" t="str">
            <v>ROD BUSHING</v>
          </cell>
          <cell r="D269" t="str">
            <v>UND</v>
          </cell>
          <cell r="E269">
            <v>1</v>
          </cell>
          <cell r="K269" t="str">
            <v>CAJA</v>
          </cell>
        </row>
        <row r="270">
          <cell r="A270" t="str">
            <v>3J-1907</v>
          </cell>
          <cell r="B270" t="str">
            <v>SEAL</v>
          </cell>
          <cell r="C270" t="str">
            <v>SEAL</v>
          </cell>
          <cell r="D270" t="str">
            <v>UND</v>
          </cell>
          <cell r="E270">
            <v>2</v>
          </cell>
          <cell r="K270" t="str">
            <v>2C05</v>
          </cell>
        </row>
        <row r="271">
          <cell r="A271" t="str">
            <v>LIMPIADOR  3" X 4" X 0.5"</v>
          </cell>
          <cell r="B271" t="str">
            <v>LIMPIADOR</v>
          </cell>
          <cell r="C271" t="str">
            <v>ROD WIPER</v>
          </cell>
          <cell r="D271" t="str">
            <v>UND</v>
          </cell>
          <cell r="E271">
            <v>1</v>
          </cell>
          <cell r="K271" t="str">
            <v>CAJA</v>
          </cell>
        </row>
        <row r="272">
          <cell r="A272" t="str">
            <v>7J-0204</v>
          </cell>
          <cell r="B272" t="str">
            <v>SELLO</v>
          </cell>
          <cell r="C272" t="str">
            <v>SELLOS</v>
          </cell>
          <cell r="D272" t="str">
            <v>UND</v>
          </cell>
          <cell r="E272">
            <v>4</v>
          </cell>
          <cell r="K272" t="str">
            <v>2C05</v>
          </cell>
        </row>
        <row r="273">
          <cell r="A273" t="str">
            <v>GUIA PISTÓN D475</v>
          </cell>
          <cell r="B273" t="str">
            <v>SELLO</v>
          </cell>
          <cell r="C273" t="str">
            <v>GUIA PISTÓN D475</v>
          </cell>
          <cell r="D273" t="str">
            <v>UND</v>
          </cell>
          <cell r="E273">
            <v>2</v>
          </cell>
          <cell r="K273" t="str">
            <v>2C05</v>
          </cell>
        </row>
        <row r="274">
          <cell r="A274" t="str">
            <v>9T-2238</v>
          </cell>
          <cell r="B274" t="str">
            <v>VALVULA</v>
          </cell>
          <cell r="C274" t="str">
            <v>VALVULAS</v>
          </cell>
          <cell r="D274" t="str">
            <v>UND</v>
          </cell>
          <cell r="E274">
            <v>1</v>
          </cell>
        </row>
        <row r="275">
          <cell r="A275" t="str">
            <v>1S-3311</v>
          </cell>
          <cell r="B275" t="str">
            <v>SEAGER</v>
          </cell>
          <cell r="C275" t="str">
            <v>ANILLO DE RETENCION</v>
          </cell>
          <cell r="D275" t="str">
            <v>UND</v>
          </cell>
          <cell r="E275">
            <v>2</v>
          </cell>
          <cell r="K275" t="str">
            <v>4C07</v>
          </cell>
        </row>
        <row r="276">
          <cell r="A276" t="str">
            <v>9X-3401</v>
          </cell>
          <cell r="B276" t="str">
            <v>PIN</v>
          </cell>
          <cell r="C276" t="str">
            <v>PIN</v>
          </cell>
          <cell r="D276" t="str">
            <v>UND</v>
          </cell>
          <cell r="E276">
            <v>1</v>
          </cell>
        </row>
        <row r="277">
          <cell r="A277" t="str">
            <v>243-3177</v>
          </cell>
          <cell r="B277" t="str">
            <v>RETAINER MAG</v>
          </cell>
          <cell r="C277" t="str">
            <v>TAPON RETENEDOR</v>
          </cell>
          <cell r="D277" t="str">
            <v>UND</v>
          </cell>
          <cell r="E277">
            <v>1</v>
          </cell>
        </row>
        <row r="278">
          <cell r="A278" t="str">
            <v>9S-8004</v>
          </cell>
          <cell r="B278" t="str">
            <v>PLUG AS</v>
          </cell>
          <cell r="C278" t="str">
            <v>PLUG</v>
          </cell>
          <cell r="D278" t="str">
            <v>UND</v>
          </cell>
          <cell r="E278">
            <v>1</v>
          </cell>
          <cell r="K278" t="str">
            <v>BOLSA</v>
          </cell>
        </row>
        <row r="279">
          <cell r="A279" t="str">
            <v>PS LEVANTE DE RIPPER D475</v>
          </cell>
          <cell r="B279" t="str">
            <v>PISTON SEAL</v>
          </cell>
          <cell r="C279" t="str">
            <v>PISTON SEAL</v>
          </cell>
          <cell r="D279" t="str">
            <v>UND</v>
          </cell>
          <cell r="E279">
            <v>1</v>
          </cell>
          <cell r="K279" t="str">
            <v>CAJA</v>
          </cell>
        </row>
        <row r="280">
          <cell r="A280" t="str">
            <v>581-50-11180</v>
          </cell>
          <cell r="B280" t="str">
            <v>ROD BUSHING</v>
          </cell>
          <cell r="C280" t="str">
            <v>ROD BUSHING</v>
          </cell>
          <cell r="D280" t="str">
            <v>UND</v>
          </cell>
          <cell r="E280">
            <v>3</v>
          </cell>
          <cell r="K280" t="str">
            <v>3E01</v>
          </cell>
        </row>
        <row r="281">
          <cell r="A281" t="str">
            <v>581-50-11280</v>
          </cell>
          <cell r="B281" t="str">
            <v>ROD BUSHING</v>
          </cell>
          <cell r="C281" t="str">
            <v>ROD BUSHING</v>
          </cell>
          <cell r="D281" t="str">
            <v>UND</v>
          </cell>
          <cell r="E281">
            <v>3</v>
          </cell>
          <cell r="K281" t="str">
            <v>3E01</v>
          </cell>
        </row>
        <row r="282">
          <cell r="A282" t="str">
            <v>562-50-31450</v>
          </cell>
          <cell r="B282" t="str">
            <v>ROTULA</v>
          </cell>
          <cell r="C282" t="str">
            <v>ROTULA</v>
          </cell>
          <cell r="D282" t="str">
            <v>UND</v>
          </cell>
          <cell r="E282">
            <v>2</v>
          </cell>
          <cell r="K282" t="str">
            <v>1A02</v>
          </cell>
        </row>
        <row r="283">
          <cell r="A283" t="str">
            <v>188-4217</v>
          </cell>
          <cell r="B283" t="str">
            <v>SEAL KIT</v>
          </cell>
          <cell r="C283" t="str">
            <v>KIT DE SELLOS</v>
          </cell>
          <cell r="D283" t="str">
            <v>UND</v>
          </cell>
          <cell r="E283">
            <v>1</v>
          </cell>
        </row>
        <row r="284">
          <cell r="A284" t="str">
            <v>357-5257</v>
          </cell>
          <cell r="B284" t="str">
            <v>PROTECTOR</v>
          </cell>
          <cell r="C284" t="str">
            <v>PROTECTOR</v>
          </cell>
          <cell r="D284" t="str">
            <v>UND</v>
          </cell>
          <cell r="E284">
            <v>1</v>
          </cell>
          <cell r="K284" t="str">
            <v>4B05</v>
          </cell>
        </row>
        <row r="285">
          <cell r="A285" t="str">
            <v>9T-8676</v>
          </cell>
          <cell r="B285" t="str">
            <v>BEARING</v>
          </cell>
          <cell r="C285" t="str">
            <v>BEARING</v>
          </cell>
          <cell r="D285" t="str">
            <v>UND</v>
          </cell>
          <cell r="E285">
            <v>2</v>
          </cell>
        </row>
        <row r="286">
          <cell r="A286" t="str">
            <v>7K-9209</v>
          </cell>
          <cell r="B286" t="str">
            <v>LIMPIADOR</v>
          </cell>
          <cell r="C286" t="str">
            <v>LIMPIADORES</v>
          </cell>
          <cell r="D286" t="str">
            <v>UND</v>
          </cell>
          <cell r="E286">
            <v>8</v>
          </cell>
        </row>
        <row r="287">
          <cell r="A287" t="str">
            <v>323-4199</v>
          </cell>
          <cell r="B287" t="str">
            <v>KIT</v>
          </cell>
          <cell r="C287" t="str">
            <v>KIT DE SELLOS</v>
          </cell>
          <cell r="D287" t="str">
            <v>UND</v>
          </cell>
          <cell r="E287">
            <v>1</v>
          </cell>
        </row>
        <row r="288">
          <cell r="A288" t="str">
            <v>340-2376</v>
          </cell>
          <cell r="B288" t="str">
            <v>SEAGER</v>
          </cell>
          <cell r="C288" t="str">
            <v>SEAGER</v>
          </cell>
          <cell r="D288" t="str">
            <v>UND</v>
          </cell>
          <cell r="E288">
            <v>4</v>
          </cell>
        </row>
        <row r="289">
          <cell r="A289" t="str">
            <v>440-2667</v>
          </cell>
          <cell r="B289" t="str">
            <v>VALVULAS</v>
          </cell>
          <cell r="C289" t="str">
            <v>VALVULAS</v>
          </cell>
          <cell r="D289" t="str">
            <v>UND</v>
          </cell>
          <cell r="E289">
            <v>9</v>
          </cell>
        </row>
        <row r="290">
          <cell r="A290" t="str">
            <v>5P-0840</v>
          </cell>
          <cell r="B290" t="str">
            <v>ORINGS</v>
          </cell>
          <cell r="C290" t="str">
            <v>ORING</v>
          </cell>
          <cell r="D290" t="str">
            <v>UND</v>
          </cell>
          <cell r="E290">
            <v>6</v>
          </cell>
        </row>
        <row r="291">
          <cell r="A291" t="str">
            <v>416-0107</v>
          </cell>
          <cell r="B291" t="str">
            <v>BACK UP</v>
          </cell>
          <cell r="C291" t="str">
            <v>BACK UP</v>
          </cell>
          <cell r="D291" t="str">
            <v>UND</v>
          </cell>
          <cell r="E291">
            <v>1</v>
          </cell>
        </row>
        <row r="292">
          <cell r="A292" t="str">
            <v>319-3557</v>
          </cell>
          <cell r="B292" t="str">
            <v>KIT</v>
          </cell>
          <cell r="C292" t="str">
            <v>KIT DE SELLOS</v>
          </cell>
          <cell r="D292" t="str">
            <v>UND</v>
          </cell>
          <cell r="E292">
            <v>1</v>
          </cell>
        </row>
        <row r="293">
          <cell r="A293" t="str">
            <v>332-2569</v>
          </cell>
          <cell r="B293" t="str">
            <v>KIT</v>
          </cell>
          <cell r="C293" t="str">
            <v>KIT DE SELLOS</v>
          </cell>
          <cell r="D293" t="str">
            <v>UND</v>
          </cell>
          <cell r="E293">
            <v>2</v>
          </cell>
        </row>
        <row r="294">
          <cell r="A294" t="str">
            <v>148-2592</v>
          </cell>
          <cell r="B294" t="str">
            <v>BOSS</v>
          </cell>
          <cell r="C294" t="str">
            <v>BOSS</v>
          </cell>
          <cell r="D294" t="str">
            <v>UND</v>
          </cell>
          <cell r="E294">
            <v>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4">
          <cell r="D4" t="str">
            <v>199-1475</v>
          </cell>
        </row>
        <row r="8">
          <cell r="D8" t="str">
            <v>295-9892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651F-7C22-4E80-84BD-44CB0B2763EB}">
  <dimension ref="A1:AS401"/>
  <sheetViews>
    <sheetView tabSelected="1" zoomScale="55" zoomScaleNormal="55" workbookViewId="0">
      <pane xSplit="11" ySplit="3" topLeftCell="M4" activePane="bottomRight" state="frozen"/>
      <selection pane="topRight" activeCell="J1" sqref="J1"/>
      <selection pane="bottomLeft" activeCell="A5" sqref="A5"/>
      <selection pane="bottomRight" activeCell="AV15" sqref="AV15"/>
    </sheetView>
  </sheetViews>
  <sheetFormatPr baseColWidth="10" defaultColWidth="12.44140625" defaultRowHeight="24.6" x14ac:dyDescent="0.55000000000000004"/>
  <cols>
    <col min="1" max="1" width="5" style="16" bestFit="1" customWidth="1"/>
    <col min="2" max="2" width="13.6640625" style="16" customWidth="1"/>
    <col min="3" max="3" width="13.6640625" style="16" hidden="1" customWidth="1"/>
    <col min="4" max="4" width="12.44140625" style="16" customWidth="1"/>
    <col min="5" max="5" width="12.5546875" style="16" customWidth="1"/>
    <col min="6" max="6" width="12.44140625" style="16" customWidth="1"/>
    <col min="7" max="7" width="26.6640625" style="76" customWidth="1"/>
    <col min="8" max="8" width="70.33203125" style="77" customWidth="1"/>
    <col min="9" max="9" width="13.88671875" style="15" customWidth="1"/>
    <col min="10" max="10" width="34.33203125" style="16" hidden="1" customWidth="1"/>
    <col min="11" max="11" width="11.6640625" style="16" hidden="1" customWidth="1"/>
    <col min="12" max="12" width="24.109375" style="16" hidden="1" customWidth="1"/>
    <col min="13" max="13" width="14.33203125" customWidth="1"/>
    <col min="14" max="14" width="18.88671875" style="78" customWidth="1"/>
    <col min="15" max="15" width="13.44140625" style="16" customWidth="1"/>
    <col min="16" max="16" width="18.33203125" style="16" hidden="1" customWidth="1"/>
    <col min="17" max="17" width="47.88671875" style="16" hidden="1" customWidth="1"/>
    <col min="18" max="18" width="20.6640625" style="84" hidden="1" customWidth="1"/>
    <col min="19" max="19" width="17.88671875" style="84" hidden="1" customWidth="1"/>
    <col min="20" max="20" width="16" style="16" hidden="1" customWidth="1"/>
    <col min="21" max="21" width="20" style="16" hidden="1" customWidth="1"/>
    <col min="22" max="22" width="16.88671875" style="15" customWidth="1"/>
    <col min="23" max="23" width="24.88671875" style="15" customWidth="1"/>
    <col min="24" max="43" width="24.88671875" style="15" hidden="1" customWidth="1"/>
    <col min="44" max="45" width="24.88671875" style="15" customWidth="1"/>
    <col min="46" max="16384" width="12.44140625" style="16"/>
  </cols>
  <sheetData>
    <row r="1" spans="1:45" ht="16.95" customHeight="1" x14ac:dyDescent="0.5500000000000000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3</v>
      </c>
      <c r="G1" s="1" t="s">
        <v>5</v>
      </c>
      <c r="H1" s="1" t="s">
        <v>6</v>
      </c>
      <c r="I1" s="3" t="s">
        <v>7</v>
      </c>
      <c r="J1" s="4" t="s">
        <v>8</v>
      </c>
      <c r="K1" s="4" t="s">
        <v>9</v>
      </c>
      <c r="L1" s="4" t="s">
        <v>10</v>
      </c>
      <c r="M1" s="5" t="s">
        <v>11</v>
      </c>
      <c r="N1" s="5" t="s">
        <v>12</v>
      </c>
      <c r="O1" s="4" t="s">
        <v>13</v>
      </c>
      <c r="P1" s="5" t="s">
        <v>14</v>
      </c>
      <c r="Q1" s="6" t="s">
        <v>15</v>
      </c>
      <c r="R1" s="7" t="s">
        <v>16</v>
      </c>
      <c r="S1" s="8"/>
      <c r="T1" s="9" t="s">
        <v>17</v>
      </c>
      <c r="U1" s="10"/>
      <c r="V1" s="11" t="s">
        <v>18</v>
      </c>
      <c r="W1" s="5" t="s">
        <v>19</v>
      </c>
      <c r="X1" s="12" t="s">
        <v>20</v>
      </c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4"/>
    </row>
    <row r="2" spans="1:45" x14ac:dyDescent="0.55000000000000004">
      <c r="A2" s="1"/>
      <c r="B2" s="1"/>
      <c r="C2" s="17"/>
      <c r="D2" s="17"/>
      <c r="E2" s="17"/>
      <c r="F2" s="17"/>
      <c r="G2" s="1"/>
      <c r="H2" s="1"/>
      <c r="I2" s="18"/>
      <c r="J2" s="6"/>
      <c r="K2" s="6"/>
      <c r="L2" s="6"/>
      <c r="M2" s="5"/>
      <c r="N2" s="5"/>
      <c r="O2" s="6"/>
      <c r="P2" s="5"/>
      <c r="Q2" s="6"/>
      <c r="R2" s="19"/>
      <c r="S2" s="20"/>
      <c r="T2" s="12"/>
      <c r="U2" s="13"/>
      <c r="V2" s="11"/>
      <c r="W2" s="5"/>
      <c r="X2" s="21" t="s">
        <v>21</v>
      </c>
      <c r="Y2" s="22"/>
      <c r="Z2" s="21" t="s">
        <v>22</v>
      </c>
      <c r="AA2" s="22"/>
      <c r="AB2" s="21" t="s">
        <v>23</v>
      </c>
      <c r="AC2" s="22"/>
      <c r="AD2" s="21" t="s">
        <v>24</v>
      </c>
      <c r="AE2" s="22"/>
      <c r="AF2" s="21" t="s">
        <v>25</v>
      </c>
      <c r="AG2" s="22"/>
      <c r="AH2" s="21" t="s">
        <v>26</v>
      </c>
      <c r="AI2" s="22"/>
      <c r="AJ2" s="21" t="s">
        <v>27</v>
      </c>
      <c r="AK2" s="22"/>
      <c r="AL2" s="21" t="s">
        <v>28</v>
      </c>
      <c r="AM2" s="22"/>
      <c r="AN2" s="21" t="s">
        <v>29</v>
      </c>
      <c r="AO2" s="22"/>
      <c r="AP2" s="21" t="s">
        <v>30</v>
      </c>
      <c r="AQ2" s="22"/>
    </row>
    <row r="3" spans="1:45" s="29" customFormat="1" ht="27" customHeight="1" x14ac:dyDescent="0.55000000000000004">
      <c r="A3" s="1"/>
      <c r="B3" s="1"/>
      <c r="C3" s="23"/>
      <c r="D3" s="23"/>
      <c r="E3" s="23"/>
      <c r="F3" s="23"/>
      <c r="G3" s="1"/>
      <c r="H3" s="1"/>
      <c r="I3" s="24"/>
      <c r="J3" s="25"/>
      <c r="K3" s="25"/>
      <c r="L3" s="25"/>
      <c r="M3" s="5"/>
      <c r="N3" s="5"/>
      <c r="O3" s="25"/>
      <c r="P3" s="5"/>
      <c r="Q3" s="25"/>
      <c r="R3" s="26" t="s">
        <v>31</v>
      </c>
      <c r="S3" s="26" t="s">
        <v>32</v>
      </c>
      <c r="T3" s="27" t="s">
        <v>31</v>
      </c>
      <c r="U3" s="27" t="s">
        <v>32</v>
      </c>
      <c r="V3" s="11"/>
      <c r="W3" s="5"/>
      <c r="X3" s="28" t="s">
        <v>31</v>
      </c>
      <c r="Y3" s="28" t="s">
        <v>32</v>
      </c>
      <c r="Z3" s="28" t="s">
        <v>31</v>
      </c>
      <c r="AA3" s="28" t="s">
        <v>32</v>
      </c>
      <c r="AB3" s="28" t="s">
        <v>31</v>
      </c>
      <c r="AC3" s="28" t="s">
        <v>32</v>
      </c>
      <c r="AD3" s="28" t="s">
        <v>31</v>
      </c>
      <c r="AE3" s="28" t="s">
        <v>32</v>
      </c>
      <c r="AF3" s="28" t="s">
        <v>31</v>
      </c>
      <c r="AG3" s="28" t="s">
        <v>32</v>
      </c>
      <c r="AH3" s="28" t="s">
        <v>31</v>
      </c>
      <c r="AI3" s="28" t="s">
        <v>32</v>
      </c>
      <c r="AJ3" s="28" t="s">
        <v>31</v>
      </c>
      <c r="AK3" s="28" t="s">
        <v>32</v>
      </c>
      <c r="AL3" s="28" t="s">
        <v>31</v>
      </c>
      <c r="AM3" s="28" t="s">
        <v>32</v>
      </c>
      <c r="AN3" s="28" t="s">
        <v>31</v>
      </c>
      <c r="AO3" s="28" t="s">
        <v>32</v>
      </c>
      <c r="AP3" s="28" t="s">
        <v>31</v>
      </c>
      <c r="AQ3" s="28" t="s">
        <v>32</v>
      </c>
      <c r="AR3" s="15"/>
      <c r="AS3" s="15"/>
    </row>
    <row r="4" spans="1:45" x14ac:dyDescent="0.55000000000000004">
      <c r="A4" s="30">
        <v>1</v>
      </c>
      <c r="B4" s="31">
        <v>45729</v>
      </c>
      <c r="C4" s="32"/>
      <c r="D4" s="33">
        <v>1</v>
      </c>
      <c r="E4" s="33"/>
      <c r="F4" s="33"/>
      <c r="G4" s="34" t="s">
        <v>33</v>
      </c>
      <c r="H4" s="35" t="s">
        <v>34</v>
      </c>
      <c r="I4" s="36">
        <v>1</v>
      </c>
      <c r="J4" s="37"/>
      <c r="K4" s="37"/>
      <c r="L4" s="37"/>
      <c r="M4" s="38" t="s">
        <v>35</v>
      </c>
      <c r="N4" s="39" t="s">
        <v>36</v>
      </c>
      <c r="O4" s="40">
        <v>182</v>
      </c>
      <c r="P4" s="37">
        <f t="shared" ref="P4:P67" si="0">O4*I4</f>
        <v>182</v>
      </c>
      <c r="Q4" s="41" t="s">
        <v>37</v>
      </c>
      <c r="R4" s="42">
        <f t="shared" ref="R4:R19" si="1">T4*O4</f>
        <v>0</v>
      </c>
      <c r="S4" s="42">
        <f t="shared" ref="S4:S19" si="2">U4*O4</f>
        <v>0</v>
      </c>
      <c r="T4" s="43">
        <f t="shared" ref="T4:U67" si="3">X4+AB4+AF4+AJ4+AN4</f>
        <v>0</v>
      </c>
      <c r="U4" s="43">
        <f t="shared" si="3"/>
        <v>0</v>
      </c>
      <c r="V4" s="44">
        <f>I4+T4-U4</f>
        <v>1</v>
      </c>
      <c r="W4" s="36">
        <f t="shared" ref="W4:W67" si="4">V4*O4</f>
        <v>182</v>
      </c>
      <c r="X4" s="36"/>
      <c r="Y4" s="36"/>
      <c r="Z4" s="36">
        <f t="shared" ref="Z4:Z67" si="5">X4*O4</f>
        <v>0</v>
      </c>
      <c r="AA4" s="36">
        <f t="shared" ref="AA4:AA67" si="6">Y4*O4</f>
        <v>0</v>
      </c>
      <c r="AB4" s="36"/>
      <c r="AC4" s="36"/>
      <c r="AD4" s="36">
        <f t="shared" ref="AD4:AD67" si="7">AB4*O4</f>
        <v>0</v>
      </c>
      <c r="AE4" s="36">
        <f t="shared" ref="AE4:AE67" si="8">AC4*O4</f>
        <v>0</v>
      </c>
      <c r="AF4" s="36"/>
      <c r="AG4" s="36"/>
      <c r="AH4" s="36">
        <f t="shared" ref="AH4:AH67" si="9">AF4*O4</f>
        <v>0</v>
      </c>
      <c r="AI4" s="36">
        <f t="shared" ref="AI4:AI67" si="10">AG4*O4</f>
        <v>0</v>
      </c>
      <c r="AJ4" s="36"/>
      <c r="AK4" s="36"/>
      <c r="AL4" s="36">
        <f t="shared" ref="AL4:AL67" si="11">AJ4*O4</f>
        <v>0</v>
      </c>
      <c r="AM4" s="36">
        <f t="shared" ref="AM4:AM67" si="12">AK4*O4</f>
        <v>0</v>
      </c>
      <c r="AN4" s="36"/>
      <c r="AO4" s="36"/>
      <c r="AP4" s="36">
        <f t="shared" ref="AP4:AP67" si="13">AN4*O4</f>
        <v>0</v>
      </c>
      <c r="AQ4" s="36">
        <f t="shared" ref="AQ4:AQ67" si="14">AO4*O4</f>
        <v>0</v>
      </c>
    </row>
    <row r="5" spans="1:45" x14ac:dyDescent="0.55000000000000004">
      <c r="A5" s="30">
        <f>+A4+1</f>
        <v>2</v>
      </c>
      <c r="B5" s="31">
        <v>44896</v>
      </c>
      <c r="C5" s="45"/>
      <c r="D5" s="33">
        <v>1</v>
      </c>
      <c r="E5" s="33"/>
      <c r="F5" s="33"/>
      <c r="G5" s="34" t="s">
        <v>38</v>
      </c>
      <c r="H5" s="35" t="s">
        <v>39</v>
      </c>
      <c r="I5" s="36">
        <v>1</v>
      </c>
      <c r="J5" s="37" t="s">
        <v>40</v>
      </c>
      <c r="K5" s="37"/>
      <c r="L5" s="37"/>
      <c r="M5" s="38" t="s">
        <v>35</v>
      </c>
      <c r="N5" s="39" t="s">
        <v>41</v>
      </c>
      <c r="O5" s="40">
        <v>81.7</v>
      </c>
      <c r="P5" s="37">
        <f t="shared" si="0"/>
        <v>81.7</v>
      </c>
      <c r="Q5" s="41"/>
      <c r="R5" s="42">
        <f t="shared" si="1"/>
        <v>0</v>
      </c>
      <c r="S5" s="42">
        <f t="shared" si="2"/>
        <v>0</v>
      </c>
      <c r="T5" s="43">
        <f t="shared" si="3"/>
        <v>0</v>
      </c>
      <c r="U5" s="43">
        <f t="shared" si="3"/>
        <v>0</v>
      </c>
      <c r="V5" s="44">
        <v>0</v>
      </c>
      <c r="W5" s="36">
        <f t="shared" si="4"/>
        <v>0</v>
      </c>
      <c r="X5" s="36"/>
      <c r="Y5" s="36"/>
      <c r="Z5" s="36">
        <f t="shared" si="5"/>
        <v>0</v>
      </c>
      <c r="AA5" s="36">
        <f t="shared" si="6"/>
        <v>0</v>
      </c>
      <c r="AB5" s="36"/>
      <c r="AC5" s="36"/>
      <c r="AD5" s="36">
        <f>AB5*O5</f>
        <v>0</v>
      </c>
      <c r="AE5" s="36">
        <f>AC5*O5</f>
        <v>0</v>
      </c>
      <c r="AF5" s="36"/>
      <c r="AG5" s="36"/>
      <c r="AH5" s="36">
        <f t="shared" si="9"/>
        <v>0</v>
      </c>
      <c r="AI5" s="36">
        <f t="shared" si="10"/>
        <v>0</v>
      </c>
      <c r="AJ5" s="36"/>
      <c r="AK5" s="36"/>
      <c r="AL5" s="36">
        <f t="shared" si="11"/>
        <v>0</v>
      </c>
      <c r="AM5" s="36">
        <f t="shared" si="12"/>
        <v>0</v>
      </c>
      <c r="AN5" s="36"/>
      <c r="AO5" s="36"/>
      <c r="AP5" s="36">
        <f t="shared" si="13"/>
        <v>0</v>
      </c>
      <c r="AQ5" s="36">
        <f t="shared" si="14"/>
        <v>0</v>
      </c>
    </row>
    <row r="6" spans="1:45" x14ac:dyDescent="0.55000000000000004">
      <c r="A6" s="30">
        <f t="shared" ref="A6:A69" si="15">+A5+1</f>
        <v>3</v>
      </c>
      <c r="B6" s="31">
        <v>44896</v>
      </c>
      <c r="C6" s="45"/>
      <c r="D6" s="33">
        <v>22</v>
      </c>
      <c r="E6" s="33"/>
      <c r="F6" s="33"/>
      <c r="G6" s="34" t="s">
        <v>42</v>
      </c>
      <c r="H6" s="35" t="s">
        <v>43</v>
      </c>
      <c r="I6" s="36">
        <v>22</v>
      </c>
      <c r="J6" s="37"/>
      <c r="K6" s="37"/>
      <c r="L6" s="37"/>
      <c r="M6" s="38" t="s">
        <v>44</v>
      </c>
      <c r="N6" s="39" t="s">
        <v>36</v>
      </c>
      <c r="O6" s="40">
        <v>331.74</v>
      </c>
      <c r="P6" s="37">
        <f t="shared" si="0"/>
        <v>7298.2800000000007</v>
      </c>
      <c r="Q6" s="41"/>
      <c r="R6" s="42">
        <f t="shared" si="1"/>
        <v>0</v>
      </c>
      <c r="S6" s="42">
        <f t="shared" si="2"/>
        <v>0</v>
      </c>
      <c r="T6" s="43">
        <f t="shared" si="3"/>
        <v>0</v>
      </c>
      <c r="U6" s="43">
        <f t="shared" si="3"/>
        <v>0</v>
      </c>
      <c r="V6" s="44">
        <f t="shared" ref="V6:V69" si="16">I6+T6-U6</f>
        <v>22</v>
      </c>
      <c r="W6" s="36">
        <f t="shared" si="4"/>
        <v>7298.2800000000007</v>
      </c>
      <c r="X6" s="36"/>
      <c r="Y6" s="36"/>
      <c r="Z6" s="36">
        <f t="shared" si="5"/>
        <v>0</v>
      </c>
      <c r="AA6" s="36">
        <f t="shared" si="6"/>
        <v>0</v>
      </c>
      <c r="AB6" s="36"/>
      <c r="AC6" s="36"/>
      <c r="AD6" s="36">
        <f>AB6*O6</f>
        <v>0</v>
      </c>
      <c r="AE6" s="36">
        <f>AC6*O6</f>
        <v>0</v>
      </c>
      <c r="AF6" s="36"/>
      <c r="AG6" s="36"/>
      <c r="AH6" s="36">
        <f t="shared" si="9"/>
        <v>0</v>
      </c>
      <c r="AI6" s="36">
        <f t="shared" si="10"/>
        <v>0</v>
      </c>
      <c r="AJ6" s="36"/>
      <c r="AK6" s="36"/>
      <c r="AL6" s="36">
        <f t="shared" si="11"/>
        <v>0</v>
      </c>
      <c r="AM6" s="36">
        <f t="shared" si="12"/>
        <v>0</v>
      </c>
      <c r="AN6" s="36"/>
      <c r="AO6" s="36"/>
      <c r="AP6" s="36">
        <f t="shared" si="13"/>
        <v>0</v>
      </c>
      <c r="AQ6" s="36">
        <f t="shared" si="14"/>
        <v>0</v>
      </c>
    </row>
    <row r="7" spans="1:45" x14ac:dyDescent="0.55000000000000004">
      <c r="A7" s="30">
        <f t="shared" si="15"/>
        <v>4</v>
      </c>
      <c r="B7" s="31">
        <v>45689</v>
      </c>
      <c r="C7" s="45"/>
      <c r="D7" s="33">
        <v>4</v>
      </c>
      <c r="E7" s="33"/>
      <c r="F7" s="33"/>
      <c r="G7" s="46" t="s">
        <v>45</v>
      </c>
      <c r="H7" s="35" t="s">
        <v>46</v>
      </c>
      <c r="I7" s="36">
        <v>0</v>
      </c>
      <c r="J7" s="37" t="s">
        <v>40</v>
      </c>
      <c r="K7" s="37"/>
      <c r="L7" s="37"/>
      <c r="M7" s="38" t="s">
        <v>47</v>
      </c>
      <c r="N7" s="39" t="s">
        <v>36</v>
      </c>
      <c r="O7" s="40">
        <v>211.34</v>
      </c>
      <c r="P7" s="37">
        <f t="shared" si="0"/>
        <v>0</v>
      </c>
      <c r="Q7" s="41" t="s">
        <v>37</v>
      </c>
      <c r="R7" s="42">
        <f t="shared" si="1"/>
        <v>0</v>
      </c>
      <c r="S7" s="42">
        <f t="shared" si="2"/>
        <v>0</v>
      </c>
      <c r="T7" s="43">
        <f t="shared" si="3"/>
        <v>0</v>
      </c>
      <c r="U7" s="43">
        <f t="shared" si="3"/>
        <v>0</v>
      </c>
      <c r="V7" s="44">
        <f t="shared" si="16"/>
        <v>0</v>
      </c>
      <c r="W7" s="36">
        <f t="shared" si="4"/>
        <v>0</v>
      </c>
      <c r="X7" s="36"/>
      <c r="Y7" s="36"/>
      <c r="Z7" s="36">
        <f t="shared" si="5"/>
        <v>0</v>
      </c>
      <c r="AA7" s="36">
        <f t="shared" si="6"/>
        <v>0</v>
      </c>
      <c r="AB7" s="36"/>
      <c r="AC7" s="36"/>
      <c r="AD7" s="36">
        <f t="shared" si="7"/>
        <v>0</v>
      </c>
      <c r="AE7" s="36">
        <f t="shared" si="8"/>
        <v>0</v>
      </c>
      <c r="AF7" s="36"/>
      <c r="AG7" s="36"/>
      <c r="AH7" s="36">
        <f t="shared" si="9"/>
        <v>0</v>
      </c>
      <c r="AI7" s="36">
        <f t="shared" si="10"/>
        <v>0</v>
      </c>
      <c r="AJ7" s="36"/>
      <c r="AK7" s="36"/>
      <c r="AL7" s="36">
        <f t="shared" si="11"/>
        <v>0</v>
      </c>
      <c r="AM7" s="36">
        <f t="shared" si="12"/>
        <v>0</v>
      </c>
      <c r="AN7" s="36"/>
      <c r="AO7" s="36"/>
      <c r="AP7" s="36">
        <f t="shared" si="13"/>
        <v>0</v>
      </c>
      <c r="AQ7" s="36">
        <f t="shared" si="14"/>
        <v>0</v>
      </c>
    </row>
    <row r="8" spans="1:45" x14ac:dyDescent="0.55000000000000004">
      <c r="A8" s="30">
        <f t="shared" si="15"/>
        <v>5</v>
      </c>
      <c r="B8" s="31">
        <v>45413</v>
      </c>
      <c r="C8" s="45"/>
      <c r="D8" s="33">
        <v>1</v>
      </c>
      <c r="E8" s="33"/>
      <c r="F8" s="33"/>
      <c r="G8" s="46">
        <v>1143361</v>
      </c>
      <c r="H8" s="35" t="s">
        <v>48</v>
      </c>
      <c r="I8" s="36">
        <v>0</v>
      </c>
      <c r="J8" s="37"/>
      <c r="K8" s="37"/>
      <c r="L8" s="37"/>
      <c r="M8" s="38" t="s">
        <v>44</v>
      </c>
      <c r="N8" s="39" t="s">
        <v>49</v>
      </c>
      <c r="O8" s="40">
        <v>9.0299999999999994</v>
      </c>
      <c r="P8" s="37">
        <f t="shared" si="0"/>
        <v>0</v>
      </c>
      <c r="Q8" s="41"/>
      <c r="R8" s="42">
        <f t="shared" si="1"/>
        <v>0</v>
      </c>
      <c r="S8" s="42">
        <f t="shared" si="2"/>
        <v>0</v>
      </c>
      <c r="T8" s="43">
        <f t="shared" si="3"/>
        <v>0</v>
      </c>
      <c r="U8" s="43">
        <f t="shared" si="3"/>
        <v>0</v>
      </c>
      <c r="V8" s="44">
        <f t="shared" si="16"/>
        <v>0</v>
      </c>
      <c r="W8" s="36">
        <f t="shared" si="4"/>
        <v>0</v>
      </c>
      <c r="X8" s="36"/>
      <c r="Y8" s="36"/>
      <c r="Z8" s="36">
        <f t="shared" si="5"/>
        <v>0</v>
      </c>
      <c r="AA8" s="36">
        <f t="shared" si="6"/>
        <v>0</v>
      </c>
      <c r="AB8" s="36"/>
      <c r="AC8" s="36"/>
      <c r="AD8" s="36">
        <f t="shared" si="7"/>
        <v>0</v>
      </c>
      <c r="AE8" s="36">
        <f t="shared" si="8"/>
        <v>0</v>
      </c>
      <c r="AF8" s="36"/>
      <c r="AG8" s="36"/>
      <c r="AH8" s="36">
        <f t="shared" si="9"/>
        <v>0</v>
      </c>
      <c r="AI8" s="36">
        <f t="shared" si="10"/>
        <v>0</v>
      </c>
      <c r="AJ8" s="36"/>
      <c r="AK8" s="36"/>
      <c r="AL8" s="36">
        <f t="shared" si="11"/>
        <v>0</v>
      </c>
      <c r="AM8" s="36">
        <f t="shared" si="12"/>
        <v>0</v>
      </c>
      <c r="AN8" s="36"/>
      <c r="AO8" s="36"/>
      <c r="AP8" s="36">
        <f t="shared" si="13"/>
        <v>0</v>
      </c>
      <c r="AQ8" s="36">
        <f t="shared" si="14"/>
        <v>0</v>
      </c>
    </row>
    <row r="9" spans="1:45" x14ac:dyDescent="0.55000000000000004">
      <c r="A9" s="30">
        <f t="shared" si="15"/>
        <v>6</v>
      </c>
      <c r="B9" s="31">
        <v>44896</v>
      </c>
      <c r="C9" s="45"/>
      <c r="D9" s="33">
        <v>1</v>
      </c>
      <c r="E9" s="33"/>
      <c r="F9" s="33"/>
      <c r="G9" s="34">
        <v>3701871</v>
      </c>
      <c r="H9" s="35" t="s">
        <v>50</v>
      </c>
      <c r="I9" s="36">
        <v>1</v>
      </c>
      <c r="J9" s="37"/>
      <c r="K9" s="37"/>
      <c r="L9" s="37"/>
      <c r="M9" s="38" t="s">
        <v>51</v>
      </c>
      <c r="N9" s="39"/>
      <c r="O9" s="40">
        <v>159.34</v>
      </c>
      <c r="P9" s="37">
        <f t="shared" si="0"/>
        <v>159.34</v>
      </c>
      <c r="Q9" s="41"/>
      <c r="R9" s="42">
        <f t="shared" si="1"/>
        <v>0</v>
      </c>
      <c r="S9" s="42">
        <f t="shared" si="2"/>
        <v>159.34</v>
      </c>
      <c r="T9" s="43">
        <f t="shared" si="3"/>
        <v>0</v>
      </c>
      <c r="U9" s="43">
        <f t="shared" si="3"/>
        <v>1</v>
      </c>
      <c r="V9" s="44">
        <f t="shared" si="16"/>
        <v>0</v>
      </c>
      <c r="W9" s="36">
        <f t="shared" si="4"/>
        <v>0</v>
      </c>
      <c r="X9" s="36"/>
      <c r="Y9" s="36">
        <v>1</v>
      </c>
      <c r="Z9" s="36">
        <f t="shared" si="5"/>
        <v>0</v>
      </c>
      <c r="AA9" s="36">
        <f t="shared" si="6"/>
        <v>159.34</v>
      </c>
      <c r="AB9" s="36"/>
      <c r="AC9" s="36"/>
      <c r="AD9" s="36">
        <f t="shared" si="7"/>
        <v>0</v>
      </c>
      <c r="AE9" s="36">
        <f t="shared" si="8"/>
        <v>0</v>
      </c>
      <c r="AF9" s="36"/>
      <c r="AG9" s="36"/>
      <c r="AH9" s="36">
        <f t="shared" si="9"/>
        <v>0</v>
      </c>
      <c r="AI9" s="36">
        <f t="shared" si="10"/>
        <v>0</v>
      </c>
      <c r="AJ9" s="36"/>
      <c r="AK9" s="36"/>
      <c r="AL9" s="36">
        <f t="shared" si="11"/>
        <v>0</v>
      </c>
      <c r="AM9" s="36">
        <f t="shared" si="12"/>
        <v>0</v>
      </c>
      <c r="AN9" s="36"/>
      <c r="AO9" s="36"/>
      <c r="AP9" s="36">
        <f t="shared" si="13"/>
        <v>0</v>
      </c>
      <c r="AQ9" s="36">
        <f t="shared" si="14"/>
        <v>0</v>
      </c>
    </row>
    <row r="10" spans="1:45" x14ac:dyDescent="0.55000000000000004">
      <c r="A10" s="30">
        <f t="shared" si="15"/>
        <v>7</v>
      </c>
      <c r="B10" s="31">
        <v>44927</v>
      </c>
      <c r="C10" s="45"/>
      <c r="D10" s="33">
        <v>1</v>
      </c>
      <c r="E10" s="33"/>
      <c r="F10" s="33"/>
      <c r="G10" s="34" t="s">
        <v>52</v>
      </c>
      <c r="H10" s="35" t="s">
        <v>53</v>
      </c>
      <c r="I10" s="36">
        <v>1</v>
      </c>
      <c r="J10" s="37" t="s">
        <v>54</v>
      </c>
      <c r="K10" s="37"/>
      <c r="L10" s="37"/>
      <c r="M10" s="38" t="s">
        <v>55</v>
      </c>
      <c r="N10" s="39"/>
      <c r="O10" s="40">
        <v>618</v>
      </c>
      <c r="P10" s="37">
        <f t="shared" si="0"/>
        <v>618</v>
      </c>
      <c r="Q10" s="41"/>
      <c r="R10" s="42">
        <f t="shared" si="1"/>
        <v>0</v>
      </c>
      <c r="S10" s="42">
        <f t="shared" si="2"/>
        <v>0</v>
      </c>
      <c r="T10" s="43">
        <f t="shared" si="3"/>
        <v>0</v>
      </c>
      <c r="U10" s="43">
        <f t="shared" si="3"/>
        <v>0</v>
      </c>
      <c r="V10" s="44">
        <f t="shared" si="16"/>
        <v>1</v>
      </c>
      <c r="W10" s="36">
        <f t="shared" si="4"/>
        <v>618</v>
      </c>
      <c r="X10" s="36"/>
      <c r="Y10" s="36"/>
      <c r="Z10" s="36">
        <f t="shared" si="5"/>
        <v>0</v>
      </c>
      <c r="AA10" s="36">
        <f t="shared" si="6"/>
        <v>0</v>
      </c>
      <c r="AB10" s="36"/>
      <c r="AC10" s="36"/>
      <c r="AD10" s="36">
        <f t="shared" si="7"/>
        <v>0</v>
      </c>
      <c r="AE10" s="36">
        <f t="shared" si="8"/>
        <v>0</v>
      </c>
      <c r="AF10" s="36"/>
      <c r="AG10" s="36"/>
      <c r="AH10" s="36">
        <f t="shared" si="9"/>
        <v>0</v>
      </c>
      <c r="AI10" s="36">
        <f t="shared" si="10"/>
        <v>0</v>
      </c>
      <c r="AJ10" s="36"/>
      <c r="AK10" s="36"/>
      <c r="AL10" s="36">
        <f t="shared" si="11"/>
        <v>0</v>
      </c>
      <c r="AM10" s="36">
        <f t="shared" si="12"/>
        <v>0</v>
      </c>
      <c r="AN10" s="36"/>
      <c r="AO10" s="36"/>
      <c r="AP10" s="36">
        <f t="shared" si="13"/>
        <v>0</v>
      </c>
      <c r="AQ10" s="36">
        <f t="shared" si="14"/>
        <v>0</v>
      </c>
    </row>
    <row r="11" spans="1:45" x14ac:dyDescent="0.55000000000000004">
      <c r="A11" s="30">
        <f t="shared" si="15"/>
        <v>8</v>
      </c>
      <c r="B11" s="31">
        <v>44896</v>
      </c>
      <c r="C11" s="45"/>
      <c r="D11" s="33">
        <v>1</v>
      </c>
      <c r="E11" s="33"/>
      <c r="F11" s="33"/>
      <c r="G11" s="34" t="s">
        <v>56</v>
      </c>
      <c r="H11" s="35" t="s">
        <v>57</v>
      </c>
      <c r="I11" s="36">
        <v>1</v>
      </c>
      <c r="J11" s="37" t="s">
        <v>54</v>
      </c>
      <c r="K11" s="37"/>
      <c r="L11" s="37"/>
      <c r="M11" s="38" t="s">
        <v>55</v>
      </c>
      <c r="N11" s="39"/>
      <c r="O11" s="40">
        <v>1329.08</v>
      </c>
      <c r="P11" s="37">
        <f t="shared" si="0"/>
        <v>1329.08</v>
      </c>
      <c r="Q11" s="41"/>
      <c r="R11" s="42">
        <f t="shared" si="1"/>
        <v>0</v>
      </c>
      <c r="S11" s="42">
        <f t="shared" si="2"/>
        <v>0</v>
      </c>
      <c r="T11" s="43">
        <f t="shared" si="3"/>
        <v>0</v>
      </c>
      <c r="U11" s="43">
        <f t="shared" si="3"/>
        <v>0</v>
      </c>
      <c r="V11" s="44">
        <f t="shared" si="16"/>
        <v>1</v>
      </c>
      <c r="W11" s="36">
        <f t="shared" si="4"/>
        <v>1329.08</v>
      </c>
      <c r="X11" s="36"/>
      <c r="Y11" s="36"/>
      <c r="Z11" s="36">
        <f t="shared" si="5"/>
        <v>0</v>
      </c>
      <c r="AA11" s="36">
        <f t="shared" si="6"/>
        <v>0</v>
      </c>
      <c r="AB11" s="36"/>
      <c r="AC11" s="36"/>
      <c r="AD11" s="36">
        <f t="shared" si="7"/>
        <v>0</v>
      </c>
      <c r="AE11" s="36">
        <f t="shared" si="8"/>
        <v>0</v>
      </c>
      <c r="AF11" s="36"/>
      <c r="AG11" s="36"/>
      <c r="AH11" s="36">
        <f t="shared" si="9"/>
        <v>0</v>
      </c>
      <c r="AI11" s="36">
        <f t="shared" si="10"/>
        <v>0</v>
      </c>
      <c r="AJ11" s="36"/>
      <c r="AK11" s="36"/>
      <c r="AL11" s="36">
        <f t="shared" si="11"/>
        <v>0</v>
      </c>
      <c r="AM11" s="36">
        <f t="shared" si="12"/>
        <v>0</v>
      </c>
      <c r="AN11" s="36"/>
      <c r="AO11" s="36"/>
      <c r="AP11" s="36">
        <f t="shared" si="13"/>
        <v>0</v>
      </c>
      <c r="AQ11" s="36">
        <f t="shared" si="14"/>
        <v>0</v>
      </c>
    </row>
    <row r="12" spans="1:45" x14ac:dyDescent="0.55000000000000004">
      <c r="A12" s="30">
        <f t="shared" si="15"/>
        <v>9</v>
      </c>
      <c r="B12" s="31">
        <v>44896</v>
      </c>
      <c r="C12" s="45"/>
      <c r="D12" s="33">
        <v>1</v>
      </c>
      <c r="E12" s="33"/>
      <c r="F12" s="33"/>
      <c r="G12" s="34" t="s">
        <v>58</v>
      </c>
      <c r="H12" s="35" t="s">
        <v>59</v>
      </c>
      <c r="I12" s="36">
        <v>1</v>
      </c>
      <c r="J12" s="37" t="s">
        <v>54</v>
      </c>
      <c r="K12" s="37"/>
      <c r="L12" s="37"/>
      <c r="M12" s="38" t="s">
        <v>60</v>
      </c>
      <c r="N12" s="39" t="s">
        <v>61</v>
      </c>
      <c r="O12" s="40">
        <v>918.79</v>
      </c>
      <c r="P12" s="37">
        <f t="shared" si="0"/>
        <v>918.79</v>
      </c>
      <c r="Q12" s="41"/>
      <c r="R12" s="42">
        <f t="shared" si="1"/>
        <v>0</v>
      </c>
      <c r="S12" s="42">
        <f t="shared" si="2"/>
        <v>0</v>
      </c>
      <c r="T12" s="43">
        <f t="shared" si="3"/>
        <v>0</v>
      </c>
      <c r="U12" s="43">
        <f t="shared" si="3"/>
        <v>0</v>
      </c>
      <c r="V12" s="44">
        <f t="shared" si="16"/>
        <v>1</v>
      </c>
      <c r="W12" s="36">
        <f t="shared" si="4"/>
        <v>918.79</v>
      </c>
      <c r="X12" s="36"/>
      <c r="Y12" s="36"/>
      <c r="Z12" s="36">
        <f t="shared" si="5"/>
        <v>0</v>
      </c>
      <c r="AA12" s="36">
        <f t="shared" si="6"/>
        <v>0</v>
      </c>
      <c r="AB12" s="36"/>
      <c r="AC12" s="36"/>
      <c r="AD12" s="36">
        <f t="shared" si="7"/>
        <v>0</v>
      </c>
      <c r="AE12" s="36">
        <f t="shared" si="8"/>
        <v>0</v>
      </c>
      <c r="AF12" s="36"/>
      <c r="AG12" s="36"/>
      <c r="AH12" s="36">
        <f t="shared" si="9"/>
        <v>0</v>
      </c>
      <c r="AI12" s="36">
        <f t="shared" si="10"/>
        <v>0</v>
      </c>
      <c r="AJ12" s="36"/>
      <c r="AK12" s="36"/>
      <c r="AL12" s="36">
        <f t="shared" si="11"/>
        <v>0</v>
      </c>
      <c r="AM12" s="36">
        <f t="shared" si="12"/>
        <v>0</v>
      </c>
      <c r="AN12" s="36"/>
      <c r="AO12" s="36"/>
      <c r="AP12" s="36">
        <f t="shared" si="13"/>
        <v>0</v>
      </c>
      <c r="AQ12" s="36">
        <f t="shared" si="14"/>
        <v>0</v>
      </c>
    </row>
    <row r="13" spans="1:45" x14ac:dyDescent="0.55000000000000004">
      <c r="A13" s="30">
        <f t="shared" si="15"/>
        <v>10</v>
      </c>
      <c r="B13" s="31">
        <v>45413</v>
      </c>
      <c r="C13" s="45"/>
      <c r="D13" s="33">
        <v>1</v>
      </c>
      <c r="E13" s="33"/>
      <c r="F13" s="33"/>
      <c r="G13" s="34" t="s">
        <v>62</v>
      </c>
      <c r="H13" s="35" t="s">
        <v>63</v>
      </c>
      <c r="I13" s="36">
        <v>1</v>
      </c>
      <c r="J13" s="37" t="s">
        <v>64</v>
      </c>
      <c r="K13" s="37"/>
      <c r="L13" s="37"/>
      <c r="M13" s="38" t="s">
        <v>60</v>
      </c>
      <c r="N13" s="39" t="s">
        <v>61</v>
      </c>
      <c r="O13" s="47">
        <v>2856.31</v>
      </c>
      <c r="P13" s="37">
        <f t="shared" si="0"/>
        <v>2856.31</v>
      </c>
      <c r="Q13" s="41"/>
      <c r="R13" s="42">
        <f t="shared" si="1"/>
        <v>0</v>
      </c>
      <c r="S13" s="42">
        <f t="shared" si="2"/>
        <v>0</v>
      </c>
      <c r="T13" s="43">
        <f t="shared" si="3"/>
        <v>0</v>
      </c>
      <c r="U13" s="43">
        <f t="shared" si="3"/>
        <v>0</v>
      </c>
      <c r="V13" s="44">
        <f t="shared" si="16"/>
        <v>1</v>
      </c>
      <c r="W13" s="36">
        <f t="shared" si="4"/>
        <v>2856.31</v>
      </c>
      <c r="X13" s="36"/>
      <c r="Y13" s="36"/>
      <c r="Z13" s="36">
        <f t="shared" si="5"/>
        <v>0</v>
      </c>
      <c r="AA13" s="36">
        <f t="shared" si="6"/>
        <v>0</v>
      </c>
      <c r="AB13" s="36"/>
      <c r="AC13" s="36"/>
      <c r="AD13" s="36">
        <f t="shared" si="7"/>
        <v>0</v>
      </c>
      <c r="AE13" s="36">
        <f t="shared" si="8"/>
        <v>0</v>
      </c>
      <c r="AF13" s="36"/>
      <c r="AG13" s="36"/>
      <c r="AH13" s="36">
        <f t="shared" si="9"/>
        <v>0</v>
      </c>
      <c r="AI13" s="36">
        <f t="shared" si="10"/>
        <v>0</v>
      </c>
      <c r="AJ13" s="36"/>
      <c r="AK13" s="36"/>
      <c r="AL13" s="36">
        <f t="shared" si="11"/>
        <v>0</v>
      </c>
      <c r="AM13" s="36">
        <f t="shared" si="12"/>
        <v>0</v>
      </c>
      <c r="AN13" s="36"/>
      <c r="AO13" s="36"/>
      <c r="AP13" s="36">
        <f t="shared" si="13"/>
        <v>0</v>
      </c>
      <c r="AQ13" s="36">
        <f t="shared" si="14"/>
        <v>0</v>
      </c>
    </row>
    <row r="14" spans="1:45" x14ac:dyDescent="0.55000000000000004">
      <c r="A14" s="30">
        <f t="shared" si="15"/>
        <v>11</v>
      </c>
      <c r="B14" s="31">
        <v>44896</v>
      </c>
      <c r="C14" s="45"/>
      <c r="D14" s="33">
        <v>2</v>
      </c>
      <c r="E14" s="33"/>
      <c r="F14" s="33"/>
      <c r="G14" s="34" t="s">
        <v>65</v>
      </c>
      <c r="H14" s="35" t="s">
        <v>66</v>
      </c>
      <c r="I14" s="36">
        <v>2</v>
      </c>
      <c r="J14" s="37"/>
      <c r="K14" s="37"/>
      <c r="L14" s="37"/>
      <c r="M14" s="38" t="s">
        <v>60</v>
      </c>
      <c r="N14" s="39" t="s">
        <v>61</v>
      </c>
      <c r="O14" s="48">
        <v>2000</v>
      </c>
      <c r="P14" s="37">
        <f t="shared" si="0"/>
        <v>4000</v>
      </c>
      <c r="Q14" s="41"/>
      <c r="R14" s="42">
        <f t="shared" si="1"/>
        <v>0</v>
      </c>
      <c r="S14" s="42">
        <f t="shared" si="2"/>
        <v>0</v>
      </c>
      <c r="T14" s="43">
        <f t="shared" si="3"/>
        <v>0</v>
      </c>
      <c r="U14" s="43">
        <f t="shared" si="3"/>
        <v>0</v>
      </c>
      <c r="V14" s="44">
        <f t="shared" si="16"/>
        <v>2</v>
      </c>
      <c r="W14" s="36">
        <f t="shared" si="4"/>
        <v>4000</v>
      </c>
      <c r="X14" s="36"/>
      <c r="Y14" s="36"/>
      <c r="Z14" s="36">
        <f t="shared" si="5"/>
        <v>0</v>
      </c>
      <c r="AA14" s="36">
        <f t="shared" si="6"/>
        <v>0</v>
      </c>
      <c r="AB14" s="36"/>
      <c r="AC14" s="36"/>
      <c r="AD14" s="36">
        <f t="shared" si="7"/>
        <v>0</v>
      </c>
      <c r="AE14" s="36">
        <f t="shared" si="8"/>
        <v>0</v>
      </c>
      <c r="AF14" s="36"/>
      <c r="AG14" s="36"/>
      <c r="AH14" s="36">
        <f t="shared" si="9"/>
        <v>0</v>
      </c>
      <c r="AI14" s="36">
        <f t="shared" si="10"/>
        <v>0</v>
      </c>
      <c r="AJ14" s="36"/>
      <c r="AK14" s="36"/>
      <c r="AL14" s="36">
        <f t="shared" si="11"/>
        <v>0</v>
      </c>
      <c r="AM14" s="36">
        <f t="shared" si="12"/>
        <v>0</v>
      </c>
      <c r="AN14" s="36"/>
      <c r="AO14" s="36"/>
      <c r="AP14" s="36">
        <f t="shared" si="13"/>
        <v>0</v>
      </c>
      <c r="AQ14" s="36">
        <f t="shared" si="14"/>
        <v>0</v>
      </c>
    </row>
    <row r="15" spans="1:45" x14ac:dyDescent="0.55000000000000004">
      <c r="A15" s="30">
        <f t="shared" si="15"/>
        <v>12</v>
      </c>
      <c r="B15" s="31">
        <v>45748</v>
      </c>
      <c r="C15" s="45"/>
      <c r="D15" s="33">
        <v>1</v>
      </c>
      <c r="E15" s="33"/>
      <c r="F15" s="33"/>
      <c r="G15" s="34" t="s">
        <v>67</v>
      </c>
      <c r="H15" s="35" t="s">
        <v>68</v>
      </c>
      <c r="I15" s="36">
        <v>2</v>
      </c>
      <c r="J15" s="37"/>
      <c r="K15" s="37"/>
      <c r="L15" s="37"/>
      <c r="M15" s="38" t="s">
        <v>69</v>
      </c>
      <c r="N15" s="39"/>
      <c r="O15" s="40">
        <v>800</v>
      </c>
      <c r="P15" s="37">
        <f t="shared" si="0"/>
        <v>1600</v>
      </c>
      <c r="Q15" s="41" t="s">
        <v>37</v>
      </c>
      <c r="R15" s="42">
        <f t="shared" si="1"/>
        <v>0</v>
      </c>
      <c r="S15" s="42">
        <f t="shared" si="2"/>
        <v>0</v>
      </c>
      <c r="T15" s="43">
        <f t="shared" si="3"/>
        <v>0</v>
      </c>
      <c r="U15" s="43">
        <f t="shared" si="3"/>
        <v>0</v>
      </c>
      <c r="V15" s="44">
        <f t="shared" si="16"/>
        <v>2</v>
      </c>
      <c r="W15" s="36">
        <f t="shared" si="4"/>
        <v>1600</v>
      </c>
      <c r="X15" s="36"/>
      <c r="Y15" s="36"/>
      <c r="Z15" s="36">
        <f t="shared" si="5"/>
        <v>0</v>
      </c>
      <c r="AA15" s="36">
        <f t="shared" si="6"/>
        <v>0</v>
      </c>
      <c r="AB15" s="36"/>
      <c r="AC15" s="36"/>
      <c r="AD15" s="36">
        <f t="shared" si="7"/>
        <v>0</v>
      </c>
      <c r="AE15" s="36">
        <f t="shared" si="8"/>
        <v>0</v>
      </c>
      <c r="AF15" s="36"/>
      <c r="AG15" s="36"/>
      <c r="AH15" s="36">
        <f t="shared" si="9"/>
        <v>0</v>
      </c>
      <c r="AI15" s="36">
        <f t="shared" si="10"/>
        <v>0</v>
      </c>
      <c r="AJ15" s="36"/>
      <c r="AK15" s="36"/>
      <c r="AL15" s="36">
        <f t="shared" si="11"/>
        <v>0</v>
      </c>
      <c r="AM15" s="36">
        <f t="shared" si="12"/>
        <v>0</v>
      </c>
      <c r="AN15" s="36"/>
      <c r="AO15" s="36"/>
      <c r="AP15" s="36">
        <f t="shared" si="13"/>
        <v>0</v>
      </c>
      <c r="AQ15" s="36">
        <f t="shared" si="14"/>
        <v>0</v>
      </c>
    </row>
    <row r="16" spans="1:45" x14ac:dyDescent="0.55000000000000004">
      <c r="A16" s="30">
        <f t="shared" si="15"/>
        <v>13</v>
      </c>
      <c r="B16" s="31">
        <v>45615</v>
      </c>
      <c r="C16" s="45"/>
      <c r="D16" s="33">
        <v>1</v>
      </c>
      <c r="E16" s="33"/>
      <c r="F16" s="33"/>
      <c r="G16" s="34" t="s">
        <v>70</v>
      </c>
      <c r="H16" s="37" t="s">
        <v>71</v>
      </c>
      <c r="I16" s="36">
        <v>1</v>
      </c>
      <c r="J16" s="37" t="s">
        <v>54</v>
      </c>
      <c r="K16" s="37"/>
      <c r="L16" s="37"/>
      <c r="M16" s="38" t="s">
        <v>72</v>
      </c>
      <c r="N16" s="39" t="s">
        <v>41</v>
      </c>
      <c r="O16" s="40">
        <v>243.63</v>
      </c>
      <c r="P16" s="37">
        <f t="shared" si="0"/>
        <v>243.63</v>
      </c>
      <c r="Q16" s="41"/>
      <c r="R16" s="42">
        <f t="shared" si="1"/>
        <v>0</v>
      </c>
      <c r="S16" s="42">
        <f t="shared" si="2"/>
        <v>0</v>
      </c>
      <c r="T16" s="43">
        <f t="shared" si="3"/>
        <v>0</v>
      </c>
      <c r="U16" s="43">
        <f t="shared" si="3"/>
        <v>0</v>
      </c>
      <c r="V16" s="44">
        <f t="shared" si="16"/>
        <v>1</v>
      </c>
      <c r="W16" s="36">
        <f t="shared" si="4"/>
        <v>243.63</v>
      </c>
      <c r="X16" s="36"/>
      <c r="Y16" s="36"/>
      <c r="Z16" s="36">
        <f t="shared" si="5"/>
        <v>0</v>
      </c>
      <c r="AA16" s="36">
        <f t="shared" si="6"/>
        <v>0</v>
      </c>
      <c r="AB16" s="36"/>
      <c r="AC16" s="36"/>
      <c r="AD16" s="36">
        <f t="shared" si="7"/>
        <v>0</v>
      </c>
      <c r="AE16" s="36">
        <f t="shared" si="8"/>
        <v>0</v>
      </c>
      <c r="AF16" s="36"/>
      <c r="AG16" s="36"/>
      <c r="AH16" s="36">
        <f t="shared" si="9"/>
        <v>0</v>
      </c>
      <c r="AI16" s="36">
        <f t="shared" si="10"/>
        <v>0</v>
      </c>
      <c r="AJ16" s="36"/>
      <c r="AK16" s="36"/>
      <c r="AL16" s="36">
        <f t="shared" si="11"/>
        <v>0</v>
      </c>
      <c r="AM16" s="36">
        <f t="shared" si="12"/>
        <v>0</v>
      </c>
      <c r="AN16" s="36"/>
      <c r="AO16" s="36"/>
      <c r="AP16" s="36">
        <f t="shared" si="13"/>
        <v>0</v>
      </c>
      <c r="AQ16" s="36">
        <f t="shared" si="14"/>
        <v>0</v>
      </c>
    </row>
    <row r="17" spans="1:43" x14ac:dyDescent="0.55000000000000004">
      <c r="A17" s="30">
        <f t="shared" si="15"/>
        <v>14</v>
      </c>
      <c r="B17" s="31">
        <v>45658</v>
      </c>
      <c r="C17" s="45"/>
      <c r="D17" s="33">
        <v>2</v>
      </c>
      <c r="E17" s="33"/>
      <c r="F17" s="33"/>
      <c r="G17" s="34" t="s">
        <v>73</v>
      </c>
      <c r="H17" s="37" t="s">
        <v>74</v>
      </c>
      <c r="I17" s="36">
        <v>2</v>
      </c>
      <c r="J17" s="37"/>
      <c r="K17" s="37"/>
      <c r="L17" s="37"/>
      <c r="M17" s="38" t="s">
        <v>44</v>
      </c>
      <c r="N17" s="39" t="s">
        <v>49</v>
      </c>
      <c r="O17" s="40">
        <v>7.79</v>
      </c>
      <c r="P17" s="37">
        <f t="shared" si="0"/>
        <v>15.58</v>
      </c>
      <c r="Q17" s="41"/>
      <c r="R17" s="42">
        <f t="shared" si="1"/>
        <v>0</v>
      </c>
      <c r="S17" s="42">
        <f t="shared" si="2"/>
        <v>0</v>
      </c>
      <c r="T17" s="43">
        <f t="shared" si="3"/>
        <v>0</v>
      </c>
      <c r="U17" s="43">
        <f t="shared" si="3"/>
        <v>0</v>
      </c>
      <c r="V17" s="44">
        <f t="shared" si="16"/>
        <v>2</v>
      </c>
      <c r="W17" s="36">
        <f t="shared" si="4"/>
        <v>15.58</v>
      </c>
      <c r="X17" s="36"/>
      <c r="Y17" s="36"/>
      <c r="Z17" s="36">
        <f t="shared" si="5"/>
        <v>0</v>
      </c>
      <c r="AA17" s="36">
        <f t="shared" si="6"/>
        <v>0</v>
      </c>
      <c r="AB17" s="36"/>
      <c r="AC17" s="36"/>
      <c r="AD17" s="36">
        <f t="shared" si="7"/>
        <v>0</v>
      </c>
      <c r="AE17" s="36">
        <f t="shared" si="8"/>
        <v>0</v>
      </c>
      <c r="AF17" s="36"/>
      <c r="AG17" s="36"/>
      <c r="AH17" s="36">
        <f t="shared" si="9"/>
        <v>0</v>
      </c>
      <c r="AI17" s="36">
        <f t="shared" si="10"/>
        <v>0</v>
      </c>
      <c r="AJ17" s="36"/>
      <c r="AK17" s="36"/>
      <c r="AL17" s="36">
        <f t="shared" si="11"/>
        <v>0</v>
      </c>
      <c r="AM17" s="36">
        <f t="shared" si="12"/>
        <v>0</v>
      </c>
      <c r="AN17" s="36"/>
      <c r="AO17" s="36"/>
      <c r="AP17" s="36">
        <f t="shared" si="13"/>
        <v>0</v>
      </c>
      <c r="AQ17" s="36">
        <f t="shared" si="14"/>
        <v>0</v>
      </c>
    </row>
    <row r="18" spans="1:43" x14ac:dyDescent="0.55000000000000004">
      <c r="A18" s="30">
        <f t="shared" si="15"/>
        <v>15</v>
      </c>
      <c r="B18" s="31">
        <v>45753</v>
      </c>
      <c r="C18" s="45"/>
      <c r="D18" s="33">
        <v>1</v>
      </c>
      <c r="E18" s="33"/>
      <c r="F18" s="33"/>
      <c r="G18" s="49" t="s">
        <v>75</v>
      </c>
      <c r="H18" s="37" t="s">
        <v>76</v>
      </c>
      <c r="I18" s="36">
        <v>0</v>
      </c>
      <c r="J18" s="37"/>
      <c r="K18" s="37"/>
      <c r="L18" s="37"/>
      <c r="M18" s="38" t="s">
        <v>77</v>
      </c>
      <c r="N18" s="39"/>
      <c r="O18" s="40">
        <v>813.91</v>
      </c>
      <c r="P18" s="37">
        <f t="shared" si="0"/>
        <v>0</v>
      </c>
      <c r="Q18" s="41"/>
      <c r="R18" s="42">
        <f t="shared" si="1"/>
        <v>0</v>
      </c>
      <c r="S18" s="42">
        <f t="shared" si="2"/>
        <v>0</v>
      </c>
      <c r="T18" s="43">
        <f t="shared" si="3"/>
        <v>0</v>
      </c>
      <c r="U18" s="43">
        <f t="shared" si="3"/>
        <v>0</v>
      </c>
      <c r="V18" s="44">
        <f t="shared" si="16"/>
        <v>0</v>
      </c>
      <c r="W18" s="36">
        <f t="shared" si="4"/>
        <v>0</v>
      </c>
      <c r="X18" s="36"/>
      <c r="Y18" s="36"/>
      <c r="Z18" s="36">
        <f t="shared" si="5"/>
        <v>0</v>
      </c>
      <c r="AA18" s="36">
        <f t="shared" si="6"/>
        <v>0</v>
      </c>
      <c r="AB18" s="36"/>
      <c r="AC18" s="36"/>
      <c r="AD18" s="36">
        <f t="shared" si="7"/>
        <v>0</v>
      </c>
      <c r="AE18" s="36">
        <f t="shared" si="8"/>
        <v>0</v>
      </c>
      <c r="AF18" s="36"/>
      <c r="AG18" s="36"/>
      <c r="AH18" s="36">
        <f t="shared" si="9"/>
        <v>0</v>
      </c>
      <c r="AI18" s="36">
        <f t="shared" si="10"/>
        <v>0</v>
      </c>
      <c r="AJ18" s="36"/>
      <c r="AK18" s="36"/>
      <c r="AL18" s="36">
        <f t="shared" si="11"/>
        <v>0</v>
      </c>
      <c r="AM18" s="36">
        <f t="shared" si="12"/>
        <v>0</v>
      </c>
      <c r="AN18" s="36"/>
      <c r="AO18" s="36"/>
      <c r="AP18" s="36">
        <f t="shared" si="13"/>
        <v>0</v>
      </c>
      <c r="AQ18" s="36">
        <f t="shared" si="14"/>
        <v>0</v>
      </c>
    </row>
    <row r="19" spans="1:43" x14ac:dyDescent="0.55000000000000004">
      <c r="A19" s="30">
        <f t="shared" si="15"/>
        <v>16</v>
      </c>
      <c r="B19" s="31">
        <v>45778</v>
      </c>
      <c r="C19" s="45"/>
      <c r="D19" s="33">
        <v>6</v>
      </c>
      <c r="E19" s="33"/>
      <c r="F19" s="33"/>
      <c r="G19" s="34" t="s">
        <v>78</v>
      </c>
      <c r="H19" s="37" t="s">
        <v>79</v>
      </c>
      <c r="I19" s="36">
        <v>0</v>
      </c>
      <c r="J19" s="37" t="s">
        <v>80</v>
      </c>
      <c r="K19" s="37"/>
      <c r="L19" s="37"/>
      <c r="M19" s="38" t="s">
        <v>77</v>
      </c>
      <c r="N19" s="39"/>
      <c r="O19" s="40">
        <v>286.83</v>
      </c>
      <c r="P19" s="37">
        <f t="shared" si="0"/>
        <v>0</v>
      </c>
      <c r="Q19" s="41"/>
      <c r="R19" s="42">
        <f t="shared" si="1"/>
        <v>0</v>
      </c>
      <c r="S19" s="42">
        <f t="shared" si="2"/>
        <v>0</v>
      </c>
      <c r="T19" s="43">
        <f t="shared" si="3"/>
        <v>0</v>
      </c>
      <c r="U19" s="43">
        <f t="shared" si="3"/>
        <v>0</v>
      </c>
      <c r="V19" s="44">
        <f t="shared" si="16"/>
        <v>0</v>
      </c>
      <c r="W19" s="36">
        <f t="shared" si="4"/>
        <v>0</v>
      </c>
      <c r="X19" s="36"/>
      <c r="Y19" s="36"/>
      <c r="Z19" s="36">
        <f t="shared" si="5"/>
        <v>0</v>
      </c>
      <c r="AA19" s="36">
        <f t="shared" si="6"/>
        <v>0</v>
      </c>
      <c r="AB19" s="36"/>
      <c r="AC19" s="36"/>
      <c r="AD19" s="36">
        <f t="shared" si="7"/>
        <v>0</v>
      </c>
      <c r="AE19" s="36">
        <f t="shared" si="8"/>
        <v>0</v>
      </c>
      <c r="AF19" s="36"/>
      <c r="AG19" s="36"/>
      <c r="AH19" s="36">
        <f t="shared" si="9"/>
        <v>0</v>
      </c>
      <c r="AI19" s="36">
        <f t="shared" si="10"/>
        <v>0</v>
      </c>
      <c r="AJ19" s="36"/>
      <c r="AK19" s="36"/>
      <c r="AL19" s="36">
        <f t="shared" si="11"/>
        <v>0</v>
      </c>
      <c r="AM19" s="36">
        <f t="shared" si="12"/>
        <v>0</v>
      </c>
      <c r="AN19" s="36"/>
      <c r="AO19" s="36"/>
      <c r="AP19" s="36">
        <f t="shared" si="13"/>
        <v>0</v>
      </c>
      <c r="AQ19" s="36">
        <f t="shared" si="14"/>
        <v>0</v>
      </c>
    </row>
    <row r="20" spans="1:43" x14ac:dyDescent="0.55000000000000004">
      <c r="A20" s="30">
        <f t="shared" si="15"/>
        <v>17</v>
      </c>
      <c r="B20" s="31">
        <v>45717</v>
      </c>
      <c r="C20" s="45"/>
      <c r="D20" s="33">
        <v>1</v>
      </c>
      <c r="E20" s="33"/>
      <c r="F20" s="33"/>
      <c r="G20" s="46" t="s">
        <v>81</v>
      </c>
      <c r="H20" s="50" t="s">
        <v>82</v>
      </c>
      <c r="I20" s="36">
        <v>0</v>
      </c>
      <c r="J20" s="37"/>
      <c r="K20" s="37"/>
      <c r="L20" s="37"/>
      <c r="M20" s="38" t="s">
        <v>83</v>
      </c>
      <c r="N20" s="39" t="s">
        <v>49</v>
      </c>
      <c r="O20" s="48">
        <v>75</v>
      </c>
      <c r="P20" s="37">
        <f t="shared" si="0"/>
        <v>0</v>
      </c>
      <c r="Q20" s="41"/>
      <c r="R20" s="42"/>
      <c r="S20" s="42"/>
      <c r="T20" s="43">
        <f t="shared" si="3"/>
        <v>0</v>
      </c>
      <c r="U20" s="43">
        <f t="shared" si="3"/>
        <v>0</v>
      </c>
      <c r="V20" s="44">
        <f t="shared" si="16"/>
        <v>0</v>
      </c>
      <c r="W20" s="36">
        <f t="shared" si="4"/>
        <v>0</v>
      </c>
      <c r="X20" s="36"/>
      <c r="Y20" s="36"/>
      <c r="Z20" s="36">
        <f t="shared" si="5"/>
        <v>0</v>
      </c>
      <c r="AA20" s="36">
        <f t="shared" si="6"/>
        <v>0</v>
      </c>
      <c r="AB20" s="36"/>
      <c r="AC20" s="36"/>
      <c r="AD20" s="36">
        <f t="shared" si="7"/>
        <v>0</v>
      </c>
      <c r="AE20" s="36">
        <f t="shared" si="8"/>
        <v>0</v>
      </c>
      <c r="AF20" s="36"/>
      <c r="AG20" s="36"/>
      <c r="AH20" s="36">
        <f t="shared" si="9"/>
        <v>0</v>
      </c>
      <c r="AI20" s="36">
        <f t="shared" si="10"/>
        <v>0</v>
      </c>
      <c r="AJ20" s="36"/>
      <c r="AK20" s="36"/>
      <c r="AL20" s="36">
        <f t="shared" si="11"/>
        <v>0</v>
      </c>
      <c r="AM20" s="36">
        <f t="shared" si="12"/>
        <v>0</v>
      </c>
      <c r="AN20" s="36"/>
      <c r="AO20" s="36"/>
      <c r="AP20" s="36">
        <f t="shared" si="13"/>
        <v>0</v>
      </c>
      <c r="AQ20" s="36">
        <f t="shared" si="14"/>
        <v>0</v>
      </c>
    </row>
    <row r="21" spans="1:43" x14ac:dyDescent="0.55000000000000004">
      <c r="A21" s="30">
        <f t="shared" si="15"/>
        <v>18</v>
      </c>
      <c r="B21" s="31">
        <v>44896</v>
      </c>
      <c r="C21" s="45"/>
      <c r="D21" s="33">
        <v>1</v>
      </c>
      <c r="E21" s="33"/>
      <c r="F21" s="33"/>
      <c r="G21" s="34">
        <v>3202510</v>
      </c>
      <c r="H21" s="35" t="s">
        <v>84</v>
      </c>
      <c r="I21" s="36">
        <v>1</v>
      </c>
      <c r="J21" s="37" t="s">
        <v>80</v>
      </c>
      <c r="K21" s="37"/>
      <c r="L21" s="37"/>
      <c r="M21" s="38" t="s">
        <v>85</v>
      </c>
      <c r="N21" s="39" t="s">
        <v>49</v>
      </c>
      <c r="O21" s="40">
        <v>21.9</v>
      </c>
      <c r="P21" s="37">
        <f t="shared" si="0"/>
        <v>21.9</v>
      </c>
      <c r="Q21" s="41" t="s">
        <v>54</v>
      </c>
      <c r="R21" s="42">
        <f>T21*O21</f>
        <v>0</v>
      </c>
      <c r="S21" s="42">
        <f t="shared" ref="S21:S84" si="17">U21*O21</f>
        <v>0</v>
      </c>
      <c r="T21" s="43">
        <f t="shared" si="3"/>
        <v>0</v>
      </c>
      <c r="U21" s="43">
        <f t="shared" si="3"/>
        <v>0</v>
      </c>
      <c r="V21" s="44">
        <f t="shared" si="16"/>
        <v>1</v>
      </c>
      <c r="W21" s="36">
        <f t="shared" si="4"/>
        <v>21.9</v>
      </c>
      <c r="X21" s="36"/>
      <c r="Y21" s="36"/>
      <c r="Z21" s="36">
        <f t="shared" si="5"/>
        <v>0</v>
      </c>
      <c r="AA21" s="36">
        <f t="shared" si="6"/>
        <v>0</v>
      </c>
      <c r="AB21" s="36"/>
      <c r="AC21" s="36"/>
      <c r="AD21" s="36">
        <f t="shared" si="7"/>
        <v>0</v>
      </c>
      <c r="AE21" s="36">
        <f t="shared" si="8"/>
        <v>0</v>
      </c>
      <c r="AF21" s="36"/>
      <c r="AG21" s="36"/>
      <c r="AH21" s="36">
        <f t="shared" si="9"/>
        <v>0</v>
      </c>
      <c r="AI21" s="36">
        <f t="shared" si="10"/>
        <v>0</v>
      </c>
      <c r="AJ21" s="36"/>
      <c r="AK21" s="36"/>
      <c r="AL21" s="36">
        <f t="shared" si="11"/>
        <v>0</v>
      </c>
      <c r="AM21" s="36">
        <f t="shared" si="12"/>
        <v>0</v>
      </c>
      <c r="AN21" s="36"/>
      <c r="AO21" s="36"/>
      <c r="AP21" s="36">
        <f t="shared" si="13"/>
        <v>0</v>
      </c>
      <c r="AQ21" s="36">
        <f t="shared" si="14"/>
        <v>0</v>
      </c>
    </row>
    <row r="22" spans="1:43" x14ac:dyDescent="0.55000000000000004">
      <c r="A22" s="30">
        <f t="shared" si="15"/>
        <v>19</v>
      </c>
      <c r="B22" s="31">
        <v>45778</v>
      </c>
      <c r="C22" s="45"/>
      <c r="D22" s="33">
        <v>2</v>
      </c>
      <c r="E22" s="45">
        <v>45778</v>
      </c>
      <c r="F22" s="33">
        <v>1</v>
      </c>
      <c r="G22" s="34">
        <v>2297188</v>
      </c>
      <c r="H22" s="37" t="s">
        <v>50</v>
      </c>
      <c r="I22" s="36">
        <v>3</v>
      </c>
      <c r="J22" s="37" t="s">
        <v>86</v>
      </c>
      <c r="K22" s="37"/>
      <c r="L22" s="37"/>
      <c r="M22" s="38" t="s">
        <v>51</v>
      </c>
      <c r="N22" s="39"/>
      <c r="O22" s="40">
        <v>374.84</v>
      </c>
      <c r="P22" s="37">
        <f t="shared" si="0"/>
        <v>1124.52</v>
      </c>
      <c r="Q22" s="41"/>
      <c r="R22" s="42">
        <f>T22*O22</f>
        <v>0</v>
      </c>
      <c r="S22" s="42">
        <f t="shared" si="17"/>
        <v>0</v>
      </c>
      <c r="T22" s="43">
        <f t="shared" si="3"/>
        <v>0</v>
      </c>
      <c r="U22" s="43">
        <f t="shared" si="3"/>
        <v>0</v>
      </c>
      <c r="V22" s="44">
        <f t="shared" si="16"/>
        <v>3</v>
      </c>
      <c r="W22" s="36">
        <f t="shared" si="4"/>
        <v>1124.52</v>
      </c>
      <c r="X22" s="36"/>
      <c r="Y22" s="36"/>
      <c r="Z22" s="36">
        <f t="shared" si="5"/>
        <v>0</v>
      </c>
      <c r="AA22" s="36">
        <f t="shared" si="6"/>
        <v>0</v>
      </c>
      <c r="AB22" s="36"/>
      <c r="AC22" s="36"/>
      <c r="AD22" s="36">
        <f t="shared" si="7"/>
        <v>0</v>
      </c>
      <c r="AE22" s="36">
        <f t="shared" si="8"/>
        <v>0</v>
      </c>
      <c r="AF22" s="36"/>
      <c r="AG22" s="36"/>
      <c r="AH22" s="36">
        <f t="shared" si="9"/>
        <v>0</v>
      </c>
      <c r="AI22" s="36">
        <f t="shared" si="10"/>
        <v>0</v>
      </c>
      <c r="AJ22" s="36"/>
      <c r="AK22" s="36"/>
      <c r="AL22" s="36">
        <f t="shared" si="11"/>
        <v>0</v>
      </c>
      <c r="AM22" s="36">
        <f t="shared" si="12"/>
        <v>0</v>
      </c>
      <c r="AN22" s="36"/>
      <c r="AO22" s="36"/>
      <c r="AP22" s="36">
        <f t="shared" si="13"/>
        <v>0</v>
      </c>
      <c r="AQ22" s="36">
        <f t="shared" si="14"/>
        <v>0</v>
      </c>
    </row>
    <row r="23" spans="1:43" x14ac:dyDescent="0.55000000000000004">
      <c r="A23" s="30">
        <f t="shared" si="15"/>
        <v>20</v>
      </c>
      <c r="B23" s="31">
        <v>44896</v>
      </c>
      <c r="C23" s="45"/>
      <c r="D23" s="33">
        <v>1</v>
      </c>
      <c r="E23" s="33"/>
      <c r="F23" s="33"/>
      <c r="G23" s="51" t="s">
        <v>87</v>
      </c>
      <c r="H23" s="52" t="s">
        <v>88</v>
      </c>
      <c r="I23" s="36">
        <v>1</v>
      </c>
      <c r="J23" s="37" t="s">
        <v>54</v>
      </c>
      <c r="K23" s="37"/>
      <c r="L23" s="37"/>
      <c r="M23" s="38" t="s">
        <v>85</v>
      </c>
      <c r="N23" s="39" t="s">
        <v>41</v>
      </c>
      <c r="O23" s="40">
        <v>210.46</v>
      </c>
      <c r="P23" s="37">
        <f t="shared" si="0"/>
        <v>210.46</v>
      </c>
      <c r="Q23" s="41"/>
      <c r="R23" s="42">
        <f>T23*O23</f>
        <v>0</v>
      </c>
      <c r="S23" s="42">
        <f t="shared" si="17"/>
        <v>0</v>
      </c>
      <c r="T23" s="43">
        <f t="shared" si="3"/>
        <v>0</v>
      </c>
      <c r="U23" s="43">
        <f t="shared" si="3"/>
        <v>0</v>
      </c>
      <c r="V23" s="44">
        <f t="shared" si="16"/>
        <v>1</v>
      </c>
      <c r="W23" s="36">
        <f t="shared" si="4"/>
        <v>210.46</v>
      </c>
      <c r="X23" s="36"/>
      <c r="Y23" s="36"/>
      <c r="Z23" s="36">
        <f t="shared" si="5"/>
        <v>0</v>
      </c>
      <c r="AA23" s="36">
        <f t="shared" si="6"/>
        <v>0</v>
      </c>
      <c r="AB23" s="36"/>
      <c r="AC23" s="36"/>
      <c r="AD23" s="36">
        <f t="shared" si="7"/>
        <v>0</v>
      </c>
      <c r="AE23" s="36">
        <f t="shared" si="8"/>
        <v>0</v>
      </c>
      <c r="AF23" s="36"/>
      <c r="AG23" s="36"/>
      <c r="AH23" s="36">
        <f t="shared" si="9"/>
        <v>0</v>
      </c>
      <c r="AI23" s="36">
        <f t="shared" si="10"/>
        <v>0</v>
      </c>
      <c r="AJ23" s="36"/>
      <c r="AK23" s="36"/>
      <c r="AL23" s="36">
        <f t="shared" si="11"/>
        <v>0</v>
      </c>
      <c r="AM23" s="36">
        <f t="shared" si="12"/>
        <v>0</v>
      </c>
      <c r="AN23" s="36"/>
      <c r="AO23" s="36"/>
      <c r="AP23" s="36">
        <f t="shared" si="13"/>
        <v>0</v>
      </c>
      <c r="AQ23" s="36">
        <f t="shared" si="14"/>
        <v>0</v>
      </c>
    </row>
    <row r="24" spans="1:43" x14ac:dyDescent="0.55000000000000004">
      <c r="A24" s="30">
        <f t="shared" si="15"/>
        <v>21</v>
      </c>
      <c r="B24" s="31">
        <v>44896</v>
      </c>
      <c r="C24" s="45"/>
      <c r="D24" s="33">
        <v>4</v>
      </c>
      <c r="E24" s="33"/>
      <c r="F24" s="33"/>
      <c r="G24" s="34" t="s">
        <v>89</v>
      </c>
      <c r="H24" s="35" t="s">
        <v>90</v>
      </c>
      <c r="I24" s="36">
        <v>4</v>
      </c>
      <c r="J24" s="37" t="s">
        <v>91</v>
      </c>
      <c r="K24" s="37" t="s">
        <v>92</v>
      </c>
      <c r="L24" s="37" t="s">
        <v>92</v>
      </c>
      <c r="M24" s="38" t="s">
        <v>35</v>
      </c>
      <c r="N24" s="39" t="s">
        <v>36</v>
      </c>
      <c r="O24" s="40">
        <v>46.9</v>
      </c>
      <c r="P24" s="37">
        <f t="shared" si="0"/>
        <v>187.6</v>
      </c>
      <c r="Q24" s="41" t="s">
        <v>93</v>
      </c>
      <c r="R24" s="42">
        <f>T24*O24</f>
        <v>0</v>
      </c>
      <c r="S24" s="42">
        <f t="shared" si="17"/>
        <v>0</v>
      </c>
      <c r="T24" s="43">
        <f t="shared" si="3"/>
        <v>0</v>
      </c>
      <c r="U24" s="43">
        <f t="shared" si="3"/>
        <v>0</v>
      </c>
      <c r="V24" s="44">
        <f t="shared" si="16"/>
        <v>4</v>
      </c>
      <c r="W24" s="36">
        <f t="shared" si="4"/>
        <v>187.6</v>
      </c>
      <c r="X24" s="36"/>
      <c r="Y24" s="36"/>
      <c r="Z24" s="36">
        <f t="shared" si="5"/>
        <v>0</v>
      </c>
      <c r="AA24" s="36">
        <f t="shared" si="6"/>
        <v>0</v>
      </c>
      <c r="AB24" s="36"/>
      <c r="AC24" s="36"/>
      <c r="AD24" s="36">
        <f t="shared" si="7"/>
        <v>0</v>
      </c>
      <c r="AE24" s="36">
        <f t="shared" si="8"/>
        <v>0</v>
      </c>
      <c r="AF24" s="36"/>
      <c r="AG24" s="36"/>
      <c r="AH24" s="36">
        <f t="shared" si="9"/>
        <v>0</v>
      </c>
      <c r="AI24" s="36">
        <f t="shared" si="10"/>
        <v>0</v>
      </c>
      <c r="AJ24" s="36"/>
      <c r="AK24" s="36"/>
      <c r="AL24" s="36">
        <f t="shared" si="11"/>
        <v>0</v>
      </c>
      <c r="AM24" s="36">
        <f t="shared" si="12"/>
        <v>0</v>
      </c>
      <c r="AN24" s="36"/>
      <c r="AO24" s="36"/>
      <c r="AP24" s="36">
        <f t="shared" si="13"/>
        <v>0</v>
      </c>
      <c r="AQ24" s="36">
        <f t="shared" si="14"/>
        <v>0</v>
      </c>
    </row>
    <row r="25" spans="1:43" x14ac:dyDescent="0.55000000000000004">
      <c r="A25" s="30">
        <f t="shared" si="15"/>
        <v>22</v>
      </c>
      <c r="B25" s="31">
        <v>45717</v>
      </c>
      <c r="C25" s="45"/>
      <c r="D25" s="33">
        <v>1</v>
      </c>
      <c r="E25" s="33"/>
      <c r="F25" s="33"/>
      <c r="G25" s="34" t="s">
        <v>94</v>
      </c>
      <c r="H25" s="35" t="s">
        <v>95</v>
      </c>
      <c r="I25" s="36">
        <v>1</v>
      </c>
      <c r="J25" s="37" t="s">
        <v>40</v>
      </c>
      <c r="K25" s="37" t="s">
        <v>96</v>
      </c>
      <c r="L25" s="37" t="s">
        <v>97</v>
      </c>
      <c r="M25" s="38" t="s">
        <v>35</v>
      </c>
      <c r="N25" s="39" t="s">
        <v>36</v>
      </c>
      <c r="O25" s="48">
        <v>37</v>
      </c>
      <c r="P25" s="37">
        <f t="shared" si="0"/>
        <v>37</v>
      </c>
      <c r="Q25" s="41" t="s">
        <v>98</v>
      </c>
      <c r="R25" s="42" t="s">
        <v>99</v>
      </c>
      <c r="S25" s="42">
        <f t="shared" si="17"/>
        <v>0</v>
      </c>
      <c r="T25" s="43">
        <f t="shared" si="3"/>
        <v>0</v>
      </c>
      <c r="U25" s="43">
        <f t="shared" si="3"/>
        <v>0</v>
      </c>
      <c r="V25" s="44">
        <f t="shared" si="16"/>
        <v>1</v>
      </c>
      <c r="W25" s="36">
        <f t="shared" si="4"/>
        <v>37</v>
      </c>
      <c r="X25" s="36"/>
      <c r="Y25" s="36"/>
      <c r="Z25" s="36">
        <f t="shared" si="5"/>
        <v>0</v>
      </c>
      <c r="AA25" s="36">
        <f t="shared" si="6"/>
        <v>0</v>
      </c>
      <c r="AB25" s="36"/>
      <c r="AC25" s="36"/>
      <c r="AD25" s="36">
        <f t="shared" si="7"/>
        <v>0</v>
      </c>
      <c r="AE25" s="36">
        <f t="shared" si="8"/>
        <v>0</v>
      </c>
      <c r="AF25" s="36"/>
      <c r="AG25" s="36"/>
      <c r="AH25" s="36">
        <f t="shared" si="9"/>
        <v>0</v>
      </c>
      <c r="AI25" s="36">
        <f t="shared" si="10"/>
        <v>0</v>
      </c>
      <c r="AJ25" s="36"/>
      <c r="AK25" s="36"/>
      <c r="AL25" s="36">
        <f t="shared" si="11"/>
        <v>0</v>
      </c>
      <c r="AM25" s="36">
        <f t="shared" si="12"/>
        <v>0</v>
      </c>
      <c r="AN25" s="36"/>
      <c r="AO25" s="36"/>
      <c r="AP25" s="36">
        <f t="shared" si="13"/>
        <v>0</v>
      </c>
      <c r="AQ25" s="36">
        <f t="shared" si="14"/>
        <v>0</v>
      </c>
    </row>
    <row r="26" spans="1:43" x14ac:dyDescent="0.55000000000000004">
      <c r="A26" s="30">
        <f t="shared" si="15"/>
        <v>23</v>
      </c>
      <c r="B26" s="31">
        <v>44896</v>
      </c>
      <c r="C26" s="45"/>
      <c r="D26" s="33">
        <v>1</v>
      </c>
      <c r="E26" s="33"/>
      <c r="F26" s="33"/>
      <c r="G26" s="34" t="s">
        <v>100</v>
      </c>
      <c r="H26" s="35" t="s">
        <v>101</v>
      </c>
      <c r="I26" s="36">
        <v>1</v>
      </c>
      <c r="J26" s="37" t="s">
        <v>54</v>
      </c>
      <c r="K26" s="37"/>
      <c r="L26" s="37"/>
      <c r="M26" s="38" t="s">
        <v>102</v>
      </c>
      <c r="N26" s="39" t="s">
        <v>49</v>
      </c>
      <c r="O26" s="40">
        <v>150.93</v>
      </c>
      <c r="P26" s="37">
        <f t="shared" si="0"/>
        <v>150.93</v>
      </c>
      <c r="Q26" s="41"/>
      <c r="R26" s="42">
        <f t="shared" ref="R26:R89" si="18">T26*O26</f>
        <v>0</v>
      </c>
      <c r="S26" s="42">
        <f t="shared" si="17"/>
        <v>0</v>
      </c>
      <c r="T26" s="43">
        <f t="shared" si="3"/>
        <v>0</v>
      </c>
      <c r="U26" s="43">
        <f t="shared" si="3"/>
        <v>0</v>
      </c>
      <c r="V26" s="44">
        <f t="shared" si="16"/>
        <v>1</v>
      </c>
      <c r="W26" s="36">
        <f t="shared" si="4"/>
        <v>150.93</v>
      </c>
      <c r="X26" s="36"/>
      <c r="Y26" s="36"/>
      <c r="Z26" s="36">
        <f t="shared" si="5"/>
        <v>0</v>
      </c>
      <c r="AA26" s="36">
        <f t="shared" si="6"/>
        <v>0</v>
      </c>
      <c r="AB26" s="36"/>
      <c r="AC26" s="36"/>
      <c r="AD26" s="36">
        <f t="shared" si="7"/>
        <v>0</v>
      </c>
      <c r="AE26" s="36">
        <f t="shared" si="8"/>
        <v>0</v>
      </c>
      <c r="AF26" s="36"/>
      <c r="AG26" s="36"/>
      <c r="AH26" s="36">
        <f t="shared" si="9"/>
        <v>0</v>
      </c>
      <c r="AI26" s="36">
        <f t="shared" si="10"/>
        <v>0</v>
      </c>
      <c r="AJ26" s="36"/>
      <c r="AK26" s="36"/>
      <c r="AL26" s="36">
        <f t="shared" si="11"/>
        <v>0</v>
      </c>
      <c r="AM26" s="36">
        <f t="shared" si="12"/>
        <v>0</v>
      </c>
      <c r="AN26" s="36"/>
      <c r="AO26" s="36"/>
      <c r="AP26" s="36">
        <f t="shared" si="13"/>
        <v>0</v>
      </c>
      <c r="AQ26" s="36">
        <f t="shared" si="14"/>
        <v>0</v>
      </c>
    </row>
    <row r="27" spans="1:43" x14ac:dyDescent="0.55000000000000004">
      <c r="A27" s="30">
        <f t="shared" si="15"/>
        <v>24</v>
      </c>
      <c r="B27" s="31">
        <v>44896</v>
      </c>
      <c r="C27" s="45"/>
      <c r="D27" s="33">
        <v>1</v>
      </c>
      <c r="E27" s="33"/>
      <c r="F27" s="33"/>
      <c r="G27" s="34" t="s">
        <v>103</v>
      </c>
      <c r="H27" s="35" t="s">
        <v>104</v>
      </c>
      <c r="I27" s="36">
        <v>1</v>
      </c>
      <c r="J27" s="37" t="s">
        <v>54</v>
      </c>
      <c r="K27" s="37"/>
      <c r="L27" s="37"/>
      <c r="M27" s="38" t="s">
        <v>102</v>
      </c>
      <c r="N27" s="39" t="s">
        <v>49</v>
      </c>
      <c r="O27" s="40">
        <v>35.869999999999997</v>
      </c>
      <c r="P27" s="37">
        <f t="shared" si="0"/>
        <v>35.869999999999997</v>
      </c>
      <c r="Q27" s="41"/>
      <c r="R27" s="42">
        <f t="shared" si="18"/>
        <v>0</v>
      </c>
      <c r="S27" s="42">
        <f t="shared" si="17"/>
        <v>0</v>
      </c>
      <c r="T27" s="43">
        <f t="shared" si="3"/>
        <v>0</v>
      </c>
      <c r="U27" s="43">
        <f t="shared" si="3"/>
        <v>0</v>
      </c>
      <c r="V27" s="44">
        <f t="shared" si="16"/>
        <v>1</v>
      </c>
      <c r="W27" s="36">
        <f t="shared" si="4"/>
        <v>35.869999999999997</v>
      </c>
      <c r="X27" s="36"/>
      <c r="Y27" s="36"/>
      <c r="Z27" s="36">
        <f t="shared" si="5"/>
        <v>0</v>
      </c>
      <c r="AA27" s="36">
        <f t="shared" si="6"/>
        <v>0</v>
      </c>
      <c r="AB27" s="36"/>
      <c r="AC27" s="36"/>
      <c r="AD27" s="36">
        <f t="shared" si="7"/>
        <v>0</v>
      </c>
      <c r="AE27" s="36">
        <f t="shared" si="8"/>
        <v>0</v>
      </c>
      <c r="AF27" s="36"/>
      <c r="AG27" s="36"/>
      <c r="AH27" s="36">
        <f t="shared" si="9"/>
        <v>0</v>
      </c>
      <c r="AI27" s="36">
        <f t="shared" si="10"/>
        <v>0</v>
      </c>
      <c r="AJ27" s="36"/>
      <c r="AK27" s="36"/>
      <c r="AL27" s="36">
        <f t="shared" si="11"/>
        <v>0</v>
      </c>
      <c r="AM27" s="36">
        <f t="shared" si="12"/>
        <v>0</v>
      </c>
      <c r="AN27" s="36"/>
      <c r="AO27" s="36"/>
      <c r="AP27" s="36">
        <f t="shared" si="13"/>
        <v>0</v>
      </c>
      <c r="AQ27" s="36">
        <f t="shared" si="14"/>
        <v>0</v>
      </c>
    </row>
    <row r="28" spans="1:43" x14ac:dyDescent="0.55000000000000004">
      <c r="A28" s="30">
        <f t="shared" si="15"/>
        <v>25</v>
      </c>
      <c r="B28" s="31">
        <v>45778</v>
      </c>
      <c r="C28" s="45"/>
      <c r="D28" s="33">
        <v>2</v>
      </c>
      <c r="E28" s="33"/>
      <c r="F28" s="33"/>
      <c r="G28" s="34" t="s">
        <v>105</v>
      </c>
      <c r="H28" s="35" t="s">
        <v>106</v>
      </c>
      <c r="I28" s="36">
        <v>2</v>
      </c>
      <c r="J28" s="37" t="s">
        <v>54</v>
      </c>
      <c r="K28" s="37"/>
      <c r="L28" s="37"/>
      <c r="M28" s="38" t="s">
        <v>102</v>
      </c>
      <c r="N28" s="39" t="s">
        <v>49</v>
      </c>
      <c r="O28" s="40">
        <v>7.8</v>
      </c>
      <c r="P28" s="37">
        <f t="shared" si="0"/>
        <v>15.6</v>
      </c>
      <c r="Q28" s="41" t="s">
        <v>37</v>
      </c>
      <c r="R28" s="42">
        <f t="shared" si="18"/>
        <v>0</v>
      </c>
      <c r="S28" s="42">
        <f t="shared" si="17"/>
        <v>0</v>
      </c>
      <c r="T28" s="43">
        <f t="shared" si="3"/>
        <v>0</v>
      </c>
      <c r="U28" s="43">
        <f t="shared" si="3"/>
        <v>0</v>
      </c>
      <c r="V28" s="44">
        <v>0</v>
      </c>
      <c r="W28" s="36">
        <f t="shared" si="4"/>
        <v>0</v>
      </c>
      <c r="X28" s="36"/>
      <c r="Y28" s="36"/>
      <c r="Z28" s="36">
        <f t="shared" si="5"/>
        <v>0</v>
      </c>
      <c r="AA28" s="36">
        <f t="shared" si="6"/>
        <v>0</v>
      </c>
      <c r="AB28" s="36"/>
      <c r="AC28" s="36"/>
      <c r="AD28" s="36">
        <f t="shared" si="7"/>
        <v>0</v>
      </c>
      <c r="AE28" s="36">
        <f t="shared" si="8"/>
        <v>0</v>
      </c>
      <c r="AF28" s="36"/>
      <c r="AG28" s="36"/>
      <c r="AH28" s="36">
        <f t="shared" si="9"/>
        <v>0</v>
      </c>
      <c r="AI28" s="36">
        <f t="shared" si="10"/>
        <v>0</v>
      </c>
      <c r="AJ28" s="36"/>
      <c r="AK28" s="36"/>
      <c r="AL28" s="36">
        <f t="shared" si="11"/>
        <v>0</v>
      </c>
      <c r="AM28" s="36">
        <f t="shared" si="12"/>
        <v>0</v>
      </c>
      <c r="AN28" s="36"/>
      <c r="AO28" s="36"/>
      <c r="AP28" s="36">
        <f t="shared" si="13"/>
        <v>0</v>
      </c>
      <c r="AQ28" s="36">
        <f t="shared" si="14"/>
        <v>0</v>
      </c>
    </row>
    <row r="29" spans="1:43" x14ac:dyDescent="0.55000000000000004">
      <c r="A29" s="30">
        <f t="shared" si="15"/>
        <v>26</v>
      </c>
      <c r="B29" s="31">
        <v>44896</v>
      </c>
      <c r="C29" s="45"/>
      <c r="D29" s="33">
        <v>1</v>
      </c>
      <c r="E29" s="33"/>
      <c r="F29" s="33"/>
      <c r="G29" s="51" t="s">
        <v>107</v>
      </c>
      <c r="H29" s="52" t="s">
        <v>108</v>
      </c>
      <c r="I29" s="36">
        <v>1</v>
      </c>
      <c r="J29" s="37" t="s">
        <v>54</v>
      </c>
      <c r="K29" s="37"/>
      <c r="L29" s="37"/>
      <c r="M29" s="38" t="s">
        <v>85</v>
      </c>
      <c r="N29" s="39" t="s">
        <v>49</v>
      </c>
      <c r="O29" s="40">
        <v>18.43</v>
      </c>
      <c r="P29" s="37">
        <f t="shared" si="0"/>
        <v>18.43</v>
      </c>
      <c r="Q29" s="41"/>
      <c r="R29" s="42">
        <f t="shared" si="18"/>
        <v>0</v>
      </c>
      <c r="S29" s="42">
        <f t="shared" si="17"/>
        <v>0</v>
      </c>
      <c r="T29" s="43">
        <f t="shared" si="3"/>
        <v>0</v>
      </c>
      <c r="U29" s="43">
        <f t="shared" si="3"/>
        <v>0</v>
      </c>
      <c r="V29" s="44">
        <f t="shared" si="16"/>
        <v>1</v>
      </c>
      <c r="W29" s="36">
        <f t="shared" si="4"/>
        <v>18.43</v>
      </c>
      <c r="X29" s="36"/>
      <c r="Y29" s="36"/>
      <c r="Z29" s="36">
        <f t="shared" si="5"/>
        <v>0</v>
      </c>
      <c r="AA29" s="36">
        <f t="shared" si="6"/>
        <v>0</v>
      </c>
      <c r="AB29" s="36"/>
      <c r="AC29" s="36"/>
      <c r="AD29" s="36">
        <f t="shared" si="7"/>
        <v>0</v>
      </c>
      <c r="AE29" s="36">
        <f t="shared" si="8"/>
        <v>0</v>
      </c>
      <c r="AF29" s="36"/>
      <c r="AG29" s="36"/>
      <c r="AH29" s="36">
        <f t="shared" si="9"/>
        <v>0</v>
      </c>
      <c r="AI29" s="36">
        <f t="shared" si="10"/>
        <v>0</v>
      </c>
      <c r="AJ29" s="36"/>
      <c r="AK29" s="36"/>
      <c r="AL29" s="36">
        <f t="shared" si="11"/>
        <v>0</v>
      </c>
      <c r="AM29" s="36">
        <f t="shared" si="12"/>
        <v>0</v>
      </c>
      <c r="AN29" s="36"/>
      <c r="AO29" s="36"/>
      <c r="AP29" s="36">
        <f t="shared" si="13"/>
        <v>0</v>
      </c>
      <c r="AQ29" s="36">
        <f t="shared" si="14"/>
        <v>0</v>
      </c>
    </row>
    <row r="30" spans="1:43" x14ac:dyDescent="0.55000000000000004">
      <c r="A30" s="30">
        <f t="shared" si="15"/>
        <v>27</v>
      </c>
      <c r="B30" s="31">
        <v>45413</v>
      </c>
      <c r="C30" s="45"/>
      <c r="D30" s="33">
        <v>1</v>
      </c>
      <c r="E30" s="33"/>
      <c r="F30" s="33"/>
      <c r="G30" s="49" t="s">
        <v>109</v>
      </c>
      <c r="H30" s="52" t="s">
        <v>110</v>
      </c>
      <c r="I30" s="36">
        <v>0</v>
      </c>
      <c r="J30" s="37" t="s">
        <v>54</v>
      </c>
      <c r="K30" s="37"/>
      <c r="L30" s="37"/>
      <c r="M30" s="38" t="s">
        <v>85</v>
      </c>
      <c r="N30" s="39" t="s">
        <v>41</v>
      </c>
      <c r="O30" s="40">
        <v>14.45</v>
      </c>
      <c r="P30" s="37">
        <f t="shared" si="0"/>
        <v>0</v>
      </c>
      <c r="Q30" s="41"/>
      <c r="R30" s="42">
        <f t="shared" si="18"/>
        <v>0</v>
      </c>
      <c r="S30" s="42">
        <f t="shared" si="17"/>
        <v>0</v>
      </c>
      <c r="T30" s="43">
        <f t="shared" si="3"/>
        <v>0</v>
      </c>
      <c r="U30" s="43">
        <f t="shared" si="3"/>
        <v>0</v>
      </c>
      <c r="V30" s="44">
        <f t="shared" si="16"/>
        <v>0</v>
      </c>
      <c r="W30" s="36">
        <f t="shared" si="4"/>
        <v>0</v>
      </c>
      <c r="X30" s="36"/>
      <c r="Y30" s="36"/>
      <c r="Z30" s="36">
        <f t="shared" si="5"/>
        <v>0</v>
      </c>
      <c r="AA30" s="36">
        <f t="shared" si="6"/>
        <v>0</v>
      </c>
      <c r="AB30" s="36"/>
      <c r="AC30" s="36"/>
      <c r="AD30" s="36">
        <f t="shared" si="7"/>
        <v>0</v>
      </c>
      <c r="AE30" s="36">
        <f t="shared" si="8"/>
        <v>0</v>
      </c>
      <c r="AF30" s="36"/>
      <c r="AG30" s="36"/>
      <c r="AH30" s="36">
        <f t="shared" si="9"/>
        <v>0</v>
      </c>
      <c r="AI30" s="36">
        <f t="shared" si="10"/>
        <v>0</v>
      </c>
      <c r="AJ30" s="36"/>
      <c r="AK30" s="36"/>
      <c r="AL30" s="36">
        <f t="shared" si="11"/>
        <v>0</v>
      </c>
      <c r="AM30" s="36">
        <f t="shared" si="12"/>
        <v>0</v>
      </c>
      <c r="AN30" s="36"/>
      <c r="AO30" s="36"/>
      <c r="AP30" s="36">
        <f t="shared" si="13"/>
        <v>0</v>
      </c>
      <c r="AQ30" s="36">
        <f t="shared" si="14"/>
        <v>0</v>
      </c>
    </row>
    <row r="31" spans="1:43" x14ac:dyDescent="0.55000000000000004">
      <c r="A31" s="30">
        <f t="shared" si="15"/>
        <v>28</v>
      </c>
      <c r="B31" s="31">
        <v>44896</v>
      </c>
      <c r="C31" s="45"/>
      <c r="D31" s="33">
        <v>2</v>
      </c>
      <c r="E31" s="33"/>
      <c r="F31" s="33"/>
      <c r="G31" s="51" t="s">
        <v>111</v>
      </c>
      <c r="H31" s="52" t="s">
        <v>112</v>
      </c>
      <c r="I31" s="36">
        <v>2</v>
      </c>
      <c r="J31" s="37" t="s">
        <v>54</v>
      </c>
      <c r="K31" s="37"/>
      <c r="L31" s="37"/>
      <c r="M31" s="38" t="s">
        <v>113</v>
      </c>
      <c r="N31" s="39" t="s">
        <v>114</v>
      </c>
      <c r="O31" s="40">
        <v>158.74</v>
      </c>
      <c r="P31" s="37">
        <f t="shared" si="0"/>
        <v>317.48</v>
      </c>
      <c r="Q31" s="41"/>
      <c r="R31" s="42">
        <f t="shared" si="18"/>
        <v>0</v>
      </c>
      <c r="S31" s="42">
        <f t="shared" si="17"/>
        <v>0</v>
      </c>
      <c r="T31" s="43">
        <f t="shared" si="3"/>
        <v>0</v>
      </c>
      <c r="U31" s="43">
        <f t="shared" si="3"/>
        <v>0</v>
      </c>
      <c r="V31" s="44">
        <f t="shared" si="16"/>
        <v>2</v>
      </c>
      <c r="W31" s="36">
        <f t="shared" si="4"/>
        <v>317.48</v>
      </c>
      <c r="X31" s="36"/>
      <c r="Y31" s="36"/>
      <c r="Z31" s="36">
        <f t="shared" si="5"/>
        <v>0</v>
      </c>
      <c r="AA31" s="36">
        <f t="shared" si="6"/>
        <v>0</v>
      </c>
      <c r="AB31" s="36"/>
      <c r="AC31" s="36"/>
      <c r="AD31" s="36">
        <f>AB31*O31</f>
        <v>0</v>
      </c>
      <c r="AE31" s="36">
        <f>AC31*O31</f>
        <v>0</v>
      </c>
      <c r="AF31" s="36"/>
      <c r="AG31" s="36"/>
      <c r="AH31" s="36">
        <f t="shared" si="9"/>
        <v>0</v>
      </c>
      <c r="AI31" s="36">
        <f t="shared" si="10"/>
        <v>0</v>
      </c>
      <c r="AJ31" s="36"/>
      <c r="AK31" s="36"/>
      <c r="AL31" s="36">
        <f t="shared" si="11"/>
        <v>0</v>
      </c>
      <c r="AM31" s="36">
        <f t="shared" si="12"/>
        <v>0</v>
      </c>
      <c r="AN31" s="36"/>
      <c r="AO31" s="36"/>
      <c r="AP31" s="36">
        <f t="shared" si="13"/>
        <v>0</v>
      </c>
      <c r="AQ31" s="36">
        <f t="shared" si="14"/>
        <v>0</v>
      </c>
    </row>
    <row r="32" spans="1:43" x14ac:dyDescent="0.55000000000000004">
      <c r="A32" s="30">
        <f t="shared" si="15"/>
        <v>29</v>
      </c>
      <c r="B32" s="31">
        <v>45717</v>
      </c>
      <c r="C32" s="45"/>
      <c r="D32" s="33">
        <v>1</v>
      </c>
      <c r="E32" s="33"/>
      <c r="F32" s="33"/>
      <c r="G32" s="49" t="s">
        <v>115</v>
      </c>
      <c r="H32" s="52" t="s">
        <v>116</v>
      </c>
      <c r="I32" s="36">
        <v>0</v>
      </c>
      <c r="J32" s="37" t="s">
        <v>40</v>
      </c>
      <c r="K32" s="37"/>
      <c r="L32" s="37"/>
      <c r="M32" s="38" t="s">
        <v>77</v>
      </c>
      <c r="N32" s="39"/>
      <c r="O32" s="40">
        <v>1182.4000000000001</v>
      </c>
      <c r="P32" s="37">
        <f t="shared" si="0"/>
        <v>0</v>
      </c>
      <c r="Q32" s="41"/>
      <c r="R32" s="42">
        <f t="shared" si="18"/>
        <v>2364.8000000000002</v>
      </c>
      <c r="S32" s="42">
        <f t="shared" si="17"/>
        <v>1182.4000000000001</v>
      </c>
      <c r="T32" s="43">
        <f t="shared" si="3"/>
        <v>2</v>
      </c>
      <c r="U32" s="43">
        <f t="shared" si="3"/>
        <v>1</v>
      </c>
      <c r="V32" s="44">
        <f t="shared" si="16"/>
        <v>1</v>
      </c>
      <c r="W32" s="36">
        <f t="shared" si="4"/>
        <v>1182.4000000000001</v>
      </c>
      <c r="X32" s="36"/>
      <c r="Y32" s="36"/>
      <c r="Z32" s="36">
        <f t="shared" si="5"/>
        <v>0</v>
      </c>
      <c r="AA32" s="36">
        <f t="shared" si="6"/>
        <v>0</v>
      </c>
      <c r="AB32" s="36"/>
      <c r="AC32" s="36"/>
      <c r="AD32" s="36">
        <f t="shared" si="7"/>
        <v>0</v>
      </c>
      <c r="AE32" s="36">
        <f t="shared" si="8"/>
        <v>0</v>
      </c>
      <c r="AF32" s="36">
        <v>2</v>
      </c>
      <c r="AG32" s="36">
        <v>1</v>
      </c>
      <c r="AH32" s="36">
        <f t="shared" si="9"/>
        <v>2364.8000000000002</v>
      </c>
      <c r="AI32" s="36">
        <f t="shared" si="10"/>
        <v>1182.4000000000001</v>
      </c>
      <c r="AJ32" s="36"/>
      <c r="AK32" s="36"/>
      <c r="AL32" s="36">
        <f t="shared" si="11"/>
        <v>0</v>
      </c>
      <c r="AM32" s="36">
        <f t="shared" si="12"/>
        <v>0</v>
      </c>
      <c r="AN32" s="36"/>
      <c r="AO32" s="36"/>
      <c r="AP32" s="36">
        <f t="shared" si="13"/>
        <v>0</v>
      </c>
      <c r="AQ32" s="36">
        <f t="shared" si="14"/>
        <v>0</v>
      </c>
    </row>
    <row r="33" spans="1:43" x14ac:dyDescent="0.55000000000000004">
      <c r="A33" s="30">
        <f t="shared" si="15"/>
        <v>30</v>
      </c>
      <c r="B33" s="31">
        <v>45717</v>
      </c>
      <c r="C33" s="45"/>
      <c r="D33" s="33">
        <v>1</v>
      </c>
      <c r="E33" s="33"/>
      <c r="F33" s="33"/>
      <c r="G33" s="49" t="s">
        <v>117</v>
      </c>
      <c r="H33" s="52" t="s">
        <v>118</v>
      </c>
      <c r="I33" s="36">
        <v>0</v>
      </c>
      <c r="J33" s="37"/>
      <c r="K33" s="37"/>
      <c r="L33" s="37"/>
      <c r="M33" s="38" t="s">
        <v>77</v>
      </c>
      <c r="N33" s="39"/>
      <c r="O33" s="40">
        <v>1995.6</v>
      </c>
      <c r="P33" s="37">
        <f t="shared" si="0"/>
        <v>0</v>
      </c>
      <c r="Q33" s="41"/>
      <c r="R33" s="42">
        <f t="shared" si="18"/>
        <v>0</v>
      </c>
      <c r="S33" s="42">
        <f t="shared" si="17"/>
        <v>0</v>
      </c>
      <c r="T33" s="43">
        <f t="shared" si="3"/>
        <v>0</v>
      </c>
      <c r="U33" s="43">
        <f t="shared" si="3"/>
        <v>0</v>
      </c>
      <c r="V33" s="44">
        <f t="shared" si="16"/>
        <v>0</v>
      </c>
      <c r="W33" s="36">
        <f t="shared" si="4"/>
        <v>0</v>
      </c>
      <c r="X33" s="36"/>
      <c r="Y33" s="36"/>
      <c r="Z33" s="36">
        <f t="shared" si="5"/>
        <v>0</v>
      </c>
      <c r="AA33" s="36">
        <f t="shared" si="6"/>
        <v>0</v>
      </c>
      <c r="AB33" s="36"/>
      <c r="AC33" s="36"/>
      <c r="AD33" s="36">
        <f t="shared" si="7"/>
        <v>0</v>
      </c>
      <c r="AE33" s="36">
        <f t="shared" si="8"/>
        <v>0</v>
      </c>
      <c r="AF33" s="36"/>
      <c r="AG33" s="36"/>
      <c r="AH33" s="36">
        <f t="shared" si="9"/>
        <v>0</v>
      </c>
      <c r="AI33" s="36">
        <f t="shared" si="10"/>
        <v>0</v>
      </c>
      <c r="AJ33" s="36"/>
      <c r="AK33" s="36"/>
      <c r="AL33" s="36">
        <f t="shared" si="11"/>
        <v>0</v>
      </c>
      <c r="AM33" s="36">
        <f t="shared" si="12"/>
        <v>0</v>
      </c>
      <c r="AN33" s="36"/>
      <c r="AO33" s="36"/>
      <c r="AP33" s="36">
        <f t="shared" si="13"/>
        <v>0</v>
      </c>
      <c r="AQ33" s="36">
        <f t="shared" si="14"/>
        <v>0</v>
      </c>
    </row>
    <row r="34" spans="1:43" x14ac:dyDescent="0.55000000000000004">
      <c r="A34" s="30">
        <f t="shared" si="15"/>
        <v>31</v>
      </c>
      <c r="B34" s="31">
        <v>45809</v>
      </c>
      <c r="C34" s="45"/>
      <c r="D34" s="33">
        <v>2</v>
      </c>
      <c r="E34" s="33"/>
      <c r="F34" s="33"/>
      <c r="G34" s="49" t="s">
        <v>119</v>
      </c>
      <c r="H34" s="52" t="s">
        <v>120</v>
      </c>
      <c r="I34" s="36">
        <v>0</v>
      </c>
      <c r="J34" s="37" t="s">
        <v>121</v>
      </c>
      <c r="K34" s="37"/>
      <c r="L34" s="37"/>
      <c r="M34" s="38" t="s">
        <v>122</v>
      </c>
      <c r="N34" s="39"/>
      <c r="O34" s="40">
        <f>6080/3.72</f>
        <v>1634.4086021505375</v>
      </c>
      <c r="P34" s="37">
        <f t="shared" si="0"/>
        <v>0</v>
      </c>
      <c r="Q34" s="41"/>
      <c r="R34" s="42">
        <f t="shared" si="18"/>
        <v>0</v>
      </c>
      <c r="S34" s="42">
        <f t="shared" si="17"/>
        <v>0</v>
      </c>
      <c r="T34" s="43">
        <f t="shared" si="3"/>
        <v>0</v>
      </c>
      <c r="U34" s="43">
        <f t="shared" si="3"/>
        <v>0</v>
      </c>
      <c r="V34" s="44">
        <f t="shared" si="16"/>
        <v>0</v>
      </c>
      <c r="W34" s="36">
        <f t="shared" si="4"/>
        <v>0</v>
      </c>
      <c r="X34" s="36"/>
      <c r="Y34" s="36"/>
      <c r="Z34" s="36">
        <f t="shared" si="5"/>
        <v>0</v>
      </c>
      <c r="AA34" s="36">
        <f t="shared" si="6"/>
        <v>0</v>
      </c>
      <c r="AB34" s="36"/>
      <c r="AC34" s="36"/>
      <c r="AD34" s="36">
        <f t="shared" si="7"/>
        <v>0</v>
      </c>
      <c r="AE34" s="36">
        <f t="shared" si="8"/>
        <v>0</v>
      </c>
      <c r="AF34" s="36"/>
      <c r="AG34" s="36"/>
      <c r="AH34" s="36">
        <f t="shared" si="9"/>
        <v>0</v>
      </c>
      <c r="AI34" s="36">
        <f t="shared" si="10"/>
        <v>0</v>
      </c>
      <c r="AJ34" s="36"/>
      <c r="AK34" s="36"/>
      <c r="AL34" s="36">
        <f t="shared" si="11"/>
        <v>0</v>
      </c>
      <c r="AM34" s="36">
        <f t="shared" si="12"/>
        <v>0</v>
      </c>
      <c r="AN34" s="36"/>
      <c r="AO34" s="36"/>
      <c r="AP34" s="36">
        <f t="shared" si="13"/>
        <v>0</v>
      </c>
      <c r="AQ34" s="36">
        <f t="shared" si="14"/>
        <v>0</v>
      </c>
    </row>
    <row r="35" spans="1:43" x14ac:dyDescent="0.55000000000000004">
      <c r="A35" s="30">
        <f t="shared" si="15"/>
        <v>32</v>
      </c>
      <c r="B35" s="31">
        <v>45778</v>
      </c>
      <c r="C35" s="45"/>
      <c r="D35" s="33">
        <v>1</v>
      </c>
      <c r="E35" s="33"/>
      <c r="F35" s="33"/>
      <c r="G35" s="49" t="s">
        <v>123</v>
      </c>
      <c r="H35" s="52" t="s">
        <v>124</v>
      </c>
      <c r="I35" s="36">
        <v>0</v>
      </c>
      <c r="J35" s="37"/>
      <c r="K35" s="37"/>
      <c r="L35" s="37"/>
      <c r="M35" s="38" t="s">
        <v>47</v>
      </c>
      <c r="N35" s="39" t="s">
        <v>36</v>
      </c>
      <c r="O35" s="40">
        <v>20.76</v>
      </c>
      <c r="P35" s="37">
        <f t="shared" si="0"/>
        <v>0</v>
      </c>
      <c r="Q35" s="41"/>
      <c r="R35" s="42">
        <f t="shared" si="18"/>
        <v>0</v>
      </c>
      <c r="S35" s="42">
        <f t="shared" si="17"/>
        <v>0</v>
      </c>
      <c r="T35" s="43">
        <f t="shared" si="3"/>
        <v>0</v>
      </c>
      <c r="U35" s="43">
        <f t="shared" si="3"/>
        <v>0</v>
      </c>
      <c r="V35" s="44">
        <f t="shared" si="16"/>
        <v>0</v>
      </c>
      <c r="W35" s="36">
        <f t="shared" si="4"/>
        <v>0</v>
      </c>
      <c r="X35" s="36"/>
      <c r="Y35" s="36"/>
      <c r="Z35" s="36">
        <f t="shared" si="5"/>
        <v>0</v>
      </c>
      <c r="AA35" s="36">
        <f t="shared" si="6"/>
        <v>0</v>
      </c>
      <c r="AB35" s="36"/>
      <c r="AC35" s="36"/>
      <c r="AD35" s="36">
        <f t="shared" si="7"/>
        <v>0</v>
      </c>
      <c r="AE35" s="36">
        <f t="shared" si="8"/>
        <v>0</v>
      </c>
      <c r="AF35" s="36"/>
      <c r="AG35" s="36"/>
      <c r="AH35" s="36">
        <f t="shared" si="9"/>
        <v>0</v>
      </c>
      <c r="AI35" s="36">
        <f t="shared" si="10"/>
        <v>0</v>
      </c>
      <c r="AJ35" s="36"/>
      <c r="AK35" s="36"/>
      <c r="AL35" s="36">
        <f t="shared" si="11"/>
        <v>0</v>
      </c>
      <c r="AM35" s="36">
        <f t="shared" si="12"/>
        <v>0</v>
      </c>
      <c r="AN35" s="36"/>
      <c r="AO35" s="36"/>
      <c r="AP35" s="36">
        <f t="shared" si="13"/>
        <v>0</v>
      </c>
      <c r="AQ35" s="36">
        <f t="shared" si="14"/>
        <v>0</v>
      </c>
    </row>
    <row r="36" spans="1:43" x14ac:dyDescent="0.55000000000000004">
      <c r="A36" s="30">
        <f t="shared" si="15"/>
        <v>33</v>
      </c>
      <c r="B36" s="31">
        <v>45778</v>
      </c>
      <c r="C36" s="45"/>
      <c r="D36" s="33">
        <v>1</v>
      </c>
      <c r="E36" s="33"/>
      <c r="F36" s="33"/>
      <c r="G36" s="49" t="s">
        <v>125</v>
      </c>
      <c r="H36" s="52" t="s">
        <v>124</v>
      </c>
      <c r="I36" s="36">
        <v>0</v>
      </c>
      <c r="J36" s="37"/>
      <c r="K36" s="37"/>
      <c r="L36" s="37"/>
      <c r="M36" s="38" t="s">
        <v>47</v>
      </c>
      <c r="N36" s="39" t="s">
        <v>36</v>
      </c>
      <c r="O36" s="40">
        <v>59.84</v>
      </c>
      <c r="P36" s="37">
        <f t="shared" si="0"/>
        <v>0</v>
      </c>
      <c r="Q36" s="41"/>
      <c r="R36" s="42">
        <f t="shared" si="18"/>
        <v>0</v>
      </c>
      <c r="S36" s="42">
        <f t="shared" si="17"/>
        <v>0</v>
      </c>
      <c r="T36" s="43">
        <f t="shared" si="3"/>
        <v>0</v>
      </c>
      <c r="U36" s="43">
        <f t="shared" si="3"/>
        <v>0</v>
      </c>
      <c r="V36" s="44">
        <f t="shared" si="16"/>
        <v>0</v>
      </c>
      <c r="W36" s="36">
        <f t="shared" si="4"/>
        <v>0</v>
      </c>
      <c r="X36" s="36"/>
      <c r="Y36" s="36"/>
      <c r="Z36" s="36">
        <f t="shared" si="5"/>
        <v>0</v>
      </c>
      <c r="AA36" s="36">
        <f t="shared" si="6"/>
        <v>0</v>
      </c>
      <c r="AB36" s="36"/>
      <c r="AC36" s="36"/>
      <c r="AD36" s="36">
        <f t="shared" si="7"/>
        <v>0</v>
      </c>
      <c r="AE36" s="36">
        <f t="shared" si="8"/>
        <v>0</v>
      </c>
      <c r="AF36" s="36"/>
      <c r="AG36" s="36"/>
      <c r="AH36" s="36">
        <f t="shared" si="9"/>
        <v>0</v>
      </c>
      <c r="AI36" s="36">
        <f t="shared" si="10"/>
        <v>0</v>
      </c>
      <c r="AJ36" s="36"/>
      <c r="AK36" s="36"/>
      <c r="AL36" s="36">
        <f t="shared" si="11"/>
        <v>0</v>
      </c>
      <c r="AM36" s="36">
        <f t="shared" si="12"/>
        <v>0</v>
      </c>
      <c r="AN36" s="36"/>
      <c r="AO36" s="36"/>
      <c r="AP36" s="36">
        <f t="shared" si="13"/>
        <v>0</v>
      </c>
      <c r="AQ36" s="36">
        <f t="shared" si="14"/>
        <v>0</v>
      </c>
    </row>
    <row r="37" spans="1:43" x14ac:dyDescent="0.55000000000000004">
      <c r="A37" s="30">
        <f t="shared" si="15"/>
        <v>34</v>
      </c>
      <c r="B37" s="31">
        <v>45778</v>
      </c>
      <c r="C37" s="45"/>
      <c r="D37" s="33">
        <v>1</v>
      </c>
      <c r="E37" s="33"/>
      <c r="F37" s="33"/>
      <c r="G37" s="49" t="s">
        <v>126</v>
      </c>
      <c r="H37" s="52" t="s">
        <v>124</v>
      </c>
      <c r="I37" s="36">
        <v>0</v>
      </c>
      <c r="J37" s="37"/>
      <c r="K37" s="37"/>
      <c r="L37" s="37"/>
      <c r="M37" s="38" t="s">
        <v>47</v>
      </c>
      <c r="N37" s="39" t="s">
        <v>36</v>
      </c>
      <c r="O37" s="40">
        <v>149.58000000000001</v>
      </c>
      <c r="P37" s="37">
        <f t="shared" si="0"/>
        <v>0</v>
      </c>
      <c r="Q37" s="41"/>
      <c r="R37" s="42">
        <f t="shared" si="18"/>
        <v>0</v>
      </c>
      <c r="S37" s="42">
        <f t="shared" si="17"/>
        <v>0</v>
      </c>
      <c r="T37" s="43">
        <f t="shared" si="3"/>
        <v>0</v>
      </c>
      <c r="U37" s="43">
        <f t="shared" si="3"/>
        <v>0</v>
      </c>
      <c r="V37" s="44">
        <f t="shared" si="16"/>
        <v>0</v>
      </c>
      <c r="W37" s="36">
        <f t="shared" si="4"/>
        <v>0</v>
      </c>
      <c r="X37" s="36"/>
      <c r="Y37" s="36"/>
      <c r="Z37" s="36">
        <f t="shared" si="5"/>
        <v>0</v>
      </c>
      <c r="AA37" s="36">
        <f t="shared" si="6"/>
        <v>0</v>
      </c>
      <c r="AB37" s="36"/>
      <c r="AC37" s="36"/>
      <c r="AD37" s="36">
        <f t="shared" si="7"/>
        <v>0</v>
      </c>
      <c r="AE37" s="36">
        <f t="shared" si="8"/>
        <v>0</v>
      </c>
      <c r="AF37" s="36"/>
      <c r="AG37" s="36"/>
      <c r="AH37" s="36">
        <f t="shared" si="9"/>
        <v>0</v>
      </c>
      <c r="AI37" s="36">
        <f t="shared" si="10"/>
        <v>0</v>
      </c>
      <c r="AJ37" s="36"/>
      <c r="AK37" s="36"/>
      <c r="AL37" s="36">
        <f t="shared" si="11"/>
        <v>0</v>
      </c>
      <c r="AM37" s="36">
        <f t="shared" si="12"/>
        <v>0</v>
      </c>
      <c r="AN37" s="36"/>
      <c r="AO37" s="36"/>
      <c r="AP37" s="36">
        <f t="shared" si="13"/>
        <v>0</v>
      </c>
      <c r="AQ37" s="36">
        <f t="shared" si="14"/>
        <v>0</v>
      </c>
    </row>
    <row r="38" spans="1:43" x14ac:dyDescent="0.55000000000000004">
      <c r="A38" s="30">
        <f t="shared" si="15"/>
        <v>35</v>
      </c>
      <c r="B38" s="31">
        <v>45778</v>
      </c>
      <c r="C38" s="45"/>
      <c r="D38" s="33">
        <v>1</v>
      </c>
      <c r="E38" s="33"/>
      <c r="F38" s="33"/>
      <c r="G38" s="49" t="s">
        <v>127</v>
      </c>
      <c r="H38" s="52" t="s">
        <v>124</v>
      </c>
      <c r="I38" s="36">
        <v>0</v>
      </c>
      <c r="J38" s="37"/>
      <c r="K38" s="37"/>
      <c r="L38" s="37"/>
      <c r="M38" s="38" t="s">
        <v>47</v>
      </c>
      <c r="N38" s="39" t="s">
        <v>36</v>
      </c>
      <c r="O38" s="40">
        <v>176.12</v>
      </c>
      <c r="P38" s="37">
        <f t="shared" si="0"/>
        <v>0</v>
      </c>
      <c r="Q38" s="41"/>
      <c r="R38" s="42">
        <f t="shared" si="18"/>
        <v>0</v>
      </c>
      <c r="S38" s="42">
        <f t="shared" si="17"/>
        <v>0</v>
      </c>
      <c r="T38" s="43">
        <f t="shared" si="3"/>
        <v>0</v>
      </c>
      <c r="U38" s="43">
        <f t="shared" si="3"/>
        <v>0</v>
      </c>
      <c r="V38" s="44">
        <f t="shared" si="16"/>
        <v>0</v>
      </c>
      <c r="W38" s="36">
        <f t="shared" si="4"/>
        <v>0</v>
      </c>
      <c r="X38" s="36"/>
      <c r="Y38" s="36"/>
      <c r="Z38" s="36">
        <f t="shared" si="5"/>
        <v>0</v>
      </c>
      <c r="AA38" s="36">
        <f t="shared" si="6"/>
        <v>0</v>
      </c>
      <c r="AB38" s="36"/>
      <c r="AC38" s="36"/>
      <c r="AD38" s="36">
        <f t="shared" si="7"/>
        <v>0</v>
      </c>
      <c r="AE38" s="36">
        <f t="shared" si="8"/>
        <v>0</v>
      </c>
      <c r="AF38" s="36"/>
      <c r="AG38" s="36"/>
      <c r="AH38" s="36">
        <f t="shared" si="9"/>
        <v>0</v>
      </c>
      <c r="AI38" s="36">
        <f t="shared" si="10"/>
        <v>0</v>
      </c>
      <c r="AJ38" s="36"/>
      <c r="AK38" s="36"/>
      <c r="AL38" s="36">
        <f t="shared" si="11"/>
        <v>0</v>
      </c>
      <c r="AM38" s="36">
        <f t="shared" si="12"/>
        <v>0</v>
      </c>
      <c r="AN38" s="36"/>
      <c r="AO38" s="36"/>
      <c r="AP38" s="36">
        <f t="shared" si="13"/>
        <v>0</v>
      </c>
      <c r="AQ38" s="36">
        <f t="shared" si="14"/>
        <v>0</v>
      </c>
    </row>
    <row r="39" spans="1:43" x14ac:dyDescent="0.55000000000000004">
      <c r="A39" s="30">
        <f t="shared" si="15"/>
        <v>36</v>
      </c>
      <c r="B39" s="31">
        <v>45778</v>
      </c>
      <c r="C39" s="45"/>
      <c r="D39" s="33">
        <v>1</v>
      </c>
      <c r="E39" s="33"/>
      <c r="F39" s="33"/>
      <c r="G39" s="49" t="s">
        <v>128</v>
      </c>
      <c r="H39" s="52" t="s">
        <v>124</v>
      </c>
      <c r="I39" s="36">
        <v>0</v>
      </c>
      <c r="J39" s="37" t="s">
        <v>40</v>
      </c>
      <c r="K39" s="37"/>
      <c r="L39" s="37"/>
      <c r="M39" s="38" t="s">
        <v>47</v>
      </c>
      <c r="N39" s="39" t="s">
        <v>36</v>
      </c>
      <c r="O39" s="40">
        <v>210.9</v>
      </c>
      <c r="P39" s="37">
        <f t="shared" si="0"/>
        <v>0</v>
      </c>
      <c r="Q39" s="41"/>
      <c r="R39" s="42">
        <f t="shared" si="18"/>
        <v>0</v>
      </c>
      <c r="S39" s="42">
        <f t="shared" si="17"/>
        <v>0</v>
      </c>
      <c r="T39" s="43">
        <f t="shared" si="3"/>
        <v>0</v>
      </c>
      <c r="U39" s="43">
        <f t="shared" si="3"/>
        <v>0</v>
      </c>
      <c r="V39" s="44">
        <f t="shared" si="16"/>
        <v>0</v>
      </c>
      <c r="W39" s="36">
        <f t="shared" si="4"/>
        <v>0</v>
      </c>
      <c r="X39" s="36"/>
      <c r="Y39" s="36"/>
      <c r="Z39" s="36">
        <f t="shared" si="5"/>
        <v>0</v>
      </c>
      <c r="AA39" s="36">
        <f t="shared" si="6"/>
        <v>0</v>
      </c>
      <c r="AB39" s="36"/>
      <c r="AC39" s="36"/>
      <c r="AD39" s="36">
        <f t="shared" si="7"/>
        <v>0</v>
      </c>
      <c r="AE39" s="36">
        <f t="shared" si="8"/>
        <v>0</v>
      </c>
      <c r="AF39" s="36"/>
      <c r="AG39" s="36"/>
      <c r="AH39" s="36">
        <f t="shared" si="9"/>
        <v>0</v>
      </c>
      <c r="AI39" s="36">
        <f t="shared" si="10"/>
        <v>0</v>
      </c>
      <c r="AJ39" s="36"/>
      <c r="AK39" s="36"/>
      <c r="AL39" s="36">
        <f t="shared" si="11"/>
        <v>0</v>
      </c>
      <c r="AM39" s="36">
        <f t="shared" si="12"/>
        <v>0</v>
      </c>
      <c r="AN39" s="36"/>
      <c r="AO39" s="36"/>
      <c r="AP39" s="36">
        <f t="shared" si="13"/>
        <v>0</v>
      </c>
      <c r="AQ39" s="36">
        <f t="shared" si="14"/>
        <v>0</v>
      </c>
    </row>
    <row r="40" spans="1:43" x14ac:dyDescent="0.55000000000000004">
      <c r="A40" s="30">
        <f t="shared" si="15"/>
        <v>37</v>
      </c>
      <c r="B40" s="31">
        <v>45700</v>
      </c>
      <c r="C40" s="45"/>
      <c r="D40" s="33">
        <v>1</v>
      </c>
      <c r="E40" s="33"/>
      <c r="F40" s="33"/>
      <c r="G40" s="51" t="s">
        <v>129</v>
      </c>
      <c r="H40" s="52" t="s">
        <v>130</v>
      </c>
      <c r="I40" s="36">
        <v>1</v>
      </c>
      <c r="J40" s="37"/>
      <c r="K40" s="37"/>
      <c r="L40" s="37"/>
      <c r="M40" s="38" t="s">
        <v>122</v>
      </c>
      <c r="N40" s="39"/>
      <c r="O40" s="40">
        <v>62.23</v>
      </c>
      <c r="P40" s="37">
        <f t="shared" si="0"/>
        <v>62.23</v>
      </c>
      <c r="Q40" s="41"/>
      <c r="R40" s="42">
        <f t="shared" si="18"/>
        <v>0</v>
      </c>
      <c r="S40" s="42">
        <f t="shared" si="17"/>
        <v>0</v>
      </c>
      <c r="T40" s="43">
        <f t="shared" si="3"/>
        <v>0</v>
      </c>
      <c r="U40" s="43">
        <f t="shared" si="3"/>
        <v>0</v>
      </c>
      <c r="V40" s="44">
        <f t="shared" si="16"/>
        <v>1</v>
      </c>
      <c r="W40" s="36">
        <f t="shared" si="4"/>
        <v>62.23</v>
      </c>
      <c r="X40" s="36"/>
      <c r="Y40" s="36"/>
      <c r="Z40" s="36">
        <f t="shared" si="5"/>
        <v>0</v>
      </c>
      <c r="AA40" s="36">
        <f t="shared" si="6"/>
        <v>0</v>
      </c>
      <c r="AB40" s="36"/>
      <c r="AC40" s="36"/>
      <c r="AD40" s="36">
        <f>AB40*O40</f>
        <v>0</v>
      </c>
      <c r="AE40" s="36">
        <f>AC40*O40</f>
        <v>0</v>
      </c>
      <c r="AF40" s="36"/>
      <c r="AG40" s="36"/>
      <c r="AH40" s="36">
        <f t="shared" si="9"/>
        <v>0</v>
      </c>
      <c r="AI40" s="36">
        <f t="shared" si="10"/>
        <v>0</v>
      </c>
      <c r="AJ40" s="36"/>
      <c r="AK40" s="36"/>
      <c r="AL40" s="36">
        <f t="shared" si="11"/>
        <v>0</v>
      </c>
      <c r="AM40" s="36">
        <f t="shared" si="12"/>
        <v>0</v>
      </c>
      <c r="AN40" s="36"/>
      <c r="AO40" s="36"/>
      <c r="AP40" s="36">
        <f t="shared" si="13"/>
        <v>0</v>
      </c>
      <c r="AQ40" s="36">
        <f t="shared" si="14"/>
        <v>0</v>
      </c>
    </row>
    <row r="41" spans="1:43" x14ac:dyDescent="0.55000000000000004">
      <c r="A41" s="30">
        <f t="shared" si="15"/>
        <v>38</v>
      </c>
      <c r="B41" s="31">
        <v>45413</v>
      </c>
      <c r="C41" s="45"/>
      <c r="D41" s="33">
        <v>1</v>
      </c>
      <c r="E41" s="33"/>
      <c r="F41" s="33"/>
      <c r="G41" s="49" t="s">
        <v>131</v>
      </c>
      <c r="H41" s="52" t="s">
        <v>104</v>
      </c>
      <c r="I41" s="36">
        <v>0</v>
      </c>
      <c r="J41" s="37" t="s">
        <v>54</v>
      </c>
      <c r="K41" s="37"/>
      <c r="L41" s="37"/>
      <c r="M41" s="38" t="s">
        <v>102</v>
      </c>
      <c r="N41" s="39" t="s">
        <v>49</v>
      </c>
      <c r="O41" s="40">
        <v>18.36</v>
      </c>
      <c r="P41" s="37">
        <f t="shared" si="0"/>
        <v>0</v>
      </c>
      <c r="Q41" s="41"/>
      <c r="R41" s="42">
        <f t="shared" si="18"/>
        <v>0</v>
      </c>
      <c r="S41" s="42">
        <f t="shared" si="17"/>
        <v>0</v>
      </c>
      <c r="T41" s="43">
        <f t="shared" si="3"/>
        <v>0</v>
      </c>
      <c r="U41" s="43">
        <f t="shared" si="3"/>
        <v>0</v>
      </c>
      <c r="V41" s="44">
        <f t="shared" si="16"/>
        <v>0</v>
      </c>
      <c r="W41" s="36">
        <f t="shared" si="4"/>
        <v>0</v>
      </c>
      <c r="X41" s="36"/>
      <c r="Y41" s="36"/>
      <c r="Z41" s="36">
        <f t="shared" si="5"/>
        <v>0</v>
      </c>
      <c r="AA41" s="36">
        <f t="shared" si="6"/>
        <v>0</v>
      </c>
      <c r="AB41" s="36"/>
      <c r="AC41" s="36"/>
      <c r="AD41" s="36">
        <f t="shared" si="7"/>
        <v>0</v>
      </c>
      <c r="AE41" s="36">
        <f t="shared" si="8"/>
        <v>0</v>
      </c>
      <c r="AF41" s="36"/>
      <c r="AG41" s="36"/>
      <c r="AH41" s="36">
        <f t="shared" si="9"/>
        <v>0</v>
      </c>
      <c r="AI41" s="36">
        <f t="shared" si="10"/>
        <v>0</v>
      </c>
      <c r="AJ41" s="36"/>
      <c r="AK41" s="36"/>
      <c r="AL41" s="36">
        <f t="shared" si="11"/>
        <v>0</v>
      </c>
      <c r="AM41" s="36">
        <f t="shared" si="12"/>
        <v>0</v>
      </c>
      <c r="AN41" s="36"/>
      <c r="AO41" s="36"/>
      <c r="AP41" s="36">
        <f t="shared" si="13"/>
        <v>0</v>
      </c>
      <c r="AQ41" s="36">
        <f t="shared" si="14"/>
        <v>0</v>
      </c>
    </row>
    <row r="42" spans="1:43" x14ac:dyDescent="0.55000000000000004">
      <c r="A42" s="30">
        <f t="shared" si="15"/>
        <v>39</v>
      </c>
      <c r="B42" s="31">
        <v>44896</v>
      </c>
      <c r="C42" s="45"/>
      <c r="D42" s="33">
        <v>1</v>
      </c>
      <c r="E42" s="33"/>
      <c r="F42" s="33"/>
      <c r="G42" s="51" t="s">
        <v>132</v>
      </c>
      <c r="H42" s="37" t="s">
        <v>133</v>
      </c>
      <c r="I42" s="36">
        <v>1</v>
      </c>
      <c r="J42" s="37" t="s">
        <v>40</v>
      </c>
      <c r="K42" s="37"/>
      <c r="L42" s="37"/>
      <c r="M42" s="38" t="s">
        <v>35</v>
      </c>
      <c r="N42" s="39" t="s">
        <v>36</v>
      </c>
      <c r="O42" s="48">
        <v>47</v>
      </c>
      <c r="P42" s="37">
        <f t="shared" si="0"/>
        <v>47</v>
      </c>
      <c r="Q42" s="41"/>
      <c r="R42" s="42">
        <f t="shared" si="18"/>
        <v>0</v>
      </c>
      <c r="S42" s="42">
        <f t="shared" si="17"/>
        <v>0</v>
      </c>
      <c r="T42" s="43">
        <f t="shared" si="3"/>
        <v>0</v>
      </c>
      <c r="U42" s="43">
        <f t="shared" si="3"/>
        <v>0</v>
      </c>
      <c r="V42" s="44">
        <f t="shared" si="16"/>
        <v>1</v>
      </c>
      <c r="W42" s="36">
        <f t="shared" si="4"/>
        <v>47</v>
      </c>
      <c r="X42" s="36"/>
      <c r="Y42" s="36"/>
      <c r="Z42" s="36">
        <f t="shared" si="5"/>
        <v>0</v>
      </c>
      <c r="AA42" s="36">
        <f t="shared" si="6"/>
        <v>0</v>
      </c>
      <c r="AB42" s="36"/>
      <c r="AC42" s="36"/>
      <c r="AD42" s="36">
        <f t="shared" si="7"/>
        <v>0</v>
      </c>
      <c r="AE42" s="36">
        <f t="shared" si="8"/>
        <v>0</v>
      </c>
      <c r="AF42" s="36"/>
      <c r="AG42" s="36"/>
      <c r="AH42" s="36">
        <f t="shared" si="9"/>
        <v>0</v>
      </c>
      <c r="AI42" s="36">
        <f t="shared" si="10"/>
        <v>0</v>
      </c>
      <c r="AJ42" s="36"/>
      <c r="AK42" s="36"/>
      <c r="AL42" s="36">
        <f t="shared" si="11"/>
        <v>0</v>
      </c>
      <c r="AM42" s="36">
        <f t="shared" si="12"/>
        <v>0</v>
      </c>
      <c r="AN42" s="36"/>
      <c r="AO42" s="36"/>
      <c r="AP42" s="36">
        <f t="shared" si="13"/>
        <v>0</v>
      </c>
      <c r="AQ42" s="36">
        <f t="shared" si="14"/>
        <v>0</v>
      </c>
    </row>
    <row r="43" spans="1:43" x14ac:dyDescent="0.55000000000000004">
      <c r="A43" s="30">
        <f t="shared" si="15"/>
        <v>40</v>
      </c>
      <c r="B43" s="31">
        <v>44896</v>
      </c>
      <c r="C43" s="45"/>
      <c r="D43" s="33">
        <v>2</v>
      </c>
      <c r="E43" s="33"/>
      <c r="F43" s="33"/>
      <c r="G43" s="34" t="s">
        <v>134</v>
      </c>
      <c r="H43" s="35" t="s">
        <v>135</v>
      </c>
      <c r="I43" s="36">
        <v>2</v>
      </c>
      <c r="J43" s="37" t="s">
        <v>54</v>
      </c>
      <c r="K43" s="37"/>
      <c r="L43" s="37"/>
      <c r="M43" s="38" t="s">
        <v>102</v>
      </c>
      <c r="N43" s="39" t="s">
        <v>49</v>
      </c>
      <c r="O43" s="40">
        <v>109.33</v>
      </c>
      <c r="P43" s="37">
        <f t="shared" si="0"/>
        <v>218.66</v>
      </c>
      <c r="Q43" s="41" t="s">
        <v>54</v>
      </c>
      <c r="R43" s="42">
        <f t="shared" si="18"/>
        <v>0</v>
      </c>
      <c r="S43" s="42">
        <f t="shared" si="17"/>
        <v>0</v>
      </c>
      <c r="T43" s="43">
        <f t="shared" si="3"/>
        <v>0</v>
      </c>
      <c r="U43" s="43">
        <f t="shared" si="3"/>
        <v>0</v>
      </c>
      <c r="V43" s="44">
        <f t="shared" si="16"/>
        <v>2</v>
      </c>
      <c r="W43" s="36">
        <f t="shared" si="4"/>
        <v>218.66</v>
      </c>
      <c r="X43" s="36"/>
      <c r="Y43" s="36"/>
      <c r="Z43" s="36">
        <f t="shared" si="5"/>
        <v>0</v>
      </c>
      <c r="AA43" s="36">
        <f t="shared" si="6"/>
        <v>0</v>
      </c>
      <c r="AB43" s="36"/>
      <c r="AC43" s="36"/>
      <c r="AD43" s="36">
        <f t="shared" si="7"/>
        <v>0</v>
      </c>
      <c r="AE43" s="36">
        <f t="shared" si="8"/>
        <v>0</v>
      </c>
      <c r="AF43" s="36"/>
      <c r="AG43" s="36"/>
      <c r="AH43" s="36">
        <f t="shared" si="9"/>
        <v>0</v>
      </c>
      <c r="AI43" s="36">
        <f t="shared" si="10"/>
        <v>0</v>
      </c>
      <c r="AJ43" s="36"/>
      <c r="AK43" s="36"/>
      <c r="AL43" s="36">
        <f t="shared" si="11"/>
        <v>0</v>
      </c>
      <c r="AM43" s="36">
        <f t="shared" si="12"/>
        <v>0</v>
      </c>
      <c r="AN43" s="36"/>
      <c r="AO43" s="36"/>
      <c r="AP43" s="36">
        <f t="shared" si="13"/>
        <v>0</v>
      </c>
      <c r="AQ43" s="36">
        <f t="shared" si="14"/>
        <v>0</v>
      </c>
    </row>
    <row r="44" spans="1:43" x14ac:dyDescent="0.55000000000000004">
      <c r="A44" s="30">
        <f t="shared" si="15"/>
        <v>41</v>
      </c>
      <c r="B44" s="31">
        <v>44927</v>
      </c>
      <c r="C44" s="45"/>
      <c r="D44" s="33">
        <v>1</v>
      </c>
      <c r="E44" s="33"/>
      <c r="F44" s="33"/>
      <c r="G44" s="34" t="s">
        <v>136</v>
      </c>
      <c r="H44" s="35" t="s">
        <v>137</v>
      </c>
      <c r="I44" s="36">
        <v>1</v>
      </c>
      <c r="J44" s="37" t="s">
        <v>54</v>
      </c>
      <c r="K44" s="37"/>
      <c r="L44" s="37"/>
      <c r="M44" s="38" t="s">
        <v>102</v>
      </c>
      <c r="N44" s="39" t="s">
        <v>49</v>
      </c>
      <c r="O44" s="40">
        <v>74.64</v>
      </c>
      <c r="P44" s="37">
        <f t="shared" si="0"/>
        <v>74.64</v>
      </c>
      <c r="Q44" s="41" t="s">
        <v>54</v>
      </c>
      <c r="R44" s="42">
        <f t="shared" si="18"/>
        <v>0</v>
      </c>
      <c r="S44" s="42">
        <f t="shared" si="17"/>
        <v>0</v>
      </c>
      <c r="T44" s="43">
        <f t="shared" si="3"/>
        <v>0</v>
      </c>
      <c r="U44" s="43">
        <f t="shared" si="3"/>
        <v>0</v>
      </c>
      <c r="V44" s="44">
        <f t="shared" si="16"/>
        <v>1</v>
      </c>
      <c r="W44" s="36">
        <f t="shared" si="4"/>
        <v>74.64</v>
      </c>
      <c r="X44" s="36"/>
      <c r="Y44" s="36"/>
      <c r="Z44" s="36">
        <f t="shared" si="5"/>
        <v>0</v>
      </c>
      <c r="AA44" s="36">
        <f t="shared" si="6"/>
        <v>0</v>
      </c>
      <c r="AB44" s="36"/>
      <c r="AC44" s="36"/>
      <c r="AD44" s="36">
        <f t="shared" si="7"/>
        <v>0</v>
      </c>
      <c r="AE44" s="36">
        <f t="shared" si="8"/>
        <v>0</v>
      </c>
      <c r="AF44" s="36"/>
      <c r="AG44" s="36"/>
      <c r="AH44" s="36">
        <f t="shared" si="9"/>
        <v>0</v>
      </c>
      <c r="AI44" s="36">
        <f t="shared" si="10"/>
        <v>0</v>
      </c>
      <c r="AJ44" s="36"/>
      <c r="AK44" s="36"/>
      <c r="AL44" s="36">
        <f t="shared" si="11"/>
        <v>0</v>
      </c>
      <c r="AM44" s="36">
        <f t="shared" si="12"/>
        <v>0</v>
      </c>
      <c r="AN44" s="36"/>
      <c r="AO44" s="36"/>
      <c r="AP44" s="36">
        <f t="shared" si="13"/>
        <v>0</v>
      </c>
      <c r="AQ44" s="36">
        <f t="shared" si="14"/>
        <v>0</v>
      </c>
    </row>
    <row r="45" spans="1:43" x14ac:dyDescent="0.55000000000000004">
      <c r="A45" s="30">
        <f t="shared" si="15"/>
        <v>42</v>
      </c>
      <c r="B45" s="31">
        <v>44896</v>
      </c>
      <c r="C45" s="45"/>
      <c r="D45" s="33">
        <v>1</v>
      </c>
      <c r="E45" s="33"/>
      <c r="F45" s="33"/>
      <c r="G45" s="34" t="s">
        <v>138</v>
      </c>
      <c r="H45" s="35" t="s">
        <v>139</v>
      </c>
      <c r="I45" s="36">
        <v>1</v>
      </c>
      <c r="J45" s="37" t="s">
        <v>54</v>
      </c>
      <c r="K45" s="37"/>
      <c r="L45" s="37"/>
      <c r="M45" s="38" t="s">
        <v>102</v>
      </c>
      <c r="N45" s="39" t="s">
        <v>49</v>
      </c>
      <c r="O45" s="40">
        <v>57.68</v>
      </c>
      <c r="P45" s="37">
        <f t="shared" si="0"/>
        <v>57.68</v>
      </c>
      <c r="Q45" s="41" t="s">
        <v>54</v>
      </c>
      <c r="R45" s="42">
        <f t="shared" si="18"/>
        <v>0</v>
      </c>
      <c r="S45" s="42">
        <f t="shared" si="17"/>
        <v>0</v>
      </c>
      <c r="T45" s="43">
        <f t="shared" si="3"/>
        <v>0</v>
      </c>
      <c r="U45" s="43">
        <f t="shared" si="3"/>
        <v>0</v>
      </c>
      <c r="V45" s="44">
        <f t="shared" si="16"/>
        <v>1</v>
      </c>
      <c r="W45" s="36">
        <f t="shared" si="4"/>
        <v>57.68</v>
      </c>
      <c r="X45" s="36"/>
      <c r="Y45" s="36"/>
      <c r="Z45" s="36">
        <f t="shared" si="5"/>
        <v>0</v>
      </c>
      <c r="AA45" s="36">
        <f t="shared" si="6"/>
        <v>0</v>
      </c>
      <c r="AB45" s="36"/>
      <c r="AC45" s="36"/>
      <c r="AD45" s="36">
        <f t="shared" si="7"/>
        <v>0</v>
      </c>
      <c r="AE45" s="36">
        <f t="shared" si="8"/>
        <v>0</v>
      </c>
      <c r="AF45" s="36"/>
      <c r="AG45" s="36"/>
      <c r="AH45" s="36">
        <f t="shared" si="9"/>
        <v>0</v>
      </c>
      <c r="AI45" s="36">
        <f t="shared" si="10"/>
        <v>0</v>
      </c>
      <c r="AJ45" s="36"/>
      <c r="AK45" s="36"/>
      <c r="AL45" s="36">
        <f t="shared" si="11"/>
        <v>0</v>
      </c>
      <c r="AM45" s="36">
        <f t="shared" si="12"/>
        <v>0</v>
      </c>
      <c r="AN45" s="36"/>
      <c r="AO45" s="36"/>
      <c r="AP45" s="36">
        <f t="shared" si="13"/>
        <v>0</v>
      </c>
      <c r="AQ45" s="36">
        <f t="shared" si="14"/>
        <v>0</v>
      </c>
    </row>
    <row r="46" spans="1:43" x14ac:dyDescent="0.55000000000000004">
      <c r="A46" s="30">
        <f t="shared" si="15"/>
        <v>43</v>
      </c>
      <c r="B46" s="31">
        <v>45231</v>
      </c>
      <c r="C46" s="45"/>
      <c r="D46" s="33">
        <v>1</v>
      </c>
      <c r="E46" s="33"/>
      <c r="F46" s="33"/>
      <c r="G46" s="53" t="s">
        <v>140</v>
      </c>
      <c r="H46" s="35" t="s">
        <v>141</v>
      </c>
      <c r="I46" s="36">
        <v>1</v>
      </c>
      <c r="J46" s="37" t="s">
        <v>142</v>
      </c>
      <c r="K46" s="37"/>
      <c r="L46" s="37"/>
      <c r="M46" s="38" t="s">
        <v>143</v>
      </c>
      <c r="N46" s="39"/>
      <c r="O46" s="40">
        <v>1273.54</v>
      </c>
      <c r="P46" s="37">
        <f t="shared" si="0"/>
        <v>1273.54</v>
      </c>
      <c r="Q46" s="41" t="s">
        <v>80</v>
      </c>
      <c r="R46" s="42">
        <f t="shared" si="18"/>
        <v>0</v>
      </c>
      <c r="S46" s="42">
        <f t="shared" si="17"/>
        <v>0</v>
      </c>
      <c r="T46" s="43">
        <f t="shared" si="3"/>
        <v>0</v>
      </c>
      <c r="U46" s="43">
        <f t="shared" si="3"/>
        <v>0</v>
      </c>
      <c r="V46" s="44">
        <f t="shared" si="16"/>
        <v>1</v>
      </c>
      <c r="W46" s="36">
        <f t="shared" si="4"/>
        <v>1273.54</v>
      </c>
      <c r="X46" s="36"/>
      <c r="Y46" s="36"/>
      <c r="Z46" s="36">
        <f t="shared" si="5"/>
        <v>0</v>
      </c>
      <c r="AA46" s="36">
        <f t="shared" si="6"/>
        <v>0</v>
      </c>
      <c r="AB46" s="36"/>
      <c r="AC46" s="36"/>
      <c r="AD46" s="36">
        <f t="shared" si="7"/>
        <v>0</v>
      </c>
      <c r="AE46" s="36">
        <f t="shared" si="8"/>
        <v>0</v>
      </c>
      <c r="AF46" s="36"/>
      <c r="AG46" s="36"/>
      <c r="AH46" s="36">
        <f t="shared" si="9"/>
        <v>0</v>
      </c>
      <c r="AI46" s="36">
        <f t="shared" si="10"/>
        <v>0</v>
      </c>
      <c r="AJ46" s="36"/>
      <c r="AK46" s="36"/>
      <c r="AL46" s="36">
        <f t="shared" si="11"/>
        <v>0</v>
      </c>
      <c r="AM46" s="36">
        <f t="shared" si="12"/>
        <v>0</v>
      </c>
      <c r="AN46" s="36"/>
      <c r="AO46" s="36"/>
      <c r="AP46" s="36">
        <f t="shared" si="13"/>
        <v>0</v>
      </c>
      <c r="AQ46" s="36">
        <f t="shared" si="14"/>
        <v>0</v>
      </c>
    </row>
    <row r="47" spans="1:43" x14ac:dyDescent="0.55000000000000004">
      <c r="A47" s="30">
        <f t="shared" si="15"/>
        <v>44</v>
      </c>
      <c r="B47" s="31">
        <v>44896</v>
      </c>
      <c r="C47" s="45"/>
      <c r="D47" s="33">
        <v>1</v>
      </c>
      <c r="E47" s="33"/>
      <c r="F47" s="33"/>
      <c r="G47" s="51" t="s">
        <v>144</v>
      </c>
      <c r="H47" s="52" t="s">
        <v>145</v>
      </c>
      <c r="I47" s="36">
        <v>1</v>
      </c>
      <c r="J47" s="37" t="s">
        <v>54</v>
      </c>
      <c r="K47" s="37"/>
      <c r="L47" s="37"/>
      <c r="M47" s="38" t="s">
        <v>85</v>
      </c>
      <c r="N47" s="39" t="s">
        <v>49</v>
      </c>
      <c r="O47" s="40">
        <v>61.4</v>
      </c>
      <c r="P47" s="37">
        <f t="shared" si="0"/>
        <v>61.4</v>
      </c>
      <c r="Q47" s="41"/>
      <c r="R47" s="42">
        <f t="shared" si="18"/>
        <v>0</v>
      </c>
      <c r="S47" s="42">
        <f t="shared" si="17"/>
        <v>0</v>
      </c>
      <c r="T47" s="43">
        <f t="shared" si="3"/>
        <v>0</v>
      </c>
      <c r="U47" s="43">
        <f t="shared" si="3"/>
        <v>0</v>
      </c>
      <c r="V47" s="44">
        <f t="shared" si="16"/>
        <v>1</v>
      </c>
      <c r="W47" s="36">
        <f t="shared" si="4"/>
        <v>61.4</v>
      </c>
      <c r="X47" s="36"/>
      <c r="Y47" s="36"/>
      <c r="Z47" s="36">
        <f t="shared" si="5"/>
        <v>0</v>
      </c>
      <c r="AA47" s="36">
        <f t="shared" si="6"/>
        <v>0</v>
      </c>
      <c r="AB47" s="36"/>
      <c r="AC47" s="36"/>
      <c r="AD47" s="36">
        <f t="shared" si="7"/>
        <v>0</v>
      </c>
      <c r="AE47" s="36">
        <f t="shared" si="8"/>
        <v>0</v>
      </c>
      <c r="AF47" s="36"/>
      <c r="AG47" s="36"/>
      <c r="AH47" s="36">
        <f t="shared" si="9"/>
        <v>0</v>
      </c>
      <c r="AI47" s="36">
        <f t="shared" si="10"/>
        <v>0</v>
      </c>
      <c r="AJ47" s="36"/>
      <c r="AK47" s="36"/>
      <c r="AL47" s="36">
        <f t="shared" si="11"/>
        <v>0</v>
      </c>
      <c r="AM47" s="36">
        <f t="shared" si="12"/>
        <v>0</v>
      </c>
      <c r="AN47" s="36"/>
      <c r="AO47" s="36"/>
      <c r="AP47" s="36">
        <f t="shared" si="13"/>
        <v>0</v>
      </c>
      <c r="AQ47" s="36">
        <f t="shared" si="14"/>
        <v>0</v>
      </c>
    </row>
    <row r="48" spans="1:43" x14ac:dyDescent="0.55000000000000004">
      <c r="A48" s="30">
        <f t="shared" si="15"/>
        <v>45</v>
      </c>
      <c r="B48" s="31">
        <v>44896</v>
      </c>
      <c r="C48" s="45"/>
      <c r="D48" s="33">
        <v>1</v>
      </c>
      <c r="E48" s="33"/>
      <c r="F48" s="33"/>
      <c r="G48" s="53" t="s">
        <v>146</v>
      </c>
      <c r="H48" s="35" t="s">
        <v>147</v>
      </c>
      <c r="I48" s="36">
        <v>1</v>
      </c>
      <c r="J48" s="37" t="s">
        <v>54</v>
      </c>
      <c r="K48" s="37"/>
      <c r="L48" s="37"/>
      <c r="M48" s="38" t="s">
        <v>44</v>
      </c>
      <c r="N48" s="39" t="s">
        <v>49</v>
      </c>
      <c r="O48" s="40">
        <v>10.26</v>
      </c>
      <c r="P48" s="37">
        <f t="shared" si="0"/>
        <v>10.26</v>
      </c>
      <c r="Q48" s="41" t="s">
        <v>54</v>
      </c>
      <c r="R48" s="42">
        <f t="shared" si="18"/>
        <v>0</v>
      </c>
      <c r="S48" s="42">
        <f t="shared" si="17"/>
        <v>0</v>
      </c>
      <c r="T48" s="43">
        <f t="shared" si="3"/>
        <v>0</v>
      </c>
      <c r="U48" s="43">
        <f t="shared" si="3"/>
        <v>0</v>
      </c>
      <c r="V48" s="44">
        <f t="shared" si="16"/>
        <v>1</v>
      </c>
      <c r="W48" s="36">
        <f t="shared" si="4"/>
        <v>10.26</v>
      </c>
      <c r="X48" s="36"/>
      <c r="Y48" s="36"/>
      <c r="Z48" s="36">
        <f t="shared" si="5"/>
        <v>0</v>
      </c>
      <c r="AA48" s="36">
        <f t="shared" si="6"/>
        <v>0</v>
      </c>
      <c r="AB48" s="36"/>
      <c r="AC48" s="36"/>
      <c r="AD48" s="36">
        <f t="shared" si="7"/>
        <v>0</v>
      </c>
      <c r="AE48" s="36">
        <f t="shared" si="8"/>
        <v>0</v>
      </c>
      <c r="AF48" s="36"/>
      <c r="AG48" s="36"/>
      <c r="AH48" s="36">
        <f t="shared" si="9"/>
        <v>0</v>
      </c>
      <c r="AI48" s="36">
        <f t="shared" si="10"/>
        <v>0</v>
      </c>
      <c r="AJ48" s="36"/>
      <c r="AK48" s="36"/>
      <c r="AL48" s="36">
        <f t="shared" si="11"/>
        <v>0</v>
      </c>
      <c r="AM48" s="36">
        <f t="shared" si="12"/>
        <v>0</v>
      </c>
      <c r="AN48" s="36"/>
      <c r="AO48" s="36"/>
      <c r="AP48" s="36">
        <f t="shared" si="13"/>
        <v>0</v>
      </c>
      <c r="AQ48" s="36">
        <f t="shared" si="14"/>
        <v>0</v>
      </c>
    </row>
    <row r="49" spans="1:43" x14ac:dyDescent="0.55000000000000004">
      <c r="A49" s="30">
        <f t="shared" si="15"/>
        <v>46</v>
      </c>
      <c r="B49" s="31">
        <v>44896</v>
      </c>
      <c r="C49" s="45"/>
      <c r="D49" s="33">
        <v>1</v>
      </c>
      <c r="E49" s="33"/>
      <c r="F49" s="33"/>
      <c r="G49" s="34" t="s">
        <v>148</v>
      </c>
      <c r="H49" s="35" t="s">
        <v>149</v>
      </c>
      <c r="I49" s="36">
        <v>1</v>
      </c>
      <c r="J49" s="37" t="s">
        <v>54</v>
      </c>
      <c r="K49" s="37"/>
      <c r="L49" s="37"/>
      <c r="M49" s="38" t="s">
        <v>85</v>
      </c>
      <c r="N49" s="39" t="s">
        <v>41</v>
      </c>
      <c r="O49" s="40">
        <v>68.819999999999993</v>
      </c>
      <c r="P49" s="37">
        <f t="shared" si="0"/>
        <v>68.819999999999993</v>
      </c>
      <c r="Q49" s="41" t="s">
        <v>54</v>
      </c>
      <c r="R49" s="42">
        <f t="shared" si="18"/>
        <v>0</v>
      </c>
      <c r="S49" s="42">
        <f t="shared" si="17"/>
        <v>0</v>
      </c>
      <c r="T49" s="43">
        <f t="shared" si="3"/>
        <v>0</v>
      </c>
      <c r="U49" s="43">
        <f t="shared" si="3"/>
        <v>0</v>
      </c>
      <c r="V49" s="44">
        <f t="shared" si="16"/>
        <v>1</v>
      </c>
      <c r="W49" s="36">
        <f t="shared" si="4"/>
        <v>68.819999999999993</v>
      </c>
      <c r="X49" s="36"/>
      <c r="Y49" s="36"/>
      <c r="Z49" s="36">
        <f t="shared" si="5"/>
        <v>0</v>
      </c>
      <c r="AA49" s="36">
        <f t="shared" si="6"/>
        <v>0</v>
      </c>
      <c r="AB49" s="36"/>
      <c r="AC49" s="36"/>
      <c r="AD49" s="36">
        <f t="shared" si="7"/>
        <v>0</v>
      </c>
      <c r="AE49" s="36">
        <f t="shared" si="8"/>
        <v>0</v>
      </c>
      <c r="AF49" s="36"/>
      <c r="AG49" s="36"/>
      <c r="AH49" s="36">
        <f t="shared" si="9"/>
        <v>0</v>
      </c>
      <c r="AI49" s="36">
        <f t="shared" si="10"/>
        <v>0</v>
      </c>
      <c r="AJ49" s="36"/>
      <c r="AK49" s="36"/>
      <c r="AL49" s="36">
        <f t="shared" si="11"/>
        <v>0</v>
      </c>
      <c r="AM49" s="36">
        <f t="shared" si="12"/>
        <v>0</v>
      </c>
      <c r="AN49" s="36"/>
      <c r="AO49" s="36"/>
      <c r="AP49" s="36">
        <f t="shared" si="13"/>
        <v>0</v>
      </c>
      <c r="AQ49" s="36">
        <f t="shared" si="14"/>
        <v>0</v>
      </c>
    </row>
    <row r="50" spans="1:43" x14ac:dyDescent="0.55000000000000004">
      <c r="A50" s="30">
        <f t="shared" si="15"/>
        <v>47</v>
      </c>
      <c r="B50" s="31">
        <v>44896</v>
      </c>
      <c r="C50" s="45"/>
      <c r="D50" s="33">
        <v>1</v>
      </c>
      <c r="E50" s="33"/>
      <c r="F50" s="33"/>
      <c r="G50" s="51" t="s">
        <v>150</v>
      </c>
      <c r="H50" s="37" t="s">
        <v>104</v>
      </c>
      <c r="I50" s="36">
        <v>1</v>
      </c>
      <c r="J50" s="37" t="s">
        <v>40</v>
      </c>
      <c r="K50" s="37"/>
      <c r="L50" s="37"/>
      <c r="M50" s="38" t="s">
        <v>35</v>
      </c>
      <c r="N50" s="39" t="s">
        <v>36</v>
      </c>
      <c r="O50" s="48">
        <v>17</v>
      </c>
      <c r="P50" s="37">
        <f t="shared" si="0"/>
        <v>17</v>
      </c>
      <c r="Q50" s="41"/>
      <c r="R50" s="42">
        <f t="shared" si="18"/>
        <v>0</v>
      </c>
      <c r="S50" s="42">
        <f t="shared" si="17"/>
        <v>0</v>
      </c>
      <c r="T50" s="43">
        <f t="shared" si="3"/>
        <v>0</v>
      </c>
      <c r="U50" s="43">
        <f t="shared" si="3"/>
        <v>0</v>
      </c>
      <c r="V50" s="44">
        <f t="shared" si="16"/>
        <v>1</v>
      </c>
      <c r="W50" s="36">
        <f t="shared" si="4"/>
        <v>17</v>
      </c>
      <c r="X50" s="36"/>
      <c r="Y50" s="36"/>
      <c r="Z50" s="36">
        <f t="shared" si="5"/>
        <v>0</v>
      </c>
      <c r="AA50" s="36">
        <f t="shared" si="6"/>
        <v>0</v>
      </c>
      <c r="AB50" s="36"/>
      <c r="AC50" s="36"/>
      <c r="AD50" s="36">
        <f t="shared" si="7"/>
        <v>0</v>
      </c>
      <c r="AE50" s="36">
        <f t="shared" si="8"/>
        <v>0</v>
      </c>
      <c r="AF50" s="36"/>
      <c r="AG50" s="36"/>
      <c r="AH50" s="36">
        <f t="shared" si="9"/>
        <v>0</v>
      </c>
      <c r="AI50" s="36">
        <f t="shared" si="10"/>
        <v>0</v>
      </c>
      <c r="AJ50" s="36"/>
      <c r="AK50" s="36"/>
      <c r="AL50" s="36">
        <f t="shared" si="11"/>
        <v>0</v>
      </c>
      <c r="AM50" s="36">
        <f t="shared" si="12"/>
        <v>0</v>
      </c>
      <c r="AN50" s="36"/>
      <c r="AO50" s="36"/>
      <c r="AP50" s="36">
        <f t="shared" si="13"/>
        <v>0</v>
      </c>
      <c r="AQ50" s="36">
        <f t="shared" si="14"/>
        <v>0</v>
      </c>
    </row>
    <row r="51" spans="1:43" x14ac:dyDescent="0.55000000000000004">
      <c r="A51" s="30">
        <f t="shared" si="15"/>
        <v>48</v>
      </c>
      <c r="B51" s="31">
        <v>44896</v>
      </c>
      <c r="C51" s="45"/>
      <c r="D51" s="33">
        <v>2</v>
      </c>
      <c r="E51" s="33"/>
      <c r="F51" s="33"/>
      <c r="G51" s="51" t="s">
        <v>151</v>
      </c>
      <c r="H51" s="52" t="s">
        <v>112</v>
      </c>
      <c r="I51" s="36">
        <v>2</v>
      </c>
      <c r="J51" s="37" t="s">
        <v>54</v>
      </c>
      <c r="K51" s="37"/>
      <c r="L51" s="37"/>
      <c r="M51" s="38" t="s">
        <v>113</v>
      </c>
      <c r="N51" s="39" t="s">
        <v>114</v>
      </c>
      <c r="O51" s="40">
        <v>243.51</v>
      </c>
      <c r="P51" s="37">
        <f t="shared" si="0"/>
        <v>487.02</v>
      </c>
      <c r="Q51" s="41"/>
      <c r="R51" s="42">
        <f t="shared" si="18"/>
        <v>0</v>
      </c>
      <c r="S51" s="42">
        <f t="shared" si="17"/>
        <v>0</v>
      </c>
      <c r="T51" s="43">
        <f t="shared" si="3"/>
        <v>0</v>
      </c>
      <c r="U51" s="43">
        <f t="shared" si="3"/>
        <v>0</v>
      </c>
      <c r="V51" s="44">
        <f t="shared" si="16"/>
        <v>2</v>
      </c>
      <c r="W51" s="36">
        <f t="shared" si="4"/>
        <v>487.02</v>
      </c>
      <c r="X51" s="36"/>
      <c r="Y51" s="36"/>
      <c r="Z51" s="36">
        <f t="shared" si="5"/>
        <v>0</v>
      </c>
      <c r="AA51" s="36">
        <f t="shared" si="6"/>
        <v>0</v>
      </c>
      <c r="AB51" s="36"/>
      <c r="AC51" s="36"/>
      <c r="AD51" s="36">
        <f t="shared" si="7"/>
        <v>0</v>
      </c>
      <c r="AE51" s="36">
        <f t="shared" si="8"/>
        <v>0</v>
      </c>
      <c r="AF51" s="36"/>
      <c r="AG51" s="36"/>
      <c r="AH51" s="36">
        <f t="shared" si="9"/>
        <v>0</v>
      </c>
      <c r="AI51" s="36">
        <f t="shared" si="10"/>
        <v>0</v>
      </c>
      <c r="AJ51" s="36"/>
      <c r="AK51" s="36"/>
      <c r="AL51" s="36">
        <f t="shared" si="11"/>
        <v>0</v>
      </c>
      <c r="AM51" s="36">
        <f t="shared" si="12"/>
        <v>0</v>
      </c>
      <c r="AN51" s="36"/>
      <c r="AO51" s="36"/>
      <c r="AP51" s="36">
        <f t="shared" si="13"/>
        <v>0</v>
      </c>
      <c r="AQ51" s="36">
        <f t="shared" si="14"/>
        <v>0</v>
      </c>
    </row>
    <row r="52" spans="1:43" x14ac:dyDescent="0.55000000000000004">
      <c r="A52" s="30">
        <f t="shared" si="15"/>
        <v>49</v>
      </c>
      <c r="B52" s="31">
        <v>44896</v>
      </c>
      <c r="C52" s="45"/>
      <c r="D52" s="33">
        <v>1</v>
      </c>
      <c r="E52" s="33"/>
      <c r="F52" s="33"/>
      <c r="G52" s="49" t="s">
        <v>152</v>
      </c>
      <c r="H52" s="52" t="s">
        <v>112</v>
      </c>
      <c r="I52" s="36">
        <v>0</v>
      </c>
      <c r="J52" s="37" t="s">
        <v>54</v>
      </c>
      <c r="K52" s="37"/>
      <c r="L52" s="37"/>
      <c r="M52" s="38" t="s">
        <v>113</v>
      </c>
      <c r="N52" s="39" t="s">
        <v>114</v>
      </c>
      <c r="O52" s="40">
        <v>571.70000000000005</v>
      </c>
      <c r="P52" s="37">
        <f t="shared" si="0"/>
        <v>0</v>
      </c>
      <c r="Q52" s="41"/>
      <c r="R52" s="42">
        <f t="shared" si="18"/>
        <v>0</v>
      </c>
      <c r="S52" s="42">
        <f t="shared" si="17"/>
        <v>0</v>
      </c>
      <c r="T52" s="43">
        <f t="shared" si="3"/>
        <v>0</v>
      </c>
      <c r="U52" s="43">
        <f t="shared" si="3"/>
        <v>0</v>
      </c>
      <c r="V52" s="44">
        <f t="shared" si="16"/>
        <v>0</v>
      </c>
      <c r="W52" s="36">
        <f t="shared" si="4"/>
        <v>0</v>
      </c>
      <c r="X52" s="36"/>
      <c r="Y52" s="36"/>
      <c r="Z52" s="36">
        <f t="shared" si="5"/>
        <v>0</v>
      </c>
      <c r="AA52" s="36">
        <f t="shared" si="6"/>
        <v>0</v>
      </c>
      <c r="AB52" s="36"/>
      <c r="AC52" s="36"/>
      <c r="AD52" s="36">
        <f t="shared" si="7"/>
        <v>0</v>
      </c>
      <c r="AE52" s="36">
        <f t="shared" si="8"/>
        <v>0</v>
      </c>
      <c r="AF52" s="36"/>
      <c r="AG52" s="36"/>
      <c r="AH52" s="36">
        <f t="shared" si="9"/>
        <v>0</v>
      </c>
      <c r="AI52" s="36">
        <f t="shared" si="10"/>
        <v>0</v>
      </c>
      <c r="AJ52" s="36"/>
      <c r="AK52" s="36"/>
      <c r="AL52" s="36">
        <f t="shared" si="11"/>
        <v>0</v>
      </c>
      <c r="AM52" s="36">
        <f t="shared" si="12"/>
        <v>0</v>
      </c>
      <c r="AN52" s="36"/>
      <c r="AO52" s="36"/>
      <c r="AP52" s="36">
        <f t="shared" si="13"/>
        <v>0</v>
      </c>
      <c r="AQ52" s="36">
        <f t="shared" si="14"/>
        <v>0</v>
      </c>
    </row>
    <row r="53" spans="1:43" x14ac:dyDescent="0.55000000000000004">
      <c r="A53" s="30">
        <f t="shared" si="15"/>
        <v>50</v>
      </c>
      <c r="B53" s="31">
        <v>44896</v>
      </c>
      <c r="C53" s="45"/>
      <c r="D53" s="33">
        <v>3</v>
      </c>
      <c r="E53" s="33"/>
      <c r="F53" s="33"/>
      <c r="G53" s="51" t="s">
        <v>153</v>
      </c>
      <c r="H53" s="52" t="s">
        <v>112</v>
      </c>
      <c r="I53" s="36">
        <v>3</v>
      </c>
      <c r="J53" s="37" t="s">
        <v>54</v>
      </c>
      <c r="K53" s="37"/>
      <c r="L53" s="37"/>
      <c r="M53" s="38" t="s">
        <v>113</v>
      </c>
      <c r="N53" s="39" t="s">
        <v>114</v>
      </c>
      <c r="O53" s="40">
        <v>322.22000000000003</v>
      </c>
      <c r="P53" s="37">
        <f t="shared" si="0"/>
        <v>966.66000000000008</v>
      </c>
      <c r="Q53" s="41"/>
      <c r="R53" s="42">
        <f t="shared" si="18"/>
        <v>0</v>
      </c>
      <c r="S53" s="42">
        <f t="shared" si="17"/>
        <v>0</v>
      </c>
      <c r="T53" s="43">
        <f t="shared" si="3"/>
        <v>0</v>
      </c>
      <c r="U53" s="43">
        <f t="shared" si="3"/>
        <v>0</v>
      </c>
      <c r="V53" s="44">
        <f t="shared" si="16"/>
        <v>3</v>
      </c>
      <c r="W53" s="36">
        <f t="shared" si="4"/>
        <v>966.66000000000008</v>
      </c>
      <c r="X53" s="36"/>
      <c r="Y53" s="36"/>
      <c r="Z53" s="36">
        <f t="shared" si="5"/>
        <v>0</v>
      </c>
      <c r="AA53" s="36">
        <f t="shared" si="6"/>
        <v>0</v>
      </c>
      <c r="AB53" s="36"/>
      <c r="AC53" s="36"/>
      <c r="AD53" s="36">
        <f t="shared" si="7"/>
        <v>0</v>
      </c>
      <c r="AE53" s="36">
        <f t="shared" si="8"/>
        <v>0</v>
      </c>
      <c r="AF53" s="36"/>
      <c r="AG53" s="36"/>
      <c r="AH53" s="36">
        <f t="shared" si="9"/>
        <v>0</v>
      </c>
      <c r="AI53" s="36">
        <f t="shared" si="10"/>
        <v>0</v>
      </c>
      <c r="AJ53" s="36"/>
      <c r="AK53" s="36"/>
      <c r="AL53" s="36">
        <f t="shared" si="11"/>
        <v>0</v>
      </c>
      <c r="AM53" s="36">
        <f t="shared" si="12"/>
        <v>0</v>
      </c>
      <c r="AN53" s="36"/>
      <c r="AO53" s="36"/>
      <c r="AP53" s="36">
        <f t="shared" si="13"/>
        <v>0</v>
      </c>
      <c r="AQ53" s="36">
        <f t="shared" si="14"/>
        <v>0</v>
      </c>
    </row>
    <row r="54" spans="1:43" x14ac:dyDescent="0.55000000000000004">
      <c r="A54" s="30">
        <f t="shared" si="15"/>
        <v>51</v>
      </c>
      <c r="B54" s="31">
        <v>44896</v>
      </c>
      <c r="C54" s="45"/>
      <c r="D54" s="33">
        <v>1</v>
      </c>
      <c r="E54" s="33"/>
      <c r="F54" s="33"/>
      <c r="G54" s="34" t="s">
        <v>154</v>
      </c>
      <c r="H54" s="35" t="s">
        <v>155</v>
      </c>
      <c r="I54" s="36">
        <v>1</v>
      </c>
      <c r="J54" s="37" t="s">
        <v>54</v>
      </c>
      <c r="K54" s="37"/>
      <c r="L54" s="37"/>
      <c r="M54" s="38" t="s">
        <v>85</v>
      </c>
      <c r="N54" s="54" t="s">
        <v>41</v>
      </c>
      <c r="O54" s="40">
        <v>61.95</v>
      </c>
      <c r="P54" s="37">
        <f t="shared" si="0"/>
        <v>61.95</v>
      </c>
      <c r="Q54" s="41" t="s">
        <v>54</v>
      </c>
      <c r="R54" s="42">
        <f t="shared" si="18"/>
        <v>0</v>
      </c>
      <c r="S54" s="42">
        <f t="shared" si="17"/>
        <v>0</v>
      </c>
      <c r="T54" s="43">
        <f t="shared" si="3"/>
        <v>0</v>
      </c>
      <c r="U54" s="43">
        <f t="shared" si="3"/>
        <v>0</v>
      </c>
      <c r="V54" s="44">
        <f t="shared" si="16"/>
        <v>1</v>
      </c>
      <c r="W54" s="36">
        <f t="shared" si="4"/>
        <v>61.95</v>
      </c>
      <c r="X54" s="36"/>
      <c r="Y54" s="36"/>
      <c r="Z54" s="36">
        <f t="shared" si="5"/>
        <v>0</v>
      </c>
      <c r="AA54" s="36">
        <f t="shared" si="6"/>
        <v>0</v>
      </c>
      <c r="AB54" s="36"/>
      <c r="AC54" s="36"/>
      <c r="AD54" s="36">
        <f t="shared" si="7"/>
        <v>0</v>
      </c>
      <c r="AE54" s="36">
        <f t="shared" si="8"/>
        <v>0</v>
      </c>
      <c r="AF54" s="36"/>
      <c r="AG54" s="36"/>
      <c r="AH54" s="36">
        <f t="shared" si="9"/>
        <v>0</v>
      </c>
      <c r="AI54" s="36">
        <f t="shared" si="10"/>
        <v>0</v>
      </c>
      <c r="AJ54" s="36"/>
      <c r="AK54" s="36"/>
      <c r="AL54" s="36">
        <f t="shared" si="11"/>
        <v>0</v>
      </c>
      <c r="AM54" s="36">
        <f t="shared" si="12"/>
        <v>0</v>
      </c>
      <c r="AN54" s="36"/>
      <c r="AO54" s="36"/>
      <c r="AP54" s="36">
        <f t="shared" si="13"/>
        <v>0</v>
      </c>
      <c r="AQ54" s="36">
        <f t="shared" si="14"/>
        <v>0</v>
      </c>
    </row>
    <row r="55" spans="1:43" x14ac:dyDescent="0.55000000000000004">
      <c r="A55" s="30">
        <f t="shared" si="15"/>
        <v>52</v>
      </c>
      <c r="B55" s="31">
        <v>44896</v>
      </c>
      <c r="C55" s="45"/>
      <c r="D55" s="33">
        <v>4</v>
      </c>
      <c r="E55" s="33"/>
      <c r="F55" s="33"/>
      <c r="G55" s="34" t="s">
        <v>156</v>
      </c>
      <c r="H55" s="35" t="s">
        <v>157</v>
      </c>
      <c r="I55" s="36">
        <v>4</v>
      </c>
      <c r="J55" s="37" t="s">
        <v>54</v>
      </c>
      <c r="K55" s="37"/>
      <c r="L55" s="37"/>
      <c r="M55" s="38" t="s">
        <v>102</v>
      </c>
      <c r="N55" s="39" t="s">
        <v>49</v>
      </c>
      <c r="O55" s="40">
        <v>162.16999999999999</v>
      </c>
      <c r="P55" s="37">
        <f t="shared" si="0"/>
        <v>648.67999999999995</v>
      </c>
      <c r="Q55" s="41" t="s">
        <v>54</v>
      </c>
      <c r="R55" s="42">
        <f t="shared" si="18"/>
        <v>0</v>
      </c>
      <c r="S55" s="42">
        <f t="shared" si="17"/>
        <v>0</v>
      </c>
      <c r="T55" s="43">
        <f t="shared" si="3"/>
        <v>0</v>
      </c>
      <c r="U55" s="43">
        <f t="shared" si="3"/>
        <v>0</v>
      </c>
      <c r="V55" s="44">
        <f t="shared" si="16"/>
        <v>4</v>
      </c>
      <c r="W55" s="36">
        <f t="shared" si="4"/>
        <v>648.67999999999995</v>
      </c>
      <c r="X55" s="36"/>
      <c r="Y55" s="36"/>
      <c r="Z55" s="36">
        <f t="shared" si="5"/>
        <v>0</v>
      </c>
      <c r="AA55" s="36">
        <f t="shared" si="6"/>
        <v>0</v>
      </c>
      <c r="AB55" s="36"/>
      <c r="AC55" s="36"/>
      <c r="AD55" s="36">
        <f t="shared" si="7"/>
        <v>0</v>
      </c>
      <c r="AE55" s="36">
        <f t="shared" si="8"/>
        <v>0</v>
      </c>
      <c r="AF55" s="36"/>
      <c r="AG55" s="36"/>
      <c r="AH55" s="36">
        <f t="shared" si="9"/>
        <v>0</v>
      </c>
      <c r="AI55" s="36">
        <f t="shared" si="10"/>
        <v>0</v>
      </c>
      <c r="AJ55" s="36"/>
      <c r="AK55" s="36"/>
      <c r="AL55" s="36">
        <f t="shared" si="11"/>
        <v>0</v>
      </c>
      <c r="AM55" s="36">
        <f t="shared" si="12"/>
        <v>0</v>
      </c>
      <c r="AN55" s="36"/>
      <c r="AO55" s="36"/>
      <c r="AP55" s="36">
        <f t="shared" si="13"/>
        <v>0</v>
      </c>
      <c r="AQ55" s="36">
        <f t="shared" si="14"/>
        <v>0</v>
      </c>
    </row>
    <row r="56" spans="1:43" x14ac:dyDescent="0.55000000000000004">
      <c r="A56" s="30">
        <f t="shared" si="15"/>
        <v>53</v>
      </c>
      <c r="B56" s="31">
        <v>44896</v>
      </c>
      <c r="C56" s="45"/>
      <c r="D56" s="33">
        <v>1</v>
      </c>
      <c r="E56" s="33"/>
      <c r="F56" s="33"/>
      <c r="G56" s="34" t="s">
        <v>158</v>
      </c>
      <c r="H56" s="35" t="s">
        <v>159</v>
      </c>
      <c r="I56" s="36">
        <v>1</v>
      </c>
      <c r="J56" s="37" t="s">
        <v>54</v>
      </c>
      <c r="K56" s="37"/>
      <c r="L56" s="37"/>
      <c r="M56" s="38" t="s">
        <v>85</v>
      </c>
      <c r="N56" s="39" t="s">
        <v>41</v>
      </c>
      <c r="O56" s="40">
        <v>60.36</v>
      </c>
      <c r="P56" s="37">
        <f t="shared" si="0"/>
        <v>60.36</v>
      </c>
      <c r="Q56" s="41" t="s">
        <v>54</v>
      </c>
      <c r="R56" s="42">
        <f t="shared" si="18"/>
        <v>0</v>
      </c>
      <c r="S56" s="42">
        <f t="shared" si="17"/>
        <v>0</v>
      </c>
      <c r="T56" s="43">
        <f t="shared" si="3"/>
        <v>0</v>
      </c>
      <c r="U56" s="43">
        <f t="shared" si="3"/>
        <v>0</v>
      </c>
      <c r="V56" s="44">
        <f t="shared" si="16"/>
        <v>1</v>
      </c>
      <c r="W56" s="36">
        <f t="shared" si="4"/>
        <v>60.36</v>
      </c>
      <c r="X56" s="36"/>
      <c r="Y56" s="36"/>
      <c r="Z56" s="36">
        <f t="shared" si="5"/>
        <v>0</v>
      </c>
      <c r="AA56" s="36">
        <f t="shared" si="6"/>
        <v>0</v>
      </c>
      <c r="AB56" s="36"/>
      <c r="AC56" s="36"/>
      <c r="AD56" s="36">
        <f t="shared" si="7"/>
        <v>0</v>
      </c>
      <c r="AE56" s="36">
        <f t="shared" si="8"/>
        <v>0</v>
      </c>
      <c r="AF56" s="36"/>
      <c r="AG56" s="36"/>
      <c r="AH56" s="36">
        <f t="shared" si="9"/>
        <v>0</v>
      </c>
      <c r="AI56" s="36">
        <f t="shared" si="10"/>
        <v>0</v>
      </c>
      <c r="AJ56" s="36"/>
      <c r="AK56" s="36"/>
      <c r="AL56" s="36">
        <f t="shared" si="11"/>
        <v>0</v>
      </c>
      <c r="AM56" s="36">
        <f t="shared" si="12"/>
        <v>0</v>
      </c>
      <c r="AN56" s="36"/>
      <c r="AO56" s="36"/>
      <c r="AP56" s="36">
        <f t="shared" si="13"/>
        <v>0</v>
      </c>
      <c r="AQ56" s="36">
        <f t="shared" si="14"/>
        <v>0</v>
      </c>
    </row>
    <row r="57" spans="1:43" x14ac:dyDescent="0.55000000000000004">
      <c r="A57" s="30">
        <f t="shared" si="15"/>
        <v>54</v>
      </c>
      <c r="B57" s="31">
        <v>44896</v>
      </c>
      <c r="C57" s="45"/>
      <c r="D57" s="33">
        <v>2</v>
      </c>
      <c r="E57" s="33"/>
      <c r="F57" s="33"/>
      <c r="G57" s="34" t="s">
        <v>160</v>
      </c>
      <c r="H57" s="35" t="s">
        <v>161</v>
      </c>
      <c r="I57" s="36">
        <v>2</v>
      </c>
      <c r="J57" s="37" t="s">
        <v>54</v>
      </c>
      <c r="K57" s="37"/>
      <c r="L57" s="37"/>
      <c r="M57" s="38" t="s">
        <v>83</v>
      </c>
      <c r="N57" s="39" t="s">
        <v>49</v>
      </c>
      <c r="O57" s="40">
        <v>30.86</v>
      </c>
      <c r="P57" s="37">
        <f t="shared" si="0"/>
        <v>61.72</v>
      </c>
      <c r="Q57" s="41" t="s">
        <v>80</v>
      </c>
      <c r="R57" s="42">
        <f t="shared" si="18"/>
        <v>0</v>
      </c>
      <c r="S57" s="42">
        <f t="shared" si="17"/>
        <v>0</v>
      </c>
      <c r="T57" s="43">
        <f t="shared" si="3"/>
        <v>0</v>
      </c>
      <c r="U57" s="43">
        <f t="shared" si="3"/>
        <v>0</v>
      </c>
      <c r="V57" s="44">
        <f t="shared" si="16"/>
        <v>2</v>
      </c>
      <c r="W57" s="36">
        <f t="shared" si="4"/>
        <v>61.72</v>
      </c>
      <c r="X57" s="36"/>
      <c r="Y57" s="36"/>
      <c r="Z57" s="36">
        <f t="shared" si="5"/>
        <v>0</v>
      </c>
      <c r="AA57" s="36">
        <f t="shared" si="6"/>
        <v>0</v>
      </c>
      <c r="AB57" s="36"/>
      <c r="AC57" s="36"/>
      <c r="AD57" s="36">
        <f t="shared" si="7"/>
        <v>0</v>
      </c>
      <c r="AE57" s="36">
        <f t="shared" si="8"/>
        <v>0</v>
      </c>
      <c r="AF57" s="36"/>
      <c r="AG57" s="36"/>
      <c r="AH57" s="36">
        <f t="shared" si="9"/>
        <v>0</v>
      </c>
      <c r="AI57" s="36">
        <f t="shared" si="10"/>
        <v>0</v>
      </c>
      <c r="AJ57" s="36"/>
      <c r="AK57" s="36"/>
      <c r="AL57" s="36">
        <f t="shared" si="11"/>
        <v>0</v>
      </c>
      <c r="AM57" s="36">
        <f t="shared" si="12"/>
        <v>0</v>
      </c>
      <c r="AN57" s="36"/>
      <c r="AO57" s="36"/>
      <c r="AP57" s="36">
        <f t="shared" si="13"/>
        <v>0</v>
      </c>
      <c r="AQ57" s="36">
        <f t="shared" si="14"/>
        <v>0</v>
      </c>
    </row>
    <row r="58" spans="1:43" x14ac:dyDescent="0.55000000000000004">
      <c r="A58" s="30">
        <f t="shared" si="15"/>
        <v>55</v>
      </c>
      <c r="B58" s="31">
        <v>45261</v>
      </c>
      <c r="C58" s="45"/>
      <c r="D58" s="33">
        <v>2</v>
      </c>
      <c r="E58" s="33"/>
      <c r="F58" s="33"/>
      <c r="G58" s="34" t="s">
        <v>162</v>
      </c>
      <c r="H58" s="35" t="s">
        <v>163</v>
      </c>
      <c r="I58" s="36">
        <v>2</v>
      </c>
      <c r="J58" s="37" t="s">
        <v>54</v>
      </c>
      <c r="K58" s="37"/>
      <c r="L58" s="37"/>
      <c r="M58" s="38" t="s">
        <v>72</v>
      </c>
      <c r="N58" s="39" t="s">
        <v>41</v>
      </c>
      <c r="O58" s="40">
        <v>161.83000000000001</v>
      </c>
      <c r="P58" s="37">
        <f t="shared" si="0"/>
        <v>323.66000000000003</v>
      </c>
      <c r="Q58" s="41"/>
      <c r="R58" s="42">
        <f t="shared" si="18"/>
        <v>0</v>
      </c>
      <c r="S58" s="42">
        <f t="shared" si="17"/>
        <v>161.83000000000001</v>
      </c>
      <c r="T58" s="43">
        <f t="shared" si="3"/>
        <v>0</v>
      </c>
      <c r="U58" s="43">
        <f t="shared" si="3"/>
        <v>1</v>
      </c>
      <c r="V58" s="44">
        <f t="shared" si="16"/>
        <v>1</v>
      </c>
      <c r="W58" s="36">
        <f t="shared" si="4"/>
        <v>161.83000000000001</v>
      </c>
      <c r="X58" s="36"/>
      <c r="Y58" s="36"/>
      <c r="Z58" s="36">
        <f t="shared" si="5"/>
        <v>0</v>
      </c>
      <c r="AA58" s="36">
        <f t="shared" si="6"/>
        <v>0</v>
      </c>
      <c r="AB58" s="36"/>
      <c r="AC58" s="36"/>
      <c r="AD58" s="36">
        <f t="shared" si="7"/>
        <v>0</v>
      </c>
      <c r="AE58" s="36">
        <f t="shared" si="8"/>
        <v>0</v>
      </c>
      <c r="AF58" s="36"/>
      <c r="AG58" s="36">
        <v>1</v>
      </c>
      <c r="AH58" s="36">
        <f t="shared" si="9"/>
        <v>0</v>
      </c>
      <c r="AI58" s="36">
        <f t="shared" si="10"/>
        <v>161.83000000000001</v>
      </c>
      <c r="AJ58" s="36"/>
      <c r="AK58" s="36"/>
      <c r="AL58" s="36">
        <f t="shared" si="11"/>
        <v>0</v>
      </c>
      <c r="AM58" s="36">
        <f t="shared" si="12"/>
        <v>0</v>
      </c>
      <c r="AN58" s="36"/>
      <c r="AO58" s="36"/>
      <c r="AP58" s="36">
        <f t="shared" si="13"/>
        <v>0</v>
      </c>
      <c r="AQ58" s="36">
        <f t="shared" si="14"/>
        <v>0</v>
      </c>
    </row>
    <row r="59" spans="1:43" x14ac:dyDescent="0.55000000000000004">
      <c r="A59" s="30">
        <f t="shared" si="15"/>
        <v>56</v>
      </c>
      <c r="B59" s="31">
        <v>45292</v>
      </c>
      <c r="C59" s="45"/>
      <c r="D59" s="33">
        <v>1</v>
      </c>
      <c r="E59" s="33"/>
      <c r="F59" s="33"/>
      <c r="G59" s="34">
        <v>1583032</v>
      </c>
      <c r="H59" s="35" t="s">
        <v>133</v>
      </c>
      <c r="I59" s="36">
        <v>1</v>
      </c>
      <c r="J59" s="37" t="s">
        <v>54</v>
      </c>
      <c r="K59" s="37"/>
      <c r="L59" s="37"/>
      <c r="M59" s="38" t="s">
        <v>85</v>
      </c>
      <c r="N59" s="39" t="s">
        <v>41</v>
      </c>
      <c r="O59" s="40">
        <v>47.08</v>
      </c>
      <c r="P59" s="37">
        <f t="shared" si="0"/>
        <v>47.08</v>
      </c>
      <c r="Q59" s="41"/>
      <c r="R59" s="42">
        <f t="shared" si="18"/>
        <v>0</v>
      </c>
      <c r="S59" s="42">
        <f t="shared" si="17"/>
        <v>0</v>
      </c>
      <c r="T59" s="43">
        <f t="shared" si="3"/>
        <v>0</v>
      </c>
      <c r="U59" s="43">
        <f t="shared" si="3"/>
        <v>0</v>
      </c>
      <c r="V59" s="44">
        <f t="shared" si="16"/>
        <v>1</v>
      </c>
      <c r="W59" s="36">
        <f t="shared" si="4"/>
        <v>47.08</v>
      </c>
      <c r="X59" s="36"/>
      <c r="Y59" s="36"/>
      <c r="Z59" s="36">
        <f t="shared" si="5"/>
        <v>0</v>
      </c>
      <c r="AA59" s="36">
        <f t="shared" si="6"/>
        <v>0</v>
      </c>
      <c r="AB59" s="36"/>
      <c r="AC59" s="36"/>
      <c r="AD59" s="36">
        <f t="shared" si="7"/>
        <v>0</v>
      </c>
      <c r="AE59" s="36">
        <f t="shared" si="8"/>
        <v>0</v>
      </c>
      <c r="AF59" s="36"/>
      <c r="AG59" s="36"/>
      <c r="AH59" s="36">
        <f t="shared" si="9"/>
        <v>0</v>
      </c>
      <c r="AI59" s="36">
        <f t="shared" si="10"/>
        <v>0</v>
      </c>
      <c r="AJ59" s="36"/>
      <c r="AK59" s="36"/>
      <c r="AL59" s="36">
        <f t="shared" si="11"/>
        <v>0</v>
      </c>
      <c r="AM59" s="36">
        <f t="shared" si="12"/>
        <v>0</v>
      </c>
      <c r="AN59" s="36"/>
      <c r="AO59" s="36"/>
      <c r="AP59" s="36">
        <f t="shared" si="13"/>
        <v>0</v>
      </c>
      <c r="AQ59" s="36">
        <f t="shared" si="14"/>
        <v>0</v>
      </c>
    </row>
    <row r="60" spans="1:43" x14ac:dyDescent="0.55000000000000004">
      <c r="A60" s="30">
        <f t="shared" si="15"/>
        <v>57</v>
      </c>
      <c r="B60" s="31">
        <v>44896</v>
      </c>
      <c r="C60" s="45"/>
      <c r="D60" s="33">
        <v>1</v>
      </c>
      <c r="E60" s="33"/>
      <c r="F60" s="33"/>
      <c r="G60" s="34">
        <v>4214023</v>
      </c>
      <c r="H60" s="35" t="s">
        <v>133</v>
      </c>
      <c r="I60" s="36">
        <v>1</v>
      </c>
      <c r="J60" s="37"/>
      <c r="K60" s="37"/>
      <c r="L60" s="37"/>
      <c r="M60" s="38" t="s">
        <v>85</v>
      </c>
      <c r="N60" s="39" t="s">
        <v>41</v>
      </c>
      <c r="O60" s="40">
        <v>35.04</v>
      </c>
      <c r="P60" s="37">
        <f t="shared" si="0"/>
        <v>35.04</v>
      </c>
      <c r="Q60" s="41"/>
      <c r="R60" s="42">
        <f t="shared" si="18"/>
        <v>0</v>
      </c>
      <c r="S60" s="42">
        <f t="shared" si="17"/>
        <v>0</v>
      </c>
      <c r="T60" s="43">
        <f t="shared" si="3"/>
        <v>0</v>
      </c>
      <c r="U60" s="43">
        <f t="shared" si="3"/>
        <v>0</v>
      </c>
      <c r="V60" s="44">
        <f t="shared" si="16"/>
        <v>1</v>
      </c>
      <c r="W60" s="36">
        <f t="shared" si="4"/>
        <v>35.04</v>
      </c>
      <c r="X60" s="36"/>
      <c r="Y60" s="36"/>
      <c r="Z60" s="36">
        <f t="shared" si="5"/>
        <v>0</v>
      </c>
      <c r="AA60" s="36">
        <f t="shared" si="6"/>
        <v>0</v>
      </c>
      <c r="AB60" s="36"/>
      <c r="AC60" s="36"/>
      <c r="AD60" s="36">
        <f t="shared" si="7"/>
        <v>0</v>
      </c>
      <c r="AE60" s="36">
        <f t="shared" si="8"/>
        <v>0</v>
      </c>
      <c r="AF60" s="36"/>
      <c r="AG60" s="36"/>
      <c r="AH60" s="36">
        <f t="shared" si="9"/>
        <v>0</v>
      </c>
      <c r="AI60" s="36">
        <f t="shared" si="10"/>
        <v>0</v>
      </c>
      <c r="AJ60" s="36"/>
      <c r="AK60" s="36"/>
      <c r="AL60" s="36">
        <f t="shared" si="11"/>
        <v>0</v>
      </c>
      <c r="AM60" s="36">
        <f t="shared" si="12"/>
        <v>0</v>
      </c>
      <c r="AN60" s="36"/>
      <c r="AO60" s="36"/>
      <c r="AP60" s="36">
        <f t="shared" si="13"/>
        <v>0</v>
      </c>
      <c r="AQ60" s="36">
        <f t="shared" si="14"/>
        <v>0</v>
      </c>
    </row>
    <row r="61" spans="1:43" x14ac:dyDescent="0.55000000000000004">
      <c r="A61" s="30">
        <f t="shared" si="15"/>
        <v>58</v>
      </c>
      <c r="B61" s="31">
        <v>44896</v>
      </c>
      <c r="C61" s="45"/>
      <c r="D61" s="33">
        <v>2</v>
      </c>
      <c r="E61" s="33"/>
      <c r="F61" s="33"/>
      <c r="G61" s="55" t="s">
        <v>164</v>
      </c>
      <c r="H61" s="35" t="s">
        <v>165</v>
      </c>
      <c r="I61" s="36">
        <v>0</v>
      </c>
      <c r="J61" s="37" t="s">
        <v>54</v>
      </c>
      <c r="K61" s="37"/>
      <c r="L61" s="37"/>
      <c r="M61" s="38" t="s">
        <v>83</v>
      </c>
      <c r="N61" s="39" t="s">
        <v>49</v>
      </c>
      <c r="O61" s="40">
        <v>111.85</v>
      </c>
      <c r="P61" s="37">
        <f t="shared" si="0"/>
        <v>0</v>
      </c>
      <c r="Q61" s="41" t="s">
        <v>54</v>
      </c>
      <c r="R61" s="42">
        <f t="shared" si="18"/>
        <v>0</v>
      </c>
      <c r="S61" s="42">
        <f t="shared" si="17"/>
        <v>0</v>
      </c>
      <c r="T61" s="43">
        <f t="shared" si="3"/>
        <v>0</v>
      </c>
      <c r="U61" s="43">
        <f t="shared" si="3"/>
        <v>0</v>
      </c>
      <c r="V61" s="44">
        <f t="shared" si="16"/>
        <v>0</v>
      </c>
      <c r="W61" s="36">
        <f t="shared" si="4"/>
        <v>0</v>
      </c>
      <c r="X61" s="36"/>
      <c r="Y61" s="36"/>
      <c r="Z61" s="36">
        <f t="shared" si="5"/>
        <v>0</v>
      </c>
      <c r="AA61" s="36">
        <f t="shared" si="6"/>
        <v>0</v>
      </c>
      <c r="AB61" s="36"/>
      <c r="AC61" s="36"/>
      <c r="AD61" s="36">
        <f t="shared" si="7"/>
        <v>0</v>
      </c>
      <c r="AE61" s="36">
        <f t="shared" si="8"/>
        <v>0</v>
      </c>
      <c r="AF61" s="36"/>
      <c r="AG61" s="36"/>
      <c r="AH61" s="36">
        <f t="shared" si="9"/>
        <v>0</v>
      </c>
      <c r="AI61" s="36">
        <f t="shared" si="10"/>
        <v>0</v>
      </c>
      <c r="AJ61" s="36"/>
      <c r="AK61" s="36"/>
      <c r="AL61" s="36">
        <f t="shared" si="11"/>
        <v>0</v>
      </c>
      <c r="AM61" s="36">
        <f t="shared" si="12"/>
        <v>0</v>
      </c>
      <c r="AN61" s="36"/>
      <c r="AO61" s="36"/>
      <c r="AP61" s="36">
        <f t="shared" si="13"/>
        <v>0</v>
      </c>
      <c r="AQ61" s="36">
        <f t="shared" si="14"/>
        <v>0</v>
      </c>
    </row>
    <row r="62" spans="1:43" x14ac:dyDescent="0.55000000000000004">
      <c r="A62" s="30">
        <f t="shared" si="15"/>
        <v>59</v>
      </c>
      <c r="B62" s="31">
        <v>44896</v>
      </c>
      <c r="C62" s="45"/>
      <c r="D62" s="33">
        <v>1</v>
      </c>
      <c r="E62" s="33"/>
      <c r="F62" s="33"/>
      <c r="G62" s="34" t="s">
        <v>166</v>
      </c>
      <c r="H62" s="35" t="s">
        <v>167</v>
      </c>
      <c r="I62" s="36">
        <v>1</v>
      </c>
      <c r="J62" s="37" t="s">
        <v>54</v>
      </c>
      <c r="K62" s="37"/>
      <c r="L62" s="37"/>
      <c r="M62" s="38" t="s">
        <v>85</v>
      </c>
      <c r="N62" s="39" t="s">
        <v>41</v>
      </c>
      <c r="O62" s="40">
        <v>74.27</v>
      </c>
      <c r="P62" s="37">
        <f t="shared" si="0"/>
        <v>74.27</v>
      </c>
      <c r="Q62" s="41" t="s">
        <v>54</v>
      </c>
      <c r="R62" s="42">
        <f t="shared" si="18"/>
        <v>0</v>
      </c>
      <c r="S62" s="42">
        <f t="shared" si="17"/>
        <v>0</v>
      </c>
      <c r="T62" s="43">
        <f t="shared" si="3"/>
        <v>0</v>
      </c>
      <c r="U62" s="43">
        <f t="shared" si="3"/>
        <v>0</v>
      </c>
      <c r="V62" s="44">
        <f t="shared" si="16"/>
        <v>1</v>
      </c>
      <c r="W62" s="36">
        <f t="shared" si="4"/>
        <v>74.27</v>
      </c>
      <c r="X62" s="36"/>
      <c r="Y62" s="36"/>
      <c r="Z62" s="36">
        <f t="shared" si="5"/>
        <v>0</v>
      </c>
      <c r="AA62" s="36">
        <f t="shared" si="6"/>
        <v>0</v>
      </c>
      <c r="AB62" s="36"/>
      <c r="AC62" s="36"/>
      <c r="AD62" s="36">
        <f t="shared" si="7"/>
        <v>0</v>
      </c>
      <c r="AE62" s="36">
        <f t="shared" si="8"/>
        <v>0</v>
      </c>
      <c r="AF62" s="36"/>
      <c r="AG62" s="36"/>
      <c r="AH62" s="36">
        <f t="shared" si="9"/>
        <v>0</v>
      </c>
      <c r="AI62" s="36">
        <f t="shared" si="10"/>
        <v>0</v>
      </c>
      <c r="AJ62" s="36"/>
      <c r="AK62" s="36"/>
      <c r="AL62" s="36">
        <f t="shared" si="11"/>
        <v>0</v>
      </c>
      <c r="AM62" s="36">
        <f t="shared" si="12"/>
        <v>0</v>
      </c>
      <c r="AN62" s="36"/>
      <c r="AO62" s="36"/>
      <c r="AP62" s="36">
        <f t="shared" si="13"/>
        <v>0</v>
      </c>
      <c r="AQ62" s="36">
        <f t="shared" si="14"/>
        <v>0</v>
      </c>
    </row>
    <row r="63" spans="1:43" x14ac:dyDescent="0.55000000000000004">
      <c r="A63" s="30">
        <f t="shared" si="15"/>
        <v>60</v>
      </c>
      <c r="B63" s="31">
        <v>44781</v>
      </c>
      <c r="C63" s="45"/>
      <c r="D63" s="33">
        <v>2</v>
      </c>
      <c r="E63" s="33"/>
      <c r="F63" s="33"/>
      <c r="G63" s="34" t="s">
        <v>168</v>
      </c>
      <c r="H63" s="35" t="s">
        <v>110</v>
      </c>
      <c r="I63" s="36">
        <v>2</v>
      </c>
      <c r="J63" s="37" t="s">
        <v>64</v>
      </c>
      <c r="K63" s="37"/>
      <c r="L63" s="37"/>
      <c r="M63" s="38" t="s">
        <v>85</v>
      </c>
      <c r="N63" s="39" t="s">
        <v>41</v>
      </c>
      <c r="O63" s="40">
        <v>133.85</v>
      </c>
      <c r="P63" s="37">
        <f t="shared" si="0"/>
        <v>267.7</v>
      </c>
      <c r="Q63" s="41"/>
      <c r="R63" s="42">
        <f t="shared" si="18"/>
        <v>0</v>
      </c>
      <c r="S63" s="42">
        <f t="shared" si="17"/>
        <v>0</v>
      </c>
      <c r="T63" s="43">
        <f t="shared" si="3"/>
        <v>0</v>
      </c>
      <c r="U63" s="43">
        <f t="shared" si="3"/>
        <v>0</v>
      </c>
      <c r="V63" s="44">
        <f t="shared" si="16"/>
        <v>2</v>
      </c>
      <c r="W63" s="36">
        <f t="shared" si="4"/>
        <v>267.7</v>
      </c>
      <c r="X63" s="36"/>
      <c r="Y63" s="36"/>
      <c r="Z63" s="36">
        <f t="shared" si="5"/>
        <v>0</v>
      </c>
      <c r="AA63" s="36">
        <f t="shared" si="6"/>
        <v>0</v>
      </c>
      <c r="AB63" s="36"/>
      <c r="AC63" s="36"/>
      <c r="AD63" s="36">
        <f t="shared" si="7"/>
        <v>0</v>
      </c>
      <c r="AE63" s="36">
        <f t="shared" si="8"/>
        <v>0</v>
      </c>
      <c r="AF63" s="36"/>
      <c r="AG63" s="36"/>
      <c r="AH63" s="36">
        <f t="shared" si="9"/>
        <v>0</v>
      </c>
      <c r="AI63" s="36">
        <f t="shared" si="10"/>
        <v>0</v>
      </c>
      <c r="AJ63" s="36"/>
      <c r="AK63" s="36"/>
      <c r="AL63" s="36">
        <f t="shared" si="11"/>
        <v>0</v>
      </c>
      <c r="AM63" s="36">
        <f t="shared" si="12"/>
        <v>0</v>
      </c>
      <c r="AN63" s="36"/>
      <c r="AO63" s="36"/>
      <c r="AP63" s="36">
        <f t="shared" si="13"/>
        <v>0</v>
      </c>
      <c r="AQ63" s="36">
        <f t="shared" si="14"/>
        <v>0</v>
      </c>
    </row>
    <row r="64" spans="1:43" x14ac:dyDescent="0.55000000000000004">
      <c r="A64" s="30">
        <f t="shared" si="15"/>
        <v>61</v>
      </c>
      <c r="B64" s="31">
        <v>44290</v>
      </c>
      <c r="C64" s="45"/>
      <c r="D64" s="33">
        <v>1</v>
      </c>
      <c r="E64" s="33"/>
      <c r="F64" s="33"/>
      <c r="G64" s="34" t="s">
        <v>169</v>
      </c>
      <c r="H64" s="37" t="s">
        <v>170</v>
      </c>
      <c r="I64" s="36">
        <v>1</v>
      </c>
      <c r="J64" s="37" t="s">
        <v>54</v>
      </c>
      <c r="K64" s="37"/>
      <c r="L64" s="37"/>
      <c r="M64" s="38" t="s">
        <v>85</v>
      </c>
      <c r="N64" s="54" t="s">
        <v>41</v>
      </c>
      <c r="O64" s="40">
        <v>61.38</v>
      </c>
      <c r="P64" s="37">
        <f t="shared" si="0"/>
        <v>61.38</v>
      </c>
      <c r="Q64" s="41" t="s">
        <v>54</v>
      </c>
      <c r="R64" s="42">
        <f t="shared" si="18"/>
        <v>0</v>
      </c>
      <c r="S64" s="42">
        <f t="shared" si="17"/>
        <v>0</v>
      </c>
      <c r="T64" s="43">
        <f t="shared" si="3"/>
        <v>0</v>
      </c>
      <c r="U64" s="43">
        <f t="shared" si="3"/>
        <v>0</v>
      </c>
      <c r="V64" s="44">
        <f t="shared" si="16"/>
        <v>1</v>
      </c>
      <c r="W64" s="36">
        <f t="shared" si="4"/>
        <v>61.38</v>
      </c>
      <c r="X64" s="36"/>
      <c r="Y64" s="36"/>
      <c r="Z64" s="36">
        <f t="shared" si="5"/>
        <v>0</v>
      </c>
      <c r="AA64" s="36">
        <f t="shared" si="6"/>
        <v>0</v>
      </c>
      <c r="AB64" s="36"/>
      <c r="AC64" s="36"/>
      <c r="AD64" s="36">
        <f t="shared" si="7"/>
        <v>0</v>
      </c>
      <c r="AE64" s="36">
        <f t="shared" si="8"/>
        <v>0</v>
      </c>
      <c r="AF64" s="36"/>
      <c r="AG64" s="36"/>
      <c r="AH64" s="36">
        <f t="shared" si="9"/>
        <v>0</v>
      </c>
      <c r="AI64" s="36">
        <f t="shared" si="10"/>
        <v>0</v>
      </c>
      <c r="AJ64" s="36"/>
      <c r="AK64" s="36"/>
      <c r="AL64" s="36">
        <f t="shared" si="11"/>
        <v>0</v>
      </c>
      <c r="AM64" s="36">
        <f t="shared" si="12"/>
        <v>0</v>
      </c>
      <c r="AN64" s="36"/>
      <c r="AO64" s="36"/>
      <c r="AP64" s="36">
        <f t="shared" si="13"/>
        <v>0</v>
      </c>
      <c r="AQ64" s="36">
        <f t="shared" si="14"/>
        <v>0</v>
      </c>
    </row>
    <row r="65" spans="1:43" x14ac:dyDescent="0.55000000000000004">
      <c r="A65" s="30">
        <f t="shared" si="15"/>
        <v>62</v>
      </c>
      <c r="B65" s="31">
        <v>44896</v>
      </c>
      <c r="C65" s="45"/>
      <c r="D65" s="33">
        <v>1</v>
      </c>
      <c r="E65" s="33"/>
      <c r="F65" s="33"/>
      <c r="G65" s="34" t="s">
        <v>171</v>
      </c>
      <c r="H65" s="35" t="s">
        <v>172</v>
      </c>
      <c r="I65" s="36">
        <v>1</v>
      </c>
      <c r="J65" s="37" t="s">
        <v>54</v>
      </c>
      <c r="K65" s="37"/>
      <c r="L65" s="37"/>
      <c r="M65" s="38" t="s">
        <v>85</v>
      </c>
      <c r="N65" s="54" t="s">
        <v>49</v>
      </c>
      <c r="O65" s="40">
        <v>9.85</v>
      </c>
      <c r="P65" s="37">
        <f t="shared" si="0"/>
        <v>9.85</v>
      </c>
      <c r="Q65" s="41" t="s">
        <v>54</v>
      </c>
      <c r="R65" s="42">
        <f t="shared" si="18"/>
        <v>0</v>
      </c>
      <c r="S65" s="42">
        <f t="shared" si="17"/>
        <v>0</v>
      </c>
      <c r="T65" s="43">
        <f t="shared" si="3"/>
        <v>0</v>
      </c>
      <c r="U65" s="43">
        <f t="shared" si="3"/>
        <v>0</v>
      </c>
      <c r="V65" s="44">
        <f t="shared" si="16"/>
        <v>1</v>
      </c>
      <c r="W65" s="36">
        <f t="shared" si="4"/>
        <v>9.85</v>
      </c>
      <c r="X65" s="36"/>
      <c r="Y65" s="36"/>
      <c r="Z65" s="36">
        <f t="shared" si="5"/>
        <v>0</v>
      </c>
      <c r="AA65" s="36">
        <f t="shared" si="6"/>
        <v>0</v>
      </c>
      <c r="AB65" s="36"/>
      <c r="AC65" s="36"/>
      <c r="AD65" s="36">
        <f t="shared" si="7"/>
        <v>0</v>
      </c>
      <c r="AE65" s="36">
        <f t="shared" si="8"/>
        <v>0</v>
      </c>
      <c r="AF65" s="36"/>
      <c r="AG65" s="36"/>
      <c r="AH65" s="36">
        <f t="shared" si="9"/>
        <v>0</v>
      </c>
      <c r="AI65" s="36">
        <f t="shared" si="10"/>
        <v>0</v>
      </c>
      <c r="AJ65" s="36"/>
      <c r="AK65" s="36"/>
      <c r="AL65" s="36">
        <f t="shared" si="11"/>
        <v>0</v>
      </c>
      <c r="AM65" s="36">
        <f t="shared" si="12"/>
        <v>0</v>
      </c>
      <c r="AN65" s="36"/>
      <c r="AO65" s="36"/>
      <c r="AP65" s="36">
        <f t="shared" si="13"/>
        <v>0</v>
      </c>
      <c r="AQ65" s="36">
        <f t="shared" si="14"/>
        <v>0</v>
      </c>
    </row>
    <row r="66" spans="1:43" x14ac:dyDescent="0.55000000000000004">
      <c r="A66" s="30">
        <f t="shared" si="15"/>
        <v>63</v>
      </c>
      <c r="B66" s="31">
        <v>44896</v>
      </c>
      <c r="C66" s="45"/>
      <c r="D66" s="33">
        <v>1</v>
      </c>
      <c r="E66" s="33"/>
      <c r="F66" s="33"/>
      <c r="G66" s="34" t="s">
        <v>173</v>
      </c>
      <c r="H66" s="35" t="s">
        <v>174</v>
      </c>
      <c r="I66" s="36">
        <v>1</v>
      </c>
      <c r="J66" s="37" t="s">
        <v>54</v>
      </c>
      <c r="K66" s="37"/>
      <c r="L66" s="37"/>
      <c r="M66" s="38" t="s">
        <v>44</v>
      </c>
      <c r="N66" s="39" t="s">
        <v>49</v>
      </c>
      <c r="O66" s="40">
        <v>60.86</v>
      </c>
      <c r="P66" s="37">
        <f t="shared" si="0"/>
        <v>60.86</v>
      </c>
      <c r="Q66" s="41" t="s">
        <v>54</v>
      </c>
      <c r="R66" s="42">
        <f t="shared" si="18"/>
        <v>0</v>
      </c>
      <c r="S66" s="42">
        <f t="shared" si="17"/>
        <v>0</v>
      </c>
      <c r="T66" s="43">
        <f t="shared" si="3"/>
        <v>0</v>
      </c>
      <c r="U66" s="43">
        <f t="shared" si="3"/>
        <v>0</v>
      </c>
      <c r="V66" s="44">
        <f t="shared" si="16"/>
        <v>1</v>
      </c>
      <c r="W66" s="36">
        <f t="shared" si="4"/>
        <v>60.86</v>
      </c>
      <c r="X66" s="36"/>
      <c r="Y66" s="36"/>
      <c r="Z66" s="36">
        <f t="shared" si="5"/>
        <v>0</v>
      </c>
      <c r="AA66" s="36">
        <f t="shared" si="6"/>
        <v>0</v>
      </c>
      <c r="AB66" s="36"/>
      <c r="AC66" s="36"/>
      <c r="AD66" s="36">
        <f t="shared" si="7"/>
        <v>0</v>
      </c>
      <c r="AE66" s="36">
        <f t="shared" si="8"/>
        <v>0</v>
      </c>
      <c r="AF66" s="36"/>
      <c r="AG66" s="36"/>
      <c r="AH66" s="36">
        <f t="shared" si="9"/>
        <v>0</v>
      </c>
      <c r="AI66" s="36">
        <f t="shared" si="10"/>
        <v>0</v>
      </c>
      <c r="AJ66" s="36"/>
      <c r="AK66" s="36"/>
      <c r="AL66" s="36">
        <f t="shared" si="11"/>
        <v>0</v>
      </c>
      <c r="AM66" s="36">
        <f t="shared" si="12"/>
        <v>0</v>
      </c>
      <c r="AN66" s="36"/>
      <c r="AO66" s="36"/>
      <c r="AP66" s="36">
        <f t="shared" si="13"/>
        <v>0</v>
      </c>
      <c r="AQ66" s="36">
        <f t="shared" si="14"/>
        <v>0</v>
      </c>
    </row>
    <row r="67" spans="1:43" x14ac:dyDescent="0.55000000000000004">
      <c r="A67" s="30">
        <f t="shared" si="15"/>
        <v>64</v>
      </c>
      <c r="B67" s="31">
        <v>44896</v>
      </c>
      <c r="C67" s="45"/>
      <c r="D67" s="33">
        <v>1</v>
      </c>
      <c r="E67" s="33"/>
      <c r="F67" s="33"/>
      <c r="G67" s="51" t="s">
        <v>175</v>
      </c>
      <c r="H67" s="37" t="s">
        <v>133</v>
      </c>
      <c r="I67" s="36">
        <v>1</v>
      </c>
      <c r="J67" s="37" t="s">
        <v>40</v>
      </c>
      <c r="K67" s="37"/>
      <c r="L67" s="37"/>
      <c r="M67" s="38" t="s">
        <v>35</v>
      </c>
      <c r="N67" s="39" t="s">
        <v>36</v>
      </c>
      <c r="O67" s="48">
        <v>18</v>
      </c>
      <c r="P67" s="37">
        <f t="shared" si="0"/>
        <v>18</v>
      </c>
      <c r="Q67" s="41"/>
      <c r="R67" s="42">
        <f t="shared" si="18"/>
        <v>0</v>
      </c>
      <c r="S67" s="42">
        <f t="shared" si="17"/>
        <v>0</v>
      </c>
      <c r="T67" s="43">
        <f t="shared" si="3"/>
        <v>0</v>
      </c>
      <c r="U67" s="43">
        <f t="shared" si="3"/>
        <v>0</v>
      </c>
      <c r="V67" s="44">
        <f t="shared" si="16"/>
        <v>1</v>
      </c>
      <c r="W67" s="36">
        <f t="shared" si="4"/>
        <v>18</v>
      </c>
      <c r="X67" s="36"/>
      <c r="Y67" s="36"/>
      <c r="Z67" s="36">
        <f t="shared" si="5"/>
        <v>0</v>
      </c>
      <c r="AA67" s="36">
        <f t="shared" si="6"/>
        <v>0</v>
      </c>
      <c r="AB67" s="36"/>
      <c r="AC67" s="36"/>
      <c r="AD67" s="36">
        <f t="shared" si="7"/>
        <v>0</v>
      </c>
      <c r="AE67" s="36">
        <f t="shared" si="8"/>
        <v>0</v>
      </c>
      <c r="AF67" s="36"/>
      <c r="AG67" s="36"/>
      <c r="AH67" s="36">
        <f t="shared" si="9"/>
        <v>0</v>
      </c>
      <c r="AI67" s="36">
        <f t="shared" si="10"/>
        <v>0</v>
      </c>
      <c r="AJ67" s="36"/>
      <c r="AK67" s="36"/>
      <c r="AL67" s="36">
        <f t="shared" si="11"/>
        <v>0</v>
      </c>
      <c r="AM67" s="36">
        <f t="shared" si="12"/>
        <v>0</v>
      </c>
      <c r="AN67" s="36"/>
      <c r="AO67" s="36"/>
      <c r="AP67" s="36">
        <f t="shared" si="13"/>
        <v>0</v>
      </c>
      <c r="AQ67" s="36">
        <f t="shared" si="14"/>
        <v>0</v>
      </c>
    </row>
    <row r="68" spans="1:43" x14ac:dyDescent="0.55000000000000004">
      <c r="A68" s="30">
        <f t="shared" si="15"/>
        <v>65</v>
      </c>
      <c r="B68" s="31">
        <v>44896</v>
      </c>
      <c r="C68" s="45"/>
      <c r="D68" s="33">
        <v>3</v>
      </c>
      <c r="E68" s="33"/>
      <c r="F68" s="33"/>
      <c r="G68" s="51" t="s">
        <v>176</v>
      </c>
      <c r="H68" s="37" t="s">
        <v>112</v>
      </c>
      <c r="I68" s="36">
        <v>2</v>
      </c>
      <c r="J68" s="37" t="s">
        <v>54</v>
      </c>
      <c r="K68" s="37"/>
      <c r="L68" s="37"/>
      <c r="M68" s="38" t="s">
        <v>113</v>
      </c>
      <c r="N68" s="39" t="s">
        <v>114</v>
      </c>
      <c r="O68" s="40">
        <v>51.6</v>
      </c>
      <c r="P68" s="37">
        <f t="shared" ref="P68:P131" si="19">O68*I68</f>
        <v>103.2</v>
      </c>
      <c r="Q68" s="41"/>
      <c r="R68" s="42">
        <f t="shared" si="18"/>
        <v>0</v>
      </c>
      <c r="S68" s="42">
        <f t="shared" si="17"/>
        <v>103.2</v>
      </c>
      <c r="T68" s="43">
        <f t="shared" ref="T68:U131" si="20">X68+AB68+AF68+AJ68+AN68</f>
        <v>0</v>
      </c>
      <c r="U68" s="43">
        <f t="shared" si="20"/>
        <v>2</v>
      </c>
      <c r="V68" s="44">
        <f t="shared" si="16"/>
        <v>0</v>
      </c>
      <c r="W68" s="36">
        <f t="shared" ref="W68:W131" si="21">V68*O68</f>
        <v>0</v>
      </c>
      <c r="X68" s="36"/>
      <c r="Y68" s="36"/>
      <c r="Z68" s="36">
        <f t="shared" ref="Z68:Z131" si="22">X68*O68</f>
        <v>0</v>
      </c>
      <c r="AA68" s="36">
        <f t="shared" ref="AA68:AA131" si="23">Y68*O68</f>
        <v>0</v>
      </c>
      <c r="AB68" s="36"/>
      <c r="AC68" s="36">
        <v>1</v>
      </c>
      <c r="AD68" s="36">
        <f t="shared" ref="AD68:AD131" si="24">AB68*O68</f>
        <v>0</v>
      </c>
      <c r="AE68" s="36">
        <f t="shared" ref="AE68:AE131" si="25">AC68*O68</f>
        <v>51.6</v>
      </c>
      <c r="AF68" s="36"/>
      <c r="AG68" s="36">
        <v>1</v>
      </c>
      <c r="AH68" s="36">
        <f t="shared" ref="AH68:AH131" si="26">AF68*O68</f>
        <v>0</v>
      </c>
      <c r="AI68" s="36">
        <f t="shared" ref="AI68:AI131" si="27">AG68*O68</f>
        <v>51.6</v>
      </c>
      <c r="AJ68" s="36"/>
      <c r="AK68" s="36"/>
      <c r="AL68" s="36">
        <f t="shared" ref="AL68:AL131" si="28">AJ68*O68</f>
        <v>0</v>
      </c>
      <c r="AM68" s="36">
        <f t="shared" ref="AM68:AM131" si="29">AK68*O68</f>
        <v>0</v>
      </c>
      <c r="AN68" s="36"/>
      <c r="AO68" s="36"/>
      <c r="AP68" s="36">
        <f t="shared" ref="AP68:AP131" si="30">AN68*O68</f>
        <v>0</v>
      </c>
      <c r="AQ68" s="36">
        <f t="shared" ref="AQ68:AQ131" si="31">AO68*O68</f>
        <v>0</v>
      </c>
    </row>
    <row r="69" spans="1:43" x14ac:dyDescent="0.55000000000000004">
      <c r="A69" s="30">
        <f t="shared" si="15"/>
        <v>66</v>
      </c>
      <c r="B69" s="31">
        <v>45548</v>
      </c>
      <c r="C69" s="45"/>
      <c r="D69" s="33">
        <v>1</v>
      </c>
      <c r="E69" s="45">
        <v>45457</v>
      </c>
      <c r="F69" s="33">
        <v>1</v>
      </c>
      <c r="G69" s="34" t="s">
        <v>177</v>
      </c>
      <c r="H69" s="35" t="s">
        <v>110</v>
      </c>
      <c r="I69" s="36">
        <v>2</v>
      </c>
      <c r="J69" s="37" t="s">
        <v>54</v>
      </c>
      <c r="K69" s="37"/>
      <c r="L69" s="37"/>
      <c r="M69" s="38" t="s">
        <v>85</v>
      </c>
      <c r="N69" s="54" t="s">
        <v>41</v>
      </c>
      <c r="O69" s="40">
        <v>7.46</v>
      </c>
      <c r="P69" s="37">
        <f t="shared" si="19"/>
        <v>14.92</v>
      </c>
      <c r="Q69" s="41"/>
      <c r="R69" s="42">
        <f t="shared" si="18"/>
        <v>0</v>
      </c>
      <c r="S69" s="42">
        <f t="shared" si="17"/>
        <v>0</v>
      </c>
      <c r="T69" s="43">
        <f t="shared" si="20"/>
        <v>0</v>
      </c>
      <c r="U69" s="43">
        <f t="shared" si="20"/>
        <v>0</v>
      </c>
      <c r="V69" s="44">
        <f t="shared" si="16"/>
        <v>2</v>
      </c>
      <c r="W69" s="36">
        <f t="shared" si="21"/>
        <v>14.92</v>
      </c>
      <c r="X69" s="36"/>
      <c r="Y69" s="36"/>
      <c r="Z69" s="36">
        <f t="shared" si="22"/>
        <v>0</v>
      </c>
      <c r="AA69" s="36">
        <f t="shared" si="23"/>
        <v>0</v>
      </c>
      <c r="AB69" s="36"/>
      <c r="AC69" s="36"/>
      <c r="AD69" s="36">
        <f t="shared" si="24"/>
        <v>0</v>
      </c>
      <c r="AE69" s="36">
        <f t="shared" si="25"/>
        <v>0</v>
      </c>
      <c r="AF69" s="36"/>
      <c r="AG69" s="36"/>
      <c r="AH69" s="36">
        <f t="shared" si="26"/>
        <v>0</v>
      </c>
      <c r="AI69" s="36">
        <f t="shared" si="27"/>
        <v>0</v>
      </c>
      <c r="AJ69" s="36"/>
      <c r="AK69" s="36"/>
      <c r="AL69" s="36">
        <f t="shared" si="28"/>
        <v>0</v>
      </c>
      <c r="AM69" s="36">
        <f t="shared" si="29"/>
        <v>0</v>
      </c>
      <c r="AN69" s="36"/>
      <c r="AO69" s="36"/>
      <c r="AP69" s="36">
        <f t="shared" si="30"/>
        <v>0</v>
      </c>
      <c r="AQ69" s="36">
        <f t="shared" si="31"/>
        <v>0</v>
      </c>
    </row>
    <row r="70" spans="1:43" x14ac:dyDescent="0.55000000000000004">
      <c r="A70" s="30">
        <f t="shared" ref="A70:A133" si="32">+A69+1</f>
        <v>67</v>
      </c>
      <c r="B70" s="31">
        <v>44896</v>
      </c>
      <c r="C70" s="45"/>
      <c r="D70" s="33">
        <v>1</v>
      </c>
      <c r="E70" s="33"/>
      <c r="F70" s="33"/>
      <c r="G70" s="34" t="s">
        <v>178</v>
      </c>
      <c r="H70" s="35" t="s">
        <v>48</v>
      </c>
      <c r="I70" s="36">
        <v>1</v>
      </c>
      <c r="J70" s="37" t="s">
        <v>54</v>
      </c>
      <c r="K70" s="37"/>
      <c r="L70" s="37"/>
      <c r="M70" s="38" t="s">
        <v>85</v>
      </c>
      <c r="N70" s="54" t="s">
        <v>41</v>
      </c>
      <c r="O70" s="40">
        <v>15.13</v>
      </c>
      <c r="P70" s="37">
        <f t="shared" si="19"/>
        <v>15.13</v>
      </c>
      <c r="Q70" s="41"/>
      <c r="R70" s="42">
        <f t="shared" si="18"/>
        <v>0</v>
      </c>
      <c r="S70" s="42">
        <f t="shared" si="17"/>
        <v>0</v>
      </c>
      <c r="T70" s="43">
        <f t="shared" si="20"/>
        <v>0</v>
      </c>
      <c r="U70" s="43">
        <f t="shared" si="20"/>
        <v>0</v>
      </c>
      <c r="V70" s="44">
        <f t="shared" ref="V70:V133" si="33">I70+T70-U70</f>
        <v>1</v>
      </c>
      <c r="W70" s="36">
        <f t="shared" si="21"/>
        <v>15.13</v>
      </c>
      <c r="X70" s="36"/>
      <c r="Y70" s="36"/>
      <c r="Z70" s="36">
        <f t="shared" si="22"/>
        <v>0</v>
      </c>
      <c r="AA70" s="36">
        <f t="shared" si="23"/>
        <v>0</v>
      </c>
      <c r="AB70" s="36"/>
      <c r="AC70" s="36"/>
      <c r="AD70" s="36">
        <f t="shared" si="24"/>
        <v>0</v>
      </c>
      <c r="AE70" s="36">
        <f t="shared" si="25"/>
        <v>0</v>
      </c>
      <c r="AF70" s="36"/>
      <c r="AG70" s="36"/>
      <c r="AH70" s="36">
        <f t="shared" si="26"/>
        <v>0</v>
      </c>
      <c r="AI70" s="36">
        <f t="shared" si="27"/>
        <v>0</v>
      </c>
      <c r="AJ70" s="36"/>
      <c r="AK70" s="36"/>
      <c r="AL70" s="36">
        <f t="shared" si="28"/>
        <v>0</v>
      </c>
      <c r="AM70" s="36">
        <f t="shared" si="29"/>
        <v>0</v>
      </c>
      <c r="AN70" s="36"/>
      <c r="AO70" s="36"/>
      <c r="AP70" s="36">
        <f t="shared" si="30"/>
        <v>0</v>
      </c>
      <c r="AQ70" s="36">
        <f t="shared" si="31"/>
        <v>0</v>
      </c>
    </row>
    <row r="71" spans="1:43" x14ac:dyDescent="0.55000000000000004">
      <c r="A71" s="30">
        <f t="shared" si="32"/>
        <v>68</v>
      </c>
      <c r="B71" s="31">
        <v>45627</v>
      </c>
      <c r="C71" s="45"/>
      <c r="D71" s="33">
        <v>5</v>
      </c>
      <c r="E71" s="33"/>
      <c r="F71" s="33"/>
      <c r="G71" s="34" t="s">
        <v>179</v>
      </c>
      <c r="H71" s="35" t="s">
        <v>106</v>
      </c>
      <c r="I71" s="36">
        <v>4</v>
      </c>
      <c r="J71" s="37" t="s">
        <v>54</v>
      </c>
      <c r="K71" s="37"/>
      <c r="L71" s="37"/>
      <c r="M71" s="38" t="s">
        <v>102</v>
      </c>
      <c r="N71" s="39" t="s">
        <v>49</v>
      </c>
      <c r="O71" s="40">
        <v>0.85</v>
      </c>
      <c r="P71" s="37">
        <f t="shared" si="19"/>
        <v>3.4</v>
      </c>
      <c r="Q71" s="41"/>
      <c r="R71" s="42">
        <f t="shared" si="18"/>
        <v>0</v>
      </c>
      <c r="S71" s="42">
        <f t="shared" si="17"/>
        <v>0</v>
      </c>
      <c r="T71" s="43">
        <f t="shared" si="20"/>
        <v>0</v>
      </c>
      <c r="U71" s="43">
        <f t="shared" si="20"/>
        <v>0</v>
      </c>
      <c r="V71" s="44">
        <f t="shared" si="33"/>
        <v>4</v>
      </c>
      <c r="W71" s="36">
        <f t="shared" si="21"/>
        <v>3.4</v>
      </c>
      <c r="X71" s="36"/>
      <c r="Y71" s="36"/>
      <c r="Z71" s="36">
        <f t="shared" si="22"/>
        <v>0</v>
      </c>
      <c r="AA71" s="36">
        <f t="shared" si="23"/>
        <v>0</v>
      </c>
      <c r="AB71" s="36"/>
      <c r="AC71" s="36"/>
      <c r="AD71" s="36">
        <f t="shared" si="24"/>
        <v>0</v>
      </c>
      <c r="AE71" s="36">
        <f t="shared" si="25"/>
        <v>0</v>
      </c>
      <c r="AF71" s="36"/>
      <c r="AG71" s="36"/>
      <c r="AH71" s="36">
        <f t="shared" si="26"/>
        <v>0</v>
      </c>
      <c r="AI71" s="36">
        <f t="shared" si="27"/>
        <v>0</v>
      </c>
      <c r="AJ71" s="36"/>
      <c r="AK71" s="36"/>
      <c r="AL71" s="36">
        <f t="shared" si="28"/>
        <v>0</v>
      </c>
      <c r="AM71" s="36">
        <f t="shared" si="29"/>
        <v>0</v>
      </c>
      <c r="AN71" s="36"/>
      <c r="AO71" s="36"/>
      <c r="AP71" s="36">
        <f t="shared" si="30"/>
        <v>0</v>
      </c>
      <c r="AQ71" s="36">
        <f t="shared" si="31"/>
        <v>0</v>
      </c>
    </row>
    <row r="72" spans="1:43" x14ac:dyDescent="0.55000000000000004">
      <c r="A72" s="30">
        <f t="shared" si="32"/>
        <v>69</v>
      </c>
      <c r="B72" s="31">
        <v>45414</v>
      </c>
      <c r="C72" s="45"/>
      <c r="D72" s="33">
        <v>1</v>
      </c>
      <c r="E72" s="45">
        <v>45399</v>
      </c>
      <c r="F72" s="33">
        <v>1</v>
      </c>
      <c r="G72" s="34">
        <v>4160107</v>
      </c>
      <c r="H72" s="35" t="s">
        <v>180</v>
      </c>
      <c r="I72" s="36">
        <v>2</v>
      </c>
      <c r="J72" s="37" t="s">
        <v>54</v>
      </c>
      <c r="K72" s="37"/>
      <c r="L72" s="37"/>
      <c r="M72" s="38" t="s">
        <v>85</v>
      </c>
      <c r="N72" s="54" t="s">
        <v>41</v>
      </c>
      <c r="O72" s="40">
        <v>30.18</v>
      </c>
      <c r="P72" s="37">
        <f t="shared" si="19"/>
        <v>60.36</v>
      </c>
      <c r="Q72" s="41"/>
      <c r="R72" s="42">
        <f t="shared" si="18"/>
        <v>0</v>
      </c>
      <c r="S72" s="42">
        <f t="shared" si="17"/>
        <v>0</v>
      </c>
      <c r="T72" s="43">
        <f t="shared" si="20"/>
        <v>0</v>
      </c>
      <c r="U72" s="43">
        <f t="shared" si="20"/>
        <v>0</v>
      </c>
      <c r="V72" s="44">
        <f t="shared" si="33"/>
        <v>2</v>
      </c>
      <c r="W72" s="36">
        <f t="shared" si="21"/>
        <v>60.36</v>
      </c>
      <c r="X72" s="36"/>
      <c r="Y72" s="36"/>
      <c r="Z72" s="36">
        <f t="shared" si="22"/>
        <v>0</v>
      </c>
      <c r="AA72" s="36">
        <f t="shared" si="23"/>
        <v>0</v>
      </c>
      <c r="AB72" s="36"/>
      <c r="AC72" s="36"/>
      <c r="AD72" s="36">
        <f t="shared" si="24"/>
        <v>0</v>
      </c>
      <c r="AE72" s="36">
        <f t="shared" si="25"/>
        <v>0</v>
      </c>
      <c r="AF72" s="36"/>
      <c r="AG72" s="36"/>
      <c r="AH72" s="36">
        <f t="shared" si="26"/>
        <v>0</v>
      </c>
      <c r="AI72" s="36">
        <f t="shared" si="27"/>
        <v>0</v>
      </c>
      <c r="AJ72" s="36"/>
      <c r="AK72" s="36"/>
      <c r="AL72" s="36">
        <f t="shared" si="28"/>
        <v>0</v>
      </c>
      <c r="AM72" s="36">
        <f t="shared" si="29"/>
        <v>0</v>
      </c>
      <c r="AN72" s="36"/>
      <c r="AO72" s="36"/>
      <c r="AP72" s="36">
        <f t="shared" si="30"/>
        <v>0</v>
      </c>
      <c r="AQ72" s="36">
        <f t="shared" si="31"/>
        <v>0</v>
      </c>
    </row>
    <row r="73" spans="1:43" x14ac:dyDescent="0.55000000000000004">
      <c r="A73" s="30">
        <f t="shared" si="32"/>
        <v>70</v>
      </c>
      <c r="B73" s="31">
        <v>45491</v>
      </c>
      <c r="C73" s="45"/>
      <c r="D73" s="33">
        <v>1</v>
      </c>
      <c r="E73" s="45">
        <v>45548</v>
      </c>
      <c r="F73" s="33">
        <v>1</v>
      </c>
      <c r="G73" s="34">
        <v>1757903</v>
      </c>
      <c r="H73" s="35" t="s">
        <v>181</v>
      </c>
      <c r="I73" s="36">
        <v>2</v>
      </c>
      <c r="J73" s="37" t="s">
        <v>54</v>
      </c>
      <c r="K73" s="37"/>
      <c r="L73" s="37"/>
      <c r="M73" s="38" t="s">
        <v>85</v>
      </c>
      <c r="N73" s="54" t="s">
        <v>41</v>
      </c>
      <c r="O73" s="40">
        <v>10.97</v>
      </c>
      <c r="P73" s="37">
        <f t="shared" si="19"/>
        <v>21.94</v>
      </c>
      <c r="Q73" s="41"/>
      <c r="R73" s="42">
        <f t="shared" si="18"/>
        <v>0</v>
      </c>
      <c r="S73" s="42">
        <f t="shared" si="17"/>
        <v>0</v>
      </c>
      <c r="T73" s="43">
        <f t="shared" si="20"/>
        <v>0</v>
      </c>
      <c r="U73" s="43">
        <f t="shared" si="20"/>
        <v>0</v>
      </c>
      <c r="V73" s="44">
        <f t="shared" si="33"/>
        <v>2</v>
      </c>
      <c r="W73" s="36">
        <f t="shared" si="21"/>
        <v>21.94</v>
      </c>
      <c r="X73" s="36"/>
      <c r="Y73" s="36"/>
      <c r="Z73" s="36">
        <f t="shared" si="22"/>
        <v>0</v>
      </c>
      <c r="AA73" s="36">
        <f t="shared" si="23"/>
        <v>0</v>
      </c>
      <c r="AB73" s="36"/>
      <c r="AC73" s="36"/>
      <c r="AD73" s="36">
        <f t="shared" si="24"/>
        <v>0</v>
      </c>
      <c r="AE73" s="36">
        <f t="shared" si="25"/>
        <v>0</v>
      </c>
      <c r="AF73" s="36"/>
      <c r="AG73" s="36"/>
      <c r="AH73" s="36">
        <f t="shared" si="26"/>
        <v>0</v>
      </c>
      <c r="AI73" s="36">
        <f t="shared" si="27"/>
        <v>0</v>
      </c>
      <c r="AJ73" s="36"/>
      <c r="AK73" s="36"/>
      <c r="AL73" s="36">
        <f t="shared" si="28"/>
        <v>0</v>
      </c>
      <c r="AM73" s="36">
        <f t="shared" si="29"/>
        <v>0</v>
      </c>
      <c r="AN73" s="36"/>
      <c r="AO73" s="36"/>
      <c r="AP73" s="36">
        <f t="shared" si="30"/>
        <v>0</v>
      </c>
      <c r="AQ73" s="36">
        <f t="shared" si="31"/>
        <v>0</v>
      </c>
    </row>
    <row r="74" spans="1:43" x14ac:dyDescent="0.55000000000000004">
      <c r="A74" s="30">
        <f t="shared" si="32"/>
        <v>71</v>
      </c>
      <c r="B74" s="31">
        <v>45413</v>
      </c>
      <c r="C74" s="45"/>
      <c r="D74" s="33">
        <v>1</v>
      </c>
      <c r="E74" s="45">
        <v>44896</v>
      </c>
      <c r="F74" s="33">
        <v>2</v>
      </c>
      <c r="G74" s="53" t="s">
        <v>182</v>
      </c>
      <c r="H74" s="35" t="s">
        <v>48</v>
      </c>
      <c r="I74" s="36">
        <v>2</v>
      </c>
      <c r="J74" s="37" t="s">
        <v>64</v>
      </c>
      <c r="K74" s="37"/>
      <c r="L74" s="37"/>
      <c r="M74" s="38" t="s">
        <v>44</v>
      </c>
      <c r="N74" s="39" t="s">
        <v>49</v>
      </c>
      <c r="O74" s="40">
        <v>19.079999999999998</v>
      </c>
      <c r="P74" s="37">
        <f t="shared" si="19"/>
        <v>38.159999999999997</v>
      </c>
      <c r="Q74" s="41" t="s">
        <v>64</v>
      </c>
      <c r="R74" s="42">
        <f t="shared" si="18"/>
        <v>0</v>
      </c>
      <c r="S74" s="42">
        <f t="shared" si="17"/>
        <v>0</v>
      </c>
      <c r="T74" s="43">
        <f t="shared" si="20"/>
        <v>0</v>
      </c>
      <c r="U74" s="43">
        <f t="shared" si="20"/>
        <v>0</v>
      </c>
      <c r="V74" s="44">
        <f t="shared" si="33"/>
        <v>2</v>
      </c>
      <c r="W74" s="36">
        <f t="shared" si="21"/>
        <v>38.159999999999997</v>
      </c>
      <c r="X74" s="36"/>
      <c r="Y74" s="36"/>
      <c r="Z74" s="36">
        <f t="shared" si="22"/>
        <v>0</v>
      </c>
      <c r="AA74" s="36">
        <f t="shared" si="23"/>
        <v>0</v>
      </c>
      <c r="AB74" s="36"/>
      <c r="AC74" s="36"/>
      <c r="AD74" s="36">
        <f t="shared" si="24"/>
        <v>0</v>
      </c>
      <c r="AE74" s="36">
        <f t="shared" si="25"/>
        <v>0</v>
      </c>
      <c r="AF74" s="36"/>
      <c r="AG74" s="36"/>
      <c r="AH74" s="36">
        <f t="shared" si="26"/>
        <v>0</v>
      </c>
      <c r="AI74" s="36">
        <f t="shared" si="27"/>
        <v>0</v>
      </c>
      <c r="AJ74" s="36"/>
      <c r="AK74" s="36"/>
      <c r="AL74" s="36">
        <f t="shared" si="28"/>
        <v>0</v>
      </c>
      <c r="AM74" s="36">
        <f t="shared" si="29"/>
        <v>0</v>
      </c>
      <c r="AN74" s="36"/>
      <c r="AO74" s="36"/>
      <c r="AP74" s="36">
        <f t="shared" si="30"/>
        <v>0</v>
      </c>
      <c r="AQ74" s="36">
        <f t="shared" si="31"/>
        <v>0</v>
      </c>
    </row>
    <row r="75" spans="1:43" x14ac:dyDescent="0.55000000000000004">
      <c r="A75" s="30">
        <f t="shared" si="32"/>
        <v>72</v>
      </c>
      <c r="B75" s="31">
        <v>45508</v>
      </c>
      <c r="C75" s="45"/>
      <c r="D75" s="33">
        <v>1</v>
      </c>
      <c r="E75" s="33"/>
      <c r="F75" s="33"/>
      <c r="G75" s="56">
        <v>4214025</v>
      </c>
      <c r="H75" s="35" t="s">
        <v>183</v>
      </c>
      <c r="I75" s="36">
        <v>1</v>
      </c>
      <c r="J75" s="37" t="s">
        <v>54</v>
      </c>
      <c r="K75" s="37"/>
      <c r="L75" s="37"/>
      <c r="M75" s="38" t="s">
        <v>85</v>
      </c>
      <c r="N75" s="54" t="s">
        <v>41</v>
      </c>
      <c r="O75" s="40">
        <v>46.74</v>
      </c>
      <c r="P75" s="37">
        <f t="shared" si="19"/>
        <v>46.74</v>
      </c>
      <c r="Q75" s="41"/>
      <c r="R75" s="42">
        <f t="shared" si="18"/>
        <v>0</v>
      </c>
      <c r="S75" s="42">
        <f t="shared" si="17"/>
        <v>0</v>
      </c>
      <c r="T75" s="43">
        <f t="shared" si="20"/>
        <v>0</v>
      </c>
      <c r="U75" s="43">
        <f t="shared" si="20"/>
        <v>0</v>
      </c>
      <c r="V75" s="44">
        <f t="shared" si="33"/>
        <v>1</v>
      </c>
      <c r="W75" s="36">
        <f t="shared" si="21"/>
        <v>46.74</v>
      </c>
      <c r="X75" s="36"/>
      <c r="Y75" s="36"/>
      <c r="Z75" s="36">
        <f t="shared" si="22"/>
        <v>0</v>
      </c>
      <c r="AA75" s="36">
        <f t="shared" si="23"/>
        <v>0</v>
      </c>
      <c r="AB75" s="36"/>
      <c r="AC75" s="36"/>
      <c r="AD75" s="36">
        <f t="shared" si="24"/>
        <v>0</v>
      </c>
      <c r="AE75" s="36">
        <f t="shared" si="25"/>
        <v>0</v>
      </c>
      <c r="AF75" s="36"/>
      <c r="AG75" s="36"/>
      <c r="AH75" s="36">
        <f t="shared" si="26"/>
        <v>0</v>
      </c>
      <c r="AI75" s="36">
        <f t="shared" si="27"/>
        <v>0</v>
      </c>
      <c r="AJ75" s="36"/>
      <c r="AK75" s="36"/>
      <c r="AL75" s="36">
        <f t="shared" si="28"/>
        <v>0</v>
      </c>
      <c r="AM75" s="36">
        <f t="shared" si="29"/>
        <v>0</v>
      </c>
      <c r="AN75" s="36"/>
      <c r="AO75" s="36"/>
      <c r="AP75" s="36">
        <f t="shared" si="30"/>
        <v>0</v>
      </c>
      <c r="AQ75" s="36">
        <f t="shared" si="31"/>
        <v>0</v>
      </c>
    </row>
    <row r="76" spans="1:43" x14ac:dyDescent="0.55000000000000004">
      <c r="A76" s="30">
        <f t="shared" si="32"/>
        <v>73</v>
      </c>
      <c r="B76" s="31">
        <v>44896</v>
      </c>
      <c r="C76" s="45"/>
      <c r="D76" s="33">
        <v>1</v>
      </c>
      <c r="E76" s="33"/>
      <c r="F76" s="33"/>
      <c r="G76" s="34" t="s">
        <v>184</v>
      </c>
      <c r="H76" s="35" t="s">
        <v>185</v>
      </c>
      <c r="I76" s="36">
        <v>1</v>
      </c>
      <c r="J76" s="37" t="s">
        <v>186</v>
      </c>
      <c r="K76" s="37"/>
      <c r="L76" s="37"/>
      <c r="M76" s="38" t="s">
        <v>35</v>
      </c>
      <c r="N76" s="39" t="s">
        <v>36</v>
      </c>
      <c r="O76" s="40">
        <v>65.83</v>
      </c>
      <c r="P76" s="37">
        <f t="shared" si="19"/>
        <v>65.83</v>
      </c>
      <c r="Q76" s="41" t="s">
        <v>93</v>
      </c>
      <c r="R76" s="42">
        <f t="shared" si="18"/>
        <v>0</v>
      </c>
      <c r="S76" s="42">
        <f t="shared" si="17"/>
        <v>0</v>
      </c>
      <c r="T76" s="43">
        <f t="shared" si="20"/>
        <v>0</v>
      </c>
      <c r="U76" s="43">
        <f t="shared" si="20"/>
        <v>0</v>
      </c>
      <c r="V76" s="44">
        <f t="shared" si="33"/>
        <v>1</v>
      </c>
      <c r="W76" s="36">
        <f t="shared" si="21"/>
        <v>65.83</v>
      </c>
      <c r="X76" s="36"/>
      <c r="Y76" s="36"/>
      <c r="Z76" s="36">
        <f t="shared" si="22"/>
        <v>0</v>
      </c>
      <c r="AA76" s="36">
        <f t="shared" si="23"/>
        <v>0</v>
      </c>
      <c r="AB76" s="36"/>
      <c r="AC76" s="36"/>
      <c r="AD76" s="36">
        <f t="shared" si="24"/>
        <v>0</v>
      </c>
      <c r="AE76" s="36">
        <f t="shared" si="25"/>
        <v>0</v>
      </c>
      <c r="AF76" s="36"/>
      <c r="AG76" s="36"/>
      <c r="AH76" s="36">
        <f t="shared" si="26"/>
        <v>0</v>
      </c>
      <c r="AI76" s="36">
        <f t="shared" si="27"/>
        <v>0</v>
      </c>
      <c r="AJ76" s="36"/>
      <c r="AK76" s="36"/>
      <c r="AL76" s="36">
        <f t="shared" si="28"/>
        <v>0</v>
      </c>
      <c r="AM76" s="36">
        <f t="shared" si="29"/>
        <v>0</v>
      </c>
      <c r="AN76" s="36"/>
      <c r="AO76" s="36"/>
      <c r="AP76" s="36">
        <f t="shared" si="30"/>
        <v>0</v>
      </c>
      <c r="AQ76" s="36">
        <f t="shared" si="31"/>
        <v>0</v>
      </c>
    </row>
    <row r="77" spans="1:43" x14ac:dyDescent="0.55000000000000004">
      <c r="A77" s="30">
        <f t="shared" si="32"/>
        <v>74</v>
      </c>
      <c r="B77" s="31">
        <v>45092</v>
      </c>
      <c r="C77" s="45"/>
      <c r="D77" s="33">
        <v>1</v>
      </c>
      <c r="E77" s="33"/>
      <c r="F77" s="33"/>
      <c r="G77" s="34" t="s">
        <v>187</v>
      </c>
      <c r="H77" s="35" t="s">
        <v>188</v>
      </c>
      <c r="I77" s="36">
        <v>2</v>
      </c>
      <c r="J77" s="37" t="s">
        <v>54</v>
      </c>
      <c r="K77" s="37"/>
      <c r="L77" s="37"/>
      <c r="M77" s="38" t="s">
        <v>189</v>
      </c>
      <c r="N77" s="39"/>
      <c r="O77" s="40">
        <v>724.05</v>
      </c>
      <c r="P77" s="37">
        <f t="shared" si="19"/>
        <v>1448.1</v>
      </c>
      <c r="Q77" s="41" t="s">
        <v>37</v>
      </c>
      <c r="R77" s="42">
        <f t="shared" si="18"/>
        <v>0</v>
      </c>
      <c r="S77" s="42">
        <f t="shared" si="17"/>
        <v>0</v>
      </c>
      <c r="T77" s="43">
        <f t="shared" si="20"/>
        <v>0</v>
      </c>
      <c r="U77" s="43">
        <f t="shared" si="20"/>
        <v>0</v>
      </c>
      <c r="V77" s="44">
        <f t="shared" si="33"/>
        <v>2</v>
      </c>
      <c r="W77" s="36">
        <f t="shared" si="21"/>
        <v>1448.1</v>
      </c>
      <c r="X77" s="36"/>
      <c r="Y77" s="36"/>
      <c r="Z77" s="36">
        <f t="shared" si="22"/>
        <v>0</v>
      </c>
      <c r="AA77" s="36">
        <f t="shared" si="23"/>
        <v>0</v>
      </c>
      <c r="AB77" s="36"/>
      <c r="AC77" s="36"/>
      <c r="AD77" s="36">
        <f t="shared" si="24"/>
        <v>0</v>
      </c>
      <c r="AE77" s="36">
        <f t="shared" si="25"/>
        <v>0</v>
      </c>
      <c r="AF77" s="36"/>
      <c r="AG77" s="36"/>
      <c r="AH77" s="36">
        <f t="shared" si="26"/>
        <v>0</v>
      </c>
      <c r="AI77" s="36">
        <f t="shared" si="27"/>
        <v>0</v>
      </c>
      <c r="AJ77" s="36"/>
      <c r="AK77" s="36"/>
      <c r="AL77" s="36">
        <f t="shared" si="28"/>
        <v>0</v>
      </c>
      <c r="AM77" s="36">
        <f t="shared" si="29"/>
        <v>0</v>
      </c>
      <c r="AN77" s="36"/>
      <c r="AO77" s="36"/>
      <c r="AP77" s="36">
        <f t="shared" si="30"/>
        <v>0</v>
      </c>
      <c r="AQ77" s="36">
        <f t="shared" si="31"/>
        <v>0</v>
      </c>
    </row>
    <row r="78" spans="1:43" x14ac:dyDescent="0.55000000000000004">
      <c r="A78" s="30">
        <f t="shared" si="32"/>
        <v>75</v>
      </c>
      <c r="B78" s="31">
        <v>44896</v>
      </c>
      <c r="C78" s="45"/>
      <c r="D78" s="33">
        <v>2</v>
      </c>
      <c r="E78" s="33"/>
      <c r="F78" s="33"/>
      <c r="G78" s="51" t="s">
        <v>190</v>
      </c>
      <c r="H78" s="52" t="s">
        <v>191</v>
      </c>
      <c r="I78" s="36">
        <v>2</v>
      </c>
      <c r="J78" s="37" t="s">
        <v>64</v>
      </c>
      <c r="K78" s="37"/>
      <c r="L78" s="37"/>
      <c r="M78" s="38" t="s">
        <v>85</v>
      </c>
      <c r="N78" s="54" t="s">
        <v>41</v>
      </c>
      <c r="O78" s="40">
        <v>126.95</v>
      </c>
      <c r="P78" s="37">
        <f t="shared" si="19"/>
        <v>253.9</v>
      </c>
      <c r="Q78" s="41"/>
      <c r="R78" s="42">
        <f t="shared" si="18"/>
        <v>0</v>
      </c>
      <c r="S78" s="42">
        <f t="shared" si="17"/>
        <v>0</v>
      </c>
      <c r="T78" s="43">
        <f t="shared" si="20"/>
        <v>0</v>
      </c>
      <c r="U78" s="43">
        <f t="shared" si="20"/>
        <v>0</v>
      </c>
      <c r="V78" s="44">
        <f t="shared" si="33"/>
        <v>2</v>
      </c>
      <c r="W78" s="36">
        <f t="shared" si="21"/>
        <v>253.9</v>
      </c>
      <c r="X78" s="36"/>
      <c r="Y78" s="36"/>
      <c r="Z78" s="36">
        <f t="shared" si="22"/>
        <v>0</v>
      </c>
      <c r="AA78" s="36">
        <f t="shared" si="23"/>
        <v>0</v>
      </c>
      <c r="AB78" s="36"/>
      <c r="AC78" s="36"/>
      <c r="AD78" s="36">
        <f t="shared" si="24"/>
        <v>0</v>
      </c>
      <c r="AE78" s="36">
        <f t="shared" si="25"/>
        <v>0</v>
      </c>
      <c r="AF78" s="36"/>
      <c r="AG78" s="36"/>
      <c r="AH78" s="36">
        <f t="shared" si="26"/>
        <v>0</v>
      </c>
      <c r="AI78" s="36">
        <f t="shared" si="27"/>
        <v>0</v>
      </c>
      <c r="AJ78" s="36"/>
      <c r="AK78" s="36"/>
      <c r="AL78" s="36">
        <f t="shared" si="28"/>
        <v>0</v>
      </c>
      <c r="AM78" s="36">
        <f t="shared" si="29"/>
        <v>0</v>
      </c>
      <c r="AN78" s="36"/>
      <c r="AO78" s="36"/>
      <c r="AP78" s="36">
        <f t="shared" si="30"/>
        <v>0</v>
      </c>
      <c r="AQ78" s="36">
        <f t="shared" si="31"/>
        <v>0</v>
      </c>
    </row>
    <row r="79" spans="1:43" x14ac:dyDescent="0.55000000000000004">
      <c r="A79" s="30">
        <f t="shared" si="32"/>
        <v>76</v>
      </c>
      <c r="B79" s="31">
        <v>44927</v>
      </c>
      <c r="C79" s="45"/>
      <c r="D79" s="33">
        <v>4</v>
      </c>
      <c r="E79" s="33"/>
      <c r="F79" s="33"/>
      <c r="G79" s="57" t="s">
        <v>192</v>
      </c>
      <c r="H79" s="35" t="s">
        <v>193</v>
      </c>
      <c r="I79" s="36">
        <v>0</v>
      </c>
      <c r="J79" s="58" t="s">
        <v>54</v>
      </c>
      <c r="K79" s="35" t="s">
        <v>194</v>
      </c>
      <c r="L79" s="37" t="s">
        <v>195</v>
      </c>
      <c r="M79" s="38" t="s">
        <v>196</v>
      </c>
      <c r="N79" s="39"/>
      <c r="O79" s="40">
        <v>104.79</v>
      </c>
      <c r="P79" s="37">
        <f t="shared" si="19"/>
        <v>0</v>
      </c>
      <c r="Q79" s="41" t="s">
        <v>54</v>
      </c>
      <c r="R79" s="42">
        <f t="shared" si="18"/>
        <v>0</v>
      </c>
      <c r="S79" s="42">
        <f t="shared" si="17"/>
        <v>0</v>
      </c>
      <c r="T79" s="43">
        <f t="shared" si="20"/>
        <v>0</v>
      </c>
      <c r="U79" s="43">
        <f t="shared" si="20"/>
        <v>0</v>
      </c>
      <c r="V79" s="44">
        <f t="shared" si="33"/>
        <v>0</v>
      </c>
      <c r="W79" s="36">
        <f t="shared" si="21"/>
        <v>0</v>
      </c>
      <c r="X79" s="36"/>
      <c r="Y79" s="36"/>
      <c r="Z79" s="36">
        <f t="shared" si="22"/>
        <v>0</v>
      </c>
      <c r="AA79" s="36">
        <f t="shared" si="23"/>
        <v>0</v>
      </c>
      <c r="AB79" s="36"/>
      <c r="AC79" s="36"/>
      <c r="AD79" s="36">
        <f t="shared" si="24"/>
        <v>0</v>
      </c>
      <c r="AE79" s="36">
        <f t="shared" si="25"/>
        <v>0</v>
      </c>
      <c r="AF79" s="36"/>
      <c r="AG79" s="36"/>
      <c r="AH79" s="36">
        <f t="shared" si="26"/>
        <v>0</v>
      </c>
      <c r="AI79" s="36">
        <f t="shared" si="27"/>
        <v>0</v>
      </c>
      <c r="AJ79" s="36"/>
      <c r="AK79" s="36"/>
      <c r="AL79" s="36">
        <f t="shared" si="28"/>
        <v>0</v>
      </c>
      <c r="AM79" s="36">
        <f t="shared" si="29"/>
        <v>0</v>
      </c>
      <c r="AN79" s="36"/>
      <c r="AO79" s="36"/>
      <c r="AP79" s="36">
        <f t="shared" si="30"/>
        <v>0</v>
      </c>
      <c r="AQ79" s="36">
        <f t="shared" si="31"/>
        <v>0</v>
      </c>
    </row>
    <row r="80" spans="1:43" x14ac:dyDescent="0.55000000000000004">
      <c r="A80" s="30">
        <f t="shared" si="32"/>
        <v>77</v>
      </c>
      <c r="B80" s="31">
        <v>44896</v>
      </c>
      <c r="C80" s="45"/>
      <c r="D80" s="33">
        <v>2</v>
      </c>
      <c r="E80" s="33"/>
      <c r="F80" s="33"/>
      <c r="G80" s="59" t="s">
        <v>197</v>
      </c>
      <c r="H80" s="37" t="s">
        <v>198</v>
      </c>
      <c r="I80" s="36">
        <v>0</v>
      </c>
      <c r="J80" s="37" t="s">
        <v>54</v>
      </c>
      <c r="K80" s="37"/>
      <c r="L80" s="37"/>
      <c r="M80" s="38" t="s">
        <v>85</v>
      </c>
      <c r="N80" s="39" t="s">
        <v>41</v>
      </c>
      <c r="O80" s="40">
        <v>57.3</v>
      </c>
      <c r="P80" s="37">
        <f t="shared" si="19"/>
        <v>0</v>
      </c>
      <c r="Q80" s="41" t="s">
        <v>54</v>
      </c>
      <c r="R80" s="42">
        <f t="shared" si="18"/>
        <v>0</v>
      </c>
      <c r="S80" s="42">
        <f t="shared" si="17"/>
        <v>0</v>
      </c>
      <c r="T80" s="43">
        <f t="shared" si="20"/>
        <v>0</v>
      </c>
      <c r="U80" s="43">
        <f t="shared" si="20"/>
        <v>0</v>
      </c>
      <c r="V80" s="44">
        <f t="shared" si="33"/>
        <v>0</v>
      </c>
      <c r="W80" s="36">
        <f t="shared" si="21"/>
        <v>0</v>
      </c>
      <c r="X80" s="36"/>
      <c r="Y80" s="36"/>
      <c r="Z80" s="36">
        <f t="shared" si="22"/>
        <v>0</v>
      </c>
      <c r="AA80" s="36">
        <f t="shared" si="23"/>
        <v>0</v>
      </c>
      <c r="AB80" s="36"/>
      <c r="AC80" s="36"/>
      <c r="AD80" s="36">
        <f t="shared" si="24"/>
        <v>0</v>
      </c>
      <c r="AE80" s="36">
        <f t="shared" si="25"/>
        <v>0</v>
      </c>
      <c r="AF80" s="36"/>
      <c r="AG80" s="36"/>
      <c r="AH80" s="36">
        <f t="shared" si="26"/>
        <v>0</v>
      </c>
      <c r="AI80" s="36">
        <f t="shared" si="27"/>
        <v>0</v>
      </c>
      <c r="AJ80" s="36"/>
      <c r="AK80" s="36"/>
      <c r="AL80" s="36">
        <f t="shared" si="28"/>
        <v>0</v>
      </c>
      <c r="AM80" s="36">
        <f t="shared" si="29"/>
        <v>0</v>
      </c>
      <c r="AN80" s="36"/>
      <c r="AO80" s="36"/>
      <c r="AP80" s="36">
        <f t="shared" si="30"/>
        <v>0</v>
      </c>
      <c r="AQ80" s="36">
        <f t="shared" si="31"/>
        <v>0</v>
      </c>
    </row>
    <row r="81" spans="1:43" x14ac:dyDescent="0.55000000000000004">
      <c r="A81" s="30">
        <f t="shared" si="32"/>
        <v>78</v>
      </c>
      <c r="B81" s="31">
        <v>45607</v>
      </c>
      <c r="C81" s="45"/>
      <c r="D81" s="33">
        <v>1</v>
      </c>
      <c r="E81" s="33"/>
      <c r="F81" s="33"/>
      <c r="G81" s="51" t="s">
        <v>199</v>
      </c>
      <c r="H81" s="37" t="s">
        <v>48</v>
      </c>
      <c r="I81" s="36">
        <v>1</v>
      </c>
      <c r="J81" s="37"/>
      <c r="K81" s="37"/>
      <c r="L81" s="37"/>
      <c r="M81" s="38" t="s">
        <v>72</v>
      </c>
      <c r="N81" s="54" t="s">
        <v>41</v>
      </c>
      <c r="O81" s="40">
        <v>0.78</v>
      </c>
      <c r="P81" s="37">
        <f t="shared" si="19"/>
        <v>0.78</v>
      </c>
      <c r="Q81" s="41"/>
      <c r="R81" s="42">
        <f t="shared" si="18"/>
        <v>0</v>
      </c>
      <c r="S81" s="42">
        <f t="shared" si="17"/>
        <v>0.78</v>
      </c>
      <c r="T81" s="43">
        <f t="shared" si="20"/>
        <v>0</v>
      </c>
      <c r="U81" s="43">
        <f t="shared" si="20"/>
        <v>1</v>
      </c>
      <c r="V81" s="44">
        <f t="shared" si="33"/>
        <v>0</v>
      </c>
      <c r="W81" s="36">
        <f t="shared" si="21"/>
        <v>0</v>
      </c>
      <c r="X81" s="36"/>
      <c r="Y81" s="36"/>
      <c r="Z81" s="36">
        <f t="shared" si="22"/>
        <v>0</v>
      </c>
      <c r="AA81" s="36">
        <f t="shared" si="23"/>
        <v>0</v>
      </c>
      <c r="AB81" s="36"/>
      <c r="AC81" s="36"/>
      <c r="AD81" s="36">
        <f t="shared" si="24"/>
        <v>0</v>
      </c>
      <c r="AE81" s="36">
        <f t="shared" si="25"/>
        <v>0</v>
      </c>
      <c r="AF81" s="36"/>
      <c r="AG81" s="36">
        <v>1</v>
      </c>
      <c r="AH81" s="36">
        <f t="shared" si="26"/>
        <v>0</v>
      </c>
      <c r="AI81" s="36">
        <f t="shared" si="27"/>
        <v>0.78</v>
      </c>
      <c r="AJ81" s="36"/>
      <c r="AK81" s="36"/>
      <c r="AL81" s="36">
        <f t="shared" si="28"/>
        <v>0</v>
      </c>
      <c r="AM81" s="36">
        <f t="shared" si="29"/>
        <v>0</v>
      </c>
      <c r="AN81" s="36"/>
      <c r="AO81" s="36"/>
      <c r="AP81" s="36">
        <f t="shared" si="30"/>
        <v>0</v>
      </c>
      <c r="AQ81" s="36">
        <f t="shared" si="31"/>
        <v>0</v>
      </c>
    </row>
    <row r="82" spans="1:43" x14ac:dyDescent="0.55000000000000004">
      <c r="A82" s="30">
        <f t="shared" si="32"/>
        <v>79</v>
      </c>
      <c r="B82" s="31">
        <v>45748</v>
      </c>
      <c r="C82" s="45"/>
      <c r="D82" s="33">
        <v>4</v>
      </c>
      <c r="E82" s="33"/>
      <c r="F82" s="33"/>
      <c r="G82" s="51" t="s">
        <v>200</v>
      </c>
      <c r="H82" s="37" t="s">
        <v>201</v>
      </c>
      <c r="I82" s="36">
        <v>6</v>
      </c>
      <c r="J82" s="37"/>
      <c r="K82" s="37"/>
      <c r="L82" s="37"/>
      <c r="M82" s="38" t="s">
        <v>83</v>
      </c>
      <c r="N82" s="39" t="s">
        <v>49</v>
      </c>
      <c r="O82" s="40">
        <v>13.86</v>
      </c>
      <c r="P82" s="37">
        <f t="shared" si="19"/>
        <v>83.16</v>
      </c>
      <c r="Q82" s="41"/>
      <c r="R82" s="42">
        <f t="shared" si="18"/>
        <v>0</v>
      </c>
      <c r="S82" s="42">
        <f t="shared" si="17"/>
        <v>0</v>
      </c>
      <c r="T82" s="43">
        <f t="shared" si="20"/>
        <v>0</v>
      </c>
      <c r="U82" s="43">
        <f t="shared" si="20"/>
        <v>0</v>
      </c>
      <c r="V82" s="44">
        <f t="shared" si="33"/>
        <v>6</v>
      </c>
      <c r="W82" s="36">
        <f t="shared" si="21"/>
        <v>83.16</v>
      </c>
      <c r="X82" s="36"/>
      <c r="Y82" s="36"/>
      <c r="Z82" s="36">
        <f t="shared" si="22"/>
        <v>0</v>
      </c>
      <c r="AA82" s="36">
        <f t="shared" si="23"/>
        <v>0</v>
      </c>
      <c r="AB82" s="36"/>
      <c r="AC82" s="36"/>
      <c r="AD82" s="36">
        <f t="shared" si="24"/>
        <v>0</v>
      </c>
      <c r="AE82" s="36">
        <f t="shared" si="25"/>
        <v>0</v>
      </c>
      <c r="AF82" s="36"/>
      <c r="AG82" s="36"/>
      <c r="AH82" s="36">
        <f t="shared" si="26"/>
        <v>0</v>
      </c>
      <c r="AI82" s="36">
        <f t="shared" si="27"/>
        <v>0</v>
      </c>
      <c r="AJ82" s="36"/>
      <c r="AK82" s="36"/>
      <c r="AL82" s="36">
        <f t="shared" si="28"/>
        <v>0</v>
      </c>
      <c r="AM82" s="36">
        <f t="shared" si="29"/>
        <v>0</v>
      </c>
      <c r="AN82" s="36"/>
      <c r="AO82" s="36"/>
      <c r="AP82" s="36">
        <f t="shared" si="30"/>
        <v>0</v>
      </c>
      <c r="AQ82" s="36">
        <f t="shared" si="31"/>
        <v>0</v>
      </c>
    </row>
    <row r="83" spans="1:43" x14ac:dyDescent="0.55000000000000004">
      <c r="A83" s="30">
        <f t="shared" si="32"/>
        <v>80</v>
      </c>
      <c r="B83" s="31">
        <v>45627</v>
      </c>
      <c r="C83" s="45"/>
      <c r="D83" s="33">
        <v>4</v>
      </c>
      <c r="E83" s="33"/>
      <c r="F83" s="33"/>
      <c r="G83" s="51" t="s">
        <v>202</v>
      </c>
      <c r="H83" s="37" t="s">
        <v>203</v>
      </c>
      <c r="I83" s="36">
        <v>4</v>
      </c>
      <c r="J83" s="37" t="s">
        <v>142</v>
      </c>
      <c r="K83" s="37"/>
      <c r="L83" s="37"/>
      <c r="M83" s="38" t="s">
        <v>196</v>
      </c>
      <c r="N83" s="39"/>
      <c r="O83" s="40">
        <v>294.54000000000002</v>
      </c>
      <c r="P83" s="37">
        <f t="shared" si="19"/>
        <v>1178.1600000000001</v>
      </c>
      <c r="Q83" s="41"/>
      <c r="R83" s="42">
        <f t="shared" si="18"/>
        <v>0</v>
      </c>
      <c r="S83" s="42">
        <f t="shared" si="17"/>
        <v>0</v>
      </c>
      <c r="T83" s="43">
        <f t="shared" si="20"/>
        <v>0</v>
      </c>
      <c r="U83" s="43">
        <f t="shared" si="20"/>
        <v>0</v>
      </c>
      <c r="V83" s="44">
        <f t="shared" si="33"/>
        <v>4</v>
      </c>
      <c r="W83" s="36">
        <f t="shared" si="21"/>
        <v>1178.1600000000001</v>
      </c>
      <c r="X83" s="36"/>
      <c r="Y83" s="36"/>
      <c r="Z83" s="36">
        <f t="shared" si="22"/>
        <v>0</v>
      </c>
      <c r="AA83" s="36">
        <f t="shared" si="23"/>
        <v>0</v>
      </c>
      <c r="AB83" s="36"/>
      <c r="AC83" s="36"/>
      <c r="AD83" s="36">
        <f t="shared" si="24"/>
        <v>0</v>
      </c>
      <c r="AE83" s="36">
        <f t="shared" si="25"/>
        <v>0</v>
      </c>
      <c r="AF83" s="36"/>
      <c r="AG83" s="36"/>
      <c r="AH83" s="36">
        <f t="shared" si="26"/>
        <v>0</v>
      </c>
      <c r="AI83" s="36">
        <f t="shared" si="27"/>
        <v>0</v>
      </c>
      <c r="AJ83" s="36"/>
      <c r="AK83" s="36"/>
      <c r="AL83" s="36">
        <f t="shared" si="28"/>
        <v>0</v>
      </c>
      <c r="AM83" s="36">
        <f t="shared" si="29"/>
        <v>0</v>
      </c>
      <c r="AN83" s="36"/>
      <c r="AO83" s="36"/>
      <c r="AP83" s="36">
        <f t="shared" si="30"/>
        <v>0</v>
      </c>
      <c r="AQ83" s="36">
        <f t="shared" si="31"/>
        <v>0</v>
      </c>
    </row>
    <row r="84" spans="1:43" x14ac:dyDescent="0.55000000000000004">
      <c r="A84" s="30">
        <f t="shared" si="32"/>
        <v>81</v>
      </c>
      <c r="B84" s="31">
        <v>44896</v>
      </c>
      <c r="C84" s="45"/>
      <c r="D84" s="33">
        <v>1</v>
      </c>
      <c r="E84" s="33"/>
      <c r="F84" s="33"/>
      <c r="G84" s="51" t="s">
        <v>204</v>
      </c>
      <c r="H84" s="37" t="s">
        <v>133</v>
      </c>
      <c r="I84" s="36">
        <v>1</v>
      </c>
      <c r="J84" s="37" t="s">
        <v>54</v>
      </c>
      <c r="K84" s="37"/>
      <c r="L84" s="37"/>
      <c r="M84" s="38" t="s">
        <v>102</v>
      </c>
      <c r="N84" s="39" t="s">
        <v>49</v>
      </c>
      <c r="O84" s="40">
        <v>18.420000000000002</v>
      </c>
      <c r="P84" s="37">
        <f t="shared" si="19"/>
        <v>18.420000000000002</v>
      </c>
      <c r="Q84" s="41"/>
      <c r="R84" s="42">
        <f t="shared" si="18"/>
        <v>0</v>
      </c>
      <c r="S84" s="42">
        <f t="shared" si="17"/>
        <v>0</v>
      </c>
      <c r="T84" s="43">
        <f t="shared" si="20"/>
        <v>0</v>
      </c>
      <c r="U84" s="43">
        <f t="shared" si="20"/>
        <v>0</v>
      </c>
      <c r="V84" s="44">
        <f t="shared" si="33"/>
        <v>1</v>
      </c>
      <c r="W84" s="36">
        <f t="shared" si="21"/>
        <v>18.420000000000002</v>
      </c>
      <c r="X84" s="36"/>
      <c r="Y84" s="36"/>
      <c r="Z84" s="36">
        <f t="shared" si="22"/>
        <v>0</v>
      </c>
      <c r="AA84" s="36">
        <f t="shared" si="23"/>
        <v>0</v>
      </c>
      <c r="AB84" s="36"/>
      <c r="AC84" s="36"/>
      <c r="AD84" s="36">
        <f t="shared" si="24"/>
        <v>0</v>
      </c>
      <c r="AE84" s="36">
        <f t="shared" si="25"/>
        <v>0</v>
      </c>
      <c r="AF84" s="36"/>
      <c r="AG84" s="36"/>
      <c r="AH84" s="36">
        <f t="shared" si="26"/>
        <v>0</v>
      </c>
      <c r="AI84" s="36">
        <f t="shared" si="27"/>
        <v>0</v>
      </c>
      <c r="AJ84" s="36"/>
      <c r="AK84" s="36"/>
      <c r="AL84" s="36">
        <f t="shared" si="28"/>
        <v>0</v>
      </c>
      <c r="AM84" s="36">
        <f t="shared" si="29"/>
        <v>0</v>
      </c>
      <c r="AN84" s="36"/>
      <c r="AO84" s="36"/>
      <c r="AP84" s="36">
        <f t="shared" si="30"/>
        <v>0</v>
      </c>
      <c r="AQ84" s="36">
        <f t="shared" si="31"/>
        <v>0</v>
      </c>
    </row>
    <row r="85" spans="1:43" x14ac:dyDescent="0.55000000000000004">
      <c r="A85" s="30">
        <f t="shared" si="32"/>
        <v>82</v>
      </c>
      <c r="B85" s="31">
        <v>44896</v>
      </c>
      <c r="C85" s="45"/>
      <c r="D85" s="33">
        <v>1</v>
      </c>
      <c r="E85" s="33"/>
      <c r="F85" s="33"/>
      <c r="G85" s="34" t="s">
        <v>205</v>
      </c>
      <c r="H85" s="35" t="s">
        <v>206</v>
      </c>
      <c r="I85" s="36">
        <v>1</v>
      </c>
      <c r="J85" s="37" t="s">
        <v>54</v>
      </c>
      <c r="K85" s="37"/>
      <c r="L85" s="37"/>
      <c r="M85" s="38" t="s">
        <v>85</v>
      </c>
      <c r="N85" s="54" t="s">
        <v>41</v>
      </c>
      <c r="O85" s="40">
        <v>24.05</v>
      </c>
      <c r="P85" s="37">
        <f t="shared" si="19"/>
        <v>24.05</v>
      </c>
      <c r="Q85" s="41" t="s">
        <v>54</v>
      </c>
      <c r="R85" s="42">
        <f t="shared" si="18"/>
        <v>0</v>
      </c>
      <c r="S85" s="42">
        <f t="shared" ref="S85:S148" si="34">U85*O85</f>
        <v>0</v>
      </c>
      <c r="T85" s="43">
        <f t="shared" si="20"/>
        <v>0</v>
      </c>
      <c r="U85" s="43">
        <f t="shared" si="20"/>
        <v>0</v>
      </c>
      <c r="V85" s="44">
        <f t="shared" si="33"/>
        <v>1</v>
      </c>
      <c r="W85" s="36">
        <f t="shared" si="21"/>
        <v>24.05</v>
      </c>
      <c r="X85" s="36"/>
      <c r="Y85" s="36"/>
      <c r="Z85" s="36">
        <f t="shared" si="22"/>
        <v>0</v>
      </c>
      <c r="AA85" s="36">
        <f t="shared" si="23"/>
        <v>0</v>
      </c>
      <c r="AB85" s="36"/>
      <c r="AC85" s="36"/>
      <c r="AD85" s="36">
        <f t="shared" si="24"/>
        <v>0</v>
      </c>
      <c r="AE85" s="36">
        <f t="shared" si="25"/>
        <v>0</v>
      </c>
      <c r="AF85" s="36"/>
      <c r="AG85" s="36"/>
      <c r="AH85" s="36">
        <f t="shared" si="26"/>
        <v>0</v>
      </c>
      <c r="AI85" s="36">
        <f t="shared" si="27"/>
        <v>0</v>
      </c>
      <c r="AJ85" s="36"/>
      <c r="AK85" s="36"/>
      <c r="AL85" s="36">
        <f t="shared" si="28"/>
        <v>0</v>
      </c>
      <c r="AM85" s="36">
        <f t="shared" si="29"/>
        <v>0</v>
      </c>
      <c r="AN85" s="36"/>
      <c r="AO85" s="36"/>
      <c r="AP85" s="36">
        <f t="shared" si="30"/>
        <v>0</v>
      </c>
      <c r="AQ85" s="36">
        <f t="shared" si="31"/>
        <v>0</v>
      </c>
    </row>
    <row r="86" spans="1:43" x14ac:dyDescent="0.55000000000000004">
      <c r="A86" s="30">
        <f t="shared" si="32"/>
        <v>83</v>
      </c>
      <c r="B86" s="31">
        <v>44774</v>
      </c>
      <c r="C86" s="45"/>
      <c r="D86" s="33">
        <v>3</v>
      </c>
      <c r="E86" s="33"/>
      <c r="F86" s="33"/>
      <c r="G86" s="34" t="s">
        <v>207</v>
      </c>
      <c r="H86" s="35" t="s">
        <v>208</v>
      </c>
      <c r="I86" s="36">
        <v>3</v>
      </c>
      <c r="J86" s="37" t="s">
        <v>80</v>
      </c>
      <c r="K86" s="37"/>
      <c r="L86" s="37"/>
      <c r="M86" s="38" t="s">
        <v>83</v>
      </c>
      <c r="N86" s="39" t="s">
        <v>49</v>
      </c>
      <c r="O86" s="40">
        <v>60.62</v>
      </c>
      <c r="P86" s="37">
        <f t="shared" si="19"/>
        <v>181.85999999999999</v>
      </c>
      <c r="Q86" s="41" t="s">
        <v>80</v>
      </c>
      <c r="R86" s="42">
        <f t="shared" si="18"/>
        <v>0</v>
      </c>
      <c r="S86" s="42">
        <f t="shared" si="34"/>
        <v>0</v>
      </c>
      <c r="T86" s="43">
        <f t="shared" si="20"/>
        <v>0</v>
      </c>
      <c r="U86" s="43">
        <f t="shared" si="20"/>
        <v>0</v>
      </c>
      <c r="V86" s="44">
        <f t="shared" si="33"/>
        <v>3</v>
      </c>
      <c r="W86" s="36">
        <f t="shared" si="21"/>
        <v>181.85999999999999</v>
      </c>
      <c r="X86" s="36"/>
      <c r="Y86" s="36"/>
      <c r="Z86" s="36">
        <f t="shared" si="22"/>
        <v>0</v>
      </c>
      <c r="AA86" s="36">
        <f t="shared" si="23"/>
        <v>0</v>
      </c>
      <c r="AB86" s="36"/>
      <c r="AC86" s="36"/>
      <c r="AD86" s="36">
        <f t="shared" si="24"/>
        <v>0</v>
      </c>
      <c r="AE86" s="36">
        <f t="shared" si="25"/>
        <v>0</v>
      </c>
      <c r="AF86" s="36"/>
      <c r="AG86" s="36"/>
      <c r="AH86" s="36">
        <f t="shared" si="26"/>
        <v>0</v>
      </c>
      <c r="AI86" s="36">
        <f t="shared" si="27"/>
        <v>0</v>
      </c>
      <c r="AJ86" s="36"/>
      <c r="AK86" s="36"/>
      <c r="AL86" s="36">
        <f t="shared" si="28"/>
        <v>0</v>
      </c>
      <c r="AM86" s="36">
        <f t="shared" si="29"/>
        <v>0</v>
      </c>
      <c r="AN86" s="36"/>
      <c r="AO86" s="36"/>
      <c r="AP86" s="36">
        <f t="shared" si="30"/>
        <v>0</v>
      </c>
      <c r="AQ86" s="36">
        <f t="shared" si="31"/>
        <v>0</v>
      </c>
    </row>
    <row r="87" spans="1:43" x14ac:dyDescent="0.55000000000000004">
      <c r="A87" s="30">
        <f t="shared" si="32"/>
        <v>84</v>
      </c>
      <c r="B87" s="31">
        <v>44896</v>
      </c>
      <c r="C87" s="45"/>
      <c r="D87" s="33">
        <v>1</v>
      </c>
      <c r="E87" s="33"/>
      <c r="F87" s="33"/>
      <c r="G87" s="34" t="s">
        <v>209</v>
      </c>
      <c r="H87" s="35" t="s">
        <v>210</v>
      </c>
      <c r="I87" s="36">
        <v>1</v>
      </c>
      <c r="J87" s="37" t="s">
        <v>54</v>
      </c>
      <c r="K87" s="37"/>
      <c r="L87" s="37"/>
      <c r="M87" s="38" t="s">
        <v>122</v>
      </c>
      <c r="N87" s="39"/>
      <c r="O87" s="40">
        <v>40.619999999999997</v>
      </c>
      <c r="P87" s="37">
        <f t="shared" si="19"/>
        <v>40.619999999999997</v>
      </c>
      <c r="Q87" s="41" t="s">
        <v>54</v>
      </c>
      <c r="R87" s="42">
        <f t="shared" si="18"/>
        <v>0</v>
      </c>
      <c r="S87" s="42">
        <f t="shared" si="34"/>
        <v>0</v>
      </c>
      <c r="T87" s="43">
        <f t="shared" si="20"/>
        <v>0</v>
      </c>
      <c r="U87" s="43">
        <f t="shared" si="20"/>
        <v>0</v>
      </c>
      <c r="V87" s="44">
        <f t="shared" si="33"/>
        <v>1</v>
      </c>
      <c r="W87" s="36">
        <f t="shared" si="21"/>
        <v>40.619999999999997</v>
      </c>
      <c r="X87" s="36"/>
      <c r="Y87" s="36"/>
      <c r="Z87" s="36">
        <f t="shared" si="22"/>
        <v>0</v>
      </c>
      <c r="AA87" s="36">
        <f t="shared" si="23"/>
        <v>0</v>
      </c>
      <c r="AB87" s="36"/>
      <c r="AC87" s="36"/>
      <c r="AD87" s="36">
        <f t="shared" si="24"/>
        <v>0</v>
      </c>
      <c r="AE87" s="36">
        <f t="shared" si="25"/>
        <v>0</v>
      </c>
      <c r="AF87" s="36"/>
      <c r="AG87" s="36"/>
      <c r="AH87" s="36">
        <f t="shared" si="26"/>
        <v>0</v>
      </c>
      <c r="AI87" s="36">
        <f t="shared" si="27"/>
        <v>0</v>
      </c>
      <c r="AJ87" s="36"/>
      <c r="AK87" s="36"/>
      <c r="AL87" s="36">
        <f t="shared" si="28"/>
        <v>0</v>
      </c>
      <c r="AM87" s="36">
        <f t="shared" si="29"/>
        <v>0</v>
      </c>
      <c r="AN87" s="36"/>
      <c r="AO87" s="36"/>
      <c r="AP87" s="36">
        <f t="shared" si="30"/>
        <v>0</v>
      </c>
      <c r="AQ87" s="36">
        <f t="shared" si="31"/>
        <v>0</v>
      </c>
    </row>
    <row r="88" spans="1:43" x14ac:dyDescent="0.55000000000000004">
      <c r="A88" s="30">
        <f t="shared" si="32"/>
        <v>85</v>
      </c>
      <c r="B88" s="31">
        <v>44896</v>
      </c>
      <c r="C88" s="45"/>
      <c r="D88" s="33">
        <v>1</v>
      </c>
      <c r="E88" s="33"/>
      <c r="F88" s="33"/>
      <c r="G88" s="34" t="s">
        <v>211</v>
      </c>
      <c r="H88" s="35" t="s">
        <v>212</v>
      </c>
      <c r="I88" s="36">
        <v>1</v>
      </c>
      <c r="J88" s="37" t="s">
        <v>54</v>
      </c>
      <c r="K88" s="37"/>
      <c r="L88" s="37"/>
      <c r="M88" s="38" t="s">
        <v>85</v>
      </c>
      <c r="N88" s="54" t="s">
        <v>41</v>
      </c>
      <c r="O88" s="40">
        <v>31.9</v>
      </c>
      <c r="P88" s="37">
        <f t="shared" si="19"/>
        <v>31.9</v>
      </c>
      <c r="Q88" s="41" t="s">
        <v>54</v>
      </c>
      <c r="R88" s="42">
        <f t="shared" si="18"/>
        <v>0</v>
      </c>
      <c r="S88" s="42">
        <f t="shared" si="34"/>
        <v>0</v>
      </c>
      <c r="T88" s="43">
        <f t="shared" si="20"/>
        <v>0</v>
      </c>
      <c r="U88" s="43">
        <f t="shared" si="20"/>
        <v>0</v>
      </c>
      <c r="V88" s="44">
        <f t="shared" si="33"/>
        <v>1</v>
      </c>
      <c r="W88" s="36">
        <f t="shared" si="21"/>
        <v>31.9</v>
      </c>
      <c r="X88" s="36"/>
      <c r="Y88" s="36"/>
      <c r="Z88" s="36">
        <f t="shared" si="22"/>
        <v>0</v>
      </c>
      <c r="AA88" s="36">
        <f t="shared" si="23"/>
        <v>0</v>
      </c>
      <c r="AB88" s="36"/>
      <c r="AC88" s="36"/>
      <c r="AD88" s="36">
        <f t="shared" si="24"/>
        <v>0</v>
      </c>
      <c r="AE88" s="36">
        <f t="shared" si="25"/>
        <v>0</v>
      </c>
      <c r="AF88" s="36"/>
      <c r="AG88" s="36"/>
      <c r="AH88" s="36">
        <f t="shared" si="26"/>
        <v>0</v>
      </c>
      <c r="AI88" s="36">
        <f t="shared" si="27"/>
        <v>0</v>
      </c>
      <c r="AJ88" s="36"/>
      <c r="AK88" s="36"/>
      <c r="AL88" s="36">
        <f t="shared" si="28"/>
        <v>0</v>
      </c>
      <c r="AM88" s="36">
        <f t="shared" si="29"/>
        <v>0</v>
      </c>
      <c r="AN88" s="36"/>
      <c r="AO88" s="36"/>
      <c r="AP88" s="36">
        <f t="shared" si="30"/>
        <v>0</v>
      </c>
      <c r="AQ88" s="36">
        <f t="shared" si="31"/>
        <v>0</v>
      </c>
    </row>
    <row r="89" spans="1:43" x14ac:dyDescent="0.55000000000000004">
      <c r="A89" s="30">
        <f t="shared" si="32"/>
        <v>86</v>
      </c>
      <c r="B89" s="31">
        <v>44896</v>
      </c>
      <c r="C89" s="45"/>
      <c r="D89" s="33">
        <v>2</v>
      </c>
      <c r="E89" s="33"/>
      <c r="F89" s="33"/>
      <c r="G89" s="34" t="s">
        <v>213</v>
      </c>
      <c r="H89" s="35" t="s">
        <v>214</v>
      </c>
      <c r="I89" s="36">
        <v>2</v>
      </c>
      <c r="J89" s="37" t="s">
        <v>54</v>
      </c>
      <c r="K89" s="37"/>
      <c r="L89" s="37"/>
      <c r="M89" s="38" t="s">
        <v>102</v>
      </c>
      <c r="N89" s="39" t="s">
        <v>49</v>
      </c>
      <c r="O89" s="40">
        <v>84.53</v>
      </c>
      <c r="P89" s="37">
        <f t="shared" si="19"/>
        <v>169.06</v>
      </c>
      <c r="Q89" s="41" t="s">
        <v>54</v>
      </c>
      <c r="R89" s="42">
        <f t="shared" si="18"/>
        <v>0</v>
      </c>
      <c r="S89" s="42">
        <f t="shared" si="34"/>
        <v>0</v>
      </c>
      <c r="T89" s="43">
        <f t="shared" si="20"/>
        <v>0</v>
      </c>
      <c r="U89" s="43">
        <f t="shared" si="20"/>
        <v>0</v>
      </c>
      <c r="V89" s="44">
        <f t="shared" si="33"/>
        <v>2</v>
      </c>
      <c r="W89" s="36">
        <f t="shared" si="21"/>
        <v>169.06</v>
      </c>
      <c r="X89" s="36"/>
      <c r="Y89" s="36"/>
      <c r="Z89" s="36">
        <f t="shared" si="22"/>
        <v>0</v>
      </c>
      <c r="AA89" s="36">
        <f t="shared" si="23"/>
        <v>0</v>
      </c>
      <c r="AB89" s="36"/>
      <c r="AC89" s="36"/>
      <c r="AD89" s="36">
        <f t="shared" si="24"/>
        <v>0</v>
      </c>
      <c r="AE89" s="36">
        <f t="shared" si="25"/>
        <v>0</v>
      </c>
      <c r="AF89" s="36"/>
      <c r="AG89" s="36"/>
      <c r="AH89" s="36">
        <f t="shared" si="26"/>
        <v>0</v>
      </c>
      <c r="AI89" s="36">
        <f t="shared" si="27"/>
        <v>0</v>
      </c>
      <c r="AJ89" s="36"/>
      <c r="AK89" s="36"/>
      <c r="AL89" s="36">
        <f t="shared" si="28"/>
        <v>0</v>
      </c>
      <c r="AM89" s="36">
        <f t="shared" si="29"/>
        <v>0</v>
      </c>
      <c r="AN89" s="36"/>
      <c r="AO89" s="36"/>
      <c r="AP89" s="36">
        <f t="shared" si="30"/>
        <v>0</v>
      </c>
      <c r="AQ89" s="36">
        <f t="shared" si="31"/>
        <v>0</v>
      </c>
    </row>
    <row r="90" spans="1:43" x14ac:dyDescent="0.55000000000000004">
      <c r="A90" s="30">
        <f t="shared" si="32"/>
        <v>87</v>
      </c>
      <c r="B90" s="31">
        <v>44896</v>
      </c>
      <c r="C90" s="45"/>
      <c r="D90" s="33">
        <v>1</v>
      </c>
      <c r="E90" s="33"/>
      <c r="F90" s="33"/>
      <c r="G90" s="34" t="s">
        <v>215</v>
      </c>
      <c r="H90" s="35" t="s">
        <v>216</v>
      </c>
      <c r="I90" s="36">
        <v>1</v>
      </c>
      <c r="J90" s="37" t="s">
        <v>54</v>
      </c>
      <c r="K90" s="37"/>
      <c r="L90" s="37"/>
      <c r="M90" s="38" t="s">
        <v>217</v>
      </c>
      <c r="N90" s="39"/>
      <c r="O90" s="40">
        <v>251.58</v>
      </c>
      <c r="P90" s="37">
        <f t="shared" si="19"/>
        <v>251.58</v>
      </c>
      <c r="Q90" s="41" t="s">
        <v>54</v>
      </c>
      <c r="R90" s="42">
        <f t="shared" ref="R90:R153" si="35">T90*O90</f>
        <v>0</v>
      </c>
      <c r="S90" s="42">
        <f t="shared" si="34"/>
        <v>0</v>
      </c>
      <c r="T90" s="43">
        <f t="shared" si="20"/>
        <v>0</v>
      </c>
      <c r="U90" s="43">
        <f t="shared" si="20"/>
        <v>0</v>
      </c>
      <c r="V90" s="44">
        <f t="shared" si="33"/>
        <v>1</v>
      </c>
      <c r="W90" s="36">
        <f t="shared" si="21"/>
        <v>251.58</v>
      </c>
      <c r="X90" s="36"/>
      <c r="Y90" s="36"/>
      <c r="Z90" s="36">
        <f t="shared" si="22"/>
        <v>0</v>
      </c>
      <c r="AA90" s="36">
        <f t="shared" si="23"/>
        <v>0</v>
      </c>
      <c r="AB90" s="36"/>
      <c r="AC90" s="36"/>
      <c r="AD90" s="36">
        <f t="shared" si="24"/>
        <v>0</v>
      </c>
      <c r="AE90" s="36">
        <f t="shared" si="25"/>
        <v>0</v>
      </c>
      <c r="AF90" s="36"/>
      <c r="AG90" s="36"/>
      <c r="AH90" s="36">
        <f t="shared" si="26"/>
        <v>0</v>
      </c>
      <c r="AI90" s="36">
        <f t="shared" si="27"/>
        <v>0</v>
      </c>
      <c r="AJ90" s="36"/>
      <c r="AK90" s="36"/>
      <c r="AL90" s="36">
        <f t="shared" si="28"/>
        <v>0</v>
      </c>
      <c r="AM90" s="36">
        <f t="shared" si="29"/>
        <v>0</v>
      </c>
      <c r="AN90" s="36"/>
      <c r="AO90" s="36"/>
      <c r="AP90" s="36">
        <f t="shared" si="30"/>
        <v>0</v>
      </c>
      <c r="AQ90" s="36">
        <f t="shared" si="31"/>
        <v>0</v>
      </c>
    </row>
    <row r="91" spans="1:43" x14ac:dyDescent="0.55000000000000004">
      <c r="A91" s="30">
        <f t="shared" si="32"/>
        <v>88</v>
      </c>
      <c r="B91" s="31">
        <v>44896</v>
      </c>
      <c r="C91" s="45"/>
      <c r="D91" s="33">
        <v>2</v>
      </c>
      <c r="E91" s="33"/>
      <c r="F91" s="33"/>
      <c r="G91" s="34" t="s">
        <v>218</v>
      </c>
      <c r="H91" s="37" t="s">
        <v>219</v>
      </c>
      <c r="I91" s="36">
        <v>2</v>
      </c>
      <c r="J91" s="37" t="s">
        <v>80</v>
      </c>
      <c r="K91" s="37"/>
      <c r="L91" s="37"/>
      <c r="M91" s="38" t="s">
        <v>51</v>
      </c>
      <c r="N91" s="39"/>
      <c r="O91" s="40">
        <v>753.65</v>
      </c>
      <c r="P91" s="37">
        <f t="shared" si="19"/>
        <v>1507.3</v>
      </c>
      <c r="Q91" s="41" t="s">
        <v>54</v>
      </c>
      <c r="R91" s="42">
        <f t="shared" si="35"/>
        <v>0</v>
      </c>
      <c r="S91" s="42">
        <f t="shared" si="34"/>
        <v>0</v>
      </c>
      <c r="T91" s="43">
        <f t="shared" si="20"/>
        <v>0</v>
      </c>
      <c r="U91" s="43">
        <f t="shared" si="20"/>
        <v>0</v>
      </c>
      <c r="V91" s="44">
        <f t="shared" si="33"/>
        <v>2</v>
      </c>
      <c r="W91" s="36">
        <f t="shared" si="21"/>
        <v>1507.3</v>
      </c>
      <c r="X91" s="36"/>
      <c r="Y91" s="36"/>
      <c r="Z91" s="36">
        <f t="shared" si="22"/>
        <v>0</v>
      </c>
      <c r="AA91" s="36">
        <f t="shared" si="23"/>
        <v>0</v>
      </c>
      <c r="AB91" s="36"/>
      <c r="AC91" s="36"/>
      <c r="AD91" s="36">
        <f t="shared" si="24"/>
        <v>0</v>
      </c>
      <c r="AE91" s="36">
        <f t="shared" si="25"/>
        <v>0</v>
      </c>
      <c r="AF91" s="36"/>
      <c r="AG91" s="36"/>
      <c r="AH91" s="36">
        <f t="shared" si="26"/>
        <v>0</v>
      </c>
      <c r="AI91" s="36">
        <f t="shared" si="27"/>
        <v>0</v>
      </c>
      <c r="AJ91" s="36"/>
      <c r="AK91" s="36"/>
      <c r="AL91" s="36">
        <f t="shared" si="28"/>
        <v>0</v>
      </c>
      <c r="AM91" s="36">
        <f t="shared" si="29"/>
        <v>0</v>
      </c>
      <c r="AN91" s="36"/>
      <c r="AO91" s="36"/>
      <c r="AP91" s="36">
        <f t="shared" si="30"/>
        <v>0</v>
      </c>
      <c r="AQ91" s="36">
        <f t="shared" si="31"/>
        <v>0</v>
      </c>
    </row>
    <row r="92" spans="1:43" x14ac:dyDescent="0.55000000000000004">
      <c r="A92" s="30">
        <f t="shared" si="32"/>
        <v>89</v>
      </c>
      <c r="B92" s="31">
        <v>44928</v>
      </c>
      <c r="C92" s="45"/>
      <c r="D92" s="33">
        <v>1</v>
      </c>
      <c r="E92" s="33"/>
      <c r="F92" s="33"/>
      <c r="G92" s="34" t="s">
        <v>220</v>
      </c>
      <c r="H92" s="35" t="s">
        <v>221</v>
      </c>
      <c r="I92" s="36">
        <v>1</v>
      </c>
      <c r="J92" s="37" t="s">
        <v>54</v>
      </c>
      <c r="K92" s="37"/>
      <c r="L92" s="37"/>
      <c r="M92" s="38" t="s">
        <v>113</v>
      </c>
      <c r="N92" s="39" t="s">
        <v>114</v>
      </c>
      <c r="O92" s="40">
        <v>208.74</v>
      </c>
      <c r="P92" s="37">
        <f t="shared" si="19"/>
        <v>208.74</v>
      </c>
      <c r="Q92" s="41" t="s">
        <v>54</v>
      </c>
      <c r="R92" s="42">
        <f t="shared" si="35"/>
        <v>0</v>
      </c>
      <c r="S92" s="42">
        <f t="shared" si="34"/>
        <v>0</v>
      </c>
      <c r="T92" s="43">
        <f t="shared" si="20"/>
        <v>0</v>
      </c>
      <c r="U92" s="43">
        <f t="shared" si="20"/>
        <v>0</v>
      </c>
      <c r="V92" s="44">
        <f t="shared" si="33"/>
        <v>1</v>
      </c>
      <c r="W92" s="36">
        <f t="shared" si="21"/>
        <v>208.74</v>
      </c>
      <c r="X92" s="36"/>
      <c r="Y92" s="36"/>
      <c r="Z92" s="36">
        <f t="shared" si="22"/>
        <v>0</v>
      </c>
      <c r="AA92" s="36">
        <f t="shared" si="23"/>
        <v>0</v>
      </c>
      <c r="AB92" s="36"/>
      <c r="AC92" s="36"/>
      <c r="AD92" s="36">
        <f t="shared" si="24"/>
        <v>0</v>
      </c>
      <c r="AE92" s="36">
        <f t="shared" si="25"/>
        <v>0</v>
      </c>
      <c r="AF92" s="36"/>
      <c r="AG92" s="36"/>
      <c r="AH92" s="36">
        <f t="shared" si="26"/>
        <v>0</v>
      </c>
      <c r="AI92" s="36">
        <f t="shared" si="27"/>
        <v>0</v>
      </c>
      <c r="AJ92" s="36"/>
      <c r="AK92" s="36"/>
      <c r="AL92" s="36">
        <f t="shared" si="28"/>
        <v>0</v>
      </c>
      <c r="AM92" s="36">
        <f t="shared" si="29"/>
        <v>0</v>
      </c>
      <c r="AN92" s="36"/>
      <c r="AO92" s="36"/>
      <c r="AP92" s="36">
        <f t="shared" si="30"/>
        <v>0</v>
      </c>
      <c r="AQ92" s="36">
        <f t="shared" si="31"/>
        <v>0</v>
      </c>
    </row>
    <row r="93" spans="1:43" x14ac:dyDescent="0.55000000000000004">
      <c r="A93" s="30">
        <f t="shared" si="32"/>
        <v>90</v>
      </c>
      <c r="B93" s="31">
        <v>45627</v>
      </c>
      <c r="C93" s="45"/>
      <c r="D93" s="33">
        <v>1</v>
      </c>
      <c r="E93" s="33"/>
      <c r="F93" s="33"/>
      <c r="G93" s="51" t="s">
        <v>222</v>
      </c>
      <c r="H93" s="52" t="s">
        <v>223</v>
      </c>
      <c r="I93" s="36">
        <v>0</v>
      </c>
      <c r="J93" s="37" t="s">
        <v>54</v>
      </c>
      <c r="K93" s="37"/>
      <c r="L93" s="37"/>
      <c r="M93" s="38" t="s">
        <v>83</v>
      </c>
      <c r="N93" s="39" t="s">
        <v>49</v>
      </c>
      <c r="O93" s="40">
        <v>48.17</v>
      </c>
      <c r="P93" s="37">
        <f t="shared" si="19"/>
        <v>0</v>
      </c>
      <c r="Q93" s="41"/>
      <c r="R93" s="42">
        <f t="shared" si="35"/>
        <v>48.17</v>
      </c>
      <c r="S93" s="42">
        <f t="shared" si="34"/>
        <v>0</v>
      </c>
      <c r="T93" s="43">
        <f t="shared" si="20"/>
        <v>1</v>
      </c>
      <c r="U93" s="43">
        <f t="shared" si="20"/>
        <v>0</v>
      </c>
      <c r="V93" s="44">
        <f t="shared" si="33"/>
        <v>1</v>
      </c>
      <c r="W93" s="36">
        <f t="shared" si="21"/>
        <v>48.17</v>
      </c>
      <c r="X93" s="36">
        <v>1</v>
      </c>
      <c r="Y93" s="36"/>
      <c r="Z93" s="36">
        <f t="shared" si="22"/>
        <v>48.17</v>
      </c>
      <c r="AA93" s="36">
        <f t="shared" si="23"/>
        <v>0</v>
      </c>
      <c r="AB93" s="36"/>
      <c r="AC93" s="36"/>
      <c r="AD93" s="36">
        <f t="shared" si="24"/>
        <v>0</v>
      </c>
      <c r="AE93" s="36">
        <f t="shared" si="25"/>
        <v>0</v>
      </c>
      <c r="AF93" s="36"/>
      <c r="AG93" s="36"/>
      <c r="AH93" s="36">
        <f t="shared" si="26"/>
        <v>0</v>
      </c>
      <c r="AI93" s="36">
        <f t="shared" si="27"/>
        <v>0</v>
      </c>
      <c r="AJ93" s="36"/>
      <c r="AK93" s="36"/>
      <c r="AL93" s="36">
        <f t="shared" si="28"/>
        <v>0</v>
      </c>
      <c r="AM93" s="36">
        <f t="shared" si="29"/>
        <v>0</v>
      </c>
      <c r="AN93" s="36"/>
      <c r="AO93" s="36"/>
      <c r="AP93" s="36">
        <f t="shared" si="30"/>
        <v>0</v>
      </c>
      <c r="AQ93" s="36">
        <f t="shared" si="31"/>
        <v>0</v>
      </c>
    </row>
    <row r="94" spans="1:43" x14ac:dyDescent="0.55000000000000004">
      <c r="A94" s="30">
        <f t="shared" si="32"/>
        <v>91</v>
      </c>
      <c r="B94" s="31">
        <v>44896</v>
      </c>
      <c r="C94" s="45"/>
      <c r="D94" s="33">
        <v>1</v>
      </c>
      <c r="E94" s="33"/>
      <c r="F94" s="33"/>
      <c r="G94" s="34" t="s">
        <v>224</v>
      </c>
      <c r="H94" s="35" t="s">
        <v>225</v>
      </c>
      <c r="I94" s="36">
        <v>1</v>
      </c>
      <c r="J94" s="55" t="s">
        <v>54</v>
      </c>
      <c r="K94" s="37"/>
      <c r="L94" s="37"/>
      <c r="M94" s="38" t="s">
        <v>102</v>
      </c>
      <c r="N94" s="39" t="s">
        <v>49</v>
      </c>
      <c r="O94" s="40">
        <v>63.62</v>
      </c>
      <c r="P94" s="37">
        <f t="shared" si="19"/>
        <v>63.62</v>
      </c>
      <c r="Q94" s="41" t="s">
        <v>54</v>
      </c>
      <c r="R94" s="42">
        <f t="shared" si="35"/>
        <v>0</v>
      </c>
      <c r="S94" s="42">
        <f t="shared" si="34"/>
        <v>0</v>
      </c>
      <c r="T94" s="43">
        <f t="shared" si="20"/>
        <v>0</v>
      </c>
      <c r="U94" s="43">
        <f t="shared" si="20"/>
        <v>0</v>
      </c>
      <c r="V94" s="44">
        <f t="shared" si="33"/>
        <v>1</v>
      </c>
      <c r="W94" s="36">
        <f t="shared" si="21"/>
        <v>63.62</v>
      </c>
      <c r="X94" s="36"/>
      <c r="Y94" s="36"/>
      <c r="Z94" s="36">
        <f t="shared" si="22"/>
        <v>0</v>
      </c>
      <c r="AA94" s="36">
        <f t="shared" si="23"/>
        <v>0</v>
      </c>
      <c r="AB94" s="36"/>
      <c r="AC94" s="36"/>
      <c r="AD94" s="36">
        <f>AB94*O94</f>
        <v>0</v>
      </c>
      <c r="AE94" s="36">
        <f>AC94*O94</f>
        <v>0</v>
      </c>
      <c r="AF94" s="36"/>
      <c r="AG94" s="36"/>
      <c r="AH94" s="36">
        <f t="shared" si="26"/>
        <v>0</v>
      </c>
      <c r="AI94" s="36">
        <f t="shared" si="27"/>
        <v>0</v>
      </c>
      <c r="AJ94" s="36"/>
      <c r="AK94" s="36"/>
      <c r="AL94" s="36">
        <f t="shared" si="28"/>
        <v>0</v>
      </c>
      <c r="AM94" s="36">
        <f t="shared" si="29"/>
        <v>0</v>
      </c>
      <c r="AN94" s="36"/>
      <c r="AO94" s="36"/>
      <c r="AP94" s="36">
        <f t="shared" si="30"/>
        <v>0</v>
      </c>
      <c r="AQ94" s="36">
        <f t="shared" si="31"/>
        <v>0</v>
      </c>
    </row>
    <row r="95" spans="1:43" x14ac:dyDescent="0.55000000000000004">
      <c r="A95" s="30">
        <f t="shared" si="32"/>
        <v>92</v>
      </c>
      <c r="B95" s="31">
        <v>45778</v>
      </c>
      <c r="C95" s="45"/>
      <c r="D95" s="33">
        <v>1</v>
      </c>
      <c r="E95" s="33"/>
      <c r="F95" s="33"/>
      <c r="G95" s="49" t="s">
        <v>226</v>
      </c>
      <c r="H95" s="37" t="s">
        <v>50</v>
      </c>
      <c r="I95" s="36">
        <v>0</v>
      </c>
      <c r="J95" s="37" t="s">
        <v>142</v>
      </c>
      <c r="K95" s="37"/>
      <c r="L95" s="37"/>
      <c r="M95" s="38" t="s">
        <v>51</v>
      </c>
      <c r="N95" s="39"/>
      <c r="O95" s="40">
        <v>261.23</v>
      </c>
      <c r="P95" s="37">
        <f t="shared" si="19"/>
        <v>0</v>
      </c>
      <c r="Q95" s="41"/>
      <c r="R95" s="42">
        <f t="shared" si="35"/>
        <v>0</v>
      </c>
      <c r="S95" s="42">
        <f t="shared" si="34"/>
        <v>0</v>
      </c>
      <c r="T95" s="43">
        <f t="shared" si="20"/>
        <v>0</v>
      </c>
      <c r="U95" s="43">
        <f t="shared" si="20"/>
        <v>0</v>
      </c>
      <c r="V95" s="44">
        <f t="shared" si="33"/>
        <v>0</v>
      </c>
      <c r="W95" s="36">
        <f t="shared" si="21"/>
        <v>0</v>
      </c>
      <c r="X95" s="36"/>
      <c r="Y95" s="36"/>
      <c r="Z95" s="36">
        <f t="shared" si="22"/>
        <v>0</v>
      </c>
      <c r="AA95" s="36">
        <f t="shared" si="23"/>
        <v>0</v>
      </c>
      <c r="AB95" s="36"/>
      <c r="AC95" s="36"/>
      <c r="AD95" s="36">
        <f t="shared" si="24"/>
        <v>0</v>
      </c>
      <c r="AE95" s="36">
        <f t="shared" si="25"/>
        <v>0</v>
      </c>
      <c r="AF95" s="36"/>
      <c r="AG95" s="36"/>
      <c r="AH95" s="36">
        <f t="shared" si="26"/>
        <v>0</v>
      </c>
      <c r="AI95" s="36">
        <f t="shared" si="27"/>
        <v>0</v>
      </c>
      <c r="AJ95" s="36"/>
      <c r="AK95" s="36"/>
      <c r="AL95" s="36">
        <f t="shared" si="28"/>
        <v>0</v>
      </c>
      <c r="AM95" s="36">
        <f t="shared" si="29"/>
        <v>0</v>
      </c>
      <c r="AN95" s="36"/>
      <c r="AO95" s="36"/>
      <c r="AP95" s="36">
        <f t="shared" si="30"/>
        <v>0</v>
      </c>
      <c r="AQ95" s="36">
        <f t="shared" si="31"/>
        <v>0</v>
      </c>
    </row>
    <row r="96" spans="1:43" x14ac:dyDescent="0.55000000000000004">
      <c r="A96" s="30">
        <f t="shared" si="32"/>
        <v>93</v>
      </c>
      <c r="B96" s="31">
        <v>45689</v>
      </c>
      <c r="C96" s="45"/>
      <c r="D96" s="33">
        <v>1</v>
      </c>
      <c r="E96" s="33"/>
      <c r="F96" s="33"/>
      <c r="G96" s="49" t="s">
        <v>227</v>
      </c>
      <c r="H96" s="37" t="s">
        <v>59</v>
      </c>
      <c r="I96" s="36">
        <v>0</v>
      </c>
      <c r="J96" s="37" t="s">
        <v>142</v>
      </c>
      <c r="K96" s="37"/>
      <c r="L96" s="37"/>
      <c r="M96" s="60" t="s">
        <v>228</v>
      </c>
      <c r="N96" s="54"/>
      <c r="O96" s="40">
        <v>113.6785</v>
      </c>
      <c r="P96" s="37">
        <f t="shared" si="19"/>
        <v>0</v>
      </c>
      <c r="Q96" s="41" t="s">
        <v>37</v>
      </c>
      <c r="R96" s="42">
        <f t="shared" si="35"/>
        <v>0</v>
      </c>
      <c r="S96" s="42">
        <f t="shared" si="34"/>
        <v>0</v>
      </c>
      <c r="T96" s="43">
        <f t="shared" si="20"/>
        <v>0</v>
      </c>
      <c r="U96" s="43">
        <f t="shared" si="20"/>
        <v>0</v>
      </c>
      <c r="V96" s="44">
        <f t="shared" si="33"/>
        <v>0</v>
      </c>
      <c r="W96" s="36">
        <f t="shared" si="21"/>
        <v>0</v>
      </c>
      <c r="X96" s="36"/>
      <c r="Y96" s="36"/>
      <c r="Z96" s="36">
        <f t="shared" si="22"/>
        <v>0</v>
      </c>
      <c r="AA96" s="36">
        <f t="shared" si="23"/>
        <v>0</v>
      </c>
      <c r="AB96" s="36"/>
      <c r="AC96" s="36"/>
      <c r="AD96" s="36">
        <f t="shared" si="24"/>
        <v>0</v>
      </c>
      <c r="AE96" s="36">
        <f t="shared" si="25"/>
        <v>0</v>
      </c>
      <c r="AF96" s="36"/>
      <c r="AG96" s="36"/>
      <c r="AH96" s="36">
        <f t="shared" si="26"/>
        <v>0</v>
      </c>
      <c r="AI96" s="36">
        <f t="shared" si="27"/>
        <v>0</v>
      </c>
      <c r="AJ96" s="36"/>
      <c r="AK96" s="36"/>
      <c r="AL96" s="36">
        <f t="shared" si="28"/>
        <v>0</v>
      </c>
      <c r="AM96" s="36">
        <f t="shared" si="29"/>
        <v>0</v>
      </c>
      <c r="AN96" s="36"/>
      <c r="AO96" s="36"/>
      <c r="AP96" s="36">
        <f t="shared" si="30"/>
        <v>0</v>
      </c>
      <c r="AQ96" s="36">
        <f t="shared" si="31"/>
        <v>0</v>
      </c>
    </row>
    <row r="97" spans="1:43" x14ac:dyDescent="0.55000000000000004">
      <c r="A97" s="30">
        <f t="shared" si="32"/>
        <v>94</v>
      </c>
      <c r="B97" s="31">
        <v>44896</v>
      </c>
      <c r="C97" s="45"/>
      <c r="D97" s="33">
        <v>3</v>
      </c>
      <c r="E97" s="33"/>
      <c r="F97" s="33"/>
      <c r="G97" s="34" t="s">
        <v>229</v>
      </c>
      <c r="H97" s="35" t="s">
        <v>110</v>
      </c>
      <c r="I97" s="36">
        <v>2</v>
      </c>
      <c r="J97" s="37" t="s">
        <v>40</v>
      </c>
      <c r="K97" s="37"/>
      <c r="L97" s="37"/>
      <c r="M97" s="38" t="s">
        <v>35</v>
      </c>
      <c r="N97" s="39" t="s">
        <v>36</v>
      </c>
      <c r="O97" s="48">
        <v>22</v>
      </c>
      <c r="P97" s="37">
        <f t="shared" si="19"/>
        <v>44</v>
      </c>
      <c r="Q97" s="41" t="s">
        <v>93</v>
      </c>
      <c r="R97" s="42">
        <f t="shared" si="35"/>
        <v>0</v>
      </c>
      <c r="S97" s="42">
        <f t="shared" si="34"/>
        <v>0</v>
      </c>
      <c r="T97" s="43">
        <f t="shared" si="20"/>
        <v>0</v>
      </c>
      <c r="U97" s="43">
        <f t="shared" si="20"/>
        <v>0</v>
      </c>
      <c r="V97" s="44">
        <f t="shared" si="33"/>
        <v>2</v>
      </c>
      <c r="W97" s="36">
        <f t="shared" si="21"/>
        <v>44</v>
      </c>
      <c r="X97" s="36"/>
      <c r="Y97" s="36"/>
      <c r="Z97" s="36">
        <f t="shared" si="22"/>
        <v>0</v>
      </c>
      <c r="AA97" s="36">
        <f t="shared" si="23"/>
        <v>0</v>
      </c>
      <c r="AB97" s="36"/>
      <c r="AC97" s="36"/>
      <c r="AD97" s="36">
        <f t="shared" si="24"/>
        <v>0</v>
      </c>
      <c r="AE97" s="36">
        <f t="shared" si="25"/>
        <v>0</v>
      </c>
      <c r="AF97" s="36"/>
      <c r="AG97" s="36"/>
      <c r="AH97" s="36">
        <f t="shared" si="26"/>
        <v>0</v>
      </c>
      <c r="AI97" s="36">
        <f t="shared" si="27"/>
        <v>0</v>
      </c>
      <c r="AJ97" s="36"/>
      <c r="AK97" s="36"/>
      <c r="AL97" s="36">
        <f t="shared" si="28"/>
        <v>0</v>
      </c>
      <c r="AM97" s="36">
        <f t="shared" si="29"/>
        <v>0</v>
      </c>
      <c r="AN97" s="36"/>
      <c r="AO97" s="36"/>
      <c r="AP97" s="36">
        <f t="shared" si="30"/>
        <v>0</v>
      </c>
      <c r="AQ97" s="36">
        <f t="shared" si="31"/>
        <v>0</v>
      </c>
    </row>
    <row r="98" spans="1:43" x14ac:dyDescent="0.55000000000000004">
      <c r="A98" s="30">
        <f t="shared" si="32"/>
        <v>95</v>
      </c>
      <c r="B98" s="31">
        <v>44287</v>
      </c>
      <c r="C98" s="45"/>
      <c r="D98" s="33">
        <v>1</v>
      </c>
      <c r="E98" s="33"/>
      <c r="F98" s="33"/>
      <c r="G98" s="34" t="s">
        <v>230</v>
      </c>
      <c r="H98" s="37" t="s">
        <v>231</v>
      </c>
      <c r="I98" s="36">
        <v>1</v>
      </c>
      <c r="J98" s="37" t="s">
        <v>54</v>
      </c>
      <c r="K98" s="37"/>
      <c r="L98" s="37"/>
      <c r="M98" s="38" t="s">
        <v>83</v>
      </c>
      <c r="N98" s="39" t="s">
        <v>49</v>
      </c>
      <c r="O98" s="40">
        <v>56.35</v>
      </c>
      <c r="P98" s="37">
        <f t="shared" si="19"/>
        <v>56.35</v>
      </c>
      <c r="Q98" s="41" t="s">
        <v>54</v>
      </c>
      <c r="R98" s="42">
        <f t="shared" si="35"/>
        <v>0</v>
      </c>
      <c r="S98" s="42">
        <f t="shared" si="34"/>
        <v>0</v>
      </c>
      <c r="T98" s="43">
        <f t="shared" si="20"/>
        <v>0</v>
      </c>
      <c r="U98" s="43">
        <f t="shared" si="20"/>
        <v>0</v>
      </c>
      <c r="V98" s="44">
        <f t="shared" si="33"/>
        <v>1</v>
      </c>
      <c r="W98" s="36">
        <f t="shared" si="21"/>
        <v>56.35</v>
      </c>
      <c r="X98" s="36"/>
      <c r="Y98" s="36"/>
      <c r="Z98" s="36">
        <f t="shared" si="22"/>
        <v>0</v>
      </c>
      <c r="AA98" s="36">
        <f t="shared" si="23"/>
        <v>0</v>
      </c>
      <c r="AB98" s="36"/>
      <c r="AC98" s="36"/>
      <c r="AD98" s="36">
        <f t="shared" si="24"/>
        <v>0</v>
      </c>
      <c r="AE98" s="36">
        <f t="shared" si="25"/>
        <v>0</v>
      </c>
      <c r="AF98" s="36"/>
      <c r="AG98" s="36"/>
      <c r="AH98" s="36">
        <f t="shared" si="26"/>
        <v>0</v>
      </c>
      <c r="AI98" s="36">
        <f t="shared" si="27"/>
        <v>0</v>
      </c>
      <c r="AJ98" s="36"/>
      <c r="AK98" s="36"/>
      <c r="AL98" s="36">
        <f t="shared" si="28"/>
        <v>0</v>
      </c>
      <c r="AM98" s="36">
        <f t="shared" si="29"/>
        <v>0</v>
      </c>
      <c r="AN98" s="36"/>
      <c r="AO98" s="36"/>
      <c r="AP98" s="36">
        <f t="shared" si="30"/>
        <v>0</v>
      </c>
      <c r="AQ98" s="36">
        <f t="shared" si="31"/>
        <v>0</v>
      </c>
    </row>
    <row r="99" spans="1:43" x14ac:dyDescent="0.55000000000000004">
      <c r="A99" s="30">
        <f t="shared" si="32"/>
        <v>96</v>
      </c>
      <c r="B99" s="31">
        <v>45658</v>
      </c>
      <c r="C99" s="45"/>
      <c r="D99" s="33">
        <v>34</v>
      </c>
      <c r="E99" s="33"/>
      <c r="F99" s="33"/>
      <c r="G99" s="34" t="s">
        <v>232</v>
      </c>
      <c r="H99" s="35" t="s">
        <v>48</v>
      </c>
      <c r="I99" s="36">
        <v>60</v>
      </c>
      <c r="J99" s="37" t="s">
        <v>54</v>
      </c>
      <c r="K99" s="37"/>
      <c r="L99" s="37"/>
      <c r="M99" s="38" t="s">
        <v>44</v>
      </c>
      <c r="N99" s="39" t="s">
        <v>49</v>
      </c>
      <c r="O99" s="40">
        <v>3.82</v>
      </c>
      <c r="P99" s="37">
        <f t="shared" si="19"/>
        <v>229.2</v>
      </c>
      <c r="Q99" s="41" t="s">
        <v>80</v>
      </c>
      <c r="R99" s="42">
        <f t="shared" si="35"/>
        <v>0</v>
      </c>
      <c r="S99" s="42">
        <f t="shared" si="34"/>
        <v>30.56</v>
      </c>
      <c r="T99" s="43">
        <f t="shared" si="20"/>
        <v>0</v>
      </c>
      <c r="U99" s="43">
        <f t="shared" si="20"/>
        <v>8</v>
      </c>
      <c r="V99" s="44">
        <f t="shared" si="33"/>
        <v>52</v>
      </c>
      <c r="W99" s="36">
        <f t="shared" si="21"/>
        <v>198.64</v>
      </c>
      <c r="X99" s="36"/>
      <c r="Y99" s="36"/>
      <c r="Z99" s="36">
        <f t="shared" si="22"/>
        <v>0</v>
      </c>
      <c r="AA99" s="36">
        <f t="shared" si="23"/>
        <v>0</v>
      </c>
      <c r="AB99" s="36"/>
      <c r="AC99" s="36"/>
      <c r="AD99" s="36">
        <f t="shared" si="24"/>
        <v>0</v>
      </c>
      <c r="AE99" s="36">
        <f t="shared" si="25"/>
        <v>0</v>
      </c>
      <c r="AF99" s="36"/>
      <c r="AG99" s="36">
        <v>8</v>
      </c>
      <c r="AH99" s="36">
        <f t="shared" si="26"/>
        <v>0</v>
      </c>
      <c r="AI99" s="36">
        <f t="shared" si="27"/>
        <v>30.56</v>
      </c>
      <c r="AJ99" s="36"/>
      <c r="AK99" s="36"/>
      <c r="AL99" s="36">
        <f t="shared" si="28"/>
        <v>0</v>
      </c>
      <c r="AM99" s="36">
        <f t="shared" si="29"/>
        <v>0</v>
      </c>
      <c r="AN99" s="36"/>
      <c r="AO99" s="36"/>
      <c r="AP99" s="36">
        <f t="shared" si="30"/>
        <v>0</v>
      </c>
      <c r="AQ99" s="36">
        <f t="shared" si="31"/>
        <v>0</v>
      </c>
    </row>
    <row r="100" spans="1:43" x14ac:dyDescent="0.55000000000000004">
      <c r="A100" s="30">
        <f t="shared" si="32"/>
        <v>97</v>
      </c>
      <c r="B100" s="31">
        <v>45413</v>
      </c>
      <c r="C100" s="45"/>
      <c r="D100" s="33">
        <v>1</v>
      </c>
      <c r="E100" s="33"/>
      <c r="F100" s="33"/>
      <c r="G100" s="49" t="s">
        <v>233</v>
      </c>
      <c r="H100" s="37" t="s">
        <v>133</v>
      </c>
      <c r="I100" s="36">
        <v>0</v>
      </c>
      <c r="J100" s="37" t="s">
        <v>54</v>
      </c>
      <c r="K100" s="37"/>
      <c r="L100" s="37"/>
      <c r="M100" s="38" t="s">
        <v>72</v>
      </c>
      <c r="N100" s="54" t="s">
        <v>41</v>
      </c>
      <c r="O100" s="40">
        <v>131.28</v>
      </c>
      <c r="P100" s="37">
        <f t="shared" si="19"/>
        <v>0</v>
      </c>
      <c r="Q100" s="41"/>
      <c r="R100" s="42">
        <f t="shared" si="35"/>
        <v>0</v>
      </c>
      <c r="S100" s="42">
        <f t="shared" si="34"/>
        <v>0</v>
      </c>
      <c r="T100" s="43">
        <f t="shared" si="20"/>
        <v>0</v>
      </c>
      <c r="U100" s="43">
        <f t="shared" si="20"/>
        <v>0</v>
      </c>
      <c r="V100" s="44">
        <f t="shared" si="33"/>
        <v>0</v>
      </c>
      <c r="W100" s="36">
        <f t="shared" si="21"/>
        <v>0</v>
      </c>
      <c r="X100" s="36"/>
      <c r="Y100" s="36"/>
      <c r="Z100" s="36">
        <f t="shared" si="22"/>
        <v>0</v>
      </c>
      <c r="AA100" s="36">
        <f t="shared" si="23"/>
        <v>0</v>
      </c>
      <c r="AB100" s="36"/>
      <c r="AC100" s="36"/>
      <c r="AD100" s="36">
        <f t="shared" si="24"/>
        <v>0</v>
      </c>
      <c r="AE100" s="36">
        <f t="shared" si="25"/>
        <v>0</v>
      </c>
      <c r="AF100" s="36"/>
      <c r="AG100" s="36"/>
      <c r="AH100" s="36">
        <f t="shared" si="26"/>
        <v>0</v>
      </c>
      <c r="AI100" s="36">
        <f t="shared" si="27"/>
        <v>0</v>
      </c>
      <c r="AJ100" s="36"/>
      <c r="AK100" s="36"/>
      <c r="AL100" s="36">
        <f t="shared" si="28"/>
        <v>0</v>
      </c>
      <c r="AM100" s="36">
        <f t="shared" si="29"/>
        <v>0</v>
      </c>
      <c r="AN100" s="36"/>
      <c r="AO100" s="36"/>
      <c r="AP100" s="36">
        <f t="shared" si="30"/>
        <v>0</v>
      </c>
      <c r="AQ100" s="36">
        <f t="shared" si="31"/>
        <v>0</v>
      </c>
    </row>
    <row r="101" spans="1:43" x14ac:dyDescent="0.55000000000000004">
      <c r="A101" s="30">
        <f t="shared" si="32"/>
        <v>98</v>
      </c>
      <c r="B101" s="31">
        <v>45658</v>
      </c>
      <c r="C101" s="45"/>
      <c r="D101" s="33">
        <v>3</v>
      </c>
      <c r="E101" s="33"/>
      <c r="F101" s="33"/>
      <c r="G101" s="51" t="s">
        <v>234</v>
      </c>
      <c r="H101" s="40" t="s">
        <v>235</v>
      </c>
      <c r="I101" s="36">
        <v>3</v>
      </c>
      <c r="J101" s="37" t="s">
        <v>54</v>
      </c>
      <c r="K101" s="37"/>
      <c r="L101" s="37"/>
      <c r="M101" s="38" t="s">
        <v>122</v>
      </c>
      <c r="N101" s="39"/>
      <c r="O101" s="40">
        <v>171.58</v>
      </c>
      <c r="P101" s="37">
        <f t="shared" si="19"/>
        <v>514.74</v>
      </c>
      <c r="Q101" s="41"/>
      <c r="R101" s="42">
        <f t="shared" si="35"/>
        <v>0</v>
      </c>
      <c r="S101" s="42">
        <f t="shared" si="34"/>
        <v>0</v>
      </c>
      <c r="T101" s="43">
        <f t="shared" si="20"/>
        <v>0</v>
      </c>
      <c r="U101" s="43">
        <f t="shared" si="20"/>
        <v>0</v>
      </c>
      <c r="V101" s="44">
        <f t="shared" si="33"/>
        <v>3</v>
      </c>
      <c r="W101" s="36">
        <f t="shared" si="21"/>
        <v>514.74</v>
      </c>
      <c r="X101" s="36"/>
      <c r="Y101" s="36"/>
      <c r="Z101" s="36">
        <f t="shared" si="22"/>
        <v>0</v>
      </c>
      <c r="AA101" s="36">
        <f t="shared" si="23"/>
        <v>0</v>
      </c>
      <c r="AB101" s="36"/>
      <c r="AC101" s="36"/>
      <c r="AD101" s="36">
        <f t="shared" si="24"/>
        <v>0</v>
      </c>
      <c r="AE101" s="36">
        <f t="shared" si="25"/>
        <v>0</v>
      </c>
      <c r="AF101" s="36"/>
      <c r="AG101" s="36"/>
      <c r="AH101" s="36">
        <f t="shared" si="26"/>
        <v>0</v>
      </c>
      <c r="AI101" s="36">
        <f t="shared" si="27"/>
        <v>0</v>
      </c>
      <c r="AJ101" s="36"/>
      <c r="AK101" s="36"/>
      <c r="AL101" s="36">
        <f t="shared" si="28"/>
        <v>0</v>
      </c>
      <c r="AM101" s="36">
        <f t="shared" si="29"/>
        <v>0</v>
      </c>
      <c r="AN101" s="36"/>
      <c r="AO101" s="36"/>
      <c r="AP101" s="36">
        <f t="shared" si="30"/>
        <v>0</v>
      </c>
      <c r="AQ101" s="36">
        <f t="shared" si="31"/>
        <v>0</v>
      </c>
    </row>
    <row r="102" spans="1:43" x14ac:dyDescent="0.55000000000000004">
      <c r="A102" s="30">
        <f t="shared" si="32"/>
        <v>99</v>
      </c>
      <c r="B102" s="31">
        <v>44896</v>
      </c>
      <c r="C102" s="45"/>
      <c r="D102" s="33">
        <v>1</v>
      </c>
      <c r="E102" s="33"/>
      <c r="F102" s="33"/>
      <c r="G102" s="51" t="s">
        <v>236</v>
      </c>
      <c r="H102" s="40" t="s">
        <v>237</v>
      </c>
      <c r="I102" s="36">
        <v>1</v>
      </c>
      <c r="J102" s="37"/>
      <c r="K102" s="37"/>
      <c r="L102" s="37"/>
      <c r="M102" s="38" t="s">
        <v>35</v>
      </c>
      <c r="N102" s="39" t="s">
        <v>36</v>
      </c>
      <c r="O102" s="48">
        <v>11</v>
      </c>
      <c r="P102" s="37">
        <f t="shared" si="19"/>
        <v>11</v>
      </c>
      <c r="Q102" s="41"/>
      <c r="R102" s="42">
        <f t="shared" si="35"/>
        <v>0</v>
      </c>
      <c r="S102" s="42">
        <f t="shared" si="34"/>
        <v>0</v>
      </c>
      <c r="T102" s="43">
        <f t="shared" si="20"/>
        <v>0</v>
      </c>
      <c r="U102" s="43">
        <f t="shared" si="20"/>
        <v>0</v>
      </c>
      <c r="V102" s="44">
        <f t="shared" si="33"/>
        <v>1</v>
      </c>
      <c r="W102" s="36">
        <f t="shared" si="21"/>
        <v>11</v>
      </c>
      <c r="X102" s="36"/>
      <c r="Y102" s="36"/>
      <c r="Z102" s="36">
        <f t="shared" si="22"/>
        <v>0</v>
      </c>
      <c r="AA102" s="36">
        <f t="shared" si="23"/>
        <v>0</v>
      </c>
      <c r="AB102" s="36"/>
      <c r="AC102" s="36"/>
      <c r="AD102" s="36">
        <f t="shared" si="24"/>
        <v>0</v>
      </c>
      <c r="AE102" s="36">
        <f t="shared" si="25"/>
        <v>0</v>
      </c>
      <c r="AF102" s="36"/>
      <c r="AG102" s="36"/>
      <c r="AH102" s="36">
        <f t="shared" si="26"/>
        <v>0</v>
      </c>
      <c r="AI102" s="36">
        <f t="shared" si="27"/>
        <v>0</v>
      </c>
      <c r="AJ102" s="36"/>
      <c r="AK102" s="36"/>
      <c r="AL102" s="36">
        <f t="shared" si="28"/>
        <v>0</v>
      </c>
      <c r="AM102" s="36">
        <f t="shared" si="29"/>
        <v>0</v>
      </c>
      <c r="AN102" s="36"/>
      <c r="AO102" s="36"/>
      <c r="AP102" s="36">
        <f t="shared" si="30"/>
        <v>0</v>
      </c>
      <c r="AQ102" s="36">
        <f t="shared" si="31"/>
        <v>0</v>
      </c>
    </row>
    <row r="103" spans="1:43" x14ac:dyDescent="0.55000000000000004">
      <c r="A103" s="30">
        <f t="shared" si="32"/>
        <v>100</v>
      </c>
      <c r="B103" s="31">
        <v>45399</v>
      </c>
      <c r="C103" s="45"/>
      <c r="D103" s="33">
        <v>1</v>
      </c>
      <c r="E103" s="45">
        <v>45413</v>
      </c>
      <c r="F103" s="33">
        <v>1</v>
      </c>
      <c r="G103" s="51" t="s">
        <v>238</v>
      </c>
      <c r="H103" s="37" t="s">
        <v>48</v>
      </c>
      <c r="I103" s="36">
        <v>2</v>
      </c>
      <c r="J103" s="37"/>
      <c r="K103" s="37"/>
      <c r="L103" s="37"/>
      <c r="M103" s="38" t="s">
        <v>85</v>
      </c>
      <c r="N103" s="54" t="s">
        <v>41</v>
      </c>
      <c r="O103" s="40">
        <v>1.3959999999999999</v>
      </c>
      <c r="P103" s="37">
        <f t="shared" si="19"/>
        <v>2.7919999999999998</v>
      </c>
      <c r="Q103" s="41"/>
      <c r="R103" s="42">
        <f t="shared" si="35"/>
        <v>0</v>
      </c>
      <c r="S103" s="42">
        <f t="shared" si="34"/>
        <v>0</v>
      </c>
      <c r="T103" s="43">
        <f t="shared" si="20"/>
        <v>0</v>
      </c>
      <c r="U103" s="43">
        <f t="shared" si="20"/>
        <v>0</v>
      </c>
      <c r="V103" s="44">
        <f t="shared" si="33"/>
        <v>2</v>
      </c>
      <c r="W103" s="36">
        <f t="shared" si="21"/>
        <v>2.7919999999999998</v>
      </c>
      <c r="X103" s="36"/>
      <c r="Y103" s="36"/>
      <c r="Z103" s="36">
        <f t="shared" si="22"/>
        <v>0</v>
      </c>
      <c r="AA103" s="36">
        <f t="shared" si="23"/>
        <v>0</v>
      </c>
      <c r="AB103" s="36"/>
      <c r="AC103" s="36"/>
      <c r="AD103" s="36">
        <f t="shared" si="24"/>
        <v>0</v>
      </c>
      <c r="AE103" s="36">
        <f t="shared" si="25"/>
        <v>0</v>
      </c>
      <c r="AF103" s="36"/>
      <c r="AG103" s="36"/>
      <c r="AH103" s="36">
        <f t="shared" si="26"/>
        <v>0</v>
      </c>
      <c r="AI103" s="36">
        <f t="shared" si="27"/>
        <v>0</v>
      </c>
      <c r="AJ103" s="36"/>
      <c r="AK103" s="36"/>
      <c r="AL103" s="36">
        <f t="shared" si="28"/>
        <v>0</v>
      </c>
      <c r="AM103" s="36">
        <f t="shared" si="29"/>
        <v>0</v>
      </c>
      <c r="AN103" s="36"/>
      <c r="AO103" s="36"/>
      <c r="AP103" s="36">
        <f t="shared" si="30"/>
        <v>0</v>
      </c>
      <c r="AQ103" s="36">
        <f t="shared" si="31"/>
        <v>0</v>
      </c>
    </row>
    <row r="104" spans="1:43" x14ac:dyDescent="0.55000000000000004">
      <c r="A104" s="30">
        <f t="shared" si="32"/>
        <v>101</v>
      </c>
      <c r="B104" s="31">
        <v>45139</v>
      </c>
      <c r="C104" s="45"/>
      <c r="D104" s="33">
        <v>1</v>
      </c>
      <c r="E104" s="33"/>
      <c r="F104" s="33"/>
      <c r="G104" s="51" t="s">
        <v>239</v>
      </c>
      <c r="H104" s="37" t="s">
        <v>163</v>
      </c>
      <c r="I104" s="36">
        <v>1</v>
      </c>
      <c r="J104" s="37" t="s">
        <v>54</v>
      </c>
      <c r="K104" s="37"/>
      <c r="L104" s="37"/>
      <c r="M104" s="38" t="s">
        <v>72</v>
      </c>
      <c r="N104" s="39" t="s">
        <v>41</v>
      </c>
      <c r="O104" s="40">
        <v>147.38</v>
      </c>
      <c r="P104" s="37">
        <f t="shared" si="19"/>
        <v>147.38</v>
      </c>
      <c r="Q104" s="41"/>
      <c r="R104" s="42">
        <f t="shared" si="35"/>
        <v>0</v>
      </c>
      <c r="S104" s="42">
        <f t="shared" si="34"/>
        <v>0</v>
      </c>
      <c r="T104" s="43">
        <f t="shared" si="20"/>
        <v>0</v>
      </c>
      <c r="U104" s="43">
        <f t="shared" si="20"/>
        <v>0</v>
      </c>
      <c r="V104" s="44">
        <f t="shared" si="33"/>
        <v>1</v>
      </c>
      <c r="W104" s="36">
        <f t="shared" si="21"/>
        <v>147.38</v>
      </c>
      <c r="X104" s="36"/>
      <c r="Y104" s="36"/>
      <c r="Z104" s="36">
        <f t="shared" si="22"/>
        <v>0</v>
      </c>
      <c r="AA104" s="36">
        <f t="shared" si="23"/>
        <v>0</v>
      </c>
      <c r="AB104" s="36"/>
      <c r="AC104" s="36"/>
      <c r="AD104" s="36">
        <f t="shared" si="24"/>
        <v>0</v>
      </c>
      <c r="AE104" s="36">
        <f t="shared" si="25"/>
        <v>0</v>
      </c>
      <c r="AF104" s="36"/>
      <c r="AG104" s="36"/>
      <c r="AH104" s="36">
        <f t="shared" si="26"/>
        <v>0</v>
      </c>
      <c r="AI104" s="36">
        <f t="shared" si="27"/>
        <v>0</v>
      </c>
      <c r="AJ104" s="36"/>
      <c r="AK104" s="36"/>
      <c r="AL104" s="36">
        <f t="shared" si="28"/>
        <v>0</v>
      </c>
      <c r="AM104" s="36">
        <f t="shared" si="29"/>
        <v>0</v>
      </c>
      <c r="AN104" s="36"/>
      <c r="AO104" s="36"/>
      <c r="AP104" s="36">
        <f t="shared" si="30"/>
        <v>0</v>
      </c>
      <c r="AQ104" s="36">
        <f t="shared" si="31"/>
        <v>0</v>
      </c>
    </row>
    <row r="105" spans="1:43" x14ac:dyDescent="0.55000000000000004">
      <c r="A105" s="30">
        <f t="shared" si="32"/>
        <v>102</v>
      </c>
      <c r="B105" s="31">
        <v>45627</v>
      </c>
      <c r="C105" s="45"/>
      <c r="D105" s="33">
        <v>1</v>
      </c>
      <c r="E105" s="33"/>
      <c r="F105" s="33"/>
      <c r="G105" s="49" t="s">
        <v>240</v>
      </c>
      <c r="H105" s="40" t="s">
        <v>50</v>
      </c>
      <c r="I105" s="36">
        <v>0</v>
      </c>
      <c r="J105" s="37" t="s">
        <v>54</v>
      </c>
      <c r="K105" s="37"/>
      <c r="L105" s="37"/>
      <c r="M105" s="38" t="s">
        <v>69</v>
      </c>
      <c r="N105" s="39"/>
      <c r="O105" s="40">
        <v>583.9</v>
      </c>
      <c r="P105" s="37">
        <f t="shared" si="19"/>
        <v>0</v>
      </c>
      <c r="Q105" s="41"/>
      <c r="R105" s="42">
        <f t="shared" si="35"/>
        <v>0</v>
      </c>
      <c r="S105" s="42">
        <f t="shared" si="34"/>
        <v>0</v>
      </c>
      <c r="T105" s="43">
        <f t="shared" si="20"/>
        <v>0</v>
      </c>
      <c r="U105" s="43">
        <f t="shared" si="20"/>
        <v>0</v>
      </c>
      <c r="V105" s="44">
        <f t="shared" si="33"/>
        <v>0</v>
      </c>
      <c r="W105" s="36">
        <f t="shared" si="21"/>
        <v>0</v>
      </c>
      <c r="X105" s="36"/>
      <c r="Y105" s="36"/>
      <c r="Z105" s="36">
        <f t="shared" si="22"/>
        <v>0</v>
      </c>
      <c r="AA105" s="36">
        <f t="shared" si="23"/>
        <v>0</v>
      </c>
      <c r="AB105" s="36"/>
      <c r="AC105" s="36"/>
      <c r="AD105" s="36">
        <f t="shared" si="24"/>
        <v>0</v>
      </c>
      <c r="AE105" s="36">
        <f t="shared" si="25"/>
        <v>0</v>
      </c>
      <c r="AF105" s="36"/>
      <c r="AG105" s="36"/>
      <c r="AH105" s="36">
        <f t="shared" si="26"/>
        <v>0</v>
      </c>
      <c r="AI105" s="36">
        <f t="shared" si="27"/>
        <v>0</v>
      </c>
      <c r="AJ105" s="36"/>
      <c r="AK105" s="36"/>
      <c r="AL105" s="36">
        <f t="shared" si="28"/>
        <v>0</v>
      </c>
      <c r="AM105" s="36">
        <f t="shared" si="29"/>
        <v>0</v>
      </c>
      <c r="AN105" s="36"/>
      <c r="AO105" s="36"/>
      <c r="AP105" s="36">
        <f t="shared" si="30"/>
        <v>0</v>
      </c>
      <c r="AQ105" s="36">
        <f t="shared" si="31"/>
        <v>0</v>
      </c>
    </row>
    <row r="106" spans="1:43" x14ac:dyDescent="0.55000000000000004">
      <c r="A106" s="30">
        <f t="shared" si="32"/>
        <v>103</v>
      </c>
      <c r="B106" s="31">
        <v>44896</v>
      </c>
      <c r="C106" s="45"/>
      <c r="D106" s="33">
        <v>1</v>
      </c>
      <c r="E106" s="33"/>
      <c r="F106" s="33"/>
      <c r="G106" s="51" t="s">
        <v>241</v>
      </c>
      <c r="H106" s="37" t="s">
        <v>48</v>
      </c>
      <c r="I106" s="36">
        <v>1</v>
      </c>
      <c r="J106" s="37" t="s">
        <v>54</v>
      </c>
      <c r="K106" s="37"/>
      <c r="L106" s="37"/>
      <c r="M106" s="38" t="s">
        <v>85</v>
      </c>
      <c r="N106" s="39" t="s">
        <v>49</v>
      </c>
      <c r="O106" s="40">
        <v>17.920000000000002</v>
      </c>
      <c r="P106" s="37">
        <f t="shared" si="19"/>
        <v>17.920000000000002</v>
      </c>
      <c r="Q106" s="41"/>
      <c r="R106" s="42">
        <f t="shared" si="35"/>
        <v>0</v>
      </c>
      <c r="S106" s="42">
        <f t="shared" si="34"/>
        <v>0</v>
      </c>
      <c r="T106" s="43">
        <f t="shared" si="20"/>
        <v>0</v>
      </c>
      <c r="U106" s="43">
        <f t="shared" si="20"/>
        <v>0</v>
      </c>
      <c r="V106" s="44">
        <f t="shared" si="33"/>
        <v>1</v>
      </c>
      <c r="W106" s="36">
        <f t="shared" si="21"/>
        <v>17.920000000000002</v>
      </c>
      <c r="X106" s="36"/>
      <c r="Y106" s="36"/>
      <c r="Z106" s="36">
        <f t="shared" si="22"/>
        <v>0</v>
      </c>
      <c r="AA106" s="36">
        <f t="shared" si="23"/>
        <v>0</v>
      </c>
      <c r="AB106" s="36"/>
      <c r="AC106" s="36"/>
      <c r="AD106" s="36">
        <f t="shared" si="24"/>
        <v>0</v>
      </c>
      <c r="AE106" s="36">
        <f t="shared" si="25"/>
        <v>0</v>
      </c>
      <c r="AF106" s="36"/>
      <c r="AG106" s="36"/>
      <c r="AH106" s="36">
        <f t="shared" si="26"/>
        <v>0</v>
      </c>
      <c r="AI106" s="36">
        <f t="shared" si="27"/>
        <v>0</v>
      </c>
      <c r="AJ106" s="36"/>
      <c r="AK106" s="36"/>
      <c r="AL106" s="36">
        <f t="shared" si="28"/>
        <v>0</v>
      </c>
      <c r="AM106" s="36">
        <f t="shared" si="29"/>
        <v>0</v>
      </c>
      <c r="AN106" s="36"/>
      <c r="AO106" s="36"/>
      <c r="AP106" s="36">
        <f t="shared" si="30"/>
        <v>0</v>
      </c>
      <c r="AQ106" s="36">
        <f t="shared" si="31"/>
        <v>0</v>
      </c>
    </row>
    <row r="107" spans="1:43" x14ac:dyDescent="0.55000000000000004">
      <c r="A107" s="30">
        <f t="shared" si="32"/>
        <v>104</v>
      </c>
      <c r="B107" s="31">
        <v>45413</v>
      </c>
      <c r="C107" s="45"/>
      <c r="D107" s="33">
        <v>1</v>
      </c>
      <c r="E107" s="33"/>
      <c r="F107" s="33"/>
      <c r="G107" s="51" t="s">
        <v>242</v>
      </c>
      <c r="H107" s="37" t="s">
        <v>180</v>
      </c>
      <c r="I107" s="36">
        <v>1</v>
      </c>
      <c r="J107" s="37"/>
      <c r="K107" s="37"/>
      <c r="L107" s="37"/>
      <c r="M107" s="38" t="s">
        <v>85</v>
      </c>
      <c r="N107" s="54" t="s">
        <v>41</v>
      </c>
      <c r="O107" s="40">
        <v>68.52</v>
      </c>
      <c r="P107" s="37">
        <f t="shared" si="19"/>
        <v>68.52</v>
      </c>
      <c r="Q107" s="41"/>
      <c r="R107" s="42">
        <f t="shared" si="35"/>
        <v>0</v>
      </c>
      <c r="S107" s="42">
        <f t="shared" si="34"/>
        <v>0</v>
      </c>
      <c r="T107" s="43">
        <f t="shared" si="20"/>
        <v>0</v>
      </c>
      <c r="U107" s="43">
        <f t="shared" si="20"/>
        <v>0</v>
      </c>
      <c r="V107" s="44">
        <f t="shared" si="33"/>
        <v>1</v>
      </c>
      <c r="W107" s="36">
        <f t="shared" si="21"/>
        <v>68.52</v>
      </c>
      <c r="X107" s="36"/>
      <c r="Y107" s="36"/>
      <c r="Z107" s="36">
        <f t="shared" si="22"/>
        <v>0</v>
      </c>
      <c r="AA107" s="36">
        <f t="shared" si="23"/>
        <v>0</v>
      </c>
      <c r="AB107" s="36"/>
      <c r="AC107" s="36"/>
      <c r="AD107" s="36">
        <f t="shared" si="24"/>
        <v>0</v>
      </c>
      <c r="AE107" s="36">
        <f t="shared" si="25"/>
        <v>0</v>
      </c>
      <c r="AF107" s="36"/>
      <c r="AG107" s="36"/>
      <c r="AH107" s="36">
        <f t="shared" si="26"/>
        <v>0</v>
      </c>
      <c r="AI107" s="36">
        <f t="shared" si="27"/>
        <v>0</v>
      </c>
      <c r="AJ107" s="36"/>
      <c r="AK107" s="36"/>
      <c r="AL107" s="36">
        <f t="shared" si="28"/>
        <v>0</v>
      </c>
      <c r="AM107" s="36">
        <f t="shared" si="29"/>
        <v>0</v>
      </c>
      <c r="AN107" s="36"/>
      <c r="AO107" s="36"/>
      <c r="AP107" s="36">
        <f t="shared" si="30"/>
        <v>0</v>
      </c>
      <c r="AQ107" s="36">
        <f t="shared" si="31"/>
        <v>0</v>
      </c>
    </row>
    <row r="108" spans="1:43" x14ac:dyDescent="0.55000000000000004">
      <c r="A108" s="30">
        <f t="shared" si="32"/>
        <v>105</v>
      </c>
      <c r="B108" s="31">
        <v>45444</v>
      </c>
      <c r="C108" s="31"/>
      <c r="D108" s="61">
        <v>4</v>
      </c>
      <c r="E108" s="61"/>
      <c r="F108" s="61"/>
      <c r="G108" s="50" t="s">
        <v>243</v>
      </c>
      <c r="H108" s="35" t="s">
        <v>50</v>
      </c>
      <c r="I108" s="36">
        <v>4</v>
      </c>
      <c r="J108" s="37" t="s">
        <v>142</v>
      </c>
      <c r="K108" s="37"/>
      <c r="L108" s="37"/>
      <c r="M108" s="38" t="s">
        <v>47</v>
      </c>
      <c r="N108" s="39"/>
      <c r="O108" s="40">
        <v>266.07</v>
      </c>
      <c r="P108" s="37">
        <f t="shared" si="19"/>
        <v>1064.28</v>
      </c>
      <c r="Q108" s="41"/>
      <c r="R108" s="42">
        <f t="shared" si="35"/>
        <v>0</v>
      </c>
      <c r="S108" s="42">
        <f t="shared" si="34"/>
        <v>0</v>
      </c>
      <c r="T108" s="43">
        <f t="shared" si="20"/>
        <v>0</v>
      </c>
      <c r="U108" s="43">
        <f t="shared" si="20"/>
        <v>0</v>
      </c>
      <c r="V108" s="44">
        <f t="shared" si="33"/>
        <v>4</v>
      </c>
      <c r="W108" s="36">
        <f t="shared" si="21"/>
        <v>1064.28</v>
      </c>
      <c r="X108" s="36"/>
      <c r="Y108" s="36"/>
      <c r="Z108" s="36">
        <f t="shared" si="22"/>
        <v>0</v>
      </c>
      <c r="AA108" s="36">
        <f t="shared" si="23"/>
        <v>0</v>
      </c>
      <c r="AB108" s="36"/>
      <c r="AC108" s="36"/>
      <c r="AD108" s="36">
        <f t="shared" si="24"/>
        <v>0</v>
      </c>
      <c r="AE108" s="36">
        <f t="shared" si="25"/>
        <v>0</v>
      </c>
      <c r="AF108" s="36"/>
      <c r="AG108" s="36"/>
      <c r="AH108" s="36">
        <f t="shared" si="26"/>
        <v>0</v>
      </c>
      <c r="AI108" s="36">
        <f t="shared" si="27"/>
        <v>0</v>
      </c>
      <c r="AJ108" s="36"/>
      <c r="AK108" s="36"/>
      <c r="AL108" s="36">
        <f t="shared" si="28"/>
        <v>0</v>
      </c>
      <c r="AM108" s="36">
        <f t="shared" si="29"/>
        <v>0</v>
      </c>
      <c r="AN108" s="36"/>
      <c r="AO108" s="36"/>
      <c r="AP108" s="36">
        <f t="shared" si="30"/>
        <v>0</v>
      </c>
      <c r="AQ108" s="36">
        <f t="shared" si="31"/>
        <v>0</v>
      </c>
    </row>
    <row r="109" spans="1:43" x14ac:dyDescent="0.55000000000000004">
      <c r="A109" s="30">
        <f t="shared" si="32"/>
        <v>106</v>
      </c>
      <c r="B109" s="31">
        <v>44896</v>
      </c>
      <c r="C109" s="45"/>
      <c r="D109" s="33">
        <v>1</v>
      </c>
      <c r="E109" s="33"/>
      <c r="F109" s="33"/>
      <c r="G109" s="51" t="s">
        <v>244</v>
      </c>
      <c r="H109" s="37" t="s">
        <v>245</v>
      </c>
      <c r="I109" s="36">
        <v>1</v>
      </c>
      <c r="J109" s="37" t="s">
        <v>64</v>
      </c>
      <c r="K109" s="37"/>
      <c r="L109" s="37"/>
      <c r="M109" s="38" t="s">
        <v>85</v>
      </c>
      <c r="N109" s="39" t="s">
        <v>49</v>
      </c>
      <c r="O109" s="40">
        <v>68.86</v>
      </c>
      <c r="P109" s="37">
        <f t="shared" si="19"/>
        <v>68.86</v>
      </c>
      <c r="Q109" s="41"/>
      <c r="R109" s="42">
        <f t="shared" si="35"/>
        <v>0</v>
      </c>
      <c r="S109" s="42">
        <f t="shared" si="34"/>
        <v>0</v>
      </c>
      <c r="T109" s="43">
        <f t="shared" si="20"/>
        <v>0</v>
      </c>
      <c r="U109" s="43">
        <f t="shared" si="20"/>
        <v>0</v>
      </c>
      <c r="V109" s="44">
        <f t="shared" si="33"/>
        <v>1</v>
      </c>
      <c r="W109" s="36">
        <f t="shared" si="21"/>
        <v>68.86</v>
      </c>
      <c r="X109" s="36"/>
      <c r="Y109" s="36"/>
      <c r="Z109" s="36">
        <f t="shared" si="22"/>
        <v>0</v>
      </c>
      <c r="AA109" s="36">
        <f t="shared" si="23"/>
        <v>0</v>
      </c>
      <c r="AB109" s="36"/>
      <c r="AC109" s="36"/>
      <c r="AD109" s="36">
        <f t="shared" si="24"/>
        <v>0</v>
      </c>
      <c r="AE109" s="36">
        <f t="shared" si="25"/>
        <v>0</v>
      </c>
      <c r="AF109" s="36"/>
      <c r="AG109" s="36"/>
      <c r="AH109" s="36">
        <f t="shared" si="26"/>
        <v>0</v>
      </c>
      <c r="AI109" s="36">
        <f t="shared" si="27"/>
        <v>0</v>
      </c>
      <c r="AJ109" s="36"/>
      <c r="AK109" s="36"/>
      <c r="AL109" s="36">
        <f t="shared" si="28"/>
        <v>0</v>
      </c>
      <c r="AM109" s="36">
        <f t="shared" si="29"/>
        <v>0</v>
      </c>
      <c r="AN109" s="36"/>
      <c r="AO109" s="36"/>
      <c r="AP109" s="36">
        <f t="shared" si="30"/>
        <v>0</v>
      </c>
      <c r="AQ109" s="36">
        <f t="shared" si="31"/>
        <v>0</v>
      </c>
    </row>
    <row r="110" spans="1:43" x14ac:dyDescent="0.55000000000000004">
      <c r="A110" s="30">
        <f t="shared" si="32"/>
        <v>107</v>
      </c>
      <c r="B110" s="31">
        <v>44896</v>
      </c>
      <c r="C110" s="45"/>
      <c r="D110" s="33">
        <v>1</v>
      </c>
      <c r="E110" s="33"/>
      <c r="F110" s="33"/>
      <c r="G110" s="51" t="s">
        <v>246</v>
      </c>
      <c r="H110" s="37" t="s">
        <v>48</v>
      </c>
      <c r="I110" s="36">
        <v>1</v>
      </c>
      <c r="J110" s="37" t="s">
        <v>54</v>
      </c>
      <c r="K110" s="37"/>
      <c r="L110" s="37"/>
      <c r="M110" s="38" t="s">
        <v>85</v>
      </c>
      <c r="N110" s="39" t="s">
        <v>49</v>
      </c>
      <c r="O110" s="40">
        <v>151.63999999999999</v>
      </c>
      <c r="P110" s="37">
        <f t="shared" si="19"/>
        <v>151.63999999999999</v>
      </c>
      <c r="Q110" s="41"/>
      <c r="R110" s="42">
        <f t="shared" si="35"/>
        <v>0</v>
      </c>
      <c r="S110" s="42">
        <f t="shared" si="34"/>
        <v>0</v>
      </c>
      <c r="T110" s="43">
        <f t="shared" si="20"/>
        <v>0</v>
      </c>
      <c r="U110" s="43">
        <f t="shared" si="20"/>
        <v>0</v>
      </c>
      <c r="V110" s="44">
        <f t="shared" si="33"/>
        <v>1</v>
      </c>
      <c r="W110" s="36">
        <f t="shared" si="21"/>
        <v>151.63999999999999</v>
      </c>
      <c r="X110" s="36"/>
      <c r="Y110" s="36"/>
      <c r="Z110" s="36">
        <f t="shared" si="22"/>
        <v>0</v>
      </c>
      <c r="AA110" s="36">
        <f t="shared" si="23"/>
        <v>0</v>
      </c>
      <c r="AB110" s="36"/>
      <c r="AC110" s="36"/>
      <c r="AD110" s="36">
        <f t="shared" si="24"/>
        <v>0</v>
      </c>
      <c r="AE110" s="36">
        <f t="shared" si="25"/>
        <v>0</v>
      </c>
      <c r="AF110" s="36"/>
      <c r="AG110" s="36"/>
      <c r="AH110" s="36">
        <f t="shared" si="26"/>
        <v>0</v>
      </c>
      <c r="AI110" s="36">
        <f t="shared" si="27"/>
        <v>0</v>
      </c>
      <c r="AJ110" s="36"/>
      <c r="AK110" s="36"/>
      <c r="AL110" s="36">
        <f t="shared" si="28"/>
        <v>0</v>
      </c>
      <c r="AM110" s="36">
        <f t="shared" si="29"/>
        <v>0</v>
      </c>
      <c r="AN110" s="36"/>
      <c r="AO110" s="36"/>
      <c r="AP110" s="36">
        <f t="shared" si="30"/>
        <v>0</v>
      </c>
      <c r="AQ110" s="36">
        <f t="shared" si="31"/>
        <v>0</v>
      </c>
    </row>
    <row r="111" spans="1:43" x14ac:dyDescent="0.55000000000000004">
      <c r="A111" s="30">
        <f t="shared" si="32"/>
        <v>108</v>
      </c>
      <c r="B111" s="31">
        <v>45323</v>
      </c>
      <c r="C111" s="45"/>
      <c r="D111" s="33">
        <v>1</v>
      </c>
      <c r="E111" s="33"/>
      <c r="F111" s="33"/>
      <c r="G111" s="53" t="s">
        <v>247</v>
      </c>
      <c r="H111" s="37" t="s">
        <v>110</v>
      </c>
      <c r="I111" s="36">
        <v>1</v>
      </c>
      <c r="J111" s="37" t="s">
        <v>80</v>
      </c>
      <c r="K111" s="37"/>
      <c r="L111" s="37"/>
      <c r="M111" s="38" t="s">
        <v>102</v>
      </c>
      <c r="N111" s="39" t="s">
        <v>41</v>
      </c>
      <c r="O111" s="40">
        <v>134.75</v>
      </c>
      <c r="P111" s="37">
        <f t="shared" si="19"/>
        <v>134.75</v>
      </c>
      <c r="Q111" s="41" t="s">
        <v>248</v>
      </c>
      <c r="R111" s="42">
        <f t="shared" si="35"/>
        <v>0</v>
      </c>
      <c r="S111" s="42">
        <f t="shared" si="34"/>
        <v>134.75</v>
      </c>
      <c r="T111" s="43">
        <f t="shared" si="20"/>
        <v>0</v>
      </c>
      <c r="U111" s="43">
        <f t="shared" si="20"/>
        <v>1</v>
      </c>
      <c r="V111" s="44">
        <f t="shared" si="33"/>
        <v>0</v>
      </c>
      <c r="W111" s="36">
        <f t="shared" si="21"/>
        <v>0</v>
      </c>
      <c r="X111" s="36"/>
      <c r="Y111" s="36"/>
      <c r="Z111" s="36">
        <f t="shared" si="22"/>
        <v>0</v>
      </c>
      <c r="AA111" s="36">
        <f t="shared" si="23"/>
        <v>0</v>
      </c>
      <c r="AB111" s="36"/>
      <c r="AC111" s="36"/>
      <c r="AD111" s="36">
        <f t="shared" si="24"/>
        <v>0</v>
      </c>
      <c r="AE111" s="36">
        <f t="shared" si="25"/>
        <v>0</v>
      </c>
      <c r="AF111" s="36"/>
      <c r="AG111" s="36">
        <v>1</v>
      </c>
      <c r="AH111" s="36">
        <f t="shared" si="26"/>
        <v>0</v>
      </c>
      <c r="AI111" s="36">
        <f t="shared" si="27"/>
        <v>134.75</v>
      </c>
      <c r="AJ111" s="36"/>
      <c r="AK111" s="36"/>
      <c r="AL111" s="36">
        <f t="shared" si="28"/>
        <v>0</v>
      </c>
      <c r="AM111" s="36">
        <f t="shared" si="29"/>
        <v>0</v>
      </c>
      <c r="AN111" s="36"/>
      <c r="AO111" s="36"/>
      <c r="AP111" s="36">
        <f t="shared" si="30"/>
        <v>0</v>
      </c>
      <c r="AQ111" s="36">
        <f t="shared" si="31"/>
        <v>0</v>
      </c>
    </row>
    <row r="112" spans="1:43" x14ac:dyDescent="0.55000000000000004">
      <c r="A112" s="30">
        <f t="shared" si="32"/>
        <v>109</v>
      </c>
      <c r="B112" s="31">
        <v>44896</v>
      </c>
      <c r="C112" s="45"/>
      <c r="D112" s="33">
        <v>1</v>
      </c>
      <c r="E112" s="33"/>
      <c r="F112" s="33"/>
      <c r="G112" s="53" t="s">
        <v>249</v>
      </c>
      <c r="H112" s="37" t="s">
        <v>133</v>
      </c>
      <c r="I112" s="36">
        <v>1</v>
      </c>
      <c r="J112" s="37" t="s">
        <v>54</v>
      </c>
      <c r="K112" s="37"/>
      <c r="L112" s="37"/>
      <c r="M112" s="38" t="s">
        <v>72</v>
      </c>
      <c r="N112" s="39" t="s">
        <v>41</v>
      </c>
      <c r="O112" s="40">
        <v>165.51</v>
      </c>
      <c r="P112" s="37">
        <f t="shared" si="19"/>
        <v>165.51</v>
      </c>
      <c r="Q112" s="41"/>
      <c r="R112" s="42">
        <f t="shared" si="35"/>
        <v>0</v>
      </c>
      <c r="S112" s="42">
        <f t="shared" si="34"/>
        <v>0</v>
      </c>
      <c r="T112" s="43">
        <f t="shared" si="20"/>
        <v>0</v>
      </c>
      <c r="U112" s="43">
        <f t="shared" si="20"/>
        <v>0</v>
      </c>
      <c r="V112" s="44">
        <f t="shared" si="33"/>
        <v>1</v>
      </c>
      <c r="W112" s="36">
        <f t="shared" si="21"/>
        <v>165.51</v>
      </c>
      <c r="X112" s="36"/>
      <c r="Y112" s="36"/>
      <c r="Z112" s="36">
        <f t="shared" si="22"/>
        <v>0</v>
      </c>
      <c r="AA112" s="36">
        <f t="shared" si="23"/>
        <v>0</v>
      </c>
      <c r="AB112" s="36"/>
      <c r="AC112" s="36"/>
      <c r="AD112" s="36">
        <f t="shared" si="24"/>
        <v>0</v>
      </c>
      <c r="AE112" s="36">
        <f t="shared" si="25"/>
        <v>0</v>
      </c>
      <c r="AF112" s="36"/>
      <c r="AG112" s="36"/>
      <c r="AH112" s="36">
        <f t="shared" si="26"/>
        <v>0</v>
      </c>
      <c r="AI112" s="36">
        <f t="shared" si="27"/>
        <v>0</v>
      </c>
      <c r="AJ112" s="36"/>
      <c r="AK112" s="36"/>
      <c r="AL112" s="36">
        <f t="shared" si="28"/>
        <v>0</v>
      </c>
      <c r="AM112" s="36">
        <f t="shared" si="29"/>
        <v>0</v>
      </c>
      <c r="AN112" s="36"/>
      <c r="AO112" s="36"/>
      <c r="AP112" s="36">
        <f t="shared" si="30"/>
        <v>0</v>
      </c>
      <c r="AQ112" s="36">
        <f t="shared" si="31"/>
        <v>0</v>
      </c>
    </row>
    <row r="113" spans="1:43" x14ac:dyDescent="0.55000000000000004">
      <c r="A113" s="30">
        <f t="shared" si="32"/>
        <v>110</v>
      </c>
      <c r="B113" s="31">
        <v>45413</v>
      </c>
      <c r="C113" s="45"/>
      <c r="D113" s="33">
        <v>1</v>
      </c>
      <c r="E113" s="33"/>
      <c r="F113" s="33"/>
      <c r="G113" s="51" t="s">
        <v>250</v>
      </c>
      <c r="H113" s="37" t="s">
        <v>251</v>
      </c>
      <c r="I113" s="36">
        <v>1</v>
      </c>
      <c r="J113" s="37"/>
      <c r="K113" s="37"/>
      <c r="L113" s="37"/>
      <c r="M113" s="38" t="s">
        <v>85</v>
      </c>
      <c r="N113" s="54" t="s">
        <v>41</v>
      </c>
      <c r="O113" s="40">
        <v>66.94</v>
      </c>
      <c r="P113" s="37">
        <f t="shared" si="19"/>
        <v>66.94</v>
      </c>
      <c r="Q113" s="41"/>
      <c r="R113" s="42">
        <f t="shared" si="35"/>
        <v>0</v>
      </c>
      <c r="S113" s="42">
        <f t="shared" si="34"/>
        <v>0</v>
      </c>
      <c r="T113" s="43">
        <f t="shared" si="20"/>
        <v>0</v>
      </c>
      <c r="U113" s="43">
        <f t="shared" si="20"/>
        <v>0</v>
      </c>
      <c r="V113" s="44">
        <f t="shared" si="33"/>
        <v>1</v>
      </c>
      <c r="W113" s="36">
        <f t="shared" si="21"/>
        <v>66.94</v>
      </c>
      <c r="X113" s="36"/>
      <c r="Y113" s="36"/>
      <c r="Z113" s="36">
        <f t="shared" si="22"/>
        <v>0</v>
      </c>
      <c r="AA113" s="36">
        <f t="shared" si="23"/>
        <v>0</v>
      </c>
      <c r="AB113" s="36"/>
      <c r="AC113" s="36"/>
      <c r="AD113" s="36">
        <f t="shared" si="24"/>
        <v>0</v>
      </c>
      <c r="AE113" s="36">
        <f t="shared" si="25"/>
        <v>0</v>
      </c>
      <c r="AF113" s="36"/>
      <c r="AG113" s="36"/>
      <c r="AH113" s="36">
        <f t="shared" si="26"/>
        <v>0</v>
      </c>
      <c r="AI113" s="36">
        <f t="shared" si="27"/>
        <v>0</v>
      </c>
      <c r="AJ113" s="36"/>
      <c r="AK113" s="36"/>
      <c r="AL113" s="36">
        <f t="shared" si="28"/>
        <v>0</v>
      </c>
      <c r="AM113" s="36">
        <f t="shared" si="29"/>
        <v>0</v>
      </c>
      <c r="AN113" s="36"/>
      <c r="AO113" s="36"/>
      <c r="AP113" s="36">
        <f t="shared" si="30"/>
        <v>0</v>
      </c>
      <c r="AQ113" s="36">
        <f t="shared" si="31"/>
        <v>0</v>
      </c>
    </row>
    <row r="114" spans="1:43" x14ac:dyDescent="0.55000000000000004">
      <c r="A114" s="30">
        <f t="shared" si="32"/>
        <v>111</v>
      </c>
      <c r="B114" s="31">
        <v>44652</v>
      </c>
      <c r="C114" s="45"/>
      <c r="D114" s="33">
        <v>1</v>
      </c>
      <c r="E114" s="33"/>
      <c r="F114" s="33"/>
      <c r="G114" s="34" t="s">
        <v>252</v>
      </c>
      <c r="H114" s="37" t="s">
        <v>253</v>
      </c>
      <c r="I114" s="36">
        <v>1</v>
      </c>
      <c r="J114" s="37" t="s">
        <v>54</v>
      </c>
      <c r="K114" s="37"/>
      <c r="L114" s="37"/>
      <c r="M114" s="38" t="s">
        <v>83</v>
      </c>
      <c r="N114" s="62" t="s">
        <v>49</v>
      </c>
      <c r="O114" s="40">
        <v>59.04</v>
      </c>
      <c r="P114" s="37">
        <f t="shared" si="19"/>
        <v>59.04</v>
      </c>
      <c r="Q114" s="41"/>
      <c r="R114" s="42">
        <f t="shared" si="35"/>
        <v>0</v>
      </c>
      <c r="S114" s="42">
        <f t="shared" si="34"/>
        <v>0</v>
      </c>
      <c r="T114" s="43">
        <f t="shared" si="20"/>
        <v>0</v>
      </c>
      <c r="U114" s="43">
        <f t="shared" si="20"/>
        <v>0</v>
      </c>
      <c r="V114" s="44">
        <f t="shared" si="33"/>
        <v>1</v>
      </c>
      <c r="W114" s="36">
        <f t="shared" si="21"/>
        <v>59.04</v>
      </c>
      <c r="X114" s="36"/>
      <c r="Y114" s="36"/>
      <c r="Z114" s="36">
        <f t="shared" si="22"/>
        <v>0</v>
      </c>
      <c r="AA114" s="36">
        <f t="shared" si="23"/>
        <v>0</v>
      </c>
      <c r="AB114" s="36"/>
      <c r="AC114" s="36"/>
      <c r="AD114" s="36">
        <f t="shared" si="24"/>
        <v>0</v>
      </c>
      <c r="AE114" s="36">
        <f t="shared" si="25"/>
        <v>0</v>
      </c>
      <c r="AF114" s="36"/>
      <c r="AG114" s="36"/>
      <c r="AH114" s="36">
        <f t="shared" si="26"/>
        <v>0</v>
      </c>
      <c r="AI114" s="36">
        <f t="shared" si="27"/>
        <v>0</v>
      </c>
      <c r="AJ114" s="36"/>
      <c r="AK114" s="36"/>
      <c r="AL114" s="36">
        <f t="shared" si="28"/>
        <v>0</v>
      </c>
      <c r="AM114" s="36">
        <f t="shared" si="29"/>
        <v>0</v>
      </c>
      <c r="AN114" s="36"/>
      <c r="AO114" s="36"/>
      <c r="AP114" s="36">
        <f t="shared" si="30"/>
        <v>0</v>
      </c>
      <c r="AQ114" s="36">
        <f t="shared" si="31"/>
        <v>0</v>
      </c>
    </row>
    <row r="115" spans="1:43" x14ac:dyDescent="0.55000000000000004">
      <c r="A115" s="30">
        <f t="shared" si="32"/>
        <v>112</v>
      </c>
      <c r="B115" s="31">
        <v>44896</v>
      </c>
      <c r="C115" s="45"/>
      <c r="D115" s="33">
        <v>1</v>
      </c>
      <c r="E115" s="45">
        <v>44650</v>
      </c>
      <c r="F115" s="33">
        <v>1</v>
      </c>
      <c r="G115" s="51" t="s">
        <v>254</v>
      </c>
      <c r="H115" s="37" t="s">
        <v>255</v>
      </c>
      <c r="I115" s="36">
        <v>2</v>
      </c>
      <c r="J115" s="37" t="s">
        <v>80</v>
      </c>
      <c r="K115" s="37"/>
      <c r="L115" s="37"/>
      <c r="M115" s="38" t="s">
        <v>85</v>
      </c>
      <c r="N115" s="54" t="s">
        <v>41</v>
      </c>
      <c r="O115" s="40">
        <v>48.07</v>
      </c>
      <c r="P115" s="37">
        <f t="shared" si="19"/>
        <v>96.14</v>
      </c>
      <c r="Q115" s="41"/>
      <c r="R115" s="42">
        <f t="shared" si="35"/>
        <v>0</v>
      </c>
      <c r="S115" s="42">
        <f t="shared" si="34"/>
        <v>0</v>
      </c>
      <c r="T115" s="43">
        <f t="shared" si="20"/>
        <v>0</v>
      </c>
      <c r="U115" s="43">
        <f t="shared" si="20"/>
        <v>0</v>
      </c>
      <c r="V115" s="44">
        <f t="shared" si="33"/>
        <v>2</v>
      </c>
      <c r="W115" s="36">
        <f t="shared" si="21"/>
        <v>96.14</v>
      </c>
      <c r="X115" s="36"/>
      <c r="Y115" s="36"/>
      <c r="Z115" s="36">
        <f t="shared" si="22"/>
        <v>0</v>
      </c>
      <c r="AA115" s="36">
        <f t="shared" si="23"/>
        <v>0</v>
      </c>
      <c r="AB115" s="36"/>
      <c r="AC115" s="36"/>
      <c r="AD115" s="36">
        <f t="shared" si="24"/>
        <v>0</v>
      </c>
      <c r="AE115" s="36">
        <f t="shared" si="25"/>
        <v>0</v>
      </c>
      <c r="AF115" s="36"/>
      <c r="AG115" s="36"/>
      <c r="AH115" s="36">
        <f t="shared" si="26"/>
        <v>0</v>
      </c>
      <c r="AI115" s="36">
        <f t="shared" si="27"/>
        <v>0</v>
      </c>
      <c r="AJ115" s="36"/>
      <c r="AK115" s="36"/>
      <c r="AL115" s="36">
        <f t="shared" si="28"/>
        <v>0</v>
      </c>
      <c r="AM115" s="36">
        <f t="shared" si="29"/>
        <v>0</v>
      </c>
      <c r="AN115" s="36"/>
      <c r="AO115" s="36"/>
      <c r="AP115" s="36">
        <f t="shared" si="30"/>
        <v>0</v>
      </c>
      <c r="AQ115" s="36">
        <f t="shared" si="31"/>
        <v>0</v>
      </c>
    </row>
    <row r="116" spans="1:43" x14ac:dyDescent="0.55000000000000004">
      <c r="A116" s="30">
        <f t="shared" si="32"/>
        <v>113</v>
      </c>
      <c r="B116" s="31">
        <v>44896</v>
      </c>
      <c r="C116" s="45"/>
      <c r="D116" s="33">
        <v>2</v>
      </c>
      <c r="E116" s="45">
        <v>45413</v>
      </c>
      <c r="F116" s="33">
        <v>1</v>
      </c>
      <c r="G116" s="53" t="s">
        <v>256</v>
      </c>
      <c r="H116" s="37" t="s">
        <v>251</v>
      </c>
      <c r="I116" s="36">
        <v>2</v>
      </c>
      <c r="J116" s="37" t="s">
        <v>54</v>
      </c>
      <c r="K116" s="37"/>
      <c r="L116" s="37"/>
      <c r="M116" s="38" t="s">
        <v>85</v>
      </c>
      <c r="N116" s="54" t="s">
        <v>41</v>
      </c>
      <c r="O116" s="40">
        <v>133.85</v>
      </c>
      <c r="P116" s="37">
        <f t="shared" si="19"/>
        <v>267.7</v>
      </c>
      <c r="Q116" s="41"/>
      <c r="R116" s="42">
        <f t="shared" si="35"/>
        <v>0</v>
      </c>
      <c r="S116" s="42">
        <f t="shared" si="34"/>
        <v>0</v>
      </c>
      <c r="T116" s="43">
        <f t="shared" si="20"/>
        <v>0</v>
      </c>
      <c r="U116" s="43">
        <f t="shared" si="20"/>
        <v>0</v>
      </c>
      <c r="V116" s="44">
        <f t="shared" si="33"/>
        <v>2</v>
      </c>
      <c r="W116" s="36">
        <f t="shared" si="21"/>
        <v>267.7</v>
      </c>
      <c r="X116" s="36"/>
      <c r="Y116" s="36"/>
      <c r="Z116" s="36">
        <f t="shared" si="22"/>
        <v>0</v>
      </c>
      <c r="AA116" s="36">
        <f t="shared" si="23"/>
        <v>0</v>
      </c>
      <c r="AB116" s="36"/>
      <c r="AC116" s="36"/>
      <c r="AD116" s="36">
        <f t="shared" si="24"/>
        <v>0</v>
      </c>
      <c r="AE116" s="36">
        <f t="shared" si="25"/>
        <v>0</v>
      </c>
      <c r="AF116" s="36"/>
      <c r="AG116" s="36"/>
      <c r="AH116" s="36">
        <f t="shared" si="26"/>
        <v>0</v>
      </c>
      <c r="AI116" s="36">
        <f t="shared" si="27"/>
        <v>0</v>
      </c>
      <c r="AJ116" s="36"/>
      <c r="AK116" s="36"/>
      <c r="AL116" s="36">
        <f t="shared" si="28"/>
        <v>0</v>
      </c>
      <c r="AM116" s="36">
        <f t="shared" si="29"/>
        <v>0</v>
      </c>
      <c r="AN116" s="36"/>
      <c r="AO116" s="36"/>
      <c r="AP116" s="36">
        <f t="shared" si="30"/>
        <v>0</v>
      </c>
      <c r="AQ116" s="36">
        <f t="shared" si="31"/>
        <v>0</v>
      </c>
    </row>
    <row r="117" spans="1:43" x14ac:dyDescent="0.55000000000000004">
      <c r="A117" s="30">
        <f t="shared" si="32"/>
        <v>114</v>
      </c>
      <c r="B117" s="31">
        <v>44896</v>
      </c>
      <c r="C117" s="45"/>
      <c r="D117" s="33">
        <v>1</v>
      </c>
      <c r="E117" s="33"/>
      <c r="F117" s="33"/>
      <c r="G117" s="51" t="s">
        <v>257</v>
      </c>
      <c r="H117" s="37" t="s">
        <v>258</v>
      </c>
      <c r="I117" s="36">
        <v>1</v>
      </c>
      <c r="J117" s="37"/>
      <c r="K117" s="37"/>
      <c r="L117" s="37"/>
      <c r="M117" s="38" t="s">
        <v>102</v>
      </c>
      <c r="N117" s="39" t="s">
        <v>49</v>
      </c>
      <c r="O117" s="40">
        <v>279.57</v>
      </c>
      <c r="P117" s="37">
        <f t="shared" si="19"/>
        <v>279.57</v>
      </c>
      <c r="Q117" s="41"/>
      <c r="R117" s="42">
        <f t="shared" si="35"/>
        <v>0</v>
      </c>
      <c r="S117" s="42">
        <f t="shared" si="34"/>
        <v>0</v>
      </c>
      <c r="T117" s="43">
        <f t="shared" si="20"/>
        <v>0</v>
      </c>
      <c r="U117" s="43">
        <f t="shared" si="20"/>
        <v>0</v>
      </c>
      <c r="V117" s="44">
        <f t="shared" si="33"/>
        <v>1</v>
      </c>
      <c r="W117" s="36">
        <f t="shared" si="21"/>
        <v>279.57</v>
      </c>
      <c r="X117" s="36"/>
      <c r="Y117" s="36"/>
      <c r="Z117" s="36">
        <f t="shared" si="22"/>
        <v>0</v>
      </c>
      <c r="AA117" s="36">
        <f t="shared" si="23"/>
        <v>0</v>
      </c>
      <c r="AB117" s="36"/>
      <c r="AC117" s="36"/>
      <c r="AD117" s="36">
        <f t="shared" si="24"/>
        <v>0</v>
      </c>
      <c r="AE117" s="36">
        <f t="shared" si="25"/>
        <v>0</v>
      </c>
      <c r="AF117" s="36"/>
      <c r="AG117" s="36"/>
      <c r="AH117" s="36">
        <f t="shared" si="26"/>
        <v>0</v>
      </c>
      <c r="AI117" s="36">
        <f t="shared" si="27"/>
        <v>0</v>
      </c>
      <c r="AJ117" s="36"/>
      <c r="AK117" s="36"/>
      <c r="AL117" s="36">
        <f t="shared" si="28"/>
        <v>0</v>
      </c>
      <c r="AM117" s="36">
        <f t="shared" si="29"/>
        <v>0</v>
      </c>
      <c r="AN117" s="36"/>
      <c r="AO117" s="36"/>
      <c r="AP117" s="36">
        <f t="shared" si="30"/>
        <v>0</v>
      </c>
      <c r="AQ117" s="36">
        <f t="shared" si="31"/>
        <v>0</v>
      </c>
    </row>
    <row r="118" spans="1:43" x14ac:dyDescent="0.55000000000000004">
      <c r="A118" s="30">
        <f t="shared" si="32"/>
        <v>115</v>
      </c>
      <c r="B118" s="31">
        <v>44896</v>
      </c>
      <c r="C118" s="45"/>
      <c r="D118" s="33">
        <v>4</v>
      </c>
      <c r="E118" s="33"/>
      <c r="F118" s="33"/>
      <c r="G118" s="34" t="s">
        <v>259</v>
      </c>
      <c r="H118" s="35" t="s">
        <v>260</v>
      </c>
      <c r="I118" s="36">
        <v>4</v>
      </c>
      <c r="J118" s="37" t="s">
        <v>54</v>
      </c>
      <c r="K118" s="37"/>
      <c r="L118" s="37"/>
      <c r="M118" s="60" t="s">
        <v>189</v>
      </c>
      <c r="N118" s="54"/>
      <c r="O118" s="40">
        <v>67.36</v>
      </c>
      <c r="P118" s="37">
        <f t="shared" si="19"/>
        <v>269.44</v>
      </c>
      <c r="Q118" s="41" t="s">
        <v>261</v>
      </c>
      <c r="R118" s="42">
        <f t="shared" si="35"/>
        <v>0</v>
      </c>
      <c r="S118" s="42">
        <f t="shared" si="34"/>
        <v>0</v>
      </c>
      <c r="T118" s="43">
        <f t="shared" si="20"/>
        <v>0</v>
      </c>
      <c r="U118" s="43">
        <f t="shared" si="20"/>
        <v>0</v>
      </c>
      <c r="V118" s="44">
        <f t="shared" si="33"/>
        <v>4</v>
      </c>
      <c r="W118" s="36">
        <f t="shared" si="21"/>
        <v>269.44</v>
      </c>
      <c r="X118" s="36"/>
      <c r="Y118" s="36"/>
      <c r="Z118" s="36">
        <f t="shared" si="22"/>
        <v>0</v>
      </c>
      <c r="AA118" s="36">
        <f t="shared" si="23"/>
        <v>0</v>
      </c>
      <c r="AB118" s="36"/>
      <c r="AC118" s="36"/>
      <c r="AD118" s="36">
        <f t="shared" si="24"/>
        <v>0</v>
      </c>
      <c r="AE118" s="36">
        <f t="shared" si="25"/>
        <v>0</v>
      </c>
      <c r="AF118" s="36"/>
      <c r="AG118" s="36"/>
      <c r="AH118" s="36">
        <f t="shared" si="26"/>
        <v>0</v>
      </c>
      <c r="AI118" s="36">
        <f t="shared" si="27"/>
        <v>0</v>
      </c>
      <c r="AJ118" s="36"/>
      <c r="AK118" s="36"/>
      <c r="AL118" s="36">
        <f t="shared" si="28"/>
        <v>0</v>
      </c>
      <c r="AM118" s="36">
        <f t="shared" si="29"/>
        <v>0</v>
      </c>
      <c r="AN118" s="36"/>
      <c r="AO118" s="36"/>
      <c r="AP118" s="36">
        <f t="shared" si="30"/>
        <v>0</v>
      </c>
      <c r="AQ118" s="36">
        <f t="shared" si="31"/>
        <v>0</v>
      </c>
    </row>
    <row r="119" spans="1:43" x14ac:dyDescent="0.55000000000000004">
      <c r="A119" s="30">
        <f t="shared" si="32"/>
        <v>116</v>
      </c>
      <c r="B119" s="31">
        <v>44713</v>
      </c>
      <c r="C119" s="45"/>
      <c r="D119" s="33">
        <v>2</v>
      </c>
      <c r="E119" s="33"/>
      <c r="F119" s="33"/>
      <c r="G119" s="34" t="s">
        <v>262</v>
      </c>
      <c r="H119" s="35" t="s">
        <v>263</v>
      </c>
      <c r="I119" s="36">
        <v>2</v>
      </c>
      <c r="J119" s="37" t="s">
        <v>54</v>
      </c>
      <c r="K119" s="37"/>
      <c r="L119" s="37"/>
      <c r="M119" s="60" t="s">
        <v>44</v>
      </c>
      <c r="N119" s="54" t="s">
        <v>49</v>
      </c>
      <c r="O119" s="40">
        <v>3.41</v>
      </c>
      <c r="P119" s="37">
        <f t="shared" si="19"/>
        <v>6.82</v>
      </c>
      <c r="Q119" s="41" t="s">
        <v>80</v>
      </c>
      <c r="R119" s="42">
        <f t="shared" si="35"/>
        <v>0</v>
      </c>
      <c r="S119" s="42">
        <f t="shared" si="34"/>
        <v>0</v>
      </c>
      <c r="T119" s="43">
        <f t="shared" si="20"/>
        <v>0</v>
      </c>
      <c r="U119" s="43">
        <f t="shared" si="20"/>
        <v>0</v>
      </c>
      <c r="V119" s="44">
        <f t="shared" si="33"/>
        <v>2</v>
      </c>
      <c r="W119" s="36">
        <f t="shared" si="21"/>
        <v>6.82</v>
      </c>
      <c r="X119" s="36"/>
      <c r="Y119" s="36"/>
      <c r="Z119" s="36">
        <f t="shared" si="22"/>
        <v>0</v>
      </c>
      <c r="AA119" s="36">
        <f t="shared" si="23"/>
        <v>0</v>
      </c>
      <c r="AB119" s="36"/>
      <c r="AC119" s="36"/>
      <c r="AD119" s="36">
        <f t="shared" si="24"/>
        <v>0</v>
      </c>
      <c r="AE119" s="36">
        <f t="shared" si="25"/>
        <v>0</v>
      </c>
      <c r="AF119" s="36"/>
      <c r="AG119" s="36"/>
      <c r="AH119" s="36">
        <f t="shared" si="26"/>
        <v>0</v>
      </c>
      <c r="AI119" s="36">
        <f t="shared" si="27"/>
        <v>0</v>
      </c>
      <c r="AJ119" s="36"/>
      <c r="AK119" s="36"/>
      <c r="AL119" s="36">
        <f t="shared" si="28"/>
        <v>0</v>
      </c>
      <c r="AM119" s="36">
        <f t="shared" si="29"/>
        <v>0</v>
      </c>
      <c r="AN119" s="36"/>
      <c r="AO119" s="36"/>
      <c r="AP119" s="36">
        <f t="shared" si="30"/>
        <v>0</v>
      </c>
      <c r="AQ119" s="36">
        <f t="shared" si="31"/>
        <v>0</v>
      </c>
    </row>
    <row r="120" spans="1:43" x14ac:dyDescent="0.55000000000000004">
      <c r="A120" s="30">
        <f t="shared" si="32"/>
        <v>117</v>
      </c>
      <c r="B120" s="31">
        <v>44896</v>
      </c>
      <c r="C120" s="45"/>
      <c r="D120" s="33">
        <v>2</v>
      </c>
      <c r="E120" s="33"/>
      <c r="F120" s="33"/>
      <c r="G120" s="51" t="s">
        <v>264</v>
      </c>
      <c r="H120" s="37" t="s">
        <v>59</v>
      </c>
      <c r="I120" s="36">
        <v>2</v>
      </c>
      <c r="J120" s="37" t="s">
        <v>54</v>
      </c>
      <c r="K120" s="37"/>
      <c r="L120" s="37"/>
      <c r="M120" s="60" t="s">
        <v>265</v>
      </c>
      <c r="N120" s="54"/>
      <c r="O120" s="40">
        <v>115.08</v>
      </c>
      <c r="P120" s="37">
        <f t="shared" si="19"/>
        <v>230.16</v>
      </c>
      <c r="Q120" s="41"/>
      <c r="R120" s="42">
        <f t="shared" si="35"/>
        <v>0</v>
      </c>
      <c r="S120" s="42">
        <f t="shared" si="34"/>
        <v>0</v>
      </c>
      <c r="T120" s="43">
        <f t="shared" si="20"/>
        <v>0</v>
      </c>
      <c r="U120" s="43">
        <f t="shared" si="20"/>
        <v>0</v>
      </c>
      <c r="V120" s="44">
        <f t="shared" si="33"/>
        <v>2</v>
      </c>
      <c r="W120" s="36">
        <f t="shared" si="21"/>
        <v>230.16</v>
      </c>
      <c r="X120" s="36"/>
      <c r="Y120" s="36"/>
      <c r="Z120" s="36">
        <f t="shared" si="22"/>
        <v>0</v>
      </c>
      <c r="AA120" s="36">
        <f t="shared" si="23"/>
        <v>0</v>
      </c>
      <c r="AB120" s="36"/>
      <c r="AC120" s="36"/>
      <c r="AD120" s="36">
        <f t="shared" si="24"/>
        <v>0</v>
      </c>
      <c r="AE120" s="36">
        <f t="shared" si="25"/>
        <v>0</v>
      </c>
      <c r="AF120" s="36"/>
      <c r="AG120" s="36"/>
      <c r="AH120" s="36">
        <f t="shared" si="26"/>
        <v>0</v>
      </c>
      <c r="AI120" s="36">
        <f t="shared" si="27"/>
        <v>0</v>
      </c>
      <c r="AJ120" s="36"/>
      <c r="AK120" s="36"/>
      <c r="AL120" s="36">
        <f t="shared" si="28"/>
        <v>0</v>
      </c>
      <c r="AM120" s="36">
        <f t="shared" si="29"/>
        <v>0</v>
      </c>
      <c r="AN120" s="36"/>
      <c r="AO120" s="36"/>
      <c r="AP120" s="36">
        <f t="shared" si="30"/>
        <v>0</v>
      </c>
      <c r="AQ120" s="36">
        <f t="shared" si="31"/>
        <v>0</v>
      </c>
    </row>
    <row r="121" spans="1:43" x14ac:dyDescent="0.55000000000000004">
      <c r="A121" s="30">
        <f t="shared" si="32"/>
        <v>118</v>
      </c>
      <c r="B121" s="31">
        <v>44691</v>
      </c>
      <c r="C121" s="45"/>
      <c r="D121" s="33">
        <v>13</v>
      </c>
      <c r="E121" s="33"/>
      <c r="F121" s="33"/>
      <c r="G121" s="34" t="s">
        <v>266</v>
      </c>
      <c r="H121" s="35" t="s">
        <v>267</v>
      </c>
      <c r="I121" s="36">
        <v>14</v>
      </c>
      <c r="J121" s="37" t="s">
        <v>54</v>
      </c>
      <c r="K121" s="37"/>
      <c r="L121" s="37" t="s">
        <v>268</v>
      </c>
      <c r="M121" s="60" t="s">
        <v>44</v>
      </c>
      <c r="N121" s="54" t="s">
        <v>49</v>
      </c>
      <c r="O121" s="40">
        <v>2.4900000000000002</v>
      </c>
      <c r="P121" s="37">
        <f t="shared" si="19"/>
        <v>34.86</v>
      </c>
      <c r="Q121" s="41" t="s">
        <v>80</v>
      </c>
      <c r="R121" s="42">
        <f t="shared" si="35"/>
        <v>0</v>
      </c>
      <c r="S121" s="42">
        <f t="shared" si="34"/>
        <v>0</v>
      </c>
      <c r="T121" s="43">
        <f t="shared" si="20"/>
        <v>0</v>
      </c>
      <c r="U121" s="43">
        <f t="shared" si="20"/>
        <v>0</v>
      </c>
      <c r="V121" s="44">
        <f t="shared" si="33"/>
        <v>14</v>
      </c>
      <c r="W121" s="36">
        <f t="shared" si="21"/>
        <v>34.86</v>
      </c>
      <c r="X121" s="36"/>
      <c r="Y121" s="36"/>
      <c r="Z121" s="36">
        <f t="shared" si="22"/>
        <v>0</v>
      </c>
      <c r="AA121" s="36">
        <f t="shared" si="23"/>
        <v>0</v>
      </c>
      <c r="AB121" s="36"/>
      <c r="AC121" s="36"/>
      <c r="AD121" s="36">
        <f t="shared" si="24"/>
        <v>0</v>
      </c>
      <c r="AE121" s="36">
        <f t="shared" si="25"/>
        <v>0</v>
      </c>
      <c r="AF121" s="36"/>
      <c r="AG121" s="36"/>
      <c r="AH121" s="36">
        <f t="shared" si="26"/>
        <v>0</v>
      </c>
      <c r="AI121" s="36">
        <f t="shared" si="27"/>
        <v>0</v>
      </c>
      <c r="AJ121" s="36"/>
      <c r="AK121" s="36"/>
      <c r="AL121" s="36">
        <f t="shared" si="28"/>
        <v>0</v>
      </c>
      <c r="AM121" s="36">
        <f t="shared" si="29"/>
        <v>0</v>
      </c>
      <c r="AN121" s="36"/>
      <c r="AO121" s="36"/>
      <c r="AP121" s="36">
        <f t="shared" si="30"/>
        <v>0</v>
      </c>
      <c r="AQ121" s="36">
        <f t="shared" si="31"/>
        <v>0</v>
      </c>
    </row>
    <row r="122" spans="1:43" x14ac:dyDescent="0.55000000000000004">
      <c r="A122" s="30">
        <f t="shared" si="32"/>
        <v>119</v>
      </c>
      <c r="B122" s="31">
        <v>45778</v>
      </c>
      <c r="C122" s="45"/>
      <c r="D122" s="33">
        <v>32</v>
      </c>
      <c r="E122" s="33"/>
      <c r="F122" s="33"/>
      <c r="G122" s="34" t="s">
        <v>269</v>
      </c>
      <c r="H122" s="35" t="s">
        <v>245</v>
      </c>
      <c r="I122" s="36">
        <v>52</v>
      </c>
      <c r="J122" s="37" t="s">
        <v>54</v>
      </c>
      <c r="K122" s="37"/>
      <c r="L122" s="37"/>
      <c r="M122" s="60" t="s">
        <v>44</v>
      </c>
      <c r="N122" s="54" t="s">
        <v>49</v>
      </c>
      <c r="O122" s="40">
        <v>13.51</v>
      </c>
      <c r="P122" s="37">
        <f t="shared" si="19"/>
        <v>702.52</v>
      </c>
      <c r="Q122" s="41" t="s">
        <v>80</v>
      </c>
      <c r="R122" s="42">
        <f t="shared" si="35"/>
        <v>0</v>
      </c>
      <c r="S122" s="42">
        <f t="shared" si="34"/>
        <v>108.08</v>
      </c>
      <c r="T122" s="43">
        <f t="shared" si="20"/>
        <v>0</v>
      </c>
      <c r="U122" s="43">
        <f t="shared" si="20"/>
        <v>8</v>
      </c>
      <c r="V122" s="44">
        <f t="shared" si="33"/>
        <v>44</v>
      </c>
      <c r="W122" s="36">
        <f t="shared" si="21"/>
        <v>594.43999999999994</v>
      </c>
      <c r="X122" s="36"/>
      <c r="Y122" s="36"/>
      <c r="Z122" s="36">
        <f t="shared" si="22"/>
        <v>0</v>
      </c>
      <c r="AA122" s="36">
        <f t="shared" si="23"/>
        <v>0</v>
      </c>
      <c r="AB122" s="36"/>
      <c r="AC122" s="36"/>
      <c r="AD122" s="36">
        <f t="shared" si="24"/>
        <v>0</v>
      </c>
      <c r="AE122" s="36">
        <f t="shared" si="25"/>
        <v>0</v>
      </c>
      <c r="AF122" s="36"/>
      <c r="AG122" s="36">
        <v>8</v>
      </c>
      <c r="AH122" s="36">
        <f t="shared" si="26"/>
        <v>0</v>
      </c>
      <c r="AI122" s="36">
        <f t="shared" si="27"/>
        <v>108.08</v>
      </c>
      <c r="AJ122" s="36"/>
      <c r="AK122" s="36"/>
      <c r="AL122" s="36">
        <f t="shared" si="28"/>
        <v>0</v>
      </c>
      <c r="AM122" s="36">
        <f t="shared" si="29"/>
        <v>0</v>
      </c>
      <c r="AN122" s="36"/>
      <c r="AO122" s="36"/>
      <c r="AP122" s="36">
        <f t="shared" si="30"/>
        <v>0</v>
      </c>
      <c r="AQ122" s="36">
        <f t="shared" si="31"/>
        <v>0</v>
      </c>
    </row>
    <row r="123" spans="1:43" x14ac:dyDescent="0.55000000000000004">
      <c r="A123" s="30">
        <f t="shared" si="32"/>
        <v>120</v>
      </c>
      <c r="B123" s="31">
        <v>44896</v>
      </c>
      <c r="C123" s="45"/>
      <c r="D123" s="33">
        <v>2</v>
      </c>
      <c r="E123" s="33"/>
      <c r="F123" s="33"/>
      <c r="G123" s="53" t="s">
        <v>270</v>
      </c>
      <c r="H123" s="35" t="s">
        <v>271</v>
      </c>
      <c r="I123" s="36">
        <v>1</v>
      </c>
      <c r="J123" s="37" t="s">
        <v>54</v>
      </c>
      <c r="K123" s="37"/>
      <c r="L123" s="37"/>
      <c r="M123" s="38" t="s">
        <v>72</v>
      </c>
      <c r="N123" s="54" t="s">
        <v>49</v>
      </c>
      <c r="O123" s="40">
        <v>234.37</v>
      </c>
      <c r="P123" s="37">
        <f t="shared" si="19"/>
        <v>234.37</v>
      </c>
      <c r="Q123" s="41" t="s">
        <v>54</v>
      </c>
      <c r="R123" s="42">
        <f t="shared" si="35"/>
        <v>0</v>
      </c>
      <c r="S123" s="42">
        <f t="shared" si="34"/>
        <v>0</v>
      </c>
      <c r="T123" s="43">
        <f t="shared" si="20"/>
        <v>0</v>
      </c>
      <c r="U123" s="43">
        <f t="shared" si="20"/>
        <v>0</v>
      </c>
      <c r="V123" s="44">
        <f t="shared" si="33"/>
        <v>1</v>
      </c>
      <c r="W123" s="36">
        <f t="shared" si="21"/>
        <v>234.37</v>
      </c>
      <c r="X123" s="36"/>
      <c r="Y123" s="36"/>
      <c r="Z123" s="36">
        <f t="shared" si="22"/>
        <v>0</v>
      </c>
      <c r="AA123" s="36">
        <f t="shared" si="23"/>
        <v>0</v>
      </c>
      <c r="AB123" s="36"/>
      <c r="AC123" s="36"/>
      <c r="AD123" s="36">
        <f t="shared" si="24"/>
        <v>0</v>
      </c>
      <c r="AE123" s="36">
        <f t="shared" si="25"/>
        <v>0</v>
      </c>
      <c r="AF123" s="36"/>
      <c r="AG123" s="36"/>
      <c r="AH123" s="36">
        <f t="shared" si="26"/>
        <v>0</v>
      </c>
      <c r="AI123" s="36">
        <f t="shared" si="27"/>
        <v>0</v>
      </c>
      <c r="AJ123" s="36"/>
      <c r="AK123" s="36"/>
      <c r="AL123" s="36">
        <f t="shared" si="28"/>
        <v>0</v>
      </c>
      <c r="AM123" s="36">
        <f t="shared" si="29"/>
        <v>0</v>
      </c>
      <c r="AN123" s="36"/>
      <c r="AO123" s="36"/>
      <c r="AP123" s="36">
        <f t="shared" si="30"/>
        <v>0</v>
      </c>
      <c r="AQ123" s="36">
        <f t="shared" si="31"/>
        <v>0</v>
      </c>
    </row>
    <row r="124" spans="1:43" x14ac:dyDescent="0.55000000000000004">
      <c r="A124" s="30">
        <f t="shared" si="32"/>
        <v>121</v>
      </c>
      <c r="B124" s="31">
        <v>44896</v>
      </c>
      <c r="C124" s="31"/>
      <c r="D124" s="61">
        <v>7</v>
      </c>
      <c r="E124" s="31">
        <v>45444</v>
      </c>
      <c r="F124" s="61">
        <v>4</v>
      </c>
      <c r="G124" s="50" t="s">
        <v>272</v>
      </c>
      <c r="H124" s="35" t="s">
        <v>273</v>
      </c>
      <c r="I124" s="36">
        <v>7</v>
      </c>
      <c r="J124" s="37" t="s">
        <v>274</v>
      </c>
      <c r="K124" s="35" t="s">
        <v>275</v>
      </c>
      <c r="L124" s="37" t="s">
        <v>276</v>
      </c>
      <c r="M124" s="38" t="s">
        <v>72</v>
      </c>
      <c r="N124" s="54" t="s">
        <v>49</v>
      </c>
      <c r="O124" s="40">
        <v>125.7</v>
      </c>
      <c r="P124" s="37">
        <f t="shared" si="19"/>
        <v>879.9</v>
      </c>
      <c r="Q124" s="41" t="s">
        <v>54</v>
      </c>
      <c r="R124" s="42">
        <f t="shared" si="35"/>
        <v>0</v>
      </c>
      <c r="S124" s="42">
        <f t="shared" si="34"/>
        <v>0</v>
      </c>
      <c r="T124" s="43">
        <f t="shared" si="20"/>
        <v>0</v>
      </c>
      <c r="U124" s="43">
        <f t="shared" si="20"/>
        <v>0</v>
      </c>
      <c r="V124" s="44">
        <f t="shared" si="33"/>
        <v>7</v>
      </c>
      <c r="W124" s="36">
        <f t="shared" si="21"/>
        <v>879.9</v>
      </c>
      <c r="X124" s="36"/>
      <c r="Y124" s="36"/>
      <c r="Z124" s="36">
        <f t="shared" si="22"/>
        <v>0</v>
      </c>
      <c r="AA124" s="36">
        <f t="shared" si="23"/>
        <v>0</v>
      </c>
      <c r="AB124" s="36"/>
      <c r="AC124" s="36"/>
      <c r="AD124" s="36">
        <f t="shared" si="24"/>
        <v>0</v>
      </c>
      <c r="AE124" s="36">
        <f t="shared" si="25"/>
        <v>0</v>
      </c>
      <c r="AF124" s="36"/>
      <c r="AG124" s="36"/>
      <c r="AH124" s="36">
        <f t="shared" si="26"/>
        <v>0</v>
      </c>
      <c r="AI124" s="36">
        <f t="shared" si="27"/>
        <v>0</v>
      </c>
      <c r="AJ124" s="36"/>
      <c r="AK124" s="36"/>
      <c r="AL124" s="36">
        <f t="shared" si="28"/>
        <v>0</v>
      </c>
      <c r="AM124" s="36">
        <f t="shared" si="29"/>
        <v>0</v>
      </c>
      <c r="AN124" s="36"/>
      <c r="AO124" s="36"/>
      <c r="AP124" s="36">
        <f t="shared" si="30"/>
        <v>0</v>
      </c>
      <c r="AQ124" s="36">
        <f t="shared" si="31"/>
        <v>0</v>
      </c>
    </row>
    <row r="125" spans="1:43" x14ac:dyDescent="0.55000000000000004">
      <c r="A125" s="30">
        <f t="shared" si="32"/>
        <v>122</v>
      </c>
      <c r="B125" s="31">
        <v>45261</v>
      </c>
      <c r="C125" s="31"/>
      <c r="D125" s="61">
        <v>1</v>
      </c>
      <c r="E125" s="31">
        <v>44896</v>
      </c>
      <c r="F125" s="61">
        <v>9</v>
      </c>
      <c r="G125" s="50" t="s">
        <v>277</v>
      </c>
      <c r="H125" s="35" t="s">
        <v>278</v>
      </c>
      <c r="I125" s="36">
        <v>10</v>
      </c>
      <c r="J125" s="37" t="s">
        <v>54</v>
      </c>
      <c r="K125" s="35" t="s">
        <v>275</v>
      </c>
      <c r="L125" s="37" t="s">
        <v>276</v>
      </c>
      <c r="M125" s="38" t="s">
        <v>72</v>
      </c>
      <c r="N125" s="54" t="s">
        <v>49</v>
      </c>
      <c r="O125" s="40">
        <v>184.74</v>
      </c>
      <c r="P125" s="37">
        <f t="shared" si="19"/>
        <v>1847.4</v>
      </c>
      <c r="Q125" s="41" t="s">
        <v>54</v>
      </c>
      <c r="R125" s="42">
        <f t="shared" si="35"/>
        <v>0</v>
      </c>
      <c r="S125" s="42">
        <f t="shared" si="34"/>
        <v>0</v>
      </c>
      <c r="T125" s="43">
        <f t="shared" si="20"/>
        <v>0</v>
      </c>
      <c r="U125" s="43">
        <f t="shared" si="20"/>
        <v>0</v>
      </c>
      <c r="V125" s="44">
        <f t="shared" si="33"/>
        <v>10</v>
      </c>
      <c r="W125" s="36">
        <f t="shared" si="21"/>
        <v>1847.4</v>
      </c>
      <c r="X125" s="36"/>
      <c r="Y125" s="36"/>
      <c r="Z125" s="36">
        <f t="shared" si="22"/>
        <v>0</v>
      </c>
      <c r="AA125" s="36">
        <f t="shared" si="23"/>
        <v>0</v>
      </c>
      <c r="AB125" s="36"/>
      <c r="AC125" s="36"/>
      <c r="AD125" s="36">
        <f t="shared" si="24"/>
        <v>0</v>
      </c>
      <c r="AE125" s="36">
        <f t="shared" si="25"/>
        <v>0</v>
      </c>
      <c r="AF125" s="36"/>
      <c r="AG125" s="36"/>
      <c r="AH125" s="36">
        <f t="shared" si="26"/>
        <v>0</v>
      </c>
      <c r="AI125" s="36">
        <f t="shared" si="27"/>
        <v>0</v>
      </c>
      <c r="AJ125" s="36"/>
      <c r="AK125" s="36"/>
      <c r="AL125" s="36">
        <f t="shared" si="28"/>
        <v>0</v>
      </c>
      <c r="AM125" s="36">
        <f t="shared" si="29"/>
        <v>0</v>
      </c>
      <c r="AN125" s="36"/>
      <c r="AO125" s="36"/>
      <c r="AP125" s="36">
        <f t="shared" si="30"/>
        <v>0</v>
      </c>
      <c r="AQ125" s="36">
        <f t="shared" si="31"/>
        <v>0</v>
      </c>
    </row>
    <row r="126" spans="1:43" x14ac:dyDescent="0.55000000000000004">
      <c r="A126" s="30">
        <f t="shared" si="32"/>
        <v>123</v>
      </c>
      <c r="B126" s="31">
        <v>45777</v>
      </c>
      <c r="C126" s="45"/>
      <c r="D126" s="33">
        <v>2</v>
      </c>
      <c r="E126" s="33"/>
      <c r="F126" s="33"/>
      <c r="G126" s="49" t="s">
        <v>279</v>
      </c>
      <c r="H126" s="37" t="s">
        <v>280</v>
      </c>
      <c r="I126" s="36">
        <v>0</v>
      </c>
      <c r="J126" s="37"/>
      <c r="K126" s="37"/>
      <c r="L126" s="37"/>
      <c r="M126" s="60" t="s">
        <v>102</v>
      </c>
      <c r="N126" s="39" t="s">
        <v>49</v>
      </c>
      <c r="O126" s="40">
        <v>65.39</v>
      </c>
      <c r="P126" s="37">
        <f t="shared" si="19"/>
        <v>0</v>
      </c>
      <c r="Q126" s="41"/>
      <c r="R126" s="42">
        <f t="shared" si="35"/>
        <v>0</v>
      </c>
      <c r="S126" s="42">
        <f t="shared" si="34"/>
        <v>0</v>
      </c>
      <c r="T126" s="43">
        <f t="shared" si="20"/>
        <v>0</v>
      </c>
      <c r="U126" s="43">
        <f t="shared" si="20"/>
        <v>0</v>
      </c>
      <c r="V126" s="44">
        <f t="shared" si="33"/>
        <v>0</v>
      </c>
      <c r="W126" s="36">
        <f t="shared" si="21"/>
        <v>0</v>
      </c>
      <c r="X126" s="36"/>
      <c r="Y126" s="36"/>
      <c r="Z126" s="36">
        <f t="shared" si="22"/>
        <v>0</v>
      </c>
      <c r="AA126" s="36">
        <f t="shared" si="23"/>
        <v>0</v>
      </c>
      <c r="AB126" s="36"/>
      <c r="AC126" s="36"/>
      <c r="AD126" s="36">
        <f t="shared" si="24"/>
        <v>0</v>
      </c>
      <c r="AE126" s="36">
        <f t="shared" si="25"/>
        <v>0</v>
      </c>
      <c r="AF126" s="36"/>
      <c r="AG126" s="36"/>
      <c r="AH126" s="36">
        <f t="shared" si="26"/>
        <v>0</v>
      </c>
      <c r="AI126" s="36">
        <f t="shared" si="27"/>
        <v>0</v>
      </c>
      <c r="AJ126" s="36"/>
      <c r="AK126" s="36"/>
      <c r="AL126" s="36">
        <f t="shared" si="28"/>
        <v>0</v>
      </c>
      <c r="AM126" s="36">
        <f t="shared" si="29"/>
        <v>0</v>
      </c>
      <c r="AN126" s="36"/>
      <c r="AO126" s="36"/>
      <c r="AP126" s="36">
        <f t="shared" si="30"/>
        <v>0</v>
      </c>
      <c r="AQ126" s="36">
        <f t="shared" si="31"/>
        <v>0</v>
      </c>
    </row>
    <row r="127" spans="1:43" x14ac:dyDescent="0.55000000000000004">
      <c r="A127" s="30">
        <f t="shared" si="32"/>
        <v>124</v>
      </c>
      <c r="B127" s="31">
        <v>44896</v>
      </c>
      <c r="C127" s="45"/>
      <c r="D127" s="33">
        <v>1</v>
      </c>
      <c r="E127" s="33"/>
      <c r="F127" s="33"/>
      <c r="G127" s="34" t="s">
        <v>281</v>
      </c>
      <c r="H127" s="35" t="s">
        <v>282</v>
      </c>
      <c r="I127" s="36">
        <v>1</v>
      </c>
      <c r="J127" s="37" t="s">
        <v>54</v>
      </c>
      <c r="K127" s="37"/>
      <c r="L127" s="37"/>
      <c r="M127" s="38" t="s">
        <v>72</v>
      </c>
      <c r="N127" s="54" t="s">
        <v>283</v>
      </c>
      <c r="O127" s="40">
        <v>93.56</v>
      </c>
      <c r="P127" s="37">
        <f t="shared" si="19"/>
        <v>93.56</v>
      </c>
      <c r="Q127" s="41" t="s">
        <v>54</v>
      </c>
      <c r="R127" s="42">
        <f t="shared" si="35"/>
        <v>0</v>
      </c>
      <c r="S127" s="42">
        <f t="shared" si="34"/>
        <v>0</v>
      </c>
      <c r="T127" s="43">
        <f t="shared" si="20"/>
        <v>0</v>
      </c>
      <c r="U127" s="43">
        <f t="shared" si="20"/>
        <v>0</v>
      </c>
      <c r="V127" s="44">
        <f t="shared" si="33"/>
        <v>1</v>
      </c>
      <c r="W127" s="36">
        <f t="shared" si="21"/>
        <v>93.56</v>
      </c>
      <c r="X127" s="36"/>
      <c r="Y127" s="36"/>
      <c r="Z127" s="36">
        <f t="shared" si="22"/>
        <v>0</v>
      </c>
      <c r="AA127" s="36">
        <f t="shared" si="23"/>
        <v>0</v>
      </c>
      <c r="AB127" s="36"/>
      <c r="AC127" s="36"/>
      <c r="AD127" s="36">
        <f>AB127*O127</f>
        <v>0</v>
      </c>
      <c r="AE127" s="36">
        <f>AC127*O127</f>
        <v>0</v>
      </c>
      <c r="AF127" s="36"/>
      <c r="AG127" s="36"/>
      <c r="AH127" s="36">
        <f t="shared" si="26"/>
        <v>0</v>
      </c>
      <c r="AI127" s="36">
        <f t="shared" si="27"/>
        <v>0</v>
      </c>
      <c r="AJ127" s="36"/>
      <c r="AK127" s="36"/>
      <c r="AL127" s="36">
        <f t="shared" si="28"/>
        <v>0</v>
      </c>
      <c r="AM127" s="36">
        <f t="shared" si="29"/>
        <v>0</v>
      </c>
      <c r="AN127" s="36"/>
      <c r="AO127" s="36"/>
      <c r="AP127" s="36">
        <f t="shared" si="30"/>
        <v>0</v>
      </c>
      <c r="AQ127" s="36">
        <f t="shared" si="31"/>
        <v>0</v>
      </c>
    </row>
    <row r="128" spans="1:43" x14ac:dyDescent="0.55000000000000004">
      <c r="A128" s="30">
        <f t="shared" si="32"/>
        <v>125</v>
      </c>
      <c r="B128" s="31">
        <v>45627</v>
      </c>
      <c r="C128" s="45"/>
      <c r="D128" s="33">
        <v>1</v>
      </c>
      <c r="E128" s="33"/>
      <c r="F128" s="33"/>
      <c r="G128" s="46">
        <v>4368027</v>
      </c>
      <c r="H128" s="35" t="s">
        <v>284</v>
      </c>
      <c r="I128" s="36">
        <v>0</v>
      </c>
      <c r="J128" s="37" t="s">
        <v>54</v>
      </c>
      <c r="K128" s="37"/>
      <c r="L128" s="37"/>
      <c r="M128" s="60" t="s">
        <v>265</v>
      </c>
      <c r="N128" s="54"/>
      <c r="O128" s="40">
        <v>212.92</v>
      </c>
      <c r="P128" s="37">
        <f t="shared" si="19"/>
        <v>0</v>
      </c>
      <c r="Q128" s="41"/>
      <c r="R128" s="42">
        <f t="shared" si="35"/>
        <v>0</v>
      </c>
      <c r="S128" s="42">
        <f t="shared" si="34"/>
        <v>0</v>
      </c>
      <c r="T128" s="43">
        <f t="shared" si="20"/>
        <v>0</v>
      </c>
      <c r="U128" s="43">
        <f t="shared" si="20"/>
        <v>0</v>
      </c>
      <c r="V128" s="44">
        <f t="shared" si="33"/>
        <v>0</v>
      </c>
      <c r="W128" s="36">
        <f t="shared" si="21"/>
        <v>0</v>
      </c>
      <c r="X128" s="36"/>
      <c r="Y128" s="36"/>
      <c r="Z128" s="36">
        <f t="shared" si="22"/>
        <v>0</v>
      </c>
      <c r="AA128" s="36">
        <f t="shared" si="23"/>
        <v>0</v>
      </c>
      <c r="AB128" s="36"/>
      <c r="AC128" s="36"/>
      <c r="AD128" s="36">
        <f t="shared" si="24"/>
        <v>0</v>
      </c>
      <c r="AE128" s="36">
        <f t="shared" si="25"/>
        <v>0</v>
      </c>
      <c r="AF128" s="36"/>
      <c r="AG128" s="36"/>
      <c r="AH128" s="36">
        <f t="shared" si="26"/>
        <v>0</v>
      </c>
      <c r="AI128" s="36">
        <f t="shared" si="27"/>
        <v>0</v>
      </c>
      <c r="AJ128" s="36"/>
      <c r="AK128" s="36"/>
      <c r="AL128" s="36">
        <f t="shared" si="28"/>
        <v>0</v>
      </c>
      <c r="AM128" s="36">
        <f t="shared" si="29"/>
        <v>0</v>
      </c>
      <c r="AN128" s="36"/>
      <c r="AO128" s="36"/>
      <c r="AP128" s="36">
        <f t="shared" si="30"/>
        <v>0</v>
      </c>
      <c r="AQ128" s="36">
        <f t="shared" si="31"/>
        <v>0</v>
      </c>
    </row>
    <row r="129" spans="1:43" x14ac:dyDescent="0.55000000000000004">
      <c r="A129" s="30">
        <f t="shared" si="32"/>
        <v>126</v>
      </c>
      <c r="B129" s="31">
        <v>44896</v>
      </c>
      <c r="C129" s="45"/>
      <c r="D129" s="33">
        <v>1</v>
      </c>
      <c r="E129" s="33"/>
      <c r="F129" s="33"/>
      <c r="G129" s="34">
        <v>4205767</v>
      </c>
      <c r="H129" s="35" t="s">
        <v>180</v>
      </c>
      <c r="I129" s="36">
        <v>1</v>
      </c>
      <c r="J129" s="37" t="s">
        <v>54</v>
      </c>
      <c r="K129" s="37"/>
      <c r="L129" s="37"/>
      <c r="M129" s="60" t="s">
        <v>44</v>
      </c>
      <c r="N129" s="54" t="s">
        <v>49</v>
      </c>
      <c r="O129" s="40">
        <v>83.87</v>
      </c>
      <c r="P129" s="37">
        <f t="shared" si="19"/>
        <v>83.87</v>
      </c>
      <c r="Q129" s="41"/>
      <c r="R129" s="42">
        <f t="shared" si="35"/>
        <v>0</v>
      </c>
      <c r="S129" s="42">
        <f t="shared" si="34"/>
        <v>0</v>
      </c>
      <c r="T129" s="43">
        <f t="shared" si="20"/>
        <v>0</v>
      </c>
      <c r="U129" s="43">
        <f t="shared" si="20"/>
        <v>0</v>
      </c>
      <c r="V129" s="44">
        <f t="shared" si="33"/>
        <v>1</v>
      </c>
      <c r="W129" s="36">
        <f t="shared" si="21"/>
        <v>83.87</v>
      </c>
      <c r="X129" s="36"/>
      <c r="Y129" s="36"/>
      <c r="Z129" s="36">
        <f t="shared" si="22"/>
        <v>0</v>
      </c>
      <c r="AA129" s="36">
        <f t="shared" si="23"/>
        <v>0</v>
      </c>
      <c r="AB129" s="36"/>
      <c r="AC129" s="36"/>
      <c r="AD129" s="36">
        <f t="shared" si="24"/>
        <v>0</v>
      </c>
      <c r="AE129" s="36">
        <f t="shared" si="25"/>
        <v>0</v>
      </c>
      <c r="AF129" s="36"/>
      <c r="AG129" s="36"/>
      <c r="AH129" s="36">
        <f t="shared" si="26"/>
        <v>0</v>
      </c>
      <c r="AI129" s="36">
        <f t="shared" si="27"/>
        <v>0</v>
      </c>
      <c r="AJ129" s="36"/>
      <c r="AK129" s="36"/>
      <c r="AL129" s="36">
        <f t="shared" si="28"/>
        <v>0</v>
      </c>
      <c r="AM129" s="36">
        <f t="shared" si="29"/>
        <v>0</v>
      </c>
      <c r="AN129" s="36"/>
      <c r="AO129" s="36"/>
      <c r="AP129" s="36">
        <f t="shared" si="30"/>
        <v>0</v>
      </c>
      <c r="AQ129" s="36">
        <f t="shared" si="31"/>
        <v>0</v>
      </c>
    </row>
    <row r="130" spans="1:43" x14ac:dyDescent="0.55000000000000004">
      <c r="A130" s="30">
        <f t="shared" si="32"/>
        <v>127</v>
      </c>
      <c r="B130" s="63">
        <v>45809</v>
      </c>
      <c r="C130" s="64"/>
      <c r="D130" s="33">
        <v>2</v>
      </c>
      <c r="E130" s="33"/>
      <c r="F130" s="33"/>
      <c r="G130" s="34" t="s">
        <v>285</v>
      </c>
      <c r="H130" s="35" t="s">
        <v>112</v>
      </c>
      <c r="I130" s="36">
        <v>2</v>
      </c>
      <c r="J130" s="37" t="s">
        <v>54</v>
      </c>
      <c r="K130" s="37"/>
      <c r="L130" s="37"/>
      <c r="M130" s="38" t="s">
        <v>113</v>
      </c>
      <c r="N130" s="39" t="s">
        <v>114</v>
      </c>
      <c r="O130" s="40">
        <v>48.27</v>
      </c>
      <c r="P130" s="37">
        <f t="shared" si="19"/>
        <v>96.54</v>
      </c>
      <c r="Q130" s="41"/>
      <c r="R130" s="42">
        <f t="shared" si="35"/>
        <v>0</v>
      </c>
      <c r="S130" s="42">
        <f t="shared" si="34"/>
        <v>0</v>
      </c>
      <c r="T130" s="43">
        <f t="shared" si="20"/>
        <v>0</v>
      </c>
      <c r="U130" s="43">
        <f t="shared" si="20"/>
        <v>0</v>
      </c>
      <c r="V130" s="44">
        <f t="shared" si="33"/>
        <v>2</v>
      </c>
      <c r="W130" s="36">
        <f t="shared" si="21"/>
        <v>96.54</v>
      </c>
      <c r="X130" s="36"/>
      <c r="Y130" s="36"/>
      <c r="Z130" s="36">
        <f t="shared" si="22"/>
        <v>0</v>
      </c>
      <c r="AA130" s="36">
        <f t="shared" si="23"/>
        <v>0</v>
      </c>
      <c r="AB130" s="36"/>
      <c r="AC130" s="36"/>
      <c r="AD130" s="36">
        <f t="shared" si="24"/>
        <v>0</v>
      </c>
      <c r="AE130" s="36">
        <f t="shared" si="25"/>
        <v>0</v>
      </c>
      <c r="AF130" s="36"/>
      <c r="AG130" s="36"/>
      <c r="AH130" s="36">
        <f t="shared" si="26"/>
        <v>0</v>
      </c>
      <c r="AI130" s="36">
        <f t="shared" si="27"/>
        <v>0</v>
      </c>
      <c r="AJ130" s="36"/>
      <c r="AK130" s="36"/>
      <c r="AL130" s="36">
        <f t="shared" si="28"/>
        <v>0</v>
      </c>
      <c r="AM130" s="36">
        <f t="shared" si="29"/>
        <v>0</v>
      </c>
      <c r="AN130" s="36"/>
      <c r="AO130" s="36"/>
      <c r="AP130" s="36">
        <f t="shared" si="30"/>
        <v>0</v>
      </c>
      <c r="AQ130" s="36">
        <f t="shared" si="31"/>
        <v>0</v>
      </c>
    </row>
    <row r="131" spans="1:43" x14ac:dyDescent="0.55000000000000004">
      <c r="A131" s="30">
        <f t="shared" si="32"/>
        <v>128</v>
      </c>
      <c r="B131" s="31">
        <v>45473</v>
      </c>
      <c r="C131" s="45"/>
      <c r="D131" s="33">
        <v>1</v>
      </c>
      <c r="E131" s="33"/>
      <c r="F131" s="33"/>
      <c r="G131" s="51" t="s">
        <v>286</v>
      </c>
      <c r="H131" s="52" t="s">
        <v>287</v>
      </c>
      <c r="I131" s="36">
        <v>1</v>
      </c>
      <c r="J131" s="37"/>
      <c r="K131" s="37"/>
      <c r="L131" s="37"/>
      <c r="M131" s="60" t="s">
        <v>122</v>
      </c>
      <c r="N131" s="54"/>
      <c r="O131" s="40">
        <v>188.96</v>
      </c>
      <c r="P131" s="37">
        <f t="shared" si="19"/>
        <v>188.96</v>
      </c>
      <c r="Q131" s="41"/>
      <c r="R131" s="42">
        <f t="shared" si="35"/>
        <v>0</v>
      </c>
      <c r="S131" s="42">
        <f t="shared" si="34"/>
        <v>0</v>
      </c>
      <c r="T131" s="43">
        <f t="shared" si="20"/>
        <v>0</v>
      </c>
      <c r="U131" s="43">
        <f t="shared" si="20"/>
        <v>0</v>
      </c>
      <c r="V131" s="44">
        <f t="shared" si="33"/>
        <v>1</v>
      </c>
      <c r="W131" s="36">
        <f t="shared" si="21"/>
        <v>188.96</v>
      </c>
      <c r="X131" s="36"/>
      <c r="Y131" s="36"/>
      <c r="Z131" s="36">
        <f t="shared" si="22"/>
        <v>0</v>
      </c>
      <c r="AA131" s="36">
        <f t="shared" si="23"/>
        <v>0</v>
      </c>
      <c r="AB131" s="36"/>
      <c r="AC131" s="36"/>
      <c r="AD131" s="36">
        <f t="shared" si="24"/>
        <v>0</v>
      </c>
      <c r="AE131" s="36">
        <f t="shared" si="25"/>
        <v>0</v>
      </c>
      <c r="AF131" s="36"/>
      <c r="AG131" s="36"/>
      <c r="AH131" s="36">
        <f t="shared" si="26"/>
        <v>0</v>
      </c>
      <c r="AI131" s="36">
        <f t="shared" si="27"/>
        <v>0</v>
      </c>
      <c r="AJ131" s="36"/>
      <c r="AK131" s="36"/>
      <c r="AL131" s="36">
        <f t="shared" si="28"/>
        <v>0</v>
      </c>
      <c r="AM131" s="36">
        <f t="shared" si="29"/>
        <v>0</v>
      </c>
      <c r="AN131" s="36"/>
      <c r="AO131" s="36"/>
      <c r="AP131" s="36">
        <f t="shared" si="30"/>
        <v>0</v>
      </c>
      <c r="AQ131" s="36">
        <f t="shared" si="31"/>
        <v>0</v>
      </c>
    </row>
    <row r="132" spans="1:43" x14ac:dyDescent="0.55000000000000004">
      <c r="A132" s="30">
        <f t="shared" si="32"/>
        <v>129</v>
      </c>
      <c r="B132" s="31">
        <v>45413</v>
      </c>
      <c r="C132" s="45"/>
      <c r="D132" s="33">
        <v>1</v>
      </c>
      <c r="E132" s="33"/>
      <c r="F132" s="33"/>
      <c r="G132" s="46" t="s">
        <v>288</v>
      </c>
      <c r="H132" s="35" t="s">
        <v>289</v>
      </c>
      <c r="I132" s="36">
        <v>0</v>
      </c>
      <c r="J132" s="37" t="s">
        <v>54</v>
      </c>
      <c r="K132" s="37"/>
      <c r="L132" s="37"/>
      <c r="M132" s="60" t="s">
        <v>196</v>
      </c>
      <c r="N132" s="54"/>
      <c r="O132" s="40">
        <v>521.33000000000004</v>
      </c>
      <c r="P132" s="37">
        <f t="shared" ref="P132:P195" si="36">O132*I132</f>
        <v>0</v>
      </c>
      <c r="Q132" s="41" t="s">
        <v>290</v>
      </c>
      <c r="R132" s="42">
        <f t="shared" si="35"/>
        <v>0</v>
      </c>
      <c r="S132" s="42">
        <f t="shared" si="34"/>
        <v>0</v>
      </c>
      <c r="T132" s="43">
        <f t="shared" ref="T132:U193" si="37">X132+AB132+AF132+AJ132+AN132</f>
        <v>0</v>
      </c>
      <c r="U132" s="43">
        <f t="shared" si="37"/>
        <v>0</v>
      </c>
      <c r="V132" s="44">
        <f t="shared" si="33"/>
        <v>0</v>
      </c>
      <c r="W132" s="36">
        <f t="shared" ref="W132:W195" si="38">V132*O132</f>
        <v>0</v>
      </c>
      <c r="X132" s="36"/>
      <c r="Y132" s="36"/>
      <c r="Z132" s="36">
        <f t="shared" ref="Z132:Z195" si="39">X132*O132</f>
        <v>0</v>
      </c>
      <c r="AA132" s="36">
        <f t="shared" ref="AA132:AA195" si="40">Y132*O132</f>
        <v>0</v>
      </c>
      <c r="AB132" s="36"/>
      <c r="AC132" s="36"/>
      <c r="AD132" s="36">
        <f t="shared" ref="AD132:AD195" si="41">AB132*O132</f>
        <v>0</v>
      </c>
      <c r="AE132" s="36">
        <f t="shared" ref="AE132:AE195" si="42">AC132*O132</f>
        <v>0</v>
      </c>
      <c r="AF132" s="36"/>
      <c r="AG132" s="36"/>
      <c r="AH132" s="36">
        <f t="shared" ref="AH132:AH195" si="43">AF132*O132</f>
        <v>0</v>
      </c>
      <c r="AI132" s="36">
        <f t="shared" ref="AI132:AI195" si="44">AG132*O132</f>
        <v>0</v>
      </c>
      <c r="AJ132" s="36"/>
      <c r="AK132" s="36"/>
      <c r="AL132" s="36">
        <f t="shared" ref="AL132:AL195" si="45">AJ132*O132</f>
        <v>0</v>
      </c>
      <c r="AM132" s="36">
        <f t="shared" ref="AM132:AM195" si="46">AK132*O132</f>
        <v>0</v>
      </c>
      <c r="AN132" s="36"/>
      <c r="AO132" s="36"/>
      <c r="AP132" s="36">
        <f t="shared" ref="AP132:AP195" si="47">AN132*O132</f>
        <v>0</v>
      </c>
      <c r="AQ132" s="36">
        <f t="shared" ref="AQ132:AQ195" si="48">AO132*O132</f>
        <v>0</v>
      </c>
    </row>
    <row r="133" spans="1:43" x14ac:dyDescent="0.55000000000000004">
      <c r="A133" s="30">
        <f t="shared" si="32"/>
        <v>130</v>
      </c>
      <c r="B133" s="31">
        <v>44896</v>
      </c>
      <c r="C133" s="45"/>
      <c r="D133" s="33">
        <v>1</v>
      </c>
      <c r="E133" s="33"/>
      <c r="F133" s="33"/>
      <c r="G133" s="51" t="s">
        <v>291</v>
      </c>
      <c r="H133" s="37" t="s">
        <v>163</v>
      </c>
      <c r="I133" s="36">
        <v>1</v>
      </c>
      <c r="J133" s="37"/>
      <c r="K133" s="37"/>
      <c r="L133" s="37"/>
      <c r="M133" s="60" t="s">
        <v>72</v>
      </c>
      <c r="N133" s="54" t="s">
        <v>41</v>
      </c>
      <c r="O133" s="40">
        <v>122.08</v>
      </c>
      <c r="P133" s="37">
        <f t="shared" si="36"/>
        <v>122.08</v>
      </c>
      <c r="Q133" s="41"/>
      <c r="R133" s="42">
        <f t="shared" si="35"/>
        <v>0</v>
      </c>
      <c r="S133" s="42">
        <f t="shared" si="34"/>
        <v>0</v>
      </c>
      <c r="T133" s="43">
        <f t="shared" si="37"/>
        <v>0</v>
      </c>
      <c r="U133" s="43">
        <f t="shared" si="37"/>
        <v>0</v>
      </c>
      <c r="V133" s="44">
        <f t="shared" si="33"/>
        <v>1</v>
      </c>
      <c r="W133" s="36">
        <f t="shared" si="38"/>
        <v>122.08</v>
      </c>
      <c r="X133" s="36"/>
      <c r="Y133" s="36"/>
      <c r="Z133" s="36">
        <f t="shared" si="39"/>
        <v>0</v>
      </c>
      <c r="AA133" s="36">
        <f t="shared" si="40"/>
        <v>0</v>
      </c>
      <c r="AB133" s="36"/>
      <c r="AC133" s="36"/>
      <c r="AD133" s="36">
        <f t="shared" si="41"/>
        <v>0</v>
      </c>
      <c r="AE133" s="36">
        <f t="shared" si="42"/>
        <v>0</v>
      </c>
      <c r="AF133" s="36"/>
      <c r="AG133" s="36"/>
      <c r="AH133" s="36">
        <f t="shared" si="43"/>
        <v>0</v>
      </c>
      <c r="AI133" s="36">
        <f t="shared" si="44"/>
        <v>0</v>
      </c>
      <c r="AJ133" s="36"/>
      <c r="AK133" s="36"/>
      <c r="AL133" s="36">
        <f t="shared" si="45"/>
        <v>0</v>
      </c>
      <c r="AM133" s="36">
        <f t="shared" si="46"/>
        <v>0</v>
      </c>
      <c r="AN133" s="36"/>
      <c r="AO133" s="36"/>
      <c r="AP133" s="36">
        <f t="shared" si="47"/>
        <v>0</v>
      </c>
      <c r="AQ133" s="36">
        <f t="shared" si="48"/>
        <v>0</v>
      </c>
    </row>
    <row r="134" spans="1:43" x14ac:dyDescent="0.55000000000000004">
      <c r="A134" s="30">
        <f t="shared" ref="A134:A197" si="49">+A133+1</f>
        <v>131</v>
      </c>
      <c r="B134" s="31">
        <v>45778</v>
      </c>
      <c r="C134" s="31"/>
      <c r="D134" s="61">
        <v>2</v>
      </c>
      <c r="E134" s="61"/>
      <c r="F134" s="61"/>
      <c r="G134" s="50" t="s">
        <v>292</v>
      </c>
      <c r="H134" s="37" t="s">
        <v>293</v>
      </c>
      <c r="I134" s="36">
        <v>3</v>
      </c>
      <c r="J134" s="37"/>
      <c r="K134" s="37"/>
      <c r="L134" s="37"/>
      <c r="M134" s="60" t="s">
        <v>265</v>
      </c>
      <c r="N134" s="54"/>
      <c r="O134" s="40">
        <v>2119.14</v>
      </c>
      <c r="P134" s="37">
        <f t="shared" si="36"/>
        <v>6357.42</v>
      </c>
      <c r="Q134" s="41"/>
      <c r="R134" s="42">
        <f t="shared" si="35"/>
        <v>0</v>
      </c>
      <c r="S134" s="42">
        <f t="shared" si="34"/>
        <v>2119.14</v>
      </c>
      <c r="T134" s="43">
        <f t="shared" si="37"/>
        <v>0</v>
      </c>
      <c r="U134" s="43">
        <f t="shared" si="37"/>
        <v>1</v>
      </c>
      <c r="V134" s="44">
        <f t="shared" ref="V134:V197" si="50">I134+T134-U134</f>
        <v>2</v>
      </c>
      <c r="W134" s="36">
        <f t="shared" si="38"/>
        <v>4238.28</v>
      </c>
      <c r="X134" s="36"/>
      <c r="Y134" s="36"/>
      <c r="Z134" s="36">
        <f t="shared" si="39"/>
        <v>0</v>
      </c>
      <c r="AA134" s="36">
        <f t="shared" si="40"/>
        <v>0</v>
      </c>
      <c r="AB134" s="36"/>
      <c r="AC134" s="36"/>
      <c r="AD134" s="36">
        <f t="shared" si="41"/>
        <v>0</v>
      </c>
      <c r="AE134" s="36">
        <f t="shared" si="42"/>
        <v>0</v>
      </c>
      <c r="AF134" s="36"/>
      <c r="AG134" s="36">
        <v>1</v>
      </c>
      <c r="AH134" s="36">
        <f t="shared" si="43"/>
        <v>0</v>
      </c>
      <c r="AI134" s="36">
        <f t="shared" si="44"/>
        <v>2119.14</v>
      </c>
      <c r="AJ134" s="36"/>
      <c r="AK134" s="36"/>
      <c r="AL134" s="36">
        <f t="shared" si="45"/>
        <v>0</v>
      </c>
      <c r="AM134" s="36">
        <f t="shared" si="46"/>
        <v>0</v>
      </c>
      <c r="AN134" s="36"/>
      <c r="AO134" s="36"/>
      <c r="AP134" s="36">
        <f t="shared" si="47"/>
        <v>0</v>
      </c>
      <c r="AQ134" s="36">
        <f t="shared" si="48"/>
        <v>0</v>
      </c>
    </row>
    <row r="135" spans="1:43" x14ac:dyDescent="0.55000000000000004">
      <c r="A135" s="30">
        <f t="shared" si="49"/>
        <v>132</v>
      </c>
      <c r="B135" s="31">
        <v>44896</v>
      </c>
      <c r="C135" s="45"/>
      <c r="D135" s="33">
        <v>1</v>
      </c>
      <c r="E135" s="33"/>
      <c r="F135" s="33"/>
      <c r="G135" s="34" t="s">
        <v>294</v>
      </c>
      <c r="H135" s="35" t="s">
        <v>295</v>
      </c>
      <c r="I135" s="36">
        <v>1</v>
      </c>
      <c r="J135" s="37" t="s">
        <v>54</v>
      </c>
      <c r="K135" s="37"/>
      <c r="L135" s="37"/>
      <c r="M135" s="60" t="s">
        <v>189</v>
      </c>
      <c r="N135" s="54"/>
      <c r="O135" s="40">
        <v>170.77</v>
      </c>
      <c r="P135" s="37">
        <f t="shared" si="36"/>
        <v>170.77</v>
      </c>
      <c r="Q135" s="41" t="s">
        <v>54</v>
      </c>
      <c r="R135" s="42">
        <f t="shared" si="35"/>
        <v>0</v>
      </c>
      <c r="S135" s="42">
        <f t="shared" si="34"/>
        <v>0</v>
      </c>
      <c r="T135" s="43">
        <f t="shared" si="37"/>
        <v>0</v>
      </c>
      <c r="U135" s="43">
        <f t="shared" si="37"/>
        <v>0</v>
      </c>
      <c r="V135" s="44">
        <f t="shared" si="50"/>
        <v>1</v>
      </c>
      <c r="W135" s="36">
        <f t="shared" si="38"/>
        <v>170.77</v>
      </c>
      <c r="X135" s="36"/>
      <c r="Y135" s="36"/>
      <c r="Z135" s="36">
        <f t="shared" si="39"/>
        <v>0</v>
      </c>
      <c r="AA135" s="36">
        <f t="shared" si="40"/>
        <v>0</v>
      </c>
      <c r="AB135" s="36"/>
      <c r="AC135" s="36"/>
      <c r="AD135" s="36">
        <f t="shared" si="41"/>
        <v>0</v>
      </c>
      <c r="AE135" s="36">
        <f t="shared" si="42"/>
        <v>0</v>
      </c>
      <c r="AF135" s="36"/>
      <c r="AG135" s="36"/>
      <c r="AH135" s="36">
        <f t="shared" si="43"/>
        <v>0</v>
      </c>
      <c r="AI135" s="36">
        <f t="shared" si="44"/>
        <v>0</v>
      </c>
      <c r="AJ135" s="36"/>
      <c r="AK135" s="36"/>
      <c r="AL135" s="36">
        <f t="shared" si="45"/>
        <v>0</v>
      </c>
      <c r="AM135" s="36">
        <f t="shared" si="46"/>
        <v>0</v>
      </c>
      <c r="AN135" s="36"/>
      <c r="AO135" s="36"/>
      <c r="AP135" s="36">
        <f t="shared" si="47"/>
        <v>0</v>
      </c>
      <c r="AQ135" s="36">
        <f t="shared" si="48"/>
        <v>0</v>
      </c>
    </row>
    <row r="136" spans="1:43" x14ac:dyDescent="0.55000000000000004">
      <c r="A136" s="30">
        <f t="shared" si="49"/>
        <v>133</v>
      </c>
      <c r="B136" s="31">
        <v>44682</v>
      </c>
      <c r="C136" s="45"/>
      <c r="D136" s="33">
        <v>1</v>
      </c>
      <c r="E136" s="33"/>
      <c r="F136" s="33"/>
      <c r="G136" s="51" t="s">
        <v>296</v>
      </c>
      <c r="H136" s="37" t="s">
        <v>163</v>
      </c>
      <c r="I136" s="36">
        <v>1</v>
      </c>
      <c r="J136" s="37" t="s">
        <v>80</v>
      </c>
      <c r="K136" s="37"/>
      <c r="L136" s="37"/>
      <c r="M136" s="60" t="s">
        <v>72</v>
      </c>
      <c r="N136" s="54" t="s">
        <v>41</v>
      </c>
      <c r="O136" s="40">
        <v>93.33</v>
      </c>
      <c r="P136" s="37">
        <f t="shared" si="36"/>
        <v>93.33</v>
      </c>
      <c r="Q136" s="41"/>
      <c r="R136" s="42">
        <f t="shared" si="35"/>
        <v>0</v>
      </c>
      <c r="S136" s="42">
        <f t="shared" si="34"/>
        <v>0</v>
      </c>
      <c r="T136" s="43">
        <f t="shared" si="37"/>
        <v>0</v>
      </c>
      <c r="U136" s="43">
        <f t="shared" si="37"/>
        <v>0</v>
      </c>
      <c r="V136" s="44">
        <f t="shared" si="50"/>
        <v>1</v>
      </c>
      <c r="W136" s="36">
        <f t="shared" si="38"/>
        <v>93.33</v>
      </c>
      <c r="X136" s="36"/>
      <c r="Y136" s="36"/>
      <c r="Z136" s="36">
        <f t="shared" si="39"/>
        <v>0</v>
      </c>
      <c r="AA136" s="36">
        <f t="shared" si="40"/>
        <v>0</v>
      </c>
      <c r="AB136" s="36"/>
      <c r="AC136" s="36"/>
      <c r="AD136" s="36">
        <f t="shared" si="41"/>
        <v>0</v>
      </c>
      <c r="AE136" s="36">
        <f t="shared" si="42"/>
        <v>0</v>
      </c>
      <c r="AF136" s="36"/>
      <c r="AG136" s="36"/>
      <c r="AH136" s="36">
        <f t="shared" si="43"/>
        <v>0</v>
      </c>
      <c r="AI136" s="36">
        <f t="shared" si="44"/>
        <v>0</v>
      </c>
      <c r="AJ136" s="36"/>
      <c r="AK136" s="36"/>
      <c r="AL136" s="36">
        <f t="shared" si="45"/>
        <v>0</v>
      </c>
      <c r="AM136" s="36">
        <f t="shared" si="46"/>
        <v>0</v>
      </c>
      <c r="AN136" s="36"/>
      <c r="AO136" s="36"/>
      <c r="AP136" s="36">
        <f t="shared" si="47"/>
        <v>0</v>
      </c>
      <c r="AQ136" s="36">
        <f t="shared" si="48"/>
        <v>0</v>
      </c>
    </row>
    <row r="137" spans="1:43" x14ac:dyDescent="0.55000000000000004">
      <c r="A137" s="30">
        <f t="shared" si="49"/>
        <v>134</v>
      </c>
      <c r="B137" s="31">
        <v>44682</v>
      </c>
      <c r="C137" s="45"/>
      <c r="D137" s="33">
        <v>1</v>
      </c>
      <c r="E137" s="33"/>
      <c r="F137" s="33"/>
      <c r="G137" s="46" t="s">
        <v>297</v>
      </c>
      <c r="H137" s="37" t="s">
        <v>163</v>
      </c>
      <c r="I137" s="36">
        <v>0</v>
      </c>
      <c r="J137" s="37" t="s">
        <v>54</v>
      </c>
      <c r="K137" s="37"/>
      <c r="L137" s="37"/>
      <c r="M137" s="60" t="s">
        <v>72</v>
      </c>
      <c r="N137" s="65" t="s">
        <v>41</v>
      </c>
      <c r="O137" s="40">
        <v>100.47</v>
      </c>
      <c r="P137" s="37">
        <f t="shared" si="36"/>
        <v>0</v>
      </c>
      <c r="Q137" s="41" t="s">
        <v>54</v>
      </c>
      <c r="R137" s="42">
        <f t="shared" si="35"/>
        <v>0</v>
      </c>
      <c r="S137" s="42">
        <f t="shared" si="34"/>
        <v>0</v>
      </c>
      <c r="T137" s="43">
        <f t="shared" si="37"/>
        <v>0</v>
      </c>
      <c r="U137" s="43">
        <f t="shared" si="37"/>
        <v>0</v>
      </c>
      <c r="V137" s="44">
        <f t="shared" si="50"/>
        <v>0</v>
      </c>
      <c r="W137" s="36">
        <f t="shared" si="38"/>
        <v>0</v>
      </c>
      <c r="X137" s="36"/>
      <c r="Y137" s="36"/>
      <c r="Z137" s="36">
        <f t="shared" si="39"/>
        <v>0</v>
      </c>
      <c r="AA137" s="36">
        <f t="shared" si="40"/>
        <v>0</v>
      </c>
      <c r="AB137" s="36"/>
      <c r="AC137" s="36"/>
      <c r="AD137" s="36">
        <f t="shared" si="41"/>
        <v>0</v>
      </c>
      <c r="AE137" s="36">
        <f t="shared" si="42"/>
        <v>0</v>
      </c>
      <c r="AF137" s="36"/>
      <c r="AG137" s="36"/>
      <c r="AH137" s="36">
        <f t="shared" si="43"/>
        <v>0</v>
      </c>
      <c r="AI137" s="36">
        <f t="shared" si="44"/>
        <v>0</v>
      </c>
      <c r="AJ137" s="36"/>
      <c r="AK137" s="36"/>
      <c r="AL137" s="36">
        <f t="shared" si="45"/>
        <v>0</v>
      </c>
      <c r="AM137" s="36">
        <f t="shared" si="46"/>
        <v>0</v>
      </c>
      <c r="AN137" s="36"/>
      <c r="AO137" s="36"/>
      <c r="AP137" s="36">
        <f t="shared" si="47"/>
        <v>0</v>
      </c>
      <c r="AQ137" s="36">
        <f t="shared" si="48"/>
        <v>0</v>
      </c>
    </row>
    <row r="138" spans="1:43" x14ac:dyDescent="0.55000000000000004">
      <c r="A138" s="30">
        <f t="shared" si="49"/>
        <v>135</v>
      </c>
      <c r="B138" s="31">
        <v>44682</v>
      </c>
      <c r="C138" s="45"/>
      <c r="D138" s="33">
        <v>1</v>
      </c>
      <c r="E138" s="33"/>
      <c r="F138" s="33"/>
      <c r="G138" s="34" t="s">
        <v>298</v>
      </c>
      <c r="H138" s="37" t="s">
        <v>163</v>
      </c>
      <c r="I138" s="36">
        <v>1</v>
      </c>
      <c r="J138" s="37" t="s">
        <v>54</v>
      </c>
      <c r="K138" s="37"/>
      <c r="L138" s="37"/>
      <c r="M138" s="60" t="s">
        <v>72</v>
      </c>
      <c r="N138" s="65" t="s">
        <v>41</v>
      </c>
      <c r="O138" s="40">
        <v>57.19</v>
      </c>
      <c r="P138" s="37">
        <f t="shared" si="36"/>
        <v>57.19</v>
      </c>
      <c r="Q138" s="41" t="s">
        <v>54</v>
      </c>
      <c r="R138" s="42">
        <f t="shared" si="35"/>
        <v>0</v>
      </c>
      <c r="S138" s="42">
        <f t="shared" si="34"/>
        <v>0</v>
      </c>
      <c r="T138" s="43">
        <f t="shared" si="37"/>
        <v>0</v>
      </c>
      <c r="U138" s="43">
        <f t="shared" si="37"/>
        <v>0</v>
      </c>
      <c r="V138" s="44">
        <f t="shared" si="50"/>
        <v>1</v>
      </c>
      <c r="W138" s="36">
        <f t="shared" si="38"/>
        <v>57.19</v>
      </c>
      <c r="X138" s="36"/>
      <c r="Y138" s="36"/>
      <c r="Z138" s="36">
        <f t="shared" si="39"/>
        <v>0</v>
      </c>
      <c r="AA138" s="36">
        <f t="shared" si="40"/>
        <v>0</v>
      </c>
      <c r="AB138" s="36"/>
      <c r="AC138" s="36"/>
      <c r="AD138" s="36">
        <f t="shared" si="41"/>
        <v>0</v>
      </c>
      <c r="AE138" s="36">
        <f t="shared" si="42"/>
        <v>0</v>
      </c>
      <c r="AF138" s="36"/>
      <c r="AG138" s="36"/>
      <c r="AH138" s="36">
        <f t="shared" si="43"/>
        <v>0</v>
      </c>
      <c r="AI138" s="36">
        <f t="shared" si="44"/>
        <v>0</v>
      </c>
      <c r="AJ138" s="36"/>
      <c r="AK138" s="36"/>
      <c r="AL138" s="36">
        <f t="shared" si="45"/>
        <v>0</v>
      </c>
      <c r="AM138" s="36">
        <f t="shared" si="46"/>
        <v>0</v>
      </c>
      <c r="AN138" s="36"/>
      <c r="AO138" s="36"/>
      <c r="AP138" s="36">
        <f t="shared" si="47"/>
        <v>0</v>
      </c>
      <c r="AQ138" s="36">
        <f t="shared" si="48"/>
        <v>0</v>
      </c>
    </row>
    <row r="139" spans="1:43" x14ac:dyDescent="0.55000000000000004">
      <c r="A139" s="30">
        <f t="shared" si="49"/>
        <v>136</v>
      </c>
      <c r="B139" s="31">
        <v>44896</v>
      </c>
      <c r="C139" s="45"/>
      <c r="D139" s="33">
        <v>2</v>
      </c>
      <c r="E139" s="33"/>
      <c r="F139" s="33"/>
      <c r="G139" s="51" t="s">
        <v>299</v>
      </c>
      <c r="H139" s="37" t="s">
        <v>300</v>
      </c>
      <c r="I139" s="36">
        <v>2</v>
      </c>
      <c r="J139" s="37" t="s">
        <v>54</v>
      </c>
      <c r="K139" s="37"/>
      <c r="L139" s="37"/>
      <c r="M139" s="60" t="s">
        <v>265</v>
      </c>
      <c r="N139" s="65"/>
      <c r="O139" s="40">
        <v>235.18</v>
      </c>
      <c r="P139" s="37">
        <f t="shared" si="36"/>
        <v>470.36</v>
      </c>
      <c r="Q139" s="41"/>
      <c r="R139" s="42">
        <f t="shared" si="35"/>
        <v>0</v>
      </c>
      <c r="S139" s="42">
        <f t="shared" si="34"/>
        <v>0</v>
      </c>
      <c r="T139" s="43">
        <f t="shared" si="37"/>
        <v>0</v>
      </c>
      <c r="U139" s="43">
        <f t="shared" si="37"/>
        <v>0</v>
      </c>
      <c r="V139" s="44">
        <f t="shared" si="50"/>
        <v>2</v>
      </c>
      <c r="W139" s="36">
        <f t="shared" si="38"/>
        <v>470.36</v>
      </c>
      <c r="X139" s="36"/>
      <c r="Y139" s="36"/>
      <c r="Z139" s="36">
        <f t="shared" si="39"/>
        <v>0</v>
      </c>
      <c r="AA139" s="36">
        <f t="shared" si="40"/>
        <v>0</v>
      </c>
      <c r="AB139" s="36"/>
      <c r="AC139" s="36"/>
      <c r="AD139" s="36">
        <f t="shared" si="41"/>
        <v>0</v>
      </c>
      <c r="AE139" s="36">
        <f t="shared" si="42"/>
        <v>0</v>
      </c>
      <c r="AF139" s="36"/>
      <c r="AG139" s="36"/>
      <c r="AH139" s="36">
        <f t="shared" si="43"/>
        <v>0</v>
      </c>
      <c r="AI139" s="36">
        <f t="shared" si="44"/>
        <v>0</v>
      </c>
      <c r="AJ139" s="36"/>
      <c r="AK139" s="36"/>
      <c r="AL139" s="36">
        <f t="shared" si="45"/>
        <v>0</v>
      </c>
      <c r="AM139" s="36">
        <f t="shared" si="46"/>
        <v>0</v>
      </c>
      <c r="AN139" s="36"/>
      <c r="AO139" s="36"/>
      <c r="AP139" s="36">
        <f t="shared" si="47"/>
        <v>0</v>
      </c>
      <c r="AQ139" s="36">
        <f t="shared" si="48"/>
        <v>0</v>
      </c>
    </row>
    <row r="140" spans="1:43" x14ac:dyDescent="0.55000000000000004">
      <c r="A140" s="30">
        <f t="shared" si="49"/>
        <v>137</v>
      </c>
      <c r="B140" s="31">
        <v>44896</v>
      </c>
      <c r="C140" s="45"/>
      <c r="D140" s="33">
        <v>1</v>
      </c>
      <c r="E140" s="33"/>
      <c r="F140" s="33"/>
      <c r="G140" s="51" t="s">
        <v>301</v>
      </c>
      <c r="H140" s="37" t="s">
        <v>300</v>
      </c>
      <c r="I140" s="36">
        <v>1</v>
      </c>
      <c r="J140" s="37" t="s">
        <v>54</v>
      </c>
      <c r="K140" s="37"/>
      <c r="L140" s="37"/>
      <c r="M140" s="60" t="s">
        <v>189</v>
      </c>
      <c r="N140" s="54"/>
      <c r="O140" s="40">
        <v>450.33</v>
      </c>
      <c r="P140" s="37">
        <f t="shared" si="36"/>
        <v>450.33</v>
      </c>
      <c r="Q140" s="41"/>
      <c r="R140" s="42">
        <f t="shared" si="35"/>
        <v>0</v>
      </c>
      <c r="S140" s="42">
        <f t="shared" si="34"/>
        <v>0</v>
      </c>
      <c r="T140" s="43">
        <f t="shared" si="37"/>
        <v>0</v>
      </c>
      <c r="U140" s="43">
        <f t="shared" si="37"/>
        <v>0</v>
      </c>
      <c r="V140" s="44">
        <v>0</v>
      </c>
      <c r="W140" s="36">
        <f t="shared" si="38"/>
        <v>0</v>
      </c>
      <c r="X140" s="36"/>
      <c r="Y140" s="36"/>
      <c r="Z140" s="36">
        <f t="shared" si="39"/>
        <v>0</v>
      </c>
      <c r="AA140" s="36">
        <f t="shared" si="40"/>
        <v>0</v>
      </c>
      <c r="AB140" s="36"/>
      <c r="AC140" s="36"/>
      <c r="AD140" s="36">
        <f t="shared" si="41"/>
        <v>0</v>
      </c>
      <c r="AE140" s="36">
        <f t="shared" si="42"/>
        <v>0</v>
      </c>
      <c r="AF140" s="36"/>
      <c r="AG140" s="36"/>
      <c r="AH140" s="36">
        <f t="shared" si="43"/>
        <v>0</v>
      </c>
      <c r="AI140" s="66">
        <v>46014</v>
      </c>
      <c r="AJ140" s="36"/>
      <c r="AK140" s="36"/>
      <c r="AL140" s="36">
        <f t="shared" si="45"/>
        <v>0</v>
      </c>
      <c r="AM140" s="36">
        <f t="shared" si="46"/>
        <v>0</v>
      </c>
      <c r="AN140" s="36"/>
      <c r="AO140" s="36"/>
      <c r="AP140" s="36">
        <f t="shared" si="47"/>
        <v>0</v>
      </c>
      <c r="AQ140" s="36">
        <f t="shared" si="48"/>
        <v>0</v>
      </c>
    </row>
    <row r="141" spans="1:43" x14ac:dyDescent="0.55000000000000004">
      <c r="A141" s="30">
        <f t="shared" si="49"/>
        <v>138</v>
      </c>
      <c r="B141" s="31">
        <v>44896</v>
      </c>
      <c r="C141" s="45"/>
      <c r="D141" s="33">
        <v>1</v>
      </c>
      <c r="E141" s="33"/>
      <c r="F141" s="33"/>
      <c r="G141" s="51" t="s">
        <v>302</v>
      </c>
      <c r="H141" s="37" t="s">
        <v>303</v>
      </c>
      <c r="I141" s="36">
        <v>2</v>
      </c>
      <c r="J141" s="37" t="s">
        <v>54</v>
      </c>
      <c r="K141" s="37"/>
      <c r="L141" s="37"/>
      <c r="M141" s="60" t="s">
        <v>69</v>
      </c>
      <c r="N141" s="54"/>
      <c r="O141" s="40">
        <v>481.75</v>
      </c>
      <c r="P141" s="37">
        <f t="shared" si="36"/>
        <v>963.5</v>
      </c>
      <c r="Q141" s="41"/>
      <c r="R141" s="42">
        <f t="shared" si="35"/>
        <v>0</v>
      </c>
      <c r="S141" s="42">
        <f t="shared" si="34"/>
        <v>0</v>
      </c>
      <c r="T141" s="43">
        <f t="shared" si="37"/>
        <v>0</v>
      </c>
      <c r="U141" s="43">
        <f t="shared" si="37"/>
        <v>0</v>
      </c>
      <c r="V141" s="44">
        <f t="shared" si="50"/>
        <v>2</v>
      </c>
      <c r="W141" s="36">
        <f t="shared" si="38"/>
        <v>963.5</v>
      </c>
      <c r="X141" s="36"/>
      <c r="Y141" s="36"/>
      <c r="Z141" s="36">
        <f t="shared" si="39"/>
        <v>0</v>
      </c>
      <c r="AA141" s="36">
        <f t="shared" si="40"/>
        <v>0</v>
      </c>
      <c r="AB141" s="36"/>
      <c r="AC141" s="36"/>
      <c r="AD141" s="36">
        <f t="shared" si="41"/>
        <v>0</v>
      </c>
      <c r="AE141" s="36">
        <f t="shared" si="42"/>
        <v>0</v>
      </c>
      <c r="AF141" s="36"/>
      <c r="AG141" s="36"/>
      <c r="AH141" s="36">
        <f t="shared" si="43"/>
        <v>0</v>
      </c>
      <c r="AI141" s="36">
        <f t="shared" si="44"/>
        <v>0</v>
      </c>
      <c r="AJ141" s="36"/>
      <c r="AK141" s="36"/>
      <c r="AL141" s="36">
        <f t="shared" si="45"/>
        <v>0</v>
      </c>
      <c r="AM141" s="36">
        <f t="shared" si="46"/>
        <v>0</v>
      </c>
      <c r="AN141" s="36"/>
      <c r="AO141" s="36"/>
      <c r="AP141" s="36">
        <f t="shared" si="47"/>
        <v>0</v>
      </c>
      <c r="AQ141" s="36">
        <f t="shared" si="48"/>
        <v>0</v>
      </c>
    </row>
    <row r="142" spans="1:43" x14ac:dyDescent="0.55000000000000004">
      <c r="A142" s="30">
        <f t="shared" si="49"/>
        <v>139</v>
      </c>
      <c r="B142" s="31">
        <v>44896</v>
      </c>
      <c r="C142" s="45"/>
      <c r="D142" s="33">
        <v>1</v>
      </c>
      <c r="E142" s="33"/>
      <c r="F142" s="33"/>
      <c r="G142" s="51" t="s">
        <v>304</v>
      </c>
      <c r="H142" s="37" t="s">
        <v>305</v>
      </c>
      <c r="I142" s="36">
        <v>1</v>
      </c>
      <c r="J142" s="37" t="s">
        <v>40</v>
      </c>
      <c r="K142" s="37"/>
      <c r="L142" s="37"/>
      <c r="M142" s="60" t="s">
        <v>47</v>
      </c>
      <c r="N142" s="54"/>
      <c r="O142" s="40">
        <v>587.66</v>
      </c>
      <c r="P142" s="37">
        <f t="shared" si="36"/>
        <v>587.66</v>
      </c>
      <c r="Q142" s="41"/>
      <c r="R142" s="42">
        <f t="shared" si="35"/>
        <v>0</v>
      </c>
      <c r="S142" s="42">
        <f t="shared" si="34"/>
        <v>0</v>
      </c>
      <c r="T142" s="43">
        <f t="shared" si="37"/>
        <v>0</v>
      </c>
      <c r="U142" s="43">
        <f t="shared" si="37"/>
        <v>0</v>
      </c>
      <c r="V142" s="44">
        <f t="shared" si="50"/>
        <v>1</v>
      </c>
      <c r="W142" s="36">
        <f t="shared" si="38"/>
        <v>587.66</v>
      </c>
      <c r="X142" s="36"/>
      <c r="Y142" s="36"/>
      <c r="Z142" s="36">
        <f t="shared" si="39"/>
        <v>0</v>
      </c>
      <c r="AA142" s="36">
        <f t="shared" si="40"/>
        <v>0</v>
      </c>
      <c r="AB142" s="36"/>
      <c r="AC142" s="36"/>
      <c r="AD142" s="36">
        <f t="shared" si="41"/>
        <v>0</v>
      </c>
      <c r="AE142" s="36">
        <f t="shared" si="42"/>
        <v>0</v>
      </c>
      <c r="AF142" s="36"/>
      <c r="AG142" s="36"/>
      <c r="AH142" s="36">
        <f t="shared" si="43"/>
        <v>0</v>
      </c>
      <c r="AI142" s="36">
        <f t="shared" si="44"/>
        <v>0</v>
      </c>
      <c r="AJ142" s="36"/>
      <c r="AK142" s="36"/>
      <c r="AL142" s="36">
        <f t="shared" si="45"/>
        <v>0</v>
      </c>
      <c r="AM142" s="36">
        <f t="shared" si="46"/>
        <v>0</v>
      </c>
      <c r="AN142" s="36"/>
      <c r="AO142" s="36"/>
      <c r="AP142" s="36">
        <f t="shared" si="47"/>
        <v>0</v>
      </c>
      <c r="AQ142" s="36">
        <f t="shared" si="48"/>
        <v>0</v>
      </c>
    </row>
    <row r="143" spans="1:43" x14ac:dyDescent="0.55000000000000004">
      <c r="A143" s="30">
        <f t="shared" si="49"/>
        <v>140</v>
      </c>
      <c r="B143" s="31">
        <v>44896</v>
      </c>
      <c r="C143" s="45"/>
      <c r="D143" s="33">
        <v>1</v>
      </c>
      <c r="E143" s="33"/>
      <c r="F143" s="33"/>
      <c r="G143" s="51" t="s">
        <v>306</v>
      </c>
      <c r="H143" s="35" t="s">
        <v>307</v>
      </c>
      <c r="I143" s="36">
        <v>1</v>
      </c>
      <c r="J143" s="37" t="s">
        <v>54</v>
      </c>
      <c r="K143" s="37"/>
      <c r="L143" s="37"/>
      <c r="M143" s="60" t="s">
        <v>102</v>
      </c>
      <c r="N143" s="65" t="s">
        <v>49</v>
      </c>
      <c r="O143" s="40">
        <v>111.44</v>
      </c>
      <c r="P143" s="37">
        <f t="shared" si="36"/>
        <v>111.44</v>
      </c>
      <c r="Q143" s="41" t="s">
        <v>54</v>
      </c>
      <c r="R143" s="42">
        <f t="shared" si="35"/>
        <v>0</v>
      </c>
      <c r="S143" s="42">
        <f t="shared" si="34"/>
        <v>0</v>
      </c>
      <c r="T143" s="43">
        <f t="shared" si="37"/>
        <v>0</v>
      </c>
      <c r="U143" s="43">
        <f t="shared" si="37"/>
        <v>0</v>
      </c>
      <c r="V143" s="44">
        <f t="shared" si="50"/>
        <v>1</v>
      </c>
      <c r="W143" s="36">
        <f t="shared" si="38"/>
        <v>111.44</v>
      </c>
      <c r="X143" s="36"/>
      <c r="Y143" s="36"/>
      <c r="Z143" s="36">
        <f t="shared" si="39"/>
        <v>0</v>
      </c>
      <c r="AA143" s="36">
        <f t="shared" si="40"/>
        <v>0</v>
      </c>
      <c r="AB143" s="36"/>
      <c r="AC143" s="36"/>
      <c r="AD143" s="36">
        <f t="shared" si="41"/>
        <v>0</v>
      </c>
      <c r="AE143" s="36">
        <f t="shared" si="42"/>
        <v>0</v>
      </c>
      <c r="AF143" s="36"/>
      <c r="AG143" s="36"/>
      <c r="AH143" s="36">
        <f t="shared" si="43"/>
        <v>0</v>
      </c>
      <c r="AI143" s="36">
        <f t="shared" si="44"/>
        <v>0</v>
      </c>
      <c r="AJ143" s="36"/>
      <c r="AK143" s="36"/>
      <c r="AL143" s="36">
        <f t="shared" si="45"/>
        <v>0</v>
      </c>
      <c r="AM143" s="36">
        <f t="shared" si="46"/>
        <v>0</v>
      </c>
      <c r="AN143" s="36"/>
      <c r="AO143" s="36"/>
      <c r="AP143" s="36">
        <f t="shared" si="47"/>
        <v>0</v>
      </c>
      <c r="AQ143" s="36">
        <f t="shared" si="48"/>
        <v>0</v>
      </c>
    </row>
    <row r="144" spans="1:43" x14ac:dyDescent="0.55000000000000004">
      <c r="A144" s="30">
        <f t="shared" si="49"/>
        <v>141</v>
      </c>
      <c r="B144" s="31">
        <v>44927</v>
      </c>
      <c r="C144" s="45"/>
      <c r="D144" s="33">
        <v>3</v>
      </c>
      <c r="E144" s="33"/>
      <c r="F144" s="33"/>
      <c r="G144" s="34" t="s">
        <v>308</v>
      </c>
      <c r="H144" s="35" t="s">
        <v>309</v>
      </c>
      <c r="I144" s="36">
        <v>3</v>
      </c>
      <c r="J144" s="37" t="s">
        <v>54</v>
      </c>
      <c r="K144" s="37"/>
      <c r="L144" s="37"/>
      <c r="M144" s="60" t="s">
        <v>113</v>
      </c>
      <c r="N144" s="54"/>
      <c r="O144" s="40">
        <v>133.94999999999999</v>
      </c>
      <c r="P144" s="37">
        <f t="shared" si="36"/>
        <v>401.84999999999997</v>
      </c>
      <c r="Q144" s="41">
        <v>196523</v>
      </c>
      <c r="R144" s="42">
        <f t="shared" si="35"/>
        <v>0</v>
      </c>
      <c r="S144" s="42">
        <f t="shared" si="34"/>
        <v>0</v>
      </c>
      <c r="T144" s="43">
        <f t="shared" si="37"/>
        <v>0</v>
      </c>
      <c r="U144" s="43">
        <f t="shared" si="37"/>
        <v>0</v>
      </c>
      <c r="V144" s="44">
        <f t="shared" si="50"/>
        <v>3</v>
      </c>
      <c r="W144" s="36">
        <f t="shared" si="38"/>
        <v>401.84999999999997</v>
      </c>
      <c r="X144" s="36"/>
      <c r="Y144" s="36"/>
      <c r="Z144" s="36">
        <f t="shared" si="39"/>
        <v>0</v>
      </c>
      <c r="AA144" s="36">
        <f t="shared" si="40"/>
        <v>0</v>
      </c>
      <c r="AB144" s="36"/>
      <c r="AC144" s="36"/>
      <c r="AD144" s="36">
        <f t="shared" si="41"/>
        <v>0</v>
      </c>
      <c r="AE144" s="36">
        <f t="shared" si="42"/>
        <v>0</v>
      </c>
      <c r="AF144" s="36"/>
      <c r="AG144" s="36"/>
      <c r="AH144" s="36">
        <f t="shared" si="43"/>
        <v>0</v>
      </c>
      <c r="AI144" s="36">
        <f t="shared" si="44"/>
        <v>0</v>
      </c>
      <c r="AJ144" s="36"/>
      <c r="AK144" s="36"/>
      <c r="AL144" s="36">
        <f t="shared" si="45"/>
        <v>0</v>
      </c>
      <c r="AM144" s="36">
        <f t="shared" si="46"/>
        <v>0</v>
      </c>
      <c r="AN144" s="36"/>
      <c r="AO144" s="36"/>
      <c r="AP144" s="36">
        <f t="shared" si="47"/>
        <v>0</v>
      </c>
      <c r="AQ144" s="36">
        <f t="shared" si="48"/>
        <v>0</v>
      </c>
    </row>
    <row r="145" spans="1:43" x14ac:dyDescent="0.55000000000000004">
      <c r="A145" s="30">
        <f t="shared" si="49"/>
        <v>142</v>
      </c>
      <c r="B145" s="31">
        <v>44896</v>
      </c>
      <c r="C145" s="45"/>
      <c r="D145" s="33">
        <v>2</v>
      </c>
      <c r="E145" s="33"/>
      <c r="F145" s="33"/>
      <c r="G145" s="46" t="s">
        <v>310</v>
      </c>
      <c r="H145" s="35" t="s">
        <v>311</v>
      </c>
      <c r="I145" s="36">
        <v>0</v>
      </c>
      <c r="J145" s="37" t="s">
        <v>40</v>
      </c>
      <c r="K145" s="37" t="s">
        <v>312</v>
      </c>
      <c r="L145" s="37" t="s">
        <v>65</v>
      </c>
      <c r="M145" s="38" t="s">
        <v>35</v>
      </c>
      <c r="N145" s="39" t="s">
        <v>41</v>
      </c>
      <c r="O145" s="40">
        <v>7.64</v>
      </c>
      <c r="P145" s="37">
        <f t="shared" si="36"/>
        <v>0</v>
      </c>
      <c r="Q145" s="41" t="s">
        <v>93</v>
      </c>
      <c r="R145" s="42">
        <f t="shared" si="35"/>
        <v>45.839999999999996</v>
      </c>
      <c r="S145" s="42">
        <f t="shared" si="34"/>
        <v>0</v>
      </c>
      <c r="T145" s="43">
        <f t="shared" si="37"/>
        <v>6</v>
      </c>
      <c r="U145" s="43">
        <f t="shared" si="37"/>
        <v>0</v>
      </c>
      <c r="V145" s="44">
        <f t="shared" si="50"/>
        <v>6</v>
      </c>
      <c r="W145" s="36">
        <f t="shared" si="38"/>
        <v>45.839999999999996</v>
      </c>
      <c r="X145" s="36"/>
      <c r="Y145" s="36"/>
      <c r="Z145" s="36">
        <f t="shared" si="39"/>
        <v>0</v>
      </c>
      <c r="AA145" s="36">
        <f t="shared" si="40"/>
        <v>0</v>
      </c>
      <c r="AB145" s="36"/>
      <c r="AC145" s="36"/>
      <c r="AD145" s="36">
        <f t="shared" si="41"/>
        <v>0</v>
      </c>
      <c r="AE145" s="36">
        <f t="shared" si="42"/>
        <v>0</v>
      </c>
      <c r="AF145" s="36">
        <v>6</v>
      </c>
      <c r="AG145" s="36"/>
      <c r="AH145" s="36">
        <f t="shared" si="43"/>
        <v>45.839999999999996</v>
      </c>
      <c r="AI145" s="36">
        <f t="shared" si="44"/>
        <v>0</v>
      </c>
      <c r="AJ145" s="36"/>
      <c r="AK145" s="36"/>
      <c r="AL145" s="36">
        <f t="shared" si="45"/>
        <v>0</v>
      </c>
      <c r="AM145" s="36">
        <f t="shared" si="46"/>
        <v>0</v>
      </c>
      <c r="AN145" s="36"/>
      <c r="AO145" s="36"/>
      <c r="AP145" s="36">
        <f t="shared" si="47"/>
        <v>0</v>
      </c>
      <c r="AQ145" s="36">
        <f t="shared" si="48"/>
        <v>0</v>
      </c>
    </row>
    <row r="146" spans="1:43" x14ac:dyDescent="0.55000000000000004">
      <c r="A146" s="30">
        <f t="shared" si="49"/>
        <v>143</v>
      </c>
      <c r="B146" s="31">
        <v>44927</v>
      </c>
      <c r="C146" s="45"/>
      <c r="D146" s="33">
        <v>3</v>
      </c>
      <c r="E146" s="33"/>
      <c r="F146" s="33"/>
      <c r="G146" s="34" t="s">
        <v>313</v>
      </c>
      <c r="H146" s="35" t="s">
        <v>314</v>
      </c>
      <c r="I146" s="36">
        <v>3</v>
      </c>
      <c r="J146" s="37" t="s">
        <v>54</v>
      </c>
      <c r="K146" s="37"/>
      <c r="L146" s="37"/>
      <c r="M146" s="60" t="s">
        <v>113</v>
      </c>
      <c r="N146" s="54"/>
      <c r="O146" s="40">
        <v>188.9</v>
      </c>
      <c r="P146" s="37">
        <f t="shared" si="36"/>
        <v>566.70000000000005</v>
      </c>
      <c r="Q146" s="41">
        <v>196523</v>
      </c>
      <c r="R146" s="42">
        <f t="shared" si="35"/>
        <v>0</v>
      </c>
      <c r="S146" s="42">
        <f t="shared" si="34"/>
        <v>0</v>
      </c>
      <c r="T146" s="43">
        <f t="shared" si="37"/>
        <v>0</v>
      </c>
      <c r="U146" s="43">
        <f t="shared" si="37"/>
        <v>0</v>
      </c>
      <c r="V146" s="44">
        <f t="shared" si="50"/>
        <v>3</v>
      </c>
      <c r="W146" s="36">
        <f t="shared" si="38"/>
        <v>566.70000000000005</v>
      </c>
      <c r="X146" s="36"/>
      <c r="Y146" s="36"/>
      <c r="Z146" s="36">
        <f t="shared" si="39"/>
        <v>0</v>
      </c>
      <c r="AA146" s="36">
        <f t="shared" si="40"/>
        <v>0</v>
      </c>
      <c r="AB146" s="36"/>
      <c r="AC146" s="36"/>
      <c r="AD146" s="36">
        <f t="shared" si="41"/>
        <v>0</v>
      </c>
      <c r="AE146" s="36">
        <f t="shared" si="42"/>
        <v>0</v>
      </c>
      <c r="AF146" s="36"/>
      <c r="AG146" s="36"/>
      <c r="AH146" s="36">
        <f t="shared" si="43"/>
        <v>0</v>
      </c>
      <c r="AI146" s="36">
        <f t="shared" si="44"/>
        <v>0</v>
      </c>
      <c r="AJ146" s="36"/>
      <c r="AK146" s="36"/>
      <c r="AL146" s="36">
        <f t="shared" si="45"/>
        <v>0</v>
      </c>
      <c r="AM146" s="36">
        <f t="shared" si="46"/>
        <v>0</v>
      </c>
      <c r="AN146" s="36"/>
      <c r="AO146" s="36"/>
      <c r="AP146" s="36">
        <f t="shared" si="47"/>
        <v>0</v>
      </c>
      <c r="AQ146" s="36">
        <f t="shared" si="48"/>
        <v>0</v>
      </c>
    </row>
    <row r="147" spans="1:43" x14ac:dyDescent="0.55000000000000004">
      <c r="A147" s="30">
        <f t="shared" si="49"/>
        <v>144</v>
      </c>
      <c r="B147" s="31">
        <v>44659</v>
      </c>
      <c r="C147" s="45"/>
      <c r="D147" s="33">
        <v>1</v>
      </c>
      <c r="E147" s="33"/>
      <c r="F147" s="33"/>
      <c r="G147" s="34" t="s">
        <v>315</v>
      </c>
      <c r="H147" s="35" t="s">
        <v>316</v>
      </c>
      <c r="I147" s="36">
        <v>1</v>
      </c>
      <c r="J147" s="37" t="s">
        <v>64</v>
      </c>
      <c r="K147" s="37"/>
      <c r="L147" s="37"/>
      <c r="M147" s="38" t="s">
        <v>35</v>
      </c>
      <c r="N147" s="39" t="s">
        <v>36</v>
      </c>
      <c r="O147" s="48">
        <v>49</v>
      </c>
      <c r="P147" s="37">
        <f t="shared" si="36"/>
        <v>49</v>
      </c>
      <c r="Q147" s="41" t="s">
        <v>80</v>
      </c>
      <c r="R147" s="42">
        <f t="shared" si="35"/>
        <v>0</v>
      </c>
      <c r="S147" s="42">
        <f t="shared" si="34"/>
        <v>0</v>
      </c>
      <c r="T147" s="43">
        <f t="shared" si="37"/>
        <v>0</v>
      </c>
      <c r="U147" s="43">
        <f t="shared" si="37"/>
        <v>0</v>
      </c>
      <c r="V147" s="44">
        <f t="shared" si="50"/>
        <v>1</v>
      </c>
      <c r="W147" s="36">
        <f t="shared" si="38"/>
        <v>49</v>
      </c>
      <c r="X147" s="36"/>
      <c r="Y147" s="36"/>
      <c r="Z147" s="36">
        <f t="shared" si="39"/>
        <v>0</v>
      </c>
      <c r="AA147" s="36">
        <f t="shared" si="40"/>
        <v>0</v>
      </c>
      <c r="AB147" s="36"/>
      <c r="AC147" s="36"/>
      <c r="AD147" s="36">
        <f t="shared" si="41"/>
        <v>0</v>
      </c>
      <c r="AE147" s="36">
        <f t="shared" si="42"/>
        <v>0</v>
      </c>
      <c r="AF147" s="36"/>
      <c r="AG147" s="36"/>
      <c r="AH147" s="36">
        <f t="shared" si="43"/>
        <v>0</v>
      </c>
      <c r="AI147" s="36">
        <f t="shared" si="44"/>
        <v>0</v>
      </c>
      <c r="AJ147" s="36"/>
      <c r="AK147" s="36"/>
      <c r="AL147" s="36">
        <f t="shared" si="45"/>
        <v>0</v>
      </c>
      <c r="AM147" s="36">
        <f t="shared" si="46"/>
        <v>0</v>
      </c>
      <c r="AN147" s="36"/>
      <c r="AO147" s="36"/>
      <c r="AP147" s="36">
        <f t="shared" si="47"/>
        <v>0</v>
      </c>
      <c r="AQ147" s="36">
        <f t="shared" si="48"/>
        <v>0</v>
      </c>
    </row>
    <row r="148" spans="1:43" x14ac:dyDescent="0.55000000000000004">
      <c r="A148" s="30">
        <f t="shared" si="49"/>
        <v>145</v>
      </c>
      <c r="B148" s="31">
        <v>44896</v>
      </c>
      <c r="C148" s="45"/>
      <c r="D148" s="33">
        <v>1</v>
      </c>
      <c r="E148" s="33"/>
      <c r="F148" s="33"/>
      <c r="G148" s="34" t="s">
        <v>317</v>
      </c>
      <c r="H148" s="35" t="s">
        <v>318</v>
      </c>
      <c r="I148" s="36">
        <v>1</v>
      </c>
      <c r="J148" s="37" t="s">
        <v>54</v>
      </c>
      <c r="K148" s="37"/>
      <c r="L148" s="37"/>
      <c r="M148" s="38" t="s">
        <v>85</v>
      </c>
      <c r="N148" s="54" t="s">
        <v>41</v>
      </c>
      <c r="O148" s="40">
        <v>664.66</v>
      </c>
      <c r="P148" s="37">
        <f t="shared" si="36"/>
        <v>664.66</v>
      </c>
      <c r="Q148" s="41" t="s">
        <v>54</v>
      </c>
      <c r="R148" s="42">
        <f t="shared" si="35"/>
        <v>0</v>
      </c>
      <c r="S148" s="42">
        <f t="shared" si="34"/>
        <v>0</v>
      </c>
      <c r="T148" s="43">
        <f t="shared" si="37"/>
        <v>0</v>
      </c>
      <c r="U148" s="43">
        <f t="shared" si="37"/>
        <v>0</v>
      </c>
      <c r="V148" s="44">
        <f t="shared" si="50"/>
        <v>1</v>
      </c>
      <c r="W148" s="36">
        <f t="shared" si="38"/>
        <v>664.66</v>
      </c>
      <c r="X148" s="36"/>
      <c r="Y148" s="36"/>
      <c r="Z148" s="36">
        <f t="shared" si="39"/>
        <v>0</v>
      </c>
      <c r="AA148" s="36">
        <f t="shared" si="40"/>
        <v>0</v>
      </c>
      <c r="AB148" s="36"/>
      <c r="AC148" s="36"/>
      <c r="AD148" s="36">
        <f t="shared" si="41"/>
        <v>0</v>
      </c>
      <c r="AE148" s="36">
        <f t="shared" si="42"/>
        <v>0</v>
      </c>
      <c r="AF148" s="36"/>
      <c r="AG148" s="36"/>
      <c r="AH148" s="36">
        <f t="shared" si="43"/>
        <v>0</v>
      </c>
      <c r="AI148" s="36">
        <f t="shared" si="44"/>
        <v>0</v>
      </c>
      <c r="AJ148" s="36"/>
      <c r="AK148" s="36"/>
      <c r="AL148" s="36">
        <f t="shared" si="45"/>
        <v>0</v>
      </c>
      <c r="AM148" s="36">
        <f t="shared" si="46"/>
        <v>0</v>
      </c>
      <c r="AN148" s="36"/>
      <c r="AO148" s="36"/>
      <c r="AP148" s="36">
        <f t="shared" si="47"/>
        <v>0</v>
      </c>
      <c r="AQ148" s="36">
        <f t="shared" si="48"/>
        <v>0</v>
      </c>
    </row>
    <row r="149" spans="1:43" x14ac:dyDescent="0.55000000000000004">
      <c r="A149" s="30">
        <f t="shared" si="49"/>
        <v>146</v>
      </c>
      <c r="B149" s="31">
        <v>45015</v>
      </c>
      <c r="C149" s="45"/>
      <c r="D149" s="33">
        <v>1</v>
      </c>
      <c r="E149" s="33"/>
      <c r="F149" s="33"/>
      <c r="G149" s="34" t="s">
        <v>319</v>
      </c>
      <c r="H149" s="35" t="s">
        <v>320</v>
      </c>
      <c r="I149" s="36">
        <v>1</v>
      </c>
      <c r="J149" s="37" t="s">
        <v>54</v>
      </c>
      <c r="K149" s="37"/>
      <c r="L149" s="37"/>
      <c r="M149" s="38" t="s">
        <v>113</v>
      </c>
      <c r="N149" s="39" t="s">
        <v>114</v>
      </c>
      <c r="O149" s="40">
        <v>274.29000000000002</v>
      </c>
      <c r="P149" s="37">
        <f t="shared" si="36"/>
        <v>274.29000000000002</v>
      </c>
      <c r="Q149" s="41" t="s">
        <v>54</v>
      </c>
      <c r="R149" s="42">
        <f t="shared" si="35"/>
        <v>0</v>
      </c>
      <c r="S149" s="42">
        <f t="shared" ref="S149:S212" si="51">U149*O149</f>
        <v>0</v>
      </c>
      <c r="T149" s="43">
        <f t="shared" si="37"/>
        <v>0</v>
      </c>
      <c r="U149" s="43">
        <f t="shared" si="37"/>
        <v>0</v>
      </c>
      <c r="V149" s="44">
        <f t="shared" si="50"/>
        <v>1</v>
      </c>
      <c r="W149" s="36">
        <f t="shared" si="38"/>
        <v>274.29000000000002</v>
      </c>
      <c r="X149" s="36"/>
      <c r="Y149" s="36"/>
      <c r="Z149" s="36">
        <f t="shared" si="39"/>
        <v>0</v>
      </c>
      <c r="AA149" s="36">
        <f t="shared" si="40"/>
        <v>0</v>
      </c>
      <c r="AB149" s="36"/>
      <c r="AC149" s="36"/>
      <c r="AD149" s="36">
        <f t="shared" si="41"/>
        <v>0</v>
      </c>
      <c r="AE149" s="36">
        <f t="shared" si="42"/>
        <v>0</v>
      </c>
      <c r="AF149" s="36"/>
      <c r="AG149" s="36"/>
      <c r="AH149" s="36">
        <f t="shared" si="43"/>
        <v>0</v>
      </c>
      <c r="AI149" s="36">
        <f t="shared" si="44"/>
        <v>0</v>
      </c>
      <c r="AJ149" s="36"/>
      <c r="AK149" s="36"/>
      <c r="AL149" s="36">
        <f t="shared" si="45"/>
        <v>0</v>
      </c>
      <c r="AM149" s="36">
        <f t="shared" si="46"/>
        <v>0</v>
      </c>
      <c r="AN149" s="36"/>
      <c r="AO149" s="36"/>
      <c r="AP149" s="36">
        <f t="shared" si="47"/>
        <v>0</v>
      </c>
      <c r="AQ149" s="36">
        <f t="shared" si="48"/>
        <v>0</v>
      </c>
    </row>
    <row r="150" spans="1:43" x14ac:dyDescent="0.55000000000000004">
      <c r="A150" s="30">
        <f t="shared" si="49"/>
        <v>147</v>
      </c>
      <c r="B150" s="31">
        <v>45778</v>
      </c>
      <c r="C150" s="45"/>
      <c r="D150" s="33">
        <v>1</v>
      </c>
      <c r="E150" s="33"/>
      <c r="F150" s="33"/>
      <c r="G150" s="49" t="s">
        <v>321</v>
      </c>
      <c r="H150" s="52" t="s">
        <v>322</v>
      </c>
      <c r="I150" s="36">
        <v>0</v>
      </c>
      <c r="J150" s="37" t="s">
        <v>323</v>
      </c>
      <c r="K150" s="37"/>
      <c r="L150" s="37"/>
      <c r="M150" s="60" t="s">
        <v>51</v>
      </c>
      <c r="N150" s="54"/>
      <c r="O150" s="40">
        <v>183.84</v>
      </c>
      <c r="P150" s="37">
        <f t="shared" si="36"/>
        <v>0</v>
      </c>
      <c r="Q150" s="41"/>
      <c r="R150" s="42">
        <f t="shared" si="35"/>
        <v>0</v>
      </c>
      <c r="S150" s="42">
        <f t="shared" si="51"/>
        <v>0</v>
      </c>
      <c r="T150" s="43">
        <f t="shared" si="37"/>
        <v>0</v>
      </c>
      <c r="U150" s="43">
        <f t="shared" si="37"/>
        <v>0</v>
      </c>
      <c r="V150" s="44">
        <f t="shared" si="50"/>
        <v>0</v>
      </c>
      <c r="W150" s="36">
        <f t="shared" si="38"/>
        <v>0</v>
      </c>
      <c r="X150" s="36"/>
      <c r="Y150" s="36"/>
      <c r="Z150" s="36">
        <f t="shared" si="39"/>
        <v>0</v>
      </c>
      <c r="AA150" s="36">
        <f t="shared" si="40"/>
        <v>0</v>
      </c>
      <c r="AB150" s="36"/>
      <c r="AC150" s="36"/>
      <c r="AD150" s="36">
        <f t="shared" si="41"/>
        <v>0</v>
      </c>
      <c r="AE150" s="36">
        <f t="shared" si="42"/>
        <v>0</v>
      </c>
      <c r="AF150" s="36"/>
      <c r="AG150" s="36"/>
      <c r="AH150" s="36">
        <f t="shared" si="43"/>
        <v>0</v>
      </c>
      <c r="AI150" s="36">
        <f t="shared" si="44"/>
        <v>0</v>
      </c>
      <c r="AJ150" s="36"/>
      <c r="AK150" s="36"/>
      <c r="AL150" s="36">
        <f t="shared" si="45"/>
        <v>0</v>
      </c>
      <c r="AM150" s="36">
        <f t="shared" si="46"/>
        <v>0</v>
      </c>
      <c r="AN150" s="36"/>
      <c r="AO150" s="36"/>
      <c r="AP150" s="36">
        <f t="shared" si="47"/>
        <v>0</v>
      </c>
      <c r="AQ150" s="36">
        <f t="shared" si="48"/>
        <v>0</v>
      </c>
    </row>
    <row r="151" spans="1:43" x14ac:dyDescent="0.55000000000000004">
      <c r="A151" s="30" t="e">
        <f>+#REF!+1</f>
        <v>#REF!</v>
      </c>
      <c r="B151" s="31">
        <v>44896</v>
      </c>
      <c r="C151" s="45"/>
      <c r="D151" s="33">
        <v>1</v>
      </c>
      <c r="E151" s="33"/>
      <c r="F151" s="33"/>
      <c r="G151" s="34" t="s">
        <v>324</v>
      </c>
      <c r="H151" s="35" t="s">
        <v>325</v>
      </c>
      <c r="I151" s="36">
        <v>1</v>
      </c>
      <c r="J151" s="37" t="s">
        <v>54</v>
      </c>
      <c r="K151" s="37"/>
      <c r="L151" s="37"/>
      <c r="M151" s="60" t="s">
        <v>85</v>
      </c>
      <c r="N151" s="54" t="s">
        <v>49</v>
      </c>
      <c r="O151" s="40">
        <v>69.31</v>
      </c>
      <c r="P151" s="37">
        <f t="shared" si="36"/>
        <v>69.31</v>
      </c>
      <c r="Q151" s="41" t="s">
        <v>54</v>
      </c>
      <c r="R151" s="42">
        <f t="shared" si="35"/>
        <v>0</v>
      </c>
      <c r="S151" s="42">
        <f t="shared" si="51"/>
        <v>0</v>
      </c>
      <c r="T151" s="43">
        <f t="shared" si="37"/>
        <v>0</v>
      </c>
      <c r="U151" s="43">
        <f t="shared" si="37"/>
        <v>0</v>
      </c>
      <c r="V151" s="44">
        <f t="shared" si="50"/>
        <v>1</v>
      </c>
      <c r="W151" s="36">
        <f t="shared" si="38"/>
        <v>69.31</v>
      </c>
      <c r="X151" s="36"/>
      <c r="Y151" s="36"/>
      <c r="Z151" s="36">
        <f t="shared" si="39"/>
        <v>0</v>
      </c>
      <c r="AA151" s="36">
        <f t="shared" si="40"/>
        <v>0</v>
      </c>
      <c r="AB151" s="36"/>
      <c r="AC151" s="36"/>
      <c r="AD151" s="36">
        <f t="shared" si="41"/>
        <v>0</v>
      </c>
      <c r="AE151" s="36">
        <f t="shared" si="42"/>
        <v>0</v>
      </c>
      <c r="AF151" s="36"/>
      <c r="AG151" s="36"/>
      <c r="AH151" s="36">
        <f t="shared" si="43"/>
        <v>0</v>
      </c>
      <c r="AI151" s="36">
        <f t="shared" si="44"/>
        <v>0</v>
      </c>
      <c r="AJ151" s="36"/>
      <c r="AK151" s="36"/>
      <c r="AL151" s="36">
        <f t="shared" si="45"/>
        <v>0</v>
      </c>
      <c r="AM151" s="36">
        <f t="shared" si="46"/>
        <v>0</v>
      </c>
      <c r="AN151" s="36"/>
      <c r="AO151" s="36"/>
      <c r="AP151" s="36">
        <f t="shared" si="47"/>
        <v>0</v>
      </c>
      <c r="AQ151" s="36">
        <f t="shared" si="48"/>
        <v>0</v>
      </c>
    </row>
    <row r="152" spans="1:43" x14ac:dyDescent="0.55000000000000004">
      <c r="A152" s="30" t="e">
        <f t="shared" si="49"/>
        <v>#REF!</v>
      </c>
      <c r="B152" s="31">
        <v>45244</v>
      </c>
      <c r="C152" s="45"/>
      <c r="D152" s="33">
        <v>1</v>
      </c>
      <c r="E152" s="33"/>
      <c r="F152" s="33"/>
      <c r="G152" s="53" t="s">
        <v>326</v>
      </c>
      <c r="H152" s="35" t="s">
        <v>327</v>
      </c>
      <c r="I152" s="36">
        <v>1</v>
      </c>
      <c r="J152" s="37" t="s">
        <v>54</v>
      </c>
      <c r="K152" s="37"/>
      <c r="L152" s="37"/>
      <c r="M152" s="38" t="s">
        <v>72</v>
      </c>
      <c r="N152" s="54" t="s">
        <v>41</v>
      </c>
      <c r="O152" s="40">
        <v>19.13</v>
      </c>
      <c r="P152" s="37">
        <f t="shared" si="36"/>
        <v>19.13</v>
      </c>
      <c r="Q152" s="41" t="s">
        <v>290</v>
      </c>
      <c r="R152" s="42">
        <f t="shared" si="35"/>
        <v>0</v>
      </c>
      <c r="S152" s="42">
        <f t="shared" si="51"/>
        <v>0</v>
      </c>
      <c r="T152" s="43">
        <f t="shared" si="37"/>
        <v>0</v>
      </c>
      <c r="U152" s="43">
        <f t="shared" si="37"/>
        <v>0</v>
      </c>
      <c r="V152" s="44">
        <f t="shared" si="50"/>
        <v>1</v>
      </c>
      <c r="W152" s="36">
        <f t="shared" si="38"/>
        <v>19.13</v>
      </c>
      <c r="X152" s="36"/>
      <c r="Y152" s="36"/>
      <c r="Z152" s="36">
        <f t="shared" si="39"/>
        <v>0</v>
      </c>
      <c r="AA152" s="36">
        <f t="shared" si="40"/>
        <v>0</v>
      </c>
      <c r="AB152" s="36"/>
      <c r="AC152" s="36"/>
      <c r="AD152" s="36">
        <f t="shared" si="41"/>
        <v>0</v>
      </c>
      <c r="AE152" s="36">
        <f t="shared" si="42"/>
        <v>0</v>
      </c>
      <c r="AF152" s="36"/>
      <c r="AG152" s="36"/>
      <c r="AH152" s="36">
        <f t="shared" si="43"/>
        <v>0</v>
      </c>
      <c r="AI152" s="36">
        <f t="shared" si="44"/>
        <v>0</v>
      </c>
      <c r="AJ152" s="36"/>
      <c r="AK152" s="36"/>
      <c r="AL152" s="36">
        <f t="shared" si="45"/>
        <v>0</v>
      </c>
      <c r="AM152" s="36">
        <f t="shared" si="46"/>
        <v>0</v>
      </c>
      <c r="AN152" s="36"/>
      <c r="AO152" s="36"/>
      <c r="AP152" s="36">
        <f t="shared" si="47"/>
        <v>0</v>
      </c>
      <c r="AQ152" s="36">
        <f t="shared" si="48"/>
        <v>0</v>
      </c>
    </row>
    <row r="153" spans="1:43" x14ac:dyDescent="0.55000000000000004">
      <c r="A153" s="30" t="e">
        <f t="shared" si="49"/>
        <v>#REF!</v>
      </c>
      <c r="B153" s="31">
        <v>44896</v>
      </c>
      <c r="C153" s="45"/>
      <c r="D153" s="33">
        <v>1</v>
      </c>
      <c r="E153" s="33"/>
      <c r="F153" s="33"/>
      <c r="G153" s="49" t="s">
        <v>328</v>
      </c>
      <c r="H153" s="37" t="s">
        <v>300</v>
      </c>
      <c r="I153" s="36">
        <v>0</v>
      </c>
      <c r="J153" s="37" t="s">
        <v>54</v>
      </c>
      <c r="K153" s="37"/>
      <c r="L153" s="37"/>
      <c r="M153" s="60" t="s">
        <v>265</v>
      </c>
      <c r="N153" s="54"/>
      <c r="O153" s="40">
        <v>58.77</v>
      </c>
      <c r="P153" s="37">
        <f t="shared" si="36"/>
        <v>0</v>
      </c>
      <c r="Q153" s="41"/>
      <c r="R153" s="42">
        <f t="shared" si="35"/>
        <v>0</v>
      </c>
      <c r="S153" s="42">
        <f t="shared" si="51"/>
        <v>0</v>
      </c>
      <c r="T153" s="43">
        <f t="shared" si="37"/>
        <v>0</v>
      </c>
      <c r="U153" s="43">
        <f t="shared" si="37"/>
        <v>0</v>
      </c>
      <c r="V153" s="44">
        <f t="shared" si="50"/>
        <v>0</v>
      </c>
      <c r="W153" s="36">
        <f t="shared" si="38"/>
        <v>0</v>
      </c>
      <c r="X153" s="36"/>
      <c r="Y153" s="36"/>
      <c r="Z153" s="36">
        <f t="shared" si="39"/>
        <v>0</v>
      </c>
      <c r="AA153" s="36">
        <f t="shared" si="40"/>
        <v>0</v>
      </c>
      <c r="AB153" s="36"/>
      <c r="AC153" s="36"/>
      <c r="AD153" s="36">
        <f t="shared" si="41"/>
        <v>0</v>
      </c>
      <c r="AE153" s="36">
        <f t="shared" si="42"/>
        <v>0</v>
      </c>
      <c r="AF153" s="36"/>
      <c r="AG153" s="36"/>
      <c r="AH153" s="36">
        <f t="shared" si="43"/>
        <v>0</v>
      </c>
      <c r="AI153" s="36">
        <f t="shared" si="44"/>
        <v>0</v>
      </c>
      <c r="AJ153" s="36"/>
      <c r="AK153" s="36"/>
      <c r="AL153" s="36">
        <f t="shared" si="45"/>
        <v>0</v>
      </c>
      <c r="AM153" s="36">
        <f t="shared" si="46"/>
        <v>0</v>
      </c>
      <c r="AN153" s="36"/>
      <c r="AO153" s="36"/>
      <c r="AP153" s="36">
        <f t="shared" si="47"/>
        <v>0</v>
      </c>
      <c r="AQ153" s="36">
        <f t="shared" si="48"/>
        <v>0</v>
      </c>
    </row>
    <row r="154" spans="1:43" x14ac:dyDescent="0.55000000000000004">
      <c r="A154" s="30" t="e">
        <f t="shared" si="49"/>
        <v>#REF!</v>
      </c>
      <c r="B154" s="31">
        <v>45778</v>
      </c>
      <c r="C154" s="31"/>
      <c r="D154" s="61">
        <v>1</v>
      </c>
      <c r="E154" s="61"/>
      <c r="F154" s="61"/>
      <c r="G154" s="67" t="s">
        <v>329</v>
      </c>
      <c r="H154" s="37" t="s">
        <v>141</v>
      </c>
      <c r="I154" s="36">
        <v>0</v>
      </c>
      <c r="J154" s="37"/>
      <c r="K154" s="37"/>
      <c r="L154" s="37"/>
      <c r="M154" s="60" t="s">
        <v>143</v>
      </c>
      <c r="N154" s="54"/>
      <c r="O154" s="47">
        <v>1778.38</v>
      </c>
      <c r="P154" s="37">
        <f t="shared" si="36"/>
        <v>0</v>
      </c>
      <c r="Q154" s="41"/>
      <c r="R154" s="42">
        <f t="shared" ref="R154:R217" si="52">T154*O154</f>
        <v>0</v>
      </c>
      <c r="S154" s="42">
        <f t="shared" si="51"/>
        <v>0</v>
      </c>
      <c r="T154" s="43">
        <f t="shared" si="37"/>
        <v>0</v>
      </c>
      <c r="U154" s="43">
        <f t="shared" si="37"/>
        <v>0</v>
      </c>
      <c r="V154" s="44">
        <f t="shared" si="50"/>
        <v>0</v>
      </c>
      <c r="W154" s="36">
        <f t="shared" si="38"/>
        <v>0</v>
      </c>
      <c r="X154" s="36"/>
      <c r="Y154" s="36"/>
      <c r="Z154" s="36">
        <f t="shared" si="39"/>
        <v>0</v>
      </c>
      <c r="AA154" s="36">
        <f t="shared" si="40"/>
        <v>0</v>
      </c>
      <c r="AB154" s="36"/>
      <c r="AC154" s="36"/>
      <c r="AD154" s="36">
        <f t="shared" si="41"/>
        <v>0</v>
      </c>
      <c r="AE154" s="36">
        <f t="shared" si="42"/>
        <v>0</v>
      </c>
      <c r="AF154" s="36"/>
      <c r="AG154" s="36"/>
      <c r="AH154" s="36">
        <f t="shared" si="43"/>
        <v>0</v>
      </c>
      <c r="AI154" s="36">
        <f t="shared" si="44"/>
        <v>0</v>
      </c>
      <c r="AJ154" s="36"/>
      <c r="AK154" s="36"/>
      <c r="AL154" s="36">
        <f t="shared" si="45"/>
        <v>0</v>
      </c>
      <c r="AM154" s="36">
        <f t="shared" si="46"/>
        <v>0</v>
      </c>
      <c r="AN154" s="36"/>
      <c r="AO154" s="36"/>
      <c r="AP154" s="36">
        <f t="shared" si="47"/>
        <v>0</v>
      </c>
      <c r="AQ154" s="36">
        <f t="shared" si="48"/>
        <v>0</v>
      </c>
    </row>
    <row r="155" spans="1:43" x14ac:dyDescent="0.55000000000000004">
      <c r="A155" s="30" t="e">
        <f t="shared" si="49"/>
        <v>#REF!</v>
      </c>
      <c r="B155" s="31">
        <v>45413</v>
      </c>
      <c r="C155" s="45"/>
      <c r="D155" s="33">
        <v>1</v>
      </c>
      <c r="E155" s="33"/>
      <c r="F155" s="33"/>
      <c r="G155" s="49" t="s">
        <v>330</v>
      </c>
      <c r="H155" s="37" t="s">
        <v>48</v>
      </c>
      <c r="I155" s="36">
        <v>0</v>
      </c>
      <c r="J155" s="37"/>
      <c r="K155" s="37"/>
      <c r="L155" s="37"/>
      <c r="M155" s="38" t="s">
        <v>72</v>
      </c>
      <c r="N155" s="54" t="s">
        <v>41</v>
      </c>
      <c r="O155" s="40">
        <v>18.489999999999998</v>
      </c>
      <c r="P155" s="37">
        <f t="shared" si="36"/>
        <v>0</v>
      </c>
      <c r="Q155" s="41"/>
      <c r="R155" s="42">
        <f t="shared" si="52"/>
        <v>0</v>
      </c>
      <c r="S155" s="42">
        <f t="shared" si="51"/>
        <v>0</v>
      </c>
      <c r="T155" s="43">
        <f t="shared" si="37"/>
        <v>0</v>
      </c>
      <c r="U155" s="43">
        <f t="shared" si="37"/>
        <v>0</v>
      </c>
      <c r="V155" s="44">
        <f t="shared" si="50"/>
        <v>0</v>
      </c>
      <c r="W155" s="36">
        <f t="shared" si="38"/>
        <v>0</v>
      </c>
      <c r="X155" s="36"/>
      <c r="Y155" s="36"/>
      <c r="Z155" s="36">
        <f t="shared" si="39"/>
        <v>0</v>
      </c>
      <c r="AA155" s="36">
        <f t="shared" si="40"/>
        <v>0</v>
      </c>
      <c r="AB155" s="36"/>
      <c r="AC155" s="36"/>
      <c r="AD155" s="36">
        <f t="shared" si="41"/>
        <v>0</v>
      </c>
      <c r="AE155" s="36">
        <f t="shared" si="42"/>
        <v>0</v>
      </c>
      <c r="AF155" s="36"/>
      <c r="AG155" s="36"/>
      <c r="AH155" s="36">
        <f t="shared" si="43"/>
        <v>0</v>
      </c>
      <c r="AI155" s="36">
        <f t="shared" si="44"/>
        <v>0</v>
      </c>
      <c r="AJ155" s="36"/>
      <c r="AK155" s="36"/>
      <c r="AL155" s="36">
        <f t="shared" si="45"/>
        <v>0</v>
      </c>
      <c r="AM155" s="36">
        <f t="shared" si="46"/>
        <v>0</v>
      </c>
      <c r="AN155" s="36"/>
      <c r="AO155" s="36"/>
      <c r="AP155" s="36">
        <f t="shared" si="47"/>
        <v>0</v>
      </c>
      <c r="AQ155" s="36">
        <f t="shared" si="48"/>
        <v>0</v>
      </c>
    </row>
    <row r="156" spans="1:43" x14ac:dyDescent="0.55000000000000004">
      <c r="A156" s="30" t="e">
        <f t="shared" si="49"/>
        <v>#REF!</v>
      </c>
      <c r="B156" s="31">
        <v>45642</v>
      </c>
      <c r="C156" s="45"/>
      <c r="D156" s="33">
        <v>2</v>
      </c>
      <c r="E156" s="33"/>
      <c r="F156" s="33"/>
      <c r="G156" s="51" t="s">
        <v>331</v>
      </c>
      <c r="H156" s="37" t="s">
        <v>112</v>
      </c>
      <c r="I156" s="36">
        <v>2</v>
      </c>
      <c r="J156" s="37" t="s">
        <v>54</v>
      </c>
      <c r="K156" s="37"/>
      <c r="L156" s="37"/>
      <c r="M156" s="60" t="s">
        <v>113</v>
      </c>
      <c r="N156" s="39" t="s">
        <v>114</v>
      </c>
      <c r="O156" s="40">
        <v>71.599999999999994</v>
      </c>
      <c r="P156" s="37">
        <f t="shared" si="36"/>
        <v>143.19999999999999</v>
      </c>
      <c r="Q156" s="41"/>
      <c r="R156" s="42">
        <f t="shared" si="52"/>
        <v>0</v>
      </c>
      <c r="S156" s="42">
        <f t="shared" si="51"/>
        <v>0</v>
      </c>
      <c r="T156" s="43">
        <f t="shared" si="37"/>
        <v>0</v>
      </c>
      <c r="U156" s="43">
        <f t="shared" si="37"/>
        <v>0</v>
      </c>
      <c r="V156" s="44">
        <f t="shared" si="50"/>
        <v>2</v>
      </c>
      <c r="W156" s="36">
        <f t="shared" si="38"/>
        <v>143.19999999999999</v>
      </c>
      <c r="X156" s="36"/>
      <c r="Y156" s="36"/>
      <c r="Z156" s="36">
        <f t="shared" si="39"/>
        <v>0</v>
      </c>
      <c r="AA156" s="36">
        <f t="shared" si="40"/>
        <v>0</v>
      </c>
      <c r="AB156" s="36"/>
      <c r="AC156" s="36"/>
      <c r="AD156" s="36">
        <f t="shared" si="41"/>
        <v>0</v>
      </c>
      <c r="AE156" s="36">
        <f t="shared" si="42"/>
        <v>0</v>
      </c>
      <c r="AF156" s="36"/>
      <c r="AG156" s="36"/>
      <c r="AH156" s="36">
        <f t="shared" si="43"/>
        <v>0</v>
      </c>
      <c r="AI156" s="36">
        <f t="shared" si="44"/>
        <v>0</v>
      </c>
      <c r="AJ156" s="36"/>
      <c r="AK156" s="36"/>
      <c r="AL156" s="36">
        <f t="shared" si="45"/>
        <v>0</v>
      </c>
      <c r="AM156" s="36">
        <f t="shared" si="46"/>
        <v>0</v>
      </c>
      <c r="AN156" s="36"/>
      <c r="AO156" s="36"/>
      <c r="AP156" s="36">
        <f t="shared" si="47"/>
        <v>0</v>
      </c>
      <c r="AQ156" s="36">
        <f t="shared" si="48"/>
        <v>0</v>
      </c>
    </row>
    <row r="157" spans="1:43" x14ac:dyDescent="0.55000000000000004">
      <c r="A157" s="30" t="e">
        <f t="shared" si="49"/>
        <v>#REF!</v>
      </c>
      <c r="B157" s="31">
        <v>45413</v>
      </c>
      <c r="C157" s="45"/>
      <c r="D157" s="33">
        <v>1</v>
      </c>
      <c r="E157" s="33"/>
      <c r="F157" s="33"/>
      <c r="G157" s="51" t="s">
        <v>332</v>
      </c>
      <c r="H157" s="37" t="s">
        <v>133</v>
      </c>
      <c r="I157" s="36">
        <v>1</v>
      </c>
      <c r="J157" s="37" t="s">
        <v>54</v>
      </c>
      <c r="K157" s="37"/>
      <c r="L157" s="37"/>
      <c r="M157" s="38" t="s">
        <v>85</v>
      </c>
      <c r="N157" s="54" t="s">
        <v>41</v>
      </c>
      <c r="O157" s="40">
        <v>48.79</v>
      </c>
      <c r="P157" s="37">
        <f t="shared" si="36"/>
        <v>48.79</v>
      </c>
      <c r="Q157" s="41"/>
      <c r="R157" s="42">
        <f t="shared" si="52"/>
        <v>0</v>
      </c>
      <c r="S157" s="42">
        <f t="shared" si="51"/>
        <v>0</v>
      </c>
      <c r="T157" s="43">
        <f t="shared" si="37"/>
        <v>0</v>
      </c>
      <c r="U157" s="43">
        <f t="shared" si="37"/>
        <v>0</v>
      </c>
      <c r="V157" s="44">
        <f t="shared" si="50"/>
        <v>1</v>
      </c>
      <c r="W157" s="36">
        <f t="shared" si="38"/>
        <v>48.79</v>
      </c>
      <c r="X157" s="36"/>
      <c r="Y157" s="36"/>
      <c r="Z157" s="36">
        <f t="shared" si="39"/>
        <v>0</v>
      </c>
      <c r="AA157" s="36">
        <f t="shared" si="40"/>
        <v>0</v>
      </c>
      <c r="AB157" s="36"/>
      <c r="AC157" s="36"/>
      <c r="AD157" s="36">
        <f t="shared" si="41"/>
        <v>0</v>
      </c>
      <c r="AE157" s="36">
        <f t="shared" si="42"/>
        <v>0</v>
      </c>
      <c r="AF157" s="36"/>
      <c r="AG157" s="36"/>
      <c r="AH157" s="36">
        <f t="shared" si="43"/>
        <v>0</v>
      </c>
      <c r="AI157" s="36">
        <f t="shared" si="44"/>
        <v>0</v>
      </c>
      <c r="AJ157" s="36"/>
      <c r="AK157" s="36"/>
      <c r="AL157" s="36">
        <f t="shared" si="45"/>
        <v>0</v>
      </c>
      <c r="AM157" s="36">
        <f t="shared" si="46"/>
        <v>0</v>
      </c>
      <c r="AN157" s="36"/>
      <c r="AO157" s="36"/>
      <c r="AP157" s="36">
        <f t="shared" si="47"/>
        <v>0</v>
      </c>
      <c r="AQ157" s="36">
        <f t="shared" si="48"/>
        <v>0</v>
      </c>
    </row>
    <row r="158" spans="1:43" x14ac:dyDescent="0.55000000000000004">
      <c r="A158" s="30" t="e">
        <f t="shared" si="49"/>
        <v>#REF!</v>
      </c>
      <c r="B158" s="31">
        <v>44896</v>
      </c>
      <c r="C158" s="45"/>
      <c r="D158" s="33">
        <v>1</v>
      </c>
      <c r="E158" s="33"/>
      <c r="F158" s="33"/>
      <c r="G158" s="51" t="s">
        <v>333</v>
      </c>
      <c r="H158" s="52" t="s">
        <v>334</v>
      </c>
      <c r="I158" s="36">
        <v>1</v>
      </c>
      <c r="J158" s="37" t="s">
        <v>54</v>
      </c>
      <c r="K158" s="37"/>
      <c r="L158" s="37"/>
      <c r="M158" s="60" t="s">
        <v>69</v>
      </c>
      <c r="N158" s="54"/>
      <c r="O158" s="40">
        <v>505.77</v>
      </c>
      <c r="P158" s="37">
        <f t="shared" si="36"/>
        <v>505.77</v>
      </c>
      <c r="Q158" s="41"/>
      <c r="R158" s="42">
        <f t="shared" si="52"/>
        <v>0</v>
      </c>
      <c r="S158" s="42">
        <f t="shared" si="51"/>
        <v>0</v>
      </c>
      <c r="T158" s="43">
        <f t="shared" si="37"/>
        <v>0</v>
      </c>
      <c r="U158" s="43">
        <f t="shared" si="37"/>
        <v>0</v>
      </c>
      <c r="V158" s="44">
        <f t="shared" si="50"/>
        <v>1</v>
      </c>
      <c r="W158" s="36">
        <f t="shared" si="38"/>
        <v>505.77</v>
      </c>
      <c r="X158" s="36"/>
      <c r="Y158" s="36"/>
      <c r="Z158" s="36">
        <f t="shared" si="39"/>
        <v>0</v>
      </c>
      <c r="AA158" s="36">
        <f t="shared" si="40"/>
        <v>0</v>
      </c>
      <c r="AB158" s="36"/>
      <c r="AC158" s="36"/>
      <c r="AD158" s="36">
        <f t="shared" si="41"/>
        <v>0</v>
      </c>
      <c r="AE158" s="36">
        <f t="shared" si="42"/>
        <v>0</v>
      </c>
      <c r="AF158" s="36"/>
      <c r="AG158" s="36"/>
      <c r="AH158" s="36">
        <f t="shared" si="43"/>
        <v>0</v>
      </c>
      <c r="AI158" s="36">
        <f t="shared" si="44"/>
        <v>0</v>
      </c>
      <c r="AJ158" s="36"/>
      <c r="AK158" s="36"/>
      <c r="AL158" s="36">
        <f t="shared" si="45"/>
        <v>0</v>
      </c>
      <c r="AM158" s="36">
        <f t="shared" si="46"/>
        <v>0</v>
      </c>
      <c r="AN158" s="36"/>
      <c r="AO158" s="36"/>
      <c r="AP158" s="36">
        <f t="shared" si="47"/>
        <v>0</v>
      </c>
      <c r="AQ158" s="36">
        <f t="shared" si="48"/>
        <v>0</v>
      </c>
    </row>
    <row r="159" spans="1:43" x14ac:dyDescent="0.55000000000000004">
      <c r="A159" s="30" t="e">
        <f t="shared" si="49"/>
        <v>#REF!</v>
      </c>
      <c r="B159" s="31">
        <v>45159</v>
      </c>
      <c r="C159" s="45"/>
      <c r="D159" s="33">
        <v>1</v>
      </c>
      <c r="E159" s="33"/>
      <c r="F159" s="33"/>
      <c r="G159" s="53" t="s">
        <v>335</v>
      </c>
      <c r="H159" s="68" t="s">
        <v>336</v>
      </c>
      <c r="I159" s="36">
        <v>1</v>
      </c>
      <c r="J159" s="37" t="s">
        <v>290</v>
      </c>
      <c r="K159" s="37"/>
      <c r="L159" s="37"/>
      <c r="M159" s="60" t="s">
        <v>189</v>
      </c>
      <c r="N159" s="54"/>
      <c r="O159" s="40">
        <v>870.15</v>
      </c>
      <c r="P159" s="37">
        <f t="shared" si="36"/>
        <v>870.15</v>
      </c>
      <c r="Q159" s="41" t="s">
        <v>37</v>
      </c>
      <c r="R159" s="42">
        <f t="shared" si="52"/>
        <v>0</v>
      </c>
      <c r="S159" s="42">
        <f t="shared" si="51"/>
        <v>0</v>
      </c>
      <c r="T159" s="43">
        <f t="shared" si="37"/>
        <v>0</v>
      </c>
      <c r="U159" s="43">
        <f t="shared" si="37"/>
        <v>0</v>
      </c>
      <c r="V159" s="44">
        <f t="shared" si="50"/>
        <v>1</v>
      </c>
      <c r="W159" s="36">
        <f t="shared" si="38"/>
        <v>870.15</v>
      </c>
      <c r="X159" s="36"/>
      <c r="Y159" s="36"/>
      <c r="Z159" s="36">
        <f t="shared" si="39"/>
        <v>0</v>
      </c>
      <c r="AA159" s="36">
        <f t="shared" si="40"/>
        <v>0</v>
      </c>
      <c r="AB159" s="36"/>
      <c r="AC159" s="36"/>
      <c r="AD159" s="36">
        <f t="shared" si="41"/>
        <v>0</v>
      </c>
      <c r="AE159" s="36">
        <f t="shared" si="42"/>
        <v>0</v>
      </c>
      <c r="AF159" s="36"/>
      <c r="AG159" s="36"/>
      <c r="AH159" s="36">
        <f t="shared" si="43"/>
        <v>0</v>
      </c>
      <c r="AI159" s="36">
        <f t="shared" si="44"/>
        <v>0</v>
      </c>
      <c r="AJ159" s="36"/>
      <c r="AK159" s="36"/>
      <c r="AL159" s="36">
        <f t="shared" si="45"/>
        <v>0</v>
      </c>
      <c r="AM159" s="36">
        <f t="shared" si="46"/>
        <v>0</v>
      </c>
      <c r="AN159" s="36"/>
      <c r="AO159" s="36"/>
      <c r="AP159" s="36">
        <f t="shared" si="47"/>
        <v>0</v>
      </c>
      <c r="AQ159" s="36">
        <f t="shared" si="48"/>
        <v>0</v>
      </c>
    </row>
    <row r="160" spans="1:43" x14ac:dyDescent="0.55000000000000004">
      <c r="A160" s="30" t="e">
        <f t="shared" si="49"/>
        <v>#REF!</v>
      </c>
      <c r="B160" s="31">
        <v>44896</v>
      </c>
      <c r="C160" s="45"/>
      <c r="D160" s="33">
        <v>3</v>
      </c>
      <c r="E160" s="33"/>
      <c r="F160" s="33"/>
      <c r="G160" s="53" t="s">
        <v>337</v>
      </c>
      <c r="H160" s="35" t="s">
        <v>338</v>
      </c>
      <c r="I160" s="36">
        <v>3</v>
      </c>
      <c r="J160" s="37" t="s">
        <v>64</v>
      </c>
      <c r="K160" s="37"/>
      <c r="L160" s="37"/>
      <c r="M160" s="60" t="s">
        <v>143</v>
      </c>
      <c r="N160" s="54"/>
      <c r="O160" s="48">
        <v>241</v>
      </c>
      <c r="P160" s="37">
        <f t="shared" si="36"/>
        <v>723</v>
      </c>
      <c r="Q160" s="41" t="s">
        <v>64</v>
      </c>
      <c r="R160" s="42">
        <f t="shared" si="52"/>
        <v>0</v>
      </c>
      <c r="S160" s="42">
        <f t="shared" si="51"/>
        <v>482</v>
      </c>
      <c r="T160" s="43">
        <f t="shared" si="37"/>
        <v>0</v>
      </c>
      <c r="U160" s="43">
        <f t="shared" si="37"/>
        <v>2</v>
      </c>
      <c r="V160" s="44">
        <f t="shared" si="50"/>
        <v>1</v>
      </c>
      <c r="W160" s="36">
        <f t="shared" si="38"/>
        <v>241</v>
      </c>
      <c r="X160" s="36"/>
      <c r="Y160" s="36"/>
      <c r="Z160" s="36">
        <f t="shared" si="39"/>
        <v>0</v>
      </c>
      <c r="AA160" s="36">
        <f t="shared" si="40"/>
        <v>0</v>
      </c>
      <c r="AB160" s="36"/>
      <c r="AC160" s="36">
        <v>2</v>
      </c>
      <c r="AD160" s="36">
        <f t="shared" si="41"/>
        <v>0</v>
      </c>
      <c r="AE160" s="36">
        <f t="shared" si="42"/>
        <v>482</v>
      </c>
      <c r="AF160" s="36"/>
      <c r="AG160" s="36"/>
      <c r="AH160" s="36">
        <f t="shared" si="43"/>
        <v>0</v>
      </c>
      <c r="AI160" s="36">
        <f t="shared" si="44"/>
        <v>0</v>
      </c>
      <c r="AJ160" s="36"/>
      <c r="AK160" s="36"/>
      <c r="AL160" s="36">
        <f t="shared" si="45"/>
        <v>0</v>
      </c>
      <c r="AM160" s="36">
        <f t="shared" si="46"/>
        <v>0</v>
      </c>
      <c r="AN160" s="36"/>
      <c r="AO160" s="36"/>
      <c r="AP160" s="36">
        <f t="shared" si="47"/>
        <v>0</v>
      </c>
      <c r="AQ160" s="36">
        <f t="shared" si="48"/>
        <v>0</v>
      </c>
    </row>
    <row r="161" spans="1:43" x14ac:dyDescent="0.55000000000000004">
      <c r="A161" s="30" t="e">
        <f t="shared" si="49"/>
        <v>#REF!</v>
      </c>
      <c r="B161" s="31">
        <v>44896</v>
      </c>
      <c r="C161" s="45"/>
      <c r="D161" s="33">
        <v>11</v>
      </c>
      <c r="E161" s="33"/>
      <c r="F161" s="33"/>
      <c r="G161" s="34" t="s">
        <v>339</v>
      </c>
      <c r="H161" s="35" t="s">
        <v>340</v>
      </c>
      <c r="I161" s="36">
        <v>11</v>
      </c>
      <c r="J161" s="37" t="s">
        <v>54</v>
      </c>
      <c r="K161" s="37"/>
      <c r="L161" s="37"/>
      <c r="M161" s="60" t="s">
        <v>44</v>
      </c>
      <c r="N161" s="54" t="s">
        <v>41</v>
      </c>
      <c r="O161" s="40">
        <v>89.22</v>
      </c>
      <c r="P161" s="37">
        <f t="shared" si="36"/>
        <v>981.42</v>
      </c>
      <c r="Q161" s="41" t="s">
        <v>54</v>
      </c>
      <c r="R161" s="42">
        <f t="shared" si="52"/>
        <v>0</v>
      </c>
      <c r="S161" s="42">
        <f t="shared" si="51"/>
        <v>0</v>
      </c>
      <c r="T161" s="43">
        <f t="shared" si="37"/>
        <v>0</v>
      </c>
      <c r="U161" s="43">
        <f t="shared" si="37"/>
        <v>0</v>
      </c>
      <c r="V161" s="44">
        <f t="shared" si="50"/>
        <v>11</v>
      </c>
      <c r="W161" s="36">
        <f t="shared" si="38"/>
        <v>981.42</v>
      </c>
      <c r="X161" s="36"/>
      <c r="Y161" s="36"/>
      <c r="Z161" s="36">
        <f t="shared" si="39"/>
        <v>0</v>
      </c>
      <c r="AA161" s="36">
        <f t="shared" si="40"/>
        <v>0</v>
      </c>
      <c r="AB161" s="36"/>
      <c r="AC161" s="36"/>
      <c r="AD161" s="36">
        <f t="shared" si="41"/>
        <v>0</v>
      </c>
      <c r="AE161" s="36">
        <f t="shared" si="42"/>
        <v>0</v>
      </c>
      <c r="AF161" s="36"/>
      <c r="AG161" s="36"/>
      <c r="AH161" s="36">
        <f t="shared" si="43"/>
        <v>0</v>
      </c>
      <c r="AI161" s="36">
        <f t="shared" si="44"/>
        <v>0</v>
      </c>
      <c r="AJ161" s="36"/>
      <c r="AK161" s="36"/>
      <c r="AL161" s="36">
        <f t="shared" si="45"/>
        <v>0</v>
      </c>
      <c r="AM161" s="36">
        <f t="shared" si="46"/>
        <v>0</v>
      </c>
      <c r="AN161" s="36"/>
      <c r="AO161" s="36"/>
      <c r="AP161" s="36">
        <f t="shared" si="47"/>
        <v>0</v>
      </c>
      <c r="AQ161" s="36">
        <f t="shared" si="48"/>
        <v>0</v>
      </c>
    </row>
    <row r="162" spans="1:43" x14ac:dyDescent="0.55000000000000004">
      <c r="A162" s="30" t="e">
        <f t="shared" si="49"/>
        <v>#REF!</v>
      </c>
      <c r="B162" s="31">
        <v>44896</v>
      </c>
      <c r="C162" s="45"/>
      <c r="D162" s="33">
        <v>11</v>
      </c>
      <c r="E162" s="33"/>
      <c r="F162" s="33"/>
      <c r="G162" s="34" t="s">
        <v>341</v>
      </c>
      <c r="H162" s="35" t="s">
        <v>342</v>
      </c>
      <c r="I162" s="36">
        <v>11</v>
      </c>
      <c r="J162" s="37" t="s">
        <v>54</v>
      </c>
      <c r="K162" s="37"/>
      <c r="L162" s="37"/>
      <c r="M162" s="60" t="s">
        <v>44</v>
      </c>
      <c r="N162" s="54"/>
      <c r="O162" s="40">
        <v>76.61</v>
      </c>
      <c r="P162" s="37">
        <f t="shared" si="36"/>
        <v>842.71</v>
      </c>
      <c r="Q162" s="41" t="s">
        <v>54</v>
      </c>
      <c r="R162" s="42">
        <f t="shared" si="52"/>
        <v>0</v>
      </c>
      <c r="S162" s="42">
        <f t="shared" si="51"/>
        <v>0</v>
      </c>
      <c r="T162" s="43">
        <f t="shared" si="37"/>
        <v>0</v>
      </c>
      <c r="U162" s="43">
        <f t="shared" si="37"/>
        <v>0</v>
      </c>
      <c r="V162" s="44">
        <f t="shared" si="50"/>
        <v>11</v>
      </c>
      <c r="W162" s="36">
        <f t="shared" si="38"/>
        <v>842.71</v>
      </c>
      <c r="X162" s="36"/>
      <c r="Y162" s="36"/>
      <c r="Z162" s="36">
        <f t="shared" si="39"/>
        <v>0</v>
      </c>
      <c r="AA162" s="36">
        <f t="shared" si="40"/>
        <v>0</v>
      </c>
      <c r="AB162" s="36"/>
      <c r="AC162" s="36"/>
      <c r="AD162" s="36">
        <f t="shared" si="41"/>
        <v>0</v>
      </c>
      <c r="AE162" s="36">
        <f t="shared" si="42"/>
        <v>0</v>
      </c>
      <c r="AF162" s="36"/>
      <c r="AG162" s="36"/>
      <c r="AH162" s="36">
        <f t="shared" si="43"/>
        <v>0</v>
      </c>
      <c r="AI162" s="36">
        <f t="shared" si="44"/>
        <v>0</v>
      </c>
      <c r="AJ162" s="36"/>
      <c r="AK162" s="36"/>
      <c r="AL162" s="36">
        <f t="shared" si="45"/>
        <v>0</v>
      </c>
      <c r="AM162" s="36">
        <f t="shared" si="46"/>
        <v>0</v>
      </c>
      <c r="AN162" s="36"/>
      <c r="AO162" s="36"/>
      <c r="AP162" s="36">
        <f t="shared" si="47"/>
        <v>0</v>
      </c>
      <c r="AQ162" s="36">
        <f t="shared" si="48"/>
        <v>0</v>
      </c>
    </row>
    <row r="163" spans="1:43" x14ac:dyDescent="0.55000000000000004">
      <c r="A163" s="30" t="e">
        <f t="shared" si="49"/>
        <v>#REF!</v>
      </c>
      <c r="B163" s="31">
        <v>45413</v>
      </c>
      <c r="C163" s="45"/>
      <c r="D163" s="33">
        <v>1</v>
      </c>
      <c r="E163" s="33"/>
      <c r="F163" s="33"/>
      <c r="G163" s="34" t="s">
        <v>343</v>
      </c>
      <c r="H163" s="35" t="s">
        <v>344</v>
      </c>
      <c r="I163" s="36">
        <v>1</v>
      </c>
      <c r="J163" s="37" t="s">
        <v>80</v>
      </c>
      <c r="K163" s="37"/>
      <c r="L163" s="37"/>
      <c r="M163" s="38" t="s">
        <v>85</v>
      </c>
      <c r="N163" s="54" t="s">
        <v>41</v>
      </c>
      <c r="O163" s="40">
        <v>8.82</v>
      </c>
      <c r="P163" s="37">
        <f t="shared" si="36"/>
        <v>8.82</v>
      </c>
      <c r="Q163" s="41" t="s">
        <v>80</v>
      </c>
      <c r="R163" s="42">
        <f t="shared" si="52"/>
        <v>0</v>
      </c>
      <c r="S163" s="42">
        <f t="shared" si="51"/>
        <v>0</v>
      </c>
      <c r="T163" s="43">
        <f t="shared" si="37"/>
        <v>0</v>
      </c>
      <c r="U163" s="43">
        <f t="shared" si="37"/>
        <v>0</v>
      </c>
      <c r="V163" s="44">
        <f t="shared" si="50"/>
        <v>1</v>
      </c>
      <c r="W163" s="36">
        <f t="shared" si="38"/>
        <v>8.82</v>
      </c>
      <c r="X163" s="36"/>
      <c r="Y163" s="36"/>
      <c r="Z163" s="36">
        <f t="shared" si="39"/>
        <v>0</v>
      </c>
      <c r="AA163" s="36">
        <f t="shared" si="40"/>
        <v>0</v>
      </c>
      <c r="AB163" s="36"/>
      <c r="AC163" s="36"/>
      <c r="AD163" s="36">
        <f t="shared" si="41"/>
        <v>0</v>
      </c>
      <c r="AE163" s="36">
        <f t="shared" si="42"/>
        <v>0</v>
      </c>
      <c r="AF163" s="36"/>
      <c r="AG163" s="36"/>
      <c r="AH163" s="36">
        <f t="shared" si="43"/>
        <v>0</v>
      </c>
      <c r="AI163" s="36">
        <f t="shared" si="44"/>
        <v>0</v>
      </c>
      <c r="AJ163" s="36"/>
      <c r="AK163" s="36"/>
      <c r="AL163" s="36">
        <f t="shared" si="45"/>
        <v>0</v>
      </c>
      <c r="AM163" s="36">
        <f t="shared" si="46"/>
        <v>0</v>
      </c>
      <c r="AN163" s="36"/>
      <c r="AO163" s="36"/>
      <c r="AP163" s="36">
        <f t="shared" si="47"/>
        <v>0</v>
      </c>
      <c r="AQ163" s="36">
        <f t="shared" si="48"/>
        <v>0</v>
      </c>
    </row>
    <row r="164" spans="1:43" x14ac:dyDescent="0.55000000000000004">
      <c r="A164" s="30" t="e">
        <f t="shared" si="49"/>
        <v>#REF!</v>
      </c>
      <c r="B164" s="31">
        <v>45748</v>
      </c>
      <c r="C164" s="45"/>
      <c r="D164" s="33">
        <v>3</v>
      </c>
      <c r="E164" s="33"/>
      <c r="F164" s="33"/>
      <c r="G164" s="51" t="s">
        <v>345</v>
      </c>
      <c r="H164" s="37" t="s">
        <v>116</v>
      </c>
      <c r="I164" s="36">
        <v>3</v>
      </c>
      <c r="J164" s="37" t="s">
        <v>323</v>
      </c>
      <c r="K164" s="37"/>
      <c r="L164" s="37"/>
      <c r="M164" s="60" t="s">
        <v>217</v>
      </c>
      <c r="N164" s="54"/>
      <c r="O164" s="40">
        <v>290</v>
      </c>
      <c r="P164" s="37">
        <f t="shared" si="36"/>
        <v>870</v>
      </c>
      <c r="Q164" s="41"/>
      <c r="R164" s="42">
        <f t="shared" si="52"/>
        <v>0</v>
      </c>
      <c r="S164" s="42">
        <f t="shared" si="51"/>
        <v>0</v>
      </c>
      <c r="T164" s="43">
        <f t="shared" si="37"/>
        <v>0</v>
      </c>
      <c r="U164" s="43">
        <f t="shared" si="37"/>
        <v>0</v>
      </c>
      <c r="V164" s="44">
        <f t="shared" si="50"/>
        <v>3</v>
      </c>
      <c r="W164" s="36">
        <f t="shared" si="38"/>
        <v>870</v>
      </c>
      <c r="X164" s="36"/>
      <c r="Y164" s="36"/>
      <c r="Z164" s="36">
        <f t="shared" si="39"/>
        <v>0</v>
      </c>
      <c r="AA164" s="36">
        <f t="shared" si="40"/>
        <v>0</v>
      </c>
      <c r="AB164" s="36"/>
      <c r="AC164" s="36"/>
      <c r="AD164" s="36">
        <f t="shared" si="41"/>
        <v>0</v>
      </c>
      <c r="AE164" s="36">
        <f t="shared" si="42"/>
        <v>0</v>
      </c>
      <c r="AF164" s="36"/>
      <c r="AG164" s="36"/>
      <c r="AH164" s="36">
        <f t="shared" si="43"/>
        <v>0</v>
      </c>
      <c r="AI164" s="36">
        <f t="shared" si="44"/>
        <v>0</v>
      </c>
      <c r="AJ164" s="36"/>
      <c r="AK164" s="36"/>
      <c r="AL164" s="36">
        <f t="shared" si="45"/>
        <v>0</v>
      </c>
      <c r="AM164" s="36">
        <f t="shared" si="46"/>
        <v>0</v>
      </c>
      <c r="AN164" s="36"/>
      <c r="AO164" s="36"/>
      <c r="AP164" s="36">
        <f t="shared" si="47"/>
        <v>0</v>
      </c>
      <c r="AQ164" s="36">
        <f t="shared" si="48"/>
        <v>0</v>
      </c>
    </row>
    <row r="165" spans="1:43" x14ac:dyDescent="0.55000000000000004">
      <c r="A165" s="30" t="e">
        <f t="shared" si="49"/>
        <v>#REF!</v>
      </c>
      <c r="B165" s="31">
        <v>45658</v>
      </c>
      <c r="C165" s="45"/>
      <c r="D165" s="33">
        <v>4</v>
      </c>
      <c r="E165" s="45">
        <v>45717</v>
      </c>
      <c r="F165" s="33">
        <v>2</v>
      </c>
      <c r="G165" s="49" t="s">
        <v>346</v>
      </c>
      <c r="H165" s="37" t="s">
        <v>116</v>
      </c>
      <c r="I165" s="36">
        <v>0</v>
      </c>
      <c r="J165" s="37" t="s">
        <v>323</v>
      </c>
      <c r="K165" s="37"/>
      <c r="L165" s="37"/>
      <c r="M165" s="60" t="s">
        <v>217</v>
      </c>
      <c r="N165" s="54"/>
      <c r="O165" s="40">
        <v>90</v>
      </c>
      <c r="P165" s="37">
        <f t="shared" si="36"/>
        <v>0</v>
      </c>
      <c r="Q165" s="41"/>
      <c r="R165" s="42">
        <f t="shared" si="52"/>
        <v>0</v>
      </c>
      <c r="S165" s="42">
        <f t="shared" si="51"/>
        <v>0</v>
      </c>
      <c r="T165" s="43">
        <f t="shared" si="37"/>
        <v>0</v>
      </c>
      <c r="U165" s="43">
        <f t="shared" si="37"/>
        <v>0</v>
      </c>
      <c r="V165" s="44">
        <f t="shared" si="50"/>
        <v>0</v>
      </c>
      <c r="W165" s="36">
        <f t="shared" si="38"/>
        <v>0</v>
      </c>
      <c r="X165" s="36"/>
      <c r="Y165" s="36"/>
      <c r="Z165" s="36">
        <f t="shared" si="39"/>
        <v>0</v>
      </c>
      <c r="AA165" s="36">
        <f t="shared" si="40"/>
        <v>0</v>
      </c>
      <c r="AB165" s="36"/>
      <c r="AC165" s="36"/>
      <c r="AD165" s="36">
        <f t="shared" si="41"/>
        <v>0</v>
      </c>
      <c r="AE165" s="36">
        <f t="shared" si="42"/>
        <v>0</v>
      </c>
      <c r="AF165" s="36"/>
      <c r="AG165" s="36"/>
      <c r="AH165" s="36">
        <f t="shared" si="43"/>
        <v>0</v>
      </c>
      <c r="AI165" s="36">
        <f t="shared" si="44"/>
        <v>0</v>
      </c>
      <c r="AJ165" s="36"/>
      <c r="AK165" s="36"/>
      <c r="AL165" s="36">
        <f t="shared" si="45"/>
        <v>0</v>
      </c>
      <c r="AM165" s="36">
        <f t="shared" si="46"/>
        <v>0</v>
      </c>
      <c r="AN165" s="36"/>
      <c r="AO165" s="36"/>
      <c r="AP165" s="36">
        <f t="shared" si="47"/>
        <v>0</v>
      </c>
      <c r="AQ165" s="36">
        <f t="shared" si="48"/>
        <v>0</v>
      </c>
    </row>
    <row r="166" spans="1:43" x14ac:dyDescent="0.55000000000000004">
      <c r="A166" s="30" t="e">
        <f t="shared" si="49"/>
        <v>#REF!</v>
      </c>
      <c r="B166" s="31">
        <v>45627</v>
      </c>
      <c r="C166" s="31"/>
      <c r="D166" s="61">
        <v>6</v>
      </c>
      <c r="E166" s="61"/>
      <c r="F166" s="61"/>
      <c r="G166" s="69" t="s">
        <v>347</v>
      </c>
      <c r="H166" s="37" t="s">
        <v>116</v>
      </c>
      <c r="I166" s="36">
        <v>3</v>
      </c>
      <c r="J166" s="37" t="s">
        <v>323</v>
      </c>
      <c r="K166" s="37"/>
      <c r="L166" s="37"/>
      <c r="M166" s="60" t="s">
        <v>348</v>
      </c>
      <c r="N166" s="54"/>
      <c r="O166" s="40">
        <v>194.58</v>
      </c>
      <c r="P166" s="37">
        <f t="shared" si="36"/>
        <v>583.74</v>
      </c>
      <c r="Q166" s="41"/>
      <c r="R166" s="42">
        <f t="shared" si="52"/>
        <v>0</v>
      </c>
      <c r="S166" s="42">
        <f t="shared" si="51"/>
        <v>0</v>
      </c>
      <c r="T166" s="43">
        <f t="shared" si="37"/>
        <v>0</v>
      </c>
      <c r="U166" s="43">
        <f t="shared" si="37"/>
        <v>0</v>
      </c>
      <c r="V166" s="44">
        <v>2</v>
      </c>
      <c r="W166" s="36">
        <f t="shared" si="38"/>
        <v>389.16</v>
      </c>
      <c r="X166" s="36"/>
      <c r="Y166" s="36"/>
      <c r="Z166" s="36">
        <f t="shared" si="39"/>
        <v>0</v>
      </c>
      <c r="AA166" s="36">
        <f t="shared" si="40"/>
        <v>0</v>
      </c>
      <c r="AB166" s="36"/>
      <c r="AC166" s="36"/>
      <c r="AD166" s="36">
        <f>AB166*O166</f>
        <v>0</v>
      </c>
      <c r="AE166" s="36">
        <f>AC166*O166</f>
        <v>0</v>
      </c>
      <c r="AF166" s="36"/>
      <c r="AG166" s="36"/>
      <c r="AH166" s="36">
        <f t="shared" si="43"/>
        <v>0</v>
      </c>
      <c r="AI166" s="36">
        <f t="shared" si="44"/>
        <v>0</v>
      </c>
      <c r="AJ166" s="36"/>
      <c r="AK166" s="36"/>
      <c r="AL166" s="36">
        <f t="shared" si="45"/>
        <v>0</v>
      </c>
      <c r="AM166" s="36">
        <f t="shared" si="46"/>
        <v>0</v>
      </c>
      <c r="AN166" s="36"/>
      <c r="AO166" s="36"/>
      <c r="AP166" s="36">
        <f t="shared" si="47"/>
        <v>0</v>
      </c>
      <c r="AQ166" s="36">
        <f t="shared" si="48"/>
        <v>0</v>
      </c>
    </row>
    <row r="167" spans="1:43" x14ac:dyDescent="0.55000000000000004">
      <c r="A167" s="30" t="e">
        <f t="shared" si="49"/>
        <v>#REF!</v>
      </c>
      <c r="B167" s="31">
        <v>44896</v>
      </c>
      <c r="C167" s="45"/>
      <c r="D167" s="33">
        <v>1</v>
      </c>
      <c r="E167" s="33"/>
      <c r="F167" s="33"/>
      <c r="G167" s="51" t="s">
        <v>349</v>
      </c>
      <c r="H167" s="37" t="s">
        <v>293</v>
      </c>
      <c r="I167" s="36">
        <v>1</v>
      </c>
      <c r="J167" s="37"/>
      <c r="K167" s="37"/>
      <c r="L167" s="37"/>
      <c r="M167" s="60" t="s">
        <v>69</v>
      </c>
      <c r="N167" s="39"/>
      <c r="O167" s="48">
        <v>34</v>
      </c>
      <c r="P167" s="37">
        <f t="shared" si="36"/>
        <v>34</v>
      </c>
      <c r="Q167" s="41"/>
      <c r="R167" s="42">
        <f t="shared" si="52"/>
        <v>0</v>
      </c>
      <c r="S167" s="42">
        <f t="shared" si="51"/>
        <v>0</v>
      </c>
      <c r="T167" s="43">
        <f t="shared" si="37"/>
        <v>0</v>
      </c>
      <c r="U167" s="43">
        <f t="shared" si="37"/>
        <v>0</v>
      </c>
      <c r="V167" s="44">
        <f t="shared" si="50"/>
        <v>1</v>
      </c>
      <c r="W167" s="36">
        <f t="shared" si="38"/>
        <v>34</v>
      </c>
      <c r="X167" s="36"/>
      <c r="Y167" s="36"/>
      <c r="Z167" s="36">
        <f t="shared" si="39"/>
        <v>0</v>
      </c>
      <c r="AA167" s="36">
        <f t="shared" si="40"/>
        <v>0</v>
      </c>
      <c r="AB167" s="36"/>
      <c r="AC167" s="36"/>
      <c r="AD167" s="36">
        <f t="shared" si="41"/>
        <v>0</v>
      </c>
      <c r="AE167" s="36">
        <f t="shared" si="42"/>
        <v>0</v>
      </c>
      <c r="AF167" s="36"/>
      <c r="AG167" s="36"/>
      <c r="AH167" s="36">
        <f t="shared" si="43"/>
        <v>0</v>
      </c>
      <c r="AI167" s="36">
        <f t="shared" si="44"/>
        <v>0</v>
      </c>
      <c r="AJ167" s="36"/>
      <c r="AK167" s="36"/>
      <c r="AL167" s="36">
        <f t="shared" si="45"/>
        <v>0</v>
      </c>
      <c r="AM167" s="36">
        <f t="shared" si="46"/>
        <v>0</v>
      </c>
      <c r="AN167" s="36"/>
      <c r="AO167" s="36"/>
      <c r="AP167" s="36">
        <f t="shared" si="47"/>
        <v>0</v>
      </c>
      <c r="AQ167" s="36">
        <f t="shared" si="48"/>
        <v>0</v>
      </c>
    </row>
    <row r="168" spans="1:43" x14ac:dyDescent="0.55000000000000004">
      <c r="A168" s="30" t="e">
        <f t="shared" si="49"/>
        <v>#REF!</v>
      </c>
      <c r="B168" s="31">
        <v>44896</v>
      </c>
      <c r="C168" s="45"/>
      <c r="D168" s="33">
        <v>2</v>
      </c>
      <c r="E168" s="33"/>
      <c r="F168" s="33"/>
      <c r="G168" s="51" t="s">
        <v>350</v>
      </c>
      <c r="H168" s="52" t="s">
        <v>110</v>
      </c>
      <c r="I168" s="36">
        <v>2</v>
      </c>
      <c r="J168" s="37" t="s">
        <v>40</v>
      </c>
      <c r="K168" s="37"/>
      <c r="L168" s="37"/>
      <c r="M168" s="60" t="s">
        <v>35</v>
      </c>
      <c r="N168" s="39" t="s">
        <v>36</v>
      </c>
      <c r="O168" s="40">
        <v>131.41</v>
      </c>
      <c r="P168" s="37">
        <f t="shared" si="36"/>
        <v>262.82</v>
      </c>
      <c r="Q168" s="41"/>
      <c r="R168" s="42">
        <f t="shared" si="52"/>
        <v>0</v>
      </c>
      <c r="S168" s="42">
        <f t="shared" si="51"/>
        <v>0</v>
      </c>
      <c r="T168" s="43">
        <f t="shared" si="37"/>
        <v>0</v>
      </c>
      <c r="U168" s="43">
        <f t="shared" si="37"/>
        <v>0</v>
      </c>
      <c r="V168" s="44">
        <f t="shared" si="50"/>
        <v>2</v>
      </c>
      <c r="W168" s="36">
        <f t="shared" si="38"/>
        <v>262.82</v>
      </c>
      <c r="X168" s="36"/>
      <c r="Y168" s="36"/>
      <c r="Z168" s="36">
        <f t="shared" si="39"/>
        <v>0</v>
      </c>
      <c r="AA168" s="36">
        <f t="shared" si="40"/>
        <v>0</v>
      </c>
      <c r="AB168" s="36"/>
      <c r="AC168" s="36"/>
      <c r="AD168" s="36">
        <f t="shared" si="41"/>
        <v>0</v>
      </c>
      <c r="AE168" s="36">
        <f t="shared" si="42"/>
        <v>0</v>
      </c>
      <c r="AF168" s="36"/>
      <c r="AG168" s="36"/>
      <c r="AH168" s="36">
        <f t="shared" si="43"/>
        <v>0</v>
      </c>
      <c r="AI168" s="36">
        <f t="shared" si="44"/>
        <v>0</v>
      </c>
      <c r="AJ168" s="36"/>
      <c r="AK168" s="36"/>
      <c r="AL168" s="36">
        <f t="shared" si="45"/>
        <v>0</v>
      </c>
      <c r="AM168" s="36">
        <f t="shared" si="46"/>
        <v>0</v>
      </c>
      <c r="AN168" s="36"/>
      <c r="AO168" s="36"/>
      <c r="AP168" s="36">
        <f t="shared" si="47"/>
        <v>0</v>
      </c>
      <c r="AQ168" s="36">
        <f t="shared" si="48"/>
        <v>0</v>
      </c>
    </row>
    <row r="169" spans="1:43" x14ac:dyDescent="0.55000000000000004">
      <c r="A169" s="30" t="e">
        <f t="shared" si="49"/>
        <v>#REF!</v>
      </c>
      <c r="B169" s="31">
        <v>44896</v>
      </c>
      <c r="C169" s="45"/>
      <c r="D169" s="33">
        <v>1</v>
      </c>
      <c r="E169" s="33"/>
      <c r="F169" s="33"/>
      <c r="G169" s="51" t="s">
        <v>351</v>
      </c>
      <c r="H169" s="52" t="s">
        <v>293</v>
      </c>
      <c r="I169" s="36">
        <v>1</v>
      </c>
      <c r="J169" s="37" t="s">
        <v>40</v>
      </c>
      <c r="K169" s="37"/>
      <c r="L169" s="37"/>
      <c r="M169" s="60" t="s">
        <v>47</v>
      </c>
      <c r="N169" s="54"/>
      <c r="O169" s="48">
        <v>234</v>
      </c>
      <c r="P169" s="37">
        <f t="shared" si="36"/>
        <v>234</v>
      </c>
      <c r="Q169" s="41"/>
      <c r="R169" s="42">
        <f t="shared" si="52"/>
        <v>0</v>
      </c>
      <c r="S169" s="42">
        <f t="shared" si="51"/>
        <v>0</v>
      </c>
      <c r="T169" s="43">
        <f t="shared" si="37"/>
        <v>0</v>
      </c>
      <c r="U169" s="43">
        <f t="shared" si="37"/>
        <v>0</v>
      </c>
      <c r="V169" s="44">
        <f t="shared" si="50"/>
        <v>1</v>
      </c>
      <c r="W169" s="36">
        <f t="shared" si="38"/>
        <v>234</v>
      </c>
      <c r="X169" s="36"/>
      <c r="Y169" s="36"/>
      <c r="Z169" s="36">
        <f t="shared" si="39"/>
        <v>0</v>
      </c>
      <c r="AA169" s="36">
        <f t="shared" si="40"/>
        <v>0</v>
      </c>
      <c r="AB169" s="36"/>
      <c r="AC169" s="36"/>
      <c r="AD169" s="36">
        <f t="shared" si="41"/>
        <v>0</v>
      </c>
      <c r="AE169" s="36">
        <f t="shared" si="42"/>
        <v>0</v>
      </c>
      <c r="AF169" s="36"/>
      <c r="AG169" s="36"/>
      <c r="AH169" s="36">
        <f t="shared" si="43"/>
        <v>0</v>
      </c>
      <c r="AI169" s="36">
        <f t="shared" si="44"/>
        <v>0</v>
      </c>
      <c r="AJ169" s="36"/>
      <c r="AK169" s="36"/>
      <c r="AL169" s="36">
        <f t="shared" si="45"/>
        <v>0</v>
      </c>
      <c r="AM169" s="36">
        <f t="shared" si="46"/>
        <v>0</v>
      </c>
      <c r="AN169" s="36"/>
      <c r="AO169" s="36"/>
      <c r="AP169" s="36">
        <f t="shared" si="47"/>
        <v>0</v>
      </c>
      <c r="AQ169" s="36">
        <f t="shared" si="48"/>
        <v>0</v>
      </c>
    </row>
    <row r="170" spans="1:43" x14ac:dyDescent="0.55000000000000004">
      <c r="A170" s="30" t="e">
        <f t="shared" si="49"/>
        <v>#REF!</v>
      </c>
      <c r="B170" s="31">
        <v>45393</v>
      </c>
      <c r="C170" s="45"/>
      <c r="D170" s="33">
        <v>1</v>
      </c>
      <c r="E170" s="33"/>
      <c r="F170" s="33"/>
      <c r="G170" s="34" t="s">
        <v>352</v>
      </c>
      <c r="H170" s="35" t="s">
        <v>353</v>
      </c>
      <c r="I170" s="36">
        <v>1</v>
      </c>
      <c r="J170" s="37" t="s">
        <v>354</v>
      </c>
      <c r="K170" s="37"/>
      <c r="L170" s="37"/>
      <c r="M170" s="38" t="s">
        <v>113</v>
      </c>
      <c r="N170" s="39" t="s">
        <v>114</v>
      </c>
      <c r="O170" s="40">
        <v>173.73</v>
      </c>
      <c r="P170" s="37">
        <f t="shared" si="36"/>
        <v>173.73</v>
      </c>
      <c r="Q170" s="41" t="s">
        <v>290</v>
      </c>
      <c r="R170" s="42">
        <f t="shared" si="52"/>
        <v>0</v>
      </c>
      <c r="S170" s="42">
        <f t="shared" si="51"/>
        <v>173.73</v>
      </c>
      <c r="T170" s="43">
        <f t="shared" si="37"/>
        <v>0</v>
      </c>
      <c r="U170" s="43">
        <f t="shared" si="37"/>
        <v>1</v>
      </c>
      <c r="V170" s="44">
        <f t="shared" si="50"/>
        <v>0</v>
      </c>
      <c r="W170" s="36">
        <f t="shared" si="38"/>
        <v>0</v>
      </c>
      <c r="X170" s="36"/>
      <c r="Y170" s="36"/>
      <c r="Z170" s="36">
        <f t="shared" si="39"/>
        <v>0</v>
      </c>
      <c r="AA170" s="36">
        <f t="shared" si="40"/>
        <v>0</v>
      </c>
      <c r="AB170" s="36"/>
      <c r="AC170" s="36"/>
      <c r="AD170" s="36">
        <f t="shared" si="41"/>
        <v>0</v>
      </c>
      <c r="AE170" s="36">
        <f t="shared" si="42"/>
        <v>0</v>
      </c>
      <c r="AF170" s="36"/>
      <c r="AG170" s="36">
        <v>1</v>
      </c>
      <c r="AH170" s="36">
        <f t="shared" si="43"/>
        <v>0</v>
      </c>
      <c r="AI170" s="36">
        <f t="shared" si="44"/>
        <v>173.73</v>
      </c>
      <c r="AJ170" s="36"/>
      <c r="AK170" s="36"/>
      <c r="AL170" s="36">
        <f t="shared" si="45"/>
        <v>0</v>
      </c>
      <c r="AM170" s="36">
        <f t="shared" si="46"/>
        <v>0</v>
      </c>
      <c r="AN170" s="36"/>
      <c r="AO170" s="36"/>
      <c r="AP170" s="36">
        <f t="shared" si="47"/>
        <v>0</v>
      </c>
      <c r="AQ170" s="36">
        <f t="shared" si="48"/>
        <v>0</v>
      </c>
    </row>
    <row r="171" spans="1:43" x14ac:dyDescent="0.55000000000000004">
      <c r="A171" s="30" t="e">
        <f t="shared" si="49"/>
        <v>#REF!</v>
      </c>
      <c r="B171" s="31">
        <v>44896</v>
      </c>
      <c r="C171" s="45"/>
      <c r="D171" s="33">
        <v>1</v>
      </c>
      <c r="E171" s="33"/>
      <c r="F171" s="33"/>
      <c r="G171" s="34" t="s">
        <v>355</v>
      </c>
      <c r="H171" s="35" t="s">
        <v>356</v>
      </c>
      <c r="I171" s="36">
        <v>1</v>
      </c>
      <c r="J171" s="37" t="s">
        <v>54</v>
      </c>
      <c r="K171" s="37"/>
      <c r="L171" s="37"/>
      <c r="M171" s="38" t="s">
        <v>85</v>
      </c>
      <c r="N171" s="54" t="s">
        <v>41</v>
      </c>
      <c r="O171" s="40">
        <v>13.54</v>
      </c>
      <c r="P171" s="37">
        <f t="shared" si="36"/>
        <v>13.54</v>
      </c>
      <c r="Q171" s="41" t="s">
        <v>54</v>
      </c>
      <c r="R171" s="42">
        <f t="shared" si="52"/>
        <v>0</v>
      </c>
      <c r="S171" s="42">
        <f t="shared" si="51"/>
        <v>0</v>
      </c>
      <c r="T171" s="43">
        <f t="shared" si="37"/>
        <v>0</v>
      </c>
      <c r="U171" s="43">
        <f t="shared" si="37"/>
        <v>0</v>
      </c>
      <c r="V171" s="44">
        <f t="shared" si="50"/>
        <v>1</v>
      </c>
      <c r="W171" s="36">
        <f t="shared" si="38"/>
        <v>13.54</v>
      </c>
      <c r="X171" s="36"/>
      <c r="Y171" s="36"/>
      <c r="Z171" s="36">
        <f t="shared" si="39"/>
        <v>0</v>
      </c>
      <c r="AA171" s="36">
        <f t="shared" si="40"/>
        <v>0</v>
      </c>
      <c r="AB171" s="36"/>
      <c r="AC171" s="36"/>
      <c r="AD171" s="36">
        <f>AB171*O171</f>
        <v>0</v>
      </c>
      <c r="AE171" s="36">
        <f>AC171*O171</f>
        <v>0</v>
      </c>
      <c r="AF171" s="36"/>
      <c r="AG171" s="36"/>
      <c r="AH171" s="36">
        <f t="shared" si="43"/>
        <v>0</v>
      </c>
      <c r="AI171" s="36">
        <f t="shared" si="44"/>
        <v>0</v>
      </c>
      <c r="AJ171" s="36"/>
      <c r="AK171" s="36"/>
      <c r="AL171" s="36">
        <f t="shared" si="45"/>
        <v>0</v>
      </c>
      <c r="AM171" s="36">
        <f t="shared" si="46"/>
        <v>0</v>
      </c>
      <c r="AN171" s="36"/>
      <c r="AO171" s="36"/>
      <c r="AP171" s="36">
        <f t="shared" si="47"/>
        <v>0</v>
      </c>
      <c r="AQ171" s="36">
        <f t="shared" si="48"/>
        <v>0</v>
      </c>
    </row>
    <row r="172" spans="1:43" x14ac:dyDescent="0.55000000000000004">
      <c r="A172" s="30" t="e">
        <f t="shared" si="49"/>
        <v>#REF!</v>
      </c>
      <c r="B172" s="31">
        <v>45748</v>
      </c>
      <c r="C172" s="45"/>
      <c r="D172" s="33">
        <v>4</v>
      </c>
      <c r="E172" s="33"/>
      <c r="F172" s="33"/>
      <c r="G172" s="34" t="s">
        <v>357</v>
      </c>
      <c r="H172" s="35" t="s">
        <v>223</v>
      </c>
      <c r="I172" s="36">
        <v>4</v>
      </c>
      <c r="J172" s="37" t="s">
        <v>80</v>
      </c>
      <c r="K172" s="37"/>
      <c r="L172" s="37"/>
      <c r="M172" s="38" t="s">
        <v>83</v>
      </c>
      <c r="N172" s="54" t="s">
        <v>49</v>
      </c>
      <c r="O172" s="40">
        <v>38.020000000000003</v>
      </c>
      <c r="P172" s="37">
        <f t="shared" si="36"/>
        <v>152.08000000000001</v>
      </c>
      <c r="Q172" s="41"/>
      <c r="R172" s="42">
        <f t="shared" si="52"/>
        <v>0</v>
      </c>
      <c r="S172" s="42">
        <f t="shared" si="51"/>
        <v>152.08000000000001</v>
      </c>
      <c r="T172" s="43">
        <f t="shared" si="37"/>
        <v>0</v>
      </c>
      <c r="U172" s="43">
        <f t="shared" si="37"/>
        <v>4</v>
      </c>
      <c r="V172" s="44">
        <f t="shared" si="50"/>
        <v>0</v>
      </c>
      <c r="W172" s="36">
        <f t="shared" si="38"/>
        <v>0</v>
      </c>
      <c r="X172" s="36"/>
      <c r="Y172" s="36"/>
      <c r="Z172" s="36">
        <f t="shared" si="39"/>
        <v>0</v>
      </c>
      <c r="AA172" s="36">
        <f t="shared" si="40"/>
        <v>0</v>
      </c>
      <c r="AB172" s="36"/>
      <c r="AC172" s="36"/>
      <c r="AD172" s="36">
        <f t="shared" si="41"/>
        <v>0</v>
      </c>
      <c r="AE172" s="36">
        <f t="shared" si="42"/>
        <v>0</v>
      </c>
      <c r="AF172" s="36"/>
      <c r="AG172" s="36">
        <v>4</v>
      </c>
      <c r="AH172" s="36">
        <f t="shared" si="43"/>
        <v>0</v>
      </c>
      <c r="AI172" s="36">
        <f t="shared" si="44"/>
        <v>152.08000000000001</v>
      </c>
      <c r="AJ172" s="36"/>
      <c r="AK172" s="36"/>
      <c r="AL172" s="36">
        <f t="shared" si="45"/>
        <v>0</v>
      </c>
      <c r="AM172" s="36">
        <f t="shared" si="46"/>
        <v>0</v>
      </c>
      <c r="AN172" s="36"/>
      <c r="AO172" s="36"/>
      <c r="AP172" s="36">
        <f t="shared" si="47"/>
        <v>0</v>
      </c>
      <c r="AQ172" s="36">
        <f t="shared" si="48"/>
        <v>0</v>
      </c>
    </row>
    <row r="173" spans="1:43" x14ac:dyDescent="0.55000000000000004">
      <c r="A173" s="30" t="e">
        <f t="shared" si="49"/>
        <v>#REF!</v>
      </c>
      <c r="B173" s="31">
        <v>45717</v>
      </c>
      <c r="C173" s="45"/>
      <c r="D173" s="33">
        <v>1</v>
      </c>
      <c r="E173" s="33"/>
      <c r="F173" s="33"/>
      <c r="G173" s="34" t="s">
        <v>358</v>
      </c>
      <c r="H173" s="35" t="s">
        <v>141</v>
      </c>
      <c r="I173" s="36">
        <v>1</v>
      </c>
      <c r="J173" s="37"/>
      <c r="K173" s="37"/>
      <c r="L173" s="37"/>
      <c r="M173" s="38" t="s">
        <v>143</v>
      </c>
      <c r="N173" s="54"/>
      <c r="O173" s="40">
        <v>120</v>
      </c>
      <c r="P173" s="37">
        <f t="shared" si="36"/>
        <v>120</v>
      </c>
      <c r="Q173" s="41"/>
      <c r="R173" s="42">
        <f t="shared" si="52"/>
        <v>0</v>
      </c>
      <c r="S173" s="42">
        <f t="shared" si="51"/>
        <v>0</v>
      </c>
      <c r="T173" s="43">
        <f t="shared" si="37"/>
        <v>0</v>
      </c>
      <c r="U173" s="43">
        <f t="shared" si="37"/>
        <v>0</v>
      </c>
      <c r="V173" s="44">
        <f t="shared" si="50"/>
        <v>1</v>
      </c>
      <c r="W173" s="36">
        <f t="shared" si="38"/>
        <v>120</v>
      </c>
      <c r="X173" s="36"/>
      <c r="Y173" s="36"/>
      <c r="Z173" s="36">
        <f t="shared" si="39"/>
        <v>0</v>
      </c>
      <c r="AA173" s="36">
        <f t="shared" si="40"/>
        <v>0</v>
      </c>
      <c r="AB173" s="36"/>
      <c r="AC173" s="36"/>
      <c r="AD173" s="36">
        <f t="shared" si="41"/>
        <v>0</v>
      </c>
      <c r="AE173" s="36">
        <f t="shared" si="42"/>
        <v>0</v>
      </c>
      <c r="AF173" s="36"/>
      <c r="AG173" s="36"/>
      <c r="AH173" s="36">
        <f t="shared" si="43"/>
        <v>0</v>
      </c>
      <c r="AI173" s="36">
        <f t="shared" si="44"/>
        <v>0</v>
      </c>
      <c r="AJ173" s="36"/>
      <c r="AK173" s="36"/>
      <c r="AL173" s="36">
        <f t="shared" si="45"/>
        <v>0</v>
      </c>
      <c r="AM173" s="36">
        <f t="shared" si="46"/>
        <v>0</v>
      </c>
      <c r="AN173" s="36"/>
      <c r="AO173" s="36"/>
      <c r="AP173" s="36">
        <f t="shared" si="47"/>
        <v>0</v>
      </c>
      <c r="AQ173" s="36">
        <f t="shared" si="48"/>
        <v>0</v>
      </c>
    </row>
    <row r="174" spans="1:43" x14ac:dyDescent="0.55000000000000004">
      <c r="A174" s="30" t="e">
        <f t="shared" si="49"/>
        <v>#REF!</v>
      </c>
      <c r="B174" s="31">
        <v>45597</v>
      </c>
      <c r="C174" s="45"/>
      <c r="D174" s="33">
        <v>1</v>
      </c>
      <c r="E174" s="33"/>
      <c r="F174" s="33"/>
      <c r="G174" s="34" t="s">
        <v>359</v>
      </c>
      <c r="H174" s="35" t="s">
        <v>48</v>
      </c>
      <c r="I174" s="36">
        <v>1</v>
      </c>
      <c r="J174" s="37"/>
      <c r="K174" s="37"/>
      <c r="L174" s="37"/>
      <c r="M174" s="38" t="s">
        <v>44</v>
      </c>
      <c r="N174" s="54" t="s">
        <v>49</v>
      </c>
      <c r="O174" s="40">
        <v>1.95</v>
      </c>
      <c r="P174" s="37">
        <f t="shared" si="36"/>
        <v>1.95</v>
      </c>
      <c r="Q174" s="41"/>
      <c r="R174" s="42">
        <f t="shared" si="52"/>
        <v>0</v>
      </c>
      <c r="S174" s="42">
        <f t="shared" si="51"/>
        <v>1.95</v>
      </c>
      <c r="T174" s="43">
        <f t="shared" si="37"/>
        <v>0</v>
      </c>
      <c r="U174" s="43">
        <f t="shared" si="37"/>
        <v>1</v>
      </c>
      <c r="V174" s="44">
        <f t="shared" si="50"/>
        <v>0</v>
      </c>
      <c r="W174" s="36">
        <f t="shared" si="38"/>
        <v>0</v>
      </c>
      <c r="X174" s="36"/>
      <c r="Y174" s="36">
        <v>1</v>
      </c>
      <c r="Z174" s="36">
        <f t="shared" si="39"/>
        <v>0</v>
      </c>
      <c r="AA174" s="36">
        <f t="shared" si="40"/>
        <v>1.95</v>
      </c>
      <c r="AB174" s="36"/>
      <c r="AC174" s="36"/>
      <c r="AD174" s="36">
        <f t="shared" si="41"/>
        <v>0</v>
      </c>
      <c r="AE174" s="36">
        <f t="shared" si="42"/>
        <v>0</v>
      </c>
      <c r="AF174" s="36"/>
      <c r="AG174" s="36"/>
      <c r="AH174" s="36">
        <f t="shared" si="43"/>
        <v>0</v>
      </c>
      <c r="AI174" s="36">
        <f t="shared" si="44"/>
        <v>0</v>
      </c>
      <c r="AJ174" s="36"/>
      <c r="AK174" s="36"/>
      <c r="AL174" s="36">
        <f t="shared" si="45"/>
        <v>0</v>
      </c>
      <c r="AM174" s="36">
        <f t="shared" si="46"/>
        <v>0</v>
      </c>
      <c r="AN174" s="36"/>
      <c r="AO174" s="36"/>
      <c r="AP174" s="36">
        <f t="shared" si="47"/>
        <v>0</v>
      </c>
      <c r="AQ174" s="36">
        <f t="shared" si="48"/>
        <v>0</v>
      </c>
    </row>
    <row r="175" spans="1:43" x14ac:dyDescent="0.55000000000000004">
      <c r="A175" s="30" t="e">
        <f t="shared" si="49"/>
        <v>#REF!</v>
      </c>
      <c r="B175" s="31">
        <v>45597</v>
      </c>
      <c r="C175" s="45"/>
      <c r="D175" s="33">
        <v>1</v>
      </c>
      <c r="E175" s="33"/>
      <c r="F175" s="33"/>
      <c r="G175" s="34" t="s">
        <v>360</v>
      </c>
      <c r="H175" s="35" t="s">
        <v>106</v>
      </c>
      <c r="I175" s="36">
        <v>1</v>
      </c>
      <c r="J175" s="37"/>
      <c r="K175" s="37"/>
      <c r="L175" s="37"/>
      <c r="M175" s="38" t="s">
        <v>102</v>
      </c>
      <c r="N175" s="54" t="s">
        <v>49</v>
      </c>
      <c r="O175" s="40">
        <v>8.3699999999999992</v>
      </c>
      <c r="P175" s="37">
        <f t="shared" si="36"/>
        <v>8.3699999999999992</v>
      </c>
      <c r="Q175" s="41"/>
      <c r="R175" s="42">
        <f t="shared" si="52"/>
        <v>0</v>
      </c>
      <c r="S175" s="42">
        <f t="shared" si="51"/>
        <v>0</v>
      </c>
      <c r="T175" s="43">
        <f t="shared" si="37"/>
        <v>0</v>
      </c>
      <c r="U175" s="43">
        <f t="shared" si="37"/>
        <v>0</v>
      </c>
      <c r="V175" s="44">
        <f t="shared" si="50"/>
        <v>1</v>
      </c>
      <c r="W175" s="36">
        <f t="shared" si="38"/>
        <v>8.3699999999999992</v>
      </c>
      <c r="X175" s="36"/>
      <c r="Y175" s="36"/>
      <c r="Z175" s="36">
        <f t="shared" si="39"/>
        <v>0</v>
      </c>
      <c r="AA175" s="36">
        <f t="shared" si="40"/>
        <v>0</v>
      </c>
      <c r="AB175" s="36"/>
      <c r="AC175" s="36"/>
      <c r="AD175" s="36">
        <f t="shared" si="41"/>
        <v>0</v>
      </c>
      <c r="AE175" s="36">
        <f t="shared" si="42"/>
        <v>0</v>
      </c>
      <c r="AF175" s="36"/>
      <c r="AG175" s="36"/>
      <c r="AH175" s="36">
        <f t="shared" si="43"/>
        <v>0</v>
      </c>
      <c r="AI175" s="36">
        <f t="shared" si="44"/>
        <v>0</v>
      </c>
      <c r="AJ175" s="36"/>
      <c r="AK175" s="36"/>
      <c r="AL175" s="36">
        <f t="shared" si="45"/>
        <v>0</v>
      </c>
      <c r="AM175" s="36">
        <f t="shared" si="46"/>
        <v>0</v>
      </c>
      <c r="AN175" s="36"/>
      <c r="AO175" s="36"/>
      <c r="AP175" s="36">
        <f t="shared" si="47"/>
        <v>0</v>
      </c>
      <c r="AQ175" s="36">
        <f t="shared" si="48"/>
        <v>0</v>
      </c>
    </row>
    <row r="176" spans="1:43" x14ac:dyDescent="0.55000000000000004">
      <c r="A176" s="30" t="e">
        <f t="shared" si="49"/>
        <v>#REF!</v>
      </c>
      <c r="B176" s="31">
        <v>45717</v>
      </c>
      <c r="C176" s="31"/>
      <c r="D176" s="61">
        <v>1</v>
      </c>
      <c r="E176" s="61"/>
      <c r="F176" s="61"/>
      <c r="G176" s="50">
        <v>1722848</v>
      </c>
      <c r="H176" s="35" t="s">
        <v>361</v>
      </c>
      <c r="I176" s="36">
        <v>1</v>
      </c>
      <c r="J176" s="37"/>
      <c r="K176" s="37"/>
      <c r="L176" s="37"/>
      <c r="M176" s="38" t="s">
        <v>196</v>
      </c>
      <c r="N176" s="54"/>
      <c r="O176" s="40">
        <v>1019.72</v>
      </c>
      <c r="P176" s="37">
        <f t="shared" si="36"/>
        <v>1019.72</v>
      </c>
      <c r="Q176" s="41"/>
      <c r="R176" s="42">
        <f t="shared" si="52"/>
        <v>0</v>
      </c>
      <c r="S176" s="42">
        <f t="shared" si="51"/>
        <v>0</v>
      </c>
      <c r="T176" s="43">
        <f t="shared" si="37"/>
        <v>0</v>
      </c>
      <c r="U176" s="43">
        <f t="shared" si="37"/>
        <v>0</v>
      </c>
      <c r="V176" s="44">
        <f t="shared" si="50"/>
        <v>1</v>
      </c>
      <c r="W176" s="36">
        <f t="shared" si="38"/>
        <v>1019.72</v>
      </c>
      <c r="X176" s="36"/>
      <c r="Y176" s="36"/>
      <c r="Z176" s="36">
        <f t="shared" si="39"/>
        <v>0</v>
      </c>
      <c r="AA176" s="36">
        <f t="shared" si="40"/>
        <v>0</v>
      </c>
      <c r="AB176" s="36"/>
      <c r="AC176" s="36"/>
      <c r="AD176" s="36">
        <f t="shared" si="41"/>
        <v>0</v>
      </c>
      <c r="AE176" s="36">
        <f t="shared" si="42"/>
        <v>0</v>
      </c>
      <c r="AF176" s="36"/>
      <c r="AG176" s="36"/>
      <c r="AH176" s="36">
        <f t="shared" si="43"/>
        <v>0</v>
      </c>
      <c r="AI176" s="36">
        <f t="shared" si="44"/>
        <v>0</v>
      </c>
      <c r="AJ176" s="36"/>
      <c r="AK176" s="36"/>
      <c r="AL176" s="36">
        <f t="shared" si="45"/>
        <v>0</v>
      </c>
      <c r="AM176" s="36">
        <f t="shared" si="46"/>
        <v>0</v>
      </c>
      <c r="AN176" s="36"/>
      <c r="AO176" s="36"/>
      <c r="AP176" s="36">
        <f t="shared" si="47"/>
        <v>0</v>
      </c>
      <c r="AQ176" s="36">
        <f t="shared" si="48"/>
        <v>0</v>
      </c>
    </row>
    <row r="177" spans="1:43" x14ac:dyDescent="0.55000000000000004">
      <c r="A177" s="30" t="e">
        <f t="shared" si="49"/>
        <v>#REF!</v>
      </c>
      <c r="B177" s="31">
        <v>45778</v>
      </c>
      <c r="C177" s="45"/>
      <c r="D177" s="33">
        <v>3</v>
      </c>
      <c r="E177" s="33"/>
      <c r="F177" s="33"/>
      <c r="G177" s="51" t="s">
        <v>362</v>
      </c>
      <c r="H177" s="37" t="s">
        <v>141</v>
      </c>
      <c r="I177" s="36">
        <v>2</v>
      </c>
      <c r="J177" s="37" t="s">
        <v>80</v>
      </c>
      <c r="K177" s="37"/>
      <c r="L177" s="37"/>
      <c r="M177" s="38" t="s">
        <v>143</v>
      </c>
      <c r="N177" s="54"/>
      <c r="O177" s="40">
        <v>95</v>
      </c>
      <c r="P177" s="37">
        <f t="shared" si="36"/>
        <v>190</v>
      </c>
      <c r="Q177" s="41"/>
      <c r="R177" s="42">
        <f t="shared" si="52"/>
        <v>0</v>
      </c>
      <c r="S177" s="42">
        <f t="shared" si="51"/>
        <v>0</v>
      </c>
      <c r="T177" s="43">
        <f t="shared" si="37"/>
        <v>0</v>
      </c>
      <c r="U177" s="43">
        <f t="shared" si="37"/>
        <v>0</v>
      </c>
      <c r="V177" s="44">
        <f t="shared" si="50"/>
        <v>2</v>
      </c>
      <c r="W177" s="36">
        <f t="shared" si="38"/>
        <v>190</v>
      </c>
      <c r="X177" s="36"/>
      <c r="Y177" s="36"/>
      <c r="Z177" s="36">
        <f t="shared" si="39"/>
        <v>0</v>
      </c>
      <c r="AA177" s="36">
        <f t="shared" si="40"/>
        <v>0</v>
      </c>
      <c r="AB177" s="36"/>
      <c r="AC177" s="36"/>
      <c r="AD177" s="36">
        <f t="shared" si="41"/>
        <v>0</v>
      </c>
      <c r="AE177" s="36">
        <f t="shared" si="42"/>
        <v>0</v>
      </c>
      <c r="AF177" s="36"/>
      <c r="AG177" s="36"/>
      <c r="AH177" s="36">
        <f t="shared" si="43"/>
        <v>0</v>
      </c>
      <c r="AI177" s="36">
        <f t="shared" si="44"/>
        <v>0</v>
      </c>
      <c r="AJ177" s="36"/>
      <c r="AK177" s="36"/>
      <c r="AL177" s="36">
        <f t="shared" si="45"/>
        <v>0</v>
      </c>
      <c r="AM177" s="36">
        <f t="shared" si="46"/>
        <v>0</v>
      </c>
      <c r="AN177" s="36"/>
      <c r="AO177" s="36"/>
      <c r="AP177" s="36">
        <f t="shared" si="47"/>
        <v>0</v>
      </c>
      <c r="AQ177" s="36">
        <f t="shared" si="48"/>
        <v>0</v>
      </c>
    </row>
    <row r="178" spans="1:43" x14ac:dyDescent="0.55000000000000004">
      <c r="A178" s="30" t="e">
        <f t="shared" si="49"/>
        <v>#REF!</v>
      </c>
      <c r="B178" s="31">
        <v>44896</v>
      </c>
      <c r="C178" s="45"/>
      <c r="D178" s="33">
        <v>10</v>
      </c>
      <c r="E178" s="33"/>
      <c r="F178" s="33"/>
      <c r="G178" s="51" t="s">
        <v>363</v>
      </c>
      <c r="H178" s="37" t="s">
        <v>201</v>
      </c>
      <c r="I178" s="36">
        <v>10</v>
      </c>
      <c r="J178" s="37"/>
      <c r="K178" s="37"/>
      <c r="L178" s="37"/>
      <c r="M178" s="38" t="s">
        <v>83</v>
      </c>
      <c r="N178" s="54" t="s">
        <v>49</v>
      </c>
      <c r="O178" s="40">
        <v>16.59</v>
      </c>
      <c r="P178" s="37">
        <f t="shared" si="36"/>
        <v>165.9</v>
      </c>
      <c r="Q178" s="41"/>
      <c r="R178" s="42">
        <f t="shared" si="52"/>
        <v>0</v>
      </c>
      <c r="S178" s="42">
        <f t="shared" si="51"/>
        <v>0</v>
      </c>
      <c r="T178" s="43">
        <f t="shared" si="37"/>
        <v>0</v>
      </c>
      <c r="U178" s="43">
        <f t="shared" si="37"/>
        <v>0</v>
      </c>
      <c r="V178" s="44">
        <f t="shared" si="50"/>
        <v>10</v>
      </c>
      <c r="W178" s="36">
        <f t="shared" si="38"/>
        <v>165.9</v>
      </c>
      <c r="X178" s="36"/>
      <c r="Y178" s="36"/>
      <c r="Z178" s="36">
        <f t="shared" si="39"/>
        <v>0</v>
      </c>
      <c r="AA178" s="36">
        <f t="shared" si="40"/>
        <v>0</v>
      </c>
      <c r="AB178" s="36"/>
      <c r="AC178" s="36"/>
      <c r="AD178" s="36">
        <f t="shared" si="41"/>
        <v>0</v>
      </c>
      <c r="AE178" s="36">
        <f t="shared" si="42"/>
        <v>0</v>
      </c>
      <c r="AF178" s="36"/>
      <c r="AG178" s="36"/>
      <c r="AH178" s="36">
        <f t="shared" si="43"/>
        <v>0</v>
      </c>
      <c r="AI178" s="36">
        <f t="shared" si="44"/>
        <v>0</v>
      </c>
      <c r="AJ178" s="36"/>
      <c r="AK178" s="36"/>
      <c r="AL178" s="36">
        <f t="shared" si="45"/>
        <v>0</v>
      </c>
      <c r="AM178" s="36">
        <f t="shared" si="46"/>
        <v>0</v>
      </c>
      <c r="AN178" s="36"/>
      <c r="AO178" s="36"/>
      <c r="AP178" s="36">
        <f t="shared" si="47"/>
        <v>0</v>
      </c>
      <c r="AQ178" s="36">
        <f t="shared" si="48"/>
        <v>0</v>
      </c>
    </row>
    <row r="179" spans="1:43" x14ac:dyDescent="0.55000000000000004">
      <c r="A179" s="30" t="e">
        <f t="shared" si="49"/>
        <v>#REF!</v>
      </c>
      <c r="B179" s="31">
        <v>45474</v>
      </c>
      <c r="C179" s="45"/>
      <c r="D179" s="33">
        <v>16</v>
      </c>
      <c r="E179" s="33"/>
      <c r="F179" s="33"/>
      <c r="G179" s="34" t="s">
        <v>364</v>
      </c>
      <c r="H179" s="35" t="s">
        <v>365</v>
      </c>
      <c r="I179" s="36">
        <v>16</v>
      </c>
      <c r="J179" s="37" t="s">
        <v>80</v>
      </c>
      <c r="K179" s="37"/>
      <c r="L179" s="37" t="s">
        <v>366</v>
      </c>
      <c r="M179" s="60" t="s">
        <v>83</v>
      </c>
      <c r="N179" s="54" t="s">
        <v>49</v>
      </c>
      <c r="O179" s="40">
        <v>6.86</v>
      </c>
      <c r="P179" s="37">
        <f t="shared" si="36"/>
        <v>109.76</v>
      </c>
      <c r="Q179" s="41" t="s">
        <v>54</v>
      </c>
      <c r="R179" s="42">
        <f t="shared" si="52"/>
        <v>0</v>
      </c>
      <c r="S179" s="42">
        <f t="shared" si="51"/>
        <v>0</v>
      </c>
      <c r="T179" s="43">
        <f t="shared" si="37"/>
        <v>0</v>
      </c>
      <c r="U179" s="43">
        <f t="shared" si="37"/>
        <v>0</v>
      </c>
      <c r="V179" s="44">
        <f t="shared" si="50"/>
        <v>16</v>
      </c>
      <c r="W179" s="36">
        <f t="shared" si="38"/>
        <v>109.76</v>
      </c>
      <c r="X179" s="36"/>
      <c r="Y179" s="36"/>
      <c r="Z179" s="36">
        <f t="shared" si="39"/>
        <v>0</v>
      </c>
      <c r="AA179" s="36">
        <f t="shared" si="40"/>
        <v>0</v>
      </c>
      <c r="AB179" s="36"/>
      <c r="AC179" s="36"/>
      <c r="AD179" s="36">
        <f t="shared" si="41"/>
        <v>0</v>
      </c>
      <c r="AE179" s="36">
        <f t="shared" si="42"/>
        <v>0</v>
      </c>
      <c r="AF179" s="36"/>
      <c r="AG179" s="36"/>
      <c r="AH179" s="36">
        <f t="shared" si="43"/>
        <v>0</v>
      </c>
      <c r="AI179" s="36">
        <f t="shared" si="44"/>
        <v>0</v>
      </c>
      <c r="AJ179" s="36"/>
      <c r="AK179" s="36"/>
      <c r="AL179" s="36">
        <f t="shared" si="45"/>
        <v>0</v>
      </c>
      <c r="AM179" s="36">
        <f t="shared" si="46"/>
        <v>0</v>
      </c>
      <c r="AN179" s="36"/>
      <c r="AO179" s="36"/>
      <c r="AP179" s="36">
        <f t="shared" si="47"/>
        <v>0</v>
      </c>
      <c r="AQ179" s="36">
        <f t="shared" si="48"/>
        <v>0</v>
      </c>
    </row>
    <row r="180" spans="1:43" x14ac:dyDescent="0.55000000000000004">
      <c r="A180" s="30" t="e">
        <f t="shared" si="49"/>
        <v>#REF!</v>
      </c>
      <c r="B180" s="31">
        <v>45778</v>
      </c>
      <c r="C180" s="45"/>
      <c r="D180" s="33">
        <v>2</v>
      </c>
      <c r="E180" s="33"/>
      <c r="F180" s="33"/>
      <c r="G180" s="70" t="s">
        <v>367</v>
      </c>
      <c r="H180" s="37" t="s">
        <v>201</v>
      </c>
      <c r="I180" s="36">
        <v>0</v>
      </c>
      <c r="J180" s="37" t="s">
        <v>80</v>
      </c>
      <c r="K180" s="37"/>
      <c r="L180" s="37"/>
      <c r="M180" s="60" t="s">
        <v>83</v>
      </c>
      <c r="N180" s="54" t="s">
        <v>49</v>
      </c>
      <c r="O180" s="40">
        <v>20.86</v>
      </c>
      <c r="P180" s="37">
        <f t="shared" si="36"/>
        <v>0</v>
      </c>
      <c r="Q180" s="41"/>
      <c r="R180" s="42">
        <f t="shared" si="52"/>
        <v>0</v>
      </c>
      <c r="S180" s="42">
        <f t="shared" si="51"/>
        <v>0</v>
      </c>
      <c r="T180" s="43">
        <f t="shared" si="37"/>
        <v>0</v>
      </c>
      <c r="U180" s="43">
        <f t="shared" si="37"/>
        <v>0</v>
      </c>
      <c r="V180" s="44">
        <f t="shared" si="50"/>
        <v>0</v>
      </c>
      <c r="W180" s="36">
        <f t="shared" si="38"/>
        <v>0</v>
      </c>
      <c r="X180" s="36"/>
      <c r="Y180" s="36"/>
      <c r="Z180" s="36">
        <f t="shared" si="39"/>
        <v>0</v>
      </c>
      <c r="AA180" s="36">
        <f t="shared" si="40"/>
        <v>0</v>
      </c>
      <c r="AB180" s="36"/>
      <c r="AC180" s="36"/>
      <c r="AD180" s="36">
        <f t="shared" si="41"/>
        <v>0</v>
      </c>
      <c r="AE180" s="36">
        <f t="shared" si="42"/>
        <v>0</v>
      </c>
      <c r="AF180" s="36"/>
      <c r="AG180" s="36"/>
      <c r="AH180" s="36">
        <f t="shared" si="43"/>
        <v>0</v>
      </c>
      <c r="AI180" s="36">
        <f t="shared" si="44"/>
        <v>0</v>
      </c>
      <c r="AJ180" s="36"/>
      <c r="AK180" s="36"/>
      <c r="AL180" s="36">
        <f t="shared" si="45"/>
        <v>0</v>
      </c>
      <c r="AM180" s="36">
        <f t="shared" si="46"/>
        <v>0</v>
      </c>
      <c r="AN180" s="36"/>
      <c r="AO180" s="36"/>
      <c r="AP180" s="36">
        <f t="shared" si="47"/>
        <v>0</v>
      </c>
      <c r="AQ180" s="36">
        <f t="shared" si="48"/>
        <v>0</v>
      </c>
    </row>
    <row r="181" spans="1:43" x14ac:dyDescent="0.55000000000000004">
      <c r="A181" s="30" t="e">
        <f t="shared" si="49"/>
        <v>#REF!</v>
      </c>
      <c r="B181" s="31">
        <v>45748</v>
      </c>
      <c r="C181" s="45"/>
      <c r="D181" s="33">
        <v>14</v>
      </c>
      <c r="E181" s="33"/>
      <c r="F181" s="33"/>
      <c r="G181" s="53" t="s">
        <v>368</v>
      </c>
      <c r="H181" s="35" t="s">
        <v>369</v>
      </c>
      <c r="I181" s="36">
        <v>2</v>
      </c>
      <c r="J181" s="37" t="s">
        <v>54</v>
      </c>
      <c r="K181" s="37"/>
      <c r="L181" s="37"/>
      <c r="M181" s="60" t="s">
        <v>83</v>
      </c>
      <c r="N181" s="54" t="s">
        <v>49</v>
      </c>
      <c r="O181" s="40">
        <v>23.31</v>
      </c>
      <c r="P181" s="37">
        <f t="shared" si="36"/>
        <v>46.62</v>
      </c>
      <c r="Q181" s="41" t="s">
        <v>54</v>
      </c>
      <c r="R181" s="42">
        <f t="shared" si="52"/>
        <v>0</v>
      </c>
      <c r="S181" s="42">
        <f t="shared" si="51"/>
        <v>0</v>
      </c>
      <c r="T181" s="43">
        <f t="shared" si="37"/>
        <v>0</v>
      </c>
      <c r="U181" s="43">
        <f t="shared" si="37"/>
        <v>0</v>
      </c>
      <c r="V181" s="44">
        <f t="shared" si="50"/>
        <v>2</v>
      </c>
      <c r="W181" s="36">
        <f t="shared" si="38"/>
        <v>46.62</v>
      </c>
      <c r="X181" s="36"/>
      <c r="Y181" s="36"/>
      <c r="Z181" s="36">
        <f t="shared" si="39"/>
        <v>0</v>
      </c>
      <c r="AA181" s="36">
        <f t="shared" si="40"/>
        <v>0</v>
      </c>
      <c r="AB181" s="36"/>
      <c r="AC181" s="36"/>
      <c r="AD181" s="36">
        <f t="shared" si="41"/>
        <v>0</v>
      </c>
      <c r="AE181" s="36">
        <f t="shared" si="42"/>
        <v>0</v>
      </c>
      <c r="AF181" s="36"/>
      <c r="AG181" s="36"/>
      <c r="AH181" s="36">
        <f t="shared" si="43"/>
        <v>0</v>
      </c>
      <c r="AI181" s="36">
        <f t="shared" si="44"/>
        <v>0</v>
      </c>
      <c r="AJ181" s="36"/>
      <c r="AK181" s="36"/>
      <c r="AL181" s="36">
        <f t="shared" si="45"/>
        <v>0</v>
      </c>
      <c r="AM181" s="36">
        <f t="shared" si="46"/>
        <v>0</v>
      </c>
      <c r="AN181" s="36"/>
      <c r="AO181" s="36"/>
      <c r="AP181" s="36">
        <f t="shared" si="47"/>
        <v>0</v>
      </c>
      <c r="AQ181" s="36">
        <f t="shared" si="48"/>
        <v>0</v>
      </c>
    </row>
    <row r="182" spans="1:43" x14ac:dyDescent="0.55000000000000004">
      <c r="A182" s="30" t="e">
        <f t="shared" si="49"/>
        <v>#REF!</v>
      </c>
      <c r="B182" s="31">
        <v>44743</v>
      </c>
      <c r="C182" s="45"/>
      <c r="D182" s="33">
        <v>5</v>
      </c>
      <c r="E182" s="33"/>
      <c r="F182" s="33"/>
      <c r="G182" s="34" t="s">
        <v>370</v>
      </c>
      <c r="H182" s="35" t="s">
        <v>371</v>
      </c>
      <c r="I182" s="36">
        <v>0</v>
      </c>
      <c r="J182" s="37" t="s">
        <v>80</v>
      </c>
      <c r="K182" s="37"/>
      <c r="L182" s="37"/>
      <c r="M182" s="60" t="s">
        <v>83</v>
      </c>
      <c r="N182" s="54" t="s">
        <v>49</v>
      </c>
      <c r="O182" s="40">
        <v>29.23</v>
      </c>
      <c r="P182" s="37">
        <f t="shared" si="36"/>
        <v>0</v>
      </c>
      <c r="Q182" s="41" t="s">
        <v>54</v>
      </c>
      <c r="R182" s="42">
        <f t="shared" si="52"/>
        <v>0</v>
      </c>
      <c r="S182" s="42">
        <f t="shared" si="51"/>
        <v>0</v>
      </c>
      <c r="T182" s="43">
        <f t="shared" si="37"/>
        <v>0</v>
      </c>
      <c r="U182" s="43">
        <f t="shared" si="37"/>
        <v>0</v>
      </c>
      <c r="V182" s="44">
        <f t="shared" si="50"/>
        <v>0</v>
      </c>
      <c r="W182" s="36">
        <f t="shared" si="38"/>
        <v>0</v>
      </c>
      <c r="X182" s="36"/>
      <c r="Y182" s="36"/>
      <c r="Z182" s="36">
        <f t="shared" si="39"/>
        <v>0</v>
      </c>
      <c r="AA182" s="36">
        <f t="shared" si="40"/>
        <v>0</v>
      </c>
      <c r="AB182" s="36"/>
      <c r="AC182" s="36"/>
      <c r="AD182" s="36">
        <f t="shared" si="41"/>
        <v>0</v>
      </c>
      <c r="AE182" s="36">
        <f t="shared" si="42"/>
        <v>0</v>
      </c>
      <c r="AF182" s="36"/>
      <c r="AG182" s="36"/>
      <c r="AH182" s="36">
        <f t="shared" si="43"/>
        <v>0</v>
      </c>
      <c r="AI182" s="36">
        <f t="shared" si="44"/>
        <v>0</v>
      </c>
      <c r="AJ182" s="36"/>
      <c r="AK182" s="36"/>
      <c r="AL182" s="36">
        <f t="shared" si="45"/>
        <v>0</v>
      </c>
      <c r="AM182" s="36">
        <f t="shared" si="46"/>
        <v>0</v>
      </c>
      <c r="AN182" s="36"/>
      <c r="AO182" s="36"/>
      <c r="AP182" s="36">
        <f t="shared" si="47"/>
        <v>0</v>
      </c>
      <c r="AQ182" s="36">
        <f t="shared" si="48"/>
        <v>0</v>
      </c>
    </row>
    <row r="183" spans="1:43" x14ac:dyDescent="0.55000000000000004">
      <c r="A183" s="30" t="e">
        <f t="shared" si="49"/>
        <v>#REF!</v>
      </c>
      <c r="B183" s="31">
        <v>45444</v>
      </c>
      <c r="C183" s="45"/>
      <c r="D183" s="33">
        <v>1</v>
      </c>
      <c r="E183" s="33"/>
      <c r="F183" s="33"/>
      <c r="G183" s="34" t="s">
        <v>372</v>
      </c>
      <c r="H183" s="35" t="s">
        <v>373</v>
      </c>
      <c r="I183" s="36">
        <v>6</v>
      </c>
      <c r="J183" s="37" t="s">
        <v>374</v>
      </c>
      <c r="K183" s="37"/>
      <c r="L183" s="37"/>
      <c r="M183" s="38" t="s">
        <v>85</v>
      </c>
      <c r="N183" s="54" t="s">
        <v>41</v>
      </c>
      <c r="O183" s="40">
        <v>138.4</v>
      </c>
      <c r="P183" s="37">
        <f t="shared" si="36"/>
        <v>830.40000000000009</v>
      </c>
      <c r="Q183" s="41"/>
      <c r="R183" s="42">
        <f t="shared" si="52"/>
        <v>0</v>
      </c>
      <c r="S183" s="42">
        <f t="shared" si="51"/>
        <v>553.6</v>
      </c>
      <c r="T183" s="43">
        <f t="shared" si="37"/>
        <v>0</v>
      </c>
      <c r="U183" s="43">
        <f t="shared" si="37"/>
        <v>4</v>
      </c>
      <c r="V183" s="44">
        <f t="shared" si="50"/>
        <v>2</v>
      </c>
      <c r="W183" s="36">
        <f t="shared" si="38"/>
        <v>276.8</v>
      </c>
      <c r="X183" s="36"/>
      <c r="Y183" s="36">
        <v>4</v>
      </c>
      <c r="Z183" s="36">
        <f t="shared" si="39"/>
        <v>0</v>
      </c>
      <c r="AA183" s="36">
        <f t="shared" si="40"/>
        <v>553.6</v>
      </c>
      <c r="AB183" s="36"/>
      <c r="AC183" s="36"/>
      <c r="AD183" s="36">
        <f t="shared" si="41"/>
        <v>0</v>
      </c>
      <c r="AE183" s="36">
        <f t="shared" si="42"/>
        <v>0</v>
      </c>
      <c r="AF183" s="36"/>
      <c r="AG183" s="36"/>
      <c r="AH183" s="36">
        <f t="shared" si="43"/>
        <v>0</v>
      </c>
      <c r="AI183" s="36">
        <f t="shared" si="44"/>
        <v>0</v>
      </c>
      <c r="AJ183" s="36"/>
      <c r="AK183" s="36"/>
      <c r="AL183" s="36">
        <f t="shared" si="45"/>
        <v>0</v>
      </c>
      <c r="AM183" s="36">
        <f t="shared" si="46"/>
        <v>0</v>
      </c>
      <c r="AN183" s="36"/>
      <c r="AO183" s="36"/>
      <c r="AP183" s="36">
        <f t="shared" si="47"/>
        <v>0</v>
      </c>
      <c r="AQ183" s="36">
        <f t="shared" si="48"/>
        <v>0</v>
      </c>
    </row>
    <row r="184" spans="1:43" x14ac:dyDescent="0.55000000000000004">
      <c r="A184" s="30" t="e">
        <f t="shared" si="49"/>
        <v>#REF!</v>
      </c>
      <c r="B184" s="31">
        <v>44896</v>
      </c>
      <c r="C184" s="45"/>
      <c r="D184" s="33">
        <v>3</v>
      </c>
      <c r="E184" s="33"/>
      <c r="F184" s="33"/>
      <c r="G184" s="34" t="s">
        <v>375</v>
      </c>
      <c r="H184" s="35" t="s">
        <v>376</v>
      </c>
      <c r="I184" s="36">
        <v>3</v>
      </c>
      <c r="J184" s="37" t="s">
        <v>54</v>
      </c>
      <c r="K184" s="37"/>
      <c r="L184" s="37"/>
      <c r="M184" s="38" t="s">
        <v>85</v>
      </c>
      <c r="N184" s="54" t="s">
        <v>41</v>
      </c>
      <c r="O184" s="40">
        <v>16.79</v>
      </c>
      <c r="P184" s="37">
        <f t="shared" si="36"/>
        <v>50.37</v>
      </c>
      <c r="Q184" s="41" t="s">
        <v>54</v>
      </c>
      <c r="R184" s="42">
        <f t="shared" si="52"/>
        <v>0</v>
      </c>
      <c r="S184" s="42">
        <f t="shared" si="51"/>
        <v>0</v>
      </c>
      <c r="T184" s="43">
        <f t="shared" si="37"/>
        <v>0</v>
      </c>
      <c r="U184" s="43">
        <f t="shared" si="37"/>
        <v>0</v>
      </c>
      <c r="V184" s="44">
        <f t="shared" si="50"/>
        <v>3</v>
      </c>
      <c r="W184" s="36">
        <f t="shared" si="38"/>
        <v>50.37</v>
      </c>
      <c r="X184" s="36"/>
      <c r="Y184" s="36"/>
      <c r="Z184" s="36">
        <f t="shared" si="39"/>
        <v>0</v>
      </c>
      <c r="AA184" s="36">
        <f t="shared" si="40"/>
        <v>0</v>
      </c>
      <c r="AB184" s="36"/>
      <c r="AC184" s="36"/>
      <c r="AD184" s="36">
        <f t="shared" si="41"/>
        <v>0</v>
      </c>
      <c r="AE184" s="36">
        <f t="shared" si="42"/>
        <v>0</v>
      </c>
      <c r="AF184" s="36"/>
      <c r="AG184" s="36"/>
      <c r="AH184" s="36">
        <f t="shared" si="43"/>
        <v>0</v>
      </c>
      <c r="AI184" s="36">
        <f t="shared" si="44"/>
        <v>0</v>
      </c>
      <c r="AJ184" s="36"/>
      <c r="AK184" s="36"/>
      <c r="AL184" s="36">
        <f t="shared" si="45"/>
        <v>0</v>
      </c>
      <c r="AM184" s="36">
        <f t="shared" si="46"/>
        <v>0</v>
      </c>
      <c r="AN184" s="36"/>
      <c r="AO184" s="36"/>
      <c r="AP184" s="36">
        <f t="shared" si="47"/>
        <v>0</v>
      </c>
      <c r="AQ184" s="36">
        <f t="shared" si="48"/>
        <v>0</v>
      </c>
    </row>
    <row r="185" spans="1:43" x14ac:dyDescent="0.55000000000000004">
      <c r="A185" s="30" t="e">
        <f t="shared" si="49"/>
        <v>#REF!</v>
      </c>
      <c r="B185" s="31">
        <v>45505</v>
      </c>
      <c r="C185" s="45"/>
      <c r="D185" s="33">
        <v>1</v>
      </c>
      <c r="E185" s="33"/>
      <c r="F185" s="33"/>
      <c r="G185" s="46" t="s">
        <v>377</v>
      </c>
      <c r="H185" s="35" t="s">
        <v>141</v>
      </c>
      <c r="I185" s="36">
        <v>0</v>
      </c>
      <c r="J185" s="37" t="s">
        <v>54</v>
      </c>
      <c r="K185" s="37"/>
      <c r="L185" s="37"/>
      <c r="M185" s="60" t="s">
        <v>143</v>
      </c>
      <c r="N185" s="54"/>
      <c r="O185" s="40">
        <v>378.23</v>
      </c>
      <c r="P185" s="37">
        <f t="shared" si="36"/>
        <v>0</v>
      </c>
      <c r="Q185" s="41"/>
      <c r="R185" s="42">
        <f t="shared" si="52"/>
        <v>0</v>
      </c>
      <c r="S185" s="42">
        <f t="shared" si="51"/>
        <v>0</v>
      </c>
      <c r="T185" s="43">
        <f t="shared" si="37"/>
        <v>0</v>
      </c>
      <c r="U185" s="43">
        <f t="shared" si="37"/>
        <v>0</v>
      </c>
      <c r="V185" s="44">
        <f t="shared" si="50"/>
        <v>0</v>
      </c>
      <c r="W185" s="36">
        <f t="shared" si="38"/>
        <v>0</v>
      </c>
      <c r="X185" s="36"/>
      <c r="Y185" s="36"/>
      <c r="Z185" s="36">
        <f t="shared" si="39"/>
        <v>0</v>
      </c>
      <c r="AA185" s="36">
        <f t="shared" si="40"/>
        <v>0</v>
      </c>
      <c r="AB185" s="36"/>
      <c r="AC185" s="36"/>
      <c r="AD185" s="36">
        <f t="shared" si="41"/>
        <v>0</v>
      </c>
      <c r="AE185" s="36">
        <f t="shared" si="42"/>
        <v>0</v>
      </c>
      <c r="AF185" s="36"/>
      <c r="AG185" s="36"/>
      <c r="AH185" s="36">
        <f t="shared" si="43"/>
        <v>0</v>
      </c>
      <c r="AI185" s="36">
        <f t="shared" si="44"/>
        <v>0</v>
      </c>
      <c r="AJ185" s="36"/>
      <c r="AK185" s="36"/>
      <c r="AL185" s="36">
        <f t="shared" si="45"/>
        <v>0</v>
      </c>
      <c r="AM185" s="36">
        <f t="shared" si="46"/>
        <v>0</v>
      </c>
      <c r="AN185" s="36"/>
      <c r="AO185" s="36"/>
      <c r="AP185" s="36">
        <f t="shared" si="47"/>
        <v>0</v>
      </c>
      <c r="AQ185" s="36">
        <f t="shared" si="48"/>
        <v>0</v>
      </c>
    </row>
    <row r="186" spans="1:43" x14ac:dyDescent="0.55000000000000004">
      <c r="A186" s="30" t="e">
        <f t="shared" si="49"/>
        <v>#REF!</v>
      </c>
      <c r="B186" s="31">
        <v>44896</v>
      </c>
      <c r="C186" s="45"/>
      <c r="D186" s="33">
        <v>1</v>
      </c>
      <c r="E186" s="33"/>
      <c r="F186" s="33"/>
      <c r="G186" s="34" t="s">
        <v>378</v>
      </c>
      <c r="H186" s="35" t="s">
        <v>379</v>
      </c>
      <c r="I186" s="36">
        <v>1</v>
      </c>
      <c r="J186" s="37" t="s">
        <v>54</v>
      </c>
      <c r="K186" s="37"/>
      <c r="L186" s="37"/>
      <c r="M186" s="60" t="s">
        <v>85</v>
      </c>
      <c r="N186" s="54" t="s">
        <v>49</v>
      </c>
      <c r="O186" s="40">
        <v>43.36</v>
      </c>
      <c r="P186" s="37">
        <f t="shared" si="36"/>
        <v>43.36</v>
      </c>
      <c r="Q186" s="41" t="s">
        <v>54</v>
      </c>
      <c r="R186" s="42">
        <f t="shared" si="52"/>
        <v>0</v>
      </c>
      <c r="S186" s="42">
        <f t="shared" si="51"/>
        <v>43.36</v>
      </c>
      <c r="T186" s="43">
        <f t="shared" si="37"/>
        <v>0</v>
      </c>
      <c r="U186" s="43">
        <f t="shared" si="37"/>
        <v>1</v>
      </c>
      <c r="V186" s="44">
        <f t="shared" si="50"/>
        <v>0</v>
      </c>
      <c r="W186" s="36">
        <f t="shared" si="38"/>
        <v>0</v>
      </c>
      <c r="X186" s="36"/>
      <c r="Y186" s="36"/>
      <c r="Z186" s="36">
        <f t="shared" si="39"/>
        <v>0</v>
      </c>
      <c r="AA186" s="36">
        <f t="shared" si="40"/>
        <v>0</v>
      </c>
      <c r="AB186" s="36"/>
      <c r="AC186" s="36"/>
      <c r="AD186" s="36">
        <f t="shared" si="41"/>
        <v>0</v>
      </c>
      <c r="AE186" s="36">
        <f t="shared" si="42"/>
        <v>0</v>
      </c>
      <c r="AF186" s="36"/>
      <c r="AG186" s="36">
        <v>1</v>
      </c>
      <c r="AH186" s="36">
        <f t="shared" si="43"/>
        <v>0</v>
      </c>
      <c r="AI186" s="36">
        <f t="shared" si="44"/>
        <v>43.36</v>
      </c>
      <c r="AJ186" s="36"/>
      <c r="AK186" s="36"/>
      <c r="AL186" s="36">
        <f t="shared" si="45"/>
        <v>0</v>
      </c>
      <c r="AM186" s="36">
        <f t="shared" si="46"/>
        <v>0</v>
      </c>
      <c r="AN186" s="36"/>
      <c r="AO186" s="36"/>
      <c r="AP186" s="36">
        <f t="shared" si="47"/>
        <v>0</v>
      </c>
      <c r="AQ186" s="36">
        <f t="shared" si="48"/>
        <v>0</v>
      </c>
    </row>
    <row r="187" spans="1:43" x14ac:dyDescent="0.55000000000000004">
      <c r="A187" s="30" t="e">
        <f t="shared" si="49"/>
        <v>#REF!</v>
      </c>
      <c r="B187" s="31">
        <v>45378</v>
      </c>
      <c r="C187" s="45"/>
      <c r="D187" s="33">
        <v>1</v>
      </c>
      <c r="E187" s="45">
        <v>44896</v>
      </c>
      <c r="F187" s="33">
        <v>2</v>
      </c>
      <c r="G187" s="34" t="s">
        <v>380</v>
      </c>
      <c r="H187" s="35" t="s">
        <v>381</v>
      </c>
      <c r="I187" s="36">
        <v>1</v>
      </c>
      <c r="J187" s="37" t="s">
        <v>54</v>
      </c>
      <c r="K187" s="37"/>
      <c r="L187" s="37"/>
      <c r="M187" s="38" t="s">
        <v>113</v>
      </c>
      <c r="N187" s="39" t="s">
        <v>114</v>
      </c>
      <c r="O187" s="40">
        <v>19.11</v>
      </c>
      <c r="P187" s="37">
        <f t="shared" si="36"/>
        <v>19.11</v>
      </c>
      <c r="Q187" s="41" t="s">
        <v>54</v>
      </c>
      <c r="R187" s="42">
        <f t="shared" si="52"/>
        <v>0</v>
      </c>
      <c r="S187" s="42">
        <f t="shared" si="51"/>
        <v>0</v>
      </c>
      <c r="T187" s="43">
        <f t="shared" si="37"/>
        <v>0</v>
      </c>
      <c r="U187" s="43">
        <f t="shared" si="37"/>
        <v>0</v>
      </c>
      <c r="V187" s="44">
        <f t="shared" si="50"/>
        <v>1</v>
      </c>
      <c r="W187" s="36">
        <f t="shared" si="38"/>
        <v>19.11</v>
      </c>
      <c r="X187" s="36"/>
      <c r="Y187" s="36"/>
      <c r="Z187" s="36">
        <f t="shared" si="39"/>
        <v>0</v>
      </c>
      <c r="AA187" s="36">
        <f t="shared" si="40"/>
        <v>0</v>
      </c>
      <c r="AB187" s="36"/>
      <c r="AC187" s="36"/>
      <c r="AD187" s="36">
        <f t="shared" si="41"/>
        <v>0</v>
      </c>
      <c r="AE187" s="36">
        <f t="shared" si="42"/>
        <v>0</v>
      </c>
      <c r="AF187" s="36"/>
      <c r="AG187" s="36"/>
      <c r="AH187" s="36">
        <f t="shared" si="43"/>
        <v>0</v>
      </c>
      <c r="AI187" s="36">
        <f t="shared" si="44"/>
        <v>0</v>
      </c>
      <c r="AJ187" s="36"/>
      <c r="AK187" s="36"/>
      <c r="AL187" s="36">
        <f t="shared" si="45"/>
        <v>0</v>
      </c>
      <c r="AM187" s="36">
        <f t="shared" si="46"/>
        <v>0</v>
      </c>
      <c r="AN187" s="36"/>
      <c r="AO187" s="36"/>
      <c r="AP187" s="36">
        <f t="shared" si="47"/>
        <v>0</v>
      </c>
      <c r="AQ187" s="36">
        <f t="shared" si="48"/>
        <v>0</v>
      </c>
    </row>
    <row r="188" spans="1:43" x14ac:dyDescent="0.55000000000000004">
      <c r="A188" s="30" t="e">
        <f t="shared" si="49"/>
        <v>#REF!</v>
      </c>
      <c r="B188" s="31">
        <v>45615</v>
      </c>
      <c r="C188" s="45"/>
      <c r="D188" s="33">
        <v>1</v>
      </c>
      <c r="E188" s="33"/>
      <c r="F188" s="33"/>
      <c r="G188" s="34" t="s">
        <v>382</v>
      </c>
      <c r="H188" s="35" t="s">
        <v>112</v>
      </c>
      <c r="I188" s="36">
        <v>1</v>
      </c>
      <c r="J188" s="37"/>
      <c r="K188" s="37"/>
      <c r="L188" s="37"/>
      <c r="M188" s="38" t="s">
        <v>113</v>
      </c>
      <c r="N188" s="39" t="s">
        <v>114</v>
      </c>
      <c r="O188" s="40">
        <v>378.07</v>
      </c>
      <c r="P188" s="37">
        <f t="shared" si="36"/>
        <v>378.07</v>
      </c>
      <c r="Q188" s="41"/>
      <c r="R188" s="42">
        <f t="shared" si="52"/>
        <v>0</v>
      </c>
      <c r="S188" s="42">
        <f t="shared" si="51"/>
        <v>0</v>
      </c>
      <c r="T188" s="43">
        <f t="shared" si="37"/>
        <v>0</v>
      </c>
      <c r="U188" s="43">
        <f t="shared" si="37"/>
        <v>0</v>
      </c>
      <c r="V188" s="44">
        <f t="shared" si="50"/>
        <v>1</v>
      </c>
      <c r="W188" s="36">
        <f t="shared" si="38"/>
        <v>378.07</v>
      </c>
      <c r="X188" s="36"/>
      <c r="Y188" s="36"/>
      <c r="Z188" s="36">
        <f t="shared" si="39"/>
        <v>0</v>
      </c>
      <c r="AA188" s="36">
        <f t="shared" si="40"/>
        <v>0</v>
      </c>
      <c r="AB188" s="36"/>
      <c r="AC188" s="36"/>
      <c r="AD188" s="36">
        <f t="shared" si="41"/>
        <v>0</v>
      </c>
      <c r="AE188" s="36">
        <f t="shared" si="42"/>
        <v>0</v>
      </c>
      <c r="AF188" s="36"/>
      <c r="AG188" s="36"/>
      <c r="AH188" s="36">
        <f t="shared" si="43"/>
        <v>0</v>
      </c>
      <c r="AI188" s="36">
        <f t="shared" si="44"/>
        <v>0</v>
      </c>
      <c r="AJ188" s="36"/>
      <c r="AK188" s="36"/>
      <c r="AL188" s="36">
        <f t="shared" si="45"/>
        <v>0</v>
      </c>
      <c r="AM188" s="36">
        <f t="shared" si="46"/>
        <v>0</v>
      </c>
      <c r="AN188" s="36"/>
      <c r="AO188" s="36"/>
      <c r="AP188" s="36">
        <f t="shared" si="47"/>
        <v>0</v>
      </c>
      <c r="AQ188" s="36">
        <f t="shared" si="48"/>
        <v>0</v>
      </c>
    </row>
    <row r="189" spans="1:43" x14ac:dyDescent="0.55000000000000004">
      <c r="A189" s="30" t="e">
        <f t="shared" si="49"/>
        <v>#REF!</v>
      </c>
      <c r="B189" s="31">
        <v>44896</v>
      </c>
      <c r="C189" s="45"/>
      <c r="D189" s="33">
        <v>1</v>
      </c>
      <c r="E189" s="33"/>
      <c r="F189" s="33"/>
      <c r="G189" s="51" t="s">
        <v>383</v>
      </c>
      <c r="H189" s="52" t="s">
        <v>163</v>
      </c>
      <c r="I189" s="36">
        <v>1</v>
      </c>
      <c r="J189" s="37" t="s">
        <v>64</v>
      </c>
      <c r="K189" s="37"/>
      <c r="L189" s="37"/>
      <c r="M189" s="60" t="s">
        <v>72</v>
      </c>
      <c r="N189" s="54" t="s">
        <v>41</v>
      </c>
      <c r="O189" s="40">
        <v>147.38</v>
      </c>
      <c r="P189" s="37">
        <f t="shared" si="36"/>
        <v>147.38</v>
      </c>
      <c r="Q189" s="41" t="s">
        <v>384</v>
      </c>
      <c r="R189" s="42">
        <f t="shared" si="52"/>
        <v>0</v>
      </c>
      <c r="S189" s="42">
        <f t="shared" si="51"/>
        <v>0</v>
      </c>
      <c r="T189" s="43">
        <f t="shared" si="37"/>
        <v>0</v>
      </c>
      <c r="U189" s="43">
        <f t="shared" si="37"/>
        <v>0</v>
      </c>
      <c r="V189" s="44">
        <f t="shared" si="50"/>
        <v>1</v>
      </c>
      <c r="W189" s="36">
        <f t="shared" si="38"/>
        <v>147.38</v>
      </c>
      <c r="X189" s="36"/>
      <c r="Y189" s="36"/>
      <c r="Z189" s="36">
        <f t="shared" si="39"/>
        <v>0</v>
      </c>
      <c r="AA189" s="36">
        <f t="shared" si="40"/>
        <v>0</v>
      </c>
      <c r="AB189" s="36"/>
      <c r="AC189" s="36"/>
      <c r="AD189" s="36">
        <f t="shared" si="41"/>
        <v>0</v>
      </c>
      <c r="AE189" s="36">
        <f t="shared" si="42"/>
        <v>0</v>
      </c>
      <c r="AF189" s="36"/>
      <c r="AG189" s="36"/>
      <c r="AH189" s="36">
        <f t="shared" si="43"/>
        <v>0</v>
      </c>
      <c r="AI189" s="36">
        <f t="shared" si="44"/>
        <v>0</v>
      </c>
      <c r="AJ189" s="36"/>
      <c r="AK189" s="36"/>
      <c r="AL189" s="36">
        <f t="shared" si="45"/>
        <v>0</v>
      </c>
      <c r="AM189" s="36">
        <f t="shared" si="46"/>
        <v>0</v>
      </c>
      <c r="AN189" s="36"/>
      <c r="AO189" s="36"/>
      <c r="AP189" s="36">
        <f t="shared" si="47"/>
        <v>0</v>
      </c>
      <c r="AQ189" s="36">
        <f t="shared" si="48"/>
        <v>0</v>
      </c>
    </row>
    <row r="190" spans="1:43" x14ac:dyDescent="0.55000000000000004">
      <c r="A190" s="30" t="e">
        <f>+#REF!+1</f>
        <v>#REF!</v>
      </c>
      <c r="B190" s="31">
        <v>45413</v>
      </c>
      <c r="C190" s="45"/>
      <c r="D190" s="33">
        <v>2</v>
      </c>
      <c r="E190" s="33"/>
      <c r="F190" s="33"/>
      <c r="G190" s="46" t="s">
        <v>385</v>
      </c>
      <c r="H190" s="35" t="s">
        <v>386</v>
      </c>
      <c r="I190" s="36">
        <v>0</v>
      </c>
      <c r="J190" s="37" t="s">
        <v>54</v>
      </c>
      <c r="K190" s="37"/>
      <c r="L190" s="37"/>
      <c r="M190" s="60" t="s">
        <v>85</v>
      </c>
      <c r="N190" s="54" t="s">
        <v>41</v>
      </c>
      <c r="O190" s="40">
        <v>95.33</v>
      </c>
      <c r="P190" s="37">
        <f t="shared" si="36"/>
        <v>0</v>
      </c>
      <c r="Q190" s="41" t="s">
        <v>54</v>
      </c>
      <c r="R190" s="42">
        <f t="shared" si="52"/>
        <v>0</v>
      </c>
      <c r="S190" s="42">
        <f t="shared" si="51"/>
        <v>0</v>
      </c>
      <c r="T190" s="43">
        <f t="shared" si="37"/>
        <v>0</v>
      </c>
      <c r="U190" s="43">
        <f t="shared" si="37"/>
        <v>0</v>
      </c>
      <c r="V190" s="44">
        <f t="shared" si="50"/>
        <v>0</v>
      </c>
      <c r="W190" s="36">
        <f t="shared" si="38"/>
        <v>0</v>
      </c>
      <c r="X190" s="36"/>
      <c r="Y190" s="36"/>
      <c r="Z190" s="36">
        <f t="shared" si="39"/>
        <v>0</v>
      </c>
      <c r="AA190" s="36">
        <f t="shared" si="40"/>
        <v>0</v>
      </c>
      <c r="AB190" s="36"/>
      <c r="AC190" s="36"/>
      <c r="AD190" s="36">
        <f t="shared" si="41"/>
        <v>0</v>
      </c>
      <c r="AE190" s="36">
        <f t="shared" si="42"/>
        <v>0</v>
      </c>
      <c r="AF190" s="36"/>
      <c r="AG190" s="36"/>
      <c r="AH190" s="36">
        <f t="shared" si="43"/>
        <v>0</v>
      </c>
      <c r="AI190" s="36">
        <f t="shared" si="44"/>
        <v>0</v>
      </c>
      <c r="AJ190" s="36"/>
      <c r="AK190" s="36"/>
      <c r="AL190" s="36">
        <f t="shared" si="45"/>
        <v>0</v>
      </c>
      <c r="AM190" s="36">
        <f t="shared" si="46"/>
        <v>0</v>
      </c>
      <c r="AN190" s="36"/>
      <c r="AO190" s="36"/>
      <c r="AP190" s="36">
        <f t="shared" si="47"/>
        <v>0</v>
      </c>
      <c r="AQ190" s="36">
        <f t="shared" si="48"/>
        <v>0</v>
      </c>
    </row>
    <row r="191" spans="1:43" x14ac:dyDescent="0.55000000000000004">
      <c r="A191" s="30" t="e">
        <f t="shared" si="49"/>
        <v>#REF!</v>
      </c>
      <c r="B191" s="31">
        <v>44896</v>
      </c>
      <c r="C191" s="45"/>
      <c r="D191" s="33">
        <v>1</v>
      </c>
      <c r="E191" s="33"/>
      <c r="F191" s="33"/>
      <c r="G191" s="51" t="s">
        <v>387</v>
      </c>
      <c r="H191" s="37" t="s">
        <v>133</v>
      </c>
      <c r="I191" s="36">
        <v>1</v>
      </c>
      <c r="J191" s="37" t="s">
        <v>54</v>
      </c>
      <c r="K191" s="37"/>
      <c r="L191" s="37"/>
      <c r="M191" s="38" t="s">
        <v>113</v>
      </c>
      <c r="N191" s="39" t="s">
        <v>114</v>
      </c>
      <c r="O191" s="40">
        <v>89.99</v>
      </c>
      <c r="P191" s="37">
        <f t="shared" si="36"/>
        <v>89.99</v>
      </c>
      <c r="Q191" s="41"/>
      <c r="R191" s="42">
        <f t="shared" si="52"/>
        <v>0</v>
      </c>
      <c r="S191" s="42">
        <f t="shared" si="51"/>
        <v>0</v>
      </c>
      <c r="T191" s="43">
        <f t="shared" si="37"/>
        <v>0</v>
      </c>
      <c r="U191" s="43">
        <f t="shared" si="37"/>
        <v>0</v>
      </c>
      <c r="V191" s="44">
        <f t="shared" si="50"/>
        <v>1</v>
      </c>
      <c r="W191" s="36">
        <f t="shared" si="38"/>
        <v>89.99</v>
      </c>
      <c r="X191" s="36"/>
      <c r="Y191" s="36"/>
      <c r="Z191" s="36">
        <f t="shared" si="39"/>
        <v>0</v>
      </c>
      <c r="AA191" s="36">
        <f t="shared" si="40"/>
        <v>0</v>
      </c>
      <c r="AB191" s="36"/>
      <c r="AC191" s="36"/>
      <c r="AD191" s="36">
        <f t="shared" si="41"/>
        <v>0</v>
      </c>
      <c r="AE191" s="36">
        <f t="shared" si="42"/>
        <v>0</v>
      </c>
      <c r="AF191" s="36"/>
      <c r="AG191" s="36"/>
      <c r="AH191" s="36">
        <f t="shared" si="43"/>
        <v>0</v>
      </c>
      <c r="AI191" s="36">
        <f t="shared" si="44"/>
        <v>0</v>
      </c>
      <c r="AJ191" s="36"/>
      <c r="AK191" s="36"/>
      <c r="AL191" s="36">
        <f t="shared" si="45"/>
        <v>0</v>
      </c>
      <c r="AM191" s="36">
        <f t="shared" si="46"/>
        <v>0</v>
      </c>
      <c r="AN191" s="36"/>
      <c r="AO191" s="36"/>
      <c r="AP191" s="36">
        <f t="shared" si="47"/>
        <v>0</v>
      </c>
      <c r="AQ191" s="36">
        <f t="shared" si="48"/>
        <v>0</v>
      </c>
    </row>
    <row r="192" spans="1:43" x14ac:dyDescent="0.55000000000000004">
      <c r="A192" s="30" t="e">
        <f t="shared" si="49"/>
        <v>#REF!</v>
      </c>
      <c r="B192" s="31">
        <v>44896</v>
      </c>
      <c r="C192" s="45"/>
      <c r="D192" s="33">
        <v>1</v>
      </c>
      <c r="E192" s="33"/>
      <c r="F192" s="33"/>
      <c r="G192" s="34" t="s">
        <v>388</v>
      </c>
      <c r="H192" s="35" t="s">
        <v>389</v>
      </c>
      <c r="I192" s="36">
        <v>1</v>
      </c>
      <c r="J192" s="37" t="s">
        <v>54</v>
      </c>
      <c r="K192" s="37"/>
      <c r="L192" s="37"/>
      <c r="M192" s="38" t="s">
        <v>113</v>
      </c>
      <c r="N192" s="39" t="s">
        <v>114</v>
      </c>
      <c r="O192" s="40">
        <v>26</v>
      </c>
      <c r="P192" s="37">
        <f t="shared" si="36"/>
        <v>26</v>
      </c>
      <c r="Q192" s="41" t="s">
        <v>54</v>
      </c>
      <c r="R192" s="42">
        <f t="shared" si="52"/>
        <v>0</v>
      </c>
      <c r="S192" s="42">
        <f t="shared" si="51"/>
        <v>0</v>
      </c>
      <c r="T192" s="43">
        <f t="shared" si="37"/>
        <v>0</v>
      </c>
      <c r="U192" s="43">
        <f t="shared" si="37"/>
        <v>0</v>
      </c>
      <c r="V192" s="44">
        <f t="shared" si="50"/>
        <v>1</v>
      </c>
      <c r="W192" s="36">
        <f t="shared" si="38"/>
        <v>26</v>
      </c>
      <c r="X192" s="36"/>
      <c r="Y192" s="36"/>
      <c r="Z192" s="36">
        <f t="shared" si="39"/>
        <v>0</v>
      </c>
      <c r="AA192" s="36">
        <f t="shared" si="40"/>
        <v>0</v>
      </c>
      <c r="AB192" s="36"/>
      <c r="AC192" s="36"/>
      <c r="AD192" s="36">
        <f t="shared" si="41"/>
        <v>0</v>
      </c>
      <c r="AE192" s="36">
        <f t="shared" si="42"/>
        <v>0</v>
      </c>
      <c r="AF192" s="36"/>
      <c r="AG192" s="36"/>
      <c r="AH192" s="36">
        <f t="shared" si="43"/>
        <v>0</v>
      </c>
      <c r="AI192" s="36">
        <f t="shared" si="44"/>
        <v>0</v>
      </c>
      <c r="AJ192" s="36"/>
      <c r="AK192" s="36"/>
      <c r="AL192" s="36">
        <f t="shared" si="45"/>
        <v>0</v>
      </c>
      <c r="AM192" s="36">
        <f t="shared" si="46"/>
        <v>0</v>
      </c>
      <c r="AN192" s="36"/>
      <c r="AO192" s="36"/>
      <c r="AP192" s="36">
        <f t="shared" si="47"/>
        <v>0</v>
      </c>
      <c r="AQ192" s="36">
        <f t="shared" si="48"/>
        <v>0</v>
      </c>
    </row>
    <row r="193" spans="1:43" x14ac:dyDescent="0.55000000000000004">
      <c r="A193" s="30" t="e">
        <f t="shared" si="49"/>
        <v>#REF!</v>
      </c>
      <c r="B193" s="31">
        <v>44896</v>
      </c>
      <c r="C193" s="45"/>
      <c r="D193" s="33">
        <v>1</v>
      </c>
      <c r="E193" s="33"/>
      <c r="F193" s="33"/>
      <c r="G193" s="49" t="s">
        <v>390</v>
      </c>
      <c r="H193" s="37" t="s">
        <v>163</v>
      </c>
      <c r="I193" s="36">
        <v>0</v>
      </c>
      <c r="J193" s="37"/>
      <c r="K193" s="37"/>
      <c r="L193" s="37"/>
      <c r="M193" s="60" t="s">
        <v>102</v>
      </c>
      <c r="N193" s="54" t="s">
        <v>41</v>
      </c>
      <c r="O193" s="40">
        <v>219.26</v>
      </c>
      <c r="P193" s="37">
        <f t="shared" si="36"/>
        <v>0</v>
      </c>
      <c r="Q193" s="41"/>
      <c r="R193" s="42">
        <f t="shared" si="52"/>
        <v>0</v>
      </c>
      <c r="S193" s="42">
        <f t="shared" si="51"/>
        <v>0</v>
      </c>
      <c r="T193" s="43">
        <f t="shared" si="37"/>
        <v>0</v>
      </c>
      <c r="U193" s="43">
        <f t="shared" si="37"/>
        <v>0</v>
      </c>
      <c r="V193" s="44">
        <f t="shared" si="50"/>
        <v>0</v>
      </c>
      <c r="W193" s="36">
        <f t="shared" si="38"/>
        <v>0</v>
      </c>
      <c r="X193" s="36"/>
      <c r="Y193" s="36"/>
      <c r="Z193" s="36">
        <f t="shared" si="39"/>
        <v>0</v>
      </c>
      <c r="AA193" s="36">
        <f t="shared" si="40"/>
        <v>0</v>
      </c>
      <c r="AB193" s="36"/>
      <c r="AC193" s="36"/>
      <c r="AD193" s="36">
        <f t="shared" si="41"/>
        <v>0</v>
      </c>
      <c r="AE193" s="36">
        <f t="shared" si="42"/>
        <v>0</v>
      </c>
      <c r="AF193" s="36"/>
      <c r="AG193" s="36"/>
      <c r="AH193" s="36">
        <f t="shared" si="43"/>
        <v>0</v>
      </c>
      <c r="AI193" s="36">
        <f t="shared" si="44"/>
        <v>0</v>
      </c>
      <c r="AJ193" s="36"/>
      <c r="AK193" s="36"/>
      <c r="AL193" s="36">
        <f t="shared" si="45"/>
        <v>0</v>
      </c>
      <c r="AM193" s="36">
        <f t="shared" si="46"/>
        <v>0</v>
      </c>
      <c r="AN193" s="36"/>
      <c r="AO193" s="36"/>
      <c r="AP193" s="36">
        <f t="shared" si="47"/>
        <v>0</v>
      </c>
      <c r="AQ193" s="36">
        <f t="shared" si="48"/>
        <v>0</v>
      </c>
    </row>
    <row r="194" spans="1:43" x14ac:dyDescent="0.55000000000000004">
      <c r="A194" s="30" t="e">
        <f t="shared" si="49"/>
        <v>#REF!</v>
      </c>
      <c r="B194" s="31">
        <v>44896</v>
      </c>
      <c r="C194" s="45"/>
      <c r="D194" s="33">
        <v>2</v>
      </c>
      <c r="E194" s="33"/>
      <c r="F194" s="33"/>
      <c r="G194" s="34" t="s">
        <v>391</v>
      </c>
      <c r="H194" s="35" t="s">
        <v>392</v>
      </c>
      <c r="I194" s="36">
        <v>1</v>
      </c>
      <c r="J194" s="37" t="s">
        <v>54</v>
      </c>
      <c r="K194" s="37"/>
      <c r="L194" s="37"/>
      <c r="M194" s="38" t="s">
        <v>113</v>
      </c>
      <c r="N194" s="39" t="s">
        <v>114</v>
      </c>
      <c r="O194" s="40">
        <v>66.05</v>
      </c>
      <c r="P194" s="37">
        <f t="shared" si="36"/>
        <v>66.05</v>
      </c>
      <c r="Q194" s="41" t="s">
        <v>54</v>
      </c>
      <c r="R194" s="42">
        <f t="shared" si="52"/>
        <v>0</v>
      </c>
      <c r="S194" s="42">
        <f t="shared" si="51"/>
        <v>0</v>
      </c>
      <c r="T194" s="43">
        <f t="shared" ref="T194:U256" si="53">X194+AB194+AF194+AJ194+AN194</f>
        <v>0</v>
      </c>
      <c r="U194" s="43">
        <f t="shared" si="53"/>
        <v>0</v>
      </c>
      <c r="V194" s="44">
        <f t="shared" si="50"/>
        <v>1</v>
      </c>
      <c r="W194" s="36">
        <f t="shared" si="38"/>
        <v>66.05</v>
      </c>
      <c r="X194" s="36"/>
      <c r="Y194" s="36"/>
      <c r="Z194" s="36">
        <f t="shared" si="39"/>
        <v>0</v>
      </c>
      <c r="AA194" s="36">
        <f t="shared" si="40"/>
        <v>0</v>
      </c>
      <c r="AB194" s="36"/>
      <c r="AC194" s="36"/>
      <c r="AD194" s="36">
        <f t="shared" si="41"/>
        <v>0</v>
      </c>
      <c r="AE194" s="36">
        <f t="shared" si="42"/>
        <v>0</v>
      </c>
      <c r="AF194" s="36"/>
      <c r="AG194" s="36"/>
      <c r="AH194" s="36">
        <f t="shared" si="43"/>
        <v>0</v>
      </c>
      <c r="AI194" s="36">
        <f t="shared" si="44"/>
        <v>0</v>
      </c>
      <c r="AJ194" s="36"/>
      <c r="AK194" s="36"/>
      <c r="AL194" s="36">
        <f t="shared" si="45"/>
        <v>0</v>
      </c>
      <c r="AM194" s="36">
        <f t="shared" si="46"/>
        <v>0</v>
      </c>
      <c r="AN194" s="36"/>
      <c r="AO194" s="36"/>
      <c r="AP194" s="36">
        <f t="shared" si="47"/>
        <v>0</v>
      </c>
      <c r="AQ194" s="36">
        <f t="shared" si="48"/>
        <v>0</v>
      </c>
    </row>
    <row r="195" spans="1:43" x14ac:dyDescent="0.55000000000000004">
      <c r="A195" s="30" t="e">
        <f t="shared" si="49"/>
        <v>#REF!</v>
      </c>
      <c r="B195" s="31">
        <v>44896</v>
      </c>
      <c r="C195" s="45"/>
      <c r="D195" s="33">
        <v>1</v>
      </c>
      <c r="E195" s="45">
        <v>45047</v>
      </c>
      <c r="F195" s="33">
        <v>1</v>
      </c>
      <c r="G195" s="51" t="s">
        <v>393</v>
      </c>
      <c r="H195" s="37" t="s">
        <v>394</v>
      </c>
      <c r="I195" s="36">
        <v>2</v>
      </c>
      <c r="J195" s="37"/>
      <c r="K195" s="37"/>
      <c r="L195" s="37"/>
      <c r="M195" s="60" t="s">
        <v>85</v>
      </c>
      <c r="N195" s="54" t="s">
        <v>49</v>
      </c>
      <c r="O195" s="40">
        <v>21.16</v>
      </c>
      <c r="P195" s="37">
        <f t="shared" si="36"/>
        <v>42.32</v>
      </c>
      <c r="Q195" s="41"/>
      <c r="R195" s="42">
        <f t="shared" si="52"/>
        <v>0</v>
      </c>
      <c r="S195" s="42">
        <f t="shared" si="51"/>
        <v>0</v>
      </c>
      <c r="T195" s="43">
        <f t="shared" si="53"/>
        <v>0</v>
      </c>
      <c r="U195" s="43">
        <f t="shared" si="53"/>
        <v>0</v>
      </c>
      <c r="V195" s="44">
        <f t="shared" si="50"/>
        <v>2</v>
      </c>
      <c r="W195" s="36">
        <f t="shared" si="38"/>
        <v>42.32</v>
      </c>
      <c r="X195" s="36"/>
      <c r="Y195" s="36"/>
      <c r="Z195" s="36">
        <f t="shared" si="39"/>
        <v>0</v>
      </c>
      <c r="AA195" s="36">
        <f t="shared" si="40"/>
        <v>0</v>
      </c>
      <c r="AB195" s="36"/>
      <c r="AC195" s="36"/>
      <c r="AD195" s="36">
        <f t="shared" si="41"/>
        <v>0</v>
      </c>
      <c r="AE195" s="36">
        <f t="shared" si="42"/>
        <v>0</v>
      </c>
      <c r="AF195" s="36"/>
      <c r="AG195" s="36"/>
      <c r="AH195" s="36">
        <f t="shared" si="43"/>
        <v>0</v>
      </c>
      <c r="AI195" s="36">
        <f t="shared" si="44"/>
        <v>0</v>
      </c>
      <c r="AJ195" s="36"/>
      <c r="AK195" s="36"/>
      <c r="AL195" s="36">
        <f t="shared" si="45"/>
        <v>0</v>
      </c>
      <c r="AM195" s="36">
        <f t="shared" si="46"/>
        <v>0</v>
      </c>
      <c r="AN195" s="36"/>
      <c r="AO195" s="36"/>
      <c r="AP195" s="36">
        <f t="shared" si="47"/>
        <v>0</v>
      </c>
      <c r="AQ195" s="36">
        <f t="shared" si="48"/>
        <v>0</v>
      </c>
    </row>
    <row r="196" spans="1:43" x14ac:dyDescent="0.55000000000000004">
      <c r="A196" s="30" t="e">
        <f t="shared" si="49"/>
        <v>#REF!</v>
      </c>
      <c r="B196" s="31">
        <v>45796</v>
      </c>
      <c r="C196" s="45"/>
      <c r="D196" s="33">
        <v>1</v>
      </c>
      <c r="E196" s="33"/>
      <c r="F196" s="33"/>
      <c r="G196" s="51" t="s">
        <v>395</v>
      </c>
      <c r="H196" s="37" t="s">
        <v>71</v>
      </c>
      <c r="I196" s="36">
        <v>1</v>
      </c>
      <c r="J196" s="37"/>
      <c r="K196" s="37"/>
      <c r="L196" s="37"/>
      <c r="M196" s="60" t="s">
        <v>85</v>
      </c>
      <c r="N196" s="54" t="s">
        <v>49</v>
      </c>
      <c r="O196" s="40">
        <v>17.98</v>
      </c>
      <c r="P196" s="37">
        <f t="shared" ref="P196:P259" si="54">O196*I196</f>
        <v>17.98</v>
      </c>
      <c r="Q196" s="41"/>
      <c r="R196" s="42">
        <f t="shared" si="52"/>
        <v>0</v>
      </c>
      <c r="S196" s="42">
        <f t="shared" si="51"/>
        <v>0</v>
      </c>
      <c r="T196" s="43">
        <f t="shared" si="53"/>
        <v>0</v>
      </c>
      <c r="U196" s="43">
        <f t="shared" si="53"/>
        <v>0</v>
      </c>
      <c r="V196" s="44">
        <f t="shared" si="50"/>
        <v>1</v>
      </c>
      <c r="W196" s="36">
        <f t="shared" ref="W196:W259" si="55">V196*O196</f>
        <v>17.98</v>
      </c>
      <c r="X196" s="36"/>
      <c r="Y196" s="36"/>
      <c r="Z196" s="36">
        <f t="shared" ref="Z196:Z259" si="56">X196*O196</f>
        <v>0</v>
      </c>
      <c r="AA196" s="36">
        <f t="shared" ref="AA196:AA259" si="57">Y196*O196</f>
        <v>0</v>
      </c>
      <c r="AB196" s="36"/>
      <c r="AC196" s="36"/>
      <c r="AD196" s="36">
        <f t="shared" ref="AD196:AD259" si="58">AB196*O196</f>
        <v>0</v>
      </c>
      <c r="AE196" s="36">
        <f t="shared" ref="AE196:AE259" si="59">AC196*O196</f>
        <v>0</v>
      </c>
      <c r="AF196" s="36"/>
      <c r="AG196" s="36"/>
      <c r="AH196" s="36">
        <f t="shared" ref="AH196:AH259" si="60">AF196*O196</f>
        <v>0</v>
      </c>
      <c r="AI196" s="36">
        <f t="shared" ref="AI196:AI259" si="61">AG196*O196</f>
        <v>0</v>
      </c>
      <c r="AJ196" s="36"/>
      <c r="AK196" s="36"/>
      <c r="AL196" s="36">
        <f t="shared" ref="AL196:AL259" si="62">AJ196*O196</f>
        <v>0</v>
      </c>
      <c r="AM196" s="36">
        <f t="shared" ref="AM196:AM259" si="63">AK196*O196</f>
        <v>0</v>
      </c>
      <c r="AN196" s="36"/>
      <c r="AO196" s="36"/>
      <c r="AP196" s="36">
        <f t="shared" ref="AP196:AP259" si="64">AN196*O196</f>
        <v>0</v>
      </c>
      <c r="AQ196" s="36">
        <f t="shared" ref="AQ196:AQ259" si="65">AO196*O196</f>
        <v>0</v>
      </c>
    </row>
    <row r="197" spans="1:43" x14ac:dyDescent="0.55000000000000004">
      <c r="A197" s="30" t="e">
        <f t="shared" si="49"/>
        <v>#REF!</v>
      </c>
      <c r="B197" s="31">
        <v>45352</v>
      </c>
      <c r="C197" s="45"/>
      <c r="D197" s="33">
        <v>1</v>
      </c>
      <c r="E197" s="33"/>
      <c r="F197" s="33"/>
      <c r="G197" s="46" t="s">
        <v>396</v>
      </c>
      <c r="H197" s="35" t="s">
        <v>397</v>
      </c>
      <c r="I197" s="36">
        <v>0</v>
      </c>
      <c r="J197" s="37" t="s">
        <v>80</v>
      </c>
      <c r="K197" s="37"/>
      <c r="L197" s="37"/>
      <c r="M197" s="38" t="s">
        <v>113</v>
      </c>
      <c r="N197" s="39" t="s">
        <v>114</v>
      </c>
      <c r="O197" s="40">
        <v>44.96</v>
      </c>
      <c r="P197" s="37">
        <f t="shared" si="54"/>
        <v>0</v>
      </c>
      <c r="Q197" s="41" t="s">
        <v>54</v>
      </c>
      <c r="R197" s="42">
        <f t="shared" si="52"/>
        <v>0</v>
      </c>
      <c r="S197" s="42">
        <f t="shared" si="51"/>
        <v>0</v>
      </c>
      <c r="T197" s="43">
        <f t="shared" si="53"/>
        <v>0</v>
      </c>
      <c r="U197" s="43">
        <f t="shared" si="53"/>
        <v>0</v>
      </c>
      <c r="V197" s="44">
        <f t="shared" si="50"/>
        <v>0</v>
      </c>
      <c r="W197" s="36">
        <f t="shared" si="55"/>
        <v>0</v>
      </c>
      <c r="X197" s="36"/>
      <c r="Y197" s="36"/>
      <c r="Z197" s="36">
        <f t="shared" si="56"/>
        <v>0</v>
      </c>
      <c r="AA197" s="36">
        <f t="shared" si="57"/>
        <v>0</v>
      </c>
      <c r="AB197" s="36"/>
      <c r="AC197" s="36"/>
      <c r="AD197" s="36">
        <f t="shared" si="58"/>
        <v>0</v>
      </c>
      <c r="AE197" s="36">
        <f t="shared" si="59"/>
        <v>0</v>
      </c>
      <c r="AF197" s="36"/>
      <c r="AG197" s="36"/>
      <c r="AH197" s="36">
        <f t="shared" si="60"/>
        <v>0</v>
      </c>
      <c r="AI197" s="36">
        <f t="shared" si="61"/>
        <v>0</v>
      </c>
      <c r="AJ197" s="36"/>
      <c r="AK197" s="36"/>
      <c r="AL197" s="36">
        <f t="shared" si="62"/>
        <v>0</v>
      </c>
      <c r="AM197" s="36">
        <f t="shared" si="63"/>
        <v>0</v>
      </c>
      <c r="AN197" s="36"/>
      <c r="AO197" s="36"/>
      <c r="AP197" s="36">
        <f t="shared" si="64"/>
        <v>0</v>
      </c>
      <c r="AQ197" s="36">
        <f t="shared" si="65"/>
        <v>0</v>
      </c>
    </row>
    <row r="198" spans="1:43" x14ac:dyDescent="0.55000000000000004">
      <c r="A198" s="30" t="e">
        <f t="shared" ref="A198:A261" si="66">+A197+1</f>
        <v>#REF!</v>
      </c>
      <c r="B198" s="31">
        <v>44896</v>
      </c>
      <c r="C198" s="45"/>
      <c r="D198" s="33">
        <v>1</v>
      </c>
      <c r="E198" s="33"/>
      <c r="F198" s="33"/>
      <c r="G198" s="34" t="s">
        <v>398</v>
      </c>
      <c r="H198" s="35" t="s">
        <v>399</v>
      </c>
      <c r="I198" s="36">
        <v>1</v>
      </c>
      <c r="J198" s="37" t="s">
        <v>54</v>
      </c>
      <c r="K198" s="37"/>
      <c r="L198" s="37"/>
      <c r="M198" s="60" t="s">
        <v>189</v>
      </c>
      <c r="N198" s="54"/>
      <c r="O198" s="40">
        <v>331.03</v>
      </c>
      <c r="P198" s="37">
        <f t="shared" si="54"/>
        <v>331.03</v>
      </c>
      <c r="Q198" s="41" t="s">
        <v>290</v>
      </c>
      <c r="R198" s="42">
        <f t="shared" si="52"/>
        <v>0</v>
      </c>
      <c r="S198" s="42">
        <f t="shared" si="51"/>
        <v>0</v>
      </c>
      <c r="T198" s="43">
        <f t="shared" si="53"/>
        <v>0</v>
      </c>
      <c r="U198" s="43">
        <f t="shared" si="53"/>
        <v>0</v>
      </c>
      <c r="V198" s="44">
        <f t="shared" ref="V198:V261" si="67">I198+T198-U198</f>
        <v>1</v>
      </c>
      <c r="W198" s="36">
        <f t="shared" si="55"/>
        <v>331.03</v>
      </c>
      <c r="X198" s="36"/>
      <c r="Y198" s="36"/>
      <c r="Z198" s="36">
        <f t="shared" si="56"/>
        <v>0</v>
      </c>
      <c r="AA198" s="36">
        <f t="shared" si="57"/>
        <v>0</v>
      </c>
      <c r="AB198" s="36"/>
      <c r="AC198" s="36"/>
      <c r="AD198" s="36">
        <f t="shared" si="58"/>
        <v>0</v>
      </c>
      <c r="AE198" s="36">
        <f t="shared" si="59"/>
        <v>0</v>
      </c>
      <c r="AF198" s="36"/>
      <c r="AG198" s="36"/>
      <c r="AH198" s="36">
        <f t="shared" si="60"/>
        <v>0</v>
      </c>
      <c r="AI198" s="36">
        <f t="shared" si="61"/>
        <v>0</v>
      </c>
      <c r="AJ198" s="36"/>
      <c r="AK198" s="36"/>
      <c r="AL198" s="36">
        <f t="shared" si="62"/>
        <v>0</v>
      </c>
      <c r="AM198" s="36">
        <f t="shared" si="63"/>
        <v>0</v>
      </c>
      <c r="AN198" s="36"/>
      <c r="AO198" s="36"/>
      <c r="AP198" s="36">
        <f t="shared" si="64"/>
        <v>0</v>
      </c>
      <c r="AQ198" s="36">
        <f t="shared" si="65"/>
        <v>0</v>
      </c>
    </row>
    <row r="199" spans="1:43" x14ac:dyDescent="0.55000000000000004">
      <c r="A199" s="30" t="e">
        <f t="shared" si="66"/>
        <v>#REF!</v>
      </c>
      <c r="B199" s="31">
        <v>45778</v>
      </c>
      <c r="C199" s="45"/>
      <c r="D199" s="33">
        <v>2</v>
      </c>
      <c r="E199" s="33"/>
      <c r="F199" s="33"/>
      <c r="G199" s="34" t="s">
        <v>400</v>
      </c>
      <c r="H199" s="35" t="s">
        <v>203</v>
      </c>
      <c r="I199" s="36">
        <v>4</v>
      </c>
      <c r="J199" s="37" t="s">
        <v>64</v>
      </c>
      <c r="K199" s="37"/>
      <c r="L199" s="37"/>
      <c r="M199" s="60" t="s">
        <v>143</v>
      </c>
      <c r="N199" s="54"/>
      <c r="O199" s="40">
        <v>127.54</v>
      </c>
      <c r="P199" s="37">
        <f t="shared" si="54"/>
        <v>510.16</v>
      </c>
      <c r="Q199" s="41"/>
      <c r="R199" s="42">
        <f t="shared" si="52"/>
        <v>0</v>
      </c>
      <c r="S199" s="42">
        <f t="shared" si="51"/>
        <v>510.16</v>
      </c>
      <c r="T199" s="43">
        <f t="shared" si="53"/>
        <v>0</v>
      </c>
      <c r="U199" s="43">
        <f t="shared" si="53"/>
        <v>4</v>
      </c>
      <c r="V199" s="44">
        <f t="shared" si="67"/>
        <v>0</v>
      </c>
      <c r="W199" s="36">
        <f t="shared" si="55"/>
        <v>0</v>
      </c>
      <c r="X199" s="36"/>
      <c r="Y199" s="36"/>
      <c r="Z199" s="36">
        <f t="shared" si="56"/>
        <v>0</v>
      </c>
      <c r="AA199" s="36">
        <f t="shared" si="57"/>
        <v>0</v>
      </c>
      <c r="AB199" s="36"/>
      <c r="AC199" s="36"/>
      <c r="AD199" s="36">
        <f t="shared" si="58"/>
        <v>0</v>
      </c>
      <c r="AE199" s="36">
        <f t="shared" si="59"/>
        <v>0</v>
      </c>
      <c r="AF199" s="36"/>
      <c r="AG199" s="36">
        <v>4</v>
      </c>
      <c r="AH199" s="36">
        <f t="shared" si="60"/>
        <v>0</v>
      </c>
      <c r="AI199" s="36">
        <f t="shared" si="61"/>
        <v>510.16</v>
      </c>
      <c r="AJ199" s="36"/>
      <c r="AK199" s="36"/>
      <c r="AL199" s="36">
        <f t="shared" si="62"/>
        <v>0</v>
      </c>
      <c r="AM199" s="36">
        <f t="shared" si="63"/>
        <v>0</v>
      </c>
      <c r="AN199" s="36"/>
      <c r="AO199" s="36"/>
      <c r="AP199" s="36">
        <f t="shared" si="64"/>
        <v>0</v>
      </c>
      <c r="AQ199" s="36">
        <f t="shared" si="65"/>
        <v>0</v>
      </c>
    </row>
    <row r="200" spans="1:43" x14ac:dyDescent="0.55000000000000004">
      <c r="A200" s="30" t="e">
        <f t="shared" si="66"/>
        <v>#REF!</v>
      </c>
      <c r="B200" s="31">
        <v>44896</v>
      </c>
      <c r="C200" s="45"/>
      <c r="D200" s="33">
        <v>2</v>
      </c>
      <c r="E200" s="33"/>
      <c r="F200" s="33"/>
      <c r="G200" s="34" t="s">
        <v>401</v>
      </c>
      <c r="H200" s="35" t="s">
        <v>402</v>
      </c>
      <c r="I200" s="36">
        <v>2</v>
      </c>
      <c r="J200" s="37" t="s">
        <v>54</v>
      </c>
      <c r="K200" s="37"/>
      <c r="L200" s="37" t="s">
        <v>403</v>
      </c>
      <c r="M200" s="60" t="s">
        <v>196</v>
      </c>
      <c r="N200" s="54"/>
      <c r="O200" s="40">
        <v>305.85000000000002</v>
      </c>
      <c r="P200" s="37">
        <f t="shared" si="54"/>
        <v>611.70000000000005</v>
      </c>
      <c r="Q200" s="41" t="s">
        <v>54</v>
      </c>
      <c r="R200" s="42">
        <f t="shared" si="52"/>
        <v>0</v>
      </c>
      <c r="S200" s="42">
        <f t="shared" si="51"/>
        <v>0</v>
      </c>
      <c r="T200" s="43">
        <f t="shared" si="53"/>
        <v>0</v>
      </c>
      <c r="U200" s="43">
        <f t="shared" si="53"/>
        <v>0</v>
      </c>
      <c r="V200" s="44">
        <f t="shared" si="67"/>
        <v>2</v>
      </c>
      <c r="W200" s="36">
        <f t="shared" si="55"/>
        <v>611.70000000000005</v>
      </c>
      <c r="X200" s="36"/>
      <c r="Y200" s="36"/>
      <c r="Z200" s="36">
        <f t="shared" si="56"/>
        <v>0</v>
      </c>
      <c r="AA200" s="36">
        <f t="shared" si="57"/>
        <v>0</v>
      </c>
      <c r="AB200" s="36"/>
      <c r="AC200" s="36"/>
      <c r="AD200" s="36">
        <f t="shared" si="58"/>
        <v>0</v>
      </c>
      <c r="AE200" s="36">
        <f t="shared" si="59"/>
        <v>0</v>
      </c>
      <c r="AF200" s="36"/>
      <c r="AG200" s="36"/>
      <c r="AH200" s="36">
        <f t="shared" si="60"/>
        <v>0</v>
      </c>
      <c r="AI200" s="36">
        <f t="shared" si="61"/>
        <v>0</v>
      </c>
      <c r="AJ200" s="36"/>
      <c r="AK200" s="36"/>
      <c r="AL200" s="36">
        <f t="shared" si="62"/>
        <v>0</v>
      </c>
      <c r="AM200" s="36">
        <f t="shared" si="63"/>
        <v>0</v>
      </c>
      <c r="AN200" s="36"/>
      <c r="AO200" s="36"/>
      <c r="AP200" s="36">
        <f t="shared" si="64"/>
        <v>0</v>
      </c>
      <c r="AQ200" s="36">
        <f t="shared" si="65"/>
        <v>0</v>
      </c>
    </row>
    <row r="201" spans="1:43" x14ac:dyDescent="0.55000000000000004">
      <c r="A201" s="30" t="e">
        <f t="shared" si="66"/>
        <v>#REF!</v>
      </c>
      <c r="B201" s="31">
        <v>45323</v>
      </c>
      <c r="C201" s="31"/>
      <c r="D201" s="61">
        <v>8</v>
      </c>
      <c r="E201" s="31">
        <v>45627</v>
      </c>
      <c r="F201" s="61">
        <v>6</v>
      </c>
      <c r="G201" s="71">
        <v>3402381</v>
      </c>
      <c r="H201" s="37" t="s">
        <v>404</v>
      </c>
      <c r="I201" s="36">
        <v>14</v>
      </c>
      <c r="J201" s="37"/>
      <c r="K201" s="37"/>
      <c r="L201" s="37"/>
      <c r="M201" s="60" t="s">
        <v>102</v>
      </c>
      <c r="N201" s="54" t="s">
        <v>41</v>
      </c>
      <c r="O201" s="40">
        <v>213.79</v>
      </c>
      <c r="P201" s="37">
        <f t="shared" si="54"/>
        <v>2993.06</v>
      </c>
      <c r="Q201" s="41"/>
      <c r="R201" s="42">
        <f t="shared" si="52"/>
        <v>0</v>
      </c>
      <c r="S201" s="42">
        <f t="shared" si="51"/>
        <v>0</v>
      </c>
      <c r="T201" s="43">
        <f t="shared" si="53"/>
        <v>0</v>
      </c>
      <c r="U201" s="43">
        <f t="shared" si="53"/>
        <v>0</v>
      </c>
      <c r="V201" s="44">
        <f t="shared" si="67"/>
        <v>14</v>
      </c>
      <c r="W201" s="36">
        <f t="shared" si="55"/>
        <v>2993.06</v>
      </c>
      <c r="X201" s="36"/>
      <c r="Y201" s="36"/>
      <c r="Z201" s="36">
        <f t="shared" si="56"/>
        <v>0</v>
      </c>
      <c r="AA201" s="36">
        <f t="shared" si="57"/>
        <v>0</v>
      </c>
      <c r="AB201" s="36"/>
      <c r="AC201" s="36"/>
      <c r="AD201" s="36">
        <f t="shared" si="58"/>
        <v>0</v>
      </c>
      <c r="AE201" s="36">
        <f t="shared" si="59"/>
        <v>0</v>
      </c>
      <c r="AF201" s="36"/>
      <c r="AG201" s="36"/>
      <c r="AH201" s="36">
        <f t="shared" si="60"/>
        <v>0</v>
      </c>
      <c r="AI201" s="36">
        <f t="shared" si="61"/>
        <v>0</v>
      </c>
      <c r="AJ201" s="36"/>
      <c r="AK201" s="36"/>
      <c r="AL201" s="36">
        <f t="shared" si="62"/>
        <v>0</v>
      </c>
      <c r="AM201" s="36">
        <f t="shared" si="63"/>
        <v>0</v>
      </c>
      <c r="AN201" s="36"/>
      <c r="AO201" s="36"/>
      <c r="AP201" s="36">
        <f t="shared" si="64"/>
        <v>0</v>
      </c>
      <c r="AQ201" s="36">
        <f t="shared" si="65"/>
        <v>0</v>
      </c>
    </row>
    <row r="202" spans="1:43" x14ac:dyDescent="0.55000000000000004">
      <c r="A202" s="30" t="e">
        <f t="shared" si="66"/>
        <v>#REF!</v>
      </c>
      <c r="B202" s="31">
        <v>45777</v>
      </c>
      <c r="C202" s="45"/>
      <c r="D202" s="33">
        <v>10</v>
      </c>
      <c r="E202" s="33"/>
      <c r="F202" s="33"/>
      <c r="G202" s="72" t="s">
        <v>405</v>
      </c>
      <c r="H202" s="37" t="s">
        <v>46</v>
      </c>
      <c r="I202" s="36">
        <v>4</v>
      </c>
      <c r="J202" s="37"/>
      <c r="K202" s="37"/>
      <c r="L202" s="37"/>
      <c r="M202" s="60" t="s">
        <v>102</v>
      </c>
      <c r="N202" s="54" t="s">
        <v>41</v>
      </c>
      <c r="O202" s="40">
        <v>21.2</v>
      </c>
      <c r="P202" s="37">
        <f t="shared" si="54"/>
        <v>84.8</v>
      </c>
      <c r="Q202" s="41"/>
      <c r="R202" s="42">
        <f t="shared" si="52"/>
        <v>212</v>
      </c>
      <c r="S202" s="42">
        <f t="shared" si="51"/>
        <v>169.6</v>
      </c>
      <c r="T202" s="43">
        <f t="shared" si="53"/>
        <v>10</v>
      </c>
      <c r="U202" s="43">
        <f t="shared" si="53"/>
        <v>8</v>
      </c>
      <c r="V202" s="44">
        <f t="shared" si="67"/>
        <v>6</v>
      </c>
      <c r="W202" s="36">
        <f t="shared" si="55"/>
        <v>127.19999999999999</v>
      </c>
      <c r="X202" s="36"/>
      <c r="Y202" s="36"/>
      <c r="Z202" s="36">
        <f t="shared" si="56"/>
        <v>0</v>
      </c>
      <c r="AA202" s="36">
        <f t="shared" si="57"/>
        <v>0</v>
      </c>
      <c r="AB202" s="36"/>
      <c r="AC202" s="36"/>
      <c r="AD202" s="36">
        <f t="shared" si="58"/>
        <v>0</v>
      </c>
      <c r="AE202" s="36">
        <f t="shared" si="59"/>
        <v>0</v>
      </c>
      <c r="AF202" s="36">
        <v>10</v>
      </c>
      <c r="AG202" s="36">
        <f>4+4</f>
        <v>8</v>
      </c>
      <c r="AH202" s="36">
        <f t="shared" si="60"/>
        <v>212</v>
      </c>
      <c r="AI202" s="36">
        <f t="shared" si="61"/>
        <v>169.6</v>
      </c>
      <c r="AJ202" s="36"/>
      <c r="AK202" s="36"/>
      <c r="AL202" s="36">
        <f t="shared" si="62"/>
        <v>0</v>
      </c>
      <c r="AM202" s="36">
        <f t="shared" si="63"/>
        <v>0</v>
      </c>
      <c r="AN202" s="36"/>
      <c r="AO202" s="36"/>
      <c r="AP202" s="36">
        <f t="shared" si="64"/>
        <v>0</v>
      </c>
      <c r="AQ202" s="36">
        <f t="shared" si="65"/>
        <v>0</v>
      </c>
    </row>
    <row r="203" spans="1:43" x14ac:dyDescent="0.55000000000000004">
      <c r="A203" s="30" t="e">
        <f t="shared" si="66"/>
        <v>#REF!</v>
      </c>
      <c r="B203" s="31">
        <v>44896</v>
      </c>
      <c r="C203" s="45"/>
      <c r="D203" s="33">
        <v>1</v>
      </c>
      <c r="E203" s="33"/>
      <c r="F203" s="33"/>
      <c r="G203" s="34" t="s">
        <v>406</v>
      </c>
      <c r="H203" s="35" t="s">
        <v>407</v>
      </c>
      <c r="I203" s="36">
        <v>1</v>
      </c>
      <c r="J203" s="37" t="s">
        <v>54</v>
      </c>
      <c r="K203" s="37"/>
      <c r="L203" s="37"/>
      <c r="M203" s="38" t="s">
        <v>85</v>
      </c>
      <c r="N203" s="54" t="s">
        <v>49</v>
      </c>
      <c r="O203" s="40">
        <v>112.32</v>
      </c>
      <c r="P203" s="37">
        <f t="shared" si="54"/>
        <v>112.32</v>
      </c>
      <c r="Q203" s="41" t="s">
        <v>54</v>
      </c>
      <c r="R203" s="42">
        <f t="shared" si="52"/>
        <v>0</v>
      </c>
      <c r="S203" s="42">
        <f t="shared" si="51"/>
        <v>0</v>
      </c>
      <c r="T203" s="43">
        <f t="shared" si="53"/>
        <v>0</v>
      </c>
      <c r="U203" s="43">
        <f t="shared" si="53"/>
        <v>0</v>
      </c>
      <c r="V203" s="44">
        <f t="shared" si="67"/>
        <v>1</v>
      </c>
      <c r="W203" s="36">
        <f t="shared" si="55"/>
        <v>112.32</v>
      </c>
      <c r="X203" s="36"/>
      <c r="Y203" s="36"/>
      <c r="Z203" s="36">
        <f t="shared" si="56"/>
        <v>0</v>
      </c>
      <c r="AA203" s="36">
        <f t="shared" si="57"/>
        <v>0</v>
      </c>
      <c r="AB203" s="36"/>
      <c r="AC203" s="36"/>
      <c r="AD203" s="36">
        <f t="shared" si="58"/>
        <v>0</v>
      </c>
      <c r="AE203" s="36">
        <f t="shared" si="59"/>
        <v>0</v>
      </c>
      <c r="AF203" s="36"/>
      <c r="AG203" s="36"/>
      <c r="AH203" s="36">
        <f t="shared" si="60"/>
        <v>0</v>
      </c>
      <c r="AI203" s="36">
        <f t="shared" si="61"/>
        <v>0</v>
      </c>
      <c r="AJ203" s="36"/>
      <c r="AK203" s="36"/>
      <c r="AL203" s="36">
        <f t="shared" si="62"/>
        <v>0</v>
      </c>
      <c r="AM203" s="36">
        <f t="shared" si="63"/>
        <v>0</v>
      </c>
      <c r="AN203" s="36"/>
      <c r="AO203" s="36"/>
      <c r="AP203" s="36">
        <f t="shared" si="64"/>
        <v>0</v>
      </c>
      <c r="AQ203" s="36">
        <f t="shared" si="65"/>
        <v>0</v>
      </c>
    </row>
    <row r="204" spans="1:43" x14ac:dyDescent="0.55000000000000004">
      <c r="A204" s="30" t="e">
        <f t="shared" si="66"/>
        <v>#REF!</v>
      </c>
      <c r="B204" s="31">
        <v>44896</v>
      </c>
      <c r="C204" s="45"/>
      <c r="D204" s="33">
        <v>10</v>
      </c>
      <c r="E204" s="33"/>
      <c r="F204" s="33"/>
      <c r="G204" s="34" t="s">
        <v>408</v>
      </c>
      <c r="H204" s="35" t="s">
        <v>409</v>
      </c>
      <c r="I204" s="36">
        <v>24</v>
      </c>
      <c r="J204" s="37" t="s">
        <v>54</v>
      </c>
      <c r="K204" s="37"/>
      <c r="L204" s="37"/>
      <c r="M204" s="60" t="s">
        <v>410</v>
      </c>
      <c r="N204" s="54" t="s">
        <v>49</v>
      </c>
      <c r="O204" s="40">
        <v>10.23</v>
      </c>
      <c r="P204" s="37">
        <f t="shared" si="54"/>
        <v>245.52</v>
      </c>
      <c r="Q204" s="41"/>
      <c r="R204" s="42">
        <f t="shared" si="52"/>
        <v>0</v>
      </c>
      <c r="S204" s="42">
        <f t="shared" si="51"/>
        <v>0</v>
      </c>
      <c r="T204" s="43">
        <f t="shared" si="53"/>
        <v>0</v>
      </c>
      <c r="U204" s="43">
        <f t="shared" si="53"/>
        <v>0</v>
      </c>
      <c r="V204" s="44">
        <f t="shared" si="67"/>
        <v>24</v>
      </c>
      <c r="W204" s="36">
        <f t="shared" si="55"/>
        <v>245.52</v>
      </c>
      <c r="X204" s="36"/>
      <c r="Y204" s="36"/>
      <c r="Z204" s="36">
        <f t="shared" si="56"/>
        <v>0</v>
      </c>
      <c r="AA204" s="36">
        <f t="shared" si="57"/>
        <v>0</v>
      </c>
      <c r="AB204" s="36"/>
      <c r="AC204" s="36"/>
      <c r="AD204" s="36">
        <f t="shared" si="58"/>
        <v>0</v>
      </c>
      <c r="AE204" s="36">
        <f t="shared" si="59"/>
        <v>0</v>
      </c>
      <c r="AF204" s="36"/>
      <c r="AG204" s="36"/>
      <c r="AH204" s="36">
        <f t="shared" si="60"/>
        <v>0</v>
      </c>
      <c r="AI204" s="36">
        <f t="shared" si="61"/>
        <v>0</v>
      </c>
      <c r="AJ204" s="36"/>
      <c r="AK204" s="36"/>
      <c r="AL204" s="36">
        <f t="shared" si="62"/>
        <v>0</v>
      </c>
      <c r="AM204" s="36">
        <f t="shared" si="63"/>
        <v>0</v>
      </c>
      <c r="AN204" s="36"/>
      <c r="AO204" s="36"/>
      <c r="AP204" s="36">
        <f t="shared" si="64"/>
        <v>0</v>
      </c>
      <c r="AQ204" s="36">
        <f t="shared" si="65"/>
        <v>0</v>
      </c>
    </row>
    <row r="205" spans="1:43" x14ac:dyDescent="0.55000000000000004">
      <c r="A205" s="30" t="e">
        <f t="shared" si="66"/>
        <v>#REF!</v>
      </c>
      <c r="B205" s="31">
        <v>45323</v>
      </c>
      <c r="C205" s="45"/>
      <c r="D205" s="33">
        <v>1</v>
      </c>
      <c r="E205" s="33"/>
      <c r="F205" s="33"/>
      <c r="G205" s="51" t="s">
        <v>411</v>
      </c>
      <c r="H205" s="52" t="s">
        <v>201</v>
      </c>
      <c r="I205" s="36">
        <v>1</v>
      </c>
      <c r="J205" s="37" t="s">
        <v>80</v>
      </c>
      <c r="K205" s="37"/>
      <c r="L205" s="37"/>
      <c r="M205" s="60" t="s">
        <v>83</v>
      </c>
      <c r="N205" s="54" t="s">
        <v>49</v>
      </c>
      <c r="O205" s="40">
        <v>113.98</v>
      </c>
      <c r="P205" s="37">
        <f t="shared" si="54"/>
        <v>113.98</v>
      </c>
      <c r="Q205" s="41" t="s">
        <v>412</v>
      </c>
      <c r="R205" s="42">
        <f t="shared" si="52"/>
        <v>0</v>
      </c>
      <c r="S205" s="42">
        <f t="shared" si="51"/>
        <v>0</v>
      </c>
      <c r="T205" s="43">
        <f t="shared" si="53"/>
        <v>0</v>
      </c>
      <c r="U205" s="43">
        <f t="shared" si="53"/>
        <v>0</v>
      </c>
      <c r="V205" s="44">
        <f t="shared" si="67"/>
        <v>1</v>
      </c>
      <c r="W205" s="36">
        <f t="shared" si="55"/>
        <v>113.98</v>
      </c>
      <c r="X205" s="36"/>
      <c r="Y205" s="36"/>
      <c r="Z205" s="36">
        <f t="shared" si="56"/>
        <v>0</v>
      </c>
      <c r="AA205" s="36">
        <f t="shared" si="57"/>
        <v>0</v>
      </c>
      <c r="AB205" s="36"/>
      <c r="AC205" s="36"/>
      <c r="AD205" s="36">
        <f t="shared" si="58"/>
        <v>0</v>
      </c>
      <c r="AE205" s="36">
        <f t="shared" si="59"/>
        <v>0</v>
      </c>
      <c r="AF205" s="36"/>
      <c r="AG205" s="36"/>
      <c r="AH205" s="36">
        <f t="shared" si="60"/>
        <v>0</v>
      </c>
      <c r="AI205" s="36">
        <f t="shared" si="61"/>
        <v>0</v>
      </c>
      <c r="AJ205" s="36"/>
      <c r="AK205" s="36"/>
      <c r="AL205" s="36">
        <f t="shared" si="62"/>
        <v>0</v>
      </c>
      <c r="AM205" s="36">
        <f t="shared" si="63"/>
        <v>0</v>
      </c>
      <c r="AN205" s="36"/>
      <c r="AO205" s="36"/>
      <c r="AP205" s="36">
        <f t="shared" si="64"/>
        <v>0</v>
      </c>
      <c r="AQ205" s="36">
        <f t="shared" si="65"/>
        <v>0</v>
      </c>
    </row>
    <row r="206" spans="1:43" x14ac:dyDescent="0.55000000000000004">
      <c r="A206" s="30" t="e">
        <f t="shared" si="66"/>
        <v>#REF!</v>
      </c>
      <c r="B206" s="31">
        <v>45352</v>
      </c>
      <c r="C206" s="45"/>
      <c r="D206" s="33">
        <v>2</v>
      </c>
      <c r="E206" s="33"/>
      <c r="F206" s="33"/>
      <c r="G206" s="51" t="s">
        <v>413</v>
      </c>
      <c r="H206" s="52" t="s">
        <v>280</v>
      </c>
      <c r="I206" s="36">
        <v>2</v>
      </c>
      <c r="J206" s="37" t="s">
        <v>64</v>
      </c>
      <c r="K206" s="37"/>
      <c r="L206" s="37"/>
      <c r="M206" s="60" t="s">
        <v>196</v>
      </c>
      <c r="N206" s="54"/>
      <c r="O206" s="48">
        <v>125</v>
      </c>
      <c r="P206" s="37">
        <f t="shared" si="54"/>
        <v>250</v>
      </c>
      <c r="Q206" s="41"/>
      <c r="R206" s="42">
        <f t="shared" si="52"/>
        <v>0</v>
      </c>
      <c r="S206" s="42">
        <f t="shared" si="51"/>
        <v>0</v>
      </c>
      <c r="T206" s="43">
        <f t="shared" si="53"/>
        <v>0</v>
      </c>
      <c r="U206" s="43">
        <f t="shared" si="53"/>
        <v>0</v>
      </c>
      <c r="V206" s="44">
        <f t="shared" si="67"/>
        <v>2</v>
      </c>
      <c r="W206" s="36">
        <f t="shared" si="55"/>
        <v>250</v>
      </c>
      <c r="X206" s="36"/>
      <c r="Y206" s="36"/>
      <c r="Z206" s="36">
        <f t="shared" si="56"/>
        <v>0</v>
      </c>
      <c r="AA206" s="36">
        <f t="shared" si="57"/>
        <v>0</v>
      </c>
      <c r="AB206" s="36"/>
      <c r="AC206" s="36"/>
      <c r="AD206" s="36">
        <f t="shared" si="58"/>
        <v>0</v>
      </c>
      <c r="AE206" s="36">
        <f t="shared" si="59"/>
        <v>0</v>
      </c>
      <c r="AF206" s="36"/>
      <c r="AG206" s="36"/>
      <c r="AH206" s="36">
        <f t="shared" si="60"/>
        <v>0</v>
      </c>
      <c r="AI206" s="36">
        <f t="shared" si="61"/>
        <v>0</v>
      </c>
      <c r="AJ206" s="36"/>
      <c r="AK206" s="36"/>
      <c r="AL206" s="36">
        <f t="shared" si="62"/>
        <v>0</v>
      </c>
      <c r="AM206" s="36">
        <f t="shared" si="63"/>
        <v>0</v>
      </c>
      <c r="AN206" s="36"/>
      <c r="AO206" s="36"/>
      <c r="AP206" s="36">
        <f t="shared" si="64"/>
        <v>0</v>
      </c>
      <c r="AQ206" s="36">
        <f t="shared" si="65"/>
        <v>0</v>
      </c>
    </row>
    <row r="207" spans="1:43" x14ac:dyDescent="0.55000000000000004">
      <c r="A207" s="30" t="e">
        <f t="shared" si="66"/>
        <v>#REF!</v>
      </c>
      <c r="B207" s="31">
        <v>44896</v>
      </c>
      <c r="C207" s="45"/>
      <c r="D207" s="33">
        <v>1</v>
      </c>
      <c r="E207" s="33"/>
      <c r="F207" s="33"/>
      <c r="G207" s="34" t="s">
        <v>414</v>
      </c>
      <c r="H207" s="35" t="s">
        <v>59</v>
      </c>
      <c r="I207" s="36">
        <v>1</v>
      </c>
      <c r="J207" s="37" t="s">
        <v>64</v>
      </c>
      <c r="K207" s="37"/>
      <c r="L207" s="37"/>
      <c r="M207" s="60" t="s">
        <v>143</v>
      </c>
      <c r="N207" s="54"/>
      <c r="O207" s="48">
        <v>245</v>
      </c>
      <c r="P207" s="37">
        <f t="shared" si="54"/>
        <v>245</v>
      </c>
      <c r="Q207" s="41" t="s">
        <v>64</v>
      </c>
      <c r="R207" s="42">
        <f t="shared" si="52"/>
        <v>0</v>
      </c>
      <c r="S207" s="42">
        <f t="shared" si="51"/>
        <v>0</v>
      </c>
      <c r="T207" s="43">
        <f t="shared" si="53"/>
        <v>0</v>
      </c>
      <c r="U207" s="43">
        <f t="shared" si="53"/>
        <v>0</v>
      </c>
      <c r="V207" s="44">
        <f t="shared" si="67"/>
        <v>1</v>
      </c>
      <c r="W207" s="36">
        <f t="shared" si="55"/>
        <v>245</v>
      </c>
      <c r="X207" s="36"/>
      <c r="Y207" s="36"/>
      <c r="Z207" s="36">
        <f t="shared" si="56"/>
        <v>0</v>
      </c>
      <c r="AA207" s="36">
        <f t="shared" si="57"/>
        <v>0</v>
      </c>
      <c r="AB207" s="36"/>
      <c r="AC207" s="36"/>
      <c r="AD207" s="36">
        <f t="shared" si="58"/>
        <v>0</v>
      </c>
      <c r="AE207" s="36">
        <f t="shared" si="59"/>
        <v>0</v>
      </c>
      <c r="AF207" s="36"/>
      <c r="AG207" s="36"/>
      <c r="AH207" s="36">
        <f t="shared" si="60"/>
        <v>0</v>
      </c>
      <c r="AI207" s="36">
        <f t="shared" si="61"/>
        <v>0</v>
      </c>
      <c r="AJ207" s="36"/>
      <c r="AK207" s="36"/>
      <c r="AL207" s="36">
        <f t="shared" si="62"/>
        <v>0</v>
      </c>
      <c r="AM207" s="36">
        <f t="shared" si="63"/>
        <v>0</v>
      </c>
      <c r="AN207" s="36"/>
      <c r="AO207" s="36"/>
      <c r="AP207" s="36">
        <f t="shared" si="64"/>
        <v>0</v>
      </c>
      <c r="AQ207" s="36">
        <f t="shared" si="65"/>
        <v>0</v>
      </c>
    </row>
    <row r="208" spans="1:43" x14ac:dyDescent="0.55000000000000004">
      <c r="A208" s="30" t="e">
        <f t="shared" si="66"/>
        <v>#REF!</v>
      </c>
      <c r="B208" s="31">
        <v>45627</v>
      </c>
      <c r="C208" s="45"/>
      <c r="D208" s="33">
        <v>1</v>
      </c>
      <c r="E208" s="33"/>
      <c r="F208" s="33"/>
      <c r="G208" s="46">
        <v>4381138</v>
      </c>
      <c r="H208" s="35" t="s">
        <v>415</v>
      </c>
      <c r="I208" s="36">
        <v>0</v>
      </c>
      <c r="J208" s="37" t="s">
        <v>54</v>
      </c>
      <c r="K208" s="37"/>
      <c r="L208" s="37">
        <f>456*12</f>
        <v>5472</v>
      </c>
      <c r="M208" s="60" t="s">
        <v>85</v>
      </c>
      <c r="N208" s="54" t="s">
        <v>41</v>
      </c>
      <c r="O208" s="40">
        <v>42.35</v>
      </c>
      <c r="P208" s="37">
        <f t="shared" si="54"/>
        <v>0</v>
      </c>
      <c r="Q208" s="41"/>
      <c r="R208" s="42">
        <f t="shared" si="52"/>
        <v>0</v>
      </c>
      <c r="S208" s="42">
        <f t="shared" si="51"/>
        <v>0</v>
      </c>
      <c r="T208" s="43">
        <f t="shared" si="53"/>
        <v>0</v>
      </c>
      <c r="U208" s="43">
        <f t="shared" si="53"/>
        <v>0</v>
      </c>
      <c r="V208" s="44">
        <f t="shared" si="67"/>
        <v>0</v>
      </c>
      <c r="W208" s="36">
        <f t="shared" si="55"/>
        <v>0</v>
      </c>
      <c r="X208" s="36"/>
      <c r="Y208" s="36"/>
      <c r="Z208" s="36">
        <f t="shared" si="56"/>
        <v>0</v>
      </c>
      <c r="AA208" s="36">
        <f t="shared" si="57"/>
        <v>0</v>
      </c>
      <c r="AB208" s="36"/>
      <c r="AC208" s="36"/>
      <c r="AD208" s="36">
        <f t="shared" si="58"/>
        <v>0</v>
      </c>
      <c r="AE208" s="36">
        <f t="shared" si="59"/>
        <v>0</v>
      </c>
      <c r="AF208" s="36"/>
      <c r="AG208" s="36"/>
      <c r="AH208" s="36">
        <f t="shared" si="60"/>
        <v>0</v>
      </c>
      <c r="AI208" s="36">
        <f t="shared" si="61"/>
        <v>0</v>
      </c>
      <c r="AJ208" s="36"/>
      <c r="AK208" s="36"/>
      <c r="AL208" s="36">
        <f t="shared" si="62"/>
        <v>0</v>
      </c>
      <c r="AM208" s="36">
        <f t="shared" si="63"/>
        <v>0</v>
      </c>
      <c r="AN208" s="36"/>
      <c r="AO208" s="36"/>
      <c r="AP208" s="36">
        <f t="shared" si="64"/>
        <v>0</v>
      </c>
      <c r="AQ208" s="36">
        <f t="shared" si="65"/>
        <v>0</v>
      </c>
    </row>
    <row r="209" spans="1:43" x14ac:dyDescent="0.55000000000000004">
      <c r="A209" s="30" t="e">
        <f t="shared" si="66"/>
        <v>#REF!</v>
      </c>
      <c r="B209" s="31">
        <v>45778</v>
      </c>
      <c r="C209" s="45"/>
      <c r="D209" s="33">
        <v>3</v>
      </c>
      <c r="E209" s="33"/>
      <c r="F209" s="33"/>
      <c r="G209" s="34" t="s">
        <v>416</v>
      </c>
      <c r="H209" s="35" t="s">
        <v>48</v>
      </c>
      <c r="I209" s="36">
        <v>9</v>
      </c>
      <c r="J209" s="37" t="s">
        <v>40</v>
      </c>
      <c r="K209" s="37"/>
      <c r="L209" s="37"/>
      <c r="M209" s="60" t="s">
        <v>35</v>
      </c>
      <c r="N209" s="39" t="s">
        <v>36</v>
      </c>
      <c r="O209" s="40">
        <v>4.82</v>
      </c>
      <c r="P209" s="37">
        <f t="shared" si="54"/>
        <v>43.38</v>
      </c>
      <c r="Q209" s="41"/>
      <c r="R209" s="42">
        <f t="shared" si="52"/>
        <v>0</v>
      </c>
      <c r="S209" s="42">
        <f t="shared" si="51"/>
        <v>9.64</v>
      </c>
      <c r="T209" s="43">
        <f t="shared" si="53"/>
        <v>0</v>
      </c>
      <c r="U209" s="43">
        <f t="shared" si="53"/>
        <v>2</v>
      </c>
      <c r="V209" s="44">
        <f t="shared" si="67"/>
        <v>7</v>
      </c>
      <c r="W209" s="36">
        <f t="shared" si="55"/>
        <v>33.74</v>
      </c>
      <c r="X209" s="36"/>
      <c r="Y209" s="36"/>
      <c r="Z209" s="36">
        <f t="shared" si="56"/>
        <v>0</v>
      </c>
      <c r="AA209" s="36">
        <f t="shared" si="57"/>
        <v>0</v>
      </c>
      <c r="AB209" s="36"/>
      <c r="AC209" s="36"/>
      <c r="AD209" s="36">
        <f t="shared" si="58"/>
        <v>0</v>
      </c>
      <c r="AE209" s="36">
        <f t="shared" si="59"/>
        <v>0</v>
      </c>
      <c r="AF209" s="36"/>
      <c r="AG209" s="36">
        <v>2</v>
      </c>
      <c r="AH209" s="36">
        <f t="shared" si="60"/>
        <v>0</v>
      </c>
      <c r="AI209" s="36">
        <f t="shared" si="61"/>
        <v>9.64</v>
      </c>
      <c r="AJ209" s="36"/>
      <c r="AK209" s="36"/>
      <c r="AL209" s="36">
        <f t="shared" si="62"/>
        <v>0</v>
      </c>
      <c r="AM209" s="36">
        <f t="shared" si="63"/>
        <v>0</v>
      </c>
      <c r="AN209" s="36"/>
      <c r="AO209" s="36"/>
      <c r="AP209" s="36">
        <f t="shared" si="64"/>
        <v>0</v>
      </c>
      <c r="AQ209" s="36">
        <f t="shared" si="65"/>
        <v>0</v>
      </c>
    </row>
    <row r="210" spans="1:43" x14ac:dyDescent="0.55000000000000004">
      <c r="A210" s="30" t="e">
        <f t="shared" si="66"/>
        <v>#REF!</v>
      </c>
      <c r="B210" s="31">
        <v>45708</v>
      </c>
      <c r="C210" s="45"/>
      <c r="D210" s="33">
        <v>1</v>
      </c>
      <c r="E210" s="33"/>
      <c r="F210" s="33"/>
      <c r="G210" s="34">
        <v>2350974</v>
      </c>
      <c r="H210" s="35" t="s">
        <v>116</v>
      </c>
      <c r="I210" s="36">
        <v>2</v>
      </c>
      <c r="J210" s="37" t="s">
        <v>80</v>
      </c>
      <c r="K210" s="37"/>
      <c r="L210" s="37"/>
      <c r="M210" s="60" t="s">
        <v>217</v>
      </c>
      <c r="N210" s="54"/>
      <c r="O210" s="40">
        <v>453.78</v>
      </c>
      <c r="P210" s="37">
        <f t="shared" si="54"/>
        <v>907.56</v>
      </c>
      <c r="Q210" s="41"/>
      <c r="R210" s="42">
        <f t="shared" si="52"/>
        <v>0</v>
      </c>
      <c r="S210" s="42">
        <f t="shared" si="51"/>
        <v>0</v>
      </c>
      <c r="T210" s="43">
        <f t="shared" si="53"/>
        <v>0</v>
      </c>
      <c r="U210" s="43">
        <f t="shared" si="53"/>
        <v>0</v>
      </c>
      <c r="V210" s="44">
        <f t="shared" si="67"/>
        <v>2</v>
      </c>
      <c r="W210" s="36">
        <f t="shared" si="55"/>
        <v>907.56</v>
      </c>
      <c r="X210" s="36"/>
      <c r="Y210" s="36"/>
      <c r="Z210" s="36">
        <f t="shared" si="56"/>
        <v>0</v>
      </c>
      <c r="AA210" s="36">
        <f t="shared" si="57"/>
        <v>0</v>
      </c>
      <c r="AB210" s="36"/>
      <c r="AC210" s="36"/>
      <c r="AD210" s="36">
        <f t="shared" si="58"/>
        <v>0</v>
      </c>
      <c r="AE210" s="36">
        <f t="shared" si="59"/>
        <v>0</v>
      </c>
      <c r="AF210" s="36"/>
      <c r="AG210" s="36"/>
      <c r="AH210" s="36">
        <f t="shared" si="60"/>
        <v>0</v>
      </c>
      <c r="AI210" s="36">
        <f t="shared" si="61"/>
        <v>0</v>
      </c>
      <c r="AJ210" s="36"/>
      <c r="AK210" s="36"/>
      <c r="AL210" s="36">
        <f t="shared" si="62"/>
        <v>0</v>
      </c>
      <c r="AM210" s="36">
        <f t="shared" si="63"/>
        <v>0</v>
      </c>
      <c r="AN210" s="36"/>
      <c r="AO210" s="36"/>
      <c r="AP210" s="36">
        <f t="shared" si="64"/>
        <v>0</v>
      </c>
      <c r="AQ210" s="36">
        <f t="shared" si="65"/>
        <v>0</v>
      </c>
    </row>
    <row r="211" spans="1:43" x14ac:dyDescent="0.55000000000000004">
      <c r="A211" s="30" t="e">
        <f t="shared" si="66"/>
        <v>#REF!</v>
      </c>
      <c r="B211" s="31">
        <v>45717</v>
      </c>
      <c r="C211" s="45"/>
      <c r="D211" s="33">
        <v>17</v>
      </c>
      <c r="E211" s="33"/>
      <c r="F211" s="33"/>
      <c r="G211" s="34" t="s">
        <v>417</v>
      </c>
      <c r="H211" s="35" t="s">
        <v>418</v>
      </c>
      <c r="I211" s="36">
        <v>37</v>
      </c>
      <c r="J211" s="37" t="s">
        <v>40</v>
      </c>
      <c r="K211" s="37"/>
      <c r="L211" s="37"/>
      <c r="M211" s="38" t="s">
        <v>35</v>
      </c>
      <c r="N211" s="39" t="s">
        <v>49</v>
      </c>
      <c r="O211" s="40">
        <v>4.82</v>
      </c>
      <c r="P211" s="37">
        <f t="shared" si="54"/>
        <v>178.34</v>
      </c>
      <c r="Q211" s="41" t="s">
        <v>80</v>
      </c>
      <c r="R211" s="42">
        <f t="shared" si="52"/>
        <v>0</v>
      </c>
      <c r="S211" s="42">
        <f t="shared" si="51"/>
        <v>38.56</v>
      </c>
      <c r="T211" s="43">
        <f t="shared" si="53"/>
        <v>0</v>
      </c>
      <c r="U211" s="43">
        <f t="shared" si="53"/>
        <v>8</v>
      </c>
      <c r="V211" s="44">
        <f t="shared" si="67"/>
        <v>29</v>
      </c>
      <c r="W211" s="36">
        <f t="shared" si="55"/>
        <v>139.78</v>
      </c>
      <c r="X211" s="36"/>
      <c r="Y211" s="36"/>
      <c r="Z211" s="36">
        <f t="shared" si="56"/>
        <v>0</v>
      </c>
      <c r="AA211" s="36">
        <f t="shared" si="57"/>
        <v>0</v>
      </c>
      <c r="AB211" s="36"/>
      <c r="AC211" s="36"/>
      <c r="AD211" s="36">
        <f t="shared" si="58"/>
        <v>0</v>
      </c>
      <c r="AE211" s="36">
        <f t="shared" si="59"/>
        <v>0</v>
      </c>
      <c r="AF211" s="36"/>
      <c r="AG211" s="36">
        <v>8</v>
      </c>
      <c r="AH211" s="36">
        <f t="shared" si="60"/>
        <v>0</v>
      </c>
      <c r="AI211" s="36">
        <f t="shared" si="61"/>
        <v>38.56</v>
      </c>
      <c r="AJ211" s="36"/>
      <c r="AK211" s="36"/>
      <c r="AL211" s="36">
        <f t="shared" si="62"/>
        <v>0</v>
      </c>
      <c r="AM211" s="36">
        <f t="shared" si="63"/>
        <v>0</v>
      </c>
      <c r="AN211" s="36"/>
      <c r="AO211" s="36"/>
      <c r="AP211" s="36">
        <f t="shared" si="64"/>
        <v>0</v>
      </c>
      <c r="AQ211" s="36">
        <f t="shared" si="65"/>
        <v>0</v>
      </c>
    </row>
    <row r="212" spans="1:43" x14ac:dyDescent="0.55000000000000004">
      <c r="A212" s="30" t="e">
        <f t="shared" si="66"/>
        <v>#REF!</v>
      </c>
      <c r="B212" s="31">
        <v>44896</v>
      </c>
      <c r="C212" s="45"/>
      <c r="D212" s="33">
        <v>8</v>
      </c>
      <c r="E212" s="33"/>
      <c r="F212" s="33"/>
      <c r="G212" s="34" t="s">
        <v>419</v>
      </c>
      <c r="H212" s="35" t="s">
        <v>420</v>
      </c>
      <c r="I212" s="36">
        <v>8</v>
      </c>
      <c r="J212" s="37" t="s">
        <v>40</v>
      </c>
      <c r="K212" s="37"/>
      <c r="L212" s="37"/>
      <c r="M212" s="38" t="s">
        <v>35</v>
      </c>
      <c r="N212" s="39" t="s">
        <v>41</v>
      </c>
      <c r="O212" s="48">
        <v>15</v>
      </c>
      <c r="P212" s="37">
        <f t="shared" si="54"/>
        <v>120</v>
      </c>
      <c r="Q212" s="41" t="s">
        <v>93</v>
      </c>
      <c r="R212" s="42">
        <f t="shared" si="52"/>
        <v>0</v>
      </c>
      <c r="S212" s="42">
        <f t="shared" si="51"/>
        <v>0</v>
      </c>
      <c r="T212" s="43">
        <f t="shared" si="53"/>
        <v>0</v>
      </c>
      <c r="U212" s="43">
        <f t="shared" si="53"/>
        <v>0</v>
      </c>
      <c r="V212" s="44">
        <f t="shared" si="67"/>
        <v>8</v>
      </c>
      <c r="W212" s="36">
        <f t="shared" si="55"/>
        <v>120</v>
      </c>
      <c r="X212" s="36"/>
      <c r="Y212" s="36"/>
      <c r="Z212" s="36">
        <f t="shared" si="56"/>
        <v>0</v>
      </c>
      <c r="AA212" s="36">
        <f t="shared" si="57"/>
        <v>0</v>
      </c>
      <c r="AB212" s="36"/>
      <c r="AC212" s="36"/>
      <c r="AD212" s="36">
        <f t="shared" si="58"/>
        <v>0</v>
      </c>
      <c r="AE212" s="36">
        <f t="shared" si="59"/>
        <v>0</v>
      </c>
      <c r="AF212" s="36"/>
      <c r="AG212" s="36"/>
      <c r="AH212" s="36">
        <f t="shared" si="60"/>
        <v>0</v>
      </c>
      <c r="AI212" s="36">
        <f t="shared" si="61"/>
        <v>0</v>
      </c>
      <c r="AJ212" s="36"/>
      <c r="AK212" s="36"/>
      <c r="AL212" s="36">
        <f t="shared" si="62"/>
        <v>0</v>
      </c>
      <c r="AM212" s="36">
        <f t="shared" si="63"/>
        <v>0</v>
      </c>
      <c r="AN212" s="36"/>
      <c r="AO212" s="36"/>
      <c r="AP212" s="36">
        <f t="shared" si="64"/>
        <v>0</v>
      </c>
      <c r="AQ212" s="36">
        <f t="shared" si="65"/>
        <v>0</v>
      </c>
    </row>
    <row r="213" spans="1:43" x14ac:dyDescent="0.55000000000000004">
      <c r="A213" s="30" t="e">
        <f t="shared" si="66"/>
        <v>#REF!</v>
      </c>
      <c r="B213" s="31">
        <v>44896</v>
      </c>
      <c r="C213" s="45"/>
      <c r="D213" s="33">
        <v>2</v>
      </c>
      <c r="E213" s="33"/>
      <c r="F213" s="33"/>
      <c r="G213" s="51" t="s">
        <v>421</v>
      </c>
      <c r="H213" s="37" t="s">
        <v>305</v>
      </c>
      <c r="I213" s="36">
        <v>2</v>
      </c>
      <c r="J213" s="37" t="s">
        <v>40</v>
      </c>
      <c r="K213" s="37"/>
      <c r="L213" s="37"/>
      <c r="M213" s="60" t="s">
        <v>35</v>
      </c>
      <c r="N213" s="39" t="s">
        <v>36</v>
      </c>
      <c r="O213" s="48">
        <v>97</v>
      </c>
      <c r="P213" s="37">
        <f t="shared" si="54"/>
        <v>194</v>
      </c>
      <c r="Q213" s="41"/>
      <c r="R213" s="42">
        <f t="shared" si="52"/>
        <v>0</v>
      </c>
      <c r="S213" s="42">
        <f t="shared" ref="S213:S276" si="68">U213*O213</f>
        <v>0</v>
      </c>
      <c r="T213" s="43">
        <f t="shared" si="53"/>
        <v>0</v>
      </c>
      <c r="U213" s="43">
        <f t="shared" si="53"/>
        <v>0</v>
      </c>
      <c r="V213" s="44">
        <f t="shared" si="67"/>
        <v>2</v>
      </c>
      <c r="W213" s="36">
        <f t="shared" si="55"/>
        <v>194</v>
      </c>
      <c r="X213" s="36"/>
      <c r="Y213" s="36"/>
      <c r="Z213" s="36">
        <f t="shared" si="56"/>
        <v>0</v>
      </c>
      <c r="AA213" s="36">
        <f t="shared" si="57"/>
        <v>0</v>
      </c>
      <c r="AB213" s="36"/>
      <c r="AC213" s="36"/>
      <c r="AD213" s="36">
        <f t="shared" si="58"/>
        <v>0</v>
      </c>
      <c r="AE213" s="36">
        <f t="shared" si="59"/>
        <v>0</v>
      </c>
      <c r="AF213" s="36"/>
      <c r="AG213" s="36"/>
      <c r="AH213" s="36">
        <f t="shared" si="60"/>
        <v>0</v>
      </c>
      <c r="AI213" s="36">
        <f t="shared" si="61"/>
        <v>0</v>
      </c>
      <c r="AJ213" s="36"/>
      <c r="AK213" s="36"/>
      <c r="AL213" s="36">
        <f t="shared" si="62"/>
        <v>0</v>
      </c>
      <c r="AM213" s="36">
        <f t="shared" si="63"/>
        <v>0</v>
      </c>
      <c r="AN213" s="36"/>
      <c r="AO213" s="36"/>
      <c r="AP213" s="36">
        <f t="shared" si="64"/>
        <v>0</v>
      </c>
      <c r="AQ213" s="36">
        <f t="shared" si="65"/>
        <v>0</v>
      </c>
    </row>
    <row r="214" spans="1:43" x14ac:dyDescent="0.55000000000000004">
      <c r="A214" s="30" t="e">
        <f t="shared" si="66"/>
        <v>#REF!</v>
      </c>
      <c r="B214" s="31">
        <v>44896</v>
      </c>
      <c r="C214" s="45"/>
      <c r="D214" s="33">
        <v>1</v>
      </c>
      <c r="E214" s="33"/>
      <c r="F214" s="33"/>
      <c r="G214" s="51" t="s">
        <v>422</v>
      </c>
      <c r="H214" s="37" t="s">
        <v>133</v>
      </c>
      <c r="I214" s="36">
        <v>1</v>
      </c>
      <c r="J214" s="37" t="s">
        <v>40</v>
      </c>
      <c r="K214" s="37"/>
      <c r="L214" s="37"/>
      <c r="M214" s="60" t="s">
        <v>35</v>
      </c>
      <c r="N214" s="39" t="s">
        <v>36</v>
      </c>
      <c r="O214" s="48">
        <v>10</v>
      </c>
      <c r="P214" s="37">
        <f t="shared" si="54"/>
        <v>10</v>
      </c>
      <c r="Q214" s="41"/>
      <c r="R214" s="42">
        <f t="shared" si="52"/>
        <v>0</v>
      </c>
      <c r="S214" s="42">
        <f t="shared" si="68"/>
        <v>0</v>
      </c>
      <c r="T214" s="43">
        <f t="shared" si="53"/>
        <v>0</v>
      </c>
      <c r="U214" s="43">
        <f t="shared" si="53"/>
        <v>0</v>
      </c>
      <c r="V214" s="44">
        <f t="shared" si="67"/>
        <v>1</v>
      </c>
      <c r="W214" s="36">
        <f t="shared" si="55"/>
        <v>10</v>
      </c>
      <c r="X214" s="36"/>
      <c r="Y214" s="36"/>
      <c r="Z214" s="36">
        <f t="shared" si="56"/>
        <v>0</v>
      </c>
      <c r="AA214" s="36">
        <f t="shared" si="57"/>
        <v>0</v>
      </c>
      <c r="AB214" s="36"/>
      <c r="AC214" s="36"/>
      <c r="AD214" s="36">
        <f t="shared" si="58"/>
        <v>0</v>
      </c>
      <c r="AE214" s="36">
        <f t="shared" si="59"/>
        <v>0</v>
      </c>
      <c r="AF214" s="36"/>
      <c r="AG214" s="36"/>
      <c r="AH214" s="36">
        <f t="shared" si="60"/>
        <v>0</v>
      </c>
      <c r="AI214" s="36">
        <f t="shared" si="61"/>
        <v>0</v>
      </c>
      <c r="AJ214" s="36"/>
      <c r="AK214" s="36"/>
      <c r="AL214" s="36">
        <f t="shared" si="62"/>
        <v>0</v>
      </c>
      <c r="AM214" s="36">
        <f t="shared" si="63"/>
        <v>0</v>
      </c>
      <c r="AN214" s="36"/>
      <c r="AO214" s="36"/>
      <c r="AP214" s="36">
        <f t="shared" si="64"/>
        <v>0</v>
      </c>
      <c r="AQ214" s="36">
        <f t="shared" si="65"/>
        <v>0</v>
      </c>
    </row>
    <row r="215" spans="1:43" x14ac:dyDescent="0.55000000000000004">
      <c r="A215" s="30" t="e">
        <f t="shared" si="66"/>
        <v>#REF!</v>
      </c>
      <c r="B215" s="31">
        <v>45627</v>
      </c>
      <c r="C215" s="45"/>
      <c r="D215" s="33">
        <v>8</v>
      </c>
      <c r="E215" s="33"/>
      <c r="F215" s="33"/>
      <c r="G215" s="51" t="s">
        <v>423</v>
      </c>
      <c r="H215" s="37" t="s">
        <v>305</v>
      </c>
      <c r="I215" s="36">
        <v>8</v>
      </c>
      <c r="J215" s="37"/>
      <c r="K215" s="37"/>
      <c r="L215" s="37"/>
      <c r="M215" s="38" t="s">
        <v>35</v>
      </c>
      <c r="N215" s="39" t="s">
        <v>49</v>
      </c>
      <c r="O215" s="40">
        <f>53.09*1.5</f>
        <v>79.635000000000005</v>
      </c>
      <c r="P215" s="37">
        <f t="shared" si="54"/>
        <v>637.08000000000004</v>
      </c>
      <c r="Q215" s="41"/>
      <c r="R215" s="42">
        <f t="shared" si="52"/>
        <v>238.90500000000003</v>
      </c>
      <c r="S215" s="42">
        <f t="shared" si="68"/>
        <v>0</v>
      </c>
      <c r="T215" s="43">
        <f t="shared" si="53"/>
        <v>3</v>
      </c>
      <c r="U215" s="43">
        <f t="shared" si="53"/>
        <v>0</v>
      </c>
      <c r="V215" s="44">
        <f t="shared" si="67"/>
        <v>11</v>
      </c>
      <c r="W215" s="36">
        <f t="shared" si="55"/>
        <v>875.98500000000001</v>
      </c>
      <c r="X215" s="36">
        <v>3</v>
      </c>
      <c r="Y215" s="36"/>
      <c r="Z215" s="36">
        <f t="shared" si="56"/>
        <v>238.90500000000003</v>
      </c>
      <c r="AA215" s="36">
        <f t="shared" si="57"/>
        <v>0</v>
      </c>
      <c r="AB215" s="36"/>
      <c r="AC215" s="36"/>
      <c r="AD215" s="36">
        <f t="shared" si="58"/>
        <v>0</v>
      </c>
      <c r="AE215" s="36">
        <f t="shared" si="59"/>
        <v>0</v>
      </c>
      <c r="AF215" s="36"/>
      <c r="AG215" s="36"/>
      <c r="AH215" s="36">
        <f t="shared" si="60"/>
        <v>0</v>
      </c>
      <c r="AI215" s="36">
        <f t="shared" si="61"/>
        <v>0</v>
      </c>
      <c r="AJ215" s="36"/>
      <c r="AK215" s="36"/>
      <c r="AL215" s="36">
        <f t="shared" si="62"/>
        <v>0</v>
      </c>
      <c r="AM215" s="36">
        <f t="shared" si="63"/>
        <v>0</v>
      </c>
      <c r="AN215" s="36"/>
      <c r="AO215" s="36"/>
      <c r="AP215" s="36">
        <f t="shared" si="64"/>
        <v>0</v>
      </c>
      <c r="AQ215" s="36">
        <f t="shared" si="65"/>
        <v>0</v>
      </c>
    </row>
    <row r="216" spans="1:43" x14ac:dyDescent="0.55000000000000004">
      <c r="A216" s="30" t="e">
        <f t="shared" si="66"/>
        <v>#REF!</v>
      </c>
      <c r="B216" s="31">
        <v>44896</v>
      </c>
      <c r="C216" s="45"/>
      <c r="D216" s="33">
        <v>3</v>
      </c>
      <c r="E216" s="33"/>
      <c r="F216" s="33"/>
      <c r="G216" s="34" t="s">
        <v>424</v>
      </c>
      <c r="H216" s="35" t="s">
        <v>425</v>
      </c>
      <c r="I216" s="36">
        <v>3</v>
      </c>
      <c r="J216" s="37" t="s">
        <v>64</v>
      </c>
      <c r="K216" s="37"/>
      <c r="L216" s="37"/>
      <c r="M216" s="60" t="s">
        <v>143</v>
      </c>
      <c r="N216" s="54"/>
      <c r="O216" s="48">
        <v>251</v>
      </c>
      <c r="P216" s="37">
        <f t="shared" si="54"/>
        <v>753</v>
      </c>
      <c r="Q216" s="41" t="s">
        <v>64</v>
      </c>
      <c r="R216" s="42">
        <f t="shared" si="52"/>
        <v>0</v>
      </c>
      <c r="S216" s="42">
        <f t="shared" si="68"/>
        <v>0</v>
      </c>
      <c r="T216" s="43">
        <f t="shared" si="53"/>
        <v>0</v>
      </c>
      <c r="U216" s="43">
        <f t="shared" si="53"/>
        <v>0</v>
      </c>
      <c r="V216" s="44">
        <f t="shared" si="67"/>
        <v>3</v>
      </c>
      <c r="W216" s="36">
        <f t="shared" si="55"/>
        <v>753</v>
      </c>
      <c r="X216" s="36"/>
      <c r="Y216" s="36"/>
      <c r="Z216" s="36">
        <f t="shared" si="56"/>
        <v>0</v>
      </c>
      <c r="AA216" s="36">
        <f t="shared" si="57"/>
        <v>0</v>
      </c>
      <c r="AB216" s="36"/>
      <c r="AC216" s="36"/>
      <c r="AD216" s="36">
        <f t="shared" si="58"/>
        <v>0</v>
      </c>
      <c r="AE216" s="36">
        <f t="shared" si="59"/>
        <v>0</v>
      </c>
      <c r="AF216" s="36"/>
      <c r="AG216" s="36"/>
      <c r="AH216" s="36">
        <f t="shared" si="60"/>
        <v>0</v>
      </c>
      <c r="AI216" s="36">
        <f t="shared" si="61"/>
        <v>0</v>
      </c>
      <c r="AJ216" s="36"/>
      <c r="AK216" s="36"/>
      <c r="AL216" s="36">
        <f t="shared" si="62"/>
        <v>0</v>
      </c>
      <c r="AM216" s="36">
        <f t="shared" si="63"/>
        <v>0</v>
      </c>
      <c r="AN216" s="36"/>
      <c r="AO216" s="36"/>
      <c r="AP216" s="36">
        <f t="shared" si="64"/>
        <v>0</v>
      </c>
      <c r="AQ216" s="36">
        <f t="shared" si="65"/>
        <v>0</v>
      </c>
    </row>
    <row r="217" spans="1:43" x14ac:dyDescent="0.55000000000000004">
      <c r="A217" s="30" t="e">
        <f t="shared" si="66"/>
        <v>#REF!</v>
      </c>
      <c r="B217" s="31">
        <v>45778</v>
      </c>
      <c r="C217" s="45"/>
      <c r="D217" s="33">
        <v>1</v>
      </c>
      <c r="E217" s="33"/>
      <c r="F217" s="33"/>
      <c r="G217" s="46" t="s">
        <v>426</v>
      </c>
      <c r="H217" s="35" t="s">
        <v>116</v>
      </c>
      <c r="I217" s="36">
        <v>0</v>
      </c>
      <c r="J217" s="37" t="s">
        <v>80</v>
      </c>
      <c r="K217" s="37"/>
      <c r="L217" s="37"/>
      <c r="M217" s="60" t="s">
        <v>217</v>
      </c>
      <c r="N217" s="54"/>
      <c r="O217" s="40">
        <v>343</v>
      </c>
      <c r="P217" s="37">
        <f t="shared" si="54"/>
        <v>0</v>
      </c>
      <c r="Q217" s="41"/>
      <c r="R217" s="42">
        <f t="shared" si="52"/>
        <v>0</v>
      </c>
      <c r="S217" s="42">
        <f t="shared" si="68"/>
        <v>0</v>
      </c>
      <c r="T217" s="43">
        <f t="shared" si="53"/>
        <v>0</v>
      </c>
      <c r="U217" s="43">
        <f t="shared" si="53"/>
        <v>0</v>
      </c>
      <c r="V217" s="44">
        <f t="shared" si="67"/>
        <v>0</v>
      </c>
      <c r="W217" s="36">
        <f t="shared" si="55"/>
        <v>0</v>
      </c>
      <c r="X217" s="36"/>
      <c r="Y217" s="36"/>
      <c r="Z217" s="36">
        <f t="shared" si="56"/>
        <v>0</v>
      </c>
      <c r="AA217" s="36">
        <f t="shared" si="57"/>
        <v>0</v>
      </c>
      <c r="AB217" s="36"/>
      <c r="AC217" s="36"/>
      <c r="AD217" s="36">
        <f t="shared" si="58"/>
        <v>0</v>
      </c>
      <c r="AE217" s="36">
        <f t="shared" si="59"/>
        <v>0</v>
      </c>
      <c r="AF217" s="36"/>
      <c r="AG217" s="36"/>
      <c r="AH217" s="36">
        <f t="shared" si="60"/>
        <v>0</v>
      </c>
      <c r="AI217" s="36">
        <f t="shared" si="61"/>
        <v>0</v>
      </c>
      <c r="AJ217" s="36"/>
      <c r="AK217" s="36"/>
      <c r="AL217" s="36">
        <f t="shared" si="62"/>
        <v>0</v>
      </c>
      <c r="AM217" s="36">
        <f t="shared" si="63"/>
        <v>0</v>
      </c>
      <c r="AN217" s="36"/>
      <c r="AO217" s="36"/>
      <c r="AP217" s="36">
        <f t="shared" si="64"/>
        <v>0</v>
      </c>
      <c r="AQ217" s="36">
        <f t="shared" si="65"/>
        <v>0</v>
      </c>
    </row>
    <row r="218" spans="1:43" x14ac:dyDescent="0.55000000000000004">
      <c r="A218" s="30" t="e">
        <f t="shared" si="66"/>
        <v>#REF!</v>
      </c>
      <c r="B218" s="31">
        <v>44896</v>
      </c>
      <c r="C218" s="45"/>
      <c r="D218" s="33">
        <v>2</v>
      </c>
      <c r="E218" s="33"/>
      <c r="F218" s="33"/>
      <c r="G218" s="51" t="s">
        <v>427</v>
      </c>
      <c r="H218" s="52" t="s">
        <v>428</v>
      </c>
      <c r="I218" s="36">
        <v>2</v>
      </c>
      <c r="J218" s="37" t="s">
        <v>429</v>
      </c>
      <c r="K218" s="37"/>
      <c r="L218" s="37"/>
      <c r="M218" s="60" t="s">
        <v>143</v>
      </c>
      <c r="N218" s="54"/>
      <c r="O218" s="40">
        <v>63</v>
      </c>
      <c r="P218" s="37">
        <f t="shared" si="54"/>
        <v>126</v>
      </c>
      <c r="Q218" s="41"/>
      <c r="R218" s="42">
        <f t="shared" ref="R218:R281" si="69">T218*O218</f>
        <v>0</v>
      </c>
      <c r="S218" s="42">
        <f t="shared" si="68"/>
        <v>0</v>
      </c>
      <c r="T218" s="43">
        <f t="shared" si="53"/>
        <v>0</v>
      </c>
      <c r="U218" s="43">
        <f t="shared" si="53"/>
        <v>0</v>
      </c>
      <c r="V218" s="44">
        <f t="shared" si="67"/>
        <v>2</v>
      </c>
      <c r="W218" s="36">
        <f t="shared" si="55"/>
        <v>126</v>
      </c>
      <c r="X218" s="36"/>
      <c r="Y218" s="36"/>
      <c r="Z218" s="36">
        <f t="shared" si="56"/>
        <v>0</v>
      </c>
      <c r="AA218" s="36">
        <f t="shared" si="57"/>
        <v>0</v>
      </c>
      <c r="AB218" s="36"/>
      <c r="AC218" s="36"/>
      <c r="AD218" s="36">
        <f t="shared" si="58"/>
        <v>0</v>
      </c>
      <c r="AE218" s="36">
        <f t="shared" si="59"/>
        <v>0</v>
      </c>
      <c r="AF218" s="36"/>
      <c r="AG218" s="36"/>
      <c r="AH218" s="36">
        <f t="shared" si="60"/>
        <v>0</v>
      </c>
      <c r="AI218" s="36">
        <f t="shared" si="61"/>
        <v>0</v>
      </c>
      <c r="AJ218" s="36"/>
      <c r="AK218" s="36"/>
      <c r="AL218" s="36">
        <f t="shared" si="62"/>
        <v>0</v>
      </c>
      <c r="AM218" s="36">
        <f t="shared" si="63"/>
        <v>0</v>
      </c>
      <c r="AN218" s="36"/>
      <c r="AO218" s="36"/>
      <c r="AP218" s="36">
        <f t="shared" si="64"/>
        <v>0</v>
      </c>
      <c r="AQ218" s="36">
        <f t="shared" si="65"/>
        <v>0</v>
      </c>
    </row>
    <row r="219" spans="1:43" x14ac:dyDescent="0.55000000000000004">
      <c r="A219" s="30" t="e">
        <f t="shared" si="66"/>
        <v>#REF!</v>
      </c>
      <c r="B219" s="31">
        <v>45770</v>
      </c>
      <c r="C219" s="45"/>
      <c r="D219" s="33">
        <v>1</v>
      </c>
      <c r="E219" s="33"/>
      <c r="F219" s="33"/>
      <c r="G219" s="51" t="s">
        <v>430</v>
      </c>
      <c r="H219" s="52" t="s">
        <v>50</v>
      </c>
      <c r="I219" s="36">
        <v>1</v>
      </c>
      <c r="J219" s="37"/>
      <c r="K219" s="37"/>
      <c r="L219" s="37"/>
      <c r="M219" s="60" t="s">
        <v>69</v>
      </c>
      <c r="N219" s="54"/>
      <c r="O219" s="40">
        <v>427.7</v>
      </c>
      <c r="P219" s="37">
        <f t="shared" si="54"/>
        <v>427.7</v>
      </c>
      <c r="Q219" s="41"/>
      <c r="R219" s="42">
        <f t="shared" si="69"/>
        <v>0</v>
      </c>
      <c r="S219" s="42">
        <f t="shared" si="68"/>
        <v>0</v>
      </c>
      <c r="T219" s="43">
        <f t="shared" si="53"/>
        <v>0</v>
      </c>
      <c r="U219" s="43">
        <f t="shared" si="53"/>
        <v>0</v>
      </c>
      <c r="V219" s="44">
        <f t="shared" si="67"/>
        <v>1</v>
      </c>
      <c r="W219" s="36">
        <f t="shared" si="55"/>
        <v>427.7</v>
      </c>
      <c r="X219" s="36"/>
      <c r="Y219" s="36"/>
      <c r="Z219" s="36">
        <f t="shared" si="56"/>
        <v>0</v>
      </c>
      <c r="AA219" s="36">
        <f t="shared" si="57"/>
        <v>0</v>
      </c>
      <c r="AB219" s="36"/>
      <c r="AC219" s="36"/>
      <c r="AD219" s="36">
        <f t="shared" si="58"/>
        <v>0</v>
      </c>
      <c r="AE219" s="36">
        <f t="shared" si="59"/>
        <v>0</v>
      </c>
      <c r="AF219" s="36"/>
      <c r="AG219" s="36"/>
      <c r="AH219" s="36">
        <f t="shared" si="60"/>
        <v>0</v>
      </c>
      <c r="AI219" s="36">
        <f t="shared" si="61"/>
        <v>0</v>
      </c>
      <c r="AJ219" s="36"/>
      <c r="AK219" s="36"/>
      <c r="AL219" s="36">
        <f t="shared" si="62"/>
        <v>0</v>
      </c>
      <c r="AM219" s="36">
        <f t="shared" si="63"/>
        <v>0</v>
      </c>
      <c r="AN219" s="36"/>
      <c r="AO219" s="36"/>
      <c r="AP219" s="36">
        <f t="shared" si="64"/>
        <v>0</v>
      </c>
      <c r="AQ219" s="36">
        <f t="shared" si="65"/>
        <v>0</v>
      </c>
    </row>
    <row r="220" spans="1:43" x14ac:dyDescent="0.55000000000000004">
      <c r="A220" s="30" t="e">
        <f t="shared" si="66"/>
        <v>#REF!</v>
      </c>
      <c r="B220" s="31">
        <v>45778</v>
      </c>
      <c r="C220" s="31"/>
      <c r="D220" s="61">
        <v>8</v>
      </c>
      <c r="E220" s="61"/>
      <c r="F220" s="61"/>
      <c r="G220" s="69" t="s">
        <v>431</v>
      </c>
      <c r="H220" s="37" t="s">
        <v>46</v>
      </c>
      <c r="I220" s="36">
        <v>9</v>
      </c>
      <c r="J220" s="37" t="s">
        <v>80</v>
      </c>
      <c r="K220" s="37"/>
      <c r="L220" s="37"/>
      <c r="M220" s="60" t="s">
        <v>102</v>
      </c>
      <c r="N220" s="54" t="s">
        <v>41</v>
      </c>
      <c r="O220" s="40">
        <v>174.17</v>
      </c>
      <c r="P220" s="37">
        <f t="shared" si="54"/>
        <v>1567.53</v>
      </c>
      <c r="Q220" s="41"/>
      <c r="R220" s="42">
        <f t="shared" si="69"/>
        <v>0</v>
      </c>
      <c r="S220" s="42">
        <f t="shared" si="68"/>
        <v>1567.53</v>
      </c>
      <c r="T220" s="43">
        <f t="shared" si="53"/>
        <v>0</v>
      </c>
      <c r="U220" s="43">
        <f t="shared" si="53"/>
        <v>9</v>
      </c>
      <c r="V220" s="44">
        <f t="shared" si="67"/>
        <v>0</v>
      </c>
      <c r="W220" s="36">
        <f t="shared" si="55"/>
        <v>0</v>
      </c>
      <c r="X220" s="36"/>
      <c r="Y220" s="36"/>
      <c r="Z220" s="36">
        <f t="shared" si="56"/>
        <v>0</v>
      </c>
      <c r="AA220" s="36">
        <f t="shared" si="57"/>
        <v>0</v>
      </c>
      <c r="AB220" s="36"/>
      <c r="AC220" s="36">
        <v>2</v>
      </c>
      <c r="AD220" s="36">
        <f t="shared" si="58"/>
        <v>0</v>
      </c>
      <c r="AE220" s="36">
        <f t="shared" si="59"/>
        <v>348.34</v>
      </c>
      <c r="AF220" s="36"/>
      <c r="AG220" s="36">
        <v>7</v>
      </c>
      <c r="AH220" s="36">
        <f t="shared" si="60"/>
        <v>0</v>
      </c>
      <c r="AI220" s="36">
        <f t="shared" si="61"/>
        <v>1219.1899999999998</v>
      </c>
      <c r="AJ220" s="36"/>
      <c r="AK220" s="36"/>
      <c r="AL220" s="36">
        <f t="shared" si="62"/>
        <v>0</v>
      </c>
      <c r="AM220" s="36">
        <f t="shared" si="63"/>
        <v>0</v>
      </c>
      <c r="AN220" s="36"/>
      <c r="AO220" s="36"/>
      <c r="AP220" s="36">
        <f t="shared" si="64"/>
        <v>0</v>
      </c>
      <c r="AQ220" s="36">
        <f t="shared" si="65"/>
        <v>0</v>
      </c>
    </row>
    <row r="221" spans="1:43" x14ac:dyDescent="0.55000000000000004">
      <c r="A221" s="30" t="e">
        <f t="shared" si="66"/>
        <v>#REF!</v>
      </c>
      <c r="B221" s="31">
        <v>44896</v>
      </c>
      <c r="C221" s="45"/>
      <c r="D221" s="33">
        <v>2</v>
      </c>
      <c r="E221" s="33"/>
      <c r="F221" s="33"/>
      <c r="G221" s="51" t="s">
        <v>432</v>
      </c>
      <c r="H221" s="37" t="s">
        <v>133</v>
      </c>
      <c r="I221" s="36">
        <v>1</v>
      </c>
      <c r="J221" s="37" t="s">
        <v>54</v>
      </c>
      <c r="K221" s="37"/>
      <c r="L221" s="37"/>
      <c r="M221" s="60" t="s">
        <v>85</v>
      </c>
      <c r="N221" s="54" t="s">
        <v>49</v>
      </c>
      <c r="O221" s="40">
        <v>46.74</v>
      </c>
      <c r="P221" s="37">
        <f t="shared" si="54"/>
        <v>46.74</v>
      </c>
      <c r="Q221" s="41"/>
      <c r="R221" s="42">
        <f t="shared" si="69"/>
        <v>0</v>
      </c>
      <c r="S221" s="42">
        <f t="shared" si="68"/>
        <v>0</v>
      </c>
      <c r="T221" s="43">
        <f t="shared" si="53"/>
        <v>0</v>
      </c>
      <c r="U221" s="43">
        <f t="shared" si="53"/>
        <v>0</v>
      </c>
      <c r="V221" s="44">
        <f t="shared" si="67"/>
        <v>1</v>
      </c>
      <c r="W221" s="36">
        <f t="shared" si="55"/>
        <v>46.74</v>
      </c>
      <c r="X221" s="36"/>
      <c r="Y221" s="36"/>
      <c r="Z221" s="36">
        <f t="shared" si="56"/>
        <v>0</v>
      </c>
      <c r="AA221" s="36">
        <f t="shared" si="57"/>
        <v>0</v>
      </c>
      <c r="AB221" s="36"/>
      <c r="AC221" s="36"/>
      <c r="AD221" s="36">
        <f t="shared" si="58"/>
        <v>0</v>
      </c>
      <c r="AE221" s="36">
        <f t="shared" si="59"/>
        <v>0</v>
      </c>
      <c r="AF221" s="36"/>
      <c r="AG221" s="36"/>
      <c r="AH221" s="36">
        <f t="shared" si="60"/>
        <v>0</v>
      </c>
      <c r="AI221" s="36">
        <f t="shared" si="61"/>
        <v>0</v>
      </c>
      <c r="AJ221" s="36"/>
      <c r="AK221" s="36"/>
      <c r="AL221" s="36">
        <f t="shared" si="62"/>
        <v>0</v>
      </c>
      <c r="AM221" s="36">
        <f t="shared" si="63"/>
        <v>0</v>
      </c>
      <c r="AN221" s="36"/>
      <c r="AO221" s="36"/>
      <c r="AP221" s="36">
        <f t="shared" si="64"/>
        <v>0</v>
      </c>
      <c r="AQ221" s="36">
        <f t="shared" si="65"/>
        <v>0</v>
      </c>
    </row>
    <row r="222" spans="1:43" x14ac:dyDescent="0.55000000000000004">
      <c r="A222" s="30" t="e">
        <f t="shared" si="66"/>
        <v>#REF!</v>
      </c>
      <c r="B222" s="31">
        <v>44896</v>
      </c>
      <c r="C222" s="45"/>
      <c r="D222" s="33">
        <v>16</v>
      </c>
      <c r="E222" s="33"/>
      <c r="F222" s="33"/>
      <c r="G222" s="34" t="s">
        <v>433</v>
      </c>
      <c r="H222" s="35" t="s">
        <v>434</v>
      </c>
      <c r="I222" s="36">
        <v>12</v>
      </c>
      <c r="J222" s="37" t="s">
        <v>40</v>
      </c>
      <c r="K222" s="37"/>
      <c r="L222" s="37"/>
      <c r="M222" s="38" t="s">
        <v>35</v>
      </c>
      <c r="N222" s="39" t="s">
        <v>41</v>
      </c>
      <c r="O222" s="40">
        <v>2.72</v>
      </c>
      <c r="P222" s="37">
        <f t="shared" si="54"/>
        <v>32.64</v>
      </c>
      <c r="Q222" s="41" t="s">
        <v>93</v>
      </c>
      <c r="R222" s="42">
        <f t="shared" si="69"/>
        <v>0</v>
      </c>
      <c r="S222" s="42">
        <f t="shared" si="68"/>
        <v>0</v>
      </c>
      <c r="T222" s="43">
        <f t="shared" si="53"/>
        <v>0</v>
      </c>
      <c r="U222" s="43">
        <f t="shared" si="53"/>
        <v>0</v>
      </c>
      <c r="V222" s="44">
        <v>4</v>
      </c>
      <c r="W222" s="36">
        <f t="shared" si="55"/>
        <v>10.88</v>
      </c>
      <c r="X222" s="36"/>
      <c r="Y222" s="36"/>
      <c r="Z222" s="36">
        <f t="shared" si="56"/>
        <v>0</v>
      </c>
      <c r="AA222" s="36">
        <f t="shared" si="57"/>
        <v>0</v>
      </c>
      <c r="AB222" s="36"/>
      <c r="AC222" s="36"/>
      <c r="AD222" s="36">
        <f t="shared" si="58"/>
        <v>0</v>
      </c>
      <c r="AE222" s="36">
        <f t="shared" si="59"/>
        <v>0</v>
      </c>
      <c r="AF222" s="36"/>
      <c r="AG222" s="36"/>
      <c r="AH222" s="36">
        <f t="shared" si="60"/>
        <v>0</v>
      </c>
      <c r="AI222" s="36">
        <f t="shared" si="61"/>
        <v>0</v>
      </c>
      <c r="AJ222" s="36"/>
      <c r="AK222" s="36"/>
      <c r="AL222" s="36">
        <f t="shared" si="62"/>
        <v>0</v>
      </c>
      <c r="AM222" s="36">
        <f t="shared" si="63"/>
        <v>0</v>
      </c>
      <c r="AN222" s="36"/>
      <c r="AO222" s="36"/>
      <c r="AP222" s="36">
        <f t="shared" si="64"/>
        <v>0</v>
      </c>
      <c r="AQ222" s="36">
        <f t="shared" si="65"/>
        <v>0</v>
      </c>
    </row>
    <row r="223" spans="1:43" x14ac:dyDescent="0.55000000000000004">
      <c r="A223" s="30" t="e">
        <f t="shared" si="66"/>
        <v>#REF!</v>
      </c>
      <c r="B223" s="31">
        <v>45474</v>
      </c>
      <c r="C223" s="45"/>
      <c r="D223" s="33">
        <v>5</v>
      </c>
      <c r="E223" s="33"/>
      <c r="F223" s="33"/>
      <c r="G223" s="34" t="s">
        <v>435</v>
      </c>
      <c r="H223" s="37" t="s">
        <v>46</v>
      </c>
      <c r="I223" s="36">
        <v>6</v>
      </c>
      <c r="J223" s="37" t="s">
        <v>80</v>
      </c>
      <c r="K223" s="37"/>
      <c r="L223" s="37"/>
      <c r="M223" s="60" t="s">
        <v>102</v>
      </c>
      <c r="N223" s="54" t="s">
        <v>41</v>
      </c>
      <c r="O223" s="40">
        <v>31.5</v>
      </c>
      <c r="P223" s="37">
        <f t="shared" si="54"/>
        <v>189</v>
      </c>
      <c r="Q223" s="41"/>
      <c r="R223" s="42">
        <f t="shared" si="69"/>
        <v>0</v>
      </c>
      <c r="S223" s="42">
        <f t="shared" si="68"/>
        <v>0</v>
      </c>
      <c r="T223" s="43">
        <f t="shared" si="53"/>
        <v>0</v>
      </c>
      <c r="U223" s="43">
        <f t="shared" si="53"/>
        <v>0</v>
      </c>
      <c r="V223" s="44">
        <f t="shared" si="67"/>
        <v>6</v>
      </c>
      <c r="W223" s="36">
        <f t="shared" si="55"/>
        <v>189</v>
      </c>
      <c r="X223" s="36"/>
      <c r="Y223" s="36"/>
      <c r="Z223" s="36">
        <f t="shared" si="56"/>
        <v>0</v>
      </c>
      <c r="AA223" s="36">
        <f t="shared" si="57"/>
        <v>0</v>
      </c>
      <c r="AB223" s="36"/>
      <c r="AC223" s="36"/>
      <c r="AD223" s="36">
        <f t="shared" si="58"/>
        <v>0</v>
      </c>
      <c r="AE223" s="36">
        <f t="shared" si="59"/>
        <v>0</v>
      </c>
      <c r="AF223" s="36"/>
      <c r="AG223" s="36"/>
      <c r="AH223" s="36">
        <f t="shared" si="60"/>
        <v>0</v>
      </c>
      <c r="AI223" s="36">
        <f t="shared" si="61"/>
        <v>0</v>
      </c>
      <c r="AJ223" s="36"/>
      <c r="AK223" s="36"/>
      <c r="AL223" s="36">
        <f t="shared" si="62"/>
        <v>0</v>
      </c>
      <c r="AM223" s="36">
        <f t="shared" si="63"/>
        <v>0</v>
      </c>
      <c r="AN223" s="36"/>
      <c r="AO223" s="36"/>
      <c r="AP223" s="36">
        <f t="shared" si="64"/>
        <v>0</v>
      </c>
      <c r="AQ223" s="36">
        <f t="shared" si="65"/>
        <v>0</v>
      </c>
    </row>
    <row r="224" spans="1:43" x14ac:dyDescent="0.55000000000000004">
      <c r="A224" s="30" t="e">
        <f t="shared" si="66"/>
        <v>#REF!</v>
      </c>
      <c r="B224" s="31">
        <v>44896</v>
      </c>
      <c r="C224" s="45"/>
      <c r="D224" s="33">
        <v>5</v>
      </c>
      <c r="E224" s="33"/>
      <c r="F224" s="33"/>
      <c r="G224" s="34" t="s">
        <v>436</v>
      </c>
      <c r="H224" s="35" t="s">
        <v>437</v>
      </c>
      <c r="I224" s="36">
        <v>5</v>
      </c>
      <c r="J224" s="37" t="s">
        <v>40</v>
      </c>
      <c r="K224" s="37"/>
      <c r="L224" s="37"/>
      <c r="M224" s="60" t="s">
        <v>35</v>
      </c>
      <c r="N224" s="39" t="s">
        <v>41</v>
      </c>
      <c r="O224" s="40">
        <v>19.239999999999998</v>
      </c>
      <c r="P224" s="37">
        <f t="shared" si="54"/>
        <v>96.199999999999989</v>
      </c>
      <c r="Q224" s="41" t="s">
        <v>93</v>
      </c>
      <c r="R224" s="42">
        <f t="shared" si="69"/>
        <v>0</v>
      </c>
      <c r="S224" s="42">
        <f t="shared" si="68"/>
        <v>0</v>
      </c>
      <c r="T224" s="43">
        <f t="shared" si="53"/>
        <v>0</v>
      </c>
      <c r="U224" s="43">
        <f t="shared" si="53"/>
        <v>0</v>
      </c>
      <c r="V224" s="44">
        <f t="shared" si="67"/>
        <v>5</v>
      </c>
      <c r="W224" s="36">
        <f t="shared" si="55"/>
        <v>96.199999999999989</v>
      </c>
      <c r="X224" s="36"/>
      <c r="Y224" s="36"/>
      <c r="Z224" s="36">
        <f t="shared" si="56"/>
        <v>0</v>
      </c>
      <c r="AA224" s="36">
        <f t="shared" si="57"/>
        <v>0</v>
      </c>
      <c r="AB224" s="36"/>
      <c r="AC224" s="36"/>
      <c r="AD224" s="36">
        <f t="shared" si="58"/>
        <v>0</v>
      </c>
      <c r="AE224" s="36">
        <f t="shared" si="59"/>
        <v>0</v>
      </c>
      <c r="AF224" s="36"/>
      <c r="AG224" s="36"/>
      <c r="AH224" s="36">
        <f t="shared" si="60"/>
        <v>0</v>
      </c>
      <c r="AI224" s="36">
        <f t="shared" si="61"/>
        <v>0</v>
      </c>
      <c r="AJ224" s="36"/>
      <c r="AK224" s="36"/>
      <c r="AL224" s="36">
        <f t="shared" si="62"/>
        <v>0</v>
      </c>
      <c r="AM224" s="36">
        <f t="shared" si="63"/>
        <v>0</v>
      </c>
      <c r="AN224" s="36"/>
      <c r="AO224" s="36"/>
      <c r="AP224" s="36">
        <f t="shared" si="64"/>
        <v>0</v>
      </c>
      <c r="AQ224" s="36">
        <f t="shared" si="65"/>
        <v>0</v>
      </c>
    </row>
    <row r="225" spans="1:43" x14ac:dyDescent="0.55000000000000004">
      <c r="A225" s="30" t="e">
        <f t="shared" si="66"/>
        <v>#REF!</v>
      </c>
      <c r="B225" s="31">
        <v>45444</v>
      </c>
      <c r="C225" s="45"/>
      <c r="D225" s="33">
        <v>1</v>
      </c>
      <c r="E225" s="33"/>
      <c r="F225" s="33"/>
      <c r="G225" s="34">
        <v>3465200</v>
      </c>
      <c r="H225" s="35" t="s">
        <v>438</v>
      </c>
      <c r="I225" s="36">
        <v>1</v>
      </c>
      <c r="J225" s="37" t="s">
        <v>54</v>
      </c>
      <c r="K225" s="37"/>
      <c r="L225" s="37"/>
      <c r="M225" s="38" t="s">
        <v>72</v>
      </c>
      <c r="N225" s="54" t="s">
        <v>41</v>
      </c>
      <c r="O225" s="40">
        <v>55.88</v>
      </c>
      <c r="P225" s="37">
        <f t="shared" si="54"/>
        <v>55.88</v>
      </c>
      <c r="Q225" s="41"/>
      <c r="R225" s="42">
        <f t="shared" si="69"/>
        <v>0</v>
      </c>
      <c r="S225" s="42">
        <f t="shared" si="68"/>
        <v>55.88</v>
      </c>
      <c r="T225" s="43">
        <f t="shared" si="53"/>
        <v>0</v>
      </c>
      <c r="U225" s="43">
        <f t="shared" si="53"/>
        <v>1</v>
      </c>
      <c r="V225" s="44">
        <f t="shared" si="67"/>
        <v>0</v>
      </c>
      <c r="W225" s="36">
        <f t="shared" si="55"/>
        <v>0</v>
      </c>
      <c r="X225" s="36"/>
      <c r="Y225" s="36"/>
      <c r="Z225" s="36">
        <f t="shared" si="56"/>
        <v>0</v>
      </c>
      <c r="AA225" s="36">
        <f t="shared" si="57"/>
        <v>0</v>
      </c>
      <c r="AB225" s="36"/>
      <c r="AC225" s="36"/>
      <c r="AD225" s="36">
        <f t="shared" si="58"/>
        <v>0</v>
      </c>
      <c r="AE225" s="36">
        <f t="shared" si="59"/>
        <v>0</v>
      </c>
      <c r="AF225" s="36"/>
      <c r="AG225" s="36">
        <v>1</v>
      </c>
      <c r="AH225" s="36">
        <f t="shared" si="60"/>
        <v>0</v>
      </c>
      <c r="AI225" s="36">
        <f t="shared" si="61"/>
        <v>55.88</v>
      </c>
      <c r="AJ225" s="36"/>
      <c r="AK225" s="36"/>
      <c r="AL225" s="36">
        <f t="shared" si="62"/>
        <v>0</v>
      </c>
      <c r="AM225" s="36">
        <f t="shared" si="63"/>
        <v>0</v>
      </c>
      <c r="AN225" s="36"/>
      <c r="AO225" s="36"/>
      <c r="AP225" s="36">
        <f t="shared" si="64"/>
        <v>0</v>
      </c>
      <c r="AQ225" s="36">
        <f t="shared" si="65"/>
        <v>0</v>
      </c>
    </row>
    <row r="226" spans="1:43" x14ac:dyDescent="0.55000000000000004">
      <c r="A226" s="30" t="e">
        <f t="shared" si="66"/>
        <v>#REF!</v>
      </c>
      <c r="B226" s="31">
        <v>45627</v>
      </c>
      <c r="C226" s="45"/>
      <c r="D226" s="33">
        <v>2</v>
      </c>
      <c r="E226" s="33"/>
      <c r="F226" s="33"/>
      <c r="G226" s="49" t="s">
        <v>439</v>
      </c>
      <c r="H226" s="37" t="s">
        <v>280</v>
      </c>
      <c r="I226" s="36">
        <v>0</v>
      </c>
      <c r="J226" s="37"/>
      <c r="K226" s="37"/>
      <c r="L226" s="37"/>
      <c r="M226" s="60" t="s">
        <v>102</v>
      </c>
      <c r="N226" s="54" t="s">
        <v>49</v>
      </c>
      <c r="O226" s="40">
        <v>149.33000000000001</v>
      </c>
      <c r="P226" s="37">
        <f t="shared" si="54"/>
        <v>0</v>
      </c>
      <c r="Q226" s="41"/>
      <c r="R226" s="42">
        <f t="shared" si="69"/>
        <v>0</v>
      </c>
      <c r="S226" s="42">
        <f t="shared" si="68"/>
        <v>0</v>
      </c>
      <c r="T226" s="43">
        <f t="shared" si="53"/>
        <v>0</v>
      </c>
      <c r="U226" s="43">
        <f t="shared" si="53"/>
        <v>0</v>
      </c>
      <c r="V226" s="44">
        <f t="shared" si="67"/>
        <v>0</v>
      </c>
      <c r="W226" s="36">
        <f t="shared" si="55"/>
        <v>0</v>
      </c>
      <c r="X226" s="36"/>
      <c r="Y226" s="36"/>
      <c r="Z226" s="36">
        <f t="shared" si="56"/>
        <v>0</v>
      </c>
      <c r="AA226" s="36">
        <f t="shared" si="57"/>
        <v>0</v>
      </c>
      <c r="AB226" s="36"/>
      <c r="AC226" s="36"/>
      <c r="AD226" s="36">
        <f t="shared" si="58"/>
        <v>0</v>
      </c>
      <c r="AE226" s="36">
        <f t="shared" si="59"/>
        <v>0</v>
      </c>
      <c r="AF226" s="36"/>
      <c r="AG226" s="36"/>
      <c r="AH226" s="36">
        <f t="shared" si="60"/>
        <v>0</v>
      </c>
      <c r="AI226" s="36">
        <f t="shared" si="61"/>
        <v>0</v>
      </c>
      <c r="AJ226" s="36"/>
      <c r="AK226" s="36"/>
      <c r="AL226" s="36">
        <f t="shared" si="62"/>
        <v>0</v>
      </c>
      <c r="AM226" s="36">
        <f t="shared" si="63"/>
        <v>0</v>
      </c>
      <c r="AN226" s="36"/>
      <c r="AO226" s="36"/>
      <c r="AP226" s="36">
        <f t="shared" si="64"/>
        <v>0</v>
      </c>
      <c r="AQ226" s="36">
        <f t="shared" si="65"/>
        <v>0</v>
      </c>
    </row>
    <row r="227" spans="1:43" x14ac:dyDescent="0.55000000000000004">
      <c r="A227" s="30" t="e">
        <f t="shared" si="66"/>
        <v>#REF!</v>
      </c>
      <c r="B227" s="63">
        <v>45809</v>
      </c>
      <c r="C227" s="64"/>
      <c r="D227" s="33">
        <v>1</v>
      </c>
      <c r="E227" s="33"/>
      <c r="F227" s="33"/>
      <c r="G227" s="49" t="s">
        <v>440</v>
      </c>
      <c r="H227" s="37" t="s">
        <v>112</v>
      </c>
      <c r="I227" s="36">
        <v>0</v>
      </c>
      <c r="J227" s="37" t="s">
        <v>54</v>
      </c>
      <c r="K227" s="37"/>
      <c r="L227" s="37"/>
      <c r="M227" s="38" t="s">
        <v>113</v>
      </c>
      <c r="N227" s="39" t="s">
        <v>114</v>
      </c>
      <c r="O227" s="40">
        <v>143.38</v>
      </c>
      <c r="P227" s="37">
        <f t="shared" si="54"/>
        <v>0</v>
      </c>
      <c r="Q227" s="41"/>
      <c r="R227" s="42">
        <f t="shared" si="69"/>
        <v>0</v>
      </c>
      <c r="S227" s="42">
        <f t="shared" si="68"/>
        <v>0</v>
      </c>
      <c r="T227" s="43">
        <f t="shared" si="53"/>
        <v>0</v>
      </c>
      <c r="U227" s="43">
        <f t="shared" si="53"/>
        <v>0</v>
      </c>
      <c r="V227" s="44">
        <f t="shared" si="67"/>
        <v>0</v>
      </c>
      <c r="W227" s="36">
        <f t="shared" si="55"/>
        <v>0</v>
      </c>
      <c r="X227" s="36"/>
      <c r="Y227" s="36"/>
      <c r="Z227" s="36">
        <f t="shared" si="56"/>
        <v>0</v>
      </c>
      <c r="AA227" s="36">
        <f t="shared" si="57"/>
        <v>0</v>
      </c>
      <c r="AB227" s="36"/>
      <c r="AC227" s="36"/>
      <c r="AD227" s="36">
        <f t="shared" si="58"/>
        <v>0</v>
      </c>
      <c r="AE227" s="36">
        <f t="shared" si="59"/>
        <v>0</v>
      </c>
      <c r="AF227" s="36"/>
      <c r="AG227" s="36"/>
      <c r="AH227" s="36">
        <f t="shared" si="60"/>
        <v>0</v>
      </c>
      <c r="AI227" s="36">
        <f t="shared" si="61"/>
        <v>0</v>
      </c>
      <c r="AJ227" s="36"/>
      <c r="AK227" s="36"/>
      <c r="AL227" s="36">
        <f t="shared" si="62"/>
        <v>0</v>
      </c>
      <c r="AM227" s="36">
        <f t="shared" si="63"/>
        <v>0</v>
      </c>
      <c r="AN227" s="36"/>
      <c r="AO227" s="36"/>
      <c r="AP227" s="36">
        <f t="shared" si="64"/>
        <v>0</v>
      </c>
      <c r="AQ227" s="36">
        <f t="shared" si="65"/>
        <v>0</v>
      </c>
    </row>
    <row r="228" spans="1:43" x14ac:dyDescent="0.55000000000000004">
      <c r="A228" s="30" t="e">
        <f t="shared" si="66"/>
        <v>#REF!</v>
      </c>
      <c r="B228" s="31">
        <v>45416</v>
      </c>
      <c r="C228" s="45"/>
      <c r="D228" s="33">
        <v>4</v>
      </c>
      <c r="E228" s="33"/>
      <c r="F228" s="33"/>
      <c r="G228" s="49" t="s">
        <v>441</v>
      </c>
      <c r="H228" s="37" t="s">
        <v>201</v>
      </c>
      <c r="I228" s="36">
        <v>0</v>
      </c>
      <c r="J228" s="37" t="s">
        <v>54</v>
      </c>
      <c r="K228" s="37"/>
      <c r="L228" s="37"/>
      <c r="M228" s="60" t="s">
        <v>83</v>
      </c>
      <c r="N228" s="54" t="s">
        <v>49</v>
      </c>
      <c r="O228" s="40">
        <v>96.07</v>
      </c>
      <c r="P228" s="37">
        <f t="shared" si="54"/>
        <v>0</v>
      </c>
      <c r="Q228" s="41"/>
      <c r="R228" s="42">
        <f t="shared" si="69"/>
        <v>0</v>
      </c>
      <c r="S228" s="42">
        <f t="shared" si="68"/>
        <v>0</v>
      </c>
      <c r="T228" s="43">
        <f t="shared" si="53"/>
        <v>0</v>
      </c>
      <c r="U228" s="43">
        <f t="shared" si="53"/>
        <v>0</v>
      </c>
      <c r="V228" s="44">
        <f t="shared" si="67"/>
        <v>0</v>
      </c>
      <c r="W228" s="36">
        <f t="shared" si="55"/>
        <v>0</v>
      </c>
      <c r="X228" s="36"/>
      <c r="Y228" s="36"/>
      <c r="Z228" s="36">
        <f t="shared" si="56"/>
        <v>0</v>
      </c>
      <c r="AA228" s="36">
        <f t="shared" si="57"/>
        <v>0</v>
      </c>
      <c r="AB228" s="36"/>
      <c r="AC228" s="36"/>
      <c r="AD228" s="36">
        <f t="shared" si="58"/>
        <v>0</v>
      </c>
      <c r="AE228" s="36">
        <f t="shared" si="59"/>
        <v>0</v>
      </c>
      <c r="AF228" s="36"/>
      <c r="AG228" s="36"/>
      <c r="AH228" s="36">
        <f t="shared" si="60"/>
        <v>0</v>
      </c>
      <c r="AI228" s="36">
        <f t="shared" si="61"/>
        <v>0</v>
      </c>
      <c r="AJ228" s="36"/>
      <c r="AK228" s="36"/>
      <c r="AL228" s="36">
        <f t="shared" si="62"/>
        <v>0</v>
      </c>
      <c r="AM228" s="36">
        <f t="shared" si="63"/>
        <v>0</v>
      </c>
      <c r="AN228" s="36"/>
      <c r="AO228" s="36"/>
      <c r="AP228" s="36">
        <f t="shared" si="64"/>
        <v>0</v>
      </c>
      <c r="AQ228" s="36">
        <f t="shared" si="65"/>
        <v>0</v>
      </c>
    </row>
    <row r="229" spans="1:43" x14ac:dyDescent="0.55000000000000004">
      <c r="A229" s="30" t="e">
        <f t="shared" si="66"/>
        <v>#REF!</v>
      </c>
      <c r="B229" s="31">
        <v>44896</v>
      </c>
      <c r="C229" s="45"/>
      <c r="D229" s="33">
        <v>1</v>
      </c>
      <c r="E229" s="33"/>
      <c r="F229" s="33"/>
      <c r="G229" s="51" t="s">
        <v>442</v>
      </c>
      <c r="H229" s="37" t="s">
        <v>201</v>
      </c>
      <c r="I229" s="36">
        <v>1</v>
      </c>
      <c r="J229" s="37" t="s">
        <v>54</v>
      </c>
      <c r="K229" s="37"/>
      <c r="L229" s="37"/>
      <c r="M229" s="60" t="s">
        <v>83</v>
      </c>
      <c r="N229" s="54" t="s">
        <v>49</v>
      </c>
      <c r="O229" s="40">
        <v>60</v>
      </c>
      <c r="P229" s="37">
        <f t="shared" si="54"/>
        <v>60</v>
      </c>
      <c r="Q229" s="41"/>
      <c r="R229" s="42">
        <f t="shared" si="69"/>
        <v>0</v>
      </c>
      <c r="S229" s="42">
        <f t="shared" si="68"/>
        <v>0</v>
      </c>
      <c r="T229" s="43">
        <f t="shared" si="53"/>
        <v>0</v>
      </c>
      <c r="U229" s="43">
        <f t="shared" si="53"/>
        <v>0</v>
      </c>
      <c r="V229" s="44">
        <f t="shared" si="67"/>
        <v>1</v>
      </c>
      <c r="W229" s="36">
        <f t="shared" si="55"/>
        <v>60</v>
      </c>
      <c r="X229" s="36"/>
      <c r="Y229" s="36"/>
      <c r="Z229" s="36">
        <f t="shared" si="56"/>
        <v>0</v>
      </c>
      <c r="AA229" s="36">
        <f t="shared" si="57"/>
        <v>0</v>
      </c>
      <c r="AB229" s="36"/>
      <c r="AC229" s="36"/>
      <c r="AD229" s="36">
        <f t="shared" si="58"/>
        <v>0</v>
      </c>
      <c r="AE229" s="36">
        <f t="shared" si="59"/>
        <v>0</v>
      </c>
      <c r="AF229" s="36"/>
      <c r="AG229" s="36"/>
      <c r="AH229" s="36">
        <f t="shared" si="60"/>
        <v>0</v>
      </c>
      <c r="AI229" s="36">
        <f t="shared" si="61"/>
        <v>0</v>
      </c>
      <c r="AJ229" s="36"/>
      <c r="AK229" s="36"/>
      <c r="AL229" s="36">
        <f t="shared" si="62"/>
        <v>0</v>
      </c>
      <c r="AM229" s="36">
        <f t="shared" si="63"/>
        <v>0</v>
      </c>
      <c r="AN229" s="36"/>
      <c r="AO229" s="36"/>
      <c r="AP229" s="36">
        <f t="shared" si="64"/>
        <v>0</v>
      </c>
      <c r="AQ229" s="36">
        <f t="shared" si="65"/>
        <v>0</v>
      </c>
    </row>
    <row r="230" spans="1:43" x14ac:dyDescent="0.55000000000000004">
      <c r="A230" s="30" t="e">
        <f t="shared" si="66"/>
        <v>#REF!</v>
      </c>
      <c r="B230" s="31">
        <v>45778</v>
      </c>
      <c r="C230" s="45"/>
      <c r="D230" s="33">
        <v>2</v>
      </c>
      <c r="E230" s="33"/>
      <c r="F230" s="33"/>
      <c r="G230" s="51" t="s">
        <v>443</v>
      </c>
      <c r="H230" s="37" t="s">
        <v>201</v>
      </c>
      <c r="I230" s="36">
        <v>2</v>
      </c>
      <c r="J230" s="37" t="s">
        <v>54</v>
      </c>
      <c r="K230" s="37"/>
      <c r="L230" s="37"/>
      <c r="M230" s="60" t="s">
        <v>83</v>
      </c>
      <c r="N230" s="54" t="s">
        <v>49</v>
      </c>
      <c r="O230" s="40">
        <v>85.33</v>
      </c>
      <c r="P230" s="37">
        <f t="shared" si="54"/>
        <v>170.66</v>
      </c>
      <c r="Q230" s="41"/>
      <c r="R230" s="42">
        <f t="shared" si="69"/>
        <v>0</v>
      </c>
      <c r="S230" s="42">
        <f t="shared" si="68"/>
        <v>0</v>
      </c>
      <c r="T230" s="43">
        <f t="shared" si="53"/>
        <v>0</v>
      </c>
      <c r="U230" s="43">
        <f t="shared" si="53"/>
        <v>0</v>
      </c>
      <c r="V230" s="44">
        <f t="shared" si="67"/>
        <v>2</v>
      </c>
      <c r="W230" s="36">
        <f t="shared" si="55"/>
        <v>170.66</v>
      </c>
      <c r="X230" s="36"/>
      <c r="Y230" s="36"/>
      <c r="Z230" s="36">
        <f t="shared" si="56"/>
        <v>0</v>
      </c>
      <c r="AA230" s="36">
        <f t="shared" si="57"/>
        <v>0</v>
      </c>
      <c r="AB230" s="36"/>
      <c r="AC230" s="36"/>
      <c r="AD230" s="36">
        <f t="shared" si="58"/>
        <v>0</v>
      </c>
      <c r="AE230" s="36">
        <f t="shared" si="59"/>
        <v>0</v>
      </c>
      <c r="AF230" s="36"/>
      <c r="AG230" s="36"/>
      <c r="AH230" s="36">
        <f t="shared" si="60"/>
        <v>0</v>
      </c>
      <c r="AI230" s="36">
        <f t="shared" si="61"/>
        <v>0</v>
      </c>
      <c r="AJ230" s="36"/>
      <c r="AK230" s="36"/>
      <c r="AL230" s="36">
        <f t="shared" si="62"/>
        <v>0</v>
      </c>
      <c r="AM230" s="36">
        <f t="shared" si="63"/>
        <v>0</v>
      </c>
      <c r="AN230" s="36"/>
      <c r="AO230" s="36"/>
      <c r="AP230" s="36">
        <f t="shared" si="64"/>
        <v>0</v>
      </c>
      <c r="AQ230" s="36">
        <f t="shared" si="65"/>
        <v>0</v>
      </c>
    </row>
    <row r="231" spans="1:43" x14ac:dyDescent="0.55000000000000004">
      <c r="A231" s="30" t="e">
        <f t="shared" si="66"/>
        <v>#REF!</v>
      </c>
      <c r="B231" s="31">
        <v>45413</v>
      </c>
      <c r="C231" s="45"/>
      <c r="D231" s="33">
        <v>1</v>
      </c>
      <c r="E231" s="33"/>
      <c r="F231" s="33"/>
      <c r="G231" s="51" t="s">
        <v>444</v>
      </c>
      <c r="H231" s="37" t="s">
        <v>46</v>
      </c>
      <c r="I231" s="36">
        <v>1</v>
      </c>
      <c r="J231" s="37" t="s">
        <v>54</v>
      </c>
      <c r="K231" s="37"/>
      <c r="L231" s="37"/>
      <c r="M231" s="60" t="s">
        <v>85</v>
      </c>
      <c r="N231" s="54" t="s">
        <v>49</v>
      </c>
      <c r="O231" s="40">
        <v>8.99</v>
      </c>
      <c r="P231" s="37">
        <f t="shared" si="54"/>
        <v>8.99</v>
      </c>
      <c r="Q231" s="41"/>
      <c r="R231" s="42">
        <f t="shared" si="69"/>
        <v>0</v>
      </c>
      <c r="S231" s="42">
        <f t="shared" si="68"/>
        <v>8.99</v>
      </c>
      <c r="T231" s="43">
        <f t="shared" si="53"/>
        <v>0</v>
      </c>
      <c r="U231" s="43">
        <f t="shared" si="53"/>
        <v>1</v>
      </c>
      <c r="V231" s="44">
        <f t="shared" si="67"/>
        <v>0</v>
      </c>
      <c r="W231" s="36">
        <f t="shared" si="55"/>
        <v>0</v>
      </c>
      <c r="X231" s="36"/>
      <c r="Y231" s="36"/>
      <c r="Z231" s="36">
        <f t="shared" si="56"/>
        <v>0</v>
      </c>
      <c r="AA231" s="36">
        <f t="shared" si="57"/>
        <v>0</v>
      </c>
      <c r="AB231" s="36"/>
      <c r="AC231" s="36"/>
      <c r="AD231" s="36">
        <f t="shared" si="58"/>
        <v>0</v>
      </c>
      <c r="AE231" s="36">
        <f t="shared" si="59"/>
        <v>0</v>
      </c>
      <c r="AF231" s="36"/>
      <c r="AG231" s="36">
        <v>1</v>
      </c>
      <c r="AH231" s="36">
        <f t="shared" si="60"/>
        <v>0</v>
      </c>
      <c r="AI231" s="36">
        <f t="shared" si="61"/>
        <v>8.99</v>
      </c>
      <c r="AJ231" s="36"/>
      <c r="AK231" s="36"/>
      <c r="AL231" s="36">
        <f t="shared" si="62"/>
        <v>0</v>
      </c>
      <c r="AM231" s="36">
        <f t="shared" si="63"/>
        <v>0</v>
      </c>
      <c r="AN231" s="36"/>
      <c r="AO231" s="36"/>
      <c r="AP231" s="36">
        <f t="shared" si="64"/>
        <v>0</v>
      </c>
      <c r="AQ231" s="36">
        <f t="shared" si="65"/>
        <v>0</v>
      </c>
    </row>
    <row r="232" spans="1:43" x14ac:dyDescent="0.55000000000000004">
      <c r="A232" s="30" t="e">
        <f t="shared" si="66"/>
        <v>#REF!</v>
      </c>
      <c r="B232" s="31">
        <v>45748</v>
      </c>
      <c r="C232" s="45"/>
      <c r="D232" s="33">
        <v>2</v>
      </c>
      <c r="E232" s="33"/>
      <c r="F232" s="33"/>
      <c r="G232" s="51" t="s">
        <v>445</v>
      </c>
      <c r="H232" s="37" t="s">
        <v>180</v>
      </c>
      <c r="I232" s="36">
        <v>2</v>
      </c>
      <c r="J232" s="37" t="s">
        <v>40</v>
      </c>
      <c r="K232" s="37"/>
      <c r="L232" s="37"/>
      <c r="M232" s="60" t="s">
        <v>35</v>
      </c>
      <c r="N232" s="39" t="s">
        <v>36</v>
      </c>
      <c r="O232" s="40">
        <v>3.99</v>
      </c>
      <c r="P232" s="37">
        <f t="shared" si="54"/>
        <v>7.98</v>
      </c>
      <c r="Q232" s="41"/>
      <c r="R232" s="42">
        <f t="shared" si="69"/>
        <v>0</v>
      </c>
      <c r="S232" s="42">
        <f t="shared" si="68"/>
        <v>7.98</v>
      </c>
      <c r="T232" s="43">
        <f t="shared" si="53"/>
        <v>0</v>
      </c>
      <c r="U232" s="43">
        <f t="shared" si="53"/>
        <v>2</v>
      </c>
      <c r="V232" s="44">
        <f t="shared" si="67"/>
        <v>0</v>
      </c>
      <c r="W232" s="36">
        <f t="shared" si="55"/>
        <v>0</v>
      </c>
      <c r="X232" s="36"/>
      <c r="Y232" s="36"/>
      <c r="Z232" s="36">
        <f t="shared" si="56"/>
        <v>0</v>
      </c>
      <c r="AA232" s="36">
        <f t="shared" si="57"/>
        <v>0</v>
      </c>
      <c r="AB232" s="36"/>
      <c r="AC232" s="36"/>
      <c r="AD232" s="36">
        <f t="shared" si="58"/>
        <v>0</v>
      </c>
      <c r="AE232" s="36">
        <f t="shared" si="59"/>
        <v>0</v>
      </c>
      <c r="AF232" s="36"/>
      <c r="AG232" s="36">
        <v>2</v>
      </c>
      <c r="AH232" s="36">
        <f t="shared" si="60"/>
        <v>0</v>
      </c>
      <c r="AI232" s="36">
        <f t="shared" si="61"/>
        <v>7.98</v>
      </c>
      <c r="AJ232" s="36"/>
      <c r="AK232" s="36"/>
      <c r="AL232" s="36">
        <f t="shared" si="62"/>
        <v>0</v>
      </c>
      <c r="AM232" s="36">
        <f t="shared" si="63"/>
        <v>0</v>
      </c>
      <c r="AN232" s="36"/>
      <c r="AO232" s="36"/>
      <c r="AP232" s="36">
        <f t="shared" si="64"/>
        <v>0</v>
      </c>
      <c r="AQ232" s="36">
        <f t="shared" si="65"/>
        <v>0</v>
      </c>
    </row>
    <row r="233" spans="1:43" x14ac:dyDescent="0.55000000000000004">
      <c r="A233" s="30" t="e">
        <f t="shared" si="66"/>
        <v>#REF!</v>
      </c>
      <c r="B233" s="31">
        <v>45778</v>
      </c>
      <c r="C233" s="45"/>
      <c r="D233" s="33">
        <v>4</v>
      </c>
      <c r="E233" s="33"/>
      <c r="F233" s="33"/>
      <c r="G233" s="51" t="s">
        <v>446</v>
      </c>
      <c r="H233" s="37" t="s">
        <v>110</v>
      </c>
      <c r="I233" s="36">
        <v>1</v>
      </c>
      <c r="J233" s="37"/>
      <c r="K233" s="37"/>
      <c r="L233" s="37"/>
      <c r="M233" s="60" t="s">
        <v>35</v>
      </c>
      <c r="N233" s="39" t="s">
        <v>36</v>
      </c>
      <c r="O233" s="40">
        <f>21.42*1.5</f>
        <v>32.130000000000003</v>
      </c>
      <c r="P233" s="37">
        <f t="shared" si="54"/>
        <v>32.130000000000003</v>
      </c>
      <c r="Q233" s="41"/>
      <c r="R233" s="42">
        <f t="shared" si="69"/>
        <v>0</v>
      </c>
      <c r="S233" s="42">
        <f t="shared" si="68"/>
        <v>0</v>
      </c>
      <c r="T233" s="43">
        <f t="shared" si="53"/>
        <v>0</v>
      </c>
      <c r="U233" s="43">
        <f t="shared" si="53"/>
        <v>0</v>
      </c>
      <c r="V233" s="44">
        <f t="shared" si="67"/>
        <v>1</v>
      </c>
      <c r="W233" s="36">
        <f t="shared" si="55"/>
        <v>32.130000000000003</v>
      </c>
      <c r="X233" s="36"/>
      <c r="Y233" s="36"/>
      <c r="Z233" s="36">
        <f t="shared" si="56"/>
        <v>0</v>
      </c>
      <c r="AA233" s="36">
        <f t="shared" si="57"/>
        <v>0</v>
      </c>
      <c r="AB233" s="36"/>
      <c r="AC233" s="36"/>
      <c r="AD233" s="36">
        <f t="shared" si="58"/>
        <v>0</v>
      </c>
      <c r="AE233" s="36">
        <f t="shared" si="59"/>
        <v>0</v>
      </c>
      <c r="AF233" s="36"/>
      <c r="AG233" s="36"/>
      <c r="AH233" s="36">
        <f t="shared" si="60"/>
        <v>0</v>
      </c>
      <c r="AI233" s="36">
        <f t="shared" si="61"/>
        <v>0</v>
      </c>
      <c r="AJ233" s="36"/>
      <c r="AK233" s="36"/>
      <c r="AL233" s="36">
        <f t="shared" si="62"/>
        <v>0</v>
      </c>
      <c r="AM233" s="36">
        <f t="shared" si="63"/>
        <v>0</v>
      </c>
      <c r="AN233" s="36"/>
      <c r="AO233" s="36"/>
      <c r="AP233" s="36">
        <f t="shared" si="64"/>
        <v>0</v>
      </c>
      <c r="AQ233" s="36">
        <f t="shared" si="65"/>
        <v>0</v>
      </c>
    </row>
    <row r="234" spans="1:43" x14ac:dyDescent="0.55000000000000004">
      <c r="A234" s="30" t="e">
        <f t="shared" si="66"/>
        <v>#REF!</v>
      </c>
      <c r="B234" s="31">
        <v>45778</v>
      </c>
      <c r="C234" s="45"/>
      <c r="D234" s="33">
        <v>1</v>
      </c>
      <c r="E234" s="33"/>
      <c r="F234" s="33"/>
      <c r="G234" s="49" t="s">
        <v>447</v>
      </c>
      <c r="H234" s="37" t="s">
        <v>59</v>
      </c>
      <c r="I234" s="36">
        <v>0</v>
      </c>
      <c r="J234" s="37" t="s">
        <v>374</v>
      </c>
      <c r="K234" s="37"/>
      <c r="L234" s="37"/>
      <c r="M234" s="60" t="s">
        <v>189</v>
      </c>
      <c r="N234" s="54"/>
      <c r="O234" s="40">
        <v>262</v>
      </c>
      <c r="P234" s="37">
        <f t="shared" si="54"/>
        <v>0</v>
      </c>
      <c r="Q234" s="41"/>
      <c r="R234" s="42">
        <f t="shared" si="69"/>
        <v>0</v>
      </c>
      <c r="S234" s="42">
        <f t="shared" si="68"/>
        <v>0</v>
      </c>
      <c r="T234" s="43">
        <f t="shared" si="53"/>
        <v>0</v>
      </c>
      <c r="U234" s="43">
        <f t="shared" si="53"/>
        <v>0</v>
      </c>
      <c r="V234" s="44">
        <f t="shared" si="67"/>
        <v>0</v>
      </c>
      <c r="W234" s="36">
        <f t="shared" si="55"/>
        <v>0</v>
      </c>
      <c r="X234" s="36"/>
      <c r="Y234" s="36"/>
      <c r="Z234" s="36">
        <f t="shared" si="56"/>
        <v>0</v>
      </c>
      <c r="AA234" s="36">
        <f t="shared" si="57"/>
        <v>0</v>
      </c>
      <c r="AB234" s="36"/>
      <c r="AC234" s="36"/>
      <c r="AD234" s="36">
        <f t="shared" si="58"/>
        <v>0</v>
      </c>
      <c r="AE234" s="36">
        <f t="shared" si="59"/>
        <v>0</v>
      </c>
      <c r="AF234" s="36"/>
      <c r="AG234" s="36"/>
      <c r="AH234" s="36">
        <f t="shared" si="60"/>
        <v>0</v>
      </c>
      <c r="AI234" s="36">
        <f t="shared" si="61"/>
        <v>0</v>
      </c>
      <c r="AJ234" s="36"/>
      <c r="AK234" s="36"/>
      <c r="AL234" s="36">
        <f t="shared" si="62"/>
        <v>0</v>
      </c>
      <c r="AM234" s="36">
        <f t="shared" si="63"/>
        <v>0</v>
      </c>
      <c r="AN234" s="36"/>
      <c r="AO234" s="36"/>
      <c r="AP234" s="36">
        <f t="shared" si="64"/>
        <v>0</v>
      </c>
      <c r="AQ234" s="36">
        <f t="shared" si="65"/>
        <v>0</v>
      </c>
    </row>
    <row r="235" spans="1:43" x14ac:dyDescent="0.55000000000000004">
      <c r="A235" s="30" t="e">
        <f t="shared" si="66"/>
        <v>#REF!</v>
      </c>
      <c r="B235" s="31">
        <v>44896</v>
      </c>
      <c r="C235" s="45"/>
      <c r="D235" s="33">
        <v>1</v>
      </c>
      <c r="E235" s="33"/>
      <c r="F235" s="33"/>
      <c r="G235" s="49" t="s">
        <v>448</v>
      </c>
      <c r="H235" s="37" t="s">
        <v>43</v>
      </c>
      <c r="I235" s="36">
        <v>0</v>
      </c>
      <c r="J235" s="37" t="s">
        <v>54</v>
      </c>
      <c r="K235" s="37"/>
      <c r="L235" s="37"/>
      <c r="M235" s="60" t="s">
        <v>102</v>
      </c>
      <c r="N235" s="54" t="s">
        <v>49</v>
      </c>
      <c r="O235" s="40">
        <v>57.82</v>
      </c>
      <c r="P235" s="37">
        <f t="shared" si="54"/>
        <v>0</v>
      </c>
      <c r="Q235" s="41"/>
      <c r="R235" s="42">
        <f t="shared" si="69"/>
        <v>0</v>
      </c>
      <c r="S235" s="42">
        <f t="shared" si="68"/>
        <v>0</v>
      </c>
      <c r="T235" s="43">
        <f t="shared" si="53"/>
        <v>0</v>
      </c>
      <c r="U235" s="43">
        <f t="shared" si="53"/>
        <v>0</v>
      </c>
      <c r="V235" s="44">
        <f t="shared" si="67"/>
        <v>0</v>
      </c>
      <c r="W235" s="36">
        <f t="shared" si="55"/>
        <v>0</v>
      </c>
      <c r="X235" s="36"/>
      <c r="Y235" s="36"/>
      <c r="Z235" s="36">
        <f t="shared" si="56"/>
        <v>0</v>
      </c>
      <c r="AA235" s="36">
        <f t="shared" si="57"/>
        <v>0</v>
      </c>
      <c r="AB235" s="36"/>
      <c r="AC235" s="36"/>
      <c r="AD235" s="36">
        <f t="shared" si="58"/>
        <v>0</v>
      </c>
      <c r="AE235" s="36">
        <f t="shared" si="59"/>
        <v>0</v>
      </c>
      <c r="AF235" s="36"/>
      <c r="AG235" s="36"/>
      <c r="AH235" s="36">
        <f t="shared" si="60"/>
        <v>0</v>
      </c>
      <c r="AI235" s="36">
        <f t="shared" si="61"/>
        <v>0</v>
      </c>
      <c r="AJ235" s="36"/>
      <c r="AK235" s="36"/>
      <c r="AL235" s="36">
        <f t="shared" si="62"/>
        <v>0</v>
      </c>
      <c r="AM235" s="36">
        <f t="shared" si="63"/>
        <v>0</v>
      </c>
      <c r="AN235" s="36"/>
      <c r="AO235" s="36"/>
      <c r="AP235" s="36">
        <f t="shared" si="64"/>
        <v>0</v>
      </c>
      <c r="AQ235" s="36">
        <f t="shared" si="65"/>
        <v>0</v>
      </c>
    </row>
    <row r="236" spans="1:43" x14ac:dyDescent="0.55000000000000004">
      <c r="A236" s="30" t="e">
        <f t="shared" si="66"/>
        <v>#REF!</v>
      </c>
      <c r="B236" s="31">
        <v>44896</v>
      </c>
      <c r="C236" s="45"/>
      <c r="D236" s="33">
        <v>2</v>
      </c>
      <c r="E236" s="33"/>
      <c r="F236" s="33"/>
      <c r="G236" s="51" t="s">
        <v>449</v>
      </c>
      <c r="H236" s="37" t="s">
        <v>201</v>
      </c>
      <c r="I236" s="36">
        <v>1</v>
      </c>
      <c r="J236" s="37" t="s">
        <v>54</v>
      </c>
      <c r="K236" s="37"/>
      <c r="L236" s="37"/>
      <c r="M236" s="60" t="s">
        <v>83</v>
      </c>
      <c r="N236" s="54" t="s">
        <v>49</v>
      </c>
      <c r="O236" s="40">
        <v>69.06</v>
      </c>
      <c r="P236" s="37">
        <f t="shared" si="54"/>
        <v>69.06</v>
      </c>
      <c r="Q236" s="41"/>
      <c r="R236" s="42">
        <f t="shared" si="69"/>
        <v>0</v>
      </c>
      <c r="S236" s="42">
        <f t="shared" si="68"/>
        <v>0</v>
      </c>
      <c r="T236" s="43">
        <f t="shared" si="53"/>
        <v>0</v>
      </c>
      <c r="U236" s="43">
        <f t="shared" si="53"/>
        <v>0</v>
      </c>
      <c r="V236" s="44">
        <f t="shared" si="67"/>
        <v>1</v>
      </c>
      <c r="W236" s="36">
        <f t="shared" si="55"/>
        <v>69.06</v>
      </c>
      <c r="X236" s="36"/>
      <c r="Y236" s="36"/>
      <c r="Z236" s="36">
        <f t="shared" si="56"/>
        <v>0</v>
      </c>
      <c r="AA236" s="36">
        <f t="shared" si="57"/>
        <v>0</v>
      </c>
      <c r="AB236" s="36"/>
      <c r="AC236" s="36"/>
      <c r="AD236" s="36">
        <f t="shared" si="58"/>
        <v>0</v>
      </c>
      <c r="AE236" s="36">
        <f t="shared" si="59"/>
        <v>0</v>
      </c>
      <c r="AF236" s="36"/>
      <c r="AG236" s="36"/>
      <c r="AH236" s="36">
        <f t="shared" si="60"/>
        <v>0</v>
      </c>
      <c r="AI236" s="36">
        <f t="shared" si="61"/>
        <v>0</v>
      </c>
      <c r="AJ236" s="36"/>
      <c r="AK236" s="36"/>
      <c r="AL236" s="36">
        <f t="shared" si="62"/>
        <v>0</v>
      </c>
      <c r="AM236" s="36">
        <f t="shared" si="63"/>
        <v>0</v>
      </c>
      <c r="AN236" s="36"/>
      <c r="AO236" s="36"/>
      <c r="AP236" s="36">
        <f t="shared" si="64"/>
        <v>0</v>
      </c>
      <c r="AQ236" s="36">
        <f t="shared" si="65"/>
        <v>0</v>
      </c>
    </row>
    <row r="237" spans="1:43" x14ac:dyDescent="0.55000000000000004">
      <c r="A237" s="30" t="e">
        <f t="shared" si="66"/>
        <v>#REF!</v>
      </c>
      <c r="B237" s="31">
        <v>44896</v>
      </c>
      <c r="C237" s="45"/>
      <c r="D237" s="33">
        <v>14</v>
      </c>
      <c r="E237" s="33"/>
      <c r="F237" s="33"/>
      <c r="G237" s="49" t="s">
        <v>450</v>
      </c>
      <c r="H237" s="37" t="s">
        <v>409</v>
      </c>
      <c r="I237" s="36">
        <v>0</v>
      </c>
      <c r="J237" s="37" t="s">
        <v>54</v>
      </c>
      <c r="K237" s="37"/>
      <c r="L237" s="37"/>
      <c r="M237" s="60" t="s">
        <v>410</v>
      </c>
      <c r="N237" s="54"/>
      <c r="O237" s="40">
        <v>7.64</v>
      </c>
      <c r="P237" s="37">
        <f t="shared" si="54"/>
        <v>0</v>
      </c>
      <c r="Q237" s="41"/>
      <c r="R237" s="42">
        <f t="shared" si="69"/>
        <v>0</v>
      </c>
      <c r="S237" s="42">
        <f t="shared" si="68"/>
        <v>0</v>
      </c>
      <c r="T237" s="43">
        <f t="shared" si="53"/>
        <v>0</v>
      </c>
      <c r="U237" s="43">
        <f t="shared" si="53"/>
        <v>0</v>
      </c>
      <c r="V237" s="44">
        <f t="shared" si="67"/>
        <v>0</v>
      </c>
      <c r="W237" s="36">
        <f t="shared" si="55"/>
        <v>0</v>
      </c>
      <c r="X237" s="36"/>
      <c r="Y237" s="36"/>
      <c r="Z237" s="36">
        <f t="shared" si="56"/>
        <v>0</v>
      </c>
      <c r="AA237" s="36">
        <f t="shared" si="57"/>
        <v>0</v>
      </c>
      <c r="AB237" s="36"/>
      <c r="AC237" s="36"/>
      <c r="AD237" s="36">
        <f t="shared" si="58"/>
        <v>0</v>
      </c>
      <c r="AE237" s="36">
        <f t="shared" si="59"/>
        <v>0</v>
      </c>
      <c r="AF237" s="36"/>
      <c r="AG237" s="36"/>
      <c r="AH237" s="36">
        <f t="shared" si="60"/>
        <v>0</v>
      </c>
      <c r="AI237" s="36">
        <f t="shared" si="61"/>
        <v>0</v>
      </c>
      <c r="AJ237" s="36"/>
      <c r="AK237" s="36"/>
      <c r="AL237" s="36">
        <f t="shared" si="62"/>
        <v>0</v>
      </c>
      <c r="AM237" s="36">
        <f t="shared" si="63"/>
        <v>0</v>
      </c>
      <c r="AN237" s="36"/>
      <c r="AO237" s="36"/>
      <c r="AP237" s="36">
        <f t="shared" si="64"/>
        <v>0</v>
      </c>
      <c r="AQ237" s="36">
        <f t="shared" si="65"/>
        <v>0</v>
      </c>
    </row>
    <row r="238" spans="1:43" x14ac:dyDescent="0.55000000000000004">
      <c r="A238" s="30" t="e">
        <f t="shared" si="66"/>
        <v>#REF!</v>
      </c>
      <c r="B238" s="31">
        <v>45607</v>
      </c>
      <c r="C238" s="45"/>
      <c r="D238" s="33">
        <v>1</v>
      </c>
      <c r="E238" s="33"/>
      <c r="F238" s="33"/>
      <c r="G238" s="51" t="s">
        <v>451</v>
      </c>
      <c r="H238" s="37" t="s">
        <v>112</v>
      </c>
      <c r="I238" s="36">
        <v>1</v>
      </c>
      <c r="J238" s="37" t="s">
        <v>54</v>
      </c>
      <c r="K238" s="37"/>
      <c r="L238" s="37"/>
      <c r="M238" s="38" t="s">
        <v>113</v>
      </c>
      <c r="N238" s="39" t="s">
        <v>114</v>
      </c>
      <c r="O238" s="40">
        <v>67.06</v>
      </c>
      <c r="P238" s="37">
        <f t="shared" si="54"/>
        <v>67.06</v>
      </c>
      <c r="Q238" s="41"/>
      <c r="R238" s="42">
        <f t="shared" si="69"/>
        <v>0</v>
      </c>
      <c r="S238" s="42">
        <f t="shared" si="68"/>
        <v>67.06</v>
      </c>
      <c r="T238" s="43">
        <f t="shared" si="53"/>
        <v>0</v>
      </c>
      <c r="U238" s="43">
        <f t="shared" si="53"/>
        <v>1</v>
      </c>
      <c r="V238" s="44">
        <f t="shared" si="67"/>
        <v>0</v>
      </c>
      <c r="W238" s="36">
        <f t="shared" si="55"/>
        <v>0</v>
      </c>
      <c r="X238" s="36"/>
      <c r="Y238" s="36"/>
      <c r="Z238" s="36">
        <f t="shared" si="56"/>
        <v>0</v>
      </c>
      <c r="AA238" s="36">
        <f t="shared" si="57"/>
        <v>0</v>
      </c>
      <c r="AB238" s="36"/>
      <c r="AC238" s="36"/>
      <c r="AD238" s="36">
        <f t="shared" si="58"/>
        <v>0</v>
      </c>
      <c r="AE238" s="36">
        <f t="shared" si="59"/>
        <v>0</v>
      </c>
      <c r="AF238" s="36"/>
      <c r="AG238" s="36">
        <v>1</v>
      </c>
      <c r="AH238" s="36">
        <f t="shared" si="60"/>
        <v>0</v>
      </c>
      <c r="AI238" s="36">
        <f t="shared" si="61"/>
        <v>67.06</v>
      </c>
      <c r="AJ238" s="36"/>
      <c r="AK238" s="36"/>
      <c r="AL238" s="36">
        <f t="shared" si="62"/>
        <v>0</v>
      </c>
      <c r="AM238" s="36">
        <f t="shared" si="63"/>
        <v>0</v>
      </c>
      <c r="AN238" s="36"/>
      <c r="AO238" s="36"/>
      <c r="AP238" s="36">
        <f t="shared" si="64"/>
        <v>0</v>
      </c>
      <c r="AQ238" s="36">
        <f t="shared" si="65"/>
        <v>0</v>
      </c>
    </row>
    <row r="239" spans="1:43" x14ac:dyDescent="0.55000000000000004">
      <c r="A239" s="30" t="e">
        <f t="shared" si="66"/>
        <v>#REF!</v>
      </c>
      <c r="B239" s="63">
        <v>45809</v>
      </c>
      <c r="C239" s="64"/>
      <c r="D239" s="33">
        <v>1</v>
      </c>
      <c r="E239" s="33"/>
      <c r="F239" s="33"/>
      <c r="G239" s="49" t="s">
        <v>452</v>
      </c>
      <c r="H239" s="37" t="s">
        <v>112</v>
      </c>
      <c r="I239" s="36">
        <v>0</v>
      </c>
      <c r="J239" s="37" t="s">
        <v>54</v>
      </c>
      <c r="K239" s="37"/>
      <c r="L239" s="37"/>
      <c r="M239" s="38" t="s">
        <v>113</v>
      </c>
      <c r="N239" s="39" t="s">
        <v>114</v>
      </c>
      <c r="O239" s="40">
        <v>81.8</v>
      </c>
      <c r="P239" s="37">
        <f t="shared" si="54"/>
        <v>0</v>
      </c>
      <c r="Q239" s="41"/>
      <c r="R239" s="42">
        <f t="shared" si="69"/>
        <v>0</v>
      </c>
      <c r="S239" s="42">
        <f t="shared" si="68"/>
        <v>0</v>
      </c>
      <c r="T239" s="43">
        <f t="shared" si="53"/>
        <v>0</v>
      </c>
      <c r="U239" s="43">
        <f t="shared" si="53"/>
        <v>0</v>
      </c>
      <c r="V239" s="44">
        <f t="shared" si="67"/>
        <v>0</v>
      </c>
      <c r="W239" s="36">
        <f t="shared" si="55"/>
        <v>0</v>
      </c>
      <c r="X239" s="36"/>
      <c r="Y239" s="36"/>
      <c r="Z239" s="36">
        <f t="shared" si="56"/>
        <v>0</v>
      </c>
      <c r="AA239" s="36">
        <f t="shared" si="57"/>
        <v>0</v>
      </c>
      <c r="AB239" s="36"/>
      <c r="AC239" s="36"/>
      <c r="AD239" s="36">
        <f t="shared" si="58"/>
        <v>0</v>
      </c>
      <c r="AE239" s="36">
        <f t="shared" si="59"/>
        <v>0</v>
      </c>
      <c r="AF239" s="36"/>
      <c r="AG239" s="36"/>
      <c r="AH239" s="36">
        <f t="shared" si="60"/>
        <v>0</v>
      </c>
      <c r="AI239" s="36">
        <f t="shared" si="61"/>
        <v>0</v>
      </c>
      <c r="AJ239" s="36"/>
      <c r="AK239" s="36"/>
      <c r="AL239" s="36">
        <f t="shared" si="62"/>
        <v>0</v>
      </c>
      <c r="AM239" s="36">
        <f t="shared" si="63"/>
        <v>0</v>
      </c>
      <c r="AN239" s="36"/>
      <c r="AO239" s="36"/>
      <c r="AP239" s="36">
        <f t="shared" si="64"/>
        <v>0</v>
      </c>
      <c r="AQ239" s="36">
        <f t="shared" si="65"/>
        <v>0</v>
      </c>
    </row>
    <row r="240" spans="1:43" x14ac:dyDescent="0.55000000000000004">
      <c r="A240" s="30" t="e">
        <f t="shared" si="66"/>
        <v>#REF!</v>
      </c>
      <c r="B240" s="31">
        <v>45413</v>
      </c>
      <c r="C240" s="31"/>
      <c r="D240" s="61">
        <v>9</v>
      </c>
      <c r="E240" s="61"/>
      <c r="F240" s="61"/>
      <c r="G240" s="69" t="s">
        <v>453</v>
      </c>
      <c r="H240" s="37" t="s">
        <v>133</v>
      </c>
      <c r="I240" s="36">
        <v>8</v>
      </c>
      <c r="J240" s="37"/>
      <c r="K240" s="37"/>
      <c r="L240" s="37"/>
      <c r="M240" s="38" t="s">
        <v>85</v>
      </c>
      <c r="N240" s="54" t="s">
        <v>41</v>
      </c>
      <c r="O240" s="40">
        <v>114.08</v>
      </c>
      <c r="P240" s="37">
        <f t="shared" si="54"/>
        <v>912.64</v>
      </c>
      <c r="Q240" s="41"/>
      <c r="R240" s="42">
        <f t="shared" si="69"/>
        <v>0</v>
      </c>
      <c r="S240" s="42">
        <f t="shared" si="68"/>
        <v>0</v>
      </c>
      <c r="T240" s="43">
        <f t="shared" si="53"/>
        <v>0</v>
      </c>
      <c r="U240" s="43">
        <f t="shared" si="53"/>
        <v>0</v>
      </c>
      <c r="V240" s="44">
        <f t="shared" si="67"/>
        <v>8</v>
      </c>
      <c r="W240" s="36">
        <f t="shared" si="55"/>
        <v>912.64</v>
      </c>
      <c r="X240" s="36"/>
      <c r="Y240" s="36"/>
      <c r="Z240" s="36">
        <f t="shared" si="56"/>
        <v>0</v>
      </c>
      <c r="AA240" s="36">
        <f t="shared" si="57"/>
        <v>0</v>
      </c>
      <c r="AB240" s="36"/>
      <c r="AC240" s="36"/>
      <c r="AD240" s="36">
        <f t="shared" si="58"/>
        <v>0</v>
      </c>
      <c r="AE240" s="36">
        <f t="shared" si="59"/>
        <v>0</v>
      </c>
      <c r="AF240" s="36"/>
      <c r="AG240" s="36"/>
      <c r="AH240" s="36">
        <f t="shared" si="60"/>
        <v>0</v>
      </c>
      <c r="AI240" s="36">
        <f t="shared" si="61"/>
        <v>0</v>
      </c>
      <c r="AJ240" s="36"/>
      <c r="AK240" s="36"/>
      <c r="AL240" s="36">
        <f t="shared" si="62"/>
        <v>0</v>
      </c>
      <c r="AM240" s="36">
        <f t="shared" si="63"/>
        <v>0</v>
      </c>
      <c r="AN240" s="36"/>
      <c r="AO240" s="36"/>
      <c r="AP240" s="36">
        <f t="shared" si="64"/>
        <v>0</v>
      </c>
      <c r="AQ240" s="36">
        <f t="shared" si="65"/>
        <v>0</v>
      </c>
    </row>
    <row r="241" spans="1:43" x14ac:dyDescent="0.55000000000000004">
      <c r="A241" s="30" t="e">
        <f t="shared" si="66"/>
        <v>#REF!</v>
      </c>
      <c r="B241" s="31">
        <v>45658</v>
      </c>
      <c r="C241" s="45"/>
      <c r="D241" s="33">
        <v>7</v>
      </c>
      <c r="E241" s="33"/>
      <c r="F241" s="33"/>
      <c r="G241" s="51" t="s">
        <v>454</v>
      </c>
      <c r="H241" s="37" t="s">
        <v>39</v>
      </c>
      <c r="I241" s="36">
        <v>6</v>
      </c>
      <c r="J241" s="37" t="s">
        <v>40</v>
      </c>
      <c r="K241" s="37"/>
      <c r="L241" s="37"/>
      <c r="M241" s="60" t="s">
        <v>35</v>
      </c>
      <c r="N241" s="54" t="s">
        <v>41</v>
      </c>
      <c r="O241" s="40">
        <v>50.9</v>
      </c>
      <c r="P241" s="37">
        <f t="shared" si="54"/>
        <v>305.39999999999998</v>
      </c>
      <c r="Q241" s="41"/>
      <c r="R241" s="42">
        <f t="shared" si="69"/>
        <v>0</v>
      </c>
      <c r="S241" s="42">
        <f t="shared" si="68"/>
        <v>203.6</v>
      </c>
      <c r="T241" s="43">
        <f t="shared" si="53"/>
        <v>0</v>
      </c>
      <c r="U241" s="43">
        <f t="shared" si="53"/>
        <v>4</v>
      </c>
      <c r="V241" s="44">
        <v>1</v>
      </c>
      <c r="W241" s="36">
        <f t="shared" si="55"/>
        <v>50.9</v>
      </c>
      <c r="X241" s="36"/>
      <c r="Y241" s="36"/>
      <c r="Z241" s="36">
        <f t="shared" si="56"/>
        <v>0</v>
      </c>
      <c r="AA241" s="36">
        <f t="shared" si="57"/>
        <v>0</v>
      </c>
      <c r="AB241" s="36"/>
      <c r="AC241" s="36"/>
      <c r="AD241" s="36">
        <f t="shared" si="58"/>
        <v>0</v>
      </c>
      <c r="AE241" s="36">
        <f t="shared" si="59"/>
        <v>0</v>
      </c>
      <c r="AF241" s="36"/>
      <c r="AG241" s="36">
        <v>4</v>
      </c>
      <c r="AH241" s="36">
        <f t="shared" si="60"/>
        <v>0</v>
      </c>
      <c r="AI241" s="36">
        <f t="shared" si="61"/>
        <v>203.6</v>
      </c>
      <c r="AJ241" s="36"/>
      <c r="AK241" s="36"/>
      <c r="AL241" s="36">
        <f t="shared" si="62"/>
        <v>0</v>
      </c>
      <c r="AM241" s="36">
        <f t="shared" si="63"/>
        <v>0</v>
      </c>
      <c r="AN241" s="36"/>
      <c r="AO241" s="36"/>
      <c r="AP241" s="36">
        <f t="shared" si="64"/>
        <v>0</v>
      </c>
      <c r="AQ241" s="36">
        <f t="shared" si="65"/>
        <v>0</v>
      </c>
    </row>
    <row r="242" spans="1:43" x14ac:dyDescent="0.55000000000000004">
      <c r="A242" s="30" t="e">
        <f t="shared" si="66"/>
        <v>#REF!</v>
      </c>
      <c r="B242" s="31">
        <v>44896</v>
      </c>
      <c r="C242" s="45"/>
      <c r="D242" s="33">
        <v>2</v>
      </c>
      <c r="E242" s="33"/>
      <c r="F242" s="33"/>
      <c r="G242" s="51" t="s">
        <v>455</v>
      </c>
      <c r="H242" s="37" t="s">
        <v>39</v>
      </c>
      <c r="I242" s="36">
        <v>2</v>
      </c>
      <c r="J242" s="37" t="s">
        <v>40</v>
      </c>
      <c r="K242" s="37"/>
      <c r="L242" s="37"/>
      <c r="M242" s="38" t="s">
        <v>35</v>
      </c>
      <c r="N242" s="39" t="s">
        <v>41</v>
      </c>
      <c r="O242" s="40">
        <v>38.42</v>
      </c>
      <c r="P242" s="37">
        <f t="shared" si="54"/>
        <v>76.84</v>
      </c>
      <c r="Q242" s="41"/>
      <c r="R242" s="42">
        <f t="shared" si="69"/>
        <v>0</v>
      </c>
      <c r="S242" s="42">
        <f t="shared" si="68"/>
        <v>0</v>
      </c>
      <c r="T242" s="43">
        <f t="shared" si="53"/>
        <v>0</v>
      </c>
      <c r="U242" s="43">
        <f t="shared" si="53"/>
        <v>0</v>
      </c>
      <c r="V242" s="44">
        <f t="shared" si="67"/>
        <v>2</v>
      </c>
      <c r="W242" s="36">
        <f t="shared" si="55"/>
        <v>76.84</v>
      </c>
      <c r="X242" s="36"/>
      <c r="Y242" s="36"/>
      <c r="Z242" s="36">
        <f t="shared" si="56"/>
        <v>0</v>
      </c>
      <c r="AA242" s="36">
        <f t="shared" si="57"/>
        <v>0</v>
      </c>
      <c r="AB242" s="36"/>
      <c r="AC242" s="36"/>
      <c r="AD242" s="36">
        <f t="shared" si="58"/>
        <v>0</v>
      </c>
      <c r="AE242" s="36">
        <f t="shared" si="59"/>
        <v>0</v>
      </c>
      <c r="AF242" s="36"/>
      <c r="AG242" s="36"/>
      <c r="AH242" s="36">
        <f t="shared" si="60"/>
        <v>0</v>
      </c>
      <c r="AI242" s="36">
        <f t="shared" si="61"/>
        <v>0</v>
      </c>
      <c r="AJ242" s="36"/>
      <c r="AK242" s="36"/>
      <c r="AL242" s="36">
        <f t="shared" si="62"/>
        <v>0</v>
      </c>
      <c r="AM242" s="36">
        <f t="shared" si="63"/>
        <v>0</v>
      </c>
      <c r="AN242" s="36"/>
      <c r="AO242" s="36"/>
      <c r="AP242" s="36">
        <f t="shared" si="64"/>
        <v>0</v>
      </c>
      <c r="AQ242" s="36">
        <f t="shared" si="65"/>
        <v>0</v>
      </c>
    </row>
    <row r="243" spans="1:43" x14ac:dyDescent="0.55000000000000004">
      <c r="A243" s="30" t="e">
        <f t="shared" si="66"/>
        <v>#REF!</v>
      </c>
      <c r="B243" s="31">
        <v>44896</v>
      </c>
      <c r="C243" s="45"/>
      <c r="D243" s="33">
        <v>1</v>
      </c>
      <c r="E243" s="33"/>
      <c r="F243" s="33"/>
      <c r="G243" s="49" t="s">
        <v>456</v>
      </c>
      <c r="H243" s="37" t="s">
        <v>112</v>
      </c>
      <c r="I243" s="36">
        <v>0</v>
      </c>
      <c r="J243" s="37"/>
      <c r="K243" s="37"/>
      <c r="L243" s="37"/>
      <c r="M243" s="38" t="s">
        <v>113</v>
      </c>
      <c r="N243" s="39" t="s">
        <v>114</v>
      </c>
      <c r="O243" s="40">
        <v>17.260000000000002</v>
      </c>
      <c r="P243" s="37">
        <f t="shared" si="54"/>
        <v>0</v>
      </c>
      <c r="Q243" s="41"/>
      <c r="R243" s="42">
        <f t="shared" si="69"/>
        <v>0</v>
      </c>
      <c r="S243" s="42">
        <f t="shared" si="68"/>
        <v>0</v>
      </c>
      <c r="T243" s="43">
        <f t="shared" si="53"/>
        <v>0</v>
      </c>
      <c r="U243" s="43">
        <f t="shared" si="53"/>
        <v>0</v>
      </c>
      <c r="V243" s="44">
        <f t="shared" si="67"/>
        <v>0</v>
      </c>
      <c r="W243" s="36">
        <f t="shared" si="55"/>
        <v>0</v>
      </c>
      <c r="X243" s="36"/>
      <c r="Y243" s="36"/>
      <c r="Z243" s="36">
        <f t="shared" si="56"/>
        <v>0</v>
      </c>
      <c r="AA243" s="36">
        <f t="shared" si="57"/>
        <v>0</v>
      </c>
      <c r="AB243" s="36"/>
      <c r="AC243" s="36"/>
      <c r="AD243" s="36">
        <f t="shared" si="58"/>
        <v>0</v>
      </c>
      <c r="AE243" s="36">
        <f t="shared" si="59"/>
        <v>0</v>
      </c>
      <c r="AF243" s="36"/>
      <c r="AG243" s="36"/>
      <c r="AH243" s="36">
        <f t="shared" si="60"/>
        <v>0</v>
      </c>
      <c r="AI243" s="36">
        <f t="shared" si="61"/>
        <v>0</v>
      </c>
      <c r="AJ243" s="36"/>
      <c r="AK243" s="36"/>
      <c r="AL243" s="36">
        <f t="shared" si="62"/>
        <v>0</v>
      </c>
      <c r="AM243" s="36">
        <f t="shared" si="63"/>
        <v>0</v>
      </c>
      <c r="AN243" s="36"/>
      <c r="AO243" s="36"/>
      <c r="AP243" s="36">
        <f t="shared" si="64"/>
        <v>0</v>
      </c>
      <c r="AQ243" s="36">
        <f t="shared" si="65"/>
        <v>0</v>
      </c>
    </row>
    <row r="244" spans="1:43" x14ac:dyDescent="0.55000000000000004">
      <c r="A244" s="30" t="e">
        <f t="shared" si="66"/>
        <v>#REF!</v>
      </c>
      <c r="B244" s="31">
        <v>44896</v>
      </c>
      <c r="C244" s="45"/>
      <c r="D244" s="33">
        <v>4</v>
      </c>
      <c r="E244" s="33"/>
      <c r="F244" s="33"/>
      <c r="G244" s="49" t="s">
        <v>457</v>
      </c>
      <c r="H244" s="37" t="s">
        <v>46</v>
      </c>
      <c r="I244" s="36">
        <v>0</v>
      </c>
      <c r="J244" s="37" t="s">
        <v>40</v>
      </c>
      <c r="K244" s="37"/>
      <c r="L244" s="37"/>
      <c r="M244" s="60" t="s">
        <v>47</v>
      </c>
      <c r="N244" s="39" t="s">
        <v>36</v>
      </c>
      <c r="O244" s="40">
        <v>82.88</v>
      </c>
      <c r="P244" s="37">
        <f t="shared" si="54"/>
        <v>0</v>
      </c>
      <c r="Q244" s="41"/>
      <c r="R244" s="42">
        <f t="shared" si="69"/>
        <v>0</v>
      </c>
      <c r="S244" s="42">
        <f t="shared" si="68"/>
        <v>0</v>
      </c>
      <c r="T244" s="43">
        <f t="shared" si="53"/>
        <v>0</v>
      </c>
      <c r="U244" s="43">
        <f t="shared" si="53"/>
        <v>0</v>
      </c>
      <c r="V244" s="44">
        <f t="shared" si="67"/>
        <v>0</v>
      </c>
      <c r="W244" s="36">
        <f t="shared" si="55"/>
        <v>0</v>
      </c>
      <c r="X244" s="36"/>
      <c r="Y244" s="36"/>
      <c r="Z244" s="36">
        <f t="shared" si="56"/>
        <v>0</v>
      </c>
      <c r="AA244" s="36">
        <f t="shared" si="57"/>
        <v>0</v>
      </c>
      <c r="AB244" s="36"/>
      <c r="AC244" s="36"/>
      <c r="AD244" s="36">
        <f t="shared" si="58"/>
        <v>0</v>
      </c>
      <c r="AE244" s="36">
        <f t="shared" si="59"/>
        <v>0</v>
      </c>
      <c r="AF244" s="36"/>
      <c r="AG244" s="36"/>
      <c r="AH244" s="36">
        <f t="shared" si="60"/>
        <v>0</v>
      </c>
      <c r="AI244" s="36">
        <f t="shared" si="61"/>
        <v>0</v>
      </c>
      <c r="AJ244" s="36"/>
      <c r="AK244" s="36"/>
      <c r="AL244" s="36">
        <f t="shared" si="62"/>
        <v>0</v>
      </c>
      <c r="AM244" s="36">
        <f t="shared" si="63"/>
        <v>0</v>
      </c>
      <c r="AN244" s="36"/>
      <c r="AO244" s="36"/>
      <c r="AP244" s="36">
        <f t="shared" si="64"/>
        <v>0</v>
      </c>
      <c r="AQ244" s="36">
        <f t="shared" si="65"/>
        <v>0</v>
      </c>
    </row>
    <row r="245" spans="1:43" x14ac:dyDescent="0.55000000000000004">
      <c r="A245" s="30" t="e">
        <f t="shared" si="66"/>
        <v>#REF!</v>
      </c>
      <c r="B245" s="31">
        <v>44896</v>
      </c>
      <c r="C245" s="45"/>
      <c r="D245" s="33">
        <v>5</v>
      </c>
      <c r="E245" s="33"/>
      <c r="F245" s="33"/>
      <c r="G245" s="51" t="s">
        <v>458</v>
      </c>
      <c r="H245" s="37" t="s">
        <v>133</v>
      </c>
      <c r="I245" s="36">
        <v>5</v>
      </c>
      <c r="J245" s="37" t="s">
        <v>40</v>
      </c>
      <c r="K245" s="37"/>
      <c r="L245" s="37"/>
      <c r="M245" s="60" t="s">
        <v>35</v>
      </c>
      <c r="N245" s="39" t="s">
        <v>36</v>
      </c>
      <c r="O245" s="40">
        <v>161.12</v>
      </c>
      <c r="P245" s="37">
        <f t="shared" si="54"/>
        <v>805.6</v>
      </c>
      <c r="Q245" s="41"/>
      <c r="R245" s="42">
        <f t="shared" si="69"/>
        <v>0</v>
      </c>
      <c r="S245" s="42">
        <f t="shared" si="68"/>
        <v>0</v>
      </c>
      <c r="T245" s="43">
        <f t="shared" si="53"/>
        <v>0</v>
      </c>
      <c r="U245" s="43">
        <f t="shared" si="53"/>
        <v>0</v>
      </c>
      <c r="V245" s="44">
        <f t="shared" si="67"/>
        <v>5</v>
      </c>
      <c r="W245" s="36">
        <f t="shared" si="55"/>
        <v>805.6</v>
      </c>
      <c r="X245" s="36"/>
      <c r="Y245" s="36"/>
      <c r="Z245" s="36">
        <f t="shared" si="56"/>
        <v>0</v>
      </c>
      <c r="AA245" s="36">
        <f t="shared" si="57"/>
        <v>0</v>
      </c>
      <c r="AB245" s="36"/>
      <c r="AC245" s="36"/>
      <c r="AD245" s="36">
        <f>AB245*O245</f>
        <v>0</v>
      </c>
      <c r="AE245" s="36">
        <f>AC245*O245</f>
        <v>0</v>
      </c>
      <c r="AF245" s="36"/>
      <c r="AG245" s="36"/>
      <c r="AH245" s="36">
        <f t="shared" si="60"/>
        <v>0</v>
      </c>
      <c r="AI245" s="36">
        <f t="shared" si="61"/>
        <v>0</v>
      </c>
      <c r="AJ245" s="36"/>
      <c r="AK245" s="36"/>
      <c r="AL245" s="36">
        <f t="shared" si="62"/>
        <v>0</v>
      </c>
      <c r="AM245" s="36">
        <f t="shared" si="63"/>
        <v>0</v>
      </c>
      <c r="AN245" s="36"/>
      <c r="AO245" s="36"/>
      <c r="AP245" s="36">
        <f t="shared" si="64"/>
        <v>0</v>
      </c>
      <c r="AQ245" s="36">
        <f t="shared" si="65"/>
        <v>0</v>
      </c>
    </row>
    <row r="246" spans="1:43" x14ac:dyDescent="0.55000000000000004">
      <c r="A246" s="30" t="e">
        <f t="shared" si="66"/>
        <v>#REF!</v>
      </c>
      <c r="B246" s="31">
        <v>45717</v>
      </c>
      <c r="C246" s="45"/>
      <c r="D246" s="33">
        <v>10</v>
      </c>
      <c r="E246" s="33"/>
      <c r="F246" s="33"/>
      <c r="G246" s="49" t="s">
        <v>459</v>
      </c>
      <c r="H246" s="37" t="s">
        <v>460</v>
      </c>
      <c r="I246" s="36">
        <v>0</v>
      </c>
      <c r="J246" s="37"/>
      <c r="K246" s="37"/>
      <c r="L246" s="37"/>
      <c r="M246" s="60" t="s">
        <v>35</v>
      </c>
      <c r="N246" s="54" t="s">
        <v>49</v>
      </c>
      <c r="O246" s="40">
        <v>35.71</v>
      </c>
      <c r="P246" s="37">
        <f t="shared" si="54"/>
        <v>0</v>
      </c>
      <c r="Q246" s="41"/>
      <c r="R246" s="42">
        <f t="shared" si="69"/>
        <v>0</v>
      </c>
      <c r="S246" s="42">
        <f t="shared" si="68"/>
        <v>0</v>
      </c>
      <c r="T246" s="43">
        <f t="shared" si="53"/>
        <v>0</v>
      </c>
      <c r="U246" s="43">
        <f t="shared" si="53"/>
        <v>0</v>
      </c>
      <c r="V246" s="44">
        <f t="shared" si="67"/>
        <v>0</v>
      </c>
      <c r="W246" s="36">
        <f t="shared" si="55"/>
        <v>0</v>
      </c>
      <c r="X246" s="36"/>
      <c r="Y246" s="36"/>
      <c r="Z246" s="36">
        <f t="shared" si="56"/>
        <v>0</v>
      </c>
      <c r="AA246" s="36">
        <f t="shared" si="57"/>
        <v>0</v>
      </c>
      <c r="AB246" s="36"/>
      <c r="AC246" s="36"/>
      <c r="AD246" s="36">
        <f t="shared" si="58"/>
        <v>0</v>
      </c>
      <c r="AE246" s="36">
        <f t="shared" si="59"/>
        <v>0</v>
      </c>
      <c r="AF246" s="36"/>
      <c r="AG246" s="36"/>
      <c r="AH246" s="36">
        <f t="shared" si="60"/>
        <v>0</v>
      </c>
      <c r="AI246" s="36">
        <f t="shared" si="61"/>
        <v>0</v>
      </c>
      <c r="AJ246" s="36"/>
      <c r="AK246" s="36"/>
      <c r="AL246" s="36">
        <f t="shared" si="62"/>
        <v>0</v>
      </c>
      <c r="AM246" s="36">
        <f t="shared" si="63"/>
        <v>0</v>
      </c>
      <c r="AN246" s="36"/>
      <c r="AO246" s="36"/>
      <c r="AP246" s="36">
        <f t="shared" si="64"/>
        <v>0</v>
      </c>
      <c r="AQ246" s="36">
        <f t="shared" si="65"/>
        <v>0</v>
      </c>
    </row>
    <row r="247" spans="1:43" x14ac:dyDescent="0.55000000000000004">
      <c r="A247" s="30" t="e">
        <f t="shared" si="66"/>
        <v>#REF!</v>
      </c>
      <c r="B247" s="31">
        <v>44896</v>
      </c>
      <c r="C247" s="45"/>
      <c r="D247" s="33">
        <v>50</v>
      </c>
      <c r="E247" s="33"/>
      <c r="F247" s="33"/>
      <c r="G247" s="51" t="s">
        <v>461</v>
      </c>
      <c r="H247" s="37" t="s">
        <v>409</v>
      </c>
      <c r="I247" s="36">
        <v>52</v>
      </c>
      <c r="J247" s="37" t="s">
        <v>54</v>
      </c>
      <c r="K247" s="37"/>
      <c r="L247" s="37"/>
      <c r="M247" s="60" t="s">
        <v>410</v>
      </c>
      <c r="N247" s="54"/>
      <c r="O247" s="40">
        <v>2.64</v>
      </c>
      <c r="P247" s="37">
        <f t="shared" si="54"/>
        <v>137.28</v>
      </c>
      <c r="Q247" s="41"/>
      <c r="R247" s="42">
        <f t="shared" si="69"/>
        <v>0</v>
      </c>
      <c r="S247" s="42">
        <f t="shared" si="68"/>
        <v>0</v>
      </c>
      <c r="T247" s="43">
        <f t="shared" si="53"/>
        <v>0</v>
      </c>
      <c r="U247" s="43">
        <f t="shared" si="53"/>
        <v>0</v>
      </c>
      <c r="V247" s="44">
        <f t="shared" si="67"/>
        <v>52</v>
      </c>
      <c r="W247" s="36">
        <f t="shared" si="55"/>
        <v>137.28</v>
      </c>
      <c r="X247" s="36"/>
      <c r="Y247" s="36"/>
      <c r="Z247" s="36">
        <f t="shared" si="56"/>
        <v>0</v>
      </c>
      <c r="AA247" s="36">
        <f t="shared" si="57"/>
        <v>0</v>
      </c>
      <c r="AB247" s="36"/>
      <c r="AC247" s="36"/>
      <c r="AD247" s="36">
        <f t="shared" si="58"/>
        <v>0</v>
      </c>
      <c r="AE247" s="36">
        <f t="shared" si="59"/>
        <v>0</v>
      </c>
      <c r="AF247" s="36"/>
      <c r="AG247" s="36"/>
      <c r="AH247" s="36">
        <f t="shared" si="60"/>
        <v>0</v>
      </c>
      <c r="AI247" s="36">
        <f t="shared" si="61"/>
        <v>0</v>
      </c>
      <c r="AJ247" s="36"/>
      <c r="AK247" s="36"/>
      <c r="AL247" s="36">
        <f t="shared" si="62"/>
        <v>0</v>
      </c>
      <c r="AM247" s="36">
        <f t="shared" si="63"/>
        <v>0</v>
      </c>
      <c r="AN247" s="36"/>
      <c r="AO247" s="36"/>
      <c r="AP247" s="36">
        <f t="shared" si="64"/>
        <v>0</v>
      </c>
      <c r="AQ247" s="36">
        <f t="shared" si="65"/>
        <v>0</v>
      </c>
    </row>
    <row r="248" spans="1:43" x14ac:dyDescent="0.55000000000000004">
      <c r="A248" s="30" t="e">
        <f t="shared" si="66"/>
        <v>#REF!</v>
      </c>
      <c r="B248" s="31">
        <v>44896</v>
      </c>
      <c r="C248" s="45"/>
      <c r="D248" s="33">
        <v>1</v>
      </c>
      <c r="E248" s="33"/>
      <c r="F248" s="33"/>
      <c r="G248" s="51" t="s">
        <v>462</v>
      </c>
      <c r="H248" s="37" t="s">
        <v>203</v>
      </c>
      <c r="I248" s="36">
        <v>1</v>
      </c>
      <c r="J248" s="37" t="s">
        <v>64</v>
      </c>
      <c r="K248" s="37"/>
      <c r="L248" s="37"/>
      <c r="M248" s="60" t="s">
        <v>189</v>
      </c>
      <c r="N248" s="54"/>
      <c r="O248" s="40">
        <v>656.44</v>
      </c>
      <c r="P248" s="37">
        <f t="shared" si="54"/>
        <v>656.44</v>
      </c>
      <c r="Q248" s="41"/>
      <c r="R248" s="42">
        <f t="shared" si="69"/>
        <v>0</v>
      </c>
      <c r="S248" s="42">
        <f t="shared" si="68"/>
        <v>0</v>
      </c>
      <c r="T248" s="43">
        <f t="shared" si="53"/>
        <v>0</v>
      </c>
      <c r="U248" s="43">
        <f t="shared" si="53"/>
        <v>0</v>
      </c>
      <c r="V248" s="44">
        <f t="shared" si="67"/>
        <v>1</v>
      </c>
      <c r="W248" s="36">
        <f t="shared" si="55"/>
        <v>656.44</v>
      </c>
      <c r="X248" s="36"/>
      <c r="Y248" s="36"/>
      <c r="Z248" s="36">
        <f t="shared" si="56"/>
        <v>0</v>
      </c>
      <c r="AA248" s="36">
        <f t="shared" si="57"/>
        <v>0</v>
      </c>
      <c r="AB248" s="36"/>
      <c r="AC248" s="36"/>
      <c r="AD248" s="36">
        <f t="shared" si="58"/>
        <v>0</v>
      </c>
      <c r="AE248" s="36">
        <f t="shared" si="59"/>
        <v>0</v>
      </c>
      <c r="AF248" s="36"/>
      <c r="AG248" s="36"/>
      <c r="AH248" s="36">
        <f t="shared" si="60"/>
        <v>0</v>
      </c>
      <c r="AI248" s="36">
        <f t="shared" si="61"/>
        <v>0</v>
      </c>
      <c r="AJ248" s="36"/>
      <c r="AK248" s="36"/>
      <c r="AL248" s="36">
        <f t="shared" si="62"/>
        <v>0</v>
      </c>
      <c r="AM248" s="36">
        <f t="shared" si="63"/>
        <v>0</v>
      </c>
      <c r="AN248" s="36"/>
      <c r="AO248" s="36"/>
      <c r="AP248" s="36">
        <f t="shared" si="64"/>
        <v>0</v>
      </c>
      <c r="AQ248" s="36">
        <f t="shared" si="65"/>
        <v>0</v>
      </c>
    </row>
    <row r="249" spans="1:43" x14ac:dyDescent="0.55000000000000004">
      <c r="A249" s="30" t="e">
        <f>+#REF!+1</f>
        <v>#REF!</v>
      </c>
      <c r="B249" s="31">
        <v>45047</v>
      </c>
      <c r="C249" s="45"/>
      <c r="D249" s="33">
        <v>1</v>
      </c>
      <c r="E249" s="33"/>
      <c r="F249" s="33"/>
      <c r="G249" s="51" t="s">
        <v>463</v>
      </c>
      <c r="H249" s="37" t="s">
        <v>71</v>
      </c>
      <c r="I249" s="36">
        <v>1</v>
      </c>
      <c r="J249" s="37"/>
      <c r="K249" s="37"/>
      <c r="L249" s="37"/>
      <c r="M249" s="38" t="s">
        <v>85</v>
      </c>
      <c r="N249" s="54" t="s">
        <v>41</v>
      </c>
      <c r="O249" s="40">
        <v>35.229999999999997</v>
      </c>
      <c r="P249" s="37">
        <f t="shared" si="54"/>
        <v>35.229999999999997</v>
      </c>
      <c r="Q249" s="41"/>
      <c r="R249" s="42">
        <f t="shared" si="69"/>
        <v>0</v>
      </c>
      <c r="S249" s="42">
        <f t="shared" si="68"/>
        <v>0</v>
      </c>
      <c r="T249" s="43">
        <f t="shared" si="53"/>
        <v>0</v>
      </c>
      <c r="U249" s="43">
        <f t="shared" si="53"/>
        <v>0</v>
      </c>
      <c r="V249" s="44">
        <f t="shared" si="67"/>
        <v>1</v>
      </c>
      <c r="W249" s="36">
        <f t="shared" si="55"/>
        <v>35.229999999999997</v>
      </c>
      <c r="X249" s="36"/>
      <c r="Y249" s="36"/>
      <c r="Z249" s="36">
        <f t="shared" si="56"/>
        <v>0</v>
      </c>
      <c r="AA249" s="36">
        <f t="shared" si="57"/>
        <v>0</v>
      </c>
      <c r="AB249" s="36"/>
      <c r="AC249" s="36"/>
      <c r="AD249" s="36">
        <f t="shared" si="58"/>
        <v>0</v>
      </c>
      <c r="AE249" s="36">
        <f t="shared" si="59"/>
        <v>0</v>
      </c>
      <c r="AF249" s="36"/>
      <c r="AG249" s="36"/>
      <c r="AH249" s="36">
        <f t="shared" si="60"/>
        <v>0</v>
      </c>
      <c r="AI249" s="36">
        <f t="shared" si="61"/>
        <v>0</v>
      </c>
      <c r="AJ249" s="36"/>
      <c r="AK249" s="36"/>
      <c r="AL249" s="36">
        <f t="shared" si="62"/>
        <v>0</v>
      </c>
      <c r="AM249" s="36">
        <f t="shared" si="63"/>
        <v>0</v>
      </c>
      <c r="AN249" s="36"/>
      <c r="AO249" s="36"/>
      <c r="AP249" s="36">
        <f t="shared" si="64"/>
        <v>0</v>
      </c>
      <c r="AQ249" s="36">
        <f t="shared" si="65"/>
        <v>0</v>
      </c>
    </row>
    <row r="250" spans="1:43" x14ac:dyDescent="0.55000000000000004">
      <c r="A250" s="30" t="e">
        <f t="shared" si="66"/>
        <v>#REF!</v>
      </c>
      <c r="B250" s="31">
        <v>45770</v>
      </c>
      <c r="C250" s="31"/>
      <c r="D250" s="61">
        <v>1</v>
      </c>
      <c r="E250" s="31">
        <v>44896</v>
      </c>
      <c r="F250" s="61">
        <v>1</v>
      </c>
      <c r="G250" s="69" t="s">
        <v>464</v>
      </c>
      <c r="H250" s="37" t="s">
        <v>57</v>
      </c>
      <c r="I250" s="36">
        <v>2</v>
      </c>
      <c r="J250" s="37"/>
      <c r="K250" s="37"/>
      <c r="L250" s="37"/>
      <c r="M250" s="60" t="s">
        <v>55</v>
      </c>
      <c r="N250" s="54"/>
      <c r="O250" s="40">
        <v>1460.44</v>
      </c>
      <c r="P250" s="37">
        <f t="shared" si="54"/>
        <v>2920.88</v>
      </c>
      <c r="Q250" s="41" t="s">
        <v>37</v>
      </c>
      <c r="R250" s="42">
        <f t="shared" si="69"/>
        <v>0</v>
      </c>
      <c r="S250" s="42">
        <f t="shared" si="68"/>
        <v>0</v>
      </c>
      <c r="T250" s="43">
        <f t="shared" si="53"/>
        <v>0</v>
      </c>
      <c r="U250" s="43">
        <f t="shared" si="53"/>
        <v>0</v>
      </c>
      <c r="V250" s="44">
        <f t="shared" si="67"/>
        <v>2</v>
      </c>
      <c r="W250" s="36">
        <f t="shared" si="55"/>
        <v>2920.88</v>
      </c>
      <c r="X250" s="36"/>
      <c r="Y250" s="36"/>
      <c r="Z250" s="36">
        <f t="shared" si="56"/>
        <v>0</v>
      </c>
      <c r="AA250" s="36">
        <f t="shared" si="57"/>
        <v>0</v>
      </c>
      <c r="AB250" s="36"/>
      <c r="AC250" s="36"/>
      <c r="AD250" s="36">
        <f t="shared" si="58"/>
        <v>0</v>
      </c>
      <c r="AE250" s="36">
        <f t="shared" si="59"/>
        <v>0</v>
      </c>
      <c r="AF250" s="36"/>
      <c r="AG250" s="36"/>
      <c r="AH250" s="36">
        <f t="shared" si="60"/>
        <v>0</v>
      </c>
      <c r="AI250" s="36">
        <f t="shared" si="61"/>
        <v>0</v>
      </c>
      <c r="AJ250" s="36"/>
      <c r="AK250" s="36"/>
      <c r="AL250" s="36">
        <f t="shared" si="62"/>
        <v>0</v>
      </c>
      <c r="AM250" s="36">
        <f t="shared" si="63"/>
        <v>0</v>
      </c>
      <c r="AN250" s="36"/>
      <c r="AO250" s="36"/>
      <c r="AP250" s="36">
        <f t="shared" si="64"/>
        <v>0</v>
      </c>
      <c r="AQ250" s="36">
        <f t="shared" si="65"/>
        <v>0</v>
      </c>
    </row>
    <row r="251" spans="1:43" x14ac:dyDescent="0.55000000000000004">
      <c r="A251" s="30" t="e">
        <f t="shared" si="66"/>
        <v>#REF!</v>
      </c>
      <c r="B251" s="31">
        <v>45292</v>
      </c>
      <c r="C251" s="45"/>
      <c r="D251" s="33">
        <v>2</v>
      </c>
      <c r="E251" s="33"/>
      <c r="F251" s="33"/>
      <c r="G251" s="51" t="s">
        <v>465</v>
      </c>
      <c r="H251" s="37" t="s">
        <v>466</v>
      </c>
      <c r="I251" s="36">
        <v>2</v>
      </c>
      <c r="J251" s="37"/>
      <c r="K251" s="37"/>
      <c r="L251" s="37"/>
      <c r="M251" s="60" t="s">
        <v>467</v>
      </c>
      <c r="N251" s="54" t="s">
        <v>41</v>
      </c>
      <c r="O251" s="48">
        <v>97</v>
      </c>
      <c r="P251" s="37">
        <f t="shared" si="54"/>
        <v>194</v>
      </c>
      <c r="Q251" s="41"/>
      <c r="R251" s="42">
        <f t="shared" si="69"/>
        <v>0</v>
      </c>
      <c r="S251" s="42">
        <f t="shared" si="68"/>
        <v>0</v>
      </c>
      <c r="T251" s="43">
        <f t="shared" si="53"/>
        <v>0</v>
      </c>
      <c r="U251" s="43">
        <f t="shared" si="53"/>
        <v>0</v>
      </c>
      <c r="V251" s="44">
        <f t="shared" si="67"/>
        <v>2</v>
      </c>
      <c r="W251" s="36">
        <f t="shared" si="55"/>
        <v>194</v>
      </c>
      <c r="X251" s="36"/>
      <c r="Y251" s="36"/>
      <c r="Z251" s="36">
        <f t="shared" si="56"/>
        <v>0</v>
      </c>
      <c r="AA251" s="36">
        <f t="shared" si="57"/>
        <v>0</v>
      </c>
      <c r="AB251" s="36"/>
      <c r="AC251" s="36"/>
      <c r="AD251" s="36">
        <f t="shared" si="58"/>
        <v>0</v>
      </c>
      <c r="AE251" s="36">
        <f t="shared" si="59"/>
        <v>0</v>
      </c>
      <c r="AF251" s="36"/>
      <c r="AG251" s="36"/>
      <c r="AH251" s="36">
        <f t="shared" si="60"/>
        <v>0</v>
      </c>
      <c r="AI251" s="36">
        <f t="shared" si="61"/>
        <v>0</v>
      </c>
      <c r="AJ251" s="36"/>
      <c r="AK251" s="36"/>
      <c r="AL251" s="36">
        <f t="shared" si="62"/>
        <v>0</v>
      </c>
      <c r="AM251" s="36">
        <f t="shared" si="63"/>
        <v>0</v>
      </c>
      <c r="AN251" s="36"/>
      <c r="AO251" s="36"/>
      <c r="AP251" s="36">
        <f t="shared" si="64"/>
        <v>0</v>
      </c>
      <c r="AQ251" s="36">
        <f t="shared" si="65"/>
        <v>0</v>
      </c>
    </row>
    <row r="252" spans="1:43" x14ac:dyDescent="0.55000000000000004">
      <c r="A252" s="30" t="e">
        <f t="shared" si="66"/>
        <v>#REF!</v>
      </c>
      <c r="B252" s="31">
        <v>44896</v>
      </c>
      <c r="C252" s="45"/>
      <c r="D252" s="33"/>
      <c r="E252" s="33"/>
      <c r="F252" s="33"/>
      <c r="G252" s="51" t="s">
        <v>468</v>
      </c>
      <c r="H252" s="37" t="s">
        <v>68</v>
      </c>
      <c r="I252" s="36">
        <v>2</v>
      </c>
      <c r="J252" s="37"/>
      <c r="K252" s="37"/>
      <c r="L252" s="37"/>
      <c r="M252" s="60" t="s">
        <v>467</v>
      </c>
      <c r="N252" s="54" t="s">
        <v>41</v>
      </c>
      <c r="O252" s="48">
        <v>125</v>
      </c>
      <c r="P252" s="37">
        <f t="shared" si="54"/>
        <v>250</v>
      </c>
      <c r="Q252" s="41"/>
      <c r="R252" s="42">
        <f t="shared" si="69"/>
        <v>0</v>
      </c>
      <c r="S252" s="42">
        <f t="shared" si="68"/>
        <v>0</v>
      </c>
      <c r="T252" s="43">
        <f t="shared" si="53"/>
        <v>0</v>
      </c>
      <c r="U252" s="43">
        <f t="shared" si="53"/>
        <v>0</v>
      </c>
      <c r="V252" s="44">
        <f t="shared" si="67"/>
        <v>2</v>
      </c>
      <c r="W252" s="36">
        <f t="shared" si="55"/>
        <v>250</v>
      </c>
      <c r="X252" s="36"/>
      <c r="Y252" s="36"/>
      <c r="Z252" s="36">
        <f t="shared" si="56"/>
        <v>0</v>
      </c>
      <c r="AA252" s="36">
        <f t="shared" si="57"/>
        <v>0</v>
      </c>
      <c r="AB252" s="36"/>
      <c r="AC252" s="36"/>
      <c r="AD252" s="36">
        <f t="shared" si="58"/>
        <v>0</v>
      </c>
      <c r="AE252" s="36">
        <f t="shared" si="59"/>
        <v>0</v>
      </c>
      <c r="AF252" s="36"/>
      <c r="AG252" s="36"/>
      <c r="AH252" s="36">
        <f t="shared" si="60"/>
        <v>0</v>
      </c>
      <c r="AI252" s="36">
        <f t="shared" si="61"/>
        <v>0</v>
      </c>
      <c r="AJ252" s="36"/>
      <c r="AK252" s="36"/>
      <c r="AL252" s="36">
        <f t="shared" si="62"/>
        <v>0</v>
      </c>
      <c r="AM252" s="36">
        <f t="shared" si="63"/>
        <v>0</v>
      </c>
      <c r="AN252" s="36"/>
      <c r="AO252" s="36"/>
      <c r="AP252" s="36">
        <f t="shared" si="64"/>
        <v>0</v>
      </c>
      <c r="AQ252" s="36">
        <f t="shared" si="65"/>
        <v>0</v>
      </c>
    </row>
    <row r="253" spans="1:43" x14ac:dyDescent="0.55000000000000004">
      <c r="A253" s="30" t="e">
        <f t="shared" si="66"/>
        <v>#REF!</v>
      </c>
      <c r="B253" s="31">
        <v>44896</v>
      </c>
      <c r="C253" s="45"/>
      <c r="D253" s="33"/>
      <c r="E253" s="33"/>
      <c r="F253" s="33"/>
      <c r="G253" s="51" t="s">
        <v>469</v>
      </c>
      <c r="H253" s="37" t="s">
        <v>68</v>
      </c>
      <c r="I253" s="36">
        <v>2</v>
      </c>
      <c r="J253" s="37"/>
      <c r="K253" s="37"/>
      <c r="L253" s="37"/>
      <c r="M253" s="60" t="s">
        <v>467</v>
      </c>
      <c r="N253" s="54" t="s">
        <v>41</v>
      </c>
      <c r="O253" s="48">
        <v>40</v>
      </c>
      <c r="P253" s="37">
        <f t="shared" si="54"/>
        <v>80</v>
      </c>
      <c r="Q253" s="41"/>
      <c r="R253" s="42">
        <f t="shared" si="69"/>
        <v>0</v>
      </c>
      <c r="S253" s="42">
        <f t="shared" si="68"/>
        <v>0</v>
      </c>
      <c r="T253" s="43">
        <f t="shared" si="53"/>
        <v>0</v>
      </c>
      <c r="U253" s="43">
        <f t="shared" si="53"/>
        <v>0</v>
      </c>
      <c r="V253" s="44">
        <f t="shared" si="67"/>
        <v>2</v>
      </c>
      <c r="W253" s="36">
        <f t="shared" si="55"/>
        <v>80</v>
      </c>
      <c r="X253" s="36"/>
      <c r="Y253" s="36"/>
      <c r="Z253" s="36">
        <f t="shared" si="56"/>
        <v>0</v>
      </c>
      <c r="AA253" s="36">
        <f t="shared" si="57"/>
        <v>0</v>
      </c>
      <c r="AB253" s="36"/>
      <c r="AC253" s="36"/>
      <c r="AD253" s="36">
        <f t="shared" si="58"/>
        <v>0</v>
      </c>
      <c r="AE253" s="36">
        <f t="shared" si="59"/>
        <v>0</v>
      </c>
      <c r="AF253" s="36"/>
      <c r="AG253" s="36"/>
      <c r="AH253" s="36">
        <f t="shared" si="60"/>
        <v>0</v>
      </c>
      <c r="AI253" s="36">
        <f t="shared" si="61"/>
        <v>0</v>
      </c>
      <c r="AJ253" s="36"/>
      <c r="AK253" s="36"/>
      <c r="AL253" s="36">
        <f t="shared" si="62"/>
        <v>0</v>
      </c>
      <c r="AM253" s="36">
        <f t="shared" si="63"/>
        <v>0</v>
      </c>
      <c r="AN253" s="36"/>
      <c r="AO253" s="36"/>
      <c r="AP253" s="36">
        <f t="shared" si="64"/>
        <v>0</v>
      </c>
      <c r="AQ253" s="36">
        <f t="shared" si="65"/>
        <v>0</v>
      </c>
    </row>
    <row r="254" spans="1:43" x14ac:dyDescent="0.55000000000000004">
      <c r="A254" s="30" t="e">
        <f t="shared" si="66"/>
        <v>#REF!</v>
      </c>
      <c r="B254" s="31">
        <v>44896</v>
      </c>
      <c r="C254" s="45"/>
      <c r="D254" s="33"/>
      <c r="E254" s="33"/>
      <c r="F254" s="33"/>
      <c r="G254" s="51" t="s">
        <v>470</v>
      </c>
      <c r="H254" s="37" t="s">
        <v>68</v>
      </c>
      <c r="I254" s="36">
        <v>4</v>
      </c>
      <c r="J254" s="37"/>
      <c r="K254" s="37"/>
      <c r="L254" s="37"/>
      <c r="M254" s="60" t="s">
        <v>467</v>
      </c>
      <c r="N254" s="54" t="s">
        <v>41</v>
      </c>
      <c r="O254" s="48">
        <v>80</v>
      </c>
      <c r="P254" s="37">
        <f t="shared" si="54"/>
        <v>320</v>
      </c>
      <c r="Q254" s="41"/>
      <c r="R254" s="42">
        <f t="shared" si="69"/>
        <v>0</v>
      </c>
      <c r="S254" s="42">
        <f t="shared" si="68"/>
        <v>0</v>
      </c>
      <c r="T254" s="43">
        <f t="shared" si="53"/>
        <v>0</v>
      </c>
      <c r="U254" s="43">
        <f t="shared" si="53"/>
        <v>0</v>
      </c>
      <c r="V254" s="44">
        <f t="shared" si="67"/>
        <v>4</v>
      </c>
      <c r="W254" s="36">
        <f t="shared" si="55"/>
        <v>320</v>
      </c>
      <c r="X254" s="36"/>
      <c r="Y254" s="36"/>
      <c r="Z254" s="36">
        <f t="shared" si="56"/>
        <v>0</v>
      </c>
      <c r="AA254" s="36">
        <f t="shared" si="57"/>
        <v>0</v>
      </c>
      <c r="AB254" s="36"/>
      <c r="AC254" s="36"/>
      <c r="AD254" s="36">
        <f t="shared" si="58"/>
        <v>0</v>
      </c>
      <c r="AE254" s="36">
        <f t="shared" si="59"/>
        <v>0</v>
      </c>
      <c r="AF254" s="36"/>
      <c r="AG254" s="36"/>
      <c r="AH254" s="36">
        <f t="shared" si="60"/>
        <v>0</v>
      </c>
      <c r="AI254" s="36">
        <f t="shared" si="61"/>
        <v>0</v>
      </c>
      <c r="AJ254" s="36"/>
      <c r="AK254" s="36"/>
      <c r="AL254" s="36">
        <f t="shared" si="62"/>
        <v>0</v>
      </c>
      <c r="AM254" s="36">
        <f t="shared" si="63"/>
        <v>0</v>
      </c>
      <c r="AN254" s="36"/>
      <c r="AO254" s="36"/>
      <c r="AP254" s="36">
        <f t="shared" si="64"/>
        <v>0</v>
      </c>
      <c r="AQ254" s="36">
        <f t="shared" si="65"/>
        <v>0</v>
      </c>
    </row>
    <row r="255" spans="1:43" x14ac:dyDescent="0.55000000000000004">
      <c r="A255" s="30" t="e">
        <f t="shared" si="66"/>
        <v>#REF!</v>
      </c>
      <c r="B255" s="31">
        <v>44896</v>
      </c>
      <c r="C255" s="45"/>
      <c r="D255" s="33"/>
      <c r="E255" s="33"/>
      <c r="F255" s="33"/>
      <c r="G255" s="51" t="s">
        <v>471</v>
      </c>
      <c r="H255" s="37" t="s">
        <v>68</v>
      </c>
      <c r="I255" s="36">
        <v>2</v>
      </c>
      <c r="J255" s="37"/>
      <c r="K255" s="37"/>
      <c r="L255" s="37"/>
      <c r="M255" s="60" t="s">
        <v>467</v>
      </c>
      <c r="N255" s="54" t="s">
        <v>41</v>
      </c>
      <c r="O255" s="48">
        <v>105</v>
      </c>
      <c r="P255" s="37">
        <f t="shared" si="54"/>
        <v>210</v>
      </c>
      <c r="Q255" s="41"/>
      <c r="R255" s="42">
        <f t="shared" si="69"/>
        <v>0</v>
      </c>
      <c r="S255" s="42">
        <f t="shared" si="68"/>
        <v>0</v>
      </c>
      <c r="T255" s="43">
        <f t="shared" si="53"/>
        <v>0</v>
      </c>
      <c r="U255" s="43">
        <f t="shared" si="53"/>
        <v>0</v>
      </c>
      <c r="V255" s="44">
        <f t="shared" si="67"/>
        <v>2</v>
      </c>
      <c r="W255" s="36">
        <f t="shared" si="55"/>
        <v>210</v>
      </c>
      <c r="X255" s="36"/>
      <c r="Y255" s="36"/>
      <c r="Z255" s="36">
        <f t="shared" si="56"/>
        <v>0</v>
      </c>
      <c r="AA255" s="36">
        <f t="shared" si="57"/>
        <v>0</v>
      </c>
      <c r="AB255" s="36"/>
      <c r="AC255" s="36"/>
      <c r="AD255" s="36">
        <f t="shared" si="58"/>
        <v>0</v>
      </c>
      <c r="AE255" s="36">
        <f t="shared" si="59"/>
        <v>0</v>
      </c>
      <c r="AF255" s="36"/>
      <c r="AG255" s="36"/>
      <c r="AH255" s="36">
        <f t="shared" si="60"/>
        <v>0</v>
      </c>
      <c r="AI255" s="36">
        <f t="shared" si="61"/>
        <v>0</v>
      </c>
      <c r="AJ255" s="36"/>
      <c r="AK255" s="36"/>
      <c r="AL255" s="36">
        <f t="shared" si="62"/>
        <v>0</v>
      </c>
      <c r="AM255" s="36">
        <f t="shared" si="63"/>
        <v>0</v>
      </c>
      <c r="AN255" s="36"/>
      <c r="AO255" s="36"/>
      <c r="AP255" s="36">
        <f t="shared" si="64"/>
        <v>0</v>
      </c>
      <c r="AQ255" s="36">
        <f t="shared" si="65"/>
        <v>0</v>
      </c>
    </row>
    <row r="256" spans="1:43" x14ac:dyDescent="0.55000000000000004">
      <c r="A256" s="30" t="e">
        <f t="shared" si="66"/>
        <v>#REF!</v>
      </c>
      <c r="B256" s="31">
        <v>44896</v>
      </c>
      <c r="C256" s="45"/>
      <c r="D256" s="33"/>
      <c r="E256" s="33"/>
      <c r="F256" s="33"/>
      <c r="G256" s="51" t="s">
        <v>472</v>
      </c>
      <c r="H256" s="37" t="s">
        <v>68</v>
      </c>
      <c r="I256" s="36">
        <v>1</v>
      </c>
      <c r="J256" s="37"/>
      <c r="K256" s="37"/>
      <c r="L256" s="37"/>
      <c r="M256" s="60" t="s">
        <v>467</v>
      </c>
      <c r="N256" s="54" t="s">
        <v>41</v>
      </c>
      <c r="O256" s="48">
        <v>80</v>
      </c>
      <c r="P256" s="37">
        <f t="shared" si="54"/>
        <v>80</v>
      </c>
      <c r="Q256" s="41"/>
      <c r="R256" s="42">
        <f t="shared" si="69"/>
        <v>0</v>
      </c>
      <c r="S256" s="42">
        <f t="shared" si="68"/>
        <v>0</v>
      </c>
      <c r="T256" s="43">
        <f t="shared" si="53"/>
        <v>0</v>
      </c>
      <c r="U256" s="43">
        <f t="shared" si="53"/>
        <v>0</v>
      </c>
      <c r="V256" s="44">
        <f t="shared" si="67"/>
        <v>1</v>
      </c>
      <c r="W256" s="36">
        <f t="shared" si="55"/>
        <v>80</v>
      </c>
      <c r="X256" s="36"/>
      <c r="Y256" s="36"/>
      <c r="Z256" s="36">
        <f t="shared" si="56"/>
        <v>0</v>
      </c>
      <c r="AA256" s="36">
        <f t="shared" si="57"/>
        <v>0</v>
      </c>
      <c r="AB256" s="36"/>
      <c r="AC256" s="36"/>
      <c r="AD256" s="36">
        <f t="shared" si="58"/>
        <v>0</v>
      </c>
      <c r="AE256" s="36">
        <f t="shared" si="59"/>
        <v>0</v>
      </c>
      <c r="AF256" s="36"/>
      <c r="AG256" s="36"/>
      <c r="AH256" s="36">
        <f t="shared" si="60"/>
        <v>0</v>
      </c>
      <c r="AI256" s="36">
        <f t="shared" si="61"/>
        <v>0</v>
      </c>
      <c r="AJ256" s="36"/>
      <c r="AK256" s="36"/>
      <c r="AL256" s="36">
        <f t="shared" si="62"/>
        <v>0</v>
      </c>
      <c r="AM256" s="36">
        <f t="shared" si="63"/>
        <v>0</v>
      </c>
      <c r="AN256" s="36"/>
      <c r="AO256" s="36"/>
      <c r="AP256" s="36">
        <f t="shared" si="64"/>
        <v>0</v>
      </c>
      <c r="AQ256" s="36">
        <f t="shared" si="65"/>
        <v>0</v>
      </c>
    </row>
    <row r="257" spans="1:43" x14ac:dyDescent="0.55000000000000004">
      <c r="A257" s="30" t="e">
        <f t="shared" si="66"/>
        <v>#REF!</v>
      </c>
      <c r="B257" s="31">
        <v>44896</v>
      </c>
      <c r="C257" s="45"/>
      <c r="D257" s="33"/>
      <c r="E257" s="33"/>
      <c r="F257" s="33"/>
      <c r="G257" s="49" t="s">
        <v>473</v>
      </c>
      <c r="H257" s="37" t="s">
        <v>68</v>
      </c>
      <c r="I257" s="36">
        <v>0</v>
      </c>
      <c r="J257" s="37"/>
      <c r="K257" s="37"/>
      <c r="L257" s="37"/>
      <c r="M257" s="60" t="s">
        <v>467</v>
      </c>
      <c r="N257" s="54" t="s">
        <v>41</v>
      </c>
      <c r="O257" s="48">
        <v>115</v>
      </c>
      <c r="P257" s="37">
        <f t="shared" si="54"/>
        <v>0</v>
      </c>
      <c r="Q257" s="41"/>
      <c r="R257" s="42">
        <f t="shared" si="69"/>
        <v>0</v>
      </c>
      <c r="S257" s="42">
        <f t="shared" si="68"/>
        <v>0</v>
      </c>
      <c r="T257" s="43">
        <f t="shared" ref="T257:U317" si="70">X257+AB257+AF257+AJ257+AN257</f>
        <v>0</v>
      </c>
      <c r="U257" s="43">
        <f t="shared" si="70"/>
        <v>0</v>
      </c>
      <c r="V257" s="44">
        <f t="shared" si="67"/>
        <v>0</v>
      </c>
      <c r="W257" s="36">
        <f t="shared" si="55"/>
        <v>0</v>
      </c>
      <c r="X257" s="36"/>
      <c r="Y257" s="36"/>
      <c r="Z257" s="36">
        <f t="shared" si="56"/>
        <v>0</v>
      </c>
      <c r="AA257" s="36">
        <f t="shared" si="57"/>
        <v>0</v>
      </c>
      <c r="AB257" s="36"/>
      <c r="AC257" s="36"/>
      <c r="AD257" s="36">
        <f t="shared" si="58"/>
        <v>0</v>
      </c>
      <c r="AE257" s="36">
        <f t="shared" si="59"/>
        <v>0</v>
      </c>
      <c r="AF257" s="36"/>
      <c r="AG257" s="36"/>
      <c r="AH257" s="36">
        <f t="shared" si="60"/>
        <v>0</v>
      </c>
      <c r="AI257" s="36">
        <f t="shared" si="61"/>
        <v>0</v>
      </c>
      <c r="AJ257" s="36"/>
      <c r="AK257" s="36"/>
      <c r="AL257" s="36">
        <f t="shared" si="62"/>
        <v>0</v>
      </c>
      <c r="AM257" s="36">
        <f t="shared" si="63"/>
        <v>0</v>
      </c>
      <c r="AN257" s="36"/>
      <c r="AO257" s="36"/>
      <c r="AP257" s="36">
        <f t="shared" si="64"/>
        <v>0</v>
      </c>
      <c r="AQ257" s="36">
        <f t="shared" si="65"/>
        <v>0</v>
      </c>
    </row>
    <row r="258" spans="1:43" x14ac:dyDescent="0.55000000000000004">
      <c r="A258" s="30" t="e">
        <f t="shared" si="66"/>
        <v>#REF!</v>
      </c>
      <c r="B258" s="31">
        <v>44896</v>
      </c>
      <c r="C258" s="45"/>
      <c r="D258" s="33"/>
      <c r="E258" s="33"/>
      <c r="F258" s="33"/>
      <c r="G258" s="49" t="s">
        <v>474</v>
      </c>
      <c r="H258" s="37" t="s">
        <v>68</v>
      </c>
      <c r="I258" s="36">
        <v>0</v>
      </c>
      <c r="J258" s="37"/>
      <c r="K258" s="37"/>
      <c r="L258" s="37"/>
      <c r="M258" s="60" t="s">
        <v>467</v>
      </c>
      <c r="N258" s="54" t="s">
        <v>41</v>
      </c>
      <c r="O258" s="48">
        <v>145</v>
      </c>
      <c r="P258" s="37">
        <f t="shared" si="54"/>
        <v>0</v>
      </c>
      <c r="Q258" s="41"/>
      <c r="R258" s="42">
        <f t="shared" si="69"/>
        <v>0</v>
      </c>
      <c r="S258" s="42">
        <f t="shared" si="68"/>
        <v>0</v>
      </c>
      <c r="T258" s="43">
        <f t="shared" si="70"/>
        <v>0</v>
      </c>
      <c r="U258" s="43">
        <f t="shared" si="70"/>
        <v>0</v>
      </c>
      <c r="V258" s="44">
        <f t="shared" si="67"/>
        <v>0</v>
      </c>
      <c r="W258" s="36">
        <f t="shared" si="55"/>
        <v>0</v>
      </c>
      <c r="X258" s="36"/>
      <c r="Y258" s="36"/>
      <c r="Z258" s="36">
        <f t="shared" si="56"/>
        <v>0</v>
      </c>
      <c r="AA258" s="36">
        <f t="shared" si="57"/>
        <v>0</v>
      </c>
      <c r="AB258" s="36"/>
      <c r="AC258" s="36"/>
      <c r="AD258" s="36">
        <f t="shared" si="58"/>
        <v>0</v>
      </c>
      <c r="AE258" s="36">
        <f t="shared" si="59"/>
        <v>0</v>
      </c>
      <c r="AF258" s="36"/>
      <c r="AG258" s="36"/>
      <c r="AH258" s="36">
        <f t="shared" si="60"/>
        <v>0</v>
      </c>
      <c r="AI258" s="36">
        <f t="shared" si="61"/>
        <v>0</v>
      </c>
      <c r="AJ258" s="36"/>
      <c r="AK258" s="36"/>
      <c r="AL258" s="36">
        <f t="shared" si="62"/>
        <v>0</v>
      </c>
      <c r="AM258" s="36">
        <f t="shared" si="63"/>
        <v>0</v>
      </c>
      <c r="AN258" s="36"/>
      <c r="AO258" s="36"/>
      <c r="AP258" s="36">
        <f t="shared" si="64"/>
        <v>0</v>
      </c>
      <c r="AQ258" s="36">
        <f t="shared" si="65"/>
        <v>0</v>
      </c>
    </row>
    <row r="259" spans="1:43" x14ac:dyDescent="0.55000000000000004">
      <c r="A259" s="30" t="e">
        <f t="shared" si="66"/>
        <v>#REF!</v>
      </c>
      <c r="B259" s="31">
        <v>44896</v>
      </c>
      <c r="C259" s="45"/>
      <c r="D259" s="33"/>
      <c r="E259" s="33"/>
      <c r="F259" s="33"/>
      <c r="G259" s="51" t="s">
        <v>475</v>
      </c>
      <c r="H259" s="37" t="s">
        <v>68</v>
      </c>
      <c r="I259" s="36">
        <v>2</v>
      </c>
      <c r="J259" s="37"/>
      <c r="K259" s="37"/>
      <c r="L259" s="37"/>
      <c r="M259" s="60" t="s">
        <v>467</v>
      </c>
      <c r="N259" s="54" t="s">
        <v>41</v>
      </c>
      <c r="O259" s="48">
        <v>145</v>
      </c>
      <c r="P259" s="37">
        <f t="shared" si="54"/>
        <v>290</v>
      </c>
      <c r="Q259" s="41"/>
      <c r="R259" s="42">
        <f t="shared" si="69"/>
        <v>0</v>
      </c>
      <c r="S259" s="42">
        <f t="shared" si="68"/>
        <v>0</v>
      </c>
      <c r="T259" s="43">
        <f t="shared" si="70"/>
        <v>0</v>
      </c>
      <c r="U259" s="43">
        <f t="shared" si="70"/>
        <v>0</v>
      </c>
      <c r="V259" s="44">
        <f t="shared" si="67"/>
        <v>2</v>
      </c>
      <c r="W259" s="36">
        <f t="shared" si="55"/>
        <v>290</v>
      </c>
      <c r="X259" s="36"/>
      <c r="Y259" s="36"/>
      <c r="Z259" s="36">
        <f t="shared" si="56"/>
        <v>0</v>
      </c>
      <c r="AA259" s="36">
        <f t="shared" si="57"/>
        <v>0</v>
      </c>
      <c r="AB259" s="36"/>
      <c r="AC259" s="36"/>
      <c r="AD259" s="36">
        <f t="shared" si="58"/>
        <v>0</v>
      </c>
      <c r="AE259" s="36">
        <f t="shared" si="59"/>
        <v>0</v>
      </c>
      <c r="AF259" s="36"/>
      <c r="AG259" s="36"/>
      <c r="AH259" s="36">
        <f t="shared" si="60"/>
        <v>0</v>
      </c>
      <c r="AI259" s="36">
        <f t="shared" si="61"/>
        <v>0</v>
      </c>
      <c r="AJ259" s="36"/>
      <c r="AK259" s="36"/>
      <c r="AL259" s="36">
        <f t="shared" si="62"/>
        <v>0</v>
      </c>
      <c r="AM259" s="36">
        <f t="shared" si="63"/>
        <v>0</v>
      </c>
      <c r="AN259" s="36"/>
      <c r="AO259" s="36"/>
      <c r="AP259" s="36">
        <f t="shared" si="64"/>
        <v>0</v>
      </c>
      <c r="AQ259" s="36">
        <f t="shared" si="65"/>
        <v>0</v>
      </c>
    </row>
    <row r="260" spans="1:43" x14ac:dyDescent="0.55000000000000004">
      <c r="A260" s="30" t="e">
        <f t="shared" si="66"/>
        <v>#REF!</v>
      </c>
      <c r="B260" s="31">
        <v>44896</v>
      </c>
      <c r="C260" s="45"/>
      <c r="D260" s="33"/>
      <c r="E260" s="33"/>
      <c r="F260" s="33"/>
      <c r="G260" s="51" t="s">
        <v>476</v>
      </c>
      <c r="H260" s="37" t="s">
        <v>68</v>
      </c>
      <c r="I260" s="36">
        <v>2</v>
      </c>
      <c r="J260" s="37"/>
      <c r="K260" s="37"/>
      <c r="L260" s="37"/>
      <c r="M260" s="60" t="s">
        <v>467</v>
      </c>
      <c r="N260" s="54" t="s">
        <v>41</v>
      </c>
      <c r="O260" s="48">
        <v>150</v>
      </c>
      <c r="P260" s="37">
        <f t="shared" ref="P260:P323" si="71">O260*I260</f>
        <v>300</v>
      </c>
      <c r="Q260" s="41"/>
      <c r="R260" s="42">
        <f t="shared" si="69"/>
        <v>0</v>
      </c>
      <c r="S260" s="42">
        <f t="shared" si="68"/>
        <v>0</v>
      </c>
      <c r="T260" s="43">
        <f t="shared" si="70"/>
        <v>0</v>
      </c>
      <c r="U260" s="43">
        <f t="shared" si="70"/>
        <v>0</v>
      </c>
      <c r="V260" s="44">
        <f t="shared" si="67"/>
        <v>2</v>
      </c>
      <c r="W260" s="36">
        <f t="shared" ref="W260:W323" si="72">V260*O260</f>
        <v>300</v>
      </c>
      <c r="X260" s="36"/>
      <c r="Y260" s="36"/>
      <c r="Z260" s="36">
        <f t="shared" ref="Z260:Z323" si="73">X260*O260</f>
        <v>0</v>
      </c>
      <c r="AA260" s="36">
        <f t="shared" ref="AA260:AA323" si="74">Y260*O260</f>
        <v>0</v>
      </c>
      <c r="AB260" s="36"/>
      <c r="AC260" s="36"/>
      <c r="AD260" s="36">
        <f t="shared" ref="AD260:AD323" si="75">AB260*O260</f>
        <v>0</v>
      </c>
      <c r="AE260" s="36">
        <f t="shared" ref="AE260:AE323" si="76">AC260*O260</f>
        <v>0</v>
      </c>
      <c r="AF260" s="36"/>
      <c r="AG260" s="36"/>
      <c r="AH260" s="36">
        <f t="shared" ref="AH260:AH323" si="77">AF260*O260</f>
        <v>0</v>
      </c>
      <c r="AI260" s="36">
        <f t="shared" ref="AI260:AI323" si="78">AG260*O260</f>
        <v>0</v>
      </c>
      <c r="AJ260" s="36"/>
      <c r="AK260" s="36"/>
      <c r="AL260" s="36">
        <f t="shared" ref="AL260:AL323" si="79">AJ260*O260</f>
        <v>0</v>
      </c>
      <c r="AM260" s="36">
        <f t="shared" ref="AM260:AM323" si="80">AK260*O260</f>
        <v>0</v>
      </c>
      <c r="AN260" s="36"/>
      <c r="AO260" s="36"/>
      <c r="AP260" s="36">
        <f t="shared" ref="AP260:AP323" si="81">AN260*O260</f>
        <v>0</v>
      </c>
      <c r="AQ260" s="36">
        <f t="shared" ref="AQ260:AQ323" si="82">AO260*O260</f>
        <v>0</v>
      </c>
    </row>
    <row r="261" spans="1:43" x14ac:dyDescent="0.55000000000000004">
      <c r="A261" s="30" t="e">
        <f t="shared" si="66"/>
        <v>#REF!</v>
      </c>
      <c r="B261" s="31">
        <v>44896</v>
      </c>
      <c r="C261" s="45"/>
      <c r="D261" s="33"/>
      <c r="E261" s="33"/>
      <c r="F261" s="33"/>
      <c r="G261" s="51" t="s">
        <v>477</v>
      </c>
      <c r="H261" s="37" t="s">
        <v>68</v>
      </c>
      <c r="I261" s="36">
        <v>1</v>
      </c>
      <c r="J261" s="37"/>
      <c r="K261" s="37"/>
      <c r="L261" s="37"/>
      <c r="M261" s="60" t="s">
        <v>467</v>
      </c>
      <c r="N261" s="54"/>
      <c r="O261" s="48">
        <v>290</v>
      </c>
      <c r="P261" s="37">
        <f t="shared" si="71"/>
        <v>290</v>
      </c>
      <c r="Q261" s="41"/>
      <c r="R261" s="42">
        <f t="shared" si="69"/>
        <v>0</v>
      </c>
      <c r="S261" s="42">
        <f t="shared" si="68"/>
        <v>0</v>
      </c>
      <c r="T261" s="43">
        <f t="shared" si="70"/>
        <v>0</v>
      </c>
      <c r="U261" s="43">
        <f t="shared" si="70"/>
        <v>0</v>
      </c>
      <c r="V261" s="44">
        <f t="shared" si="67"/>
        <v>1</v>
      </c>
      <c r="W261" s="36">
        <f t="shared" si="72"/>
        <v>290</v>
      </c>
      <c r="X261" s="36"/>
      <c r="Y261" s="36"/>
      <c r="Z261" s="36">
        <f t="shared" si="73"/>
        <v>0</v>
      </c>
      <c r="AA261" s="36">
        <f t="shared" si="74"/>
        <v>0</v>
      </c>
      <c r="AB261" s="36"/>
      <c r="AC261" s="36"/>
      <c r="AD261" s="36">
        <f t="shared" si="75"/>
        <v>0</v>
      </c>
      <c r="AE261" s="36">
        <f t="shared" si="76"/>
        <v>0</v>
      </c>
      <c r="AF261" s="36"/>
      <c r="AG261" s="36"/>
      <c r="AH261" s="36">
        <f t="shared" si="77"/>
        <v>0</v>
      </c>
      <c r="AI261" s="36">
        <f t="shared" si="78"/>
        <v>0</v>
      </c>
      <c r="AJ261" s="36"/>
      <c r="AK261" s="36"/>
      <c r="AL261" s="36">
        <f t="shared" si="79"/>
        <v>0</v>
      </c>
      <c r="AM261" s="36">
        <f t="shared" si="80"/>
        <v>0</v>
      </c>
      <c r="AN261" s="36"/>
      <c r="AO261" s="36"/>
      <c r="AP261" s="36">
        <f t="shared" si="81"/>
        <v>0</v>
      </c>
      <c r="AQ261" s="36">
        <f t="shared" si="82"/>
        <v>0</v>
      </c>
    </row>
    <row r="262" spans="1:43" x14ac:dyDescent="0.55000000000000004">
      <c r="A262" s="30" t="e">
        <f t="shared" ref="A262:A325" si="83">+A261+1</f>
        <v>#REF!</v>
      </c>
      <c r="B262" s="31">
        <v>44896</v>
      </c>
      <c r="C262" s="45"/>
      <c r="D262" s="33"/>
      <c r="E262" s="33"/>
      <c r="F262" s="33"/>
      <c r="G262" s="51" t="s">
        <v>478</v>
      </c>
      <c r="H262" s="37" t="s">
        <v>68</v>
      </c>
      <c r="I262" s="36">
        <v>1</v>
      </c>
      <c r="J262" s="37"/>
      <c r="K262" s="37"/>
      <c r="L262" s="37"/>
      <c r="M262" s="60" t="s">
        <v>467</v>
      </c>
      <c r="N262" s="54"/>
      <c r="O262" s="48">
        <v>285</v>
      </c>
      <c r="P262" s="37">
        <f t="shared" si="71"/>
        <v>285</v>
      </c>
      <c r="Q262" s="41"/>
      <c r="R262" s="42">
        <f t="shared" si="69"/>
        <v>0</v>
      </c>
      <c r="S262" s="42">
        <f t="shared" si="68"/>
        <v>0</v>
      </c>
      <c r="T262" s="43">
        <f t="shared" si="70"/>
        <v>0</v>
      </c>
      <c r="U262" s="43">
        <f t="shared" si="70"/>
        <v>0</v>
      </c>
      <c r="V262" s="44">
        <f t="shared" ref="V262:V325" si="84">I262+T262-U262</f>
        <v>1</v>
      </c>
      <c r="W262" s="36">
        <f t="shared" si="72"/>
        <v>285</v>
      </c>
      <c r="X262" s="36"/>
      <c r="Y262" s="36"/>
      <c r="Z262" s="36">
        <f t="shared" si="73"/>
        <v>0</v>
      </c>
      <c r="AA262" s="36">
        <f t="shared" si="74"/>
        <v>0</v>
      </c>
      <c r="AB262" s="36"/>
      <c r="AC262" s="36"/>
      <c r="AD262" s="36">
        <f t="shared" si="75"/>
        <v>0</v>
      </c>
      <c r="AE262" s="36">
        <f t="shared" si="76"/>
        <v>0</v>
      </c>
      <c r="AF262" s="36"/>
      <c r="AG262" s="36"/>
      <c r="AH262" s="36">
        <f t="shared" si="77"/>
        <v>0</v>
      </c>
      <c r="AI262" s="36">
        <f t="shared" si="78"/>
        <v>0</v>
      </c>
      <c r="AJ262" s="36"/>
      <c r="AK262" s="36"/>
      <c r="AL262" s="36">
        <f t="shared" si="79"/>
        <v>0</v>
      </c>
      <c r="AM262" s="36">
        <f t="shared" si="80"/>
        <v>0</v>
      </c>
      <c r="AN262" s="36"/>
      <c r="AO262" s="36"/>
      <c r="AP262" s="36">
        <f t="shared" si="81"/>
        <v>0</v>
      </c>
      <c r="AQ262" s="36">
        <f t="shared" si="82"/>
        <v>0</v>
      </c>
    </row>
    <row r="263" spans="1:43" x14ac:dyDescent="0.55000000000000004">
      <c r="A263" s="30" t="e">
        <f t="shared" si="83"/>
        <v>#REF!</v>
      </c>
      <c r="B263" s="31">
        <v>45748</v>
      </c>
      <c r="C263" s="45"/>
      <c r="D263" s="33">
        <v>2</v>
      </c>
      <c r="E263" s="33"/>
      <c r="F263" s="33"/>
      <c r="G263" s="51" t="s">
        <v>479</v>
      </c>
      <c r="H263" s="37" t="s">
        <v>480</v>
      </c>
      <c r="I263" s="36">
        <v>2</v>
      </c>
      <c r="J263" s="37"/>
      <c r="K263" s="37"/>
      <c r="L263" s="37"/>
      <c r="M263" s="60" t="s">
        <v>51</v>
      </c>
      <c r="N263" s="54"/>
      <c r="O263" s="40">
        <v>374.29</v>
      </c>
      <c r="P263" s="37">
        <f t="shared" si="71"/>
        <v>748.58</v>
      </c>
      <c r="Q263" s="41"/>
      <c r="R263" s="42">
        <f t="shared" si="69"/>
        <v>0</v>
      </c>
      <c r="S263" s="42">
        <f t="shared" si="68"/>
        <v>0</v>
      </c>
      <c r="T263" s="43">
        <f t="shared" si="70"/>
        <v>0</v>
      </c>
      <c r="U263" s="43">
        <f t="shared" si="70"/>
        <v>0</v>
      </c>
      <c r="V263" s="44">
        <f t="shared" si="84"/>
        <v>2</v>
      </c>
      <c r="W263" s="36">
        <f t="shared" si="72"/>
        <v>748.58</v>
      </c>
      <c r="X263" s="36"/>
      <c r="Y263" s="36"/>
      <c r="Z263" s="36">
        <f t="shared" si="73"/>
        <v>0</v>
      </c>
      <c r="AA263" s="36">
        <f t="shared" si="74"/>
        <v>0</v>
      </c>
      <c r="AB263" s="36"/>
      <c r="AC263" s="36"/>
      <c r="AD263" s="36">
        <f>AB263*O263</f>
        <v>0</v>
      </c>
      <c r="AE263" s="36">
        <f>AC263*O263</f>
        <v>0</v>
      </c>
      <c r="AF263" s="36"/>
      <c r="AG263" s="36"/>
      <c r="AH263" s="36">
        <f t="shared" si="77"/>
        <v>0</v>
      </c>
      <c r="AI263" s="36">
        <f t="shared" si="78"/>
        <v>0</v>
      </c>
      <c r="AJ263" s="36"/>
      <c r="AK263" s="36"/>
      <c r="AL263" s="36">
        <f t="shared" si="79"/>
        <v>0</v>
      </c>
      <c r="AM263" s="36">
        <f t="shared" si="80"/>
        <v>0</v>
      </c>
      <c r="AN263" s="36"/>
      <c r="AO263" s="36"/>
      <c r="AP263" s="36">
        <f t="shared" si="81"/>
        <v>0</v>
      </c>
      <c r="AQ263" s="36">
        <f t="shared" si="82"/>
        <v>0</v>
      </c>
    </row>
    <row r="264" spans="1:43" x14ac:dyDescent="0.55000000000000004">
      <c r="A264" s="30" t="e">
        <f t="shared" si="83"/>
        <v>#REF!</v>
      </c>
      <c r="B264" s="31">
        <v>45413</v>
      </c>
      <c r="C264" s="45"/>
      <c r="D264" s="33">
        <v>15</v>
      </c>
      <c r="E264" s="33"/>
      <c r="F264" s="33"/>
      <c r="G264" s="49" t="s">
        <v>481</v>
      </c>
      <c r="H264" s="37" t="s">
        <v>482</v>
      </c>
      <c r="I264" s="36">
        <v>0</v>
      </c>
      <c r="J264" s="37"/>
      <c r="K264" s="37"/>
      <c r="L264" s="37"/>
      <c r="M264" s="60" t="s">
        <v>102</v>
      </c>
      <c r="N264" s="54" t="s">
        <v>49</v>
      </c>
      <c r="O264" s="40">
        <v>0.23</v>
      </c>
      <c r="P264" s="37">
        <f t="shared" si="71"/>
        <v>0</v>
      </c>
      <c r="Q264" s="41"/>
      <c r="R264" s="42">
        <f t="shared" si="69"/>
        <v>0</v>
      </c>
      <c r="S264" s="42">
        <f t="shared" si="68"/>
        <v>0</v>
      </c>
      <c r="T264" s="43">
        <f t="shared" si="70"/>
        <v>0</v>
      </c>
      <c r="U264" s="43">
        <f t="shared" si="70"/>
        <v>0</v>
      </c>
      <c r="V264" s="44">
        <f t="shared" si="84"/>
        <v>0</v>
      </c>
      <c r="W264" s="36">
        <f t="shared" si="72"/>
        <v>0</v>
      </c>
      <c r="X264" s="36"/>
      <c r="Y264" s="36"/>
      <c r="Z264" s="36">
        <f t="shared" si="73"/>
        <v>0</v>
      </c>
      <c r="AA264" s="36">
        <f t="shared" si="74"/>
        <v>0</v>
      </c>
      <c r="AB264" s="36"/>
      <c r="AC264" s="36"/>
      <c r="AD264" s="36">
        <f t="shared" si="75"/>
        <v>0</v>
      </c>
      <c r="AE264" s="36">
        <f t="shared" si="76"/>
        <v>0</v>
      </c>
      <c r="AF264" s="36"/>
      <c r="AG264" s="36"/>
      <c r="AH264" s="36">
        <f t="shared" si="77"/>
        <v>0</v>
      </c>
      <c r="AI264" s="36">
        <f t="shared" si="78"/>
        <v>0</v>
      </c>
      <c r="AJ264" s="36"/>
      <c r="AK264" s="36"/>
      <c r="AL264" s="36">
        <f t="shared" si="79"/>
        <v>0</v>
      </c>
      <c r="AM264" s="36">
        <f t="shared" si="80"/>
        <v>0</v>
      </c>
      <c r="AN264" s="36"/>
      <c r="AO264" s="36"/>
      <c r="AP264" s="36">
        <f t="shared" si="81"/>
        <v>0</v>
      </c>
      <c r="AQ264" s="36">
        <f t="shared" si="82"/>
        <v>0</v>
      </c>
    </row>
    <row r="265" spans="1:43" x14ac:dyDescent="0.55000000000000004">
      <c r="A265" s="30" t="e">
        <f t="shared" si="83"/>
        <v>#REF!</v>
      </c>
      <c r="B265" s="31">
        <v>45748</v>
      </c>
      <c r="C265" s="45"/>
      <c r="D265" s="33">
        <v>1</v>
      </c>
      <c r="E265" s="33"/>
      <c r="F265" s="33"/>
      <c r="G265" s="49" t="s">
        <v>483</v>
      </c>
      <c r="H265" s="37" t="s">
        <v>34</v>
      </c>
      <c r="I265" s="36">
        <v>0</v>
      </c>
      <c r="J265" s="37"/>
      <c r="K265" s="37"/>
      <c r="L265" s="37"/>
      <c r="M265" s="60" t="s">
        <v>102</v>
      </c>
      <c r="N265" s="54" t="s">
        <v>49</v>
      </c>
      <c r="O265" s="40">
        <v>69.52</v>
      </c>
      <c r="P265" s="37">
        <f t="shared" si="71"/>
        <v>0</v>
      </c>
      <c r="Q265" s="41"/>
      <c r="R265" s="42">
        <f t="shared" si="69"/>
        <v>0</v>
      </c>
      <c r="S265" s="42">
        <f t="shared" si="68"/>
        <v>0</v>
      </c>
      <c r="T265" s="43">
        <f t="shared" si="70"/>
        <v>0</v>
      </c>
      <c r="U265" s="43">
        <f t="shared" si="70"/>
        <v>0</v>
      </c>
      <c r="V265" s="44">
        <f t="shared" si="84"/>
        <v>0</v>
      </c>
      <c r="W265" s="36">
        <f t="shared" si="72"/>
        <v>0</v>
      </c>
      <c r="X265" s="36"/>
      <c r="Y265" s="36"/>
      <c r="Z265" s="36">
        <f t="shared" si="73"/>
        <v>0</v>
      </c>
      <c r="AA265" s="36">
        <f t="shared" si="74"/>
        <v>0</v>
      </c>
      <c r="AB265" s="36"/>
      <c r="AC265" s="36"/>
      <c r="AD265" s="36">
        <f t="shared" si="75"/>
        <v>0</v>
      </c>
      <c r="AE265" s="36">
        <f t="shared" si="76"/>
        <v>0</v>
      </c>
      <c r="AF265" s="36"/>
      <c r="AG265" s="36"/>
      <c r="AH265" s="36">
        <f t="shared" si="77"/>
        <v>0</v>
      </c>
      <c r="AI265" s="36">
        <f t="shared" si="78"/>
        <v>0</v>
      </c>
      <c r="AJ265" s="36"/>
      <c r="AK265" s="36"/>
      <c r="AL265" s="36">
        <f t="shared" si="79"/>
        <v>0</v>
      </c>
      <c r="AM265" s="36">
        <f t="shared" si="80"/>
        <v>0</v>
      </c>
      <c r="AN265" s="36"/>
      <c r="AO265" s="36"/>
      <c r="AP265" s="36">
        <f t="shared" si="81"/>
        <v>0</v>
      </c>
      <c r="AQ265" s="36">
        <f t="shared" si="82"/>
        <v>0</v>
      </c>
    </row>
    <row r="266" spans="1:43" x14ac:dyDescent="0.55000000000000004">
      <c r="A266" s="30" t="e">
        <f t="shared" si="83"/>
        <v>#REF!</v>
      </c>
      <c r="B266" s="31">
        <v>45658</v>
      </c>
      <c r="C266" s="45"/>
      <c r="D266" s="33">
        <v>1</v>
      </c>
      <c r="E266" s="33"/>
      <c r="F266" s="33"/>
      <c r="G266" s="49" t="s">
        <v>484</v>
      </c>
      <c r="H266" s="37" t="s">
        <v>485</v>
      </c>
      <c r="I266" s="36">
        <v>0</v>
      </c>
      <c r="J266" s="37"/>
      <c r="K266" s="37"/>
      <c r="L266" s="37"/>
      <c r="M266" s="60" t="s">
        <v>102</v>
      </c>
      <c r="N266" s="54" t="s">
        <v>49</v>
      </c>
      <c r="O266" s="40">
        <v>7.65</v>
      </c>
      <c r="P266" s="37">
        <f t="shared" si="71"/>
        <v>0</v>
      </c>
      <c r="Q266" s="41"/>
      <c r="R266" s="42">
        <f t="shared" si="69"/>
        <v>0</v>
      </c>
      <c r="S266" s="42">
        <f t="shared" si="68"/>
        <v>0</v>
      </c>
      <c r="T266" s="43">
        <f t="shared" si="70"/>
        <v>0</v>
      </c>
      <c r="U266" s="43">
        <f t="shared" si="70"/>
        <v>0</v>
      </c>
      <c r="V266" s="44">
        <f t="shared" si="84"/>
        <v>0</v>
      </c>
      <c r="W266" s="36">
        <f t="shared" si="72"/>
        <v>0</v>
      </c>
      <c r="X266" s="36"/>
      <c r="Y266" s="36"/>
      <c r="Z266" s="36">
        <f t="shared" si="73"/>
        <v>0</v>
      </c>
      <c r="AA266" s="36">
        <f t="shared" si="74"/>
        <v>0</v>
      </c>
      <c r="AB266" s="36"/>
      <c r="AC266" s="36"/>
      <c r="AD266" s="36">
        <f t="shared" si="75"/>
        <v>0</v>
      </c>
      <c r="AE266" s="36">
        <f t="shared" si="76"/>
        <v>0</v>
      </c>
      <c r="AF266" s="36"/>
      <c r="AG266" s="36"/>
      <c r="AH266" s="36">
        <f t="shared" si="77"/>
        <v>0</v>
      </c>
      <c r="AI266" s="36">
        <f t="shared" si="78"/>
        <v>0</v>
      </c>
      <c r="AJ266" s="36"/>
      <c r="AK266" s="36"/>
      <c r="AL266" s="36">
        <f t="shared" si="79"/>
        <v>0</v>
      </c>
      <c r="AM266" s="36">
        <f t="shared" si="80"/>
        <v>0</v>
      </c>
      <c r="AN266" s="36"/>
      <c r="AO266" s="36"/>
      <c r="AP266" s="36">
        <f t="shared" si="81"/>
        <v>0</v>
      </c>
      <c r="AQ266" s="36">
        <f t="shared" si="82"/>
        <v>0</v>
      </c>
    </row>
    <row r="267" spans="1:43" x14ac:dyDescent="0.55000000000000004">
      <c r="A267" s="30" t="e">
        <f t="shared" si="83"/>
        <v>#REF!</v>
      </c>
      <c r="B267" s="31">
        <v>45748</v>
      </c>
      <c r="C267" s="45"/>
      <c r="D267" s="33">
        <v>1</v>
      </c>
      <c r="E267" s="33"/>
      <c r="F267" s="33"/>
      <c r="G267" s="49" t="s">
        <v>486</v>
      </c>
      <c r="H267" s="37" t="s">
        <v>487</v>
      </c>
      <c r="I267" s="36">
        <v>0</v>
      </c>
      <c r="J267" s="37"/>
      <c r="K267" s="37"/>
      <c r="L267" s="37"/>
      <c r="M267" s="60" t="s">
        <v>102</v>
      </c>
      <c r="N267" s="54" t="s">
        <v>49</v>
      </c>
      <c r="O267" s="40">
        <v>13.08</v>
      </c>
      <c r="P267" s="37">
        <f t="shared" si="71"/>
        <v>0</v>
      </c>
      <c r="Q267" s="41" t="s">
        <v>37</v>
      </c>
      <c r="R267" s="42">
        <f t="shared" si="69"/>
        <v>0</v>
      </c>
      <c r="S267" s="42">
        <f t="shared" si="68"/>
        <v>0</v>
      </c>
      <c r="T267" s="43">
        <f t="shared" si="70"/>
        <v>0</v>
      </c>
      <c r="U267" s="43">
        <f t="shared" si="70"/>
        <v>0</v>
      </c>
      <c r="V267" s="44">
        <f t="shared" si="84"/>
        <v>0</v>
      </c>
      <c r="W267" s="36">
        <f t="shared" si="72"/>
        <v>0</v>
      </c>
      <c r="X267" s="36"/>
      <c r="Y267" s="36"/>
      <c r="Z267" s="36">
        <f t="shared" si="73"/>
        <v>0</v>
      </c>
      <c r="AA267" s="36">
        <f t="shared" si="74"/>
        <v>0</v>
      </c>
      <c r="AB267" s="36"/>
      <c r="AC267" s="36"/>
      <c r="AD267" s="36">
        <f t="shared" si="75"/>
        <v>0</v>
      </c>
      <c r="AE267" s="36">
        <f t="shared" si="76"/>
        <v>0</v>
      </c>
      <c r="AF267" s="36"/>
      <c r="AG267" s="36"/>
      <c r="AH267" s="36">
        <f t="shared" si="77"/>
        <v>0</v>
      </c>
      <c r="AI267" s="36">
        <f t="shared" si="78"/>
        <v>0</v>
      </c>
      <c r="AJ267" s="36"/>
      <c r="AK267" s="36"/>
      <c r="AL267" s="36">
        <f t="shared" si="79"/>
        <v>0</v>
      </c>
      <c r="AM267" s="36">
        <f t="shared" si="80"/>
        <v>0</v>
      </c>
      <c r="AN267" s="36"/>
      <c r="AO267" s="36"/>
      <c r="AP267" s="36">
        <f t="shared" si="81"/>
        <v>0</v>
      </c>
      <c r="AQ267" s="36">
        <f t="shared" si="82"/>
        <v>0</v>
      </c>
    </row>
    <row r="268" spans="1:43" x14ac:dyDescent="0.55000000000000004">
      <c r="A268" s="30" t="e">
        <f t="shared" si="83"/>
        <v>#REF!</v>
      </c>
      <c r="B268" s="31">
        <v>45748</v>
      </c>
      <c r="C268" s="45"/>
      <c r="D268" s="33">
        <v>1</v>
      </c>
      <c r="E268" s="33"/>
      <c r="F268" s="33"/>
      <c r="G268" s="51" t="s">
        <v>488</v>
      </c>
      <c r="H268" s="37" t="s">
        <v>489</v>
      </c>
      <c r="I268" s="36">
        <v>1</v>
      </c>
      <c r="J268" s="37"/>
      <c r="K268" s="37"/>
      <c r="L268" s="37"/>
      <c r="M268" s="60" t="s">
        <v>102</v>
      </c>
      <c r="N268" s="54" t="s">
        <v>49</v>
      </c>
      <c r="O268" s="40">
        <v>0.41</v>
      </c>
      <c r="P268" s="37">
        <f t="shared" si="71"/>
        <v>0.41</v>
      </c>
      <c r="Q268" s="41"/>
      <c r="R268" s="42">
        <f t="shared" si="69"/>
        <v>0</v>
      </c>
      <c r="S268" s="42">
        <f t="shared" si="68"/>
        <v>0</v>
      </c>
      <c r="T268" s="43">
        <f t="shared" si="70"/>
        <v>0</v>
      </c>
      <c r="U268" s="43">
        <f t="shared" si="70"/>
        <v>0</v>
      </c>
      <c r="V268" s="44">
        <f t="shared" si="84"/>
        <v>1</v>
      </c>
      <c r="W268" s="36">
        <f t="shared" si="72"/>
        <v>0.41</v>
      </c>
      <c r="X268" s="36"/>
      <c r="Y268" s="36"/>
      <c r="Z268" s="36">
        <f t="shared" si="73"/>
        <v>0</v>
      </c>
      <c r="AA268" s="36">
        <f t="shared" si="74"/>
        <v>0</v>
      </c>
      <c r="AB268" s="36"/>
      <c r="AC268" s="36"/>
      <c r="AD268" s="36">
        <f>AB268*O268</f>
        <v>0</v>
      </c>
      <c r="AE268" s="36">
        <f>AC268*O268</f>
        <v>0</v>
      </c>
      <c r="AF268" s="36"/>
      <c r="AG268" s="36"/>
      <c r="AH268" s="36">
        <f t="shared" si="77"/>
        <v>0</v>
      </c>
      <c r="AI268" s="36">
        <f t="shared" si="78"/>
        <v>0</v>
      </c>
      <c r="AJ268" s="36"/>
      <c r="AK268" s="36"/>
      <c r="AL268" s="36">
        <f t="shared" si="79"/>
        <v>0</v>
      </c>
      <c r="AM268" s="36">
        <f t="shared" si="80"/>
        <v>0</v>
      </c>
      <c r="AN268" s="36"/>
      <c r="AO268" s="36"/>
      <c r="AP268" s="36">
        <f t="shared" si="81"/>
        <v>0</v>
      </c>
      <c r="AQ268" s="36">
        <f t="shared" si="82"/>
        <v>0</v>
      </c>
    </row>
    <row r="269" spans="1:43" x14ac:dyDescent="0.55000000000000004">
      <c r="A269" s="30" t="e">
        <f t="shared" si="83"/>
        <v>#REF!</v>
      </c>
      <c r="B269" s="31">
        <v>45261</v>
      </c>
      <c r="C269" s="45"/>
      <c r="D269" s="33">
        <v>1</v>
      </c>
      <c r="E269" s="33"/>
      <c r="F269" s="33"/>
      <c r="G269" s="49" t="s">
        <v>490</v>
      </c>
      <c r="H269" s="37" t="s">
        <v>491</v>
      </c>
      <c r="I269" s="36">
        <v>0</v>
      </c>
      <c r="J269" s="37"/>
      <c r="K269" s="37"/>
      <c r="L269" s="37"/>
      <c r="M269" s="60" t="s">
        <v>102</v>
      </c>
      <c r="N269" s="54" t="s">
        <v>49</v>
      </c>
      <c r="O269" s="40">
        <v>68.319999999999993</v>
      </c>
      <c r="P269" s="37">
        <f t="shared" si="71"/>
        <v>0</v>
      </c>
      <c r="Q269" s="41"/>
      <c r="R269" s="42">
        <f t="shared" si="69"/>
        <v>0</v>
      </c>
      <c r="S269" s="42">
        <f t="shared" si="68"/>
        <v>0</v>
      </c>
      <c r="T269" s="43">
        <f t="shared" si="70"/>
        <v>0</v>
      </c>
      <c r="U269" s="43">
        <f t="shared" si="70"/>
        <v>0</v>
      </c>
      <c r="V269" s="44">
        <f t="shared" si="84"/>
        <v>0</v>
      </c>
      <c r="W269" s="36">
        <f t="shared" si="72"/>
        <v>0</v>
      </c>
      <c r="X269" s="36"/>
      <c r="Y269" s="36"/>
      <c r="Z269" s="36">
        <f t="shared" si="73"/>
        <v>0</v>
      </c>
      <c r="AA269" s="36">
        <f t="shared" si="74"/>
        <v>0</v>
      </c>
      <c r="AB269" s="36"/>
      <c r="AC269" s="36"/>
      <c r="AD269" s="36">
        <f t="shared" si="75"/>
        <v>0</v>
      </c>
      <c r="AE269" s="36">
        <f t="shared" si="76"/>
        <v>0</v>
      </c>
      <c r="AF269" s="36"/>
      <c r="AG269" s="36"/>
      <c r="AH269" s="36">
        <f t="shared" si="77"/>
        <v>0</v>
      </c>
      <c r="AI269" s="36">
        <f t="shared" si="78"/>
        <v>0</v>
      </c>
      <c r="AJ269" s="36"/>
      <c r="AK269" s="36"/>
      <c r="AL269" s="36">
        <f t="shared" si="79"/>
        <v>0</v>
      </c>
      <c r="AM269" s="36">
        <f t="shared" si="80"/>
        <v>0</v>
      </c>
      <c r="AN269" s="36"/>
      <c r="AO269" s="36"/>
      <c r="AP269" s="36">
        <f t="shared" si="81"/>
        <v>0</v>
      </c>
      <c r="AQ269" s="36">
        <f t="shared" si="82"/>
        <v>0</v>
      </c>
    </row>
    <row r="270" spans="1:43" x14ac:dyDescent="0.55000000000000004">
      <c r="A270" s="30" t="e">
        <f t="shared" si="83"/>
        <v>#REF!</v>
      </c>
      <c r="B270" s="31">
        <v>45778</v>
      </c>
      <c r="C270" s="45"/>
      <c r="D270" s="33">
        <v>1</v>
      </c>
      <c r="E270" s="33"/>
      <c r="F270" s="33"/>
      <c r="G270" s="49" t="s">
        <v>492</v>
      </c>
      <c r="H270" s="37" t="s">
        <v>50</v>
      </c>
      <c r="I270" s="36">
        <v>0</v>
      </c>
      <c r="J270" s="37"/>
      <c r="K270" s="37"/>
      <c r="L270" s="37"/>
      <c r="M270" s="60" t="s">
        <v>51</v>
      </c>
      <c r="N270" s="54"/>
      <c r="O270" s="40">
        <v>32.22</v>
      </c>
      <c r="P270" s="37">
        <f t="shared" si="71"/>
        <v>0</v>
      </c>
      <c r="Q270" s="41"/>
      <c r="R270" s="42">
        <f t="shared" si="69"/>
        <v>0</v>
      </c>
      <c r="S270" s="42">
        <f t="shared" si="68"/>
        <v>0</v>
      </c>
      <c r="T270" s="43">
        <f t="shared" si="70"/>
        <v>0</v>
      </c>
      <c r="U270" s="43">
        <f t="shared" si="70"/>
        <v>0</v>
      </c>
      <c r="V270" s="44">
        <f t="shared" si="84"/>
        <v>0</v>
      </c>
      <c r="W270" s="36">
        <f t="shared" si="72"/>
        <v>0</v>
      </c>
      <c r="X270" s="36"/>
      <c r="Y270" s="36"/>
      <c r="Z270" s="36">
        <f t="shared" si="73"/>
        <v>0</v>
      </c>
      <c r="AA270" s="36">
        <f t="shared" si="74"/>
        <v>0</v>
      </c>
      <c r="AB270" s="36"/>
      <c r="AC270" s="36"/>
      <c r="AD270" s="36">
        <f t="shared" si="75"/>
        <v>0</v>
      </c>
      <c r="AE270" s="36">
        <f t="shared" si="76"/>
        <v>0</v>
      </c>
      <c r="AF270" s="36"/>
      <c r="AG270" s="36"/>
      <c r="AH270" s="36">
        <f t="shared" si="77"/>
        <v>0</v>
      </c>
      <c r="AI270" s="36">
        <f t="shared" si="78"/>
        <v>0</v>
      </c>
      <c r="AJ270" s="36"/>
      <c r="AK270" s="36"/>
      <c r="AL270" s="36">
        <f t="shared" si="79"/>
        <v>0</v>
      </c>
      <c r="AM270" s="36">
        <f t="shared" si="80"/>
        <v>0</v>
      </c>
      <c r="AN270" s="36"/>
      <c r="AO270" s="36"/>
      <c r="AP270" s="36">
        <f t="shared" si="81"/>
        <v>0</v>
      </c>
      <c r="AQ270" s="36">
        <f t="shared" si="82"/>
        <v>0</v>
      </c>
    </row>
    <row r="271" spans="1:43" x14ac:dyDescent="0.55000000000000004">
      <c r="A271" s="30" t="e">
        <f t="shared" si="83"/>
        <v>#REF!</v>
      </c>
      <c r="B271" s="31">
        <v>45778</v>
      </c>
      <c r="C271" s="45"/>
      <c r="D271" s="33">
        <v>1</v>
      </c>
      <c r="E271" s="33"/>
      <c r="F271" s="33"/>
      <c r="G271" s="51" t="s">
        <v>493</v>
      </c>
      <c r="H271" s="37" t="s">
        <v>141</v>
      </c>
      <c r="I271" s="36">
        <v>4</v>
      </c>
      <c r="J271" s="37"/>
      <c r="K271" s="37"/>
      <c r="L271" s="37"/>
      <c r="M271" s="60" t="s">
        <v>265</v>
      </c>
      <c r="N271" s="54"/>
      <c r="O271" s="40">
        <v>23.8</v>
      </c>
      <c r="P271" s="37">
        <f t="shared" si="71"/>
        <v>95.2</v>
      </c>
      <c r="Q271" s="41"/>
      <c r="R271" s="42">
        <f t="shared" si="69"/>
        <v>0</v>
      </c>
      <c r="S271" s="42">
        <f t="shared" si="68"/>
        <v>0</v>
      </c>
      <c r="T271" s="43">
        <f t="shared" si="70"/>
        <v>0</v>
      </c>
      <c r="U271" s="43">
        <f t="shared" si="70"/>
        <v>0</v>
      </c>
      <c r="V271" s="44">
        <f t="shared" si="84"/>
        <v>4</v>
      </c>
      <c r="W271" s="36">
        <f t="shared" si="72"/>
        <v>95.2</v>
      </c>
      <c r="X271" s="36"/>
      <c r="Y271" s="36"/>
      <c r="Z271" s="36">
        <f t="shared" si="73"/>
        <v>0</v>
      </c>
      <c r="AA271" s="36">
        <f t="shared" si="74"/>
        <v>0</v>
      </c>
      <c r="AB271" s="36"/>
      <c r="AC271" s="36"/>
      <c r="AD271" s="36">
        <f>AB271*O271</f>
        <v>0</v>
      </c>
      <c r="AE271" s="36">
        <f>AC271*O271</f>
        <v>0</v>
      </c>
      <c r="AF271" s="36"/>
      <c r="AG271" s="36"/>
      <c r="AH271" s="36">
        <f t="shared" si="77"/>
        <v>0</v>
      </c>
      <c r="AI271" s="36">
        <f t="shared" si="78"/>
        <v>0</v>
      </c>
      <c r="AJ271" s="36"/>
      <c r="AK271" s="36"/>
      <c r="AL271" s="36">
        <f t="shared" si="79"/>
        <v>0</v>
      </c>
      <c r="AM271" s="36">
        <f t="shared" si="80"/>
        <v>0</v>
      </c>
      <c r="AN271" s="36"/>
      <c r="AO271" s="36"/>
      <c r="AP271" s="36">
        <f t="shared" si="81"/>
        <v>0</v>
      </c>
      <c r="AQ271" s="36">
        <f t="shared" si="82"/>
        <v>0</v>
      </c>
    </row>
    <row r="272" spans="1:43" x14ac:dyDescent="0.55000000000000004">
      <c r="A272" s="30" t="e">
        <f t="shared" si="83"/>
        <v>#REF!</v>
      </c>
      <c r="B272" s="31">
        <v>45413</v>
      </c>
      <c r="C272" s="45"/>
      <c r="D272" s="33">
        <v>2</v>
      </c>
      <c r="E272" s="33"/>
      <c r="F272" s="33"/>
      <c r="G272" s="49" t="s">
        <v>494</v>
      </c>
      <c r="H272" s="37" t="s">
        <v>48</v>
      </c>
      <c r="I272" s="36">
        <v>0</v>
      </c>
      <c r="J272" s="37"/>
      <c r="K272" s="37"/>
      <c r="L272" s="37"/>
      <c r="M272" s="38" t="s">
        <v>72</v>
      </c>
      <c r="N272" s="54" t="s">
        <v>41</v>
      </c>
      <c r="O272" s="40">
        <v>34.92</v>
      </c>
      <c r="P272" s="37">
        <f t="shared" si="71"/>
        <v>0</v>
      </c>
      <c r="Q272" s="41"/>
      <c r="R272" s="42">
        <f t="shared" si="69"/>
        <v>0</v>
      </c>
      <c r="S272" s="42">
        <f t="shared" si="68"/>
        <v>0</v>
      </c>
      <c r="T272" s="43">
        <f t="shared" si="70"/>
        <v>0</v>
      </c>
      <c r="U272" s="43">
        <f t="shared" si="70"/>
        <v>0</v>
      </c>
      <c r="V272" s="44">
        <f t="shared" si="84"/>
        <v>0</v>
      </c>
      <c r="W272" s="36">
        <f t="shared" si="72"/>
        <v>0</v>
      </c>
      <c r="X272" s="36"/>
      <c r="Y272" s="36"/>
      <c r="Z272" s="36">
        <f t="shared" si="73"/>
        <v>0</v>
      </c>
      <c r="AA272" s="36">
        <f t="shared" si="74"/>
        <v>0</v>
      </c>
      <c r="AB272" s="36"/>
      <c r="AC272" s="36"/>
      <c r="AD272" s="36">
        <f t="shared" si="75"/>
        <v>0</v>
      </c>
      <c r="AE272" s="36">
        <f t="shared" si="76"/>
        <v>0</v>
      </c>
      <c r="AF272" s="36"/>
      <c r="AG272" s="36"/>
      <c r="AH272" s="36">
        <f t="shared" si="77"/>
        <v>0</v>
      </c>
      <c r="AI272" s="36">
        <f t="shared" si="78"/>
        <v>0</v>
      </c>
      <c r="AJ272" s="36"/>
      <c r="AK272" s="36"/>
      <c r="AL272" s="36">
        <f t="shared" si="79"/>
        <v>0</v>
      </c>
      <c r="AM272" s="36">
        <f t="shared" si="80"/>
        <v>0</v>
      </c>
      <c r="AN272" s="36"/>
      <c r="AO272" s="36"/>
      <c r="AP272" s="36">
        <f t="shared" si="81"/>
        <v>0</v>
      </c>
      <c r="AQ272" s="36">
        <f t="shared" si="82"/>
        <v>0</v>
      </c>
    </row>
    <row r="273" spans="1:43" x14ac:dyDescent="0.55000000000000004">
      <c r="A273" s="30" t="e">
        <f t="shared" si="83"/>
        <v>#REF!</v>
      </c>
      <c r="B273" s="31">
        <v>45717</v>
      </c>
      <c r="C273" s="45"/>
      <c r="D273" s="33">
        <v>1</v>
      </c>
      <c r="E273" s="33"/>
      <c r="F273" s="33"/>
      <c r="G273" s="51" t="s">
        <v>495</v>
      </c>
      <c r="H273" s="37" t="s">
        <v>48</v>
      </c>
      <c r="I273" s="36">
        <v>1</v>
      </c>
      <c r="J273" s="37"/>
      <c r="K273" s="37"/>
      <c r="L273" s="37"/>
      <c r="M273" s="38" t="s">
        <v>72</v>
      </c>
      <c r="N273" s="39" t="s">
        <v>41</v>
      </c>
      <c r="O273" s="40">
        <v>38.36</v>
      </c>
      <c r="P273" s="37">
        <f t="shared" si="71"/>
        <v>38.36</v>
      </c>
      <c r="Q273" s="41"/>
      <c r="R273" s="42">
        <f t="shared" si="69"/>
        <v>0</v>
      </c>
      <c r="S273" s="42">
        <f t="shared" si="68"/>
        <v>0</v>
      </c>
      <c r="T273" s="43">
        <f t="shared" si="70"/>
        <v>0</v>
      </c>
      <c r="U273" s="43">
        <f t="shared" si="70"/>
        <v>0</v>
      </c>
      <c r="V273" s="44">
        <f t="shared" si="84"/>
        <v>1</v>
      </c>
      <c r="W273" s="36">
        <f t="shared" si="72"/>
        <v>38.36</v>
      </c>
      <c r="X273" s="36"/>
      <c r="Y273" s="36"/>
      <c r="Z273" s="36">
        <f t="shared" si="73"/>
        <v>0</v>
      </c>
      <c r="AA273" s="36">
        <f t="shared" si="74"/>
        <v>0</v>
      </c>
      <c r="AB273" s="36"/>
      <c r="AC273" s="36"/>
      <c r="AD273" s="36">
        <f>AB273*O273</f>
        <v>0</v>
      </c>
      <c r="AE273" s="36">
        <f>AC273*O273</f>
        <v>0</v>
      </c>
      <c r="AF273" s="36"/>
      <c r="AG273" s="36"/>
      <c r="AH273" s="36">
        <f t="shared" si="77"/>
        <v>0</v>
      </c>
      <c r="AI273" s="36">
        <f t="shared" si="78"/>
        <v>0</v>
      </c>
      <c r="AJ273" s="36"/>
      <c r="AK273" s="36"/>
      <c r="AL273" s="36">
        <f t="shared" si="79"/>
        <v>0</v>
      </c>
      <c r="AM273" s="36">
        <f t="shared" si="80"/>
        <v>0</v>
      </c>
      <c r="AN273" s="36"/>
      <c r="AO273" s="36"/>
      <c r="AP273" s="36">
        <f t="shared" si="81"/>
        <v>0</v>
      </c>
      <c r="AQ273" s="36">
        <f t="shared" si="82"/>
        <v>0</v>
      </c>
    </row>
    <row r="274" spans="1:43" x14ac:dyDescent="0.55000000000000004">
      <c r="A274" s="30" t="e">
        <f t="shared" si="83"/>
        <v>#REF!</v>
      </c>
      <c r="B274" s="31">
        <v>45748</v>
      </c>
      <c r="C274" s="45"/>
      <c r="D274" s="33">
        <v>1</v>
      </c>
      <c r="E274" s="33"/>
      <c r="F274" s="33"/>
      <c r="G274" s="49" t="s">
        <v>496</v>
      </c>
      <c r="H274" s="37" t="s">
        <v>497</v>
      </c>
      <c r="I274" s="36">
        <v>0</v>
      </c>
      <c r="J274" s="37"/>
      <c r="K274" s="37"/>
      <c r="L274" s="37"/>
      <c r="M274" s="38" t="s">
        <v>47</v>
      </c>
      <c r="N274" s="39"/>
      <c r="O274" s="40">
        <v>81.05</v>
      </c>
      <c r="P274" s="37">
        <f t="shared" si="71"/>
        <v>0</v>
      </c>
      <c r="Q274" s="41"/>
      <c r="R274" s="42">
        <f t="shared" si="69"/>
        <v>0</v>
      </c>
      <c r="S274" s="42">
        <f t="shared" si="68"/>
        <v>0</v>
      </c>
      <c r="T274" s="43">
        <f t="shared" si="70"/>
        <v>0</v>
      </c>
      <c r="U274" s="43">
        <f t="shared" si="70"/>
        <v>0</v>
      </c>
      <c r="V274" s="44">
        <f t="shared" si="84"/>
        <v>0</v>
      </c>
      <c r="W274" s="36">
        <f t="shared" si="72"/>
        <v>0</v>
      </c>
      <c r="X274" s="36"/>
      <c r="Y274" s="36"/>
      <c r="Z274" s="36">
        <f t="shared" si="73"/>
        <v>0</v>
      </c>
      <c r="AA274" s="36">
        <f t="shared" si="74"/>
        <v>0</v>
      </c>
      <c r="AB274" s="36"/>
      <c r="AC274" s="36"/>
      <c r="AD274" s="36">
        <f t="shared" si="75"/>
        <v>0</v>
      </c>
      <c r="AE274" s="36">
        <f t="shared" si="76"/>
        <v>0</v>
      </c>
      <c r="AF274" s="36"/>
      <c r="AG274" s="36"/>
      <c r="AH274" s="36">
        <f t="shared" si="77"/>
        <v>0</v>
      </c>
      <c r="AI274" s="36">
        <f t="shared" si="78"/>
        <v>0</v>
      </c>
      <c r="AJ274" s="36"/>
      <c r="AK274" s="36"/>
      <c r="AL274" s="36">
        <f t="shared" si="79"/>
        <v>0</v>
      </c>
      <c r="AM274" s="36">
        <f t="shared" si="80"/>
        <v>0</v>
      </c>
      <c r="AN274" s="36"/>
      <c r="AO274" s="36"/>
      <c r="AP274" s="36">
        <f t="shared" si="81"/>
        <v>0</v>
      </c>
      <c r="AQ274" s="36">
        <f t="shared" si="82"/>
        <v>0</v>
      </c>
    </row>
    <row r="275" spans="1:43" x14ac:dyDescent="0.55000000000000004">
      <c r="A275" s="30" t="e">
        <f t="shared" si="83"/>
        <v>#REF!</v>
      </c>
      <c r="B275" s="31">
        <v>44602</v>
      </c>
      <c r="C275" s="45"/>
      <c r="D275" s="33">
        <v>1</v>
      </c>
      <c r="E275" s="33"/>
      <c r="F275" s="33"/>
      <c r="G275" s="49" t="s">
        <v>498</v>
      </c>
      <c r="H275" s="37" t="s">
        <v>50</v>
      </c>
      <c r="I275" s="36">
        <v>0</v>
      </c>
      <c r="J275" s="37"/>
      <c r="K275" s="37"/>
      <c r="L275" s="37"/>
      <c r="M275" s="38" t="s">
        <v>47</v>
      </c>
      <c r="N275" s="39"/>
      <c r="O275" s="40">
        <v>150</v>
      </c>
      <c r="P275" s="37">
        <f t="shared" si="71"/>
        <v>0</v>
      </c>
      <c r="Q275" s="41"/>
      <c r="R275" s="42">
        <f t="shared" si="69"/>
        <v>0</v>
      </c>
      <c r="S275" s="42">
        <f t="shared" si="68"/>
        <v>0</v>
      </c>
      <c r="T275" s="43">
        <f t="shared" si="70"/>
        <v>0</v>
      </c>
      <c r="U275" s="43">
        <f t="shared" si="70"/>
        <v>0</v>
      </c>
      <c r="V275" s="44">
        <f t="shared" si="84"/>
        <v>0</v>
      </c>
      <c r="W275" s="36">
        <f t="shared" si="72"/>
        <v>0</v>
      </c>
      <c r="X275" s="36"/>
      <c r="Y275" s="36"/>
      <c r="Z275" s="36">
        <f t="shared" si="73"/>
        <v>0</v>
      </c>
      <c r="AA275" s="36">
        <f t="shared" si="74"/>
        <v>0</v>
      </c>
      <c r="AB275" s="36"/>
      <c r="AC275" s="36"/>
      <c r="AD275" s="36">
        <f t="shared" si="75"/>
        <v>0</v>
      </c>
      <c r="AE275" s="36">
        <f t="shared" si="76"/>
        <v>0</v>
      </c>
      <c r="AF275" s="36"/>
      <c r="AG275" s="36"/>
      <c r="AH275" s="36">
        <f t="shared" si="77"/>
        <v>0</v>
      </c>
      <c r="AI275" s="36">
        <f t="shared" si="78"/>
        <v>0</v>
      </c>
      <c r="AJ275" s="36"/>
      <c r="AK275" s="36"/>
      <c r="AL275" s="36">
        <f t="shared" si="79"/>
        <v>0</v>
      </c>
      <c r="AM275" s="36">
        <f t="shared" si="80"/>
        <v>0</v>
      </c>
      <c r="AN275" s="36"/>
      <c r="AO275" s="36"/>
      <c r="AP275" s="36">
        <f t="shared" si="81"/>
        <v>0</v>
      </c>
      <c r="AQ275" s="36">
        <f t="shared" si="82"/>
        <v>0</v>
      </c>
    </row>
    <row r="276" spans="1:43" x14ac:dyDescent="0.55000000000000004">
      <c r="A276" s="30" t="e">
        <f t="shared" si="83"/>
        <v>#REF!</v>
      </c>
      <c r="B276" s="73">
        <v>44409</v>
      </c>
      <c r="C276" s="74"/>
      <c r="D276" s="33">
        <v>1</v>
      </c>
      <c r="E276" s="33"/>
      <c r="F276" s="33"/>
      <c r="G276" s="49" t="s">
        <v>499</v>
      </c>
      <c r="H276" s="37" t="s">
        <v>59</v>
      </c>
      <c r="I276" s="36">
        <v>0</v>
      </c>
      <c r="J276" s="37"/>
      <c r="K276" s="37"/>
      <c r="L276" s="37"/>
      <c r="M276" s="38" t="s">
        <v>265</v>
      </c>
      <c r="N276" s="39"/>
      <c r="O276" s="40">
        <v>104.17</v>
      </c>
      <c r="P276" s="37">
        <f t="shared" si="71"/>
        <v>0</v>
      </c>
      <c r="Q276" s="41"/>
      <c r="R276" s="42">
        <f t="shared" si="69"/>
        <v>0</v>
      </c>
      <c r="S276" s="42">
        <f t="shared" si="68"/>
        <v>0</v>
      </c>
      <c r="T276" s="43">
        <f t="shared" si="70"/>
        <v>0</v>
      </c>
      <c r="U276" s="43">
        <f t="shared" si="70"/>
        <v>0</v>
      </c>
      <c r="V276" s="44">
        <f t="shared" si="84"/>
        <v>0</v>
      </c>
      <c r="W276" s="36">
        <f t="shared" si="72"/>
        <v>0</v>
      </c>
      <c r="X276" s="36"/>
      <c r="Y276" s="36"/>
      <c r="Z276" s="36">
        <f t="shared" si="73"/>
        <v>0</v>
      </c>
      <c r="AA276" s="36">
        <f t="shared" si="74"/>
        <v>0</v>
      </c>
      <c r="AB276" s="36"/>
      <c r="AC276" s="36"/>
      <c r="AD276" s="36">
        <f t="shared" si="75"/>
        <v>0</v>
      </c>
      <c r="AE276" s="36">
        <f t="shared" si="76"/>
        <v>0</v>
      </c>
      <c r="AF276" s="36"/>
      <c r="AG276" s="36"/>
      <c r="AH276" s="36">
        <f t="shared" si="77"/>
        <v>0</v>
      </c>
      <c r="AI276" s="36">
        <f t="shared" si="78"/>
        <v>0</v>
      </c>
      <c r="AJ276" s="36"/>
      <c r="AK276" s="36"/>
      <c r="AL276" s="36">
        <f t="shared" si="79"/>
        <v>0</v>
      </c>
      <c r="AM276" s="36">
        <f t="shared" si="80"/>
        <v>0</v>
      </c>
      <c r="AN276" s="36"/>
      <c r="AO276" s="36"/>
      <c r="AP276" s="36">
        <f t="shared" si="81"/>
        <v>0</v>
      </c>
      <c r="AQ276" s="36">
        <f t="shared" si="82"/>
        <v>0</v>
      </c>
    </row>
    <row r="277" spans="1:43" x14ac:dyDescent="0.55000000000000004">
      <c r="A277" s="30" t="e">
        <f t="shared" si="83"/>
        <v>#REF!</v>
      </c>
      <c r="B277" s="73">
        <v>45831</v>
      </c>
      <c r="C277" s="74"/>
      <c r="D277" s="33">
        <v>2</v>
      </c>
      <c r="E277" s="33"/>
      <c r="F277" s="33"/>
      <c r="G277" s="51" t="s">
        <v>500</v>
      </c>
      <c r="H277" s="37" t="s">
        <v>116</v>
      </c>
      <c r="I277" s="36">
        <v>1</v>
      </c>
      <c r="J277" s="37"/>
      <c r="K277" s="37"/>
      <c r="L277" s="37"/>
      <c r="M277" s="38" t="s">
        <v>77</v>
      </c>
      <c r="N277" s="39"/>
      <c r="O277" s="40">
        <f>94.72*1.5</f>
        <v>142.07999999999998</v>
      </c>
      <c r="P277" s="37">
        <f t="shared" si="71"/>
        <v>142.07999999999998</v>
      </c>
      <c r="Q277" s="41"/>
      <c r="R277" s="42">
        <f t="shared" si="69"/>
        <v>0</v>
      </c>
      <c r="S277" s="42">
        <f t="shared" ref="S277:S340" si="85">U277*O277</f>
        <v>0</v>
      </c>
      <c r="T277" s="43">
        <f t="shared" si="70"/>
        <v>0</v>
      </c>
      <c r="U277" s="43">
        <f t="shared" si="70"/>
        <v>0</v>
      </c>
      <c r="V277" s="44">
        <f t="shared" si="84"/>
        <v>1</v>
      </c>
      <c r="W277" s="36">
        <f t="shared" si="72"/>
        <v>142.07999999999998</v>
      </c>
      <c r="X277" s="36"/>
      <c r="Y277" s="36"/>
      <c r="Z277" s="36">
        <f t="shared" si="73"/>
        <v>0</v>
      </c>
      <c r="AA277" s="36">
        <f t="shared" si="74"/>
        <v>0</v>
      </c>
      <c r="AB277" s="36"/>
      <c r="AC277" s="36"/>
      <c r="AD277" s="36">
        <f t="shared" si="75"/>
        <v>0</v>
      </c>
      <c r="AE277" s="36">
        <f t="shared" si="76"/>
        <v>0</v>
      </c>
      <c r="AF277" s="36"/>
      <c r="AG277" s="36"/>
      <c r="AH277" s="36">
        <f t="shared" si="77"/>
        <v>0</v>
      </c>
      <c r="AI277" s="36">
        <f t="shared" si="78"/>
        <v>0</v>
      </c>
      <c r="AJ277" s="36"/>
      <c r="AK277" s="36"/>
      <c r="AL277" s="36">
        <f t="shared" si="79"/>
        <v>0</v>
      </c>
      <c r="AM277" s="36">
        <f t="shared" si="80"/>
        <v>0</v>
      </c>
      <c r="AN277" s="36"/>
      <c r="AO277" s="36"/>
      <c r="AP277" s="36">
        <f t="shared" si="81"/>
        <v>0</v>
      </c>
      <c r="AQ277" s="36">
        <f t="shared" si="82"/>
        <v>0</v>
      </c>
    </row>
    <row r="278" spans="1:43" x14ac:dyDescent="0.55000000000000004">
      <c r="A278" s="30" t="e">
        <f t="shared" si="83"/>
        <v>#REF!</v>
      </c>
      <c r="B278" s="31">
        <v>45835</v>
      </c>
      <c r="C278" s="45"/>
      <c r="D278" s="33">
        <v>2</v>
      </c>
      <c r="E278" s="33"/>
      <c r="F278" s="33"/>
      <c r="G278" s="51" t="s">
        <v>501</v>
      </c>
      <c r="H278" s="37" t="s">
        <v>300</v>
      </c>
      <c r="I278" s="36">
        <v>4</v>
      </c>
      <c r="J278" s="37"/>
      <c r="K278" s="37"/>
      <c r="L278" s="37"/>
      <c r="M278" s="38" t="s">
        <v>265</v>
      </c>
      <c r="N278" s="39"/>
      <c r="O278" s="40">
        <f>17.83*1.5</f>
        <v>26.744999999999997</v>
      </c>
      <c r="P278" s="37">
        <f t="shared" si="71"/>
        <v>106.97999999999999</v>
      </c>
      <c r="Q278" s="41"/>
      <c r="R278" s="42">
        <f t="shared" si="69"/>
        <v>0</v>
      </c>
      <c r="S278" s="42">
        <f t="shared" si="85"/>
        <v>0</v>
      </c>
      <c r="T278" s="43">
        <f t="shared" si="70"/>
        <v>0</v>
      </c>
      <c r="U278" s="43">
        <f t="shared" si="70"/>
        <v>0</v>
      </c>
      <c r="V278" s="44">
        <f t="shared" si="84"/>
        <v>4</v>
      </c>
      <c r="W278" s="36">
        <f t="shared" si="72"/>
        <v>106.97999999999999</v>
      </c>
      <c r="X278" s="36"/>
      <c r="Y278" s="36"/>
      <c r="Z278" s="36">
        <f t="shared" si="73"/>
        <v>0</v>
      </c>
      <c r="AA278" s="36">
        <f t="shared" si="74"/>
        <v>0</v>
      </c>
      <c r="AB278" s="36"/>
      <c r="AC278" s="36"/>
      <c r="AD278" s="36">
        <f t="shared" si="75"/>
        <v>0</v>
      </c>
      <c r="AE278" s="36">
        <f t="shared" si="76"/>
        <v>0</v>
      </c>
      <c r="AF278" s="36"/>
      <c r="AG278" s="36"/>
      <c r="AH278" s="36">
        <f t="shared" si="77"/>
        <v>0</v>
      </c>
      <c r="AI278" s="36">
        <f t="shared" si="78"/>
        <v>0</v>
      </c>
      <c r="AJ278" s="36"/>
      <c r="AK278" s="36"/>
      <c r="AL278" s="36">
        <f t="shared" si="79"/>
        <v>0</v>
      </c>
      <c r="AM278" s="36">
        <f t="shared" si="80"/>
        <v>0</v>
      </c>
      <c r="AN278" s="36"/>
      <c r="AO278" s="36"/>
      <c r="AP278" s="36">
        <f t="shared" si="81"/>
        <v>0</v>
      </c>
      <c r="AQ278" s="36">
        <f t="shared" si="82"/>
        <v>0</v>
      </c>
    </row>
    <row r="279" spans="1:43" x14ac:dyDescent="0.55000000000000004">
      <c r="A279" s="30" t="e">
        <f t="shared" si="83"/>
        <v>#REF!</v>
      </c>
      <c r="B279" s="31">
        <v>45848</v>
      </c>
      <c r="C279" s="45"/>
      <c r="D279" s="33">
        <v>7</v>
      </c>
      <c r="E279" s="33"/>
      <c r="F279" s="33"/>
      <c r="G279" s="51" t="s">
        <v>502</v>
      </c>
      <c r="H279" s="37" t="s">
        <v>409</v>
      </c>
      <c r="I279" s="36">
        <v>4</v>
      </c>
      <c r="J279" s="37"/>
      <c r="K279" s="37"/>
      <c r="L279" s="37"/>
      <c r="M279" s="38" t="s">
        <v>410</v>
      </c>
      <c r="N279" s="39" t="s">
        <v>49</v>
      </c>
      <c r="O279" s="40">
        <v>19.71</v>
      </c>
      <c r="P279" s="37">
        <f t="shared" si="71"/>
        <v>78.84</v>
      </c>
      <c r="Q279" s="41"/>
      <c r="R279" s="42">
        <f t="shared" si="69"/>
        <v>0</v>
      </c>
      <c r="S279" s="42">
        <f t="shared" si="85"/>
        <v>0</v>
      </c>
      <c r="T279" s="43">
        <f t="shared" si="70"/>
        <v>0</v>
      </c>
      <c r="U279" s="43">
        <f t="shared" si="70"/>
        <v>0</v>
      </c>
      <c r="V279" s="44">
        <f t="shared" si="84"/>
        <v>4</v>
      </c>
      <c r="W279" s="36">
        <f t="shared" si="72"/>
        <v>78.84</v>
      </c>
      <c r="X279" s="36"/>
      <c r="Y279" s="36"/>
      <c r="Z279" s="36">
        <f t="shared" si="73"/>
        <v>0</v>
      </c>
      <c r="AA279" s="36">
        <f t="shared" si="74"/>
        <v>0</v>
      </c>
      <c r="AB279" s="36"/>
      <c r="AC279" s="36"/>
      <c r="AD279" s="36">
        <f t="shared" si="75"/>
        <v>0</v>
      </c>
      <c r="AE279" s="36">
        <f t="shared" si="76"/>
        <v>0</v>
      </c>
      <c r="AF279" s="36"/>
      <c r="AG279" s="36"/>
      <c r="AH279" s="36">
        <f t="shared" si="77"/>
        <v>0</v>
      </c>
      <c r="AI279" s="36">
        <f t="shared" si="78"/>
        <v>0</v>
      </c>
      <c r="AJ279" s="36"/>
      <c r="AK279" s="36"/>
      <c r="AL279" s="36">
        <f t="shared" si="79"/>
        <v>0</v>
      </c>
      <c r="AM279" s="36">
        <f t="shared" si="80"/>
        <v>0</v>
      </c>
      <c r="AN279" s="36"/>
      <c r="AO279" s="36"/>
      <c r="AP279" s="36">
        <f t="shared" si="81"/>
        <v>0</v>
      </c>
      <c r="AQ279" s="36">
        <f t="shared" si="82"/>
        <v>0</v>
      </c>
    </row>
    <row r="280" spans="1:43" x14ac:dyDescent="0.55000000000000004">
      <c r="A280" s="30" t="e">
        <f t="shared" si="83"/>
        <v>#REF!</v>
      </c>
      <c r="B280" s="31">
        <v>45856</v>
      </c>
      <c r="C280" s="45"/>
      <c r="D280" s="33"/>
      <c r="E280" s="33"/>
      <c r="F280" s="33"/>
      <c r="G280" s="51" t="s">
        <v>503</v>
      </c>
      <c r="H280" s="37" t="s">
        <v>71</v>
      </c>
      <c r="I280" s="36">
        <v>1</v>
      </c>
      <c r="J280" s="37" t="s">
        <v>54</v>
      </c>
      <c r="K280" s="37"/>
      <c r="L280" s="37"/>
      <c r="M280" s="38" t="s">
        <v>72</v>
      </c>
      <c r="N280" s="39" t="s">
        <v>41</v>
      </c>
      <c r="O280" s="40">
        <v>136.49</v>
      </c>
      <c r="P280" s="37">
        <f t="shared" si="71"/>
        <v>136.49</v>
      </c>
      <c r="Q280" s="41"/>
      <c r="R280" s="42">
        <f t="shared" si="69"/>
        <v>0</v>
      </c>
      <c r="S280" s="42">
        <f t="shared" si="85"/>
        <v>0</v>
      </c>
      <c r="T280" s="43">
        <f t="shared" si="70"/>
        <v>0</v>
      </c>
      <c r="U280" s="43">
        <f t="shared" si="70"/>
        <v>0</v>
      </c>
      <c r="V280" s="44">
        <f t="shared" si="84"/>
        <v>1</v>
      </c>
      <c r="W280" s="36">
        <f t="shared" si="72"/>
        <v>136.49</v>
      </c>
      <c r="X280" s="36"/>
      <c r="Y280" s="36"/>
      <c r="Z280" s="36">
        <f t="shared" si="73"/>
        <v>0</v>
      </c>
      <c r="AA280" s="36">
        <f t="shared" si="74"/>
        <v>0</v>
      </c>
      <c r="AB280" s="36"/>
      <c r="AC280" s="36"/>
      <c r="AD280" s="36">
        <f t="shared" si="75"/>
        <v>0</v>
      </c>
      <c r="AE280" s="36">
        <f t="shared" si="76"/>
        <v>0</v>
      </c>
      <c r="AF280" s="36"/>
      <c r="AG280" s="36"/>
      <c r="AH280" s="36">
        <f t="shared" si="77"/>
        <v>0</v>
      </c>
      <c r="AI280" s="36">
        <f t="shared" si="78"/>
        <v>0</v>
      </c>
      <c r="AJ280" s="36"/>
      <c r="AK280" s="36"/>
      <c r="AL280" s="36">
        <f t="shared" si="79"/>
        <v>0</v>
      </c>
      <c r="AM280" s="36">
        <f t="shared" si="80"/>
        <v>0</v>
      </c>
      <c r="AN280" s="36"/>
      <c r="AO280" s="36"/>
      <c r="AP280" s="36">
        <f t="shared" si="81"/>
        <v>0</v>
      </c>
      <c r="AQ280" s="36">
        <f t="shared" si="82"/>
        <v>0</v>
      </c>
    </row>
    <row r="281" spans="1:43" x14ac:dyDescent="0.55000000000000004">
      <c r="A281" s="30" t="e">
        <f t="shared" si="83"/>
        <v>#REF!</v>
      </c>
      <c r="B281" s="31">
        <v>45856</v>
      </c>
      <c r="C281" s="45"/>
      <c r="D281" s="33">
        <v>1</v>
      </c>
      <c r="E281" s="33"/>
      <c r="F281" s="33"/>
      <c r="G281" s="51" t="s">
        <v>504</v>
      </c>
      <c r="H281" s="37" t="s">
        <v>338</v>
      </c>
      <c r="I281" s="36">
        <v>1</v>
      </c>
      <c r="J281" s="37" t="s">
        <v>54</v>
      </c>
      <c r="K281" s="37"/>
      <c r="L281" s="37"/>
      <c r="M281" s="38" t="s">
        <v>189</v>
      </c>
      <c r="N281" s="39"/>
      <c r="O281" s="40">
        <v>314.35000000000002</v>
      </c>
      <c r="P281" s="37">
        <f t="shared" si="71"/>
        <v>314.35000000000002</v>
      </c>
      <c r="Q281" s="41"/>
      <c r="R281" s="42">
        <f t="shared" si="69"/>
        <v>0</v>
      </c>
      <c r="S281" s="42">
        <f t="shared" si="85"/>
        <v>0</v>
      </c>
      <c r="T281" s="43">
        <f t="shared" si="70"/>
        <v>0</v>
      </c>
      <c r="U281" s="43">
        <f t="shared" si="70"/>
        <v>0</v>
      </c>
      <c r="V281" s="44">
        <f t="shared" si="84"/>
        <v>1</v>
      </c>
      <c r="W281" s="36">
        <f t="shared" si="72"/>
        <v>314.35000000000002</v>
      </c>
      <c r="X281" s="36"/>
      <c r="Y281" s="36"/>
      <c r="Z281" s="36">
        <f t="shared" si="73"/>
        <v>0</v>
      </c>
      <c r="AA281" s="36">
        <f t="shared" si="74"/>
        <v>0</v>
      </c>
      <c r="AB281" s="36"/>
      <c r="AC281" s="36"/>
      <c r="AD281" s="36">
        <f t="shared" si="75"/>
        <v>0</v>
      </c>
      <c r="AE281" s="36">
        <f t="shared" si="76"/>
        <v>0</v>
      </c>
      <c r="AF281" s="36"/>
      <c r="AG281" s="36"/>
      <c r="AH281" s="36">
        <f t="shared" si="77"/>
        <v>0</v>
      </c>
      <c r="AI281" s="36">
        <f t="shared" si="78"/>
        <v>0</v>
      </c>
      <c r="AJ281" s="36"/>
      <c r="AK281" s="36"/>
      <c r="AL281" s="36">
        <f t="shared" si="79"/>
        <v>0</v>
      </c>
      <c r="AM281" s="36">
        <f t="shared" si="80"/>
        <v>0</v>
      </c>
      <c r="AN281" s="36"/>
      <c r="AO281" s="36"/>
      <c r="AP281" s="36">
        <f t="shared" si="81"/>
        <v>0</v>
      </c>
      <c r="AQ281" s="36">
        <f t="shared" si="82"/>
        <v>0</v>
      </c>
    </row>
    <row r="282" spans="1:43" x14ac:dyDescent="0.55000000000000004">
      <c r="A282" s="30" t="e">
        <f t="shared" si="83"/>
        <v>#REF!</v>
      </c>
      <c r="B282" s="31">
        <v>45856</v>
      </c>
      <c r="C282" s="45"/>
      <c r="D282" s="33"/>
      <c r="E282" s="33"/>
      <c r="F282" s="33"/>
      <c r="G282" s="49" t="s">
        <v>505</v>
      </c>
      <c r="H282" s="37" t="s">
        <v>141</v>
      </c>
      <c r="I282" s="36">
        <v>0</v>
      </c>
      <c r="J282" s="37"/>
      <c r="K282" s="37"/>
      <c r="L282" s="37"/>
      <c r="M282" s="38" t="s">
        <v>143</v>
      </c>
      <c r="N282" s="39"/>
      <c r="O282" s="40">
        <v>511.62</v>
      </c>
      <c r="P282" s="37">
        <f t="shared" si="71"/>
        <v>0</v>
      </c>
      <c r="Q282" s="41"/>
      <c r="R282" s="42">
        <f t="shared" ref="R282:R345" si="86">T282*O282</f>
        <v>0</v>
      </c>
      <c r="S282" s="42">
        <f t="shared" si="85"/>
        <v>0</v>
      </c>
      <c r="T282" s="43">
        <f t="shared" si="70"/>
        <v>0</v>
      </c>
      <c r="U282" s="43">
        <f t="shared" si="70"/>
        <v>0</v>
      </c>
      <c r="V282" s="44">
        <f t="shared" si="84"/>
        <v>0</v>
      </c>
      <c r="W282" s="36">
        <f t="shared" si="72"/>
        <v>0</v>
      </c>
      <c r="X282" s="36"/>
      <c r="Y282" s="36"/>
      <c r="Z282" s="36">
        <f t="shared" si="73"/>
        <v>0</v>
      </c>
      <c r="AA282" s="36">
        <f t="shared" si="74"/>
        <v>0</v>
      </c>
      <c r="AB282" s="36"/>
      <c r="AC282" s="36"/>
      <c r="AD282" s="36">
        <f t="shared" si="75"/>
        <v>0</v>
      </c>
      <c r="AE282" s="36">
        <f t="shared" si="76"/>
        <v>0</v>
      </c>
      <c r="AF282" s="36"/>
      <c r="AG282" s="36"/>
      <c r="AH282" s="36">
        <f t="shared" si="77"/>
        <v>0</v>
      </c>
      <c r="AI282" s="36">
        <f t="shared" si="78"/>
        <v>0</v>
      </c>
      <c r="AJ282" s="36"/>
      <c r="AK282" s="36"/>
      <c r="AL282" s="36">
        <f t="shared" si="79"/>
        <v>0</v>
      </c>
      <c r="AM282" s="36">
        <f t="shared" si="80"/>
        <v>0</v>
      </c>
      <c r="AN282" s="36"/>
      <c r="AO282" s="36"/>
      <c r="AP282" s="36">
        <f t="shared" si="81"/>
        <v>0</v>
      </c>
      <c r="AQ282" s="36">
        <f t="shared" si="82"/>
        <v>0</v>
      </c>
    </row>
    <row r="283" spans="1:43" x14ac:dyDescent="0.55000000000000004">
      <c r="A283" s="30" t="e">
        <f t="shared" si="83"/>
        <v>#REF!</v>
      </c>
      <c r="B283" s="31">
        <v>45856</v>
      </c>
      <c r="C283" s="45"/>
      <c r="D283" s="33"/>
      <c r="E283" s="33"/>
      <c r="F283" s="33"/>
      <c r="G283" s="49" t="s">
        <v>506</v>
      </c>
      <c r="H283" s="37" t="s">
        <v>201</v>
      </c>
      <c r="I283" s="36">
        <v>0</v>
      </c>
      <c r="J283" s="37"/>
      <c r="K283" s="37"/>
      <c r="L283" s="37"/>
      <c r="M283" s="38" t="s">
        <v>83</v>
      </c>
      <c r="N283" s="39" t="s">
        <v>49</v>
      </c>
      <c r="O283" s="40">
        <v>42.99</v>
      </c>
      <c r="P283" s="37">
        <f t="shared" si="71"/>
        <v>0</v>
      </c>
      <c r="Q283" s="41"/>
      <c r="R283" s="42">
        <f t="shared" si="86"/>
        <v>0</v>
      </c>
      <c r="S283" s="42">
        <f t="shared" si="85"/>
        <v>0</v>
      </c>
      <c r="T283" s="43">
        <f t="shared" si="70"/>
        <v>0</v>
      </c>
      <c r="U283" s="43">
        <f t="shared" si="70"/>
        <v>0</v>
      </c>
      <c r="V283" s="44">
        <f t="shared" si="84"/>
        <v>0</v>
      </c>
      <c r="W283" s="36">
        <f t="shared" si="72"/>
        <v>0</v>
      </c>
      <c r="X283" s="36"/>
      <c r="Y283" s="36"/>
      <c r="Z283" s="36">
        <f t="shared" si="73"/>
        <v>0</v>
      </c>
      <c r="AA283" s="36">
        <f t="shared" si="74"/>
        <v>0</v>
      </c>
      <c r="AB283" s="36"/>
      <c r="AC283" s="36"/>
      <c r="AD283" s="36">
        <f t="shared" si="75"/>
        <v>0</v>
      </c>
      <c r="AE283" s="36">
        <f t="shared" si="76"/>
        <v>0</v>
      </c>
      <c r="AF283" s="36"/>
      <c r="AG283" s="36"/>
      <c r="AH283" s="36">
        <f t="shared" si="77"/>
        <v>0</v>
      </c>
      <c r="AI283" s="36">
        <f t="shared" si="78"/>
        <v>0</v>
      </c>
      <c r="AJ283" s="36"/>
      <c r="AK283" s="36"/>
      <c r="AL283" s="36">
        <f t="shared" si="79"/>
        <v>0</v>
      </c>
      <c r="AM283" s="36">
        <f t="shared" si="80"/>
        <v>0</v>
      </c>
      <c r="AN283" s="36"/>
      <c r="AO283" s="36"/>
      <c r="AP283" s="36">
        <f t="shared" si="81"/>
        <v>0</v>
      </c>
      <c r="AQ283" s="36">
        <f t="shared" si="82"/>
        <v>0</v>
      </c>
    </row>
    <row r="284" spans="1:43" x14ac:dyDescent="0.55000000000000004">
      <c r="A284" s="30" t="e">
        <f t="shared" si="83"/>
        <v>#REF!</v>
      </c>
      <c r="B284" s="31">
        <v>45856</v>
      </c>
      <c r="C284" s="45"/>
      <c r="D284" s="33"/>
      <c r="E284" s="33"/>
      <c r="F284" s="33"/>
      <c r="G284" s="51" t="s">
        <v>507</v>
      </c>
      <c r="H284" s="37" t="s">
        <v>48</v>
      </c>
      <c r="I284" s="36">
        <v>0</v>
      </c>
      <c r="J284" s="37"/>
      <c r="K284" s="37"/>
      <c r="L284" s="37"/>
      <c r="M284" s="38" t="s">
        <v>44</v>
      </c>
      <c r="N284" s="54" t="s">
        <v>49</v>
      </c>
      <c r="O284" s="40">
        <v>23.13</v>
      </c>
      <c r="P284" s="37">
        <f t="shared" si="71"/>
        <v>0</v>
      </c>
      <c r="Q284" s="41"/>
      <c r="R284" s="42">
        <f t="shared" si="86"/>
        <v>0</v>
      </c>
      <c r="S284" s="42">
        <f t="shared" si="85"/>
        <v>0</v>
      </c>
      <c r="T284" s="43">
        <f t="shared" si="70"/>
        <v>0</v>
      </c>
      <c r="U284" s="43">
        <f t="shared" si="70"/>
        <v>0</v>
      </c>
      <c r="V284" s="44">
        <f t="shared" si="84"/>
        <v>0</v>
      </c>
      <c r="W284" s="36">
        <f t="shared" si="72"/>
        <v>0</v>
      </c>
      <c r="X284" s="36"/>
      <c r="Y284" s="36"/>
      <c r="Z284" s="36">
        <f t="shared" si="73"/>
        <v>0</v>
      </c>
      <c r="AA284" s="36">
        <f t="shared" si="74"/>
        <v>0</v>
      </c>
      <c r="AB284" s="36"/>
      <c r="AC284" s="36"/>
      <c r="AD284" s="36">
        <f t="shared" si="75"/>
        <v>0</v>
      </c>
      <c r="AE284" s="36">
        <f t="shared" si="76"/>
        <v>0</v>
      </c>
      <c r="AF284" s="36"/>
      <c r="AG284" s="36"/>
      <c r="AH284" s="36">
        <f t="shared" si="77"/>
        <v>0</v>
      </c>
      <c r="AI284" s="36">
        <f t="shared" si="78"/>
        <v>0</v>
      </c>
      <c r="AJ284" s="36"/>
      <c r="AK284" s="36"/>
      <c r="AL284" s="36">
        <f t="shared" si="79"/>
        <v>0</v>
      </c>
      <c r="AM284" s="36">
        <f t="shared" si="80"/>
        <v>0</v>
      </c>
      <c r="AN284" s="36"/>
      <c r="AO284" s="36"/>
      <c r="AP284" s="36">
        <f t="shared" si="81"/>
        <v>0</v>
      </c>
      <c r="AQ284" s="36">
        <f t="shared" si="82"/>
        <v>0</v>
      </c>
    </row>
    <row r="285" spans="1:43" x14ac:dyDescent="0.55000000000000004">
      <c r="A285" s="30" t="e">
        <f t="shared" si="83"/>
        <v>#REF!</v>
      </c>
      <c r="B285" s="31">
        <v>45856</v>
      </c>
      <c r="C285" s="45"/>
      <c r="D285" s="33"/>
      <c r="E285" s="33"/>
      <c r="F285" s="33"/>
      <c r="G285" s="51" t="s">
        <v>508</v>
      </c>
      <c r="H285" s="37" t="s">
        <v>509</v>
      </c>
      <c r="I285" s="36">
        <v>3</v>
      </c>
      <c r="J285" s="37"/>
      <c r="K285" s="37"/>
      <c r="L285" s="37"/>
      <c r="M285" s="38" t="s">
        <v>102</v>
      </c>
      <c r="N285" s="39" t="s">
        <v>41</v>
      </c>
      <c r="O285" s="40">
        <v>19.68</v>
      </c>
      <c r="P285" s="37">
        <f t="shared" si="71"/>
        <v>59.04</v>
      </c>
      <c r="Q285" s="41"/>
      <c r="R285" s="42">
        <f t="shared" si="86"/>
        <v>0</v>
      </c>
      <c r="S285" s="42">
        <f t="shared" si="85"/>
        <v>0</v>
      </c>
      <c r="T285" s="43">
        <f t="shared" si="70"/>
        <v>0</v>
      </c>
      <c r="U285" s="43">
        <f t="shared" si="70"/>
        <v>0</v>
      </c>
      <c r="V285" s="44">
        <f t="shared" si="84"/>
        <v>3</v>
      </c>
      <c r="W285" s="36">
        <f t="shared" si="72"/>
        <v>59.04</v>
      </c>
      <c r="X285" s="36"/>
      <c r="Y285" s="36"/>
      <c r="Z285" s="36">
        <f t="shared" si="73"/>
        <v>0</v>
      </c>
      <c r="AA285" s="36">
        <f t="shared" si="74"/>
        <v>0</v>
      </c>
      <c r="AB285" s="36"/>
      <c r="AC285" s="36"/>
      <c r="AD285" s="36">
        <f t="shared" si="75"/>
        <v>0</v>
      </c>
      <c r="AE285" s="36">
        <f t="shared" si="76"/>
        <v>0</v>
      </c>
      <c r="AF285" s="36"/>
      <c r="AG285" s="36"/>
      <c r="AH285" s="36">
        <f t="shared" si="77"/>
        <v>0</v>
      </c>
      <c r="AI285" s="36">
        <f t="shared" si="78"/>
        <v>0</v>
      </c>
      <c r="AJ285" s="36"/>
      <c r="AK285" s="36"/>
      <c r="AL285" s="36">
        <f t="shared" si="79"/>
        <v>0</v>
      </c>
      <c r="AM285" s="36">
        <f t="shared" si="80"/>
        <v>0</v>
      </c>
      <c r="AN285" s="36"/>
      <c r="AO285" s="36"/>
      <c r="AP285" s="36">
        <f t="shared" si="81"/>
        <v>0</v>
      </c>
      <c r="AQ285" s="36">
        <f t="shared" si="82"/>
        <v>0</v>
      </c>
    </row>
    <row r="286" spans="1:43" x14ac:dyDescent="0.55000000000000004">
      <c r="A286" s="30" t="e">
        <f>+#REF!+1</f>
        <v>#REF!</v>
      </c>
      <c r="B286" s="31">
        <v>45856</v>
      </c>
      <c r="C286" s="45"/>
      <c r="D286" s="33"/>
      <c r="E286" s="33"/>
      <c r="F286" s="33"/>
      <c r="G286" s="51" t="s">
        <v>510</v>
      </c>
      <c r="H286" s="37" t="s">
        <v>511</v>
      </c>
      <c r="I286" s="36">
        <v>3</v>
      </c>
      <c r="J286" s="37"/>
      <c r="K286" s="37"/>
      <c r="L286" s="37"/>
      <c r="M286" s="38" t="s">
        <v>44</v>
      </c>
      <c r="N286" s="39"/>
      <c r="O286" s="40">
        <v>36.9</v>
      </c>
      <c r="P286" s="37">
        <f t="shared" si="71"/>
        <v>110.69999999999999</v>
      </c>
      <c r="Q286" s="41"/>
      <c r="R286" s="42">
        <f t="shared" si="86"/>
        <v>0</v>
      </c>
      <c r="S286" s="42">
        <f t="shared" si="85"/>
        <v>0</v>
      </c>
      <c r="T286" s="43">
        <f t="shared" si="70"/>
        <v>0</v>
      </c>
      <c r="U286" s="43">
        <f t="shared" si="70"/>
        <v>0</v>
      </c>
      <c r="V286" s="44">
        <v>2</v>
      </c>
      <c r="W286" s="36">
        <f t="shared" si="72"/>
        <v>73.8</v>
      </c>
      <c r="X286" s="36"/>
      <c r="Y286" s="36"/>
      <c r="Z286" s="36">
        <f t="shared" si="73"/>
        <v>0</v>
      </c>
      <c r="AA286" s="36">
        <f t="shared" si="74"/>
        <v>0</v>
      </c>
      <c r="AB286" s="36"/>
      <c r="AC286" s="36"/>
      <c r="AD286" s="36">
        <f t="shared" si="75"/>
        <v>0</v>
      </c>
      <c r="AE286" s="36">
        <f t="shared" si="76"/>
        <v>0</v>
      </c>
      <c r="AF286" s="36"/>
      <c r="AG286" s="36"/>
      <c r="AH286" s="36">
        <f t="shared" si="77"/>
        <v>0</v>
      </c>
      <c r="AI286" s="36">
        <f t="shared" si="78"/>
        <v>0</v>
      </c>
      <c r="AJ286" s="36"/>
      <c r="AK286" s="36"/>
      <c r="AL286" s="36">
        <f t="shared" si="79"/>
        <v>0</v>
      </c>
      <c r="AM286" s="36">
        <f t="shared" si="80"/>
        <v>0</v>
      </c>
      <c r="AN286" s="36"/>
      <c r="AO286" s="36"/>
      <c r="AP286" s="36">
        <f t="shared" si="81"/>
        <v>0</v>
      </c>
      <c r="AQ286" s="36">
        <f t="shared" si="82"/>
        <v>0</v>
      </c>
    </row>
    <row r="287" spans="1:43" x14ac:dyDescent="0.55000000000000004">
      <c r="A287" s="30" t="e">
        <f t="shared" si="83"/>
        <v>#REF!</v>
      </c>
      <c r="B287" s="31">
        <v>45856</v>
      </c>
      <c r="C287" s="45"/>
      <c r="D287" s="33"/>
      <c r="E287" s="33"/>
      <c r="F287" s="33"/>
      <c r="G287" s="51" t="s">
        <v>512</v>
      </c>
      <c r="H287" s="37" t="s">
        <v>48</v>
      </c>
      <c r="I287" s="36">
        <v>3</v>
      </c>
      <c r="J287" s="37"/>
      <c r="K287" s="37"/>
      <c r="L287" s="37"/>
      <c r="M287" s="38" t="s">
        <v>44</v>
      </c>
      <c r="N287" s="54" t="s">
        <v>49</v>
      </c>
      <c r="O287" s="40">
        <v>9.77</v>
      </c>
      <c r="P287" s="37">
        <f t="shared" si="71"/>
        <v>29.31</v>
      </c>
      <c r="Q287" s="41"/>
      <c r="R287" s="42">
        <f t="shared" si="86"/>
        <v>0</v>
      </c>
      <c r="S287" s="42">
        <f t="shared" si="85"/>
        <v>0</v>
      </c>
      <c r="T287" s="43">
        <f t="shared" si="70"/>
        <v>0</v>
      </c>
      <c r="U287" s="43">
        <f t="shared" si="70"/>
        <v>0</v>
      </c>
      <c r="V287" s="44">
        <f t="shared" si="84"/>
        <v>3</v>
      </c>
      <c r="W287" s="36">
        <f t="shared" si="72"/>
        <v>29.31</v>
      </c>
      <c r="X287" s="36"/>
      <c r="Y287" s="36"/>
      <c r="Z287" s="36">
        <f t="shared" si="73"/>
        <v>0</v>
      </c>
      <c r="AA287" s="36">
        <f t="shared" si="74"/>
        <v>0</v>
      </c>
      <c r="AB287" s="36"/>
      <c r="AC287" s="36"/>
      <c r="AD287" s="36">
        <f t="shared" si="75"/>
        <v>0</v>
      </c>
      <c r="AE287" s="36">
        <f t="shared" si="76"/>
        <v>0</v>
      </c>
      <c r="AF287" s="36"/>
      <c r="AG287" s="36"/>
      <c r="AH287" s="36">
        <f t="shared" si="77"/>
        <v>0</v>
      </c>
      <c r="AI287" s="36">
        <f t="shared" si="78"/>
        <v>0</v>
      </c>
      <c r="AJ287" s="36"/>
      <c r="AK287" s="36"/>
      <c r="AL287" s="36">
        <f t="shared" si="79"/>
        <v>0</v>
      </c>
      <c r="AM287" s="36">
        <f t="shared" si="80"/>
        <v>0</v>
      </c>
      <c r="AN287" s="36"/>
      <c r="AO287" s="36"/>
      <c r="AP287" s="36">
        <f t="shared" si="81"/>
        <v>0</v>
      </c>
      <c r="AQ287" s="36">
        <f t="shared" si="82"/>
        <v>0</v>
      </c>
    </row>
    <row r="288" spans="1:43" x14ac:dyDescent="0.55000000000000004">
      <c r="A288" s="30" t="e">
        <f t="shared" si="83"/>
        <v>#REF!</v>
      </c>
      <c r="B288" s="31">
        <v>45856</v>
      </c>
      <c r="C288" s="45"/>
      <c r="D288" s="33">
        <v>1</v>
      </c>
      <c r="E288" s="33"/>
      <c r="F288" s="33"/>
      <c r="G288" s="49" t="s">
        <v>513</v>
      </c>
      <c r="H288" s="37" t="s">
        <v>59</v>
      </c>
      <c r="I288" s="36">
        <v>0</v>
      </c>
      <c r="J288" s="37"/>
      <c r="K288" s="37"/>
      <c r="L288" s="37"/>
      <c r="M288" s="38"/>
      <c r="N288" s="39"/>
      <c r="O288" s="40">
        <v>787.5</v>
      </c>
      <c r="P288" s="37">
        <f t="shared" si="71"/>
        <v>0</v>
      </c>
      <c r="Q288" s="41"/>
      <c r="R288" s="42">
        <f t="shared" si="86"/>
        <v>0</v>
      </c>
      <c r="S288" s="42">
        <f t="shared" si="85"/>
        <v>0</v>
      </c>
      <c r="T288" s="43">
        <f t="shared" si="70"/>
        <v>0</v>
      </c>
      <c r="U288" s="43">
        <f t="shared" si="70"/>
        <v>0</v>
      </c>
      <c r="V288" s="44">
        <f t="shared" si="84"/>
        <v>0</v>
      </c>
      <c r="W288" s="36">
        <f t="shared" si="72"/>
        <v>0</v>
      </c>
      <c r="X288" s="36"/>
      <c r="Y288" s="36"/>
      <c r="Z288" s="36">
        <f t="shared" si="73"/>
        <v>0</v>
      </c>
      <c r="AA288" s="36">
        <f t="shared" si="74"/>
        <v>0</v>
      </c>
      <c r="AB288" s="36"/>
      <c r="AC288" s="36"/>
      <c r="AD288" s="36">
        <f t="shared" si="75"/>
        <v>0</v>
      </c>
      <c r="AE288" s="36">
        <f t="shared" si="76"/>
        <v>0</v>
      </c>
      <c r="AF288" s="36"/>
      <c r="AG288" s="36"/>
      <c r="AH288" s="36">
        <f t="shared" si="77"/>
        <v>0</v>
      </c>
      <c r="AI288" s="36">
        <f t="shared" si="78"/>
        <v>0</v>
      </c>
      <c r="AJ288" s="36"/>
      <c r="AK288" s="36"/>
      <c r="AL288" s="36">
        <f t="shared" si="79"/>
        <v>0</v>
      </c>
      <c r="AM288" s="36">
        <f t="shared" si="80"/>
        <v>0</v>
      </c>
      <c r="AN288" s="36"/>
      <c r="AO288" s="36"/>
      <c r="AP288" s="36">
        <f t="shared" si="81"/>
        <v>0</v>
      </c>
      <c r="AQ288" s="36">
        <f t="shared" si="82"/>
        <v>0</v>
      </c>
    </row>
    <row r="289" spans="1:43" x14ac:dyDescent="0.55000000000000004">
      <c r="A289" s="30" t="e">
        <f t="shared" si="83"/>
        <v>#REF!</v>
      </c>
      <c r="B289" s="31">
        <v>45856</v>
      </c>
      <c r="C289" s="45"/>
      <c r="D289" s="33">
        <v>1</v>
      </c>
      <c r="E289" s="33"/>
      <c r="F289" s="33"/>
      <c r="G289" s="49" t="s">
        <v>514</v>
      </c>
      <c r="H289" s="37" t="s">
        <v>515</v>
      </c>
      <c r="I289" s="36">
        <v>0</v>
      </c>
      <c r="J289" s="37"/>
      <c r="K289" s="37"/>
      <c r="L289" s="37"/>
      <c r="M289" s="38"/>
      <c r="N289" s="39"/>
      <c r="O289" s="40">
        <v>599.29999999999995</v>
      </c>
      <c r="P289" s="37">
        <f t="shared" si="71"/>
        <v>0</v>
      </c>
      <c r="Q289" s="41"/>
      <c r="R289" s="42">
        <f t="shared" si="86"/>
        <v>0</v>
      </c>
      <c r="S289" s="42">
        <f t="shared" si="85"/>
        <v>0</v>
      </c>
      <c r="T289" s="43">
        <f t="shared" si="70"/>
        <v>0</v>
      </c>
      <c r="U289" s="43">
        <f t="shared" si="70"/>
        <v>0</v>
      </c>
      <c r="V289" s="44">
        <f t="shared" si="84"/>
        <v>0</v>
      </c>
      <c r="W289" s="36">
        <f t="shared" si="72"/>
        <v>0</v>
      </c>
      <c r="X289" s="36"/>
      <c r="Y289" s="36"/>
      <c r="Z289" s="36">
        <f t="shared" si="73"/>
        <v>0</v>
      </c>
      <c r="AA289" s="36">
        <f t="shared" si="74"/>
        <v>0</v>
      </c>
      <c r="AB289" s="36"/>
      <c r="AC289" s="36"/>
      <c r="AD289" s="36">
        <f t="shared" si="75"/>
        <v>0</v>
      </c>
      <c r="AE289" s="36">
        <f t="shared" si="76"/>
        <v>0</v>
      </c>
      <c r="AF289" s="36"/>
      <c r="AG289" s="36"/>
      <c r="AH289" s="36">
        <f t="shared" si="77"/>
        <v>0</v>
      </c>
      <c r="AI289" s="36">
        <f t="shared" si="78"/>
        <v>0</v>
      </c>
      <c r="AJ289" s="36"/>
      <c r="AK289" s="36"/>
      <c r="AL289" s="36">
        <f t="shared" si="79"/>
        <v>0</v>
      </c>
      <c r="AM289" s="36">
        <f t="shared" si="80"/>
        <v>0</v>
      </c>
      <c r="AN289" s="36"/>
      <c r="AO289" s="36"/>
      <c r="AP289" s="36">
        <f t="shared" si="81"/>
        <v>0</v>
      </c>
      <c r="AQ289" s="36">
        <f t="shared" si="82"/>
        <v>0</v>
      </c>
    </row>
    <row r="290" spans="1:43" x14ac:dyDescent="0.55000000000000004">
      <c r="A290" s="30" t="e">
        <f t="shared" si="83"/>
        <v>#REF!</v>
      </c>
      <c r="B290" s="31">
        <v>45856</v>
      </c>
      <c r="C290" s="45"/>
      <c r="D290" s="33">
        <v>1</v>
      </c>
      <c r="E290" s="33"/>
      <c r="F290" s="33"/>
      <c r="G290" s="49" t="s">
        <v>516</v>
      </c>
      <c r="H290" s="37" t="s">
        <v>517</v>
      </c>
      <c r="I290" s="36">
        <v>0</v>
      </c>
      <c r="J290" s="37"/>
      <c r="K290" s="37"/>
      <c r="L290" s="37"/>
      <c r="M290" s="38"/>
      <c r="N290" s="39"/>
      <c r="O290" s="40">
        <v>744.66</v>
      </c>
      <c r="P290" s="37">
        <f t="shared" si="71"/>
        <v>0</v>
      </c>
      <c r="Q290" s="41"/>
      <c r="R290" s="42">
        <f t="shared" si="86"/>
        <v>0</v>
      </c>
      <c r="S290" s="42">
        <f t="shared" si="85"/>
        <v>0</v>
      </c>
      <c r="T290" s="43">
        <f t="shared" si="70"/>
        <v>0</v>
      </c>
      <c r="U290" s="43">
        <f t="shared" si="70"/>
        <v>0</v>
      </c>
      <c r="V290" s="44">
        <f t="shared" si="84"/>
        <v>0</v>
      </c>
      <c r="W290" s="36">
        <f t="shared" si="72"/>
        <v>0</v>
      </c>
      <c r="X290" s="36"/>
      <c r="Y290" s="36"/>
      <c r="Z290" s="36">
        <f t="shared" si="73"/>
        <v>0</v>
      </c>
      <c r="AA290" s="36">
        <f t="shared" si="74"/>
        <v>0</v>
      </c>
      <c r="AB290" s="36"/>
      <c r="AC290" s="36"/>
      <c r="AD290" s="36">
        <f t="shared" si="75"/>
        <v>0</v>
      </c>
      <c r="AE290" s="36">
        <f t="shared" si="76"/>
        <v>0</v>
      </c>
      <c r="AF290" s="36"/>
      <c r="AG290" s="36"/>
      <c r="AH290" s="36">
        <f t="shared" si="77"/>
        <v>0</v>
      </c>
      <c r="AI290" s="36">
        <f t="shared" si="78"/>
        <v>0</v>
      </c>
      <c r="AJ290" s="36"/>
      <c r="AK290" s="36"/>
      <c r="AL290" s="36">
        <f t="shared" si="79"/>
        <v>0</v>
      </c>
      <c r="AM290" s="36">
        <f t="shared" si="80"/>
        <v>0</v>
      </c>
      <c r="AN290" s="36"/>
      <c r="AO290" s="36"/>
      <c r="AP290" s="36">
        <f t="shared" si="81"/>
        <v>0</v>
      </c>
      <c r="AQ290" s="36">
        <f t="shared" si="82"/>
        <v>0</v>
      </c>
    </row>
    <row r="291" spans="1:43" x14ac:dyDescent="0.55000000000000004">
      <c r="A291" s="30" t="e">
        <f t="shared" si="83"/>
        <v>#REF!</v>
      </c>
      <c r="B291" s="31">
        <v>45856</v>
      </c>
      <c r="C291" s="45"/>
      <c r="D291" s="33"/>
      <c r="E291" s="33"/>
      <c r="F291" s="33"/>
      <c r="G291" s="49" t="s">
        <v>518</v>
      </c>
      <c r="H291" s="37" t="s">
        <v>519</v>
      </c>
      <c r="I291" s="36">
        <v>0</v>
      </c>
      <c r="J291" s="37"/>
      <c r="K291" s="37"/>
      <c r="L291" s="37"/>
      <c r="M291" s="38" t="s">
        <v>83</v>
      </c>
      <c r="N291" s="39" t="s">
        <v>49</v>
      </c>
      <c r="O291" s="40">
        <v>85.33</v>
      </c>
      <c r="P291" s="37">
        <f t="shared" si="71"/>
        <v>0</v>
      </c>
      <c r="Q291" s="41"/>
      <c r="R291" s="42">
        <f t="shared" si="86"/>
        <v>0</v>
      </c>
      <c r="S291" s="42">
        <f t="shared" si="85"/>
        <v>0</v>
      </c>
      <c r="T291" s="43">
        <f t="shared" si="70"/>
        <v>0</v>
      </c>
      <c r="U291" s="43">
        <f t="shared" si="70"/>
        <v>0</v>
      </c>
      <c r="V291" s="44">
        <f t="shared" si="84"/>
        <v>0</v>
      </c>
      <c r="W291" s="36">
        <f t="shared" si="72"/>
        <v>0</v>
      </c>
      <c r="X291" s="36"/>
      <c r="Y291" s="36"/>
      <c r="Z291" s="36">
        <f t="shared" si="73"/>
        <v>0</v>
      </c>
      <c r="AA291" s="36">
        <f t="shared" si="74"/>
        <v>0</v>
      </c>
      <c r="AB291" s="36"/>
      <c r="AC291" s="36"/>
      <c r="AD291" s="36">
        <f t="shared" si="75"/>
        <v>0</v>
      </c>
      <c r="AE291" s="36">
        <f t="shared" si="76"/>
        <v>0</v>
      </c>
      <c r="AF291" s="36"/>
      <c r="AG291" s="36"/>
      <c r="AH291" s="36">
        <f t="shared" si="77"/>
        <v>0</v>
      </c>
      <c r="AI291" s="36">
        <f t="shared" si="78"/>
        <v>0</v>
      </c>
      <c r="AJ291" s="36"/>
      <c r="AK291" s="36"/>
      <c r="AL291" s="36">
        <f t="shared" si="79"/>
        <v>0</v>
      </c>
      <c r="AM291" s="36">
        <f t="shared" si="80"/>
        <v>0</v>
      </c>
      <c r="AN291" s="36"/>
      <c r="AO291" s="36"/>
      <c r="AP291" s="36">
        <f t="shared" si="81"/>
        <v>0</v>
      </c>
      <c r="AQ291" s="36">
        <f t="shared" si="82"/>
        <v>0</v>
      </c>
    </row>
    <row r="292" spans="1:43" x14ac:dyDescent="0.55000000000000004">
      <c r="A292" s="30" t="e">
        <f t="shared" si="83"/>
        <v>#REF!</v>
      </c>
      <c r="B292" s="31">
        <v>45856</v>
      </c>
      <c r="C292" s="45"/>
      <c r="D292" s="33"/>
      <c r="E292" s="33"/>
      <c r="F292" s="33"/>
      <c r="G292" s="49" t="s">
        <v>520</v>
      </c>
      <c r="H292" s="37" t="s">
        <v>300</v>
      </c>
      <c r="I292" s="36">
        <v>0</v>
      </c>
      <c r="J292" s="37"/>
      <c r="K292" s="37"/>
      <c r="L292" s="37"/>
      <c r="M292" s="38" t="s">
        <v>265</v>
      </c>
      <c r="N292" s="39"/>
      <c r="O292" s="40">
        <v>247.63</v>
      </c>
      <c r="P292" s="37">
        <f t="shared" si="71"/>
        <v>0</v>
      </c>
      <c r="Q292" s="41"/>
      <c r="R292" s="42">
        <f t="shared" si="86"/>
        <v>0</v>
      </c>
      <c r="S292" s="42">
        <f t="shared" si="85"/>
        <v>0</v>
      </c>
      <c r="T292" s="43">
        <f t="shared" si="70"/>
        <v>0</v>
      </c>
      <c r="U292" s="43">
        <f t="shared" si="70"/>
        <v>0</v>
      </c>
      <c r="V292" s="44">
        <f t="shared" si="84"/>
        <v>0</v>
      </c>
      <c r="W292" s="36">
        <f t="shared" si="72"/>
        <v>0</v>
      </c>
      <c r="X292" s="36"/>
      <c r="Y292" s="36"/>
      <c r="Z292" s="36">
        <f t="shared" si="73"/>
        <v>0</v>
      </c>
      <c r="AA292" s="36">
        <f t="shared" si="74"/>
        <v>0</v>
      </c>
      <c r="AB292" s="36"/>
      <c r="AC292" s="36"/>
      <c r="AD292" s="36">
        <f t="shared" si="75"/>
        <v>0</v>
      </c>
      <c r="AE292" s="36">
        <f t="shared" si="76"/>
        <v>0</v>
      </c>
      <c r="AF292" s="36"/>
      <c r="AG292" s="36"/>
      <c r="AH292" s="36">
        <f t="shared" si="77"/>
        <v>0</v>
      </c>
      <c r="AI292" s="36">
        <f t="shared" si="78"/>
        <v>0</v>
      </c>
      <c r="AJ292" s="36"/>
      <c r="AK292" s="36"/>
      <c r="AL292" s="36">
        <f t="shared" si="79"/>
        <v>0</v>
      </c>
      <c r="AM292" s="36">
        <f t="shared" si="80"/>
        <v>0</v>
      </c>
      <c r="AN292" s="36"/>
      <c r="AO292" s="36"/>
      <c r="AP292" s="36">
        <f t="shared" si="81"/>
        <v>0</v>
      </c>
      <c r="AQ292" s="36">
        <f t="shared" si="82"/>
        <v>0</v>
      </c>
    </row>
    <row r="293" spans="1:43" x14ac:dyDescent="0.55000000000000004">
      <c r="A293" s="30" t="e">
        <f t="shared" si="83"/>
        <v>#REF!</v>
      </c>
      <c r="B293" s="31">
        <v>45856</v>
      </c>
      <c r="C293" s="45"/>
      <c r="D293" s="33"/>
      <c r="E293" s="33"/>
      <c r="F293" s="33"/>
      <c r="G293" s="49" t="s">
        <v>521</v>
      </c>
      <c r="H293" s="37" t="s">
        <v>116</v>
      </c>
      <c r="I293" s="36">
        <v>0</v>
      </c>
      <c r="J293" s="37"/>
      <c r="K293" s="37"/>
      <c r="L293" s="37"/>
      <c r="M293" s="38" t="s">
        <v>51</v>
      </c>
      <c r="N293" s="39"/>
      <c r="O293" s="40">
        <v>337.58</v>
      </c>
      <c r="P293" s="37">
        <f t="shared" si="71"/>
        <v>0</v>
      </c>
      <c r="Q293" s="41"/>
      <c r="R293" s="42">
        <f t="shared" si="86"/>
        <v>0</v>
      </c>
      <c r="S293" s="42">
        <f t="shared" si="85"/>
        <v>0</v>
      </c>
      <c r="T293" s="43">
        <f t="shared" si="70"/>
        <v>0</v>
      </c>
      <c r="U293" s="43">
        <f t="shared" si="70"/>
        <v>0</v>
      </c>
      <c r="V293" s="44">
        <f t="shared" si="84"/>
        <v>0</v>
      </c>
      <c r="W293" s="36">
        <f t="shared" si="72"/>
        <v>0</v>
      </c>
      <c r="X293" s="36"/>
      <c r="Y293" s="36"/>
      <c r="Z293" s="36">
        <f t="shared" si="73"/>
        <v>0</v>
      </c>
      <c r="AA293" s="36">
        <f t="shared" si="74"/>
        <v>0</v>
      </c>
      <c r="AB293" s="36"/>
      <c r="AC293" s="36"/>
      <c r="AD293" s="36">
        <f t="shared" si="75"/>
        <v>0</v>
      </c>
      <c r="AE293" s="36">
        <f t="shared" si="76"/>
        <v>0</v>
      </c>
      <c r="AF293" s="36"/>
      <c r="AG293" s="36"/>
      <c r="AH293" s="36">
        <f t="shared" si="77"/>
        <v>0</v>
      </c>
      <c r="AI293" s="36">
        <f t="shared" si="78"/>
        <v>0</v>
      </c>
      <c r="AJ293" s="36"/>
      <c r="AK293" s="36"/>
      <c r="AL293" s="36">
        <f t="shared" si="79"/>
        <v>0</v>
      </c>
      <c r="AM293" s="36">
        <f t="shared" si="80"/>
        <v>0</v>
      </c>
      <c r="AN293" s="36"/>
      <c r="AO293" s="36"/>
      <c r="AP293" s="36">
        <f t="shared" si="81"/>
        <v>0</v>
      </c>
      <c r="AQ293" s="36">
        <f t="shared" si="82"/>
        <v>0</v>
      </c>
    </row>
    <row r="294" spans="1:43" x14ac:dyDescent="0.55000000000000004">
      <c r="A294" s="30" t="e">
        <f t="shared" si="83"/>
        <v>#REF!</v>
      </c>
      <c r="B294" s="31">
        <v>45856</v>
      </c>
      <c r="C294" s="45"/>
      <c r="D294" s="33"/>
      <c r="E294" s="33"/>
      <c r="F294" s="33"/>
      <c r="G294" s="51" t="s">
        <v>522</v>
      </c>
      <c r="H294" s="37" t="s">
        <v>116</v>
      </c>
      <c r="I294" s="36">
        <v>2</v>
      </c>
      <c r="J294" s="37"/>
      <c r="K294" s="37"/>
      <c r="L294" s="37"/>
      <c r="M294" s="38" t="s">
        <v>51</v>
      </c>
      <c r="N294" s="39"/>
      <c r="O294" s="40">
        <v>381.6</v>
      </c>
      <c r="P294" s="37">
        <f t="shared" si="71"/>
        <v>763.2</v>
      </c>
      <c r="Q294" s="41"/>
      <c r="R294" s="42">
        <f t="shared" si="86"/>
        <v>0</v>
      </c>
      <c r="S294" s="42">
        <f t="shared" si="85"/>
        <v>0</v>
      </c>
      <c r="T294" s="43">
        <f t="shared" si="70"/>
        <v>0</v>
      </c>
      <c r="U294" s="43">
        <f t="shared" si="70"/>
        <v>0</v>
      </c>
      <c r="V294" s="44">
        <f t="shared" si="84"/>
        <v>2</v>
      </c>
      <c r="W294" s="36">
        <f t="shared" si="72"/>
        <v>763.2</v>
      </c>
      <c r="X294" s="36"/>
      <c r="Y294" s="36"/>
      <c r="Z294" s="36">
        <f t="shared" si="73"/>
        <v>0</v>
      </c>
      <c r="AA294" s="36">
        <f t="shared" si="74"/>
        <v>0</v>
      </c>
      <c r="AB294" s="36"/>
      <c r="AC294" s="36"/>
      <c r="AD294" s="36">
        <f t="shared" si="75"/>
        <v>0</v>
      </c>
      <c r="AE294" s="36">
        <f t="shared" si="76"/>
        <v>0</v>
      </c>
      <c r="AF294" s="36"/>
      <c r="AG294" s="36"/>
      <c r="AH294" s="36">
        <f t="shared" si="77"/>
        <v>0</v>
      </c>
      <c r="AI294" s="36">
        <f t="shared" si="78"/>
        <v>0</v>
      </c>
      <c r="AJ294" s="36"/>
      <c r="AK294" s="36"/>
      <c r="AL294" s="36">
        <f t="shared" si="79"/>
        <v>0</v>
      </c>
      <c r="AM294" s="36">
        <f t="shared" si="80"/>
        <v>0</v>
      </c>
      <c r="AN294" s="36"/>
      <c r="AO294" s="36"/>
      <c r="AP294" s="36">
        <f t="shared" si="81"/>
        <v>0</v>
      </c>
      <c r="AQ294" s="36">
        <f t="shared" si="82"/>
        <v>0</v>
      </c>
    </row>
    <row r="295" spans="1:43" x14ac:dyDescent="0.55000000000000004">
      <c r="A295" s="30" t="e">
        <f t="shared" si="83"/>
        <v>#REF!</v>
      </c>
      <c r="B295" s="31">
        <v>45856</v>
      </c>
      <c r="C295" s="45"/>
      <c r="D295" s="33"/>
      <c r="E295" s="33"/>
      <c r="F295" s="33"/>
      <c r="G295" s="51" t="s">
        <v>523</v>
      </c>
      <c r="H295" s="37" t="s">
        <v>116</v>
      </c>
      <c r="I295" s="36">
        <v>2</v>
      </c>
      <c r="J295" s="37"/>
      <c r="K295" s="37"/>
      <c r="L295" s="37"/>
      <c r="M295" s="38" t="s">
        <v>51</v>
      </c>
      <c r="N295" s="39"/>
      <c r="O295" s="40">
        <v>239.23</v>
      </c>
      <c r="P295" s="37">
        <f t="shared" si="71"/>
        <v>478.46</v>
      </c>
      <c r="Q295" s="41"/>
      <c r="R295" s="42">
        <f t="shared" si="86"/>
        <v>0</v>
      </c>
      <c r="S295" s="42">
        <f t="shared" si="85"/>
        <v>0</v>
      </c>
      <c r="T295" s="43">
        <f t="shared" si="70"/>
        <v>0</v>
      </c>
      <c r="U295" s="43">
        <f t="shared" si="70"/>
        <v>0</v>
      </c>
      <c r="V295" s="44">
        <v>1</v>
      </c>
      <c r="W295" s="36">
        <f t="shared" si="72"/>
        <v>239.23</v>
      </c>
      <c r="X295" s="36"/>
      <c r="Y295" s="36"/>
      <c r="Z295" s="36">
        <f t="shared" si="73"/>
        <v>0</v>
      </c>
      <c r="AA295" s="36">
        <f t="shared" si="74"/>
        <v>0</v>
      </c>
      <c r="AB295" s="36"/>
      <c r="AC295" s="36"/>
      <c r="AD295" s="36">
        <f t="shared" si="75"/>
        <v>0</v>
      </c>
      <c r="AE295" s="36">
        <f t="shared" si="76"/>
        <v>0</v>
      </c>
      <c r="AF295" s="36"/>
      <c r="AG295" s="36"/>
      <c r="AH295" s="36">
        <f t="shared" si="77"/>
        <v>0</v>
      </c>
      <c r="AI295" s="36">
        <f t="shared" si="78"/>
        <v>0</v>
      </c>
      <c r="AJ295" s="36"/>
      <c r="AK295" s="36"/>
      <c r="AL295" s="36">
        <f t="shared" si="79"/>
        <v>0</v>
      </c>
      <c r="AM295" s="36">
        <f t="shared" si="80"/>
        <v>0</v>
      </c>
      <c r="AN295" s="36"/>
      <c r="AO295" s="36"/>
      <c r="AP295" s="36">
        <f t="shared" si="81"/>
        <v>0</v>
      </c>
      <c r="AQ295" s="36">
        <f t="shared" si="82"/>
        <v>0</v>
      </c>
    </row>
    <row r="296" spans="1:43" x14ac:dyDescent="0.55000000000000004">
      <c r="A296" s="30" t="e">
        <f t="shared" si="83"/>
        <v>#REF!</v>
      </c>
      <c r="B296" s="31">
        <v>45856</v>
      </c>
      <c r="C296" s="45"/>
      <c r="D296" s="33"/>
      <c r="E296" s="33"/>
      <c r="F296" s="33"/>
      <c r="G296" s="51" t="s">
        <v>524</v>
      </c>
      <c r="H296" s="37" t="s">
        <v>116</v>
      </c>
      <c r="I296" s="36">
        <v>2</v>
      </c>
      <c r="J296" s="37"/>
      <c r="K296" s="37"/>
      <c r="L296" s="37"/>
      <c r="M296" s="38" t="s">
        <v>77</v>
      </c>
      <c r="N296" s="39"/>
      <c r="O296" s="40">
        <v>727.33</v>
      </c>
      <c r="P296" s="37">
        <f t="shared" si="71"/>
        <v>1454.66</v>
      </c>
      <c r="Q296" s="41"/>
      <c r="R296" s="42">
        <f t="shared" si="86"/>
        <v>0</v>
      </c>
      <c r="S296" s="42">
        <f t="shared" si="85"/>
        <v>0</v>
      </c>
      <c r="T296" s="43">
        <f t="shared" si="70"/>
        <v>0</v>
      </c>
      <c r="U296" s="43">
        <f t="shared" si="70"/>
        <v>0</v>
      </c>
      <c r="V296" s="44">
        <v>0</v>
      </c>
      <c r="W296" s="36">
        <f t="shared" si="72"/>
        <v>0</v>
      </c>
      <c r="X296" s="36"/>
      <c r="Y296" s="36"/>
      <c r="Z296" s="36">
        <f t="shared" si="73"/>
        <v>0</v>
      </c>
      <c r="AA296" s="36">
        <f t="shared" si="74"/>
        <v>0</v>
      </c>
      <c r="AB296" s="36"/>
      <c r="AC296" s="36"/>
      <c r="AD296" s="36">
        <f t="shared" si="75"/>
        <v>0</v>
      </c>
      <c r="AE296" s="36">
        <f t="shared" si="76"/>
        <v>0</v>
      </c>
      <c r="AF296" s="36"/>
      <c r="AG296" s="36"/>
      <c r="AH296" s="36">
        <f t="shared" si="77"/>
        <v>0</v>
      </c>
      <c r="AI296" s="36">
        <f t="shared" si="78"/>
        <v>0</v>
      </c>
      <c r="AJ296" s="36"/>
      <c r="AK296" s="36"/>
      <c r="AL296" s="36">
        <f t="shared" si="79"/>
        <v>0</v>
      </c>
      <c r="AM296" s="36">
        <f t="shared" si="80"/>
        <v>0</v>
      </c>
      <c r="AN296" s="36"/>
      <c r="AO296" s="36"/>
      <c r="AP296" s="36">
        <f t="shared" si="81"/>
        <v>0</v>
      </c>
      <c r="AQ296" s="36">
        <f t="shared" si="82"/>
        <v>0</v>
      </c>
    </row>
    <row r="297" spans="1:43" x14ac:dyDescent="0.55000000000000004">
      <c r="A297" s="30" t="e">
        <f>+#REF!+1</f>
        <v>#REF!</v>
      </c>
      <c r="B297" s="31">
        <v>45862</v>
      </c>
      <c r="C297" s="45"/>
      <c r="D297" s="33"/>
      <c r="E297" s="33"/>
      <c r="F297" s="33"/>
      <c r="G297" s="50" t="s">
        <v>525</v>
      </c>
      <c r="H297" s="37" t="s">
        <v>46</v>
      </c>
      <c r="I297" s="36">
        <v>2</v>
      </c>
      <c r="J297" s="37"/>
      <c r="K297" s="37"/>
      <c r="L297" s="37"/>
      <c r="M297" s="60" t="s">
        <v>102</v>
      </c>
      <c r="N297" s="54" t="s">
        <v>41</v>
      </c>
      <c r="O297" s="40">
        <v>68.08</v>
      </c>
      <c r="P297" s="37">
        <f t="shared" si="71"/>
        <v>136.16</v>
      </c>
      <c r="Q297" s="41"/>
      <c r="R297" s="42">
        <f t="shared" si="86"/>
        <v>0</v>
      </c>
      <c r="S297" s="42">
        <f t="shared" si="85"/>
        <v>0</v>
      </c>
      <c r="T297" s="43">
        <f t="shared" si="70"/>
        <v>0</v>
      </c>
      <c r="U297" s="43">
        <f t="shared" si="70"/>
        <v>0</v>
      </c>
      <c r="V297" s="44">
        <f t="shared" si="84"/>
        <v>2</v>
      </c>
      <c r="W297" s="36">
        <f t="shared" si="72"/>
        <v>136.16</v>
      </c>
      <c r="X297" s="36"/>
      <c r="Y297" s="36"/>
      <c r="Z297" s="36">
        <f t="shared" si="73"/>
        <v>0</v>
      </c>
      <c r="AA297" s="36">
        <f t="shared" si="74"/>
        <v>0</v>
      </c>
      <c r="AB297" s="36"/>
      <c r="AC297" s="36"/>
      <c r="AD297" s="36">
        <f>AB297*O297</f>
        <v>0</v>
      </c>
      <c r="AE297" s="36">
        <f>AC297*O297</f>
        <v>0</v>
      </c>
      <c r="AF297" s="36"/>
      <c r="AG297" s="36"/>
      <c r="AH297" s="36">
        <f t="shared" si="77"/>
        <v>0</v>
      </c>
      <c r="AI297" s="36">
        <f t="shared" si="78"/>
        <v>0</v>
      </c>
      <c r="AJ297" s="36"/>
      <c r="AK297" s="36"/>
      <c r="AL297" s="36">
        <f t="shared" si="79"/>
        <v>0</v>
      </c>
      <c r="AM297" s="36">
        <f t="shared" si="80"/>
        <v>0</v>
      </c>
      <c r="AN297" s="36"/>
      <c r="AO297" s="36"/>
      <c r="AP297" s="36">
        <f t="shared" si="81"/>
        <v>0</v>
      </c>
      <c r="AQ297" s="36">
        <f t="shared" si="82"/>
        <v>0</v>
      </c>
    </row>
    <row r="298" spans="1:43" x14ac:dyDescent="0.55000000000000004">
      <c r="A298" s="30" t="e">
        <f t="shared" si="83"/>
        <v>#REF!</v>
      </c>
      <c r="B298" s="31">
        <v>45862</v>
      </c>
      <c r="C298" s="45"/>
      <c r="D298" s="33"/>
      <c r="E298" s="33"/>
      <c r="F298" s="33"/>
      <c r="G298" s="49" t="s">
        <v>526</v>
      </c>
      <c r="H298" s="37" t="s">
        <v>59</v>
      </c>
      <c r="I298" s="36">
        <v>0</v>
      </c>
      <c r="J298" s="37"/>
      <c r="K298" s="37"/>
      <c r="L298" s="37"/>
      <c r="M298" s="38" t="s">
        <v>35</v>
      </c>
      <c r="N298" s="39"/>
      <c r="O298" s="40">
        <v>675</v>
      </c>
      <c r="P298" s="37">
        <f t="shared" si="71"/>
        <v>0</v>
      </c>
      <c r="Q298" s="41"/>
      <c r="R298" s="42">
        <f t="shared" si="86"/>
        <v>0</v>
      </c>
      <c r="S298" s="42">
        <f t="shared" si="85"/>
        <v>0</v>
      </c>
      <c r="T298" s="43">
        <f t="shared" si="70"/>
        <v>0</v>
      </c>
      <c r="U298" s="43">
        <f t="shared" si="70"/>
        <v>0</v>
      </c>
      <c r="V298" s="44">
        <f t="shared" si="84"/>
        <v>0</v>
      </c>
      <c r="W298" s="36">
        <f t="shared" si="72"/>
        <v>0</v>
      </c>
      <c r="X298" s="36"/>
      <c r="Y298" s="36"/>
      <c r="Z298" s="36">
        <f t="shared" si="73"/>
        <v>0</v>
      </c>
      <c r="AA298" s="36">
        <f t="shared" si="74"/>
        <v>0</v>
      </c>
      <c r="AB298" s="36"/>
      <c r="AC298" s="36"/>
      <c r="AD298" s="36">
        <f t="shared" si="75"/>
        <v>0</v>
      </c>
      <c r="AE298" s="36">
        <f t="shared" si="76"/>
        <v>0</v>
      </c>
      <c r="AF298" s="36"/>
      <c r="AG298" s="36"/>
      <c r="AH298" s="36">
        <f t="shared" si="77"/>
        <v>0</v>
      </c>
      <c r="AI298" s="36">
        <f t="shared" si="78"/>
        <v>0</v>
      </c>
      <c r="AJ298" s="36"/>
      <c r="AK298" s="36"/>
      <c r="AL298" s="36">
        <f t="shared" si="79"/>
        <v>0</v>
      </c>
      <c r="AM298" s="36">
        <f t="shared" si="80"/>
        <v>0</v>
      </c>
      <c r="AN298" s="36"/>
      <c r="AO298" s="36"/>
      <c r="AP298" s="36">
        <f t="shared" si="81"/>
        <v>0</v>
      </c>
      <c r="AQ298" s="36">
        <f t="shared" si="82"/>
        <v>0</v>
      </c>
    </row>
    <row r="299" spans="1:43" x14ac:dyDescent="0.55000000000000004">
      <c r="A299" s="30" t="e">
        <f t="shared" si="83"/>
        <v>#REF!</v>
      </c>
      <c r="B299" s="31">
        <v>45862</v>
      </c>
      <c r="C299" s="45"/>
      <c r="D299" s="33"/>
      <c r="E299" s="33"/>
      <c r="F299" s="33"/>
      <c r="G299" s="51" t="s">
        <v>527</v>
      </c>
      <c r="H299" s="37" t="s">
        <v>300</v>
      </c>
      <c r="I299" s="36">
        <v>1</v>
      </c>
      <c r="J299" s="37"/>
      <c r="K299" s="37"/>
      <c r="L299" s="37"/>
      <c r="M299" s="38" t="s">
        <v>265</v>
      </c>
      <c r="N299" s="39"/>
      <c r="O299" s="40">
        <v>858.3</v>
      </c>
      <c r="P299" s="37">
        <f t="shared" si="71"/>
        <v>858.3</v>
      </c>
      <c r="Q299" s="41"/>
      <c r="R299" s="42">
        <f t="shared" si="86"/>
        <v>0</v>
      </c>
      <c r="S299" s="42">
        <f t="shared" si="85"/>
        <v>0</v>
      </c>
      <c r="T299" s="43">
        <f t="shared" si="70"/>
        <v>0</v>
      </c>
      <c r="U299" s="43">
        <f t="shared" si="70"/>
        <v>0</v>
      </c>
      <c r="V299" s="44">
        <f t="shared" si="84"/>
        <v>1</v>
      </c>
      <c r="W299" s="36">
        <f t="shared" si="72"/>
        <v>858.3</v>
      </c>
      <c r="X299" s="36"/>
      <c r="Y299" s="36"/>
      <c r="Z299" s="36">
        <f t="shared" si="73"/>
        <v>0</v>
      </c>
      <c r="AA299" s="36">
        <f t="shared" si="74"/>
        <v>0</v>
      </c>
      <c r="AB299" s="36"/>
      <c r="AC299" s="36"/>
      <c r="AD299" s="36">
        <f t="shared" si="75"/>
        <v>0</v>
      </c>
      <c r="AE299" s="36">
        <f t="shared" si="76"/>
        <v>0</v>
      </c>
      <c r="AF299" s="36"/>
      <c r="AG299" s="36"/>
      <c r="AH299" s="36">
        <f t="shared" si="77"/>
        <v>0</v>
      </c>
      <c r="AI299" s="36">
        <f t="shared" si="78"/>
        <v>0</v>
      </c>
      <c r="AJ299" s="36"/>
      <c r="AK299" s="36"/>
      <c r="AL299" s="36">
        <f t="shared" si="79"/>
        <v>0</v>
      </c>
      <c r="AM299" s="36">
        <f t="shared" si="80"/>
        <v>0</v>
      </c>
      <c r="AN299" s="36"/>
      <c r="AO299" s="36"/>
      <c r="AP299" s="36">
        <f t="shared" si="81"/>
        <v>0</v>
      </c>
      <c r="AQ299" s="36">
        <f t="shared" si="82"/>
        <v>0</v>
      </c>
    </row>
    <row r="300" spans="1:43" x14ac:dyDescent="0.55000000000000004">
      <c r="A300" s="30" t="e">
        <f t="shared" si="83"/>
        <v>#REF!</v>
      </c>
      <c r="B300" s="31">
        <v>45862</v>
      </c>
      <c r="C300" s="45"/>
      <c r="D300" s="33"/>
      <c r="E300" s="33"/>
      <c r="F300" s="33"/>
      <c r="G300" s="51" t="s">
        <v>528</v>
      </c>
      <c r="H300" s="37" t="s">
        <v>300</v>
      </c>
      <c r="I300" s="36">
        <v>3</v>
      </c>
      <c r="J300" s="37"/>
      <c r="K300" s="37"/>
      <c r="L300" s="37"/>
      <c r="M300" s="38" t="s">
        <v>410</v>
      </c>
      <c r="N300" s="39"/>
      <c r="O300" s="47">
        <v>554</v>
      </c>
      <c r="P300" s="37">
        <f t="shared" si="71"/>
        <v>1662</v>
      </c>
      <c r="Q300" s="41"/>
      <c r="R300" s="42">
        <f t="shared" si="86"/>
        <v>0</v>
      </c>
      <c r="S300" s="42">
        <f t="shared" si="85"/>
        <v>554</v>
      </c>
      <c r="T300" s="43">
        <f t="shared" si="70"/>
        <v>0</v>
      </c>
      <c r="U300" s="43">
        <f t="shared" si="70"/>
        <v>1</v>
      </c>
      <c r="V300" s="44">
        <f t="shared" si="84"/>
        <v>2</v>
      </c>
      <c r="W300" s="36">
        <f t="shared" si="72"/>
        <v>1108</v>
      </c>
      <c r="X300" s="36"/>
      <c r="Y300" s="36">
        <v>1</v>
      </c>
      <c r="Z300" s="36">
        <f t="shared" si="73"/>
        <v>0</v>
      </c>
      <c r="AA300" s="36">
        <f t="shared" si="74"/>
        <v>554</v>
      </c>
      <c r="AB300" s="36"/>
      <c r="AC300" s="36"/>
      <c r="AD300" s="36">
        <f t="shared" si="75"/>
        <v>0</v>
      </c>
      <c r="AE300" s="36">
        <f t="shared" si="76"/>
        <v>0</v>
      </c>
      <c r="AF300" s="36"/>
      <c r="AG300" s="36"/>
      <c r="AH300" s="36">
        <f t="shared" si="77"/>
        <v>0</v>
      </c>
      <c r="AI300" s="36">
        <f t="shared" si="78"/>
        <v>0</v>
      </c>
      <c r="AJ300" s="36"/>
      <c r="AK300" s="36"/>
      <c r="AL300" s="36">
        <f t="shared" si="79"/>
        <v>0</v>
      </c>
      <c r="AM300" s="36">
        <f t="shared" si="80"/>
        <v>0</v>
      </c>
      <c r="AN300" s="36"/>
      <c r="AO300" s="36"/>
      <c r="AP300" s="36">
        <f t="shared" si="81"/>
        <v>0</v>
      </c>
      <c r="AQ300" s="36">
        <f t="shared" si="82"/>
        <v>0</v>
      </c>
    </row>
    <row r="301" spans="1:43" x14ac:dyDescent="0.55000000000000004">
      <c r="A301" s="30" t="e">
        <f t="shared" si="83"/>
        <v>#REF!</v>
      </c>
      <c r="B301" s="31">
        <v>45869</v>
      </c>
      <c r="C301" s="45"/>
      <c r="D301" s="33"/>
      <c r="E301" s="33"/>
      <c r="F301" s="33"/>
      <c r="G301" s="49" t="s">
        <v>529</v>
      </c>
      <c r="H301" s="37" t="s">
        <v>530</v>
      </c>
      <c r="I301" s="36">
        <v>0</v>
      </c>
      <c r="J301" s="37"/>
      <c r="K301" s="37"/>
      <c r="L301" s="37"/>
      <c r="M301" s="38" t="s">
        <v>189</v>
      </c>
      <c r="N301" s="39"/>
      <c r="O301" s="47">
        <v>145</v>
      </c>
      <c r="P301" s="37">
        <f t="shared" si="71"/>
        <v>0</v>
      </c>
      <c r="Q301" s="41"/>
      <c r="R301" s="42">
        <f t="shared" si="86"/>
        <v>0</v>
      </c>
      <c r="S301" s="42">
        <f t="shared" si="85"/>
        <v>0</v>
      </c>
      <c r="T301" s="43">
        <f t="shared" si="70"/>
        <v>0</v>
      </c>
      <c r="U301" s="43">
        <f t="shared" si="70"/>
        <v>0</v>
      </c>
      <c r="V301" s="44">
        <f t="shared" si="84"/>
        <v>0</v>
      </c>
      <c r="W301" s="36">
        <f t="shared" si="72"/>
        <v>0</v>
      </c>
      <c r="X301" s="36"/>
      <c r="Y301" s="36"/>
      <c r="Z301" s="36">
        <f t="shared" si="73"/>
        <v>0</v>
      </c>
      <c r="AA301" s="36">
        <f t="shared" si="74"/>
        <v>0</v>
      </c>
      <c r="AB301" s="36"/>
      <c r="AC301" s="36"/>
      <c r="AD301" s="36">
        <f t="shared" si="75"/>
        <v>0</v>
      </c>
      <c r="AE301" s="36">
        <f t="shared" si="76"/>
        <v>0</v>
      </c>
      <c r="AF301" s="36"/>
      <c r="AG301" s="36"/>
      <c r="AH301" s="36">
        <f t="shared" si="77"/>
        <v>0</v>
      </c>
      <c r="AI301" s="36">
        <f t="shared" si="78"/>
        <v>0</v>
      </c>
      <c r="AJ301" s="36"/>
      <c r="AK301" s="36"/>
      <c r="AL301" s="36">
        <f t="shared" si="79"/>
        <v>0</v>
      </c>
      <c r="AM301" s="36">
        <f t="shared" si="80"/>
        <v>0</v>
      </c>
      <c r="AN301" s="36"/>
      <c r="AO301" s="36"/>
      <c r="AP301" s="36">
        <f t="shared" si="81"/>
        <v>0</v>
      </c>
      <c r="AQ301" s="36">
        <f t="shared" si="82"/>
        <v>0</v>
      </c>
    </row>
    <row r="302" spans="1:43" x14ac:dyDescent="0.55000000000000004">
      <c r="A302" s="30" t="e">
        <f t="shared" si="83"/>
        <v>#REF!</v>
      </c>
      <c r="B302" s="31">
        <v>45869</v>
      </c>
      <c r="C302" s="45"/>
      <c r="D302" s="33"/>
      <c r="E302" s="33"/>
      <c r="F302" s="33"/>
      <c r="G302" s="51" t="s">
        <v>531</v>
      </c>
      <c r="H302" s="75" t="s">
        <v>68</v>
      </c>
      <c r="I302" s="36">
        <v>1</v>
      </c>
      <c r="J302" s="37"/>
      <c r="K302" s="37"/>
      <c r="L302" s="37"/>
      <c r="M302" s="38" t="s">
        <v>122</v>
      </c>
      <c r="N302" s="39"/>
      <c r="O302" s="47">
        <v>774.48</v>
      </c>
      <c r="P302" s="37">
        <f t="shared" si="71"/>
        <v>774.48</v>
      </c>
      <c r="Q302" s="41"/>
      <c r="R302" s="42">
        <f t="shared" si="86"/>
        <v>0</v>
      </c>
      <c r="S302" s="42">
        <f t="shared" si="85"/>
        <v>0</v>
      </c>
      <c r="T302" s="43">
        <f t="shared" si="70"/>
        <v>0</v>
      </c>
      <c r="U302" s="43">
        <f t="shared" si="70"/>
        <v>0</v>
      </c>
      <c r="V302" s="44">
        <f t="shared" si="84"/>
        <v>1</v>
      </c>
      <c r="W302" s="36">
        <f t="shared" si="72"/>
        <v>774.48</v>
      </c>
      <c r="X302" s="36"/>
      <c r="Y302" s="36"/>
      <c r="Z302" s="36">
        <f t="shared" si="73"/>
        <v>0</v>
      </c>
      <c r="AA302" s="36">
        <f t="shared" si="74"/>
        <v>0</v>
      </c>
      <c r="AB302" s="36"/>
      <c r="AC302" s="36"/>
      <c r="AD302" s="36">
        <f t="shared" si="75"/>
        <v>0</v>
      </c>
      <c r="AE302" s="36">
        <f t="shared" si="76"/>
        <v>0</v>
      </c>
      <c r="AF302" s="36"/>
      <c r="AG302" s="36"/>
      <c r="AH302" s="36">
        <f t="shared" si="77"/>
        <v>0</v>
      </c>
      <c r="AI302" s="36">
        <f t="shared" si="78"/>
        <v>0</v>
      </c>
      <c r="AJ302" s="36"/>
      <c r="AK302" s="36"/>
      <c r="AL302" s="36">
        <f t="shared" si="79"/>
        <v>0</v>
      </c>
      <c r="AM302" s="36">
        <f t="shared" si="80"/>
        <v>0</v>
      </c>
      <c r="AN302" s="36"/>
      <c r="AO302" s="36"/>
      <c r="AP302" s="36">
        <f t="shared" si="81"/>
        <v>0</v>
      </c>
      <c r="AQ302" s="36">
        <f t="shared" si="82"/>
        <v>0</v>
      </c>
    </row>
    <row r="303" spans="1:43" x14ac:dyDescent="0.55000000000000004">
      <c r="A303" s="30" t="e">
        <f t="shared" si="83"/>
        <v>#REF!</v>
      </c>
      <c r="B303" s="31">
        <v>45869</v>
      </c>
      <c r="C303" s="45"/>
      <c r="D303" s="33"/>
      <c r="E303" s="33"/>
      <c r="F303" s="33"/>
      <c r="G303" s="51" t="s">
        <v>532</v>
      </c>
      <c r="H303" s="37" t="s">
        <v>112</v>
      </c>
      <c r="I303" s="36">
        <v>1</v>
      </c>
      <c r="J303" s="37"/>
      <c r="K303" s="37"/>
      <c r="L303" s="37"/>
      <c r="M303" s="38" t="s">
        <v>122</v>
      </c>
      <c r="N303" s="39"/>
      <c r="O303" s="47">
        <v>1047.9000000000001</v>
      </c>
      <c r="P303" s="37">
        <f t="shared" si="71"/>
        <v>1047.9000000000001</v>
      </c>
      <c r="Q303" s="41"/>
      <c r="R303" s="42">
        <f t="shared" si="86"/>
        <v>0</v>
      </c>
      <c r="S303" s="42">
        <f t="shared" si="85"/>
        <v>0</v>
      </c>
      <c r="T303" s="43">
        <f t="shared" si="70"/>
        <v>0</v>
      </c>
      <c r="U303" s="43">
        <f t="shared" si="70"/>
        <v>0</v>
      </c>
      <c r="V303" s="44">
        <f t="shared" si="84"/>
        <v>1</v>
      </c>
      <c r="W303" s="36">
        <f t="shared" si="72"/>
        <v>1047.9000000000001</v>
      </c>
      <c r="X303" s="36"/>
      <c r="Y303" s="36"/>
      <c r="Z303" s="36">
        <f t="shared" si="73"/>
        <v>0</v>
      </c>
      <c r="AA303" s="36">
        <f t="shared" si="74"/>
        <v>0</v>
      </c>
      <c r="AB303" s="36"/>
      <c r="AC303" s="36"/>
      <c r="AD303" s="36">
        <f t="shared" si="75"/>
        <v>0</v>
      </c>
      <c r="AE303" s="36">
        <f t="shared" si="76"/>
        <v>0</v>
      </c>
      <c r="AF303" s="36"/>
      <c r="AG303" s="36"/>
      <c r="AH303" s="36">
        <f t="shared" si="77"/>
        <v>0</v>
      </c>
      <c r="AI303" s="36">
        <f t="shared" si="78"/>
        <v>0</v>
      </c>
      <c r="AJ303" s="36"/>
      <c r="AK303" s="36"/>
      <c r="AL303" s="36">
        <f t="shared" si="79"/>
        <v>0</v>
      </c>
      <c r="AM303" s="36">
        <f t="shared" si="80"/>
        <v>0</v>
      </c>
      <c r="AN303" s="36"/>
      <c r="AO303" s="36"/>
      <c r="AP303" s="36">
        <f t="shared" si="81"/>
        <v>0</v>
      </c>
      <c r="AQ303" s="36">
        <f t="shared" si="82"/>
        <v>0</v>
      </c>
    </row>
    <row r="304" spans="1:43" x14ac:dyDescent="0.55000000000000004">
      <c r="A304" s="30" t="e">
        <f t="shared" si="83"/>
        <v>#REF!</v>
      </c>
      <c r="B304" s="31">
        <v>45881</v>
      </c>
      <c r="C304" s="45"/>
      <c r="D304" s="33"/>
      <c r="E304" s="33"/>
      <c r="F304" s="33"/>
      <c r="G304" s="49" t="s">
        <v>533</v>
      </c>
      <c r="H304" s="37" t="s">
        <v>201</v>
      </c>
      <c r="I304" s="36">
        <v>0</v>
      </c>
      <c r="J304" s="37" t="s">
        <v>64</v>
      </c>
      <c r="K304" s="37"/>
      <c r="L304" s="37"/>
      <c r="M304" s="38" t="s">
        <v>83</v>
      </c>
      <c r="N304" s="39"/>
      <c r="O304" s="47">
        <v>750</v>
      </c>
      <c r="P304" s="37">
        <f t="shared" si="71"/>
        <v>0</v>
      </c>
      <c r="Q304" s="41"/>
      <c r="R304" s="42">
        <f t="shared" si="86"/>
        <v>0</v>
      </c>
      <c r="S304" s="42">
        <f t="shared" si="85"/>
        <v>0</v>
      </c>
      <c r="T304" s="43">
        <f t="shared" si="70"/>
        <v>0</v>
      </c>
      <c r="U304" s="43">
        <f t="shared" si="70"/>
        <v>0</v>
      </c>
      <c r="V304" s="44">
        <f t="shared" si="84"/>
        <v>0</v>
      </c>
      <c r="W304" s="36">
        <f t="shared" si="72"/>
        <v>0</v>
      </c>
      <c r="X304" s="36"/>
      <c r="Y304" s="36"/>
      <c r="Z304" s="36">
        <f t="shared" si="73"/>
        <v>0</v>
      </c>
      <c r="AA304" s="36">
        <f t="shared" si="74"/>
        <v>0</v>
      </c>
      <c r="AB304" s="36"/>
      <c r="AC304" s="36"/>
      <c r="AD304" s="36">
        <f t="shared" si="75"/>
        <v>0</v>
      </c>
      <c r="AE304" s="36">
        <f t="shared" si="76"/>
        <v>0</v>
      </c>
      <c r="AF304" s="36"/>
      <c r="AG304" s="36"/>
      <c r="AH304" s="36">
        <f t="shared" si="77"/>
        <v>0</v>
      </c>
      <c r="AI304" s="36">
        <f t="shared" si="78"/>
        <v>0</v>
      </c>
      <c r="AJ304" s="36"/>
      <c r="AK304" s="36"/>
      <c r="AL304" s="36">
        <f t="shared" si="79"/>
        <v>0</v>
      </c>
      <c r="AM304" s="36">
        <f t="shared" si="80"/>
        <v>0</v>
      </c>
      <c r="AN304" s="36"/>
      <c r="AO304" s="36"/>
      <c r="AP304" s="36">
        <f t="shared" si="81"/>
        <v>0</v>
      </c>
      <c r="AQ304" s="36">
        <f t="shared" si="82"/>
        <v>0</v>
      </c>
    </row>
    <row r="305" spans="1:43" x14ac:dyDescent="0.55000000000000004">
      <c r="A305" s="30" t="e">
        <f t="shared" si="83"/>
        <v>#REF!</v>
      </c>
      <c r="B305" s="31">
        <v>45888</v>
      </c>
      <c r="C305" s="45"/>
      <c r="D305" s="33"/>
      <c r="E305" s="33"/>
      <c r="F305" s="33"/>
      <c r="G305" s="51" t="s">
        <v>534</v>
      </c>
      <c r="H305" s="37" t="s">
        <v>338</v>
      </c>
      <c r="I305" s="36">
        <v>1</v>
      </c>
      <c r="J305" s="37"/>
      <c r="K305" s="37"/>
      <c r="L305" s="37"/>
      <c r="M305" s="38" t="s">
        <v>189</v>
      </c>
      <c r="N305" s="39"/>
      <c r="O305" s="47">
        <v>540</v>
      </c>
      <c r="P305" s="37">
        <f t="shared" si="71"/>
        <v>540</v>
      </c>
      <c r="Q305" s="41"/>
      <c r="R305" s="42">
        <f t="shared" si="86"/>
        <v>0</v>
      </c>
      <c r="S305" s="42">
        <f t="shared" si="85"/>
        <v>0</v>
      </c>
      <c r="T305" s="43">
        <f t="shared" si="70"/>
        <v>0</v>
      </c>
      <c r="U305" s="43">
        <f t="shared" si="70"/>
        <v>0</v>
      </c>
      <c r="V305" s="44">
        <f t="shared" si="84"/>
        <v>1</v>
      </c>
      <c r="W305" s="36">
        <f t="shared" si="72"/>
        <v>540</v>
      </c>
      <c r="X305" s="36"/>
      <c r="Y305" s="36"/>
      <c r="Z305" s="36">
        <f t="shared" si="73"/>
        <v>0</v>
      </c>
      <c r="AA305" s="36">
        <f t="shared" si="74"/>
        <v>0</v>
      </c>
      <c r="AB305" s="36"/>
      <c r="AC305" s="36"/>
      <c r="AD305" s="36">
        <f t="shared" si="75"/>
        <v>0</v>
      </c>
      <c r="AE305" s="36">
        <f t="shared" si="76"/>
        <v>0</v>
      </c>
      <c r="AF305" s="36"/>
      <c r="AG305" s="36"/>
      <c r="AH305" s="36">
        <f t="shared" si="77"/>
        <v>0</v>
      </c>
      <c r="AI305" s="36">
        <f t="shared" si="78"/>
        <v>0</v>
      </c>
      <c r="AJ305" s="36"/>
      <c r="AK305" s="36"/>
      <c r="AL305" s="36">
        <f t="shared" si="79"/>
        <v>0</v>
      </c>
      <c r="AM305" s="36">
        <f t="shared" si="80"/>
        <v>0</v>
      </c>
      <c r="AN305" s="36"/>
      <c r="AO305" s="36"/>
      <c r="AP305" s="36">
        <f t="shared" si="81"/>
        <v>0</v>
      </c>
      <c r="AQ305" s="36">
        <f t="shared" si="82"/>
        <v>0</v>
      </c>
    </row>
    <row r="306" spans="1:43" x14ac:dyDescent="0.55000000000000004">
      <c r="A306" s="30" t="e">
        <f t="shared" si="83"/>
        <v>#REF!</v>
      </c>
      <c r="B306" s="31">
        <v>45895</v>
      </c>
      <c r="C306" s="45"/>
      <c r="D306" s="33"/>
      <c r="E306" s="33"/>
      <c r="F306" s="33"/>
      <c r="G306" s="51" t="s">
        <v>535</v>
      </c>
      <c r="H306" s="37" t="s">
        <v>425</v>
      </c>
      <c r="I306" s="36">
        <v>2</v>
      </c>
      <c r="J306" s="37" t="s">
        <v>80</v>
      </c>
      <c r="K306" s="37"/>
      <c r="L306" s="37"/>
      <c r="M306" s="38" t="s">
        <v>265</v>
      </c>
      <c r="N306" s="39"/>
      <c r="O306" s="47">
        <f>17*1.5</f>
        <v>25.5</v>
      </c>
      <c r="P306" s="37">
        <f t="shared" si="71"/>
        <v>51</v>
      </c>
      <c r="Q306" s="41"/>
      <c r="R306" s="42">
        <f t="shared" si="86"/>
        <v>0</v>
      </c>
      <c r="S306" s="42">
        <f t="shared" si="85"/>
        <v>51</v>
      </c>
      <c r="T306" s="43">
        <f t="shared" si="70"/>
        <v>0</v>
      </c>
      <c r="U306" s="43">
        <f t="shared" si="70"/>
        <v>2</v>
      </c>
      <c r="V306" s="44">
        <f t="shared" si="84"/>
        <v>0</v>
      </c>
      <c r="W306" s="36">
        <f t="shared" si="72"/>
        <v>0</v>
      </c>
      <c r="X306" s="36"/>
      <c r="Y306" s="36"/>
      <c r="Z306" s="36">
        <f t="shared" si="73"/>
        <v>0</v>
      </c>
      <c r="AA306" s="36">
        <f t="shared" si="74"/>
        <v>0</v>
      </c>
      <c r="AB306" s="36"/>
      <c r="AC306" s="36"/>
      <c r="AD306" s="36">
        <f t="shared" si="75"/>
        <v>0</v>
      </c>
      <c r="AE306" s="36">
        <f t="shared" si="76"/>
        <v>0</v>
      </c>
      <c r="AF306" s="36"/>
      <c r="AG306" s="36">
        <v>2</v>
      </c>
      <c r="AH306" s="36">
        <f t="shared" si="77"/>
        <v>0</v>
      </c>
      <c r="AI306" s="36">
        <f t="shared" si="78"/>
        <v>51</v>
      </c>
      <c r="AJ306" s="36"/>
      <c r="AK306" s="36"/>
      <c r="AL306" s="36">
        <f t="shared" si="79"/>
        <v>0</v>
      </c>
      <c r="AM306" s="36">
        <f t="shared" si="80"/>
        <v>0</v>
      </c>
      <c r="AN306" s="36"/>
      <c r="AO306" s="36"/>
      <c r="AP306" s="36">
        <f t="shared" si="81"/>
        <v>0</v>
      </c>
      <c r="AQ306" s="36">
        <f t="shared" si="82"/>
        <v>0</v>
      </c>
    </row>
    <row r="307" spans="1:43" x14ac:dyDescent="0.55000000000000004">
      <c r="A307" s="30" t="e">
        <f t="shared" si="83"/>
        <v>#REF!</v>
      </c>
      <c r="B307" s="31">
        <v>45895</v>
      </c>
      <c r="C307" s="45"/>
      <c r="D307" s="33"/>
      <c r="E307" s="33"/>
      <c r="F307" s="33"/>
      <c r="G307" s="51" t="s">
        <v>536</v>
      </c>
      <c r="H307" s="37" t="s">
        <v>50</v>
      </c>
      <c r="I307" s="36">
        <v>1</v>
      </c>
      <c r="J307" s="37" t="s">
        <v>80</v>
      </c>
      <c r="K307" s="37"/>
      <c r="L307" s="37"/>
      <c r="M307" s="38" t="s">
        <v>47</v>
      </c>
      <c r="N307" s="39"/>
      <c r="O307" s="47">
        <f>73*1.5</f>
        <v>109.5</v>
      </c>
      <c r="P307" s="37">
        <f t="shared" si="71"/>
        <v>109.5</v>
      </c>
      <c r="Q307" s="41"/>
      <c r="R307" s="42">
        <f t="shared" si="86"/>
        <v>0</v>
      </c>
      <c r="S307" s="42">
        <f t="shared" si="85"/>
        <v>0</v>
      </c>
      <c r="T307" s="43">
        <f t="shared" si="70"/>
        <v>0</v>
      </c>
      <c r="U307" s="43">
        <f t="shared" si="70"/>
        <v>0</v>
      </c>
      <c r="V307" s="44">
        <f t="shared" si="84"/>
        <v>1</v>
      </c>
      <c r="W307" s="36">
        <f t="shared" si="72"/>
        <v>109.5</v>
      </c>
      <c r="X307" s="36"/>
      <c r="Y307" s="36"/>
      <c r="Z307" s="36">
        <f t="shared" si="73"/>
        <v>0</v>
      </c>
      <c r="AA307" s="36">
        <f t="shared" si="74"/>
        <v>0</v>
      </c>
      <c r="AB307" s="36"/>
      <c r="AC307" s="36"/>
      <c r="AD307" s="36">
        <f t="shared" si="75"/>
        <v>0</v>
      </c>
      <c r="AE307" s="36">
        <f t="shared" si="76"/>
        <v>0</v>
      </c>
      <c r="AF307" s="36"/>
      <c r="AG307" s="36"/>
      <c r="AH307" s="36">
        <f t="shared" si="77"/>
        <v>0</v>
      </c>
      <c r="AI307" s="36">
        <f t="shared" si="78"/>
        <v>0</v>
      </c>
      <c r="AJ307" s="36"/>
      <c r="AK307" s="36"/>
      <c r="AL307" s="36">
        <f t="shared" si="79"/>
        <v>0</v>
      </c>
      <c r="AM307" s="36">
        <f t="shared" si="80"/>
        <v>0</v>
      </c>
      <c r="AN307" s="36"/>
      <c r="AO307" s="36"/>
      <c r="AP307" s="36">
        <f t="shared" si="81"/>
        <v>0</v>
      </c>
      <c r="AQ307" s="36">
        <f t="shared" si="82"/>
        <v>0</v>
      </c>
    </row>
    <row r="308" spans="1:43" x14ac:dyDescent="0.55000000000000004">
      <c r="A308" s="30" t="e">
        <f t="shared" si="83"/>
        <v>#REF!</v>
      </c>
      <c r="B308" s="31">
        <v>45895</v>
      </c>
      <c r="C308" s="45"/>
      <c r="D308" s="33"/>
      <c r="E308" s="33"/>
      <c r="F308" s="33"/>
      <c r="G308" s="51" t="s">
        <v>537</v>
      </c>
      <c r="H308" s="37" t="s">
        <v>50</v>
      </c>
      <c r="I308" s="36">
        <v>1</v>
      </c>
      <c r="J308" s="37" t="s">
        <v>80</v>
      </c>
      <c r="K308" s="37"/>
      <c r="L308" s="37"/>
      <c r="M308" s="38" t="s">
        <v>47</v>
      </c>
      <c r="N308" s="39"/>
      <c r="O308" s="47">
        <f>229*1.5</f>
        <v>343.5</v>
      </c>
      <c r="P308" s="37">
        <f t="shared" si="71"/>
        <v>343.5</v>
      </c>
      <c r="Q308" s="41"/>
      <c r="R308" s="42">
        <f t="shared" si="86"/>
        <v>0</v>
      </c>
      <c r="S308" s="42">
        <f t="shared" si="85"/>
        <v>0</v>
      </c>
      <c r="T308" s="43">
        <f t="shared" si="70"/>
        <v>0</v>
      </c>
      <c r="U308" s="43">
        <f t="shared" si="70"/>
        <v>0</v>
      </c>
      <c r="V308" s="44">
        <f t="shared" si="84"/>
        <v>1</v>
      </c>
      <c r="W308" s="36">
        <f t="shared" si="72"/>
        <v>343.5</v>
      </c>
      <c r="X308" s="36"/>
      <c r="Y308" s="36"/>
      <c r="Z308" s="36">
        <f t="shared" si="73"/>
        <v>0</v>
      </c>
      <c r="AA308" s="36">
        <f t="shared" si="74"/>
        <v>0</v>
      </c>
      <c r="AB308" s="36"/>
      <c r="AC308" s="36"/>
      <c r="AD308" s="36">
        <f t="shared" si="75"/>
        <v>0</v>
      </c>
      <c r="AE308" s="36">
        <f t="shared" si="76"/>
        <v>0</v>
      </c>
      <c r="AF308" s="36"/>
      <c r="AG308" s="36"/>
      <c r="AH308" s="36">
        <f t="shared" si="77"/>
        <v>0</v>
      </c>
      <c r="AI308" s="36">
        <f t="shared" si="78"/>
        <v>0</v>
      </c>
      <c r="AJ308" s="36"/>
      <c r="AK308" s="36"/>
      <c r="AL308" s="36">
        <f t="shared" si="79"/>
        <v>0</v>
      </c>
      <c r="AM308" s="36">
        <f t="shared" si="80"/>
        <v>0</v>
      </c>
      <c r="AN308" s="36"/>
      <c r="AO308" s="36"/>
      <c r="AP308" s="36">
        <f t="shared" si="81"/>
        <v>0</v>
      </c>
      <c r="AQ308" s="36">
        <f t="shared" si="82"/>
        <v>0</v>
      </c>
    </row>
    <row r="309" spans="1:43" x14ac:dyDescent="0.55000000000000004">
      <c r="A309" s="30" t="e">
        <f t="shared" si="83"/>
        <v>#REF!</v>
      </c>
      <c r="B309" s="31">
        <v>45896</v>
      </c>
      <c r="C309" s="45"/>
      <c r="D309" s="33"/>
      <c r="E309" s="33"/>
      <c r="F309" s="33"/>
      <c r="G309" s="51" t="s">
        <v>538</v>
      </c>
      <c r="H309" s="37" t="s">
        <v>50</v>
      </c>
      <c r="I309" s="36">
        <v>1</v>
      </c>
      <c r="J309" s="37"/>
      <c r="K309" s="37"/>
      <c r="L309" s="37"/>
      <c r="M309" s="38" t="s">
        <v>77</v>
      </c>
      <c r="N309" s="39"/>
      <c r="O309" s="47">
        <v>1046.46</v>
      </c>
      <c r="P309" s="37">
        <f t="shared" si="71"/>
        <v>1046.46</v>
      </c>
      <c r="Q309" s="41"/>
      <c r="R309" s="42">
        <f t="shared" si="86"/>
        <v>0</v>
      </c>
      <c r="S309" s="42">
        <f t="shared" si="85"/>
        <v>0</v>
      </c>
      <c r="T309" s="43">
        <f t="shared" si="70"/>
        <v>0</v>
      </c>
      <c r="U309" s="43">
        <f t="shared" si="70"/>
        <v>0</v>
      </c>
      <c r="V309" s="44">
        <f t="shared" si="84"/>
        <v>1</v>
      </c>
      <c r="W309" s="36">
        <f t="shared" si="72"/>
        <v>1046.46</v>
      </c>
      <c r="X309" s="36"/>
      <c r="Y309" s="36"/>
      <c r="Z309" s="36">
        <f t="shared" si="73"/>
        <v>0</v>
      </c>
      <c r="AA309" s="36">
        <f t="shared" si="74"/>
        <v>0</v>
      </c>
      <c r="AB309" s="36"/>
      <c r="AC309" s="36"/>
      <c r="AD309" s="36">
        <f t="shared" si="75"/>
        <v>0</v>
      </c>
      <c r="AE309" s="36">
        <f t="shared" si="76"/>
        <v>0</v>
      </c>
      <c r="AF309" s="36"/>
      <c r="AG309" s="36"/>
      <c r="AH309" s="36">
        <f t="shared" si="77"/>
        <v>0</v>
      </c>
      <c r="AI309" s="36">
        <f t="shared" si="78"/>
        <v>0</v>
      </c>
      <c r="AJ309" s="36"/>
      <c r="AK309" s="36"/>
      <c r="AL309" s="36">
        <f t="shared" si="79"/>
        <v>0</v>
      </c>
      <c r="AM309" s="36">
        <f t="shared" si="80"/>
        <v>0</v>
      </c>
      <c r="AN309" s="36"/>
      <c r="AO309" s="36"/>
      <c r="AP309" s="36">
        <f t="shared" si="81"/>
        <v>0</v>
      </c>
      <c r="AQ309" s="36">
        <f t="shared" si="82"/>
        <v>0</v>
      </c>
    </row>
    <row r="310" spans="1:43" x14ac:dyDescent="0.55000000000000004">
      <c r="A310" s="30" t="e">
        <f t="shared" si="83"/>
        <v>#REF!</v>
      </c>
      <c r="B310" s="31">
        <v>45896</v>
      </c>
      <c r="C310" s="45"/>
      <c r="D310" s="33"/>
      <c r="E310" s="33"/>
      <c r="F310" s="33"/>
      <c r="G310" s="51" t="s">
        <v>539</v>
      </c>
      <c r="H310" s="37" t="s">
        <v>540</v>
      </c>
      <c r="I310" s="36">
        <v>1</v>
      </c>
      <c r="J310" s="37"/>
      <c r="K310" s="37"/>
      <c r="L310" s="37"/>
      <c r="M310" s="38" t="s">
        <v>77</v>
      </c>
      <c r="N310" s="39"/>
      <c r="O310" s="47">
        <v>719.16</v>
      </c>
      <c r="P310" s="37">
        <f t="shared" si="71"/>
        <v>719.16</v>
      </c>
      <c r="Q310" s="41"/>
      <c r="R310" s="42">
        <f t="shared" si="86"/>
        <v>0</v>
      </c>
      <c r="S310" s="42">
        <f t="shared" si="85"/>
        <v>0</v>
      </c>
      <c r="T310" s="43">
        <f t="shared" si="70"/>
        <v>0</v>
      </c>
      <c r="U310" s="43">
        <f t="shared" si="70"/>
        <v>0</v>
      </c>
      <c r="V310" s="44">
        <f t="shared" si="84"/>
        <v>1</v>
      </c>
      <c r="W310" s="36">
        <f t="shared" si="72"/>
        <v>719.16</v>
      </c>
      <c r="X310" s="36"/>
      <c r="Y310" s="36"/>
      <c r="Z310" s="36">
        <f t="shared" si="73"/>
        <v>0</v>
      </c>
      <c r="AA310" s="36">
        <f t="shared" si="74"/>
        <v>0</v>
      </c>
      <c r="AB310" s="36"/>
      <c r="AC310" s="36"/>
      <c r="AD310" s="36">
        <f t="shared" si="75"/>
        <v>0</v>
      </c>
      <c r="AE310" s="36">
        <f t="shared" si="76"/>
        <v>0</v>
      </c>
      <c r="AF310" s="36"/>
      <c r="AG310" s="36"/>
      <c r="AH310" s="36">
        <f t="shared" si="77"/>
        <v>0</v>
      </c>
      <c r="AI310" s="36">
        <f t="shared" si="78"/>
        <v>0</v>
      </c>
      <c r="AJ310" s="36"/>
      <c r="AK310" s="36"/>
      <c r="AL310" s="36">
        <f t="shared" si="79"/>
        <v>0</v>
      </c>
      <c r="AM310" s="36">
        <f t="shared" si="80"/>
        <v>0</v>
      </c>
      <c r="AN310" s="36"/>
      <c r="AO310" s="36"/>
      <c r="AP310" s="36">
        <f t="shared" si="81"/>
        <v>0</v>
      </c>
      <c r="AQ310" s="36">
        <f t="shared" si="82"/>
        <v>0</v>
      </c>
    </row>
    <row r="311" spans="1:43" x14ac:dyDescent="0.55000000000000004">
      <c r="A311" s="30" t="e">
        <f t="shared" si="83"/>
        <v>#REF!</v>
      </c>
      <c r="B311" s="31">
        <v>45896</v>
      </c>
      <c r="C311" s="45"/>
      <c r="D311" s="33"/>
      <c r="E311" s="33"/>
      <c r="F311" s="33"/>
      <c r="G311" s="51" t="s">
        <v>541</v>
      </c>
      <c r="H311" s="37" t="s">
        <v>540</v>
      </c>
      <c r="I311" s="36">
        <v>1</v>
      </c>
      <c r="J311" s="37"/>
      <c r="K311" s="37"/>
      <c r="L311" s="37"/>
      <c r="M311" s="38" t="s">
        <v>77</v>
      </c>
      <c r="N311" s="39"/>
      <c r="O311" s="47">
        <v>744.65</v>
      </c>
      <c r="P311" s="37">
        <f t="shared" si="71"/>
        <v>744.65</v>
      </c>
      <c r="Q311" s="41"/>
      <c r="R311" s="42">
        <f t="shared" si="86"/>
        <v>0</v>
      </c>
      <c r="S311" s="42">
        <f t="shared" si="85"/>
        <v>0</v>
      </c>
      <c r="T311" s="43">
        <f t="shared" si="70"/>
        <v>0</v>
      </c>
      <c r="U311" s="43">
        <f t="shared" si="70"/>
        <v>0</v>
      </c>
      <c r="V311" s="44">
        <f t="shared" si="84"/>
        <v>1</v>
      </c>
      <c r="W311" s="36">
        <f t="shared" si="72"/>
        <v>744.65</v>
      </c>
      <c r="X311" s="36"/>
      <c r="Y311" s="36"/>
      <c r="Z311" s="36">
        <f t="shared" si="73"/>
        <v>0</v>
      </c>
      <c r="AA311" s="36">
        <f t="shared" si="74"/>
        <v>0</v>
      </c>
      <c r="AB311" s="36"/>
      <c r="AC311" s="36"/>
      <c r="AD311" s="36">
        <f t="shared" si="75"/>
        <v>0</v>
      </c>
      <c r="AE311" s="36">
        <f t="shared" si="76"/>
        <v>0</v>
      </c>
      <c r="AF311" s="36"/>
      <c r="AG311" s="36"/>
      <c r="AH311" s="36">
        <f t="shared" si="77"/>
        <v>0</v>
      </c>
      <c r="AI311" s="36">
        <f t="shared" si="78"/>
        <v>0</v>
      </c>
      <c r="AJ311" s="36"/>
      <c r="AK311" s="36"/>
      <c r="AL311" s="36">
        <f t="shared" si="79"/>
        <v>0</v>
      </c>
      <c r="AM311" s="36">
        <f t="shared" si="80"/>
        <v>0</v>
      </c>
      <c r="AN311" s="36"/>
      <c r="AO311" s="36"/>
      <c r="AP311" s="36">
        <f t="shared" si="81"/>
        <v>0</v>
      </c>
      <c r="AQ311" s="36">
        <f t="shared" si="82"/>
        <v>0</v>
      </c>
    </row>
    <row r="312" spans="1:43" x14ac:dyDescent="0.55000000000000004">
      <c r="A312" s="30" t="e">
        <f t="shared" si="83"/>
        <v>#REF!</v>
      </c>
      <c r="B312" s="31">
        <v>45896</v>
      </c>
      <c r="C312" s="45"/>
      <c r="D312" s="33"/>
      <c r="E312" s="33"/>
      <c r="F312" s="33"/>
      <c r="G312" s="51" t="s">
        <v>542</v>
      </c>
      <c r="H312" s="37" t="s">
        <v>543</v>
      </c>
      <c r="I312" s="36">
        <v>12</v>
      </c>
      <c r="J312" s="37"/>
      <c r="K312" s="37"/>
      <c r="L312" s="37"/>
      <c r="M312" s="38" t="s">
        <v>102</v>
      </c>
      <c r="N312" s="39" t="s">
        <v>49</v>
      </c>
      <c r="O312" s="47">
        <v>98.05</v>
      </c>
      <c r="P312" s="37">
        <f t="shared" si="71"/>
        <v>1176.5999999999999</v>
      </c>
      <c r="Q312" s="41"/>
      <c r="R312" s="42">
        <f t="shared" si="86"/>
        <v>0</v>
      </c>
      <c r="S312" s="42">
        <f t="shared" si="85"/>
        <v>0</v>
      </c>
      <c r="T312" s="43">
        <f t="shared" si="70"/>
        <v>0</v>
      </c>
      <c r="U312" s="43">
        <f t="shared" si="70"/>
        <v>0</v>
      </c>
      <c r="V312" s="44">
        <f t="shared" si="84"/>
        <v>12</v>
      </c>
      <c r="W312" s="36">
        <f t="shared" si="72"/>
        <v>1176.5999999999999</v>
      </c>
      <c r="X312" s="36"/>
      <c r="Y312" s="36"/>
      <c r="Z312" s="36">
        <f t="shared" si="73"/>
        <v>0</v>
      </c>
      <c r="AA312" s="36">
        <f t="shared" si="74"/>
        <v>0</v>
      </c>
      <c r="AB312" s="36"/>
      <c r="AC312" s="36"/>
      <c r="AD312" s="36">
        <f t="shared" si="75"/>
        <v>0</v>
      </c>
      <c r="AE312" s="36">
        <f t="shared" si="76"/>
        <v>0</v>
      </c>
      <c r="AF312" s="36"/>
      <c r="AG312" s="36"/>
      <c r="AH312" s="36">
        <f t="shared" si="77"/>
        <v>0</v>
      </c>
      <c r="AI312" s="36">
        <f t="shared" si="78"/>
        <v>0</v>
      </c>
      <c r="AJ312" s="36"/>
      <c r="AK312" s="36"/>
      <c r="AL312" s="36">
        <f t="shared" si="79"/>
        <v>0</v>
      </c>
      <c r="AM312" s="36">
        <f t="shared" si="80"/>
        <v>0</v>
      </c>
      <c r="AN312" s="36"/>
      <c r="AO312" s="36"/>
      <c r="AP312" s="36">
        <f t="shared" si="81"/>
        <v>0</v>
      </c>
      <c r="AQ312" s="36">
        <f t="shared" si="82"/>
        <v>0</v>
      </c>
    </row>
    <row r="313" spans="1:43" x14ac:dyDescent="0.55000000000000004">
      <c r="A313" s="30" t="e">
        <f t="shared" si="83"/>
        <v>#REF!</v>
      </c>
      <c r="B313" s="31">
        <v>45896</v>
      </c>
      <c r="C313" s="45"/>
      <c r="D313" s="33"/>
      <c r="E313" s="33"/>
      <c r="F313" s="33"/>
      <c r="G313" s="51" t="s">
        <v>544</v>
      </c>
      <c r="H313" s="37" t="s">
        <v>545</v>
      </c>
      <c r="I313" s="36">
        <v>7</v>
      </c>
      <c r="J313" s="37"/>
      <c r="K313" s="37"/>
      <c r="L313" s="37"/>
      <c r="M313" s="38" t="s">
        <v>546</v>
      </c>
      <c r="N313" s="39" t="s">
        <v>547</v>
      </c>
      <c r="O313" s="47">
        <v>14.22</v>
      </c>
      <c r="P313" s="37">
        <f t="shared" si="71"/>
        <v>99.54</v>
      </c>
      <c r="Q313" s="41"/>
      <c r="R313" s="42">
        <f t="shared" si="86"/>
        <v>0</v>
      </c>
      <c r="S313" s="42">
        <f t="shared" si="85"/>
        <v>85.320000000000007</v>
      </c>
      <c r="T313" s="43">
        <f t="shared" si="70"/>
        <v>0</v>
      </c>
      <c r="U313" s="43">
        <f t="shared" si="70"/>
        <v>6</v>
      </c>
      <c r="V313" s="44">
        <f t="shared" si="84"/>
        <v>1</v>
      </c>
      <c r="W313" s="36">
        <f t="shared" si="72"/>
        <v>14.22</v>
      </c>
      <c r="X313" s="36"/>
      <c r="Y313" s="36">
        <v>6</v>
      </c>
      <c r="Z313" s="36">
        <f t="shared" si="73"/>
        <v>0</v>
      </c>
      <c r="AA313" s="36">
        <f t="shared" si="74"/>
        <v>85.320000000000007</v>
      </c>
      <c r="AB313" s="36"/>
      <c r="AC313" s="36"/>
      <c r="AD313" s="36">
        <f t="shared" si="75"/>
        <v>0</v>
      </c>
      <c r="AE313" s="36">
        <f t="shared" si="76"/>
        <v>0</v>
      </c>
      <c r="AF313" s="36"/>
      <c r="AG313" s="36"/>
      <c r="AH313" s="36">
        <f t="shared" si="77"/>
        <v>0</v>
      </c>
      <c r="AI313" s="36">
        <f t="shared" si="78"/>
        <v>0</v>
      </c>
      <c r="AJ313" s="36"/>
      <c r="AK313" s="36"/>
      <c r="AL313" s="36">
        <f t="shared" si="79"/>
        <v>0</v>
      </c>
      <c r="AM313" s="36">
        <f t="shared" si="80"/>
        <v>0</v>
      </c>
      <c r="AN313" s="36"/>
      <c r="AO313" s="36"/>
      <c r="AP313" s="36">
        <f t="shared" si="81"/>
        <v>0</v>
      </c>
      <c r="AQ313" s="36">
        <f t="shared" si="82"/>
        <v>0</v>
      </c>
    </row>
    <row r="314" spans="1:43" x14ac:dyDescent="0.55000000000000004">
      <c r="A314" s="30" t="e">
        <f t="shared" si="83"/>
        <v>#REF!</v>
      </c>
      <c r="B314" s="31">
        <v>45905</v>
      </c>
      <c r="C314" s="45"/>
      <c r="D314" s="33"/>
      <c r="E314" s="33"/>
      <c r="F314" s="33"/>
      <c r="G314" s="51" t="s">
        <v>548</v>
      </c>
      <c r="H314" s="37" t="s">
        <v>311</v>
      </c>
      <c r="I314" s="36">
        <v>1</v>
      </c>
      <c r="J314" s="37"/>
      <c r="K314" s="37"/>
      <c r="L314" s="37"/>
      <c r="M314" s="38" t="s">
        <v>35</v>
      </c>
      <c r="N314" s="39" t="s">
        <v>41</v>
      </c>
      <c r="O314" s="47">
        <v>3.85</v>
      </c>
      <c r="P314" s="37">
        <f t="shared" si="71"/>
        <v>3.85</v>
      </c>
      <c r="Q314" s="41"/>
      <c r="R314" s="42">
        <f t="shared" si="86"/>
        <v>0</v>
      </c>
      <c r="S314" s="42">
        <f t="shared" si="85"/>
        <v>0</v>
      </c>
      <c r="T314" s="43">
        <f t="shared" si="70"/>
        <v>0</v>
      </c>
      <c r="U314" s="43">
        <f t="shared" si="70"/>
        <v>0</v>
      </c>
      <c r="V314" s="44">
        <f t="shared" si="84"/>
        <v>1</v>
      </c>
      <c r="W314" s="36">
        <f t="shared" si="72"/>
        <v>3.85</v>
      </c>
      <c r="X314" s="36"/>
      <c r="Y314" s="36"/>
      <c r="Z314" s="36">
        <f t="shared" si="73"/>
        <v>0</v>
      </c>
      <c r="AA314" s="36">
        <f t="shared" si="74"/>
        <v>0</v>
      </c>
      <c r="AB314" s="36"/>
      <c r="AC314" s="36"/>
      <c r="AD314" s="36">
        <f t="shared" si="75"/>
        <v>0</v>
      </c>
      <c r="AE314" s="36">
        <f t="shared" si="76"/>
        <v>0</v>
      </c>
      <c r="AF314" s="36"/>
      <c r="AG314" s="36"/>
      <c r="AH314" s="36">
        <f t="shared" si="77"/>
        <v>0</v>
      </c>
      <c r="AI314" s="36">
        <f t="shared" si="78"/>
        <v>0</v>
      </c>
      <c r="AJ314" s="36"/>
      <c r="AK314" s="36"/>
      <c r="AL314" s="36">
        <f t="shared" si="79"/>
        <v>0</v>
      </c>
      <c r="AM314" s="36">
        <f t="shared" si="80"/>
        <v>0</v>
      </c>
      <c r="AN314" s="36"/>
      <c r="AO314" s="36"/>
      <c r="AP314" s="36">
        <f t="shared" si="81"/>
        <v>0</v>
      </c>
      <c r="AQ314" s="36">
        <f t="shared" si="82"/>
        <v>0</v>
      </c>
    </row>
    <row r="315" spans="1:43" x14ac:dyDescent="0.55000000000000004">
      <c r="A315" s="30" t="e">
        <f t="shared" si="83"/>
        <v>#REF!</v>
      </c>
      <c r="B315" s="31">
        <v>45905</v>
      </c>
      <c r="C315" s="45"/>
      <c r="D315" s="33"/>
      <c r="E315" s="33"/>
      <c r="F315" s="33"/>
      <c r="G315" s="51" t="s">
        <v>549</v>
      </c>
      <c r="H315" s="37" t="s">
        <v>311</v>
      </c>
      <c r="I315" s="36">
        <v>2</v>
      </c>
      <c r="J315" s="37"/>
      <c r="K315" s="37"/>
      <c r="L315" s="37"/>
      <c r="M315" s="38" t="s">
        <v>35</v>
      </c>
      <c r="N315" s="39" t="s">
        <v>41</v>
      </c>
      <c r="O315" s="47">
        <v>3.68</v>
      </c>
      <c r="P315" s="37">
        <f t="shared" si="71"/>
        <v>7.36</v>
      </c>
      <c r="Q315" s="41"/>
      <c r="R315" s="42">
        <f t="shared" si="86"/>
        <v>0</v>
      </c>
      <c r="S315" s="42">
        <f t="shared" si="85"/>
        <v>0</v>
      </c>
      <c r="T315" s="43">
        <f t="shared" si="70"/>
        <v>0</v>
      </c>
      <c r="U315" s="43">
        <f t="shared" si="70"/>
        <v>0</v>
      </c>
      <c r="V315" s="44">
        <f t="shared" si="84"/>
        <v>2</v>
      </c>
      <c r="W315" s="36">
        <f t="shared" si="72"/>
        <v>7.36</v>
      </c>
      <c r="X315" s="36"/>
      <c r="Y315" s="36"/>
      <c r="Z315" s="36">
        <f t="shared" si="73"/>
        <v>0</v>
      </c>
      <c r="AA315" s="36">
        <f t="shared" si="74"/>
        <v>0</v>
      </c>
      <c r="AB315" s="36"/>
      <c r="AC315" s="36"/>
      <c r="AD315" s="36">
        <f t="shared" si="75"/>
        <v>0</v>
      </c>
      <c r="AE315" s="36">
        <f t="shared" si="76"/>
        <v>0</v>
      </c>
      <c r="AF315" s="36"/>
      <c r="AG315" s="36"/>
      <c r="AH315" s="36">
        <f t="shared" si="77"/>
        <v>0</v>
      </c>
      <c r="AI315" s="36">
        <f t="shared" si="78"/>
        <v>0</v>
      </c>
      <c r="AJ315" s="36"/>
      <c r="AK315" s="36"/>
      <c r="AL315" s="36">
        <f t="shared" si="79"/>
        <v>0</v>
      </c>
      <c r="AM315" s="36">
        <f t="shared" si="80"/>
        <v>0</v>
      </c>
      <c r="AN315" s="36"/>
      <c r="AO315" s="36"/>
      <c r="AP315" s="36">
        <f t="shared" si="81"/>
        <v>0</v>
      </c>
      <c r="AQ315" s="36">
        <f t="shared" si="82"/>
        <v>0</v>
      </c>
    </row>
    <row r="316" spans="1:43" x14ac:dyDescent="0.55000000000000004">
      <c r="A316" s="30" t="e">
        <f t="shared" si="83"/>
        <v>#REF!</v>
      </c>
      <c r="B316" s="31">
        <v>45905</v>
      </c>
      <c r="C316" s="45"/>
      <c r="D316" s="33"/>
      <c r="E316" s="33"/>
      <c r="F316" s="33"/>
      <c r="G316" s="51" t="s">
        <v>550</v>
      </c>
      <c r="H316" s="37" t="s">
        <v>39</v>
      </c>
      <c r="I316" s="36">
        <v>1</v>
      </c>
      <c r="J316" s="37"/>
      <c r="K316" s="37"/>
      <c r="L316" s="37"/>
      <c r="M316" s="38" t="s">
        <v>35</v>
      </c>
      <c r="N316" s="39" t="s">
        <v>41</v>
      </c>
      <c r="O316" s="47">
        <v>7.84</v>
      </c>
      <c r="P316" s="37">
        <f t="shared" si="71"/>
        <v>7.84</v>
      </c>
      <c r="Q316" s="41"/>
      <c r="R316" s="42">
        <f t="shared" si="86"/>
        <v>0</v>
      </c>
      <c r="S316" s="42">
        <f t="shared" si="85"/>
        <v>0</v>
      </c>
      <c r="T316" s="43">
        <f t="shared" si="70"/>
        <v>0</v>
      </c>
      <c r="U316" s="43">
        <f t="shared" si="70"/>
        <v>0</v>
      </c>
      <c r="V316" s="44">
        <f t="shared" si="84"/>
        <v>1</v>
      </c>
      <c r="W316" s="36">
        <f t="shared" si="72"/>
        <v>7.84</v>
      </c>
      <c r="X316" s="36"/>
      <c r="Y316" s="36"/>
      <c r="Z316" s="36">
        <f t="shared" si="73"/>
        <v>0</v>
      </c>
      <c r="AA316" s="36">
        <f t="shared" si="74"/>
        <v>0</v>
      </c>
      <c r="AB316" s="36"/>
      <c r="AC316" s="36"/>
      <c r="AD316" s="36">
        <f t="shared" si="75"/>
        <v>0</v>
      </c>
      <c r="AE316" s="36">
        <f t="shared" si="76"/>
        <v>0</v>
      </c>
      <c r="AF316" s="36"/>
      <c r="AG316" s="36"/>
      <c r="AH316" s="36">
        <f t="shared" si="77"/>
        <v>0</v>
      </c>
      <c r="AI316" s="36">
        <f t="shared" si="78"/>
        <v>0</v>
      </c>
      <c r="AJ316" s="36"/>
      <c r="AK316" s="36"/>
      <c r="AL316" s="36">
        <f t="shared" si="79"/>
        <v>0</v>
      </c>
      <c r="AM316" s="36">
        <f t="shared" si="80"/>
        <v>0</v>
      </c>
      <c r="AN316" s="36"/>
      <c r="AO316" s="36"/>
      <c r="AP316" s="36">
        <f t="shared" si="81"/>
        <v>0</v>
      </c>
      <c r="AQ316" s="36">
        <f t="shared" si="82"/>
        <v>0</v>
      </c>
    </row>
    <row r="317" spans="1:43" x14ac:dyDescent="0.55000000000000004">
      <c r="A317" s="30" t="e">
        <f t="shared" si="83"/>
        <v>#REF!</v>
      </c>
      <c r="B317" s="31">
        <v>45905</v>
      </c>
      <c r="C317" s="45"/>
      <c r="D317" s="33"/>
      <c r="E317" s="33"/>
      <c r="F317" s="33"/>
      <c r="G317" s="51" t="s">
        <v>551</v>
      </c>
      <c r="H317" s="37" t="s">
        <v>311</v>
      </c>
      <c r="I317" s="36">
        <v>4</v>
      </c>
      <c r="J317" s="37"/>
      <c r="K317" s="37"/>
      <c r="L317" s="37"/>
      <c r="M317" s="38" t="s">
        <v>102</v>
      </c>
      <c r="N317" s="39" t="s">
        <v>49</v>
      </c>
      <c r="O317" s="47">
        <v>10.72</v>
      </c>
      <c r="P317" s="37">
        <f t="shared" si="71"/>
        <v>42.88</v>
      </c>
      <c r="Q317" s="41"/>
      <c r="R317" s="42">
        <f t="shared" si="86"/>
        <v>42.88</v>
      </c>
      <c r="S317" s="42">
        <f t="shared" si="85"/>
        <v>0</v>
      </c>
      <c r="T317" s="43">
        <f t="shared" si="70"/>
        <v>4</v>
      </c>
      <c r="U317" s="43">
        <f t="shared" si="70"/>
        <v>0</v>
      </c>
      <c r="V317" s="44">
        <f t="shared" si="84"/>
        <v>8</v>
      </c>
      <c r="W317" s="36">
        <f t="shared" si="72"/>
        <v>85.76</v>
      </c>
      <c r="X317" s="36">
        <v>4</v>
      </c>
      <c r="Y317" s="36"/>
      <c r="Z317" s="36">
        <f t="shared" si="73"/>
        <v>42.88</v>
      </c>
      <c r="AA317" s="36">
        <f t="shared" si="74"/>
        <v>0</v>
      </c>
      <c r="AB317" s="36"/>
      <c r="AC317" s="36"/>
      <c r="AD317" s="36">
        <f t="shared" si="75"/>
        <v>0</v>
      </c>
      <c r="AE317" s="36">
        <f t="shared" si="76"/>
        <v>0</v>
      </c>
      <c r="AF317" s="36"/>
      <c r="AG317" s="36"/>
      <c r="AH317" s="36">
        <f t="shared" si="77"/>
        <v>0</v>
      </c>
      <c r="AI317" s="36">
        <f t="shared" si="78"/>
        <v>0</v>
      </c>
      <c r="AJ317" s="36"/>
      <c r="AK317" s="36"/>
      <c r="AL317" s="36">
        <f t="shared" si="79"/>
        <v>0</v>
      </c>
      <c r="AM317" s="36">
        <f t="shared" si="80"/>
        <v>0</v>
      </c>
      <c r="AN317" s="36"/>
      <c r="AO317" s="36"/>
      <c r="AP317" s="36">
        <f t="shared" si="81"/>
        <v>0</v>
      </c>
      <c r="AQ317" s="36">
        <f t="shared" si="82"/>
        <v>0</v>
      </c>
    </row>
    <row r="318" spans="1:43" x14ac:dyDescent="0.55000000000000004">
      <c r="A318" s="30" t="e">
        <f>+#REF!+1</f>
        <v>#REF!</v>
      </c>
      <c r="B318" s="31">
        <v>45905</v>
      </c>
      <c r="C318" s="45"/>
      <c r="D318" s="33"/>
      <c r="E318" s="33"/>
      <c r="F318" s="33"/>
      <c r="G318" s="51" t="s">
        <v>552</v>
      </c>
      <c r="H318" s="37" t="s">
        <v>50</v>
      </c>
      <c r="I318" s="36">
        <v>1</v>
      </c>
      <c r="J318" s="37"/>
      <c r="K318" s="37"/>
      <c r="L318" s="37"/>
      <c r="M318" s="38" t="s">
        <v>348</v>
      </c>
      <c r="N318" s="39"/>
      <c r="O318" s="47">
        <v>74.66</v>
      </c>
      <c r="P318" s="37">
        <f t="shared" si="71"/>
        <v>74.66</v>
      </c>
      <c r="Q318" s="41"/>
      <c r="R318" s="42">
        <f t="shared" si="86"/>
        <v>0</v>
      </c>
      <c r="S318" s="42">
        <f t="shared" si="85"/>
        <v>0</v>
      </c>
      <c r="T318" s="43">
        <f t="shared" ref="T318:U339" si="87">X318+AB318+AF318+AJ318+AN318</f>
        <v>0</v>
      </c>
      <c r="U318" s="43">
        <f t="shared" si="87"/>
        <v>0</v>
      </c>
      <c r="V318" s="44">
        <f t="shared" si="84"/>
        <v>1</v>
      </c>
      <c r="W318" s="36">
        <f t="shared" si="72"/>
        <v>74.66</v>
      </c>
      <c r="X318" s="36"/>
      <c r="Y318" s="36"/>
      <c r="Z318" s="36">
        <f t="shared" si="73"/>
        <v>0</v>
      </c>
      <c r="AA318" s="36">
        <f t="shared" si="74"/>
        <v>0</v>
      </c>
      <c r="AB318" s="36"/>
      <c r="AC318" s="36"/>
      <c r="AD318" s="36">
        <f t="shared" si="75"/>
        <v>0</v>
      </c>
      <c r="AE318" s="36">
        <f t="shared" si="76"/>
        <v>0</v>
      </c>
      <c r="AF318" s="36"/>
      <c r="AG318" s="36"/>
      <c r="AH318" s="36">
        <f t="shared" si="77"/>
        <v>0</v>
      </c>
      <c r="AI318" s="36">
        <f t="shared" si="78"/>
        <v>0</v>
      </c>
      <c r="AJ318" s="36"/>
      <c r="AK318" s="36"/>
      <c r="AL318" s="36">
        <f t="shared" si="79"/>
        <v>0</v>
      </c>
      <c r="AM318" s="36">
        <f t="shared" si="80"/>
        <v>0</v>
      </c>
      <c r="AN318" s="36"/>
      <c r="AO318" s="36"/>
      <c r="AP318" s="36">
        <f t="shared" si="81"/>
        <v>0</v>
      </c>
      <c r="AQ318" s="36">
        <f t="shared" si="82"/>
        <v>0</v>
      </c>
    </row>
    <row r="319" spans="1:43" x14ac:dyDescent="0.55000000000000004">
      <c r="A319" s="30" t="e">
        <f t="shared" si="83"/>
        <v>#REF!</v>
      </c>
      <c r="B319" s="31">
        <v>45912</v>
      </c>
      <c r="C319" s="45"/>
      <c r="D319" s="33"/>
      <c r="E319" s="33"/>
      <c r="F319" s="33"/>
      <c r="G319" s="51" t="s">
        <v>553</v>
      </c>
      <c r="H319" s="37" t="s">
        <v>554</v>
      </c>
      <c r="I319" s="36">
        <v>9</v>
      </c>
      <c r="J319" s="37"/>
      <c r="K319" s="37"/>
      <c r="L319" s="37"/>
      <c r="M319" s="38" t="s">
        <v>47</v>
      </c>
      <c r="N319" s="39"/>
      <c r="O319" s="47">
        <v>28.82</v>
      </c>
      <c r="P319" s="37">
        <f t="shared" si="71"/>
        <v>259.38</v>
      </c>
      <c r="Q319" s="41"/>
      <c r="R319" s="42">
        <f t="shared" si="86"/>
        <v>0</v>
      </c>
      <c r="S319" s="42">
        <f t="shared" si="85"/>
        <v>0</v>
      </c>
      <c r="T319" s="43">
        <f t="shared" si="87"/>
        <v>0</v>
      </c>
      <c r="U319" s="43">
        <f t="shared" si="87"/>
        <v>0</v>
      </c>
      <c r="V319" s="44">
        <f t="shared" si="84"/>
        <v>9</v>
      </c>
      <c r="W319" s="36">
        <f t="shared" si="72"/>
        <v>259.38</v>
      </c>
      <c r="X319" s="36"/>
      <c r="Y319" s="36"/>
      <c r="Z319" s="36">
        <f t="shared" si="73"/>
        <v>0</v>
      </c>
      <c r="AA319" s="36">
        <f t="shared" si="74"/>
        <v>0</v>
      </c>
      <c r="AB319" s="36"/>
      <c r="AC319" s="36"/>
      <c r="AD319" s="36">
        <f t="shared" si="75"/>
        <v>0</v>
      </c>
      <c r="AE319" s="36">
        <f t="shared" si="76"/>
        <v>0</v>
      </c>
      <c r="AF319" s="36"/>
      <c r="AG319" s="36"/>
      <c r="AH319" s="36">
        <f t="shared" si="77"/>
        <v>0</v>
      </c>
      <c r="AI319" s="36">
        <f t="shared" si="78"/>
        <v>0</v>
      </c>
      <c r="AJ319" s="36"/>
      <c r="AK319" s="36"/>
      <c r="AL319" s="36">
        <f t="shared" si="79"/>
        <v>0</v>
      </c>
      <c r="AM319" s="36">
        <f t="shared" si="80"/>
        <v>0</v>
      </c>
      <c r="AN319" s="36"/>
      <c r="AO319" s="36"/>
      <c r="AP319" s="36">
        <f t="shared" si="81"/>
        <v>0</v>
      </c>
      <c r="AQ319" s="36">
        <f t="shared" si="82"/>
        <v>0</v>
      </c>
    </row>
    <row r="320" spans="1:43" x14ac:dyDescent="0.55000000000000004">
      <c r="A320" s="30" t="e">
        <f t="shared" si="83"/>
        <v>#REF!</v>
      </c>
      <c r="B320" s="31">
        <v>45912</v>
      </c>
      <c r="C320" s="45"/>
      <c r="D320" s="33"/>
      <c r="E320" s="33"/>
      <c r="F320" s="33"/>
      <c r="G320" s="51" t="s">
        <v>555</v>
      </c>
      <c r="H320" s="37" t="s">
        <v>554</v>
      </c>
      <c r="I320" s="36">
        <v>12</v>
      </c>
      <c r="J320" s="37"/>
      <c r="K320" s="37"/>
      <c r="L320" s="37"/>
      <c r="M320" s="38" t="s">
        <v>47</v>
      </c>
      <c r="N320" s="39"/>
      <c r="O320" s="47">
        <v>34.74</v>
      </c>
      <c r="P320" s="37">
        <f t="shared" si="71"/>
        <v>416.88</v>
      </c>
      <c r="Q320" s="41"/>
      <c r="R320" s="42">
        <f t="shared" si="86"/>
        <v>0</v>
      </c>
      <c r="S320" s="42">
        <f t="shared" si="85"/>
        <v>0</v>
      </c>
      <c r="T320" s="43">
        <f t="shared" si="87"/>
        <v>0</v>
      </c>
      <c r="U320" s="43">
        <f t="shared" si="87"/>
        <v>0</v>
      </c>
      <c r="V320" s="44">
        <f t="shared" si="84"/>
        <v>12</v>
      </c>
      <c r="W320" s="36">
        <f t="shared" si="72"/>
        <v>416.88</v>
      </c>
      <c r="X320" s="36"/>
      <c r="Y320" s="36"/>
      <c r="Z320" s="36">
        <f t="shared" si="73"/>
        <v>0</v>
      </c>
      <c r="AA320" s="36">
        <f t="shared" si="74"/>
        <v>0</v>
      </c>
      <c r="AB320" s="36"/>
      <c r="AC320" s="36"/>
      <c r="AD320" s="36">
        <f t="shared" si="75"/>
        <v>0</v>
      </c>
      <c r="AE320" s="36">
        <f t="shared" si="76"/>
        <v>0</v>
      </c>
      <c r="AF320" s="36"/>
      <c r="AG320" s="36"/>
      <c r="AH320" s="36">
        <f t="shared" si="77"/>
        <v>0</v>
      </c>
      <c r="AI320" s="36">
        <f t="shared" si="78"/>
        <v>0</v>
      </c>
      <c r="AJ320" s="36"/>
      <c r="AK320" s="36"/>
      <c r="AL320" s="36">
        <f t="shared" si="79"/>
        <v>0</v>
      </c>
      <c r="AM320" s="36">
        <f t="shared" si="80"/>
        <v>0</v>
      </c>
      <c r="AN320" s="36"/>
      <c r="AO320" s="36"/>
      <c r="AP320" s="36">
        <f t="shared" si="81"/>
        <v>0</v>
      </c>
      <c r="AQ320" s="36">
        <f t="shared" si="82"/>
        <v>0</v>
      </c>
    </row>
    <row r="321" spans="1:43" x14ac:dyDescent="0.55000000000000004">
      <c r="A321" s="30" t="e">
        <f t="shared" si="83"/>
        <v>#REF!</v>
      </c>
      <c r="B321" s="31">
        <v>45919</v>
      </c>
      <c r="C321" s="45"/>
      <c r="D321" s="33"/>
      <c r="E321" s="33"/>
      <c r="F321" s="33"/>
      <c r="G321" s="51" t="s">
        <v>556</v>
      </c>
      <c r="H321" s="37" t="s">
        <v>50</v>
      </c>
      <c r="I321" s="36">
        <v>3</v>
      </c>
      <c r="J321" s="37"/>
      <c r="K321" s="37"/>
      <c r="L321" s="37"/>
      <c r="M321" s="38" t="s">
        <v>77</v>
      </c>
      <c r="N321" s="39"/>
      <c r="O321" s="47">
        <v>110</v>
      </c>
      <c r="P321" s="37">
        <f t="shared" si="71"/>
        <v>330</v>
      </c>
      <c r="Q321" s="41"/>
      <c r="R321" s="42">
        <f t="shared" si="86"/>
        <v>0</v>
      </c>
      <c r="S321" s="42">
        <f t="shared" si="85"/>
        <v>0</v>
      </c>
      <c r="T321" s="43">
        <f t="shared" si="87"/>
        <v>0</v>
      </c>
      <c r="U321" s="43">
        <f t="shared" si="87"/>
        <v>0</v>
      </c>
      <c r="V321" s="44">
        <f t="shared" si="84"/>
        <v>3</v>
      </c>
      <c r="W321" s="36">
        <f t="shared" si="72"/>
        <v>330</v>
      </c>
      <c r="X321" s="36"/>
      <c r="Y321" s="36"/>
      <c r="Z321" s="36">
        <f t="shared" si="73"/>
        <v>0</v>
      </c>
      <c r="AA321" s="36">
        <f t="shared" si="74"/>
        <v>0</v>
      </c>
      <c r="AB321" s="36"/>
      <c r="AC321" s="36"/>
      <c r="AD321" s="36">
        <f t="shared" si="75"/>
        <v>0</v>
      </c>
      <c r="AE321" s="36">
        <f t="shared" si="76"/>
        <v>0</v>
      </c>
      <c r="AF321" s="36"/>
      <c r="AG321" s="36"/>
      <c r="AH321" s="36">
        <f t="shared" si="77"/>
        <v>0</v>
      </c>
      <c r="AI321" s="36">
        <f t="shared" si="78"/>
        <v>0</v>
      </c>
      <c r="AJ321" s="36"/>
      <c r="AK321" s="36"/>
      <c r="AL321" s="36">
        <f t="shared" si="79"/>
        <v>0</v>
      </c>
      <c r="AM321" s="36">
        <f t="shared" si="80"/>
        <v>0</v>
      </c>
      <c r="AN321" s="36"/>
      <c r="AO321" s="36"/>
      <c r="AP321" s="36">
        <f t="shared" si="81"/>
        <v>0</v>
      </c>
      <c r="AQ321" s="36">
        <f t="shared" si="82"/>
        <v>0</v>
      </c>
    </row>
    <row r="322" spans="1:43" x14ac:dyDescent="0.55000000000000004">
      <c r="A322" s="30" t="e">
        <f t="shared" si="83"/>
        <v>#REF!</v>
      </c>
      <c r="B322" s="31">
        <v>45919</v>
      </c>
      <c r="C322" s="45"/>
      <c r="D322" s="33"/>
      <c r="E322" s="33"/>
      <c r="F322" s="33"/>
      <c r="G322" s="51" t="s">
        <v>557</v>
      </c>
      <c r="H322" s="37" t="s">
        <v>50</v>
      </c>
      <c r="I322" s="36">
        <v>2</v>
      </c>
      <c r="J322" s="37"/>
      <c r="K322" s="37"/>
      <c r="L322" s="37"/>
      <c r="M322" s="38" t="s">
        <v>348</v>
      </c>
      <c r="N322" s="39"/>
      <c r="O322" s="47">
        <v>58.6</v>
      </c>
      <c r="P322" s="37">
        <f t="shared" si="71"/>
        <v>117.2</v>
      </c>
      <c r="Q322" s="41"/>
      <c r="R322" s="42">
        <f t="shared" si="86"/>
        <v>0</v>
      </c>
      <c r="S322" s="42">
        <f t="shared" si="85"/>
        <v>58.6</v>
      </c>
      <c r="T322" s="43">
        <f t="shared" si="87"/>
        <v>0</v>
      </c>
      <c r="U322" s="43">
        <f t="shared" si="87"/>
        <v>1</v>
      </c>
      <c r="V322" s="44">
        <f t="shared" si="84"/>
        <v>1</v>
      </c>
      <c r="W322" s="36">
        <f t="shared" si="72"/>
        <v>58.6</v>
      </c>
      <c r="X322" s="36"/>
      <c r="Y322" s="36"/>
      <c r="Z322" s="36">
        <f t="shared" si="73"/>
        <v>0</v>
      </c>
      <c r="AA322" s="36">
        <f t="shared" si="74"/>
        <v>0</v>
      </c>
      <c r="AB322" s="36"/>
      <c r="AC322" s="36"/>
      <c r="AD322" s="36">
        <f t="shared" si="75"/>
        <v>0</v>
      </c>
      <c r="AE322" s="36">
        <f t="shared" si="76"/>
        <v>0</v>
      </c>
      <c r="AF322" s="36"/>
      <c r="AG322" s="36">
        <v>1</v>
      </c>
      <c r="AH322" s="36">
        <f t="shared" si="77"/>
        <v>0</v>
      </c>
      <c r="AI322" s="36">
        <f t="shared" si="78"/>
        <v>58.6</v>
      </c>
      <c r="AJ322" s="36"/>
      <c r="AK322" s="36"/>
      <c r="AL322" s="36">
        <f t="shared" si="79"/>
        <v>0</v>
      </c>
      <c r="AM322" s="36">
        <f t="shared" si="80"/>
        <v>0</v>
      </c>
      <c r="AN322" s="36"/>
      <c r="AO322" s="36"/>
      <c r="AP322" s="36">
        <f t="shared" si="81"/>
        <v>0</v>
      </c>
      <c r="AQ322" s="36">
        <f t="shared" si="82"/>
        <v>0</v>
      </c>
    </row>
    <row r="323" spans="1:43" x14ac:dyDescent="0.55000000000000004">
      <c r="A323" s="30" t="e">
        <f t="shared" si="83"/>
        <v>#REF!</v>
      </c>
      <c r="B323" s="31">
        <v>45919</v>
      </c>
      <c r="C323" s="45"/>
      <c r="D323" s="33"/>
      <c r="E323" s="33"/>
      <c r="F323" s="33"/>
      <c r="G323" s="51" t="s">
        <v>558</v>
      </c>
      <c r="H323" s="37" t="s">
        <v>559</v>
      </c>
      <c r="I323" s="36">
        <v>1</v>
      </c>
      <c r="J323" s="37"/>
      <c r="K323" s="37"/>
      <c r="L323" s="37"/>
      <c r="M323" s="38" t="s">
        <v>348</v>
      </c>
      <c r="N323" s="39"/>
      <c r="O323" s="47">
        <v>70</v>
      </c>
      <c r="P323" s="37">
        <f t="shared" si="71"/>
        <v>70</v>
      </c>
      <c r="Q323" s="41"/>
      <c r="R323" s="42">
        <f t="shared" si="86"/>
        <v>0</v>
      </c>
      <c r="S323" s="42">
        <f t="shared" si="85"/>
        <v>0</v>
      </c>
      <c r="T323" s="43">
        <f t="shared" si="87"/>
        <v>0</v>
      </c>
      <c r="U323" s="43">
        <f t="shared" si="87"/>
        <v>0</v>
      </c>
      <c r="V323" s="44">
        <f t="shared" si="84"/>
        <v>1</v>
      </c>
      <c r="W323" s="36">
        <f t="shared" si="72"/>
        <v>70</v>
      </c>
      <c r="X323" s="36"/>
      <c r="Y323" s="36"/>
      <c r="Z323" s="36">
        <f t="shared" si="73"/>
        <v>0</v>
      </c>
      <c r="AA323" s="36">
        <f t="shared" si="74"/>
        <v>0</v>
      </c>
      <c r="AB323" s="36"/>
      <c r="AC323" s="36"/>
      <c r="AD323" s="36">
        <f t="shared" si="75"/>
        <v>0</v>
      </c>
      <c r="AE323" s="36">
        <f t="shared" si="76"/>
        <v>0</v>
      </c>
      <c r="AF323" s="36"/>
      <c r="AG323" s="36"/>
      <c r="AH323" s="36">
        <f t="shared" si="77"/>
        <v>0</v>
      </c>
      <c r="AI323" s="36">
        <f t="shared" si="78"/>
        <v>0</v>
      </c>
      <c r="AJ323" s="36"/>
      <c r="AK323" s="36"/>
      <c r="AL323" s="36">
        <f t="shared" si="79"/>
        <v>0</v>
      </c>
      <c r="AM323" s="36">
        <f t="shared" si="80"/>
        <v>0</v>
      </c>
      <c r="AN323" s="36"/>
      <c r="AO323" s="36"/>
      <c r="AP323" s="36">
        <f t="shared" si="81"/>
        <v>0</v>
      </c>
      <c r="AQ323" s="36">
        <f t="shared" si="82"/>
        <v>0</v>
      </c>
    </row>
    <row r="324" spans="1:43" x14ac:dyDescent="0.55000000000000004">
      <c r="A324" s="30" t="e">
        <f t="shared" si="83"/>
        <v>#REF!</v>
      </c>
      <c r="B324" s="31">
        <v>45936</v>
      </c>
      <c r="C324" s="45"/>
      <c r="D324" s="33"/>
      <c r="E324" s="33"/>
      <c r="F324" s="33"/>
      <c r="G324" s="51" t="s">
        <v>560</v>
      </c>
      <c r="H324" s="37" t="s">
        <v>545</v>
      </c>
      <c r="I324" s="36">
        <v>2</v>
      </c>
      <c r="J324" s="37"/>
      <c r="K324" s="37"/>
      <c r="L324" s="37"/>
      <c r="M324" s="38" t="s">
        <v>35</v>
      </c>
      <c r="N324" s="39" t="s">
        <v>49</v>
      </c>
      <c r="O324" s="47">
        <v>30</v>
      </c>
      <c r="P324" s="37">
        <f t="shared" ref="P324:P384" si="88">O324*I324</f>
        <v>60</v>
      </c>
      <c r="Q324" s="41"/>
      <c r="R324" s="42">
        <f t="shared" si="86"/>
        <v>0</v>
      </c>
      <c r="S324" s="42">
        <f t="shared" si="85"/>
        <v>0</v>
      </c>
      <c r="T324" s="43">
        <f t="shared" si="87"/>
        <v>0</v>
      </c>
      <c r="U324" s="43">
        <f t="shared" si="87"/>
        <v>0</v>
      </c>
      <c r="V324" s="44">
        <f t="shared" si="84"/>
        <v>2</v>
      </c>
      <c r="W324" s="36">
        <f t="shared" ref="W324:W384" si="89">V324*O324</f>
        <v>60</v>
      </c>
      <c r="X324" s="36"/>
      <c r="Y324" s="36"/>
      <c r="Z324" s="36">
        <f t="shared" ref="Z324:Z384" si="90">X324*O324</f>
        <v>0</v>
      </c>
      <c r="AA324" s="36">
        <f t="shared" ref="AA324:AA384" si="91">Y324*O324</f>
        <v>0</v>
      </c>
      <c r="AB324" s="36"/>
      <c r="AC324" s="36"/>
      <c r="AD324" s="36">
        <f t="shared" ref="AD324:AD384" si="92">AB324*O324</f>
        <v>0</v>
      </c>
      <c r="AE324" s="36">
        <f t="shared" ref="AE324:AE384" si="93">AC324*O324</f>
        <v>0</v>
      </c>
      <c r="AF324" s="36"/>
      <c r="AG324" s="36"/>
      <c r="AH324" s="36">
        <f t="shared" ref="AH324:AH384" si="94">AF324*O324</f>
        <v>0</v>
      </c>
      <c r="AI324" s="36">
        <f t="shared" ref="AI324:AI384" si="95">AG324*O324</f>
        <v>0</v>
      </c>
      <c r="AJ324" s="36"/>
      <c r="AK324" s="36"/>
      <c r="AL324" s="36">
        <f t="shared" ref="AL324:AL384" si="96">AJ324*O324</f>
        <v>0</v>
      </c>
      <c r="AM324" s="36">
        <f t="shared" ref="AM324:AM384" si="97">AK324*O324</f>
        <v>0</v>
      </c>
      <c r="AN324" s="36"/>
      <c r="AO324" s="36"/>
      <c r="AP324" s="36">
        <f t="shared" ref="AP324:AP384" si="98">AN324*O324</f>
        <v>0</v>
      </c>
      <c r="AQ324" s="36">
        <f t="shared" ref="AQ324:AQ384" si="99">AO324*O324</f>
        <v>0</v>
      </c>
    </row>
    <row r="325" spans="1:43" x14ac:dyDescent="0.55000000000000004">
      <c r="A325" s="30" t="e">
        <f t="shared" si="83"/>
        <v>#REF!</v>
      </c>
      <c r="B325" s="31">
        <v>45943</v>
      </c>
      <c r="C325" s="45"/>
      <c r="D325" s="33"/>
      <c r="E325" s="33"/>
      <c r="F325" s="33"/>
      <c r="G325" s="51" t="s">
        <v>561</v>
      </c>
      <c r="H325" s="37" t="s">
        <v>562</v>
      </c>
      <c r="I325" s="36">
        <v>1</v>
      </c>
      <c r="J325" s="37"/>
      <c r="K325" s="37"/>
      <c r="L325" s="37"/>
      <c r="M325" s="38" t="s">
        <v>265</v>
      </c>
      <c r="N325" s="39"/>
      <c r="O325" s="47">
        <v>1324.69</v>
      </c>
      <c r="P325" s="37">
        <f t="shared" si="88"/>
        <v>1324.69</v>
      </c>
      <c r="Q325" s="41"/>
      <c r="R325" s="42">
        <f t="shared" si="86"/>
        <v>0</v>
      </c>
      <c r="S325" s="42">
        <f t="shared" si="85"/>
        <v>0</v>
      </c>
      <c r="T325" s="43">
        <f t="shared" si="87"/>
        <v>0</v>
      </c>
      <c r="U325" s="43">
        <f t="shared" si="87"/>
        <v>0</v>
      </c>
      <c r="V325" s="44">
        <f t="shared" si="84"/>
        <v>1</v>
      </c>
      <c r="W325" s="36">
        <f t="shared" si="89"/>
        <v>1324.69</v>
      </c>
      <c r="X325" s="36"/>
      <c r="Y325" s="36"/>
      <c r="Z325" s="36">
        <f t="shared" si="90"/>
        <v>0</v>
      </c>
      <c r="AA325" s="36">
        <f t="shared" si="91"/>
        <v>0</v>
      </c>
      <c r="AB325" s="36"/>
      <c r="AC325" s="36"/>
      <c r="AD325" s="36">
        <f t="shared" si="92"/>
        <v>0</v>
      </c>
      <c r="AE325" s="36">
        <f t="shared" si="93"/>
        <v>0</v>
      </c>
      <c r="AF325" s="36"/>
      <c r="AG325" s="36"/>
      <c r="AH325" s="36">
        <f t="shared" si="94"/>
        <v>0</v>
      </c>
      <c r="AI325" s="36">
        <f t="shared" si="95"/>
        <v>0</v>
      </c>
      <c r="AJ325" s="36"/>
      <c r="AK325" s="36"/>
      <c r="AL325" s="36">
        <f t="shared" si="96"/>
        <v>0</v>
      </c>
      <c r="AM325" s="36">
        <f t="shared" si="97"/>
        <v>0</v>
      </c>
      <c r="AN325" s="36"/>
      <c r="AO325" s="36"/>
      <c r="AP325" s="36">
        <f t="shared" si="98"/>
        <v>0</v>
      </c>
      <c r="AQ325" s="36">
        <f t="shared" si="99"/>
        <v>0</v>
      </c>
    </row>
    <row r="326" spans="1:43" x14ac:dyDescent="0.55000000000000004">
      <c r="A326" s="30" t="e">
        <f t="shared" ref="A326:A386" si="100">+A325+1</f>
        <v>#REF!</v>
      </c>
      <c r="B326" s="31">
        <v>45943</v>
      </c>
      <c r="C326" s="45"/>
      <c r="D326" s="33"/>
      <c r="E326" s="33"/>
      <c r="F326" s="33"/>
      <c r="G326" s="51" t="s">
        <v>563</v>
      </c>
      <c r="H326" s="37" t="s">
        <v>46</v>
      </c>
      <c r="I326" s="36">
        <v>3</v>
      </c>
      <c r="J326" s="37"/>
      <c r="K326" s="37"/>
      <c r="L326" s="37"/>
      <c r="M326" s="60" t="s">
        <v>102</v>
      </c>
      <c r="N326" s="54" t="s">
        <v>41</v>
      </c>
      <c r="O326" s="47">
        <v>30</v>
      </c>
      <c r="P326" s="37">
        <f t="shared" si="88"/>
        <v>90</v>
      </c>
      <c r="Q326" s="41"/>
      <c r="R326" s="42">
        <f t="shared" si="86"/>
        <v>390</v>
      </c>
      <c r="S326" s="42">
        <f t="shared" si="85"/>
        <v>300</v>
      </c>
      <c r="T326" s="43">
        <f t="shared" si="87"/>
        <v>13</v>
      </c>
      <c r="U326" s="43">
        <f t="shared" si="87"/>
        <v>10</v>
      </c>
      <c r="V326" s="44">
        <f t="shared" ref="V326:V389" si="101">I326+T326-U326</f>
        <v>6</v>
      </c>
      <c r="W326" s="36">
        <f t="shared" si="89"/>
        <v>180</v>
      </c>
      <c r="X326" s="36">
        <v>2</v>
      </c>
      <c r="Y326" s="36"/>
      <c r="Z326" s="36">
        <f t="shared" si="90"/>
        <v>60</v>
      </c>
      <c r="AA326" s="36">
        <f t="shared" si="91"/>
        <v>0</v>
      </c>
      <c r="AB326" s="36"/>
      <c r="AC326" s="36">
        <v>2</v>
      </c>
      <c r="AD326" s="36">
        <f t="shared" si="92"/>
        <v>0</v>
      </c>
      <c r="AE326" s="36">
        <f t="shared" si="93"/>
        <v>60</v>
      </c>
      <c r="AF326" s="36">
        <v>11</v>
      </c>
      <c r="AG326" s="36">
        <f>4+4</f>
        <v>8</v>
      </c>
      <c r="AH326" s="36">
        <f t="shared" si="94"/>
        <v>330</v>
      </c>
      <c r="AI326" s="36">
        <f t="shared" si="95"/>
        <v>240</v>
      </c>
      <c r="AJ326" s="36"/>
      <c r="AK326" s="36"/>
      <c r="AL326" s="36">
        <f t="shared" si="96"/>
        <v>0</v>
      </c>
      <c r="AM326" s="36">
        <f t="shared" si="97"/>
        <v>0</v>
      </c>
      <c r="AN326" s="36"/>
      <c r="AO326" s="36"/>
      <c r="AP326" s="36">
        <f t="shared" si="98"/>
        <v>0</v>
      </c>
      <c r="AQ326" s="36">
        <f t="shared" si="99"/>
        <v>0</v>
      </c>
    </row>
    <row r="327" spans="1:43" x14ac:dyDescent="0.55000000000000004">
      <c r="A327" s="30" t="e">
        <f t="shared" si="100"/>
        <v>#REF!</v>
      </c>
      <c r="B327" s="31">
        <v>45943</v>
      </c>
      <c r="C327" s="45"/>
      <c r="D327" s="33"/>
      <c r="E327" s="33"/>
      <c r="F327" s="33"/>
      <c r="G327" s="49" t="s">
        <v>564</v>
      </c>
      <c r="H327" s="37" t="s">
        <v>565</v>
      </c>
      <c r="I327" s="36">
        <v>0</v>
      </c>
      <c r="J327" s="37"/>
      <c r="K327" s="37"/>
      <c r="L327" s="37"/>
      <c r="M327" s="38" t="s">
        <v>35</v>
      </c>
      <c r="N327" s="39" t="s">
        <v>49</v>
      </c>
      <c r="O327" s="47">
        <v>50.46</v>
      </c>
      <c r="P327" s="37">
        <f t="shared" si="88"/>
        <v>0</v>
      </c>
      <c r="Q327" s="41"/>
      <c r="R327" s="42">
        <f t="shared" si="86"/>
        <v>0</v>
      </c>
      <c r="S327" s="42">
        <f t="shared" si="85"/>
        <v>0</v>
      </c>
      <c r="T327" s="43">
        <f t="shared" si="87"/>
        <v>0</v>
      </c>
      <c r="U327" s="43">
        <f t="shared" si="87"/>
        <v>0</v>
      </c>
      <c r="V327" s="44">
        <f t="shared" si="101"/>
        <v>0</v>
      </c>
      <c r="W327" s="36">
        <f t="shared" si="89"/>
        <v>0</v>
      </c>
      <c r="X327" s="36"/>
      <c r="Y327" s="36"/>
      <c r="Z327" s="36">
        <f t="shared" si="90"/>
        <v>0</v>
      </c>
      <c r="AA327" s="36">
        <f t="shared" si="91"/>
        <v>0</v>
      </c>
      <c r="AB327" s="36"/>
      <c r="AC327" s="36"/>
      <c r="AD327" s="36">
        <f t="shared" si="92"/>
        <v>0</v>
      </c>
      <c r="AE327" s="36">
        <f t="shared" si="93"/>
        <v>0</v>
      </c>
      <c r="AF327" s="36"/>
      <c r="AG327" s="36"/>
      <c r="AH327" s="36">
        <f t="shared" si="94"/>
        <v>0</v>
      </c>
      <c r="AI327" s="36">
        <f t="shared" si="95"/>
        <v>0</v>
      </c>
      <c r="AJ327" s="36"/>
      <c r="AK327" s="36"/>
      <c r="AL327" s="36">
        <f t="shared" si="96"/>
        <v>0</v>
      </c>
      <c r="AM327" s="36">
        <f t="shared" si="97"/>
        <v>0</v>
      </c>
      <c r="AN327" s="36"/>
      <c r="AO327" s="36"/>
      <c r="AP327" s="36">
        <f t="shared" si="98"/>
        <v>0</v>
      </c>
      <c r="AQ327" s="36">
        <f t="shared" si="99"/>
        <v>0</v>
      </c>
    </row>
    <row r="328" spans="1:43" x14ac:dyDescent="0.55000000000000004">
      <c r="A328" s="30" t="e">
        <f t="shared" si="100"/>
        <v>#REF!</v>
      </c>
      <c r="B328" s="31">
        <v>45959</v>
      </c>
      <c r="C328" s="45"/>
      <c r="D328" s="33"/>
      <c r="E328" s="33"/>
      <c r="F328" s="33"/>
      <c r="G328" s="51" t="s">
        <v>566</v>
      </c>
      <c r="H328" s="37" t="s">
        <v>305</v>
      </c>
      <c r="I328" s="36">
        <v>12</v>
      </c>
      <c r="J328" s="37"/>
      <c r="K328" s="37"/>
      <c r="L328" s="37"/>
      <c r="M328" s="38" t="s">
        <v>35</v>
      </c>
      <c r="N328" s="39" t="s">
        <v>41</v>
      </c>
      <c r="O328" s="47">
        <v>51.38</v>
      </c>
      <c r="P328" s="37">
        <f t="shared" si="88"/>
        <v>616.56000000000006</v>
      </c>
      <c r="Q328" s="41"/>
      <c r="R328" s="42">
        <f t="shared" si="86"/>
        <v>513.80000000000007</v>
      </c>
      <c r="S328" s="42">
        <f t="shared" si="85"/>
        <v>0</v>
      </c>
      <c r="T328" s="43">
        <f t="shared" si="87"/>
        <v>10</v>
      </c>
      <c r="U328" s="43">
        <f t="shared" si="87"/>
        <v>0</v>
      </c>
      <c r="V328" s="44">
        <f t="shared" si="101"/>
        <v>22</v>
      </c>
      <c r="W328" s="36">
        <f t="shared" si="89"/>
        <v>1130.3600000000001</v>
      </c>
      <c r="X328" s="36">
        <v>10</v>
      </c>
      <c r="Y328" s="36"/>
      <c r="Z328" s="36">
        <f t="shared" si="90"/>
        <v>513.80000000000007</v>
      </c>
      <c r="AA328" s="36">
        <f t="shared" si="91"/>
        <v>0</v>
      </c>
      <c r="AB328" s="36"/>
      <c r="AC328" s="36"/>
      <c r="AD328" s="36">
        <f>AB328*O328</f>
        <v>0</v>
      </c>
      <c r="AE328" s="36">
        <f>AC328*O328</f>
        <v>0</v>
      </c>
      <c r="AF328" s="36"/>
      <c r="AG328" s="36"/>
      <c r="AH328" s="36">
        <f t="shared" si="94"/>
        <v>0</v>
      </c>
      <c r="AI328" s="36">
        <f t="shared" si="95"/>
        <v>0</v>
      </c>
      <c r="AJ328" s="36"/>
      <c r="AK328" s="36"/>
      <c r="AL328" s="36">
        <f t="shared" si="96"/>
        <v>0</v>
      </c>
      <c r="AM328" s="36">
        <f t="shared" si="97"/>
        <v>0</v>
      </c>
      <c r="AN328" s="36"/>
      <c r="AO328" s="36"/>
      <c r="AP328" s="36">
        <f t="shared" si="98"/>
        <v>0</v>
      </c>
      <c r="AQ328" s="36">
        <f t="shared" si="99"/>
        <v>0</v>
      </c>
    </row>
    <row r="329" spans="1:43" x14ac:dyDescent="0.55000000000000004">
      <c r="A329" s="30" t="e">
        <f t="shared" si="100"/>
        <v>#REF!</v>
      </c>
      <c r="B329" s="31">
        <v>45959</v>
      </c>
      <c r="C329" s="45"/>
      <c r="D329" s="33"/>
      <c r="E329" s="33"/>
      <c r="F329" s="33"/>
      <c r="G329" s="51" t="s">
        <v>567</v>
      </c>
      <c r="H329" s="37" t="s">
        <v>90</v>
      </c>
      <c r="I329" s="36">
        <v>4</v>
      </c>
      <c r="J329" s="37"/>
      <c r="K329" s="37"/>
      <c r="L329" s="37"/>
      <c r="M329" s="38" t="s">
        <v>35</v>
      </c>
      <c r="N329" s="39" t="s">
        <v>36</v>
      </c>
      <c r="O329" s="47">
        <v>51.38</v>
      </c>
      <c r="P329" s="37">
        <f t="shared" si="88"/>
        <v>205.52</v>
      </c>
      <c r="Q329" s="41"/>
      <c r="R329" s="42">
        <f t="shared" si="86"/>
        <v>0</v>
      </c>
      <c r="S329" s="42">
        <f t="shared" si="85"/>
        <v>0</v>
      </c>
      <c r="T329" s="43">
        <f t="shared" si="87"/>
        <v>0</v>
      </c>
      <c r="U329" s="43">
        <f t="shared" si="87"/>
        <v>0</v>
      </c>
      <c r="V329" s="44">
        <f t="shared" si="101"/>
        <v>4</v>
      </c>
      <c r="W329" s="36">
        <f t="shared" si="89"/>
        <v>205.52</v>
      </c>
      <c r="X329" s="36"/>
      <c r="Y329" s="36"/>
      <c r="Z329" s="36">
        <f t="shared" si="90"/>
        <v>0</v>
      </c>
      <c r="AA329" s="36">
        <f t="shared" si="91"/>
        <v>0</v>
      </c>
      <c r="AB329" s="36"/>
      <c r="AC329" s="36"/>
      <c r="AD329" s="36">
        <f t="shared" si="92"/>
        <v>0</v>
      </c>
      <c r="AE329" s="36">
        <f t="shared" si="93"/>
        <v>0</v>
      </c>
      <c r="AF329" s="36"/>
      <c r="AG329" s="36"/>
      <c r="AH329" s="36">
        <f t="shared" si="94"/>
        <v>0</v>
      </c>
      <c r="AI329" s="36">
        <f t="shared" si="95"/>
        <v>0</v>
      </c>
      <c r="AJ329" s="36"/>
      <c r="AK329" s="36"/>
      <c r="AL329" s="36">
        <f t="shared" si="96"/>
        <v>0</v>
      </c>
      <c r="AM329" s="36">
        <f t="shared" si="97"/>
        <v>0</v>
      </c>
      <c r="AN329" s="36"/>
      <c r="AO329" s="36"/>
      <c r="AP329" s="36">
        <f t="shared" si="98"/>
        <v>0</v>
      </c>
      <c r="AQ329" s="36">
        <f t="shared" si="99"/>
        <v>0</v>
      </c>
    </row>
    <row r="330" spans="1:43" x14ac:dyDescent="0.55000000000000004">
      <c r="A330" s="30" t="e">
        <f t="shared" si="100"/>
        <v>#REF!</v>
      </c>
      <c r="B330" s="31">
        <v>45959</v>
      </c>
      <c r="C330" s="45"/>
      <c r="D330" s="33"/>
      <c r="E330" s="33"/>
      <c r="F330" s="33"/>
      <c r="G330" s="51" t="s">
        <v>568</v>
      </c>
      <c r="H330" s="37" t="s">
        <v>59</v>
      </c>
      <c r="I330" s="36">
        <v>2</v>
      </c>
      <c r="J330" s="37"/>
      <c r="K330" s="37"/>
      <c r="L330" s="37"/>
      <c r="M330" s="38" t="s">
        <v>265</v>
      </c>
      <c r="N330" s="39"/>
      <c r="O330" s="47">
        <v>73.150000000000006</v>
      </c>
      <c r="P330" s="37">
        <f t="shared" si="88"/>
        <v>146.30000000000001</v>
      </c>
      <c r="Q330" s="41"/>
      <c r="R330" s="42">
        <f t="shared" si="86"/>
        <v>0</v>
      </c>
      <c r="S330" s="42">
        <f t="shared" si="85"/>
        <v>0</v>
      </c>
      <c r="T330" s="43">
        <f t="shared" si="87"/>
        <v>0</v>
      </c>
      <c r="U330" s="43">
        <f t="shared" si="87"/>
        <v>0</v>
      </c>
      <c r="V330" s="44">
        <f t="shared" si="101"/>
        <v>2</v>
      </c>
      <c r="W330" s="36">
        <f t="shared" si="89"/>
        <v>146.30000000000001</v>
      </c>
      <c r="X330" s="36"/>
      <c r="Y330" s="36"/>
      <c r="Z330" s="36">
        <f t="shared" si="90"/>
        <v>0</v>
      </c>
      <c r="AA330" s="36">
        <f t="shared" si="91"/>
        <v>0</v>
      </c>
      <c r="AB330" s="36"/>
      <c r="AC330" s="36"/>
      <c r="AD330" s="36">
        <f t="shared" si="92"/>
        <v>0</v>
      </c>
      <c r="AE330" s="36">
        <f t="shared" si="93"/>
        <v>0</v>
      </c>
      <c r="AF330" s="36"/>
      <c r="AG330" s="36"/>
      <c r="AH330" s="36">
        <f t="shared" si="94"/>
        <v>0</v>
      </c>
      <c r="AI330" s="36">
        <f t="shared" si="95"/>
        <v>0</v>
      </c>
      <c r="AJ330" s="36"/>
      <c r="AK330" s="36"/>
      <c r="AL330" s="36">
        <f t="shared" si="96"/>
        <v>0</v>
      </c>
      <c r="AM330" s="36">
        <f t="shared" si="97"/>
        <v>0</v>
      </c>
      <c r="AN330" s="36"/>
      <c r="AO330" s="36"/>
      <c r="AP330" s="36">
        <f t="shared" si="98"/>
        <v>0</v>
      </c>
      <c r="AQ330" s="36">
        <f t="shared" si="99"/>
        <v>0</v>
      </c>
    </row>
    <row r="331" spans="1:43" x14ac:dyDescent="0.55000000000000004">
      <c r="A331" s="30" t="e">
        <f t="shared" si="100"/>
        <v>#REF!</v>
      </c>
      <c r="B331" s="31">
        <v>45971</v>
      </c>
      <c r="C331" s="45"/>
      <c r="D331" s="33"/>
      <c r="E331" s="33"/>
      <c r="F331" s="33"/>
      <c r="G331" s="51" t="s">
        <v>569</v>
      </c>
      <c r="H331" s="37" t="s">
        <v>570</v>
      </c>
      <c r="I331" s="36">
        <v>1</v>
      </c>
      <c r="J331" s="37"/>
      <c r="K331" s="37"/>
      <c r="L331" s="37"/>
      <c r="M331" s="38" t="s">
        <v>72</v>
      </c>
      <c r="N331" s="39" t="s">
        <v>41</v>
      </c>
      <c r="O331" s="47">
        <v>123.85</v>
      </c>
      <c r="P331" s="37">
        <f t="shared" si="88"/>
        <v>123.85</v>
      </c>
      <c r="Q331" s="41"/>
      <c r="R331" s="42">
        <f t="shared" si="86"/>
        <v>0</v>
      </c>
      <c r="S331" s="42">
        <f t="shared" si="85"/>
        <v>0</v>
      </c>
      <c r="T331" s="43">
        <f t="shared" si="87"/>
        <v>0</v>
      </c>
      <c r="U331" s="43">
        <f t="shared" si="87"/>
        <v>0</v>
      </c>
      <c r="V331" s="44">
        <f t="shared" si="101"/>
        <v>1</v>
      </c>
      <c r="W331" s="36">
        <f t="shared" si="89"/>
        <v>123.85</v>
      </c>
      <c r="X331" s="36"/>
      <c r="Y331" s="36"/>
      <c r="Z331" s="36">
        <f t="shared" si="90"/>
        <v>0</v>
      </c>
      <c r="AA331" s="36">
        <f t="shared" si="91"/>
        <v>0</v>
      </c>
      <c r="AB331" s="36"/>
      <c r="AC331" s="36"/>
      <c r="AD331" s="36">
        <f t="shared" si="92"/>
        <v>0</v>
      </c>
      <c r="AE331" s="36">
        <f t="shared" si="93"/>
        <v>0</v>
      </c>
      <c r="AF331" s="36"/>
      <c r="AG331" s="36"/>
      <c r="AH331" s="36">
        <f t="shared" si="94"/>
        <v>0</v>
      </c>
      <c r="AI331" s="36">
        <f t="shared" si="95"/>
        <v>0</v>
      </c>
      <c r="AJ331" s="36"/>
      <c r="AK331" s="36"/>
      <c r="AL331" s="36">
        <f t="shared" si="96"/>
        <v>0</v>
      </c>
      <c r="AM331" s="36">
        <f t="shared" si="97"/>
        <v>0</v>
      </c>
      <c r="AN331" s="36"/>
      <c r="AO331" s="36"/>
      <c r="AP331" s="36">
        <f t="shared" si="98"/>
        <v>0</v>
      </c>
      <c r="AQ331" s="36">
        <f t="shared" si="99"/>
        <v>0</v>
      </c>
    </row>
    <row r="332" spans="1:43" x14ac:dyDescent="0.55000000000000004">
      <c r="A332" s="30" t="e">
        <f t="shared" si="100"/>
        <v>#REF!</v>
      </c>
      <c r="B332" s="31">
        <v>45971</v>
      </c>
      <c r="C332" s="45"/>
      <c r="D332" s="33"/>
      <c r="E332" s="33"/>
      <c r="F332" s="33"/>
      <c r="G332" s="51" t="s">
        <v>571</v>
      </c>
      <c r="H332" s="37" t="s">
        <v>104</v>
      </c>
      <c r="I332" s="36">
        <v>6</v>
      </c>
      <c r="J332" s="37"/>
      <c r="K332" s="37"/>
      <c r="L332" s="37"/>
      <c r="M332" s="38" t="s">
        <v>410</v>
      </c>
      <c r="N332" s="39" t="s">
        <v>41</v>
      </c>
      <c r="O332" s="47">
        <v>7.62</v>
      </c>
      <c r="P332" s="37">
        <f t="shared" si="88"/>
        <v>45.72</v>
      </c>
      <c r="Q332" s="41"/>
      <c r="R332" s="42">
        <f t="shared" si="86"/>
        <v>0</v>
      </c>
      <c r="S332" s="42">
        <f t="shared" si="85"/>
        <v>0</v>
      </c>
      <c r="T332" s="43">
        <f t="shared" si="87"/>
        <v>0</v>
      </c>
      <c r="U332" s="43">
        <f t="shared" si="87"/>
        <v>0</v>
      </c>
      <c r="V332" s="44">
        <f t="shared" si="101"/>
        <v>6</v>
      </c>
      <c r="W332" s="36">
        <f t="shared" si="89"/>
        <v>45.72</v>
      </c>
      <c r="X332" s="36"/>
      <c r="Y332" s="36"/>
      <c r="Z332" s="36">
        <f t="shared" si="90"/>
        <v>0</v>
      </c>
      <c r="AA332" s="36">
        <f t="shared" si="91"/>
        <v>0</v>
      </c>
      <c r="AB332" s="36"/>
      <c r="AC332" s="36"/>
      <c r="AD332" s="36">
        <f t="shared" si="92"/>
        <v>0</v>
      </c>
      <c r="AE332" s="36">
        <f t="shared" si="93"/>
        <v>0</v>
      </c>
      <c r="AF332" s="36"/>
      <c r="AG332" s="36"/>
      <c r="AH332" s="36">
        <f t="shared" si="94"/>
        <v>0</v>
      </c>
      <c r="AI332" s="36">
        <f t="shared" si="95"/>
        <v>0</v>
      </c>
      <c r="AJ332" s="36"/>
      <c r="AK332" s="36"/>
      <c r="AL332" s="36">
        <f t="shared" si="96"/>
        <v>0</v>
      </c>
      <c r="AM332" s="36">
        <f t="shared" si="97"/>
        <v>0</v>
      </c>
      <c r="AN332" s="36"/>
      <c r="AO332" s="36"/>
      <c r="AP332" s="36">
        <f t="shared" si="98"/>
        <v>0</v>
      </c>
      <c r="AQ332" s="36">
        <f t="shared" si="99"/>
        <v>0</v>
      </c>
    </row>
    <row r="333" spans="1:43" x14ac:dyDescent="0.55000000000000004">
      <c r="A333" s="30" t="e">
        <f t="shared" si="100"/>
        <v>#REF!</v>
      </c>
      <c r="B333" s="31">
        <v>45971</v>
      </c>
      <c r="C333" s="45"/>
      <c r="D333" s="33"/>
      <c r="E333" s="33"/>
      <c r="F333" s="33"/>
      <c r="G333" s="51" t="s">
        <v>572</v>
      </c>
      <c r="H333" s="37" t="s">
        <v>409</v>
      </c>
      <c r="I333" s="36">
        <v>3</v>
      </c>
      <c r="J333" s="37"/>
      <c r="K333" s="37"/>
      <c r="L333" s="37"/>
      <c r="M333" s="38" t="s">
        <v>410</v>
      </c>
      <c r="N333" s="39" t="s">
        <v>49</v>
      </c>
      <c r="O333" s="47">
        <v>36.409999999999997</v>
      </c>
      <c r="P333" s="37">
        <f t="shared" si="88"/>
        <v>109.22999999999999</v>
      </c>
      <c r="Q333" s="41"/>
      <c r="R333" s="42">
        <f t="shared" si="86"/>
        <v>0</v>
      </c>
      <c r="S333" s="42">
        <f t="shared" si="85"/>
        <v>0</v>
      </c>
      <c r="T333" s="43">
        <f t="shared" si="87"/>
        <v>0</v>
      </c>
      <c r="U333" s="43">
        <f t="shared" si="87"/>
        <v>0</v>
      </c>
      <c r="V333" s="44">
        <f t="shared" si="101"/>
        <v>3</v>
      </c>
      <c r="W333" s="36">
        <f t="shared" si="89"/>
        <v>109.22999999999999</v>
      </c>
      <c r="X333" s="36"/>
      <c r="Y333" s="36"/>
      <c r="Z333" s="36">
        <f t="shared" si="90"/>
        <v>0</v>
      </c>
      <c r="AA333" s="36">
        <f t="shared" si="91"/>
        <v>0</v>
      </c>
      <c r="AB333" s="36"/>
      <c r="AC333" s="36"/>
      <c r="AD333" s="36">
        <f t="shared" si="92"/>
        <v>0</v>
      </c>
      <c r="AE333" s="36">
        <f t="shared" si="93"/>
        <v>0</v>
      </c>
      <c r="AF333" s="36"/>
      <c r="AG333" s="36"/>
      <c r="AH333" s="36">
        <f t="shared" si="94"/>
        <v>0</v>
      </c>
      <c r="AI333" s="36">
        <f t="shared" si="95"/>
        <v>0</v>
      </c>
      <c r="AJ333" s="36"/>
      <c r="AK333" s="36"/>
      <c r="AL333" s="36">
        <f t="shared" si="96"/>
        <v>0</v>
      </c>
      <c r="AM333" s="36">
        <f t="shared" si="97"/>
        <v>0</v>
      </c>
      <c r="AN333" s="36"/>
      <c r="AO333" s="36"/>
      <c r="AP333" s="36">
        <f t="shared" si="98"/>
        <v>0</v>
      </c>
      <c r="AQ333" s="36">
        <f t="shared" si="99"/>
        <v>0</v>
      </c>
    </row>
    <row r="334" spans="1:43" x14ac:dyDescent="0.55000000000000004">
      <c r="A334" s="30" t="e">
        <f t="shared" si="100"/>
        <v>#REF!</v>
      </c>
      <c r="B334" s="31">
        <v>45971</v>
      </c>
      <c r="C334" s="45"/>
      <c r="D334" s="33"/>
      <c r="E334" s="33"/>
      <c r="F334" s="33"/>
      <c r="G334" s="51" t="s">
        <v>573</v>
      </c>
      <c r="H334" s="37" t="s">
        <v>574</v>
      </c>
      <c r="I334" s="36">
        <v>2</v>
      </c>
      <c r="J334" s="37"/>
      <c r="K334" s="37"/>
      <c r="L334" s="37"/>
      <c r="M334" s="38" t="s">
        <v>35</v>
      </c>
      <c r="N334" s="39" t="s">
        <v>36</v>
      </c>
      <c r="O334" s="47">
        <v>30</v>
      </c>
      <c r="P334" s="37">
        <f t="shared" si="88"/>
        <v>60</v>
      </c>
      <c r="Q334" s="41"/>
      <c r="R334" s="42">
        <f t="shared" si="86"/>
        <v>0</v>
      </c>
      <c r="S334" s="42">
        <f t="shared" si="85"/>
        <v>0</v>
      </c>
      <c r="T334" s="43">
        <f t="shared" si="87"/>
        <v>0</v>
      </c>
      <c r="U334" s="43">
        <f t="shared" si="87"/>
        <v>0</v>
      </c>
      <c r="V334" s="44">
        <f t="shared" si="101"/>
        <v>2</v>
      </c>
      <c r="W334" s="36">
        <f t="shared" si="89"/>
        <v>60</v>
      </c>
      <c r="X334" s="36"/>
      <c r="Y334" s="36"/>
      <c r="Z334" s="36">
        <f t="shared" si="90"/>
        <v>0</v>
      </c>
      <c r="AA334" s="36">
        <f t="shared" si="91"/>
        <v>0</v>
      </c>
      <c r="AB334" s="36"/>
      <c r="AC334" s="36"/>
      <c r="AD334" s="36">
        <f t="shared" si="92"/>
        <v>0</v>
      </c>
      <c r="AE334" s="36">
        <f t="shared" si="93"/>
        <v>0</v>
      </c>
      <c r="AF334" s="36"/>
      <c r="AG334" s="36"/>
      <c r="AH334" s="36">
        <f t="shared" si="94"/>
        <v>0</v>
      </c>
      <c r="AI334" s="36">
        <f t="shared" si="95"/>
        <v>0</v>
      </c>
      <c r="AJ334" s="36"/>
      <c r="AK334" s="36"/>
      <c r="AL334" s="36">
        <f t="shared" si="96"/>
        <v>0</v>
      </c>
      <c r="AM334" s="36">
        <f t="shared" si="97"/>
        <v>0</v>
      </c>
      <c r="AN334" s="36"/>
      <c r="AO334" s="36"/>
      <c r="AP334" s="36">
        <f t="shared" si="98"/>
        <v>0</v>
      </c>
      <c r="AQ334" s="36">
        <f t="shared" si="99"/>
        <v>0</v>
      </c>
    </row>
    <row r="335" spans="1:43" x14ac:dyDescent="0.55000000000000004">
      <c r="A335" s="30" t="e">
        <f t="shared" si="100"/>
        <v>#REF!</v>
      </c>
      <c r="B335" s="31">
        <v>45971</v>
      </c>
      <c r="C335" s="45"/>
      <c r="D335" s="33"/>
      <c r="E335" s="33"/>
      <c r="F335" s="33"/>
      <c r="G335" s="51" t="s">
        <v>575</v>
      </c>
      <c r="H335" s="37" t="s">
        <v>576</v>
      </c>
      <c r="I335" s="36">
        <v>4</v>
      </c>
      <c r="J335" s="37"/>
      <c r="K335" s="37"/>
      <c r="L335" s="37"/>
      <c r="M335" s="38" t="s">
        <v>35</v>
      </c>
      <c r="N335" s="39" t="s">
        <v>36</v>
      </c>
      <c r="O335" s="47">
        <v>75</v>
      </c>
      <c r="P335" s="37">
        <f t="shared" si="88"/>
        <v>300</v>
      </c>
      <c r="Q335" s="41"/>
      <c r="R335" s="42">
        <f t="shared" si="86"/>
        <v>0</v>
      </c>
      <c r="S335" s="42">
        <f t="shared" si="85"/>
        <v>0</v>
      </c>
      <c r="T335" s="43">
        <f t="shared" si="87"/>
        <v>0</v>
      </c>
      <c r="U335" s="43">
        <f t="shared" si="87"/>
        <v>0</v>
      </c>
      <c r="V335" s="44">
        <f t="shared" si="101"/>
        <v>4</v>
      </c>
      <c r="W335" s="36">
        <f t="shared" si="89"/>
        <v>300</v>
      </c>
      <c r="X335" s="36"/>
      <c r="Y335" s="36"/>
      <c r="Z335" s="36">
        <f t="shared" si="90"/>
        <v>0</v>
      </c>
      <c r="AA335" s="36">
        <f t="shared" si="91"/>
        <v>0</v>
      </c>
      <c r="AB335" s="36"/>
      <c r="AC335" s="36"/>
      <c r="AD335" s="36">
        <f t="shared" si="92"/>
        <v>0</v>
      </c>
      <c r="AE335" s="36">
        <f t="shared" si="93"/>
        <v>0</v>
      </c>
      <c r="AF335" s="36"/>
      <c r="AG335" s="36"/>
      <c r="AH335" s="36">
        <f t="shared" si="94"/>
        <v>0</v>
      </c>
      <c r="AI335" s="36">
        <f t="shared" si="95"/>
        <v>0</v>
      </c>
      <c r="AJ335" s="36"/>
      <c r="AK335" s="36"/>
      <c r="AL335" s="36">
        <f t="shared" si="96"/>
        <v>0</v>
      </c>
      <c r="AM335" s="36">
        <f t="shared" si="97"/>
        <v>0</v>
      </c>
      <c r="AN335" s="36"/>
      <c r="AO335" s="36"/>
      <c r="AP335" s="36">
        <f t="shared" si="98"/>
        <v>0</v>
      </c>
      <c r="AQ335" s="36">
        <f t="shared" si="99"/>
        <v>0</v>
      </c>
    </row>
    <row r="336" spans="1:43" x14ac:dyDescent="0.55000000000000004">
      <c r="A336" s="30" t="e">
        <f t="shared" si="100"/>
        <v>#REF!</v>
      </c>
      <c r="B336" s="31">
        <v>45971</v>
      </c>
      <c r="C336" s="45"/>
      <c r="D336" s="33"/>
      <c r="E336" s="33"/>
      <c r="F336" s="33"/>
      <c r="G336" s="51" t="s">
        <v>577</v>
      </c>
      <c r="H336" s="37" t="s">
        <v>68</v>
      </c>
      <c r="I336" s="36">
        <v>4</v>
      </c>
      <c r="J336" s="37"/>
      <c r="K336" s="37"/>
      <c r="L336" s="37"/>
      <c r="M336" s="38" t="s">
        <v>35</v>
      </c>
      <c r="N336" s="39" t="s">
        <v>36</v>
      </c>
      <c r="O336" s="47">
        <v>363.58</v>
      </c>
      <c r="P336" s="37">
        <f t="shared" si="88"/>
        <v>1454.32</v>
      </c>
      <c r="Q336" s="41"/>
      <c r="R336" s="42">
        <f t="shared" si="86"/>
        <v>0</v>
      </c>
      <c r="S336" s="42">
        <f t="shared" si="85"/>
        <v>0</v>
      </c>
      <c r="T336" s="43">
        <f t="shared" si="87"/>
        <v>0</v>
      </c>
      <c r="U336" s="43">
        <f t="shared" si="87"/>
        <v>0</v>
      </c>
      <c r="V336" s="44">
        <f t="shared" si="101"/>
        <v>4</v>
      </c>
      <c r="W336" s="36">
        <f t="shared" si="89"/>
        <v>1454.32</v>
      </c>
      <c r="X336" s="36"/>
      <c r="Y336" s="36"/>
      <c r="Z336" s="36">
        <f t="shared" si="90"/>
        <v>0</v>
      </c>
      <c r="AA336" s="36">
        <f t="shared" si="91"/>
        <v>0</v>
      </c>
      <c r="AB336" s="36"/>
      <c r="AC336" s="36"/>
      <c r="AD336" s="36">
        <f t="shared" si="92"/>
        <v>0</v>
      </c>
      <c r="AE336" s="36">
        <f t="shared" si="93"/>
        <v>0</v>
      </c>
      <c r="AF336" s="36"/>
      <c r="AG336" s="36"/>
      <c r="AH336" s="36">
        <f t="shared" si="94"/>
        <v>0</v>
      </c>
      <c r="AI336" s="36">
        <f t="shared" si="95"/>
        <v>0</v>
      </c>
      <c r="AJ336" s="36"/>
      <c r="AK336" s="36"/>
      <c r="AL336" s="36">
        <f t="shared" si="96"/>
        <v>0</v>
      </c>
      <c r="AM336" s="36">
        <f t="shared" si="97"/>
        <v>0</v>
      </c>
      <c r="AN336" s="36"/>
      <c r="AO336" s="36"/>
      <c r="AP336" s="36">
        <f t="shared" si="98"/>
        <v>0</v>
      </c>
      <c r="AQ336" s="36">
        <f t="shared" si="99"/>
        <v>0</v>
      </c>
    </row>
    <row r="337" spans="1:43" x14ac:dyDescent="0.55000000000000004">
      <c r="A337" s="30" t="e">
        <f t="shared" si="100"/>
        <v>#REF!</v>
      </c>
      <c r="B337" s="31">
        <v>45971</v>
      </c>
      <c r="C337" s="45"/>
      <c r="D337" s="33"/>
      <c r="E337" s="33"/>
      <c r="F337" s="33"/>
      <c r="G337" s="51" t="s">
        <v>578</v>
      </c>
      <c r="H337" s="37" t="s">
        <v>579</v>
      </c>
      <c r="I337" s="36">
        <v>2</v>
      </c>
      <c r="J337" s="37"/>
      <c r="K337" s="37"/>
      <c r="L337" s="37"/>
      <c r="M337" s="38" t="s">
        <v>35</v>
      </c>
      <c r="N337" s="39" t="s">
        <v>36</v>
      </c>
      <c r="O337" s="47">
        <v>10</v>
      </c>
      <c r="P337" s="37">
        <f t="shared" si="88"/>
        <v>20</v>
      </c>
      <c r="Q337" s="41"/>
      <c r="R337" s="42">
        <f t="shared" si="86"/>
        <v>0</v>
      </c>
      <c r="S337" s="42">
        <f t="shared" si="85"/>
        <v>0</v>
      </c>
      <c r="T337" s="43">
        <f t="shared" si="87"/>
        <v>0</v>
      </c>
      <c r="U337" s="43">
        <f t="shared" si="87"/>
        <v>0</v>
      </c>
      <c r="V337" s="44">
        <f t="shared" si="101"/>
        <v>2</v>
      </c>
      <c r="W337" s="36">
        <f t="shared" si="89"/>
        <v>20</v>
      </c>
      <c r="X337" s="36"/>
      <c r="Y337" s="36"/>
      <c r="Z337" s="36">
        <f t="shared" si="90"/>
        <v>0</v>
      </c>
      <c r="AA337" s="36">
        <f t="shared" si="91"/>
        <v>0</v>
      </c>
      <c r="AB337" s="36"/>
      <c r="AC337" s="36"/>
      <c r="AD337" s="36">
        <f t="shared" si="92"/>
        <v>0</v>
      </c>
      <c r="AE337" s="36">
        <f t="shared" si="93"/>
        <v>0</v>
      </c>
      <c r="AF337" s="36"/>
      <c r="AG337" s="36"/>
      <c r="AH337" s="36">
        <f t="shared" si="94"/>
        <v>0</v>
      </c>
      <c r="AI337" s="36">
        <f t="shared" si="95"/>
        <v>0</v>
      </c>
      <c r="AJ337" s="36"/>
      <c r="AK337" s="36"/>
      <c r="AL337" s="36">
        <f t="shared" si="96"/>
        <v>0</v>
      </c>
      <c r="AM337" s="36">
        <f t="shared" si="97"/>
        <v>0</v>
      </c>
      <c r="AN337" s="36"/>
      <c r="AO337" s="36"/>
      <c r="AP337" s="36">
        <f t="shared" si="98"/>
        <v>0</v>
      </c>
      <c r="AQ337" s="36">
        <f t="shared" si="99"/>
        <v>0</v>
      </c>
    </row>
    <row r="338" spans="1:43" x14ac:dyDescent="0.55000000000000004">
      <c r="A338" s="30" t="e">
        <f t="shared" si="100"/>
        <v>#REF!</v>
      </c>
      <c r="B338" s="31">
        <v>45971</v>
      </c>
      <c r="C338" s="45"/>
      <c r="D338" s="33"/>
      <c r="E338" s="33"/>
      <c r="F338" s="33"/>
      <c r="G338" s="51" t="s">
        <v>580</v>
      </c>
      <c r="H338" s="37" t="s">
        <v>581</v>
      </c>
      <c r="I338" s="36">
        <v>1</v>
      </c>
      <c r="J338" s="37"/>
      <c r="K338" s="37"/>
      <c r="L338" s="37"/>
      <c r="M338" s="38" t="s">
        <v>35</v>
      </c>
      <c r="N338" s="39"/>
      <c r="O338" s="47">
        <v>40</v>
      </c>
      <c r="P338" s="37">
        <f t="shared" si="88"/>
        <v>40</v>
      </c>
      <c r="Q338" s="41"/>
      <c r="R338" s="42">
        <f t="shared" si="86"/>
        <v>0</v>
      </c>
      <c r="S338" s="42">
        <f t="shared" si="85"/>
        <v>0</v>
      </c>
      <c r="T338" s="43">
        <f t="shared" si="87"/>
        <v>0</v>
      </c>
      <c r="U338" s="43">
        <f t="shared" si="87"/>
        <v>0</v>
      </c>
      <c r="V338" s="44">
        <f t="shared" si="101"/>
        <v>1</v>
      </c>
      <c r="W338" s="36">
        <f t="shared" si="89"/>
        <v>40</v>
      </c>
      <c r="X338" s="36"/>
      <c r="Y338" s="36"/>
      <c r="Z338" s="36">
        <f t="shared" si="90"/>
        <v>0</v>
      </c>
      <c r="AA338" s="36">
        <f t="shared" si="91"/>
        <v>0</v>
      </c>
      <c r="AB338" s="36"/>
      <c r="AC338" s="36"/>
      <c r="AD338" s="36">
        <f t="shared" si="92"/>
        <v>0</v>
      </c>
      <c r="AE338" s="36">
        <f t="shared" si="93"/>
        <v>0</v>
      </c>
      <c r="AF338" s="36"/>
      <c r="AG338" s="36"/>
      <c r="AH338" s="36">
        <f t="shared" si="94"/>
        <v>0</v>
      </c>
      <c r="AI338" s="36">
        <f t="shared" si="95"/>
        <v>0</v>
      </c>
      <c r="AJ338" s="36"/>
      <c r="AK338" s="36"/>
      <c r="AL338" s="36">
        <f t="shared" si="96"/>
        <v>0</v>
      </c>
      <c r="AM338" s="36">
        <f t="shared" si="97"/>
        <v>0</v>
      </c>
      <c r="AN338" s="36"/>
      <c r="AO338" s="36"/>
      <c r="AP338" s="36">
        <f t="shared" si="98"/>
        <v>0</v>
      </c>
      <c r="AQ338" s="36">
        <f t="shared" si="99"/>
        <v>0</v>
      </c>
    </row>
    <row r="339" spans="1:43" x14ac:dyDescent="0.55000000000000004">
      <c r="A339" s="30" t="e">
        <f t="shared" si="100"/>
        <v>#REF!</v>
      </c>
      <c r="B339" s="31">
        <v>45971</v>
      </c>
      <c r="C339" s="45"/>
      <c r="D339" s="33"/>
      <c r="E339" s="33"/>
      <c r="F339" s="33"/>
      <c r="G339" s="51" t="s">
        <v>582</v>
      </c>
      <c r="H339" s="37" t="s">
        <v>583</v>
      </c>
      <c r="I339" s="36">
        <v>1</v>
      </c>
      <c r="J339" s="37"/>
      <c r="K339" s="37"/>
      <c r="L339" s="37"/>
      <c r="M339" s="38" t="s">
        <v>35</v>
      </c>
      <c r="N339" s="39"/>
      <c r="O339" s="47">
        <v>117</v>
      </c>
      <c r="P339" s="37">
        <f t="shared" si="88"/>
        <v>117</v>
      </c>
      <c r="Q339" s="41"/>
      <c r="R339" s="42">
        <f t="shared" si="86"/>
        <v>0</v>
      </c>
      <c r="S339" s="42">
        <f t="shared" si="85"/>
        <v>0</v>
      </c>
      <c r="T339" s="43">
        <f t="shared" si="87"/>
        <v>0</v>
      </c>
      <c r="U339" s="43">
        <f t="shared" si="87"/>
        <v>0</v>
      </c>
      <c r="V339" s="44">
        <f t="shared" si="101"/>
        <v>1</v>
      </c>
      <c r="W339" s="36">
        <f t="shared" si="89"/>
        <v>117</v>
      </c>
      <c r="X339" s="36"/>
      <c r="Y339" s="36"/>
      <c r="Z339" s="36">
        <f t="shared" si="90"/>
        <v>0</v>
      </c>
      <c r="AA339" s="36">
        <f t="shared" si="91"/>
        <v>0</v>
      </c>
      <c r="AB339" s="36"/>
      <c r="AC339" s="36"/>
      <c r="AD339" s="36">
        <f t="shared" si="92"/>
        <v>0</v>
      </c>
      <c r="AE339" s="36">
        <f t="shared" si="93"/>
        <v>0</v>
      </c>
      <c r="AF339" s="36"/>
      <c r="AG339" s="36"/>
      <c r="AH339" s="36">
        <f t="shared" si="94"/>
        <v>0</v>
      </c>
      <c r="AI339" s="36">
        <f t="shared" si="95"/>
        <v>0</v>
      </c>
      <c r="AJ339" s="36"/>
      <c r="AK339" s="36"/>
      <c r="AL339" s="36">
        <f t="shared" si="96"/>
        <v>0</v>
      </c>
      <c r="AM339" s="36">
        <f t="shared" si="97"/>
        <v>0</v>
      </c>
      <c r="AN339" s="36"/>
      <c r="AO339" s="36"/>
      <c r="AP339" s="36">
        <f t="shared" si="98"/>
        <v>0</v>
      </c>
      <c r="AQ339" s="36">
        <f t="shared" si="99"/>
        <v>0</v>
      </c>
    </row>
    <row r="340" spans="1:43" x14ac:dyDescent="0.55000000000000004">
      <c r="A340" s="30" t="e">
        <f t="shared" si="100"/>
        <v>#REF!</v>
      </c>
      <c r="B340" s="31">
        <v>45971</v>
      </c>
      <c r="C340" s="45"/>
      <c r="D340" s="33"/>
      <c r="E340" s="33"/>
      <c r="F340" s="33"/>
      <c r="G340" s="51" t="s">
        <v>584</v>
      </c>
      <c r="H340" s="37" t="s">
        <v>106</v>
      </c>
      <c r="I340" s="36">
        <v>1</v>
      </c>
      <c r="J340" s="37"/>
      <c r="K340" s="37"/>
      <c r="L340" s="37"/>
      <c r="M340" s="38" t="s">
        <v>35</v>
      </c>
      <c r="N340" s="39" t="s">
        <v>36</v>
      </c>
      <c r="O340" s="47">
        <v>20</v>
      </c>
      <c r="P340" s="37">
        <f t="shared" si="88"/>
        <v>20</v>
      </c>
      <c r="Q340" s="41"/>
      <c r="R340" s="42">
        <f t="shared" si="86"/>
        <v>0</v>
      </c>
      <c r="S340" s="42">
        <f t="shared" si="85"/>
        <v>0</v>
      </c>
      <c r="T340" s="43">
        <f t="shared" ref="T340:U355" si="102">X340+AB340+AF340+AJ340+AN340</f>
        <v>0</v>
      </c>
      <c r="U340" s="43">
        <f t="shared" si="102"/>
        <v>0</v>
      </c>
      <c r="V340" s="44">
        <f t="shared" si="101"/>
        <v>1</v>
      </c>
      <c r="W340" s="36">
        <f t="shared" si="89"/>
        <v>20</v>
      </c>
      <c r="X340" s="36"/>
      <c r="Y340" s="36"/>
      <c r="Z340" s="36">
        <f t="shared" si="90"/>
        <v>0</v>
      </c>
      <c r="AA340" s="36">
        <f t="shared" si="91"/>
        <v>0</v>
      </c>
      <c r="AB340" s="36"/>
      <c r="AC340" s="36"/>
      <c r="AD340" s="36">
        <f t="shared" si="92"/>
        <v>0</v>
      </c>
      <c r="AE340" s="36">
        <f t="shared" si="93"/>
        <v>0</v>
      </c>
      <c r="AF340" s="36"/>
      <c r="AG340" s="36"/>
      <c r="AH340" s="36">
        <f t="shared" si="94"/>
        <v>0</v>
      </c>
      <c r="AI340" s="36">
        <f t="shared" si="95"/>
        <v>0</v>
      </c>
      <c r="AJ340" s="36"/>
      <c r="AK340" s="36"/>
      <c r="AL340" s="36">
        <f t="shared" si="96"/>
        <v>0</v>
      </c>
      <c r="AM340" s="36">
        <f t="shared" si="97"/>
        <v>0</v>
      </c>
      <c r="AN340" s="36"/>
      <c r="AO340" s="36"/>
      <c r="AP340" s="36">
        <f t="shared" si="98"/>
        <v>0</v>
      </c>
      <c r="AQ340" s="36">
        <f t="shared" si="99"/>
        <v>0</v>
      </c>
    </row>
    <row r="341" spans="1:43" x14ac:dyDescent="0.55000000000000004">
      <c r="A341" s="30" t="e">
        <f t="shared" si="100"/>
        <v>#REF!</v>
      </c>
      <c r="B341" s="31">
        <v>45971</v>
      </c>
      <c r="C341" s="45"/>
      <c r="D341" s="33"/>
      <c r="E341" s="33"/>
      <c r="F341" s="33"/>
      <c r="G341" s="51" t="s">
        <v>585</v>
      </c>
      <c r="H341" s="37" t="s">
        <v>586</v>
      </c>
      <c r="I341" s="36">
        <v>2</v>
      </c>
      <c r="J341" s="37"/>
      <c r="K341" s="37"/>
      <c r="L341" s="37"/>
      <c r="M341" s="38" t="s">
        <v>35</v>
      </c>
      <c r="N341" s="39" t="s">
        <v>36</v>
      </c>
      <c r="O341" s="47">
        <v>50</v>
      </c>
      <c r="P341" s="37">
        <f t="shared" si="88"/>
        <v>100</v>
      </c>
      <c r="Q341" s="41"/>
      <c r="R341" s="42">
        <f t="shared" si="86"/>
        <v>0</v>
      </c>
      <c r="S341" s="42">
        <f t="shared" ref="S341:S384" si="103">U341*O341</f>
        <v>0</v>
      </c>
      <c r="T341" s="43">
        <f t="shared" si="102"/>
        <v>0</v>
      </c>
      <c r="U341" s="43">
        <f t="shared" si="102"/>
        <v>0</v>
      </c>
      <c r="V341" s="44">
        <f t="shared" si="101"/>
        <v>2</v>
      </c>
      <c r="W341" s="36">
        <f t="shared" si="89"/>
        <v>100</v>
      </c>
      <c r="X341" s="36"/>
      <c r="Y341" s="36"/>
      <c r="Z341" s="36">
        <f t="shared" si="90"/>
        <v>0</v>
      </c>
      <c r="AA341" s="36">
        <f t="shared" si="91"/>
        <v>0</v>
      </c>
      <c r="AB341" s="36"/>
      <c r="AC341" s="36"/>
      <c r="AD341" s="36">
        <f t="shared" si="92"/>
        <v>0</v>
      </c>
      <c r="AE341" s="36">
        <f t="shared" si="93"/>
        <v>0</v>
      </c>
      <c r="AF341" s="36"/>
      <c r="AG341" s="36"/>
      <c r="AH341" s="36">
        <f t="shared" si="94"/>
        <v>0</v>
      </c>
      <c r="AI341" s="36">
        <f t="shared" si="95"/>
        <v>0</v>
      </c>
      <c r="AJ341" s="36"/>
      <c r="AK341" s="36"/>
      <c r="AL341" s="36">
        <f t="shared" si="96"/>
        <v>0</v>
      </c>
      <c r="AM341" s="36">
        <f t="shared" si="97"/>
        <v>0</v>
      </c>
      <c r="AN341" s="36"/>
      <c r="AO341" s="36"/>
      <c r="AP341" s="36">
        <f t="shared" si="98"/>
        <v>0</v>
      </c>
      <c r="AQ341" s="36">
        <f t="shared" si="99"/>
        <v>0</v>
      </c>
    </row>
    <row r="342" spans="1:43" x14ac:dyDescent="0.55000000000000004">
      <c r="A342" s="30" t="e">
        <f t="shared" si="100"/>
        <v>#REF!</v>
      </c>
      <c r="B342" s="31">
        <v>45971</v>
      </c>
      <c r="C342" s="45"/>
      <c r="D342" s="33"/>
      <c r="E342" s="33"/>
      <c r="F342" s="33"/>
      <c r="G342" s="51" t="s">
        <v>587</v>
      </c>
      <c r="H342" s="37" t="s">
        <v>588</v>
      </c>
      <c r="I342" s="36">
        <v>1</v>
      </c>
      <c r="J342" s="37"/>
      <c r="K342" s="37"/>
      <c r="L342" s="37"/>
      <c r="M342" s="38" t="s">
        <v>35</v>
      </c>
      <c r="N342" s="39" t="s">
        <v>36</v>
      </c>
      <c r="O342" s="47">
        <v>60</v>
      </c>
      <c r="P342" s="37">
        <f t="shared" si="88"/>
        <v>60</v>
      </c>
      <c r="Q342" s="41"/>
      <c r="R342" s="42">
        <f t="shared" si="86"/>
        <v>0</v>
      </c>
      <c r="S342" s="42">
        <f t="shared" si="103"/>
        <v>0</v>
      </c>
      <c r="T342" s="43">
        <f t="shared" si="102"/>
        <v>0</v>
      </c>
      <c r="U342" s="43">
        <f t="shared" si="102"/>
        <v>0</v>
      </c>
      <c r="V342" s="44">
        <f t="shared" si="101"/>
        <v>1</v>
      </c>
      <c r="W342" s="36">
        <f t="shared" si="89"/>
        <v>60</v>
      </c>
      <c r="X342" s="36"/>
      <c r="Y342" s="36"/>
      <c r="Z342" s="36">
        <f t="shared" si="90"/>
        <v>0</v>
      </c>
      <c r="AA342" s="36">
        <f t="shared" si="91"/>
        <v>0</v>
      </c>
      <c r="AB342" s="36"/>
      <c r="AC342" s="36"/>
      <c r="AD342" s="36">
        <f t="shared" si="92"/>
        <v>0</v>
      </c>
      <c r="AE342" s="36">
        <f t="shared" si="93"/>
        <v>0</v>
      </c>
      <c r="AF342" s="36"/>
      <c r="AG342" s="36"/>
      <c r="AH342" s="36">
        <f t="shared" si="94"/>
        <v>0</v>
      </c>
      <c r="AI342" s="36">
        <f t="shared" si="95"/>
        <v>0</v>
      </c>
      <c r="AJ342" s="36"/>
      <c r="AK342" s="36"/>
      <c r="AL342" s="36">
        <f t="shared" si="96"/>
        <v>0</v>
      </c>
      <c r="AM342" s="36">
        <f t="shared" si="97"/>
        <v>0</v>
      </c>
      <c r="AN342" s="36"/>
      <c r="AO342" s="36"/>
      <c r="AP342" s="36">
        <f t="shared" si="98"/>
        <v>0</v>
      </c>
      <c r="AQ342" s="36">
        <f t="shared" si="99"/>
        <v>0</v>
      </c>
    </row>
    <row r="343" spans="1:43" x14ac:dyDescent="0.55000000000000004">
      <c r="A343" s="30" t="e">
        <f t="shared" si="100"/>
        <v>#REF!</v>
      </c>
      <c r="B343" s="31">
        <v>45971</v>
      </c>
      <c r="C343" s="45"/>
      <c r="D343" s="33"/>
      <c r="E343" s="33"/>
      <c r="F343" s="33"/>
      <c r="G343" s="51" t="s">
        <v>589</v>
      </c>
      <c r="H343" s="37" t="s">
        <v>305</v>
      </c>
      <c r="I343" s="36">
        <v>1</v>
      </c>
      <c r="J343" s="37"/>
      <c r="K343" s="37"/>
      <c r="L343" s="37"/>
      <c r="M343" s="38" t="s">
        <v>102</v>
      </c>
      <c r="N343" s="39" t="s">
        <v>49</v>
      </c>
      <c r="O343" s="47">
        <v>130.62</v>
      </c>
      <c r="P343" s="37">
        <f t="shared" si="88"/>
        <v>130.62</v>
      </c>
      <c r="Q343" s="41"/>
      <c r="R343" s="42">
        <f t="shared" si="86"/>
        <v>0</v>
      </c>
      <c r="S343" s="42">
        <f t="shared" si="103"/>
        <v>0</v>
      </c>
      <c r="T343" s="43">
        <f t="shared" si="102"/>
        <v>0</v>
      </c>
      <c r="U343" s="43">
        <f t="shared" si="102"/>
        <v>0</v>
      </c>
      <c r="V343" s="44">
        <f t="shared" si="101"/>
        <v>1</v>
      </c>
      <c r="W343" s="36">
        <f t="shared" si="89"/>
        <v>130.62</v>
      </c>
      <c r="X343" s="36"/>
      <c r="Y343" s="36"/>
      <c r="Z343" s="36">
        <f t="shared" si="90"/>
        <v>0</v>
      </c>
      <c r="AA343" s="36">
        <f t="shared" si="91"/>
        <v>0</v>
      </c>
      <c r="AB343" s="36"/>
      <c r="AC343" s="36"/>
      <c r="AD343" s="36">
        <f t="shared" si="92"/>
        <v>0</v>
      </c>
      <c r="AE343" s="36">
        <f t="shared" si="93"/>
        <v>0</v>
      </c>
      <c r="AF343" s="36"/>
      <c r="AG343" s="36"/>
      <c r="AH343" s="36">
        <f t="shared" si="94"/>
        <v>0</v>
      </c>
      <c r="AI343" s="36">
        <f t="shared" si="95"/>
        <v>0</v>
      </c>
      <c r="AJ343" s="36"/>
      <c r="AK343" s="36"/>
      <c r="AL343" s="36">
        <f t="shared" si="96"/>
        <v>0</v>
      </c>
      <c r="AM343" s="36">
        <f t="shared" si="97"/>
        <v>0</v>
      </c>
      <c r="AN343" s="36"/>
      <c r="AO343" s="36"/>
      <c r="AP343" s="36">
        <f t="shared" si="98"/>
        <v>0</v>
      </c>
      <c r="AQ343" s="36">
        <f t="shared" si="99"/>
        <v>0</v>
      </c>
    </row>
    <row r="344" spans="1:43" x14ac:dyDescent="0.55000000000000004">
      <c r="A344" s="30" t="e">
        <f t="shared" si="100"/>
        <v>#REF!</v>
      </c>
      <c r="B344" s="31">
        <v>45971</v>
      </c>
      <c r="C344" s="45"/>
      <c r="D344" s="33"/>
      <c r="E344" s="33"/>
      <c r="F344" s="33"/>
      <c r="G344" s="51" t="s">
        <v>590</v>
      </c>
      <c r="H344" s="37" t="s">
        <v>591</v>
      </c>
      <c r="I344" s="36">
        <v>1</v>
      </c>
      <c r="J344" s="37"/>
      <c r="K344" s="37"/>
      <c r="L344" s="37"/>
      <c r="M344" s="38" t="s">
        <v>102</v>
      </c>
      <c r="N344" s="39" t="s">
        <v>49</v>
      </c>
      <c r="O344" s="47">
        <v>12.05</v>
      </c>
      <c r="P344" s="37">
        <f t="shared" si="88"/>
        <v>12.05</v>
      </c>
      <c r="Q344" s="41"/>
      <c r="R344" s="42">
        <f t="shared" si="86"/>
        <v>0</v>
      </c>
      <c r="S344" s="42">
        <f t="shared" si="103"/>
        <v>0</v>
      </c>
      <c r="T344" s="43">
        <f t="shared" si="102"/>
        <v>0</v>
      </c>
      <c r="U344" s="43">
        <f t="shared" si="102"/>
        <v>0</v>
      </c>
      <c r="V344" s="44">
        <f t="shared" si="101"/>
        <v>1</v>
      </c>
      <c r="W344" s="36">
        <f t="shared" si="89"/>
        <v>12.05</v>
      </c>
      <c r="X344" s="36"/>
      <c r="Y344" s="36"/>
      <c r="Z344" s="36">
        <f t="shared" si="90"/>
        <v>0</v>
      </c>
      <c r="AA344" s="36">
        <f t="shared" si="91"/>
        <v>0</v>
      </c>
      <c r="AB344" s="36"/>
      <c r="AC344" s="36"/>
      <c r="AD344" s="36">
        <f t="shared" si="92"/>
        <v>0</v>
      </c>
      <c r="AE344" s="36">
        <f t="shared" si="93"/>
        <v>0</v>
      </c>
      <c r="AF344" s="36"/>
      <c r="AG344" s="36"/>
      <c r="AH344" s="36">
        <f t="shared" si="94"/>
        <v>0</v>
      </c>
      <c r="AI344" s="36">
        <f t="shared" si="95"/>
        <v>0</v>
      </c>
      <c r="AJ344" s="36"/>
      <c r="AK344" s="36"/>
      <c r="AL344" s="36">
        <f t="shared" si="96"/>
        <v>0</v>
      </c>
      <c r="AM344" s="36">
        <f t="shared" si="97"/>
        <v>0</v>
      </c>
      <c r="AN344" s="36"/>
      <c r="AO344" s="36"/>
      <c r="AP344" s="36">
        <f t="shared" si="98"/>
        <v>0</v>
      </c>
      <c r="AQ344" s="36">
        <f t="shared" si="99"/>
        <v>0</v>
      </c>
    </row>
    <row r="345" spans="1:43" x14ac:dyDescent="0.55000000000000004">
      <c r="A345" s="30" t="e">
        <f t="shared" si="100"/>
        <v>#REF!</v>
      </c>
      <c r="B345" s="31">
        <v>45971</v>
      </c>
      <c r="C345" s="45"/>
      <c r="D345" s="33"/>
      <c r="E345" s="33"/>
      <c r="F345" s="33"/>
      <c r="G345" s="51" t="s">
        <v>592</v>
      </c>
      <c r="H345" s="37" t="s">
        <v>201</v>
      </c>
      <c r="I345" s="36">
        <v>1</v>
      </c>
      <c r="J345" s="37"/>
      <c r="K345" s="37"/>
      <c r="L345" s="37"/>
      <c r="M345" s="38" t="s">
        <v>83</v>
      </c>
      <c r="N345" s="39" t="s">
        <v>49</v>
      </c>
      <c r="O345" s="47">
        <v>38.020000000000003</v>
      </c>
      <c r="P345" s="37">
        <f t="shared" si="88"/>
        <v>38.020000000000003</v>
      </c>
      <c r="Q345" s="41"/>
      <c r="R345" s="42">
        <f t="shared" si="86"/>
        <v>0</v>
      </c>
      <c r="S345" s="42">
        <f t="shared" si="103"/>
        <v>0</v>
      </c>
      <c r="T345" s="43">
        <f t="shared" si="102"/>
        <v>0</v>
      </c>
      <c r="U345" s="43">
        <f t="shared" si="102"/>
        <v>0</v>
      </c>
      <c r="V345" s="44">
        <f t="shared" si="101"/>
        <v>1</v>
      </c>
      <c r="W345" s="36">
        <f t="shared" si="89"/>
        <v>38.020000000000003</v>
      </c>
      <c r="X345" s="36"/>
      <c r="Y345" s="36"/>
      <c r="Z345" s="36">
        <f t="shared" si="90"/>
        <v>0</v>
      </c>
      <c r="AA345" s="36">
        <f t="shared" si="91"/>
        <v>0</v>
      </c>
      <c r="AB345" s="36"/>
      <c r="AC345" s="36"/>
      <c r="AD345" s="36">
        <f t="shared" si="92"/>
        <v>0</v>
      </c>
      <c r="AE345" s="36">
        <f t="shared" si="93"/>
        <v>0</v>
      </c>
      <c r="AF345" s="36"/>
      <c r="AG345" s="36"/>
      <c r="AH345" s="36">
        <f t="shared" si="94"/>
        <v>0</v>
      </c>
      <c r="AI345" s="36">
        <f t="shared" si="95"/>
        <v>0</v>
      </c>
      <c r="AJ345" s="36"/>
      <c r="AK345" s="36"/>
      <c r="AL345" s="36">
        <f t="shared" si="96"/>
        <v>0</v>
      </c>
      <c r="AM345" s="36">
        <f t="shared" si="97"/>
        <v>0</v>
      </c>
      <c r="AN345" s="36"/>
      <c r="AO345" s="36"/>
      <c r="AP345" s="36">
        <f t="shared" si="98"/>
        <v>0</v>
      </c>
      <c r="AQ345" s="36">
        <f t="shared" si="99"/>
        <v>0</v>
      </c>
    </row>
    <row r="346" spans="1:43" x14ac:dyDescent="0.55000000000000004">
      <c r="A346" s="30" t="e">
        <f t="shared" si="100"/>
        <v>#REF!</v>
      </c>
      <c r="B346" s="31">
        <v>45971</v>
      </c>
      <c r="C346" s="45"/>
      <c r="D346" s="33"/>
      <c r="E346" s="33"/>
      <c r="F346" s="33"/>
      <c r="G346" s="51" t="s">
        <v>593</v>
      </c>
      <c r="H346" s="37" t="s">
        <v>50</v>
      </c>
      <c r="I346" s="36">
        <v>1</v>
      </c>
      <c r="J346" s="37"/>
      <c r="K346" s="37"/>
      <c r="L346" s="37"/>
      <c r="M346" s="38" t="s">
        <v>47</v>
      </c>
      <c r="N346" s="39"/>
      <c r="O346" s="47">
        <v>479.04</v>
      </c>
      <c r="P346" s="37">
        <f t="shared" si="88"/>
        <v>479.04</v>
      </c>
      <c r="Q346" s="41"/>
      <c r="R346" s="42">
        <f t="shared" ref="R346:R383" si="104">T346*O346</f>
        <v>0</v>
      </c>
      <c r="S346" s="42">
        <f t="shared" si="103"/>
        <v>0</v>
      </c>
      <c r="T346" s="43">
        <f t="shared" si="102"/>
        <v>0</v>
      </c>
      <c r="U346" s="43">
        <f t="shared" si="102"/>
        <v>0</v>
      </c>
      <c r="V346" s="44">
        <f t="shared" si="101"/>
        <v>1</v>
      </c>
      <c r="W346" s="36">
        <f t="shared" si="89"/>
        <v>479.04</v>
      </c>
      <c r="X346" s="36"/>
      <c r="Y346" s="36"/>
      <c r="Z346" s="36">
        <f t="shared" si="90"/>
        <v>0</v>
      </c>
      <c r="AA346" s="36">
        <f t="shared" si="91"/>
        <v>0</v>
      </c>
      <c r="AB346" s="36"/>
      <c r="AC346" s="36"/>
      <c r="AD346" s="36">
        <f t="shared" si="92"/>
        <v>0</v>
      </c>
      <c r="AE346" s="36">
        <f t="shared" si="93"/>
        <v>0</v>
      </c>
      <c r="AF346" s="36"/>
      <c r="AG346" s="36"/>
      <c r="AH346" s="36">
        <f t="shared" si="94"/>
        <v>0</v>
      </c>
      <c r="AI346" s="36">
        <f t="shared" si="95"/>
        <v>0</v>
      </c>
      <c r="AJ346" s="36"/>
      <c r="AK346" s="36"/>
      <c r="AL346" s="36">
        <f t="shared" si="96"/>
        <v>0</v>
      </c>
      <c r="AM346" s="36">
        <f t="shared" si="97"/>
        <v>0</v>
      </c>
      <c r="AN346" s="36"/>
      <c r="AO346" s="36"/>
      <c r="AP346" s="36">
        <f t="shared" si="98"/>
        <v>0</v>
      </c>
      <c r="AQ346" s="36">
        <f t="shared" si="99"/>
        <v>0</v>
      </c>
    </row>
    <row r="347" spans="1:43" x14ac:dyDescent="0.55000000000000004">
      <c r="A347" s="30" t="e">
        <f t="shared" si="100"/>
        <v>#REF!</v>
      </c>
      <c r="B347" s="31">
        <v>45971</v>
      </c>
      <c r="C347" s="45"/>
      <c r="D347" s="33"/>
      <c r="E347" s="33"/>
      <c r="F347" s="33"/>
      <c r="G347" s="51" t="s">
        <v>594</v>
      </c>
      <c r="H347" s="37" t="s">
        <v>595</v>
      </c>
      <c r="I347" s="36">
        <v>1</v>
      </c>
      <c r="J347" s="37"/>
      <c r="K347" s="37"/>
      <c r="L347" s="37"/>
      <c r="M347" s="38" t="s">
        <v>143</v>
      </c>
      <c r="N347" s="39"/>
      <c r="O347" s="47">
        <v>15.16</v>
      </c>
      <c r="P347" s="37">
        <f t="shared" si="88"/>
        <v>15.16</v>
      </c>
      <c r="Q347" s="41"/>
      <c r="R347" s="42">
        <f t="shared" si="104"/>
        <v>0</v>
      </c>
      <c r="S347" s="42">
        <f t="shared" si="103"/>
        <v>0</v>
      </c>
      <c r="T347" s="43">
        <f t="shared" si="102"/>
        <v>0</v>
      </c>
      <c r="U347" s="43">
        <f t="shared" si="102"/>
        <v>0</v>
      </c>
      <c r="V347" s="44">
        <f t="shared" si="101"/>
        <v>1</v>
      </c>
      <c r="W347" s="36">
        <f t="shared" si="89"/>
        <v>15.16</v>
      </c>
      <c r="X347" s="36"/>
      <c r="Y347" s="36"/>
      <c r="Z347" s="36">
        <f t="shared" si="90"/>
        <v>0</v>
      </c>
      <c r="AA347" s="36">
        <f t="shared" si="91"/>
        <v>0</v>
      </c>
      <c r="AB347" s="36"/>
      <c r="AC347" s="36"/>
      <c r="AD347" s="36">
        <f t="shared" si="92"/>
        <v>0</v>
      </c>
      <c r="AE347" s="36">
        <f t="shared" si="93"/>
        <v>0</v>
      </c>
      <c r="AF347" s="36"/>
      <c r="AG347" s="36"/>
      <c r="AH347" s="36">
        <f t="shared" si="94"/>
        <v>0</v>
      </c>
      <c r="AI347" s="36">
        <f t="shared" si="95"/>
        <v>0</v>
      </c>
      <c r="AJ347" s="36"/>
      <c r="AK347" s="36"/>
      <c r="AL347" s="36">
        <f t="shared" si="96"/>
        <v>0</v>
      </c>
      <c r="AM347" s="36">
        <f t="shared" si="97"/>
        <v>0</v>
      </c>
      <c r="AN347" s="36"/>
      <c r="AO347" s="36"/>
      <c r="AP347" s="36">
        <f t="shared" si="98"/>
        <v>0</v>
      </c>
      <c r="AQ347" s="36">
        <f t="shared" si="99"/>
        <v>0</v>
      </c>
    </row>
    <row r="348" spans="1:43" x14ac:dyDescent="0.55000000000000004">
      <c r="A348" s="30" t="e">
        <f t="shared" si="100"/>
        <v>#REF!</v>
      </c>
      <c r="B348" s="31">
        <v>45971</v>
      </c>
      <c r="C348" s="45"/>
      <c r="D348" s="33"/>
      <c r="E348" s="33"/>
      <c r="F348" s="33"/>
      <c r="G348" s="51" t="s">
        <v>596</v>
      </c>
      <c r="H348" s="37" t="s">
        <v>595</v>
      </c>
      <c r="I348" s="36">
        <v>2</v>
      </c>
      <c r="J348" s="37"/>
      <c r="K348" s="37"/>
      <c r="L348" s="37"/>
      <c r="M348" s="38" t="s">
        <v>143</v>
      </c>
      <c r="N348" s="39"/>
      <c r="O348" s="47">
        <v>150.57</v>
      </c>
      <c r="P348" s="37">
        <f t="shared" si="88"/>
        <v>301.14</v>
      </c>
      <c r="Q348" s="41"/>
      <c r="R348" s="42">
        <f t="shared" si="104"/>
        <v>0</v>
      </c>
      <c r="S348" s="42">
        <f t="shared" si="103"/>
        <v>0</v>
      </c>
      <c r="T348" s="43">
        <f t="shared" si="102"/>
        <v>0</v>
      </c>
      <c r="U348" s="43">
        <f t="shared" si="102"/>
        <v>0</v>
      </c>
      <c r="V348" s="44">
        <f t="shared" si="101"/>
        <v>2</v>
      </c>
      <c r="W348" s="36">
        <f t="shared" si="89"/>
        <v>301.14</v>
      </c>
      <c r="X348" s="36"/>
      <c r="Y348" s="36"/>
      <c r="Z348" s="36">
        <f t="shared" si="90"/>
        <v>0</v>
      </c>
      <c r="AA348" s="36">
        <f t="shared" si="91"/>
        <v>0</v>
      </c>
      <c r="AB348" s="36"/>
      <c r="AC348" s="36"/>
      <c r="AD348" s="36">
        <f t="shared" si="92"/>
        <v>0</v>
      </c>
      <c r="AE348" s="36">
        <f t="shared" si="93"/>
        <v>0</v>
      </c>
      <c r="AF348" s="36"/>
      <c r="AG348" s="36"/>
      <c r="AH348" s="36">
        <f t="shared" si="94"/>
        <v>0</v>
      </c>
      <c r="AI348" s="36">
        <f t="shared" si="95"/>
        <v>0</v>
      </c>
      <c r="AJ348" s="36"/>
      <c r="AK348" s="36"/>
      <c r="AL348" s="36">
        <f t="shared" si="96"/>
        <v>0</v>
      </c>
      <c r="AM348" s="36">
        <f t="shared" si="97"/>
        <v>0</v>
      </c>
      <c r="AN348" s="36"/>
      <c r="AO348" s="36"/>
      <c r="AP348" s="36">
        <f t="shared" si="98"/>
        <v>0</v>
      </c>
      <c r="AQ348" s="36">
        <f t="shared" si="99"/>
        <v>0</v>
      </c>
    </row>
    <row r="349" spans="1:43" x14ac:dyDescent="0.55000000000000004">
      <c r="A349" s="30" t="e">
        <f t="shared" si="100"/>
        <v>#REF!</v>
      </c>
      <c r="B349" s="31">
        <v>45971</v>
      </c>
      <c r="C349" s="45"/>
      <c r="D349" s="33"/>
      <c r="E349" s="33"/>
      <c r="F349" s="33"/>
      <c r="G349" s="51" t="s">
        <v>597</v>
      </c>
      <c r="H349" s="37" t="s">
        <v>595</v>
      </c>
      <c r="I349" s="36">
        <v>2</v>
      </c>
      <c r="J349" s="37"/>
      <c r="K349" s="37"/>
      <c r="L349" s="37"/>
      <c r="M349" s="38" t="s">
        <v>143</v>
      </c>
      <c r="N349" s="39"/>
      <c r="O349" s="47">
        <v>440.71</v>
      </c>
      <c r="P349" s="37">
        <f t="shared" si="88"/>
        <v>881.42</v>
      </c>
      <c r="Q349" s="41"/>
      <c r="R349" s="42">
        <f t="shared" si="104"/>
        <v>0</v>
      </c>
      <c r="S349" s="42">
        <f t="shared" si="103"/>
        <v>0</v>
      </c>
      <c r="T349" s="43">
        <f t="shared" si="102"/>
        <v>0</v>
      </c>
      <c r="U349" s="43">
        <f t="shared" si="102"/>
        <v>0</v>
      </c>
      <c r="V349" s="44">
        <f t="shared" si="101"/>
        <v>2</v>
      </c>
      <c r="W349" s="36">
        <f t="shared" si="89"/>
        <v>881.42</v>
      </c>
      <c r="X349" s="36"/>
      <c r="Y349" s="36"/>
      <c r="Z349" s="36">
        <f t="shared" si="90"/>
        <v>0</v>
      </c>
      <c r="AA349" s="36">
        <f t="shared" si="91"/>
        <v>0</v>
      </c>
      <c r="AB349" s="36"/>
      <c r="AC349" s="36"/>
      <c r="AD349" s="36">
        <f t="shared" si="92"/>
        <v>0</v>
      </c>
      <c r="AE349" s="36">
        <f t="shared" si="93"/>
        <v>0</v>
      </c>
      <c r="AF349" s="36"/>
      <c r="AG349" s="36"/>
      <c r="AH349" s="36">
        <f t="shared" si="94"/>
        <v>0</v>
      </c>
      <c r="AI349" s="36">
        <f t="shared" si="95"/>
        <v>0</v>
      </c>
      <c r="AJ349" s="36"/>
      <c r="AK349" s="36"/>
      <c r="AL349" s="36">
        <f t="shared" si="96"/>
        <v>0</v>
      </c>
      <c r="AM349" s="36">
        <f t="shared" si="97"/>
        <v>0</v>
      </c>
      <c r="AN349" s="36"/>
      <c r="AO349" s="36"/>
      <c r="AP349" s="36">
        <f t="shared" si="98"/>
        <v>0</v>
      </c>
      <c r="AQ349" s="36">
        <f t="shared" si="99"/>
        <v>0</v>
      </c>
    </row>
    <row r="350" spans="1:43" x14ac:dyDescent="0.55000000000000004">
      <c r="A350" s="30" t="e">
        <f t="shared" si="100"/>
        <v>#REF!</v>
      </c>
      <c r="B350" s="31">
        <v>45971</v>
      </c>
      <c r="C350" s="45"/>
      <c r="D350" s="33"/>
      <c r="E350" s="33"/>
      <c r="F350" s="33"/>
      <c r="G350" s="51" t="s">
        <v>598</v>
      </c>
      <c r="H350" s="37" t="s">
        <v>595</v>
      </c>
      <c r="I350" s="36">
        <v>2</v>
      </c>
      <c r="J350" s="37"/>
      <c r="K350" s="37"/>
      <c r="L350" s="37"/>
      <c r="M350" s="38" t="s">
        <v>143</v>
      </c>
      <c r="N350" s="39"/>
      <c r="O350" s="47">
        <v>356.96</v>
      </c>
      <c r="P350" s="37">
        <f t="shared" si="88"/>
        <v>713.92</v>
      </c>
      <c r="Q350" s="41"/>
      <c r="R350" s="42">
        <f t="shared" si="104"/>
        <v>0</v>
      </c>
      <c r="S350" s="42">
        <f t="shared" si="103"/>
        <v>0</v>
      </c>
      <c r="T350" s="43">
        <f t="shared" si="102"/>
        <v>0</v>
      </c>
      <c r="U350" s="43">
        <f t="shared" si="102"/>
        <v>0</v>
      </c>
      <c r="V350" s="44">
        <f t="shared" si="101"/>
        <v>2</v>
      </c>
      <c r="W350" s="36">
        <f t="shared" si="89"/>
        <v>713.92</v>
      </c>
      <c r="X350" s="36"/>
      <c r="Y350" s="36"/>
      <c r="Z350" s="36">
        <f t="shared" si="90"/>
        <v>0</v>
      </c>
      <c r="AA350" s="36">
        <f t="shared" si="91"/>
        <v>0</v>
      </c>
      <c r="AB350" s="36"/>
      <c r="AC350" s="36"/>
      <c r="AD350" s="36">
        <f t="shared" si="92"/>
        <v>0</v>
      </c>
      <c r="AE350" s="36">
        <f t="shared" si="93"/>
        <v>0</v>
      </c>
      <c r="AF350" s="36"/>
      <c r="AG350" s="36"/>
      <c r="AH350" s="36">
        <f t="shared" si="94"/>
        <v>0</v>
      </c>
      <c r="AI350" s="36">
        <f t="shared" si="95"/>
        <v>0</v>
      </c>
      <c r="AJ350" s="36"/>
      <c r="AK350" s="36"/>
      <c r="AL350" s="36">
        <f t="shared" si="96"/>
        <v>0</v>
      </c>
      <c r="AM350" s="36">
        <f t="shared" si="97"/>
        <v>0</v>
      </c>
      <c r="AN350" s="36"/>
      <c r="AO350" s="36"/>
      <c r="AP350" s="36">
        <f t="shared" si="98"/>
        <v>0</v>
      </c>
      <c r="AQ350" s="36">
        <f t="shared" si="99"/>
        <v>0</v>
      </c>
    </row>
    <row r="351" spans="1:43" x14ac:dyDescent="0.55000000000000004">
      <c r="A351" s="30" t="e">
        <f t="shared" si="100"/>
        <v>#REF!</v>
      </c>
      <c r="B351" s="31">
        <v>45981</v>
      </c>
      <c r="C351" s="45"/>
      <c r="D351" s="33"/>
      <c r="E351" s="33"/>
      <c r="F351" s="33"/>
      <c r="G351" s="51" t="s">
        <v>599</v>
      </c>
      <c r="H351" s="37" t="s">
        <v>600</v>
      </c>
      <c r="I351" s="36">
        <v>0</v>
      </c>
      <c r="J351" s="37"/>
      <c r="K351" s="37"/>
      <c r="L351" s="37"/>
      <c r="M351" s="60" t="s">
        <v>102</v>
      </c>
      <c r="N351" s="54" t="s">
        <v>49</v>
      </c>
      <c r="O351" s="47">
        <v>50.12</v>
      </c>
      <c r="P351" s="37">
        <f t="shared" si="88"/>
        <v>0</v>
      </c>
      <c r="Q351" s="41"/>
      <c r="R351" s="42">
        <f t="shared" si="104"/>
        <v>0</v>
      </c>
      <c r="S351" s="42">
        <f t="shared" si="103"/>
        <v>0</v>
      </c>
      <c r="T351" s="43">
        <f t="shared" si="102"/>
        <v>0</v>
      </c>
      <c r="U351" s="43">
        <f t="shared" si="102"/>
        <v>0</v>
      </c>
      <c r="V351" s="44">
        <f t="shared" si="101"/>
        <v>0</v>
      </c>
      <c r="W351" s="36">
        <f t="shared" si="89"/>
        <v>0</v>
      </c>
      <c r="X351" s="36"/>
      <c r="Y351" s="36"/>
      <c r="Z351" s="36">
        <f t="shared" si="90"/>
        <v>0</v>
      </c>
      <c r="AA351" s="36">
        <f t="shared" si="91"/>
        <v>0</v>
      </c>
      <c r="AB351" s="36"/>
      <c r="AC351" s="36"/>
      <c r="AD351" s="36">
        <f t="shared" si="92"/>
        <v>0</v>
      </c>
      <c r="AE351" s="36">
        <f t="shared" si="93"/>
        <v>0</v>
      </c>
      <c r="AF351" s="36"/>
      <c r="AG351" s="36"/>
      <c r="AH351" s="36">
        <f t="shared" si="94"/>
        <v>0</v>
      </c>
      <c r="AI351" s="36">
        <f t="shared" si="95"/>
        <v>0</v>
      </c>
      <c r="AJ351" s="36"/>
      <c r="AK351" s="36"/>
      <c r="AL351" s="36">
        <f t="shared" si="96"/>
        <v>0</v>
      </c>
      <c r="AM351" s="36">
        <f t="shared" si="97"/>
        <v>0</v>
      </c>
      <c r="AN351" s="36"/>
      <c r="AO351" s="36"/>
      <c r="AP351" s="36">
        <f t="shared" si="98"/>
        <v>0</v>
      </c>
      <c r="AQ351" s="36">
        <f t="shared" si="99"/>
        <v>0</v>
      </c>
    </row>
    <row r="352" spans="1:43" x14ac:dyDescent="0.55000000000000004">
      <c r="A352" s="30" t="e">
        <f t="shared" si="100"/>
        <v>#REF!</v>
      </c>
      <c r="B352" s="31">
        <v>45981</v>
      </c>
      <c r="C352" s="45"/>
      <c r="D352" s="33"/>
      <c r="E352" s="33"/>
      <c r="F352" s="33"/>
      <c r="G352" s="51" t="s">
        <v>601</v>
      </c>
      <c r="H352" s="37" t="s">
        <v>338</v>
      </c>
      <c r="I352" s="36">
        <v>1</v>
      </c>
      <c r="J352" s="37"/>
      <c r="K352" s="37"/>
      <c r="L352" s="37"/>
      <c r="M352" s="38" t="s">
        <v>143</v>
      </c>
      <c r="N352" s="39"/>
      <c r="O352" s="47">
        <v>204</v>
      </c>
      <c r="P352" s="37">
        <f t="shared" si="88"/>
        <v>204</v>
      </c>
      <c r="Q352" s="41"/>
      <c r="R352" s="42">
        <f t="shared" si="104"/>
        <v>0</v>
      </c>
      <c r="S352" s="42">
        <f t="shared" si="103"/>
        <v>0</v>
      </c>
      <c r="T352" s="43">
        <f t="shared" si="102"/>
        <v>0</v>
      </c>
      <c r="U352" s="43">
        <f t="shared" si="102"/>
        <v>0</v>
      </c>
      <c r="V352" s="44">
        <f t="shared" si="101"/>
        <v>1</v>
      </c>
      <c r="W352" s="36">
        <f t="shared" si="89"/>
        <v>204</v>
      </c>
      <c r="X352" s="36"/>
      <c r="Y352" s="36"/>
      <c r="Z352" s="36">
        <f t="shared" si="90"/>
        <v>0</v>
      </c>
      <c r="AA352" s="36">
        <f t="shared" si="91"/>
        <v>0</v>
      </c>
      <c r="AB352" s="36"/>
      <c r="AC352" s="36"/>
      <c r="AD352" s="36">
        <f t="shared" si="92"/>
        <v>0</v>
      </c>
      <c r="AE352" s="36">
        <f t="shared" si="93"/>
        <v>0</v>
      </c>
      <c r="AF352" s="36"/>
      <c r="AG352" s="36"/>
      <c r="AH352" s="36">
        <f t="shared" si="94"/>
        <v>0</v>
      </c>
      <c r="AI352" s="36">
        <f t="shared" si="95"/>
        <v>0</v>
      </c>
      <c r="AJ352" s="36"/>
      <c r="AK352" s="36"/>
      <c r="AL352" s="36">
        <f t="shared" si="96"/>
        <v>0</v>
      </c>
      <c r="AM352" s="36">
        <f t="shared" si="97"/>
        <v>0</v>
      </c>
      <c r="AN352" s="36"/>
      <c r="AO352" s="36"/>
      <c r="AP352" s="36">
        <f t="shared" si="98"/>
        <v>0</v>
      </c>
      <c r="AQ352" s="36">
        <f t="shared" si="99"/>
        <v>0</v>
      </c>
    </row>
    <row r="353" spans="1:43" x14ac:dyDescent="0.55000000000000004">
      <c r="A353" s="30" t="e">
        <f t="shared" si="100"/>
        <v>#REF!</v>
      </c>
      <c r="B353" s="31">
        <v>45981</v>
      </c>
      <c r="C353" s="45"/>
      <c r="D353" s="33"/>
      <c r="E353" s="33"/>
      <c r="F353" s="33"/>
      <c r="G353" s="51" t="s">
        <v>602</v>
      </c>
      <c r="H353" s="37" t="s">
        <v>361</v>
      </c>
      <c r="I353" s="36">
        <v>2</v>
      </c>
      <c r="J353" s="37"/>
      <c r="K353" s="37"/>
      <c r="L353" s="37"/>
      <c r="M353" s="38" t="s">
        <v>467</v>
      </c>
      <c r="N353" s="39"/>
      <c r="O353" s="47">
        <v>350</v>
      </c>
      <c r="P353" s="37">
        <f t="shared" si="88"/>
        <v>700</v>
      </c>
      <c r="Q353" s="41"/>
      <c r="R353" s="42">
        <f t="shared" si="104"/>
        <v>0</v>
      </c>
      <c r="S353" s="42">
        <f t="shared" si="103"/>
        <v>0</v>
      </c>
      <c r="T353" s="43">
        <f t="shared" si="102"/>
        <v>0</v>
      </c>
      <c r="U353" s="43">
        <f t="shared" si="102"/>
        <v>0</v>
      </c>
      <c r="V353" s="44">
        <f t="shared" si="101"/>
        <v>2</v>
      </c>
      <c r="W353" s="36">
        <f t="shared" si="89"/>
        <v>700</v>
      </c>
      <c r="X353" s="36"/>
      <c r="Y353" s="36"/>
      <c r="Z353" s="36">
        <f t="shared" si="90"/>
        <v>0</v>
      </c>
      <c r="AA353" s="36">
        <f t="shared" si="91"/>
        <v>0</v>
      </c>
      <c r="AB353" s="36"/>
      <c r="AC353" s="36"/>
      <c r="AD353" s="36">
        <f t="shared" si="92"/>
        <v>0</v>
      </c>
      <c r="AE353" s="36">
        <f t="shared" si="93"/>
        <v>0</v>
      </c>
      <c r="AF353" s="36"/>
      <c r="AG353" s="36"/>
      <c r="AH353" s="36">
        <f t="shared" si="94"/>
        <v>0</v>
      </c>
      <c r="AI353" s="36">
        <f t="shared" si="95"/>
        <v>0</v>
      </c>
      <c r="AJ353" s="36"/>
      <c r="AK353" s="36"/>
      <c r="AL353" s="36">
        <f t="shared" si="96"/>
        <v>0</v>
      </c>
      <c r="AM353" s="36">
        <f t="shared" si="97"/>
        <v>0</v>
      </c>
      <c r="AN353" s="36"/>
      <c r="AO353" s="36"/>
      <c r="AP353" s="36">
        <f t="shared" si="98"/>
        <v>0</v>
      </c>
      <c r="AQ353" s="36">
        <f t="shared" si="99"/>
        <v>0</v>
      </c>
    </row>
    <row r="354" spans="1:43" x14ac:dyDescent="0.55000000000000004">
      <c r="A354" s="30" t="e">
        <f t="shared" si="100"/>
        <v>#REF!</v>
      </c>
      <c r="B354" s="31">
        <v>45981</v>
      </c>
      <c r="C354" s="45"/>
      <c r="D354" s="33"/>
      <c r="E354" s="33"/>
      <c r="F354" s="33"/>
      <c r="G354" s="51" t="s">
        <v>603</v>
      </c>
      <c r="H354" s="37" t="s">
        <v>361</v>
      </c>
      <c r="I354" s="36">
        <v>1</v>
      </c>
      <c r="J354" s="37"/>
      <c r="K354" s="37"/>
      <c r="L354" s="37"/>
      <c r="M354" s="38" t="s">
        <v>467</v>
      </c>
      <c r="N354" s="39"/>
      <c r="O354" s="47">
        <v>400</v>
      </c>
      <c r="P354" s="37">
        <f t="shared" si="88"/>
        <v>400</v>
      </c>
      <c r="Q354" s="41"/>
      <c r="R354" s="42">
        <f t="shared" si="104"/>
        <v>0</v>
      </c>
      <c r="S354" s="42">
        <f t="shared" si="103"/>
        <v>0</v>
      </c>
      <c r="T354" s="43">
        <f t="shared" si="102"/>
        <v>0</v>
      </c>
      <c r="U354" s="43">
        <f t="shared" si="102"/>
        <v>0</v>
      </c>
      <c r="V354" s="44">
        <f t="shared" si="101"/>
        <v>1</v>
      </c>
      <c r="W354" s="36">
        <f t="shared" si="89"/>
        <v>400</v>
      </c>
      <c r="X354" s="36"/>
      <c r="Y354" s="36"/>
      <c r="Z354" s="36">
        <f t="shared" si="90"/>
        <v>0</v>
      </c>
      <c r="AA354" s="36">
        <f t="shared" si="91"/>
        <v>0</v>
      </c>
      <c r="AB354" s="36"/>
      <c r="AC354" s="36"/>
      <c r="AD354" s="36">
        <f t="shared" si="92"/>
        <v>0</v>
      </c>
      <c r="AE354" s="36">
        <f t="shared" si="93"/>
        <v>0</v>
      </c>
      <c r="AF354" s="36"/>
      <c r="AG354" s="36"/>
      <c r="AH354" s="36">
        <f t="shared" si="94"/>
        <v>0</v>
      </c>
      <c r="AI354" s="36">
        <f t="shared" si="95"/>
        <v>0</v>
      </c>
      <c r="AJ354" s="36"/>
      <c r="AK354" s="36"/>
      <c r="AL354" s="36">
        <f t="shared" si="96"/>
        <v>0</v>
      </c>
      <c r="AM354" s="36">
        <f t="shared" si="97"/>
        <v>0</v>
      </c>
      <c r="AN354" s="36"/>
      <c r="AO354" s="36"/>
      <c r="AP354" s="36">
        <f t="shared" si="98"/>
        <v>0</v>
      </c>
      <c r="AQ354" s="36">
        <f t="shared" si="99"/>
        <v>0</v>
      </c>
    </row>
    <row r="355" spans="1:43" x14ac:dyDescent="0.55000000000000004">
      <c r="A355" s="30" t="e">
        <f t="shared" si="100"/>
        <v>#REF!</v>
      </c>
      <c r="B355" s="31">
        <v>45981</v>
      </c>
      <c r="C355" s="45"/>
      <c r="D355" s="33"/>
      <c r="E355" s="33"/>
      <c r="F355" s="33"/>
      <c r="G355" s="51" t="s">
        <v>604</v>
      </c>
      <c r="H355" s="37" t="s">
        <v>361</v>
      </c>
      <c r="I355" s="36">
        <v>2</v>
      </c>
      <c r="J355" s="37"/>
      <c r="K355" s="37"/>
      <c r="L355" s="37"/>
      <c r="M355" s="38" t="s">
        <v>467</v>
      </c>
      <c r="N355" s="39"/>
      <c r="O355" s="47">
        <v>700</v>
      </c>
      <c r="P355" s="37">
        <f t="shared" si="88"/>
        <v>1400</v>
      </c>
      <c r="Q355" s="41"/>
      <c r="R355" s="42">
        <f t="shared" si="104"/>
        <v>0</v>
      </c>
      <c r="S355" s="42">
        <f t="shared" si="103"/>
        <v>0</v>
      </c>
      <c r="T355" s="43">
        <f t="shared" si="102"/>
        <v>0</v>
      </c>
      <c r="U355" s="43">
        <f t="shared" si="102"/>
        <v>0</v>
      </c>
      <c r="V355" s="44">
        <f t="shared" si="101"/>
        <v>2</v>
      </c>
      <c r="W355" s="36">
        <f t="shared" si="89"/>
        <v>1400</v>
      </c>
      <c r="X355" s="36"/>
      <c r="Y355" s="36"/>
      <c r="Z355" s="36">
        <f t="shared" si="90"/>
        <v>0</v>
      </c>
      <c r="AA355" s="36">
        <f t="shared" si="91"/>
        <v>0</v>
      </c>
      <c r="AB355" s="36"/>
      <c r="AC355" s="36"/>
      <c r="AD355" s="36">
        <f t="shared" si="92"/>
        <v>0</v>
      </c>
      <c r="AE355" s="36">
        <f t="shared" si="93"/>
        <v>0</v>
      </c>
      <c r="AF355" s="36"/>
      <c r="AG355" s="36"/>
      <c r="AH355" s="36">
        <f t="shared" si="94"/>
        <v>0</v>
      </c>
      <c r="AI355" s="36">
        <f t="shared" si="95"/>
        <v>0</v>
      </c>
      <c r="AJ355" s="36"/>
      <c r="AK355" s="36"/>
      <c r="AL355" s="36">
        <f t="shared" si="96"/>
        <v>0</v>
      </c>
      <c r="AM355" s="36">
        <f t="shared" si="97"/>
        <v>0</v>
      </c>
      <c r="AN355" s="36"/>
      <c r="AO355" s="36"/>
      <c r="AP355" s="36">
        <f t="shared" si="98"/>
        <v>0</v>
      </c>
      <c r="AQ355" s="36">
        <f t="shared" si="99"/>
        <v>0</v>
      </c>
    </row>
    <row r="356" spans="1:43" x14ac:dyDescent="0.55000000000000004">
      <c r="A356" s="30" t="e">
        <f t="shared" si="100"/>
        <v>#REF!</v>
      </c>
      <c r="B356" s="31">
        <v>45981</v>
      </c>
      <c r="C356" s="45"/>
      <c r="D356" s="33"/>
      <c r="E356" s="33"/>
      <c r="F356" s="33"/>
      <c r="G356" s="51" t="s">
        <v>605</v>
      </c>
      <c r="H356" s="37" t="s">
        <v>361</v>
      </c>
      <c r="I356" s="36">
        <v>1</v>
      </c>
      <c r="J356" s="37"/>
      <c r="K356" s="37"/>
      <c r="L356" s="37"/>
      <c r="M356" s="38" t="s">
        <v>467</v>
      </c>
      <c r="N356" s="39"/>
      <c r="O356" s="47">
        <v>500</v>
      </c>
      <c r="P356" s="37">
        <f t="shared" si="88"/>
        <v>500</v>
      </c>
      <c r="Q356" s="41"/>
      <c r="R356" s="42">
        <f t="shared" si="104"/>
        <v>0</v>
      </c>
      <c r="S356" s="42">
        <f t="shared" si="103"/>
        <v>0</v>
      </c>
      <c r="T356" s="43">
        <f t="shared" ref="T356:U371" si="105">X356+AB356+AF356+AJ356+AN356</f>
        <v>0</v>
      </c>
      <c r="U356" s="43">
        <f t="shared" si="105"/>
        <v>0</v>
      </c>
      <c r="V356" s="44">
        <f t="shared" si="101"/>
        <v>1</v>
      </c>
      <c r="W356" s="36">
        <f t="shared" si="89"/>
        <v>500</v>
      </c>
      <c r="X356" s="36"/>
      <c r="Y356" s="36"/>
      <c r="Z356" s="36">
        <f t="shared" si="90"/>
        <v>0</v>
      </c>
      <c r="AA356" s="36">
        <f t="shared" si="91"/>
        <v>0</v>
      </c>
      <c r="AB356" s="36"/>
      <c r="AC356" s="36"/>
      <c r="AD356" s="36">
        <f t="shared" si="92"/>
        <v>0</v>
      </c>
      <c r="AE356" s="36">
        <f t="shared" si="93"/>
        <v>0</v>
      </c>
      <c r="AF356" s="36"/>
      <c r="AG356" s="36"/>
      <c r="AH356" s="36">
        <f t="shared" si="94"/>
        <v>0</v>
      </c>
      <c r="AI356" s="36">
        <f t="shared" si="95"/>
        <v>0</v>
      </c>
      <c r="AJ356" s="36"/>
      <c r="AK356" s="36"/>
      <c r="AL356" s="36">
        <f t="shared" si="96"/>
        <v>0</v>
      </c>
      <c r="AM356" s="36">
        <f t="shared" si="97"/>
        <v>0</v>
      </c>
      <c r="AN356" s="36"/>
      <c r="AO356" s="36"/>
      <c r="AP356" s="36">
        <f t="shared" si="98"/>
        <v>0</v>
      </c>
      <c r="AQ356" s="36">
        <f t="shared" si="99"/>
        <v>0</v>
      </c>
    </row>
    <row r="357" spans="1:43" x14ac:dyDescent="0.55000000000000004">
      <c r="A357" s="30" t="e">
        <f t="shared" si="100"/>
        <v>#REF!</v>
      </c>
      <c r="B357" s="31">
        <v>45981</v>
      </c>
      <c r="C357" s="45"/>
      <c r="D357" s="33"/>
      <c r="E357" s="33"/>
      <c r="F357" s="33"/>
      <c r="G357" s="51" t="s">
        <v>606</v>
      </c>
      <c r="H357" s="37" t="s">
        <v>50</v>
      </c>
      <c r="I357" s="36">
        <v>1</v>
      </c>
      <c r="J357" s="37"/>
      <c r="K357" s="37"/>
      <c r="L357" s="37"/>
      <c r="M357" s="38" t="s">
        <v>69</v>
      </c>
      <c r="N357" s="39"/>
      <c r="O357" s="47">
        <v>1530.64</v>
      </c>
      <c r="P357" s="37">
        <f t="shared" si="88"/>
        <v>1530.64</v>
      </c>
      <c r="Q357" s="41"/>
      <c r="R357" s="42">
        <f t="shared" si="104"/>
        <v>0</v>
      </c>
      <c r="S357" s="42">
        <f t="shared" si="103"/>
        <v>1530.64</v>
      </c>
      <c r="T357" s="43">
        <f t="shared" si="105"/>
        <v>0</v>
      </c>
      <c r="U357" s="43">
        <f t="shared" si="105"/>
        <v>1</v>
      </c>
      <c r="V357" s="44">
        <f t="shared" si="101"/>
        <v>0</v>
      </c>
      <c r="W357" s="36">
        <f t="shared" si="89"/>
        <v>0</v>
      </c>
      <c r="X357" s="36"/>
      <c r="Y357" s="36">
        <v>1</v>
      </c>
      <c r="Z357" s="36">
        <f t="shared" si="90"/>
        <v>0</v>
      </c>
      <c r="AA357" s="36">
        <f t="shared" si="91"/>
        <v>1530.64</v>
      </c>
      <c r="AB357" s="36"/>
      <c r="AC357" s="36"/>
      <c r="AD357" s="36">
        <f t="shared" si="92"/>
        <v>0</v>
      </c>
      <c r="AE357" s="36">
        <f t="shared" si="93"/>
        <v>0</v>
      </c>
      <c r="AF357" s="36"/>
      <c r="AG357" s="36"/>
      <c r="AH357" s="36">
        <f t="shared" si="94"/>
        <v>0</v>
      </c>
      <c r="AI357" s="36">
        <f t="shared" si="95"/>
        <v>0</v>
      </c>
      <c r="AJ357" s="36"/>
      <c r="AK357" s="36"/>
      <c r="AL357" s="36">
        <f t="shared" si="96"/>
        <v>0</v>
      </c>
      <c r="AM357" s="36">
        <f t="shared" si="97"/>
        <v>0</v>
      </c>
      <c r="AN357" s="36"/>
      <c r="AO357" s="36"/>
      <c r="AP357" s="36">
        <f t="shared" si="98"/>
        <v>0</v>
      </c>
      <c r="AQ357" s="36">
        <f t="shared" si="99"/>
        <v>0</v>
      </c>
    </row>
    <row r="358" spans="1:43" x14ac:dyDescent="0.55000000000000004">
      <c r="A358" s="30" t="e">
        <f t="shared" si="100"/>
        <v>#REF!</v>
      </c>
      <c r="B358" s="31">
        <v>45981</v>
      </c>
      <c r="C358" s="45"/>
      <c r="D358" s="33"/>
      <c r="E358" s="33"/>
      <c r="F358" s="33"/>
      <c r="G358" s="51" t="s">
        <v>607</v>
      </c>
      <c r="H358" s="37" t="s">
        <v>608</v>
      </c>
      <c r="I358" s="36">
        <v>12</v>
      </c>
      <c r="J358" s="37"/>
      <c r="K358" s="37"/>
      <c r="L358" s="37"/>
      <c r="M358" s="38" t="s">
        <v>410</v>
      </c>
      <c r="N358" s="39"/>
      <c r="O358" s="47">
        <v>60</v>
      </c>
      <c r="P358" s="37">
        <f t="shared" si="88"/>
        <v>720</v>
      </c>
      <c r="Q358" s="41"/>
      <c r="R358" s="42">
        <f t="shared" si="104"/>
        <v>0</v>
      </c>
      <c r="S358" s="42">
        <f t="shared" si="103"/>
        <v>0</v>
      </c>
      <c r="T358" s="43">
        <f t="shared" si="105"/>
        <v>0</v>
      </c>
      <c r="U358" s="43">
        <f t="shared" si="105"/>
        <v>0</v>
      </c>
      <c r="V358" s="44">
        <f t="shared" si="101"/>
        <v>12</v>
      </c>
      <c r="W358" s="36">
        <f t="shared" si="89"/>
        <v>720</v>
      </c>
      <c r="X358" s="36"/>
      <c r="Y358" s="36"/>
      <c r="Z358" s="36">
        <f t="shared" si="90"/>
        <v>0</v>
      </c>
      <c r="AA358" s="36">
        <f t="shared" si="91"/>
        <v>0</v>
      </c>
      <c r="AB358" s="36"/>
      <c r="AC358" s="36"/>
      <c r="AD358" s="36">
        <f t="shared" si="92"/>
        <v>0</v>
      </c>
      <c r="AE358" s="36">
        <f t="shared" si="93"/>
        <v>0</v>
      </c>
      <c r="AF358" s="36"/>
      <c r="AG358" s="36"/>
      <c r="AH358" s="36">
        <f t="shared" si="94"/>
        <v>0</v>
      </c>
      <c r="AI358" s="36">
        <f t="shared" si="95"/>
        <v>0</v>
      </c>
      <c r="AJ358" s="36"/>
      <c r="AK358" s="36"/>
      <c r="AL358" s="36">
        <f t="shared" si="96"/>
        <v>0</v>
      </c>
      <c r="AM358" s="36">
        <f t="shared" si="97"/>
        <v>0</v>
      </c>
      <c r="AN358" s="36"/>
      <c r="AO358" s="36"/>
      <c r="AP358" s="36">
        <f t="shared" si="98"/>
        <v>0</v>
      </c>
      <c r="AQ358" s="36">
        <f t="shared" si="99"/>
        <v>0</v>
      </c>
    </row>
    <row r="359" spans="1:43" x14ac:dyDescent="0.55000000000000004">
      <c r="A359" s="30" t="e">
        <f t="shared" si="100"/>
        <v>#REF!</v>
      </c>
      <c r="B359" s="31">
        <v>45981</v>
      </c>
      <c r="C359" s="45"/>
      <c r="D359" s="33"/>
      <c r="E359" s="33"/>
      <c r="F359" s="33"/>
      <c r="G359" s="51" t="s">
        <v>609</v>
      </c>
      <c r="H359" s="37" t="s">
        <v>545</v>
      </c>
      <c r="I359" s="36">
        <v>4</v>
      </c>
      <c r="J359" s="37"/>
      <c r="K359" s="37"/>
      <c r="L359" s="37"/>
      <c r="M359" s="38" t="s">
        <v>410</v>
      </c>
      <c r="N359" s="39" t="s">
        <v>49</v>
      </c>
      <c r="O359" s="47">
        <v>3.76</v>
      </c>
      <c r="P359" s="37">
        <f t="shared" si="88"/>
        <v>15.04</v>
      </c>
      <c r="Q359" s="41"/>
      <c r="R359" s="42">
        <f t="shared" si="104"/>
        <v>0</v>
      </c>
      <c r="S359" s="42">
        <f t="shared" si="103"/>
        <v>0</v>
      </c>
      <c r="T359" s="43">
        <f t="shared" si="105"/>
        <v>0</v>
      </c>
      <c r="U359" s="43">
        <f t="shared" si="105"/>
        <v>0</v>
      </c>
      <c r="V359" s="44">
        <f t="shared" si="101"/>
        <v>4</v>
      </c>
      <c r="W359" s="36">
        <f t="shared" si="89"/>
        <v>15.04</v>
      </c>
      <c r="X359" s="36"/>
      <c r="Y359" s="36"/>
      <c r="Z359" s="36">
        <f t="shared" si="90"/>
        <v>0</v>
      </c>
      <c r="AA359" s="36">
        <f t="shared" si="91"/>
        <v>0</v>
      </c>
      <c r="AB359" s="36"/>
      <c r="AC359" s="36"/>
      <c r="AD359" s="36">
        <f t="shared" si="92"/>
        <v>0</v>
      </c>
      <c r="AE359" s="36">
        <f t="shared" si="93"/>
        <v>0</v>
      </c>
      <c r="AF359" s="36"/>
      <c r="AG359" s="36"/>
      <c r="AH359" s="36">
        <f t="shared" si="94"/>
        <v>0</v>
      </c>
      <c r="AI359" s="36">
        <f t="shared" si="95"/>
        <v>0</v>
      </c>
      <c r="AJ359" s="36"/>
      <c r="AK359" s="36"/>
      <c r="AL359" s="36">
        <f t="shared" si="96"/>
        <v>0</v>
      </c>
      <c r="AM359" s="36">
        <f t="shared" si="97"/>
        <v>0</v>
      </c>
      <c r="AN359" s="36"/>
      <c r="AO359" s="36"/>
      <c r="AP359" s="36">
        <f t="shared" si="98"/>
        <v>0</v>
      </c>
      <c r="AQ359" s="36">
        <f t="shared" si="99"/>
        <v>0</v>
      </c>
    </row>
    <row r="360" spans="1:43" x14ac:dyDescent="0.55000000000000004">
      <c r="A360" s="30" t="e">
        <f t="shared" si="100"/>
        <v>#REF!</v>
      </c>
      <c r="B360" s="31">
        <v>45981</v>
      </c>
      <c r="C360" s="45"/>
      <c r="D360" s="33"/>
      <c r="E360" s="33"/>
      <c r="F360" s="33"/>
      <c r="G360" s="51" t="s">
        <v>610</v>
      </c>
      <c r="H360" s="37" t="s">
        <v>545</v>
      </c>
      <c r="I360" s="36">
        <v>4</v>
      </c>
      <c r="J360" s="37"/>
      <c r="K360" s="37"/>
      <c r="L360" s="37"/>
      <c r="M360" s="38" t="s">
        <v>410</v>
      </c>
      <c r="N360" s="39" t="s">
        <v>49</v>
      </c>
      <c r="O360" s="47">
        <v>6</v>
      </c>
      <c r="P360" s="37">
        <f t="shared" si="88"/>
        <v>24</v>
      </c>
      <c r="Q360" s="41"/>
      <c r="R360" s="42">
        <f t="shared" si="104"/>
        <v>0</v>
      </c>
      <c r="S360" s="42">
        <f t="shared" si="103"/>
        <v>0</v>
      </c>
      <c r="T360" s="43">
        <f t="shared" si="105"/>
        <v>0</v>
      </c>
      <c r="U360" s="43">
        <f t="shared" si="105"/>
        <v>0</v>
      </c>
      <c r="V360" s="44">
        <f t="shared" si="101"/>
        <v>4</v>
      </c>
      <c r="W360" s="36">
        <f t="shared" si="89"/>
        <v>24</v>
      </c>
      <c r="X360" s="36"/>
      <c r="Y360" s="36"/>
      <c r="Z360" s="36">
        <f t="shared" si="90"/>
        <v>0</v>
      </c>
      <c r="AA360" s="36">
        <f t="shared" si="91"/>
        <v>0</v>
      </c>
      <c r="AB360" s="36"/>
      <c r="AC360" s="36"/>
      <c r="AD360" s="36">
        <f t="shared" si="92"/>
        <v>0</v>
      </c>
      <c r="AE360" s="36">
        <f t="shared" si="93"/>
        <v>0</v>
      </c>
      <c r="AF360" s="36"/>
      <c r="AG360" s="36"/>
      <c r="AH360" s="36">
        <f t="shared" si="94"/>
        <v>0</v>
      </c>
      <c r="AI360" s="36">
        <f t="shared" si="95"/>
        <v>0</v>
      </c>
      <c r="AJ360" s="36"/>
      <c r="AK360" s="36"/>
      <c r="AL360" s="36">
        <f t="shared" si="96"/>
        <v>0</v>
      </c>
      <c r="AM360" s="36">
        <f t="shared" si="97"/>
        <v>0</v>
      </c>
      <c r="AN360" s="36"/>
      <c r="AO360" s="36"/>
      <c r="AP360" s="36">
        <f t="shared" si="98"/>
        <v>0</v>
      </c>
      <c r="AQ360" s="36">
        <f t="shared" si="99"/>
        <v>0</v>
      </c>
    </row>
    <row r="361" spans="1:43" x14ac:dyDescent="0.55000000000000004">
      <c r="A361" s="30" t="e">
        <f t="shared" si="100"/>
        <v>#REF!</v>
      </c>
      <c r="B361" s="31">
        <v>45981</v>
      </c>
      <c r="C361" s="45"/>
      <c r="D361" s="33"/>
      <c r="E361" s="33"/>
      <c r="F361" s="33"/>
      <c r="G361" s="51" t="s">
        <v>611</v>
      </c>
      <c r="H361" s="37" t="s">
        <v>545</v>
      </c>
      <c r="I361" s="36">
        <v>7</v>
      </c>
      <c r="J361" s="37"/>
      <c r="K361" s="37"/>
      <c r="L361" s="37"/>
      <c r="M361" s="38" t="s">
        <v>410</v>
      </c>
      <c r="N361" s="39" t="s">
        <v>49</v>
      </c>
      <c r="O361" s="47">
        <v>36</v>
      </c>
      <c r="P361" s="37">
        <f t="shared" si="88"/>
        <v>252</v>
      </c>
      <c r="Q361" s="41"/>
      <c r="R361" s="42">
        <f t="shared" si="104"/>
        <v>0</v>
      </c>
      <c r="S361" s="42">
        <f t="shared" si="103"/>
        <v>0</v>
      </c>
      <c r="T361" s="43">
        <f t="shared" si="105"/>
        <v>0</v>
      </c>
      <c r="U361" s="43">
        <f t="shared" si="105"/>
        <v>0</v>
      </c>
      <c r="V361" s="44">
        <f t="shared" si="101"/>
        <v>7</v>
      </c>
      <c r="W361" s="36">
        <f t="shared" si="89"/>
        <v>252</v>
      </c>
      <c r="X361" s="36"/>
      <c r="Y361" s="36"/>
      <c r="Z361" s="36">
        <f t="shared" si="90"/>
        <v>0</v>
      </c>
      <c r="AA361" s="36">
        <f t="shared" si="91"/>
        <v>0</v>
      </c>
      <c r="AB361" s="36"/>
      <c r="AC361" s="36"/>
      <c r="AD361" s="36">
        <f t="shared" si="92"/>
        <v>0</v>
      </c>
      <c r="AE361" s="36">
        <f t="shared" si="93"/>
        <v>0</v>
      </c>
      <c r="AF361" s="36"/>
      <c r="AG361" s="36"/>
      <c r="AH361" s="36">
        <f t="shared" si="94"/>
        <v>0</v>
      </c>
      <c r="AI361" s="36">
        <f t="shared" si="95"/>
        <v>0</v>
      </c>
      <c r="AJ361" s="36"/>
      <c r="AK361" s="36"/>
      <c r="AL361" s="36">
        <f t="shared" si="96"/>
        <v>0</v>
      </c>
      <c r="AM361" s="36">
        <f t="shared" si="97"/>
        <v>0</v>
      </c>
      <c r="AN361" s="36"/>
      <c r="AO361" s="36"/>
      <c r="AP361" s="36">
        <f t="shared" si="98"/>
        <v>0</v>
      </c>
      <c r="AQ361" s="36">
        <f t="shared" si="99"/>
        <v>0</v>
      </c>
    </row>
    <row r="362" spans="1:43" x14ac:dyDescent="0.55000000000000004">
      <c r="A362" s="30" t="e">
        <f t="shared" si="100"/>
        <v>#REF!</v>
      </c>
      <c r="B362" s="31">
        <v>45981</v>
      </c>
      <c r="C362" s="45"/>
      <c r="D362" s="33"/>
      <c r="E362" s="33"/>
      <c r="F362" s="33"/>
      <c r="G362" s="51" t="s">
        <v>612</v>
      </c>
      <c r="H362" s="37" t="s">
        <v>545</v>
      </c>
      <c r="I362" s="36">
        <v>3</v>
      </c>
      <c r="J362" s="37"/>
      <c r="K362" s="37"/>
      <c r="L362" s="37"/>
      <c r="M362" s="38" t="s">
        <v>410</v>
      </c>
      <c r="N362" s="39" t="s">
        <v>49</v>
      </c>
      <c r="O362" s="47">
        <v>18.260000000000002</v>
      </c>
      <c r="P362" s="37">
        <f t="shared" si="88"/>
        <v>54.78</v>
      </c>
      <c r="Q362" s="41"/>
      <c r="R362" s="42">
        <f t="shared" si="104"/>
        <v>0</v>
      </c>
      <c r="S362" s="42">
        <f t="shared" si="103"/>
        <v>0</v>
      </c>
      <c r="T362" s="43">
        <f t="shared" si="105"/>
        <v>0</v>
      </c>
      <c r="U362" s="43">
        <f t="shared" si="105"/>
        <v>0</v>
      </c>
      <c r="V362" s="44">
        <f t="shared" si="101"/>
        <v>3</v>
      </c>
      <c r="W362" s="36">
        <f t="shared" si="89"/>
        <v>54.78</v>
      </c>
      <c r="X362" s="36"/>
      <c r="Y362" s="36"/>
      <c r="Z362" s="36">
        <f t="shared" si="90"/>
        <v>0</v>
      </c>
      <c r="AA362" s="36">
        <f t="shared" si="91"/>
        <v>0</v>
      </c>
      <c r="AB362" s="36"/>
      <c r="AC362" s="36"/>
      <c r="AD362" s="36">
        <f t="shared" si="92"/>
        <v>0</v>
      </c>
      <c r="AE362" s="36">
        <f t="shared" si="93"/>
        <v>0</v>
      </c>
      <c r="AF362" s="36"/>
      <c r="AG362" s="36"/>
      <c r="AH362" s="36">
        <f t="shared" si="94"/>
        <v>0</v>
      </c>
      <c r="AI362" s="36">
        <f t="shared" si="95"/>
        <v>0</v>
      </c>
      <c r="AJ362" s="36"/>
      <c r="AK362" s="36"/>
      <c r="AL362" s="36">
        <f t="shared" si="96"/>
        <v>0</v>
      </c>
      <c r="AM362" s="36">
        <f t="shared" si="97"/>
        <v>0</v>
      </c>
      <c r="AN362" s="36"/>
      <c r="AO362" s="36"/>
      <c r="AP362" s="36">
        <f t="shared" si="98"/>
        <v>0</v>
      </c>
      <c r="AQ362" s="36">
        <f t="shared" si="99"/>
        <v>0</v>
      </c>
    </row>
    <row r="363" spans="1:43" x14ac:dyDescent="0.55000000000000004">
      <c r="A363" s="30" t="e">
        <f t="shared" si="100"/>
        <v>#REF!</v>
      </c>
      <c r="B363" s="31">
        <v>45981</v>
      </c>
      <c r="C363" s="45"/>
      <c r="D363" s="33"/>
      <c r="E363" s="33"/>
      <c r="F363" s="33"/>
      <c r="G363" s="51" t="s">
        <v>613</v>
      </c>
      <c r="H363" s="37" t="s">
        <v>545</v>
      </c>
      <c r="I363" s="36">
        <v>3</v>
      </c>
      <c r="J363" s="37"/>
      <c r="K363" s="37"/>
      <c r="L363" s="37"/>
      <c r="M363" s="38" t="s">
        <v>410</v>
      </c>
      <c r="N363" s="39" t="s">
        <v>49</v>
      </c>
      <c r="O363" s="47">
        <v>29.56</v>
      </c>
      <c r="P363" s="37">
        <f t="shared" si="88"/>
        <v>88.679999999999993</v>
      </c>
      <c r="Q363" s="41"/>
      <c r="R363" s="42">
        <f t="shared" si="104"/>
        <v>0</v>
      </c>
      <c r="S363" s="42">
        <f t="shared" si="103"/>
        <v>0</v>
      </c>
      <c r="T363" s="43">
        <f t="shared" si="105"/>
        <v>0</v>
      </c>
      <c r="U363" s="43">
        <f t="shared" si="105"/>
        <v>0</v>
      </c>
      <c r="V363" s="44">
        <f t="shared" si="101"/>
        <v>3</v>
      </c>
      <c r="W363" s="36">
        <f t="shared" si="89"/>
        <v>88.679999999999993</v>
      </c>
      <c r="X363" s="36"/>
      <c r="Y363" s="36"/>
      <c r="Z363" s="36">
        <f t="shared" si="90"/>
        <v>0</v>
      </c>
      <c r="AA363" s="36">
        <f t="shared" si="91"/>
        <v>0</v>
      </c>
      <c r="AB363" s="36"/>
      <c r="AC363" s="36"/>
      <c r="AD363" s="36">
        <f t="shared" si="92"/>
        <v>0</v>
      </c>
      <c r="AE363" s="36">
        <f t="shared" si="93"/>
        <v>0</v>
      </c>
      <c r="AF363" s="36"/>
      <c r="AG363" s="36"/>
      <c r="AH363" s="36">
        <f t="shared" si="94"/>
        <v>0</v>
      </c>
      <c r="AI363" s="36">
        <f t="shared" si="95"/>
        <v>0</v>
      </c>
      <c r="AJ363" s="36"/>
      <c r="AK363" s="36"/>
      <c r="AL363" s="36">
        <f t="shared" si="96"/>
        <v>0</v>
      </c>
      <c r="AM363" s="36">
        <f t="shared" si="97"/>
        <v>0</v>
      </c>
      <c r="AN363" s="36"/>
      <c r="AO363" s="36"/>
      <c r="AP363" s="36">
        <f t="shared" si="98"/>
        <v>0</v>
      </c>
      <c r="AQ363" s="36">
        <f t="shared" si="99"/>
        <v>0</v>
      </c>
    </row>
    <row r="364" spans="1:43" x14ac:dyDescent="0.55000000000000004">
      <c r="A364" s="30" t="e">
        <f t="shared" si="100"/>
        <v>#REF!</v>
      </c>
      <c r="B364" s="31">
        <v>45981</v>
      </c>
      <c r="C364" s="45"/>
      <c r="D364" s="33"/>
      <c r="E364" s="33"/>
      <c r="F364" s="33"/>
      <c r="G364" s="51" t="s">
        <v>614</v>
      </c>
      <c r="H364" s="37" t="s">
        <v>104</v>
      </c>
      <c r="I364" s="36">
        <v>28</v>
      </c>
      <c r="J364" s="37"/>
      <c r="K364" s="37"/>
      <c r="L364" s="37"/>
      <c r="M364" s="38" t="s">
        <v>410</v>
      </c>
      <c r="N364" s="39" t="s">
        <v>41</v>
      </c>
      <c r="O364" s="47">
        <v>2.57</v>
      </c>
      <c r="P364" s="37">
        <f t="shared" si="88"/>
        <v>71.959999999999994</v>
      </c>
      <c r="Q364" s="41"/>
      <c r="R364" s="42">
        <f t="shared" si="104"/>
        <v>0</v>
      </c>
      <c r="S364" s="42">
        <f t="shared" si="103"/>
        <v>0</v>
      </c>
      <c r="T364" s="43">
        <f t="shared" si="105"/>
        <v>0</v>
      </c>
      <c r="U364" s="43">
        <f t="shared" si="105"/>
        <v>0</v>
      </c>
      <c r="V364" s="44">
        <f t="shared" si="101"/>
        <v>28</v>
      </c>
      <c r="W364" s="36">
        <f t="shared" si="89"/>
        <v>71.959999999999994</v>
      </c>
      <c r="X364" s="36"/>
      <c r="Y364" s="36"/>
      <c r="Z364" s="36">
        <f t="shared" si="90"/>
        <v>0</v>
      </c>
      <c r="AA364" s="36">
        <f t="shared" si="91"/>
        <v>0</v>
      </c>
      <c r="AB364" s="36"/>
      <c r="AC364" s="36"/>
      <c r="AD364" s="36">
        <f t="shared" si="92"/>
        <v>0</v>
      </c>
      <c r="AE364" s="36">
        <f t="shared" si="93"/>
        <v>0</v>
      </c>
      <c r="AF364" s="36"/>
      <c r="AG364" s="36"/>
      <c r="AH364" s="36">
        <f t="shared" si="94"/>
        <v>0</v>
      </c>
      <c r="AI364" s="36">
        <f t="shared" si="95"/>
        <v>0</v>
      </c>
      <c r="AJ364" s="36"/>
      <c r="AK364" s="36"/>
      <c r="AL364" s="36">
        <f t="shared" si="96"/>
        <v>0</v>
      </c>
      <c r="AM364" s="36">
        <f t="shared" si="97"/>
        <v>0</v>
      </c>
      <c r="AN364" s="36"/>
      <c r="AO364" s="36"/>
      <c r="AP364" s="36">
        <f t="shared" si="98"/>
        <v>0</v>
      </c>
      <c r="AQ364" s="36">
        <f t="shared" si="99"/>
        <v>0</v>
      </c>
    </row>
    <row r="365" spans="1:43" x14ac:dyDescent="0.55000000000000004">
      <c r="A365" s="30" t="e">
        <f t="shared" si="100"/>
        <v>#REF!</v>
      </c>
      <c r="B365" s="31">
        <v>45981</v>
      </c>
      <c r="C365" s="45"/>
      <c r="D365" s="33"/>
      <c r="E365" s="33"/>
      <c r="F365" s="33"/>
      <c r="G365" s="51" t="s">
        <v>615</v>
      </c>
      <c r="H365" s="37" t="s">
        <v>104</v>
      </c>
      <c r="I365" s="36">
        <v>10</v>
      </c>
      <c r="J365" s="37"/>
      <c r="K365" s="37"/>
      <c r="L365" s="37"/>
      <c r="M365" s="38" t="s">
        <v>410</v>
      </c>
      <c r="N365" s="39" t="s">
        <v>41</v>
      </c>
      <c r="O365" s="47">
        <v>4</v>
      </c>
      <c r="P365" s="37">
        <f t="shared" si="88"/>
        <v>40</v>
      </c>
      <c r="Q365" s="41"/>
      <c r="R365" s="42">
        <f t="shared" si="104"/>
        <v>0</v>
      </c>
      <c r="S365" s="42">
        <f t="shared" si="103"/>
        <v>0</v>
      </c>
      <c r="T365" s="43">
        <f t="shared" si="105"/>
        <v>0</v>
      </c>
      <c r="U365" s="43">
        <f t="shared" si="105"/>
        <v>0</v>
      </c>
      <c r="V365" s="44">
        <f t="shared" si="101"/>
        <v>10</v>
      </c>
      <c r="W365" s="36">
        <f t="shared" si="89"/>
        <v>40</v>
      </c>
      <c r="X365" s="36"/>
      <c r="Y365" s="36"/>
      <c r="Z365" s="36">
        <f t="shared" si="90"/>
        <v>0</v>
      </c>
      <c r="AA365" s="36">
        <f t="shared" si="91"/>
        <v>0</v>
      </c>
      <c r="AB365" s="36"/>
      <c r="AC365" s="36"/>
      <c r="AD365" s="36">
        <f t="shared" si="92"/>
        <v>0</v>
      </c>
      <c r="AE365" s="36">
        <f t="shared" si="93"/>
        <v>0</v>
      </c>
      <c r="AF365" s="36"/>
      <c r="AG365" s="36"/>
      <c r="AH365" s="36">
        <f t="shared" si="94"/>
        <v>0</v>
      </c>
      <c r="AI365" s="36">
        <f t="shared" si="95"/>
        <v>0</v>
      </c>
      <c r="AJ365" s="36"/>
      <c r="AK365" s="36"/>
      <c r="AL365" s="36">
        <f t="shared" si="96"/>
        <v>0</v>
      </c>
      <c r="AM365" s="36">
        <f t="shared" si="97"/>
        <v>0</v>
      </c>
      <c r="AN365" s="36"/>
      <c r="AO365" s="36"/>
      <c r="AP365" s="36">
        <f t="shared" si="98"/>
        <v>0</v>
      </c>
      <c r="AQ365" s="36">
        <f t="shared" si="99"/>
        <v>0</v>
      </c>
    </row>
    <row r="366" spans="1:43" x14ac:dyDescent="0.55000000000000004">
      <c r="A366" s="30" t="e">
        <f t="shared" si="100"/>
        <v>#REF!</v>
      </c>
      <c r="B366" s="31">
        <v>45981</v>
      </c>
      <c r="C366" s="45"/>
      <c r="D366" s="33"/>
      <c r="E366" s="33"/>
      <c r="F366" s="33"/>
      <c r="G366" s="51" t="s">
        <v>616</v>
      </c>
      <c r="H366" s="37" t="s">
        <v>104</v>
      </c>
      <c r="I366" s="36">
        <v>3</v>
      </c>
      <c r="J366" s="37"/>
      <c r="K366" s="37"/>
      <c r="L366" s="37"/>
      <c r="M366" s="38" t="s">
        <v>410</v>
      </c>
      <c r="N366" s="39" t="s">
        <v>41</v>
      </c>
      <c r="O366" s="47">
        <v>3.64</v>
      </c>
      <c r="P366" s="37">
        <f t="shared" si="88"/>
        <v>10.92</v>
      </c>
      <c r="Q366" s="41"/>
      <c r="R366" s="42">
        <f t="shared" si="104"/>
        <v>0</v>
      </c>
      <c r="S366" s="42">
        <f t="shared" si="103"/>
        <v>0</v>
      </c>
      <c r="T366" s="43">
        <f t="shared" si="105"/>
        <v>0</v>
      </c>
      <c r="U366" s="43">
        <f t="shared" si="105"/>
        <v>0</v>
      </c>
      <c r="V366" s="44">
        <f t="shared" si="101"/>
        <v>3</v>
      </c>
      <c r="W366" s="36">
        <f t="shared" si="89"/>
        <v>10.92</v>
      </c>
      <c r="X366" s="36"/>
      <c r="Y366" s="36"/>
      <c r="Z366" s="36">
        <f t="shared" si="90"/>
        <v>0</v>
      </c>
      <c r="AA366" s="36">
        <f t="shared" si="91"/>
        <v>0</v>
      </c>
      <c r="AB366" s="36"/>
      <c r="AC366" s="36"/>
      <c r="AD366" s="36">
        <f t="shared" si="92"/>
        <v>0</v>
      </c>
      <c r="AE366" s="36">
        <f t="shared" si="93"/>
        <v>0</v>
      </c>
      <c r="AF366" s="36"/>
      <c r="AG366" s="36"/>
      <c r="AH366" s="36">
        <f t="shared" si="94"/>
        <v>0</v>
      </c>
      <c r="AI366" s="36">
        <f t="shared" si="95"/>
        <v>0</v>
      </c>
      <c r="AJ366" s="36"/>
      <c r="AK366" s="36"/>
      <c r="AL366" s="36">
        <f t="shared" si="96"/>
        <v>0</v>
      </c>
      <c r="AM366" s="36">
        <f t="shared" si="97"/>
        <v>0</v>
      </c>
      <c r="AN366" s="36"/>
      <c r="AO366" s="36"/>
      <c r="AP366" s="36">
        <f t="shared" si="98"/>
        <v>0</v>
      </c>
      <c r="AQ366" s="36">
        <f t="shared" si="99"/>
        <v>0</v>
      </c>
    </row>
    <row r="367" spans="1:43" x14ac:dyDescent="0.55000000000000004">
      <c r="A367" s="30" t="e">
        <f t="shared" si="100"/>
        <v>#REF!</v>
      </c>
      <c r="B367" s="31">
        <v>45981</v>
      </c>
      <c r="C367" s="45"/>
      <c r="D367" s="33"/>
      <c r="E367" s="33"/>
      <c r="F367" s="33"/>
      <c r="G367" s="51" t="s">
        <v>617</v>
      </c>
      <c r="H367" s="37" t="s">
        <v>104</v>
      </c>
      <c r="I367" s="36">
        <v>1</v>
      </c>
      <c r="J367" s="37"/>
      <c r="K367" s="37"/>
      <c r="L367" s="37"/>
      <c r="M367" s="38" t="s">
        <v>410</v>
      </c>
      <c r="N367" s="39" t="s">
        <v>41</v>
      </c>
      <c r="O367" s="47">
        <v>3</v>
      </c>
      <c r="P367" s="37">
        <f t="shared" si="88"/>
        <v>3</v>
      </c>
      <c r="Q367" s="41"/>
      <c r="R367" s="42">
        <f t="shared" si="104"/>
        <v>0</v>
      </c>
      <c r="S367" s="42">
        <f t="shared" si="103"/>
        <v>3</v>
      </c>
      <c r="T367" s="43">
        <f t="shared" si="105"/>
        <v>0</v>
      </c>
      <c r="U367" s="43">
        <f t="shared" si="105"/>
        <v>1</v>
      </c>
      <c r="V367" s="44">
        <f t="shared" si="101"/>
        <v>0</v>
      </c>
      <c r="W367" s="36">
        <f t="shared" si="89"/>
        <v>0</v>
      </c>
      <c r="X367" s="36"/>
      <c r="Y367" s="36">
        <v>1</v>
      </c>
      <c r="Z367" s="36">
        <f t="shared" si="90"/>
        <v>0</v>
      </c>
      <c r="AA367" s="36">
        <f t="shared" si="91"/>
        <v>3</v>
      </c>
      <c r="AB367" s="36"/>
      <c r="AC367" s="36"/>
      <c r="AD367" s="36">
        <f t="shared" si="92"/>
        <v>0</v>
      </c>
      <c r="AE367" s="36">
        <f t="shared" si="93"/>
        <v>0</v>
      </c>
      <c r="AF367" s="36"/>
      <c r="AG367" s="36"/>
      <c r="AH367" s="36">
        <f t="shared" si="94"/>
        <v>0</v>
      </c>
      <c r="AI367" s="36">
        <f t="shared" si="95"/>
        <v>0</v>
      </c>
      <c r="AJ367" s="36"/>
      <c r="AK367" s="36"/>
      <c r="AL367" s="36">
        <f t="shared" si="96"/>
        <v>0</v>
      </c>
      <c r="AM367" s="36">
        <f t="shared" si="97"/>
        <v>0</v>
      </c>
      <c r="AN367" s="36"/>
      <c r="AO367" s="36"/>
      <c r="AP367" s="36">
        <f t="shared" si="98"/>
        <v>0</v>
      </c>
      <c r="AQ367" s="36">
        <f t="shared" si="99"/>
        <v>0</v>
      </c>
    </row>
    <row r="368" spans="1:43" x14ac:dyDescent="0.55000000000000004">
      <c r="A368" s="30" t="e">
        <f t="shared" si="100"/>
        <v>#REF!</v>
      </c>
      <c r="B368" s="31">
        <v>45981</v>
      </c>
      <c r="C368" s="45"/>
      <c r="D368" s="33"/>
      <c r="E368" s="33"/>
      <c r="F368" s="33"/>
      <c r="G368" s="51" t="s">
        <v>618</v>
      </c>
      <c r="H368" s="37" t="s">
        <v>104</v>
      </c>
      <c r="I368" s="36">
        <v>3</v>
      </c>
      <c r="J368" s="37"/>
      <c r="K368" s="37"/>
      <c r="L368" s="37"/>
      <c r="M368" s="38" t="s">
        <v>410</v>
      </c>
      <c r="N368" s="39" t="s">
        <v>41</v>
      </c>
      <c r="O368" s="47">
        <v>7.36</v>
      </c>
      <c r="P368" s="37">
        <f t="shared" si="88"/>
        <v>22.080000000000002</v>
      </c>
      <c r="Q368" s="41"/>
      <c r="R368" s="42">
        <f t="shared" si="104"/>
        <v>0</v>
      </c>
      <c r="S368" s="42">
        <f t="shared" si="103"/>
        <v>0</v>
      </c>
      <c r="T368" s="43">
        <f t="shared" si="105"/>
        <v>0</v>
      </c>
      <c r="U368" s="43">
        <f t="shared" si="105"/>
        <v>0</v>
      </c>
      <c r="V368" s="44">
        <f t="shared" si="101"/>
        <v>3</v>
      </c>
      <c r="W368" s="36">
        <f t="shared" si="89"/>
        <v>22.080000000000002</v>
      </c>
      <c r="X368" s="36"/>
      <c r="Y368" s="36"/>
      <c r="Z368" s="36">
        <f t="shared" si="90"/>
        <v>0</v>
      </c>
      <c r="AA368" s="36">
        <f t="shared" si="91"/>
        <v>0</v>
      </c>
      <c r="AB368" s="36"/>
      <c r="AC368" s="36"/>
      <c r="AD368" s="36">
        <f t="shared" si="92"/>
        <v>0</v>
      </c>
      <c r="AE368" s="36">
        <f t="shared" si="93"/>
        <v>0</v>
      </c>
      <c r="AF368" s="36"/>
      <c r="AG368" s="36"/>
      <c r="AH368" s="36">
        <f t="shared" si="94"/>
        <v>0</v>
      </c>
      <c r="AI368" s="36">
        <f t="shared" si="95"/>
        <v>0</v>
      </c>
      <c r="AJ368" s="36"/>
      <c r="AK368" s="36"/>
      <c r="AL368" s="36">
        <f t="shared" si="96"/>
        <v>0</v>
      </c>
      <c r="AM368" s="36">
        <f t="shared" si="97"/>
        <v>0</v>
      </c>
      <c r="AN368" s="36"/>
      <c r="AO368" s="36"/>
      <c r="AP368" s="36">
        <f t="shared" si="98"/>
        <v>0</v>
      </c>
      <c r="AQ368" s="36">
        <f t="shared" si="99"/>
        <v>0</v>
      </c>
    </row>
    <row r="369" spans="1:43" x14ac:dyDescent="0.55000000000000004">
      <c r="A369" s="30" t="e">
        <f t="shared" si="100"/>
        <v>#REF!</v>
      </c>
      <c r="B369" s="31">
        <v>45981</v>
      </c>
      <c r="C369" s="45"/>
      <c r="D369" s="33"/>
      <c r="E369" s="33"/>
      <c r="F369" s="33"/>
      <c r="G369" s="51" t="s">
        <v>619</v>
      </c>
      <c r="H369" s="37" t="s">
        <v>104</v>
      </c>
      <c r="I369" s="36">
        <v>1</v>
      </c>
      <c r="J369" s="37"/>
      <c r="K369" s="37"/>
      <c r="L369" s="37"/>
      <c r="M369" s="38" t="s">
        <v>410</v>
      </c>
      <c r="N369" s="39" t="s">
        <v>41</v>
      </c>
      <c r="O369" s="47">
        <v>8.31</v>
      </c>
      <c r="P369" s="37">
        <f t="shared" si="88"/>
        <v>8.31</v>
      </c>
      <c r="Q369" s="41"/>
      <c r="R369" s="42">
        <f t="shared" si="104"/>
        <v>0</v>
      </c>
      <c r="S369" s="42">
        <f t="shared" si="103"/>
        <v>0</v>
      </c>
      <c r="T369" s="43">
        <f t="shared" si="105"/>
        <v>0</v>
      </c>
      <c r="U369" s="43">
        <f t="shared" si="105"/>
        <v>0</v>
      </c>
      <c r="V369" s="44">
        <f t="shared" si="101"/>
        <v>1</v>
      </c>
      <c r="W369" s="36">
        <f t="shared" si="89"/>
        <v>8.31</v>
      </c>
      <c r="X369" s="36"/>
      <c r="Y369" s="36"/>
      <c r="Z369" s="36">
        <f t="shared" si="90"/>
        <v>0</v>
      </c>
      <c r="AA369" s="36">
        <f t="shared" si="91"/>
        <v>0</v>
      </c>
      <c r="AB369" s="36"/>
      <c r="AC369" s="36"/>
      <c r="AD369" s="36">
        <f t="shared" si="92"/>
        <v>0</v>
      </c>
      <c r="AE369" s="36">
        <f t="shared" si="93"/>
        <v>0</v>
      </c>
      <c r="AF369" s="36"/>
      <c r="AG369" s="36"/>
      <c r="AH369" s="36">
        <f t="shared" si="94"/>
        <v>0</v>
      </c>
      <c r="AI369" s="36">
        <f t="shared" si="95"/>
        <v>0</v>
      </c>
      <c r="AJ369" s="36"/>
      <c r="AK369" s="36"/>
      <c r="AL369" s="36">
        <f t="shared" si="96"/>
        <v>0</v>
      </c>
      <c r="AM369" s="36">
        <f t="shared" si="97"/>
        <v>0</v>
      </c>
      <c r="AN369" s="36"/>
      <c r="AO369" s="36"/>
      <c r="AP369" s="36">
        <f t="shared" si="98"/>
        <v>0</v>
      </c>
      <c r="AQ369" s="36">
        <f t="shared" si="99"/>
        <v>0</v>
      </c>
    </row>
    <row r="370" spans="1:43" x14ac:dyDescent="0.55000000000000004">
      <c r="A370" s="30" t="e">
        <f t="shared" si="100"/>
        <v>#REF!</v>
      </c>
      <c r="B370" s="31">
        <v>45981</v>
      </c>
      <c r="C370" s="45"/>
      <c r="D370" s="33"/>
      <c r="E370" s="33"/>
      <c r="F370" s="33"/>
      <c r="G370" s="51" t="s">
        <v>620</v>
      </c>
      <c r="H370" s="37" t="s">
        <v>104</v>
      </c>
      <c r="I370" s="36">
        <v>2</v>
      </c>
      <c r="J370" s="37"/>
      <c r="K370" s="37"/>
      <c r="L370" s="37"/>
      <c r="M370" s="38" t="s">
        <v>410</v>
      </c>
      <c r="N370" s="39" t="s">
        <v>41</v>
      </c>
      <c r="O370" s="47">
        <v>0.82</v>
      </c>
      <c r="P370" s="37">
        <f t="shared" si="88"/>
        <v>1.64</v>
      </c>
      <c r="Q370" s="41"/>
      <c r="R370" s="42">
        <f t="shared" si="104"/>
        <v>0</v>
      </c>
      <c r="S370" s="42">
        <f t="shared" si="103"/>
        <v>0</v>
      </c>
      <c r="T370" s="43">
        <f t="shared" si="105"/>
        <v>0</v>
      </c>
      <c r="U370" s="43">
        <f t="shared" si="105"/>
        <v>0</v>
      </c>
      <c r="V370" s="44">
        <f t="shared" si="101"/>
        <v>2</v>
      </c>
      <c r="W370" s="36">
        <f t="shared" si="89"/>
        <v>1.64</v>
      </c>
      <c r="X370" s="36"/>
      <c r="Y370" s="36"/>
      <c r="Z370" s="36">
        <f t="shared" si="90"/>
        <v>0</v>
      </c>
      <c r="AA370" s="36">
        <f t="shared" si="91"/>
        <v>0</v>
      </c>
      <c r="AB370" s="36"/>
      <c r="AC370" s="36"/>
      <c r="AD370" s="36">
        <f t="shared" si="92"/>
        <v>0</v>
      </c>
      <c r="AE370" s="36">
        <f t="shared" si="93"/>
        <v>0</v>
      </c>
      <c r="AF370" s="36"/>
      <c r="AG370" s="36"/>
      <c r="AH370" s="36">
        <f t="shared" si="94"/>
        <v>0</v>
      </c>
      <c r="AI370" s="36">
        <f t="shared" si="95"/>
        <v>0</v>
      </c>
      <c r="AJ370" s="36"/>
      <c r="AK370" s="36"/>
      <c r="AL370" s="36">
        <f t="shared" si="96"/>
        <v>0</v>
      </c>
      <c r="AM370" s="36">
        <f t="shared" si="97"/>
        <v>0</v>
      </c>
      <c r="AN370" s="36"/>
      <c r="AO370" s="36"/>
      <c r="AP370" s="36">
        <f t="shared" si="98"/>
        <v>0</v>
      </c>
      <c r="AQ370" s="36">
        <f t="shared" si="99"/>
        <v>0</v>
      </c>
    </row>
    <row r="371" spans="1:43" x14ac:dyDescent="0.55000000000000004">
      <c r="A371" s="30" t="e">
        <f t="shared" si="100"/>
        <v>#REF!</v>
      </c>
      <c r="B371" s="31">
        <v>45981</v>
      </c>
      <c r="C371" s="45"/>
      <c r="D371" s="33"/>
      <c r="E371" s="33"/>
      <c r="F371" s="33"/>
      <c r="G371" s="51" t="s">
        <v>621</v>
      </c>
      <c r="H371" s="37" t="s">
        <v>104</v>
      </c>
      <c r="I371" s="36">
        <v>12</v>
      </c>
      <c r="J371" s="37"/>
      <c r="K371" s="37"/>
      <c r="L371" s="37"/>
      <c r="M371" s="38" t="s">
        <v>410</v>
      </c>
      <c r="N371" s="39" t="s">
        <v>41</v>
      </c>
      <c r="O371" s="47">
        <v>5</v>
      </c>
      <c r="P371" s="37">
        <f t="shared" si="88"/>
        <v>60</v>
      </c>
      <c r="Q371" s="41"/>
      <c r="R371" s="42">
        <f t="shared" si="104"/>
        <v>0</v>
      </c>
      <c r="S371" s="42">
        <f t="shared" si="103"/>
        <v>0</v>
      </c>
      <c r="T371" s="43">
        <f t="shared" si="105"/>
        <v>0</v>
      </c>
      <c r="U371" s="43">
        <f t="shared" si="105"/>
        <v>0</v>
      </c>
      <c r="V371" s="44">
        <f t="shared" si="101"/>
        <v>12</v>
      </c>
      <c r="W371" s="36">
        <f t="shared" si="89"/>
        <v>60</v>
      </c>
      <c r="X371" s="36"/>
      <c r="Y371" s="36"/>
      <c r="Z371" s="36">
        <f t="shared" si="90"/>
        <v>0</v>
      </c>
      <c r="AA371" s="36">
        <f t="shared" si="91"/>
        <v>0</v>
      </c>
      <c r="AB371" s="36"/>
      <c r="AC371" s="36"/>
      <c r="AD371" s="36">
        <f t="shared" si="92"/>
        <v>0</v>
      </c>
      <c r="AE371" s="36">
        <f t="shared" si="93"/>
        <v>0</v>
      </c>
      <c r="AF371" s="36"/>
      <c r="AG371" s="36"/>
      <c r="AH371" s="36">
        <f t="shared" si="94"/>
        <v>0</v>
      </c>
      <c r="AI371" s="36">
        <f t="shared" si="95"/>
        <v>0</v>
      </c>
      <c r="AJ371" s="36"/>
      <c r="AK371" s="36"/>
      <c r="AL371" s="36">
        <f t="shared" si="96"/>
        <v>0</v>
      </c>
      <c r="AM371" s="36">
        <f t="shared" si="97"/>
        <v>0</v>
      </c>
      <c r="AN371" s="36"/>
      <c r="AO371" s="36"/>
      <c r="AP371" s="36">
        <f t="shared" si="98"/>
        <v>0</v>
      </c>
      <c r="AQ371" s="36">
        <f t="shared" si="99"/>
        <v>0</v>
      </c>
    </row>
    <row r="372" spans="1:43" x14ac:dyDescent="0.55000000000000004">
      <c r="A372" s="30" t="e">
        <f t="shared" si="100"/>
        <v>#REF!</v>
      </c>
      <c r="B372" s="31">
        <v>45981</v>
      </c>
      <c r="C372" s="45"/>
      <c r="D372" s="33"/>
      <c r="E372" s="33"/>
      <c r="F372" s="33"/>
      <c r="G372" s="51" t="s">
        <v>622</v>
      </c>
      <c r="H372" s="37" t="s">
        <v>361</v>
      </c>
      <c r="I372" s="36">
        <v>1</v>
      </c>
      <c r="J372" s="37"/>
      <c r="K372" s="37"/>
      <c r="L372" s="37"/>
      <c r="M372" s="38" t="s">
        <v>60</v>
      </c>
      <c r="N372" s="39" t="s">
        <v>61</v>
      </c>
      <c r="O372" s="47">
        <v>1500</v>
      </c>
      <c r="P372" s="37">
        <f t="shared" si="88"/>
        <v>1500</v>
      </c>
      <c r="Q372" s="41"/>
      <c r="R372" s="42">
        <f t="shared" si="104"/>
        <v>0</v>
      </c>
      <c r="S372" s="42">
        <f t="shared" si="103"/>
        <v>0</v>
      </c>
      <c r="T372" s="43">
        <f t="shared" ref="T372:U385" si="106">X372+AB372+AF372+AJ372+AN372</f>
        <v>0</v>
      </c>
      <c r="U372" s="43">
        <f t="shared" si="106"/>
        <v>0</v>
      </c>
      <c r="V372" s="44">
        <f t="shared" si="101"/>
        <v>1</v>
      </c>
      <c r="W372" s="36">
        <f t="shared" si="89"/>
        <v>1500</v>
      </c>
      <c r="X372" s="36"/>
      <c r="Y372" s="36"/>
      <c r="Z372" s="36">
        <f t="shared" si="90"/>
        <v>0</v>
      </c>
      <c r="AA372" s="36">
        <f t="shared" si="91"/>
        <v>0</v>
      </c>
      <c r="AB372" s="36"/>
      <c r="AC372" s="36"/>
      <c r="AD372" s="36">
        <f t="shared" si="92"/>
        <v>0</v>
      </c>
      <c r="AE372" s="36">
        <f t="shared" si="93"/>
        <v>0</v>
      </c>
      <c r="AF372" s="36"/>
      <c r="AG372" s="36"/>
      <c r="AH372" s="36">
        <f t="shared" si="94"/>
        <v>0</v>
      </c>
      <c r="AI372" s="36">
        <f t="shared" si="95"/>
        <v>0</v>
      </c>
      <c r="AJ372" s="36"/>
      <c r="AK372" s="36"/>
      <c r="AL372" s="36">
        <f t="shared" si="96"/>
        <v>0</v>
      </c>
      <c r="AM372" s="36">
        <f t="shared" si="97"/>
        <v>0</v>
      </c>
      <c r="AN372" s="36"/>
      <c r="AO372" s="36"/>
      <c r="AP372" s="36">
        <f t="shared" si="98"/>
        <v>0</v>
      </c>
      <c r="AQ372" s="36">
        <f t="shared" si="99"/>
        <v>0</v>
      </c>
    </row>
    <row r="373" spans="1:43" x14ac:dyDescent="0.55000000000000004">
      <c r="A373" s="30" t="e">
        <f t="shared" si="100"/>
        <v>#REF!</v>
      </c>
      <c r="B373" s="31">
        <v>45981</v>
      </c>
      <c r="C373" s="45"/>
      <c r="D373" s="33"/>
      <c r="E373" s="33"/>
      <c r="F373" s="33"/>
      <c r="G373" s="51" t="s">
        <v>623</v>
      </c>
      <c r="H373" s="37" t="s">
        <v>68</v>
      </c>
      <c r="I373" s="36">
        <v>2</v>
      </c>
      <c r="J373" s="37"/>
      <c r="K373" s="37"/>
      <c r="L373" s="37"/>
      <c r="M373" s="38" t="s">
        <v>60</v>
      </c>
      <c r="N373" s="39" t="s">
        <v>61</v>
      </c>
      <c r="O373" s="47">
        <v>243.23</v>
      </c>
      <c r="P373" s="37">
        <f t="shared" si="88"/>
        <v>486.46</v>
      </c>
      <c r="Q373" s="41"/>
      <c r="R373" s="42">
        <f t="shared" si="104"/>
        <v>0</v>
      </c>
      <c r="S373" s="42">
        <f t="shared" si="103"/>
        <v>0</v>
      </c>
      <c r="T373" s="43">
        <f t="shared" si="106"/>
        <v>0</v>
      </c>
      <c r="U373" s="43">
        <f t="shared" si="106"/>
        <v>0</v>
      </c>
      <c r="V373" s="44">
        <f t="shared" si="101"/>
        <v>2</v>
      </c>
      <c r="W373" s="36">
        <f t="shared" si="89"/>
        <v>486.46</v>
      </c>
      <c r="X373" s="36"/>
      <c r="Y373" s="36"/>
      <c r="Z373" s="36">
        <f t="shared" si="90"/>
        <v>0</v>
      </c>
      <c r="AA373" s="36">
        <f t="shared" si="91"/>
        <v>0</v>
      </c>
      <c r="AB373" s="36"/>
      <c r="AC373" s="36"/>
      <c r="AD373" s="36">
        <f t="shared" si="92"/>
        <v>0</v>
      </c>
      <c r="AE373" s="36">
        <f t="shared" si="93"/>
        <v>0</v>
      </c>
      <c r="AF373" s="36"/>
      <c r="AG373" s="36"/>
      <c r="AH373" s="36">
        <f t="shared" si="94"/>
        <v>0</v>
      </c>
      <c r="AI373" s="36">
        <f t="shared" si="95"/>
        <v>0</v>
      </c>
      <c r="AJ373" s="36"/>
      <c r="AK373" s="36"/>
      <c r="AL373" s="36">
        <f t="shared" si="96"/>
        <v>0</v>
      </c>
      <c r="AM373" s="36">
        <f t="shared" si="97"/>
        <v>0</v>
      </c>
      <c r="AN373" s="36"/>
      <c r="AO373" s="36"/>
      <c r="AP373" s="36">
        <f t="shared" si="98"/>
        <v>0</v>
      </c>
      <c r="AQ373" s="36">
        <f t="shared" si="99"/>
        <v>0</v>
      </c>
    </row>
    <row r="374" spans="1:43" x14ac:dyDescent="0.55000000000000004">
      <c r="A374" s="30" t="e">
        <f t="shared" si="100"/>
        <v>#REF!</v>
      </c>
      <c r="B374" s="31">
        <v>45981</v>
      </c>
      <c r="C374" s="45"/>
      <c r="D374" s="33"/>
      <c r="E374" s="33"/>
      <c r="F374" s="33"/>
      <c r="G374" s="51" t="s">
        <v>624</v>
      </c>
      <c r="H374" s="37" t="s">
        <v>338</v>
      </c>
      <c r="I374" s="36">
        <v>2</v>
      </c>
      <c r="J374" s="37"/>
      <c r="K374" s="37"/>
      <c r="L374" s="37"/>
      <c r="M374" s="38" t="s">
        <v>60</v>
      </c>
      <c r="N374" s="39" t="s">
        <v>61</v>
      </c>
      <c r="O374" s="47">
        <v>4768.8999999999996</v>
      </c>
      <c r="P374" s="37">
        <f t="shared" si="88"/>
        <v>9537.7999999999993</v>
      </c>
      <c r="Q374" s="41"/>
      <c r="R374" s="42">
        <f t="shared" si="104"/>
        <v>0</v>
      </c>
      <c r="S374" s="42">
        <f t="shared" si="103"/>
        <v>0</v>
      </c>
      <c r="T374" s="43">
        <f t="shared" si="106"/>
        <v>0</v>
      </c>
      <c r="U374" s="43">
        <f t="shared" si="106"/>
        <v>0</v>
      </c>
      <c r="V374" s="44">
        <f t="shared" si="101"/>
        <v>2</v>
      </c>
      <c r="W374" s="36">
        <f t="shared" si="89"/>
        <v>9537.7999999999993</v>
      </c>
      <c r="X374" s="36"/>
      <c r="Y374" s="36"/>
      <c r="Z374" s="36">
        <f t="shared" si="90"/>
        <v>0</v>
      </c>
      <c r="AA374" s="36">
        <f t="shared" si="91"/>
        <v>0</v>
      </c>
      <c r="AB374" s="36"/>
      <c r="AC374" s="36"/>
      <c r="AD374" s="36">
        <f t="shared" si="92"/>
        <v>0</v>
      </c>
      <c r="AE374" s="36">
        <f t="shared" si="93"/>
        <v>0</v>
      </c>
      <c r="AF374" s="36"/>
      <c r="AG374" s="36"/>
      <c r="AH374" s="36">
        <f t="shared" si="94"/>
        <v>0</v>
      </c>
      <c r="AI374" s="36">
        <f t="shared" si="95"/>
        <v>0</v>
      </c>
      <c r="AJ374" s="36"/>
      <c r="AK374" s="36"/>
      <c r="AL374" s="36">
        <f t="shared" si="96"/>
        <v>0</v>
      </c>
      <c r="AM374" s="36">
        <f t="shared" si="97"/>
        <v>0</v>
      </c>
      <c r="AN374" s="36"/>
      <c r="AO374" s="36"/>
      <c r="AP374" s="36">
        <f t="shared" si="98"/>
        <v>0</v>
      </c>
      <c r="AQ374" s="36">
        <f t="shared" si="99"/>
        <v>0</v>
      </c>
    </row>
    <row r="375" spans="1:43" x14ac:dyDescent="0.55000000000000004">
      <c r="A375" s="30" t="e">
        <f t="shared" si="100"/>
        <v>#REF!</v>
      </c>
      <c r="B375" s="31">
        <v>45981</v>
      </c>
      <c r="C375" s="45"/>
      <c r="D375" s="33"/>
      <c r="E375" s="33"/>
      <c r="F375" s="33"/>
      <c r="G375" s="51" t="s">
        <v>625</v>
      </c>
      <c r="H375" s="37" t="s">
        <v>626</v>
      </c>
      <c r="I375" s="36">
        <v>1</v>
      </c>
      <c r="J375" s="37"/>
      <c r="K375" s="37"/>
      <c r="L375" s="37"/>
      <c r="M375" s="38" t="s">
        <v>60</v>
      </c>
      <c r="N375" s="39" t="s">
        <v>61</v>
      </c>
      <c r="O375" s="47">
        <v>3053.82</v>
      </c>
      <c r="P375" s="37">
        <f t="shared" si="88"/>
        <v>3053.82</v>
      </c>
      <c r="Q375" s="41"/>
      <c r="R375" s="42">
        <f t="shared" si="104"/>
        <v>0</v>
      </c>
      <c r="S375" s="42">
        <f t="shared" si="103"/>
        <v>3053.82</v>
      </c>
      <c r="T375" s="43">
        <f t="shared" si="106"/>
        <v>0</v>
      </c>
      <c r="U375" s="43">
        <f t="shared" si="106"/>
        <v>1</v>
      </c>
      <c r="V375" s="44">
        <f t="shared" si="101"/>
        <v>0</v>
      </c>
      <c r="W375" s="36">
        <f t="shared" si="89"/>
        <v>0</v>
      </c>
      <c r="X375" s="36"/>
      <c r="Y375" s="36">
        <v>1</v>
      </c>
      <c r="Z375" s="36">
        <f t="shared" si="90"/>
        <v>0</v>
      </c>
      <c r="AA375" s="36">
        <f t="shared" si="91"/>
        <v>3053.82</v>
      </c>
      <c r="AB375" s="36"/>
      <c r="AC375" s="36"/>
      <c r="AD375" s="36">
        <f t="shared" si="92"/>
        <v>0</v>
      </c>
      <c r="AE375" s="36">
        <f t="shared" si="93"/>
        <v>0</v>
      </c>
      <c r="AF375" s="36"/>
      <c r="AG375" s="36"/>
      <c r="AH375" s="36">
        <f t="shared" si="94"/>
        <v>0</v>
      </c>
      <c r="AI375" s="36">
        <f t="shared" si="95"/>
        <v>0</v>
      </c>
      <c r="AJ375" s="36"/>
      <c r="AK375" s="36"/>
      <c r="AL375" s="36">
        <f t="shared" si="96"/>
        <v>0</v>
      </c>
      <c r="AM375" s="36">
        <f t="shared" si="97"/>
        <v>0</v>
      </c>
      <c r="AN375" s="36"/>
      <c r="AO375" s="36"/>
      <c r="AP375" s="36">
        <f t="shared" si="98"/>
        <v>0</v>
      </c>
      <c r="AQ375" s="36">
        <f t="shared" si="99"/>
        <v>0</v>
      </c>
    </row>
    <row r="376" spans="1:43" x14ac:dyDescent="0.55000000000000004">
      <c r="A376" s="30" t="e">
        <f t="shared" si="100"/>
        <v>#REF!</v>
      </c>
      <c r="B376" s="31">
        <v>45981</v>
      </c>
      <c r="C376" s="45"/>
      <c r="D376" s="33"/>
      <c r="E376" s="33"/>
      <c r="F376" s="33"/>
      <c r="G376" s="51" t="s">
        <v>627</v>
      </c>
      <c r="H376" s="37" t="s">
        <v>338</v>
      </c>
      <c r="I376" s="36">
        <v>2</v>
      </c>
      <c r="J376" s="37"/>
      <c r="K376" s="37"/>
      <c r="L376" s="37"/>
      <c r="M376" s="38" t="s">
        <v>60</v>
      </c>
      <c r="N376" s="39" t="s">
        <v>61</v>
      </c>
      <c r="O376" s="47">
        <v>2970.87</v>
      </c>
      <c r="P376" s="37">
        <f t="shared" si="88"/>
        <v>5941.74</v>
      </c>
      <c r="Q376" s="41"/>
      <c r="R376" s="42">
        <f t="shared" si="104"/>
        <v>0</v>
      </c>
      <c r="S376" s="42">
        <f t="shared" si="103"/>
        <v>0</v>
      </c>
      <c r="T376" s="43">
        <f t="shared" si="106"/>
        <v>0</v>
      </c>
      <c r="U376" s="43">
        <f t="shared" si="106"/>
        <v>0</v>
      </c>
      <c r="V376" s="44">
        <f t="shared" si="101"/>
        <v>2</v>
      </c>
      <c r="W376" s="36">
        <f t="shared" si="89"/>
        <v>5941.74</v>
      </c>
      <c r="X376" s="36"/>
      <c r="Y376" s="36"/>
      <c r="Z376" s="36">
        <f t="shared" si="90"/>
        <v>0</v>
      </c>
      <c r="AA376" s="36">
        <f t="shared" si="91"/>
        <v>0</v>
      </c>
      <c r="AB376" s="36"/>
      <c r="AC376" s="36"/>
      <c r="AD376" s="36">
        <f t="shared" si="92"/>
        <v>0</v>
      </c>
      <c r="AE376" s="36">
        <f t="shared" si="93"/>
        <v>0</v>
      </c>
      <c r="AF376" s="36"/>
      <c r="AG376" s="36"/>
      <c r="AH376" s="36">
        <f t="shared" si="94"/>
        <v>0</v>
      </c>
      <c r="AI376" s="36">
        <f t="shared" si="95"/>
        <v>0</v>
      </c>
      <c r="AJ376" s="36"/>
      <c r="AK376" s="36"/>
      <c r="AL376" s="36">
        <f t="shared" si="96"/>
        <v>0</v>
      </c>
      <c r="AM376" s="36">
        <f t="shared" si="97"/>
        <v>0</v>
      </c>
      <c r="AN376" s="36"/>
      <c r="AO376" s="36"/>
      <c r="AP376" s="36">
        <f t="shared" si="98"/>
        <v>0</v>
      </c>
      <c r="AQ376" s="36">
        <f t="shared" si="99"/>
        <v>0</v>
      </c>
    </row>
    <row r="377" spans="1:43" x14ac:dyDescent="0.55000000000000004">
      <c r="A377" s="30" t="e">
        <f t="shared" si="100"/>
        <v>#REF!</v>
      </c>
      <c r="B377" s="31">
        <v>45981</v>
      </c>
      <c r="C377" s="45"/>
      <c r="D377" s="33"/>
      <c r="E377" s="33"/>
      <c r="F377" s="33"/>
      <c r="G377" s="51" t="s">
        <v>628</v>
      </c>
      <c r="H377" s="37" t="s">
        <v>338</v>
      </c>
      <c r="I377" s="36">
        <v>1</v>
      </c>
      <c r="J377" s="37"/>
      <c r="K377" s="37"/>
      <c r="L377" s="37"/>
      <c r="M377" s="38" t="s">
        <v>60</v>
      </c>
      <c r="N377" s="39" t="s">
        <v>61</v>
      </c>
      <c r="O377" s="47">
        <v>3068.54</v>
      </c>
      <c r="P377" s="37">
        <f t="shared" si="88"/>
        <v>3068.54</v>
      </c>
      <c r="Q377" s="41"/>
      <c r="R377" s="42">
        <f t="shared" si="104"/>
        <v>0</v>
      </c>
      <c r="S377" s="42">
        <f t="shared" si="103"/>
        <v>3068.54</v>
      </c>
      <c r="T377" s="43">
        <f t="shared" si="106"/>
        <v>0</v>
      </c>
      <c r="U377" s="43">
        <f t="shared" si="106"/>
        <v>1</v>
      </c>
      <c r="V377" s="44">
        <f t="shared" si="101"/>
        <v>0</v>
      </c>
      <c r="W377" s="36">
        <f t="shared" si="89"/>
        <v>0</v>
      </c>
      <c r="X377" s="36"/>
      <c r="Y377" s="36"/>
      <c r="Z377" s="36">
        <f t="shared" si="90"/>
        <v>0</v>
      </c>
      <c r="AA377" s="36">
        <f t="shared" si="91"/>
        <v>0</v>
      </c>
      <c r="AB377" s="36"/>
      <c r="AC377" s="36"/>
      <c r="AD377" s="36">
        <f t="shared" si="92"/>
        <v>0</v>
      </c>
      <c r="AE377" s="36">
        <f t="shared" si="93"/>
        <v>0</v>
      </c>
      <c r="AF377" s="36"/>
      <c r="AG377" s="36">
        <v>1</v>
      </c>
      <c r="AH377" s="36">
        <f t="shared" si="94"/>
        <v>0</v>
      </c>
      <c r="AI377" s="36">
        <f t="shared" si="95"/>
        <v>3068.54</v>
      </c>
      <c r="AJ377" s="36"/>
      <c r="AK377" s="36"/>
      <c r="AL377" s="36">
        <f t="shared" si="96"/>
        <v>0</v>
      </c>
      <c r="AM377" s="36">
        <f t="shared" si="97"/>
        <v>0</v>
      </c>
      <c r="AN377" s="36"/>
      <c r="AO377" s="36"/>
      <c r="AP377" s="36">
        <f t="shared" si="98"/>
        <v>0</v>
      </c>
      <c r="AQ377" s="36">
        <f t="shared" si="99"/>
        <v>0</v>
      </c>
    </row>
    <row r="378" spans="1:43" x14ac:dyDescent="0.55000000000000004">
      <c r="A378" s="30" t="e">
        <f t="shared" si="100"/>
        <v>#REF!</v>
      </c>
      <c r="B378" s="31">
        <v>45985</v>
      </c>
      <c r="C378" s="45"/>
      <c r="D378" s="33"/>
      <c r="E378" s="33"/>
      <c r="F378" s="33"/>
      <c r="G378" s="51" t="s">
        <v>629</v>
      </c>
      <c r="H378" s="37" t="s">
        <v>630</v>
      </c>
      <c r="I378" s="36">
        <v>1</v>
      </c>
      <c r="J378" s="37"/>
      <c r="K378" s="37"/>
      <c r="L378" s="37"/>
      <c r="M378" s="38" t="s">
        <v>122</v>
      </c>
      <c r="N378" s="39"/>
      <c r="O378" s="47">
        <v>576.02</v>
      </c>
      <c r="P378" s="37">
        <f t="shared" si="88"/>
        <v>576.02</v>
      </c>
      <c r="Q378" s="41"/>
      <c r="R378" s="42">
        <f t="shared" si="104"/>
        <v>0</v>
      </c>
      <c r="S378" s="42">
        <f t="shared" si="103"/>
        <v>0</v>
      </c>
      <c r="T378" s="43">
        <f t="shared" si="106"/>
        <v>0</v>
      </c>
      <c r="U378" s="43">
        <f t="shared" si="106"/>
        <v>0</v>
      </c>
      <c r="V378" s="44">
        <f t="shared" si="101"/>
        <v>1</v>
      </c>
      <c r="W378" s="36">
        <f t="shared" si="89"/>
        <v>576.02</v>
      </c>
      <c r="X378" s="36"/>
      <c r="Y378" s="36"/>
      <c r="Z378" s="36">
        <f t="shared" si="90"/>
        <v>0</v>
      </c>
      <c r="AA378" s="36">
        <f t="shared" si="91"/>
        <v>0</v>
      </c>
      <c r="AB378" s="36"/>
      <c r="AC378" s="36"/>
      <c r="AD378" s="36">
        <f t="shared" si="92"/>
        <v>0</v>
      </c>
      <c r="AE378" s="36">
        <f t="shared" si="93"/>
        <v>0</v>
      </c>
      <c r="AF378" s="36"/>
      <c r="AG378" s="36"/>
      <c r="AH378" s="36">
        <f t="shared" si="94"/>
        <v>0</v>
      </c>
      <c r="AI378" s="36">
        <f t="shared" si="95"/>
        <v>0</v>
      </c>
      <c r="AJ378" s="36"/>
      <c r="AK378" s="36"/>
      <c r="AL378" s="36">
        <f t="shared" si="96"/>
        <v>0</v>
      </c>
      <c r="AM378" s="36">
        <f t="shared" si="97"/>
        <v>0</v>
      </c>
      <c r="AN378" s="36"/>
      <c r="AO378" s="36"/>
      <c r="AP378" s="36">
        <f t="shared" si="98"/>
        <v>0</v>
      </c>
      <c r="AQ378" s="36">
        <f t="shared" si="99"/>
        <v>0</v>
      </c>
    </row>
    <row r="379" spans="1:43" x14ac:dyDescent="0.55000000000000004">
      <c r="A379" s="30" t="e">
        <f t="shared" si="100"/>
        <v>#REF!</v>
      </c>
      <c r="B379" s="31">
        <v>45985</v>
      </c>
      <c r="C379" s="45"/>
      <c r="D379" s="33"/>
      <c r="E379" s="33"/>
      <c r="F379" s="33"/>
      <c r="G379" s="51" t="s">
        <v>631</v>
      </c>
      <c r="H379" s="37" t="s">
        <v>632</v>
      </c>
      <c r="I379" s="36">
        <v>6</v>
      </c>
      <c r="J379" s="37"/>
      <c r="K379" s="37"/>
      <c r="L379" s="37"/>
      <c r="M379" s="38" t="s">
        <v>35</v>
      </c>
      <c r="N379" s="39" t="s">
        <v>36</v>
      </c>
      <c r="O379" s="47">
        <v>2</v>
      </c>
      <c r="P379" s="37">
        <f>O379*I379</f>
        <v>12</v>
      </c>
      <c r="Q379" s="41"/>
      <c r="R379" s="42">
        <f>T379*O379</f>
        <v>0</v>
      </c>
      <c r="S379" s="42">
        <f>U379*O379</f>
        <v>0</v>
      </c>
      <c r="T379" s="43">
        <f t="shared" si="106"/>
        <v>0</v>
      </c>
      <c r="U379" s="43">
        <f t="shared" si="106"/>
        <v>0</v>
      </c>
      <c r="V379" s="44">
        <f t="shared" si="101"/>
        <v>6</v>
      </c>
      <c r="W379" s="36">
        <f>V379*O379</f>
        <v>12</v>
      </c>
      <c r="X379" s="36"/>
      <c r="Y379" s="36"/>
      <c r="Z379" s="36">
        <f>X379*O379</f>
        <v>0</v>
      </c>
      <c r="AA379" s="36">
        <f>Y379*O379</f>
        <v>0</v>
      </c>
      <c r="AB379" s="36"/>
      <c r="AC379" s="36"/>
      <c r="AD379" s="36">
        <f>AB379*O379</f>
        <v>0</v>
      </c>
      <c r="AE379" s="36">
        <f>AC379*O379</f>
        <v>0</v>
      </c>
      <c r="AF379" s="36"/>
      <c r="AG379" s="36"/>
      <c r="AH379" s="36">
        <f>AF379*O379</f>
        <v>0</v>
      </c>
      <c r="AI379" s="36">
        <f>AG379*O379</f>
        <v>0</v>
      </c>
      <c r="AJ379" s="36"/>
      <c r="AK379" s="36"/>
      <c r="AL379" s="36">
        <f>AJ379*O379</f>
        <v>0</v>
      </c>
      <c r="AM379" s="36">
        <f>AK379*O379</f>
        <v>0</v>
      </c>
      <c r="AN379" s="36"/>
      <c r="AO379" s="36"/>
      <c r="AP379" s="36">
        <f>AN379*O379</f>
        <v>0</v>
      </c>
      <c r="AQ379" s="36">
        <f>AO379*O379</f>
        <v>0</v>
      </c>
    </row>
    <row r="380" spans="1:43" x14ac:dyDescent="0.55000000000000004">
      <c r="A380" s="30" t="e">
        <f t="shared" si="100"/>
        <v>#REF!</v>
      </c>
      <c r="B380" s="31">
        <v>45985</v>
      </c>
      <c r="C380" s="45"/>
      <c r="D380" s="33"/>
      <c r="E380" s="33"/>
      <c r="F380" s="33"/>
      <c r="G380" s="51" t="s">
        <v>633</v>
      </c>
      <c r="H380" s="37" t="s">
        <v>48</v>
      </c>
      <c r="I380" s="36">
        <v>4</v>
      </c>
      <c r="J380" s="37"/>
      <c r="K380" s="37"/>
      <c r="L380" s="37"/>
      <c r="M380" s="38" t="s">
        <v>35</v>
      </c>
      <c r="N380" s="39" t="s">
        <v>36</v>
      </c>
      <c r="O380" s="47">
        <v>23.07</v>
      </c>
      <c r="P380" s="37">
        <f>O380*I380</f>
        <v>92.28</v>
      </c>
      <c r="Q380" s="41"/>
      <c r="R380" s="42">
        <f>T380*O380</f>
        <v>0</v>
      </c>
      <c r="S380" s="42">
        <f>U380*O380</f>
        <v>0</v>
      </c>
      <c r="T380" s="43">
        <f t="shared" si="106"/>
        <v>0</v>
      </c>
      <c r="U380" s="43">
        <f t="shared" si="106"/>
        <v>0</v>
      </c>
      <c r="V380" s="44">
        <f t="shared" si="101"/>
        <v>4</v>
      </c>
      <c r="W380" s="36">
        <f>V380*O380</f>
        <v>92.28</v>
      </c>
      <c r="X380" s="36"/>
      <c r="Y380" s="36"/>
      <c r="Z380" s="36">
        <f>X380*O380</f>
        <v>0</v>
      </c>
      <c r="AA380" s="36">
        <f>Y380*O380</f>
        <v>0</v>
      </c>
      <c r="AB380" s="36"/>
      <c r="AC380" s="36"/>
      <c r="AD380" s="36">
        <f>AB380*O380</f>
        <v>0</v>
      </c>
      <c r="AE380" s="36">
        <f>AC380*O380</f>
        <v>0</v>
      </c>
      <c r="AF380" s="36"/>
      <c r="AG380" s="36"/>
      <c r="AH380" s="36">
        <f>AF380*O380</f>
        <v>0</v>
      </c>
      <c r="AI380" s="36">
        <f>AG380*O380</f>
        <v>0</v>
      </c>
      <c r="AJ380" s="36"/>
      <c r="AK380" s="36"/>
      <c r="AL380" s="36">
        <f>AJ380*O380</f>
        <v>0</v>
      </c>
      <c r="AM380" s="36">
        <f>AK380*O380</f>
        <v>0</v>
      </c>
      <c r="AN380" s="36"/>
      <c r="AO380" s="36"/>
      <c r="AP380" s="36">
        <f>AN380*O380</f>
        <v>0</v>
      </c>
      <c r="AQ380" s="36">
        <f>AO380*O380</f>
        <v>0</v>
      </c>
    </row>
    <row r="381" spans="1:43" x14ac:dyDescent="0.55000000000000004">
      <c r="A381" s="30" t="e">
        <f t="shared" si="100"/>
        <v>#REF!</v>
      </c>
      <c r="B381" s="31">
        <v>45993</v>
      </c>
      <c r="C381" s="45"/>
      <c r="D381" s="33"/>
      <c r="E381" s="33"/>
      <c r="F381" s="33"/>
      <c r="G381" s="51" t="s">
        <v>634</v>
      </c>
      <c r="H381" s="37" t="s">
        <v>338</v>
      </c>
      <c r="I381" s="36">
        <v>0</v>
      </c>
      <c r="J381" s="37"/>
      <c r="K381" s="37"/>
      <c r="L381" s="37"/>
      <c r="M381" s="38" t="s">
        <v>60</v>
      </c>
      <c r="N381" s="39" t="s">
        <v>61</v>
      </c>
      <c r="O381" s="47">
        <v>385</v>
      </c>
      <c r="P381" s="37">
        <f t="shared" ref="P381:P385" si="107">O381*I381</f>
        <v>0</v>
      </c>
      <c r="Q381" s="41"/>
      <c r="R381" s="42">
        <f t="shared" ref="R381:R385" si="108">T381*O381</f>
        <v>385</v>
      </c>
      <c r="S381" s="42">
        <f t="shared" ref="S381:S385" si="109">U381*O381</f>
        <v>385</v>
      </c>
      <c r="T381" s="43">
        <f t="shared" si="106"/>
        <v>1</v>
      </c>
      <c r="U381" s="43">
        <f t="shared" si="106"/>
        <v>1</v>
      </c>
      <c r="V381" s="44">
        <f t="shared" si="101"/>
        <v>0</v>
      </c>
      <c r="W381" s="36">
        <f t="shared" ref="W381:W386" si="110">V381*O381</f>
        <v>0</v>
      </c>
      <c r="X381" s="36">
        <v>1</v>
      </c>
      <c r="Y381" s="36"/>
      <c r="Z381" s="36">
        <f t="shared" ref="Z381:Z385" si="111">X381*O381</f>
        <v>385</v>
      </c>
      <c r="AA381" s="36">
        <f t="shared" ref="AA381:AA385" si="112">Y381*O381</f>
        <v>0</v>
      </c>
      <c r="AB381" s="36"/>
      <c r="AC381" s="36"/>
      <c r="AD381" s="36">
        <f t="shared" ref="AD381:AD386" si="113">AB381*O381</f>
        <v>0</v>
      </c>
      <c r="AE381" s="36">
        <f t="shared" ref="AE381:AE386" si="114">AC381*O381</f>
        <v>0</v>
      </c>
      <c r="AF381" s="36"/>
      <c r="AG381" s="36">
        <v>1</v>
      </c>
      <c r="AH381" s="36">
        <f t="shared" ref="AH381:AH385" si="115">AF381*O381</f>
        <v>0</v>
      </c>
      <c r="AI381" s="36">
        <f t="shared" ref="AI381:AI385" si="116">AG381*O381</f>
        <v>385</v>
      </c>
      <c r="AJ381" s="36"/>
      <c r="AK381" s="36"/>
      <c r="AL381" s="36">
        <f t="shared" ref="AL381:AL385" si="117">AJ381*O381</f>
        <v>0</v>
      </c>
      <c r="AM381" s="36">
        <f t="shared" ref="AM381:AM385" si="118">AK381*O381</f>
        <v>0</v>
      </c>
      <c r="AN381" s="36"/>
      <c r="AO381" s="36"/>
      <c r="AP381" s="36">
        <f t="shared" ref="AP381:AP385" si="119">AN381*O381</f>
        <v>0</v>
      </c>
      <c r="AQ381" s="36">
        <f t="shared" ref="AQ381:AQ385" si="120">AO381*O381</f>
        <v>0</v>
      </c>
    </row>
    <row r="382" spans="1:43" x14ac:dyDescent="0.55000000000000004">
      <c r="A382" s="30" t="e">
        <f t="shared" si="100"/>
        <v>#REF!</v>
      </c>
      <c r="B382" s="31">
        <v>45993</v>
      </c>
      <c r="C382" s="45"/>
      <c r="D382" s="33"/>
      <c r="E382" s="33"/>
      <c r="F382" s="33"/>
      <c r="G382" s="51" t="s">
        <v>635</v>
      </c>
      <c r="H382" s="37" t="s">
        <v>636</v>
      </c>
      <c r="I382" s="36">
        <v>0</v>
      </c>
      <c r="J382" s="37"/>
      <c r="K382" s="37"/>
      <c r="L382" s="37"/>
      <c r="M382" s="38" t="s">
        <v>85</v>
      </c>
      <c r="N382" s="39" t="s">
        <v>41</v>
      </c>
      <c r="O382" s="47">
        <v>49.04</v>
      </c>
      <c r="P382" s="37">
        <f t="shared" si="107"/>
        <v>0</v>
      </c>
      <c r="Q382" s="41"/>
      <c r="R382" s="42">
        <f t="shared" si="108"/>
        <v>49.04</v>
      </c>
      <c r="S382" s="42">
        <f t="shared" si="109"/>
        <v>0</v>
      </c>
      <c r="T382" s="43">
        <f t="shared" si="106"/>
        <v>1</v>
      </c>
      <c r="U382" s="43">
        <f t="shared" si="106"/>
        <v>0</v>
      </c>
      <c r="V382" s="44">
        <f t="shared" si="101"/>
        <v>1</v>
      </c>
      <c r="W382" s="36">
        <f t="shared" si="110"/>
        <v>49.04</v>
      </c>
      <c r="X382" s="36">
        <v>1</v>
      </c>
      <c r="Y382" s="36"/>
      <c r="Z382" s="36">
        <f t="shared" si="111"/>
        <v>49.04</v>
      </c>
      <c r="AA382" s="36">
        <f t="shared" si="112"/>
        <v>0</v>
      </c>
      <c r="AB382" s="36"/>
      <c r="AC382" s="36"/>
      <c r="AD382" s="36">
        <f t="shared" si="113"/>
        <v>0</v>
      </c>
      <c r="AE382" s="36">
        <f t="shared" si="114"/>
        <v>0</v>
      </c>
      <c r="AF382" s="36"/>
      <c r="AG382" s="36"/>
      <c r="AH382" s="36">
        <f t="shared" si="115"/>
        <v>0</v>
      </c>
      <c r="AI382" s="36">
        <f t="shared" si="116"/>
        <v>0</v>
      </c>
      <c r="AJ382" s="36"/>
      <c r="AK382" s="36"/>
      <c r="AL382" s="36">
        <f t="shared" si="117"/>
        <v>0</v>
      </c>
      <c r="AM382" s="36">
        <f t="shared" si="118"/>
        <v>0</v>
      </c>
      <c r="AN382" s="36"/>
      <c r="AO382" s="36"/>
      <c r="AP382" s="36">
        <f t="shared" si="119"/>
        <v>0</v>
      </c>
      <c r="AQ382" s="36">
        <f t="shared" si="120"/>
        <v>0</v>
      </c>
    </row>
    <row r="383" spans="1:43" x14ac:dyDescent="0.55000000000000004">
      <c r="A383" s="30" t="e">
        <f t="shared" si="100"/>
        <v>#REF!</v>
      </c>
      <c r="B383" s="31">
        <v>45993</v>
      </c>
      <c r="C383" s="45"/>
      <c r="D383" s="33"/>
      <c r="E383" s="33"/>
      <c r="F383" s="33"/>
      <c r="G383" s="51" t="s">
        <v>637</v>
      </c>
      <c r="H383" s="37" t="s">
        <v>638</v>
      </c>
      <c r="I383" s="36">
        <v>0</v>
      </c>
      <c r="J383" s="37"/>
      <c r="K383" s="37"/>
      <c r="L383" s="37"/>
      <c r="M383" s="38" t="s">
        <v>35</v>
      </c>
      <c r="N383" s="39" t="s">
        <v>41</v>
      </c>
      <c r="O383" s="47">
        <v>0.66</v>
      </c>
      <c r="P383" s="37">
        <f t="shared" si="107"/>
        <v>0</v>
      </c>
      <c r="Q383" s="41"/>
      <c r="R383" s="42">
        <f t="shared" si="108"/>
        <v>1.32</v>
      </c>
      <c r="S383" s="42">
        <f t="shared" si="109"/>
        <v>0</v>
      </c>
      <c r="T383" s="43">
        <f t="shared" si="106"/>
        <v>2</v>
      </c>
      <c r="U383" s="43">
        <f t="shared" si="106"/>
        <v>0</v>
      </c>
      <c r="V383" s="44">
        <f t="shared" si="101"/>
        <v>2</v>
      </c>
      <c r="W383" s="36">
        <f t="shared" si="110"/>
        <v>1.32</v>
      </c>
      <c r="X383" s="36">
        <v>2</v>
      </c>
      <c r="Y383" s="36"/>
      <c r="Z383" s="36">
        <f t="shared" si="111"/>
        <v>1.32</v>
      </c>
      <c r="AA383" s="36">
        <f t="shared" si="112"/>
        <v>0</v>
      </c>
      <c r="AB383" s="36"/>
      <c r="AC383" s="36"/>
      <c r="AD383" s="36">
        <f t="shared" si="113"/>
        <v>0</v>
      </c>
      <c r="AE383" s="36">
        <f t="shared" si="114"/>
        <v>0</v>
      </c>
      <c r="AF383" s="36"/>
      <c r="AG383" s="36"/>
      <c r="AH383" s="36">
        <f t="shared" si="115"/>
        <v>0</v>
      </c>
      <c r="AI383" s="36">
        <f t="shared" si="116"/>
        <v>0</v>
      </c>
      <c r="AJ383" s="36"/>
      <c r="AK383" s="36"/>
      <c r="AL383" s="36">
        <f t="shared" si="117"/>
        <v>0</v>
      </c>
      <c r="AM383" s="36">
        <f t="shared" si="118"/>
        <v>0</v>
      </c>
      <c r="AN383" s="36"/>
      <c r="AO383" s="36"/>
      <c r="AP383" s="36">
        <f t="shared" si="119"/>
        <v>0</v>
      </c>
      <c r="AQ383" s="36">
        <f t="shared" si="120"/>
        <v>0</v>
      </c>
    </row>
    <row r="384" spans="1:43" x14ac:dyDescent="0.55000000000000004">
      <c r="A384" s="30" t="e">
        <f t="shared" si="100"/>
        <v>#REF!</v>
      </c>
      <c r="B384" s="31">
        <v>45993</v>
      </c>
      <c r="C384" s="45"/>
      <c r="D384" s="33"/>
      <c r="E384" s="33"/>
      <c r="F384" s="33"/>
      <c r="G384" s="51" t="s">
        <v>639</v>
      </c>
      <c r="H384" s="37" t="s">
        <v>640</v>
      </c>
      <c r="I384" s="36">
        <v>0</v>
      </c>
      <c r="J384" s="37"/>
      <c r="K384" s="37"/>
      <c r="L384" s="37"/>
      <c r="M384" s="38" t="s">
        <v>35</v>
      </c>
      <c r="N384" s="39" t="s">
        <v>41</v>
      </c>
      <c r="O384" s="47">
        <v>10.46</v>
      </c>
      <c r="P384" s="37">
        <f t="shared" si="107"/>
        <v>0</v>
      </c>
      <c r="Q384" s="41"/>
      <c r="R384" s="42">
        <f t="shared" si="108"/>
        <v>10.46</v>
      </c>
      <c r="S384" s="42">
        <f t="shared" si="109"/>
        <v>0</v>
      </c>
      <c r="T384" s="43">
        <f t="shared" si="106"/>
        <v>1</v>
      </c>
      <c r="U384" s="43">
        <f t="shared" si="106"/>
        <v>0</v>
      </c>
      <c r="V384" s="44">
        <f t="shared" si="101"/>
        <v>1</v>
      </c>
      <c r="W384" s="36">
        <f t="shared" si="110"/>
        <v>10.46</v>
      </c>
      <c r="X384" s="36">
        <v>1</v>
      </c>
      <c r="Y384" s="36"/>
      <c r="Z384" s="36">
        <f t="shared" si="111"/>
        <v>10.46</v>
      </c>
      <c r="AA384" s="36">
        <f t="shared" si="112"/>
        <v>0</v>
      </c>
      <c r="AB384" s="36"/>
      <c r="AC384" s="36"/>
      <c r="AD384" s="36">
        <f t="shared" si="113"/>
        <v>0</v>
      </c>
      <c r="AE384" s="36">
        <f t="shared" si="114"/>
        <v>0</v>
      </c>
      <c r="AF384" s="36"/>
      <c r="AG384" s="36"/>
      <c r="AH384" s="36">
        <f t="shared" si="115"/>
        <v>0</v>
      </c>
      <c r="AI384" s="36">
        <f t="shared" si="116"/>
        <v>0</v>
      </c>
      <c r="AJ384" s="36"/>
      <c r="AK384" s="36"/>
      <c r="AL384" s="36">
        <f t="shared" si="117"/>
        <v>0</v>
      </c>
      <c r="AM384" s="36">
        <f t="shared" si="118"/>
        <v>0</v>
      </c>
      <c r="AN384" s="36"/>
      <c r="AO384" s="36"/>
      <c r="AP384" s="36">
        <f t="shared" si="119"/>
        <v>0</v>
      </c>
      <c r="AQ384" s="36">
        <f t="shared" si="120"/>
        <v>0</v>
      </c>
    </row>
    <row r="385" spans="1:45" x14ac:dyDescent="0.55000000000000004">
      <c r="A385" s="30" t="e">
        <f t="shared" si="100"/>
        <v>#REF!</v>
      </c>
      <c r="B385" s="31"/>
      <c r="C385" s="45"/>
      <c r="D385" s="33"/>
      <c r="E385" s="33"/>
      <c r="F385" s="33"/>
      <c r="G385" s="51"/>
      <c r="H385" s="37"/>
      <c r="I385" s="36">
        <v>0</v>
      </c>
      <c r="J385" s="37"/>
      <c r="K385" s="37"/>
      <c r="L385" s="37"/>
      <c r="M385" s="38"/>
      <c r="N385" s="39"/>
      <c r="O385" s="47"/>
      <c r="P385" s="37">
        <f t="shared" si="107"/>
        <v>0</v>
      </c>
      <c r="Q385" s="41"/>
      <c r="R385" s="42">
        <f t="shared" si="108"/>
        <v>0</v>
      </c>
      <c r="S385" s="42">
        <f t="shared" si="109"/>
        <v>0</v>
      </c>
      <c r="T385" s="43">
        <f t="shared" si="106"/>
        <v>0</v>
      </c>
      <c r="U385" s="43">
        <f t="shared" si="106"/>
        <v>0</v>
      </c>
      <c r="V385" s="44">
        <f t="shared" si="101"/>
        <v>0</v>
      </c>
      <c r="W385" s="36">
        <f t="shared" si="110"/>
        <v>0</v>
      </c>
      <c r="X385" s="36"/>
      <c r="Y385" s="36"/>
      <c r="Z385" s="36">
        <f t="shared" si="111"/>
        <v>0</v>
      </c>
      <c r="AA385" s="36">
        <f t="shared" si="112"/>
        <v>0</v>
      </c>
      <c r="AB385" s="36"/>
      <c r="AC385" s="36"/>
      <c r="AD385" s="36">
        <f t="shared" si="113"/>
        <v>0</v>
      </c>
      <c r="AE385" s="36">
        <f t="shared" si="114"/>
        <v>0</v>
      </c>
      <c r="AF385" s="36"/>
      <c r="AG385" s="36"/>
      <c r="AH385" s="36">
        <f t="shared" si="115"/>
        <v>0</v>
      </c>
      <c r="AI385" s="36">
        <f t="shared" si="116"/>
        <v>0</v>
      </c>
      <c r="AJ385" s="36"/>
      <c r="AK385" s="36"/>
      <c r="AL385" s="36">
        <f t="shared" si="117"/>
        <v>0</v>
      </c>
      <c r="AM385" s="36">
        <f t="shared" si="118"/>
        <v>0</v>
      </c>
      <c r="AN385" s="36"/>
      <c r="AO385" s="36"/>
      <c r="AP385" s="36">
        <f t="shared" si="119"/>
        <v>0</v>
      </c>
      <c r="AQ385" s="36">
        <f t="shared" si="120"/>
        <v>0</v>
      </c>
    </row>
    <row r="386" spans="1:45" ht="25.2" thickBot="1" x14ac:dyDescent="0.6">
      <c r="A386" s="30" t="e">
        <f t="shared" si="100"/>
        <v>#REF!</v>
      </c>
      <c r="B386" s="31">
        <v>45809</v>
      </c>
      <c r="C386" s="45"/>
      <c r="D386" s="33">
        <v>2</v>
      </c>
      <c r="E386" s="33"/>
      <c r="F386" s="33"/>
      <c r="G386" s="51" t="s">
        <v>641</v>
      </c>
      <c r="H386" s="37" t="s">
        <v>543</v>
      </c>
      <c r="I386" s="36">
        <v>14</v>
      </c>
      <c r="J386" s="37"/>
      <c r="K386" s="37"/>
      <c r="L386" s="37"/>
      <c r="M386" s="38" t="s">
        <v>102</v>
      </c>
      <c r="N386" s="39" t="s">
        <v>49</v>
      </c>
      <c r="O386" s="40">
        <v>48</v>
      </c>
      <c r="P386" s="37">
        <f>O386*I386</f>
        <v>672</v>
      </c>
      <c r="Q386" s="41"/>
      <c r="R386" s="42">
        <f>T386*O386</f>
        <v>0</v>
      </c>
      <c r="S386" s="42">
        <f>U386*O386</f>
        <v>0</v>
      </c>
      <c r="T386" s="43">
        <f>X386+AB386+AF386+AJ386+AN386</f>
        <v>0</v>
      </c>
      <c r="U386" s="43">
        <f>Y386+AC386+AG386+AK386+AO386</f>
        <v>0</v>
      </c>
      <c r="V386" s="44">
        <f t="shared" si="101"/>
        <v>14</v>
      </c>
      <c r="W386" s="36">
        <f t="shared" si="110"/>
        <v>672</v>
      </c>
      <c r="X386" s="36"/>
      <c r="Y386" s="36"/>
      <c r="Z386" s="36">
        <f>X386*O386</f>
        <v>0</v>
      </c>
      <c r="AA386" s="36">
        <f>Y386*O386</f>
        <v>0</v>
      </c>
      <c r="AB386" s="36"/>
      <c r="AC386" s="36"/>
      <c r="AD386" s="36">
        <f t="shared" si="113"/>
        <v>0</v>
      </c>
      <c r="AE386" s="36">
        <f t="shared" si="114"/>
        <v>0</v>
      </c>
      <c r="AF386" s="36"/>
      <c r="AG386" s="36"/>
      <c r="AH386" s="36">
        <f>AF386*O386</f>
        <v>0</v>
      </c>
      <c r="AI386" s="36">
        <f>AG386*O386</f>
        <v>0</v>
      </c>
      <c r="AJ386" s="36"/>
      <c r="AK386" s="36"/>
      <c r="AL386" s="36">
        <f>AJ386*O386</f>
        <v>0</v>
      </c>
      <c r="AM386" s="36">
        <f>AK386*O386</f>
        <v>0</v>
      </c>
      <c r="AN386" s="36"/>
      <c r="AO386" s="36"/>
      <c r="AP386" s="36">
        <f>AN386*O386</f>
        <v>0</v>
      </c>
      <c r="AQ386" s="36">
        <f>AO386*O386</f>
        <v>0</v>
      </c>
    </row>
    <row r="387" spans="1:45" ht="25.2" thickBot="1" x14ac:dyDescent="0.6">
      <c r="I387" s="36">
        <f>SUM(I4:I386)</f>
        <v>1012</v>
      </c>
      <c r="O387" s="78"/>
      <c r="P387" s="79">
        <f>SUM(P4:P386)</f>
        <v>134849.80200000008</v>
      </c>
      <c r="R387" s="80">
        <f t="shared" ref="R387:AQ387" si="121">SUM(R4:R386)</f>
        <v>4302.2150000000001</v>
      </c>
      <c r="S387" s="81">
        <f t="shared" si="121"/>
        <v>17135.719999999998</v>
      </c>
      <c r="T387" s="82">
        <f t="shared" si="121"/>
        <v>54</v>
      </c>
      <c r="U387" s="83">
        <f t="shared" si="121"/>
        <v>102</v>
      </c>
      <c r="V387" s="36">
        <f t="shared" si="121"/>
        <v>946</v>
      </c>
      <c r="W387" s="79">
        <f t="shared" si="121"/>
        <v>119470.63700000008</v>
      </c>
      <c r="X387" s="82">
        <f t="shared" si="121"/>
        <v>25</v>
      </c>
      <c r="Y387" s="83">
        <f t="shared" si="121"/>
        <v>16</v>
      </c>
      <c r="Z387" s="80">
        <f t="shared" si="121"/>
        <v>1349.575</v>
      </c>
      <c r="AA387" s="81">
        <f t="shared" si="121"/>
        <v>5941.67</v>
      </c>
      <c r="AB387" s="82">
        <f t="shared" si="121"/>
        <v>0</v>
      </c>
      <c r="AC387" s="83">
        <f t="shared" si="121"/>
        <v>7</v>
      </c>
      <c r="AD387" s="80">
        <f t="shared" si="121"/>
        <v>0</v>
      </c>
      <c r="AE387" s="81">
        <f t="shared" si="121"/>
        <v>941.94</v>
      </c>
      <c r="AF387" s="84">
        <f t="shared" si="121"/>
        <v>29</v>
      </c>
      <c r="AG387" s="84">
        <f t="shared" si="121"/>
        <v>79</v>
      </c>
      <c r="AH387" s="84">
        <f t="shared" si="121"/>
        <v>2952.6400000000003</v>
      </c>
      <c r="AI387" s="84">
        <f t="shared" si="121"/>
        <v>56266.11</v>
      </c>
      <c r="AJ387" s="84">
        <f t="shared" si="121"/>
        <v>0</v>
      </c>
      <c r="AK387" s="84">
        <f t="shared" si="121"/>
        <v>0</v>
      </c>
      <c r="AL387" s="84">
        <f t="shared" si="121"/>
        <v>0</v>
      </c>
      <c r="AM387" s="84">
        <f t="shared" si="121"/>
        <v>0</v>
      </c>
      <c r="AN387" s="84">
        <f t="shared" si="121"/>
        <v>0</v>
      </c>
      <c r="AO387" s="84">
        <f t="shared" si="121"/>
        <v>0</v>
      </c>
      <c r="AP387" s="84">
        <f t="shared" si="121"/>
        <v>0</v>
      </c>
      <c r="AQ387" s="84">
        <f t="shared" si="121"/>
        <v>0</v>
      </c>
      <c r="AR387" s="84"/>
      <c r="AS387" s="84"/>
    </row>
    <row r="389" spans="1:45" customFormat="1" x14ac:dyDescent="0.55000000000000004">
      <c r="G389" s="76"/>
      <c r="H389" s="77" t="s">
        <v>642</v>
      </c>
      <c r="I389" s="15" t="e">
        <f>A386</f>
        <v>#REF!</v>
      </c>
      <c r="J389" s="16"/>
      <c r="K389" s="16"/>
      <c r="L389" s="16"/>
      <c r="N389" s="78"/>
      <c r="O389" s="16"/>
      <c r="P389" s="16"/>
      <c r="Q389" s="16"/>
      <c r="R389" s="84"/>
      <c r="S389" s="77" t="s">
        <v>643</v>
      </c>
      <c r="T389" s="15">
        <f>COUNTBLANK(T4:T386)</f>
        <v>0</v>
      </c>
      <c r="U389" s="15">
        <f>COUNTBLANK(U4:U386)</f>
        <v>0</v>
      </c>
      <c r="V389" s="15">
        <f>COUNTIF(V4:V386,"&gt;0")</f>
        <v>283</v>
      </c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</row>
    <row r="390" spans="1:45" customFormat="1" x14ac:dyDescent="0.55000000000000004">
      <c r="G390" s="76" t="s">
        <v>644</v>
      </c>
      <c r="H390" s="77"/>
      <c r="I390" s="15"/>
      <c r="J390" s="16"/>
      <c r="K390" s="16"/>
      <c r="L390" s="16"/>
      <c r="N390" s="78"/>
      <c r="O390" s="16"/>
      <c r="P390" s="16"/>
      <c r="Q390" s="16"/>
      <c r="R390" s="84"/>
      <c r="S390" s="77" t="s">
        <v>645</v>
      </c>
      <c r="T390" s="15">
        <f>COUNT(T4:T386)-T389</f>
        <v>383</v>
      </c>
      <c r="U390" s="15">
        <f>COUNT(U4:U386)-U389</f>
        <v>383</v>
      </c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</row>
    <row r="391" spans="1:45" customFormat="1" x14ac:dyDescent="0.55000000000000004">
      <c r="G391" s="76"/>
      <c r="H391" s="77"/>
      <c r="I391" s="15"/>
      <c r="J391" s="16"/>
      <c r="K391" s="16"/>
      <c r="L391" s="16"/>
      <c r="N391" s="78"/>
      <c r="O391" s="16"/>
      <c r="P391" s="16"/>
      <c r="Q391" s="16"/>
      <c r="R391" s="84"/>
      <c r="S391" s="84"/>
      <c r="T391" s="16"/>
      <c r="U391" s="16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</row>
    <row r="392" spans="1:45" customFormat="1" x14ac:dyDescent="0.55000000000000004">
      <c r="G392" s="76"/>
      <c r="H392" s="77"/>
      <c r="I392" s="15"/>
      <c r="J392" s="16"/>
      <c r="K392" s="16"/>
      <c r="L392" s="16"/>
      <c r="N392" s="78"/>
      <c r="O392" s="16"/>
      <c r="P392" s="16"/>
      <c r="Q392" s="16"/>
      <c r="R392" s="84"/>
      <c r="S392" s="84"/>
      <c r="T392" s="16"/>
      <c r="U392" s="16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</row>
    <row r="393" spans="1:45" customFormat="1" x14ac:dyDescent="0.55000000000000004">
      <c r="G393" s="76"/>
      <c r="H393" s="77"/>
      <c r="I393" s="15"/>
      <c r="J393" s="16"/>
      <c r="K393" s="16"/>
      <c r="L393" s="16"/>
      <c r="N393" s="78"/>
      <c r="O393" s="16"/>
      <c r="P393" s="16"/>
      <c r="Q393" s="16"/>
      <c r="R393" s="84"/>
      <c r="S393" s="84"/>
      <c r="T393" s="16"/>
      <c r="U393" s="16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</row>
    <row r="394" spans="1:45" customFormat="1" x14ac:dyDescent="0.55000000000000004">
      <c r="G394" s="76"/>
      <c r="H394" s="77"/>
      <c r="I394" s="15"/>
      <c r="J394" s="16"/>
      <c r="K394" s="16"/>
      <c r="L394" s="16"/>
      <c r="N394" s="78"/>
      <c r="O394" s="16"/>
      <c r="P394" s="16"/>
      <c r="Q394" s="16"/>
      <c r="R394" s="84"/>
      <c r="S394" s="84"/>
      <c r="T394" s="16"/>
      <c r="U394" s="16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</row>
    <row r="395" spans="1:45" customFormat="1" x14ac:dyDescent="0.55000000000000004">
      <c r="G395" s="76"/>
      <c r="H395" s="77"/>
      <c r="I395" s="15"/>
      <c r="J395" s="16"/>
      <c r="K395" s="16"/>
      <c r="L395" s="16"/>
      <c r="N395" s="78"/>
      <c r="O395" s="16"/>
      <c r="P395" s="16"/>
      <c r="Q395" s="16"/>
      <c r="R395" s="84"/>
      <c r="S395" s="84"/>
      <c r="T395" s="16"/>
      <c r="U395" s="16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</row>
    <row r="396" spans="1:45" x14ac:dyDescent="0.55000000000000004">
      <c r="W396" s="15">
        <v>291</v>
      </c>
    </row>
    <row r="397" spans="1:45" x14ac:dyDescent="0.55000000000000004">
      <c r="W397" s="15">
        <v>49</v>
      </c>
    </row>
    <row r="398" spans="1:45" customFormat="1" x14ac:dyDescent="0.55000000000000004">
      <c r="G398" s="76"/>
      <c r="H398" s="77"/>
      <c r="I398" s="15"/>
      <c r="J398" s="16"/>
      <c r="K398" s="16"/>
      <c r="L398" s="16"/>
      <c r="N398" s="78"/>
      <c r="O398" s="16"/>
      <c r="P398" s="16"/>
      <c r="Q398" s="16"/>
      <c r="R398" s="84"/>
      <c r="S398" s="84"/>
      <c r="T398" s="16"/>
      <c r="U398" s="16"/>
      <c r="V398" s="15"/>
      <c r="W398" s="15">
        <f>+W396-W397</f>
        <v>242</v>
      </c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</row>
    <row r="399" spans="1:45" customFormat="1" x14ac:dyDescent="0.55000000000000004">
      <c r="G399" s="76"/>
      <c r="H399" s="77"/>
      <c r="I399" s="15"/>
      <c r="J399" s="16"/>
      <c r="K399" s="16"/>
      <c r="L399" s="16"/>
      <c r="N399" s="78"/>
      <c r="O399" s="16"/>
      <c r="P399" s="16"/>
      <c r="Q399" s="16"/>
      <c r="R399" s="84"/>
      <c r="S399" s="84"/>
      <c r="T399" s="16"/>
      <c r="U399" s="16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</row>
    <row r="400" spans="1:45" customFormat="1" x14ac:dyDescent="0.55000000000000004">
      <c r="G400" s="76"/>
      <c r="H400" s="77"/>
      <c r="I400" s="15"/>
      <c r="J400" s="16"/>
      <c r="K400" s="16"/>
      <c r="L400" s="16"/>
      <c r="N400" s="78"/>
      <c r="O400" s="16"/>
      <c r="P400" s="16"/>
      <c r="Q400" s="16"/>
      <c r="R400" s="84"/>
      <c r="S400" s="84"/>
      <c r="T400" s="16"/>
      <c r="U400" s="16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</row>
    <row r="401" spans="5:45" customFormat="1" x14ac:dyDescent="0.55000000000000004">
      <c r="E401" t="s">
        <v>646</v>
      </c>
      <c r="G401" s="76"/>
      <c r="H401" s="77"/>
      <c r="I401" s="15"/>
      <c r="J401" s="16"/>
      <c r="K401" s="16"/>
      <c r="L401" s="16"/>
      <c r="N401" s="78"/>
      <c r="O401" s="16"/>
      <c r="P401" s="16"/>
      <c r="Q401" s="16"/>
      <c r="R401" s="84"/>
      <c r="S401" s="84"/>
      <c r="T401" s="16"/>
      <c r="U401" s="16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</row>
  </sheetData>
  <sheetProtection formatCells="0" formatColumns="0" formatRows="0"/>
  <autoFilter ref="B3:AS387" xr:uid="{00000000-0009-0000-0000-000000000000}"/>
  <mergeCells count="32">
    <mergeCell ref="AJ2:AK2"/>
    <mergeCell ref="AL2:AM2"/>
    <mergeCell ref="AN2:AO2"/>
    <mergeCell ref="AP2:AQ2"/>
    <mergeCell ref="T1:U2"/>
    <mergeCell ref="V1:V3"/>
    <mergeCell ref="W1:W3"/>
    <mergeCell ref="X1:AQ1"/>
    <mergeCell ref="X2:Y2"/>
    <mergeCell ref="Z2:AA2"/>
    <mergeCell ref="AB2:AC2"/>
    <mergeCell ref="AD2:AE2"/>
    <mergeCell ref="AF2:AG2"/>
    <mergeCell ref="AH2:AI2"/>
    <mergeCell ref="M1:M3"/>
    <mergeCell ref="N1:N3"/>
    <mergeCell ref="O1:O3"/>
    <mergeCell ref="P1:P3"/>
    <mergeCell ref="Q1:Q3"/>
    <mergeCell ref="R1:S2"/>
    <mergeCell ref="G1:G3"/>
    <mergeCell ref="H1:H3"/>
    <mergeCell ref="I1:I3"/>
    <mergeCell ref="J1:J3"/>
    <mergeCell ref="K1:K3"/>
    <mergeCell ref="L1:L3"/>
    <mergeCell ref="A1:A3"/>
    <mergeCell ref="B1:B3"/>
    <mergeCell ref="C1:C3"/>
    <mergeCell ref="D1:D3"/>
    <mergeCell ref="E1:E3"/>
    <mergeCell ref="F1:F3"/>
  </mergeCells>
  <conditionalFormatting sqref="O4:O386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INVENTARIO 2026</vt:lpstr>
      <vt:lpstr>'INVENTARIO 2026'!LISTPROD</vt:lpstr>
      <vt:lpstr>'INVENTARIO 2026'!LISTPRODUCTOS2</vt:lpstr>
      <vt:lpstr>'INVENTARIO 2026'!PRODUCTOS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HPK INVERSIONES</dc:creator>
  <cp:lastModifiedBy>HPK INVERSIONES</cp:lastModifiedBy>
  <dcterms:created xsi:type="dcterms:W3CDTF">2026-01-20T18:36:40Z</dcterms:created>
  <dcterms:modified xsi:type="dcterms:W3CDTF">2026-01-20T18:37:41Z</dcterms:modified>
</cp:coreProperties>
</file>